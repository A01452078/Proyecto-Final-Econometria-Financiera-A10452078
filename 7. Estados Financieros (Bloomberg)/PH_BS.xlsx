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9BB92216-9E36-4305-AC5F-B1537B2EC1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lance Sheet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2" l="1" a="1"/>
  <c r="F13" i="2" a="1"/>
  <c r="AF25" i="2" a="1"/>
  <c r="R19" i="2" a="1"/>
  <c r="R17" i="2" a="1"/>
  <c r="L34" i="2" a="1"/>
  <c r="AD19" i="2" a="1"/>
  <c r="AD21" i="2" a="1"/>
  <c r="X26" i="2" a="1"/>
  <c r="H19" i="2" a="1"/>
  <c r="H11" i="2" a="1"/>
  <c r="F17" i="2" a="1"/>
  <c r="AF23" i="2" a="1"/>
  <c r="R25" i="2" a="1"/>
  <c r="L20" i="2" a="1"/>
  <c r="AD41" i="2" a="1"/>
  <c r="H9" i="2" a="1"/>
  <c r="F19" i="2" a="1"/>
  <c r="AF13" i="2" a="1"/>
  <c r="R41" i="2" a="1"/>
  <c r="AD23" i="2" a="1"/>
  <c r="X30" i="2" a="1"/>
  <c r="F41" i="2" a="1"/>
  <c r="R13" i="2" a="1"/>
  <c r="L28" i="2" a="1"/>
  <c r="AD29" i="2" a="1"/>
  <c r="X22" i="2" a="1"/>
  <c r="F15" i="2" a="1"/>
  <c r="AF9" i="2" a="1"/>
  <c r="L36" i="2" a="1"/>
  <c r="AD33" i="2" a="1"/>
  <c r="X24" i="2" a="1"/>
  <c r="F31" i="2" a="1"/>
  <c r="R21" i="2" a="1"/>
  <c r="X28" i="2" a="1"/>
  <c r="H25" i="2" a="1"/>
  <c r="AD15" i="2" a="1"/>
  <c r="X34" i="2" a="1"/>
  <c r="L30" i="2" a="1"/>
  <c r="F25" i="2" a="1"/>
  <c r="R29" i="2" a="1"/>
  <c r="AD7" i="2" a="1"/>
  <c r="X16" i="2" a="1"/>
  <c r="H21" i="2" a="1"/>
  <c r="F35" i="2" a="1"/>
  <c r="R7" i="2" a="1"/>
  <c r="L24" i="2" a="1"/>
  <c r="AD9" i="2" a="1"/>
  <c r="H13" i="2" a="1"/>
  <c r="H7" i="2" a="1"/>
  <c r="AF15" i="2" a="1"/>
  <c r="AF19" i="2" a="1"/>
  <c r="L22" i="2" a="1"/>
  <c r="X12" i="2" a="1"/>
  <c r="H17" i="2" a="1"/>
  <c r="AF11" i="2" a="1"/>
  <c r="R33" i="2" a="1"/>
  <c r="L40" i="2" a="1"/>
  <c r="X40" i="2" a="1"/>
  <c r="H15" i="2" a="1"/>
  <c r="AF21" i="2" a="1"/>
  <c r="AF17" i="2" a="1"/>
  <c r="L10" i="2" a="1"/>
  <c r="U93" i="2" a="1"/>
  <c r="M20" i="2" a="1"/>
  <c r="Y20" i="2" a="1"/>
  <c r="Y8" i="2" a="1"/>
  <c r="AE17" i="2" a="1"/>
  <c r="G13" i="2" a="1"/>
  <c r="G19" i="2" a="1"/>
  <c r="U50" i="2" a="1"/>
  <c r="U42" i="2" a="1"/>
  <c r="U19" i="2" a="1"/>
  <c r="S35" i="2" a="1"/>
  <c r="S19" i="2" a="1"/>
  <c r="Z20" i="2" a="1"/>
  <c r="T17" i="2" a="1"/>
  <c r="T15" i="2" a="1"/>
  <c r="AA67" i="2" a="1"/>
  <c r="I55" i="2" a="1"/>
  <c r="I47" i="2" a="1"/>
  <c r="I41" i="2" a="1"/>
  <c r="I7" i="2" a="1"/>
  <c r="I76" i="2" a="1"/>
  <c r="I23" i="2" a="1"/>
  <c r="O26" i="2" a="1"/>
  <c r="O10" i="2" a="1"/>
  <c r="O40" i="2" a="1"/>
  <c r="N14" i="2" a="1"/>
  <c r="N20" i="2" a="1"/>
  <c r="O42" i="2" a="1"/>
  <c r="C8" i="2" a="1"/>
  <c r="C76" i="2" a="1"/>
  <c r="U64" i="2" a="1"/>
  <c r="W21" i="2" a="1"/>
  <c r="W15" i="2" a="1"/>
  <c r="AA36" i="2" a="1"/>
  <c r="AA16" i="2" a="1"/>
  <c r="AA14" i="2" a="1"/>
  <c r="C10" i="2" a="1"/>
  <c r="C26" i="2" a="1"/>
  <c r="C30" i="2" a="1"/>
  <c r="C12" i="2" a="1"/>
  <c r="F23" i="2" a="1"/>
  <c r="F32" i="2" a="1"/>
  <c r="F39" i="2" a="1"/>
  <c r="F36" i="2" a="1"/>
  <c r="AB8" i="2" a="1"/>
  <c r="V64" i="2" a="1"/>
  <c r="V7" i="2" a="1"/>
  <c r="P12" i="2" a="1"/>
  <c r="J66" i="2" a="1"/>
  <c r="J50" i="2" a="1"/>
  <c r="S14" i="2" a="1"/>
  <c r="S30" i="2" a="1"/>
  <c r="S26" i="2" a="1"/>
  <c r="D8" i="2" a="1"/>
  <c r="D55" i="2" a="1"/>
  <c r="E12" i="2" a="1"/>
  <c r="X18" i="2" a="1"/>
  <c r="X31" i="2" a="1"/>
  <c r="X15" i="2" a="1"/>
  <c r="X32" i="2" a="1"/>
  <c r="AC18" i="2" a="1"/>
  <c r="AC8" i="2" a="1"/>
  <c r="K17" i="2" a="1"/>
  <c r="Y34" i="2" a="1"/>
  <c r="Y33" i="2" a="1"/>
  <c r="Y23" i="2" a="1"/>
  <c r="M18" i="2" a="1"/>
  <c r="M8" i="2" a="1"/>
  <c r="Y22" i="2" a="1"/>
  <c r="AE21" i="2" a="1"/>
  <c r="AE11" i="2" a="1"/>
  <c r="G17" i="2" a="1"/>
  <c r="U35" i="2" a="1"/>
  <c r="U29" i="2" a="1"/>
  <c r="M24" i="2" a="1"/>
  <c r="M12" i="2" a="1"/>
  <c r="Y10" i="2" a="1"/>
  <c r="AE7" i="2" a="1"/>
  <c r="AE9" i="2" a="1"/>
  <c r="G11" i="2" a="1"/>
  <c r="U7" i="2" a="1"/>
  <c r="U21" i="2" a="1"/>
  <c r="U27" i="2" a="1"/>
  <c r="U58" i="2" a="1"/>
  <c r="S17" i="2" a="1"/>
  <c r="Z16" i="2" a="1"/>
  <c r="Z10" i="2" a="1"/>
  <c r="T23" i="2" a="1"/>
  <c r="AA45" i="2" a="1"/>
  <c r="AA59" i="2" a="1"/>
  <c r="I85" i="2" a="1"/>
  <c r="V93" i="2" a="1"/>
  <c r="I52" i="2" a="1"/>
  <c r="I17" i="2" a="1"/>
  <c r="I25" i="2" a="1"/>
  <c r="O12" i="2" a="1"/>
  <c r="O14" i="2" a="1"/>
  <c r="O16" i="2" a="1"/>
  <c r="O47" i="2" a="1"/>
  <c r="N26" i="2" a="1"/>
  <c r="O69" i="2" a="1"/>
  <c r="O66" i="2" a="1"/>
  <c r="C71" i="2" a="1"/>
  <c r="U44" i="2" a="1"/>
  <c r="M22" i="2" a="1"/>
  <c r="M16" i="2" a="1"/>
  <c r="Y16" i="2" a="1"/>
  <c r="AE23" i="2" a="1"/>
  <c r="AE19" i="2" a="1"/>
  <c r="G21" i="2" a="1"/>
  <c r="U13" i="2" a="1"/>
  <c r="U25" i="2" a="1"/>
  <c r="U11" i="2" a="1"/>
  <c r="U66" i="2" a="1"/>
  <c r="S7" i="2" a="1"/>
  <c r="Z8" i="2" a="1"/>
  <c r="Z18" i="2" a="1"/>
  <c r="T19" i="2" a="1"/>
  <c r="AA86" i="2" a="1"/>
  <c r="AA72" i="2" a="1"/>
  <c r="I74" i="2" a="1"/>
  <c r="I11" i="2" a="1"/>
  <c r="I39" i="2" a="1"/>
  <c r="I15" i="2" a="1"/>
  <c r="I31" i="2" a="1"/>
  <c r="O28" i="2" a="1"/>
  <c r="O34" i="2" a="1"/>
  <c r="O32" i="2" a="1"/>
  <c r="O85" i="2" a="1"/>
  <c r="N18" i="2" a="1"/>
  <c r="O43" i="2" a="1"/>
  <c r="O53" i="2" a="1"/>
  <c r="C47" i="2" a="1"/>
  <c r="U48" i="2" a="1"/>
  <c r="M14" i="2" a="1"/>
  <c r="Y36" i="2" a="1"/>
  <c r="Y12" i="2" a="1"/>
  <c r="AE15" i="2" a="1"/>
  <c r="G23" i="2" a="1"/>
  <c r="G7" i="2" a="1"/>
  <c r="U41" i="2" a="1"/>
  <c r="U9" i="2" a="1"/>
  <c r="U31" i="2" a="1"/>
  <c r="U33" i="2" a="1"/>
  <c r="S9" i="2" a="1"/>
  <c r="Z24" i="2" a="1"/>
  <c r="M10" i="2" a="1"/>
  <c r="Y14" i="2" a="1"/>
  <c r="Y18" i="2" a="1"/>
  <c r="AE13" i="2" a="1"/>
  <c r="G9" i="2" a="1"/>
  <c r="G15" i="2" a="1"/>
  <c r="U39" i="2" a="1"/>
  <c r="U23" i="2" a="1"/>
  <c r="U15" i="2" a="1"/>
  <c r="S13" i="2" a="1"/>
  <c r="S21" i="2" a="1"/>
  <c r="Z14" i="2" a="1"/>
  <c r="T9" i="2" a="1"/>
  <c r="T21" i="2" a="1"/>
  <c r="AA51" i="2" a="1"/>
  <c r="I71" i="2" a="1"/>
  <c r="I63" i="2" a="1"/>
  <c r="U43" i="2" a="1"/>
  <c r="I58" i="2" a="1"/>
  <c r="I68" i="2" a="1"/>
  <c r="O20" i="2" a="1"/>
  <c r="C60" i="2" a="1"/>
  <c r="W19" i="2" a="1"/>
  <c r="AA20" i="2" a="1"/>
  <c r="C34" i="2" a="1"/>
  <c r="C20" i="2" a="1"/>
  <c r="F11" i="2" a="1"/>
  <c r="F24" i="2" a="1"/>
  <c r="V11" i="2" a="1"/>
  <c r="P77" i="2" a="1"/>
  <c r="J89" i="2" a="1"/>
  <c r="S24" i="2" a="1"/>
  <c r="D94" i="2" a="1"/>
  <c r="E10" i="2" a="1"/>
  <c r="X29" i="2" a="1"/>
  <c r="X33" i="2" a="1"/>
  <c r="K23" i="2" a="1"/>
  <c r="Y39" i="2" a="1"/>
  <c r="Y19" i="2" a="1"/>
  <c r="M35" i="2" a="1"/>
  <c r="M19" i="2" a="1"/>
  <c r="G24" i="2" a="1"/>
  <c r="R15" i="2" a="1"/>
  <c r="J27" i="2" a="1"/>
  <c r="J25" i="2" a="1"/>
  <c r="J60" i="2" a="1"/>
  <c r="J15" i="2" a="1"/>
  <c r="V31" i="2" a="1"/>
  <c r="V74" i="2" a="1"/>
  <c r="V23" i="2" a="1"/>
  <c r="V33" i="2" a="1"/>
  <c r="D84" i="2" a="1"/>
  <c r="D16" i="2" a="1"/>
  <c r="D30" i="2" a="1"/>
  <c r="AD34" i="2" a="1"/>
  <c r="AD39" i="2" a="1"/>
  <c r="AD8" i="2" a="1"/>
  <c r="AD22" i="2" a="1"/>
  <c r="AB69" i="2" a="1"/>
  <c r="AB30" i="2" a="1"/>
  <c r="AB20" i="2" a="1"/>
  <c r="AB40" i="2" a="1"/>
  <c r="T29" i="2" a="1"/>
  <c r="T41" i="2" a="1"/>
  <c r="T26" i="2" a="1"/>
  <c r="Z35" i="2" a="1"/>
  <c r="Z36" i="2" a="1"/>
  <c r="Z13" i="2" a="1"/>
  <c r="Z19" i="2" a="1"/>
  <c r="AF18" i="2" a="1"/>
  <c r="AF32" i="2" a="1"/>
  <c r="AF27" i="2" a="1"/>
  <c r="AF39" i="2" a="1"/>
  <c r="H14" i="2" a="1"/>
  <c r="H22" i="2" a="1"/>
  <c r="H32" i="2" a="1"/>
  <c r="L14" i="2" a="1"/>
  <c r="L7" i="2" a="1"/>
  <c r="L29" i="2" a="1"/>
  <c r="L32" i="2" a="1"/>
  <c r="V20" i="2" a="1"/>
  <c r="V76" i="2" a="1"/>
  <c r="V8" i="2" a="1"/>
  <c r="N40" i="2" a="1"/>
  <c r="N11" i="2" a="1"/>
  <c r="O94" i="2" a="1"/>
  <c r="P47" i="2" a="1"/>
  <c r="U17" i="2" a="1"/>
  <c r="I66" i="2" a="1"/>
  <c r="I89" i="2" a="1"/>
  <c r="N10" i="2" a="1"/>
  <c r="C63" i="2" a="1"/>
  <c r="W13" i="2" a="1"/>
  <c r="AA18" i="2" a="1"/>
  <c r="C14" i="2" a="1"/>
  <c r="C42" i="2" a="1"/>
  <c r="F33" i="2" a="1"/>
  <c r="AB86" i="2" a="1"/>
  <c r="V13" i="2" a="1"/>
  <c r="P42" i="2" a="1"/>
  <c r="S28" i="2" a="1"/>
  <c r="S25" i="2" a="1"/>
  <c r="D10" i="2" a="1"/>
  <c r="E16" i="2" a="1"/>
  <c r="X39" i="2" a="1"/>
  <c r="X21" i="2" a="1"/>
  <c r="K19" i="2" a="1"/>
  <c r="Y9" i="2" a="1"/>
  <c r="Y25" i="2" a="1"/>
  <c r="M9" i="2" a="1"/>
  <c r="G33" i="2" a="1"/>
  <c r="G12" i="2" a="1"/>
  <c r="AE30" i="2" a="1"/>
  <c r="AE24" i="2" a="1"/>
  <c r="AE14" i="2" a="1"/>
  <c r="P16" i="2" a="1"/>
  <c r="R14" i="2" a="1"/>
  <c r="R35" i="2" a="1"/>
  <c r="S15" i="2" a="1"/>
  <c r="I50" i="2" a="1"/>
  <c r="O22" i="2" a="1"/>
  <c r="N16" i="2" a="1"/>
  <c r="C52" i="2" a="1"/>
  <c r="W23" i="2" a="1"/>
  <c r="AA8" i="2" a="1"/>
  <c r="C36" i="2" a="1"/>
  <c r="C94" i="2" a="1"/>
  <c r="F42" i="2" a="1"/>
  <c r="AB51" i="2" a="1"/>
  <c r="V21" i="2" a="1"/>
  <c r="P69" i="2" a="1"/>
  <c r="S12" i="2" a="1"/>
  <c r="S33" i="2" a="1"/>
  <c r="D47" i="2" a="1"/>
  <c r="E18" i="2" a="1"/>
  <c r="X35" i="2" a="1"/>
  <c r="X27" i="2" a="1"/>
  <c r="K27" i="2" a="1"/>
  <c r="Y35" i="2" a="1"/>
  <c r="Y21" i="2" a="1"/>
  <c r="M29" i="2" a="1"/>
  <c r="M13" i="2" a="1"/>
  <c r="G14" i="2" a="1"/>
  <c r="G42" i="2" a="1"/>
  <c r="AE26" i="2" a="1"/>
  <c r="AE29" i="2" a="1"/>
  <c r="AE33" i="2" a="1"/>
  <c r="P32" i="2" a="1"/>
  <c r="P40" i="2" a="1"/>
  <c r="Q12" i="2" a="1"/>
  <c r="R16" i="2" a="1"/>
  <c r="S11" i="2" a="1"/>
  <c r="I33" i="2" a="1"/>
  <c r="O36" i="2" a="1"/>
  <c r="N24" i="2" a="1"/>
  <c r="U53" i="2" a="1"/>
  <c r="W17" i="2" a="1"/>
  <c r="AA12" i="2" a="1"/>
  <c r="C57" i="2" a="1"/>
  <c r="C73" i="2" a="1"/>
  <c r="F21" i="2" a="1"/>
  <c r="AB75" i="2" a="1"/>
  <c r="V56" i="2" a="1"/>
  <c r="P20" i="2" a="1"/>
  <c r="S29" i="2" a="1"/>
  <c r="S34" i="2" a="1"/>
  <c r="D12" i="2" a="1"/>
  <c r="E22" i="2" a="1"/>
  <c r="X44" i="2" a="1"/>
  <c r="AC10" i="2" a="1"/>
  <c r="K9" i="2" a="1"/>
  <c r="Y24" i="2" a="1"/>
  <c r="Y40" i="2" a="1"/>
  <c r="M41" i="2" a="1"/>
  <c r="G25" i="2" a="1"/>
  <c r="G20" i="2" a="1"/>
  <c r="AE25" i="2" a="1"/>
  <c r="AE22" i="2" a="1"/>
  <c r="AE35" i="2" a="1"/>
  <c r="P28" i="2" a="1"/>
  <c r="P94" i="2" a="1"/>
  <c r="Q20" i="2" a="1"/>
  <c r="Z12" i="2" a="1"/>
  <c r="I21" i="2" a="1"/>
  <c r="O24" i="2" a="1"/>
  <c r="N22" i="2" a="1"/>
  <c r="U61" i="2" a="1"/>
  <c r="AA34" i="2" a="1"/>
  <c r="AA44" i="2" a="1"/>
  <c r="C22" i="2" a="1"/>
  <c r="C24" i="2" a="1"/>
  <c r="F45" i="2" a="1"/>
  <c r="AB59" i="2" a="1"/>
  <c r="V9" i="2" a="1"/>
  <c r="J11" i="2" a="1"/>
  <c r="S39" i="2" a="1"/>
  <c r="S36" i="2" a="1"/>
  <c r="D63" i="2" a="1"/>
  <c r="E20" i="2" a="1"/>
  <c r="X10" i="2" a="1"/>
  <c r="AC12" i="2" a="1"/>
  <c r="K7" i="2" a="1"/>
  <c r="Y41" i="2" a="1"/>
  <c r="Y27" i="2" a="1"/>
  <c r="M31" i="2" a="1"/>
  <c r="M15" i="2" a="1"/>
  <c r="G35" i="2" a="1"/>
  <c r="R40" i="2" a="1"/>
  <c r="J39" i="2" a="1"/>
  <c r="J19" i="2" a="1"/>
  <c r="J76" i="2" a="1"/>
  <c r="Z22" i="2" a="1"/>
  <c r="I13" i="2" a="1"/>
  <c r="O8" i="2" a="1"/>
  <c r="N12" i="2" a="1"/>
  <c r="U77" i="2" a="1"/>
  <c r="AA40" i="2" a="1"/>
  <c r="AA32" i="2" a="1"/>
  <c r="C40" i="2" a="1"/>
  <c r="F10" i="2" a="1"/>
  <c r="Y29" i="2" a="1"/>
  <c r="M7" i="2" a="1"/>
  <c r="M11" i="2" a="1"/>
  <c r="G41" i="2" a="1"/>
  <c r="AE31" i="2" a="1"/>
  <c r="AE34" i="2" a="1"/>
  <c r="AE39" i="2" a="1"/>
  <c r="P71" i="2" a="1"/>
  <c r="P36" i="2" a="1"/>
  <c r="Q26" i="2" a="1"/>
  <c r="R34" i="2" a="1"/>
  <c r="R42" i="2" a="1"/>
  <c r="T11" i="2" a="1"/>
  <c r="I35" i="2" a="1"/>
  <c r="O74" i="2" a="1"/>
  <c r="O77" i="2" a="1"/>
  <c r="U69" i="2" a="1"/>
  <c r="AA61" i="2" a="1"/>
  <c r="AA28" i="2" a="1"/>
  <c r="C16" i="2" a="1"/>
  <c r="F26" i="2" a="1"/>
  <c r="F9" i="2" a="1"/>
  <c r="AB12" i="2" a="1"/>
  <c r="V72" i="2" a="1"/>
  <c r="J58" i="2" a="1"/>
  <c r="S23" i="2" a="1"/>
  <c r="S16" i="2" a="1"/>
  <c r="D20" i="2" a="1"/>
  <c r="X8" i="2" a="1"/>
  <c r="X20" i="2" a="1"/>
  <c r="AC14" i="2" a="1"/>
  <c r="K13" i="2" a="1"/>
  <c r="Y30" i="2" a="1"/>
  <c r="M23" i="2" a="1"/>
  <c r="M40" i="2" a="1"/>
  <c r="G39" i="2" a="1"/>
  <c r="G10" i="2" a="1"/>
  <c r="AE16" i="2" a="1"/>
  <c r="AE27" i="2" a="1"/>
  <c r="P73" i="2" a="1"/>
  <c r="P22" i="2" a="1"/>
  <c r="P49" i="2" a="1"/>
  <c r="Q18" i="2" a="1"/>
  <c r="R32" i="2" a="1"/>
  <c r="T25" i="2" a="1"/>
  <c r="I9" i="2" a="1"/>
  <c r="O18" i="2" a="1"/>
  <c r="T13" i="2" a="1"/>
  <c r="I27" i="2" a="1"/>
  <c r="O63" i="2" a="1"/>
  <c r="AA56" i="2" a="1"/>
  <c r="I29" i="2" a="1"/>
  <c r="O30" i="2" a="1"/>
  <c r="O50" i="2" a="1"/>
  <c r="W7" i="2" a="1"/>
  <c r="AA30" i="2" a="1"/>
  <c r="AA69" i="2" a="1"/>
  <c r="C46" i="2" a="1"/>
  <c r="F34" i="2" a="1"/>
  <c r="F16" i="2" a="1"/>
  <c r="AB10" i="2" a="1"/>
  <c r="P61" i="2" a="1"/>
  <c r="J9" i="2" a="1"/>
  <c r="S20" i="2" a="1"/>
  <c r="S32" i="2" a="1"/>
  <c r="E30" i="2" a="1"/>
  <c r="X36" i="2" a="1"/>
  <c r="X7" i="2" a="1"/>
  <c r="AC20" i="2" a="1"/>
  <c r="Y15" i="2" a="1"/>
  <c r="Y13" i="2" a="1"/>
  <c r="M26" i="2" a="1"/>
  <c r="M39" i="2" a="1"/>
  <c r="G30" i="2" a="1"/>
  <c r="G32" i="2" a="1"/>
  <c r="G31" i="2" a="1"/>
  <c r="AE20" i="2" a="1"/>
  <c r="AE28" i="2" a="1"/>
  <c r="P26" i="2" a="1"/>
  <c r="P24" i="2" a="1"/>
  <c r="P34" i="2" a="1"/>
  <c r="Q14" i="2" a="1"/>
  <c r="R28" i="2" a="1"/>
  <c r="AA48" i="2" a="1"/>
  <c r="I60" i="2" a="1"/>
  <c r="O55" i="2" a="1"/>
  <c r="C55" i="2" a="1"/>
  <c r="W11" i="2" a="1"/>
  <c r="AA53" i="2" a="1"/>
  <c r="AA77" i="2" a="1"/>
  <c r="C65" i="2" a="1"/>
  <c r="F20" i="2" a="1"/>
  <c r="F40" i="2" a="1"/>
  <c r="V48" i="2" a="1"/>
  <c r="P10" i="2" a="1"/>
  <c r="J74" i="2" a="1"/>
  <c r="S8" i="2" a="1"/>
  <c r="S18" i="2" a="1"/>
  <c r="E8" i="2" a="1"/>
  <c r="X25" i="2" a="1"/>
  <c r="X23" i="2" a="1"/>
  <c r="AC16" i="2" a="1"/>
  <c r="Y17" i="2" a="1"/>
  <c r="Y31" i="2" a="1"/>
  <c r="M17" i="2" a="1"/>
  <c r="M21" i="2" a="1"/>
  <c r="G16" i="2" a="1"/>
  <c r="G34" i="2" a="1"/>
  <c r="AE12" i="2" a="1"/>
  <c r="AE32" i="2" a="1"/>
  <c r="P53" i="2" a="1"/>
  <c r="P65" i="2" a="1"/>
  <c r="P63" i="2" a="1"/>
  <c r="Q10" i="2" a="1"/>
  <c r="R23" i="2" a="1"/>
  <c r="R36" i="2" a="1"/>
  <c r="J41" i="2" a="1"/>
  <c r="J52" i="2" a="1"/>
  <c r="J68" i="2" a="1"/>
  <c r="AA75" i="2" a="1"/>
  <c r="I19" i="2" a="1"/>
  <c r="O71" i="2" a="1"/>
  <c r="C68" i="2" a="1"/>
  <c r="W9" i="2" a="1"/>
  <c r="AA24" i="2" a="1"/>
  <c r="C18" i="2" a="1"/>
  <c r="C32" i="2" a="1"/>
  <c r="F28" i="2" a="1"/>
  <c r="M30" i="2" a="1"/>
  <c r="M25" i="2" a="1"/>
  <c r="G26" i="2" a="1"/>
  <c r="G8" i="2" a="1"/>
  <c r="G28" i="2" a="1"/>
  <c r="AE18" i="2" a="1"/>
  <c r="AE10" i="2" a="1"/>
  <c r="P57" i="2" a="1"/>
  <c r="P84" i="2" a="1"/>
  <c r="Q22" i="2" a="1"/>
  <c r="R24" i="2" a="1"/>
  <c r="R27" i="2" a="1"/>
  <c r="V46" i="2" a="1"/>
  <c r="N33" i="2" a="1"/>
  <c r="O15" i="2" a="1"/>
  <c r="O17" i="2" a="1"/>
  <c r="O65" i="2" a="1"/>
  <c r="Q8" i="2" a="1"/>
  <c r="O58" i="2" a="1"/>
  <c r="F30" i="2" a="1"/>
  <c r="D71" i="2" a="1"/>
  <c r="Y11" i="2" a="1"/>
  <c r="AE8" i="2" a="1"/>
  <c r="V25" i="2" a="1"/>
  <c r="V85" i="2" a="1"/>
  <c r="D34" i="2" a="1"/>
  <c r="AD13" i="2" a="1"/>
  <c r="AD32" i="2" a="1"/>
  <c r="AD40" i="2" a="1"/>
  <c r="AB26" i="2" a="1"/>
  <c r="AB45" i="2" a="1"/>
  <c r="AB28" i="2" a="1"/>
  <c r="T22" i="2" a="1"/>
  <c r="T8" i="2" a="1"/>
  <c r="T14" i="2" a="1"/>
  <c r="Z17" i="2" a="1"/>
  <c r="Z30" i="2" a="1"/>
  <c r="Z39" i="2" a="1"/>
  <c r="AF26" i="2" a="1"/>
  <c r="AF8" i="2" a="1"/>
  <c r="AF12" i="2" a="1"/>
  <c r="H39" i="2" a="1"/>
  <c r="H24" i="2" a="1"/>
  <c r="H36" i="2" a="1"/>
  <c r="L39" i="2" a="1"/>
  <c r="L46" i="2" a="1"/>
  <c r="V30" i="2" a="1"/>
  <c r="N27" i="2" a="1"/>
  <c r="N17" i="2" a="1"/>
  <c r="O13" i="2" a="1"/>
  <c r="O61" i="2" a="1"/>
  <c r="M32" i="2" a="1"/>
  <c r="J23" i="2" a="1"/>
  <c r="V39" i="2" a="1"/>
  <c r="D73" i="2" a="1"/>
  <c r="U72" i="2" a="1"/>
  <c r="M27" i="2" a="1"/>
  <c r="R11" i="2" a="1"/>
  <c r="V52" i="2" a="1"/>
  <c r="D26" i="2" a="1"/>
  <c r="AD45" i="2" a="1"/>
  <c r="AB61" i="2" a="1"/>
  <c r="T27" i="2" a="1"/>
  <c r="T39" i="2" a="1"/>
  <c r="Z9" i="2" a="1"/>
  <c r="AF33" i="2" a="1"/>
  <c r="AF16" i="2" a="1"/>
  <c r="H27" i="2" a="1"/>
  <c r="L25" i="2" a="1"/>
  <c r="V34" i="2" a="1"/>
  <c r="N29" i="2" a="1"/>
  <c r="N32" i="2" a="1"/>
  <c r="O78" i="2" a="1"/>
  <c r="X42" i="2" a="1"/>
  <c r="D40" i="2" a="1"/>
  <c r="AD36" i="2" a="1"/>
  <c r="T34" i="2" a="1"/>
  <c r="Z21" i="2" a="1"/>
  <c r="AF34" i="2" a="1"/>
  <c r="L27" i="2" a="1"/>
  <c r="N31" i="2" a="1"/>
  <c r="O7" i="2" a="1"/>
  <c r="Z40" i="2" a="1"/>
  <c r="L11" i="2" a="1"/>
  <c r="N30" i="2" a="1"/>
  <c r="J85" i="2" a="1"/>
  <c r="V42" i="2" a="1"/>
  <c r="AB42" i="2" a="1"/>
  <c r="AB43" i="2" a="1"/>
  <c r="H41" i="2" a="1"/>
  <c r="V10" i="2" a="1"/>
  <c r="O45" i="2" a="1"/>
  <c r="H29" i="2" a="1"/>
  <c r="V44" i="2" a="1"/>
  <c r="AC22" i="2" a="1"/>
  <c r="K11" i="2" a="1"/>
  <c r="D24" i="2" a="1"/>
  <c r="T7" i="2" a="1"/>
  <c r="L16" i="2" a="1"/>
  <c r="Z26" i="2" a="1"/>
  <c r="H18" i="2" a="1"/>
  <c r="V26" i="2" a="1"/>
  <c r="O84" i="2" a="1"/>
  <c r="AF28" i="2" a="1"/>
  <c r="L35" i="2" a="1"/>
  <c r="O46" i="2" a="1"/>
  <c r="G18" i="2" a="1"/>
  <c r="D18" i="2" a="1"/>
  <c r="T28" i="2" a="1"/>
  <c r="U56" i="2" a="1"/>
  <c r="AB67" i="2" a="1"/>
  <c r="J78" i="2" a="1"/>
  <c r="J62" i="2" a="1"/>
  <c r="V41" i="2" a="1"/>
  <c r="Z15" i="2" a="1"/>
  <c r="L8" i="2" a="1"/>
  <c r="N23" i="2" a="1"/>
  <c r="T33" i="2" a="1"/>
  <c r="H30" i="2" a="1"/>
  <c r="N15" i="2" a="1"/>
  <c r="V29" i="2" a="1"/>
  <c r="R39" i="2" a="1"/>
  <c r="AD43" i="2" a="1"/>
  <c r="T16" i="2" a="1"/>
  <c r="AA10" i="2" a="1"/>
  <c r="P8" i="2" a="1"/>
  <c r="X14" i="2" a="1"/>
  <c r="M36" i="2" a="1"/>
  <c r="P30" i="2" a="1"/>
  <c r="R18" i="2" a="1"/>
  <c r="J46" i="2" a="1"/>
  <c r="V58" i="2" a="1"/>
  <c r="D32" i="2" a="1"/>
  <c r="AD17" i="2" a="1"/>
  <c r="AB47" i="2" a="1"/>
  <c r="T20" i="2" a="1"/>
  <c r="AF24" i="2" a="1"/>
  <c r="H23" i="2" a="1"/>
  <c r="V16" i="2" a="1"/>
  <c r="Z11" i="2" a="1"/>
  <c r="H31" i="2" a="1"/>
  <c r="N28" i="2" a="1"/>
  <c r="G36" i="2" a="1"/>
  <c r="Q16" i="2" a="1"/>
  <c r="V89" i="2" a="1"/>
  <c r="AB16" i="2" a="1"/>
  <c r="AA26" i="2" a="1"/>
  <c r="P14" i="2" a="1"/>
  <c r="X19" i="2" a="1"/>
  <c r="M33" i="2" a="1"/>
  <c r="R30" i="2" a="1"/>
  <c r="J35" i="2" a="1"/>
  <c r="V27" i="2" a="1"/>
  <c r="V66" i="2" a="1"/>
  <c r="D36" i="2" a="1"/>
  <c r="AF14" i="2" a="1"/>
  <c r="V54" i="2" a="1"/>
  <c r="O49" i="2" a="1"/>
  <c r="C49" i="2" a="1"/>
  <c r="AD24" i="2" a="1"/>
  <c r="AA22" i="2" a="1"/>
  <c r="J17" i="2" a="1"/>
  <c r="AC26" i="2" a="1"/>
  <c r="G22" i="2" a="1"/>
  <c r="P55" i="2" a="1"/>
  <c r="R43" i="2" a="1"/>
  <c r="J33" i="2" a="1"/>
  <c r="V68" i="2" a="1"/>
  <c r="V15" i="2" a="1"/>
  <c r="D57" i="2" a="1"/>
  <c r="D59" i="2" a="1"/>
  <c r="AD30" i="2" a="1"/>
  <c r="AD35" i="2" a="1"/>
  <c r="AD18" i="2" a="1"/>
  <c r="AB22" i="2" a="1"/>
  <c r="AB24" i="2" a="1"/>
  <c r="AB18" i="2" a="1"/>
  <c r="T18" i="2" a="1"/>
  <c r="T35" i="2" a="1"/>
  <c r="AF30" i="2" a="1"/>
  <c r="V62" i="2" a="1"/>
  <c r="O70" i="2" a="1"/>
  <c r="D42" i="2" a="1"/>
  <c r="S10" i="2" a="1"/>
  <c r="AD31" i="2" a="1"/>
  <c r="C28" i="2" a="1"/>
  <c r="S22" i="2" a="1"/>
  <c r="K15" i="2" a="1"/>
  <c r="J13" i="2" a="1"/>
  <c r="V17" i="2" a="1"/>
  <c r="D51" i="2" a="1"/>
  <c r="D45" i="2" a="1"/>
  <c r="F27" i="2" a="1"/>
  <c r="S40" i="2" a="1"/>
  <c r="Y26" i="2" a="1"/>
  <c r="AE36" i="2" a="1"/>
  <c r="R9" i="2" a="1"/>
  <c r="R12" i="2" a="1"/>
  <c r="V50" i="2" a="1"/>
  <c r="V35" i="2" a="1"/>
  <c r="D14" i="2" a="1"/>
  <c r="D28" i="2" a="1"/>
  <c r="AD28" i="2" a="1"/>
  <c r="AD27" i="2" a="1"/>
  <c r="AD26" i="2" a="1"/>
  <c r="AB32" i="2" a="1"/>
  <c r="AB36" i="2" a="1"/>
  <c r="AB34" i="2" a="1"/>
  <c r="T10" i="2" a="1"/>
  <c r="T30" i="2" a="1"/>
  <c r="T32" i="2" a="1"/>
  <c r="Z23" i="2" a="1"/>
  <c r="F18" i="2" a="1"/>
  <c r="S27" i="2" a="1"/>
  <c r="Y7" i="2" a="1"/>
  <c r="R31" i="2" a="1"/>
  <c r="J31" i="2" a="1"/>
  <c r="J54" i="2" a="1"/>
  <c r="V19" i="2" a="1"/>
  <c r="D65" i="2" a="1"/>
  <c r="D49" i="2" a="1"/>
  <c r="L9" i="2" a="1"/>
  <c r="V22" i="2" a="1"/>
  <c r="V24" i="2" a="1"/>
  <c r="N34" i="2" a="1"/>
  <c r="O73" i="2" a="1"/>
  <c r="O54" i="2" a="1"/>
  <c r="F29" i="2" a="1"/>
  <c r="E14" i="2" a="1"/>
  <c r="R26" i="2" a="1"/>
  <c r="J21" i="2" a="1"/>
  <c r="D22" i="2" a="1"/>
  <c r="AB14" i="2" a="1"/>
  <c r="X41" i="2" a="1"/>
  <c r="P18" i="2" a="1"/>
  <c r="J7" i="2" a="1"/>
  <c r="D67" i="2" a="1"/>
  <c r="AD25" i="2" a="1"/>
  <c r="AB63" i="2" a="1"/>
  <c r="AB77" i="2" a="1"/>
  <c r="T31" i="2" a="1"/>
  <c r="T24" i="2" a="1"/>
  <c r="Z27" i="2" a="1"/>
  <c r="Z32" i="2" a="1"/>
  <c r="AF35" i="2" a="1"/>
  <c r="H16" i="2" a="1"/>
  <c r="H34" i="2" a="1"/>
  <c r="L13" i="2" a="1"/>
  <c r="V40" i="2" a="1"/>
  <c r="V14" i="2" a="1"/>
  <c r="N25" i="2" a="1"/>
  <c r="O19" i="2" a="1"/>
  <c r="O60" i="2" a="1"/>
  <c r="V60" i="2" a="1"/>
  <c r="AD20" i="2" a="1"/>
  <c r="AD11" i="2" a="1"/>
  <c r="AB53" i="2" a="1"/>
  <c r="T12" i="2" a="1"/>
  <c r="AF7" i="2" a="1"/>
  <c r="H35" i="2" a="1"/>
  <c r="L31" i="2" a="1"/>
  <c r="N19" i="2" a="1"/>
  <c r="Z25" i="2" a="1"/>
  <c r="L41" i="2" a="1"/>
  <c r="N13" i="2" a="1"/>
  <c r="AA64" i="2" a="1"/>
  <c r="J29" i="2" a="1"/>
  <c r="AB71" i="2" a="1"/>
  <c r="Z34" i="2" a="1"/>
  <c r="H28" i="2" a="1"/>
  <c r="V36" i="2" a="1"/>
  <c r="O57" i="2" a="1"/>
  <c r="AF20" i="2" a="1"/>
  <c r="Z28" i="2" a="1"/>
  <c r="H33" i="2" a="1"/>
  <c r="V32" i="2" a="1"/>
  <c r="O76" i="2" a="1"/>
  <c r="O52" i="2" a="1"/>
  <c r="H26" i="2" a="1"/>
  <c r="AF29" i="2" a="1"/>
  <c r="L12" i="2" a="1"/>
  <c r="L33" i="2" a="1"/>
  <c r="L19" i="2" a="1"/>
  <c r="H12" i="2" a="1"/>
  <c r="Z31" i="2" a="1"/>
  <c r="H20" i="2" a="1"/>
  <c r="V18" i="2" a="1"/>
  <c r="O11" i="2" a="1"/>
  <c r="V28" i="2" a="1"/>
  <c r="V70" i="2" a="1"/>
  <c r="L23" i="2" a="1"/>
  <c r="AF41" i="2" a="1"/>
  <c r="AF31" i="2" a="1"/>
  <c r="AF22" i="2" a="1"/>
  <c r="N21" i="2" a="1"/>
  <c r="Z29" i="2" a="1"/>
  <c r="H10" i="2" a="1"/>
  <c r="Z33" i="2" a="1"/>
  <c r="N9" i="2" a="1"/>
  <c r="AF10" i="2" a="1"/>
  <c r="L26" i="2" a="1"/>
  <c r="O62" i="2" a="1"/>
  <c r="O68" i="2" a="1"/>
  <c r="N35" i="2" a="1"/>
  <c r="N39" i="2" a="1"/>
  <c r="V12" i="2" a="1"/>
  <c r="N8" i="2" a="1"/>
  <c r="L18" i="2" a="1"/>
  <c r="N36" i="2" a="1"/>
  <c r="I12" i="2" a="1"/>
  <c r="I73" i="2" a="1"/>
  <c r="I16" i="2" a="1"/>
  <c r="I75" i="2" a="1"/>
  <c r="U73" i="2" a="1"/>
  <c r="U52" i="2" a="1"/>
  <c r="U10" i="2" a="1"/>
  <c r="U76" i="2" a="1"/>
  <c r="AA76" i="2" a="1"/>
  <c r="AA55" i="2" a="1"/>
  <c r="AA60" i="2" a="1"/>
  <c r="C70" i="2" a="1"/>
  <c r="C48" i="2" a="1"/>
  <c r="C13" i="2" a="1"/>
  <c r="C78" i="2" a="1"/>
  <c r="J32" i="2" a="1"/>
  <c r="J20" i="2" a="1"/>
  <c r="J64" i="2" a="1"/>
  <c r="J36" i="2" a="1"/>
  <c r="AB25" i="2" a="1"/>
  <c r="AB35" i="2" a="1"/>
  <c r="AB57" i="2" a="1"/>
  <c r="E28" i="2" a="1"/>
  <c r="E21" i="2" a="1"/>
  <c r="E29" i="2" a="1"/>
  <c r="E35" i="2" a="1"/>
  <c r="Q11" i="2" a="1"/>
  <c r="Q32" i="2" a="1"/>
  <c r="Q29" i="2" a="1"/>
  <c r="Q35" i="2" a="1"/>
  <c r="D23" i="2" a="1"/>
  <c r="D9" i="2" a="1"/>
  <c r="D43" i="2" a="1"/>
  <c r="P31" i="2" a="1"/>
  <c r="P33" i="2" a="1"/>
  <c r="P15" i="2" a="1"/>
  <c r="P39" i="2" a="1"/>
  <c r="W30" i="2" a="1"/>
  <c r="W29" i="2" a="1"/>
  <c r="W24" i="2" a="1"/>
  <c r="W34" i="2" a="1"/>
  <c r="K32" i="2" a="1"/>
  <c r="K10" i="2" a="1"/>
  <c r="K35" i="2" a="1"/>
  <c r="W42" i="2" a="1"/>
  <c r="W56" i="2" a="1"/>
  <c r="W50" i="2" a="1"/>
  <c r="Q77" i="2" a="1"/>
  <c r="Q59" i="2" a="1"/>
  <c r="Q55" i="2" a="1"/>
  <c r="W58" i="2" a="1"/>
  <c r="W54" i="2" a="1"/>
  <c r="K42" i="2" a="1"/>
  <c r="K48" i="2" a="1"/>
  <c r="K76" i="2" a="1"/>
  <c r="AC40" i="2" a="1"/>
  <c r="AC9" i="2" a="1"/>
  <c r="AC30" i="2" a="1"/>
  <c r="AC23" i="2" a="1"/>
  <c r="F73" i="2" a="1"/>
  <c r="F57" i="2" a="1"/>
  <c r="F84" i="2" a="1"/>
  <c r="F67" i="2" a="1"/>
  <c r="AD86" i="2" a="1"/>
  <c r="AD51" i="2" a="1"/>
  <c r="AD61" i="2" a="1"/>
  <c r="AD57" i="2" a="1"/>
  <c r="R55" i="2" a="1"/>
  <c r="R67" i="2" a="1"/>
  <c r="R86" i="2" a="1"/>
  <c r="E31" i="2" a="1"/>
  <c r="E65" i="2" a="1"/>
  <c r="E71" i="2" a="1"/>
  <c r="E61" i="2" a="1"/>
  <c r="AC49" i="2" a="1"/>
  <c r="AC39" i="2" a="1"/>
  <c r="AC77" i="2" a="1"/>
  <c r="AC75" i="2" a="1"/>
  <c r="X64" i="2" a="1"/>
  <c r="X50" i="2" a="1"/>
  <c r="X46" i="2" a="1"/>
  <c r="L62" i="2" a="1"/>
  <c r="L42" i="2" a="1"/>
  <c r="L52" i="2" a="1"/>
  <c r="L70" i="2" a="1"/>
  <c r="I49" i="2" a="1"/>
  <c r="I57" i="2" a="1"/>
  <c r="I46" i="2" a="1"/>
  <c r="I51" i="2" a="1"/>
  <c r="U68" i="2" a="1"/>
  <c r="U71" i="2" a="1"/>
  <c r="U65" i="2" a="1"/>
  <c r="U8" i="2" a="1"/>
  <c r="AA47" i="2" a="1"/>
  <c r="AA42" i="2" a="1"/>
  <c r="AA85" i="2" a="1"/>
  <c r="C72" i="2" a="1"/>
  <c r="C51" i="2" a="1"/>
  <c r="C11" i="2" a="1"/>
  <c r="C56" i="2" a="1"/>
  <c r="J8" i="2" a="1"/>
  <c r="J48" i="2" a="1"/>
  <c r="J44" i="2" a="1"/>
  <c r="J40" i="2" a="1"/>
  <c r="AB94" i="2" a="1"/>
  <c r="AB13" i="2" a="1"/>
  <c r="AB9" i="2" a="1"/>
  <c r="E11" i="2" a="1"/>
  <c r="E15" i="2" a="1"/>
  <c r="E19" i="2" a="1"/>
  <c r="E13" i="2" a="1"/>
  <c r="Q30" i="2" a="1"/>
  <c r="Q27" i="2" a="1"/>
  <c r="Q23" i="2" a="1"/>
  <c r="Q7" i="2" a="1"/>
  <c r="D17" i="2" a="1"/>
  <c r="D29" i="2" a="1"/>
  <c r="D13" i="2" a="1"/>
  <c r="P51" i="2" a="1"/>
  <c r="P7" i="2" a="1"/>
  <c r="P86" i="2" a="1"/>
  <c r="P23" i="2" a="1"/>
  <c r="W26" i="2" a="1"/>
  <c r="W41" i="2" a="1"/>
  <c r="W20" i="2" a="1"/>
  <c r="W32" i="2" a="1"/>
  <c r="K33" i="2" a="1"/>
  <c r="K20" i="2" a="1"/>
  <c r="K24" i="2" a="1"/>
  <c r="W62" i="2" a="1"/>
  <c r="W64" i="2" a="1"/>
  <c r="W46" i="2" a="1"/>
  <c r="Q61" i="2" a="1"/>
  <c r="Q67" i="2" a="1"/>
  <c r="Q41" i="2" a="1"/>
  <c r="W78" i="2" a="1"/>
  <c r="W60" i="2" a="1"/>
  <c r="I67" i="2" a="1"/>
  <c r="I54" i="2" a="1"/>
  <c r="I70" i="2" a="1"/>
  <c r="I10" i="2" a="1"/>
  <c r="U89" i="2" a="1"/>
  <c r="U47" i="2" a="1"/>
  <c r="U57" i="2" a="1"/>
  <c r="AA15" i="2" a="1"/>
  <c r="AA68" i="2" a="1"/>
  <c r="AA21" i="2" a="1"/>
  <c r="AA74" i="2" a="1"/>
  <c r="C45" i="2" a="1"/>
  <c r="C59" i="2" a="1"/>
  <c r="C86" i="2" a="1"/>
  <c r="C17" i="2" a="1"/>
  <c r="J12" i="2" a="1"/>
  <c r="J22" i="2" a="1"/>
  <c r="J28" i="2" a="1"/>
  <c r="AB23" i="2" a="1"/>
  <c r="AB33" i="2" a="1"/>
  <c r="AB21" i="2" a="1"/>
  <c r="AB29" i="2" a="1"/>
  <c r="E25" i="2" a="1"/>
  <c r="E42" i="2" a="1"/>
  <c r="E27" i="2" a="1"/>
  <c r="E40" i="2" a="1"/>
  <c r="Q24" i="2" a="1"/>
  <c r="Q36" i="2" a="1"/>
  <c r="I45" i="2" a="1"/>
  <c r="I62" i="2" a="1"/>
  <c r="I44" i="2" a="1"/>
  <c r="I14" i="2" a="1"/>
  <c r="U12" i="2" a="1"/>
  <c r="U60" i="2" a="1"/>
  <c r="U55" i="2" a="1"/>
  <c r="AA11" i="2" a="1"/>
  <c r="AA94" i="2" a="1"/>
  <c r="AA58" i="2" a="1"/>
  <c r="AA13" i="2" a="1"/>
  <c r="C84" i="2" a="1"/>
  <c r="C75" i="2" a="1"/>
  <c r="C54" i="2" a="1"/>
  <c r="C62" i="2" a="1"/>
  <c r="J24" i="2" a="1"/>
  <c r="J56" i="2" a="1"/>
  <c r="J10" i="2" a="1"/>
  <c r="AB41" i="2" a="1"/>
  <c r="AB11" i="2" a="1"/>
  <c r="AB65" i="2" a="1"/>
  <c r="AB15" i="2" a="1"/>
  <c r="E33" i="2" a="1"/>
  <c r="E26" i="2" a="1"/>
  <c r="E7" i="2" a="1"/>
  <c r="E24" i="2" a="1"/>
  <c r="Q40" i="2" a="1"/>
  <c r="Q28" i="2" a="1"/>
  <c r="Q15" i="2" a="1"/>
  <c r="I59" i="2" a="1"/>
  <c r="I65" i="2" a="1"/>
  <c r="I78" i="2" a="1"/>
  <c r="U46" i="2" a="1"/>
  <c r="U63" i="2" a="1"/>
  <c r="U85" i="2" a="1"/>
  <c r="U14" i="2" a="1"/>
  <c r="AA43" i="2" a="1"/>
  <c r="AA63" i="2" a="1"/>
  <c r="AA71" i="2" a="1"/>
  <c r="AA9" i="2" a="1"/>
  <c r="C43" i="2" a="1"/>
  <c r="C44" i="2" a="1"/>
  <c r="C19" i="2" a="1"/>
  <c r="J34" i="2" a="1"/>
  <c r="J30" i="2" a="1"/>
  <c r="J18" i="2" a="1"/>
  <c r="J42" i="2" a="1"/>
  <c r="AB7" i="2" a="1"/>
  <c r="AB27" i="2" a="1"/>
  <c r="AB39" i="2" a="1"/>
  <c r="AB17" i="2" a="1"/>
  <c r="E23" i="2" a="1"/>
  <c r="E36" i="2" a="1"/>
  <c r="E9" i="2" a="1"/>
  <c r="Q21" i="2" a="1"/>
  <c r="I86" i="2" a="1"/>
  <c r="I84" i="2" a="1"/>
  <c r="I18" i="2" a="1"/>
  <c r="U84" i="2" a="1"/>
  <c r="U74" i="2" a="1"/>
  <c r="U49" i="2" a="1"/>
  <c r="U18" i="2" a="1"/>
  <c r="AA52" i="2" a="1"/>
  <c r="AA66" i="2" a="1"/>
  <c r="AA50" i="2" a="1"/>
  <c r="AA17" i="2" a="1"/>
  <c r="C15" i="2" a="1"/>
  <c r="C64" i="2" a="1"/>
  <c r="C67" i="2" a="1"/>
  <c r="J70" i="2" a="1"/>
  <c r="J14" i="2" a="1"/>
  <c r="J26" i="2" a="1"/>
  <c r="J16" i="2" a="1"/>
  <c r="AB49" i="2" a="1"/>
  <c r="AB31" i="2" a="1"/>
  <c r="AB55" i="2" a="1"/>
  <c r="AB19" i="2" a="1"/>
  <c r="E32" i="2" a="1"/>
  <c r="E17" i="2" a="1"/>
  <c r="E34" i="2" a="1"/>
  <c r="Q25" i="2" a="1"/>
  <c r="D11" i="2" a="1"/>
  <c r="P27" i="2" a="1"/>
  <c r="P41" i="2" a="1"/>
  <c r="W16" i="2" a="1"/>
  <c r="K8" i="2" a="1"/>
  <c r="W52" i="2" a="1"/>
  <c r="Q75" i="2" a="1"/>
  <c r="K56" i="2" a="1"/>
  <c r="K40" i="2" a="1"/>
  <c r="AC33" i="2" a="1"/>
  <c r="AC19" i="2" a="1"/>
  <c r="F59" i="2" a="1"/>
  <c r="AD16" i="2" a="1"/>
  <c r="AD71" i="2" a="1"/>
  <c r="R69" i="2" a="1"/>
  <c r="E41" i="2" a="1"/>
  <c r="E49" i="2" a="1"/>
  <c r="AC61" i="2" a="1"/>
  <c r="X70" i="2" a="1"/>
  <c r="X48" i="2" a="1"/>
  <c r="L66" i="2" a="1"/>
  <c r="S45" i="2" a="1"/>
  <c r="S73" i="2" a="1"/>
  <c r="S77" i="2" a="1"/>
  <c r="AE53" i="2" a="1"/>
  <c r="AE67" i="2" a="1"/>
  <c r="AE63" i="2" a="1"/>
  <c r="AE77" i="2" a="1"/>
  <c r="Y28" i="2" a="1"/>
  <c r="Y62" i="2" a="1"/>
  <c r="Y64" i="2" a="1"/>
  <c r="Y44" i="2" a="1"/>
  <c r="G67" i="2" a="1"/>
  <c r="G49" i="2" a="1"/>
  <c r="G69" i="2" a="1"/>
  <c r="H69" i="2" a="1"/>
  <c r="H75" i="2" a="1"/>
  <c r="Q9" i="2" a="1"/>
  <c r="P13" i="2" a="1"/>
  <c r="P29" i="2" a="1"/>
  <c r="K39" i="2" a="1"/>
  <c r="W36" i="2" a="1"/>
  <c r="K36" i="2" a="1"/>
  <c r="AC13" i="2" a="1"/>
  <c r="F71" i="2" a="1"/>
  <c r="R53" i="2" a="1"/>
  <c r="E84" i="2" a="1"/>
  <c r="X58" i="2" a="1"/>
  <c r="X60" i="2" a="1"/>
  <c r="S75" i="2" a="1"/>
  <c r="K60" i="2" a="1"/>
  <c r="R10" i="2" a="1"/>
  <c r="AC59" i="2" a="1"/>
  <c r="L44" i="2" a="1"/>
  <c r="S63" i="2" a="1"/>
  <c r="Y74" i="2" a="1"/>
  <c r="G53" i="2" a="1"/>
  <c r="R59" i="2" a="1"/>
  <c r="X54" i="2" a="1"/>
  <c r="AC51" i="2" a="1"/>
  <c r="S69" i="2" a="1"/>
  <c r="Y70" i="2" a="1"/>
  <c r="E51" i="2" a="1"/>
  <c r="S84" i="2" a="1"/>
  <c r="G40" i="2" a="1"/>
  <c r="S43" i="2" a="1"/>
  <c r="G61" i="2" a="1"/>
  <c r="AD67" i="2" a="1"/>
  <c r="AE65" i="2" a="1"/>
  <c r="Y42" i="2" a="1"/>
  <c r="G55" i="2" a="1"/>
  <c r="G45" i="2" a="1"/>
  <c r="H65" i="2" a="1"/>
  <c r="F43" i="2" a="1"/>
  <c r="E59" i="2" a="1"/>
  <c r="L76" i="2" a="1"/>
  <c r="E69" i="2" a="1"/>
  <c r="X52" i="2" a="1"/>
  <c r="S51" i="2" a="1"/>
  <c r="AE73" i="2" a="1"/>
  <c r="Y76" i="2" a="1"/>
  <c r="G75" i="2" a="1"/>
  <c r="H49" i="2" a="1"/>
  <c r="AD55" i="2" a="1"/>
  <c r="L85" i="2" a="1"/>
  <c r="AC53" i="2" a="1"/>
  <c r="X62" i="2" a="1"/>
  <c r="AE59" i="2" a="1"/>
  <c r="G47" i="2" a="1"/>
  <c r="E47" i="2" a="1"/>
  <c r="L50" i="2" a="1"/>
  <c r="AE55" i="2" a="1"/>
  <c r="H42" i="2" a="1"/>
  <c r="Q19" i="2" a="1"/>
  <c r="D25" i="2" a="1"/>
  <c r="P9" i="2" a="1"/>
  <c r="W31" i="2" a="1"/>
  <c r="W27" i="2" a="1"/>
  <c r="K18" i="2" a="1"/>
  <c r="W40" i="2" a="1"/>
  <c r="Q69" i="2" a="1"/>
  <c r="AC28" i="2" a="1"/>
  <c r="F51" i="2" a="1"/>
  <c r="F8" i="2" a="1"/>
  <c r="R75" i="2" a="1"/>
  <c r="E67" i="2" a="1"/>
  <c r="X17" i="2" a="1"/>
  <c r="S61" i="2" a="1"/>
  <c r="S47" i="2" a="1"/>
  <c r="AE57" i="2" a="1"/>
  <c r="AE69" i="2" a="1"/>
  <c r="Y58" i="2" a="1"/>
  <c r="H45" i="2" a="1"/>
  <c r="H47" i="2" a="1"/>
  <c r="AD84" i="2" a="1"/>
  <c r="AC35" i="2" a="1"/>
  <c r="X11" i="2" a="1"/>
  <c r="R57" i="2" a="1"/>
  <c r="L72" i="2" a="1"/>
  <c r="S67" i="2" a="1"/>
  <c r="AE71" i="2" a="1"/>
  <c r="W93" i="2" a="1"/>
  <c r="G77" i="2" a="1"/>
  <c r="H57" i="2" a="1"/>
  <c r="F53" i="2" a="1"/>
  <c r="L21" i="2" a="1"/>
  <c r="E55" i="2" a="1"/>
  <c r="S71" i="2" a="1"/>
  <c r="Y54" i="2" a="1"/>
  <c r="Y46" i="2" a="1"/>
  <c r="H86" i="2" a="1"/>
  <c r="X66" i="2" a="1"/>
  <c r="L54" i="2" a="1"/>
  <c r="Y50" i="2" a="1"/>
  <c r="H53" i="2" a="1"/>
  <c r="Q13" i="2" a="1"/>
  <c r="D86" i="2" a="1"/>
  <c r="P67" i="2" a="1"/>
  <c r="W35" i="2" a="1"/>
  <c r="W22" i="2" a="1"/>
  <c r="K29" i="2" a="1"/>
  <c r="W68" i="2" a="1"/>
  <c r="Q63" i="2" a="1"/>
  <c r="K50" i="2" a="1"/>
  <c r="K68" i="2" a="1"/>
  <c r="AC25" i="2" a="1"/>
  <c r="F75" i="2" a="1"/>
  <c r="E75" i="2" a="1"/>
  <c r="G27" i="2" a="1"/>
  <c r="H43" i="2" a="1"/>
  <c r="X78" i="2" a="1"/>
  <c r="AE41" i="2" a="1"/>
  <c r="L48" i="2" a="1"/>
  <c r="Y68" i="2" a="1"/>
  <c r="Q17" i="2" a="1"/>
  <c r="D53" i="2" a="1"/>
  <c r="P45" i="2" a="1"/>
  <c r="W12" i="2" a="1"/>
  <c r="K22" i="2" a="1"/>
  <c r="K12" i="2" a="1"/>
  <c r="Q65" i="2" a="1"/>
  <c r="Q49" i="2" a="1"/>
  <c r="K70" i="2" a="1"/>
  <c r="K54" i="2" a="1"/>
  <c r="AC11" i="2" a="1"/>
  <c r="F12" i="2" a="1"/>
  <c r="F65" i="2" a="1"/>
  <c r="AD63" i="2" a="1"/>
  <c r="R71" i="2" a="1"/>
  <c r="X56" i="2" a="1"/>
  <c r="S31" i="2" a="1"/>
  <c r="Y66" i="2" a="1"/>
  <c r="H73" i="2" a="1"/>
  <c r="AC57" i="2" a="1"/>
  <c r="AE43" i="2" a="1"/>
  <c r="H40" i="2" a="1"/>
  <c r="AE75" i="2" a="1"/>
  <c r="G29" i="2" a="1"/>
  <c r="Q34" i="2" a="1"/>
  <c r="D69" i="2" a="1"/>
  <c r="P21" i="2" a="1"/>
  <c r="W25" i="2" a="1"/>
  <c r="K30" i="2" a="1"/>
  <c r="K25" i="2" a="1"/>
  <c r="Q84" i="2" a="1"/>
  <c r="Q43" i="2" a="1"/>
  <c r="K52" i="2" a="1"/>
  <c r="K46" i="2" a="1"/>
  <c r="AC17" i="2" a="1"/>
  <c r="F22" i="2" a="1"/>
  <c r="F49" i="2" a="1"/>
  <c r="AD12" i="2" a="1"/>
  <c r="R22" i="2" a="1"/>
  <c r="R73" i="2" a="1"/>
  <c r="E45" i="2" a="1"/>
  <c r="AC69" i="2" a="1"/>
  <c r="AC47" i="2" a="1"/>
  <c r="X85" i="2" a="1"/>
  <c r="L58" i="2" a="1"/>
  <c r="L68" i="2" a="1"/>
  <c r="AE86" i="2" a="1"/>
  <c r="Y72" i="2" a="1"/>
  <c r="Y32" i="2" a="1"/>
  <c r="G57" i="2" a="1"/>
  <c r="H67" i="2" a="1"/>
  <c r="H59" i="2" a="1"/>
  <c r="R65" i="2" a="1"/>
  <c r="R49" i="2" a="1"/>
  <c r="L74" i="2" a="1"/>
  <c r="Y60" i="2" a="1"/>
  <c r="G71" i="2" a="1"/>
  <c r="AC65" i="2" a="1"/>
  <c r="X68" i="2" a="1"/>
  <c r="Y78" i="2" a="1"/>
  <c r="H63" i="2" a="1"/>
  <c r="Q33" i="2" a="1"/>
  <c r="D75" i="2" a="1"/>
  <c r="P11" i="2" a="1"/>
  <c r="W14" i="2" a="1"/>
  <c r="K28" i="2" a="1"/>
  <c r="K14" i="2" a="1"/>
  <c r="Q86" i="2" a="1"/>
  <c r="Q53" i="2" a="1"/>
  <c r="K64" i="2" a="1"/>
  <c r="K74" i="2" a="1"/>
  <c r="AC31" i="2" a="1"/>
  <c r="F61" i="2" a="1"/>
  <c r="F69" i="2" a="1"/>
  <c r="AD10" i="2" a="1"/>
  <c r="R45" i="2" a="1"/>
  <c r="R51" i="2" a="1"/>
  <c r="E77" i="2" a="1"/>
  <c r="AC73" i="2" a="1"/>
  <c r="AC45" i="2" a="1"/>
  <c r="X74" i="2" a="1"/>
  <c r="L17" i="2" a="1"/>
  <c r="L15" i="2" a="1"/>
  <c r="S53" i="2" a="1"/>
  <c r="S86" i="2" a="1"/>
  <c r="S57" i="2" a="1"/>
  <c r="S55" i="2" a="1"/>
  <c r="AE40" i="2" a="1"/>
  <c r="AE51" i="2" a="1"/>
  <c r="Y48" i="2" a="1"/>
  <c r="Y56" i="2" a="1"/>
  <c r="G65" i="2" a="1"/>
  <c r="G73" i="2" a="1"/>
  <c r="G86" i="2" a="1"/>
  <c r="H55" i="2" a="1"/>
  <c r="F77" i="2" a="1"/>
  <c r="R8" i="2" a="1"/>
  <c r="AC55" i="2" a="1"/>
  <c r="AE61" i="2" a="1"/>
  <c r="Y85" i="2" a="1"/>
  <c r="H8" i="2" a="1"/>
  <c r="L60" i="2" a="1"/>
  <c r="X76" i="2" a="1"/>
  <c r="AE84" i="2" a="1"/>
  <c r="D15" i="2" a="1"/>
  <c r="D41" i="2" a="1"/>
  <c r="P35" i="2" a="1"/>
  <c r="W39" i="2" a="1"/>
  <c r="K41" i="2" a="1"/>
  <c r="K34" i="2" a="1"/>
  <c r="Q51" i="2" a="1"/>
  <c r="W66" i="2" a="1"/>
  <c r="K62" i="2" a="1"/>
  <c r="AC34" i="2" a="1"/>
  <c r="AC36" i="2" a="1"/>
  <c r="R20" i="2" a="1"/>
  <c r="S59" i="2" a="1"/>
  <c r="Q31" i="2" a="1"/>
  <c r="D61" i="2" a="1"/>
  <c r="P17" i="2" a="1"/>
  <c r="W8" i="2" a="1"/>
  <c r="K21" i="2" a="1"/>
  <c r="W44" i="2" a="1"/>
  <c r="Q39" i="2" a="1"/>
  <c r="W74" i="2" a="1"/>
  <c r="K85" i="2" a="1"/>
  <c r="AC41" i="2" a="1"/>
  <c r="AC24" i="2" a="1"/>
  <c r="F63" i="2" a="1"/>
  <c r="AD59" i="2" a="1"/>
  <c r="AD75" i="2" a="1"/>
  <c r="S49" i="2" a="1"/>
  <c r="AE47" i="2" a="1"/>
  <c r="H61" i="2" a="1"/>
  <c r="D27" i="2" a="1"/>
  <c r="D35" i="2" a="1"/>
  <c r="P59" i="2" a="1"/>
  <c r="W18" i="2" a="1"/>
  <c r="K26" i="2" a="1"/>
  <c r="W72" i="2" a="1"/>
  <c r="Q45" i="2" a="1"/>
  <c r="W48" i="2" a="1"/>
  <c r="K72" i="2" a="1"/>
  <c r="AC15" i="2" a="1"/>
  <c r="AC32" i="2" a="1"/>
  <c r="F55" i="2" a="1"/>
  <c r="AD77" i="2" a="1"/>
  <c r="AD69" i="2" a="1"/>
  <c r="R63" i="2" a="1"/>
  <c r="J93" i="2" a="1"/>
  <c r="AC43" i="2" a="1"/>
  <c r="D39" i="2" a="1"/>
  <c r="D31" i="2" a="1"/>
  <c r="P25" i="2" a="1"/>
  <c r="W33" i="2" a="1"/>
  <c r="K31" i="2" a="1"/>
  <c r="Q57" i="2" a="1"/>
  <c r="Q47" i="2" a="1"/>
  <c r="W85" i="2" a="1"/>
  <c r="K44" i="2" a="1"/>
  <c r="AC29" i="2" a="1"/>
  <c r="AC7" i="2" a="1"/>
  <c r="F47" i="2" a="1"/>
  <c r="AD65" i="2" a="1"/>
  <c r="AD73" i="2" a="1"/>
  <c r="R77" i="2" a="1"/>
  <c r="E57" i="2" a="1"/>
  <c r="E63" i="2" a="1"/>
  <c r="AC63" i="2" a="1"/>
  <c r="Y52" i="2" a="1"/>
  <c r="D33" i="2" a="1"/>
  <c r="D21" i="2" a="1"/>
  <c r="P19" i="2" a="1"/>
  <c r="W10" i="2" a="1"/>
  <c r="K16" i="2" a="1"/>
  <c r="W76" i="2" a="1"/>
  <c r="Q73" i="2" a="1"/>
  <c r="W70" i="2" a="1"/>
  <c r="K78" i="2" a="1"/>
  <c r="AC27" i="2" a="1"/>
  <c r="AC21" i="2" a="1"/>
  <c r="F14" i="2" a="1"/>
  <c r="AD47" i="2" a="1"/>
  <c r="AD49" i="2" a="1"/>
  <c r="R47" i="2" a="1"/>
  <c r="E39" i="2" a="1"/>
  <c r="E43" i="2" a="1"/>
  <c r="AC67" i="2" a="1"/>
  <c r="X72" i="2" a="1"/>
  <c r="X13" i="2" a="1"/>
  <c r="L64" i="2" a="1"/>
  <c r="K93" i="2" a="1"/>
  <c r="H51" i="2" a="1"/>
  <c r="H71" i="2" a="1"/>
  <c r="D19" i="2" a="1"/>
  <c r="W28" i="2" a="1"/>
  <c r="Q71" i="2" a="1"/>
  <c r="K58" i="2" a="1"/>
  <c r="I93" i="2" a="1"/>
  <c r="AD53" i="2" a="1"/>
  <c r="E53" i="2" a="1"/>
  <c r="AC86" i="2" a="1"/>
  <c r="L56" i="2" a="1"/>
  <c r="K66" i="2" a="1"/>
  <c r="AD14" i="2" a="1"/>
  <c r="E73" i="2" a="1"/>
  <c r="X9" i="2" a="1"/>
  <c r="S65" i="2" a="1"/>
  <c r="AE45" i="2" a="1"/>
  <c r="G59" i="2" a="1"/>
  <c r="H84" i="2" a="1"/>
  <c r="R61" i="2" a="1"/>
  <c r="AC84" i="2" a="1"/>
  <c r="AE49" i="2" a="1"/>
  <c r="G51" i="2" a="1"/>
  <c r="AC71" i="2" a="1"/>
  <c r="L78" i="2" a="1"/>
  <c r="G43" i="2" a="1"/>
  <c r="S41" i="2" a="1"/>
  <c r="G63" i="2" a="1"/>
  <c r="X93" i="2" a="1"/>
  <c r="N41" i="2" a="1"/>
  <c r="N85" i="2" a="1"/>
  <c r="N74" i="2" a="1"/>
  <c r="T75" i="2" a="1"/>
  <c r="T57" i="2" a="1"/>
  <c r="T84" i="2" a="1"/>
  <c r="T47" i="2" a="1"/>
  <c r="M74" i="2" a="1"/>
  <c r="M48" i="2" a="1"/>
  <c r="M85" i="2" a="1"/>
  <c r="M44" i="2" a="1"/>
  <c r="I61" i="2" a="1"/>
  <c r="I28" i="2" a="1"/>
  <c r="I69" i="2" a="1"/>
  <c r="C35" i="2" a="1"/>
  <c r="C41" i="2" a="1"/>
  <c r="C53" i="2" a="1"/>
  <c r="C29" i="2" a="1"/>
  <c r="Z58" i="2" a="1"/>
  <c r="Z48" i="2" a="1"/>
  <c r="Z46" i="2" a="1"/>
  <c r="Z64" i="2" a="1"/>
  <c r="AF61" i="2" a="1"/>
  <c r="AF43" i="2" a="1"/>
  <c r="AF75" i="2" a="1"/>
  <c r="AA33" i="2" a="1"/>
  <c r="AA31" i="2" a="1"/>
  <c r="AA65" i="2" a="1"/>
  <c r="AA35" i="2" a="1"/>
  <c r="O39" i="2" a="1"/>
  <c r="O29" i="2" a="1"/>
  <c r="O21" i="2" a="1"/>
  <c r="O35" i="2" a="1"/>
  <c r="C88" i="2" a="1"/>
  <c r="U54" i="2" a="1"/>
  <c r="U51" i="2" a="1"/>
  <c r="U94" i="2" a="1"/>
  <c r="U24" i="2" a="1"/>
  <c r="U88" i="2" a="1"/>
  <c r="U87" i="2" a="1"/>
  <c r="I95" i="2" a="1"/>
  <c r="P44" i="2" a="1"/>
  <c r="P50" i="2" a="1"/>
  <c r="P58" i="2" a="1"/>
  <c r="P78" i="2" a="1"/>
  <c r="O91" i="2" a="1"/>
  <c r="AB74" i="2" a="1"/>
  <c r="AB50" i="2" a="1"/>
  <c r="AB62" i="2" a="1"/>
  <c r="AB72" i="2" a="1"/>
  <c r="Q78" i="2" a="1"/>
  <c r="Q66" i="2" a="1"/>
  <c r="Q70" i="2" a="1"/>
  <c r="Q62" i="2" a="1"/>
  <c r="D77" i="2" a="1"/>
  <c r="D70" i="2" a="1"/>
  <c r="D58" i="2" a="1"/>
  <c r="V57" i="2" a="1"/>
  <c r="V51" i="2" a="1"/>
  <c r="V47" i="2" a="1"/>
  <c r="AA91" i="2" a="1"/>
  <c r="O95" i="2" a="1"/>
  <c r="AB89" i="2" a="1"/>
  <c r="Q48" i="2" a="1"/>
  <c r="V43" i="2" a="1"/>
  <c r="AA87" i="2" a="1"/>
  <c r="C89" i="2" a="1"/>
  <c r="Z42" i="2" a="1"/>
  <c r="AF57" i="2" a="1"/>
  <c r="AA54" i="2" a="1"/>
  <c r="C83" i="2" a="1"/>
  <c r="U70" i="2" a="1"/>
  <c r="I90" i="2" a="1"/>
  <c r="O82" i="2" a="1"/>
  <c r="AB64" i="2" a="1"/>
  <c r="Q94" i="2" a="1"/>
  <c r="D54" i="2" a="1"/>
  <c r="V65" i="2" a="1"/>
  <c r="D68" i="2" a="1"/>
  <c r="V53" i="2" a="1"/>
  <c r="AB46" i="2" a="1"/>
  <c r="D66" i="2" a="1"/>
  <c r="V75" i="2" a="1"/>
  <c r="Y93" i="2" a="1"/>
  <c r="P75" i="2" a="1"/>
  <c r="Q76" i="2" a="1"/>
  <c r="V49" i="2" a="1"/>
  <c r="P46" i="2" a="1"/>
  <c r="AB78" i="2" a="1"/>
  <c r="Q52" i="2" a="1"/>
  <c r="D7" i="2" a="1"/>
  <c r="V94" i="2" a="1"/>
  <c r="C21" i="2" a="1"/>
  <c r="AF84" i="2" a="1"/>
  <c r="AA46" i="2" a="1"/>
  <c r="O56" i="2" a="1"/>
  <c r="U30" i="2" a="1"/>
  <c r="P72" i="2" a="1"/>
  <c r="AB56" i="2" a="1"/>
  <c r="D46" i="2" a="1"/>
  <c r="V69" i="2" a="1"/>
  <c r="V77" i="2" a="1"/>
  <c r="P74" i="2" a="1"/>
  <c r="Q46" i="2" a="1"/>
  <c r="O44" i="2" a="1"/>
  <c r="AB48" i="2" a="1"/>
  <c r="D89" i="2" a="1"/>
  <c r="N68" i="2" a="1"/>
  <c r="N62" i="2" a="1"/>
  <c r="N7" i="2" a="1"/>
  <c r="N52" i="2" a="1"/>
  <c r="T71" i="2" a="1"/>
  <c r="T45" i="2" a="1"/>
  <c r="T53" i="2" a="1"/>
  <c r="T49" i="2" a="1"/>
  <c r="M68" i="2" a="1"/>
  <c r="M52" i="2" a="1"/>
  <c r="M58" i="2" a="1"/>
  <c r="M50" i="2" a="1"/>
  <c r="I94" i="2" a="1"/>
  <c r="I77" i="2" a="1"/>
  <c r="I26" i="2" a="1"/>
  <c r="C39" i="2" a="1"/>
  <c r="C27" i="2" a="1"/>
  <c r="C33" i="2" a="1"/>
  <c r="C7" i="2" a="1"/>
  <c r="Z62" i="2" a="1"/>
  <c r="Z60" i="2" a="1"/>
  <c r="Z44" i="2" a="1"/>
  <c r="Z54" i="2" a="1"/>
  <c r="AF59" i="2" a="1"/>
  <c r="AF73" i="2" a="1"/>
  <c r="AF63" i="2" a="1"/>
  <c r="AA23" i="2" a="1"/>
  <c r="AA57" i="2" a="1"/>
  <c r="AA27" i="2" a="1"/>
  <c r="AA29" i="2" a="1"/>
  <c r="O72" i="2" a="1"/>
  <c r="O59" i="2" a="1"/>
  <c r="O41" i="2" a="1"/>
  <c r="O48" i="2" a="1"/>
  <c r="C95" i="2" a="1"/>
  <c r="U86" i="2" a="1"/>
  <c r="U78" i="2" a="1"/>
  <c r="U16" i="2" a="1"/>
  <c r="U59" i="2" a="1"/>
  <c r="U90" i="2" a="1"/>
  <c r="I83" i="2" a="1"/>
  <c r="I92" i="2" a="1"/>
  <c r="P52" i="2" a="1"/>
  <c r="P48" i="2" a="1"/>
  <c r="C93" i="2" a="1"/>
  <c r="AB44" i="2" a="1"/>
  <c r="Q72" i="2" a="1"/>
  <c r="D56" i="2" a="1"/>
  <c r="V67" i="2" a="1"/>
  <c r="C31" i="2" a="1"/>
  <c r="Z68" i="2" a="1"/>
  <c r="AF69" i="2" a="1"/>
  <c r="AA39" i="2" a="1"/>
  <c r="U26" i="2" a="1"/>
  <c r="P54" i="2" a="1"/>
  <c r="AB54" i="2" a="1"/>
  <c r="D78" i="2" a="1"/>
  <c r="AA90" i="2" a="1"/>
  <c r="V86" i="2" a="1"/>
  <c r="P64" i="2" a="1"/>
  <c r="Q74" i="2" a="1"/>
  <c r="AA83" i="2" a="1"/>
  <c r="U92" i="2" a="1"/>
  <c r="P68" i="2" a="1"/>
  <c r="Q85" i="2" a="1"/>
  <c r="V55" i="2" a="1"/>
  <c r="I40" i="2" a="1"/>
  <c r="O64" i="2" a="1"/>
  <c r="O92" i="2" a="1"/>
  <c r="V84" i="2" a="1"/>
  <c r="O83" i="2" a="1"/>
  <c r="AA82" i="2" a="1"/>
  <c r="AB84" i="2" a="1"/>
  <c r="V63" i="2" a="1"/>
  <c r="N60" i="2" a="1"/>
  <c r="N42" i="2" a="1"/>
  <c r="N70" i="2" a="1"/>
  <c r="N50" i="2" a="1"/>
  <c r="T61" i="2" a="1"/>
  <c r="T73" i="2" a="1"/>
  <c r="T51" i="2" a="1"/>
  <c r="T36" i="2" a="1"/>
  <c r="M28" i="2" a="1"/>
  <c r="M34" i="2" a="1"/>
  <c r="M46" i="2" a="1"/>
  <c r="I36" i="2" a="1"/>
  <c r="I56" i="2" a="1"/>
  <c r="C77" i="2" a="1"/>
  <c r="AF49" i="2" a="1"/>
  <c r="O86" i="2" a="1"/>
  <c r="I82" i="2" a="1"/>
  <c r="Q64" i="2" a="1"/>
  <c r="P66" i="2" a="1"/>
  <c r="V59" i="2" a="1"/>
  <c r="AB58" i="2" a="1"/>
  <c r="AA92" i="2" a="1"/>
  <c r="Z66" i="2" a="1"/>
  <c r="AF65" i="2" a="1"/>
  <c r="AA70" i="2" a="1"/>
  <c r="AA78" i="2" a="1"/>
  <c r="O23" i="2" a="1"/>
  <c r="C92" i="2" a="1"/>
  <c r="U32" i="2" a="1"/>
  <c r="U40" i="2" a="1"/>
  <c r="P56" i="2" a="1"/>
  <c r="P85" i="2" a="1"/>
  <c r="O87" i="2" a="1"/>
  <c r="AB52" i="2" a="1"/>
  <c r="AB73" i="2" a="1"/>
  <c r="Q56" i="2" a="1"/>
  <c r="D50" i="2" a="1"/>
  <c r="AA88" i="2" a="1"/>
  <c r="Q58" i="2" a="1"/>
  <c r="D62" i="2" a="1"/>
  <c r="U67" i="2" a="1"/>
  <c r="O90" i="2" a="1"/>
  <c r="D76" i="2" a="1"/>
  <c r="N58" i="2" a="1"/>
  <c r="N76" i="2" a="1"/>
  <c r="N64" i="2" a="1"/>
  <c r="N48" i="2" a="1"/>
  <c r="T43" i="2" a="1"/>
  <c r="T63" i="2" a="1"/>
  <c r="T69" i="2" a="1"/>
  <c r="T77" i="2" a="1"/>
  <c r="M60" i="2" a="1"/>
  <c r="M54" i="2" a="1"/>
  <c r="M56" i="2" a="1"/>
  <c r="I20" i="2" a="1"/>
  <c r="I48" i="2" a="1"/>
  <c r="I8" i="2" a="1"/>
  <c r="I34" i="2" a="1"/>
  <c r="C9" i="2" a="1"/>
  <c r="C85" i="2" a="1"/>
  <c r="C61" i="2" a="1"/>
  <c r="C58" i="2" a="1"/>
  <c r="Z76" i="2" a="1"/>
  <c r="Z74" i="2" a="1"/>
  <c r="AF40" i="2" a="1"/>
  <c r="AF45" i="2" a="1"/>
  <c r="AF55" i="2" a="1"/>
  <c r="AA41" i="2" a="1"/>
  <c r="AA62" i="2" a="1"/>
  <c r="O67" i="2" a="1"/>
  <c r="O33" i="2" a="1"/>
  <c r="C91" i="2" a="1"/>
  <c r="U45" i="2" a="1"/>
  <c r="U28" i="2" a="1"/>
  <c r="U95" i="2" a="1"/>
  <c r="I87" i="2" a="1"/>
  <c r="P60" i="2" a="1"/>
  <c r="P89" i="2" a="1"/>
  <c r="O88" i="2" a="1"/>
  <c r="AB85" i="2" a="1"/>
  <c r="AB66" i="2" a="1"/>
  <c r="Q44" i="2" a="1"/>
  <c r="Q42" i="2" a="1"/>
  <c r="D74" i="2" a="1"/>
  <c r="N93" i="2" a="1"/>
  <c r="D44" i="2" a="1"/>
  <c r="U62" i="2" a="1"/>
  <c r="O93" i="2" a="1"/>
  <c r="Q60" i="2" a="1"/>
  <c r="Z56" i="2" a="1"/>
  <c r="AF36" i="2" a="1"/>
  <c r="AA25" i="2" a="1"/>
  <c r="M93" i="2" a="1"/>
  <c r="O25" i="2" a="1"/>
  <c r="C87" i="2" a="1"/>
  <c r="U34" i="2" a="1"/>
  <c r="U22" i="2" a="1"/>
  <c r="Z93" i="2" a="1"/>
  <c r="I91" i="2" a="1"/>
  <c r="AB68" i="2" a="1"/>
  <c r="I88" i="2" a="1"/>
  <c r="N56" i="2" a="1"/>
  <c r="N78" i="2" a="1"/>
  <c r="N46" i="2" a="1"/>
  <c r="N72" i="2" a="1"/>
  <c r="T59" i="2" a="1"/>
  <c r="T86" i="2" a="1"/>
  <c r="T67" i="2" a="1"/>
  <c r="M64" i="2" a="1"/>
  <c r="M66" i="2" a="1"/>
  <c r="M78" i="2" a="1"/>
  <c r="M70" i="2" a="1"/>
  <c r="I32" i="2" a="1"/>
  <c r="I22" i="2" a="1"/>
  <c r="I24" i="2" a="1"/>
  <c r="I53" i="2" a="1"/>
  <c r="C25" i="2" a="1"/>
  <c r="C23" i="2" a="1"/>
  <c r="C50" i="2" a="1"/>
  <c r="Z41" i="2" a="1"/>
  <c r="Z70" i="2" a="1"/>
  <c r="Z7" i="2" a="1"/>
  <c r="AF71" i="2" a="1"/>
  <c r="AF53" i="2" a="1"/>
  <c r="AF77" i="2" a="1"/>
  <c r="AA73" i="2" a="1"/>
  <c r="AA84" i="2" a="1"/>
  <c r="O27" i="2" a="1"/>
  <c r="O51" i="2" a="1"/>
  <c r="C82" i="2" a="1"/>
  <c r="U36" i="2" a="1"/>
  <c r="U82" i="2" a="1"/>
  <c r="P76" i="2" a="1"/>
  <c r="Q68" i="2" a="1"/>
  <c r="P43" i="2" a="1"/>
  <c r="I43" i="2" a="1"/>
  <c r="Z89" i="2" a="1"/>
  <c r="Z78" i="2" a="1"/>
  <c r="AF67" i="2" a="1"/>
  <c r="AF47" i="2" a="1"/>
  <c r="AA49" i="2" a="1"/>
  <c r="O75" i="2" a="1"/>
  <c r="O31" i="2" a="1"/>
  <c r="U83" i="2" a="1"/>
  <c r="D52" i="2" a="1"/>
  <c r="N44" i="2" a="1"/>
  <c r="N54" i="2" a="1"/>
  <c r="N66" i="2" a="1"/>
  <c r="L93" i="2" a="1"/>
  <c r="T65" i="2" a="1"/>
  <c r="T40" i="2" a="1"/>
  <c r="T55" i="2" a="1"/>
  <c r="M42" i="2" a="1"/>
  <c r="M62" i="2" a="1"/>
  <c r="M72" i="2" a="1"/>
  <c r="M76" i="2" a="1"/>
  <c r="I64" i="2" a="1"/>
  <c r="I72" i="2" a="1"/>
  <c r="I30" i="2" a="1"/>
  <c r="C66" i="2" a="1"/>
  <c r="C74" i="2" a="1"/>
  <c r="C69" i="2" a="1"/>
  <c r="Z52" i="2" a="1"/>
  <c r="Z72" i="2" a="1"/>
  <c r="AF51" i="2" a="1"/>
  <c r="AF86" i="2" a="1"/>
  <c r="AA7" i="2" a="1"/>
  <c r="AA89" i="2" a="1"/>
  <c r="O89" i="2" a="1"/>
  <c r="U20" i="2" a="1"/>
  <c r="D85" i="2" a="1"/>
  <c r="V73" i="2" a="1"/>
  <c r="AB76" i="2" a="1"/>
  <c r="Q54" i="2" a="1"/>
  <c r="D64" i="2" a="1"/>
  <c r="V45" i="2" a="1"/>
  <c r="I42" i="2" a="1"/>
  <c r="Z50" i="2" a="1"/>
  <c r="AA19" i="2" a="1"/>
  <c r="O9" i="2" a="1"/>
  <c r="U75" i="2" a="1"/>
  <c r="U91" i="2" a="1"/>
  <c r="P62" i="2" a="1"/>
  <c r="AB70" i="2" a="1"/>
  <c r="Q89" i="2" a="1"/>
  <c r="D72" i="2" a="1"/>
  <c r="V71" i="2" a="1"/>
  <c r="D60" i="2" a="1"/>
  <c r="V61" i="2" a="1"/>
  <c r="AB60" i="2" a="1"/>
  <c r="D48" i="2" a="1"/>
  <c r="V78" i="2" a="1"/>
  <c r="C90" i="2" a="1"/>
  <c r="P70" i="2" a="1"/>
  <c r="Q50" i="2" a="1"/>
  <c r="AA95" i="2" a="1"/>
  <c r="AA93" i="2" a="1"/>
  <c r="AC70" i="2" a="1"/>
  <c r="AC62" i="2" a="1"/>
  <c r="AC52" i="2" a="1"/>
  <c r="J57" i="2" a="1"/>
  <c r="J61" i="2" a="1"/>
  <c r="J86" i="2" a="1"/>
  <c r="J73" i="2" a="1"/>
  <c r="E46" i="2" a="1"/>
  <c r="E78" i="2" a="1"/>
  <c r="E62" i="2" a="1"/>
  <c r="E52" i="2" a="1"/>
  <c r="E72" i="2" a="1"/>
  <c r="W95" i="2" a="1"/>
  <c r="AB82" i="2" a="1"/>
  <c r="AB88" i="2" a="1"/>
  <c r="V88" i="2" a="1"/>
  <c r="J88" i="2" a="1"/>
  <c r="D91" i="2" a="1"/>
  <c r="D82" i="2" a="1"/>
  <c r="AD78" i="2" a="1"/>
  <c r="AD50" i="2" a="1"/>
  <c r="AD54" i="2" a="1"/>
  <c r="AD56" i="2" a="1"/>
  <c r="F62" i="2" a="1"/>
  <c r="F68" i="2" a="1"/>
  <c r="F50" i="2" a="1"/>
  <c r="K91" i="2" a="1"/>
  <c r="K88" i="2" a="1"/>
  <c r="AC82" i="2" a="1"/>
  <c r="E83" i="2" a="1"/>
  <c r="E87" i="2" a="1"/>
  <c r="Q90" i="2" a="1"/>
  <c r="W43" i="2" a="1"/>
  <c r="W55" i="2" a="1"/>
  <c r="W59" i="2" a="1"/>
  <c r="W67" i="2" a="1"/>
  <c r="K59" i="2" a="1"/>
  <c r="R44" i="2" a="1"/>
  <c r="R54" i="2" a="1"/>
  <c r="R66" i="2" a="1"/>
  <c r="R94" i="2" a="1"/>
  <c r="R64" i="2" a="1"/>
  <c r="R60" i="2" a="1"/>
  <c r="R87" i="2" a="1"/>
  <c r="AC93" i="2" a="1"/>
  <c r="E85" i="2" a="1"/>
  <c r="K89" i="2" a="1"/>
  <c r="R76" i="2" a="1"/>
  <c r="R72" i="2" a="1"/>
  <c r="E50" i="2" a="1"/>
  <c r="AD64" i="2" a="1"/>
  <c r="Q88" i="2" a="1"/>
  <c r="R70" i="2" a="1"/>
  <c r="J94" i="2" a="1"/>
  <c r="P95" i="2" a="1"/>
  <c r="J95" i="2" a="1"/>
  <c r="F89" i="2" a="1"/>
  <c r="E82" i="2" a="1"/>
  <c r="R89" i="2" a="1"/>
  <c r="AC44" i="2" a="1"/>
  <c r="AC48" i="2" a="1"/>
  <c r="AC78" i="2" a="1"/>
  <c r="AC76" i="2" a="1"/>
  <c r="J47" i="2" a="1"/>
  <c r="J51" i="2" a="1"/>
  <c r="J43" i="2" a="1"/>
  <c r="J67" i="2" a="1"/>
  <c r="E74" i="2" a="1"/>
  <c r="P90" i="2" a="1"/>
  <c r="E60" i="2" a="1"/>
  <c r="E44" i="2" a="1"/>
  <c r="P82" i="2" a="1"/>
  <c r="W83" i="2" a="1"/>
  <c r="AB95" i="2" a="1"/>
  <c r="AB87" i="2" a="1"/>
  <c r="V95" i="2" a="1"/>
  <c r="J83" i="2" a="1"/>
  <c r="D95" i="2" a="1"/>
  <c r="D87" i="2" a="1"/>
  <c r="AD62" i="2" a="1"/>
  <c r="AD68" i="2" a="1"/>
  <c r="AD58" i="2" a="1"/>
  <c r="AD52" i="2" a="1"/>
  <c r="F94" i="2" a="1"/>
  <c r="F64" i="2" a="1"/>
  <c r="F86" i="2" a="1"/>
  <c r="K87" i="2" a="1"/>
  <c r="K90" i="2" a="1"/>
  <c r="AC87" i="2" a="1"/>
  <c r="E92" i="2" a="1"/>
  <c r="E90" i="2" a="1"/>
  <c r="Q95" i="2" a="1"/>
  <c r="W84" i="2" a="1"/>
  <c r="W47" i="2" a="1"/>
  <c r="W94" i="2" a="1"/>
  <c r="W51" i="2" a="1"/>
  <c r="K67" i="2" a="1"/>
  <c r="K73" i="2" a="1"/>
  <c r="R58" i="2" a="1"/>
  <c r="R62" i="2" a="1"/>
  <c r="R85" i="2" a="1"/>
  <c r="R82" i="2" a="1"/>
  <c r="R92" i="2" a="1"/>
  <c r="R52" i="2" a="1"/>
  <c r="P87" i="2" a="1"/>
  <c r="F60" i="2" a="1"/>
  <c r="K92" i="2" a="1"/>
  <c r="W57" i="2" a="1"/>
  <c r="K75" i="2" a="1"/>
  <c r="R91" i="2" a="1"/>
  <c r="AC94" i="2" a="1"/>
  <c r="V91" i="2" a="1"/>
  <c r="AD70" i="2" a="1"/>
  <c r="F72" i="2" a="1"/>
  <c r="W71" i="2" a="1"/>
  <c r="K77" i="2" a="1"/>
  <c r="W65" i="2" a="1"/>
  <c r="K53" i="2" a="1"/>
  <c r="R68" i="2" a="1"/>
  <c r="K86" i="2" a="1"/>
  <c r="K51" i="2" a="1"/>
  <c r="R50" i="2" a="1"/>
  <c r="P91" i="2" a="1"/>
  <c r="AD89" i="2" a="1"/>
  <c r="E88" i="2" a="1"/>
  <c r="K84" i="2" a="1"/>
  <c r="R90" i="2" a="1"/>
  <c r="AC50" i="2" a="1"/>
  <c r="AB92" i="2" a="1"/>
  <c r="AD60" i="2" a="1"/>
  <c r="AC88" i="2" a="1"/>
  <c r="W61" i="2" a="1"/>
  <c r="R84" i="2" a="1"/>
  <c r="AC64" i="2" a="1"/>
  <c r="AC74" i="2" a="1"/>
  <c r="AC89" i="2" a="1"/>
  <c r="AC46" i="2" a="1"/>
  <c r="J75" i="2" a="1"/>
  <c r="J53" i="2" a="1"/>
  <c r="J84" i="2" a="1"/>
  <c r="J59" i="2" a="1"/>
  <c r="E86" i="2" a="1"/>
  <c r="E64" i="2" a="1"/>
  <c r="P83" i="2" a="1"/>
  <c r="E68" i="2" a="1"/>
  <c r="E56" i="2" a="1"/>
  <c r="W90" i="2" a="1"/>
  <c r="AB83" i="2" a="1"/>
  <c r="V82" i="2" a="1"/>
  <c r="V90" i="2" a="1"/>
  <c r="J90" i="2" a="1"/>
  <c r="D88" i="2" a="1"/>
  <c r="AB93" i="2" a="1"/>
  <c r="AD94" i="2" a="1"/>
  <c r="AD44" i="2" a="1"/>
  <c r="AD85" i="2" a="1"/>
  <c r="F70" i="2" a="1"/>
  <c r="F48" i="2" a="1"/>
  <c r="F76" i="2" a="1"/>
  <c r="F52" i="2" a="1"/>
  <c r="K83" i="2" a="1"/>
  <c r="AC90" i="2" a="1"/>
  <c r="AC95" i="2" a="1"/>
  <c r="E95" i="2" a="1"/>
  <c r="Q87" i="2" a="1"/>
  <c r="Q82" i="2" a="1"/>
  <c r="W77" i="2" a="1"/>
  <c r="W69" i="2" a="1"/>
  <c r="K57" i="2" a="1"/>
  <c r="R78" i="2" a="1"/>
  <c r="K55" i="2" a="1"/>
  <c r="K43" i="2" a="1"/>
  <c r="K94" i="2" a="1"/>
  <c r="R88" i="2" a="1"/>
  <c r="W92" i="2" a="1"/>
  <c r="D92" i="2" a="1"/>
  <c r="F46" i="2" a="1"/>
  <c r="R93" i="2" a="1"/>
  <c r="K71" i="2" a="1"/>
  <c r="R56" i="2" a="1"/>
  <c r="J65" i="2" a="1"/>
  <c r="W88" i="2" a="1"/>
  <c r="AD66" i="2" a="1"/>
  <c r="F85" i="2" a="1"/>
  <c r="E93" i="2" a="1"/>
  <c r="K63" i="2" a="1"/>
  <c r="R95" i="2" a="1"/>
  <c r="AC91" i="2" a="1"/>
  <c r="Q83" i="2" a="1"/>
  <c r="W45" i="2" a="1"/>
  <c r="W86" i="2" a="1"/>
  <c r="K45" i="2" a="1"/>
  <c r="R46" i="2" a="1"/>
  <c r="W91" i="2" a="1"/>
  <c r="AD72" i="2" a="1"/>
  <c r="F58" i="2" a="1"/>
  <c r="W63" i="2" a="1"/>
  <c r="R74" i="2" a="1"/>
  <c r="P93" i="2" a="1"/>
  <c r="W87" i="2" a="1"/>
  <c r="D83" i="2" a="1"/>
  <c r="K82" i="2" a="1"/>
  <c r="W75" i="2" a="1"/>
  <c r="K65" i="2" a="1"/>
  <c r="AC54" i="2" a="1"/>
  <c r="AC85" i="2" a="1"/>
  <c r="AC58" i="2" a="1"/>
  <c r="AC72" i="2" a="1"/>
  <c r="J71" i="2" a="1"/>
  <c r="J55" i="2" a="1"/>
  <c r="J72" i="2" a="1"/>
  <c r="J69" i="2" a="1"/>
  <c r="E70" i="2" a="1"/>
  <c r="P88" i="2" a="1"/>
  <c r="E66" i="2" a="1"/>
  <c r="E94" i="2" a="1"/>
  <c r="P92" i="2" a="1"/>
  <c r="W82" i="2" a="1"/>
  <c r="AB91" i="2" a="1"/>
  <c r="V92" i="2" a="1"/>
  <c r="V83" i="2" a="1"/>
  <c r="J92" i="2" a="1"/>
  <c r="D90" i="2" a="1"/>
  <c r="D93" i="2" a="1"/>
  <c r="AD42" i="2" a="1"/>
  <c r="AD46" i="2" a="1"/>
  <c r="AD76" i="2" a="1"/>
  <c r="F78" i="2" a="1"/>
  <c r="F74" i="2" a="1"/>
  <c r="F56" i="2" a="1"/>
  <c r="F44" i="2" a="1"/>
  <c r="K95" i="2" a="1"/>
  <c r="AC83" i="2" a="1"/>
  <c r="E91" i="2" a="1"/>
  <c r="Q91" i="2" a="1"/>
  <c r="W49" i="2" a="1"/>
  <c r="K69" i="2" a="1"/>
  <c r="R48" i="2" a="1"/>
  <c r="J87" i="2" a="1"/>
  <c r="W73" i="2" a="1"/>
  <c r="AC56" i="2" a="1"/>
  <c r="K47" i="2" a="1"/>
  <c r="AC42" i="2" a="1"/>
  <c r="J77" i="2" a="1"/>
  <c r="J63" i="2" a="1"/>
  <c r="E76" i="2" a="1"/>
  <c r="AB90" i="2" a="1"/>
  <c r="J82" i="2" a="1"/>
  <c r="AD74" i="2" a="1"/>
  <c r="F66" i="2" a="1"/>
  <c r="W89" i="2" a="1"/>
  <c r="K49" i="2" a="1"/>
  <c r="J45" i="2" a="1"/>
  <c r="E48" i="2" a="1"/>
  <c r="J91" i="2" a="1"/>
  <c r="AD48" i="2" a="1"/>
  <c r="F54" i="2" a="1"/>
  <c r="Q92" i="2" a="1"/>
  <c r="K61" i="2" a="1"/>
  <c r="R83" i="2" a="1"/>
  <c r="AC60" i="2" a="1"/>
  <c r="AC66" i="2" a="1"/>
  <c r="AC68" i="2" a="1"/>
  <c r="J49" i="2" a="1"/>
  <c r="E89" i="2" a="1"/>
  <c r="V87" i="2" a="1"/>
  <c r="AC92" i="2" a="1"/>
  <c r="E54" i="2" a="1"/>
  <c r="E58" i="2" a="1"/>
  <c r="W53" i="2" a="1"/>
  <c r="Q93" i="2" a="1"/>
  <c r="L95" i="2" a="1"/>
  <c r="X90" i="2" a="1"/>
  <c r="Y49" i="2" a="1"/>
  <c r="Y61" i="2" a="1"/>
  <c r="Y73" i="2" a="1"/>
  <c r="Y65" i="2" a="1"/>
  <c r="AE56" i="2" a="1"/>
  <c r="AE46" i="2" a="1"/>
  <c r="AE44" i="2" a="1"/>
  <c r="AE64" i="2" a="1"/>
  <c r="G78" i="2" a="1"/>
  <c r="G94" i="2" a="1"/>
  <c r="G48" i="2" a="1"/>
  <c r="T60" i="2" a="1"/>
  <c r="T50" i="2" a="1"/>
  <c r="T78" i="2" a="1"/>
  <c r="T74" i="2" a="1"/>
  <c r="L84" i="2" a="1"/>
  <c r="T58" i="2" a="1"/>
  <c r="L73" i="2" a="1"/>
  <c r="L77" i="2" a="1"/>
  <c r="X69" i="2" a="1"/>
  <c r="X77" i="2" a="1"/>
  <c r="X53" i="2" a="1"/>
  <c r="AD95" i="2" a="1"/>
  <c r="AD92" i="2" a="1"/>
  <c r="M92" i="2" a="1"/>
  <c r="T88" i="2" a="1"/>
  <c r="H90" i="2" a="1"/>
  <c r="H88" i="2" a="1"/>
  <c r="F92" i="2" a="1"/>
  <c r="N95" i="2" a="1"/>
  <c r="M82" i="2" a="1"/>
  <c r="H87" i="2" a="1"/>
  <c r="F83" i="2" a="1"/>
  <c r="X49" i="2" a="1"/>
  <c r="H91" i="2" a="1"/>
  <c r="H95" i="2" a="1"/>
  <c r="N87" i="2" a="1"/>
  <c r="L43" i="2" a="1"/>
  <c r="X63" i="2" a="1"/>
  <c r="L86" i="2" a="1"/>
  <c r="AD83" i="2" a="1"/>
  <c r="AD90" i="2" a="1"/>
  <c r="AE93" i="2" a="1"/>
  <c r="F87" i="2" a="1"/>
  <c r="T91" i="2" a="1"/>
  <c r="T70" i="2" a="1"/>
  <c r="F95" i="2" a="1"/>
  <c r="X55" i="2" a="1"/>
  <c r="F88" i="2" a="1"/>
  <c r="L92" i="2" a="1"/>
  <c r="L91" i="2" a="1"/>
  <c r="X91" i="2" a="1"/>
  <c r="Y75" i="2" a="1"/>
  <c r="Y77" i="2" a="1"/>
  <c r="Y53" i="2" a="1"/>
  <c r="Y69" i="2" a="1"/>
  <c r="AE50" i="2" a="1"/>
  <c r="AE68" i="2" a="1"/>
  <c r="AE72" i="2" a="1"/>
  <c r="G46" i="2" a="1"/>
  <c r="G54" i="2" a="1"/>
  <c r="G84" i="2" a="1"/>
  <c r="G68" i="2" a="1"/>
  <c r="T42" i="2" a="1"/>
  <c r="L94" i="2" a="1"/>
  <c r="L57" i="2" a="1"/>
  <c r="L61" i="2" a="1"/>
  <c r="L75" i="2" a="1"/>
  <c r="L89" i="2" a="1"/>
  <c r="T94" i="2" a="1"/>
  <c r="X73" i="2" a="1"/>
  <c r="X94" i="2" a="1"/>
  <c r="X86" i="2" a="1"/>
  <c r="X67" i="2" a="1"/>
  <c r="M88" i="2" a="1"/>
  <c r="T82" i="2" a="1"/>
  <c r="N92" i="2" a="1"/>
  <c r="M91" i="2" a="1"/>
  <c r="T87" i="2" a="1"/>
  <c r="L53" i="2" a="1"/>
  <c r="N90" i="2" a="1"/>
  <c r="L45" i="2" a="1"/>
  <c r="H83" i="2" a="1"/>
  <c r="L69" i="2" a="1"/>
  <c r="X43" i="2" a="1"/>
  <c r="M87" i="2" a="1"/>
  <c r="F91" i="2" a="1"/>
  <c r="N83" i="2" a="1"/>
  <c r="X59" i="2" a="1"/>
  <c r="H92" i="2" a="1"/>
  <c r="T44" i="2" a="1"/>
  <c r="X47" i="2" a="1"/>
  <c r="L87" i="2" a="1"/>
  <c r="L88" i="2" a="1"/>
  <c r="X88" i="2" a="1"/>
  <c r="Y45" i="2" a="1"/>
  <c r="Y55" i="2" a="1"/>
  <c r="Y51" i="2" a="1"/>
  <c r="Y89" i="2" a="1"/>
  <c r="AE58" i="2" a="1"/>
  <c r="AE76" i="2" a="1"/>
  <c r="AE52" i="2" a="1"/>
  <c r="G64" i="2" a="1"/>
  <c r="G44" i="2" a="1"/>
  <c r="G85" i="2" a="1"/>
  <c r="G76" i="2" a="1"/>
  <c r="T56" i="2" a="1"/>
  <c r="T62" i="2" a="1"/>
  <c r="T64" i="2" a="1"/>
  <c r="T48" i="2" a="1"/>
  <c r="L67" i="2" a="1"/>
  <c r="L47" i="2" a="1"/>
  <c r="X45" i="2" a="1"/>
  <c r="AD87" i="2" a="1"/>
  <c r="N82" i="2" a="1"/>
  <c r="L49" i="2" a="1"/>
  <c r="M95" i="2" a="1"/>
  <c r="T66" i="2" a="1"/>
  <c r="AD82" i="2" a="1"/>
  <c r="T52" i="2" a="1"/>
  <c r="X71" i="2" a="1"/>
  <c r="X57" i="2" a="1"/>
  <c r="AD88" i="2" a="1"/>
  <c r="T72" i="2" a="1"/>
  <c r="T83" i="2" a="1"/>
  <c r="N91" i="2" a="1"/>
  <c r="T76" i="2" a="1"/>
  <c r="T95" i="2" a="1"/>
  <c r="T93" i="2" a="1"/>
  <c r="L90" i="2" a="1"/>
  <c r="X95" i="2" a="1"/>
  <c r="X92" i="2" a="1"/>
  <c r="Y86" i="2" a="1"/>
  <c r="Y94" i="2" a="1"/>
  <c r="Y63" i="2" a="1"/>
  <c r="AE48" i="2" a="1"/>
  <c r="AE78" i="2" a="1"/>
  <c r="AE89" i="2" a="1"/>
  <c r="AE54" i="2" a="1"/>
  <c r="G89" i="2" a="1"/>
  <c r="G70" i="2" a="1"/>
  <c r="G66" i="2" a="1"/>
  <c r="G50" i="2" a="1"/>
  <c r="T68" i="2" a="1"/>
  <c r="T54" i="2" a="1"/>
  <c r="L65" i="2" a="1"/>
  <c r="L55" i="2" a="1"/>
  <c r="T85" i="2" a="1"/>
  <c r="L63" i="2" a="1"/>
  <c r="X89" i="2" a="1"/>
  <c r="X75" i="2" a="1"/>
  <c r="M90" i="2" a="1"/>
  <c r="T89" i="2" a="1"/>
  <c r="AD91" i="2" a="1"/>
  <c r="L59" i="2" a="1"/>
  <c r="H82" i="2" a="1"/>
  <c r="G74" i="2" a="1"/>
  <c r="X51" i="2" a="1"/>
  <c r="L82" i="2" a="1"/>
  <c r="X82" i="2" a="1"/>
  <c r="X87" i="2" a="1"/>
  <c r="Y67" i="2" a="1"/>
  <c r="Y47" i="2" a="1"/>
  <c r="Y43" i="2" a="1"/>
  <c r="AE42" i="2" a="1"/>
  <c r="AE74" i="2" a="1"/>
  <c r="AE60" i="2" a="1"/>
  <c r="AE85" i="2" a="1"/>
  <c r="G58" i="2" a="1"/>
  <c r="G52" i="2" a="1"/>
  <c r="G60" i="2" a="1"/>
  <c r="X84" i="2" a="1"/>
  <c r="AE66" i="2" a="1"/>
  <c r="G72" i="2" a="1"/>
  <c r="L71" i="2" a="1"/>
  <c r="L83" i="2" a="1"/>
  <c r="X83" i="2" a="1"/>
  <c r="Y71" i="2" a="1"/>
  <c r="Y59" i="2" a="1"/>
  <c r="Y84" i="2" a="1"/>
  <c r="Y57" i="2" a="1"/>
  <c r="AE62" i="2" a="1"/>
  <c r="AE70" i="2" a="1"/>
  <c r="AE94" i="2" a="1"/>
  <c r="G56" i="2" a="1"/>
  <c r="G62" i="2" a="1"/>
  <c r="X61" i="2" a="1"/>
  <c r="F93" i="2" a="1"/>
  <c r="F82" i="2" a="1"/>
  <c r="X65" i="2" a="1"/>
  <c r="T92" i="2" a="1"/>
  <c r="F90" i="2" a="1"/>
  <c r="T46" i="2" a="1"/>
  <c r="T90" i="2" a="1"/>
  <c r="L51" i="2" a="1"/>
  <c r="M83" i="2" a="1"/>
  <c r="N88" i="2" a="1"/>
  <c r="H93" i="2" a="1"/>
  <c r="H74" i="2" a="1"/>
  <c r="H76" i="2" a="1"/>
  <c r="H64" i="2" a="1"/>
  <c r="M94" i="2" a="1"/>
  <c r="M51" i="2" a="1"/>
  <c r="M65" i="2" a="1"/>
  <c r="M89" i="2" a="1"/>
  <c r="Z51" i="2" a="1"/>
  <c r="Z63" i="2" a="1"/>
  <c r="Z69" i="2" a="1"/>
  <c r="Z49" i="2" a="1"/>
  <c r="N77" i="2" a="1"/>
  <c r="N51" i="2" a="1"/>
  <c r="N57" i="2" a="1"/>
  <c r="S74" i="2" a="1"/>
  <c r="S72" i="2" a="1"/>
  <c r="S94" i="2" a="1"/>
  <c r="S42" i="2" a="1"/>
  <c r="AF78" i="2" a="1"/>
  <c r="AF70" i="2" a="1"/>
  <c r="AF94" i="2" a="1"/>
  <c r="AF72" i="2" a="1"/>
  <c r="Z88" i="2" a="1"/>
  <c r="AF88" i="2" a="1"/>
  <c r="M47" i="2" a="1"/>
  <c r="M63" i="2" a="1"/>
  <c r="Z53" i="2" a="1"/>
  <c r="S68" i="2" a="1"/>
  <c r="S70" i="2" a="1"/>
  <c r="AF89" i="2" a="1"/>
  <c r="H48" i="2" a="1"/>
  <c r="M84" i="2" a="1"/>
  <c r="Z57" i="2" a="1"/>
  <c r="N94" i="2" a="1"/>
  <c r="S60" i="2" a="1"/>
  <c r="Z92" i="2" a="1"/>
  <c r="H68" i="2" a="1"/>
  <c r="M45" i="2" a="1"/>
  <c r="Z94" i="2" a="1"/>
  <c r="S58" i="2" a="1"/>
  <c r="AF74" i="2" a="1"/>
  <c r="Z83" i="2" a="1"/>
  <c r="H52" i="2" a="1"/>
  <c r="M71" i="2" a="1"/>
  <c r="Z67" i="2" a="1"/>
  <c r="N84" i="2" a="1"/>
  <c r="S78" i="2" a="1"/>
  <c r="AF66" i="2" a="1"/>
  <c r="Z90" i="2" a="1"/>
  <c r="H78" i="2" a="1"/>
  <c r="M69" i="2" a="1"/>
  <c r="Z47" i="2" a="1"/>
  <c r="S56" i="2" a="1"/>
  <c r="AF50" i="2" a="1"/>
  <c r="AF83" i="2" a="1"/>
  <c r="N63" i="2" a="1"/>
  <c r="AF62" i="2" a="1"/>
  <c r="AF90" i="2" a="1"/>
  <c r="H54" i="2" a="1"/>
  <c r="M53" i="2" a="1"/>
  <c r="Z85" i="2" a="1"/>
  <c r="N75" i="2" a="1"/>
  <c r="S66" i="2" a="1"/>
  <c r="S62" i="2" a="1"/>
  <c r="AF44" i="2" a="1"/>
  <c r="H44" i="2" a="1"/>
  <c r="M67" i="2" a="1"/>
  <c r="Z65" i="2" a="1"/>
  <c r="N86" i="2" a="1"/>
  <c r="S54" i="2" a="1"/>
  <c r="AF85" i="2" a="1"/>
  <c r="AF92" i="2" a="1"/>
  <c r="H94" i="2" a="1"/>
  <c r="Z61" i="2" a="1"/>
  <c r="Z43" i="2" a="1"/>
  <c r="S76" i="2" a="1"/>
  <c r="AF52" i="2" a="1"/>
  <c r="M49" i="2" a="1"/>
  <c r="M75" i="2" a="1"/>
  <c r="N45" i="2" a="1"/>
  <c r="S52" i="2" a="1"/>
  <c r="S44" i="2" a="1"/>
  <c r="Z87" i="2" a="1"/>
  <c r="H46" i="2" a="1"/>
  <c r="H58" i="2" a="1"/>
  <c r="H50" i="2" a="1"/>
  <c r="H72" i="2" a="1"/>
  <c r="M61" i="2" a="1"/>
  <c r="Z71" i="2" a="1"/>
  <c r="Z86" i="2" a="1"/>
  <c r="N53" i="2" a="1"/>
  <c r="S48" i="2" a="1"/>
  <c r="Z82" i="2" a="1"/>
  <c r="H56" i="2" a="1"/>
  <c r="M86" i="2" a="1"/>
  <c r="N65" i="2" a="1"/>
  <c r="S89" i="2" a="1"/>
  <c r="AF54" i="2" a="1"/>
  <c r="Z91" i="2" a="1"/>
  <c r="H62" i="2" a="1"/>
  <c r="Z45" i="2" a="1"/>
  <c r="N43" i="2" a="1"/>
  <c r="N49" i="2" a="1"/>
  <c r="AF48" i="2" a="1"/>
  <c r="Z95" i="2" a="1"/>
  <c r="H89" i="2" a="1"/>
  <c r="M59" i="2" a="1"/>
  <c r="N71" i="2" a="1"/>
  <c r="N59" i="2" a="1"/>
  <c r="AF76" i="2" a="1"/>
  <c r="AF95" i="2" a="1"/>
  <c r="H66" i="2" a="1"/>
  <c r="Z84" i="2" a="1"/>
  <c r="Z75" i="2" a="1"/>
  <c r="N69" i="2" a="1"/>
  <c r="S85" i="2" a="1"/>
  <c r="AF64" i="2" a="1"/>
  <c r="AF68" i="2" a="1"/>
  <c r="M55" i="2" a="1"/>
  <c r="N67" i="2" a="1"/>
  <c r="N73" i="2" a="1"/>
  <c r="S46" i="2" a="1"/>
  <c r="AF60" i="2" a="1"/>
  <c r="AD93" i="2" a="1"/>
  <c r="H85" i="2" a="1"/>
  <c r="M43" i="2" a="1"/>
  <c r="Z73" i="2" a="1"/>
  <c r="N61" i="2" a="1"/>
  <c r="AF56" i="2" a="1"/>
  <c r="AF91" i="2" a="1"/>
  <c r="H77" i="2" a="1"/>
  <c r="M73" i="2" a="1"/>
  <c r="Z59" i="2" a="1"/>
  <c r="N47" i="2" a="1"/>
  <c r="S50" i="2" a="1"/>
  <c r="AF58" i="2" a="1"/>
  <c r="H70" i="2" a="1"/>
  <c r="M57" i="2" a="1"/>
  <c r="Z55" i="2" a="1"/>
  <c r="N89" i="2" a="1"/>
  <c r="S64" i="2" a="1"/>
  <c r="AF42" i="2" a="1"/>
  <c r="AF82" i="2" a="1"/>
  <c r="H60" i="2" a="1"/>
  <c r="M77" i="2" a="1"/>
  <c r="Z77" i="2" a="1"/>
  <c r="N55" i="2" a="1"/>
  <c r="AF46" i="2" a="1"/>
  <c r="AF87" i="2" a="1"/>
  <c r="G87" i="2" a="1"/>
  <c r="G88" i="2" a="1"/>
  <c r="S88" i="2" a="1"/>
  <c r="AE91" i="2" a="1"/>
  <c r="AE83" i="2" a="1"/>
  <c r="Y88" i="2" a="1"/>
  <c r="G83" i="2" a="1"/>
  <c r="AE88" i="2" a="1"/>
  <c r="Y91" i="2" a="1"/>
  <c r="S92" i="2" a="1"/>
  <c r="AE82" i="2" a="1"/>
  <c r="Y87" i="2" a="1"/>
  <c r="G95" i="2" a="1"/>
  <c r="Y95" i="2" a="1"/>
  <c r="AE87" i="2" a="1"/>
  <c r="G91" i="2" a="1"/>
  <c r="S87" i="2" a="1"/>
  <c r="Y83" i="2" a="1"/>
  <c r="G90" i="2" a="1"/>
  <c r="S90" i="2" a="1"/>
  <c r="Y82" i="2" a="1"/>
  <c r="S83" i="2" a="1"/>
  <c r="AE90" i="2" a="1"/>
  <c r="AE95" i="2" a="1"/>
  <c r="G92" i="2" a="1"/>
  <c r="S95" i="2" a="1"/>
  <c r="S91" i="2" a="1"/>
  <c r="AE92" i="2" a="1"/>
  <c r="Y90" i="2" a="1"/>
  <c r="S93" i="2" a="1"/>
  <c r="G93" i="2" a="1"/>
  <c r="AF93" i="2" a="1"/>
  <c r="Y92" i="2" a="1"/>
  <c r="G82" i="2" a="1"/>
  <c r="S82" i="2" a="1"/>
  <c r="L10" i="2" l="1"/>
  <c r="AF17" i="2"/>
  <c r="AF21" i="2"/>
  <c r="H15" i="2"/>
  <c r="X40" i="2"/>
  <c r="L40" i="2"/>
  <c r="R33" i="2"/>
  <c r="AF11" i="2"/>
  <c r="H17" i="2"/>
  <c r="X12" i="2"/>
  <c r="L22" i="2"/>
  <c r="AF19" i="2"/>
  <c r="AF15" i="2"/>
  <c r="H7" i="2"/>
  <c r="H13" i="2"/>
  <c r="AD9" i="2"/>
  <c r="L24" i="2"/>
  <c r="R7" i="2"/>
  <c r="F35" i="2"/>
  <c r="H21" i="2"/>
  <c r="X16" i="2"/>
  <c r="AD7" i="2"/>
  <c r="R29" i="2"/>
  <c r="F25" i="2"/>
  <c r="L30" i="2"/>
  <c r="X34" i="2"/>
  <c r="AD15" i="2"/>
  <c r="H25" i="2"/>
  <c r="X28" i="2"/>
  <c r="R21" i="2"/>
  <c r="F31" i="2"/>
  <c r="X24" i="2"/>
  <c r="AD33" i="2"/>
  <c r="L36" i="2"/>
  <c r="AF9" i="2"/>
  <c r="F15" i="2"/>
  <c r="X22" i="2"/>
  <c r="AD29" i="2"/>
  <c r="L28" i="2"/>
  <c r="R13" i="2"/>
  <c r="F41" i="2"/>
  <c r="X30" i="2"/>
  <c r="AD23" i="2"/>
  <c r="R41" i="2"/>
  <c r="AF13" i="2"/>
  <c r="F19" i="2"/>
  <c r="H9" i="2"/>
  <c r="AD41" i="2"/>
  <c r="L20" i="2"/>
  <c r="R25" i="2"/>
  <c r="AF23" i="2"/>
  <c r="F17" i="2"/>
  <c r="H11" i="2"/>
  <c r="H19" i="2"/>
  <c r="X26" i="2"/>
  <c r="AD21" i="2"/>
  <c r="AD19" i="2"/>
  <c r="L34" i="2"/>
  <c r="R17" i="2"/>
  <c r="R19" i="2"/>
  <c r="AF25" i="2"/>
  <c r="F13" i="2"/>
  <c r="F7" i="2"/>
  <c r="N36" i="2"/>
  <c r="L18" i="2"/>
  <c r="N8" i="2"/>
  <c r="V12" i="2"/>
  <c r="N39" i="2"/>
  <c r="N35" i="2"/>
  <c r="O68" i="2"/>
  <c r="O62" i="2"/>
  <c r="L26" i="2"/>
  <c r="AF10" i="2"/>
  <c r="N9" i="2"/>
  <c r="Z33" i="2"/>
  <c r="H10" i="2"/>
  <c r="Z29" i="2"/>
  <c r="N21" i="2"/>
  <c r="AF22" i="2"/>
  <c r="AF31" i="2"/>
  <c r="AF41" i="2"/>
  <c r="L23" i="2"/>
  <c r="V70" i="2"/>
  <c r="V28" i="2"/>
  <c r="O11" i="2"/>
  <c r="V18" i="2"/>
  <c r="H20" i="2"/>
  <c r="Z31" i="2"/>
  <c r="H12" i="2"/>
  <c r="L19" i="2"/>
  <c r="L33" i="2"/>
  <c r="L12" i="2"/>
  <c r="AF29" i="2"/>
  <c r="H26" i="2"/>
  <c r="O52" i="2"/>
  <c r="O76" i="2"/>
  <c r="V32" i="2"/>
  <c r="H33" i="2"/>
  <c r="Z28" i="2"/>
  <c r="AF20" i="2"/>
  <c r="O57" i="2"/>
  <c r="V36" i="2"/>
  <c r="H28" i="2"/>
  <c r="Z34" i="2"/>
  <c r="AB71" i="2"/>
  <c r="J29" i="2"/>
  <c r="AA64" i="2"/>
  <c r="N13" i="2"/>
  <c r="L41" i="2"/>
  <c r="Z25" i="2"/>
  <c r="N19" i="2"/>
  <c r="L31" i="2"/>
  <c r="H35" i="2"/>
  <c r="AF7" i="2"/>
  <c r="T12" i="2"/>
  <c r="AB53" i="2"/>
  <c r="AD11" i="2"/>
  <c r="AD20" i="2"/>
  <c r="V60" i="2"/>
  <c r="O60" i="2"/>
  <c r="O19" i="2"/>
  <c r="N25" i="2"/>
  <c r="V14" i="2"/>
  <c r="V40" i="2"/>
  <c r="L13" i="2"/>
  <c r="H34" i="2"/>
  <c r="H16" i="2"/>
  <c r="AF35" i="2"/>
  <c r="Z32" i="2"/>
  <c r="Z27" i="2"/>
  <c r="T24" i="2"/>
  <c r="T31" i="2"/>
  <c r="AB77" i="2"/>
  <c r="AB63" i="2"/>
  <c r="AD25" i="2"/>
  <c r="D67" i="2"/>
  <c r="J7" i="2"/>
  <c r="P18" i="2"/>
  <c r="X41" i="2"/>
  <c r="AB14" i="2"/>
  <c r="D22" i="2"/>
  <c r="J21" i="2"/>
  <c r="R26" i="2"/>
  <c r="E14" i="2"/>
  <c r="F29" i="2"/>
  <c r="O54" i="2"/>
  <c r="O73" i="2"/>
  <c r="N34" i="2"/>
  <c r="V24" i="2"/>
  <c r="V22" i="2"/>
  <c r="L9" i="2"/>
  <c r="D49" i="2"/>
  <c r="D65" i="2"/>
  <c r="V19" i="2"/>
  <c r="J54" i="2"/>
  <c r="J31" i="2"/>
  <c r="R31" i="2"/>
  <c r="Y7" i="2"/>
  <c r="S27" i="2"/>
  <c r="F18" i="2"/>
  <c r="Z23" i="2"/>
  <c r="T32" i="2"/>
  <c r="T30" i="2"/>
  <c r="T10" i="2"/>
  <c r="AB34" i="2"/>
  <c r="AB36" i="2"/>
  <c r="AB32" i="2"/>
  <c r="AD26" i="2"/>
  <c r="AD27" i="2"/>
  <c r="AD28" i="2"/>
  <c r="D28" i="2"/>
  <c r="D14" i="2"/>
  <c r="V35" i="2"/>
  <c r="V50" i="2"/>
  <c r="R12" i="2"/>
  <c r="R9" i="2"/>
  <c r="AE36" i="2"/>
  <c r="Y26" i="2"/>
  <c r="S40" i="2"/>
  <c r="F27" i="2"/>
  <c r="D45" i="2"/>
  <c r="D51" i="2"/>
  <c r="V17" i="2"/>
  <c r="J13" i="2"/>
  <c r="K15" i="2"/>
  <c r="S22" i="2"/>
  <c r="C28" i="2"/>
  <c r="AD31" i="2"/>
  <c r="S10" i="2"/>
  <c r="D42" i="2"/>
  <c r="O70" i="2"/>
  <c r="V62" i="2"/>
  <c r="AF30" i="2"/>
  <c r="T35" i="2"/>
  <c r="T18" i="2"/>
  <c r="AB18" i="2"/>
  <c r="AB24" i="2"/>
  <c r="AB22" i="2"/>
  <c r="AD18" i="2"/>
  <c r="AD35" i="2"/>
  <c r="AD30" i="2"/>
  <c r="D59" i="2"/>
  <c r="D57" i="2"/>
  <c r="V15" i="2"/>
  <c r="V68" i="2"/>
  <c r="J33" i="2"/>
  <c r="R43" i="2"/>
  <c r="P55" i="2"/>
  <c r="G22" i="2"/>
  <c r="AC26" i="2"/>
  <c r="J17" i="2"/>
  <c r="AA22" i="2"/>
  <c r="AD24" i="2"/>
  <c r="C49" i="2"/>
  <c r="O49" i="2"/>
  <c r="V54" i="2"/>
  <c r="AF14" i="2"/>
  <c r="D36" i="2"/>
  <c r="V66" i="2"/>
  <c r="V27" i="2"/>
  <c r="J35" i="2"/>
  <c r="R30" i="2"/>
  <c r="M33" i="2"/>
  <c r="X19" i="2"/>
  <c r="P14" i="2"/>
  <c r="AA26" i="2"/>
  <c r="AB16" i="2"/>
  <c r="V89" i="2"/>
  <c r="Q16" i="2"/>
  <c r="G36" i="2"/>
  <c r="N28" i="2"/>
  <c r="H31" i="2"/>
  <c r="Z11" i="2"/>
  <c r="V16" i="2"/>
  <c r="H23" i="2"/>
  <c r="AF24" i="2"/>
  <c r="T20" i="2"/>
  <c r="AB47" i="2"/>
  <c r="AD17" i="2"/>
  <c r="D32" i="2"/>
  <c r="V58" i="2"/>
  <c r="J46" i="2"/>
  <c r="R18" i="2"/>
  <c r="P30" i="2"/>
  <c r="M36" i="2"/>
  <c r="X14" i="2"/>
  <c r="P8" i="2"/>
  <c r="AA10" i="2"/>
  <c r="T16" i="2"/>
  <c r="AD43" i="2"/>
  <c r="R39" i="2"/>
  <c r="V29" i="2"/>
  <c r="N15" i="2"/>
  <c r="H30" i="2"/>
  <c r="T33" i="2"/>
  <c r="N23" i="2"/>
  <c r="L8" i="2"/>
  <c r="Z15" i="2"/>
  <c r="V41" i="2"/>
  <c r="J62" i="2"/>
  <c r="J78" i="2"/>
  <c r="AB67" i="2"/>
  <c r="U56" i="2"/>
  <c r="T28" i="2"/>
  <c r="D18" i="2"/>
  <c r="G18" i="2"/>
  <c r="O46" i="2"/>
  <c r="L35" i="2"/>
  <c r="AF28" i="2"/>
  <c r="O84" i="2"/>
  <c r="V26" i="2"/>
  <c r="H18" i="2"/>
  <c r="Z26" i="2"/>
  <c r="L16" i="2"/>
  <c r="T7" i="2"/>
  <c r="D24" i="2"/>
  <c r="K11" i="2"/>
  <c r="AC22" i="2"/>
  <c r="V44" i="2"/>
  <c r="H29" i="2"/>
  <c r="O45" i="2"/>
  <c r="V10" i="2"/>
  <c r="H41" i="2"/>
  <c r="AB43" i="2"/>
  <c r="AB42" i="2"/>
  <c r="V42" i="2"/>
  <c r="J85" i="2"/>
  <c r="N30" i="2"/>
  <c r="L11" i="2"/>
  <c r="Z40" i="2"/>
  <c r="O7" i="2"/>
  <c r="N31" i="2"/>
  <c r="L27" i="2"/>
  <c r="AF34" i="2"/>
  <c r="Z21" i="2"/>
  <c r="T34" i="2"/>
  <c r="AD36" i="2"/>
  <c r="D40" i="2"/>
  <c r="X42" i="2"/>
  <c r="O78" i="2"/>
  <c r="N32" i="2"/>
  <c r="N29" i="2"/>
  <c r="V34" i="2"/>
  <c r="L25" i="2"/>
  <c r="H27" i="2"/>
  <c r="AF16" i="2"/>
  <c r="AF33" i="2"/>
  <c r="Z9" i="2"/>
  <c r="T39" i="2"/>
  <c r="T27" i="2"/>
  <c r="AB61" i="2"/>
  <c r="AD45" i="2"/>
  <c r="D26" i="2"/>
  <c r="V52" i="2"/>
  <c r="R11" i="2"/>
  <c r="M27" i="2"/>
  <c r="U72" i="2"/>
  <c r="D73" i="2"/>
  <c r="V39" i="2"/>
  <c r="J23" i="2"/>
  <c r="M32" i="2"/>
  <c r="O61" i="2"/>
  <c r="O13" i="2"/>
  <c r="N17" i="2"/>
  <c r="N27" i="2"/>
  <c r="V30" i="2"/>
  <c r="L46" i="2"/>
  <c r="L39" i="2"/>
  <c r="H36" i="2"/>
  <c r="H24" i="2"/>
  <c r="H39" i="2"/>
  <c r="AF12" i="2"/>
  <c r="AF8" i="2"/>
  <c r="AF26" i="2"/>
  <c r="Z39" i="2"/>
  <c r="Z30" i="2"/>
  <c r="Z17" i="2"/>
  <c r="T14" i="2"/>
  <c r="T8" i="2"/>
  <c r="T22" i="2"/>
  <c r="AB28" i="2"/>
  <c r="AB45" i="2"/>
  <c r="AB26" i="2"/>
  <c r="AD40" i="2"/>
  <c r="AD32" i="2"/>
  <c r="AD13" i="2"/>
  <c r="D34" i="2"/>
  <c r="V85" i="2"/>
  <c r="V25" i="2"/>
  <c r="AE8" i="2"/>
  <c r="Y11" i="2"/>
  <c r="D71" i="2"/>
  <c r="F30" i="2"/>
  <c r="O58" i="2"/>
  <c r="Q8" i="2"/>
  <c r="O65" i="2"/>
  <c r="O17" i="2"/>
  <c r="O15" i="2"/>
  <c r="N33" i="2"/>
  <c r="V46" i="2"/>
  <c r="R27" i="2"/>
  <c r="R24" i="2"/>
  <c r="Q22" i="2"/>
  <c r="P84" i="2"/>
  <c r="P57" i="2"/>
  <c r="AE10" i="2"/>
  <c r="AE18" i="2"/>
  <c r="G28" i="2"/>
  <c r="G8" i="2"/>
  <c r="G26" i="2"/>
  <c r="M25" i="2"/>
  <c r="M30" i="2"/>
  <c r="F28" i="2"/>
  <c r="C32" i="2"/>
  <c r="C18" i="2"/>
  <c r="AA24" i="2"/>
  <c r="W9" i="2"/>
  <c r="C68" i="2"/>
  <c r="O71" i="2"/>
  <c r="I19" i="2"/>
  <c r="AA75" i="2"/>
  <c r="J68" i="2"/>
  <c r="J52" i="2"/>
  <c r="J41" i="2"/>
  <c r="R36" i="2"/>
  <c r="R23" i="2"/>
  <c r="Q10" i="2"/>
  <c r="P63" i="2"/>
  <c r="P65" i="2"/>
  <c r="P53" i="2"/>
  <c r="AE32" i="2"/>
  <c r="AE12" i="2"/>
  <c r="G34" i="2"/>
  <c r="G16" i="2"/>
  <c r="M21" i="2"/>
  <c r="M17" i="2"/>
  <c r="Y31" i="2"/>
  <c r="Y17" i="2"/>
  <c r="AC16" i="2"/>
  <c r="X23" i="2"/>
  <c r="X25" i="2"/>
  <c r="E8" i="2"/>
  <c r="S18" i="2"/>
  <c r="S8" i="2"/>
  <c r="J74" i="2"/>
  <c r="P10" i="2"/>
  <c r="V48" i="2"/>
  <c r="F40" i="2"/>
  <c r="F20" i="2"/>
  <c r="C65" i="2"/>
  <c r="AA77" i="2"/>
  <c r="AA53" i="2"/>
  <c r="W11" i="2"/>
  <c r="C55" i="2"/>
  <c r="O55" i="2"/>
  <c r="I60" i="2"/>
  <c r="AA48" i="2"/>
  <c r="R28" i="2"/>
  <c r="Q14" i="2"/>
  <c r="P34" i="2"/>
  <c r="P24" i="2"/>
  <c r="P26" i="2"/>
  <c r="AE28" i="2"/>
  <c r="AE20" i="2"/>
  <c r="G31" i="2"/>
  <c r="G32" i="2"/>
  <c r="G30" i="2"/>
  <c r="M39" i="2"/>
  <c r="M26" i="2"/>
  <c r="Y13" i="2"/>
  <c r="Y15" i="2"/>
  <c r="AC20" i="2"/>
  <c r="X7" i="2"/>
  <c r="X36" i="2"/>
  <c r="E30" i="2"/>
  <c r="S32" i="2"/>
  <c r="S20" i="2"/>
  <c r="J9" i="2"/>
  <c r="P61" i="2"/>
  <c r="AB10" i="2"/>
  <c r="F16" i="2"/>
  <c r="F34" i="2"/>
  <c r="C46" i="2"/>
  <c r="AA69" i="2"/>
  <c r="AA30" i="2"/>
  <c r="W7" i="2"/>
  <c r="O50" i="2"/>
  <c r="O30" i="2"/>
  <c r="I29" i="2"/>
  <c r="AA56" i="2"/>
  <c r="O63" i="2"/>
  <c r="I27" i="2"/>
  <c r="T13" i="2"/>
  <c r="O18" i="2"/>
  <c r="I9" i="2"/>
  <c r="T25" i="2"/>
  <c r="R32" i="2"/>
  <c r="Q18" i="2"/>
  <c r="P49" i="2"/>
  <c r="P22" i="2"/>
  <c r="P73" i="2"/>
  <c r="AE27" i="2"/>
  <c r="AE16" i="2"/>
  <c r="G10" i="2"/>
  <c r="G39" i="2"/>
  <c r="M40" i="2"/>
  <c r="M23" i="2"/>
  <c r="Y30" i="2"/>
  <c r="K13" i="2"/>
  <c r="AC14" i="2"/>
  <c r="X20" i="2"/>
  <c r="X8" i="2"/>
  <c r="D20" i="2"/>
  <c r="S16" i="2"/>
  <c r="S23" i="2"/>
  <c r="J58" i="2"/>
  <c r="V72" i="2"/>
  <c r="AB12" i="2"/>
  <c r="F9" i="2"/>
  <c r="F26" i="2"/>
  <c r="C16" i="2"/>
  <c r="AA28" i="2"/>
  <c r="AA61" i="2"/>
  <c r="U69" i="2"/>
  <c r="O77" i="2"/>
  <c r="O74" i="2"/>
  <c r="I35" i="2"/>
  <c r="T11" i="2"/>
  <c r="R42" i="2"/>
  <c r="R34" i="2"/>
  <c r="Q26" i="2"/>
  <c r="P36" i="2"/>
  <c r="P71" i="2"/>
  <c r="AE39" i="2"/>
  <c r="AE34" i="2"/>
  <c r="AE31" i="2"/>
  <c r="G41" i="2"/>
  <c r="M11" i="2"/>
  <c r="M7" i="2"/>
  <c r="Y29" i="2"/>
  <c r="F10" i="2"/>
  <c r="C40" i="2"/>
  <c r="AA32" i="2"/>
  <c r="AA40" i="2"/>
  <c r="U77" i="2"/>
  <c r="N12" i="2"/>
  <c r="O8" i="2"/>
  <c r="I13" i="2"/>
  <c r="Z22" i="2"/>
  <c r="J76" i="2"/>
  <c r="J19" i="2"/>
  <c r="J39" i="2"/>
  <c r="R40" i="2"/>
  <c r="G35" i="2"/>
  <c r="M15" i="2"/>
  <c r="M31" i="2"/>
  <c r="Y27" i="2"/>
  <c r="Y41" i="2"/>
  <c r="K7" i="2"/>
  <c r="AC12" i="2"/>
  <c r="X10" i="2"/>
  <c r="E20" i="2"/>
  <c r="D63" i="2"/>
  <c r="S36" i="2"/>
  <c r="S39" i="2"/>
  <c r="J11" i="2"/>
  <c r="V9" i="2"/>
  <c r="AB59" i="2"/>
  <c r="F45" i="2"/>
  <c r="C24" i="2"/>
  <c r="C22" i="2"/>
  <c r="AA44" i="2"/>
  <c r="AA34" i="2"/>
  <c r="U61" i="2"/>
  <c r="N22" i="2"/>
  <c r="O24" i="2"/>
  <c r="I21" i="2"/>
  <c r="Z12" i="2"/>
  <c r="Q20" i="2"/>
  <c r="P94" i="2"/>
  <c r="P28" i="2"/>
  <c r="AE35" i="2"/>
  <c r="AE22" i="2"/>
  <c r="AE25" i="2"/>
  <c r="G20" i="2"/>
  <c r="G25" i="2"/>
  <c r="M41" i="2"/>
  <c r="Y40" i="2"/>
  <c r="Y24" i="2"/>
  <c r="K9" i="2"/>
  <c r="AC10" i="2"/>
  <c r="X44" i="2"/>
  <c r="E22" i="2"/>
  <c r="D12" i="2"/>
  <c r="S34" i="2"/>
  <c r="S29" i="2"/>
  <c r="P20" i="2"/>
  <c r="V56" i="2"/>
  <c r="AB75" i="2"/>
  <c r="F21" i="2"/>
  <c r="C73" i="2"/>
  <c r="C57" i="2"/>
  <c r="AA12" i="2"/>
  <c r="W17" i="2"/>
  <c r="U53" i="2"/>
  <c r="N24" i="2"/>
  <c r="O36" i="2"/>
  <c r="I33" i="2"/>
  <c r="S11" i="2"/>
  <c r="R16" i="2"/>
  <c r="Q12" i="2"/>
  <c r="P40" i="2"/>
  <c r="P32" i="2"/>
  <c r="AE33" i="2"/>
  <c r="AE29" i="2"/>
  <c r="AE26" i="2"/>
  <c r="G42" i="2"/>
  <c r="G14" i="2"/>
  <c r="M13" i="2"/>
  <c r="M29" i="2"/>
  <c r="Y21" i="2"/>
  <c r="Y35" i="2"/>
  <c r="K27" i="2"/>
  <c r="X27" i="2"/>
  <c r="X35" i="2"/>
  <c r="E18" i="2"/>
  <c r="D47" i="2"/>
  <c r="S33" i="2"/>
  <c r="S12" i="2"/>
  <c r="P69" i="2"/>
  <c r="V21" i="2"/>
  <c r="AB51" i="2"/>
  <c r="F42" i="2"/>
  <c r="C94" i="2"/>
  <c r="C36" i="2"/>
  <c r="AA8" i="2"/>
  <c r="W23" i="2"/>
  <c r="C52" i="2"/>
  <c r="N16" i="2"/>
  <c r="O22" i="2"/>
  <c r="I50" i="2"/>
  <c r="S15" i="2"/>
  <c r="R35" i="2"/>
  <c r="R14" i="2"/>
  <c r="P16" i="2"/>
  <c r="AE14" i="2"/>
  <c r="AE24" i="2"/>
  <c r="AE30" i="2"/>
  <c r="G12" i="2"/>
  <c r="G33" i="2"/>
  <c r="M9" i="2"/>
  <c r="Y25" i="2"/>
  <c r="Y9" i="2"/>
  <c r="K19" i="2"/>
  <c r="X21" i="2"/>
  <c r="X39" i="2"/>
  <c r="E16" i="2"/>
  <c r="D10" i="2"/>
  <c r="S25" i="2"/>
  <c r="S28" i="2"/>
  <c r="P42" i="2"/>
  <c r="V13" i="2"/>
  <c r="AB86" i="2"/>
  <c r="F33" i="2"/>
  <c r="C42" i="2"/>
  <c r="C14" i="2"/>
  <c r="AA18" i="2"/>
  <c r="W13" i="2"/>
  <c r="C63" i="2"/>
  <c r="N10" i="2"/>
  <c r="I89" i="2"/>
  <c r="I66" i="2"/>
  <c r="U17" i="2"/>
  <c r="P47" i="2"/>
  <c r="O94" i="2"/>
  <c r="N11" i="2"/>
  <c r="N40" i="2"/>
  <c r="V8" i="2"/>
  <c r="V76" i="2"/>
  <c r="V20" i="2"/>
  <c r="L32" i="2"/>
  <c r="L29" i="2"/>
  <c r="L7" i="2"/>
  <c r="L14" i="2"/>
  <c r="H32" i="2"/>
  <c r="H22" i="2"/>
  <c r="H14" i="2"/>
  <c r="AF39" i="2"/>
  <c r="AF27" i="2"/>
  <c r="AF32" i="2"/>
  <c r="AF18" i="2"/>
  <c r="Z19" i="2"/>
  <c r="Z13" i="2"/>
  <c r="Z36" i="2"/>
  <c r="Z35" i="2"/>
  <c r="T26" i="2"/>
  <c r="T41" i="2"/>
  <c r="T29" i="2"/>
  <c r="AB40" i="2"/>
  <c r="AB20" i="2"/>
  <c r="AB30" i="2"/>
  <c r="AB69" i="2"/>
  <c r="AD22" i="2"/>
  <c r="AD8" i="2"/>
  <c r="AD39" i="2"/>
  <c r="AD34" i="2"/>
  <c r="D30" i="2"/>
  <c r="D16" i="2"/>
  <c r="D84" i="2"/>
  <c r="V33" i="2"/>
  <c r="V23" i="2"/>
  <c r="V74" i="2"/>
  <c r="V31" i="2"/>
  <c r="J15" i="2"/>
  <c r="J60" i="2"/>
  <c r="J25" i="2"/>
  <c r="J27" i="2"/>
  <c r="R15" i="2"/>
  <c r="G24" i="2"/>
  <c r="M19" i="2"/>
  <c r="M35" i="2"/>
  <c r="Y19" i="2"/>
  <c r="Y39" i="2"/>
  <c r="K23" i="2"/>
  <c r="X33" i="2"/>
  <c r="X29" i="2"/>
  <c r="E10" i="2"/>
  <c r="D94" i="2"/>
  <c r="S24" i="2"/>
  <c r="J89" i="2"/>
  <c r="P77" i="2"/>
  <c r="V11" i="2"/>
  <c r="F24" i="2"/>
  <c r="F11" i="2"/>
  <c r="C20" i="2"/>
  <c r="C34" i="2"/>
  <c r="AA20" i="2"/>
  <c r="W19" i="2"/>
  <c r="C60" i="2"/>
  <c r="O20" i="2"/>
  <c r="I68" i="2"/>
  <c r="I58" i="2"/>
  <c r="U43" i="2"/>
  <c r="I63" i="2"/>
  <c r="I71" i="2"/>
  <c r="AA51" i="2"/>
  <c r="T21" i="2"/>
  <c r="T9" i="2"/>
  <c r="Z14" i="2"/>
  <c r="S21" i="2"/>
  <c r="S13" i="2"/>
  <c r="U15" i="2"/>
  <c r="U23" i="2"/>
  <c r="U39" i="2"/>
  <c r="G15" i="2"/>
  <c r="G9" i="2"/>
  <c r="AE13" i="2"/>
  <c r="Y18" i="2"/>
  <c r="Y14" i="2"/>
  <c r="M10" i="2"/>
  <c r="Z24" i="2"/>
  <c r="S9" i="2"/>
  <c r="U33" i="2"/>
  <c r="U31" i="2"/>
  <c r="U9" i="2"/>
  <c r="U41" i="2"/>
  <c r="G7" i="2"/>
  <c r="G23" i="2"/>
  <c r="AE15" i="2"/>
  <c r="Y12" i="2"/>
  <c r="Y36" i="2"/>
  <c r="M14" i="2"/>
  <c r="U48" i="2"/>
  <c r="C47" i="2"/>
  <c r="O53" i="2"/>
  <c r="O43" i="2"/>
  <c r="N18" i="2"/>
  <c r="O85" i="2"/>
  <c r="O32" i="2"/>
  <c r="O34" i="2"/>
  <c r="O28" i="2"/>
  <c r="I31" i="2"/>
  <c r="I15" i="2"/>
  <c r="I39" i="2"/>
  <c r="I11" i="2"/>
  <c r="I74" i="2"/>
  <c r="AA72" i="2"/>
  <c r="AA86" i="2"/>
  <c r="T19" i="2"/>
  <c r="Z18" i="2"/>
  <c r="Z8" i="2"/>
  <c r="S7" i="2"/>
  <c r="U66" i="2"/>
  <c r="U11" i="2"/>
  <c r="U25" i="2"/>
  <c r="U13" i="2"/>
  <c r="G21" i="2"/>
  <c r="AE19" i="2"/>
  <c r="AE23" i="2"/>
  <c r="Y16" i="2"/>
  <c r="M16" i="2"/>
  <c r="M22" i="2"/>
  <c r="U44" i="2"/>
  <c r="C71" i="2"/>
  <c r="O66" i="2"/>
  <c r="O69" i="2"/>
  <c r="N26" i="2"/>
  <c r="O47" i="2"/>
  <c r="O16" i="2"/>
  <c r="O14" i="2"/>
  <c r="O12" i="2"/>
  <c r="I25" i="2"/>
  <c r="I17" i="2"/>
  <c r="I52" i="2"/>
  <c r="V93" i="2"/>
  <c r="I85" i="2"/>
  <c r="AA59" i="2"/>
  <c r="AA45" i="2"/>
  <c r="T23" i="2"/>
  <c r="Z10" i="2"/>
  <c r="Z16" i="2"/>
  <c r="S17" i="2"/>
  <c r="U58" i="2"/>
  <c r="U27" i="2"/>
  <c r="U21" i="2"/>
  <c r="U7" i="2"/>
  <c r="G11" i="2"/>
  <c r="AE9" i="2"/>
  <c r="AE7" i="2"/>
  <c r="Y10" i="2"/>
  <c r="M12" i="2"/>
  <c r="M24" i="2"/>
  <c r="U29" i="2"/>
  <c r="U35" i="2"/>
  <c r="G17" i="2"/>
  <c r="AE11" i="2"/>
  <c r="AE21" i="2"/>
  <c r="Y22" i="2"/>
  <c r="M8" i="2"/>
  <c r="M18" i="2"/>
  <c r="Y23" i="2"/>
  <c r="Y33" i="2"/>
  <c r="Y34" i="2"/>
  <c r="K17" i="2"/>
  <c r="AC8" i="2"/>
  <c r="AC18" i="2"/>
  <c r="X32" i="2"/>
  <c r="X15" i="2"/>
  <c r="X31" i="2"/>
  <c r="X18" i="2"/>
  <c r="E12" i="2"/>
  <c r="D55" i="2"/>
  <c r="D8" i="2"/>
  <c r="S26" i="2"/>
  <c r="S30" i="2"/>
  <c r="S14" i="2"/>
  <c r="J50" i="2"/>
  <c r="J66" i="2"/>
  <c r="P12" i="2"/>
  <c r="V7" i="2"/>
  <c r="V64" i="2"/>
  <c r="AB8" i="2"/>
  <c r="F36" i="2"/>
  <c r="F39" i="2"/>
  <c r="F32" i="2"/>
  <c r="F23" i="2"/>
  <c r="C12" i="2"/>
  <c r="C30" i="2"/>
  <c r="C26" i="2"/>
  <c r="C10" i="2"/>
  <c r="AA14" i="2"/>
  <c r="AA16" i="2"/>
  <c r="AA36" i="2"/>
  <c r="W15" i="2"/>
  <c r="W21" i="2"/>
  <c r="U64" i="2"/>
  <c r="C76" i="2"/>
  <c r="C8" i="2"/>
  <c r="O42" i="2"/>
  <c r="N20" i="2"/>
  <c r="N14" i="2"/>
  <c r="O40" i="2"/>
  <c r="O10" i="2"/>
  <c r="O26" i="2"/>
  <c r="I23" i="2"/>
  <c r="I76" i="2"/>
  <c r="I7" i="2"/>
  <c r="I41" i="2"/>
  <c r="I47" i="2"/>
  <c r="I55" i="2"/>
  <c r="AA67" i="2"/>
  <c r="T15" i="2"/>
  <c r="T17" i="2"/>
  <c r="Z20" i="2"/>
  <c r="S19" i="2"/>
  <c r="S35" i="2"/>
  <c r="U19" i="2"/>
  <c r="U42" i="2"/>
  <c r="U50" i="2"/>
  <c r="G19" i="2"/>
  <c r="G13" i="2"/>
  <c r="AE17" i="2"/>
  <c r="Y8" i="2"/>
  <c r="Y20" i="2"/>
  <c r="M20" i="2"/>
  <c r="U93" i="2"/>
  <c r="G63" i="2"/>
  <c r="S41" i="2"/>
  <c r="G43" i="2"/>
  <c r="L78" i="2"/>
  <c r="AC71" i="2"/>
  <c r="G51" i="2"/>
  <c r="AE49" i="2"/>
  <c r="AC84" i="2"/>
  <c r="R61" i="2"/>
  <c r="H84" i="2"/>
  <c r="G59" i="2"/>
  <c r="AE45" i="2"/>
  <c r="S65" i="2"/>
  <c r="X9" i="2"/>
  <c r="E73" i="2"/>
  <c r="AD14" i="2"/>
  <c r="K66" i="2"/>
  <c r="L56" i="2"/>
  <c r="AC86" i="2"/>
  <c r="E53" i="2"/>
  <c r="AD53" i="2"/>
  <c r="I93" i="2"/>
  <c r="K58" i="2"/>
  <c r="Q71" i="2"/>
  <c r="W28" i="2"/>
  <c r="D19" i="2"/>
  <c r="H71" i="2"/>
  <c r="H51" i="2"/>
  <c r="K93" i="2"/>
  <c r="L64" i="2"/>
  <c r="X13" i="2"/>
  <c r="X72" i="2"/>
  <c r="AC67" i="2"/>
  <c r="E43" i="2"/>
  <c r="E39" i="2"/>
  <c r="R47" i="2"/>
  <c r="AD49" i="2"/>
  <c r="AD47" i="2"/>
  <c r="F14" i="2"/>
  <c r="AC21" i="2"/>
  <c r="AC27" i="2"/>
  <c r="K78" i="2"/>
  <c r="W70" i="2"/>
  <c r="Q73" i="2"/>
  <c r="W76" i="2"/>
  <c r="K16" i="2"/>
  <c r="W10" i="2"/>
  <c r="P19" i="2"/>
  <c r="D21" i="2"/>
  <c r="D33" i="2"/>
  <c r="Y52" i="2"/>
  <c r="AC63" i="2"/>
  <c r="E63" i="2"/>
  <c r="E57" i="2"/>
  <c r="R77" i="2"/>
  <c r="AD73" i="2"/>
  <c r="AD65" i="2"/>
  <c r="F47" i="2"/>
  <c r="AC7" i="2"/>
  <c r="AC29" i="2"/>
  <c r="K44" i="2"/>
  <c r="W85" i="2"/>
  <c r="Q47" i="2"/>
  <c r="Q57" i="2"/>
  <c r="K31" i="2"/>
  <c r="W33" i="2"/>
  <c r="P25" i="2"/>
  <c r="D31" i="2"/>
  <c r="D39" i="2"/>
  <c r="AC43" i="2"/>
  <c r="J93" i="2"/>
  <c r="R63" i="2"/>
  <c r="AD69" i="2"/>
  <c r="AD77" i="2"/>
  <c r="F55" i="2"/>
  <c r="AC32" i="2"/>
  <c r="AC15" i="2"/>
  <c r="K72" i="2"/>
  <c r="W48" i="2"/>
  <c r="Q45" i="2"/>
  <c r="W72" i="2"/>
  <c r="K26" i="2"/>
  <c r="W18" i="2"/>
  <c r="P59" i="2"/>
  <c r="D35" i="2"/>
  <c r="D27" i="2"/>
  <c r="H61" i="2"/>
  <c r="AE47" i="2"/>
  <c r="S49" i="2"/>
  <c r="AD75" i="2"/>
  <c r="AD59" i="2"/>
  <c r="F63" i="2"/>
  <c r="AC24" i="2"/>
  <c r="AC41" i="2"/>
  <c r="K85" i="2"/>
  <c r="W74" i="2"/>
  <c r="Q39" i="2"/>
  <c r="W44" i="2"/>
  <c r="K21" i="2"/>
  <c r="W8" i="2"/>
  <c r="P17" i="2"/>
  <c r="D61" i="2"/>
  <c r="Q31" i="2"/>
  <c r="S59" i="2"/>
  <c r="R20" i="2"/>
  <c r="AC36" i="2"/>
  <c r="AC34" i="2"/>
  <c r="K62" i="2"/>
  <c r="W66" i="2"/>
  <c r="Q51" i="2"/>
  <c r="K34" i="2"/>
  <c r="K41" i="2"/>
  <c r="W39" i="2"/>
  <c r="P35" i="2"/>
  <c r="D41" i="2"/>
  <c r="D15" i="2"/>
  <c r="AE84" i="2"/>
  <c r="X76" i="2"/>
  <c r="L60" i="2"/>
  <c r="H8" i="2"/>
  <c r="Y85" i="2"/>
  <c r="AE61" i="2"/>
  <c r="AC55" i="2"/>
  <c r="R8" i="2"/>
  <c r="F77" i="2"/>
  <c r="H55" i="2"/>
  <c r="G86" i="2"/>
  <c r="G73" i="2"/>
  <c r="G65" i="2"/>
  <c r="Y56" i="2"/>
  <c r="Y48" i="2"/>
  <c r="AE51" i="2"/>
  <c r="AE40" i="2"/>
  <c r="S55" i="2"/>
  <c r="S57" i="2"/>
  <c r="S86" i="2"/>
  <c r="S53" i="2"/>
  <c r="L15" i="2"/>
  <c r="L17" i="2"/>
  <c r="X74" i="2"/>
  <c r="AC45" i="2"/>
  <c r="AC73" i="2"/>
  <c r="E77" i="2"/>
  <c r="R51" i="2"/>
  <c r="R45" i="2"/>
  <c r="AD10" i="2"/>
  <c r="F69" i="2"/>
  <c r="F61" i="2"/>
  <c r="AC31" i="2"/>
  <c r="K74" i="2"/>
  <c r="K64" i="2"/>
  <c r="Q53" i="2"/>
  <c r="Q86" i="2"/>
  <c r="K14" i="2"/>
  <c r="K28" i="2"/>
  <c r="W14" i="2"/>
  <c r="P11" i="2"/>
  <c r="D75" i="2"/>
  <c r="Q33" i="2"/>
  <c r="H63" i="2"/>
  <c r="Y78" i="2"/>
  <c r="X68" i="2"/>
  <c r="AC65" i="2"/>
  <c r="G71" i="2"/>
  <c r="Y60" i="2"/>
  <c r="L74" i="2"/>
  <c r="R49" i="2"/>
  <c r="R65" i="2"/>
  <c r="H59" i="2"/>
  <c r="H67" i="2"/>
  <c r="G57" i="2"/>
  <c r="Y32" i="2"/>
  <c r="Y72" i="2"/>
  <c r="AE86" i="2"/>
  <c r="L68" i="2"/>
  <c r="L58" i="2"/>
  <c r="X85" i="2"/>
  <c r="AC47" i="2"/>
  <c r="AC69" i="2"/>
  <c r="E45" i="2"/>
  <c r="R73" i="2"/>
  <c r="R22" i="2"/>
  <c r="AD12" i="2"/>
  <c r="F49" i="2"/>
  <c r="F22" i="2"/>
  <c r="AC17" i="2"/>
  <c r="K46" i="2"/>
  <c r="K52" i="2"/>
  <c r="Q43" i="2"/>
  <c r="Q84" i="2"/>
  <c r="K25" i="2"/>
  <c r="K30" i="2"/>
  <c r="W25" i="2"/>
  <c r="P21" i="2"/>
  <c r="D69" i="2"/>
  <c r="Q34" i="2"/>
  <c r="G29" i="2"/>
  <c r="AE75" i="2"/>
  <c r="H40" i="2"/>
  <c r="AE43" i="2"/>
  <c r="AC57" i="2"/>
  <c r="H73" i="2"/>
  <c r="Y66" i="2"/>
  <c r="S31" i="2"/>
  <c r="X56" i="2"/>
  <c r="R71" i="2"/>
  <c r="AD63" i="2"/>
  <c r="F65" i="2"/>
  <c r="F12" i="2"/>
  <c r="AC11" i="2"/>
  <c r="K54" i="2"/>
  <c r="K70" i="2"/>
  <c r="Q49" i="2"/>
  <c r="Q65" i="2"/>
  <c r="K12" i="2"/>
  <c r="K22" i="2"/>
  <c r="W12" i="2"/>
  <c r="P45" i="2"/>
  <c r="D53" i="2"/>
  <c r="Q17" i="2"/>
  <c r="Y68" i="2"/>
  <c r="L48" i="2"/>
  <c r="AE41" i="2"/>
  <c r="X78" i="2"/>
  <c r="H43" i="2"/>
  <c r="G27" i="2"/>
  <c r="E75" i="2"/>
  <c r="F75" i="2"/>
  <c r="AC25" i="2"/>
  <c r="K68" i="2"/>
  <c r="K50" i="2"/>
  <c r="Q63" i="2"/>
  <c r="W68" i="2"/>
  <c r="K29" i="2"/>
  <c r="W22" i="2"/>
  <c r="W35" i="2"/>
  <c r="P67" i="2"/>
  <c r="D86" i="2"/>
  <c r="Q13" i="2"/>
  <c r="H53" i="2"/>
  <c r="Y50" i="2"/>
  <c r="L54" i="2"/>
  <c r="X66" i="2"/>
  <c r="H86" i="2"/>
  <c r="Y46" i="2"/>
  <c r="Y54" i="2"/>
  <c r="S71" i="2"/>
  <c r="E55" i="2"/>
  <c r="L21" i="2"/>
  <c r="F53" i="2"/>
  <c r="H57" i="2"/>
  <c r="G77" i="2"/>
  <c r="W93" i="2"/>
  <c r="AE71" i="2"/>
  <c r="S67" i="2"/>
  <c r="L72" i="2"/>
  <c r="R57" i="2"/>
  <c r="X11" i="2"/>
  <c r="AC35" i="2"/>
  <c r="AD84" i="2"/>
  <c r="H47" i="2"/>
  <c r="H45" i="2"/>
  <c r="Y58" i="2"/>
  <c r="AE69" i="2"/>
  <c r="AE57" i="2"/>
  <c r="S47" i="2"/>
  <c r="S61" i="2"/>
  <c r="X17" i="2"/>
  <c r="E67" i="2"/>
  <c r="R75" i="2"/>
  <c r="F8" i="2"/>
  <c r="F51" i="2"/>
  <c r="AC28" i="2"/>
  <c r="Q69" i="2"/>
  <c r="W40" i="2"/>
  <c r="K18" i="2"/>
  <c r="W27" i="2"/>
  <c r="W31" i="2"/>
  <c r="P9" i="2"/>
  <c r="D25" i="2"/>
  <c r="Q19" i="2"/>
  <c r="H42" i="2"/>
  <c r="AE55" i="2"/>
  <c r="L50" i="2"/>
  <c r="E47" i="2"/>
  <c r="G47" i="2"/>
  <c r="AE59" i="2"/>
  <c r="X62" i="2"/>
  <c r="AC53" i="2"/>
  <c r="L85" i="2"/>
  <c r="AD55" i="2"/>
  <c r="H49" i="2"/>
  <c r="G75" i="2"/>
  <c r="Y76" i="2"/>
  <c r="AE73" i="2"/>
  <c r="S51" i="2"/>
  <c r="X52" i="2"/>
  <c r="E69" i="2"/>
  <c r="L76" i="2"/>
  <c r="E59" i="2"/>
  <c r="F43" i="2"/>
  <c r="H65" i="2"/>
  <c r="G45" i="2"/>
  <c r="G55" i="2"/>
  <c r="Y42" i="2"/>
  <c r="AE65" i="2"/>
  <c r="AD67" i="2"/>
  <c r="G61" i="2"/>
  <c r="S43" i="2"/>
  <c r="G40" i="2"/>
  <c r="S84" i="2"/>
  <c r="E51" i="2"/>
  <c r="Y70" i="2"/>
  <c r="S69" i="2"/>
  <c r="AC51" i="2"/>
  <c r="X54" i="2"/>
  <c r="R59" i="2"/>
  <c r="G53" i="2"/>
  <c r="Y74" i="2"/>
  <c r="S63" i="2"/>
  <c r="L44" i="2"/>
  <c r="AC59" i="2"/>
  <c r="R10" i="2"/>
  <c r="K60" i="2"/>
  <c r="S75" i="2"/>
  <c r="X60" i="2"/>
  <c r="X58" i="2"/>
  <c r="E84" i="2"/>
  <c r="R53" i="2"/>
  <c r="F71" i="2"/>
  <c r="AC13" i="2"/>
  <c r="K36" i="2"/>
  <c r="W36" i="2"/>
  <c r="K39" i="2"/>
  <c r="P29" i="2"/>
  <c r="P13" i="2"/>
  <c r="Q9" i="2"/>
  <c r="H75" i="2"/>
  <c r="H69" i="2"/>
  <c r="G69" i="2"/>
  <c r="G49" i="2"/>
  <c r="G67" i="2"/>
  <c r="Y44" i="2"/>
  <c r="Y64" i="2"/>
  <c r="Y62" i="2"/>
  <c r="Y28" i="2"/>
  <c r="AE77" i="2"/>
  <c r="AE63" i="2"/>
  <c r="AE67" i="2"/>
  <c r="AE53" i="2"/>
  <c r="S77" i="2"/>
  <c r="S73" i="2"/>
  <c r="S45" i="2"/>
  <c r="L66" i="2"/>
  <c r="X48" i="2"/>
  <c r="X70" i="2"/>
  <c r="AC61" i="2"/>
  <c r="E49" i="2"/>
  <c r="E41" i="2"/>
  <c r="R69" i="2"/>
  <c r="AD71" i="2"/>
  <c r="AD16" i="2"/>
  <c r="F59" i="2"/>
  <c r="AC19" i="2"/>
  <c r="AC33" i="2"/>
  <c r="K40" i="2"/>
  <c r="K56" i="2"/>
  <c r="Q75" i="2"/>
  <c r="W52" i="2"/>
  <c r="K8" i="2"/>
  <c r="W16" i="2"/>
  <c r="P41" i="2"/>
  <c r="P27" i="2"/>
  <c r="D11" i="2"/>
  <c r="Q25" i="2"/>
  <c r="E34" i="2"/>
  <c r="E17" i="2"/>
  <c r="E32" i="2"/>
  <c r="AB19" i="2"/>
  <c r="AB55" i="2"/>
  <c r="AB31" i="2"/>
  <c r="AB49" i="2"/>
  <c r="J16" i="2"/>
  <c r="J26" i="2"/>
  <c r="J14" i="2"/>
  <c r="J70" i="2"/>
  <c r="C67" i="2"/>
  <c r="C64" i="2"/>
  <c r="C15" i="2"/>
  <c r="AA17" i="2"/>
  <c r="AA50" i="2"/>
  <c r="AA66" i="2"/>
  <c r="AA52" i="2"/>
  <c r="U18" i="2"/>
  <c r="U49" i="2"/>
  <c r="U74" i="2"/>
  <c r="U84" i="2"/>
  <c r="I18" i="2"/>
  <c r="I84" i="2"/>
  <c r="I86" i="2"/>
  <c r="Q21" i="2"/>
  <c r="E9" i="2"/>
  <c r="E36" i="2"/>
  <c r="E23" i="2"/>
  <c r="AB17" i="2"/>
  <c r="AB39" i="2"/>
  <c r="AB27" i="2"/>
  <c r="AB7" i="2"/>
  <c r="J42" i="2"/>
  <c r="J18" i="2"/>
  <c r="J30" i="2"/>
  <c r="J34" i="2"/>
  <c r="C19" i="2"/>
  <c r="C44" i="2"/>
  <c r="C43" i="2"/>
  <c r="AA9" i="2"/>
  <c r="AA71" i="2"/>
  <c r="AA63" i="2"/>
  <c r="AA43" i="2"/>
  <c r="U14" i="2"/>
  <c r="U85" i="2"/>
  <c r="U63" i="2"/>
  <c r="U46" i="2"/>
  <c r="I78" i="2"/>
  <c r="I65" i="2"/>
  <c r="I59" i="2"/>
  <c r="Q15" i="2"/>
  <c r="Q28" i="2"/>
  <c r="Q40" i="2"/>
  <c r="E24" i="2"/>
  <c r="E7" i="2"/>
  <c r="E26" i="2"/>
  <c r="E33" i="2"/>
  <c r="AB15" i="2"/>
  <c r="AB65" i="2"/>
  <c r="AB11" i="2"/>
  <c r="AB41" i="2"/>
  <c r="J10" i="2"/>
  <c r="J56" i="2"/>
  <c r="J24" i="2"/>
  <c r="C62" i="2"/>
  <c r="C54" i="2"/>
  <c r="C75" i="2"/>
  <c r="C84" i="2"/>
  <c r="AA13" i="2"/>
  <c r="AA58" i="2"/>
  <c r="AA94" i="2"/>
  <c r="AA11" i="2"/>
  <c r="U55" i="2"/>
  <c r="U60" i="2"/>
  <c r="U12" i="2"/>
  <c r="I14" i="2"/>
  <c r="I44" i="2"/>
  <c r="I62" i="2"/>
  <c r="I45" i="2"/>
  <c r="Q36" i="2"/>
  <c r="Q24" i="2"/>
  <c r="E40" i="2"/>
  <c r="E27" i="2"/>
  <c r="E42" i="2"/>
  <c r="E25" i="2"/>
  <c r="AB29" i="2"/>
  <c r="AB21" i="2"/>
  <c r="AB33" i="2"/>
  <c r="AB23" i="2"/>
  <c r="J28" i="2"/>
  <c r="J22" i="2"/>
  <c r="J12" i="2"/>
  <c r="C17" i="2"/>
  <c r="C86" i="2"/>
  <c r="C59" i="2"/>
  <c r="C45" i="2"/>
  <c r="AA74" i="2"/>
  <c r="AA21" i="2"/>
  <c r="AA68" i="2"/>
  <c r="AA15" i="2"/>
  <c r="U57" i="2"/>
  <c r="U47" i="2"/>
  <c r="U89" i="2"/>
  <c r="I10" i="2"/>
  <c r="I70" i="2"/>
  <c r="I54" i="2"/>
  <c r="I67" i="2"/>
  <c r="W60" i="2"/>
  <c r="W78" i="2"/>
  <c r="Q41" i="2"/>
  <c r="Q67" i="2"/>
  <c r="Q61" i="2"/>
  <c r="W46" i="2"/>
  <c r="W64" i="2"/>
  <c r="W62" i="2"/>
  <c r="K24" i="2"/>
  <c r="K20" i="2"/>
  <c r="K33" i="2"/>
  <c r="W32" i="2"/>
  <c r="W20" i="2"/>
  <c r="W41" i="2"/>
  <c r="W26" i="2"/>
  <c r="P23" i="2"/>
  <c r="P86" i="2"/>
  <c r="P7" i="2"/>
  <c r="P51" i="2"/>
  <c r="D13" i="2"/>
  <c r="D29" i="2"/>
  <c r="D17" i="2"/>
  <c r="Q7" i="2"/>
  <c r="Q23" i="2"/>
  <c r="Q27" i="2"/>
  <c r="Q30" i="2"/>
  <c r="E13" i="2"/>
  <c r="E19" i="2"/>
  <c r="E15" i="2"/>
  <c r="E11" i="2"/>
  <c r="AB9" i="2"/>
  <c r="AB13" i="2"/>
  <c r="AB94" i="2"/>
  <c r="J40" i="2"/>
  <c r="J44" i="2"/>
  <c r="J48" i="2"/>
  <c r="J8" i="2"/>
  <c r="C56" i="2"/>
  <c r="C11" i="2"/>
  <c r="C51" i="2"/>
  <c r="C72" i="2"/>
  <c r="AA85" i="2"/>
  <c r="AA42" i="2"/>
  <c r="AA47" i="2"/>
  <c r="U8" i="2"/>
  <c r="U65" i="2"/>
  <c r="U71" i="2"/>
  <c r="U68" i="2"/>
  <c r="I51" i="2"/>
  <c r="I46" i="2"/>
  <c r="I57" i="2"/>
  <c r="I49" i="2"/>
  <c r="L70" i="2"/>
  <c r="L52" i="2"/>
  <c r="L42" i="2"/>
  <c r="L62" i="2"/>
  <c r="X46" i="2"/>
  <c r="X50" i="2"/>
  <c r="X64" i="2"/>
  <c r="AC75" i="2"/>
  <c r="AC77" i="2"/>
  <c r="AC39" i="2"/>
  <c r="AC49" i="2"/>
  <c r="E61" i="2"/>
  <c r="E71" i="2"/>
  <c r="E65" i="2"/>
  <c r="E31" i="2"/>
  <c r="R86" i="2"/>
  <c r="R67" i="2"/>
  <c r="R55" i="2"/>
  <c r="AD57" i="2"/>
  <c r="AD61" i="2"/>
  <c r="AD51" i="2"/>
  <c r="AD86" i="2"/>
  <c r="F67" i="2"/>
  <c r="F84" i="2"/>
  <c r="F57" i="2"/>
  <c r="F73" i="2"/>
  <c r="AC23" i="2"/>
  <c r="AC30" i="2"/>
  <c r="AC9" i="2"/>
  <c r="AC40" i="2"/>
  <c r="K76" i="2"/>
  <c r="K48" i="2"/>
  <c r="K42" i="2"/>
  <c r="W54" i="2"/>
  <c r="W58" i="2"/>
  <c r="Q55" i="2"/>
  <c r="Q59" i="2"/>
  <c r="Q77" i="2"/>
  <c r="W50" i="2"/>
  <c r="W56" i="2"/>
  <c r="W42" i="2"/>
  <c r="K35" i="2"/>
  <c r="K10" i="2"/>
  <c r="K32" i="2"/>
  <c r="W34" i="2"/>
  <c r="W24" i="2"/>
  <c r="W29" i="2"/>
  <c r="W30" i="2"/>
  <c r="P39" i="2"/>
  <c r="P15" i="2"/>
  <c r="P33" i="2"/>
  <c r="P31" i="2"/>
  <c r="D43" i="2"/>
  <c r="D9" i="2"/>
  <c r="D23" i="2"/>
  <c r="Q35" i="2"/>
  <c r="Q29" i="2"/>
  <c r="Q32" i="2"/>
  <c r="Q11" i="2"/>
  <c r="E35" i="2"/>
  <c r="E29" i="2"/>
  <c r="E21" i="2"/>
  <c r="E28" i="2"/>
  <c r="AB57" i="2"/>
  <c r="AB35" i="2"/>
  <c r="AB25" i="2"/>
  <c r="J36" i="2"/>
  <c r="J64" i="2"/>
  <c r="J20" i="2"/>
  <c r="J32" i="2"/>
  <c r="C78" i="2"/>
  <c r="C13" i="2"/>
  <c r="C48" i="2"/>
  <c r="C70" i="2"/>
  <c r="AA60" i="2"/>
  <c r="AA55" i="2"/>
  <c r="AA76" i="2"/>
  <c r="U76" i="2"/>
  <c r="U10" i="2"/>
  <c r="U52" i="2"/>
  <c r="U73" i="2"/>
  <c r="I75" i="2"/>
  <c r="I16" i="2"/>
  <c r="I73" i="2"/>
  <c r="I12" i="2"/>
  <c r="AA95" i="2"/>
  <c r="Q50" i="2"/>
  <c r="P70" i="2"/>
  <c r="C90" i="2"/>
  <c r="V78" i="2"/>
  <c r="D48" i="2"/>
  <c r="AB60" i="2"/>
  <c r="V61" i="2"/>
  <c r="D60" i="2"/>
  <c r="V71" i="2"/>
  <c r="D72" i="2"/>
  <c r="Q89" i="2"/>
  <c r="AB70" i="2"/>
  <c r="P62" i="2"/>
  <c r="U91" i="2"/>
  <c r="U75" i="2"/>
  <c r="O9" i="2"/>
  <c r="AA19" i="2"/>
  <c r="Z50" i="2"/>
  <c r="I42" i="2"/>
  <c r="V45" i="2"/>
  <c r="D64" i="2"/>
  <c r="Q54" i="2"/>
  <c r="AB76" i="2"/>
  <c r="V73" i="2"/>
  <c r="D85" i="2"/>
  <c r="U20" i="2"/>
  <c r="O89" i="2"/>
  <c r="AA89" i="2"/>
  <c r="AA7" i="2"/>
  <c r="AF86" i="2"/>
  <c r="AF51" i="2"/>
  <c r="Z72" i="2"/>
  <c r="Z52" i="2"/>
  <c r="C69" i="2"/>
  <c r="C74" i="2"/>
  <c r="C66" i="2"/>
  <c r="I30" i="2"/>
  <c r="I72" i="2"/>
  <c r="I64" i="2"/>
  <c r="M76" i="2"/>
  <c r="M72" i="2"/>
  <c r="M62" i="2"/>
  <c r="M42" i="2"/>
  <c r="T55" i="2"/>
  <c r="T40" i="2"/>
  <c r="T65" i="2"/>
  <c r="L93" i="2"/>
  <c r="N66" i="2"/>
  <c r="N54" i="2"/>
  <c r="N44" i="2"/>
  <c r="D52" i="2"/>
  <c r="U83" i="2"/>
  <c r="O31" i="2"/>
  <c r="O75" i="2"/>
  <c r="AA49" i="2"/>
  <c r="AF47" i="2"/>
  <c r="AF67" i="2"/>
  <c r="Z78" i="2"/>
  <c r="Z89" i="2"/>
  <c r="I43" i="2"/>
  <c r="P43" i="2"/>
  <c r="Q68" i="2"/>
  <c r="P76" i="2"/>
  <c r="U82" i="2"/>
  <c r="U36" i="2"/>
  <c r="C82" i="2"/>
  <c r="O51" i="2"/>
  <c r="O27" i="2"/>
  <c r="AA84" i="2"/>
  <c r="AA73" i="2"/>
  <c r="AF77" i="2"/>
  <c r="AF53" i="2"/>
  <c r="AF71" i="2"/>
  <c r="Z7" i="2"/>
  <c r="Z70" i="2"/>
  <c r="Z41" i="2"/>
  <c r="C50" i="2"/>
  <c r="C23" i="2"/>
  <c r="C25" i="2"/>
  <c r="I53" i="2"/>
  <c r="I24" i="2"/>
  <c r="I22" i="2"/>
  <c r="I32" i="2"/>
  <c r="M70" i="2"/>
  <c r="M78" i="2"/>
  <c r="M66" i="2"/>
  <c r="M64" i="2"/>
  <c r="T67" i="2"/>
  <c r="T86" i="2"/>
  <c r="T59" i="2"/>
  <c r="N72" i="2"/>
  <c r="N46" i="2"/>
  <c r="N78" i="2"/>
  <c r="N56" i="2"/>
  <c r="I88" i="2"/>
  <c r="AB68" i="2"/>
  <c r="I91" i="2"/>
  <c r="Z93" i="2"/>
  <c r="U22" i="2"/>
  <c r="U34" i="2"/>
  <c r="C87" i="2"/>
  <c r="O25" i="2"/>
  <c r="M93" i="2"/>
  <c r="AA25" i="2"/>
  <c r="AF36" i="2"/>
  <c r="Z56" i="2"/>
  <c r="Q60" i="2"/>
  <c r="O93" i="2"/>
  <c r="U62" i="2"/>
  <c r="D44" i="2"/>
  <c r="N93" i="2"/>
  <c r="D74" i="2"/>
  <c r="Q42" i="2"/>
  <c r="Q44" i="2"/>
  <c r="AB66" i="2"/>
  <c r="AB85" i="2"/>
  <c r="O88" i="2"/>
  <c r="P89" i="2"/>
  <c r="P60" i="2"/>
  <c r="I87" i="2"/>
  <c r="U95" i="2"/>
  <c r="U28" i="2"/>
  <c r="U45" i="2"/>
  <c r="C91" i="2"/>
  <c r="O33" i="2"/>
  <c r="O67" i="2"/>
  <c r="AA62" i="2"/>
  <c r="AA41" i="2"/>
  <c r="AF55" i="2"/>
  <c r="AF45" i="2"/>
  <c r="AF40" i="2"/>
  <c r="Z74" i="2"/>
  <c r="Z76" i="2"/>
  <c r="C58" i="2"/>
  <c r="C61" i="2"/>
  <c r="C85" i="2"/>
  <c r="C9" i="2"/>
  <c r="I34" i="2"/>
  <c r="I8" i="2"/>
  <c r="I48" i="2"/>
  <c r="I20" i="2"/>
  <c r="M56" i="2"/>
  <c r="M54" i="2"/>
  <c r="M60" i="2"/>
  <c r="T77" i="2"/>
  <c r="T69" i="2"/>
  <c r="T63" i="2"/>
  <c r="T43" i="2"/>
  <c r="N48" i="2"/>
  <c r="N64" i="2"/>
  <c r="N76" i="2"/>
  <c r="N58" i="2"/>
  <c r="D76" i="2"/>
  <c r="O90" i="2"/>
  <c r="U67" i="2"/>
  <c r="D62" i="2"/>
  <c r="Q58" i="2"/>
  <c r="AA88" i="2"/>
  <c r="D50" i="2"/>
  <c r="Q56" i="2"/>
  <c r="AB73" i="2"/>
  <c r="AB52" i="2"/>
  <c r="O87" i="2"/>
  <c r="P85" i="2"/>
  <c r="P56" i="2"/>
  <c r="U40" i="2"/>
  <c r="U32" i="2"/>
  <c r="C92" i="2"/>
  <c r="O23" i="2"/>
  <c r="AA78" i="2"/>
  <c r="AA70" i="2"/>
  <c r="AF65" i="2"/>
  <c r="Z66" i="2"/>
  <c r="AA92" i="2"/>
  <c r="AB58" i="2"/>
  <c r="V59" i="2"/>
  <c r="P66" i="2"/>
  <c r="Q64" i="2"/>
  <c r="I82" i="2"/>
  <c r="O86" i="2"/>
  <c r="AF49" i="2"/>
  <c r="C77" i="2"/>
  <c r="I56" i="2"/>
  <c r="I36" i="2"/>
  <c r="M46" i="2"/>
  <c r="M34" i="2"/>
  <c r="M28" i="2"/>
  <c r="T36" i="2"/>
  <c r="T51" i="2"/>
  <c r="T73" i="2"/>
  <c r="T61" i="2"/>
  <c r="N50" i="2"/>
  <c r="N70" i="2"/>
  <c r="N42" i="2"/>
  <c r="N60" i="2"/>
  <c r="V63" i="2"/>
  <c r="AB84" i="2"/>
  <c r="AA82" i="2"/>
  <c r="O83" i="2"/>
  <c r="V84" i="2"/>
  <c r="O92" i="2"/>
  <c r="O64" i="2"/>
  <c r="I40" i="2"/>
  <c r="V55" i="2"/>
  <c r="Q85" i="2"/>
  <c r="P68" i="2"/>
  <c r="U92" i="2"/>
  <c r="AA83" i="2"/>
  <c r="Q74" i="2"/>
  <c r="P64" i="2"/>
  <c r="V86" i="2"/>
  <c r="AA90" i="2"/>
  <c r="D78" i="2"/>
  <c r="AB54" i="2"/>
  <c r="P54" i="2"/>
  <c r="U26" i="2"/>
  <c r="AA39" i="2"/>
  <c r="AF69" i="2"/>
  <c r="Z68" i="2"/>
  <c r="C31" i="2"/>
  <c r="V67" i="2"/>
  <c r="D56" i="2"/>
  <c r="Q72" i="2"/>
  <c r="AB44" i="2"/>
  <c r="C93" i="2"/>
  <c r="P48" i="2"/>
  <c r="P52" i="2"/>
  <c r="I92" i="2"/>
  <c r="I83" i="2"/>
  <c r="U90" i="2"/>
  <c r="U59" i="2"/>
  <c r="U16" i="2"/>
  <c r="U78" i="2"/>
  <c r="U86" i="2"/>
  <c r="C95" i="2"/>
  <c r="O48" i="2"/>
  <c r="O41" i="2"/>
  <c r="O59" i="2"/>
  <c r="O72" i="2"/>
  <c r="AA29" i="2"/>
  <c r="AA27" i="2"/>
  <c r="AA57" i="2"/>
  <c r="AA23" i="2"/>
  <c r="AF63" i="2"/>
  <c r="AF73" i="2"/>
  <c r="AF59" i="2"/>
  <c r="Z54" i="2"/>
  <c r="Z44" i="2"/>
  <c r="Z60" i="2"/>
  <c r="Z62" i="2"/>
  <c r="C7" i="2"/>
  <c r="C33" i="2"/>
  <c r="C27" i="2"/>
  <c r="C39" i="2"/>
  <c r="I26" i="2"/>
  <c r="I77" i="2"/>
  <c r="I94" i="2"/>
  <c r="M50" i="2"/>
  <c r="M58" i="2"/>
  <c r="M52" i="2"/>
  <c r="M68" i="2"/>
  <c r="T49" i="2"/>
  <c r="T53" i="2"/>
  <c r="T45" i="2"/>
  <c r="T71" i="2"/>
  <c r="N52" i="2"/>
  <c r="N7" i="2"/>
  <c r="N62" i="2"/>
  <c r="N68" i="2"/>
  <c r="D89" i="2"/>
  <c r="AB48" i="2"/>
  <c r="O44" i="2"/>
  <c r="Q46" i="2"/>
  <c r="P74" i="2"/>
  <c r="V77" i="2"/>
  <c r="V69" i="2"/>
  <c r="D46" i="2"/>
  <c r="AB56" i="2"/>
  <c r="P72" i="2"/>
  <c r="U30" i="2"/>
  <c r="O56" i="2"/>
  <c r="AA46" i="2"/>
  <c r="AF84" i="2"/>
  <c r="C21" i="2"/>
  <c r="V94" i="2"/>
  <c r="D7" i="2"/>
  <c r="Q52" i="2"/>
  <c r="AB78" i="2"/>
  <c r="P46" i="2"/>
  <c r="V49" i="2"/>
  <c r="Q76" i="2"/>
  <c r="P75" i="2"/>
  <c r="Y93" i="2"/>
  <c r="V75" i="2"/>
  <c r="D66" i="2"/>
  <c r="AB46" i="2"/>
  <c r="V53" i="2"/>
  <c r="D68" i="2"/>
  <c r="V65" i="2"/>
  <c r="D54" i="2"/>
  <c r="Q94" i="2"/>
  <c r="AB64" i="2"/>
  <c r="O82" i="2"/>
  <c r="I90" i="2"/>
  <c r="U70" i="2"/>
  <c r="C83" i="2"/>
  <c r="AA54" i="2"/>
  <c r="AF57" i="2"/>
  <c r="Z42" i="2"/>
  <c r="C89" i="2"/>
  <c r="AA87" i="2"/>
  <c r="V43" i="2"/>
  <c r="Q48" i="2"/>
  <c r="AB89" i="2"/>
  <c r="O95" i="2"/>
  <c r="AA91" i="2"/>
  <c r="V47" i="2"/>
  <c r="V51" i="2"/>
  <c r="V57" i="2"/>
  <c r="D58" i="2"/>
  <c r="D70" i="2"/>
  <c r="D77" i="2"/>
  <c r="Q62" i="2"/>
  <c r="Q70" i="2"/>
  <c r="Q66" i="2"/>
  <c r="Q78" i="2"/>
  <c r="AB72" i="2"/>
  <c r="AB62" i="2"/>
  <c r="AB50" i="2"/>
  <c r="AB74" i="2"/>
  <c r="O91" i="2"/>
  <c r="P78" i="2"/>
  <c r="P58" i="2"/>
  <c r="P50" i="2"/>
  <c r="P44" i="2"/>
  <c r="I95" i="2"/>
  <c r="U87" i="2"/>
  <c r="U88" i="2"/>
  <c r="U24" i="2"/>
  <c r="U94" i="2"/>
  <c r="U51" i="2"/>
  <c r="U54" i="2"/>
  <c r="C88" i="2"/>
  <c r="O35" i="2"/>
  <c r="O21" i="2"/>
  <c r="O29" i="2"/>
  <c r="O39" i="2"/>
  <c r="AA35" i="2"/>
  <c r="AA65" i="2"/>
  <c r="AA31" i="2"/>
  <c r="AA33" i="2"/>
  <c r="AF75" i="2"/>
  <c r="AF43" i="2"/>
  <c r="AF61" i="2"/>
  <c r="Z64" i="2"/>
  <c r="Z46" i="2"/>
  <c r="Z48" i="2"/>
  <c r="Z58" i="2"/>
  <c r="C29" i="2"/>
  <c r="C53" i="2"/>
  <c r="C41" i="2"/>
  <c r="C35" i="2"/>
  <c r="I69" i="2"/>
  <c r="I28" i="2"/>
  <c r="I61" i="2"/>
  <c r="M44" i="2"/>
  <c r="M85" i="2"/>
  <c r="M48" i="2"/>
  <c r="M74" i="2"/>
  <c r="T47" i="2"/>
  <c r="T84" i="2"/>
  <c r="T57" i="2"/>
  <c r="T75" i="2"/>
  <c r="N74" i="2"/>
  <c r="N85" i="2"/>
  <c r="N41" i="2"/>
  <c r="X93" i="2"/>
  <c r="W53" i="2"/>
  <c r="E58" i="2"/>
  <c r="E54" i="2"/>
  <c r="AC92" i="2"/>
  <c r="V87" i="2"/>
  <c r="E89" i="2"/>
  <c r="J49" i="2"/>
  <c r="AC68" i="2"/>
  <c r="AC66" i="2"/>
  <c r="AC60" i="2"/>
  <c r="R83" i="2"/>
  <c r="K61" i="2"/>
  <c r="Q92" i="2"/>
  <c r="F54" i="2"/>
  <c r="AD48" i="2"/>
  <c r="J91" i="2"/>
  <c r="E48" i="2"/>
  <c r="J45" i="2"/>
  <c r="K49" i="2"/>
  <c r="W89" i="2"/>
  <c r="F66" i="2"/>
  <c r="AD74" i="2"/>
  <c r="J82" i="2"/>
  <c r="AB90" i="2"/>
  <c r="E76" i="2"/>
  <c r="J63" i="2"/>
  <c r="J77" i="2"/>
  <c r="AC42" i="2"/>
  <c r="K47" i="2"/>
  <c r="AC56" i="2"/>
  <c r="W73" i="2"/>
  <c r="J87" i="2"/>
  <c r="R48" i="2"/>
  <c r="K69" i="2"/>
  <c r="W49" i="2"/>
  <c r="Q91" i="2"/>
  <c r="E91" i="2"/>
  <c r="AC83" i="2"/>
  <c r="K95" i="2"/>
  <c r="F44" i="2"/>
  <c r="F56" i="2"/>
  <c r="F74" i="2"/>
  <c r="F78" i="2"/>
  <c r="AD76" i="2"/>
  <c r="AD46" i="2"/>
  <c r="AD42" i="2"/>
  <c r="D93" i="2"/>
  <c r="D90" i="2"/>
  <c r="J92" i="2"/>
  <c r="V83" i="2"/>
  <c r="V92" i="2"/>
  <c r="AB91" i="2"/>
  <c r="W82" i="2"/>
  <c r="P92" i="2"/>
  <c r="E94" i="2"/>
  <c r="E66" i="2"/>
  <c r="P88" i="2"/>
  <c r="E70" i="2"/>
  <c r="J69" i="2"/>
  <c r="J72" i="2"/>
  <c r="J55" i="2"/>
  <c r="J71" i="2"/>
  <c r="AC72" i="2"/>
  <c r="AC58" i="2"/>
  <c r="AC85" i="2"/>
  <c r="AC54" i="2"/>
  <c r="K65" i="2"/>
  <c r="W75" i="2"/>
  <c r="K82" i="2"/>
  <c r="D83" i="2"/>
  <c r="W87" i="2"/>
  <c r="P93" i="2"/>
  <c r="R74" i="2"/>
  <c r="W63" i="2"/>
  <c r="F58" i="2"/>
  <c r="AD72" i="2"/>
  <c r="W91" i="2"/>
  <c r="R46" i="2"/>
  <c r="K45" i="2"/>
  <c r="W86" i="2"/>
  <c r="W45" i="2"/>
  <c r="Q83" i="2"/>
  <c r="AC91" i="2"/>
  <c r="R95" i="2"/>
  <c r="K63" i="2"/>
  <c r="E93" i="2"/>
  <c r="F85" i="2"/>
  <c r="AD66" i="2"/>
  <c r="W88" i="2"/>
  <c r="J65" i="2"/>
  <c r="R56" i="2"/>
  <c r="K71" i="2"/>
  <c r="R93" i="2"/>
  <c r="F46" i="2"/>
  <c r="D92" i="2"/>
  <c r="W92" i="2"/>
  <c r="R88" i="2"/>
  <c r="K94" i="2"/>
  <c r="K43" i="2"/>
  <c r="K55" i="2"/>
  <c r="R78" i="2"/>
  <c r="K57" i="2"/>
  <c r="W69" i="2"/>
  <c r="W77" i="2"/>
  <c r="Q82" i="2"/>
  <c r="Q87" i="2"/>
  <c r="E95" i="2"/>
  <c r="AC95" i="2"/>
  <c r="AC90" i="2"/>
  <c r="K83" i="2"/>
  <c r="F52" i="2"/>
  <c r="F76" i="2"/>
  <c r="F48" i="2"/>
  <c r="F70" i="2"/>
  <c r="AD85" i="2"/>
  <c r="AD44" i="2"/>
  <c r="AD94" i="2"/>
  <c r="AB93" i="2"/>
  <c r="D88" i="2"/>
  <c r="J90" i="2"/>
  <c r="V90" i="2"/>
  <c r="V82" i="2"/>
  <c r="AB83" i="2"/>
  <c r="W90" i="2"/>
  <c r="E56" i="2"/>
  <c r="E68" i="2"/>
  <c r="P83" i="2"/>
  <c r="E64" i="2"/>
  <c r="E86" i="2"/>
  <c r="J59" i="2"/>
  <c r="J84" i="2"/>
  <c r="J53" i="2"/>
  <c r="J75" i="2"/>
  <c r="AC46" i="2"/>
  <c r="AC89" i="2"/>
  <c r="AC74" i="2"/>
  <c r="AC64" i="2"/>
  <c r="R84" i="2"/>
  <c r="W61" i="2"/>
  <c r="AC88" i="2"/>
  <c r="AD60" i="2"/>
  <c r="AB92" i="2"/>
  <c r="AC50" i="2"/>
  <c r="R90" i="2"/>
  <c r="K84" i="2"/>
  <c r="E88" i="2"/>
  <c r="AD89" i="2"/>
  <c r="P91" i="2"/>
  <c r="R50" i="2"/>
  <c r="K51" i="2"/>
  <c r="K86" i="2"/>
  <c r="R68" i="2"/>
  <c r="K53" i="2"/>
  <c r="W65" i="2"/>
  <c r="K77" i="2"/>
  <c r="W71" i="2"/>
  <c r="F72" i="2"/>
  <c r="AD70" i="2"/>
  <c r="V91" i="2"/>
  <c r="AC94" i="2"/>
  <c r="R91" i="2"/>
  <c r="K75" i="2"/>
  <c r="W57" i="2"/>
  <c r="K92" i="2"/>
  <c r="F60" i="2"/>
  <c r="P87" i="2"/>
  <c r="R52" i="2"/>
  <c r="R92" i="2"/>
  <c r="R82" i="2"/>
  <c r="R85" i="2"/>
  <c r="R62" i="2"/>
  <c r="R58" i="2"/>
  <c r="K73" i="2"/>
  <c r="K67" i="2"/>
  <c r="W51" i="2"/>
  <c r="W94" i="2"/>
  <c r="W47" i="2"/>
  <c r="W84" i="2"/>
  <c r="Q95" i="2"/>
  <c r="E90" i="2"/>
  <c r="E92" i="2"/>
  <c r="AC87" i="2"/>
  <c r="K90" i="2"/>
  <c r="K87" i="2"/>
  <c r="F86" i="2"/>
  <c r="F64" i="2"/>
  <c r="F94" i="2"/>
  <c r="AD52" i="2"/>
  <c r="AD58" i="2"/>
  <c r="AD68" i="2"/>
  <c r="AD62" i="2"/>
  <c r="D87" i="2"/>
  <c r="D95" i="2"/>
  <c r="J83" i="2"/>
  <c r="V95" i="2"/>
  <c r="AB87" i="2"/>
  <c r="AB95" i="2"/>
  <c r="W83" i="2"/>
  <c r="P82" i="2"/>
  <c r="E44" i="2"/>
  <c r="E60" i="2"/>
  <c r="P90" i="2"/>
  <c r="E74" i="2"/>
  <c r="J67" i="2"/>
  <c r="J43" i="2"/>
  <c r="J51" i="2"/>
  <c r="J47" i="2"/>
  <c r="AC76" i="2"/>
  <c r="AC78" i="2"/>
  <c r="AC48" i="2"/>
  <c r="AC44" i="2"/>
  <c r="R89" i="2"/>
  <c r="E82" i="2"/>
  <c r="F89" i="2"/>
  <c r="J95" i="2"/>
  <c r="P95" i="2"/>
  <c r="J94" i="2"/>
  <c r="R70" i="2"/>
  <c r="Q88" i="2"/>
  <c r="AD64" i="2"/>
  <c r="E50" i="2"/>
  <c r="R72" i="2"/>
  <c r="R76" i="2"/>
  <c r="K89" i="2"/>
  <c r="E85" i="2"/>
  <c r="AC93" i="2"/>
  <c r="R87" i="2"/>
  <c r="R60" i="2"/>
  <c r="R64" i="2"/>
  <c r="R94" i="2"/>
  <c r="R66" i="2"/>
  <c r="R54" i="2"/>
  <c r="R44" i="2"/>
  <c r="K59" i="2"/>
  <c r="W67" i="2"/>
  <c r="W59" i="2"/>
  <c r="W55" i="2"/>
  <c r="W43" i="2"/>
  <c r="Q90" i="2"/>
  <c r="E87" i="2"/>
  <c r="E83" i="2"/>
  <c r="AC82" i="2"/>
  <c r="K88" i="2"/>
  <c r="K91" i="2"/>
  <c r="F50" i="2"/>
  <c r="F68" i="2"/>
  <c r="F62" i="2"/>
  <c r="AD56" i="2"/>
  <c r="AD54" i="2"/>
  <c r="AD50" i="2"/>
  <c r="AD78" i="2"/>
  <c r="D82" i="2"/>
  <c r="D91" i="2"/>
  <c r="J88" i="2"/>
  <c r="V88" i="2"/>
  <c r="AB88" i="2"/>
  <c r="AB82" i="2"/>
  <c r="W95" i="2"/>
  <c r="E72" i="2"/>
  <c r="E52" i="2"/>
  <c r="E62" i="2"/>
  <c r="E78" i="2"/>
  <c r="E46" i="2"/>
  <c r="J73" i="2"/>
  <c r="J86" i="2"/>
  <c r="J61" i="2"/>
  <c r="J57" i="2"/>
  <c r="AC52" i="2"/>
  <c r="AC62" i="2"/>
  <c r="AC70" i="2"/>
  <c r="AA93" i="2"/>
  <c r="N88" i="2"/>
  <c r="M83" i="2"/>
  <c r="L51" i="2"/>
  <c r="T90" i="2"/>
  <c r="T46" i="2"/>
  <c r="F90" i="2"/>
  <c r="T92" i="2"/>
  <c r="X65" i="2"/>
  <c r="F82" i="2"/>
  <c r="F93" i="2"/>
  <c r="X61" i="2"/>
  <c r="G62" i="2"/>
  <c r="G56" i="2"/>
  <c r="AE94" i="2"/>
  <c r="AE70" i="2"/>
  <c r="AE62" i="2"/>
  <c r="Y57" i="2"/>
  <c r="Y84" i="2"/>
  <c r="Y59" i="2"/>
  <c r="Y71" i="2"/>
  <c r="X83" i="2"/>
  <c r="L83" i="2"/>
  <c r="L71" i="2"/>
  <c r="G72" i="2"/>
  <c r="AE66" i="2"/>
  <c r="X84" i="2"/>
  <c r="G60" i="2"/>
  <c r="G52" i="2"/>
  <c r="G58" i="2"/>
  <c r="AE85" i="2"/>
  <c r="AE60" i="2"/>
  <c r="AE74" i="2"/>
  <c r="AE42" i="2"/>
  <c r="Y43" i="2"/>
  <c r="Y47" i="2"/>
  <c r="Y67" i="2"/>
  <c r="X87" i="2"/>
  <c r="X82" i="2"/>
  <c r="L82" i="2"/>
  <c r="X51" i="2"/>
  <c r="G74" i="2"/>
  <c r="H82" i="2"/>
  <c r="L59" i="2"/>
  <c r="AD91" i="2"/>
  <c r="T89" i="2"/>
  <c r="M90" i="2"/>
  <c r="X75" i="2"/>
  <c r="X89" i="2"/>
  <c r="L63" i="2"/>
  <c r="T85" i="2"/>
  <c r="L55" i="2"/>
  <c r="L65" i="2"/>
  <c r="T54" i="2"/>
  <c r="T68" i="2"/>
  <c r="G50" i="2"/>
  <c r="G66" i="2"/>
  <c r="G70" i="2"/>
  <c r="G89" i="2"/>
  <c r="AE54" i="2"/>
  <c r="AE89" i="2"/>
  <c r="AE78" i="2"/>
  <c r="AE48" i="2"/>
  <c r="Y63" i="2"/>
  <c r="Y94" i="2"/>
  <c r="Y86" i="2"/>
  <c r="X92" i="2"/>
  <c r="X95" i="2"/>
  <c r="L90" i="2"/>
  <c r="T93" i="2"/>
  <c r="T95" i="2"/>
  <c r="T76" i="2"/>
  <c r="N91" i="2"/>
  <c r="T83" i="2"/>
  <c r="T72" i="2"/>
  <c r="AD88" i="2"/>
  <c r="X57" i="2"/>
  <c r="X71" i="2"/>
  <c r="T52" i="2"/>
  <c r="AD82" i="2"/>
  <c r="T66" i="2"/>
  <c r="M95" i="2"/>
  <c r="L49" i="2"/>
  <c r="N82" i="2"/>
  <c r="AD87" i="2"/>
  <c r="X45" i="2"/>
  <c r="L47" i="2"/>
  <c r="L67" i="2"/>
  <c r="T48" i="2"/>
  <c r="T64" i="2"/>
  <c r="T62" i="2"/>
  <c r="T56" i="2"/>
  <c r="G76" i="2"/>
  <c r="G85" i="2"/>
  <c r="G44" i="2"/>
  <c r="G64" i="2"/>
  <c r="AE52" i="2"/>
  <c r="AE76" i="2"/>
  <c r="AE58" i="2"/>
  <c r="Y89" i="2"/>
  <c r="Y51" i="2"/>
  <c r="Y55" i="2"/>
  <c r="Y45" i="2"/>
  <c r="X88" i="2"/>
  <c r="L88" i="2"/>
  <c r="L87" i="2"/>
  <c r="X47" i="2"/>
  <c r="T44" i="2"/>
  <c r="H92" i="2"/>
  <c r="X59" i="2"/>
  <c r="N83" i="2"/>
  <c r="F91" i="2"/>
  <c r="M87" i="2"/>
  <c r="X43" i="2"/>
  <c r="L69" i="2"/>
  <c r="H83" i="2"/>
  <c r="L45" i="2"/>
  <c r="N90" i="2"/>
  <c r="L53" i="2"/>
  <c r="T87" i="2"/>
  <c r="M91" i="2"/>
  <c r="N92" i="2"/>
  <c r="T82" i="2"/>
  <c r="M88" i="2"/>
  <c r="X67" i="2"/>
  <c r="X86" i="2"/>
  <c r="X94" i="2"/>
  <c r="X73" i="2"/>
  <c r="T94" i="2"/>
  <c r="L89" i="2"/>
  <c r="L75" i="2"/>
  <c r="L61" i="2"/>
  <c r="L57" i="2"/>
  <c r="L94" i="2"/>
  <c r="T42" i="2"/>
  <c r="G68" i="2"/>
  <c r="G84" i="2"/>
  <c r="G54" i="2"/>
  <c r="G46" i="2"/>
  <c r="AE72" i="2"/>
  <c r="AE68" i="2"/>
  <c r="AE50" i="2"/>
  <c r="Y69" i="2"/>
  <c r="Y53" i="2"/>
  <c r="Y77" i="2"/>
  <c r="Y75" i="2"/>
  <c r="X91" i="2"/>
  <c r="L91" i="2"/>
  <c r="L92" i="2"/>
  <c r="F88" i="2"/>
  <c r="X55" i="2"/>
  <c r="F95" i="2"/>
  <c r="T70" i="2"/>
  <c r="T91" i="2"/>
  <c r="F87" i="2"/>
  <c r="AE93" i="2"/>
  <c r="AD90" i="2"/>
  <c r="AD83" i="2"/>
  <c r="L86" i="2"/>
  <c r="X63" i="2"/>
  <c r="L43" i="2"/>
  <c r="N87" i="2"/>
  <c r="H95" i="2"/>
  <c r="H91" i="2"/>
  <c r="X49" i="2"/>
  <c r="F83" i="2"/>
  <c r="H87" i="2"/>
  <c r="M82" i="2"/>
  <c r="N95" i="2"/>
  <c r="F92" i="2"/>
  <c r="H88" i="2"/>
  <c r="H90" i="2"/>
  <c r="T88" i="2"/>
  <c r="M92" i="2"/>
  <c r="AD92" i="2"/>
  <c r="AD95" i="2"/>
  <c r="X53" i="2"/>
  <c r="X77" i="2"/>
  <c r="X69" i="2"/>
  <c r="L77" i="2"/>
  <c r="L73" i="2"/>
  <c r="T58" i="2"/>
  <c r="L84" i="2"/>
  <c r="T74" i="2"/>
  <c r="T78" i="2"/>
  <c r="T50" i="2"/>
  <c r="T60" i="2"/>
  <c r="G48" i="2"/>
  <c r="G94" i="2"/>
  <c r="G78" i="2"/>
  <c r="AE64" i="2"/>
  <c r="AE44" i="2"/>
  <c r="AE46" i="2"/>
  <c r="AE56" i="2"/>
  <c r="Y65" i="2"/>
  <c r="Y73" i="2"/>
  <c r="Y61" i="2"/>
  <c r="Y49" i="2"/>
  <c r="X90" i="2"/>
  <c r="L95" i="2"/>
  <c r="Q93" i="2"/>
  <c r="AF87" i="2"/>
  <c r="AF46" i="2"/>
  <c r="N55" i="2"/>
  <c r="Z77" i="2"/>
  <c r="M77" i="2"/>
  <c r="H60" i="2"/>
  <c r="AF82" i="2"/>
  <c r="AF42" i="2"/>
  <c r="S64" i="2"/>
  <c r="N89" i="2"/>
  <c r="Z55" i="2"/>
  <c r="M57" i="2"/>
  <c r="H70" i="2"/>
  <c r="AF58" i="2"/>
  <c r="S50" i="2"/>
  <c r="N47" i="2"/>
  <c r="Z59" i="2"/>
  <c r="M73" i="2"/>
  <c r="H77" i="2"/>
  <c r="AF91" i="2"/>
  <c r="AF56" i="2"/>
  <c r="N61" i="2"/>
  <c r="Z73" i="2"/>
  <c r="M43" i="2"/>
  <c r="H85" i="2"/>
  <c r="AD93" i="2"/>
  <c r="AF60" i="2"/>
  <c r="S46" i="2"/>
  <c r="N73" i="2"/>
  <c r="N67" i="2"/>
  <c r="M55" i="2"/>
  <c r="AF68" i="2"/>
  <c r="AF64" i="2"/>
  <c r="S85" i="2"/>
  <c r="N69" i="2"/>
  <c r="Z75" i="2"/>
  <c r="Z84" i="2"/>
  <c r="H66" i="2"/>
  <c r="AF95" i="2"/>
  <c r="AF76" i="2"/>
  <c r="N59" i="2"/>
  <c r="N71" i="2"/>
  <c r="M59" i="2"/>
  <c r="H89" i="2"/>
  <c r="Z95" i="2"/>
  <c r="AF48" i="2"/>
  <c r="N49" i="2"/>
  <c r="N43" i="2"/>
  <c r="Z45" i="2"/>
  <c r="H62" i="2"/>
  <c r="Z91" i="2"/>
  <c r="AF54" i="2"/>
  <c r="S89" i="2"/>
  <c r="N65" i="2"/>
  <c r="M86" i="2"/>
  <c r="H56" i="2"/>
  <c r="Z82" i="2"/>
  <c r="S48" i="2"/>
  <c r="N53" i="2"/>
  <c r="Z86" i="2"/>
  <c r="Z71" i="2"/>
  <c r="M61" i="2"/>
  <c r="H72" i="2"/>
  <c r="H50" i="2"/>
  <c r="H58" i="2"/>
  <c r="H46" i="2"/>
  <c r="Z87" i="2"/>
  <c r="S44" i="2"/>
  <c r="S52" i="2"/>
  <c r="N45" i="2"/>
  <c r="M75" i="2"/>
  <c r="M49" i="2"/>
  <c r="AF52" i="2"/>
  <c r="S76" i="2"/>
  <c r="Z43" i="2"/>
  <c r="Z61" i="2"/>
  <c r="H94" i="2"/>
  <c r="AF92" i="2"/>
  <c r="AF85" i="2"/>
  <c r="S54" i="2"/>
  <c r="N86" i="2"/>
  <c r="Z65" i="2"/>
  <c r="M67" i="2"/>
  <c r="H44" i="2"/>
  <c r="AF44" i="2"/>
  <c r="S62" i="2"/>
  <c r="S66" i="2"/>
  <c r="N75" i="2"/>
  <c r="Z85" i="2"/>
  <c r="M53" i="2"/>
  <c r="H54" i="2"/>
  <c r="AF90" i="2"/>
  <c r="AF62" i="2"/>
  <c r="N63" i="2"/>
  <c r="AF83" i="2"/>
  <c r="AF50" i="2"/>
  <c r="S56" i="2"/>
  <c r="Z47" i="2"/>
  <c r="M69" i="2"/>
  <c r="H78" i="2"/>
  <c r="Z90" i="2"/>
  <c r="AF66" i="2"/>
  <c r="S78" i="2"/>
  <c r="N84" i="2"/>
  <c r="Z67" i="2"/>
  <c r="M71" i="2"/>
  <c r="H52" i="2"/>
  <c r="Z83" i="2"/>
  <c r="AF74" i="2"/>
  <c r="S58" i="2"/>
  <c r="Z94" i="2"/>
  <c r="M45" i="2"/>
  <c r="H68" i="2"/>
  <c r="Z92" i="2"/>
  <c r="S60" i="2"/>
  <c r="N94" i="2"/>
  <c r="Z57" i="2"/>
  <c r="M84" i="2"/>
  <c r="H48" i="2"/>
  <c r="AF89" i="2"/>
  <c r="S70" i="2"/>
  <c r="S68" i="2"/>
  <c r="Z53" i="2"/>
  <c r="M63" i="2"/>
  <c r="M47" i="2"/>
  <c r="AF88" i="2"/>
  <c r="Z88" i="2"/>
  <c r="AF72" i="2"/>
  <c r="AF94" i="2"/>
  <c r="AF70" i="2"/>
  <c r="AF78" i="2"/>
  <c r="S42" i="2"/>
  <c r="S94" i="2"/>
  <c r="S72" i="2"/>
  <c r="S74" i="2"/>
  <c r="N57" i="2"/>
  <c r="N51" i="2"/>
  <c r="N77" i="2"/>
  <c r="Z49" i="2"/>
  <c r="Z69" i="2"/>
  <c r="Z63" i="2"/>
  <c r="Z51" i="2"/>
  <c r="M89" i="2"/>
  <c r="M65" i="2"/>
  <c r="M51" i="2"/>
  <c r="M94" i="2"/>
  <c r="H64" i="2"/>
  <c r="H76" i="2"/>
  <c r="H74" i="2"/>
  <c r="H93" i="2"/>
  <c r="S82" i="2"/>
  <c r="G82" i="2"/>
  <c r="Y92" i="2"/>
  <c r="AF93" i="2"/>
  <c r="G93" i="2"/>
  <c r="S93" i="2"/>
  <c r="Y90" i="2"/>
  <c r="AE92" i="2"/>
  <c r="S91" i="2"/>
  <c r="S95" i="2"/>
  <c r="G92" i="2"/>
  <c r="AE95" i="2"/>
  <c r="AE90" i="2"/>
  <c r="S83" i="2"/>
  <c r="Y82" i="2"/>
  <c r="S90" i="2"/>
  <c r="G90" i="2"/>
  <c r="Y83" i="2"/>
  <c r="S87" i="2"/>
  <c r="G91" i="2"/>
  <c r="AE87" i="2"/>
  <c r="Y95" i="2"/>
  <c r="G95" i="2"/>
  <c r="Y87" i="2"/>
  <c r="AE82" i="2"/>
  <c r="S92" i="2"/>
  <c r="Y91" i="2"/>
  <c r="AE88" i="2"/>
  <c r="G83" i="2"/>
  <c r="Y88" i="2"/>
  <c r="AE83" i="2"/>
  <c r="AE91" i="2"/>
  <c r="S88" i="2"/>
  <c r="G88" i="2"/>
  <c r="G8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<sst xmlns="http://schemas.openxmlformats.org/spreadsheetml/2006/main" count="268" uniqueCount="235">
  <si>
    <t>Reference Items</t>
  </si>
  <si>
    <t>Right click to show data transparency (not supported for all values)</t>
  </si>
  <si>
    <t>Parker-Hannifin Corp (PH US) - Standardized</t>
  </si>
  <si>
    <t>In Millions of USD except Per Share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</si>
  <si>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</si>
  <si>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</si>
  <si>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</si>
  <si>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</si>
  <si>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</si>
  <si>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</si>
  <si>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</si>
  <si>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</si>
  <si>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</si>
  <si>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</si>
  <si>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</si>
  <si>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</si>
  <si>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</si>
  <si>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</si>
  <si>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</si>
  <si>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</si>
  <si>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</si>
  <si>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</si>
  <si>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</si>
  <si>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</si>
  <si>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</si>
  <si>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</si>
  <si>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</si>
  <si>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</si>
  <si>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</si>
  <si>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</si>
  <si>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</si>
  <si>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</si>
  <si>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</si>
  <si>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</si>
  <si>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3 Months Ending</t>
  </si>
  <si>
    <t>09/30/2018</t>
  </si>
  <si>
    <t>12/31/2018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</si>
  <si>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</si>
  <si>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</si>
  <si>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</si>
  <si>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</si>
  <si>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</si>
  <si>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</si>
  <si>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</si>
  <si>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</si>
  <si>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</si>
  <si>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</si>
  <si>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</si>
  <si>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</si>
  <si>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</si>
  <si>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</si>
  <si>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</si>
  <si>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</si>
  <si>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</si>
  <si>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</si>
  <si>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</si>
  <si>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</si>
  <si>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</si>
  <si>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</si>
  <si>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</si>
  <si>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</si>
  <si>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</si>
  <si>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</si>
  <si>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</si>
  <si>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</si>
  <si>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</si>
  <si>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</si>
  <si>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</si>
  <si>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</si>
  <si>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</si>
  <si>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</si>
  <si>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</si>
  <si>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</si>
  <si>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</si>
  <si>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</si>
  <si>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</si>
  <si>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</si>
  <si>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</si>
  <si>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</si>
  <si>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</si>
  <si>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</si>
  <si>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</si>
  <si>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</si>
  <si>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</si>
  <si>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</si>
  <si>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</si>
  <si>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</si>
  <si>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</si>
  <si>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</si>
  <si>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</si>
  <si>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</si>
  <si>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</si>
  <si>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</si>
  <si>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</si>
  <si>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</si>
  <si>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</si>
  <si>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</si>
  <si>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</si>
  <si>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</si>
  <si>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</si>
  <si>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</si>
  <si>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</si>
  <si>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</si>
  <si>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</si>
  <si>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</si>
  <si>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</si>
  <si>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</si>
  <si>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</si>
  <si>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</si>
  <si>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</si>
  <si>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</si>
  <si>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</si>
  <si>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</si>
  <si>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</si>
  <si>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</si>
  <si>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</si>
  <si>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</si>
  <si>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</si>
  <si>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</si>
  <si>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</si>
  <si>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</si>
  <si>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</si>
  <si>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</si>
  <si>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</si>
  <si>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</si>
  <si>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</si>
  <si>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</si>
  <si>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</si>
  <si>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</si>
  <si>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</si>
  <si>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</si>
  <si>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</si>
  <si>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</si>
  <si>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</si>
  <si>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</si>
  <si>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</si>
  <si>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</si>
  <si>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</si>
  <si>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</si>
  <si>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</si>
  <si>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</si>
  <si>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</si>
  <si>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</si>
  <si>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</si>
  <si>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</si>
  <si>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</si>
  <si>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</si>
  <si>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</si>
  <si>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</si>
  <si>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</si>
  <si>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</si>
  <si>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</si>
  <si>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</si>
  <si>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</si>
  <si>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</si>
  <si>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</si>
  <si>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</si>
  <si>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</si>
  <si>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</si>
  <si>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</si>
  <si>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</si>
  <si>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</si>
  <si>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</si>
  <si>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</si>
  <si>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</si>
  <si>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</si>
  <si>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</si>
  <si>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</si>
  <si>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</si>
  <si>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</si>
  <si>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</si>
  <si>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</si>
  <si>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</si>
  <si>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</si>
  <si>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</si>
  <si>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</si>
  <si>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</si>
  <si>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</si>
  <si>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</si>
  <si>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</si>
  <si>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</si>
  <si>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</si>
  <si>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</si>
  <si>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</si>
  <si>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</si>
  <si>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</si>
  <si>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</si>
  <si>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</si>
  <si>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</si>
  <si>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</si>
  <si>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</si>
  <si>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</si>
  <si>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</si>
  <si>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</si>
  <si>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</si>
  <si>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</si>
  <si>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</si>
  <si>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</si>
  <si>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</si>
  <si>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</si>
  <si>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</si>
  <si>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</si>
  <si>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</si>
  <si>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Accounting Standard</t>
  </si>
  <si>
    <t>ACCOUNTING_STANDARD</t>
  </si>
  <si>
    <t>US GAAP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</si>
  <si>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</si>
  <si>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</si>
  <si>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</si>
  <si>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</si>
  <si>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</si>
  <si>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</si>
  <si>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</si>
  <si>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</si>
  <si>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</si>
  <si>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</si>
  <si>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</si>
  <si>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</si>
  <si>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</si>
  <si>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</si>
  <si>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</si>
  <si>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</si>
  <si>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</si>
  <si>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</si>
  <si>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</si>
  <si>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</si>
  <si>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</si>
  <si>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</si>
  <si>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</si>
  <si>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</si>
  <si>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Cash Held Overseas</t>
  </si>
  <si>
    <t>BS_CASH_HELD_OVERSEAS</t>
  </si>
  <si>
    <t>Number of Employees</t>
  </si>
  <si>
    <t>NUM_OF_EMPLOYEES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</si>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</sst>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8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1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71" fontId="8" fillId="34" borderId="2" xfId="57" applyNumberFormat="1" applyFont="1" applyFill="1" applyBorder="1" applyAlignment="1" applyProtection="1">
      <alignment horizontal="right"/>
    </xf>
    <xf numFmtId="171" fontId="11" fillId="34" borderId="2" xfId="58" applyNumberFormat="1" applyFont="1" applyFill="1" applyBorder="1" applyAlignment="1" applyProtection="1">
      <alignment horizontal="right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italic_1_grouped" xfId="58" xr:uid="{00000000-0005-0000-0000-000025000000}"/>
    <cellStyle name="fa_data_standard_0_grouped" xfId="53" xr:uid="{00000000-0005-0000-0000-000026000000}"/>
    <cellStyle name="fa_data_standard_1_grouped" xfId="54" xr:uid="{00000000-0005-0000-0000-000027000000}"/>
    <cellStyle name="fa_data_standard_2_grouped" xfId="55" xr:uid="{00000000-0005-0000-0000-000028000000}"/>
    <cellStyle name="fa_footer_italic" xfId="34" xr:uid="{00000000-0005-0000-0000-000029000000}"/>
    <cellStyle name="fa_row_header_bold" xfId="35" xr:uid="{00000000-0005-0000-0000-00002A000000}"/>
    <cellStyle name="fa_row_header_italic" xfId="36" xr:uid="{00000000-0005-0000-0000-00002B000000}"/>
    <cellStyle name="fa_row_header_standard" xfId="37" xr:uid="{00000000-0005-0000-0000-00002C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BDH|10240385049608567570</stp>
        <tr r="AA53" s="2"/>
      </tp>
      <tp t="s">
        <v>#N/A N/A</v>
        <stp/>
        <stp>BDH|17555901535657822091</stp>
        <tr r="M88" s="2"/>
      </tp>
      <tp t="s">
        <v>#N/A N/A</v>
        <stp/>
        <stp>BDH|17023804700695547044</stp>
        <tr r="F87" s="2"/>
      </tp>
      <tp t="s">
        <v>#N/A N/A</v>
        <stp/>
        <stp>BDH|11425562989387940131</stp>
        <tr r="AD7" s="2"/>
      </tp>
      <tp t="s">
        <v>#N/A N/A</v>
        <stp/>
        <stp>BDH|12867399294875098757</stp>
        <tr r="E16" s="2"/>
      </tp>
      <tp t="s">
        <v>#N/A N/A</v>
        <stp/>
        <stp>BDH|18281726829133177480</stp>
        <tr r="L86" s="2"/>
      </tp>
      <tp t="s">
        <v>#N/A N/A</v>
        <stp/>
        <stp>BDH|16281168196530427464</stp>
        <tr r="AE71" s="2"/>
      </tp>
      <tp t="s">
        <v>#N/A N/A</v>
        <stp/>
        <stp>BDH|16208936591959295524</stp>
        <tr r="U93" s="2"/>
      </tp>
      <tp t="s">
        <v>#N/A N/A</v>
        <stp/>
        <stp>BDH|11550291086798966937</stp>
        <tr r="AF57" s="2"/>
      </tp>
      <tp t="s">
        <v>#N/A N/A</v>
        <stp/>
        <stp>BDH|14034531177644151850</stp>
        <tr r="P44" s="2"/>
      </tp>
      <tp t="s">
        <v>#N/A N/A</v>
        <stp/>
        <stp>BDH|14943982921274236123</stp>
        <tr r="T42" s="2"/>
      </tp>
      <tp t="s">
        <v>#N/A N/A</v>
        <stp/>
        <stp>BDH|17246447607070082923</stp>
        <tr r="S95" s="2"/>
      </tp>
      <tp t="s">
        <v>#N/A N/A</v>
        <stp/>
        <stp>BDH|14829131621709030496</stp>
        <tr r="P53" s="2"/>
      </tp>
      <tp t="s">
        <v>#N/A N/A</v>
        <stp/>
        <stp>BDH|13835326287091709395</stp>
        <tr r="O67" s="2"/>
      </tp>
      <tp t="s">
        <v>#N/A N/A</v>
        <stp/>
        <stp>BDH|14252764470189404736</stp>
        <tr r="I48" s="2"/>
      </tp>
      <tp t="s">
        <v>#N/A N/A</v>
        <stp/>
        <stp>BDH|11143627977978199266</stp>
        <tr r="O63" s="2"/>
      </tp>
      <tp t="s">
        <v>#N/A N/A</v>
        <stp/>
        <stp>BDH|11081354494453354202</stp>
        <tr r="AF32" s="2"/>
      </tp>
      <tp t="s">
        <v>#N/A N/A</v>
        <stp/>
        <stp>BDH|18187774915601652571</stp>
        <tr r="U75" s="2"/>
      </tp>
      <tp t="s">
        <v>#N/A N/A</v>
        <stp/>
        <stp>BDH|17206028698343964730</stp>
        <tr r="F70" s="2"/>
      </tp>
      <tp t="s">
        <v>#N/A N/A</v>
        <stp/>
        <stp>BDH|15974260976413248996</stp>
        <tr r="AA46" s="2"/>
      </tp>
      <tp t="s">
        <v>#N/A N/A</v>
        <stp/>
        <stp>BDH|17094278885452942596</stp>
        <tr r="F17" s="2"/>
      </tp>
      <tp t="s">
        <v>#N/A N/A</v>
        <stp/>
        <stp>BDH|10057921525732093322</stp>
        <tr r="E10" s="2"/>
      </tp>
      <tp t="s">
        <v>#N/A N/A</v>
        <stp/>
        <stp>BDH|16461404711158083104</stp>
        <tr r="AB23" s="2"/>
      </tp>
      <tp t="s">
        <v>#N/A N/A</v>
        <stp/>
        <stp>BDH|11887743275549530290</stp>
        <tr r="O83" s="2"/>
      </tp>
      <tp t="s">
        <v>#N/A N/A</v>
        <stp/>
        <stp>BDH|12768546992472197650</stp>
        <tr r="X59" s="2"/>
      </tp>
      <tp t="s">
        <v>#N/A N/A</v>
        <stp/>
        <stp>BDH|12578487508064031802</stp>
        <tr r="X31" s="2"/>
      </tp>
      <tp t="s">
        <v>#N/A N/A</v>
        <stp/>
        <stp>BDH|13722407461033555867</stp>
        <tr r="AD23" s="2"/>
      </tp>
      <tp t="s">
        <v>#N/A N/A</v>
        <stp/>
        <stp>BDH|14503833513356515141</stp>
        <tr r="T11" s="2"/>
      </tp>
      <tp t="s">
        <v>#N/A N/A</v>
        <stp/>
        <stp>BDH|10760915433499765964</stp>
        <tr r="O16" s="2"/>
      </tp>
      <tp t="s">
        <v>#N/A N/A</v>
        <stp/>
        <stp>BDH|12933933269977571015</stp>
        <tr r="Q66" s="2"/>
      </tp>
      <tp t="s">
        <v>#N/A N/A</v>
        <stp/>
        <stp>BDH|16874852229015718346</stp>
        <tr r="L49" s="2"/>
      </tp>
      <tp t="s">
        <v>#N/A N/A</v>
        <stp/>
        <stp>BDH|11795010253268086621</stp>
        <tr r="AD44" s="2"/>
      </tp>
      <tp t="s">
        <v>#N/A N/A</v>
        <stp/>
        <stp>BDH|14979014135704375994</stp>
        <tr r="N75" s="2"/>
      </tp>
      <tp t="s">
        <v>#N/A N/A</v>
        <stp/>
        <stp>BDH|12311754911259879785</stp>
        <tr r="F83" s="2"/>
      </tp>
      <tp t="s">
        <v>#N/A N/A</v>
        <stp/>
        <stp>BDH|16138875344038320860</stp>
        <tr r="J23" s="2"/>
      </tp>
      <tp t="s">
        <v>#N/A N/A</v>
        <stp/>
        <stp>BDH|11575091247396554994</stp>
        <tr r="P60" s="2"/>
      </tp>
      <tp t="s">
        <v>#N/A N/A</v>
        <stp/>
        <stp>BDH|10166364539413132998</stp>
        <tr r="H90" s="2"/>
      </tp>
      <tp t="s">
        <v>#N/A N/A</v>
        <stp/>
        <stp>BDH|17137854452324405448</stp>
        <tr r="G91" s="2"/>
      </tp>
      <tp t="s">
        <v>#N/A N/A</v>
        <stp/>
        <stp>BDH|15506592118222126935</stp>
        <tr r="AA95" s="2"/>
      </tp>
      <tp t="s">
        <v>#N/A N/A</v>
        <stp/>
        <stp>BDH|17052868164907059444</stp>
        <tr r="Q78" s="2"/>
      </tp>
      <tp t="s">
        <v>#N/A N/A</v>
        <stp/>
        <stp>BDH|12525256776955483841</stp>
        <tr r="AF53" s="2"/>
      </tp>
      <tp t="s">
        <v>#N/A N/A</v>
        <stp/>
        <stp>BDH|10417210508031521914</stp>
        <tr r="I65" s="2"/>
      </tp>
      <tp t="s">
        <v>#N/A N/A</v>
        <stp/>
        <stp>BDH|13755140486934474496</stp>
        <tr r="Z95" s="2"/>
      </tp>
      <tp t="s">
        <v>#N/A N/A</v>
        <stp/>
        <stp>BDH|12259545238048788614</stp>
        <tr r="AC29" s="2"/>
      </tp>
      <tp t="s">
        <v>#N/A N/A</v>
        <stp/>
        <stp>BDH|13679090993934759438</stp>
        <tr r="AC15" s="2"/>
      </tp>
      <tp t="s">
        <v>#N/A N/A</v>
        <stp/>
        <stp>BDH|12921715440218946390</stp>
        <tr r="R84" s="2"/>
      </tp>
      <tp t="s">
        <v>#N/A N/A</v>
        <stp/>
        <stp>BDH|12857256363968143443</stp>
        <tr r="Z9" s="2"/>
      </tp>
      <tp t="s">
        <v>#N/A N/A</v>
        <stp/>
        <stp>BDH|11432789114085096830</stp>
        <tr r="W82" s="2"/>
      </tp>
      <tp t="s">
        <v>#N/A N/A</v>
        <stp/>
        <stp>BDH|14256209341579155184</stp>
        <tr r="X58" s="2"/>
      </tp>
      <tp t="s">
        <v>#N/A N/A</v>
        <stp/>
        <stp>BDH|11788863321420942139</stp>
        <tr r="E75" s="2"/>
      </tp>
      <tp t="s">
        <v>#N/A N/A</v>
        <stp/>
        <stp>BDH|17922834861820570336</stp>
        <tr r="W61" s="2"/>
      </tp>
      <tp t="s">
        <v>#N/A N/A</v>
        <stp/>
        <stp>BDH|18348279850137036292</stp>
        <tr r="T18" s="2"/>
      </tp>
      <tp t="s">
        <v>#N/A N/A</v>
        <stp/>
        <stp>BDH|14808571168464316996</stp>
        <tr r="M67" s="2"/>
      </tp>
      <tp t="s">
        <v>#N/A N/A</v>
        <stp/>
        <stp>BDH|16121428124843261983</stp>
        <tr r="Z87" s="2"/>
      </tp>
      <tp t="s">
        <v>#N/A N/A</v>
        <stp/>
        <stp>BDH|16325966468034461759</stp>
        <tr r="W56" s="2"/>
      </tp>
      <tp t="s">
        <v>#N/A N/A</v>
        <stp/>
        <stp>BDH|16818945932200700659</stp>
        <tr r="U86" s="2"/>
      </tp>
      <tp t="s">
        <v>#N/A N/A</v>
        <stp/>
        <stp>BDH|14434005689181802794</stp>
        <tr r="S23" s="2"/>
      </tp>
      <tp t="s">
        <v>#N/A N/A</v>
        <stp/>
        <stp>BDH|12360103052475536981</stp>
        <tr r="AF67" s="2"/>
      </tp>
      <tp t="s">
        <v>#N/A N/A</v>
        <stp/>
        <stp>BDH|17454857516475830131</stp>
        <tr r="U46" s="2"/>
      </tp>
      <tp t="s">
        <v>#N/A N/A</v>
        <stp/>
        <stp>BDH|12511909436684434687</stp>
        <tr r="G21" s="2"/>
      </tp>
      <tp t="s">
        <v>#N/A N/A</v>
        <stp/>
        <stp>BDH|11135538229758559418</stp>
        <tr r="O95" s="2"/>
      </tp>
      <tp t="s">
        <v>#N/A N/A</v>
        <stp/>
        <stp>BDH|18380620747695972509</stp>
        <tr r="L94" s="2"/>
      </tp>
      <tp t="s">
        <v>#N/A N/A</v>
        <stp/>
        <stp>BDH|18172187381012234955</stp>
        <tr r="Y49" s="2"/>
      </tp>
      <tp t="s">
        <v>#N/A N/A</v>
        <stp/>
        <stp>BDH|15295329371062824976</stp>
        <tr r="Q88" s="2"/>
      </tp>
      <tp t="s">
        <v>#N/A N/A</v>
        <stp/>
        <stp>BDH|13378996533685860709</stp>
        <tr r="L90" s="2"/>
      </tp>
      <tp t="s">
        <v>#N/A N/A</v>
        <stp/>
        <stp>BDH|15534908337417306300</stp>
        <tr r="V84" s="2"/>
      </tp>
      <tp t="s">
        <v>#N/A N/A</v>
        <stp/>
        <stp>BDH|15646866386457660916</stp>
        <tr r="F89" s="2"/>
      </tp>
      <tp t="s">
        <v>#N/A N/A</v>
        <stp/>
        <stp>BDH|14631619253259453518</stp>
        <tr r="V50" s="2"/>
      </tp>
      <tp t="s">
        <v>#N/A N/A</v>
        <stp/>
        <stp>BDH|15956751669047295877</stp>
        <tr r="I61" s="2"/>
      </tp>
      <tp t="s">
        <v>#N/A N/A</v>
        <stp/>
        <stp>BDH|17448811053694238548</stp>
        <tr r="Z8" s="2"/>
      </tp>
      <tp t="s">
        <v>#N/A N/A</v>
        <stp/>
        <stp>BDH|12189150864159841782</stp>
        <tr r="V26" s="2"/>
      </tp>
      <tp t="s">
        <v>#N/A N/A</v>
        <stp/>
        <stp>BDH|14293012145483319851</stp>
        <tr r="N41" s="2"/>
      </tp>
      <tp t="s">
        <v>#N/A N/A</v>
        <stp/>
        <stp>BDH|17134729310428675254</stp>
        <tr r="K60" s="2"/>
      </tp>
      <tp t="s">
        <v>#N/A N/A</v>
        <stp/>
        <stp>BDH|14414671083493767273</stp>
        <tr r="K61" s="2"/>
      </tp>
      <tp t="s">
        <v>#N/A N/A</v>
        <stp/>
        <stp>BDH|14479052380751148600</stp>
        <tr r="AD53" s="2"/>
      </tp>
      <tp t="s">
        <v>#N/A N/A</v>
        <stp/>
        <stp>BDH|13049111720589767260</stp>
        <tr r="G70" s="2"/>
      </tp>
      <tp t="s">
        <v>#N/A N/A</v>
        <stp/>
        <stp>BDH|12566967824554571626</stp>
        <tr r="K85" s="2"/>
      </tp>
      <tp t="s">
        <v>#N/A N/A</v>
        <stp/>
        <stp>BDH|15196395603318868503</stp>
        <tr r="G56" s="2"/>
      </tp>
      <tp t="s">
        <v>#N/A N/A</v>
        <stp/>
        <stp>BDH|11584330582485622414</stp>
        <tr r="K73" s="2"/>
      </tp>
      <tp t="s">
        <v>#N/A N/A</v>
        <stp/>
        <stp>BDH|17003802202792340628</stp>
        <tr r="AD65" s="2"/>
      </tp>
      <tp t="s">
        <v>#N/A N/A</v>
        <stp/>
        <stp>BDH|12147955061942351454</stp>
        <tr r="I57" s="2"/>
      </tp>
      <tp t="s">
        <v>#N/A N/A</v>
        <stp/>
        <stp>BDH|13102768936724551860</stp>
        <tr r="H30" s="2"/>
      </tp>
      <tp t="s">
        <v>#N/A N/A</v>
        <stp/>
        <stp>BDH|15016108888001820629</stp>
        <tr r="O89" s="2"/>
      </tp>
      <tp t="s">
        <v>#N/A N/A</v>
        <stp/>
        <stp>BDH|10106632291095919182</stp>
        <tr r="X10" s="2"/>
      </tp>
      <tp t="s">
        <v>#N/A N/A</v>
        <stp/>
        <stp>BDH|10509850112002874087</stp>
        <tr r="L61" s="2"/>
      </tp>
      <tp t="s">
        <v>#N/A N/A</v>
        <stp/>
        <stp>BDH|14525334107509447570</stp>
        <tr r="F88" s="2"/>
      </tp>
      <tp t="s">
        <v>#N/A N/A</v>
        <stp/>
        <stp>BDH|17013601095731359239</stp>
        <tr r="T44" s="2"/>
      </tp>
      <tp t="s">
        <v>#N/A N/A</v>
        <stp/>
        <stp>BDH|15421909543686464562</stp>
        <tr r="Z14" s="2"/>
      </tp>
      <tp t="s">
        <v>#N/A N/A</v>
        <stp/>
        <stp>BDH|13653614267510603839</stp>
        <tr r="AF60" s="2"/>
      </tp>
      <tp t="s">
        <v>#N/A N/A</v>
        <stp/>
        <stp>BDH|11608351398719979970</stp>
        <tr r="K17" s="2"/>
      </tp>
      <tp t="s">
        <v>#N/A N/A</v>
        <stp/>
        <stp>BDH|10731310443434558852</stp>
        <tr r="H85" s="2"/>
      </tp>
      <tp t="s">
        <v>#N/A N/A</v>
        <stp/>
        <stp>BDH|15003241481676375237</stp>
        <tr r="AE40" s="2"/>
      </tp>
      <tp t="s">
        <v>#N/A N/A</v>
        <stp/>
        <stp>BDH|11074502762281038873</stp>
        <tr r="S89" s="2"/>
      </tp>
      <tp t="s">
        <v>#N/A N/A</v>
        <stp/>
        <stp>BDH|13210611088414786299</stp>
        <tr r="AE82" s="2"/>
      </tp>
      <tp t="s">
        <v>#N/A N/A</v>
        <stp/>
        <stp>BDH|14264539683790321252</stp>
        <tr r="W40" s="2"/>
      </tp>
      <tp t="s">
        <v>#N/A N/A</v>
        <stp/>
        <stp>BDH|11112251358058895505</stp>
        <tr r="M51" s="2"/>
      </tp>
      <tp t="s">
        <v>#N/A N/A</v>
        <stp/>
        <stp>BDH|15976812777912810331</stp>
        <tr r="W64" s="2"/>
      </tp>
      <tp t="s">
        <v>#N/A N/A</v>
        <stp/>
        <stp>BDH|11472325583138543944</stp>
        <tr r="O10" s="2"/>
      </tp>
      <tp t="s">
        <v>#N/A N/A</v>
        <stp/>
        <stp>BDH|15788032513026229919</stp>
        <tr r="G74" s="2"/>
      </tp>
      <tp t="s">
        <v>#N/A N/A</v>
        <stp/>
        <stp>BDH|14048471953219905791</stp>
        <tr r="G33" s="2"/>
      </tp>
      <tp t="s">
        <v>#N/A N/A</v>
        <stp/>
        <stp>BDH|16625376394774327327</stp>
        <tr r="P13" s="2"/>
      </tp>
      <tp t="s">
        <v>#N/A N/A</v>
        <stp/>
        <stp>BDH|17062760302749807287</stp>
        <tr r="AF87" s="2"/>
      </tp>
      <tp t="s">
        <v>#N/A N/A</v>
        <stp/>
        <stp>BDH|17927483741798351449</stp>
        <tr r="D15" s="2"/>
      </tp>
      <tp t="s">
        <v>#N/A N/A</v>
        <stp/>
        <stp>BDH|14533152081764498226</stp>
        <tr r="U39" s="2"/>
      </tp>
      <tp t="s">
        <v>#N/A N/A</v>
        <stp/>
        <stp>BDH|11944932954325980304</stp>
        <tr r="W75" s="2"/>
      </tp>
      <tp t="s">
        <v>#N/A N/A</v>
        <stp/>
        <stp>BDH|18407145967721689569</stp>
        <tr r="W31" s="2"/>
      </tp>
      <tp t="s">
        <v>#N/A N/A</v>
        <stp/>
        <stp>BDH|15500086695576736182</stp>
        <tr r="I40" s="2"/>
      </tp>
      <tp t="s">
        <v>#N/A N/A</v>
        <stp/>
        <stp>BDH|16609204296523625512</stp>
        <tr r="S66" s="2"/>
      </tp>
      <tp t="s">
        <v>#N/A N/A</v>
        <stp/>
        <stp>BDH|13921208981960905264</stp>
        <tr r="E95" s="2"/>
      </tp>
      <tp t="s">
        <v>#N/A N/A</v>
        <stp/>
        <stp>BDH|10063646383286476343</stp>
        <tr r="N14" s="2"/>
      </tp>
      <tp t="s">
        <v>#N/A N/A</v>
        <stp/>
        <stp>BDH|16295919925717356127</stp>
        <tr r="V20" s="2"/>
      </tp>
      <tp t="s">
        <v>#N/A N/A</v>
        <stp/>
        <stp>BDH|15451498908952419860</stp>
        <tr r="U90" s="2"/>
      </tp>
      <tp t="s">
        <v>#N/A N/A</v>
        <stp/>
        <stp>BDH|12212529399190906566</stp>
        <tr r="S41" s="2"/>
      </tp>
      <tp t="s">
        <v>#N/A N/A</v>
        <stp/>
        <stp>BDH|17284930061632512131</stp>
        <tr r="Q86" s="2"/>
      </tp>
      <tp t="s">
        <v>#N/A N/A</v>
        <stp/>
        <stp>BDH|17909811150872642380</stp>
        <tr r="R10" s="2"/>
      </tp>
      <tp t="s">
        <v>#N/A N/A</v>
        <stp/>
        <stp>BDH|17041297909826106884</stp>
        <tr r="W42" s="2"/>
      </tp>
      <tp t="s">
        <v>#N/A N/A</v>
        <stp/>
        <stp>BDH|18232918268135712955</stp>
        <tr r="AA86" s="2"/>
      </tp>
      <tp t="s">
        <v>#N/A N/A</v>
        <stp/>
        <stp>BDH|12274211941159222699</stp>
        <tr r="Z85" s="2"/>
      </tp>
      <tp t="s">
        <v>#N/A N/A</v>
        <stp/>
        <stp>BDH|18339473556096804430</stp>
        <tr r="L62" s="2"/>
      </tp>
      <tp t="s">
        <v>#N/A N/A</v>
        <stp/>
        <stp>BDH|14517129787805834316</stp>
        <tr r="M90" s="2"/>
      </tp>
      <tp t="s">
        <v>#N/A N/A</v>
        <stp/>
        <stp>BDH|17658782944157414873</stp>
        <tr r="H46" s="2"/>
      </tp>
      <tp t="s">
        <v>#N/A N/A</v>
        <stp/>
        <stp>BDH|11408908607606800530</stp>
        <tr r="N95" s="2"/>
      </tp>
      <tp t="s">
        <v>#N/A N/A</v>
        <stp/>
        <stp>BDH|16869161666068016207</stp>
        <tr r="X73" s="2"/>
      </tp>
      <tp t="s">
        <v>#N/A N/A</v>
        <stp/>
        <stp>BDH|12741887517739700974</stp>
        <tr r="M41" s="2"/>
      </tp>
      <tp t="s">
        <v>#N/A N/A</v>
        <stp/>
        <stp>BDH|10609003961289859471</stp>
        <tr r="E78" s="2"/>
      </tp>
      <tp t="s">
        <v>#N/A N/A</v>
        <stp/>
        <stp>BDH|18233371753170767591</stp>
        <tr r="AC51" s="2"/>
      </tp>
      <tp t="s">
        <v>#N/A N/A</v>
        <stp/>
        <stp>BDH|15843861322362011674</stp>
        <tr r="G77" s="2"/>
      </tp>
      <tp t="s">
        <v>#N/A N/A</v>
        <stp/>
        <stp>BDH|10213854129372432317</stp>
        <tr r="F63" s="2"/>
      </tp>
      <tp t="s">
        <v>#N/A N/A</v>
        <stp/>
        <stp>BDH|13519881985620175820</stp>
        <tr r="T23" s="2"/>
      </tp>
      <tp t="s">
        <v>#N/A N/A</v>
        <stp/>
        <stp>BDH|14856934517657659005</stp>
        <tr r="T56" s="2"/>
      </tp>
      <tp t="s">
        <v>#N/A N/A</v>
        <stp/>
        <stp>BDH|12208515733937882823</stp>
        <tr r="AD50" s="2"/>
      </tp>
      <tp t="s">
        <v>#N/A N/A</v>
        <stp/>
        <stp>BDH|10307484877498108075</stp>
        <tr r="V76" s="2"/>
      </tp>
      <tp t="s">
        <v>#N/A N/A</v>
        <stp/>
        <stp>BDH|15604394654879673104</stp>
        <tr r="Q44" s="2"/>
      </tp>
      <tp t="s">
        <v>#N/A N/A</v>
        <stp/>
        <stp>BDH|16824557423639024335</stp>
        <tr r="AE50" s="2"/>
      </tp>
      <tp t="s">
        <v>#N/A N/A</v>
        <stp/>
        <stp>BDH|16888984810136821344</stp>
        <tr r="C8" s="2"/>
      </tp>
      <tp t="s">
        <v>#N/A N/A</v>
        <stp/>
        <stp>BDH|11182053460684192896</stp>
        <tr r="H87" s="2"/>
      </tp>
      <tp t="s">
        <v>#N/A N/A</v>
        <stp/>
        <stp>BDH|11288295129819408398</stp>
        <tr r="AF66" s="2"/>
      </tp>
      <tp t="s">
        <v>#N/A N/A</v>
        <stp/>
        <stp>BDH|11826921366291736441</stp>
        <tr r="AA30" s="2"/>
      </tp>
      <tp t="s">
        <v>#N/A N/A</v>
        <stp/>
        <stp>BDH|18337202393188838077</stp>
        <tr r="S12" s="2"/>
      </tp>
      <tp t="s">
        <v>#N/A N/A</v>
        <stp/>
        <stp>BDH|18068311449036399252</stp>
        <tr r="S52" s="2"/>
      </tp>
      <tp t="s">
        <v>#N/A N/A</v>
        <stp/>
        <stp>BDH|17492677612580050803</stp>
        <tr r="G26" s="2"/>
      </tp>
      <tp t="s">
        <v>#N/A N/A</v>
        <stp/>
        <stp>BDH|13011963850916295151</stp>
        <tr r="C14" s="2"/>
      </tp>
      <tp t="s">
        <v>#N/A N/A</v>
        <stp/>
        <stp>BDH|11470316887247025533</stp>
        <tr r="AB68" s="2"/>
      </tp>
      <tp t="s">
        <v>#N/A N/A</v>
        <stp/>
        <stp>BDH|16310321588740981519</stp>
        <tr r="I20" s="2"/>
      </tp>
      <tp t="s">
        <v>#N/A N/A</v>
        <stp/>
        <stp>BDH|10790031965919641761</stp>
        <tr r="T40" s="2"/>
      </tp>
      <tp t="s">
        <v>#N/A N/A</v>
        <stp/>
        <stp>BDH|10476045479179830604</stp>
        <tr r="J18" s="2"/>
      </tp>
      <tp t="s">
        <v>#N/A N/A</v>
        <stp/>
        <stp>BDH|18229559952979084950</stp>
        <tr r="E83" s="2"/>
      </tp>
      <tp t="s">
        <v>#N/A N/A</v>
        <stp/>
        <stp>BDH|11585670696995372374</stp>
        <tr r="Z20" s="2"/>
      </tp>
      <tp t="s">
        <v>#N/A N/A</v>
        <stp/>
        <stp>BDH|12507851264616620220</stp>
        <tr r="X54" s="2"/>
      </tp>
      <tp t="s">
        <v>#N/A N/A</v>
        <stp/>
        <stp>BDH|17572074559348221296</stp>
        <tr r="N60" s="2"/>
      </tp>
      <tp t="s">
        <v>#N/A N/A</v>
        <stp/>
        <stp>BDH|12880987174101000577</stp>
        <tr r="N26" s="2"/>
      </tp>
      <tp t="s">
        <v>#N/A N/A</v>
        <stp/>
        <stp>BDH|11595550267792624821</stp>
        <tr r="AA63" s="2"/>
      </tp>
      <tp t="s">
        <v>#N/A N/A</v>
        <stp/>
        <stp>BDH|15037462188097857652</stp>
        <tr r="K28" s="2"/>
      </tp>
      <tp t="s">
        <v>#N/A N/A</v>
        <stp/>
        <stp>BDH|10345073423118496209</stp>
        <tr r="L8" s="2"/>
      </tp>
      <tp t="s">
        <v>#N/A N/A</v>
        <stp/>
        <stp>BDH|15886060293293864769</stp>
        <tr r="AA43" s="2"/>
      </tp>
      <tp t="s">
        <v>#N/A N/A</v>
        <stp/>
        <stp>BDH|13350023525830642901</stp>
        <tr r="E65" s="2"/>
      </tp>
      <tp t="s">
        <v>#N/A N/A</v>
        <stp/>
        <stp>BDH|12817756721658985770</stp>
        <tr r="P61" s="2"/>
      </tp>
      <tp t="s">
        <v>#N/A N/A</v>
        <stp/>
        <stp>BDH|12762828521980482020</stp>
        <tr r="X39" s="2"/>
      </tp>
      <tp t="s">
        <v>#N/A N/A</v>
        <stp/>
        <stp>BDH|11672851964646200170</stp>
        <tr r="E70" s="2"/>
      </tp>
      <tp t="s">
        <v>#N/A N/A</v>
        <stp/>
        <stp>BDH|16836376088502275772</stp>
        <tr r="AF28" s="2"/>
      </tp>
      <tp t="s">
        <v>#N/A N/A</v>
        <stp/>
        <stp>BDH|16650245409695993974</stp>
        <tr r="K87" s="2"/>
      </tp>
      <tp t="s">
        <v>#N/A N/A</v>
        <stp/>
        <stp>BDH|14578889819196612375</stp>
        <tr r="S39" s="2"/>
      </tp>
      <tp t="s">
        <v>#N/A N/A</v>
        <stp/>
        <stp>BDH|17036148097352169575</stp>
        <tr r="F82" s="2"/>
      </tp>
      <tp t="s">
        <v>#N/A N/A</v>
        <stp/>
        <stp>BDH|13431027991392619045</stp>
        <tr r="S53" s="2"/>
      </tp>
      <tp t="s">
        <v>#N/A N/A</v>
        <stp/>
        <stp>BDH|15487489491892873209</stp>
        <tr r="R22" s="2"/>
      </tp>
      <tp t="s">
        <v>#N/A N/A</v>
        <stp/>
        <stp>BDH|11004673684015646201</stp>
        <tr r="N65" s="2"/>
      </tp>
      <tp t="s">
        <v>#N/A N/A</v>
        <stp/>
        <stp>BDH|12901030901483644986</stp>
        <tr r="R58" s="2"/>
      </tp>
      <tp t="s">
        <v>#N/A N/A</v>
        <stp/>
        <stp>BDH|11917079538113193926</stp>
        <tr r="U51" s="2"/>
      </tp>
      <tp t="s">
        <v>#N/A N/A</v>
        <stp/>
        <stp>BDH|14051843844373080347</stp>
        <tr r="I39" s="2"/>
      </tp>
      <tp t="s">
        <v>#N/A N/A</v>
        <stp/>
        <stp>BDH|16871923164465238489</stp>
        <tr r="D8" s="2"/>
      </tp>
      <tp t="s">
        <v>#N/A N/A</v>
        <stp/>
        <stp>BDH|15836911902602858675</stp>
        <tr r="AA31" s="2"/>
      </tp>
      <tp t="s">
        <v>#N/A N/A</v>
        <stp/>
        <stp>BDH|14321568698182348290</stp>
        <tr r="AA19" s="2"/>
      </tp>
      <tp t="s">
        <v>#N/A N/A</v>
        <stp/>
        <stp>BDH|11372083677396372885</stp>
        <tr r="AF14" s="2"/>
      </tp>
      <tp t="s">
        <v>#N/A N/A</v>
        <stp/>
        <stp>BDH|18374856213671441866</stp>
        <tr r="T27" s="2"/>
      </tp>
      <tp t="s">
        <v>#N/A N/A</v>
        <stp/>
        <stp>BDH|14265462695788601907</stp>
        <tr r="AD42" s="2"/>
      </tp>
      <tp t="s">
        <v>#N/A N/A</v>
        <stp/>
        <stp>BDH|15957732813042653998</stp>
        <tr r="AA73" s="2"/>
      </tp>
      <tp t="s">
        <v>#N/A N/A</v>
        <stp/>
        <stp>BDH|16952791394017347719</stp>
        <tr r="W91" s="2"/>
      </tp>
      <tp t="s">
        <v>#N/A N/A</v>
        <stp/>
        <stp>BDH|17797523895796237543</stp>
        <tr r="V68" s="2"/>
      </tp>
      <tp t="s">
        <v>#N/A N/A</v>
        <stp/>
        <stp>BDH|13174853139184842430</stp>
        <tr r="E73" s="2"/>
      </tp>
      <tp t="s">
        <v>#N/A N/A</v>
        <stp/>
        <stp>BDH|11558761164680505842</stp>
        <tr r="C48" s="2"/>
      </tp>
      <tp t="s">
        <v>#N/A N/A</v>
        <stp/>
        <stp>BDH|18087530804555704068</stp>
        <tr r="P90" s="2"/>
      </tp>
      <tp t="s">
        <v>#N/A N/A</v>
        <stp/>
        <stp>BDH|17436755095956475799</stp>
        <tr r="V54" s="2"/>
      </tp>
      <tp t="s">
        <v>#N/A N/A</v>
        <stp/>
        <stp>BDH|15862551512501160871</stp>
        <tr r="L93" s="2"/>
      </tp>
      <tp t="s">
        <v>#N/A N/A</v>
        <stp/>
        <stp>BDH|17630897810281582727</stp>
        <tr r="E25" s="2"/>
      </tp>
      <tp t="s">
        <v>#N/A N/A</v>
        <stp/>
        <stp>BDH|14430123689361396447</stp>
        <tr r="P47" s="2"/>
      </tp>
      <tp t="s">
        <v>#N/A N/A</v>
        <stp/>
        <stp>BDH|12439052085630509291</stp>
        <tr r="L22" s="2"/>
      </tp>
      <tp t="s">
        <v>#N/A N/A</v>
        <stp/>
        <stp>BDH|13249033456566655893</stp>
        <tr r="C95" s="2"/>
      </tp>
      <tp t="s">
        <v>#N/A N/A</v>
        <stp/>
        <stp>BDH|10994950416752564242</stp>
        <tr r="Q95" s="2"/>
      </tp>
      <tp t="s">
        <v>#N/A N/A</v>
        <stp/>
        <stp>BDH|13885806903682910190</stp>
        <tr r="O19" s="2"/>
      </tp>
      <tp t="s">
        <v>#N/A N/A</v>
        <stp/>
        <stp>BDH|10146357782960538385</stp>
        <tr r="X74" s="2"/>
      </tp>
      <tp t="s">
        <v>#N/A N/A</v>
        <stp/>
        <stp>BDH|15538051096354993044</stp>
        <tr r="M30" s="2"/>
      </tp>
      <tp t="s">
        <v>#N/A N/A</v>
        <stp/>
        <stp>BDH|16725851387229802767</stp>
        <tr r="Z91" s="2"/>
      </tp>
      <tp t="s">
        <v>#N/A N/A</v>
        <stp/>
        <stp>BDH|10455913890210898868</stp>
        <tr r="AA65" s="2"/>
      </tp>
      <tp t="s">
        <v>#N/A N/A</v>
        <stp/>
        <stp>BDH|11768150178179531629</stp>
        <tr r="P28" s="2"/>
      </tp>
      <tp t="s">
        <v>#N/A N/A</v>
        <stp/>
        <stp>BDH|13636187248437274991</stp>
        <tr r="H8" s="2"/>
      </tp>
      <tp t="s">
        <v>#N/A N/A</v>
        <stp/>
        <stp>BDH|18159944897923997365</stp>
        <tr r="F73" s="2"/>
      </tp>
      <tp t="s">
        <v>#N/A N/A</v>
        <stp/>
        <stp>BDH|12036348653445245990</stp>
        <tr r="AB14" s="2"/>
      </tp>
      <tp t="s">
        <v>#N/A N/A</v>
        <stp/>
        <stp>BDH|17835413660215694837</stp>
        <tr r="R59" s="2"/>
      </tp>
      <tp t="s">
        <v>#N/A N/A</v>
        <stp/>
        <stp>BDH|16057324399590247453</stp>
        <tr r="F90" s="2"/>
      </tp>
      <tp t="s">
        <v>#N/A N/A</v>
        <stp/>
        <stp>BDH|16124286542280207854</stp>
        <tr r="Q30" s="2"/>
      </tp>
      <tp t="s">
        <v>#N/A N/A</v>
        <stp/>
        <stp>BDH|16888545298007882504</stp>
        <tr r="M64" s="2"/>
      </tp>
      <tp t="s">
        <v>#N/A N/A</v>
        <stp/>
        <stp>BDH|13379229807389996034</stp>
        <tr r="T83" s="2"/>
      </tp>
      <tp t="s">
        <v>#N/A N/A</v>
        <stp/>
        <stp>BDH|16902958944031044249</stp>
        <tr r="R19" s="2"/>
      </tp>
      <tp t="s">
        <v>#N/A N/A</v>
        <stp/>
        <stp>BDH|13923973205150409208</stp>
        <tr r="G65" s="2"/>
      </tp>
      <tp t="s">
        <v>#N/A N/A</v>
        <stp/>
        <stp>BDH|16893681233263445880</stp>
        <tr r="O75" s="2"/>
      </tp>
      <tp t="s">
        <v>#N/A N/A</v>
        <stp/>
        <stp>BDH|11343673988266013136</stp>
        <tr r="AA55" s="2"/>
      </tp>
      <tp t="s">
        <v>#N/A N/A</v>
        <stp/>
        <stp>BDH|12225599701519139648</stp>
        <tr r="J86" s="2"/>
      </tp>
      <tp t="s">
        <v>#N/A N/A</v>
        <stp/>
        <stp>BDH|10498525990847847309</stp>
        <tr r="Y32" s="2"/>
      </tp>
      <tp t="s">
        <v>#N/A N/A</v>
        <stp/>
        <stp>BDH|13136239855268867419</stp>
        <tr r="T59" s="2"/>
      </tp>
      <tp t="s">
        <v>#N/A N/A</v>
        <stp/>
        <stp>BDH|17828492089832903003</stp>
        <tr r="AE47" s="2"/>
      </tp>
      <tp t="s">
        <v>#N/A N/A</v>
        <stp/>
        <stp>BDH|11496176534309547334</stp>
        <tr r="I27" s="2"/>
      </tp>
      <tp t="s">
        <v>#N/A N/A</v>
        <stp/>
        <stp>BDH|16860997351647958482</stp>
        <tr r="M17" s="2"/>
      </tp>
      <tp t="s">
        <v>#N/A N/A</v>
        <stp/>
        <stp>BDH|15278868212166621319</stp>
        <tr r="J24" s="2"/>
      </tp>
      <tp t="s">
        <v>#N/A N/A</v>
        <stp/>
        <stp>BDH|17667784949599211458</stp>
        <tr r="I36" s="2"/>
      </tp>
      <tp t="s">
        <v>#N/A N/A</v>
        <stp/>
        <stp>BDH|16546888734121994505</stp>
        <tr r="V57" s="2"/>
      </tp>
      <tp t="s">
        <v>#N/A N/A</v>
        <stp/>
        <stp>BDH|12697534725805517953</stp>
        <tr r="Z34" s="2"/>
      </tp>
      <tp t="s">
        <v>#N/A N/A</v>
        <stp/>
        <stp>BDH|15465212903637751913</stp>
        <tr r="O57" s="2"/>
      </tp>
      <tp t="s">
        <v>#N/A N/A</v>
        <stp/>
        <stp>BDH|14530220127315486872</stp>
        <tr r="S14" s="2"/>
      </tp>
      <tp t="s">
        <v>#N/A N/A</v>
        <stp/>
        <stp>BDH|15419228278551520886</stp>
        <tr r="AB69" s="2"/>
      </tp>
      <tp t="s">
        <v>#N/A N/A</v>
        <stp/>
        <stp>BDH|11868166688454173540</stp>
        <tr r="AC27" s="2"/>
      </tp>
      <tp t="s">
        <v>#N/A N/A</v>
        <stp/>
        <stp>BDH|14777309235465518857</stp>
        <tr r="P52" s="2"/>
      </tp>
      <tp t="s">
        <v>#N/A N/A</v>
        <stp/>
        <stp>BDH|10072262924488348135</stp>
        <tr r="X50" s="2"/>
      </tp>
      <tp t="s">
        <v>#N/A N/A</v>
        <stp/>
        <stp>BDH|11316724499223478599</stp>
        <tr r="H33" s="2"/>
      </tp>
      <tp t="s">
        <v>#N/A N/A</v>
        <stp/>
        <stp>BDH|14160391949643594910</stp>
        <tr r="F61" s="2"/>
      </tp>
      <tp t="s">
        <v>#N/A N/A</v>
        <stp/>
        <stp>BDH|11560167891658400834</stp>
        <tr r="AA66" s="2"/>
      </tp>
      <tp t="s">
        <v>#N/A N/A</v>
        <stp/>
        <stp>BDH|17878566444738820765</stp>
        <tr r="H45" s="2"/>
      </tp>
      <tp t="s">
        <v>#N/A N/A</v>
        <stp/>
        <stp>BDH|12614874001482760130</stp>
        <tr r="C83" s="2"/>
      </tp>
      <tp t="s">
        <v>#N/A N/A</v>
        <stp/>
        <stp>BDH|15141019584691409570</stp>
        <tr r="E15" s="2"/>
      </tp>
      <tp t="s">
        <v>#N/A N/A</v>
        <stp/>
        <stp>BDH|11727597668673490853</stp>
        <tr r="K48" s="2"/>
      </tp>
      <tp t="s">
        <v>#N/A N/A</v>
        <stp/>
        <stp>BDH|10213691587884922326</stp>
        <tr r="AB11" s="2"/>
      </tp>
      <tp t="s">
        <v>#N/A N/A</v>
        <stp/>
        <stp>BDH|10623301796827613406</stp>
        <tr r="R87" s="2"/>
      </tp>
      <tp t="s">
        <v>#N/A N/A</v>
        <stp/>
        <stp>BDH|17651185519618025618</stp>
        <tr r="O82" s="2"/>
      </tp>
      <tp t="s">
        <v>#N/A N/A</v>
        <stp/>
        <stp>BDH|12889305121062174813</stp>
        <tr r="C88" s="2"/>
      </tp>
      <tp t="s">
        <v>#N/A N/A</v>
        <stp/>
        <stp>BDH|11346313758457178927</stp>
        <tr r="J19" s="2"/>
      </tp>
      <tp t="s">
        <v>#N/A N/A</v>
        <stp/>
        <stp>BDH|11953410283494178035</stp>
        <tr r="L10" s="2"/>
      </tp>
      <tp t="s">
        <v>#N/A N/A</v>
        <stp/>
        <stp>BDH|17736562492771985326</stp>
        <tr r="V92" s="2"/>
      </tp>
      <tp t="s">
        <v>#N/A N/A</v>
        <stp/>
        <stp>BDH|16316176385043842528</stp>
        <tr r="F43" s="2"/>
      </tp>
      <tp t="s">
        <v>#N/A N/A</v>
        <stp/>
        <stp>BDH|15866848603606038241</stp>
        <tr r="Z24" s="2"/>
      </tp>
      <tp t="s">
        <v>#N/A N/A</v>
        <stp/>
        <stp>BDH|15543439081381453188</stp>
        <tr r="D65" s="2"/>
      </tp>
      <tp t="s">
        <v>#N/A N/A</v>
        <stp/>
        <stp>BDH|12834672513849419520</stp>
        <tr r="T65" s="2"/>
      </tp>
      <tp t="s">
        <v>#N/A N/A</v>
        <stp/>
        <stp>BDH|17506921649923086048</stp>
        <tr r="D50" s="2"/>
      </tp>
      <tp t="s">
        <v>#N/A N/A</v>
        <stp/>
        <stp>BDH|13091947241587935069</stp>
        <tr r="S20" s="2"/>
      </tp>
      <tp t="s">
        <v>#N/A N/A</v>
        <stp/>
        <stp>BDH|12462265719348563047</stp>
        <tr r="C43" s="2"/>
      </tp>
      <tp t="s">
        <v>#N/A N/A</v>
        <stp/>
        <stp>BDH|13145392942739077401</stp>
        <tr r="S71" s="2"/>
      </tp>
      <tp t="s">
        <v>#N/A N/A</v>
        <stp/>
        <stp>BDH|11424922609523002253</stp>
        <tr r="J52" s="2"/>
      </tp>
      <tp t="s">
        <v>#N/A N/A</v>
        <stp/>
        <stp>BDH|15523187723648345772</stp>
        <tr r="C45" s="2"/>
      </tp>
      <tp t="s">
        <v>#N/A N/A</v>
        <stp/>
        <stp>BDH|11574465395312415784</stp>
        <tr r="D93" s="2"/>
      </tp>
      <tp t="s">
        <v>#N/A N/A</v>
        <stp/>
        <stp>BDH|14969492604528138188</stp>
        <tr r="D84" s="2"/>
      </tp>
      <tp t="s">
        <v>#N/A N/A</v>
        <stp/>
        <stp>BDH|17755917722107991202</stp>
        <tr r="E11" s="2"/>
      </tp>
      <tp t="s">
        <v>#N/A N/A</v>
        <stp/>
        <stp>BDH|13172886316880272300</stp>
        <tr r="V51" s="2"/>
      </tp>
      <tp t="s">
        <v>#N/A N/A</v>
        <stp/>
        <stp>BDH|16386110084251283793</stp>
        <tr r="AA23" s="2"/>
      </tp>
      <tp t="s">
        <v>#N/A N/A</v>
        <stp/>
        <stp>BDH|11117122680585796499</stp>
        <tr r="F20" s="2"/>
      </tp>
      <tp t="s">
        <v>#N/A N/A</v>
        <stp/>
        <stp>BDH|12942235342204445911</stp>
        <tr r="I73" s="2"/>
      </tp>
      <tp t="s">
        <v>#N/A N/A</v>
        <stp/>
        <stp>BDH|18113501099629102440</stp>
        <tr r="P73" s="2"/>
      </tp>
      <tp t="s">
        <v>#N/A N/A</v>
        <stp/>
        <stp>BDH|17093927902273934452</stp>
        <tr r="N35" s="2"/>
      </tp>
      <tp t="s">
        <v>#N/A N/A</v>
        <stp/>
        <stp>BDH|18092106811398875956</stp>
        <tr r="AF40" s="2"/>
      </tp>
      <tp t="s">
        <v>#N/A N/A</v>
        <stp/>
        <stp>BDH|11019586527528356700</stp>
        <tr r="S46" s="2"/>
      </tp>
      <tp t="s">
        <v>#N/A N/A</v>
        <stp/>
        <stp>BDH|18377597023844036262</stp>
        <tr r="C35" s="2"/>
      </tp>
      <tp t="s">
        <v>#N/A N/A</v>
        <stp/>
        <stp>BDH|11792907501500838117</stp>
        <tr r="J41" s="2"/>
      </tp>
      <tp t="s">
        <v>#N/A N/A</v>
        <stp/>
        <stp>BDH|15034184261652598937</stp>
        <tr r="I13" s="2"/>
      </tp>
      <tp t="s">
        <v>#N/A N/A</v>
        <stp/>
        <stp>BDH|12694017946566638987</stp>
        <tr r="T31" s="2"/>
      </tp>
      <tp t="s">
        <v>#N/A N/A</v>
        <stp/>
        <stp>BDH|16858868355321698324</stp>
        <tr r="L17" s="2"/>
      </tp>
      <tp t="s">
        <v>#N/A N/A</v>
        <stp/>
        <stp>BDH|17460992252602182018</stp>
        <tr r="AE42" s="2"/>
      </tp>
      <tp t="s">
        <v>#N/A N/A</v>
        <stp/>
        <stp>BDH|17920941731483439772</stp>
        <tr r="Q54" s="2"/>
      </tp>
      <tp t="s">
        <v>#N/A N/A</v>
        <stp/>
        <stp>BDH|14447147613448592588</stp>
        <tr r="H94" s="2"/>
      </tp>
      <tp t="s">
        <v>#N/A N/A</v>
        <stp/>
        <stp>BDH|11953864413334216507</stp>
        <tr r="AF43" s="2"/>
      </tp>
      <tp t="s">
        <v>#N/A N/A</v>
        <stp/>
        <stp>BDH|16299520451459231124</stp>
        <tr r="AD82" s="2"/>
      </tp>
      <tp t="s">
        <v>#N/A N/A</v>
        <stp/>
        <stp>BDH|11052352289326519288</stp>
        <tr r="AA71" s="2"/>
      </tp>
      <tp t="s">
        <v>#N/A N/A</v>
        <stp/>
        <stp>BDH|16418400055258507151</stp>
        <tr r="I64" s="2"/>
      </tp>
      <tp t="s">
        <v>#N/A N/A</v>
        <stp/>
        <stp>BDH|17078971222337513515</stp>
        <tr r="AD59" s="2"/>
      </tp>
      <tp t="s">
        <v>#N/A N/A</v>
        <stp/>
        <stp>BDH|13769960273091717241</stp>
        <tr r="AF64" s="2"/>
      </tp>
      <tp t="s">
        <v>#N/A N/A</v>
        <stp/>
        <stp>BDH|18239834054059725231</stp>
        <tr r="F10" s="2"/>
      </tp>
      <tp t="s">
        <v>#N/A N/A</v>
        <stp/>
        <stp>BDH|12533891959524493510</stp>
        <tr r="E26" s="2"/>
      </tp>
      <tp t="s">
        <v>#N/A N/A</v>
        <stp/>
        <stp>BDH|11203218391923753759</stp>
        <tr r="AE13" s="2"/>
      </tp>
      <tp t="s">
        <v>#N/A N/A</v>
        <stp/>
        <stp>BDH|13735791009333651918</stp>
        <tr r="F95" s="2"/>
      </tp>
      <tp t="s">
        <v>#N/A N/A</v>
        <stp/>
        <stp>BDH|15523869732765232538</stp>
        <tr r="C84" s="2"/>
      </tp>
      <tp t="s">
        <v>#N/A N/A</v>
        <stp/>
        <stp>BDH|16278034046284760802</stp>
        <tr r="D33" s="2"/>
      </tp>
      <tp t="s">
        <v>#N/A N/A</v>
        <stp/>
        <stp>BDH|18312859684067977184</stp>
        <tr r="H69" s="2"/>
      </tp>
      <tp t="s">
        <v>#N/A N/A</v>
        <stp/>
        <stp>BDH|14334608893554622155</stp>
        <tr r="T10" s="2"/>
      </tp>
      <tp t="s">
        <v>#N/A N/A</v>
        <stp/>
        <stp>BDH|11253694165356917940</stp>
        <tr r="AD30" s="2"/>
      </tp>
      <tp t="s">
        <v>#N/A N/A</v>
        <stp/>
        <stp>BDH|18441165967248662907</stp>
        <tr r="Z26" s="2"/>
      </tp>
      <tp t="s">
        <v>#N/A N/A</v>
        <stp/>
        <stp>BDH|13348306590576431143</stp>
        <tr r="AD14" s="2"/>
      </tp>
      <tp t="s">
        <v>#N/A N/A</v>
        <stp/>
        <stp>BDH|11758386369158452213</stp>
        <tr r="U78" s="2"/>
      </tp>
      <tp t="s">
        <v>#N/A N/A</v>
        <stp/>
        <stp>BDH|11963179685531174784</stp>
        <tr r="J56" s="2"/>
      </tp>
      <tp t="s">
        <v>#N/A N/A</v>
        <stp/>
        <stp>BDH|12700205526455469979</stp>
        <tr r="AE36" s="2"/>
      </tp>
      <tp t="s">
        <v>#N/A N/A</v>
        <stp/>
        <stp>BDH|16890816955483759690</stp>
        <tr r="V87" s="2"/>
      </tp>
      <tp t="s">
        <v>#N/A N/A</v>
        <stp/>
        <stp>BDH|16825230099725529656</stp>
        <tr r="AA40" s="2"/>
      </tp>
      <tp t="s">
        <v>#N/A N/A</v>
        <stp/>
        <stp>BDH|17091081193315975575</stp>
        <tr r="K71" s="2"/>
      </tp>
      <tp t="s">
        <v>#N/A N/A</v>
        <stp/>
        <stp>BDH|12949356857328741298</stp>
        <tr r="N88" s="2"/>
      </tp>
      <tp t="s">
        <v>#N/A N/A</v>
        <stp/>
        <stp>BDH|13887154397880614599</stp>
        <tr r="AF76" s="2"/>
      </tp>
      <tp t="s">
        <v>#N/A N/A</v>
        <stp/>
        <stp>BDH|14821115169448336564</stp>
        <tr r="J30" s="2"/>
      </tp>
      <tp t="s">
        <v>#N/A N/A</v>
        <stp/>
        <stp>BDH|15875644089091280432</stp>
        <tr r="T19" s="2"/>
      </tp>
      <tp t="s">
        <v>#N/A N/A</v>
        <stp/>
        <stp>BDH|16099675090725606259</stp>
        <tr r="K67" s="2"/>
      </tp>
      <tp t="s">
        <v>#N/A N/A</v>
        <stp/>
        <stp>BDH|13356474877716127866</stp>
        <tr r="AB43" s="2"/>
      </tp>
      <tp t="s">
        <v>#N/A N/A</v>
        <stp/>
        <stp>BDH|14231783758459634102</stp>
        <tr r="S76" s="2"/>
      </tp>
      <tp t="s">
        <v>#N/A N/A</v>
        <stp/>
        <stp>BDH|12762040684325506161</stp>
        <tr r="J48" s="2"/>
      </tp>
      <tp t="s">
        <v>#N/A N/A</v>
        <stp/>
        <stp>BDH|10446339186612584733</stp>
        <tr r="I62" s="2"/>
      </tp>
      <tp t="s">
        <v>#N/A N/A</v>
        <stp/>
        <stp>BDH|16761142816151558977</stp>
        <tr r="D39" s="2"/>
      </tp>
      <tp t="s">
        <v>#N/A N/A</v>
        <stp/>
        <stp>BDH|18425262163695161776</stp>
        <tr r="X18" s="2"/>
      </tp>
      <tp t="s">
        <v>#N/A N/A</v>
        <stp/>
        <stp>BDH|15931124368968245479</stp>
        <tr r="AF51" s="2"/>
      </tp>
      <tp t="s">
        <v>#N/A N/A</v>
        <stp/>
        <stp>BDH|10028242383717064317</stp>
        <tr r="H76" s="2"/>
      </tp>
      <tp t="s">
        <v>#N/A N/A</v>
        <stp/>
        <stp>BDH|16371114595745736562</stp>
        <tr r="N44" s="2"/>
      </tp>
      <tp t="s">
        <v>#N/A N/A</v>
        <stp/>
        <stp>BDH|16922067055775388807</stp>
        <tr r="Z52" s="2"/>
      </tp>
      <tp t="s">
        <v>#N/A N/A</v>
        <stp/>
        <stp>BDH|14396342558464645809</stp>
        <tr r="C41" s="2"/>
      </tp>
      <tp t="s">
        <v>#N/A N/A</v>
        <stp/>
        <stp>BDH|18323197031613018722</stp>
        <tr r="AE41" s="2"/>
      </tp>
      <tp t="s">
        <v>#N/A N/A</v>
        <stp/>
        <stp>BDH|16868954055087779362</stp>
        <tr r="AC64" s="2"/>
      </tp>
      <tp t="s">
        <v>#N/A N/A</v>
        <stp/>
        <stp>BDH|14738441391707881023</stp>
        <tr r="AD94" s="2"/>
      </tp>
      <tp t="s">
        <v>#N/A N/A</v>
        <stp/>
        <stp>BDH|17906476951520476839</stp>
        <tr r="J39" s="2"/>
      </tp>
      <tp t="s">
        <v>#N/A N/A</v>
        <stp/>
        <stp>BDH|11805668996594272427</stp>
        <tr r="C15" s="2"/>
      </tp>
      <tp t="s">
        <v>#N/A N/A</v>
        <stp/>
        <stp>BDH|10746470920850939837</stp>
        <tr r="Q36" s="2"/>
      </tp>
      <tp t="s">
        <v>#N/A N/A</v>
        <stp/>
        <stp>BDH|13775837562936414589</stp>
        <tr r="G47" s="2"/>
      </tp>
      <tp t="s">
        <v>#N/A N/A</v>
        <stp/>
        <stp>BDH|12112612880785888756</stp>
        <tr r="S30" s="2"/>
      </tp>
      <tp t="s">
        <v>#N/A N/A</v>
        <stp/>
        <stp>BDH|14932090233141893863</stp>
        <tr r="O27" s="2"/>
      </tp>
      <tp t="s">
        <v>#N/A N/A</v>
        <stp/>
        <stp>BDH|13934106410868541504</stp>
        <tr r="L65" s="2"/>
      </tp>
      <tp t="s">
        <v>#N/A N/A</v>
        <stp/>
        <stp>BDH|13702845292364906846</stp>
        <tr r="O88" s="2"/>
      </tp>
      <tp t="s">
        <v>#N/A N/A</v>
        <stp/>
        <stp>BDH|16447438997554936166</stp>
        <tr r="C25" s="2"/>
      </tp>
      <tp t="s">
        <v>#N/A N/A</v>
        <stp/>
        <stp>BDH|10316948548495258624</stp>
        <tr r="AD33" s="2"/>
      </tp>
      <tp t="s">
        <v>#N/A N/A</v>
        <stp/>
        <stp>BDH|14968930663940240548</stp>
        <tr r="Y74" s="2"/>
      </tp>
      <tp t="s">
        <v>#N/A N/A</v>
        <stp/>
        <stp>BDH|11454598699197354561</stp>
        <tr r="I15" s="2"/>
      </tp>
      <tp t="s">
        <v>#N/A N/A</v>
        <stp/>
        <stp>BDH|13987466585379977922</stp>
        <tr r="I59" s="2"/>
      </tp>
      <tp t="s">
        <v>#N/A N/A</v>
        <stp/>
        <stp>BDH|10608803774637291713</stp>
        <tr r="H78" s="2"/>
      </tp>
      <tp t="s">
        <v>#N/A N/A</v>
        <stp/>
        <stp>BDH|16534916756854712143</stp>
        <tr r="W76" s="2"/>
      </tp>
      <tp t="s">
        <v>#N/A N/A</v>
        <stp/>
        <stp>BDH|10889963604310377682</stp>
        <tr r="X69" s="2"/>
      </tp>
      <tp t="s">
        <v>#N/A N/A</v>
        <stp/>
        <stp>BDH|15520216555069668463</stp>
        <tr r="M29" s="2"/>
      </tp>
      <tp t="s">
        <v>#N/A N/A</v>
        <stp/>
        <stp>BDH|11146105729479991409</stp>
        <tr r="C53" s="2"/>
      </tp>
      <tp t="s">
        <v>#N/A N/A</v>
        <stp/>
        <stp>BDH|10727684311281981974</stp>
        <tr r="AC67" s="2"/>
      </tp>
      <tp t="s">
        <v>#N/A N/A</v>
        <stp/>
        <stp>BDH|10619912054820202313</stp>
        <tr r="L82" s="2"/>
      </tp>
      <tp t="s">
        <v>#N/A N/A</v>
        <stp/>
        <stp>BDH|15054548208288925752</stp>
        <tr r="V77" s="2"/>
      </tp>
      <tp t="s">
        <v>#N/A N/A</v>
        <stp/>
        <stp>BDH|14741999500585738795</stp>
        <tr r="L36" s="2"/>
      </tp>
      <tp t="s">
        <v>#N/A N/A</v>
        <stp/>
        <stp>BDH|16160596329929144701</stp>
        <tr r="AA41" s="2"/>
      </tp>
      <tp t="s">
        <v>#N/A N/A</v>
        <stp/>
        <stp>BDH|10558379727337000959</stp>
        <tr r="Z77" s="2"/>
      </tp>
      <tp t="s">
        <v>#N/A N/A</v>
        <stp/>
        <stp>BDH|13433973612017864393</stp>
        <tr r="AB61" s="2"/>
      </tp>
      <tp t="s">
        <v>#N/A N/A</v>
        <stp/>
        <stp>BDH|15420037144446543861</stp>
        <tr r="I67" s="2"/>
      </tp>
      <tp t="s">
        <v>#N/A N/A</v>
        <stp/>
        <stp>BDH|13919359038615543922</stp>
        <tr r="H16" s="2"/>
      </tp>
      <tp t="s">
        <v>#N/A N/A</v>
        <stp/>
        <stp>BDH|17293974266417623068</stp>
        <tr r="V12" s="2"/>
      </tp>
      <tp t="s">
        <v>#N/A N/A</v>
        <stp/>
        <stp>BDH|18200386913493282688</stp>
        <tr r="Y17" s="2"/>
      </tp>
      <tp t="s">
        <v>#N/A N/A</v>
        <stp/>
        <stp>BDH|13351870373341012255</stp>
        <tr r="Q68" s="2"/>
      </tp>
      <tp t="s">
        <v>#N/A N/A</v>
        <stp/>
        <stp>BDH|15731905642661841684</stp>
        <tr r="I94" s="2"/>
      </tp>
      <tp t="s">
        <v>#N/A N/A</v>
        <stp/>
        <stp>BDH|11796124795155796325</stp>
        <tr r="G82" s="2"/>
      </tp>
      <tp t="s">
        <v>#N/A N/A</v>
        <stp/>
        <stp>BDH|16625229473285485966</stp>
        <tr r="AE65" s="2"/>
      </tp>
      <tp t="s">
        <v>#N/A N/A</v>
        <stp/>
        <stp>BDH|10573644997121206115</stp>
        <tr r="Y22" s="2"/>
      </tp>
      <tp t="s">
        <v>#N/A N/A</v>
        <stp/>
        <stp>BDH|15515918532836649653</stp>
        <tr r="AB7" s="2"/>
      </tp>
      <tp t="s">
        <v>#N/A N/A</v>
        <stp/>
        <stp>BDH|17369429335366763976</stp>
        <tr r="E33" s="2"/>
      </tp>
      <tp t="s">
        <v>#N/A N/A</v>
        <stp/>
        <stp>BDH|18280213819483779794</stp>
        <tr r="AA33" s="2"/>
      </tp>
      <tp t="s">
        <v>#N/A N/A</v>
        <stp/>
        <stp>BDH|10169838301505388240</stp>
        <tr r="R70" s="2"/>
      </tp>
      <tp t="s">
        <v>#N/A N/A</v>
        <stp/>
        <stp>BDH|13353041891107674247</stp>
        <tr r="Z51" s="2"/>
      </tp>
      <tp t="s">
        <v>#N/A N/A</v>
        <stp/>
        <stp>BDH|17523806000748320819</stp>
        <tr r="P27" s="2"/>
      </tp>
      <tp t="s">
        <v>#N/A N/A</v>
        <stp/>
        <stp>BDH|16767404957061301941</stp>
        <tr r="D10" s="2"/>
      </tp>
      <tp t="s">
        <v>#N/A N/A</v>
        <stp/>
        <stp>BDH|15773212870609966687</stp>
        <tr r="P18" s="2"/>
      </tp>
      <tp t="s">
        <v>#N/A N/A</v>
        <stp/>
        <stp>BDH|15763969520740195170</stp>
        <tr r="L74" s="2"/>
      </tp>
      <tp t="s">
        <v>#N/A N/A</v>
        <stp/>
        <stp>BDH|11030504991567727517</stp>
        <tr r="V62" s="2"/>
      </tp>
      <tp t="s">
        <v>#N/A N/A</v>
        <stp/>
        <stp>BDH|14319497631754933849</stp>
        <tr r="Y67" s="2"/>
      </tp>
      <tp t="s">
        <v>#N/A N/A</v>
        <stp/>
        <stp>BDH|14567180738028564167</stp>
        <tr r="V78" s="2"/>
      </tp>
      <tp t="s">
        <v>#N/A N/A</v>
        <stp/>
        <stp>BDH|11063808903265499313</stp>
        <tr r="G72" s="2"/>
      </tp>
      <tp t="s">
        <v>#N/A N/A</v>
        <stp/>
        <stp>BDH|16469017064347081883</stp>
        <tr r="AA61" s="2"/>
      </tp>
      <tp t="s">
        <v>#N/A N/A</v>
        <stp/>
        <stp>BDH|16089245495363088184</stp>
        <tr r="T61" s="2"/>
      </tp>
      <tp t="s">
        <v>#N/A N/A</v>
        <stp/>
        <stp>BDH|17138627208147471979</stp>
        <tr r="M42" s="2"/>
      </tp>
      <tp t="s">
        <v>#N/A N/A</v>
        <stp/>
        <stp>BDH|10982321894522625716</stp>
        <tr r="J84" s="2"/>
      </tp>
      <tp t="s">
        <v>#N/A N/A</v>
        <stp/>
        <stp>BDH|14885360487541974184</stp>
        <tr r="E14" s="2"/>
      </tp>
      <tp t="s">
        <v>#N/A N/A</v>
        <stp/>
        <stp>BDH|17773764738975078910</stp>
        <tr r="R44" s="2"/>
      </tp>
      <tp t="s">
        <v>#N/A N/A</v>
        <stp/>
        <stp>BDH|11953616143995196920</stp>
        <tr r="O59" s="2"/>
      </tp>
      <tp t="s">
        <v>#N/A N/A</v>
        <stp/>
        <stp>BDH|14103821881752246983</stp>
        <tr r="K52" s="2"/>
      </tp>
      <tp t="s">
        <v>#N/A N/A</v>
        <stp/>
        <stp>BDH|11813868460954597438</stp>
        <tr r="X55" s="2"/>
      </tp>
      <tp t="s">
        <v>#N/A N/A</v>
        <stp/>
        <stp>BDH|12304490638132278883</stp>
        <tr r="M60" s="2"/>
      </tp>
      <tp t="s">
        <v>#N/A N/A</v>
        <stp/>
        <stp>BDH|11900854775393699243</stp>
        <tr r="Z65" s="2"/>
      </tp>
      <tp t="s">
        <v>#N/A N/A</v>
        <stp/>
        <stp>BDH|12483754726381530990</stp>
        <tr r="T50" s="2"/>
      </tp>
      <tp t="s">
        <v>#N/A N/A</v>
        <stp/>
        <stp>BDH|16698561296575993045</stp>
        <tr r="AC83" s="2"/>
      </tp>
      <tp t="s">
        <v>#N/A N/A</v>
        <stp/>
        <stp>BDH|18156218925537651093</stp>
        <tr r="Z41" s="2"/>
      </tp>
      <tp t="s">
        <v>#N/A N/A</v>
        <stp/>
        <stp>BDH|12205367668119156170</stp>
        <tr r="O7" s="2"/>
      </tp>
      <tp t="s">
        <v>#N/A N/A</v>
        <stp/>
        <stp>BDH|14017317131192238987</stp>
        <tr r="J20" s="2"/>
      </tp>
      <tp t="s">
        <v>#N/A N/A</v>
        <stp/>
        <stp>BDH|14221710839677859881</stp>
        <tr r="AE78" s="2"/>
      </tp>
      <tp t="s">
        <v>#N/A N/A</v>
        <stp/>
        <stp>BDH|11157021341833194993</stp>
        <tr r="AD28" s="2"/>
      </tp>
      <tp t="s">
        <v>#N/A N/A</v>
        <stp/>
        <stp>BDH|16238237999394330610</stp>
        <tr r="W25" s="2"/>
      </tp>
      <tp t="s">
        <v>#N/A N/A</v>
        <stp/>
        <stp>BDH|12841412130543206917</stp>
        <tr r="AB8" s="2"/>
      </tp>
      <tp t="s">
        <v>#N/A N/A</v>
        <stp/>
        <stp>BDH|12585802391538029494</stp>
        <tr r="N54" s="2"/>
      </tp>
      <tp t="s">
        <v>#N/A N/A</v>
        <stp/>
        <stp>BDH|15661124699770977290</stp>
        <tr r="T71" s="2"/>
      </tp>
      <tp t="s">
        <v>#N/A N/A</v>
        <stp/>
        <stp>BDH|10228672273019211796</stp>
        <tr r="E69" s="2"/>
      </tp>
      <tp t="s">
        <v>#N/A N/A</v>
        <stp/>
        <stp>BDH|13045958470510814217</stp>
        <tr r="F77" s="2"/>
      </tp>
      <tp t="s">
        <v>#N/A N/A</v>
        <stp/>
        <stp>BDH|17873648300579669761</stp>
        <tr r="H29" s="2"/>
      </tp>
      <tp t="s">
        <v>#N/A N/A</v>
        <stp/>
        <stp>BDH|16505347946727811932</stp>
        <tr r="E57" s="2"/>
      </tp>
      <tp t="s">
        <v>#N/A N/A</v>
        <stp/>
        <stp>BDH|12885055125876233961</stp>
        <tr r="L7" s="2"/>
      </tp>
      <tp t="s">
        <v>#N/A N/A</v>
        <stp/>
        <stp>BDH|13732294532764401979</stp>
        <tr r="D85" s="2"/>
      </tp>
      <tp t="s">
        <v>#N/A N/A</v>
        <stp/>
        <stp>BDH|15333025867285903907</stp>
        <tr r="X71" s="2"/>
      </tp>
      <tp t="s">
        <v>#N/A N/A</v>
        <stp/>
        <stp>BDH|16954785342339408381</stp>
        <tr r="J88" s="2"/>
      </tp>
      <tp t="s">
        <v>#N/A N/A</v>
        <stp/>
        <stp>BDH|17872323923449158069</stp>
        <tr r="AD66" s="2"/>
      </tp>
      <tp t="s">
        <v>#N/A N/A</v>
        <stp/>
        <stp>BDH|17133929835403929110</stp>
        <tr r="Q51" s="2"/>
      </tp>
      <tp t="s">
        <v>#N/A N/A</v>
        <stp/>
        <stp>BDH|12711083084431401414</stp>
        <tr r="P35" s="2"/>
      </tp>
      <tp t="s">
        <v>#N/A N/A</v>
        <stp/>
        <stp>BDH|16827649292012197413</stp>
        <tr r="W44" s="2"/>
      </tp>
      <tp t="s">
        <v>#N/A N/A</v>
        <stp/>
        <stp>BDH|13844322375030376821</stp>
        <tr r="AE67" s="2"/>
      </tp>
      <tp t="s">
        <v>#N/A N/A</v>
        <stp/>
        <stp>BDH|17567380750638058632</stp>
        <tr r="AE53" s="2"/>
      </tp>
      <tp t="s">
        <v>#N/A N/A</v>
        <stp/>
        <stp>BDH|10902532198695551562</stp>
        <tr r="E76" s="2"/>
      </tp>
      <tp t="s">
        <v>#N/A N/A</v>
        <stp/>
        <stp>BDH|14296204490495683657</stp>
        <tr r="J93" s="2"/>
      </tp>
      <tp t="s">
        <v>#N/A N/A</v>
        <stp/>
        <stp>BDH|14960820039286190532</stp>
        <tr r="Y90" s="2"/>
      </tp>
      <tp t="s">
        <v>#N/A N/A</v>
        <stp/>
        <stp>BDH|11312894267385434698</stp>
        <tr r="AC85" s="2"/>
      </tp>
      <tp t="s">
        <v>#N/A N/A</v>
        <stp/>
        <stp>BDH|16618132505659514255</stp>
        <tr r="AC73" s="2"/>
      </tp>
      <tp t="s">
        <v>#N/A N/A</v>
        <stp/>
        <stp>BDH|10867218889560894682</stp>
        <tr r="AF70" s="2"/>
      </tp>
      <tp t="s">
        <v>#N/A N/A</v>
        <stp/>
        <stp>BDH|11834035221918285787</stp>
        <tr r="R93" s="2"/>
      </tp>
      <tp t="s">
        <v>#N/A N/A</v>
        <stp/>
        <stp>BDH|13317017556353378949</stp>
        <tr r="E74" s="2"/>
      </tp>
      <tp t="s">
        <v>#N/A N/A</v>
        <stp/>
        <stp>BDH|15273904611103800289</stp>
        <tr r="H51" s="2"/>
      </tp>
      <tp t="s">
        <v>#N/A N/A</v>
        <stp/>
        <stp>BDH|12074323590954600076</stp>
        <tr r="U89" s="2"/>
      </tp>
      <tp t="s">
        <v>#N/A N/A</v>
        <stp/>
        <stp>BDH|11708634259907840961</stp>
        <tr r="T45" s="2"/>
      </tp>
      <tp t="s">
        <v>#N/A N/A</v>
        <stp/>
        <stp>BDH|11899708370155818832</stp>
        <tr r="W39" s="2"/>
      </tp>
      <tp t="s">
        <v>#N/A N/A</v>
        <stp/>
        <stp>BDH|15830328139869225023</stp>
        <tr r="Y34" s="2"/>
      </tp>
      <tp t="s">
        <v>#N/A N/A</v>
        <stp/>
        <stp>BDH|10003812230275480273</stp>
        <tr r="P24" s="2"/>
      </tp>
      <tp t="s">
        <v>#N/A N/A</v>
        <stp/>
        <stp>BDH|17553809632989194944</stp>
        <tr r="G46" s="2"/>
      </tp>
      <tp t="s">
        <v>#N/A N/A</v>
        <stp/>
        <stp>BDH|15064756199903800466</stp>
        <tr r="O42" s="2"/>
      </tp>
      <tp t="s">
        <v>#N/A N/A</v>
        <stp/>
        <stp>BDH|11809528909961634972</stp>
        <tr r="T54" s="2"/>
      </tp>
      <tp t="s">
        <v>#N/A N/A</v>
        <stp/>
        <stp>BDH|10997217098522120540</stp>
        <tr r="D64" s="2"/>
      </tp>
      <tp t="s">
        <v>#N/A N/A</v>
        <stp/>
        <stp>BDH|11039233098151899761</stp>
        <tr r="Q46" s="2"/>
      </tp>
      <tp t="s">
        <v>#N/A N/A</v>
        <stp/>
        <stp>BDH|12522834539130244583</stp>
        <tr r="N85" s="2"/>
      </tp>
      <tp t="s">
        <v>#N/A N/A</v>
        <stp/>
        <stp>BDH|15073880354892853601</stp>
        <tr r="G13" s="2"/>
      </tp>
      <tp t="s">
        <v>#N/A N/A</v>
        <stp/>
        <stp>BDH|14545924473831829782</stp>
        <tr r="AB76" s="2"/>
      </tp>
      <tp t="s">
        <v>#N/A N/A</v>
        <stp/>
        <stp>BDH|18070070528921818730</stp>
        <tr r="E28" s="2"/>
      </tp>
      <tp t="s">
        <v>#N/A N/A</v>
        <stp/>
        <stp>BDH|13469867736996588252</stp>
        <tr r="I86" s="2"/>
      </tp>
      <tp t="s">
        <v>#N/A N/A</v>
        <stp/>
        <stp>BDH|13368211719648815472</stp>
        <tr r="AC20" s="2"/>
      </tp>
      <tp t="s">
        <v>#N/A N/A</v>
        <stp/>
        <stp>BDH|13770131000236878885</stp>
        <tr r="U25" s="2"/>
      </tp>
      <tp t="s">
        <v>#N/A N/A</v>
        <stp/>
        <stp>BDH|18231438196028756148</stp>
        <tr r="W35" s="2"/>
      </tp>
      <tp t="s">
        <v>#N/A N/A</v>
        <stp/>
        <stp>BDH|18444038063955987799</stp>
        <tr r="U92" s="2"/>
      </tp>
      <tp t="s">
        <v>#N/A N/A</v>
        <stp/>
        <stp>BDH|17580966040441420717</stp>
        <tr r="Q87" s="2"/>
      </tp>
      <tp t="s">
        <v>#N/A N/A</v>
        <stp/>
        <stp>BDH|15167877704751739038</stp>
        <tr r="AA47" s="2"/>
      </tp>
      <tp t="s">
        <v>#N/A N/A</v>
        <stp/>
        <stp>BDH|10432478345928271429</stp>
        <tr r="N8" s="2"/>
      </tp>
      <tp t="s">
        <v>#N/A N/A</v>
        <stp/>
        <stp>BDH|17467114801618771253</stp>
        <tr r="AC10" s="2"/>
      </tp>
      <tp t="s">
        <v>#N/A N/A</v>
        <stp/>
        <stp>BDH|16916324970396968840</stp>
        <tr r="G89" s="2"/>
      </tp>
      <tp t="s">
        <v>#N/A N/A</v>
        <stp/>
        <stp>BDH|14837737372441585953</stp>
        <tr r="T95" s="2"/>
      </tp>
      <tp t="s">
        <v>#N/A N/A</v>
        <stp/>
        <stp>BDH|18181965739687506933</stp>
        <tr r="U7" s="2"/>
      </tp>
      <tp t="s">
        <v>#N/A N/A</v>
        <stp/>
        <stp>BDH|10237936041546881707</stp>
        <tr r="Z63" s="2"/>
      </tp>
      <tp t="s">
        <v>#N/A N/A</v>
        <stp/>
        <stp>BDH|16485046090165991619</stp>
        <tr r="L21" s="2"/>
      </tp>
      <tp t="s">
        <v>#N/A N/A</v>
        <stp/>
        <stp>BDH|16223107498364258607</stp>
        <tr r="J75" s="2"/>
      </tp>
      <tp t="s">
        <v>#N/A N/A</v>
        <stp/>
        <stp>BDH|13898951423604031053</stp>
        <tr r="Q32" s="2"/>
      </tp>
      <tp t="s">
        <v>#N/A N/A</v>
        <stp/>
        <stp>BDH|10781797917399266306</stp>
        <tr r="Y62" s="2"/>
      </tp>
      <tp t="s">
        <v>#N/A N/A</v>
        <stp/>
        <stp>BDH|15014985130850670340</stp>
        <tr r="AB71" s="2"/>
      </tp>
      <tp t="s">
        <v>#N/A N/A</v>
        <stp/>
        <stp>BDH|18147684781188110233</stp>
        <tr r="R24" s="2"/>
      </tp>
      <tp t="s">
        <v>#N/A N/A</v>
        <stp/>
        <stp>BDH|17730043571608978417</stp>
        <tr r="J31" s="2"/>
      </tp>
      <tp t="s">
        <v>#N/A N/A</v>
        <stp/>
        <stp>BDH|14883336185726148524</stp>
        <tr r="P67" s="2"/>
      </tp>
      <tp t="s">
        <v>#N/A N/A</v>
        <stp/>
        <stp>BDH|12551804638443667665</stp>
        <tr r="V91" s="2"/>
      </tp>
      <tp t="s">
        <v>#N/A N/A</v>
        <stp/>
        <stp>BDH|17185838100830741388</stp>
        <tr r="Y48" s="2"/>
      </tp>
      <tp t="s">
        <v>#N/A N/A</v>
        <stp/>
        <stp>BDH|16814898413702622183</stp>
        <tr r="AF90" s="2"/>
      </tp>
      <tp t="s">
        <v>#N/A N/A</v>
        <stp/>
        <stp>BDH|18211907018119374557</stp>
        <tr r="J70" s="2"/>
      </tp>
      <tp t="s">
        <v>#N/A N/A</v>
        <stp/>
        <stp>BDH|12284297974973175827</stp>
        <tr r="I83" s="2"/>
      </tp>
      <tp t="s">
        <v>#N/A N/A</v>
        <stp/>
        <stp>BDH|13816314871879217268</stp>
        <tr r="I35" s="2"/>
      </tp>
      <tp t="s">
        <v>#N/A N/A</v>
        <stp/>
        <stp>BDH|14959665081106918089</stp>
        <tr r="AC92" s="2"/>
      </tp>
      <tp t="s">
        <v>#N/A N/A</v>
        <stp/>
        <stp>BDH|15984819572852122444</stp>
        <tr r="C72" s="2"/>
      </tp>
      <tp t="s">
        <v>#N/A N/A</v>
        <stp/>
        <stp>BDH|16470808728000436071</stp>
        <tr r="Q89" s="2"/>
      </tp>
      <tp t="s">
        <v>#N/A N/A</v>
        <stp/>
        <stp>BDH|13400952533887994241</stp>
        <tr r="S35" s="2"/>
      </tp>
      <tp t="s">
        <v>#N/A N/A</v>
        <stp/>
        <stp>BDH|12941119146199318228</stp>
        <tr r="Q16" s="2"/>
      </tp>
      <tp t="s">
        <v>#N/A N/A</v>
        <stp/>
        <stp>BDH|14383990208218845942</stp>
        <tr r="C90" s="2"/>
      </tp>
      <tp t="s">
        <v>#N/A N/A</v>
        <stp/>
        <stp>BDH|16993080581492987077</stp>
        <tr r="C31" s="2"/>
      </tp>
      <tp t="s">
        <v>#N/A N/A</v>
        <stp/>
        <stp>BDH|18234834189620717410</stp>
        <tr r="P14" s="2"/>
      </tp>
      <tp t="s">
        <v>#N/A N/A</v>
        <stp/>
        <stp>BDH|14117615884166263087</stp>
        <tr r="W77" s="2"/>
      </tp>
      <tp t="s">
        <v>#N/A N/A</v>
        <stp/>
        <stp>BDH|13284939115680352669</stp>
        <tr r="O36" s="2"/>
      </tp>
      <tp t="s">
        <v>#N/A N/A</v>
        <stp/>
        <stp>BDH|10748244794851138771</stp>
        <tr r="X20" s="2"/>
      </tp>
      <tp t="s">
        <v>#N/A N/A</v>
        <stp/>
        <stp>BDH|10302990136834878353</stp>
        <tr r="AB83" s="2"/>
      </tp>
      <tp t="s">
        <v>#N/A N/A</v>
        <stp/>
        <stp>BDH|17534893433142647384</stp>
        <tr r="U73" s="2"/>
      </tp>
      <tp t="s">
        <v>#N/A N/A</v>
        <stp/>
        <stp>BDH|16433916175412865780</stp>
        <tr r="J47" s="2"/>
      </tp>
      <tp t="s">
        <v>#N/A N/A</v>
        <stp/>
        <stp>BDH|16254771503128357454</stp>
        <tr r="W43" s="2"/>
      </tp>
      <tp t="s">
        <v>#N/A N/A</v>
        <stp/>
        <stp>BDH|14986205738730255805</stp>
        <tr r="W84" s="2"/>
      </tp>
      <tp t="s">
        <v>#N/A N/A</v>
        <stp/>
        <stp>BDH|11493964744020322163</stp>
        <tr r="T28" s="2"/>
      </tp>
      <tp t="s">
        <v>#N/A N/A</v>
        <stp/>
        <stp>BDH|13147767889502556380</stp>
        <tr r="E91" s="2"/>
      </tp>
      <tp t="s">
        <v>#N/A N/A</v>
        <stp/>
        <stp>BDH|14254816783529415072</stp>
        <tr r="L39" s="2"/>
      </tp>
      <tp t="s">
        <v>#N/A N/A</v>
        <stp/>
        <stp>BDH|10424110579593731897</stp>
        <tr r="K33" s="2"/>
      </tp>
      <tp t="s">
        <v>#N/A N/A</v>
        <stp/>
        <stp>BDH|17617096527561202981</stp>
        <tr r="C10" s="2"/>
      </tp>
      <tp t="s">
        <v>#N/A N/A</v>
        <stp/>
        <stp>BDH|18062183781304814834</stp>
        <tr r="K23" s="2"/>
      </tp>
      <tp t="s">
        <v>#N/A N/A</v>
        <stp/>
        <stp>BDH|15202555425547202822</stp>
        <tr r="O86" s="2"/>
      </tp>
      <tp t="s">
        <v>#N/A N/A</v>
        <stp/>
        <stp>BDH|11534402035603726824</stp>
        <tr r="Q56" s="2"/>
      </tp>
      <tp t="s">
        <v>#N/A N/A</v>
        <stp/>
        <stp>BDH|13315039491925156253</stp>
        <tr r="G44" s="2"/>
      </tp>
      <tp t="s">
        <v>#N/A N/A</v>
        <stp/>
        <stp>BDH|16846003357007306991</stp>
        <tr r="F78" s="2"/>
      </tp>
      <tp t="s">
        <v>#N/A N/A</v>
        <stp/>
        <stp>BDH|10511141480216123242</stp>
        <tr r="Y42" s="2"/>
      </tp>
      <tp t="s">
        <v>#N/A N/A</v>
        <stp/>
        <stp>BDH|18178309041575220750</stp>
        <tr r="P31" s="2"/>
      </tp>
      <tp t="s">
        <v>#N/A N/A</v>
        <stp/>
        <stp>BDH|17431025610443379828</stp>
        <tr r="M26" s="2"/>
      </tp>
      <tp t="s">
        <v>#N/A N/A</v>
        <stp/>
        <stp>BDH|15089969931666844481</stp>
        <tr r="C18" s="2"/>
      </tp>
      <tp t="s">
        <v>#N/A N/A</v>
        <stp/>
        <stp>BDH|11450389919997056921</stp>
        <tr r="I54" s="2"/>
      </tp>
      <tp t="s">
        <v>#N/A N/A</v>
        <stp/>
        <stp>BDH|16465804428844332598</stp>
        <tr r="Q21" s="2"/>
      </tp>
      <tp t="s">
        <v>#N/A N/A</v>
        <stp/>
        <stp>BDH|17497149324619581087</stp>
        <tr r="J57" s="2"/>
      </tp>
      <tp t="s">
        <v>#N/A N/A</v>
        <stp/>
        <stp>BDH|15290827108017610776</stp>
        <tr r="D22" s="2"/>
      </tp>
      <tp t="s">
        <v>#N/A N/A</v>
        <stp/>
        <stp>BDH|17169467916688973712</stp>
        <tr r="AE62" s="2"/>
      </tp>
      <tp t="s">
        <v>#N/A N/A</v>
        <stp/>
        <stp>BDH|13036749329993121848</stp>
        <tr r="F27" s="2"/>
      </tp>
      <tp t="s">
        <v>#N/A N/A</v>
        <stp/>
        <stp>BDH|18033767902323465182</stp>
        <tr r="AA45" s="2"/>
      </tp>
      <tp t="s">
        <v>#N/A N/A</v>
        <stp/>
        <stp>BDH|12499280032168677637</stp>
        <tr r="AA36" s="2"/>
      </tp>
      <tp t="s">
        <v>#N/A N/A</v>
        <stp/>
        <stp>BDH|17655836967481801517</stp>
        <tr r="S75" s="2"/>
      </tp>
      <tp t="s">
        <v>#N/A N/A</v>
        <stp/>
        <stp>BDH|12559767052724929931</stp>
        <tr r="Z56" s="2"/>
      </tp>
      <tp t="s">
        <v>#N/A N/A</v>
        <stp/>
        <stp>BDH|17228574910987636989</stp>
        <tr r="R16" s="2"/>
      </tp>
      <tp t="s">
        <v>#N/A N/A</v>
        <stp/>
        <stp>BDH|11247845248591231160</stp>
        <tr r="X35" s="2"/>
      </tp>
      <tp t="s">
        <v>#N/A N/A</v>
        <stp/>
        <stp>BDH|16984804263491464449</stp>
        <tr r="G23" s="2"/>
      </tp>
      <tp t="s">
        <v>#N/A N/A</v>
        <stp/>
        <stp>BDH|12663316920359891728</stp>
        <tr r="L42" s="2"/>
      </tp>
      <tp t="s">
        <v>#N/A N/A</v>
        <stp/>
        <stp>BDH|14613867988211187849</stp>
        <tr r="H61" s="2"/>
      </tp>
      <tp t="s">
        <v>#N/A N/A</v>
        <stp/>
        <stp>BDH|14364832354736877209</stp>
        <tr r="V64" s="2"/>
      </tp>
      <tp t="s">
        <v>#N/A N/A</v>
        <stp/>
        <stp>BDH|15937913106682463363</stp>
        <tr r="AF29" s="2"/>
      </tp>
      <tp t="s">
        <v>#N/A N/A</v>
        <stp/>
        <stp>BDH|11407137939309612745</stp>
        <tr r="AE20" s="2"/>
      </tp>
      <tp t="s">
        <v>#N/A N/A</v>
        <stp/>
        <stp>BDH|10184966067584885646</stp>
        <tr r="M52" s="2"/>
      </tp>
      <tp t="s">
        <v>#N/A N/A</v>
        <stp/>
        <stp>BDH|13518294929159225788</stp>
        <tr r="AE23" s="2"/>
      </tp>
      <tp t="s">
        <v>#N/A N/A</v>
        <stp/>
        <stp>BDH|13774965249454040771</stp>
        <tr r="E53" s="2"/>
      </tp>
      <tp t="s">
        <v>#N/A N/A</v>
        <stp/>
        <stp>BDH|15009690764600396806</stp>
        <tr r="I58" s="2"/>
      </tp>
      <tp t="s">
        <v>#N/A N/A</v>
        <stp/>
        <stp>BDH|12580668188434396561</stp>
        <tr r="J65" s="2"/>
      </tp>
      <tp t="s">
        <v>#N/A N/A</v>
        <stp/>
        <stp>BDH|10149942079740249301</stp>
        <tr r="Z82" s="2"/>
      </tp>
      <tp t="s">
        <v>#N/A N/A</v>
        <stp/>
        <stp>BDH|13446129002636503601</stp>
        <tr r="AF78" s="2"/>
      </tp>
      <tp t="s">
        <v>#N/A N/A</v>
        <stp/>
        <stp>BDH|16547611456982217512</stp>
        <tr r="E46" s="2"/>
      </tp>
      <tp t="s">
        <v>#N/A N/A</v>
        <stp/>
        <stp>BDH|12755999938202595825</stp>
        <tr r="AE92" s="2"/>
      </tp>
      <tp t="s">
        <v>#N/A N/A</v>
        <stp/>
        <stp>BDH|18350653855671050824</stp>
        <tr r="J34" s="2"/>
      </tp>
      <tp t="s">
        <v>#N/A N/A</v>
        <stp/>
        <stp>BDH|12016264610834147769</stp>
        <tr r="D19" s="2"/>
      </tp>
      <tp t="s">
        <v>#N/A N/A</v>
        <stp/>
        <stp>BDH|13929538905673780793</stp>
        <tr r="F62" s="2"/>
      </tp>
      <tp t="s">
        <v>#N/A N/A</v>
        <stp/>
        <stp>BDH|12254711516742279460</stp>
        <tr r="AD68" s="2"/>
      </tp>
      <tp t="s">
        <v>#N/A N/A</v>
        <stp/>
        <stp>BDH|13227921622612437869</stp>
        <tr r="J46" s="2"/>
      </tp>
      <tp t="s">
        <v>#N/A N/A</v>
        <stp/>
        <stp>BDH|10833595144056122544</stp>
        <tr r="K32" s="2"/>
      </tp>
      <tp t="s">
        <v>#N/A N/A</v>
        <stp/>
        <stp>BDH|14066910618286933800</stp>
        <tr r="K64" s="2"/>
      </tp>
      <tp t="s">
        <v>#N/A N/A</v>
        <stp/>
        <stp>BDH|14521499296432287980</stp>
        <tr r="Y20" s="2"/>
      </tp>
      <tp t="s">
        <v>#N/A N/A</v>
        <stp/>
        <stp>BDH|13428252015590044247</stp>
        <tr r="J77" s="2"/>
      </tp>
      <tp t="s">
        <v>#N/A N/A</v>
        <stp/>
        <stp>BDH|12403839521868711214</stp>
        <tr r="T20" s="2"/>
      </tp>
      <tp t="s">
        <v>#N/A N/A</v>
        <stp/>
        <stp>BDH|16329210136817037272</stp>
        <tr r="S29" s="2"/>
      </tp>
      <tp t="s">
        <v>#N/A N/A</v>
        <stp/>
        <stp>BDH|17508278996748608612</stp>
        <tr r="O22" s="2"/>
      </tp>
      <tp t="s">
        <v>#N/A N/A</v>
        <stp/>
        <stp>BDH|13495035496879121130</stp>
        <tr r="G90" s="2"/>
      </tp>
      <tp t="s">
        <v>#N/A N/A</v>
        <stp/>
        <stp>BDH|15263408348292987501</stp>
        <tr r="E21" s="2"/>
      </tp>
      <tp t="s">
        <v>#N/A N/A</v>
        <stp/>
        <stp>BDH|11650012205571363220</stp>
        <tr r="O58" s="2"/>
      </tp>
      <tp t="s">
        <v>#N/A N/A</v>
        <stp/>
        <stp>BDH|10810336357801786595</stp>
        <tr r="G84" s="2"/>
      </tp>
      <tp t="s">
        <v>#N/A N/A</v>
        <stp/>
        <stp>BDH|10348643416263200612</stp>
        <tr r="U52" s="2"/>
      </tp>
      <tp t="s">
        <v>#N/A N/A</v>
        <stp/>
        <stp>BDH|15309934931635166823</stp>
        <tr r="J71" s="2"/>
      </tp>
      <tp t="s">
        <v>#N/A N/A</v>
        <stp/>
        <stp>BDH|15633485023521834077</stp>
        <tr r="AF26" s="2"/>
      </tp>
      <tp t="s">
        <v>#N/A N/A</v>
        <stp/>
        <stp>BDH|13648631341643784064</stp>
        <tr r="H74" s="2"/>
      </tp>
      <tp t="s">
        <v>#N/A N/A</v>
        <stp/>
        <stp>BDH|17604431368136899104</stp>
        <tr r="L58" s="2"/>
      </tp>
      <tp t="s">
        <v>#N/A N/A</v>
        <stp/>
        <stp>BDH|16023151912653173733</stp>
        <tr r="H82" s="2"/>
      </tp>
      <tp t="s">
        <v>#N/A N/A</v>
        <stp/>
        <stp>BDH|14366497259242657507</stp>
        <tr r="M57" s="2"/>
      </tp>
      <tp t="s">
        <v>#N/A N/A</v>
        <stp/>
        <stp>BDH|14433514206350156374</stp>
        <tr r="AE26" s="2"/>
      </tp>
      <tp t="s">
        <v>#N/A N/A</v>
        <stp/>
        <stp>BDH|16188023397429727469</stp>
        <tr r="M35" s="2"/>
      </tp>
      <tp t="s">
        <v>#N/A N/A</v>
        <stp/>
        <stp>BDH|13379411256383340325</stp>
        <tr r="H18" s="2"/>
      </tp>
      <tp t="s">
        <v>#N/A N/A</v>
        <stp/>
        <stp>BDH|11688517214983509429</stp>
        <tr r="P72" s="2"/>
      </tp>
      <tp t="s">
        <v>#N/A N/A</v>
        <stp/>
        <stp>BDH|15410414921276340733</stp>
        <tr r="G78" s="2"/>
      </tp>
      <tp t="s">
        <v>#N/A N/A</v>
        <stp/>
        <stp>BDH|11839466568334233500</stp>
        <tr r="AA26" s="2"/>
      </tp>
      <tp t="s">
        <v>#N/A N/A</v>
        <stp/>
        <stp>BDH|12009455283854754863</stp>
        <tr r="J22" s="2"/>
      </tp>
      <tp t="s">
        <v>#N/A N/A</v>
        <stp/>
        <stp>BDH|11297641222684634353</stp>
        <tr r="AB50" s="2"/>
      </tp>
      <tp t="s">
        <v>#N/A N/A</v>
        <stp/>
        <stp>BDH|12160954200258292117</stp>
        <tr r="K41" s="2"/>
      </tp>
      <tp t="s">
        <v>#N/A N/A</v>
        <stp/>
        <stp>BDH|17083354910047078026</stp>
        <tr r="R7" s="2"/>
      </tp>
      <tp t="s">
        <v>#N/A N/A</v>
        <stp/>
        <stp>BDH|15037844745209692201</stp>
        <tr r="M74" s="2"/>
      </tp>
      <tp t="s">
        <v>#N/A N/A</v>
        <stp/>
        <stp>BDH|16584930881807685264</stp>
        <tr r="AB41" s="2"/>
      </tp>
      <tp t="s">
        <v>#N/A N/A</v>
        <stp/>
        <stp>BDH|10911359800957337680</stp>
        <tr r="I22" s="2"/>
      </tp>
      <tp t="s">
        <v>#N/A N/A</v>
        <stp/>
        <stp>BDH|16978270843445812723</stp>
        <tr r="W30" s="2"/>
      </tp>
      <tp t="s">
        <v>#N/A N/A</v>
        <stp/>
        <stp>BDH|10095232193399362049</stp>
        <tr r="U30" s="2"/>
      </tp>
      <tp t="s">
        <v>#N/A N/A</v>
        <stp/>
        <stp>BDH|10460510879258927821</stp>
        <tr r="G35" s="2"/>
      </tp>
      <tp t="s">
        <v>#N/A N/A</v>
        <stp/>
        <stp>BDH|17740700857066745106</stp>
        <tr r="R71" s="2"/>
      </tp>
      <tp t="s">
        <v>#N/A N/A</v>
        <stp/>
        <stp>BDH|17371267415641039770</stp>
        <tr r="Q25" s="2"/>
      </tp>
      <tp t="s">
        <v>#N/A N/A</v>
        <stp/>
        <stp>BDH|14200384126525819234</stp>
        <tr r="R90" s="2"/>
      </tp>
      <tp t="s">
        <v>#N/A N/A</v>
        <stp/>
        <stp>BDH|17848936817114802937</stp>
        <tr r="Y39" s="2"/>
      </tp>
      <tp t="s">
        <v>#N/A N/A</v>
        <stp/>
        <stp>BDH|14177712176550098604</stp>
        <tr r="Y35" s="2"/>
      </tp>
      <tp t="s">
        <v>#N/A N/A</v>
        <stp/>
        <stp>BDH|10888281813592599308</stp>
        <tr r="AE12" s="2"/>
      </tp>
      <tp t="s">
        <v>#N/A N/A</v>
        <stp/>
        <stp>BDH|13282650422782448778</stp>
        <tr r="W45" s="2"/>
      </tp>
      <tp t="s">
        <v>#N/A N/A</v>
        <stp/>
        <stp>BDH|16149952726329172655</stp>
        <tr r="X8" s="2"/>
      </tp>
      <tp t="s">
        <v>#N/A N/A</v>
        <stp/>
        <stp>BDH|13153708100931409732</stp>
        <tr r="U29" s="2"/>
      </tp>
      <tp t="s">
        <v>#N/A N/A</v>
        <stp/>
        <stp>BDH|10828339724365161671</stp>
        <tr r="L9" s="2"/>
      </tp>
      <tp t="s">
        <v>#N/A N/A</v>
        <stp/>
        <stp>BDH|16647315770528989873</stp>
        <tr r="I33" s="2"/>
      </tp>
      <tp t="s">
        <v>#N/A N/A</v>
        <stp/>
        <stp>BDH|16265657321821963160</stp>
        <tr r="L14" s="2"/>
      </tp>
      <tp t="s">
        <v>#N/A N/A</v>
        <stp/>
        <stp>BDH|11177485605871224676</stp>
        <tr r="V93" s="2"/>
      </tp>
      <tp t="s">
        <v>#N/A N/A</v>
        <stp/>
        <stp>BDH|10849692999178014515</stp>
        <tr r="G25" s="2"/>
      </tp>
      <tp t="s">
        <v>#N/A N/A</v>
        <stp/>
        <stp>BDH|10974777102670161542</stp>
        <tr r="J29" s="2"/>
      </tp>
      <tp t="s">
        <v>#N/A N/A</v>
        <stp/>
        <stp>BDH|10654581919674880270</stp>
        <tr r="U53" s="2"/>
      </tp>
      <tp t="s">
        <v>#N/A N/A</v>
        <stp/>
        <stp>BDH|16304984085557563239</stp>
        <tr r="F60" s="2"/>
      </tp>
      <tp t="s">
        <v>#N/A N/A</v>
        <stp/>
        <stp>BDH|10676320659586213276</stp>
        <tr r="AD13" s="2"/>
      </tp>
      <tp t="s">
        <v>#N/A N/A</v>
        <stp/>
        <stp>BDH|14561911772768418098</stp>
        <tr r="H28" s="2"/>
      </tp>
      <tp t="s">
        <v>#N/A N/A</v>
        <stp/>
        <stp>BDH|16209122478917606554</stp>
        <tr r="AC34" s="2"/>
      </tp>
      <tp t="s">
        <v>#N/A N/A</v>
        <stp/>
        <stp>BDH|18013798195536234250</stp>
        <tr r="AF24" s="2"/>
      </tp>
      <tp t="s">
        <v>#N/A N/A</v>
        <stp/>
        <stp>BDH|14014936109296541946</stp>
        <tr r="AF33" s="2"/>
      </tp>
      <tp t="s">
        <v>#N/A N/A</v>
        <stp/>
        <stp>BDH|10135001457434985356</stp>
        <tr r="K75" s="2"/>
      </tp>
      <tp t="s">
        <v>#N/A N/A</v>
        <stp/>
        <stp>BDH|10091838796333938062</stp>
        <tr r="P86" s="2"/>
      </tp>
      <tp t="s">
        <v>#N/A N/A</v>
        <stp/>
        <stp>BDH|15559145367917421788</stp>
        <tr r="J12" s="2"/>
      </tp>
      <tp t="s">
        <v>#N/A N/A</v>
        <stp/>
        <stp>BDH|14809021892017536803</stp>
        <tr r="AA68" s="2"/>
      </tp>
      <tp t="s">
        <v>#N/A N/A</v>
        <stp/>
        <stp>BDH|13858075565611172666</stp>
        <tr r="E82" s="2"/>
      </tp>
      <tp t="s">
        <v>#N/A N/A</v>
        <stp/>
        <stp>BDH|13889222945097086033</stp>
        <tr r="O12" s="2"/>
      </tp>
      <tp t="s">
        <v>#N/A N/A</v>
        <stp/>
        <stp>BDH|12382703047175026688</stp>
        <tr r="E36" s="2"/>
      </tp>
      <tp t="s">
        <v>#N/A N/A</v>
        <stp/>
        <stp>BDH|12736487226303149545</stp>
        <tr r="W93" s="2"/>
      </tp>
      <tp t="s">
        <v>#N/A N/A</v>
        <stp/>
        <stp>BDH|18178011634471219899</stp>
        <tr r="F51" s="2"/>
      </tp>
      <tp t="s">
        <v>#N/A N/A</v>
        <stp/>
        <stp>BDH|15124291296934502843</stp>
        <tr r="D94" s="2"/>
      </tp>
      <tp t="s">
        <v>#N/A N/A</v>
        <stp/>
        <stp>BDH|15892720662731173766</stp>
        <tr r="N56" s="2"/>
      </tp>
      <tp t="s">
        <v>#N/A N/A</v>
        <stp/>
        <stp>BDH|13760174303457430789</stp>
        <tr r="Z11" s="2"/>
      </tp>
      <tp t="s">
        <v>#N/A N/A</v>
        <stp/>
        <stp>BDH|14863901184722215510</stp>
        <tr r="Q76" s="2"/>
      </tp>
      <tp t="s">
        <v>#N/A N/A</v>
        <stp/>
        <stp>BDH|14949743712504247421</stp>
        <tr r="J61" s="2"/>
      </tp>
      <tp t="s">
        <v>#N/A N/A</v>
        <stp/>
        <stp>BDH|16639707622743307285</stp>
        <tr r="AA56" s="2"/>
      </tp>
      <tp t="s">
        <v>#N/A N/A</v>
        <stp/>
        <stp>BDH|16034794264027721253</stp>
        <tr r="E41" s="2"/>
      </tp>
      <tp t="s">
        <v>#N/A N/A</v>
        <stp/>
        <stp>BDH|10412740527890093784</stp>
        <tr r="W41" s="2"/>
      </tp>
      <tp t="s">
        <v>#N/A N/A</v>
        <stp/>
        <stp>BDH|10698606330554888316</stp>
        <tr r="U63" s="2"/>
      </tp>
      <tp t="s">
        <v>#N/A N/A</v>
        <stp/>
        <stp>BDH|15357342139295794273</stp>
        <tr r="V48" s="2"/>
      </tp>
      <tp t="s">
        <v>#N/A N/A</v>
        <stp/>
        <stp>BDH|14286781018766506690</stp>
        <tr r="P57" s="2"/>
      </tp>
      <tp t="s">
        <v>#N/A N/A</v>
        <stp/>
        <stp>BDH|13859524165291735363</stp>
        <tr r="R45" s="2"/>
      </tp>
      <tp t="s">
        <v>#N/A N/A</v>
        <stp/>
        <stp>BDH|16200941466523917872</stp>
        <tr r="X45" s="2"/>
      </tp>
      <tp t="s">
        <v>#N/A N/A</v>
        <stp/>
        <stp>BDH|17467008944860897094</stp>
        <tr r="M32" s="2"/>
      </tp>
      <tp t="s">
        <v>#N/A N/A</v>
        <stp/>
        <stp>BDH|10163975100529181361</stp>
        <tr r="F47" s="2"/>
      </tp>
      <tp t="s">
        <v>#N/A N/A</v>
        <stp/>
        <stp>BDH|15570070166947304761</stp>
        <tr r="H44" s="2"/>
      </tp>
      <tp t="s">
        <v>#N/A N/A</v>
        <stp/>
        <stp>BDH|10537987399903467014</stp>
        <tr r="L13" s="2"/>
      </tp>
      <tp t="s">
        <v>#N/A N/A</v>
        <stp/>
        <stp>BDH|13360575743213083264</stp>
        <tr r="F26" s="2"/>
      </tp>
      <tp t="s">
        <v>#N/A N/A</v>
        <stp/>
        <stp>BDH|10532763418462806728</stp>
        <tr r="K95" s="2"/>
      </tp>
      <tp t="s">
        <v>#N/A N/A</v>
        <stp/>
        <stp>BDH|12000231025884787504</stp>
        <tr r="U12" s="2"/>
      </tp>
      <tp t="s">
        <v>#N/A N/A</v>
        <stp/>
        <stp>BDH|18431925747743467542</stp>
        <tr r="U54" s="2"/>
      </tp>
      <tp t="s">
        <v>#N/A N/A</v>
        <stp/>
        <stp>BDH|10584512935184973198</stp>
        <tr r="G85" s="2"/>
      </tp>
      <tp t="s">
        <v>#N/A N/A</v>
        <stp/>
        <stp>BDH|14482123977792631376</stp>
        <tr r="AF18" s="2"/>
      </tp>
      <tp t="s">
        <v>#N/A N/A</v>
        <stp/>
        <stp>BDH|14886150167364858422</stp>
        <tr r="L87" s="2"/>
      </tp>
      <tp t="s">
        <v>#N/A N/A</v>
        <stp/>
        <stp>BDH|14446773945912198648</stp>
        <tr r="V25" s="2"/>
      </tp>
      <tp t="s">
        <v>#N/A N/A</v>
        <stp/>
        <stp>BDH|12311698412823386584</stp>
        <tr r="D60" s="2"/>
      </tp>
      <tp t="s">
        <v>#N/A N/A</v>
        <stp/>
        <stp>BDH|13861111813847848717</stp>
        <tr r="D57" s="2"/>
      </tp>
      <tp t="s">
        <v>#N/A N/A</v>
        <stp/>
        <stp>BDH|17039473505605425557</stp>
        <tr r="W26" s="2"/>
      </tp>
      <tp t="s">
        <v>#N/A N/A</v>
        <stp/>
        <stp>BDH|15449082693696990958</stp>
        <tr r="Y9" s="2"/>
      </tp>
      <tp t="s">
        <v>#N/A N/A</v>
        <stp/>
        <stp>BDH|18101974640157617134</stp>
        <tr r="X68" s="2"/>
      </tp>
      <tp t="s">
        <v>#N/A N/A</v>
        <stp/>
        <stp>BDH|17062072511913616627</stp>
        <tr r="K19" s="2"/>
      </tp>
      <tp t="s">
        <v>#N/A N/A</v>
        <stp/>
        <stp>BDH|11374837188455295782</stp>
        <tr r="C59" s="2"/>
      </tp>
      <tp t="s">
        <v>#N/A N/A</v>
        <stp/>
        <stp>BDH|18054122371039396421</stp>
        <tr r="AA34" s="2"/>
      </tp>
      <tp t="s">
        <v>#N/A N/A</v>
        <stp/>
        <stp>BDH|10858065208283754030</stp>
        <tr r="M95" s="2"/>
      </tp>
      <tp t="s">
        <v>#N/A N/A</v>
        <stp/>
        <stp>BDH|11383284521692080084</stp>
        <tr r="S45" s="2"/>
      </tp>
      <tp t="s">
        <v>#N/A N/A</v>
        <stp/>
        <stp>BDH|15684588450130953652</stp>
        <tr r="W52" s="2"/>
      </tp>
      <tp t="s">
        <v>#N/A N/A</v>
        <stp/>
        <stp>BDH|10292556714832680501</stp>
        <tr r="F94" s="2"/>
      </tp>
      <tp t="s">
        <v>#N/A N/A</v>
        <stp/>
        <stp>BDH|13730553139970601684</stp>
        <tr r="AA67" s="2"/>
      </tp>
      <tp t="s">
        <v>#N/A N/A</v>
        <stp/>
        <stp>BDH|13198691556862318180</stp>
        <tr r="Y83" s="2"/>
      </tp>
      <tp t="s">
        <v>#N/A N/A</v>
        <stp/>
        <stp>BDH|14730284467452534198</stp>
        <tr r="AB32" s="2"/>
      </tp>
      <tp t="s">
        <v>#N/A N/A</v>
        <stp/>
        <stp>BDH|13590165686068301124</stp>
        <tr r="H58" s="2"/>
      </tp>
      <tp t="s">
        <v>#N/A N/A</v>
        <stp/>
        <stp>BDH|14791366811216052347</stp>
        <tr r="P33" s="2"/>
      </tp>
      <tp t="s">
        <v>#N/A N/A</v>
        <stp/>
        <stp>BDH|16726199250493854224</stp>
        <tr r="E89" s="2"/>
      </tp>
      <tp t="s">
        <v>#N/A N/A</v>
        <stp/>
        <stp>BDH|17396967093643662749</stp>
        <tr r="Z61" s="2"/>
      </tp>
      <tp t="s">
        <v>#N/A N/A</v>
        <stp/>
        <stp>BDH|16717534252277691275</stp>
        <tr r="Y28" s="2"/>
      </tp>
      <tp t="s">
        <v>#N/A N/A</v>
        <stp/>
        <stp>BDH|17211706539723582397</stp>
        <tr r="D14" s="2"/>
      </tp>
      <tp t="s">
        <v>#N/A N/A</v>
        <stp/>
        <stp>BDH|17184652452580829793</stp>
        <tr r="G95" s="2"/>
      </tp>
      <tp t="s">
        <v>#N/A N/A</v>
        <stp/>
        <stp>BDH|14705410001954253721</stp>
        <tr r="T60" s="2"/>
      </tp>
      <tp t="s">
        <v>#N/A N/A</v>
        <stp/>
        <stp>BDH|11725623306257496308</stp>
        <tr r="M48" s="2"/>
      </tp>
      <tp t="s">
        <v>#N/A N/A</v>
        <stp/>
        <stp>BDH|11024065652405155222</stp>
        <tr r="AC66" s="2"/>
      </tp>
      <tp t="s">
        <v>#N/A N/A</v>
        <stp/>
        <stp>BDH|15760128503020518754</stp>
        <tr r="Q24" s="2"/>
      </tp>
      <tp t="s">
        <v>#N/A N/A</v>
        <stp/>
        <stp>BDH|15618634090890242912</stp>
        <tr r="I21" s="2"/>
      </tp>
      <tp t="s">
        <v>#N/A N/A</v>
        <stp/>
        <stp>BDH|14097202271711125361</stp>
        <tr r="AF61" s="2"/>
      </tp>
      <tp t="s">
        <v>#N/A N/A</v>
        <stp/>
        <stp>BDH|12766897530452993810</stp>
        <tr r="AB49" s="2"/>
      </tp>
      <tp t="s">
        <v>#N/A N/A</v>
        <stp/>
        <stp>BDH|11507190670841248589</stp>
        <tr r="R49" s="2"/>
      </tp>
      <tp t="s">
        <v>#N/A N/A</v>
        <stp/>
        <stp>BDH|10205061275195665113</stp>
        <tr r="W66" s="2"/>
      </tp>
      <tp t="s">
        <v>#N/A N/A</v>
        <stp/>
        <stp>BDH|10204087124879235853</stp>
        <tr r="AE15" s="2"/>
      </tp>
      <tp t="s">
        <v>#N/A N/A</v>
        <stp/>
        <stp>BDH|14487423777891930512</stp>
        <tr r="L23" s="2"/>
      </tp>
      <tp t="s">
        <v>#N/A N/A</v>
        <stp/>
        <stp>BDH|14402618680030882941</stp>
        <tr r="J51" s="2"/>
      </tp>
      <tp t="s">
        <v>#N/A N/A</v>
        <stp/>
        <stp>BDH|14249094332702093608</stp>
        <tr r="AC26" s="2"/>
      </tp>
      <tp t="s">
        <v>#N/A N/A</v>
        <stp/>
        <stp>BDH|17723546308666013739</stp>
        <tr r="Q84" s="2"/>
      </tp>
      <tp t="s">
        <v>#N/A N/A</v>
        <stp/>
        <stp>BDH|13255682378601087094</stp>
        <tr r="W63" s="2"/>
      </tp>
      <tp t="s">
        <v>#N/A N/A</v>
        <stp/>
        <stp>BDH|15855249912164005144</stp>
        <tr r="AF41" s="2"/>
      </tp>
      <tp t="s">
        <v>#N/A N/A</v>
        <stp/>
        <stp>BDH|12028833602388867137</stp>
        <tr r="T35" s="2"/>
      </tp>
      <tp t="s">
        <v>#N/A N/A</v>
        <stp/>
        <stp>BDH|11571343069445724257</stp>
        <tr r="T73" s="2"/>
      </tp>
      <tp t="s">
        <v>#N/A N/A</v>
        <stp/>
        <stp>BDH|12974426034447561179</stp>
        <tr r="T66" s="2"/>
      </tp>
      <tp t="s">
        <v>#N/A N/A</v>
        <stp/>
        <stp>BDH|10046496272021500130</stp>
        <tr r="S65" s="2"/>
      </tp>
      <tp t="s">
        <v>#N/A N/A</v>
        <stp/>
        <stp>BDH|10608624300941895415</stp>
        <tr r="L71" s="2"/>
      </tp>
      <tp t="s">
        <v>#N/A N/A</v>
        <stp/>
        <stp>BDH|10981172410341597267</stp>
        <tr r="AF10" s="2"/>
      </tp>
      <tp t="s">
        <v>#N/A N/A</v>
        <stp/>
        <stp>BDH|15080085285347618976</stp>
        <tr r="T43" s="2"/>
      </tp>
      <tp t="s">
        <v>#N/A N/A</v>
        <stp/>
        <stp>BDH|10324567684556848854</stp>
        <tr r="G59" s="2"/>
      </tp>
      <tp t="s">
        <v>#N/A N/A</v>
        <stp/>
        <stp>BDH|15968045159437903417</stp>
        <tr r="AC12" s="2"/>
      </tp>
      <tp t="s">
        <v>#N/A N/A</v>
        <stp/>
        <stp>BDH|12058571476523721098</stp>
        <tr r="N31" s="2"/>
      </tp>
      <tp t="s">
        <v>#N/A N/A</v>
        <stp/>
        <stp>BDH|15703382221943302422</stp>
        <tr r="AC70" s="2"/>
      </tp>
      <tp t="s">
        <v>#N/A N/A</v>
        <stp/>
        <stp>BDH|11835249548423284791</stp>
        <tr r="C85" s="2"/>
      </tp>
      <tp t="s">
        <v>#N/A N/A</v>
        <stp/>
        <stp>BDH|16163840253469859111</stp>
        <tr r="G87" s="2"/>
      </tp>
      <tp t="s">
        <v>#N/A N/A</v>
        <stp/>
        <stp>BDH|13740397460716003310</stp>
        <tr r="U91" s="2"/>
      </tp>
      <tp t="s">
        <v>#N/A N/A</v>
        <stp/>
        <stp>BDH|13071427179695325666</stp>
        <tr r="AD48" s="2"/>
      </tp>
      <tp t="s">
        <v>#N/A N/A</v>
        <stp/>
        <stp>BDH|15078900751038643296</stp>
        <tr r="D23" s="2"/>
      </tp>
      <tp t="s">
        <v>#N/A N/A</v>
        <stp/>
        <stp>BDH|18090999131172721317</stp>
        <tr r="P76" s="2"/>
      </tp>
      <tp t="s">
        <v>#N/A N/A</v>
        <stp/>
        <stp>BDH|11849767476519986802</stp>
        <tr r="S88" s="2"/>
      </tp>
      <tp t="s">
        <v>#N/A N/A</v>
        <stp/>
        <stp>BDH|17995652896440880836</stp>
        <tr r="K56" s="2"/>
      </tp>
      <tp t="s">
        <v>#N/A N/A</v>
        <stp/>
        <stp>BDH|13046127061795116131</stp>
        <tr r="H62" s="2"/>
      </tp>
      <tp t="s">
        <v>#N/A N/A</v>
        <stp/>
        <stp>BDH|16113620401444338402</stp>
        <tr r="M53" s="2"/>
      </tp>
      <tp t="s">
        <v>#N/A N/A</v>
        <stp/>
        <stp>BDH|11399241673784428002</stp>
        <tr r="L83" s="2"/>
      </tp>
      <tp t="s">
        <v>#N/A N/A</v>
        <stp/>
        <stp>BDH|11868051510775849558</stp>
        <tr r="E86" s="2"/>
      </tp>
      <tp t="s">
        <v>#N/A N/A</v>
        <stp/>
        <stp>BDH|12264065632040000160</stp>
        <tr r="Z66" s="2"/>
      </tp>
      <tp t="s">
        <v>#N/A N/A</v>
        <stp/>
        <stp>BDH|14833657391063448887</stp>
        <tr r="R9" s="2"/>
      </tp>
      <tp t="s">
        <v>#N/A N/A</v>
        <stp/>
        <stp>BDH|11007691213573957535</stp>
        <tr r="W65" s="2"/>
      </tp>
      <tp t="s">
        <v>#N/A N/A</v>
        <stp/>
        <stp>BDH|14925064957850362180</stp>
        <tr r="I52" s="2"/>
      </tp>
      <tp t="s">
        <v>#N/A N/A</v>
        <stp/>
        <stp>BDH|16915028909673142504</stp>
        <tr r="N9" s="2"/>
      </tp>
      <tp t="s">
        <v>#N/A N/A</v>
        <stp/>
        <stp>BDH|13142345545332505664</stp>
        <tr r="D47" s="2"/>
      </tp>
      <tp t="s">
        <v>#N/A N/A</v>
        <stp/>
        <stp>BDH|13673204774123971580</stp>
        <tr r="Z84" s="2"/>
      </tp>
      <tp t="s">
        <v>#N/A N/A</v>
        <stp/>
        <stp>BDH|16822100519664400261</stp>
        <tr r="R89" s="2"/>
      </tp>
      <tp t="s">
        <v>#N/A N/A</v>
        <stp/>
        <stp>BDH|12636234193938117154</stp>
        <tr r="G67" s="2"/>
      </tp>
      <tp t="s">
        <v>#N/A N/A</v>
        <stp/>
        <stp>BDH|15145007441250497161</stp>
        <tr r="D11" s="2"/>
      </tp>
      <tp t="s">
        <v>#N/A N/A</v>
        <stp/>
        <stp>BDH|14680762726482571314</stp>
        <tr r="V31" s="2"/>
      </tp>
      <tp t="s">
        <v>#N/A N/A</v>
        <stp/>
        <stp>BDH|15694319963172132271</stp>
        <tr r="AD47" s="2"/>
      </tp>
      <tp t="s">
        <v>#N/A N/A</v>
        <stp/>
        <stp>BDH|16511681906112119283</stp>
        <tr r="X72" s="2"/>
      </tp>
      <tp t="s">
        <v>#N/A N/A</v>
        <stp/>
        <stp>BDH|16307166435703690749</stp>
        <tr r="H40" s="2"/>
      </tp>
      <tp t="s">
        <v>#N/A N/A</v>
        <stp/>
        <stp>BDH|15534967094504327164</stp>
        <tr r="AE30" s="2"/>
      </tp>
      <tp t="s">
        <v>#N/A N/A</v>
        <stp/>
        <stp>BDH|12507329842901194413</stp>
        <tr r="AD95" s="2"/>
      </tp>
      <tp t="s">
        <v>#N/A N/A</v>
        <stp/>
        <stp>BDH|14422446209756493680</stp>
        <tr r="C87" s="2"/>
      </tp>
      <tp t="s">
        <v>#N/A N/A</v>
        <stp/>
        <stp>BDH|16578460075395372004</stp>
        <tr r="I55" s="2"/>
      </tp>
      <tp t="s">
        <v>#N/A N/A</v>
        <stp/>
        <stp>BDH|16465863616628647771</stp>
        <tr r="W12" s="2"/>
      </tp>
      <tp t="s">
        <v>#N/A N/A</v>
        <stp/>
        <stp>BDH|16623636273690424768</stp>
        <tr r="AC40" s="2"/>
      </tp>
      <tp t="s">
        <v>#N/A N/A</v>
        <stp/>
        <stp>BDH|14864398812157184169</stp>
        <tr r="R68" s="2"/>
      </tp>
      <tp t="s">
        <v>#N/A N/A</v>
        <stp/>
        <stp>BDH|15347246322975009018</stp>
        <tr r="E92" s="2"/>
      </tp>
      <tp t="s">
        <v>#N/A N/A</v>
        <stp/>
        <stp>BDH|11022710005653821587</stp>
        <tr r="AB44" s="2"/>
      </tp>
      <tp t="s">
        <v>#N/A N/A</v>
        <stp/>
        <stp>BDH|15087174913855476043</stp>
        <tr r="Q90" s="2"/>
      </tp>
      <tp t="s">
        <v>#N/A N/A</v>
        <stp/>
        <stp>BDH|15160334605617278114</stp>
        <tr r="C66" s="2"/>
      </tp>
      <tp t="s">
        <v>#N/A N/A</v>
        <stp/>
        <stp>BDH|14203850886072574602</stp>
        <tr r="AC74" s="2"/>
      </tp>
      <tp t="s">
        <v>#N/A N/A</v>
        <stp/>
        <stp>BDH|10458513835831538719</stp>
        <tr r="H9" s="2"/>
      </tp>
      <tp t="s">
        <v>#N/A N/A</v>
        <stp/>
        <stp>BDH|17096679906721256048</stp>
        <tr r="K69" s="2"/>
      </tp>
      <tp t="s">
        <v>#N/A N/A</v>
        <stp/>
        <stp>BDH|16270926447593442848</stp>
        <tr r="AE61" s="2"/>
      </tp>
      <tp t="s">
        <v>#N/A N/A</v>
        <stp/>
        <stp>BDH|16416077551724470714</stp>
        <tr r="AE56" s="2"/>
      </tp>
      <tp t="s">
        <v>#N/A N/A</v>
        <stp/>
        <stp>BDH|12224506371480693028</stp>
        <tr r="I82" s="2"/>
      </tp>
      <tp t="s">
        <v>#N/A N/A</v>
        <stp/>
        <stp>BDH|10970753853104949616</stp>
        <tr r="J68" s="2"/>
      </tp>
      <tp t="s">
        <v>#N/A N/A</v>
        <stp/>
        <stp>BDH|13515790789269315516</stp>
        <tr r="L60" s="2"/>
      </tp>
      <tp t="s">
        <v>#N/A N/A</v>
        <stp/>
        <stp>BDH|16133659867506459010</stp>
        <tr r="N67" s="2"/>
      </tp>
      <tp t="s">
        <v>#N/A N/A</v>
        <stp/>
        <stp>BDH|15537509444680453430</stp>
        <tr r="AA76" s="2"/>
      </tp>
      <tp t="s">
        <v>#N/A N/A</v>
        <stp/>
        <stp>BDH|17996496844675751255</stp>
        <tr r="I12" s="2"/>
      </tp>
      <tp t="s">
        <v>#N/A N/A</v>
        <stp/>
        <stp>BDH|16981913084590943732</stp>
        <tr r="C91" s="2"/>
      </tp>
      <tp t="s">
        <v>#N/A N/A</v>
        <stp/>
        <stp>BDH|14620016123000258607</stp>
        <tr r="T7" s="2"/>
      </tp>
      <tp t="s">
        <v>#N/A N/A</v>
        <stp/>
        <stp>BDH|12295887772474861997</stp>
        <tr r="O14" s="2"/>
      </tp>
      <tp t="s">
        <v>#N/A N/A</v>
        <stp/>
        <stp>BDH|12780714264706867537</stp>
        <tr r="U95" s="2"/>
      </tp>
      <tp t="s">
        <v>#N/A N/A</v>
        <stp/>
        <stp>BDH|14414825860212774883</stp>
        <tr r="AB82" s="2"/>
      </tp>
      <tp t="s">
        <v>#N/A N/A</v>
        <stp/>
        <stp>BDH|17458474419170705247</stp>
        <tr r="O62" s="2"/>
      </tp>
      <tp t="s">
        <v>#N/A N/A</v>
        <stp/>
        <stp>BDH|10957448732335481239</stp>
        <tr r="X85" s="2"/>
      </tp>
      <tp t="s">
        <v>#N/A N/A</v>
        <stp/>
        <stp>BDH|17754698574091398717</stp>
        <tr r="M18" s="2"/>
      </tp>
      <tp t="s">
        <v>#N/A N/A</v>
        <stp/>
        <stp>BDH|17852531364524544024</stp>
        <tr r="Q65" s="2"/>
      </tp>
      <tp t="s">
        <v>#N/A N/A</v>
        <stp/>
        <stp>BDH|18431782372260449820</stp>
        <tr r="Q85" s="2"/>
      </tp>
      <tp t="s">
        <v>#N/A N/A</v>
        <stp/>
        <stp>BDH|15092043914851976510</stp>
        <tr r="X70" s="2"/>
      </tp>
      <tp t="s">
        <v>#N/A N/A</v>
        <stp/>
        <stp>BDH|12077902858136816881</stp>
        <tr r="O34" s="2"/>
      </tp>
      <tp t="s">
        <v>#N/A N/A</v>
        <stp/>
        <stp>BDH|11406757368149598975</stp>
        <tr r="V39" s="2"/>
      </tp>
      <tp t="s">
        <v>#N/A N/A</v>
        <stp/>
        <stp>BDH|16961211842802026215</stp>
        <tr r="W62" s="2"/>
      </tp>
      <tp t="s">
        <v>#N/A N/A</v>
        <stp/>
        <stp>BDH|12740055948194665278</stp>
        <tr r="W50" s="2"/>
      </tp>
      <tp t="s">
        <v>#N/A N/A</v>
        <stp/>
        <stp>BDH|13719706448522190256</stp>
        <tr r="L27" s="2"/>
      </tp>
      <tp t="s">
        <v>#N/A N/A</v>
        <stp/>
        <stp>BDH|18031199082502893387</stp>
        <tr r="J32" s="2"/>
      </tp>
      <tp t="s">
        <v>#N/A N/A</v>
        <stp/>
        <stp>BDH|14403692197458714360</stp>
        <tr r="L12" s="2"/>
      </tp>
      <tp t="s">
        <v>#N/A N/A</v>
        <stp/>
        <stp>BDH|12795332408759652802</stp>
        <tr r="R66" s="2"/>
      </tp>
      <tp t="s">
        <v>#N/A N/A</v>
        <stp/>
        <stp>BDH|17662684148742895747</stp>
        <tr r="D18" s="2"/>
      </tp>
      <tp t="s">
        <v>#N/A N/A</v>
        <stp/>
        <stp>BDH|16803905031798087432</stp>
        <tr r="V42" s="2"/>
      </tp>
      <tp t="s">
        <v>#N/A N/A</v>
        <stp/>
        <stp>BDH|10526770608586789178</stp>
        <tr r="AB26" s="2"/>
      </tp>
      <tp t="s">
        <v>#N/A N/A</v>
        <stp/>
        <stp>BDH|12276458816881939622</stp>
        <tr r="L33" s="2"/>
      </tp>
      <tp t="s">
        <v>#N/A N/A</v>
        <stp/>
        <stp>BDH|18445684483123250506</stp>
        <tr r="P56" s="2"/>
      </tp>
      <tp t="s">
        <v>#N/A N/A</v>
        <stp/>
        <stp>BDH|12406217492001265880</stp>
        <tr r="N82" s="2"/>
      </tp>
      <tp t="s">
        <v>#N/A N/A</v>
        <stp/>
        <stp>BDH|10761714849295695652</stp>
        <tr r="T41" s="2"/>
      </tp>
      <tp t="s">
        <v>#N/A N/A</v>
        <stp/>
        <stp>BDH|16680281844642072267</stp>
        <tr r="N58" s="2"/>
      </tp>
      <tp t="s">
        <v>#N/A N/A</v>
        <stp/>
        <stp>BDH|14798629713881849222</stp>
        <tr r="W21" s="2"/>
      </tp>
      <tp t="s">
        <v>#N/A N/A</v>
        <stp/>
        <stp>BDH|17608298032443666578</stp>
        <tr r="Z45" s="2"/>
      </tp>
      <tp t="s">
        <v>#N/A N/A</v>
        <stp/>
        <stp>BDH|11684196571403029428</stp>
        <tr r="O18" s="2"/>
      </tp>
      <tp t="s">
        <v>#N/A N/A</v>
        <stp/>
        <stp>BDH|14349529238833172144</stp>
        <tr r="M68" s="2"/>
      </tp>
      <tp t="s">
        <v>#N/A N/A</v>
        <stp/>
        <stp>BDH|10190983743265471816</stp>
        <tr r="AC82" s="2"/>
      </tp>
      <tp t="s">
        <v>#N/A N/A</v>
        <stp/>
        <stp>BDH|11130774786426687893</stp>
        <tr r="F34" s="2"/>
      </tp>
      <tp t="s">
        <v>#N/A N/A</v>
        <stp/>
        <stp>BDH|15257493416422518273</stp>
        <tr r="O73" s="2"/>
      </tp>
      <tp t="s">
        <v>#N/A N/A</v>
        <stp/>
        <stp>BDH|11051631301122911541</stp>
        <tr r="I29" s="2"/>
      </tp>
      <tp t="s">
        <v>#N/A N/A</v>
        <stp/>
        <stp>BDH|12018283027971372338</stp>
        <tr r="M87" s="2"/>
      </tp>
      <tp t="s">
        <v>#N/A N/A</v>
        <stp/>
        <stp>BDH|16209180116772044429</stp>
        <tr r="Y50" s="2"/>
      </tp>
      <tp t="s">
        <v>#N/A N/A</v>
        <stp/>
        <stp>BDH|17508158602510835646</stp>
        <tr r="U13" s="2"/>
      </tp>
      <tp t="s">
        <v>#N/A N/A</v>
        <stp/>
        <stp>BDH|13188724719252651725</stp>
        <tr r="AB95" s="2"/>
      </tp>
      <tp t="s">
        <v>#N/A N/A</v>
        <stp/>
        <stp>BDH|16745773464521902631</stp>
        <tr r="AF88" s="2"/>
      </tp>
      <tp t="s">
        <v>#N/A N/A</v>
        <stp/>
        <stp>BDH|13340860288151251210</stp>
        <tr r="N62" s="2"/>
      </tp>
      <tp t="s">
        <v>#N/A N/A</v>
        <stp/>
        <stp>BDH|12364164095022812865</stp>
        <tr r="AE74" s="2"/>
      </tp>
      <tp t="s">
        <v>#N/A N/A</v>
        <stp/>
        <stp>BDH|13060291887549996166</stp>
        <tr r="Q52" s="2"/>
      </tp>
      <tp t="s">
        <v>#N/A N/A</v>
        <stp/>
        <stp>BDH|10923601258925096703</stp>
        <tr r="K83" s="2"/>
      </tp>
      <tp t="s">
        <v>#N/A N/A</v>
        <stp/>
        <stp>BDH|17847559348634542318</stp>
        <tr r="Y14" s="2"/>
      </tp>
      <tp t="s">
        <v>#N/A N/A</v>
        <stp/>
        <stp>BDH|10946792719410195784</stp>
        <tr r="C36" s="2"/>
      </tp>
      <tp t="s">
        <v>#N/A N/A</v>
        <stp/>
        <stp>BDH|15233234527233605708</stp>
        <tr r="K70" s="2"/>
      </tp>
      <tp t="s">
        <v>#N/A N/A</v>
        <stp/>
        <stp>BDH|18187988115787938655</stp>
        <tr r="Q58" s="2"/>
      </tp>
      <tp t="s">
        <v>#N/A N/A</v>
        <stp/>
        <stp>BDH|11342320331776659661</stp>
        <tr r="Y61" s="2"/>
      </tp>
      <tp t="s">
        <v>#N/A N/A</v>
        <stp/>
        <stp>BDH|17484388804732060787</stp>
        <tr r="AC44" s="2"/>
      </tp>
      <tp t="s">
        <v>#N/A N/A</v>
        <stp/>
        <stp>BDH|14455606006460270339</stp>
        <tr r="J66" s="2"/>
      </tp>
      <tp t="s">
        <v>#N/A N/A</v>
        <stp/>
        <stp>BDH|16544756831251550278</stp>
        <tr r="Y45" s="2"/>
      </tp>
      <tp t="s">
        <v>#N/A N/A</v>
        <stp/>
        <stp>BDH|11813460560953540180</stp>
        <tr r="P32" s="2"/>
      </tp>
      <tp t="s">
        <v>#N/A N/A</v>
        <stp/>
        <stp>BDH|11882352779905333142</stp>
        <tr r="O49" s="2"/>
      </tp>
      <tp t="s">
        <v>#N/A N/A</v>
        <stp/>
        <stp>BDH|17159407672313837684</stp>
        <tr r="N15" s="2"/>
      </tp>
      <tp t="s">
        <v>#N/A N/A</v>
        <stp/>
        <stp>BDH|15599120869921557283</stp>
        <tr r="Q77" s="2"/>
      </tp>
      <tp t="s">
        <v>#N/A N/A</v>
        <stp/>
        <stp>BDH|10413601075773246319</stp>
        <tr r="D88" s="2"/>
      </tp>
      <tp t="s">
        <v>#N/A N/A</v>
        <stp/>
        <stp>BDH|17346505774871136546</stp>
        <tr r="Z35" s="2"/>
      </tp>
      <tp t="s">
        <v>#N/A N/A</v>
        <stp/>
        <stp>BDH|17534332390479643522</stp>
        <tr r="X82" s="2"/>
      </tp>
      <tp t="s">
        <v>#N/A N/A</v>
        <stp/>
        <stp>BDH|13047162745850277739</stp>
        <tr r="W68" s="2"/>
      </tp>
      <tp t="s">
        <v>#N/A N/A</v>
        <stp/>
        <stp>BDH|17299003021001358528</stp>
        <tr r="G64" s="2"/>
      </tp>
      <tp t="s">
        <v>#N/A N/A</v>
        <stp/>
        <stp>BDH|10113622669736006783</stp>
        <tr r="Y92" s="2"/>
      </tp>
      <tp t="s">
        <v>#N/A N/A</v>
        <stp/>
        <stp>BDH|15192912721209459678</stp>
        <tr r="H65" s="2"/>
      </tp>
      <tp t="s">
        <v>#N/A N/A</v>
        <stp/>
        <stp>BDH|15698224731954306140</stp>
        <tr r="AA57" s="2"/>
      </tp>
      <tp t="s">
        <v>#N/A N/A</v>
        <stp/>
        <stp>BDH|11320778343347629444</stp>
        <tr r="AA87" s="2"/>
      </tp>
      <tp t="s">
        <v>#N/A N/A</v>
        <stp/>
        <stp>BDH|12796124686829240343</stp>
        <tr r="E85" s="2"/>
      </tp>
      <tp t="s">
        <v>#N/A N/A</v>
        <stp/>
        <stp>BDH|10642405843704096508</stp>
        <tr r="O33" s="2"/>
      </tp>
      <tp t="s">
        <v>#N/A N/A</v>
        <stp/>
        <stp>BDH|16877496445680780774</stp>
        <tr r="K59" s="2"/>
      </tp>
      <tp t="s">
        <v>#N/A N/A</v>
        <stp/>
        <stp>BDH|17490636068665801333</stp>
        <tr r="S92" s="2"/>
      </tp>
      <tp t="s">
        <v>#N/A N/A</v>
        <stp/>
        <stp>BDH|17301710459894725085</stp>
        <tr r="H53" s="2"/>
      </tp>
      <tp t="s">
        <v>#N/A N/A</v>
        <stp/>
        <stp>BDH|17790556724646483763</stp>
        <tr r="K36" s="2"/>
      </tp>
      <tp t="s">
        <v>#N/A N/A</v>
        <stp/>
        <stp>BDH|13182275784571284940</stp>
        <tr r="P71" s="2"/>
      </tp>
      <tp t="s">
        <v>#N/A N/A</v>
        <stp/>
        <stp>BDH|16618233318454118080</stp>
        <tr r="AE21" s="2"/>
      </tp>
      <tp t="s">
        <v>#N/A N/A</v>
        <stp/>
        <stp>BDH|14312621277187310315</stp>
        <tr r="G11" s="2"/>
      </tp>
      <tp t="s">
        <v>#N/A N/A</v>
        <stp/>
        <stp>BDH|10616676350937398563</stp>
        <tr r="AF82" s="2"/>
      </tp>
      <tp t="s">
        <v>#N/A N/A</v>
        <stp/>
        <stp>BDH|13245301699911832944</stp>
        <tr r="AE91" s="2"/>
      </tp>
      <tp t="s">
        <v>#N/A N/A</v>
        <stp/>
        <stp>BDH|17072735217862354200</stp>
        <tr r="AB75" s="2"/>
      </tp>
      <tp t="s">
        <v>#N/A N/A</v>
        <stp/>
        <stp>BDH|15148734259301994759</stp>
        <tr r="S58" s="2"/>
      </tp>
      <tp t="s">
        <v>#N/A N/A</v>
        <stp/>
        <stp>BDH|18323014632599658315</stp>
        <tr r="AD74" s="2"/>
      </tp>
      <tp t="s">
        <v>#N/A N/A</v>
        <stp/>
        <stp>BDH|10849688121094089164</stp>
        <tr r="U48" s="2"/>
      </tp>
      <tp t="s">
        <v>#N/A N/A</v>
        <stp/>
        <stp>BDH|12635675770627168570</stp>
        <tr r="I9" s="2"/>
      </tp>
      <tp t="s">
        <v>#N/A N/A</v>
        <stp/>
        <stp>BDH|11166212877715451043</stp>
        <tr r="J91" s="2"/>
      </tp>
      <tp t="s">
        <v>#N/A N/A</v>
        <stp/>
        <stp>BDH|11718635038652977720</stp>
        <tr r="T91" s="2"/>
      </tp>
      <tp t="s">
        <v>#N/A N/A</v>
        <stp/>
        <stp>BDH|13880160276850847471</stp>
        <tr r="K27" s="2"/>
      </tp>
      <tp t="s">
        <v>#N/A N/A</v>
        <stp/>
        <stp>BDH|16138832279940530881</stp>
        <tr r="Q11" s="2"/>
      </tp>
      <tp t="s">
        <v>#N/A N/A</v>
        <stp/>
        <stp>BDH|15935303221311740496</stp>
        <tr r="E30" s="2"/>
      </tp>
      <tp t="s">
        <v>#N/A N/A</v>
        <stp/>
        <stp>BDH|12674164447741915780</stp>
        <tr r="AB94" s="2"/>
      </tp>
      <tp t="s">
        <v>#N/A N/A</v>
        <stp/>
        <stp>BDH|15886274210563536430</stp>
        <tr r="F22" s="2"/>
      </tp>
      <tp t="s">
        <v>#N/A N/A</v>
        <stp/>
        <stp>BDH|17545142363040386187</stp>
        <tr r="AF71" s="2"/>
      </tp>
      <tp t="s">
        <v>#N/A N/A</v>
        <stp/>
        <stp>BDH|14956365233343336669</stp>
        <tr r="AC14" s="2"/>
      </tp>
      <tp t="s">
        <v>#N/A N/A</v>
        <stp/>
        <stp>BDH|14890383577254851564</stp>
        <tr r="E39" s="2"/>
      </tp>
      <tp t="s">
        <v>#N/A N/A</v>
        <stp/>
        <stp>BDH|15439182144882261336</stp>
        <tr r="AA52" s="2"/>
      </tp>
      <tp t="s">
        <v>#N/A N/A</v>
        <stp/>
        <stp>BDH|12792645479326500467</stp>
        <tr r="AA94" s="2"/>
      </tp>
      <tp t="s">
        <v>#N/A N/A</v>
        <stp/>
        <stp>BDH|16125750078780643734</stp>
        <tr r="C55" s="2"/>
      </tp>
      <tp t="s">
        <v>#N/A N/A</v>
        <stp/>
        <stp>BDH|10443959095971401090</stp>
        <tr r="V58" s="2"/>
      </tp>
      <tp t="s">
        <v>#N/A N/A</v>
        <stp/>
        <stp>BDH|10117293591652353829</stp>
        <tr r="C26" s="2"/>
      </tp>
      <tp t="s">
        <v>#N/A N/A</v>
        <stp/>
        <stp>BDH|16528978497907497097</stp>
        <tr r="H67" s="2"/>
      </tp>
      <tp t="s">
        <v>#N/A N/A</v>
        <stp/>
        <stp>BDH|14015084626527359052</stp>
        <tr r="J58" s="2"/>
      </tp>
      <tp t="s">
        <v>#N/A N/A</v>
        <stp/>
        <stp>BDH|17339555098689515334</stp>
        <tr r="E23" s="2"/>
      </tp>
      <tp t="s">
        <v>#N/A N/A</v>
        <stp/>
        <stp>BDH|11274071849366210259</stp>
        <tr r="J33" s="2"/>
      </tp>
      <tp t="s">
        <v>#N/A N/A</v>
        <stp/>
        <stp>BDH|15886022326013076570</stp>
        <tr r="O90" s="2"/>
      </tp>
      <tp t="s">
        <v>#N/A N/A</v>
        <stp/>
        <stp>BDH|10447570754031897041</stp>
        <tr r="Z21" s="2"/>
      </tp>
      <tp t="s">
        <v>#N/A N/A</v>
        <stp/>
        <stp>BDH|14497469929733254020</stp>
        <tr r="K84" s="2"/>
      </tp>
      <tp t="s">
        <v>#N/A N/A</v>
        <stp/>
        <stp>BDH|13781136372225999145</stp>
        <tr r="J55" s="2"/>
      </tp>
      <tp t="s">
        <v>#N/A N/A</v>
        <stp/>
        <stp>BDH|11466441885275811964</stp>
        <tr r="Q19" s="2"/>
      </tp>
      <tp t="s">
        <v>#N/A N/A</v>
        <stp/>
        <stp>BDH|18214089830893641972</stp>
        <tr r="U35" s="2"/>
      </tp>
      <tp t="s">
        <v>#N/A N/A</v>
        <stp/>
        <stp>BDH|15106032260326916406</stp>
        <tr r="Q83" s="2"/>
      </tp>
      <tp t="s">
        <v>#N/A N/A</v>
        <stp/>
        <stp>BDH|12069380994958740113</stp>
        <tr r="AF74" s="2"/>
      </tp>
      <tp t="s">
        <v>#N/A N/A</v>
        <stp/>
        <stp>BDH|18269597191877525256</stp>
        <tr r="O69" s="2"/>
      </tp>
      <tp t="s">
        <v>#N/A N/A</v>
        <stp/>
        <stp>BDH|11217178178243008579</stp>
        <tr r="AD31" s="2"/>
      </tp>
      <tp t="s">
        <v>#N/A N/A</v>
        <stp/>
        <stp>BDH|11316916099319173905</stp>
        <tr r="L50" s="2"/>
      </tp>
      <tp t="s">
        <v>#N/A N/A</v>
        <stp/>
        <stp>BDH|13696374409695328462</stp>
        <tr r="J78" s="2"/>
      </tp>
      <tp t="s">
        <v>#N/A N/A</v>
        <stp/>
        <stp>BDH|15949705734037454747</stp>
        <tr r="AD11" s="2"/>
      </tp>
      <tp t="s">
        <v>#N/A N/A</v>
        <stp/>
        <stp>BDH|14188372468588399800</stp>
        <tr r="Y87" s="2"/>
      </tp>
      <tp t="s">
        <v>#N/A N/A</v>
        <stp/>
        <stp>BDH|14862321825353637742</stp>
        <tr r="O28" s="2"/>
      </tp>
      <tp t="s">
        <v>#N/A N/A</v>
        <stp/>
        <stp>BDH|12034583012383390453</stp>
        <tr r="AA7" s="2"/>
      </tp>
      <tp t="s">
        <v>#N/A N/A</v>
        <stp/>
        <stp>BDH|10487826380297369692</stp>
        <tr r="F55" s="2"/>
      </tp>
      <tp t="s">
        <v>#N/A N/A</v>
        <stp/>
        <stp>BDH|11187774026522865747</stp>
        <tr r="S15" s="2"/>
      </tp>
      <tp t="s">
        <v>#N/A N/A</v>
        <stp/>
        <stp>BDH|16798257900317648284</stp>
        <tr r="M49" s="2"/>
      </tp>
      <tp t="s">
        <v>#N/A N/A</v>
        <stp/>
        <stp>BDH|11399483228074846273</stp>
        <tr r="AB58" s="2"/>
      </tp>
      <tp t="s">
        <v>#N/A N/A</v>
        <stp/>
        <stp>BDH|14993697108231145258</stp>
        <tr r="F93" s="2"/>
      </tp>
      <tp t="s">
        <v>#N/A N/A</v>
        <stp/>
        <stp>BDH|16556417558204957290</stp>
        <tr r="T9" s="2"/>
      </tp>
      <tp t="s">
        <v>#N/A N/A</v>
        <stp/>
        <stp>BDH|13260975898197789551</stp>
        <tr r="AF7" s="2"/>
      </tp>
      <tp t="s">
        <v>#N/A N/A</v>
        <stp/>
        <stp>BDH|17948071870553899296</stp>
        <tr r="D78" s="2"/>
      </tp>
      <tp t="s">
        <v>#N/A N/A</v>
        <stp/>
        <stp>BDH|16253060859093780152</stp>
        <tr r="AC54" s="2"/>
      </tp>
      <tp t="s">
        <v>#N/A N/A</v>
        <stp/>
        <stp>BDH|14797493535517223563</stp>
        <tr r="I71" s="2"/>
      </tp>
      <tp t="s">
        <v>#N/A N/A</v>
        <stp/>
        <stp>BDH|11414509037280866640</stp>
        <tr r="W29" s="2"/>
      </tp>
      <tp t="s">
        <v>#N/A N/A</v>
        <stp/>
        <stp>BDH|14138284854073219101</stp>
        <tr r="S56" s="2"/>
      </tp>
      <tp t="s">
        <v>#N/A N/A</v>
        <stp/>
        <stp>BDH|13680152352395879371</stp>
        <tr r="AE31" s="2"/>
      </tp>
      <tp t="s">
        <v>#N/A N/A</v>
        <stp/>
        <stp>BDH|18230158617387657970</stp>
        <tr r="I32" s="2"/>
      </tp>
      <tp t="s">
        <v>#N/A N/A</v>
        <stp/>
        <stp>BDH|14314276689711457986</stp>
        <tr r="Y59" s="2"/>
      </tp>
      <tp t="s">
        <v>#N/A N/A</v>
        <stp/>
        <stp>BDH|17745088413126944648</stp>
        <tr r="Q57" s="2"/>
      </tp>
      <tp t="s">
        <v>#N/A N/A</v>
        <stp/>
        <stp>BDH|10826670159991487434</stp>
        <tr r="S78" s="2"/>
      </tp>
      <tp t="s">
        <v>#N/A N/A</v>
        <stp/>
        <stp>BDH|13121513813588376916</stp>
        <tr r="N45" s="2"/>
      </tp>
      <tp t="s">
        <v>#N/A N/A</v>
        <stp/>
        <stp>BDH|14114252477005643243</stp>
        <tr r="AB70" s="2"/>
      </tp>
      <tp t="s">
        <v>#N/A N/A</v>
        <stp/>
        <stp>BDH|10417240845832470217</stp>
        <tr r="R65" s="2"/>
      </tp>
      <tp t="s">
        <v>#N/A N/A</v>
        <stp/>
        <stp>BDH|12418046038243182492</stp>
        <tr r="X64" s="2"/>
      </tp>
      <tp t="s">
        <v>#N/A N/A</v>
        <stp/>
        <stp>BDH|14799801392264779722</stp>
        <tr r="R13" s="2"/>
      </tp>
      <tp t="s">
        <v>#N/A N/A</v>
        <stp/>
        <stp>BDH|16756817162179543714</stp>
        <tr r="AB22" s="2"/>
      </tp>
      <tp t="s">
        <v>#N/A N/A</v>
        <stp/>
        <stp>BDH|15880176649941779715</stp>
        <tr r="H39" s="2"/>
      </tp>
      <tp t="s">
        <v>#N/A N/A</v>
        <stp/>
        <stp>BDH|15133742205030485473</stp>
        <tr r="D67" s="2"/>
      </tp>
      <tp t="s">
        <v>#N/A N/A</v>
        <stp/>
        <stp>BDH|13494463048223004692</stp>
        <tr r="K62" s="2"/>
      </tp>
      <tp t="s">
        <v>#N/A N/A</v>
        <stp/>
        <stp>BDH|14186047744075120332</stp>
        <tr r="V49" s="2"/>
      </tp>
      <tp t="s">
        <v>#N/A N/A</v>
        <stp/>
        <stp>BDH|17935696553062510058</stp>
        <tr r="G30" s="2"/>
      </tp>
      <tp t="s">
        <v>#N/A N/A</v>
        <stp/>
        <stp>BDH|11104673691060225860</stp>
        <tr r="AE66" s="2"/>
      </tp>
      <tp t="s">
        <v>#N/A N/A</v>
        <stp/>
        <stp>BDH|16649580219516359273</stp>
        <tr r="X34" s="2"/>
      </tp>
      <tp t="s">
        <v>#N/A N/A</v>
        <stp/>
        <stp>BDH|18408462115118332376</stp>
        <tr r="Y15" s="2"/>
      </tp>
      <tp t="s">
        <v>#N/A N/A</v>
        <stp/>
        <stp>BDH|10958517472565105183</stp>
        <tr r="Q27" s="2"/>
      </tp>
      <tp t="s">
        <v>#N/A N/A</v>
        <stp/>
        <stp>BDH|13188532345200051456</stp>
        <tr r="P45" s="2"/>
      </tp>
      <tp t="s">
        <v>#N/A N/A</v>
        <stp/>
        <stp>BDH|18089812602363895598</stp>
        <tr r="Y60" s="2"/>
      </tp>
      <tp t="s">
        <v>#N/A N/A</v>
        <stp/>
        <stp>BDH|15944252212977994759</stp>
        <tr r="G24" s="2"/>
      </tp>
      <tp t="s">
        <v>#N/A N/A</v>
        <stp/>
        <stp>BDH|14547514036502953696</stp>
        <tr r="K45" s="2"/>
      </tp>
      <tp t="s">
        <v>#N/A N/A</v>
        <stp/>
        <stp>BDH|13999381638896416388</stp>
        <tr r="X91" s="2"/>
      </tp>
      <tp t="s">
        <v>#N/A N/A</v>
        <stp/>
        <stp>BDH|16902492528884456291</stp>
        <tr r="C9" s="2"/>
      </tp>
      <tp t="s">
        <v>#N/A N/A</v>
        <stp/>
        <stp>BDH|11133015744996375526</stp>
        <tr r="N77" s="2"/>
      </tp>
      <tp t="s">
        <v>#N/A N/A</v>
        <stp/>
        <stp>BDH|11586286748248683968</stp>
        <tr r="F41" s="2"/>
      </tp>
      <tp t="s">
        <v>#N/A N/A</v>
        <stp/>
        <stp>BDH|12509214056090239354</stp>
        <tr r="D77" s="2"/>
      </tp>
      <tp t="s">
        <v>#N/A N/A</v>
        <stp/>
        <stp>BDH|14777800293763982088</stp>
        <tr r="AC41" s="2"/>
      </tp>
      <tp t="s">
        <v>#N/A N/A</v>
        <stp/>
        <stp>BDH|10477006237797449224</stp>
        <tr r="M7" s="2"/>
      </tp>
      <tp t="s">
        <v>#N/A N/A</v>
        <stp/>
        <stp>BDH|11644010799076340884</stp>
        <tr r="AF73" s="2"/>
      </tp>
      <tp t="s">
        <v>#N/A N/A</v>
        <stp/>
        <stp>BDH|16861410718220150548</stp>
        <tr r="AA82" s="2"/>
      </tp>
      <tp t="s">
        <v>#N/A N/A</v>
        <stp/>
        <stp>BDH|15460449704104566351</stp>
        <tr r="R54" s="2"/>
      </tp>
      <tp t="s">
        <v>#N/A N/A</v>
        <stp/>
        <stp>BDH|10904693716032223308</stp>
        <tr r="AE88" s="2"/>
      </tp>
      <tp t="s">
        <v>#N/A N/A</v>
        <stp/>
        <stp>BDH|10222261262321484360</stp>
        <tr r="L59" s="2"/>
      </tp>
      <tp t="s">
        <v>#N/A N/A</v>
        <stp/>
        <stp>BDH|13483234736967305368</stp>
        <tr r="T68" s="2"/>
      </tp>
      <tp t="s">
        <v>#N/A N/A</v>
        <stp/>
        <stp>BDH|13723241718546820078</stp>
        <tr r="P93" s="2"/>
      </tp>
      <tp t="s">
        <v>#N/A N/A</v>
        <stp/>
        <stp>BDH|17121658961290032117</stp>
        <tr r="AD34" s="2"/>
      </tp>
      <tp t="s">
        <v>#N/A N/A</v>
        <stp/>
        <stp>BDH|14416651144325872596</stp>
        <tr r="T46" s="2"/>
      </tp>
      <tp t="s">
        <v>#N/A N/A</v>
        <stp/>
        <stp>BDH|14781554940345535639</stp>
        <tr r="V34" s="2"/>
      </tp>
      <tp t="s">
        <v>#N/A N/A</v>
        <stp/>
        <stp>BDH|10677449734349832895</stp>
        <tr r="Z55" s="2"/>
      </tp>
      <tp t="s">
        <v>#N/A N/A</v>
        <stp/>
        <stp>BDH|10148301258134655488</stp>
        <tr r="W8" s="2"/>
      </tp>
      <tp t="s">
        <v>#N/A N/A</v>
        <stp/>
        <stp>BDH|11217313054897557650</stp>
        <tr r="J43" s="2"/>
      </tp>
      <tp t="s">
        <v>#N/A N/A</v>
        <stp/>
        <stp>BDH|14049296428704407628</stp>
        <tr r="S51" s="2"/>
      </tp>
      <tp t="s">
        <v>#N/A N/A</v>
        <stp/>
        <stp>BDH|11264200034227540142</stp>
        <tr r="AD29" s="2"/>
      </tp>
      <tp t="s">
        <v>#N/A N/A</v>
        <stp/>
        <stp>BDH|17826534152757623681</stp>
        <tr r="Y75" s="2"/>
      </tp>
      <tp t="s">
        <v>#N/A N/A</v>
        <stp/>
        <stp>BDH|14621376373543028553</stp>
        <tr r="Y86" s="2"/>
      </tp>
      <tp t="s">
        <v>#N/A N/A</v>
        <stp/>
        <stp>BDH|11336941661039710166</stp>
        <tr r="W47" s="2"/>
      </tp>
      <tp t="s">
        <v>#N/A N/A</v>
        <stp/>
        <stp>BDH|17698626562075628479</stp>
        <tr r="E12" s="2"/>
      </tp>
      <tp t="s">
        <v>#N/A N/A</v>
        <stp/>
        <stp>BDH|12781263768445811575</stp>
        <tr r="T57" s="2"/>
      </tp>
      <tp t="s">
        <v>#N/A N/A</v>
        <stp/>
        <stp>BDH|13457108508477256385</stp>
        <tr r="Q73" s="2"/>
      </tp>
      <tp t="s">
        <v>#N/A N/A</v>
        <stp/>
        <stp>BDH|11067697540370793584</stp>
        <tr r="P15" s="2"/>
      </tp>
      <tp t="s">
        <v>#N/A N/A</v>
        <stp/>
        <stp>BDH|14560568359190501291</stp>
        <tr r="I45" s="2"/>
      </tp>
      <tp t="s">
        <v>#N/A N/A</v>
        <stp/>
        <stp>BDH|15433859405699369214</stp>
        <tr r="AE58" s="2"/>
      </tp>
      <tp t="s">
        <v>#N/A N/A</v>
        <stp/>
        <stp>BDH|12215195258480343069</stp>
        <tr r="H93" s="2"/>
      </tp>
      <tp t="s">
        <v>#N/A N/A</v>
        <stp/>
        <stp>BDH|10694329904576310359</stp>
        <tr r="Y26" s="2"/>
      </tp>
      <tp t="s">
        <v>#N/A N/A</v>
        <stp/>
        <stp>BDH|15235610553728709818</stp>
        <tr r="N83" s="2"/>
      </tp>
      <tp t="s">
        <v>#N/A N/A</v>
        <stp/>
        <stp>BDH|10382123403053020445</stp>
        <tr r="P30" s="2"/>
      </tp>
      <tp t="s">
        <v>#N/A N/A</v>
        <stp/>
        <stp>BDH|12274377845433220044</stp>
        <tr r="G14" s="2"/>
      </tp>
      <tp t="s">
        <v>#N/A N/A</v>
        <stp/>
        <stp>BDH|16343715520593762636</stp>
        <tr r="AA11" s="2"/>
      </tp>
      <tp t="s">
        <v>#N/A N/A</v>
        <stp/>
        <stp>BDH|16941469537655631276</stp>
        <tr r="AD78" s="2"/>
      </tp>
      <tp t="s">
        <v>#N/A N/A</v>
        <stp/>
        <stp>BDH|10990457111832106147</stp>
        <tr r="X56" s="2"/>
      </tp>
      <tp t="s">
        <v>#N/A N/A</v>
        <stp/>
        <stp>BDH|11426058139556490246</stp>
        <tr r="K49" s="2"/>
      </tp>
      <tp t="s">
        <v>#N/A N/A</v>
        <stp/>
        <stp>BDH|15882321153907256230</stp>
        <tr r="H48" s="2"/>
      </tp>
      <tp t="s">
        <v>#N/A N/A</v>
        <stp/>
        <stp>BDH|13091071679615712726</stp>
        <tr r="S72" s="2"/>
      </tp>
      <tp t="s">
        <v>#N/A N/A</v>
        <stp/>
        <stp>BDH|13304839591475248187</stp>
        <tr r="X25" s="2"/>
      </tp>
      <tp t="s">
        <v>#N/A N/A</v>
        <stp/>
        <stp>BDH|13844343938884695198</stp>
        <tr r="D24" s="2"/>
      </tp>
      <tp t="s">
        <v>#N/A N/A</v>
        <stp/>
        <stp>BDH|15037812897016870454</stp>
        <tr r="J49" s="2"/>
      </tp>
      <tp t="s">
        <v>#N/A N/A</v>
        <stp/>
        <stp>BDH|14654681465225422745</stp>
        <tr r="AD16" s="2"/>
      </tp>
      <tp t="s">
        <v>#N/A N/A</v>
        <stp/>
        <stp>BDH|11832733287468514024</stp>
        <tr r="O74" s="2"/>
      </tp>
      <tp t="s">
        <v>#N/A N/A</v>
        <stp/>
        <stp>BDH|10724396641834289564</stp>
        <tr r="O76" s="2"/>
      </tp>
      <tp t="s">
        <v>#N/A N/A</v>
        <stp/>
        <stp>BDH|14510129433404838478</stp>
        <tr r="J14" s="2"/>
      </tp>
      <tp t="s">
        <v>#N/A N/A</v>
        <stp/>
        <stp>BDH|16822605364611616117</stp>
        <tr r="V88" s="2"/>
      </tp>
      <tp t="s">
        <v>#N/A N/A</v>
        <stp/>
        <stp>BDH|17647905188842390279</stp>
        <tr r="F23" s="2"/>
      </tp>
      <tp t="s">
        <v>#N/A N/A</v>
        <stp/>
        <stp>BDH|17808384135185954468</stp>
        <tr r="AE95" s="2"/>
      </tp>
      <tp t="s">
        <v>#N/A N/A</v>
        <stp/>
        <stp>BDH|17287288407077792407</stp>
        <tr r="R14" s="2"/>
      </tp>
      <tp t="s">
        <v>#N/A N/A</v>
        <stp/>
        <stp>BDH|14072530879117116715</stp>
        <tr r="AF59" s="2"/>
      </tp>
      <tp t="s">
        <v>#N/A N/A</v>
        <stp/>
        <stp>BDH|13804253474368592868</stp>
        <tr r="X36" s="2"/>
      </tp>
      <tp t="s">
        <v>#N/A N/A</v>
        <stp/>
        <stp>BDH|15709537303544433297</stp>
        <tr r="V17" s="2"/>
      </tp>
      <tp t="s">
        <v>#N/A N/A</v>
        <stp/>
        <stp>BDH|15551441078962712233</stp>
        <tr r="AE75" s="2"/>
      </tp>
      <tp t="s">
        <v>#N/A N/A</v>
        <stp/>
        <stp>BDH|16025518001491846456</stp>
        <tr r="N27" s="2"/>
      </tp>
      <tp t="s">
        <v>#N/A N/A</v>
        <stp/>
        <stp>BDH|11331765948817653368</stp>
        <tr r="K89" s="2"/>
      </tp>
      <tp t="s">
        <v>#N/A N/A</v>
        <stp/>
        <stp>BDH|10432586914264547601</stp>
        <tr r="S24" s="2"/>
      </tp>
      <tp t="s">
        <v>#N/A N/A</v>
        <stp/>
        <stp>BDH|14174268343956147282</stp>
        <tr r="D36" s="2"/>
      </tp>
      <tp t="s">
        <v>#N/A N/A</v>
        <stp/>
        <stp>BDH|15964275741163408665</stp>
        <tr r="Y76" s="2"/>
      </tp>
      <tp t="s">
        <v>#N/A N/A</v>
        <stp/>
        <stp>BDH|17387090123864306777</stp>
        <tr r="R78" s="2"/>
      </tp>
      <tp t="s">
        <v>#N/A N/A</v>
        <stp/>
        <stp>BDH|16496604018985259228</stp>
        <tr r="I49" s="2"/>
      </tp>
      <tp t="s">
        <v>#N/A N/A</v>
        <stp/>
        <stp>BDH|11835039677395277520</stp>
        <tr r="Q94" s="2"/>
      </tp>
      <tp t="s">
        <v>#N/A N/A</v>
        <stp/>
        <stp>BDH|10366752166843524490</stp>
        <tr r="M55" s="2"/>
      </tp>
      <tp t="s">
        <v>#N/A N/A</v>
        <stp/>
        <stp>BDH|15449729068026282408</stp>
        <tr r="AD19" s="2"/>
      </tp>
      <tp t="s">
        <v>#N/A N/A</v>
        <stp/>
        <stp>BDH|16776387944100659712</stp>
        <tr r="E31" s="2"/>
      </tp>
      <tp t="s">
        <v>#N/A N/A</v>
        <stp/>
        <stp>BDH|14638004943713165583</stp>
        <tr r="H55" s="2"/>
      </tp>
      <tp t="s">
        <v>#N/A N/A</v>
        <stp/>
        <stp>BDH|14733045971073984645</stp>
        <tr r="W36" s="2"/>
      </tp>
      <tp t="s">
        <v>#N/A N/A</v>
        <stp/>
        <stp>BDH|16652101808309220836</stp>
        <tr r="X40" s="2"/>
      </tp>
      <tp t="s">
        <v>#N/A N/A</v>
        <stp/>
        <stp>BDH|11957350754664261556</stp>
        <tr r="P88" s="2"/>
      </tp>
      <tp t="s">
        <v>#N/A N/A</v>
        <stp/>
        <stp>BDH|17638785361488762877</stp>
        <tr r="AE48" s="2"/>
      </tp>
      <tp t="s">
        <v>#N/A N/A</v>
        <stp/>
        <stp>BDH|16782936581373997234</stp>
        <tr r="X12" s="2"/>
      </tp>
      <tp t="s">
        <v>#N/A N/A</v>
        <stp/>
        <stp>BDH|14975736060751747227</stp>
        <tr r="AC43" s="2"/>
      </tp>
      <tp t="s">
        <v>#N/A N/A</v>
        <stp/>
        <stp>BDH|14287783851180177046</stp>
        <tr r="F12" s="2"/>
      </tp>
      <tp t="s">
        <v>#N/A N/A</v>
        <stp/>
        <stp>BDH|13681186507660784409</stp>
        <tr r="Q39" s="2"/>
      </tp>
      <tp t="s">
        <v>#N/A N/A</v>
        <stp/>
        <stp>BDH|10952223164842172005</stp>
        <tr r="W46" s="2"/>
      </tp>
      <tp t="s">
        <v>#N/A N/A</v>
        <stp/>
        <stp>BDH|14067310169796431121</stp>
        <tr r="U21" s="2"/>
      </tp>
      <tp t="s">
        <v>#N/A N/A</v>
        <stp/>
        <stp>BDH|13029453037376930456</stp>
        <tr r="T22" s="2"/>
      </tp>
      <tp t="s">
        <v>#N/A N/A</v>
        <stp/>
        <stp>BDH|16824823684805853475</stp>
        <tr r="H57" s="2"/>
      </tp>
      <tp t="s">
        <v>#N/A N/A</v>
        <stp/>
        <stp>BDH|10683873417698406630</stp>
        <tr r="I43" s="2"/>
      </tp>
      <tp t="s">
        <v>#N/A N/A</v>
        <stp/>
        <stp>BDH|15333547960275535439</stp>
        <tr r="AC53" s="2"/>
      </tp>
      <tp t="s">
        <v>#N/A N/A</v>
        <stp/>
        <stp>BDH|10901293654607507703</stp>
        <tr r="AA70" s="2"/>
      </tp>
      <tp t="s">
        <v>#N/A N/A</v>
        <stp/>
        <stp>BDH|14559005841926581105</stp>
        <tr r="P7" s="2"/>
      </tp>
      <tp t="s">
        <v>#N/A N/A</v>
        <stp/>
        <stp>BDH|14686654806652118745</stp>
        <tr r="AD72" s="2"/>
      </tp>
      <tp t="s">
        <v>#N/A N/A</v>
        <stp/>
        <stp>BDH|10635734917419613841</stp>
        <tr r="X95" s="2"/>
      </tp>
      <tp t="s">
        <v>#N/A N/A</v>
        <stp/>
        <stp>BDH|10685231915554440049</stp>
        <tr r="K21" s="2"/>
      </tp>
      <tp t="s">
        <v>#N/A N/A</v>
        <stp/>
        <stp>BDH|17563093506740922031</stp>
        <tr r="N10" s="2"/>
      </tp>
      <tp t="s">
        <v>#N/A N/A</v>
        <stp/>
        <stp>BDH|10062997446562753880</stp>
        <tr r="Y7" s="2"/>
      </tp>
      <tp t="s">
        <v>#N/A N/A</v>
        <stp/>
        <stp>BDH|16116979387395084528</stp>
        <tr r="AB12" s="2"/>
      </tp>
      <tp t="s">
        <v>#N/A N/A</v>
        <stp/>
        <stp>BDH|14786631412980504408</stp>
        <tr r="Z62" s="2"/>
      </tp>
      <tp t="s">
        <v>#N/A N/A</v>
        <stp/>
        <stp>BDH|10299708902303782345</stp>
        <tr r="D55" s="2"/>
      </tp>
      <tp t="s">
        <v>#N/A N/A</v>
        <stp/>
        <stp>BDH|10371604402900064120</stp>
        <tr r="AB67" s="2"/>
      </tp>
      <tp t="s">
        <v>#N/A N/A</v>
        <stp/>
        <stp>BDH|13702103225080864797</stp>
        <tr r="C71" s="2"/>
      </tp>
      <tp t="s">
        <v>#N/A N/A</v>
        <stp/>
        <stp>BDH|10255457645432458554</stp>
        <tr r="T62" s="2"/>
      </tp>
      <tp t="s">
        <v>#N/A N/A</v>
        <stp/>
        <stp>BDH|18030850532631634521</stp>
        <tr r="V82" s="2"/>
      </tp>
      <tp t="s">
        <v>#N/A N/A</v>
        <stp/>
        <stp>BDH|10442569725218233868</stp>
        <tr r="N28" s="2"/>
      </tp>
      <tp t="s">
        <v>#N/A N/A</v>
        <stp/>
        <stp>BDH|13938628719366735575</stp>
        <tr r="R33" s="2"/>
      </tp>
      <tp t="s">
        <v>#N/A N/A</v>
        <stp/>
        <stp>BDH|18088134082354112222</stp>
        <tr r="T34" s="2"/>
      </tp>
      <tp t="s">
        <v>#N/A N/A</v>
        <stp/>
        <stp>BDH|13305682138232414353</stp>
        <tr r="S10" s="2"/>
      </tp>
      <tp t="s">
        <v>#N/A N/A</v>
        <stp/>
        <stp>BDH|12560880865548832321</stp>
        <tr r="H19" s="2"/>
      </tp>
      <tp t="s">
        <v>#N/A N/A</v>
        <stp/>
        <stp>BDH|11811597198049962320</stp>
        <tr r="M66" s="2"/>
      </tp>
      <tp t="s">
        <v>#N/A N/A</v>
        <stp/>
        <stp>BDH|17155012350374435162</stp>
        <tr r="D66" s="2"/>
      </tp>
      <tp t="s">
        <v>#N/A N/A</v>
        <stp/>
        <stp>BDH|16669058522016166552</stp>
        <tr r="O39" s="2"/>
      </tp>
      <tp t="s">
        <v>#N/A N/A</v>
        <stp/>
        <stp>BDH|16629821141425196811</stp>
        <tr r="C70" s="2"/>
      </tp>
      <tp t="s">
        <v>#N/A N/A</v>
        <stp/>
        <stp>BDH|16609171235175662674</stp>
        <tr r="I41" s="2"/>
      </tp>
      <tp t="s">
        <v>#N/A N/A</v>
        <stp/>
        <stp>BDH|16650709584058079663</stp>
        <tr r="W72" s="2"/>
      </tp>
      <tp t="s">
        <v>#N/A N/A</v>
        <stp/>
        <stp>BDH|14413806515822260877</stp>
        <tr r="N43" s="2"/>
      </tp>
      <tp t="s">
        <v>#N/A N/A</v>
        <stp/>
        <stp>BDH|14057117774242519742</stp>
        <tr r="Y24" s="2"/>
      </tp>
      <tp t="s">
        <v>#N/A N/A</v>
        <stp/>
        <stp>BDH|12996571138053795052</stp>
        <tr r="Y30" s="2"/>
      </tp>
      <tp t="s">
        <v>#N/A N/A</v>
        <stp/>
        <stp>BDH|12908594414803587255</stp>
        <tr r="N76" s="2"/>
      </tp>
      <tp t="s">
        <v>#N/A N/A</v>
        <stp/>
        <stp>BDH|18134767380680774044</stp>
        <tr r="U88" s="2"/>
      </tp>
      <tp t="s">
        <v>#N/A N/A</v>
        <stp/>
        <stp>BDH|13014638632651275078</stp>
        <tr r="Z71" s="2"/>
      </tp>
      <tp t="s">
        <v>#N/A N/A</v>
        <stp/>
        <stp>BDH|14411050678033422795</stp>
        <tr r="M93" s="2"/>
      </tp>
      <tp t="s">
        <v>#N/A N/A</v>
        <stp/>
        <stp>BDH|15456028610094600776</stp>
        <tr r="N42" s="2"/>
      </tp>
      <tp t="s">
        <v>#N/A N/A</v>
        <stp/>
        <stp>BDH|15917308238675553731</stp>
        <tr r="P9" s="2"/>
      </tp>
      <tp t="s">
        <v>#N/A N/A</v>
        <stp/>
        <stp>BDH|17929174759650796475</stp>
        <tr r="T75" s="2"/>
      </tp>
      <tp t="s">
        <v>#N/A N/A</v>
        <stp/>
        <stp>BDH|16868350123545894516</stp>
        <tr r="S13" s="2"/>
      </tp>
      <tp t="s">
        <v>#N/A N/A</v>
        <stp/>
        <stp>BDH|17635603021284599057</stp>
        <tr r="AD77" s="2"/>
      </tp>
      <tp t="s">
        <v>#N/A N/A</v>
        <stp/>
        <stp>BDH|17048537644559622867</stp>
        <tr r="K50" s="2"/>
      </tp>
      <tp t="s">
        <v>#N/A N/A</v>
        <stp/>
        <stp>BDH|10053108576193080216</stp>
        <tr r="C57" s="2"/>
      </tp>
      <tp t="s">
        <v>#N/A N/A</v>
        <stp/>
        <stp>BDH|14700646251399338964</stp>
        <tr r="Q9" s="2"/>
      </tp>
      <tp t="s">
        <v>#N/A N/A</v>
        <stp/>
        <stp>BDH|15998567929683173609</stp>
        <tr r="H42" s="2"/>
      </tp>
      <tp t="s">
        <v>#N/A N/A</v>
        <stp/>
        <stp>BDH|12718646208803909043</stp>
        <tr r="P11" s="2"/>
      </tp>
      <tp t="s">
        <v>#N/A N/A</v>
        <stp/>
        <stp>BDH|15858873814308599389</stp>
        <tr r="X41" s="2"/>
      </tp>
      <tp t="s">
        <v>#N/A N/A</v>
        <stp/>
        <stp>BDH|15919346474177054109</stp>
        <tr r="J8" s="2"/>
      </tp>
      <tp t="s">
        <v>#N/A N/A</v>
        <stp/>
        <stp>BDH|14283411649766356502</stp>
        <tr r="AC48" s="2"/>
      </tp>
      <tp t="s">
        <v>#N/A N/A</v>
        <stp/>
        <stp>BDH|11355145133830406490</stp>
        <tr r="T63" s="2"/>
      </tp>
      <tp t="s">
        <v>#N/A N/A</v>
        <stp/>
        <stp>BDH|11179988991647495153</stp>
        <tr r="H89" s="2"/>
      </tp>
      <tp t="s">
        <v>#N/A N/A</v>
        <stp/>
        <stp>BDH|12147338829441322518</stp>
        <tr r="R95" s="2"/>
      </tp>
      <tp t="s">
        <v>#N/A N/A</v>
        <stp/>
        <stp>BDH|16257435938171974797</stp>
        <tr r="Z16" s="2"/>
      </tp>
      <tp t="s">
        <v>#N/A N/A</v>
        <stp/>
        <stp>BDH|13809863986753412753</stp>
        <tr r="M24" s="2"/>
      </tp>
      <tp t="s">
        <v>#N/A N/A</v>
        <stp/>
        <stp>BDH|10508279958876226615</stp>
        <tr r="AA49" s="2"/>
      </tp>
      <tp t="s">
        <v>#N/A N/A</v>
        <stp/>
        <stp>BDH|10442566930373131289</stp>
        <tr r="AA60" s="2"/>
      </tp>
      <tp t="s">
        <v>#N/A N/A</v>
        <stp/>
        <stp>BDH|10402607327215084682</stp>
        <tr r="S36" s="2"/>
      </tp>
      <tp t="s">
        <v>#N/A N/A</v>
        <stp/>
        <stp>BDH|16959838517058238040</stp>
        <tr r="V36" s="2"/>
      </tp>
      <tp t="s">
        <v>#N/A N/A</v>
        <stp/>
        <stp>BDH|11564206729301367748</stp>
        <tr r="O64" s="2"/>
      </tp>
      <tp t="s">
        <v>#N/A N/A</v>
        <stp/>
        <stp>BDH|16775982089385954545</stp>
        <tr r="S68" s="2"/>
      </tp>
      <tp t="s">
        <v>#N/A N/A</v>
        <stp/>
        <stp>BDH|14773076874196825276</stp>
        <tr r="Z58" s="2"/>
      </tp>
      <tp t="s">
        <v>#N/A N/A</v>
        <stp/>
        <stp>BDH|10424269351749900905</stp>
        <tr r="U74" s="2"/>
      </tp>
      <tp t="s">
        <v>#N/A N/A</v>
        <stp/>
        <stp>BDH|15408996470189766508</stp>
        <tr r="L92" s="2"/>
      </tp>
      <tp t="s">
        <v>#N/A N/A</v>
        <stp/>
        <stp>BDH|13273348731525814156</stp>
        <tr r="AB25" s="2"/>
      </tp>
      <tp t="s">
        <v>#N/A N/A</v>
        <stp/>
        <stp>BDH|16601381965973600774</stp>
        <tr r="O72" s="2"/>
      </tp>
      <tp t="s">
        <v>#N/A N/A</v>
        <stp/>
        <stp>BDH|11006398454921228153</stp>
        <tr r="S54" s="2"/>
      </tp>
      <tp t="s">
        <v>#N/A N/A</v>
        <stp/>
        <stp>BDH|17472541726363215499</stp>
        <tr r="S28" s="2"/>
      </tp>
      <tp t="s">
        <v>#N/A N/A</v>
        <stp/>
        <stp>BDH|11381598811720128276</stp>
        <tr r="V60" s="2"/>
      </tp>
      <tp t="s">
        <v>#N/A N/A</v>
        <stp/>
        <stp>BDH|11893308687799617446</stp>
        <tr r="Y78" s="2"/>
      </tp>
      <tp t="s">
        <v>#N/A N/A</v>
        <stp/>
        <stp>BDH|17045342751711901710</stp>
        <tr r="AB59" s="2"/>
      </tp>
      <tp t="s">
        <v>#N/A N/A</v>
        <stp/>
        <stp>BDH|13367584580610267945</stp>
        <tr r="M28" s="2"/>
      </tp>
      <tp t="s">
        <v>#N/A N/A</v>
        <stp/>
        <stp>BDH|18001668299952655242</stp>
        <tr r="U44" s="2"/>
      </tp>
      <tp t="s">
        <v>#N/A N/A</v>
        <stp/>
        <stp>BDH|16872374506562176049</stp>
        <tr r="K63" s="2"/>
      </tp>
      <tp t="s">
        <v>#N/A N/A</v>
        <stp/>
        <stp>BDH|18141649066697720886</stp>
        <tr r="U41" s="2"/>
      </tp>
      <tp t="s">
        <v>#N/A N/A</v>
        <stp/>
        <stp>BDH|16139157642016269280</stp>
        <tr r="AD62" s="2"/>
      </tp>
      <tp t="s">
        <v>#N/A N/A</v>
        <stp/>
        <stp>BDH|15719673641544442492</stp>
        <tr r="AC56" s="2"/>
      </tp>
      <tp t="s">
        <v>#N/A N/A</v>
        <stp/>
        <stp>BDH|17610296277915672028</stp>
        <tr r="AB63" s="2"/>
      </tp>
      <tp t="s">
        <v>#N/A N/A</v>
        <stp/>
        <stp>BDH|11951941482454977399</stp>
        <tr r="U9" s="2"/>
      </tp>
      <tp t="s">
        <v>#N/A N/A</v>
        <stp/>
        <stp>BDH|15530838269708174415</stp>
        <tr r="U50" s="2"/>
      </tp>
      <tp t="s">
        <v>#N/A N/A</v>
        <stp/>
        <stp>BDH|13152190556351606175</stp>
        <tr r="O24" s="2"/>
      </tp>
      <tp t="s">
        <v>#N/A N/A</v>
        <stp/>
        <stp>BDH|10256266539102275403</stp>
        <tr r="Q59" s="2"/>
      </tp>
      <tp t="s">
        <v>#N/A N/A</v>
        <stp/>
        <stp>BDH|10348278485228689582</stp>
        <tr r="V11" s="2"/>
      </tp>
      <tp t="s">
        <v>#N/A N/A</v>
        <stp/>
        <stp>BDH|10434114943043910118</stp>
        <tr r="V74" s="2"/>
      </tp>
      <tp t="s">
        <v>#N/A N/A</v>
        <stp/>
        <stp>BDH|15015084000041527339</stp>
        <tr r="K7" s="2"/>
      </tp>
      <tp t="s">
        <v>#N/A N/A</v>
        <stp/>
        <stp>BDH|11569611017095913445</stp>
        <tr r="K94" s="2"/>
      </tp>
      <tp t="s">
        <v>#N/A N/A</v>
        <stp/>
        <stp>BDH|12772065739280408622</stp>
        <tr r="AC63" s="2"/>
      </tp>
      <tp t="s">
        <v>#N/A N/A</v>
        <stp/>
        <stp>BDH|10710429024365419740</stp>
        <tr r="AA25" s="2"/>
      </tp>
      <tp t="s">
        <v>#N/A N/A</v>
        <stp/>
        <stp>BDH|14655180134870903222</stp>
        <tr r="H91" s="2"/>
      </tp>
      <tp t="s">
        <v>#N/A N/A</v>
        <stp/>
        <stp>BDH|13028725525466398454</stp>
        <tr r="AF56" s="2"/>
      </tp>
      <tp t="s">
        <v>#N/A N/A</v>
        <stp/>
        <stp>BDH|18092234291190238718</stp>
        <tr r="E8" s="2"/>
      </tp>
      <tp t="s">
        <v>#N/A N/A</v>
        <stp/>
        <stp>BDH|16236648203342483607</stp>
        <tr r="S61" s="2"/>
      </tp>
      <tp t="s">
        <v>#N/A N/A</v>
        <stp/>
        <stp>BDH|13986745441820580489</stp>
        <tr r="W14" s="2"/>
      </tp>
      <tp t="s">
        <v>#N/A N/A</v>
        <stp/>
        <stp>BDH|18306952674863484169</stp>
        <tr r="AB86" s="2"/>
      </tp>
      <tp t="s">
        <v>#N/A N/A</v>
        <stp/>
        <stp>BDH|17291827383560424373</stp>
        <tr r="C39" s="2"/>
      </tp>
      <tp t="s">
        <v>#N/A N/A</v>
        <stp/>
        <stp>BDH|16065063716417100419</stp>
        <tr r="D17" s="2"/>
      </tp>
      <tp t="s">
        <v>#N/A N/A</v>
        <stp/>
        <stp>BDH|15704504282704299877</stp>
        <tr r="C47" s="2"/>
      </tp>
      <tp t="s">
        <v>#N/A N/A</v>
        <stp/>
        <stp>BDH|10001457572300317744</stp>
        <tr r="Z89" s="2"/>
      </tp>
      <tp t="s">
        <v>#N/A N/A</v>
        <stp/>
        <stp>BDH|17813523481809838739</stp>
        <tr r="AD20" s="2"/>
      </tp>
      <tp t="s">
        <v>#N/A N/A</v>
        <stp/>
        <stp>BDH|13317020865735297468</stp>
        <tr r="Z23" s="2"/>
      </tp>
      <tp t="s">
        <v>#N/A N/A</v>
        <stp/>
        <stp>BDH|12456858555108303379</stp>
        <tr r="O8" s="2"/>
      </tp>
      <tp t="s">
        <v>#N/A N/A</v>
        <stp/>
        <stp>BDH|10544400493420787927</stp>
        <tr r="F32" s="2"/>
      </tp>
      <tp t="s">
        <v>#N/A N/A</v>
        <stp/>
        <stp>BDH|18134080929576600855</stp>
        <tr r="D27" s="2"/>
      </tp>
      <tp t="s">
        <v>#N/A N/A</v>
        <stp/>
        <stp>BDH|10888528227573743093</stp>
        <tr r="E88" s="2"/>
      </tp>
      <tp t="s">
        <v>#N/A N/A</v>
        <stp/>
        <stp>BDH|13504475415455702730</stp>
        <tr r="Q47" s="2"/>
      </tp>
      <tp t="s">
        <v>#N/A N/A</v>
        <stp/>
        <stp>BDH|12446930212518601604</stp>
        <tr r="J25" s="2"/>
      </tp>
      <tp t="s">
        <v>#N/A N/A</v>
        <stp/>
        <stp>BDH|10762178710142326609</stp>
        <tr r="O17" s="2"/>
      </tp>
      <tp t="s">
        <v>#N/A N/A</v>
        <stp/>
        <stp>BDH|18064681804363888964</stp>
        <tr r="W7" s="2"/>
      </tp>
      <tp t="s">
        <v>#N/A N/A</v>
        <stp/>
        <stp>BDH|12987429248650757660</stp>
        <tr r="N16" s="2"/>
      </tp>
      <tp t="s">
        <v>#N/A N/A</v>
        <stp/>
        <stp>BDH|18200276160981160912</stp>
        <tr r="J27" s="2"/>
      </tp>
      <tp t="s">
        <v>#N/A N/A</v>
        <stp/>
        <stp>BDH|12393544014597128572</stp>
        <tr r="AB85" s="2"/>
      </tp>
      <tp t="s">
        <v>#N/A N/A</v>
        <stp/>
        <stp>BDH|12080712026797758457</stp>
        <tr r="F57" s="2"/>
      </tp>
      <tp t="s">
        <v>#N/A N/A</v>
        <stp/>
        <stp>BDH|12654511865064725117</stp>
        <tr r="R55" s="2"/>
      </tp>
      <tp t="s">
        <v>#N/A N/A</v>
        <stp/>
        <stp>BDH|14687009005277567724</stp>
        <tr r="K53" s="2"/>
      </tp>
      <tp t="s">
        <v>#N/A N/A</v>
        <stp/>
        <stp>BDH|17821966893652156181</stp>
        <tr r="Q8" s="2"/>
      </tp>
      <tp t="s">
        <v>#N/A N/A</v>
        <stp/>
        <stp>BDH|12036532155374539275</stp>
        <tr r="U45" s="2"/>
      </tp>
      <tp t="s">
        <v>#N/A N/A</v>
        <stp/>
        <stp>BDH|10015491175686288196</stp>
        <tr r="C51" s="2"/>
      </tp>
      <tp t="s">
        <v>#N/A N/A</v>
        <stp/>
        <stp>BDH|18201685910558972348</stp>
        <tr r="AF84" s="2"/>
      </tp>
      <tp t="s">
        <v>#N/A N/A</v>
        <stp/>
        <stp>BDH|13135854785186786113</stp>
        <tr r="C89" s="2"/>
      </tp>
      <tp t="s">
        <v>#N/A N/A</v>
        <stp/>
        <stp>BDH|15721904666947659906</stp>
        <tr r="Q12" s="2"/>
      </tp>
      <tp t="s">
        <v>#N/A N/A</v>
        <stp/>
        <stp>BDH|12209119548955447680</stp>
        <tr r="K13" s="2"/>
      </tp>
      <tp t="s">
        <v>#N/A N/A</v>
        <stp/>
        <stp>BDH|14498268227246470660</stp>
        <tr r="E42" s="2"/>
      </tp>
      <tp t="s">
        <v>#N/A N/A</v>
        <stp/>
        <stp>BDH|16014173661646339338</stp>
        <tr r="G9" s="2"/>
      </tp>
      <tp t="s">
        <v>#N/A N/A</v>
        <stp/>
        <stp>BDH|15531349812227081457</stp>
        <tr r="AA10" s="2"/>
      </tp>
      <tp t="s">
        <v>#N/A N/A</v>
        <stp/>
        <stp>BDH|10925796166204623160</stp>
        <tr r="AD51" s="2"/>
      </tp>
      <tp t="s">
        <v>#N/A N/A</v>
        <stp/>
        <stp>BDH|17082257766434246384</stp>
        <tr r="AC49" s="2"/>
      </tp>
      <tp t="s">
        <v>#N/A N/A</v>
        <stp/>
        <stp>BDH|15892099179561103708</stp>
        <tr r="O15" s="2"/>
      </tp>
      <tp t="s">
        <v>#N/A N/A</v>
        <stp/>
        <stp>BDH|12452643467985647390</stp>
        <tr r="S8" s="2"/>
      </tp>
      <tp t="s">
        <v>#N/A N/A</v>
        <stp/>
        <stp>BDH|16445382911299267979</stp>
        <tr r="H12" s="2"/>
      </tp>
      <tp t="s">
        <v>#N/A N/A</v>
        <stp/>
        <stp>BDH|10938003918837917200</stp>
        <tr r="T86" s="2"/>
      </tp>
      <tp t="s">
        <v>#N/A N/A</v>
        <stp/>
        <stp>BDH|10042461109270670018</stp>
        <tr r="P83" s="2"/>
      </tp>
      <tp t="s">
        <v>#N/A N/A</v>
        <stp/>
        <stp>BDH|14716677760142857200</stp>
        <tr r="F7" s="2"/>
      </tp>
      <tp t="s">
        <v>#N/A N/A</v>
        <stp/>
        <stp>BDH|14934617202301461766</stp>
        <tr r="G54" s="2"/>
      </tp>
      <tp t="s">
        <v>#N/A N/A</v>
        <stp/>
        <stp>BDH|15789866987983944275</stp>
        <tr r="R34" s="2"/>
      </tp>
      <tp t="s">
        <v>#N/A N/A</v>
        <stp/>
        <stp>BDH|13872220755437557723</stp>
        <tr r="N71" s="2"/>
      </tp>
      <tp t="s">
        <v>#N/A N/A</v>
        <stp/>
        <stp>BDH|16874550123671188440</stp>
        <tr r="Q22" s="2"/>
      </tp>
      <tp t="s">
        <v>#N/A N/A</v>
        <stp/>
        <stp>BDH|12542670714927569684</stp>
        <tr r="R25" s="2"/>
      </tp>
      <tp t="s">
        <v>#N/A N/A</v>
        <stp/>
        <stp>BDH|15735984087938063837</stp>
        <tr r="N29" s="2"/>
      </tp>
      <tp t="s">
        <v>#N/A N/A</v>
        <stp/>
        <stp>BDH|13569077809307685067</stp>
        <tr r="Q61" s="2"/>
      </tp>
      <tp t="s">
        <v>#N/A N/A</v>
        <stp/>
        <stp>BDH|10766541917051829174</stp>
        <tr r="AB33" s="2"/>
      </tp>
      <tp t="s">
        <v>#N/A N/A</v>
        <stp/>
        <stp>BDH|16319220624051740393</stp>
        <tr r="K42" s="2"/>
      </tp>
      <tp t="s">
        <v>#N/A N/A</v>
        <stp/>
        <stp>BDH|14615926714280349884</stp>
        <tr r="L57" s="2"/>
      </tp>
      <tp t="s">
        <v>#N/A N/A</v>
        <stp/>
        <stp>BDH|16545669467484774695</stp>
        <tr r="M47" s="2"/>
      </tp>
      <tp t="s">
        <v>#N/A N/A</v>
        <stp/>
        <stp>BDH|17976137618425883603</stp>
        <tr r="AC90" s="2"/>
      </tp>
      <tp t="s">
        <v>#N/A N/A</v>
        <stp/>
        <stp>BDH|13292795024781379363</stp>
        <tr r="AC88" s="2"/>
      </tp>
      <tp t="s">
        <v>#N/A N/A</v>
        <stp/>
        <stp>BDH|13828807846972338973</stp>
        <tr r="Z42" s="2"/>
      </tp>
      <tp t="s">
        <v>#N/A N/A</v>
        <stp/>
        <stp>BDH|16801546621126437337</stp>
        <tr r="P43" s="2"/>
      </tp>
      <tp t="s">
        <v>#N/A N/A</v>
        <stp/>
        <stp>BDH|17618519670119837858</stp>
        <tr r="N68" s="2"/>
      </tp>
      <tp t="s">
        <v>#N/A N/A</v>
        <stp/>
        <stp>BDH|11388164659204193570</stp>
        <tr r="V45" s="2"/>
      </tp>
      <tp t="s">
        <v>#N/A N/A</v>
        <stp/>
        <stp>BDH|11118293658726434491</stp>
        <tr r="AD84" s="2"/>
      </tp>
      <tp t="s">
        <v>#N/A N/A</v>
        <stp/>
        <stp>BDH|14517654471445808447</stp>
        <tr r="H14" s="2"/>
      </tp>
      <tp t="s">
        <v>#N/A N/A</v>
        <stp/>
        <stp>BDH|14711597433530056603</stp>
        <tr r="W95" s="2"/>
      </tp>
      <tp t="s">
        <v>#N/A N/A</v>
        <stp/>
        <stp>BDH|16083797725990959798</stp>
        <tr r="V43" s="2"/>
      </tp>
      <tp t="s">
        <v>#N/A N/A</v>
        <stp/>
        <stp>BDH|10915624911404397751</stp>
        <tr r="U83" s="2"/>
      </tp>
      <tp t="s">
        <v>#N/A N/A</v>
        <stp/>
        <stp>BDH|13964627522862235173</stp>
        <tr r="AF49" s="2"/>
      </tp>
      <tp t="s">
        <v>#N/A N/A</v>
        <stp/>
        <stp>BDH|11843197555496092782</stp>
        <tr r="O91" s="2"/>
      </tp>
      <tp t="s">
        <v>#N/A N/A</v>
        <stp/>
        <stp>BDH|17503438331283383782</stp>
        <tr r="AF95" s="2"/>
      </tp>
      <tp t="s">
        <v>#N/A N/A</v>
        <stp/>
        <stp>BDH|16913059945005405322</stp>
        <tr r="AD86" s="2"/>
      </tp>
      <tp t="s">
        <v>#N/A N/A</v>
        <stp/>
        <stp>BDH|14779016068956244035</stp>
        <tr r="N33" s="2"/>
      </tp>
      <tp t="s">
        <v>#N/A N/A</v>
        <stp/>
        <stp>BDH|10966144015121090572</stp>
        <tr r="AE57" s="2"/>
      </tp>
      <tp t="s">
        <v>#N/A N/A</v>
        <stp/>
        <stp>BDH|16028931052596787890</stp>
        <tr r="Q40" s="2"/>
      </tp>
      <tp t="s">
        <v>#N/A N/A</v>
        <stp/>
        <stp>BDH|13132133013444735399</stp>
        <tr r="S22" s="2"/>
      </tp>
      <tp t="s">
        <v>#N/A N/A</v>
        <stp/>
        <stp>BDH|12310903005808919709</stp>
        <tr r="L11" s="2"/>
      </tp>
      <tp t="s">
        <v>#N/A N/A</v>
        <stp/>
        <stp>BDH|18025837977620860332</stp>
        <tr r="K22" s="2"/>
      </tp>
      <tp t="s">
        <v>#N/A N/A</v>
        <stp/>
        <stp>BDH|14475748800556897175</stp>
        <tr r="R32" s="2"/>
      </tp>
      <tp t="s">
        <v>#N/A N/A</v>
        <stp/>
        <stp>BDH|13086793777725130209</stp>
        <tr r="X29" s="2"/>
      </tp>
      <tp t="s">
        <v>#N/A N/A</v>
        <stp/>
        <stp>BDH|12167086922936029252</stp>
        <tr r="G58" s="2"/>
      </tp>
      <tp t="s">
        <v>#N/A N/A</v>
        <stp/>
        <stp>BDH|15958620825023156610</stp>
        <tr r="AA91" s="2"/>
      </tp>
      <tp t="s">
        <v>#N/A N/A</v>
        <stp/>
        <stp>BDH|11839708304435032729</stp>
        <tr r="W55" s="2"/>
      </tp>
      <tp t="s">
        <v>#N/A N/A</v>
        <stp/>
        <stp>BDH|13645443585862380858</stp>
        <tr r="T29" s="2"/>
      </tp>
      <tp t="s">
        <v>#N/A N/A</v>
        <stp/>
        <stp>BDH|14190851838662492895</stp>
        <tr r="X83" s="2"/>
      </tp>
      <tp t="s">
        <v>#N/A N/A</v>
        <stp/>
        <stp>BDH|11953308928147354239</stp>
        <tr r="I7" s="2"/>
      </tp>
      <tp t="s">
        <v>#N/A N/A</v>
        <stp/>
        <stp>BDH|15125854379536503996</stp>
        <tr r="D40" s="2"/>
      </tp>
      <tp t="s">
        <v>#N/A N/A</v>
        <stp/>
        <stp>BDH|16204283868652139523</stp>
        <tr r="AE7" s="2"/>
      </tp>
      <tp t="s">
        <v>#N/A N/A</v>
        <stp/>
        <stp>BDH|14973796117770295754</stp>
        <tr r="J94" s="2"/>
      </tp>
      <tp t="s">
        <v>#N/A N/A</v>
        <stp/>
        <stp>BDH|12870449430694929453</stp>
        <tr r="H95" s="2"/>
      </tp>
      <tp t="s">
        <v>#N/A N/A</v>
        <stp/>
        <stp>BDH|14330302005987128573</stp>
        <tr r="Y54" s="2"/>
      </tp>
      <tp t="s">
        <v>#N/A N/A</v>
        <stp/>
        <stp>BDH|11988067102247953344</stp>
        <tr r="F18" s="2"/>
      </tp>
      <tp t="s">
        <v>#N/A N/A</v>
        <stp/>
        <stp>BDH|15525055932405031621</stp>
        <tr r="U84" s="2"/>
      </tp>
      <tp t="s">
        <v>#N/A N/A</v>
        <stp/>
        <stp>BDH|13627472281093857983</stp>
        <tr r="H60" s="2"/>
      </tp>
      <tp t="s">
        <v>#N/A N/A</v>
        <stp/>
        <stp>BDH|14212163510319624826</stp>
        <tr r="J53" s="2"/>
      </tp>
      <tp t="s">
        <v>#N/A N/A</v>
        <stp/>
        <stp>BDH|13194867372560048966</stp>
        <tr r="R72" s="2"/>
      </tp>
      <tp t="s">
        <v>#N/A N/A</v>
        <stp/>
        <stp>BDH|16166719411263564673</stp>
        <tr r="Y36" s="2"/>
      </tp>
      <tp t="s">
        <v>#N/A N/A</v>
        <stp/>
        <stp>BDH|17635603967655597770</stp>
        <tr r="AA15" s="2"/>
      </tp>
      <tp t="s">
        <v>#N/A N/A</v>
        <stp/>
        <stp>BDH|13930534629805469447</stp>
        <tr r="Y41" s="2"/>
      </tp>
      <tp t="s">
        <v>#N/A N/A</v>
        <stp/>
        <stp>BDH|10261092938937541155</stp>
        <tr r="Q93" s="2"/>
      </tp>
      <tp t="s">
        <v>#N/A N/A</v>
        <stp/>
        <stp>BDH|17032612107297761327</stp>
        <tr r="J82" s="2"/>
      </tp>
      <tp t="s">
        <v>#N/A N/A</v>
        <stp/>
        <stp>BDH|14230282769226050307</stp>
        <tr r="N90" s="2"/>
      </tp>
      <tp t="s">
        <v>#N/A N/A</v>
        <stp/>
        <stp>BDH|16894187340606604041</stp>
        <tr r="AF48" s="2"/>
      </tp>
      <tp t="s">
        <v>#N/A N/A</v>
        <stp/>
        <stp>BDH|13390098979281537048</stp>
        <tr r="O29" s="2"/>
      </tp>
      <tp t="s">
        <v>#N/A N/A</v>
        <stp/>
        <stp>BDH|13294709174523714537</stp>
        <tr r="G63" s="2"/>
      </tp>
      <tp t="s">
        <v>#N/A N/A</v>
        <stp/>
        <stp>BDH|17743733067913350029</stp>
        <tr r="K57" s="2"/>
      </tp>
      <tp t="s">
        <v>#N/A N/A</v>
        <stp/>
        <stp>BDH|10856870280334875156</stp>
        <tr r="P22" s="2"/>
      </tp>
      <tp t="s">
        <v>#N/A N/A</v>
        <stp/>
        <stp>BDH|12429067987436058971</stp>
        <tr r="Y72" s="2"/>
      </tp>
      <tp t="s">
        <v>#N/A N/A</v>
        <stp/>
        <stp>BDH|14401559147610632056</stp>
        <tr r="AE25" s="2"/>
      </tp>
      <tp t="s">
        <v>#N/A N/A</v>
        <stp/>
        <stp>BDH|10068462143626789372</stp>
        <tr r="AC9" s="2"/>
      </tp>
      <tp t="s">
        <v>#N/A N/A</v>
        <stp/>
        <stp>BDH|18110900716034760158</stp>
        <tr r="AB74" s="2"/>
      </tp>
      <tp t="s">
        <v>#N/A N/A</v>
        <stp/>
        <stp>BDH|13333942812817918996</stp>
        <tr r="X17" s="2"/>
      </tp>
      <tp t="s">
        <v>#N/A N/A</v>
        <stp/>
        <stp>BDH|11249724564325340025</stp>
        <tr r="Z17" s="2"/>
      </tp>
      <tp t="s">
        <v>#N/A N/A</v>
        <stp/>
        <stp>BDH|14315041431791659350</stp>
        <tr r="J11" s="2"/>
      </tp>
      <tp t="s">
        <v>#N/A N/A</v>
        <stp/>
        <stp>BDH|13039321591528559433</stp>
        <tr r="AF45" s="2"/>
      </tp>
      <tp t="s">
        <v>#N/A N/A</v>
        <stp/>
        <stp>BDH|11351329810595091347</stp>
        <tr r="U32" s="2"/>
      </tp>
      <tp t="s">
        <v>#N/A N/A</v>
        <stp/>
        <stp>BDH|18306714179668843562</stp>
        <tr r="Y71" s="2"/>
      </tp>
      <tp t="s">
        <v>#N/A N/A</v>
        <stp/>
        <stp>BDH|13739122628820944503</stp>
        <tr r="AC39" s="2"/>
      </tp>
      <tp t="s">
        <v>#N/A N/A</v>
        <stp/>
        <stp>BDH|15091743033092150623</stp>
        <tr r="G55" s="2"/>
      </tp>
      <tp t="s">
        <v>#N/A N/A</v>
        <stp/>
        <stp>BDH|16592635480064791952</stp>
        <tr r="U34" s="2"/>
      </tp>
      <tp t="s">
        <v>#N/A N/A</v>
        <stp/>
        <stp>BDH|12905472871841895535</stp>
        <tr r="U62" s="2"/>
      </tp>
      <tp t="s">
        <v>#N/A N/A</v>
        <stp/>
        <stp>BDH|12305425576961514568</stp>
        <tr r="U68" s="2"/>
      </tp>
      <tp t="s">
        <v>#N/A N/A</v>
        <stp/>
        <stp>BDH|14004967275889156651</stp>
        <tr r="C27" s="2"/>
      </tp>
      <tp t="s">
        <v>#N/A N/A</v>
        <stp/>
        <stp>BDH|17893293011181765002</stp>
        <tr r="S74" s="2"/>
      </tp>
      <tp t="s">
        <v>#N/A N/A</v>
        <stp/>
        <stp>BDH|11464026742973023334</stp>
        <tr r="C23" s="2"/>
      </tp>
      <tp t="s">
        <v>#N/A N/A</v>
        <stp/>
        <stp>BDH|15782404576142785118</stp>
        <tr r="X42" s="2"/>
      </tp>
      <tp t="s">
        <v>#N/A N/A</v>
        <stp/>
        <stp>BDH|15298749764063376264</stp>
        <tr r="Z12" s="2"/>
      </tp>
      <tp t="s">
        <v>#N/A N/A</v>
        <stp/>
        <stp>BDH|10412130416151415425</stp>
        <tr r="T84" s="2"/>
      </tp>
      <tp t="s">
        <v>#N/A N/A</v>
        <stp/>
        <stp>BDH|11431010064836072476</stp>
        <tr r="F48" s="2"/>
      </tp>
      <tp t="s">
        <v>#N/A N/A</v>
        <stp/>
        <stp>BDH|13534463322465686510</stp>
        <tr r="C34" s="2"/>
      </tp>
      <tp t="s">
        <v>#N/A N/A</v>
        <stp/>
        <stp>BDH|17681273751497093265</stp>
        <tr r="I11" s="2"/>
      </tp>
      <tp t="s">
        <v>#N/A N/A</v>
        <stp/>
        <stp>BDH|10267946971532051912</stp>
        <tr r="I87" s="2"/>
      </tp>
      <tp t="s">
        <v>#N/A N/A</v>
        <stp/>
        <stp>BDH|17914467256313185017</stp>
        <tr r="H41" s="2"/>
      </tp>
      <tp t="s">
        <v>#N/A N/A</v>
        <stp/>
        <stp>BDH|11196662729782340240</stp>
        <tr r="AA42" s="2"/>
      </tp>
      <tp t="s">
        <v>#N/A N/A</v>
        <stp/>
        <stp>BDH|16786184654163472465</stp>
        <tr r="M94" s="2"/>
      </tp>
      <tp t="s">
        <v>#N/A N/A</v>
        <stp/>
        <stp>BDH|16004769358151542029</stp>
        <tr r="AC60" s="2"/>
      </tp>
      <tp t="s">
        <v>#N/A N/A</v>
        <stp/>
        <stp>BDH|12545927858799553235</stp>
        <tr r="O26" s="2"/>
      </tp>
      <tp t="s">
        <v>#N/A N/A</v>
        <stp/>
        <stp>BDH|12235266888975337874</stp>
        <tr r="AC18" s="2"/>
      </tp>
      <tp t="s">
        <v>#N/A N/A</v>
        <stp/>
        <stp>BDH|11784036213814890176</stp>
        <tr r="M62" s="2"/>
      </tp>
      <tp t="s">
        <v>#N/A N/A</v>
        <stp/>
        <stp>BDH|15650989223453650832</stp>
        <tr r="K9" s="2"/>
      </tp>
      <tp t="s">
        <v>#N/A N/A</v>
        <stp/>
        <stp>BDH|11864668947475568340</stp>
        <tr r="Z36" s="2"/>
      </tp>
      <tp t="s">
        <v>#N/A N/A</v>
        <stp/>
        <stp>BDH|17707189736051824198</stp>
        <tr r="AC69" s="2"/>
      </tp>
      <tp t="s">
        <v>#N/A N/A</v>
        <stp/>
        <stp>BDH|14737706458875302672</stp>
        <tr r="H49" s="2"/>
      </tp>
      <tp t="s">
        <v>#N/A N/A</v>
        <stp/>
        <stp>BDH|12532135728245394161</stp>
        <tr r="R31" s="2"/>
      </tp>
      <tp t="s">
        <v>#N/A N/A</v>
        <stp/>
        <stp>BDH|15580989940494202947</stp>
        <tr r="AF15" s="2"/>
      </tp>
      <tp t="s">
        <v>#N/A N/A</v>
        <stp/>
        <stp>BDH|10445722199428410302</stp>
        <tr r="I28" s="2"/>
      </tp>
      <tp t="s">
        <v>#N/A N/A</v>
        <stp/>
        <stp>BDH|12717000838164367076</stp>
        <tr r="L25" s="2"/>
      </tp>
      <tp t="s">
        <v>#N/A N/A</v>
        <stp/>
        <stp>BDH|12878544791123529836</stp>
        <tr r="M77" s="2"/>
      </tp>
      <tp t="s">
        <v>#N/A N/A</v>
        <stp/>
        <stp>BDH|18007885861942478173</stp>
        <tr r="L41" s="2"/>
      </tp>
      <tp t="s">
        <v>#N/A N/A</v>
        <stp/>
        <stp>BDH|16553736943954750481</stp>
        <tr r="AC71" s="2"/>
      </tp>
      <tp t="s">
        <v>#N/A N/A</v>
        <stp/>
        <stp>BDH|12991938101739228737</stp>
        <tr r="P21" s="2"/>
      </tp>
      <tp t="s">
        <v>#N/A N/A</v>
        <stp/>
        <stp>BDH|11970900880791523461</stp>
        <tr r="L19" s="2"/>
      </tp>
      <tp t="s">
        <v>#N/A N/A</v>
        <stp/>
        <stp>BDH|10473179055730850149</stp>
        <tr r="L26" s="2"/>
      </tp>
      <tp t="s">
        <v>#N/A N/A</v>
        <stp/>
        <stp>BDH|18087419331389893351</stp>
        <tr r="W89" s="2"/>
      </tp>
      <tp t="s">
        <v>#N/A N/A</v>
        <stp/>
        <stp>BDH|15627252907921928307</stp>
        <tr r="E32" s="2"/>
      </tp>
      <tp t="s">
        <v>#N/A N/A</v>
        <stp/>
        <stp>BDH|16037301662406932065</stp>
        <tr r="V30" s="2"/>
      </tp>
      <tp t="s">
        <v>#N/A N/A</v>
        <stp/>
        <stp>BDH|11481910188632508742</stp>
        <tr r="S25" s="2"/>
      </tp>
      <tp t="s">
        <v>#N/A N/A</v>
        <stp/>
        <stp>BDH|13564228904581743588</stp>
        <tr r="Y33" s="2"/>
      </tp>
      <tp t="s">
        <v>#N/A N/A</v>
        <stp/>
        <stp>BDH|12897918707528761657</stp>
        <tr r="AE16" s="2"/>
      </tp>
      <tp t="s">
        <v>#N/A N/A</v>
        <stp/>
        <stp>BDH|17622093550726594155</stp>
        <tr r="K30" s="2"/>
      </tp>
      <tp t="s">
        <v>#N/A N/A</v>
        <stp/>
        <stp>BDH|12715843129635333868</stp>
        <tr r="N78" s="2"/>
      </tp>
      <tp t="s">
        <v>#N/A N/A</v>
        <stp/>
        <stp>BDH|10399490680909683035</stp>
        <tr r="Y66" s="2"/>
      </tp>
      <tp t="s">
        <v>#N/A N/A</v>
        <stp/>
        <stp>BDH|17879384178795749306</stp>
        <tr r="P51" s="2"/>
      </tp>
      <tp t="s">
        <v>#N/A N/A</v>
        <stp/>
        <stp>BDH|10762632744030981771</stp>
        <tr r="X44" s="2"/>
      </tp>
      <tp t="s">
        <v>#N/A N/A</v>
        <stp/>
        <stp>BDH|17975015823678084850</stp>
        <tr r="AB47" s="2"/>
      </tp>
      <tp t="s">
        <v>#N/A N/A</v>
        <stp/>
        <stp>BDH|15144679758917314436</stp>
        <tr r="P26" s="2"/>
      </tp>
      <tp t="s">
        <v>#N/A N/A</v>
        <stp/>
        <stp>BDH|14052921675147840812</stp>
        <tr r="Q18" s="2"/>
      </tp>
      <tp t="s">
        <v>#N/A N/A</v>
        <stp/>
        <stp>BDH|10675156359395706434</stp>
        <tr r="S94" s="2"/>
      </tp>
    </main>
    <main first="bofaddin.rtdserver">
      <tp t="s">
        <v>#N/A N/A</v>
        <stp/>
        <stp>BDH|8706842453759262082</stp>
        <tr r="T25" s="2"/>
      </tp>
      <tp t="s">
        <v>#N/A N/A</v>
        <stp/>
        <stp>BDH|9589198957211827094</stp>
        <tr r="AD60" s="2"/>
      </tp>
      <tp t="s">
        <v>#N/A N/A</v>
        <stp/>
        <stp>BDH|8303525018667342703</stp>
        <tr r="N89" s="2"/>
      </tp>
      <tp t="s">
        <v>#N/A N/A</v>
        <stp/>
        <stp>BDH|3317112878929316030</stp>
        <tr r="G93" s="2"/>
      </tp>
      <tp t="s">
        <v>#N/A N/A</v>
        <stp/>
        <stp>BDH|6730878979176158322</stp>
        <tr r="AC42" s="2"/>
      </tp>
      <tp t="s">
        <v>#N/A N/A</v>
        <stp/>
        <stp>BDH|9416693877092378638</stp>
        <tr r="AD15" s="2"/>
      </tp>
      <tp t="s">
        <v>#N/A N/A</v>
        <stp/>
        <stp>BDH|9416895497112401652</stp>
        <tr r="C75" s="2"/>
      </tp>
      <tp t="s">
        <v>#N/A N/A</v>
        <stp/>
        <stp>BDH|5809997904882723291</stp>
        <tr r="F75" s="2"/>
      </tp>
      <tp t="s">
        <v>#N/A N/A</v>
        <stp/>
        <stp>BDH|9961021083169426442</stp>
        <tr r="X78" s="2"/>
      </tp>
      <tp t="s">
        <v>#N/A N/A</v>
        <stp/>
        <stp>BDH|2450786814500531853</stp>
        <tr r="AF63" s="2"/>
      </tp>
      <tp t="s">
        <v>#N/A N/A</v>
        <stp/>
        <stp>BDH|7867014886956380548</stp>
        <tr r="P75" s="2"/>
      </tp>
      <tp t="s">
        <v>#N/A N/A</v>
        <stp/>
        <stp>BDH|9027687486483751805</stp>
        <tr r="AC28" s="2"/>
      </tp>
      <tp t="s">
        <v>#N/A N/A</v>
        <stp/>
        <stp>BDH|3518585897724015732</stp>
        <tr r="V52" s="2"/>
      </tp>
      <tp t="s">
        <v>#N/A N/A</v>
        <stp/>
        <stp>BDH|2561982572002658202</stp>
        <tr r="M89" s="2"/>
      </tp>
      <tp t="s">
        <v>#N/A N/A</v>
        <stp/>
        <stp>BDH|4797866401052823216</stp>
        <tr r="K43" s="2"/>
      </tp>
      <tp t="s">
        <v>#N/A N/A</v>
        <stp/>
        <stp>BDH|8198660348600727610</stp>
        <tr r="Z46" s="2"/>
      </tp>
      <tp t="s">
        <v>#N/A N/A</v>
        <stp/>
        <stp>BDH|7425852364586989351</stp>
        <tr r="O41" s="2"/>
      </tp>
      <tp t="s">
        <v>#N/A N/A</v>
        <stp/>
        <stp>BDH|3020136319156178953</stp>
        <tr r="I42" s="2"/>
      </tp>
      <tp t="s">
        <v>#N/A N/A</v>
        <stp/>
        <stp>BDH|7761960885768876224</stp>
        <tr r="P50" s="2"/>
      </tp>
      <tp t="s">
        <v>#N/A N/A</v>
        <stp/>
        <stp>BDH|4778589897046606207</stp>
        <tr r="F21" s="2"/>
      </tp>
      <tp t="s">
        <v>#N/A N/A</v>
        <stp/>
        <stp>BDH|2287233669609167374</stp>
        <tr r="T70" s="2"/>
      </tp>
      <tp t="s">
        <v>#N/A N/A</v>
        <stp/>
        <stp>BDH|4850415224147514975</stp>
        <tr r="AB78" s="2"/>
      </tp>
      <tp t="s">
        <v>#N/A N/A</v>
        <stp/>
        <stp>BDH|2090916948512052168</stp>
        <tr r="H32" s="2"/>
      </tp>
      <tp t="s">
        <v>#N/A N/A</v>
        <stp/>
        <stp>BDH|4597698453268703375</stp>
        <tr r="M19" s="2"/>
      </tp>
      <tp t="s">
        <v>#N/A N/A</v>
        <stp/>
        <stp>BDH|4952200967544340828</stp>
        <tr r="N46" s="2"/>
      </tp>
      <tp t="s">
        <v>#N/A N/A</v>
        <stp/>
        <stp>BDH|7148789455588472171</stp>
        <tr r="C54" s="2"/>
      </tp>
      <tp t="s">
        <v>#N/A N/A</v>
        <stp/>
        <stp>BDH|1355842359386783662</stp>
        <tr r="M16" s="2"/>
      </tp>
      <tp t="s">
        <v>#N/A N/A</v>
        <stp/>
        <stp>BDH|9891082620927522091</stp>
        <tr r="N39" s="2"/>
      </tp>
      <tp t="s">
        <v>#N/A N/A</v>
        <stp/>
        <stp>BDH|7402782573613525866</stp>
        <tr r="X16" s="2"/>
      </tp>
      <tp t="s">
        <v>#N/A N/A</v>
        <stp/>
        <stp>BDH|7668596376761220877</stp>
        <tr r="Z28" s="2"/>
      </tp>
      <tp t="s">
        <v>#N/A N/A</v>
        <stp/>
        <stp>BDH|7668689603544675978</stp>
        <tr r="AD9" s="2"/>
      </tp>
      <tp t="s">
        <v>#N/A N/A</v>
        <stp/>
        <stp>BDH|9628957654008874137</stp>
        <tr r="U94" s="2"/>
      </tp>
      <tp t="s">
        <v>#N/A N/A</v>
        <stp/>
        <stp>BDH|2919362244768114162</stp>
        <tr r="C76" s="2"/>
      </tp>
      <tp t="s">
        <v>#N/A N/A</v>
        <stp/>
        <stp>BDH|4404952541060525598</stp>
        <tr r="U59" s="2"/>
      </tp>
      <tp t="s">
        <v>#N/A N/A</v>
        <stp/>
        <stp>BDH|7712311191843270290</stp>
        <tr r="C11" s="2"/>
      </tp>
      <tp t="s">
        <v>#N/A N/A</v>
        <stp/>
        <stp>BDH|1390826827843320486</stp>
        <tr r="X21" s="2"/>
      </tp>
      <tp t="s">
        <v>#N/A N/A</v>
        <stp/>
        <stp>BDH|2615491378229801425</stp>
        <tr r="AB89" s="2"/>
      </tp>
      <tp t="s">
        <v>#N/A N/A</v>
        <stp/>
        <stp>BDH|3232067391962782404</stp>
        <tr r="AB18" s="2"/>
      </tp>
      <tp t="s">
        <v>#N/A N/A</v>
        <stp/>
        <stp>BDH|2239522992997291521</stp>
        <tr r="S21" s="2"/>
      </tp>
      <tp t="s">
        <v>#N/A N/A</v>
        <stp/>
        <stp>BDH|3336731374846509939</stp>
        <tr r="C56" s="2"/>
      </tp>
      <tp t="s">
        <v>#N/A N/A</v>
        <stp/>
        <stp>BDH|6269928307417561409</stp>
        <tr r="E66" s="2"/>
      </tp>
      <tp t="s">
        <v>#N/A N/A</v>
        <stp/>
        <stp>BDH|1948080418799859532</stp>
        <tr r="T36" s="2"/>
      </tp>
      <tp t="s">
        <v>#N/A N/A</v>
        <stp/>
        <stp>BDH|9076056828702670599</stp>
        <tr r="W90" s="2"/>
      </tp>
      <tp t="s">
        <v>#N/A N/A</v>
        <stp/>
        <stp>BDH|6554447647222138859</stp>
        <tr r="J63" s="2"/>
      </tp>
      <tp t="s">
        <v>#N/A N/A</v>
        <stp/>
        <stp>BDH|8590825685931968586</stp>
        <tr r="L35" s="2"/>
      </tp>
      <tp t="s">
        <v>#N/A N/A</v>
        <stp/>
        <stp>BDH|8707805165858251230</stp>
        <tr r="N34" s="2"/>
      </tp>
      <tp t="s">
        <v>#N/A N/A</v>
        <stp/>
        <stp>BDH|1460416407299985080</stp>
        <tr r="N17" s="2"/>
      </tp>
      <tp t="s">
        <v>#N/A N/A</v>
        <stp/>
        <stp>BDH|2906747339673075946</stp>
        <tr r="AF68" s="2"/>
      </tp>
      <tp t="s">
        <v>#N/A N/A</v>
        <stp/>
        <stp>BDH|7762939105140984284</stp>
        <tr r="AE83" s="2"/>
      </tp>
      <tp t="s">
        <v>#N/A N/A</v>
        <stp/>
        <stp>BDH|7660001416688026201</stp>
        <tr r="H84" s="2"/>
      </tp>
      <tp t="s">
        <v>#N/A N/A</v>
        <stp/>
        <stp>BDH|7387966045992795475</stp>
        <tr r="V21" s="2"/>
      </tp>
      <tp t="s">
        <v>#N/A N/A</v>
        <stp/>
        <stp>BDH|8626742449265985239</stp>
        <tr r="N40" s="2"/>
      </tp>
      <tp t="s">
        <v>#N/A N/A</v>
        <stp/>
        <stp>BDH|9856370034033856623</stp>
        <tr r="I60" s="2"/>
      </tp>
      <tp t="s">
        <v>#N/A N/A</v>
        <stp/>
        <stp>BDH|8764463333924616757</stp>
        <tr r="Q72" s="2"/>
      </tp>
      <tp t="s">
        <v>#N/A N/A</v>
        <stp/>
        <stp>BDH|8385735043787731056</stp>
        <tr r="X19" s="2"/>
      </tp>
      <tp t="s">
        <v>#N/A N/A</v>
        <stp/>
        <stp>BDH|8060725411403197130</stp>
        <tr r="S7" s="2"/>
      </tp>
      <tp t="s">
        <v>#N/A N/A</v>
        <stp/>
        <stp>BDH|3547869217715575378</stp>
        <tr r="M75" s="2"/>
      </tp>
      <tp t="s">
        <v>#N/A N/A</v>
        <stp/>
        <stp>BDH|3393522948889921765</stp>
        <tr r="V94" s="2"/>
      </tp>
      <tp t="s">
        <v>#N/A N/A</v>
        <stp/>
        <stp>BDH|2954620093674811564</stp>
        <tr r="AD91" s="2"/>
      </tp>
      <tp t="s">
        <v>#N/A N/A</v>
        <stp/>
        <stp>BDH|9402138444132173244</stp>
        <tr r="Q70" s="2"/>
      </tp>
      <tp t="s">
        <v>#N/A N/A</v>
        <stp/>
        <stp>BDH|8730462215031646049</stp>
        <tr r="S70" s="2"/>
      </tp>
      <tp t="s">
        <v>#N/A N/A</v>
        <stp/>
        <stp>BDH|8420867243629681102</stp>
        <tr r="I76" s="2"/>
      </tp>
      <tp t="s">
        <v>#N/A N/A</v>
        <stp/>
        <stp>BDH|8756081429733920588</stp>
        <tr r="AC78" s="2"/>
      </tp>
      <tp t="s">
        <v>#N/A N/A</v>
        <stp/>
        <stp>BDH|1625479062808286762</stp>
        <tr r="H54" s="2"/>
      </tp>
      <tp t="s">
        <v>#N/A N/A</v>
        <stp/>
        <stp>BDH|5440878078195832347</stp>
        <tr r="AA88" s="2"/>
      </tp>
      <tp t="s">
        <v>#N/A N/A</v>
        <stp/>
        <stp>BDH|8389634962712403611</stp>
        <tr r="C13" s="2"/>
      </tp>
      <tp t="s">
        <v>#N/A N/A</v>
        <stp/>
        <stp>BDH|1194537795177875684</stp>
        <tr r="X49" s="2"/>
      </tp>
      <tp t="s">
        <v>#N/A N/A</v>
        <stp/>
        <stp>BDH|7542925140534482243</stp>
        <tr r="AC30" s="2"/>
      </tp>
      <tp t="s">
        <v>#N/A N/A</v>
        <stp/>
        <stp>BDH|5241470270432217833</stp>
        <tr r="J21" s="2"/>
      </tp>
      <tp t="s">
        <v>#N/A N/A</v>
        <stp/>
        <stp>BDH|8067924447330609974</stp>
        <tr r="P59" s="2"/>
      </tp>
      <tp t="s">
        <v>#N/A N/A</v>
        <stp/>
        <stp>BDH|7096430359493685982</stp>
        <tr r="N23" s="2"/>
      </tp>
      <tp t="s">
        <v>#N/A N/A</v>
        <stp/>
        <stp>BDH|3647648797877558747</stp>
        <tr r="AE72" s="2"/>
      </tp>
      <tp t="s">
        <v>#N/A N/A</v>
        <stp/>
        <stp>BDH|2082896933042934774</stp>
        <tr r="N94" s="2"/>
      </tp>
      <tp t="s">
        <v>#N/A N/A</v>
        <stp/>
        <stp>BDH|9136008914387008314</stp>
        <tr r="J64" s="2"/>
      </tp>
      <tp t="s">
        <v>#N/A N/A</v>
        <stp/>
        <stp>BDH|8950598335916269427</stp>
        <tr r="T78" s="2"/>
      </tp>
      <tp t="s">
        <v>#N/A N/A</v>
        <stp/>
        <stp>BDH|4819122681832769399</stp>
        <tr r="W24" s="2"/>
      </tp>
      <tp t="s">
        <v>#N/A N/A</v>
        <stp/>
        <stp>BDH|8435221235447500231</stp>
        <tr r="H13" s="2"/>
      </tp>
      <tp t="s">
        <v>#N/A N/A</v>
        <stp/>
        <stp>BDH|2964928917781009792</stp>
        <tr r="H21" s="2"/>
      </tp>
      <tp t="s">
        <v>#N/A N/A</v>
        <stp/>
        <stp>BDH|1687154697044851195</stp>
        <tr r="L43" s="2"/>
      </tp>
      <tp t="s">
        <v>#N/A N/A</v>
        <stp/>
        <stp>BDH|98685364176222779</stp>
        <tr r="AC68" s="2"/>
      </tp>
      <tp t="s">
        <v>#N/A N/A</v>
        <stp/>
        <stp>BDH|28920040645951927</stp>
        <tr r="I23" s="2"/>
      </tp>
      <tp t="s">
        <v>#N/A N/A</v>
        <stp/>
        <stp>BDH|2516993048294730694</stp>
        <tr r="S63" s="2"/>
      </tp>
      <tp t="s">
        <v>#N/A N/A</v>
        <stp/>
        <stp>BDH|4661573194062919763</stp>
        <tr r="J42" s="2"/>
      </tp>
      <tp t="s">
        <v>#N/A N/A</v>
        <stp/>
        <stp>BDH|8542499100958773919</stp>
        <tr r="U77" s="2"/>
      </tp>
      <tp t="s">
        <v>#N/A N/A</v>
        <stp/>
        <stp>BDH|6828661032969328742</stp>
        <tr r="X89" s="2"/>
      </tp>
      <tp t="s">
        <v>#N/A N/A</v>
        <stp/>
        <stp>BDH|4595026685433061292</stp>
        <tr r="T67" s="2"/>
      </tp>
      <tp t="s">
        <v>#N/A N/A</v>
        <stp/>
        <stp>BDH|4361358064309851529</stp>
        <tr r="AB39" s="2"/>
      </tp>
      <tp t="s">
        <v>#N/A N/A</v>
        <stp/>
        <stp>BDH|4561968668245395300</stp>
        <tr r="X46" s="2"/>
      </tp>
      <tp t="s">
        <v>#N/A N/A</v>
        <stp/>
        <stp>BDH|3722846845597737594</stp>
        <tr r="L85" s="2"/>
      </tp>
      <tp t="s">
        <v>#N/A N/A</v>
        <stp/>
        <stp>BDH|6739935412073801076</stp>
        <tr r="K8" s="2"/>
      </tp>
      <tp t="s">
        <v>#N/A N/A</v>
        <stp/>
        <stp>BDH|1839922916491573508</stp>
        <tr r="AE45" s="2"/>
      </tp>
      <tp t="s">
        <v>#N/A N/A</v>
        <stp/>
        <stp>BDH|4257386751758330766</stp>
        <tr r="D35" s="2"/>
      </tp>
      <tp t="s">
        <v>#N/A N/A</v>
        <stp/>
        <stp>BDH|4274993693848356158</stp>
        <tr r="AF94" s="2"/>
      </tp>
      <tp t="s">
        <v>#N/A N/A</v>
        <stp/>
        <stp>BDH|7983336364817945896</stp>
        <tr r="E58" s="2"/>
      </tp>
      <tp t="s">
        <v>#N/A N/A</v>
        <stp/>
        <stp>BDH|3362148084971980644</stp>
        <tr r="S91" s="2"/>
      </tp>
      <tp t="s">
        <v>#N/A N/A</v>
        <stp/>
        <stp>BDH|1941937512704591033</stp>
        <tr r="AF19" s="2"/>
      </tp>
      <tp t="s">
        <v>#N/A N/A</v>
        <stp/>
        <stp>BDH|1436874649760402019</stp>
        <tr r="P41" s="2"/>
      </tp>
      <tp t="s">
        <v>#N/A N/A</v>
        <stp/>
        <stp>BDH|7452953479291798501</stp>
        <tr r="G71" s="2"/>
      </tp>
      <tp t="s">
        <v>#N/A N/A</v>
        <stp/>
        <stp>BDH|4878396510633891860</stp>
        <tr r="N36" s="2"/>
      </tp>
      <tp t="s">
        <v>#N/A N/A</v>
        <stp/>
        <stp>BDH|6241788425247449978</stp>
        <tr r="W69" s="2"/>
      </tp>
      <tp t="s">
        <v>#N/A N/A</v>
        <stp/>
        <stp>BDH|7890029491546593528</stp>
        <tr r="AC93" s="2"/>
      </tp>
      <tp t="s">
        <v>#N/A N/A</v>
        <stp/>
        <stp>BDH|5951559471549403350</stp>
        <tr r="O43" s="2"/>
      </tp>
      <tp t="s">
        <v>#N/A N/A</v>
        <stp/>
        <stp>BDH|6551861526714146595</stp>
        <tr r="F13" s="2"/>
      </tp>
      <tp t="s">
        <v>#N/A N/A</v>
        <stp/>
        <stp>BDH|7391860574323999657</stp>
        <tr r="L75" s="2"/>
      </tp>
      <tp t="s">
        <v>#N/A N/A</v>
        <stp/>
        <stp>BDH|6180776730028807739</stp>
        <tr r="Z88" s="2"/>
      </tp>
      <tp t="s">
        <v>#N/A N/A</v>
        <stp/>
        <stp>BDH|1934845775610210379</stp>
        <tr r="AC72" s="2"/>
      </tp>
      <tp t="s">
        <v>#N/A N/A</v>
        <stp/>
        <stp>BDH|5937989514236969614</stp>
        <tr r="AE76" s="2"/>
      </tp>
      <tp t="s">
        <v>#N/A N/A</v>
        <stp/>
        <stp>BDH|1068394971958352061</stp>
        <tr r="Z39" s="2"/>
      </tp>
      <tp t="s">
        <v>#N/A N/A</v>
        <stp/>
        <stp>BDH|7233033332408616173</stp>
        <tr r="I17" s="2"/>
      </tp>
      <tp t="s">
        <v>#N/A N/A</v>
        <stp/>
        <stp>BDH|5403406514565422869</stp>
        <tr r="P85" s="2"/>
      </tp>
      <tp t="s">
        <v>#N/A N/A</v>
        <stp/>
        <stp>BDH|7580944336700038050</stp>
        <tr r="X66" s="2"/>
      </tp>
      <tp t="s">
        <v>#N/A N/A</v>
        <stp/>
        <stp>BDH|5301824614643294249</stp>
        <tr r="Q23" s="2"/>
      </tp>
      <tp t="s">
        <v>#N/A N/A</v>
        <stp/>
        <stp>BDH|5124399199782080021</stp>
        <tr r="S87" s="2"/>
      </tp>
      <tp t="s">
        <v>#N/A N/A</v>
        <stp/>
        <stp>BDH|9093818282975520153</stp>
        <tr r="M61" s="2"/>
      </tp>
      <tp t="s">
        <v>#N/A N/A</v>
        <stp/>
        <stp>BDH|9524602606234619659</stp>
        <tr r="J26" s="2"/>
      </tp>
      <tp t="s">
        <v>#N/A N/A</v>
        <stp/>
        <stp>BDH|9065369410607796106</stp>
        <tr r="R23" s="2"/>
      </tp>
      <tp t="s">
        <v>#N/A N/A</v>
        <stp/>
        <stp>BDH|6274107793744736772</stp>
        <tr r="H17" s="2"/>
      </tp>
      <tp t="s">
        <v>#N/A N/A</v>
        <stp/>
        <stp>BDH|4118912023407357563</stp>
        <tr r="Z83" s="2"/>
      </tp>
      <tp t="s">
        <v>#N/A N/A</v>
        <stp/>
        <stp>BDH|9486877038877593889</stp>
        <tr r="AC13" s="2"/>
      </tp>
      <tp t="s">
        <v>#N/A N/A</v>
        <stp/>
        <stp>BDH|2211142867739358147</stp>
        <tr r="T47" s="2"/>
      </tp>
      <tp t="s">
        <v>#N/A N/A</v>
        <stp/>
        <stp>BDH|8072519543862558607</stp>
        <tr r="Z67" s="2"/>
      </tp>
      <tp t="s">
        <v>#N/A N/A</v>
        <stp/>
        <stp>BDH|6044094238880078866</stp>
        <tr r="AE22" s="2"/>
      </tp>
      <tp t="s">
        <v>#N/A N/A</v>
        <stp/>
        <stp>BDH|2512969311553012456</stp>
        <tr r="N20" s="2"/>
      </tp>
      <tp t="s">
        <v>#N/A N/A</v>
        <stp/>
        <stp>BDH|8641545576482814583</stp>
        <tr r="AC62" s="2"/>
      </tp>
      <tp t="s">
        <v>#N/A N/A</v>
        <stp/>
        <stp>BDH|8611065014514115018</stp>
        <tr r="E18" s="2"/>
      </tp>
      <tp t="s">
        <v>#N/A N/A</v>
        <stp/>
        <stp>BDH|6454668641930230943</stp>
        <tr r="Z76" s="2"/>
      </tp>
      <tp t="s">
        <v>#N/A N/A</v>
        <stp/>
        <stp>BDH|9268331008167539093</stp>
        <tr r="X94" s="2"/>
      </tp>
      <tp t="s">
        <v>#N/A N/A</v>
        <stp/>
        <stp>BDH|4385657452242770862</stp>
        <tr r="AD43" s="2"/>
      </tp>
      <tp t="s">
        <v>#N/A N/A</v>
        <stp/>
        <stp>BDH|3986857952641930221</stp>
        <tr r="R51" s="2"/>
      </tp>
      <tp t="s">
        <v>#N/A N/A</v>
        <stp/>
        <stp>BDH|2910751443809373593</stp>
        <tr r="Z74" s="2"/>
      </tp>
      <tp t="s">
        <v>#N/A N/A</v>
        <stp/>
        <stp>BDH|3677734051608095412</stp>
        <tr r="H47" s="2"/>
      </tp>
      <tp t="s">
        <v>#N/A N/A</v>
        <stp/>
        <stp>BDH|15334419604689688</stp>
        <tr r="T24" s="2"/>
      </tp>
      <tp t="s">
        <v>#N/A N/A</v>
        <stp/>
        <stp>BDH|4928995773691102584</stp>
        <tr r="R46" s="2"/>
      </tp>
      <tp t="s">
        <v>#N/A N/A</v>
        <stp/>
        <stp>BDH|1696371373098150399</stp>
        <tr r="Q35" s="2"/>
      </tp>
      <tp t="s">
        <v>#N/A N/A</v>
        <stp/>
        <stp>BDH|3611292292784382240</stp>
        <tr r="Z69" s="2"/>
      </tp>
      <tp t="s">
        <v>#N/A N/A</v>
        <stp/>
        <stp>BDH|8971772741086577311</stp>
        <tr r="AB27" s="2"/>
      </tp>
      <tp t="s">
        <v>#N/A N/A</v>
        <stp/>
        <stp>BDH|2411783731898684004</stp>
        <tr r="AE11" s="2"/>
      </tp>
      <tp t="s">
        <v>#N/A N/A</v>
        <stp/>
        <stp>BDH|2178899553290907197</stp>
        <tr r="P63" s="2"/>
      </tp>
      <tp t="s">
        <v>#N/A N/A</v>
        <stp/>
        <stp>BDH|7306381494207345478</stp>
        <tr r="O84" s="2"/>
      </tp>
      <tp t="s">
        <v>#N/A N/A</v>
        <stp/>
        <stp>BDH|9027503744565822378</stp>
        <tr r="N24" s="2"/>
      </tp>
      <tp t="s">
        <v>#N/A N/A</v>
        <stp/>
        <stp>BDH|1280769989445525539</stp>
        <tr r="N50" s="2"/>
      </tp>
      <tp t="s">
        <v>#N/A N/A</v>
        <stp/>
        <stp>BDH|4532897049277936140</stp>
        <tr r="Y40" s="2"/>
      </tp>
      <tp t="s">
        <v>#N/A N/A</v>
        <stp/>
        <stp>BDH|3866103755251718823</stp>
        <tr r="AB53" s="2"/>
      </tp>
      <tp t="s">
        <v>#N/A N/A</v>
        <stp/>
        <stp>BDH|9074391824521457711</stp>
        <tr r="R69" s="2"/>
      </tp>
      <tp t="s">
        <v>#N/A N/A</v>
        <stp/>
        <stp>BDH|7982317777214629916</stp>
        <tr r="K58" s="2"/>
      </tp>
      <tp t="s">
        <v>#N/A N/A</v>
        <stp/>
        <stp>BDH|9458694981310454914</stp>
        <tr r="Y93" s="2"/>
      </tp>
      <tp t="s">
        <v>#N/A N/A</v>
        <stp/>
        <stp>BDH|2300250369778540031</stp>
        <tr r="C20" s="2"/>
      </tp>
      <tp t="s">
        <v>#N/A N/A</v>
        <stp/>
        <stp>BDH|3914384119086058915</stp>
        <tr r="G92" s="2"/>
      </tp>
      <tp t="s">
        <v>#N/A N/A</v>
        <stp/>
        <stp>BDH|9101945770788423186</stp>
        <tr r="C33" s="2"/>
      </tp>
      <tp t="s">
        <v>#N/A N/A</v>
        <stp/>
        <stp>BDH|2637635785921053393</stp>
        <tr r="F69" s="2"/>
      </tp>
      <tp t="s">
        <v>#N/A N/A</v>
        <stp/>
        <stp>BDH|8147997185137638028</stp>
        <tr r="M78" s="2"/>
      </tp>
      <tp t="s">
        <v>#N/A N/A</v>
        <stp/>
        <stp>BDH|4304732999034765078</stp>
        <tr r="AB20" s="2"/>
      </tp>
      <tp t="s">
        <v>#N/A N/A</v>
        <stp/>
        <stp>BDH|9803751735043497057</stp>
        <tr r="R82" s="2"/>
      </tp>
      <tp t="s">
        <v>#N/A N/A</v>
        <stp/>
        <stp>BDH|1111557400902985837</stp>
        <tr r="U20" s="2"/>
      </tp>
      <tp t="s">
        <v>#N/A N/A</v>
        <stp/>
        <stp>BDH|8588680475383031460</stp>
        <tr r="Z50" s="2"/>
      </tp>
      <tp t="s">
        <v>#N/A N/A</v>
        <stp/>
        <stp>BDH|2807785252648882641</stp>
        <tr r="O45" s="2"/>
      </tp>
      <tp t="s">
        <v>#N/A N/A</v>
        <stp/>
        <stp>BDH|3884841143694533541</stp>
        <tr r="D91" s="2"/>
      </tp>
      <tp t="s">
        <v>#N/A N/A</v>
        <stp/>
        <stp>BDH|8908371175904216675</stp>
        <tr r="G57" s="2"/>
      </tp>
      <tp t="s">
        <v>#N/A N/A</v>
        <stp/>
        <stp>BDH|8424661064060830610</stp>
        <tr r="AE43" s="2"/>
      </tp>
      <tp t="s">
        <v>#N/A N/A</v>
        <stp/>
        <stp>BDH|8956111781207712817</stp>
        <tr r="D16" s="2"/>
      </tp>
      <tp t="s">
        <v>#N/A N/A</v>
        <stp/>
        <stp>BDH|3323261965631868877</stp>
        <tr r="K18" s="2"/>
      </tp>
      <tp t="s">
        <v>#N/A N/A</v>
        <stp/>
        <stp>BDH|1862543135118379162</stp>
        <tr r="Y43" s="2"/>
      </tp>
      <tp t="s">
        <v>#N/A N/A</v>
        <stp/>
        <stp>BDH|7942912124217626566</stp>
        <tr r="H77" s="2"/>
      </tp>
      <tp t="s">
        <v>#N/A N/A</v>
        <stp/>
        <stp>BDH|4115986864735064016</stp>
        <tr r="AF75" s="2"/>
      </tp>
      <tp t="s">
        <v>#N/A N/A</v>
        <stp/>
        <stp>BDH|7973814315551975183</stp>
        <tr r="I24" s="2"/>
      </tp>
      <tp t="s">
        <v>#N/A N/A</v>
        <stp/>
        <stp>BDH|4932705502718115565</stp>
        <tr r="D72" s="2"/>
      </tp>
      <tp t="s">
        <v>#N/A N/A</v>
        <stp/>
        <stp>BDH|8335389882784642937</stp>
        <tr r="O94" s="2"/>
      </tp>
      <tp t="s">
        <v>#N/A N/A</v>
        <stp/>
        <stp>BDH|7325147797061966043</stp>
        <tr r="D53" s="2"/>
      </tp>
      <tp t="s">
        <v>#N/A N/A</v>
        <stp/>
        <stp>BDH|7324880331406247450</stp>
        <tr r="H64" s="2"/>
      </tp>
      <tp t="s">
        <v>#N/A N/A</v>
        <stp/>
        <stp>BDH|5800609864009429252</stp>
        <tr r="AD55" s="2"/>
      </tp>
      <tp t="s">
        <v>#N/A N/A</v>
        <stp/>
        <stp>BDH|7819304076155720849</stp>
        <tr r="I8" s="2"/>
      </tp>
      <tp t="s">
        <v>#N/A N/A</v>
        <stp/>
        <stp>BDH|7674719380091327793</stp>
        <tr r="G7" s="2"/>
      </tp>
      <tp t="s">
        <v>#N/A N/A</v>
        <stp/>
        <stp>BDH|5760867371460544471</stp>
        <tr r="AD18" s="2"/>
      </tp>
      <tp t="s">
        <v>#N/A N/A</v>
        <stp/>
        <stp>BDH|4682691312909983468</stp>
        <tr r="W94" s="2"/>
      </tp>
      <tp t="s">
        <v>#N/A N/A</v>
        <stp/>
        <stp>BDH|7514962701251776174</stp>
        <tr r="L24" s="2"/>
      </tp>
      <tp t="s">
        <v>#N/A N/A</v>
        <stp/>
        <stp>BDH|1084233101369361439</stp>
        <tr r="E59" s="2"/>
      </tp>
      <tp t="s">
        <v>#N/A N/A</v>
        <stp/>
        <stp>BDH|6185534144059616026</stp>
        <tr r="Z47" s="2"/>
      </tp>
      <tp t="s">
        <v>#N/A N/A</v>
        <stp/>
        <stp>BDH|4287482034859595494</stp>
        <tr r="J7" s="2"/>
      </tp>
      <tp t="s">
        <v>#N/A N/A</v>
        <stp/>
        <stp>BDH|5692734479622757991</stp>
        <tr r="R75" s="2"/>
      </tp>
      <tp t="s">
        <v>#N/A N/A</v>
        <stp/>
        <stp>BDH|8743172067476431700</stp>
        <tr r="J28" s="2"/>
      </tp>
      <tp t="s">
        <v>#N/A N/A</v>
        <stp/>
        <stp>BDH|3940428980702904318</stp>
        <tr r="AB66" s="2"/>
      </tp>
      <tp t="s">
        <v>#N/A N/A</v>
        <stp/>
        <stp>BDH|8856651849497199362</stp>
        <tr r="S34" s="2"/>
      </tp>
      <tp t="s">
        <v>#N/A N/A</v>
        <stp/>
        <stp>BDH|4365929279676917218</stp>
        <tr r="T21" s="2"/>
      </tp>
      <tp t="s">
        <v>#N/A N/A</v>
        <stp/>
        <stp>BDH|4501232941315233950</stp>
        <tr r="X48" s="2"/>
      </tp>
      <tp t="s">
        <v>#N/A N/A</v>
        <stp/>
        <stp>BDH|3144677384640513370</stp>
        <tr r="M44" s="2"/>
      </tp>
      <tp t="s">
        <v>#N/A N/A</v>
        <stp/>
        <stp>BDH|5165666406529004412</stp>
        <tr r="S50" s="2"/>
      </tp>
      <tp t="s">
        <v>#N/A N/A</v>
        <stp/>
        <stp>BDH|3961143201984834849</stp>
        <tr r="AC36" s="2"/>
      </tp>
      <tp t="s">
        <v>#N/A N/A</v>
        <stp/>
        <stp>BDH|4465618213239560437</stp>
        <tr r="AB60" s="2"/>
      </tp>
      <tp t="s">
        <v>#N/A N/A</v>
        <stp/>
        <stp>BDH|8583777741235655049</stp>
        <tr r="AD21" s="2"/>
      </tp>
      <tp t="s">
        <v>#N/A N/A</v>
        <stp/>
        <stp>BDH|4128338287772341378</stp>
        <tr r="Z68" s="2"/>
      </tp>
      <tp t="s">
        <v>#N/A N/A</v>
        <stp/>
        <stp>BDH|4709847376817684226</stp>
        <tr r="C67" s="2"/>
      </tp>
      <tp t="s">
        <v>#N/A N/A</v>
        <stp/>
        <stp>BDH|2622184880133844670</stp>
        <tr r="S40" s="2"/>
      </tp>
      <tp t="s">
        <v>#N/A N/A</v>
        <stp/>
        <stp>BDH|5168201097436026603</stp>
        <tr r="T52" s="2"/>
      </tp>
      <tp t="s">
        <v>#N/A N/A</v>
        <stp/>
        <stp>BDH|1105031980887680024</stp>
        <tr r="T13" s="2"/>
      </tp>
      <tp t="s">
        <v>#N/A N/A</v>
        <stp/>
        <stp>BDH|1773033134075249944</stp>
        <tr r="M36" s="2"/>
      </tp>
      <tp t="s">
        <v>#N/A N/A</v>
        <stp/>
        <stp>BDH|8747617451757364224</stp>
        <tr r="U16" s="2"/>
      </tp>
      <tp t="s">
        <v>#N/A N/A</v>
        <stp/>
        <stp>BDH|6067961246593320658</stp>
        <tr r="X88" s="2"/>
      </tp>
      <tp t="s">
        <v>#N/A N/A</v>
        <stp/>
        <stp>BDH|7625800404668451910</stp>
        <tr r="V89" s="2"/>
      </tp>
      <tp t="s">
        <v>#N/A N/A</v>
        <stp/>
        <stp>BDH|4104949605886137563</stp>
        <tr r="N21" s="2"/>
      </tp>
      <tp t="s">
        <v>#N/A N/A</v>
        <stp/>
        <stp>BDH|6665755075069818197</stp>
        <tr r="V75" s="2"/>
      </tp>
      <tp t="s">
        <v>#N/A N/A</v>
        <stp/>
        <stp>BDH|5995017189754742719</stp>
        <tr r="D75" s="2"/>
      </tp>
      <tp t="s">
        <v>#N/A N/A</v>
        <stp/>
        <stp>BDH|8779973527738183512</stp>
        <tr r="O25" s="2"/>
      </tp>
      <tp t="s">
        <v>#N/A N/A</v>
        <stp/>
        <stp>BDH|1370940474849634824</stp>
        <tr r="N32" s="2"/>
      </tp>
      <tp t="s">
        <v>#N/A N/A</v>
        <stp/>
        <stp>BDH|7754097386316651799</stp>
        <tr r="W57" s="2"/>
      </tp>
      <tp t="s">
        <v>#N/A N/A</v>
        <stp/>
        <stp>BDH|3878447489118817995</stp>
        <tr r="M82" s="2"/>
      </tp>
      <tp t="s">
        <v>#N/A N/A</v>
        <stp/>
        <stp>BDH|1842690381442779333</stp>
        <tr r="Q41" s="2"/>
      </tp>
      <tp t="s">
        <v>#N/A N/A</v>
        <stp/>
        <stp>BDH|6198802803674402424</stp>
        <tr r="AA74" s="2"/>
      </tp>
      <tp t="s">
        <v>#N/A N/A</v>
        <stp/>
        <stp>BDH|9184942995690767731</stp>
        <tr r="W9" s="2"/>
      </tp>
      <tp t="s">
        <v>#N/A N/A</v>
        <stp/>
        <stp>BDH|8468541805695058618</stp>
        <tr r="AD87" s="2"/>
      </tp>
      <tp t="s">
        <v>#N/A N/A</v>
        <stp/>
        <stp>BDH|8972571128458281905</stp>
        <tr r="Y95" s="2"/>
      </tp>
      <tp t="s">
        <v>#N/A N/A</v>
        <stp/>
        <stp>BDH|1555615063579329613</stp>
        <tr r="AB72" s="2"/>
      </tp>
      <tp t="s">
        <v>#N/A N/A</v>
        <stp/>
        <stp>BDH|7108533542321322964</stp>
        <tr r="X23" s="2"/>
      </tp>
      <tp t="s">
        <v>#N/A N/A</v>
        <stp/>
        <stp>BDH|6588814554303554600</stp>
        <tr r="AC86" s="2"/>
      </tp>
      <tp t="s">
        <v>#N/A N/A</v>
        <stp/>
        <stp>BDH|4199315490713206371</stp>
        <tr r="K24" s="2"/>
      </tp>
      <tp t="s">
        <v>#N/A N/A</v>
        <stp/>
        <stp>BDH|3698265142558641311</stp>
        <tr r="L51" s="2"/>
      </tp>
      <tp t="s">
        <v>#N/A N/A</v>
        <stp/>
        <stp>BDH|9418609847356428327</stp>
        <tr r="Q50" s="2"/>
      </tp>
      <tp t="s">
        <v>#N/A N/A</v>
        <stp/>
        <stp>BDH|2143507423942017889</stp>
        <tr r="M15" s="2"/>
      </tp>
      <tp t="s">
        <v>#N/A N/A</v>
        <stp/>
        <stp>BDH|6636239587804044783</stp>
        <tr r="V56" s="2"/>
      </tp>
      <tp t="s">
        <v>#N/A N/A</v>
        <stp/>
        <stp>BDH|8998954029778783488</stp>
        <tr r="X26" s="2"/>
      </tp>
      <tp t="s">
        <v>#N/A N/A</v>
        <stp/>
        <stp>BDH|3991341564921510875</stp>
        <tr r="K51" s="2"/>
      </tp>
      <tp t="s">
        <v>#N/A N/A</v>
        <stp/>
        <stp>BDH|3485025039308246767</stp>
        <tr r="D83" s="2"/>
      </tp>
      <tp t="s">
        <v>#N/A N/A</v>
        <stp/>
        <stp>BDH|2677126497307250296</stp>
        <tr r="S26" s="2"/>
      </tp>
      <tp t="s">
        <v>#N/A N/A</v>
        <stp/>
        <stp>BDH|5976828230050431179</stp>
        <tr r="R53" s="2"/>
      </tp>
      <tp t="s">
        <v>#N/A N/A</v>
        <stp/>
        <stp>BDH|1783299482786375276</stp>
        <tr r="AF36" s="2"/>
      </tp>
      <tp t="s">
        <v>#N/A N/A</v>
        <stp/>
        <stp>BDH|5183084608053941901</stp>
        <tr r="Y70" s="2"/>
      </tp>
      <tp t="s">
        <v>#N/A N/A</v>
        <stp/>
        <stp>BDH|8020347090558983550</stp>
        <tr r="AD27" s="2"/>
      </tp>
      <tp t="s">
        <v>#N/A N/A</v>
        <stp/>
        <stp>BDH|2696446773829189787</stp>
        <tr r="X67" s="2"/>
      </tp>
      <tp t="s">
        <v>#N/A N/A</v>
        <stp/>
        <stp>BDH|4698380686642053204</stp>
        <tr r="L73" s="2"/>
      </tp>
      <tp t="s">
        <v>#N/A N/A</v>
        <stp/>
        <stp>BDH|8879691501349972801</stp>
        <tr r="P65" s="2"/>
      </tp>
      <tp t="s">
        <v>#N/A N/A</v>
        <stp/>
        <stp>BDH|7365481023926343828</stp>
        <tr r="P46" s="2"/>
      </tp>
      <tp t="s">
        <v>#N/A N/A</v>
        <stp/>
        <stp>BDH|4273184785223134175</stp>
        <tr r="M11" s="2"/>
      </tp>
      <tp t="s">
        <v>#N/A N/A</v>
        <stp/>
        <stp>BDH|6694983761231527737</stp>
        <tr r="J60" s="2"/>
      </tp>
      <tp t="s">
        <v>#N/A N/A</v>
        <stp/>
        <stp>BDH|1891307091831886581</stp>
        <tr r="K25" s="2"/>
      </tp>
      <tp t="s">
        <v>#N/A N/A</v>
        <stp/>
        <stp>BDH|6419785218566488996</stp>
        <tr r="T51" s="2"/>
      </tp>
      <tp t="s">
        <v>#N/A N/A</v>
        <stp/>
        <stp>BDH|3625813942247846736</stp>
        <tr r="T48" s="2"/>
      </tp>
      <tp t="s">
        <v>#N/A N/A</v>
        <stp/>
        <stp>BDH|8052085584768166738</stp>
        <tr r="F85" s="2"/>
      </tp>
      <tp t="s">
        <v>#N/A N/A</v>
        <stp/>
        <stp>BDH|3892966877245440731</stp>
        <tr r="AA35" s="2"/>
      </tp>
      <tp t="s">
        <v>#N/A N/A</v>
        <stp/>
        <stp>BDH|5892511234864141828</stp>
        <tr r="G42" s="2"/>
      </tp>
      <tp t="s">
        <v>#N/A N/A</v>
        <stp/>
        <stp>BDH|7526421304865493989</stp>
        <tr r="T53" s="2"/>
      </tp>
      <tp t="s">
        <v>#N/A N/A</v>
        <stp/>
        <stp>BDH|1229675169459009739</stp>
        <tr r="Y69" s="2"/>
      </tp>
      <tp t="s">
        <v>#N/A N/A</v>
        <stp/>
        <stp>BDH|6855576400995322932</stp>
        <tr r="AA48" s="2"/>
      </tp>
      <tp t="s">
        <v>#N/A N/A</v>
        <stp/>
        <stp>BDH|2421837907745787087</stp>
        <tr r="P25" s="2"/>
      </tp>
      <tp t="s">
        <v>#N/A N/A</v>
        <stp/>
        <stp>BDH|9850883307367822935</stp>
        <tr r="AB30" s="2"/>
      </tp>
      <tp t="s">
        <v>#N/A N/A</v>
        <stp/>
        <stp>BDH|8479782757503660613</stp>
        <tr r="V27" s="2"/>
      </tp>
      <tp t="s">
        <v>#N/A N/A</v>
        <stp/>
        <stp>BDH|8054046345281814241</stp>
        <tr r="F66" s="2"/>
      </tp>
      <tp t="s">
        <v>#N/A N/A</v>
        <stp/>
        <stp>BDH|4359998631337679601</stp>
        <tr r="AC91" s="2"/>
      </tp>
      <tp t="s">
        <v>#N/A N/A</v>
        <stp/>
        <stp>BDH|9258000597649998610</stp>
        <tr r="P17" s="2"/>
      </tp>
      <tp t="s">
        <v>#N/A N/A</v>
        <stp/>
        <stp>BDH|6169198174556577946</stp>
        <tr r="AB35" s="2"/>
      </tp>
      <tp t="s">
        <v>#N/A N/A</v>
        <stp/>
        <stp>BDH|8862360724015196361</stp>
        <tr r="V32" s="2"/>
      </tp>
      <tp t="s">
        <v>#N/A N/A</v>
        <stp/>
        <stp>BDH|1165545968855838878</stp>
        <tr r="K15" s="2"/>
      </tp>
      <tp t="s">
        <v>#N/A N/A</v>
        <stp/>
        <stp>BDH|1384760315339471169</stp>
        <tr r="F67" s="2"/>
      </tp>
      <tp t="s">
        <v>#N/A N/A</v>
        <stp/>
        <stp>BDH|3576907348226955760</stp>
        <tr r="U10" s="2"/>
      </tp>
      <tp t="s">
        <v>#N/A N/A</v>
        <stp/>
        <stp>BDH|2132366706628595661</stp>
        <tr r="AF52" s="2"/>
      </tp>
      <tp t="s">
        <v>#N/A N/A</v>
        <stp/>
        <stp>BDH|9071404967792036659</stp>
        <tr r="M27" s="2"/>
      </tp>
      <tp t="s">
        <v>#N/A N/A</v>
        <stp/>
        <stp>BDH|3159555477677310930</stp>
        <tr r="AA89" s="2"/>
      </tp>
      <tp t="s">
        <v>#N/A N/A</v>
        <stp/>
        <stp>BDH|4837209090401847133</stp>
        <tr r="N84" s="2"/>
      </tp>
      <tp t="s">
        <v>#N/A N/A</v>
        <stp/>
        <stp>BDH|9834059109724756203</stp>
        <tr r="E17" s="2"/>
      </tp>
      <tp t="s">
        <v>#N/A N/A</v>
        <stp/>
        <stp>BDH|5721261081891102126</stp>
        <tr r="L52" s="2"/>
      </tp>
      <tp t="s">
        <v>#N/A N/A</v>
        <stp/>
        <stp>BDH|8432153655923338044</stp>
        <tr r="AB42" s="2"/>
      </tp>
      <tp t="s">
        <v>#N/A N/A</v>
        <stp/>
        <stp>BDH|9760725912666571623</stp>
        <tr r="R50" s="2"/>
      </tp>
      <tp t="s">
        <v>#N/A N/A</v>
        <stp/>
        <stp>BDH|2273813487169651423</stp>
        <tr r="AD83" s="2"/>
      </tp>
      <tp t="s">
        <v>#N/A N/A</v>
        <stp/>
        <stp>BDH|6441623893422754423</stp>
        <tr r="X30" s="2"/>
      </tp>
      <tp t="s">
        <v>#N/A N/A</v>
        <stp/>
        <stp>BDH|2953858848419240867</stp>
        <tr r="D52" s="2"/>
      </tp>
      <tp t="s">
        <v>#N/A N/A</v>
        <stp/>
        <stp>BDH|1734334920527269869</stp>
        <tr r="N92" s="2"/>
      </tp>
      <tp t="s">
        <v>#N/A N/A</v>
        <stp/>
        <stp>BDH|1070455493225316645</stp>
        <tr r="S18" s="2"/>
      </tp>
      <tp t="s">
        <v>#N/A N/A</v>
        <stp/>
        <stp>BDH|8909293566285624618</stp>
        <tr r="L66" s="2"/>
      </tp>
      <tp t="s">
        <v>#N/A N/A</v>
        <stp/>
        <stp>BDH|8181862682174052331</stp>
        <tr r="AE18" s="2"/>
      </tp>
      <tp t="s">
        <v>#N/A N/A</v>
        <stp/>
        <stp>BDH|5732081708958935290</stp>
        <tr r="F42" s="2"/>
      </tp>
      <tp t="s">
        <v>#N/A N/A</v>
        <stp/>
        <stp>BDH|5866873838670338138</stp>
        <tr r="AE63" s="2"/>
      </tp>
      <tp t="s">
        <v>#N/A N/A</v>
        <stp/>
        <stp>BDH|5180723484060114510</stp>
        <tr r="H11" s="2"/>
      </tp>
      <tp t="s">
        <v>#N/A N/A</v>
        <stp/>
        <stp>BDH|8537417441671748667</stp>
        <tr r="I85" s="2"/>
      </tp>
      <tp t="s">
        <v>#N/A N/A</v>
        <stp/>
        <stp>BDH|7668571896287149321</stp>
        <tr r="O30" s="2"/>
      </tp>
      <tp t="s">
        <v>#N/A N/A</v>
        <stp/>
        <stp>BDH|9126976642268675361</stp>
        <tr r="AC94" s="2"/>
      </tp>
      <tp t="s">
        <v>#N/A N/A</v>
        <stp/>
        <stp>BDH|3143175385373113666</stp>
        <tr r="P89" s="2"/>
      </tp>
      <tp t="s">
        <v>#N/A N/A</v>
        <stp/>
        <stp>BDH|8516751968623986559</stp>
        <tr r="AC89" s="2"/>
      </tp>
      <tp t="s">
        <v>#N/A N/A</v>
        <stp/>
        <stp>BDH|3319918376352367033</stp>
        <tr r="X87" s="2"/>
      </tp>
      <tp t="s">
        <v>#N/A N/A</v>
        <stp/>
        <stp>BDH|2631479304060803994</stp>
        <tr r="W28" s="2"/>
      </tp>
      <tp t="s">
        <v>#N/A N/A</v>
        <stp/>
        <stp>BDH|9948004794046040985</stp>
        <tr r="O11" s="2"/>
      </tp>
      <tp t="s">
        <v>#N/A N/A</v>
        <stp/>
        <stp>BDH|8361570856536382148</stp>
        <tr r="R94" s="2"/>
      </tp>
      <tp t="s">
        <v>#N/A N/A</v>
        <stp/>
        <stp>BDH|1605119413199881799</stp>
        <tr r="AA75" s="2"/>
      </tp>
      <tp t="s">
        <v>#N/A N/A</v>
        <stp/>
        <stp>BDH|2054930941251371149</stp>
        <tr r="Q49" s="2"/>
      </tp>
      <tp t="s">
        <v>#N/A N/A</v>
        <stp/>
        <stp>BDH|3699937077422442037</stp>
        <tr r="AD76" s="2"/>
      </tp>
      <tp t="s">
        <v>#N/A N/A</v>
        <stp/>
        <stp>BDH|3002735667269178408</stp>
        <tr r="D41" s="2"/>
      </tp>
      <tp t="s">
        <v>#N/A N/A</v>
        <stp/>
        <stp>BDH|7488217073544719941</stp>
        <tr r="E90" s="2"/>
      </tp>
      <tp t="s">
        <v>#N/A N/A</v>
        <stp/>
        <stp>BDH|6020030490837504735</stp>
        <tr r="AF50" s="2"/>
      </tp>
      <tp t="s">
        <v>#N/A N/A</v>
        <stp/>
        <stp>BDH|5323427040205971829</stp>
        <tr r="AA83" s="2"/>
      </tp>
      <tp t="s">
        <v>#N/A N/A</v>
        <stp/>
        <stp>BDH|7699789531773625824</stp>
        <tr r="V29" s="2"/>
      </tp>
      <tp t="s">
        <v>#N/A N/A</v>
        <stp/>
        <stp>BDH|8534100966470817704</stp>
        <tr r="R27" s="2"/>
      </tp>
      <tp t="s">
        <v>#N/A N/A</v>
        <stp/>
        <stp>BDH|8412149255402987671</stp>
        <tr r="H56" s="2"/>
      </tp>
      <tp t="s">
        <v>#N/A N/A</v>
        <stp/>
        <stp>BDH|5343033738157011930</stp>
        <tr r="AC52" s="2"/>
      </tp>
      <tp t="s">
        <v>#N/A N/A</v>
        <stp/>
        <stp>BDH|8593141598101574978</stp>
        <tr r="S17" s="2"/>
      </tp>
      <tp t="s">
        <v>#N/A N/A</v>
        <stp/>
        <stp>BDH|5867979184048874483</stp>
        <tr r="M56" s="2"/>
      </tp>
      <tp t="s">
        <v>#N/A N/A</v>
        <stp/>
        <stp>BDH|9923510012997620272</stp>
        <tr r="Y13" s="2"/>
      </tp>
      <tp t="s">
        <v>#N/A N/A</v>
        <stp/>
        <stp>BDH|6796214298004021155</stp>
        <tr r="I44" s="2"/>
      </tp>
      <tp t="s">
        <v>#N/A N/A</v>
        <stp/>
        <stp>BDH|2191550706126818915</stp>
        <tr r="AF69" s="2"/>
      </tp>
      <tp t="s">
        <v>#N/A N/A</v>
        <stp/>
        <stp>BDH|8899231480249143311</stp>
        <tr r="Q28" s="2"/>
      </tp>
      <tp t="s">
        <v>#N/A N/A</v>
        <stp/>
        <stp>BDH|1665272538470972882</stp>
        <tr r="R43" s="2"/>
      </tp>
      <tp t="s">
        <v>#N/A N/A</v>
        <stp/>
        <stp>BDH|9899356145807327133</stp>
        <tr r="AB93" s="2"/>
      </tp>
      <tp t="s">
        <v>#N/A N/A</v>
        <stp/>
        <stp>BDH|6429658099679646860</stp>
        <tr r="AA58" s="2"/>
      </tp>
      <tp t="s">
        <v>#N/A N/A</v>
        <stp/>
        <stp>BDH|3930285404780946948</stp>
        <tr r="E49" s="2"/>
      </tp>
      <tp t="s">
        <v>#N/A N/A</v>
        <stp/>
        <stp>BDH|2756263828188683270</stp>
        <tr r="T58" s="2"/>
      </tp>
      <tp t="s">
        <v>#N/A N/A</v>
        <stp/>
        <stp>BDH|7972391009895072916</stp>
        <tr r="D29" s="2"/>
      </tp>
      <tp t="s">
        <v>#N/A N/A</v>
        <stp/>
        <stp>BDH|3038290982579128831</stp>
        <tr r="Q33" s="2"/>
      </tp>
      <tp t="s">
        <v>#N/A N/A</v>
        <stp/>
        <stp>BDH|5766890910787004375</stp>
        <tr r="M9" s="2"/>
      </tp>
      <tp t="s">
        <v>#N/A N/A</v>
        <stp/>
        <stp>BDH|5577499455154587850</stp>
        <tr r="L89" s="2"/>
      </tp>
      <tp t="s">
        <v>#N/A N/A</v>
        <stp/>
        <stp>BDH|7246030885161865623</stp>
        <tr r="S83" s="2"/>
      </tp>
      <tp t="s">
        <v>#N/A N/A</v>
        <stp/>
        <stp>BDH|8812122595490655870</stp>
        <tr r="C44" s="2"/>
      </tp>
      <tp t="s">
        <v>#N/A N/A</v>
        <stp/>
        <stp>BDH|9708112114920992154</stp>
        <tr r="AC33" s="2"/>
      </tp>
      <tp t="s">
        <v>#N/A N/A</v>
        <stp/>
        <stp>BDH|8622475885669939539</stp>
        <tr r="F14" s="2"/>
      </tp>
      <tp t="s">
        <v>#N/A N/A</v>
        <stp/>
        <stp>BDH|4624835629011039728</stp>
        <tr r="E63" s="2"/>
      </tp>
      <tp t="s">
        <v>#N/A N/A</v>
        <stp/>
        <stp>BDH|4690008437888657790</stp>
        <tr r="W78" s="2"/>
      </tp>
      <tp t="s">
        <v>#N/A N/A</v>
        <stp/>
        <stp>BDH|3946541172219006019</stp>
        <tr r="H71" s="2"/>
      </tp>
      <tp t="s">
        <v>#N/A N/A</v>
        <stp/>
        <stp>BDH|8457634822115905130</stp>
        <tr r="Q75" s="2"/>
      </tp>
      <tp t="s">
        <v>#N/A N/A</v>
        <stp/>
        <stp>BDH|5192768130721817803</stp>
        <tr r="V10" s="2"/>
      </tp>
      <tp t="s">
        <v>#N/A N/A</v>
        <stp/>
        <stp>BDH|7851937451175063658</stp>
        <tr r="L56" s="2"/>
      </tp>
      <tp t="s">
        <v>#N/A N/A</v>
        <stp/>
        <stp>BDH|3634819142736891128</stp>
        <tr r="S57" s="2"/>
      </tp>
      <tp t="s">
        <v>#N/A N/A</v>
        <stp/>
        <stp>BDH|5656921379884575774</stp>
        <tr r="Z72" s="2"/>
      </tp>
      <tp t="s">
        <v>#N/A N/A</v>
        <stp/>
        <stp>BDH|3557276408210068964</stp>
        <tr r="S77" s="2"/>
      </tp>
      <tp t="s">
        <v>#N/A N/A</v>
        <stp/>
        <stp>BDH|8339010351707942269</stp>
        <tr r="Y55" s="2"/>
      </tp>
      <tp t="s">
        <v>#N/A N/A</v>
        <stp/>
        <stp>BDH|7236813234524859020</stp>
        <tr r="D76" s="2"/>
      </tp>
      <tp t="s">
        <v>#N/A N/A</v>
        <stp/>
        <stp>BDH|1298629319997912929</stp>
        <tr r="W85" s="2"/>
      </tp>
      <tp t="s">
        <v>#N/A N/A</v>
        <stp/>
        <stp>BDH|3817634789065277021</stp>
        <tr r="O52" s="2"/>
      </tp>
      <tp t="s">
        <v>#N/A N/A</v>
        <stp/>
        <stp>BDH|7566660915979299164</stp>
        <tr r="W18" s="2"/>
      </tp>
      <tp t="s">
        <v>#N/A N/A</v>
        <stp/>
        <stp>BDH|5727933826205418345</stp>
        <tr r="J9" s="2"/>
      </tp>
      <tp t="s">
        <v>#N/A N/A</v>
        <stp/>
        <stp>BDH|1136418484884284145</stp>
        <tr r="AA22" s="2"/>
      </tp>
      <tp t="s">
        <v>#N/A N/A</v>
        <stp/>
        <stp>BDH|1831042398477257757</stp>
        <tr r="U58" s="2"/>
      </tp>
      <tp t="s">
        <v>#N/A N/A</v>
        <stp/>
        <stp>BDH|9787029106149984891</stp>
        <tr r="S67" s="2"/>
      </tp>
      <tp t="s">
        <v>#N/A N/A</v>
        <stp/>
        <stp>BDH|9078471000123796637</stp>
        <tr r="G39" s="2"/>
      </tp>
      <tp t="s">
        <v>#N/A N/A</v>
        <stp/>
        <stp>BDH|9146770666699232918</stp>
        <tr r="D86" s="2"/>
      </tp>
      <tp t="s">
        <v>#N/A N/A</v>
        <stp/>
        <stp>BDH|9689167402804392426</stp>
        <tr r="K16" s="2"/>
      </tp>
      <tp t="s">
        <v>#N/A N/A</v>
        <stp/>
        <stp>BDH|6488772791385165505</stp>
        <tr r="AF93" s="2"/>
      </tp>
      <tp t="s">
        <v>#N/A N/A</v>
        <stp/>
        <stp>BDH|7421909757281378233</stp>
        <tr r="M85" s="2"/>
      </tp>
      <tp t="s">
        <v>#N/A N/A</v>
        <stp/>
        <stp>BDH|4300968319447481386</stp>
        <tr r="V46" s="2"/>
      </tp>
      <tp t="s">
        <v>#N/A N/A</v>
        <stp/>
        <stp>BDH|7551855043096544561</stp>
        <tr r="W71" s="2"/>
      </tp>
      <tp t="s">
        <v>#N/A N/A</v>
        <stp/>
        <stp>BDH|6379058263270169846</stp>
        <tr r="G52" s="2"/>
      </tp>
      <tp t="s">
        <v>#N/A N/A</v>
        <stp/>
        <stp>BDH|5510228250039048371</stp>
        <tr r="E71" s="2"/>
      </tp>
      <tp t="s">
        <v>#N/A N/A</v>
        <stp/>
        <stp>BDH|2789278977569169673</stp>
        <tr r="R30" s="2"/>
      </tp>
      <tp t="s">
        <v>#N/A N/A</v>
        <stp/>
        <stp>BDH|9525005933533128167</stp>
        <tr r="E48" s="2"/>
      </tp>
      <tp t="s">
        <v>#N/A N/A</v>
        <stp/>
        <stp>BDH|3752163871534720968</stp>
        <tr r="D30" s="2"/>
      </tp>
      <tp t="s">
        <v>#N/A N/A</v>
        <stp/>
        <stp>BDH|8837110926991885268</stp>
        <tr r="I77" s="2"/>
      </tp>
      <tp t="s">
        <v>#N/A N/A</v>
        <stp/>
        <stp>BDH|8439851193837572662</stp>
        <tr r="AC25" s="2"/>
      </tp>
      <tp t="s">
        <v>#N/A N/A</v>
        <stp/>
        <stp>BDH|9676715616112145565</stp>
        <tr r="F11" s="2"/>
      </tp>
      <tp t="s">
        <v>#N/A N/A</v>
        <stp/>
        <stp>BDH|2774296992247833625</stp>
        <tr r="P10" s="2"/>
      </tp>
      <tp t="s">
        <v>#N/A N/A</v>
        <stp/>
        <stp>BDH|7958704828743367948</stp>
        <tr r="E77" s="2"/>
      </tp>
      <tp t="s">
        <v>#N/A N/A</v>
        <stp/>
        <stp>BDH|9946159549380178424</stp>
        <tr r="J90" s="2"/>
      </tp>
      <tp t="s">
        <v>#N/A N/A</v>
        <stp/>
        <stp>BDH|2059950245275230249</stp>
        <tr r="J85" s="2"/>
      </tp>
      <tp t="s">
        <v>#N/A N/A</v>
        <stp/>
        <stp>BDH|6416770874957475951</stp>
        <tr r="J87" s="2"/>
      </tp>
      <tp t="s">
        <v>#N/A N/A</v>
        <stp/>
        <stp>BDH|6049513996737773574</stp>
        <tr r="Z13" s="2"/>
      </tp>
      <tp t="s">
        <v>#N/A N/A</v>
        <stp/>
        <stp>BDH|4430569506110302909</stp>
        <tr r="Z30" s="2"/>
      </tp>
      <tp t="s">
        <v>#N/A N/A</v>
        <stp/>
        <stp>BDH|3289147630260009919</stp>
        <tr r="Y18" s="2"/>
      </tp>
      <tp t="s">
        <v>#N/A N/A</v>
        <stp/>
        <stp>BDH|5569984928507492169</stp>
        <tr r="D59" s="2"/>
      </tp>
      <tp t="s">
        <v>#N/A N/A</v>
        <stp/>
        <stp>BDH|2035478774210505913</stp>
        <tr r="Z73" s="2"/>
      </tp>
      <tp t="s">
        <v>#N/A N/A</v>
        <stp/>
        <stp>BDH|4193522797420807085</stp>
        <tr r="G73" s="2"/>
      </tp>
      <tp t="s">
        <v>#N/A N/A</v>
        <stp/>
        <stp>BDH|7198755896640249142</stp>
        <tr r="Q42" s="2"/>
      </tp>
      <tp t="s">
        <v>#N/A N/A</v>
        <stp/>
        <stp>BDH|8688868823433176973</stp>
        <tr r="W13" s="2"/>
      </tp>
      <tp t="s">
        <v>#N/A N/A</v>
        <stp/>
        <stp>BDH|6572140496417358112</stp>
        <tr r="M25" s="2"/>
      </tp>
      <tp t="s">
        <v>#N/A N/A</v>
        <stp/>
        <stp>BDH|1360004096757784777</stp>
        <tr r="H68" s="2"/>
      </tp>
      <tp t="s">
        <v>#N/A N/A</v>
        <stp/>
        <stp>BDH|97487542317591240</stp>
        <tr r="D87" s="2"/>
      </tp>
      <tp t="s">
        <v>#N/A N/A</v>
        <stp/>
        <stp>BDH|4279950716091287499</stp>
        <tr r="Z25" s="2"/>
      </tp>
      <tp t="s">
        <v>#N/A N/A</v>
        <stp/>
        <stp>BDH|6375664688967535624</stp>
        <tr r="Q67" s="2"/>
      </tp>
      <tp t="s">
        <v>#N/A N/A</v>
        <stp/>
        <stp>BDH|2960989819020043326</stp>
        <tr r="K91" s="2"/>
      </tp>
      <tp t="s">
        <v>#N/A N/A</v>
        <stp/>
        <stp>BDH|4533011899152785607</stp>
        <tr r="S16" s="2"/>
      </tp>
      <tp t="s">
        <v>#N/A N/A</v>
        <stp/>
        <stp>BDH|8352919831848838319</stp>
        <tr r="AA93" s="2"/>
      </tp>
      <tp t="s">
        <v>#N/A N/A</v>
        <stp/>
        <stp>BDH|9313377839480587038</stp>
        <tr r="R77" s="2"/>
      </tp>
      <tp t="s">
        <v>#N/A N/A</v>
        <stp/>
        <stp>BDH|8621880844448322526</stp>
        <tr r="H20" s="2"/>
      </tp>
      <tp t="s">
        <v>#N/A N/A</v>
        <stp/>
        <stp>BDH|8947170925283247126</stp>
        <tr r="AA50" s="2"/>
      </tp>
      <tp t="s">
        <v>#N/A N/A</v>
        <stp/>
        <stp>BDH|4987100030858710758</stp>
        <tr r="N61" s="2"/>
      </tp>
      <tp t="s">
        <v>#N/A N/A</v>
        <stp/>
        <stp>BDH|6587743905720699899</stp>
        <tr r="K39" s="2"/>
      </tp>
      <tp t="s">
        <v>#N/A N/A</v>
        <stp/>
        <stp>BDH|6628299698123974752</stp>
        <tr r="Q60" s="2"/>
      </tp>
      <tp t="s">
        <v>#N/A N/A</v>
        <stp/>
        <stp>BDH|2637893134689045937</stp>
        <tr r="AC57" s="2"/>
      </tp>
      <tp t="s">
        <v>#N/A N/A</v>
        <stp/>
        <stp>BDH|3944179646207573855</stp>
        <tr r="O56" s="2"/>
      </tp>
      <tp t="s">
        <v>#N/A N/A</v>
        <stp/>
        <stp>BDH|2477084504183483847</stp>
        <tr r="I92" s="2"/>
      </tp>
      <tp t="s">
        <v>#N/A N/A</v>
        <stp/>
        <stp>BDH|7058701518461060908</stp>
        <tr r="W15" s="2"/>
      </tp>
      <tp t="s">
        <v>#N/A N/A</v>
        <stp/>
        <stp>BDH|3025265041139612587</stp>
        <tr r="K54" s="2"/>
      </tp>
      <tp t="s">
        <v>#N/A N/A</v>
        <stp/>
        <stp>BDH|7907974354180247212</stp>
        <tr r="T39" s="2"/>
      </tp>
      <tp t="s">
        <v>#N/A N/A</v>
        <stp/>
        <stp>BDH|2177717997890766596</stp>
        <tr r="T15" s="2"/>
      </tp>
      <tp t="s">
        <v>#N/A N/A</v>
        <stp/>
        <stp>BDH|9023337757742891451</stp>
        <tr r="AA24" s="2"/>
      </tp>
      <tp t="s">
        <v>#N/A N/A</v>
        <stp/>
        <stp>BDH|8294430478950613210</stp>
        <tr r="L67" s="2"/>
      </tp>
      <tp t="s">
        <v>#N/A N/A</v>
        <stp/>
        <stp>BDH|4272113326308875630</stp>
        <tr r="V73" s="2"/>
      </tp>
      <tp t="s">
        <v>#N/A N/A</v>
        <stp/>
        <stp>BDH|8430486815351223551</stp>
        <tr r="C16" s="2"/>
      </tp>
      <tp t="s">
        <v>#N/A N/A</v>
        <stp/>
        <stp>BDH|5726930100622885725</stp>
        <tr r="F50" s="2"/>
      </tp>
      <tp t="s">
        <v>#N/A N/A</v>
        <stp/>
        <stp>BDH|3798506692542252490</stp>
        <tr r="N64" s="2"/>
      </tp>
      <tp t="s">
        <v>#N/A N/A</v>
        <stp/>
        <stp>BDH|8096650904183808469</stp>
        <tr r="L95" s="2"/>
      </tp>
      <tp t="s">
        <v>#N/A N/A</v>
        <stp/>
        <stp>BDH|9382645479832959385</stp>
        <tr r="U64" s="2"/>
      </tp>
      <tp t="s">
        <v>#N/A N/A</v>
        <stp/>
        <stp>BDH|3987964824181644023</stp>
        <tr r="Z93" s="2"/>
      </tp>
      <tp t="s">
        <v>#N/A N/A</v>
        <stp/>
        <stp>BDH|4591265504849933619</stp>
        <tr r="AB65" s="2"/>
      </tp>
      <tp t="s">
        <v>#N/A N/A</v>
        <stp/>
        <stp>BDH|6897952407117322158</stp>
        <tr r="AD58" s="2"/>
      </tp>
      <tp t="s">
        <v>#N/A N/A</v>
        <stp/>
        <stp>BDH|2726082650219471770</stp>
        <tr r="Q62" s="2"/>
      </tp>
      <tp t="s">
        <v>#N/A N/A</v>
        <stp/>
        <stp>BDH|6599679937848979208</stp>
        <tr r="I78" s="2"/>
      </tp>
      <tp t="s">
        <v>#N/A N/A</v>
        <stp/>
        <stp>BDH|8117220873756470287</stp>
        <tr r="E50" s="2"/>
      </tp>
      <tp t="s">
        <v>#N/A N/A</v>
        <stp/>
        <stp>BDH|3205967268774896183</stp>
        <tr r="T90" s="2"/>
      </tp>
      <tp t="s">
        <v>#N/A N/A</v>
        <stp/>
        <stp>BDH|4391681188965982666</stp>
        <tr r="W27" s="2"/>
      </tp>
      <tp t="s">
        <v>#N/A N/A</v>
        <stp/>
        <stp>BDH|8694202296872536881</stp>
        <tr r="P91" s="2"/>
      </tp>
      <tp t="s">
        <v>#N/A N/A</v>
        <stp/>
        <stp>BDH|5201265047852765899</stp>
        <tr r="M45" s="2"/>
      </tp>
      <tp t="s">
        <v>#N/A N/A</v>
        <stp/>
        <stp>BDH|5475523885268712992</stp>
        <tr r="R42" s="2"/>
      </tp>
      <tp t="s">
        <v>#N/A N/A</v>
        <stp/>
        <stp>BDH|2014506429684301879</stp>
        <tr r="W22" s="2"/>
      </tp>
      <tp t="s">
        <v>#N/A N/A</v>
        <stp/>
        <stp>BDH|9663329838545452553</stp>
        <tr r="U23" s="2"/>
      </tp>
      <tp t="s">
        <v>#N/A N/A</v>
        <stp/>
        <stp>BDH|8050405941590774146</stp>
        <tr r="Q45" s="2"/>
      </tp>
      <tp t="s">
        <v>#N/A N/A</v>
        <stp/>
        <stp>BDH|8493086320730967379</stp>
        <tr r="H35" s="2"/>
      </tp>
      <tp t="s">
        <v>#N/A N/A</v>
        <stp/>
        <stp>BDH|2247749214229747470</stp>
        <tr r="AA14" s="2"/>
      </tp>
      <tp t="s">
        <v>#N/A N/A</v>
        <stp/>
        <stp>BDH|1258957029066410589</stp>
        <tr r="Y29" s="2"/>
      </tp>
      <tp t="s">
        <v>#N/A N/A</v>
        <stp/>
        <stp>BDH|6086967216495765251</stp>
        <tr r="Q17" s="2"/>
      </tp>
      <tp t="s">
        <v>#N/A N/A</v>
        <stp/>
        <stp>BDH|6730814802621003672</stp>
        <tr r="M39" s="2"/>
      </tp>
      <tp t="s">
        <v>#N/A N/A</v>
        <stp/>
        <stp>BDH|1915017785415837565</stp>
        <tr r="U76" s="2"/>
      </tp>
      <tp t="s">
        <v>#N/A N/A</v>
        <stp/>
        <stp>BDH|1709366955478660613</stp>
        <tr r="U66" s="2"/>
      </tp>
      <tp t="s">
        <v>#N/A N/A</v>
        <stp/>
        <stp>BDH|2259634479028221295</stp>
        <tr r="Z33" s="2"/>
      </tp>
      <tp t="s">
        <v>#N/A N/A</v>
        <stp/>
        <stp>BDH|9793735527884995196</stp>
        <tr r="D25" s="2"/>
      </tp>
      <tp t="s">
        <v>#N/A N/A</v>
        <stp/>
        <stp>BDH|6037224551909241125</stp>
        <tr r="U85" s="2"/>
      </tp>
      <tp t="s">
        <v>#N/A N/A</v>
        <stp/>
        <stp>BDH|1582507691395760139</stp>
        <tr r="AC46" s="2"/>
      </tp>
      <tp t="s">
        <v>#N/A N/A</v>
        <stp/>
        <stp>BDH|2110595289090993689</stp>
        <tr r="AB29" s="2"/>
      </tp>
      <tp t="s">
        <v>#N/A N/A</v>
        <stp/>
        <stp>BDH|8478622764070553174</stp>
        <tr r="C64" s="2"/>
      </tp>
      <tp t="s">
        <v>#N/A N/A</v>
        <stp/>
        <stp>BDH|3523873467535531115</stp>
        <tr r="K29" s="2"/>
      </tp>
      <tp t="s">
        <v>#N/A N/A</v>
        <stp/>
        <stp>BDH|4787875965617263468</stp>
        <tr r="D20" s="2"/>
      </tp>
      <tp t="s">
        <v>#N/A N/A</v>
        <stp/>
        <stp>BDH|2590407914449488746</stp>
        <tr r="C32" s="2"/>
      </tp>
      <tp t="s">
        <v>#N/A N/A</v>
        <stp/>
        <stp>BDH|3174283183006208690</stp>
        <tr r="M70" s="2"/>
      </tp>
      <tp t="s">
        <v>#N/A N/A</v>
        <stp/>
        <stp>BDH|8791734902270082671</stp>
        <tr r="AD36" s="2"/>
      </tp>
      <tp t="s">
        <v>#N/A N/A</v>
        <stp/>
        <stp>BDH|5051982815071232591</stp>
        <tr r="G31" s="2"/>
      </tp>
      <tp t="s">
        <v>#N/A N/A</v>
        <stp/>
        <stp>BDH|7337653243975358905</stp>
        <tr r="I47" s="2"/>
      </tp>
      <tp t="s">
        <v>#N/A N/A</v>
        <stp/>
        <stp>BDH|5200315354659488356</stp>
        <tr r="C19" s="2"/>
      </tp>
      <tp t="s">
        <v>#N/A N/A</v>
        <stp/>
        <stp>BDH|3817899764672438672</stp>
        <tr r="C69" s="2"/>
      </tp>
      <tp t="s">
        <v>#N/A N/A</v>
        <stp/>
        <stp>BDH|4370014471898517204</stp>
        <tr r="I75" s="2"/>
      </tp>
      <tp t="s">
        <v>#N/A N/A</v>
        <stp/>
        <stp>BDH|9700698440963149180</stp>
        <tr r="C74" s="2"/>
      </tp>
      <tp t="s">
        <v>#N/A N/A</v>
        <stp/>
        <stp>BDH|2803081966385437857</stp>
        <tr r="L91" s="2"/>
      </tp>
      <tp t="s">
        <v>#N/A N/A</v>
        <stp/>
        <stp>BDH|4335225289236961164</stp>
        <tr r="AC47" s="2"/>
      </tp>
      <tp t="s">
        <v>#N/A N/A</v>
        <stp/>
        <stp>BDH|4206006690033006764</stp>
        <tr r="J73" s="2"/>
      </tp>
      <tp t="s">
        <v>#N/A N/A</v>
        <stp/>
        <stp>BDH|8221815085624350512</stp>
        <tr r="G62" s="2"/>
      </tp>
      <tp t="s">
        <v>#N/A N/A</v>
        <stp/>
        <stp>BDH|3528793951028931009</stp>
        <tr r="X84" s="2"/>
      </tp>
      <tp t="s">
        <v>#N/A N/A</v>
        <stp/>
        <stp>BDH|1566853200168425815</stp>
        <tr r="C62" s="2"/>
      </tp>
      <tp t="s">
        <v>#N/A N/A</v>
        <stp/>
        <stp>BDH|3874155688990081301</stp>
        <tr r="R64" s="2"/>
      </tp>
      <tp t="s">
        <v>#N/A N/A</v>
        <stp/>
        <stp>BDH|1144201820109409100</stp>
        <tr r="X75" s="2"/>
      </tp>
      <tp t="s">
        <v>#N/A N/A</v>
        <stp/>
        <stp>BDH|7636925459156878407</stp>
        <tr r="O87" s="2"/>
      </tp>
      <tp t="s">
        <v>#N/A N/A</v>
        <stp/>
        <stp>BDH|8732999135338788398</stp>
        <tr r="U70" s="2"/>
      </tp>
      <tp t="s">
        <v>#N/A N/A</v>
        <stp/>
        <stp>BDH|8145288859165220374</stp>
        <tr r="I16" s="2"/>
      </tp>
      <tp t="s">
        <v>#N/A N/A</v>
        <stp/>
        <stp>BDH|84609673627875266</stp>
        <tr r="C24" s="2"/>
      </tp>
      <tp t="s">
        <v>#N/A N/A</v>
        <stp/>
        <stp>BDH|8479576393037313999</stp>
        <tr r="D46" s="2"/>
      </tp>
      <tp t="s">
        <v>#N/A N/A</v>
        <stp/>
        <stp>BDH|8097001704577933576</stp>
        <tr r="AD46" s="2"/>
      </tp>
      <tp t="s">
        <v>#N/A N/A</v>
        <stp/>
        <stp>BDH|6199786987840353369</stp>
        <tr r="Q13" s="2"/>
      </tp>
      <tp t="s">
        <v>#N/A N/A</v>
        <stp/>
        <stp>BDH|6502879767706960474</stp>
        <tr r="AA84" s="2"/>
      </tp>
      <tp t="s">
        <v>#N/A N/A</v>
        <stp/>
        <stp>BDH|2935103987843216240</stp>
        <tr r="P70" s="2"/>
      </tp>
      <tp t="s">
        <v>#N/A N/A</v>
        <stp/>
        <stp>BDH|9004444107301201684</stp>
        <tr r="Z48" s="2"/>
      </tp>
      <tp t="s">
        <v>#N/A N/A</v>
        <stp/>
        <stp>BDH|4654333393215758182</stp>
        <tr r="S42" s="2"/>
      </tp>
      <tp t="s">
        <v>#N/A N/A</v>
        <stp/>
        <stp>BDH|2292920915320996054</stp>
        <tr r="AC76" s="2"/>
      </tp>
      <tp t="s">
        <v>#N/A N/A</v>
        <stp/>
        <stp>BDH|8708306118637410728</stp>
        <tr r="S62" s="2"/>
      </tp>
      <tp t="s">
        <v>#N/A N/A</v>
        <stp/>
        <stp>BDH|3188177299556950784</stp>
        <tr r="U87" s="2"/>
      </tp>
      <tp t="s">
        <v>#N/A N/A</v>
        <stp/>
        <stp>BDH|8971449374599352844</stp>
        <tr r="O92" s="2"/>
      </tp>
      <tp t="s">
        <v>#N/A N/A</v>
        <stp/>
        <stp>BDH|8961145420062289316</stp>
        <tr r="X62" s="2"/>
      </tp>
      <tp t="s">
        <v>#N/A N/A</v>
        <stp/>
        <stp>BDH|6574701793850100292</stp>
        <tr r="P74" s="2"/>
      </tp>
      <tp t="s">
        <v>#N/A N/A</v>
        <stp/>
        <stp>BDH|8608041423546850662</stp>
        <tr r="O31" s="2"/>
      </tp>
      <tp t="s">
        <v>#N/A N/A</v>
        <stp/>
        <stp>BDH|5385297810935502936</stp>
        <tr r="T92" s="2"/>
      </tp>
      <tp t="s">
        <v>#N/A N/A</v>
        <stp/>
        <stp>BDH|8578100705697872445</stp>
        <tr r="AC87" s="2"/>
      </tp>
      <tp t="s">
        <v>#N/A N/A</v>
        <stp/>
        <stp>BDH|5900448395206093447</stp>
        <tr r="L20" s="2"/>
      </tp>
      <tp t="s">
        <v>#N/A N/A</v>
        <stp/>
        <stp>BDH|2997937864170693740</stp>
        <tr r="H10" s="2"/>
      </tp>
      <tp t="s">
        <v>#N/A N/A</v>
        <stp/>
        <stp>BDH|8222763156418895867</stp>
        <tr r="AF35" s="2"/>
      </tp>
      <tp t="s">
        <v>#N/A N/A</v>
        <stp/>
        <stp>BDH|7528354568011694922</stp>
        <tr r="H70" s="2"/>
      </tp>
      <tp t="s">
        <v>#N/A N/A</v>
        <stp/>
        <stp>BDH|2431541191463912754</stp>
        <tr r="AC8" s="2"/>
      </tp>
      <tp t="s">
        <v>#N/A N/A</v>
        <stp/>
        <stp>BDH|8221463220391848515</stp>
        <tr r="AA16" s="2"/>
      </tp>
      <tp t="s">
        <v>#N/A N/A</v>
        <stp/>
        <stp>BDH|9137380075561920683</stp>
        <tr r="AD63" s="2"/>
      </tp>
      <tp t="s">
        <v>#N/A N/A</v>
        <stp/>
        <stp>BDH|9701583126926508214</stp>
        <tr r="AB91" s="2"/>
      </tp>
      <tp t="s">
        <v>#N/A N/A</v>
        <stp/>
        <stp>BDH|7159637116538295245</stp>
        <tr r="N25" s="2"/>
      </tp>
      <tp t="s">
        <v>#N/A N/A</v>
        <stp/>
        <stp>BDH|2027764045988333321</stp>
        <tr r="AC55" s="2"/>
      </tp>
      <tp t="s">
        <v>#N/A N/A</v>
        <stp/>
        <stp>BDH|4947820417144620397</stp>
        <tr r="H72" s="2"/>
      </tp>
      <tp t="s">
        <v>#N/A N/A</v>
        <stp/>
        <stp>BDH|9909951338069552020</stp>
        <tr r="U61" s="2"/>
      </tp>
      <tp t="s">
        <v>#N/A N/A</v>
        <stp/>
        <stp>BDH|9118751423747687127</stp>
        <tr r="T8" s="2"/>
      </tp>
      <tp t="s">
        <v>#N/A N/A</v>
        <stp/>
        <stp>BDH|4537349281046206310</stp>
        <tr r="AC24" s="2"/>
      </tp>
      <tp t="s">
        <v>#N/A N/A</v>
        <stp/>
        <stp>BDH|2579359690150449271</stp>
        <tr r="F30" s="2"/>
      </tp>
      <tp t="s">
        <v>#N/A N/A</v>
        <stp/>
        <stp>BDH|3271416129427253883</stp>
        <tr r="F35" s="2"/>
      </tp>
      <tp t="s">
        <v>#N/A N/A</v>
        <stp/>
        <stp>BDH|6728844440879296914</stp>
        <tr r="D26" s="2"/>
      </tp>
      <tp t="s">
        <v>#N/A N/A</v>
        <stp/>
        <stp>BDH|9172107776253056672</stp>
        <tr r="N70" s="2"/>
      </tp>
      <tp t="s">
        <v>#N/A N/A</v>
        <stp/>
        <stp>BDH|5729658305969619016</stp>
        <tr r="AB21" s="2"/>
      </tp>
      <tp t="s">
        <v>#N/A N/A</v>
        <stp/>
        <stp>BDH|4520048917687614818</stp>
        <tr r="R18" s="2"/>
      </tp>
      <tp t="s">
        <v>#N/A N/A</v>
        <stp/>
        <stp>BDH|6123834049117880723</stp>
        <tr r="X61" s="2"/>
      </tp>
      <tp t="s">
        <v>#N/A N/A</v>
        <stp/>
        <stp>BDH|9189610304763564678</stp>
        <tr r="H50" s="2"/>
      </tp>
      <tp t="s">
        <v>#N/A N/A</v>
        <stp/>
        <stp>BDH|7124751396606692525</stp>
        <tr r="Q74" s="2"/>
      </tp>
      <tp t="s">
        <v>#N/A N/A</v>
        <stp/>
        <stp>BDH|3271368694017390445</stp>
        <tr r="AE8" s="2"/>
      </tp>
      <tp t="s">
        <v>#N/A N/A</v>
        <stp/>
        <stp>BDH|1299988361331530592</stp>
        <tr r="U8" s="2"/>
      </tp>
      <tp t="s">
        <v>#N/A N/A</v>
        <stp/>
        <stp>BDH|2021406260122606811</stp>
        <tr r="H34" s="2"/>
      </tp>
      <tp t="s">
        <v>#N/A N/A</v>
        <stp/>
        <stp>BDH|3893749322758058496</stp>
        <tr r="Q15" s="2"/>
      </tp>
      <tp t="s">
        <v>#N/A N/A</v>
        <stp/>
        <stp>BDH|3322803020432744138</stp>
        <tr r="Q63" s="2"/>
      </tp>
      <tp t="s">
        <v>#N/A N/A</v>
        <stp/>
        <stp>BDH|1800004370634901868</stp>
        <tr r="N11" s="2"/>
      </tp>
      <tp t="s">
        <v>#N/A N/A</v>
        <stp/>
        <stp>BDH|1286839327551273001</stp>
        <tr r="AD40" s="2"/>
      </tp>
      <tp t="s">
        <v>#N/A N/A</v>
        <stp/>
        <stp>BDH|2706730193120109624</stp>
        <tr r="D63" s="2"/>
      </tp>
      <tp t="s">
        <v>#N/A N/A</v>
        <stp/>
        <stp>BDH|7139234040542549931</stp>
        <tr r="AD25" s="2"/>
      </tp>
      <tp t="s">
        <v>#N/A N/A</v>
        <stp/>
        <stp>BDH|8340135655096699072</stp>
        <tr r="AF62" s="2"/>
      </tp>
      <tp t="s">
        <v>#N/A N/A</v>
        <stp/>
        <stp>BDH|3190058424753106858</stp>
        <tr r="U57" s="2"/>
      </tp>
      <tp t="s">
        <v>#N/A N/A</v>
        <stp/>
        <stp>BDH|5672446467185582846</stp>
        <tr r="G41" s="2"/>
      </tp>
      <tp t="s">
        <v>#N/A N/A</v>
        <stp/>
        <stp>BDH|1142230881876295745</stp>
        <tr r="AC21" s="2"/>
      </tp>
      <tp t="s">
        <v>#N/A N/A</v>
        <stp/>
        <stp>BDH|3940576359018764150</stp>
        <tr r="I50" s="2"/>
      </tp>
      <tp t="s">
        <v>#N/A N/A</v>
        <stp/>
        <stp>BDH|7622895738155750357</stp>
        <tr r="R61" s="2"/>
      </tp>
      <tp t="s">
        <v>#N/A N/A</v>
        <stp/>
        <stp>BDH|1250561262039159126</stp>
        <tr r="W34" s="2"/>
      </tp>
      <tp t="s">
        <v>#N/A N/A</v>
        <stp/>
        <stp>BDH|1921748675338998349</stp>
        <tr r="K14" s="2"/>
      </tp>
      <tp t="s">
        <v>#N/A N/A</v>
        <stp/>
        <stp>BDH|7209379220139651564</stp>
        <tr r="AC11" s="2"/>
      </tp>
      <tp t="s">
        <v>#N/A N/A</v>
        <stp/>
        <stp>BDH|8067110121848217977</stp>
        <tr r="AB90" s="2"/>
      </tp>
      <tp t="s">
        <v>#N/A N/A</v>
        <stp/>
        <stp>BDH|5983587101938789225</stp>
        <tr r="Q29" s="2"/>
      </tp>
      <tp t="s">
        <v>#N/A N/A</v>
        <stp/>
        <stp>BDH|35511256751071655</stp>
        <tr r="R12" s="2"/>
      </tp>
      <tp t="s">
        <v>#N/A N/A</v>
        <stp/>
        <stp>BDH|7602279595206899163</stp>
        <tr r="O32" s="2"/>
      </tp>
      <tp t="s">
        <v>#N/A N/A</v>
        <stp/>
        <stp>BDH|2814322150386667962</stp>
        <tr r="L48" s="2"/>
      </tp>
      <tp t="s">
        <v>#N/A N/A</v>
        <stp/>
        <stp>BDH|5827471844737859996</stp>
        <tr r="X92" s="2"/>
      </tp>
      <tp t="s">
        <v>#N/A N/A</v>
        <stp/>
        <stp>BDH|8480248848763298607</stp>
        <tr r="E64" s="2"/>
      </tp>
      <tp t="s">
        <v>#N/A N/A</v>
        <stp/>
        <stp>BDH|6034987318756952339</stp>
        <tr r="AC31" s="2"/>
      </tp>
      <tp t="s">
        <v>#N/A N/A</v>
        <stp/>
        <stp>BDH|8958436829934179183</stp>
        <tr r="K10" s="2"/>
      </tp>
      <tp t="s">
        <v>#N/A N/A</v>
        <stp/>
        <stp>BDH|6842429483896439765</stp>
        <tr r="AC95" s="2"/>
      </tp>
      <tp t="s">
        <v>#N/A N/A</v>
        <stp/>
        <stp>BDH|1680070184631648389</stp>
        <tr r="G45" s="2"/>
      </tp>
      <tp t="s">
        <v>#N/A N/A</v>
        <stp/>
        <stp>BDH|6873431450028080407</stp>
        <tr r="W23" s="2"/>
      </tp>
      <tp t="s">
        <v>#N/A N/A</v>
        <stp/>
        <stp>BDH|9586506566272970316</stp>
        <tr r="W11" s="2"/>
      </tp>
      <tp t="s">
        <v>#N/A N/A</v>
        <stp/>
        <stp>BDH|8765490378869927942</stp>
        <tr r="J83" s="2"/>
      </tp>
      <tp t="s">
        <v>#N/A N/A</v>
        <stp/>
        <stp>BDH|8259181961627049337</stp>
        <tr r="I84" s="2"/>
      </tp>
      <tp t="s">
        <v>#N/A N/A</v>
        <stp/>
        <stp>BDH|3517553690092143696</stp>
        <tr r="AF86" s="2"/>
      </tp>
      <tp t="s">
        <v>#N/A N/A</v>
        <stp/>
        <stp>BDH|8535020710190945264</stp>
        <tr r="V13" s="2"/>
      </tp>
      <tp t="s">
        <v>#N/A N/A</v>
        <stp/>
        <stp>BDH|5697927649487719438</stp>
        <tr r="H43" s="2"/>
      </tp>
      <tp t="s">
        <v>#N/A N/A</v>
        <stp/>
        <stp>BDH|6499583352909035478</stp>
        <tr r="S44" s="2"/>
      </tp>
      <tp t="s">
        <v>#N/A N/A</v>
        <stp/>
        <stp>BDH|7276247177691838877</stp>
        <tr r="Z90" s="2"/>
      </tp>
      <tp t="s">
        <v>#N/A N/A</v>
        <stp/>
        <stp>BDH|6373631260144977972</stp>
        <tr r="X13" s="2"/>
      </tp>
      <tp t="s">
        <v>#N/A N/A</v>
        <stp/>
        <stp>BDH|5808942971858166829</stp>
        <tr r="F33" s="2"/>
      </tp>
      <tp t="s">
        <v>#N/A N/A</v>
        <stp/>
        <stp>BDH|4640567989042022075</stp>
        <tr r="H22" s="2"/>
      </tp>
      <tp t="s">
        <v>#N/A N/A</v>
        <stp/>
        <stp>BDH|8235380331813677031</stp>
        <tr r="Z18" s="2"/>
      </tp>
      <tp t="s">
        <v>#N/A N/A</v>
        <stp/>
        <stp>BDH|6872384437299921413</stp>
        <tr r="C61" s="2"/>
      </tp>
      <tp t="s">
        <v>#N/A N/A</v>
        <stp/>
        <stp>BDH|4045994881986095878</stp>
        <tr r="G43" s="2"/>
      </tp>
      <tp t="s">
        <v>#N/A N/A</v>
        <stp/>
        <stp>BDH|4149818008235401233</stp>
        <tr r="V41" s="2"/>
      </tp>
      <tp t="s">
        <v>#N/A N/A</v>
        <stp/>
        <stp>BDH|6097022227487269887</stp>
        <tr r="L32" s="2"/>
      </tp>
      <tp t="s">
        <v>#N/A N/A</v>
        <stp/>
        <stp>BDH|2140318685231872319</stp>
        <tr r="C78" s="2"/>
      </tp>
      <tp t="s">
        <v>#N/A N/A</v>
        <stp/>
        <stp>BDH|2381544394256991362</stp>
        <tr r="R8" s="2"/>
      </tp>
      <tp t="s">
        <v>#N/A N/A</v>
        <stp/>
        <stp>BDH|1957846980782168807</stp>
        <tr r="D71" s="2"/>
      </tp>
      <tp t="s">
        <v>#N/A N/A</v>
        <stp/>
        <stp>BDH|7773428464429509780</stp>
        <tr r="AF42" s="2"/>
      </tp>
      <tp t="s">
        <v>#N/A N/A</v>
        <stp/>
        <stp>BDH|7467194662982325919</stp>
        <tr r="T88" s="2"/>
      </tp>
      <tp t="s">
        <v>#N/A N/A</v>
        <stp/>
        <stp>BDH|6825049424877078856</stp>
        <tr r="AD89" s="2"/>
      </tp>
      <tp t="s">
        <v>#N/A N/A</v>
        <stp/>
        <stp>BDH|7170051013495825825</stp>
        <tr r="R62" s="2"/>
      </tp>
      <tp t="s">
        <v>#N/A N/A</v>
        <stp/>
        <stp>BDH|5803262583731661593</stp>
        <tr r="N18" s="2"/>
      </tp>
      <tp t="s">
        <v>#N/A N/A</v>
        <stp/>
        <stp>BDH|6114677364218229521</stp>
        <tr r="D43" s="2"/>
      </tp>
      <tp t="s">
        <v>#N/A N/A</v>
        <stp/>
        <stp>BDH|6854813299455039929</stp>
        <tr r="F76" s="2"/>
      </tp>
      <tp t="s">
        <v>#N/A N/A</v>
        <stp/>
        <stp>BDH|5180623426048742202</stp>
        <tr r="G76" s="2"/>
      </tp>
      <tp t="s">
        <v>#N/A N/A</v>
        <stp/>
        <stp>BDH|5691307865012005913</stp>
        <tr r="AE27" s="2"/>
      </tp>
      <tp t="s">
        <v>#N/A N/A</v>
        <stp/>
        <stp>BDH|2403001390538140862</stp>
        <tr r="W20" s="2"/>
      </tp>
      <tp t="s">
        <v>#N/A N/A</v>
        <stp/>
        <stp>BDH|9692081751282466584</stp>
        <tr r="AF31" s="2"/>
      </tp>
      <tp t="s">
        <v>#N/A N/A</v>
        <stp/>
        <stp>BDH|6511547433172042918</stp>
        <tr r="AD8" s="2"/>
      </tp>
      <tp t="s">
        <v>#N/A N/A</v>
        <stp/>
        <stp>BDH|4685063334579210555</stp>
        <tr r="V28" s="2"/>
      </tp>
      <tp t="s">
        <v>#N/A N/A</v>
        <stp/>
        <stp>BDH|8616029801523729010</stp>
        <tr r="AD88" s="2"/>
      </tp>
      <tp t="s">
        <v>#N/A N/A</v>
        <stp/>
        <stp>BDH|3149696694560414786</stp>
        <tr r="I51" s="2"/>
      </tp>
      <tp t="s">
        <v>#N/A N/A</v>
        <stp/>
        <stp>BDH|2628864029242159182</stp>
        <tr r="R20" s="2"/>
      </tp>
      <tp t="s">
        <v>#N/A N/A</v>
        <stp/>
        <stp>BDH|9651302952016054241</stp>
        <tr r="Y23" s="2"/>
      </tp>
      <tp t="s">
        <v>#N/A N/A</v>
        <stp/>
        <stp>BDH|9233863902789524332</stp>
        <tr r="R47" s="2"/>
      </tp>
      <tp t="s">
        <v>#N/A N/A</v>
        <stp/>
        <stp>BDH|3336104473019116710</stp>
        <tr r="M8" s="2"/>
      </tp>
      <tp t="s">
        <v>#N/A N/A</v>
        <stp/>
        <stp>BDH|1438630632959042657</stp>
        <tr r="AF72" s="2"/>
      </tp>
      <tp t="s">
        <v>#N/A N/A</v>
        <stp/>
        <stp>BDH|1399390819989514169</stp>
        <tr r="H31" s="2"/>
      </tp>
      <tp t="s">
        <v>#N/A N/A</v>
        <stp/>
        <stp>BDH|9684415012982005558</stp>
        <tr r="O13" s="2"/>
      </tp>
      <tp t="s">
        <v>#N/A N/A</v>
        <stp/>
        <stp>BDH|2770330141707566908</stp>
        <tr r="C46" s="2"/>
      </tp>
      <tp t="s">
        <v>#N/A N/A</v>
        <stp/>
        <stp>BDH|9442627929911956761</stp>
        <tr r="Z40" s="2"/>
      </tp>
      <tp t="s">
        <v>#N/A N/A</v>
        <stp/>
        <stp>BDH|5084719569599075692</stp>
        <tr r="Z15" s="2"/>
      </tp>
      <tp t="s">
        <v>#N/A N/A</v>
        <stp/>
        <stp>BDH|9719101017285029714</stp>
        <tr r="E29" s="2"/>
      </tp>
      <tp t="s">
        <v>#N/A N/A</v>
        <stp/>
        <stp>BDH|1278966182912295957</stp>
        <tr r="AB17" s="2"/>
      </tp>
      <tp t="s">
        <v>#N/A N/A</v>
        <stp/>
        <stp>BDH|6313568204399401143</stp>
        <tr r="F71" s="2"/>
      </tp>
      <tp t="s">
        <v>#N/A N/A</v>
        <stp/>
        <stp>BDH|4263247852468659038</stp>
        <tr r="AB55" s="2"/>
      </tp>
      <tp t="s">
        <v>#N/A N/A</v>
        <stp/>
        <stp>BDH|6697130875109973284</stp>
        <tr r="Z92" s="2"/>
      </tp>
      <tp t="s">
        <v>#N/A N/A</v>
        <stp/>
        <stp>BDH|2076829746323609637</stp>
        <tr r="D61" s="2"/>
      </tp>
      <tp t="s">
        <v>#N/A N/A</v>
        <stp/>
        <stp>BDH|1891148675638611492</stp>
        <tr r="S32" s="2"/>
      </tp>
      <tp t="s">
        <v>#N/A N/A</v>
        <stp/>
        <stp>BDH|8150978330890856984</stp>
        <tr r="AC61" s="2"/>
      </tp>
      <tp t="s">
        <v>#N/A N/A</v>
        <stp/>
        <stp>BDH|7936561893915998538</stp>
        <tr r="S86" s="2"/>
      </tp>
      <tp t="s">
        <v>#N/A N/A</v>
        <stp/>
        <stp>BDH|4617011855749092344</stp>
        <tr r="AB64" s="2"/>
      </tp>
      <tp t="s">
        <v>#N/A N/A</v>
        <stp/>
        <stp>BDH|8780617263164546766</stp>
        <tr r="C82" s="2"/>
      </tp>
      <tp t="s">
        <v>#N/A N/A</v>
        <stp/>
        <stp>BDH|8925230057871927527</stp>
        <tr r="C93" s="2"/>
      </tp>
      <tp t="s">
        <v>#N/A N/A</v>
        <stp/>
        <stp>BDH|9432947817692023803</stp>
        <tr r="AF34" s="2"/>
      </tp>
      <tp t="s">
        <v>#N/A N/A</v>
        <stp/>
        <stp>BDH|5199562277499163565</stp>
        <tr r="M13" s="2"/>
      </tp>
      <tp t="s">
        <v>#N/A N/A</v>
        <stp/>
        <stp>BDH|5636485767675552985</stp>
        <tr r="E47" s="2"/>
      </tp>
      <tp t="s">
        <v>#N/A N/A</v>
        <stp/>
        <stp>BDH|6363516236598315333</stp>
        <tr r="D70" s="2"/>
      </tp>
      <tp t="s">
        <v>#N/A N/A</v>
        <stp/>
        <stp>BDH|8702532190058489741</stp>
        <tr r="AD45" s="2"/>
      </tp>
      <tp t="s">
        <v>#N/A N/A</v>
        <stp/>
        <stp>BDH|5222855180999741741</stp>
        <tr r="P12" s="2"/>
      </tp>
      <tp t="s">
        <v>#N/A N/A</v>
        <stp/>
        <stp>BDH|2498688900147899819</stp>
        <tr r="P55" s="2"/>
      </tp>
      <tp t="s">
        <v>#N/A N/A</v>
        <stp/>
        <stp>BDH|9110388038953629121</stp>
        <tr r="AB46" s="2"/>
      </tp>
      <tp t="s">
        <v>#N/A N/A</v>
        <stp/>
        <stp>BDH|1090510842748356359</stp>
        <tr r="P23" s="2"/>
      </tp>
      <tp t="s">
        <v>#N/A N/A</v>
        <stp/>
        <stp>BDH|6156641990133642164</stp>
        <tr r="S90" s="2"/>
      </tp>
      <tp t="s">
        <v>#N/A N/A</v>
        <stp/>
        <stp>BDH|96202647003533310</stp>
        <tr r="H23" s="2"/>
      </tp>
      <tp t="s">
        <v>#N/A N/A</v>
        <stp/>
        <stp>BDH|52425374464076166</stp>
        <tr r="X93" s="2"/>
      </tp>
      <tp t="s">
        <v>#N/A N/A</v>
        <stp/>
        <stp>BDH|3575336766045855725</stp>
        <tr r="R36" s="2"/>
      </tp>
      <tp t="s">
        <v>#N/A N/A</v>
        <stp/>
        <stp>BDH|4805581578733229105</stp>
        <tr r="S43" s="2"/>
      </tp>
      <tp t="s">
        <v>#N/A N/A</v>
        <stp/>
        <stp>BDH|9237387390204089308</stp>
        <tr r="Z57" s="2"/>
      </tp>
      <tp t="s">
        <v>#N/A N/A</v>
        <stp/>
        <stp>BDH|7679068224342677384</stp>
        <tr r="U28" s="2"/>
      </tp>
      <tp t="s">
        <v>#N/A N/A</v>
        <stp/>
        <stp>BDH|2083480060651162529</stp>
        <tr r="T85" s="2"/>
      </tp>
      <tp t="s">
        <v>#N/A N/A</v>
        <stp/>
        <stp>BDH|6156535343215301693</stp>
        <tr r="F8" s="2"/>
      </tp>
      <tp t="s">
        <v>#N/A N/A</v>
        <stp/>
        <stp>BDH|2272881872828383109</stp>
        <tr r="I34" s="2"/>
      </tp>
      <tp t="s">
        <v>#N/A N/A</v>
        <stp/>
        <stp>BDH|6813662263803394167</stp>
        <tr r="O78" s="2"/>
      </tp>
      <tp t="s">
        <v>#N/A N/A</v>
        <stp/>
        <stp>BDH|6421117646373250496</stp>
        <tr r="K47" s="2"/>
      </tp>
      <tp t="s">
        <v>#N/A N/A</v>
        <stp/>
        <stp>BDH|5224709913355851213</stp>
        <tr r="P36" s="2"/>
      </tp>
      <tp t="s">
        <v>#N/A N/A</v>
        <stp/>
        <stp>BDH|7905512134392330763</stp>
        <tr r="I66" s="2"/>
      </tp>
      <tp t="s">
        <v>#N/A N/A</v>
        <stp/>
        <stp>BDH|2785342148772489367</stp>
        <tr r="G34" s="2"/>
      </tp>
      <tp t="s">
        <v>#N/A N/A</v>
        <stp/>
        <stp>BDH|5392135579961496649</stp>
        <tr r="F58" s="2"/>
      </tp>
      <tp t="s">
        <v>#N/A N/A</v>
        <stp/>
        <stp>BDH|2905321807725263076</stp>
        <tr r="AD22" s="2"/>
      </tp>
      <tp t="s">
        <v>#N/A N/A</v>
        <stp/>
        <stp>BDH|8709532298210095050</stp>
        <tr r="U27" s="2"/>
      </tp>
      <tp t="s">
        <v>#N/A N/A</v>
        <stp/>
        <stp>BDH|2773176811973028581</stp>
        <tr r="V7" s="2"/>
      </tp>
      <tp t="s">
        <v>#N/A N/A</v>
        <stp/>
        <stp>BDH|4342349921101841077</stp>
        <tr r="O93" s="2"/>
      </tp>
      <tp t="s">
        <v>#N/A N/A</v>
        <stp/>
        <stp>BDH|1255498813436136675</stp>
        <tr r="M33" s="2"/>
      </tp>
      <tp t="s">
        <v>#N/A N/A</v>
        <stp/>
        <stp>BDH|1745141905393905704</stp>
        <tr r="R17" s="2"/>
      </tp>
      <tp t="s">
        <v>#N/A N/A</v>
        <stp/>
        <stp>BDH|1589433008079693870</stp>
        <tr r="G94" s="2"/>
      </tp>
      <tp t="s">
        <v>#N/A N/A</v>
        <stp/>
        <stp>BDH|8218941856371629196</stp>
        <tr r="G68" s="2"/>
      </tp>
      <tp t="s">
        <v>#N/A N/A</v>
        <stp/>
        <stp>BDH|9203978053682067394</stp>
        <tr r="U42" s="2"/>
      </tp>
      <tp t="s">
        <v>#N/A N/A</v>
        <stp/>
        <stp>BDH|7557367946721953504</stp>
        <tr r="Y94" s="2"/>
      </tp>
      <tp t="s">
        <v>#N/A N/A</v>
        <stp/>
        <stp>BDH|7559095218673157197</stp>
        <tr r="K78" s="2"/>
      </tp>
      <tp t="s">
        <v>#N/A N/A</v>
        <stp/>
        <stp>BDH|9021571792670817101</stp>
        <tr r="H75" s="2"/>
      </tp>
      <tp t="s">
        <v>#N/A N/A</v>
        <stp/>
        <stp>BDH|6271844869739300512</stp>
        <tr r="Y53" s="2"/>
      </tp>
      <tp t="s">
        <v>#N/A N/A</v>
        <stp/>
        <stp>BDH|1605137454201994057</stp>
        <tr r="Q43" s="2"/>
      </tp>
      <tp t="s">
        <v>#N/A N/A</v>
        <stp/>
        <stp>BDH|4962269706912238094</stp>
        <tr r="F86" s="2"/>
      </tp>
      <tp t="s">
        <v>#N/A N/A</v>
        <stp/>
        <stp>BDH|9558907530742364542</stp>
        <tr r="G75" s="2"/>
      </tp>
      <tp t="s">
        <v>#N/A N/A</v>
        <stp/>
        <stp>BDH|7621516110962149549</stp>
        <tr r="X43" s="2"/>
      </tp>
      <tp t="s">
        <v>#N/A N/A</v>
        <stp/>
        <stp>BDH|3550808146539486252</stp>
        <tr r="J62" s="2"/>
      </tp>
      <tp t="s">
        <v>#N/A N/A</v>
        <stp/>
        <stp>BDH|4165350266436136319</stp>
        <tr r="H86" s="2"/>
      </tp>
      <tp t="s">
        <v>#N/A N/A</v>
        <stp/>
        <stp>BDH|6607712590944704826</stp>
        <tr r="J74" s="2"/>
      </tp>
      <tp t="s">
        <v>#N/A N/A</v>
        <stp/>
        <stp>BDH|4132083277390470791</stp>
        <tr r="S48" s="2"/>
      </tp>
      <tp t="s">
        <v>#N/A N/A</v>
        <stp/>
        <stp>BDH|3723368574584490720</stp>
        <tr r="G10" s="2"/>
      </tp>
      <tp t="s">
        <v>#N/A N/A</v>
        <stp/>
        <stp>BDH|1714562665942153465</stp>
        <tr r="D54" s="2"/>
      </tp>
      <tp t="s">
        <v>#N/A N/A</v>
        <stp/>
        <stp>BDH|4858703213193980510</stp>
        <tr r="M58" s="2"/>
      </tp>
      <tp t="s">
        <v>#N/A N/A</v>
        <stp/>
        <stp>BDH|3251619261403458452</stp>
        <tr r="AA13" s="2"/>
      </tp>
      <tp t="s">
        <v>#N/A N/A</v>
        <stp/>
        <stp>BDH|1637123974225969695</stp>
        <tr r="R40" s="2"/>
      </tp>
      <tp t="s">
        <v>#N/A N/A</v>
        <stp/>
        <stp>BDH|8562194655390851817</stp>
        <tr r="AA20" s="2"/>
      </tp>
      <tp t="s">
        <v>#N/A N/A</v>
        <stp/>
        <stp>BDH|2605980568619569032</stp>
        <tr r="AE52" s="2"/>
      </tp>
      <tp t="s">
        <v>#N/A N/A</v>
        <stp/>
        <stp>BDH|3489025157913546144</stp>
        <tr r="J45" s="2"/>
      </tp>
      <tp t="s">
        <v>#N/A N/A</v>
        <stp/>
        <stp>BDH|4686303051284787206</stp>
        <tr r="AD64" s="2"/>
      </tp>
      <tp t="s">
        <v>#N/A N/A</v>
        <stp/>
        <stp>BDH|2521550181969457257</stp>
        <tr r="AA59" s="2"/>
      </tp>
      <tp t="s">
        <v>#N/A N/A</v>
        <stp/>
        <stp>BDH|8848620883761188382</stp>
        <tr r="AA54" s="2"/>
      </tp>
      <tp t="s">
        <v>#N/A N/A</v>
        <stp/>
        <stp>BDH|5905129716303419293</stp>
        <tr r="P58" s="2"/>
      </tp>
      <tp t="s">
        <v>#N/A N/A</v>
        <stp/>
        <stp>BDH|5949436261377332489</stp>
        <tr r="O55" s="2"/>
      </tp>
      <tp t="s">
        <v>#N/A N/A</v>
        <stp/>
        <stp>BDH|4116996606398793191</stp>
        <tr r="H63" s="2"/>
      </tp>
      <tp t="s">
        <v>#N/A N/A</v>
        <stp/>
        <stp>BDH|7018742623301086776</stp>
        <tr r="J92" s="2"/>
      </tp>
      <tp t="s">
        <v>#N/A N/A</v>
        <stp/>
        <stp>BDH|9757081204679266486</stp>
        <tr r="M84" s="2"/>
      </tp>
      <tp t="s">
        <v>#N/A N/A</v>
        <stp/>
        <stp>BDH|6905985145558533706</stp>
        <tr r="S84" s="2"/>
      </tp>
      <tp t="s">
        <v>#N/A N/A</v>
        <stp/>
        <stp>BDH|4032204186633019977</stp>
        <tr r="U26" s="2"/>
      </tp>
      <tp t="s">
        <v>#N/A N/A</v>
        <stp/>
        <stp>BDH|4275929297744619405</stp>
        <tr r="F92" s="2"/>
      </tp>
      <tp t="s">
        <v>#N/A N/A</v>
        <stp/>
        <stp>BDH|3361086803916830116</stp>
        <tr r="G88" s="2"/>
      </tp>
      <tp t="s">
        <v>#N/A N/A</v>
        <stp/>
        <stp>BDH|4262415110283207672</stp>
        <tr r="X86" s="2"/>
      </tp>
      <tp t="s">
        <v>#N/A N/A</v>
        <stp/>
        <stp>BDH|4475522376414639607</stp>
        <tr r="AB88" s="2"/>
      </tp>
      <tp t="s">
        <v>#N/A N/A</v>
        <stp/>
        <stp>BDH|6074217394341618856</stp>
        <tr r="D32" s="2"/>
      </tp>
      <tp t="s">
        <v>#N/A N/A</v>
        <stp/>
        <stp>BDH|3767978287685765367</stp>
        <tr r="F52" s="2"/>
      </tp>
      <tp t="s">
        <v>#N/A N/A</v>
        <stp/>
        <stp>BDH|7707014856217731118</stp>
        <tr r="AE24" s="2"/>
      </tp>
      <tp t="s">
        <v>#N/A N/A</v>
        <stp/>
        <stp>BDH|4691438512110692576</stp>
        <tr r="C50" s="2"/>
      </tp>
      <tp t="s">
        <v>#N/A N/A</v>
        <stp/>
        <stp>BDH|7734241305620482143</stp>
        <tr r="Q71" s="2"/>
      </tp>
      <tp t="s">
        <v>#N/A N/A</v>
        <stp/>
        <stp>BDH|3510468026573100222</stp>
        <tr r="O21" s="2"/>
      </tp>
      <tp t="s">
        <v>#N/A N/A</v>
        <stp/>
        <stp>BDH|3562773822681341359</stp>
        <tr r="V55" s="2"/>
      </tp>
      <tp t="s">
        <v>#N/A N/A</v>
        <stp/>
        <stp>BDH|1718037763790906391</stp>
        <tr r="J89" s="2"/>
      </tp>
      <tp t="s">
        <v>#N/A N/A</v>
        <stp/>
        <stp>BDH|2791660824224683643</stp>
        <tr r="G69" s="2"/>
      </tp>
      <tp t="s">
        <v>#N/A N/A</v>
        <stp/>
        <stp>BDH|5385244139514127489</stp>
        <tr r="K93" s="2"/>
      </tp>
      <tp t="s">
        <v>#N/A N/A</v>
        <stp/>
        <stp>BDH|7422162767661336510</stp>
        <tr r="K68" s="2"/>
      </tp>
      <tp t="s">
        <v>#N/A N/A</v>
        <stp/>
        <stp>BDH|2165229417232126729</stp>
        <tr r="D56" s="2"/>
      </tp>
      <tp t="s">
        <v>#N/A N/A</v>
        <stp/>
        <stp>BDH|2762148837893645758</stp>
        <tr r="O61" s="2"/>
      </tp>
      <tp t="s">
        <v>#N/A N/A</v>
        <stp/>
        <stp>BDH|8356811136636341108</stp>
        <tr r="AA21" s="2"/>
      </tp>
      <tp t="s">
        <v>#N/A N/A</v>
        <stp/>
        <stp>BDH|9116148047460259848</stp>
        <tr r="K92" s="2"/>
      </tp>
      <tp t="s">
        <v>#N/A N/A</v>
        <stp/>
        <stp>BDH|6615415626530640436</stp>
        <tr r="U60" s="2"/>
      </tp>
      <tp t="s">
        <v>#N/A N/A</v>
        <stp/>
        <stp>BDH|4267564168676930513</stp>
        <tr r="X65" s="2"/>
      </tp>
      <tp t="s">
        <v>#N/A N/A</v>
        <stp/>
        <stp>BDH|1604917713754945990</stp>
        <tr r="Z43" s="2"/>
      </tp>
      <tp t="s">
        <v>#N/A N/A</v>
        <stp/>
        <stp>BDH|3707452752266149052</stp>
        <tr r="E93" s="2"/>
      </tp>
      <tp t="s">
        <v>#N/A N/A</v>
        <stp/>
        <stp>BDH|9038144250138871187</stp>
        <tr r="AE73" s="2"/>
      </tp>
      <tp t="s">
        <v>#N/A N/A</v>
        <stp/>
        <stp>BDH|1438395508842620474</stp>
        <tr r="R41" s="2"/>
      </tp>
      <tp t="s">
        <v>#N/A N/A</v>
        <stp/>
        <stp>BDH|8314424624803297939</stp>
        <tr r="Y25" s="2"/>
      </tp>
      <tp t="s">
        <v>#N/A N/A</v>
        <stp/>
        <stp>BDH|9752154411848137567</stp>
        <tr r="Z86" s="2"/>
      </tp>
      <tp t="s">
        <v>#N/A N/A</v>
        <stp/>
        <stp>BDH|8794061598583900640</stp>
        <tr r="E7" s="2"/>
      </tp>
      <tp t="s">
        <v>#N/A N/A</v>
        <stp/>
        <stp>BDH|1721223795937207964</stp>
        <tr r="AB15" s="2"/>
      </tp>
      <tp t="s">
        <v>#N/A N/A</v>
        <stp/>
        <stp>BDH|5042316400844683622</stp>
        <tr r="AD54" s="2"/>
      </tp>
      <tp t="s">
        <v>#N/A N/A</v>
        <stp/>
        <stp>BDH|7437148292322258958</stp>
        <tr r="V71" s="2"/>
      </tp>
      <tp t="s">
        <v>#N/A N/A</v>
        <stp/>
        <stp>BDH|9434837060050052325</stp>
        <tr r="L84" s="2"/>
      </tp>
      <tp t="s">
        <v>#N/A N/A</v>
        <stp/>
        <stp>BDH|4060610457182206119</stp>
        <tr r="AF92" s="2"/>
      </tp>
      <tp t="s">
        <v>#N/A N/A</v>
        <stp/>
        <stp>BDH|6960212948145250080</stp>
        <tr r="W88" s="2"/>
      </tp>
      <tp t="s">
        <v>#N/A N/A</v>
        <stp/>
        <stp>BDH|3724231744285290588</stp>
        <tr r="Y27" s="2"/>
      </tp>
      <tp t="s">
        <v>#N/A N/A</v>
        <stp/>
        <stp>BDH|6933232574487208167</stp>
        <tr r="AC58" s="2"/>
      </tp>
      <tp t="s">
        <v>#N/A N/A</v>
        <stp/>
        <stp>BDH|7611121600443928073</stp>
        <tr r="I70" s="2"/>
      </tp>
      <tp t="s">
        <v>#N/A N/A</v>
        <stp/>
        <stp>BDH|8485702939391798806</stp>
        <tr r="K40" s="2"/>
      </tp>
      <tp t="s">
        <v>#N/A N/A</v>
        <stp/>
        <stp>BDH|5288602560016138691</stp>
        <tr r="AE86" s="2"/>
      </tp>
      <tp t="s">
        <v>#N/A N/A</v>
        <stp/>
        <stp>BDH|5686392311537025540</stp>
        <tr r="AA39" s="2"/>
      </tp>
      <tp t="s">
        <v>#N/A N/A</v>
        <stp/>
        <stp>BDH|4321603133493216789</stp>
        <tr r="O54" s="2"/>
      </tp>
      <tp t="s">
        <v>#N/A N/A</v>
        <stp/>
        <stp>BDH|4135467168655496615</stp>
        <tr r="L47" s="2"/>
      </tp>
      <tp t="s">
        <v>#N/A N/A</v>
        <stp/>
        <stp>BDH|1542596007222171309</stp>
        <tr r="I10" s="2"/>
      </tp>
      <tp t="s">
        <v>#N/A N/A</v>
        <stp/>
        <stp>BDH|3102591162744235134</stp>
        <tr r="X53" s="2"/>
      </tp>
      <tp t="s">
        <v>#N/A N/A</v>
        <stp/>
        <stp>BDH|6886454322197557219</stp>
        <tr r="AE29" s="2"/>
      </tp>
      <tp t="s">
        <v>#N/A N/A</v>
        <stp/>
        <stp>BDH|5415800986235061595</stp>
        <tr r="V44" s="2"/>
      </tp>
      <tp t="s">
        <v>#N/A N/A</v>
        <stp/>
        <stp>BDH|1078233032123886626</stp>
        <tr r="AC19" s="2"/>
      </tp>
      <tp t="s">
        <v>#N/A N/A</v>
        <stp/>
        <stp>BDH|4504565981698068498</stp>
        <tr r="Q34" s="2"/>
      </tp>
      <tp t="s">
        <v>#N/A N/A</v>
        <stp/>
        <stp>BDH|6611254567977717081</stp>
        <tr r="N53" s="2"/>
      </tp>
      <tp t="s">
        <v>#N/A N/A</v>
        <stp/>
        <stp>BDH|7277849341096638899</stp>
        <tr r="Q64" s="2"/>
      </tp>
      <tp t="s">
        <v>#N/A N/A</v>
        <stp/>
        <stp>BDH|7091937448408603755</stp>
        <tr r="L55" s="2"/>
      </tp>
      <tp t="s">
        <v>#N/A N/A</v>
        <stp/>
        <stp>BDH|2955542754575335235</stp>
        <tr r="V66" s="2"/>
      </tp>
      <tp t="s">
        <v>#N/A N/A</v>
        <stp/>
        <stp>BDH|6785041729245187427</stp>
        <tr r="AD85" s="2"/>
      </tp>
      <tp t="s">
        <v>#N/A N/A</v>
        <stp/>
        <stp>BDH|2891727598219902025</stp>
        <tr r="R60" s="2"/>
      </tp>
      <tp t="s">
        <v>#N/A N/A</v>
        <stp/>
        <stp>BDH|8595003852610855861</stp>
        <tr r="AD35" s="2"/>
      </tp>
      <tp t="s">
        <v>#N/A N/A</v>
        <stp/>
        <stp>BDH|5366791843342328139</stp>
        <tr r="F39" s="2"/>
      </tp>
      <tp t="s">
        <v>#N/A N/A</v>
        <stp/>
        <stp>BDH|4475288368007826253</stp>
        <tr r="P8" s="2"/>
      </tp>
      <tp t="s">
        <v>#N/A N/A</v>
        <stp/>
        <stp>BDH|5288886187398542817</stp>
        <tr r="T89" s="2"/>
      </tp>
      <tp t="s">
        <v>#N/A N/A</v>
        <stp/>
        <stp>BDH|3457799600381289014</stp>
        <tr r="AE10" s="2"/>
      </tp>
      <tp t="s">
        <v>#N/A N/A</v>
        <stp/>
        <stp>BDH|2498086891788230618</stp>
        <tr r="L63" s="2"/>
      </tp>
      <tp t="s">
        <v>#N/A N/A</v>
        <stp/>
        <stp>BDH|2944065314404782228</stp>
        <tr r="T14" s="2"/>
      </tp>
      <tp t="s">
        <v>#N/A N/A</v>
        <stp/>
        <stp>BDH|5832330335641878185</stp>
        <tr r="AD12" s="2"/>
      </tp>
      <tp t="s">
        <v>#N/A N/A</v>
        <stp/>
        <stp>BDH|7128966161835133899</stp>
        <tr r="AF25" s="2"/>
      </tp>
      <tp t="s">
        <v>#N/A N/A</v>
        <stp/>
        <stp>BDH|1349337397908163686</stp>
        <tr r="AE44" s="2"/>
      </tp>
      <tp t="s">
        <v>#N/A N/A</v>
        <stp/>
        <stp>BDH|1115402017849835804</stp>
        <tr r="N13" s="2"/>
      </tp>
      <tp t="s">
        <v>#N/A N/A</v>
        <stp/>
        <stp>BDH|7988001911334524736</stp>
        <tr r="H24" s="2"/>
      </tp>
      <tp t="s">
        <v>#N/A N/A</v>
        <stp/>
        <stp>BDH|6538497125632688714</stp>
        <tr r="O51" s="2"/>
      </tp>
      <tp t="s">
        <v>#N/A N/A</v>
        <stp/>
        <stp>BDH|2026058930767837330</stp>
        <tr r="Y64" s="2"/>
      </tp>
      <tp t="s">
        <v>#N/A N/A</v>
        <stp/>
        <stp>BDH|1206021939972197571</stp>
        <tr r="Q53" s="2"/>
      </tp>
      <tp t="s">
        <v>#N/A N/A</v>
        <stp/>
        <stp>BDH|7573757837981020782</stp>
        <tr r="U31" s="2"/>
      </tp>
      <tp t="s">
        <v>#N/A N/A</v>
        <stp/>
        <stp>BDH|8418115507704999842</stp>
        <tr r="X76" s="2"/>
      </tp>
      <tp t="s">
        <v>#N/A N/A</v>
        <stp/>
        <stp>BDH|1612306849105485645</stp>
        <tr r="AC32" s="2"/>
      </tp>
      <tp t="s">
        <v>#N/A N/A</v>
        <stp/>
        <stp>BDH|6149618559611222179</stp>
        <tr r="Y52" s="2"/>
      </tp>
      <tp t="s">
        <v>#N/A N/A</v>
        <stp/>
        <stp>BDH|5609166009599467816</stp>
        <tr r="D7" s="2"/>
      </tp>
      <tp t="s">
        <v>#N/A N/A</v>
        <stp/>
        <stp>BDH|4437066929225751606</stp>
        <tr r="AD73" s="2"/>
      </tp>
      <tp t="s">
        <v>#N/A N/A</v>
        <stp/>
        <stp>BDH|2548671420124726791</stp>
        <tr r="V14" s="2"/>
      </tp>
      <tp t="s">
        <v>#N/A N/A</v>
        <stp/>
        <stp>BDH|5142716959805536700</stp>
        <tr r="M20" s="2"/>
      </tp>
      <tp t="s">
        <v>#N/A N/A</v>
        <stp/>
        <stp>BDH|9658038412595306880</stp>
        <tr r="U67" s="2"/>
      </tp>
      <tp t="s">
        <v>#N/A N/A</v>
        <stp/>
        <stp>BDH|3958525172817351361</stp>
        <tr r="L15" s="2"/>
      </tp>
      <tp t="s">
        <v>#N/A N/A</v>
        <stp/>
        <stp>BDH|5174431819045618006</stp>
        <tr r="O40" s="2"/>
      </tp>
      <tp t="s">
        <v>#N/A N/A</v>
        <stp/>
        <stp>BDH|6963362227183024152</stp>
        <tr r="U47" s="2"/>
      </tp>
      <tp t="s">
        <v>#N/A N/A</v>
        <stp/>
        <stp>BDH|6296023051396515090</stp>
        <tr r="H66" s="2"/>
      </tp>
      <tp t="s">
        <v>#N/A N/A</v>
        <stp/>
        <stp>BDH|3418494098478093385</stp>
        <tr r="AA44" s="2"/>
      </tp>
      <tp t="s">
        <v>#N/A N/A</v>
        <stp/>
        <stp>BDH|3824160382849156603</stp>
        <tr r="X9" s="2"/>
      </tp>
      <tp t="s">
        <v>#N/A N/A</v>
        <stp/>
        <stp>BDH|1318466905897760759</stp>
        <tr r="AC75" s="2"/>
      </tp>
      <tp t="s">
        <v>#N/A N/A</v>
        <stp/>
        <stp>BDH|5201253224223431351</stp>
        <tr r="M46" s="2"/>
      </tp>
      <tp t="s">
        <v>#N/A N/A</v>
        <stp/>
        <stp>BDH|6242555056023142028</stp>
        <tr r="AD10" s="2"/>
      </tp>
      <tp t="s">
        <v>#N/A N/A</v>
        <stp/>
        <stp>BDH|8212947057280427167</stp>
        <tr r="S82" s="2"/>
      </tp>
      <tp t="s">
        <v>#N/A N/A</v>
        <stp/>
        <stp>BDH|7083244976861736666</stp>
        <tr r="C68" s="2"/>
      </tp>
      <tp t="s">
        <v>#N/A N/A</v>
        <stp/>
        <stp>BDH|1515634336867647659</stp>
        <tr r="T32" s="2"/>
      </tp>
      <tp t="s">
        <v>#N/A N/A</v>
        <stp/>
        <stp>BDH|5105434952606256714</stp>
        <tr r="F9" s="2"/>
      </tp>
      <tp t="s">
        <v>#N/A N/A</v>
        <stp/>
        <stp>BDH|2210491978432766677</stp>
        <tr r="P34" s="2"/>
      </tp>
      <tp t="s">
        <v>#N/A N/A</v>
        <stp/>
        <stp>BDH|6153551805177582179</stp>
        <tr r="S47" s="2"/>
      </tp>
      <tp t="s">
        <v>#N/A N/A</v>
        <stp/>
        <stp>BDH|4290015872865294309</stp>
        <tr r="N73" s="2"/>
      </tp>
      <tp t="s">
        <v>#N/A N/A</v>
        <stp/>
        <stp>BDH|3692734425493471076</stp>
        <tr r="E61" s="2"/>
      </tp>
      <tp t="s">
        <v>#N/A N/A</v>
        <stp/>
        <stp>BDH|1143704876201285560</stp>
        <tr r="S19" s="2"/>
      </tp>
      <tp t="s">
        <v>#N/A N/A</v>
        <stp/>
        <stp>BDH|4283926241969925584</stp>
        <tr r="S31" s="2"/>
      </tp>
      <tp t="s">
        <v>#N/A N/A</v>
        <stp/>
        <stp>BDH|3995748637441867323</stp>
        <tr r="AF12" s="2"/>
      </tp>
      <tp t="s">
        <v>#N/A N/A</v>
        <stp/>
        <stp>BDH|1016287189477915981</stp>
        <tr r="AD56" s="2"/>
      </tp>
      <tp t="s">
        <v>#N/A N/A</v>
        <stp/>
        <stp>BDH|5252952055739130531</stp>
        <tr r="W16" s="2"/>
      </tp>
      <tp t="s">
        <v>#N/A N/A</v>
        <stp/>
        <stp>BDH|7396666723044393253</stp>
        <tr r="I93" s="2"/>
      </tp>
      <tp t="s">
        <v>#N/A N/A</v>
        <stp/>
        <stp>BDH|3715003565285381511</stp>
        <tr r="D92" s="2"/>
      </tp>
      <tp t="s">
        <v>#N/A N/A</v>
        <stp/>
        <stp>BDH|5419418930796004153</stp>
        <tr r="Y63" s="2"/>
      </tp>
      <tp t="s">
        <v>#N/A N/A</v>
        <stp/>
        <stp>BDH|4407805387984089525</stp>
        <tr r="C60" s="2"/>
      </tp>
      <tp t="s">
        <v>#N/A N/A</v>
        <stp/>
        <stp>BDH|6731641440180605147</stp>
        <tr r="J44" s="2"/>
      </tp>
      <tp t="s">
        <v>#N/A N/A</v>
        <stp/>
        <stp>BDH|1933912719399740501</stp>
        <tr r="Z78" s="2"/>
      </tp>
      <tp t="s">
        <v>#N/A N/A</v>
        <stp/>
        <stp>BDH|8261806232814392258</stp>
        <tr r="R35" s="2"/>
      </tp>
      <tp t="s">
        <v>#N/A N/A</v>
        <stp/>
        <stp>BDH|4333773759912318180</stp>
        <tr r="M92" s="2"/>
      </tp>
      <tp t="s">
        <v>#N/A N/A</v>
        <stp/>
        <stp>BDH|5818769079002570245</stp>
        <tr r="AE55" s="2"/>
      </tp>
      <tp t="s">
        <v>#N/A N/A</v>
        <stp/>
        <stp>BDH|6603457831951447500</stp>
        <tr r="V40" s="2"/>
      </tp>
      <tp t="s">
        <v>#N/A N/A</v>
        <stp/>
        <stp>BDH|9059854354492597321</stp>
        <tr r="E27" s="2"/>
      </tp>
      <tp t="s">
        <v>#N/A N/A</v>
        <stp/>
        <stp>BDH|9253545663379363609</stp>
        <tr r="AE68" s="2"/>
      </tp>
      <tp t="s">
        <v>#N/A N/A</v>
        <stp/>
        <stp>BDH|7685237957184614120</stp>
        <tr r="G22" s="2"/>
      </tp>
      <tp t="s">
        <v>#N/A N/A</v>
        <stp/>
        <stp>BDH|2048207336485969382</stp>
        <tr r="Q10" s="2"/>
      </tp>
      <tp t="s">
        <v>#N/A N/A</v>
        <stp/>
        <stp>BDH|4318054713046252606</stp>
        <tr r="T55" s="2"/>
      </tp>
      <tp t="s">
        <v>#N/A N/A</v>
        <stp/>
        <stp>BDH|2746663678776901078</stp>
        <tr r="U17" s="2"/>
      </tp>
      <tp t="s">
        <v>#N/A N/A</v>
        <stp/>
        <stp>BDH|5428697577606810759</stp>
        <tr r="M69" s="2"/>
      </tp>
      <tp t="s">
        <v>#N/A N/A</v>
        <stp/>
        <stp>BDH|2128408342966319178</stp>
        <tr r="AF65" s="2"/>
      </tp>
      <tp t="s">
        <v>#N/A N/A</v>
        <stp/>
        <stp>BDH|8245312932834548937</stp>
        <tr r="D9" s="2"/>
      </tp>
      <tp t="s">
        <v>#N/A N/A</v>
        <stp/>
        <stp>BDH|5819377318937496576</stp>
        <tr r="AE59" s="2"/>
      </tp>
      <tp t="s">
        <v>#N/A N/A</v>
        <stp/>
        <stp>BDH|2794409672653643777</stp>
        <tr r="D58" s="2"/>
      </tp>
      <tp t="s">
        <v>#N/A N/A</v>
        <stp/>
        <stp>BDH|2631167563754451430</stp>
        <tr r="Q7" s="2"/>
      </tp>
      <tp t="s">
        <v>#N/A N/A</v>
        <stp/>
        <stp>BDH|3228580689688322349</stp>
        <tr r="E84" s="2"/>
      </tp>
      <tp t="s">
        <v>#N/A N/A</v>
        <stp/>
        <stp>BDH|3949661469372411477</stp>
        <tr r="V59" s="2"/>
      </tp>
      <tp t="s">
        <v>#N/A N/A</v>
        <stp/>
        <stp>BDH|15123993150395048</stp>
        <tr r="AD57" s="2"/>
      </tp>
      <tp t="s">
        <v>#N/A N/A</v>
        <stp/>
        <stp>BDH|3768233993826423894</stp>
        <tr r="F49" s="2"/>
      </tp>
      <tp t="s">
        <v>#N/A N/A</v>
        <stp/>
        <stp>BDH|6168583563707619474</stp>
        <tr r="V63" s="2"/>
      </tp>
      <tp t="s">
        <v>#N/A N/A</v>
        <stp/>
        <stp>BDH|1435686670507444132</stp>
        <tr r="AA28" s="2"/>
      </tp>
      <tp t="s">
        <v>#N/A N/A</v>
        <stp/>
        <stp>BDH|2529616546637880110</stp>
        <tr r="W73" s="2"/>
      </tp>
      <tp t="s">
        <v>#N/A N/A</v>
        <stp/>
        <stp>BDH|6953616301694081222</stp>
        <tr r="F59" s="2"/>
      </tp>
      <tp t="s">
        <v>#N/A N/A</v>
        <stp/>
        <stp>BDH|3409050166376812571</stp>
        <tr r="V83" s="2"/>
      </tp>
      <tp t="s">
        <v>#N/A N/A</v>
        <stp/>
        <stp>BDH|9905641998096503685</stp>
        <tr r="S85" s="2"/>
      </tp>
      <tp t="s">
        <v>#N/A N/A</v>
        <stp/>
        <stp>BDH|4576052299103536840</stp>
        <tr r="D68" s="2"/>
      </tp>
      <tp t="s">
        <v>#N/A N/A</v>
        <stp/>
        <stp>BDH|3299124019493308620</stp>
        <tr r="V9" s="2"/>
      </tp>
      <tp t="s">
        <v>#N/A N/A</v>
        <stp/>
        <stp>BDH|6238527919163392721</stp>
        <tr r="W10" s="2"/>
      </tp>
      <tp t="s">
        <v>#N/A N/A</v>
        <stp/>
        <stp>BDH|3012783606230110260</stp>
        <tr r="X47" s="2"/>
      </tp>
      <tp t="s">
        <v>#N/A N/A</v>
        <stp/>
        <stp>BDH|6992814492543270212</stp>
        <tr r="I74" s="2"/>
      </tp>
      <tp t="s">
        <v>#N/A N/A</v>
        <stp/>
        <stp>BDH|6066559919637230377</stp>
        <tr r="T64" s="2"/>
      </tp>
      <tp t="s">
        <v>#N/A N/A</v>
        <stp/>
        <stp>BDH|3894462012043520305</stp>
        <tr r="V70" s="2"/>
      </tp>
      <tp t="s">
        <v>#N/A N/A</v>
        <stp/>
        <stp>BDH|3027084568927077496</stp>
        <tr r="K35" s="2"/>
      </tp>
      <tp t="s">
        <v>#N/A N/A</v>
        <stp/>
        <stp>BDH|1137655059532073634</stp>
        <tr r="R15" s="2"/>
      </tp>
      <tp t="s">
        <v>#N/A N/A</v>
        <stp/>
        <stp>BDH|6504980175346090869</stp>
        <tr r="V47" s="2"/>
      </tp>
      <tp t="s">
        <v>#N/A N/A</v>
        <stp/>
        <stp>BDH|4427386554027566330</stp>
        <tr r="E68" s="2"/>
      </tp>
      <tp t="s">
        <v>#N/A N/A</v>
        <stp/>
        <stp>BDH|3425011319943097726</stp>
        <tr r="E40" s="2"/>
      </tp>
      <tp t="s">
        <v>#N/A N/A</v>
        <stp/>
        <stp>BDH|2404490504545419531</stp>
        <tr r="AD93" s="2"/>
      </tp>
      <tp t="s">
        <v>#N/A N/A</v>
        <stp/>
        <stp>BDH|9371290329599815657</stp>
        <tr r="Y19" s="2"/>
      </tp>
      <tp t="s">
        <v>#N/A N/A</v>
        <stp/>
        <stp>BDH|5568153959831512625</stp>
        <tr r="X77" s="2"/>
      </tp>
      <tp t="s">
        <v>#N/A N/A</v>
        <stp/>
        <stp>BDH|3863596787731100998</stp>
        <tr r="X60" s="2"/>
      </tp>
      <tp t="s">
        <v>#N/A N/A</v>
        <stp/>
        <stp>BDH|7417064788311403808</stp>
        <tr r="V86" s="2"/>
      </tp>
      <tp t="s">
        <v>#N/A N/A</v>
        <stp/>
        <stp>BDH|4592326154686828255</stp>
        <tr r="V61" s="2"/>
      </tp>
      <tp t="s">
        <v>#N/A N/A</v>
        <stp/>
        <stp>BDH|1251795449057439394</stp>
        <tr r="Y46" s="2"/>
      </tp>
      <tp t="s">
        <v>#N/A N/A</v>
        <stp/>
        <stp>BDH|3802664653170358617</stp>
        <tr r="T72" s="2"/>
      </tp>
      <tp t="s">
        <v>#N/A N/A</v>
        <stp/>
        <stp>BDH|8330527396295862731</stp>
        <tr r="P16" s="2"/>
      </tp>
      <tp t="s">
        <v>#N/A N/A</v>
        <stp/>
        <stp>BDH|3654329954714926759</stp>
        <tr r="N74" s="2"/>
      </tp>
      <tp t="s">
        <v>#N/A N/A</v>
        <stp/>
        <stp>BDH|6674661759211038257</stp>
        <tr r="M21" s="2"/>
      </tp>
      <tp t="s">
        <v>#N/A N/A</v>
        <stp/>
        <stp>BDH|7937120485888769058</stp>
        <tr r="M72" s="2"/>
      </tp>
      <tp t="s">
        <v>#N/A N/A</v>
        <stp/>
        <stp>BDH|9864403604353428840</stp>
        <tr r="N7" s="2"/>
      </tp>
      <tp t="s">
        <v>#N/A N/A</v>
        <stp/>
        <stp>BDH|7808583022585674395</stp>
        <tr r="AE90" s="2"/>
      </tp>
      <tp t="s">
        <v>#N/A N/A</v>
        <stp/>
        <stp>BDH|5489250830004553695</stp>
        <tr r="S64" s="2"/>
      </tp>
      <tp t="s">
        <v>#N/A N/A</v>
        <stp/>
        <stp>BDH|9857623985710782151</stp>
        <tr r="F74" s="2"/>
      </tp>
      <tp t="s">
        <v>#N/A N/A</v>
        <stp/>
        <stp>BDH|2960457501680636068</stp>
        <tr r="R85" s="2"/>
      </tp>
      <tp t="s">
        <v>#N/A N/A</v>
        <stp/>
        <stp>BDH|1106397364016603479</stp>
        <tr r="F46" s="2"/>
      </tp>
      <tp t="s">
        <v>#N/A N/A</v>
        <stp/>
        <stp>BDH|7386656567324085534</stp>
        <tr r="W74" s="2"/>
      </tp>
      <tp t="s">
        <v>#N/A N/A</v>
        <stp/>
        <stp>BDH|9154519969274355889</stp>
        <tr r="M23" s="2"/>
      </tp>
      <tp t="s">
        <v>#N/A N/A</v>
        <stp/>
        <stp>BDH|3331218330801429549</stp>
        <tr r="F45" s="2"/>
      </tp>
      <tp t="s">
        <v>#N/A N/A</v>
        <stp/>
        <stp>BDH|4774139876416073206</stp>
        <tr r="C65" s="2"/>
      </tp>
      <tp t="s">
        <v>#N/A N/A</v>
        <stp/>
        <stp>BDH|3739108048291954150</stp>
        <tr r="D44" s="2"/>
      </tp>
      <tp t="s">
        <v>#N/A N/A</v>
        <stp/>
        <stp>BDH|1344011505326360142</stp>
        <tr r="F53" s="2"/>
      </tp>
      <tp t="s">
        <v>#N/A N/A</v>
        <stp/>
        <stp>BDH|9112710724388165256</stp>
        <tr r="AB24" s="2"/>
      </tp>
      <tp t="s">
        <v>#N/A N/A</v>
        <stp/>
        <stp>BDH|8354651785937081730</stp>
        <tr r="D34" s="2"/>
      </tp>
      <tp t="s">
        <v>#N/A N/A</v>
        <stp/>
        <stp>BDH|1810703549846390227</stp>
        <tr r="Z94" s="2"/>
      </tp>
      <tp t="s">
        <v>#N/A N/A</v>
        <stp/>
        <stp>BDH|4850869685722233091</stp>
        <tr r="R74" s="2"/>
      </tp>
      <tp t="s">
        <v>#N/A N/A</v>
        <stp/>
        <stp>BDH|9575534774835313814</stp>
        <tr r="J17" s="2"/>
      </tp>
      <tp t="s">
        <v>#N/A N/A</v>
        <stp/>
        <stp>BDH|8969613289534514450</stp>
        <tr r="AE51" s="2"/>
      </tp>
      <tp t="s">
        <v>#N/A N/A</v>
        <stp/>
        <stp>BDH|9172932210614717340</stp>
        <tr r="U43" s="2"/>
      </tp>
      <tp t="s">
        <v>#N/A N/A</v>
        <stp/>
        <stp>BDH|8425937926770413541</stp>
        <tr r="AA51" s="2"/>
      </tp>
      <tp t="s">
        <v>#N/A N/A</v>
        <stp/>
        <stp>BDH|1957096663027774651</stp>
        <tr r="Y56" s="2"/>
      </tp>
      <tp t="s">
        <v>#N/A N/A</v>
        <stp/>
        <stp>BDH|6045338857546399067</stp>
        <tr r="H15" s="2"/>
      </tp>
      <tp t="s">
        <v>#N/A N/A</v>
        <stp/>
        <stp>BDH|6466552764146448506</stp>
        <tr r="Z10" s="2"/>
      </tp>
      <tp t="s">
        <v>#N/A N/A</v>
        <stp/>
        <stp>BDH|1183708744721454504</stp>
        <tr r="X52" s="2"/>
      </tp>
      <tp t="s">
        <v>#N/A N/A</v>
        <stp/>
        <stp>BDH|9632837044982770177</stp>
        <tr r="C40" s="2"/>
      </tp>
      <tp t="s">
        <v>#N/A N/A</v>
        <stp/>
        <stp>BDH|2490012159718870957</stp>
        <tr r="X7" s="2"/>
      </tp>
      <tp t="s">
        <v>#N/A N/A</v>
        <stp/>
        <stp>BDH|8420595656046559883</stp>
        <tr r="E87" s="2"/>
      </tp>
      <tp t="s">
        <v>#N/A N/A</v>
        <stp/>
        <stp>BDH|8211269610309241407</stp>
        <tr r="AE89" s="2"/>
      </tp>
      <tp t="s">
        <v>#N/A N/A</v>
        <stp/>
        <stp>BDH|7245817211820068845</stp>
        <tr r="F64" s="2"/>
      </tp>
      <tp t="s">
        <v>#N/A N/A</v>
        <stp/>
        <stp>BDH|9449068713268613614</stp>
        <tr r="AB51" s="2"/>
      </tp>
      <tp t="s">
        <v>#N/A N/A</v>
        <stp/>
        <stp>BDH|8689802451701555245</stp>
        <tr r="Y88" s="2"/>
      </tp>
      <tp t="s">
        <v>#N/A N/A</v>
        <stp/>
        <stp>BDH|9526549572514484902</stp>
        <tr r="K72" s="2"/>
      </tp>
      <tp t="s">
        <v>#N/A N/A</v>
        <stp/>
        <stp>BDH|4642286941281039587</stp>
        <tr r="G53" s="2"/>
      </tp>
      <tp t="s">
        <v>#N/A N/A</v>
        <stp/>
        <stp>BDH|5185317942404089059</stp>
        <tr r="S33" s="2"/>
      </tp>
      <tp t="s">
        <v>#N/A N/A</v>
        <stp/>
        <stp>BDH|9368233506954217937</stp>
        <tr r="M73" s="2"/>
      </tp>
      <tp t="s">
        <v>#N/A N/A</v>
        <stp/>
        <stp>BDH|4093266365412297453</stp>
        <tr r="L16" s="2"/>
      </tp>
      <tp t="s">
        <v>#N/A N/A</v>
        <stp/>
        <stp>BDH|4252192664677369282</stp>
        <tr r="AF77" s="2"/>
      </tp>
      <tp t="s">
        <v>#N/A N/A</v>
        <stp/>
        <stp>BDH|5513054742175519233</stp>
        <tr r="J10" s="2"/>
      </tp>
      <tp t="s">
        <v>#N/A N/A</v>
        <stp/>
        <stp>BDH|1248803786956268121</stp>
        <tr r="AA78" s="2"/>
      </tp>
      <tp t="s">
        <v>#N/A N/A</v>
        <stp/>
        <stp>BDH|4038299265611157792</stp>
        <tr r="I26" s="2"/>
      </tp>
      <tp t="s">
        <v>#N/A N/A</v>
        <stp/>
        <stp>BDH|3210510707222900299</stp>
        <tr r="AA72" s="2"/>
      </tp>
      <tp t="s">
        <v>#N/A N/A</v>
        <stp/>
        <stp>BDH|5487647205736595354</stp>
        <tr r="D95" s="2"/>
      </tp>
      <tp t="s">
        <v>#N/A N/A</v>
        <stp/>
        <stp>BDH|7376355002775062716</stp>
        <tr r="E51" s="2"/>
      </tp>
      <tp t="s">
        <v>#N/A N/A</v>
        <stp/>
        <stp>BDH|8902393625527054807</stp>
        <tr r="K55" s="2"/>
      </tp>
      <tp t="s">
        <v>#N/A N/A</v>
        <stp/>
        <stp>BDH|4127763330105456363</stp>
        <tr r="I89" s="2"/>
      </tp>
      <tp t="s">
        <v>#N/A N/A</v>
        <stp/>
        <stp>BDH|9662947432545455018</stp>
        <tr r="K44" s="2"/>
      </tp>
      <tp t="s">
        <v>#N/A N/A</v>
        <stp/>
        <stp>BDH|8197854449341051383</stp>
        <tr r="X90" s="2"/>
      </tp>
      <tp t="s">
        <v>#N/A N/A</v>
        <stp/>
        <stp>BDH|77689498504817073</stp>
        <tr r="Y89" s="2"/>
      </tp>
      <tp t="s">
        <v>#N/A N/A</v>
        <stp/>
        <stp>BDH|3486423067820218693</stp>
        <tr r="Y51" s="2"/>
      </tp>
      <tp t="s">
        <v>#N/A N/A</v>
        <stp/>
        <stp>BDH|7817888829638287214</stp>
        <tr r="R92" s="2"/>
      </tp>
      <tp t="s">
        <v>#N/A N/A</v>
        <stp/>
        <stp>BDH|6046316129624262408</stp>
        <tr r="S49" s="2"/>
      </tp>
      <tp t="s">
        <v>#N/A N/A</v>
        <stp/>
        <stp>BDH|1114349046257170687</stp>
        <tr r="P95" s="2"/>
      </tp>
      <tp t="s">
        <v>#N/A N/A</v>
        <stp/>
        <stp>BDH|2775597940322397677</stp>
        <tr r="U56" s="2"/>
      </tp>
      <tp t="s">
        <v>#N/A N/A</v>
        <stp/>
        <stp>BDH|9989320625296520917</stp>
        <tr r="L64" s="2"/>
      </tp>
      <tp t="s">
        <v>#N/A N/A</v>
        <stp/>
        <stp>BDH|6263297041987232032</stp>
        <tr r="AB48" s="2"/>
      </tp>
      <tp t="s">
        <v>#N/A N/A</v>
        <stp/>
        <stp>BDH|6315715469116743679</stp>
        <tr r="C63" s="2"/>
      </tp>
      <tp t="s">
        <v>#N/A N/A</v>
        <stp/>
        <stp>BDH|7910343990629397351</stp>
        <tr r="AD41" s="2"/>
      </tp>
      <tp t="s">
        <v>#N/A N/A</v>
        <stp/>
        <stp>BDH|5408594709413695495</stp>
        <tr r="G18" s="2"/>
      </tp>
      <tp t="s">
        <v>#N/A N/A</v>
        <stp/>
        <stp>BDH|1734000439241061458</stp>
        <tr r="F29" s="2"/>
      </tp>
      <tp t="s">
        <v>#N/A N/A</v>
        <stp/>
        <stp>BDH|5341016116735911655</stp>
        <tr r="S9" s="2"/>
      </tp>
      <tp t="s">
        <v>#N/A N/A</v>
        <stp/>
        <stp>BDH|2289131725104501299</stp>
        <tr r="S11" s="2"/>
      </tp>
      <tp t="s">
        <v>#N/A N/A</v>
        <stp/>
        <stp>BDH|4270180277173346662</stp>
        <tr r="E94" s="2"/>
      </tp>
      <tp t="s">
        <v>#N/A N/A</v>
        <stp/>
        <stp>BDH|9526847858152857196</stp>
        <tr r="V95" s="2"/>
      </tp>
      <tp t="s">
        <v>#N/A N/A</v>
        <stp/>
        <stp>BDH|5079935387110591392</stp>
        <tr r="F65" s="2"/>
      </tp>
      <tp t="s">
        <v>#N/A N/A</v>
        <stp/>
        <stp>BDH|1435103790779820749</stp>
        <tr r="J36" s="2"/>
      </tp>
      <tp t="s">
        <v>#N/A N/A</v>
        <stp/>
        <stp>BDH|2641686375515046122</stp>
        <tr r="N52" s="2"/>
      </tp>
      <tp t="s">
        <v>#N/A N/A</v>
        <stp/>
        <stp>BDH|2521915788620769421</stp>
        <tr r="S69" s="2"/>
      </tp>
      <tp t="s">
        <v>#N/A N/A</v>
        <stp/>
        <stp>BDH|7497892840545049943</stp>
        <tr r="E62" s="2"/>
      </tp>
      <tp t="s">
        <v>#N/A N/A</v>
        <stp/>
        <stp>BDH|8413285295657496341</stp>
        <tr r="Z59" s="2"/>
      </tp>
      <tp t="s">
        <v>#N/A N/A</v>
        <stp/>
        <stp>BDH|3577459558636649376</stp>
        <tr r="C29" s="2"/>
      </tp>
      <tp t="s">
        <v>#N/A N/A</v>
        <stp/>
        <stp>BDH|4616003387503921861</stp>
        <tr r="L68" s="2"/>
      </tp>
      <tp t="s">
        <v>#N/A N/A</v>
        <stp/>
        <stp>BDH|2995949897330792531</stp>
        <tr r="G29" s="2"/>
      </tp>
      <tp t="s">
        <v>#N/A N/A</v>
        <stp/>
        <stp>BDH|5215195604992940182</stp>
        <tr r="U22" s="2"/>
      </tp>
      <tp t="s">
        <v>#N/A N/A</v>
        <stp/>
        <stp>BDH|7932679250621895294</stp>
        <tr r="AF85" s="2"/>
      </tp>
      <tp t="s">
        <v>#N/A N/A</v>
        <stp/>
        <stp>BDH|9531606327038873250</stp>
        <tr r="M14" s="2"/>
      </tp>
      <tp t="s">
        <v>#N/A N/A</v>
        <stp/>
        <stp>BDH|8827890465006320787</stp>
        <tr r="P84" s="2"/>
      </tp>
      <tp t="s">
        <v>#N/A N/A</v>
        <stp/>
        <stp>BDH|8529996115952654502</stp>
        <tr r="AD24" s="2"/>
      </tp>
      <tp t="s">
        <v>#N/A N/A</v>
        <stp/>
        <stp>BDH|9369084736608209537</stp>
        <tr r="M31" s="2"/>
      </tp>
      <tp t="s">
        <v>#N/A N/A</v>
        <stp/>
        <stp>BDH|2811424375640309600</stp>
        <tr r="O60" s="2"/>
      </tp>
      <tp t="s">
        <v>#N/A N/A</v>
        <stp/>
        <stp>BDH|5047706340665447485</stp>
        <tr r="U24" s="2"/>
      </tp>
      <tp t="s">
        <v>#N/A N/A</v>
        <stp/>
        <stp>BDH|7163494401215358161</stp>
        <tr r="D28" s="2"/>
      </tp>
      <tp t="s">
        <v>#N/A N/A</v>
        <stp/>
        <stp>BDH|4064508955157181483</stp>
        <tr r="R73" s="2"/>
      </tp>
      <tp t="s">
        <v>#N/A N/A</v>
        <stp/>
        <stp>BDH|6834560144151367158</stp>
        <tr r="M43" s="2"/>
      </tp>
      <tp t="s">
        <v>#N/A N/A</v>
        <stp/>
        <stp>BDH|2973736630369201851</stp>
        <tr r="Q14" s="2"/>
      </tp>
      <tp t="s">
        <v>#N/A N/A</v>
        <stp/>
        <stp>BDH|5342155802630050396</stp>
        <tr r="N47" s="2"/>
      </tp>
      <tp t="s">
        <v>#N/A N/A</v>
        <stp/>
        <stp>BDH|6400923300149877138</stp>
        <tr r="X22" s="2"/>
      </tp>
      <tp t="s">
        <v>#N/A N/A</v>
        <stp/>
        <stp>BDH|5576471027532523625</stp>
        <tr r="I69" s="2"/>
      </tp>
      <tp t="s">
        <v>#N/A N/A</v>
        <stp/>
        <stp>BDH|9910895617252505500</stp>
        <tr r="X15" s="2"/>
      </tp>
      <tp t="s">
        <v>#N/A N/A</v>
        <stp/>
        <stp>BDH|4477913832539551002</stp>
        <tr r="I95" s="2"/>
      </tp>
      <tp t="s">
        <v>#N/A N/A</v>
        <stp/>
        <stp>BDH|7165704785148398750</stp>
        <tr r="Y84" s="2"/>
      </tp>
      <tp t="s">
        <v>#N/A N/A</v>
        <stp/>
        <stp>BDH|7333155853025060161</stp>
        <tr r="V35" s="2"/>
      </tp>
      <tp t="s">
        <v>#N/A N/A</v>
        <stp/>
        <stp>BDH|3377877964053351906</stp>
        <tr r="E13" s="2"/>
      </tp>
      <tp t="s">
        <v>#N/A N/A</v>
        <stp/>
        <stp>BDH|3756179444011381046</stp>
        <tr r="AF27" s="2"/>
      </tp>
      <tp t="s">
        <v>#N/A N/A</v>
        <stp/>
        <stp>BDH|6325725496336139955</stp>
        <tr r="K66" s="2"/>
      </tp>
      <tp t="s">
        <v>#N/A N/A</v>
        <stp/>
        <stp>BDH|5509041627845169548</stp>
        <tr r="H25" s="2"/>
      </tp>
      <tp t="s">
        <v>#N/A N/A</v>
        <stp/>
        <stp>BDH|4070903093751419244</stp>
        <tr r="AB77" s="2"/>
      </tp>
      <tp t="s">
        <v>#N/A N/A</v>
        <stp/>
        <stp>BDH|4312982178855516853</stp>
        <tr r="AE17" s="2"/>
      </tp>
      <tp t="s">
        <v>#N/A N/A</v>
        <stp/>
        <stp>BDH|1366355243593237248</stp>
        <tr r="O35" s="2"/>
      </tp>
      <tp t="s">
        <v>#N/A N/A</v>
        <stp/>
        <stp>BDH|1458363925342767507</stp>
        <tr r="AB40" s="2"/>
      </tp>
      <tp t="s">
        <v>#N/A N/A</v>
        <stp/>
        <stp>BDH|6309298053530849612</stp>
        <tr r="S59" s="2"/>
      </tp>
      <tp t="s">
        <v>#N/A N/A</v>
        <stp/>
        <stp>BDH|3600467220597995596</stp>
        <tr r="X57" s="2"/>
      </tp>
      <tp t="s">
        <v>#N/A N/A</v>
        <stp/>
        <stp>BDH|6052337506306247463</stp>
        <tr r="O44" s="2"/>
      </tp>
      <tp t="s">
        <v>#N/A N/A</v>
        <stp/>
        <stp>BDH|1296626034420280378</stp>
        <tr r="AD70" s="2"/>
      </tp>
      <tp t="s">
        <v>#N/A N/A</v>
        <stp/>
        <stp>BDH|4754868601218866392</stp>
        <tr r="U49" s="2"/>
      </tp>
      <tp t="s">
        <v>#N/A N/A</v>
        <stp/>
        <stp>BDH|6196916633158233301</stp>
        <tr r="V90" s="2"/>
      </tp>
      <tp t="s">
        <v>#N/A N/A</v>
        <stp/>
        <stp>BDH|2097179945876652628</stp>
        <tr r="AE14" s="2"/>
      </tp>
      <tp t="s">
        <v>#N/A N/A</v>
        <stp/>
        <stp>BDH|3569520463544316316</stp>
        <tr r="S93" s="2"/>
      </tp>
      <tp t="s">
        <v>#N/A N/A</v>
        <stp/>
        <stp>BDH|2206293675107837707</stp>
        <tr r="AB16" s="2"/>
      </tp>
      <tp t="s">
        <v>#N/A N/A</v>
        <stp/>
        <stp>BDH|3047532221040175358</stp>
        <tr r="H73" s="2"/>
      </tp>
      <tp t="s">
        <v>#N/A N/A</v>
        <stp/>
        <stp>BDH|7404434050680490156</stp>
        <tr r="E35" s="2"/>
      </tp>
      <tp t="s">
        <v>#N/A N/A</v>
        <stp/>
        <stp>BDH|9271083819927383874</stp>
        <tr r="M71" s="2"/>
      </tp>
      <tp t="s">
        <v>#N/A N/A</v>
        <stp/>
        <stp>BDH|6688915361169858799</stp>
        <tr r="J76" s="2"/>
      </tp>
      <tp t="s">
        <v>#N/A N/A</v>
        <stp/>
        <stp>BDH|3470676300302170057</stp>
        <tr r="T76" s="2"/>
      </tp>
      <tp t="s">
        <v>#N/A N/A</v>
        <stp/>
        <stp>BDH|3322522302704702532</stp>
        <tr r="L70" s="2"/>
      </tp>
      <tp t="s">
        <v>#N/A N/A</v>
        <stp/>
        <stp>BDH|1316837499907600088</stp>
        <tr r="W67" s="2"/>
      </tp>
      <tp t="s">
        <v>#N/A N/A</v>
        <stp/>
        <stp>BDH|1232640918563836212</stp>
        <tr r="W17" s="2"/>
      </tp>
      <tp t="s">
        <v>#N/A N/A</v>
        <stp/>
        <stp>BDH|6689520049367365794</stp>
        <tr r="W83" s="2"/>
      </tp>
      <tp t="s">
        <v>#N/A N/A</v>
        <stp/>
        <stp>BDH|4199572565344560416</stp>
        <tr r="M40" s="2"/>
      </tp>
      <tp t="s">
        <v>#N/A N/A</v>
        <stp/>
        <stp>BDH|5440052223483589301</stp>
        <tr r="Z22" s="2"/>
      </tp>
      <tp t="s">
        <v>#N/A N/A</v>
        <stp/>
        <stp>BDH|2086307976649961884</stp>
        <tr r="M86" s="2"/>
      </tp>
      <tp t="s">
        <v>#N/A N/A</v>
        <stp/>
        <stp>BDH|4423461176319433942</stp>
        <tr r="AA9" s="2"/>
      </tp>
      <tp t="s">
        <v>#N/A N/A</v>
        <stp/>
        <stp>BDH|8417955273547329655</stp>
        <tr r="I56" s="2"/>
      </tp>
      <tp t="s">
        <v>#N/A N/A</v>
        <stp/>
        <stp>BDH|7146223906810009213</stp>
        <tr r="K20" s="2"/>
      </tp>
      <tp t="s">
        <v>#N/A N/A</v>
        <stp/>
        <stp>BDH|4826776057530403190</stp>
        <tr r="AB45" s="2"/>
      </tp>
      <tp t="s">
        <v>#N/A N/A</v>
        <stp/>
        <stp>BDH|3068534716752997299</stp>
        <tr r="P19" s="2"/>
      </tp>
      <tp t="s">
        <v>#N/A N/A</v>
        <stp/>
        <stp>BDH|3025914990647093345</stp>
        <tr r="X24" s="2"/>
      </tp>
      <tp t="s">
        <v>#N/A N/A</v>
        <stp/>
        <stp>BDH|63812329949505908</stp>
        <tr r="N59" s="2"/>
      </tp>
      <tp t="s">
        <v>#N/A N/A</v>
        <stp/>
        <stp>BDH|4891222334384159154</stp>
        <tr r="M83" s="2"/>
      </tp>
      <tp t="s">
        <v>#N/A N/A</v>
        <stp/>
        <stp>BDH|4083224099569803693</stp>
        <tr r="AD69" s="2"/>
      </tp>
      <tp t="s">
        <v>#N/A N/A</v>
        <stp/>
        <stp>BDH|2305589066185049470</stp>
        <tr r="AF13" s="2"/>
      </tp>
      <tp t="s">
        <v>#N/A N/A</v>
        <stp/>
        <stp>BDH|4589467546216633292</stp>
        <tr r="AF22" s="2"/>
      </tp>
      <tp t="s">
        <v>#N/A N/A</v>
        <stp/>
        <stp>BDH|4484628312117974479</stp>
        <tr r="Y16" s="2"/>
      </tp>
      <tp t="s">
        <v>#N/A N/A</v>
        <stp/>
        <stp>BDH|4390117956841767189</stp>
        <tr r="E44" s="2"/>
      </tp>
      <tp t="s">
        <v>#N/A N/A</v>
        <stp/>
        <stp>BDH|5985512760637139127</stp>
        <tr r="E54" s="2"/>
      </tp>
      <tp t="s">
        <v>#N/A N/A</v>
        <stp/>
        <stp>BDH|5617581616248319908</stp>
        <tr r="T93" s="2"/>
      </tp>
      <tp t="s">
        <v>#N/A N/A</v>
        <stp/>
        <stp>BDH|7720137169922782236</stp>
        <tr r="Q92" s="2"/>
      </tp>
      <tp t="s">
        <v>#N/A N/A</v>
        <stp/>
        <stp>BDH|9706538101839558590</stp>
        <tr r="I91" s="2"/>
      </tp>
      <tp t="s">
        <v>#N/A N/A</v>
        <stp/>
        <stp>BDH|5800361043303746132</stp>
        <tr r="N93" s="2"/>
      </tp>
      <tp t="s">
        <v>#N/A N/A</v>
        <stp/>
        <stp>BDH|4339536967194666386</stp>
        <tr r="AB57" s="2"/>
      </tp>
      <tp t="s">
        <v>#N/A N/A</v>
        <stp/>
        <stp>BDH|6968068243846422412</stp>
        <tr r="L44" s="2"/>
      </tp>
      <tp t="s">
        <v>#N/A N/A</v>
        <stp/>
        <stp>BDH|5083586856084293120</stp>
        <tr r="G20" s="2"/>
      </tp>
      <tp t="s">
        <v>#N/A N/A</v>
        <stp/>
        <stp>BDH|5071106768644409621</stp>
        <tr r="AC77" s="2"/>
      </tp>
      <tp t="s">
        <v>#N/A N/A</v>
        <stp/>
        <stp>BDH|4186381607772468541</stp>
        <tr r="P66" s="2"/>
      </tp>
      <tp t="s">
        <v>#N/A N/A</v>
        <stp/>
        <stp>BDH|1928672960713886287</stp>
        <tr r="AE77" s="2"/>
      </tp>
      <tp t="s">
        <v>#N/A N/A</v>
        <stp/>
        <stp>BDH|1496772458173124040</stp>
        <tr r="Z19" s="2"/>
      </tp>
      <tp t="s">
        <v>#N/A N/A</v>
        <stp/>
        <stp>BDH|1851215847837706070</stp>
        <tr r="J50" s="2"/>
      </tp>
      <tp t="s">
        <v>#N/A N/A</v>
        <stp/>
        <stp>BDH|2195616301662800675</stp>
        <tr r="U14" s="2"/>
      </tp>
      <tp t="s">
        <v>#N/A N/A</v>
        <stp/>
        <stp>BDH|6940602941883382759</stp>
        <tr r="G15" s="2"/>
      </tp>
      <tp t="s">
        <v>#N/A N/A</v>
        <stp/>
        <stp>BDH|4764404442963238796</stp>
        <tr r="AD32" s="2"/>
      </tp>
      <tp t="s">
        <v>#N/A N/A</v>
        <stp/>
        <stp>BDH|5075745708542005037</stp>
        <tr r="N30" s="2"/>
      </tp>
      <tp t="s">
        <v>#N/A N/A</v>
        <stp/>
        <stp>BDH|3981973535009089040</stp>
        <tr r="L31" s="2"/>
      </tp>
      <tp t="s">
        <v>#N/A N/A</v>
        <stp/>
        <stp>BDH|9820951899591826833</stp>
        <tr r="Y10" s="2"/>
      </tp>
      <tp t="s">
        <v>#N/A N/A</v>
        <stp/>
        <stp>BDH|8192079626908746280</stp>
        <tr r="M54" s="2"/>
      </tp>
      <tp t="s">
        <v>#N/A N/A</v>
        <stp/>
        <stp>BDH|3646293718421893105</stp>
        <tr r="AE28" s="2"/>
      </tp>
      <tp t="s">
        <v>#N/A N/A</v>
        <stp/>
        <stp>BDH|1951080729960634326</stp>
        <tr r="N12" s="2"/>
      </tp>
      <tp t="s">
        <v>#N/A N/A</v>
        <stp/>
        <stp>BDH|6379896587710961688</stp>
        <tr r="E55" s="2"/>
      </tp>
      <tp t="s">
        <v>#N/A N/A</v>
        <stp/>
        <stp>BDH|1942333027345370531</stp>
        <tr r="F40" s="2"/>
      </tp>
      <tp t="s">
        <v>#N/A N/A</v>
        <stp/>
        <stp>BDH|7002786553667526230</stp>
        <tr r="G16" s="2"/>
      </tp>
      <tp t="s">
        <v>#N/A N/A</v>
        <stp/>
        <stp>BDH|9649933836357759493</stp>
        <tr r="AF46" s="2"/>
      </tp>
      <tp t="s">
        <v>#N/A N/A</v>
        <stp/>
        <stp>BDH|5943061120352274505</stp>
        <tr r="T33" s="2"/>
      </tp>
      <tp t="s">
        <v>#N/A N/A</v>
        <stp/>
        <stp>BDH|6967862949213882938</stp>
        <tr r="Q69" s="2"/>
      </tp>
      <tp t="s">
        <v>#N/A N/A</v>
        <stp/>
        <stp>BDH|2490855374285850802</stp>
        <tr r="K11" s="2"/>
      </tp>
      <tp t="s">
        <v>#N/A N/A</v>
        <stp/>
        <stp>BDH|1360194566460850666</stp>
        <tr r="Y68" s="2"/>
      </tp>
      <tp t="s">
        <v>#N/A N/A</v>
        <stp/>
        <stp>BDH|1903142229213554133</stp>
        <tr r="O85" s="2"/>
      </tp>
      <tp t="s">
        <v>#N/A N/A</v>
        <stp/>
        <stp>BDH|1619533871482283144</stp>
        <tr r="F36" s="2"/>
      </tp>
      <tp t="s">
        <v>#N/A N/A</v>
        <stp/>
        <stp>BDH|5719074956253230368</stp>
        <tr r="R57" s="2"/>
      </tp>
      <tp t="s">
        <v>#N/A N/A</v>
        <stp/>
        <stp>BDH|4347510369024040388</stp>
        <tr r="H27" s="2"/>
      </tp>
      <tp t="s">
        <v>#N/A N/A</v>
        <stp/>
        <stp>BDH|6015004930537553254</stp>
        <tr r="G48" s="2"/>
      </tp>
      <tp t="s">
        <v>#N/A N/A</v>
        <stp/>
        <stp>BDH|2181915780026762579</stp>
        <tr r="T49" s="2"/>
      </tp>
      <tp t="s">
        <v>#N/A N/A</v>
        <stp/>
        <stp>BDH|2485158021711023003</stp>
        <tr r="H7" s="2"/>
      </tp>
      <tp t="s">
        <v>#N/A N/A</v>
        <stp/>
        <stp>BDH|9296144784362515277</stp>
        <tr r="R63" s="2"/>
      </tp>
      <tp t="s">
        <v>#N/A N/A</v>
        <stp/>
        <stp>BDH|5799615760290743510</stp>
        <tr r="X14" s="2"/>
      </tp>
      <tp t="s">
        <v>#N/A N/A</v>
        <stp/>
        <stp>BDH|6107395551414937416</stp>
        <tr r="D13" s="2"/>
      </tp>
      <tp t="s">
        <v>#N/A N/A</v>
        <stp/>
        <stp>BDH|3604461122784596166</stp>
        <tr r="N57" s="2"/>
      </tp>
      <tp t="s">
        <v>#N/A N/A</v>
        <stp/>
        <stp>BDH|5809178406232148692</stp>
        <tr r="W48" s="2"/>
      </tp>
      <tp t="s">
        <v>#N/A N/A</v>
        <stp/>
        <stp>BDH|7930717861067669193</stp>
        <tr r="H83" s="2"/>
      </tp>
      <tp t="s">
        <v>#N/A N/A</v>
        <stp/>
        <stp>BDH|6737571160445075061</stp>
        <tr r="L18" s="2"/>
      </tp>
      <tp t="s">
        <v>#N/A N/A</v>
        <stp/>
        <stp>BDH|3844478948193311029</stp>
        <tr r="Z29" s="2"/>
      </tp>
      <tp t="s">
        <v>#N/A N/A</v>
        <stp/>
        <stp>BDH|8887806369424271259</stp>
        <tr r="Q26" s="2"/>
      </tp>
      <tp t="s">
        <v>#N/A N/A</v>
        <stp/>
        <stp>BDH|5891343655162947166</stp>
        <tr r="W59" s="2"/>
      </tp>
      <tp t="s">
        <v>#N/A N/A</v>
        <stp/>
        <stp>BDH|7111979889753110585</stp>
        <tr r="Y91" s="2"/>
      </tp>
      <tp t="s">
        <v>#N/A N/A</v>
        <stp/>
        <stp>BDH|1964353039208680955</stp>
        <tr r="V65" s="2"/>
      </tp>
      <tp t="s">
        <v>#N/A N/A</v>
        <stp/>
        <stp>BDH|3112581030491785486</stp>
        <tr r="O47" s="2"/>
      </tp>
      <tp t="s">
        <v>#N/A N/A</v>
        <stp/>
        <stp>BDH|6158751404745311443</stp>
        <tr r="R11" s="2"/>
      </tp>
      <tp t="s">
        <v>#N/A N/A</v>
        <stp/>
        <stp>BDH|6739374101531059467</stp>
        <tr r="L46" s="2"/>
      </tp>
      <tp t="s">
        <v>#N/A N/A</v>
        <stp/>
        <stp>BDH|1048465541260177110</stp>
        <tr r="O48" s="2"/>
      </tp>
      <tp t="s">
        <v>#N/A N/A</v>
        <stp/>
        <stp>BDH|5885994834036434968</stp>
        <tr r="D90" s="2"/>
      </tp>
      <tp t="s">
        <v>#N/A N/A</v>
        <stp/>
        <stp>BDH|7521906222084979895</stp>
        <tr r="AF54" s="2"/>
      </tp>
      <tp t="s">
        <v>#N/A N/A</v>
        <stp/>
        <stp>BDH|1371898832468999269</stp>
        <tr r="Y57" s="2"/>
      </tp>
      <tp t="s">
        <v>#N/A N/A</v>
        <stp/>
        <stp>BDH|6246150357054781639</stp>
        <tr r="Z27" s="2"/>
      </tp>
      <tp t="s">
        <v>#N/A N/A</v>
        <stp/>
        <stp>BDH|5564487754780839451</stp>
        <tr r="L69" s="2"/>
      </tp>
      <tp t="s">
        <v>#N/A N/A</v>
        <stp/>
        <stp>BDH|6217946590721448763</stp>
        <tr r="E34" s="2"/>
      </tp>
      <tp t="s">
        <v>#N/A N/A</v>
        <stp/>
        <stp>BDH|4017290209885549315</stp>
        <tr r="AF44" s="2"/>
      </tp>
      <tp t="s">
        <v>#N/A N/A</v>
        <stp/>
        <stp>BDH|6328135066813106235</stp>
        <tr r="W33" s="2"/>
      </tp>
      <tp t="s">
        <v>#N/A N/A</v>
        <stp/>
        <stp>BDH|5386916254460392902</stp>
        <tr r="C30" s="2"/>
      </tp>
      <tp t="s">
        <v>#N/A N/A</v>
        <stp/>
        <stp>BDH|3110207126527119437</stp>
        <tr r="AB84" s="2"/>
      </tp>
      <tp t="s">
        <v>#N/A N/A</v>
        <stp/>
        <stp>BDH|2746638674240237379</stp>
        <tr r="AC50" s="2"/>
      </tp>
      <tp t="s">
        <v>#N/A N/A</v>
        <stp/>
        <stp>BDH|6233155776317503712</stp>
        <tr r="AD17" s="2"/>
      </tp>
      <tp t="s">
        <v>#N/A N/A</v>
        <stp/>
        <stp>BDH|7191038424640298518</stp>
        <tr r="F31" s="2"/>
      </tp>
      <tp t="s">
        <v>#N/A N/A</v>
        <stp/>
        <stp>BDH|6018017874371885085</stp>
        <tr r="AB62" s="2"/>
      </tp>
      <tp t="s">
        <v>#N/A N/A</v>
        <stp/>
        <stp>BDH|6800735872355486385</stp>
        <tr r="N51" s="2"/>
      </tp>
      <tp t="s">
        <v>#N/A N/A</v>
        <stp/>
        <stp>BDH|77955756347865654</stp>
        <tr r="AE39" s="2"/>
      </tp>
      <tp t="s">
        <v>#N/A N/A</v>
        <stp/>
        <stp>BDH|45517930658293382</stp>
        <tr r="D73" s="2"/>
      </tp>
      <tp t="s">
        <v>#N/A N/A</v>
        <stp/>
        <stp>BDH|2922412495249703707</stp>
        <tr r="D45" s="2"/>
      </tp>
      <tp t="s">
        <v>#N/A N/A</v>
        <stp/>
        <stp>BDH|2079229805964948544</stp>
        <tr r="Z7" s="2"/>
      </tp>
      <tp t="s">
        <v>#N/A N/A</v>
        <stp/>
        <stp>BDH|6226586713314086736</stp>
        <tr r="I88" s="2"/>
      </tp>
      <tp t="s">
        <v>#N/A N/A</v>
        <stp/>
        <stp>BDH|4294511632047802430</stp>
        <tr r="Z53" s="2"/>
      </tp>
      <tp t="s">
        <v>#N/A N/A</v>
        <stp/>
        <stp>BDH|2246224030852262086</stp>
        <tr r="R52" s="2"/>
      </tp>
      <tp t="s">
        <v>#N/A N/A</v>
        <stp/>
        <stp>BDH|9487845489228452072</stp>
        <tr r="R28" s="2"/>
      </tp>
      <tp t="s">
        <v>#N/A N/A</v>
        <stp/>
        <stp>BDH|2669484511281153750</stp>
        <tr r="Q48" s="2"/>
      </tp>
      <tp t="s">
        <v>#N/A N/A</v>
        <stp/>
        <stp>BDH|6424631635084866610</stp>
        <tr r="V23" s="2"/>
      </tp>
      <tp t="s">
        <v>#N/A N/A</v>
        <stp/>
        <stp>BDH|5562680726816558651</stp>
        <tr r="E52" s="2"/>
      </tp>
      <tp t="s">
        <v>#N/A N/A</v>
        <stp/>
        <stp>BDH|9799349070078950420</stp>
        <tr r="M22" s="2"/>
      </tp>
      <tp t="s">
        <v>#N/A N/A</v>
        <stp/>
        <stp>BDH|3206996323021261827</stp>
        <tr r="M63" s="2"/>
      </tp>
      <tp t="s">
        <v>#N/A N/A</v>
        <stp/>
        <stp>BDH|6244792045805192171</stp>
        <tr r="L72" s="2"/>
      </tp>
      <tp t="s">
        <v>#N/A N/A</v>
        <stp/>
        <stp>BDH|5106397061375898495</stp>
        <tr r="AE60" s="2"/>
      </tp>
      <tp t="s">
        <v>#N/A N/A</v>
        <stp/>
        <stp>BDH|5957382518257481156</stp>
        <tr r="AA90" s="2"/>
      </tp>
      <tp t="s">
        <v>#N/A N/A</v>
        <stp/>
        <stp>BDH|1520067778652121530</stp>
        <tr r="C7" s="2"/>
      </tp>
      <tp t="s">
        <v>#N/A N/A</v>
        <stp/>
        <stp>BDH|6094705218540086116</stp>
        <tr r="F54" s="2"/>
      </tp>
      <tp t="s">
        <v>#N/A N/A</v>
        <stp/>
        <stp>BDH|4838922281690665447</stp>
        <tr r="U82" s="2"/>
      </tp>
      <tp t="s">
        <v>#N/A N/A</v>
        <stp/>
        <stp>BDH|3870379244180454562</stp>
        <tr r="AF89" s="2"/>
      </tp>
      <tp t="s">
        <v>#N/A N/A</v>
        <stp/>
        <stp>BDH|1296572218284027043</stp>
        <tr r="Z75" s="2"/>
      </tp>
      <tp t="s">
        <v>#N/A N/A</v>
        <stp/>
        <stp>BDH|4108988213939585462</stp>
        <tr r="Y58" s="2"/>
      </tp>
      <tp t="s">
        <v>#N/A N/A</v>
        <stp/>
        <stp>BDH|8499282194094297649</stp>
        <tr r="R21" s="2"/>
      </tp>
      <tp t="s">
        <v>#N/A N/A</v>
        <stp/>
        <stp>BDH|2319215627667988421</stp>
        <tr r="F16" s="2"/>
      </tp>
      <tp t="s">
        <v>#N/A N/A</v>
        <stp/>
        <stp>BDH|6842936366700335809</stp>
        <tr r="M10" s="2"/>
      </tp>
      <tp t="s">
        <v>#N/A N/A</v>
        <stp/>
        <stp>BDH|4841473415855759535</stp>
        <tr r="AA12" s="2"/>
      </tp>
      <tp t="s">
        <v>#N/A N/A</v>
        <stp/>
        <stp>BDH|2534242480349806061</stp>
        <tr r="L34" s="2"/>
      </tp>
      <tp t="s">
        <v>#N/A N/A</v>
        <stp/>
        <stp>BDH|1009182154296767243</stp>
        <tr r="G86" s="2"/>
      </tp>
      <tp t="s">
        <v>#N/A N/A</v>
        <stp/>
        <stp>BDH|3155759858297176720</stp>
        <tr r="D12" s="2"/>
      </tp>
      <tp t="s">
        <v>#N/A N/A</v>
        <stp/>
        <stp>BDH|2918032417403312127</stp>
        <tr r="W53" s="2"/>
      </tp>
      <tp t="s">
        <v>#N/A N/A</v>
        <stp/>
        <stp>BDH|5344110901544677196</stp>
        <tr r="AC35" s="2"/>
      </tp>
      <tp t="s">
        <v>#N/A N/A</v>
        <stp/>
        <stp>BDH|6237999004018396601</stp>
        <tr r="O70" s="2"/>
      </tp>
      <tp t="s">
        <v>#N/A N/A</v>
        <stp/>
        <stp>BDH|5714187630732318402</stp>
        <tr r="G12" s="2"/>
      </tp>
      <tp t="s">
        <v>#N/A N/A</v>
        <stp/>
        <stp>BDH|4725149376986184586</stp>
        <tr r="V67" s="2"/>
      </tp>
      <tp t="s">
        <v>#N/A N/A</v>
        <stp/>
        <stp>BDH|3078202028210613229</stp>
        <tr r="D82" s="2"/>
      </tp>
      <tp t="s">
        <v>#N/A N/A</v>
        <stp/>
        <stp>BDH|9061330243049868651</stp>
        <tr r="E19" s="2"/>
      </tp>
      <tp t="s">
        <v>#N/A N/A</v>
        <stp/>
        <stp>BDH|6815935177480474954</stp>
        <tr r="G8" s="2"/>
      </tp>
      <tp t="s">
        <v>#N/A N/A</v>
        <stp/>
        <stp>BDH|5015182859262414286</stp>
        <tr r="P54" s="2"/>
      </tp>
      <tp t="s">
        <v>#N/A N/A</v>
        <stp/>
        <stp>BDH|6906470189219291286</stp>
        <tr r="AA62" s="2"/>
      </tp>
      <tp t="s">
        <v>#N/A N/A</v>
        <stp/>
        <stp>BDH|5387586117264317421</stp>
        <tr r="G49" s="2"/>
      </tp>
      <tp t="s">
        <v>#N/A N/A</v>
        <stp/>
        <stp>BDH|2486063577145126197</stp>
        <tr r="P48" s="2"/>
      </tp>
      <tp t="s">
        <v>#N/A N/A</v>
        <stp/>
        <stp>BDH|2231703586568162470</stp>
        <tr r="AA29" s="2"/>
      </tp>
      <tp t="s">
        <v>#N/A N/A</v>
        <stp/>
        <stp>BDH|1920336518733641163</stp>
        <tr r="K46" s="2"/>
      </tp>
      <tp t="s">
        <v>#N/A N/A</v>
        <stp/>
        <stp>BDH|3425758400182391704</stp>
        <tr r="U72" s="2"/>
      </tp>
      <tp t="s">
        <v>#N/A N/A</v>
        <stp/>
        <stp>BDH|5807717249006697142</stp>
        <tr r="AC59" s="2"/>
      </tp>
      <tp t="s">
        <v>#N/A N/A</v>
        <stp/>
        <stp>BDH|6176620232922414070</stp>
        <tr r="S73" s="2"/>
      </tp>
      <tp t="s">
        <v>#N/A N/A</v>
        <stp/>
        <stp>BDH|1794313705525042615</stp>
        <tr r="AC7" s="2"/>
      </tp>
      <tp t="s">
        <v>#N/A N/A</v>
        <stp/>
        <stp>BDH|9277144688275561486</stp>
        <tr r="L29" s="2"/>
      </tp>
      <tp t="s">
        <v>#N/A N/A</v>
        <stp/>
        <stp>BDH|3629774275295255756</stp>
        <tr r="Q55" s="2"/>
      </tp>
      <tp t="s">
        <v>#N/A N/A</v>
        <stp/>
        <stp>BDH|2950294000684520562</stp>
        <tr r="E67" s="2"/>
      </tp>
      <tp t="s">
        <v>#N/A N/A</v>
        <stp/>
        <stp>BDH|9804022398963104201</stp>
        <tr r="AE93" s="2"/>
      </tp>
      <tp t="s">
        <v>#N/A N/A</v>
        <stp/>
        <stp>BDH|4316115445039109959</stp>
        <tr r="K65" s="2"/>
      </tp>
      <tp t="s">
        <v>#N/A N/A</v>
        <stp/>
        <stp>BDH|6362373306246197201</stp>
        <tr r="T69" s="2"/>
      </tp>
      <tp t="s">
        <v>#N/A N/A</v>
        <stp/>
        <stp>BDH|5576620011895614630</stp>
        <tr r="AA8" s="2"/>
      </tp>
      <tp t="s">
        <v>#N/A N/A</v>
        <stp/>
        <stp>BDH|1278620558760039386</stp>
        <tr r="Y65" s="2"/>
      </tp>
      <tp t="s">
        <v>#N/A N/A</v>
        <stp/>
        <stp>BDH|7677088269418000873</stp>
        <tr r="Y77" s="2"/>
      </tp>
      <tp t="s">
        <v>#N/A N/A</v>
        <stp/>
        <stp>BDH|1754806178176808979</stp>
        <tr r="T16" s="2"/>
      </tp>
      <tp t="s">
        <v>#N/A N/A</v>
        <stp/>
        <stp>BDH|7574082276583828238</stp>
        <tr r="F68" s="2"/>
      </tp>
      <tp t="s">
        <v>#N/A N/A</v>
        <stp/>
        <stp>BDH|3078768433730468612</stp>
        <tr r="P39" s="2"/>
      </tp>
      <tp t="s">
        <v>#N/A N/A</v>
        <stp/>
        <stp>BDH|5825001818980567550</stp>
        <tr r="V85" s="2"/>
      </tp>
      <tp t="s">
        <v>#N/A N/A</v>
        <stp/>
        <stp>BDH|6469561261566434261</stp>
        <tr r="U69" s="2"/>
      </tp>
      <tp t="s">
        <v>#N/A N/A</v>
        <stp/>
        <stp>BDH|6811240338427722125</stp>
        <tr r="G61" s="2"/>
      </tp>
      <tp t="s">
        <v>#N/A N/A</v>
        <stp/>
        <stp>BDH|3419050833962377306</stp>
        <tr r="Z44" s="2"/>
      </tp>
      <tp t="s">
        <v>#N/A N/A</v>
        <stp/>
        <stp>BDH|2753211425327379464</stp>
        <tr r="P77" s="2"/>
      </tp>
      <tp t="s">
        <v>#N/A N/A</v>
        <stp/>
        <stp>BDH|5174132877907790542</stp>
        <tr r="AD75" s="2"/>
      </tp>
      <tp t="s">
        <v>#N/A N/A</v>
        <stp/>
        <stp>BDH|2324415939263803752</stp>
        <tr r="C12" s="2"/>
      </tp>
      <tp t="s">
        <v>#N/A N/A</v>
        <stp/>
        <stp>BDH|2324138352043222467</stp>
        <tr r="S60" s="2"/>
      </tp>
      <tp t="s">
        <v>#N/A N/A</v>
        <stp/>
        <stp>BDH|2130169876997757208</stp>
        <tr r="U19" s="2"/>
      </tp>
      <tp t="s">
        <v>#N/A N/A</v>
        <stp/>
        <stp>BDH|7373544216340517230</stp>
        <tr r="F19" s="2"/>
      </tp>
      <tp t="s">
        <v>#N/A N/A</v>
        <stp/>
        <stp>BDH|3944448254720848361</stp>
        <tr r="Y21" s="2"/>
      </tp>
      <tp t="s">
        <v>#N/A N/A</v>
        <stp/>
        <stp>BDH|9503453823108764607</stp>
        <tr r="AE46" s="2"/>
      </tp>
      <tp t="s">
        <v>#N/A N/A</v>
        <stp/>
        <stp>BDH|1996905841069485480</stp>
        <tr r="Z64" s="2"/>
      </tp>
      <tp t="s">
        <v>#N/A N/A</v>
        <stp/>
        <stp>BDH|1845048830690164392</stp>
        <tr r="AC23" s="2"/>
      </tp>
      <tp t="s">
        <v>#N/A N/A</v>
        <stp/>
        <stp>BDH|7055754701964654563</stp>
        <tr r="F84" s="2"/>
      </tp>
      <tp t="s">
        <v>#N/A N/A</v>
        <stp/>
        <stp>BDH|5925695073627056263</stp>
        <tr r="AB13" s="2"/>
      </tp>
      <tp t="s">
        <v>#N/A N/A</v>
        <stp/>
        <stp>BDH|1729936791508677860</stp>
        <tr r="P20" s="2"/>
      </tp>
      <tp t="s">
        <v>#N/A N/A</v>
        <stp/>
        <stp>BDH|2892382065180640665</stp>
        <tr r="D31" s="2"/>
      </tp>
      <tp t="s">
        <v>#N/A N/A</v>
        <stp/>
        <stp>BDH|2035729966693611177</stp>
        <tr r="P69" s="2"/>
      </tp>
      <tp t="s">
        <v>#N/A N/A</v>
        <stp/>
        <stp>BDH|5195054374737566402</stp>
        <tr r="AE70" s="2"/>
      </tp>
      <tp t="s">
        <v>#N/A N/A</v>
        <stp/>
        <stp>BDH|5545055716334098135</stp>
        <tr r="M65" s="2"/>
      </tp>
      <tp t="s">
        <v>#N/A N/A</v>
        <stp/>
        <stp>BDH|59457172486842933</stp>
        <tr r="C77" s="2"/>
      </tp>
      <tp t="s">
        <v>#N/A N/A</v>
        <stp/>
        <stp>BDH|7667106411014431190</stp>
        <tr r="AA18" s="2"/>
      </tp>
      <tp t="s">
        <v>#N/A N/A</v>
        <stp/>
        <stp>BDH|3241286764256035344</stp>
        <tr r="E22" s="2"/>
      </tp>
      <tp t="s">
        <v>#N/A N/A</v>
        <stp/>
        <stp>BDH|5215560854712855529</stp>
        <tr r="T74" s="2"/>
      </tp>
      <tp t="s">
        <v>#N/A N/A</v>
        <stp/>
        <stp>BDH|2343367438539718909</stp>
        <tr r="P78" s="2"/>
      </tp>
      <tp t="s">
        <v>#N/A N/A</v>
        <stp/>
        <stp>BDH|5415544342430882618</stp>
        <tr r="T26" s="2"/>
      </tp>
      <tp t="s">
        <v>#N/A N/A</v>
        <stp/>
        <stp>BDH|6236152708632452701</stp>
        <tr r="AB31" s="2"/>
      </tp>
      <tp t="s">
        <v>#N/A N/A</v>
        <stp/>
        <stp>BDH|2153588157171509105</stp>
        <tr r="U18" s="2"/>
      </tp>
      <tp t="s">
        <v>#N/A N/A</v>
        <stp/>
        <stp>BDH|2594247585812882873</stp>
        <tr r="AD26" s="2"/>
      </tp>
      <tp t="s">
        <v>#N/A N/A</v>
        <stp/>
        <stp>BDH|8922226782369142906</stp>
        <tr r="M34" s="2"/>
      </tp>
      <tp t="s">
        <v>#N/A N/A</v>
        <stp/>
        <stp>BDH|1217393946274586003</stp>
        <tr r="N19" s="2"/>
      </tp>
      <tp t="s">
        <v>#N/A N/A</v>
        <stp/>
        <stp>BDH|6951206009143860517</stp>
        <tr r="V19" s="2"/>
      </tp>
      <tp t="s">
        <v>#N/A N/A</v>
        <stp/>
        <stp>BDH|3335183157761265475</stp>
        <tr r="U11" s="2"/>
      </tp>
      <tp t="s">
        <v>#N/A N/A</v>
        <stp/>
        <stp>BDH|2202331008853380037</stp>
        <tr r="AE33" s="2"/>
      </tp>
      <tp t="s">
        <v>#N/A N/A</v>
        <stp/>
        <stp>BDH|4911159514425118305</stp>
        <tr r="AF30" s="2"/>
      </tp>
      <tp t="s">
        <v>#N/A N/A</v>
        <stp/>
        <stp>BDH|1615456717564987246</stp>
        <tr r="L40" s="2"/>
      </tp>
      <tp t="s">
        <v>#N/A N/A</v>
        <stp/>
        <stp>BDH|9076897336809339955</stp>
        <tr r="G17" s="2"/>
      </tp>
      <tp t="s">
        <v>#N/A N/A</v>
        <stp/>
        <stp>BDH|9927624405204321937</stp>
        <tr r="K26" s="2"/>
      </tp>
      <tp t="s">
        <v>#N/A N/A</v>
        <stp/>
        <stp>BDH|8170065163539835526</stp>
        <tr r="N87" s="2"/>
      </tp>
      <tp t="s">
        <v>#N/A N/A</v>
        <stp/>
        <stp>BDH|3316976321593923927</stp>
        <tr r="V24" s="2"/>
      </tp>
      <tp t="s">
        <v>#N/A N/A</v>
        <stp/>
        <stp>BDH|4673037530341988422</stp>
        <tr r="V69" s="2"/>
      </tp>
      <tp t="s">
        <v>#N/A N/A</v>
        <stp/>
        <stp>BDH|1825553407801514716</stp>
        <tr r="D49" s="2"/>
      </tp>
      <tp t="s">
        <v>#N/A N/A</v>
        <stp/>
        <stp>BDH|7867049557410076052</stp>
        <tr r="K77" s="2"/>
      </tp>
      <tp t="s">
        <v>#N/A N/A</v>
        <stp/>
        <stp>BDH|8710249688232383271</stp>
        <tr r="C22" s="2"/>
      </tp>
      <tp t="s">
        <v>#N/A N/A</v>
        <stp/>
        <stp>BDH|2898896820238976277</stp>
        <tr r="U55" s="2"/>
      </tp>
      <tp t="s">
        <v>#N/A N/A</v>
        <stp/>
        <stp>BDH|8309884021897259775</stp>
        <tr r="I25" s="2"/>
      </tp>
      <tp t="s">
        <v>#N/A N/A</v>
        <stp/>
        <stp>BDH|4501313946848790993</stp>
        <tr r="AF23" s="2"/>
      </tp>
      <tp t="s">
        <v>#N/A N/A</v>
        <stp/>
        <stp>BDH|9318987015315305616</stp>
        <tr r="E45" s="2"/>
      </tp>
      <tp t="s">
        <v>#N/A N/A</v>
        <stp/>
        <stp>BDH|9141095022839242044</stp>
        <tr r="U71" s="2"/>
      </tp>
      <tp t="s">
        <v>#N/A N/A</v>
        <stp/>
        <stp>BDH|1695733818135957086</stp>
        <tr r="AB28" s="2"/>
      </tp>
      <tp t="s">
        <v>#N/A N/A</v>
        <stp/>
        <stp>BDH|7558268277780819006</stp>
        <tr r="G32" s="2"/>
      </tp>
      <tp t="s">
        <v>#N/A N/A</v>
        <stp/>
        <stp>BDH|7919550240373740767</stp>
        <tr r="L53" s="2"/>
      </tp>
      <tp t="s">
        <v>#N/A N/A</v>
        <stp/>
        <stp>BDH|2920916779029825746</stp>
        <tr r="V15" s="2"/>
      </tp>
      <tp t="s">
        <v>#N/A N/A</v>
        <stp/>
        <stp>BDH|4382685402026296667</stp>
        <tr r="E43" s="2"/>
      </tp>
      <tp t="s">
        <v>#N/A N/A</v>
        <stp/>
        <stp>BDH|1348161622940868028</stp>
        <tr r="K12" s="2"/>
      </tp>
      <tp t="s">
        <v>#N/A N/A</v>
        <stp/>
        <stp>BDH|6188471865170838669</stp>
        <tr r="AE84" s="2"/>
      </tp>
      <tp t="s">
        <v>#N/A N/A</v>
        <stp/>
        <stp>BDH|6304240429884087035</stp>
        <tr r="Z31" s="2"/>
      </tp>
      <tp t="s">
        <v>#N/A N/A</v>
        <stp/>
        <stp>BDH|7824431177142431457</stp>
        <tr r="R26" s="2"/>
      </tp>
      <tp t="s">
        <v>#N/A N/A</v>
        <stp/>
        <stp>BDH|7967768247560068654</stp>
        <tr r="P64" s="2"/>
      </tp>
      <tp t="s">
        <v>#N/A N/A</v>
        <stp/>
        <stp>BDH|3095177946397449382</stp>
        <tr r="AE32" s="2"/>
      </tp>
      <tp t="s">
        <v>#N/A N/A</v>
        <stp/>
        <stp>BDH|3887683703087911070</stp>
        <tr r="K82" s="2"/>
      </tp>
      <tp t="s">
        <v>#N/A N/A</v>
        <stp/>
        <stp>BDH|5316163042630093258</stp>
        <tr r="P62" s="2"/>
      </tp>
      <tp t="s">
        <v>#N/A N/A</v>
        <stp/>
        <stp>BDH|7678269229963964624</stp>
        <tr r="C86" s="2"/>
      </tp>
      <tp t="s">
        <v>#N/A N/A</v>
        <stp/>
        <stp>BDH|9837821122620384190</stp>
        <tr r="U36" s="2"/>
      </tp>
      <tp t="s">
        <v>#N/A N/A</v>
        <stp/>
        <stp>BDH|9003923075452668723</stp>
        <tr r="AC22" s="2"/>
      </tp>
      <tp t="s">
        <v>#N/A N/A</v>
        <stp/>
        <stp>BDH|6160673724908496850</stp>
        <tr r="X51" s="2"/>
      </tp>
      <tp t="s">
        <v>#N/A N/A</v>
        <stp/>
        <stp>BDH|3721835450459671510</stp>
        <tr r="W86" s="2"/>
      </tp>
      <tp t="s">
        <v>#N/A N/A</v>
        <stp/>
        <stp>BDH|1294005825947717606</stp>
        <tr r="O53" s="2"/>
      </tp>
      <tp t="s">
        <v>#N/A N/A</v>
        <stp/>
        <stp>BDH|4749011622205471104</stp>
        <tr r="AC84" s="2"/>
      </tp>
      <tp t="s">
        <v>#N/A N/A</v>
        <stp/>
        <stp>BDH|8575716051239741120</stp>
        <tr r="E9" s="2"/>
      </tp>
      <tp t="s">
        <v>#N/A N/A</v>
        <stp/>
        <stp>BDH|2788952682169228826</stp>
        <tr r="AB9" s="2"/>
      </tp>
      <tp t="s">
        <v>#N/A N/A</v>
        <stp/>
        <stp>BDH|2695309758787708198</stp>
        <tr r="F25" s="2"/>
      </tp>
      <tp t="s">
        <v>#N/A N/A</v>
        <stp/>
        <stp>BDH|9895987493913385801</stp>
        <tr r="N63" s="2"/>
      </tp>
      <tp t="s">
        <v>#N/A N/A</v>
        <stp/>
        <stp>BDH|6020307954173317165</stp>
        <tr r="T12" s="2"/>
      </tp>
      <tp t="s">
        <v>#N/A N/A</v>
        <stp/>
        <stp>BDH|3199581836201700699</stp>
        <tr r="I68" s="2"/>
      </tp>
      <tp t="s">
        <v>#N/A N/A</v>
        <stp/>
        <stp>BDH|3882968788118719808</stp>
        <tr r="M76" s="2"/>
      </tp>
      <tp t="s">
        <v>#N/A N/A</v>
        <stp/>
        <stp>BDH|2118566079700722289</stp>
        <tr r="G83" s="2"/>
      </tp>
      <tp t="s">
        <v>#N/A N/A</v>
        <stp/>
        <stp>BDH|3351429101743345620</stp>
        <tr r="W92" s="2"/>
      </tp>
      <tp t="s">
        <v>#N/A N/A</v>
        <stp/>
        <stp>BDH|2643526601952229718</stp>
        <tr r="AF20" s="2"/>
      </tp>
      <tp t="s">
        <v>#N/A N/A</v>
        <stp/>
        <stp>BDH|4662408036993201247</stp>
        <tr r="I18" s="2"/>
      </tp>
      <tp t="s">
        <v>#N/A N/A</v>
        <stp/>
        <stp>BDH|3582318542087179115</stp>
        <tr r="U15" s="2"/>
      </tp>
      <tp t="s">
        <v>#N/A N/A</v>
        <stp/>
        <stp>BDH|6669943891395415113</stp>
        <tr r="E60" s="2"/>
      </tp>
      <tp t="s">
        <v>#N/A N/A</v>
        <stp/>
        <stp>BDH|7487007952774582454</stp>
        <tr r="AC16" s="2"/>
      </tp>
      <tp t="s">
        <v>#N/A N/A</v>
        <stp/>
        <stp>BDH|3248730402467151148</stp>
        <tr r="S27" s="2"/>
      </tp>
      <tp t="s">
        <v>#N/A N/A</v>
        <stp/>
        <stp>BDH|1202159964107078350</stp>
        <tr r="O65" s="2"/>
      </tp>
      <tp t="s">
        <v>#N/A N/A</v>
        <stp/>
        <stp>BDH|2706169830290203249</stp>
        <tr r="K88" s="2"/>
      </tp>
      <tp t="s">
        <v>#N/A N/A</v>
        <stp/>
        <stp>BDH|2726566659102728282</stp>
        <tr r="H26" s="2"/>
      </tp>
      <tp t="s">
        <v>#N/A N/A</v>
        <stp/>
        <stp>BDH|3828115769585359348</stp>
        <tr r="O66" s="2"/>
      </tp>
      <tp t="s">
        <v>#N/A N/A</v>
        <stp/>
        <stp>BDH|6061784171016795295</stp>
        <tr r="R88" s="2"/>
      </tp>
      <tp t="s">
        <v>#N/A N/A</v>
        <stp/>
        <stp>BDH|7167737174877379220</stp>
        <tr r="J13" s="2"/>
      </tp>
      <tp t="s">
        <v>#N/A N/A</v>
        <stp/>
        <stp>BDH|8969508411218561698</stp>
        <tr r="Y85" s="2"/>
      </tp>
      <tp t="s">
        <v>#N/A N/A</v>
        <stp/>
        <stp>BDH|6794422470516227134</stp>
        <tr r="N22" s="2"/>
      </tp>
      <tp t="s">
        <v>#N/A N/A</v>
        <stp/>
        <stp>BDH|3778064799981446986</stp>
        <tr r="AA92" s="2"/>
      </tp>
      <tp t="s">
        <v>#N/A N/A</v>
        <stp/>
        <stp>BDH|3320195004324947422</stp>
        <tr r="X11" s="2"/>
      </tp>
      <tp t="s">
        <v>#N/A N/A</v>
        <stp/>
        <stp>BDH|1094583121796893241</stp>
        <tr r="G51" s="2"/>
      </tp>
      <tp t="s">
        <v>#N/A N/A</v>
        <stp/>
        <stp>BDH|1868604628255053250</stp>
        <tr r="AA17" s="2"/>
      </tp>
      <tp t="s">
        <v>#N/A N/A</v>
        <stp/>
        <stp>BDH|4141740215488615836</stp>
        <tr r="T87" s="2"/>
      </tp>
      <tp t="s">
        <v>#N/A N/A</v>
        <stp/>
        <stp>BDH|2454239247372319463</stp>
        <tr r="E20" s="2"/>
      </tp>
      <tp t="s">
        <v>#N/A N/A</v>
        <stp/>
        <stp>BDH|5087723277382814585</stp>
        <tr r="J15" s="2"/>
      </tp>
      <tp t="s">
        <v>#N/A N/A</v>
        <stp/>
        <stp>BDH|9344981177346087390</stp>
        <tr r="Q20" s="2"/>
      </tp>
      <tp t="s">
        <v>#N/A N/A</v>
        <stp/>
        <stp>BDH|6078343692077809845</stp>
        <tr r="AF55" s="2"/>
      </tp>
      <tp t="s">
        <v>#N/A N/A</v>
        <stp/>
        <stp>BDH|6657425969493139467</stp>
        <tr r="I72" s="2"/>
      </tp>
      <tp t="s">
        <v>#N/A N/A</v>
        <stp/>
        <stp>BDH|9663072532571907804</stp>
        <tr r="AB54" s="2"/>
      </tp>
      <tp t="s">
        <v>#N/A N/A</v>
        <stp/>
        <stp>BDH|7151601248662708446</stp>
        <tr r="V22" s="2"/>
      </tp>
      <tp t="s">
        <v>#N/A N/A</v>
        <stp/>
        <stp>BDH|1005033600161823316</stp>
        <tr r="N49" s="2"/>
      </tp>
      <tp t="s">
        <v>#N/A N/A</v>
        <stp/>
        <stp>BDH|3604485651440179155</stp>
        <tr r="K76" s="2"/>
      </tp>
      <tp t="s">
        <v>#N/A N/A</v>
        <stp/>
        <stp>BDH|1036179761933577686</stp>
        <tr r="U33" s="2"/>
      </tp>
      <tp t="s">
        <v>#N/A N/A</v>
        <stp/>
        <stp>BDH|6665380971328040945</stp>
        <tr r="I63" s="2"/>
      </tp>
      <tp t="s">
        <v>#N/A N/A</v>
        <stp/>
        <stp>BDH|7781590617748608848</stp>
        <tr r="I46" s="2"/>
      </tp>
      <tp t="s">
        <v>#N/A N/A</v>
        <stp/>
        <stp>BDH|3578263322940883029</stp>
        <tr r="G66" s="2"/>
      </tp>
      <tp t="s">
        <v>#N/A N/A</v>
        <stp/>
        <stp>BDH|6465684742441738629</stp>
        <tr r="C49" s="2"/>
      </tp>
      <tp t="s">
        <v>#N/A N/A</v>
        <stp/>
        <stp>BDH|5917777132266708408</stp>
        <tr r="O68" s="2"/>
      </tp>
      <tp t="s">
        <v>#N/A N/A</v>
        <stp/>
        <stp>BDH|3171340456620814630</stp>
        <tr r="W19" s="2"/>
      </tp>
      <tp t="s">
        <v>#N/A N/A</v>
        <stp/>
        <stp>BDH|3400685940911796335</stp>
        <tr r="J35" s="2"/>
      </tp>
      <tp t="s">
        <v>#N/A N/A</v>
        <stp/>
        <stp>BDH|2016090204149268875</stp>
        <tr r="V16" s="2"/>
      </tp>
      <tp t="s">
        <v>#N/A N/A</v>
        <stp/>
        <stp>BDH|8394684973888824285</stp>
        <tr r="P87" s="2"/>
      </tp>
      <tp t="s">
        <v>#N/A N/A</v>
        <stp/>
        <stp>BDH|2935620676677767721</stp>
        <tr r="J67" s="2"/>
      </tp>
      <tp t="s">
        <v>#N/A N/A</v>
        <stp/>
        <stp>BDH|3727623892389739683</stp>
        <tr r="AC45" s="2"/>
      </tp>
      <tp t="s">
        <v>#N/A N/A</v>
        <stp/>
        <stp>BDH|3036540727732225591</stp>
        <tr r="D42" s="2"/>
      </tp>
      <tp t="s">
        <v>#N/A N/A</v>
        <stp/>
        <stp>BDH|5296556854694272298</stp>
        <tr r="AE49" s="2"/>
      </tp>
      <tp t="s">
        <v>#N/A N/A</v>
        <stp/>
        <stp>BDH|2799423793439869560</stp>
        <tr r="M12" s="2"/>
      </tp>
      <tp t="s">
        <v>#N/A N/A</v>
        <stp/>
        <stp>BDH|1283186024261208050</stp>
        <tr r="N91" s="2"/>
      </tp>
      <tp t="s">
        <v>#N/A N/A</v>
        <stp/>
        <stp>BDH|7237857211775921810</stp>
        <tr r="AE87" s="2"/>
      </tp>
      <tp t="s">
        <v>#N/A N/A</v>
        <stp/>
        <stp>BDH|6813098845482901337</stp>
        <tr r="AB36" s="2"/>
      </tp>
      <tp t="s">
        <v>#N/A N/A</v>
        <stp/>
        <stp>BDH|5617784671185382321</stp>
        <tr r="P94" s="2"/>
      </tp>
      <tp t="s">
        <v>#N/A N/A</v>
        <stp/>
        <stp>BDH|4481191827027748328</stp>
        <tr r="H59" s="2"/>
      </tp>
      <tp t="s">
        <v>#N/A N/A</v>
        <stp/>
        <stp>BDH|2678990993643495275</stp>
        <tr r="N55" s="2"/>
      </tp>
      <tp t="s">
        <v>#N/A N/A</v>
        <stp/>
        <stp>BDH|6721795420724878499</stp>
        <tr r="F56" s="2"/>
      </tp>
      <tp t="s">
        <v>#N/A N/A</v>
        <stp/>
        <stp>BDH|5248186272714375477</stp>
        <tr r="AC17" s="2"/>
      </tp>
      <tp t="s">
        <v>#N/A N/A</v>
        <stp/>
        <stp>BDH|5031409907965886734</stp>
        <tr r="G27" s="2"/>
      </tp>
      <tp t="s">
        <v>#N/A N/A</v>
        <stp/>
        <stp>BDH|5115244073815917632</stp>
        <tr r="O71" s="2"/>
      </tp>
      <tp t="s">
        <v>#N/A N/A</v>
        <stp/>
        <stp>BDH|2064528143754416488</stp>
        <tr r="I53" s="2"/>
      </tp>
      <tp t="s">
        <v>#N/A N/A</v>
        <stp/>
        <stp>BDH|8776443278040631805</stp>
        <tr r="Z60" s="2"/>
      </tp>
      <tp t="s">
        <v>#N/A N/A</v>
        <stp/>
        <stp>BDH|7627308207107916058</stp>
        <tr r="G36" s="2"/>
      </tp>
      <tp t="s">
        <v>#N/A N/A</v>
        <stp/>
        <stp>BDH|8604302227162400884</stp>
        <tr r="W49" s="2"/>
      </tp>
      <tp t="s">
        <v>#N/A N/A</v>
        <stp/>
        <stp>BDH|9355786731596107861</stp>
        <tr r="T30" s="2"/>
      </tp>
      <tp t="s">
        <v>#N/A N/A</v>
        <stp/>
        <stp>BDH|6168120223204633246</stp>
        <tr r="P40" s="2"/>
      </tp>
      <tp t="s">
        <v>#N/A N/A</v>
        <stp/>
        <stp>BDH|7175123024101742625</stp>
        <tr r="Y47" s="2"/>
      </tp>
      <tp t="s">
        <v>#N/A N/A</v>
        <stp/>
        <stp>BDH|9584107406909940285</stp>
        <tr r="N86" s="2"/>
      </tp>
      <tp t="s">
        <v>#N/A N/A</v>
        <stp/>
        <stp>BDH|3180100659754348093</stp>
        <tr r="J16" s="2"/>
      </tp>
      <tp t="s">
        <v>#N/A N/A</v>
        <stp/>
        <stp>BDH|8226001495466592405</stp>
        <tr r="I19" s="2"/>
      </tp>
      <tp t="s">
        <v>#N/A N/A</v>
        <stp/>
        <stp>BDH|6370128296129073452</stp>
        <tr r="AE34" s="2"/>
      </tp>
      <tp t="s">
        <v>#N/A N/A</v>
        <stp/>
        <stp>BDH|9402929717284113625</stp>
        <tr r="AD39" s="2"/>
      </tp>
      <tp t="s">
        <v>#N/A N/A</v>
        <stp/>
        <stp>BDH|9620993357181245797</stp>
        <tr r="AD90" s="2"/>
      </tp>
      <tp t="s">
        <v>#N/A N/A</v>
        <stp/>
        <stp>BDH|5695603725857001505</stp>
        <tr r="AF8" s="2"/>
      </tp>
      <tp t="s">
        <v>#N/A N/A</v>
        <stp/>
        <stp>BDH|7424527002776475732</stp>
        <tr r="O23" s="2"/>
      </tp>
      <tp t="s">
        <v>#N/A N/A</v>
        <stp/>
        <stp>BDH|7345616120482886299</stp>
        <tr r="K86" s="2"/>
      </tp>
      <tp t="s">
        <v>#N/A N/A</v>
        <stp/>
        <stp>BDH|6041470296381485967</stp>
        <tr r="W58" s="2"/>
      </tp>
      <tp t="s">
        <v>#N/A N/A</v>
        <stp/>
        <stp>BDH|6271720000105344709</stp>
        <tr r="J54" s="2"/>
      </tp>
      <tp t="s">
        <v>#N/A N/A</v>
        <stp/>
        <stp>BDH|4480573479067073296</stp>
        <tr r="AD61" s="2"/>
      </tp>
      <tp t="s">
        <v>#N/A N/A</v>
        <stp/>
        <stp>BDH|6515781019906371543</stp>
        <tr r="D69" s="2"/>
      </tp>
      <tp t="s">
        <v>#N/A N/A</v>
        <stp/>
        <stp>BDH|5356733154905076174</stp>
        <tr r="L28" s="2"/>
      </tp>
      <tp t="s">
        <v>#N/A N/A</v>
        <stp/>
        <stp>BDH|5657159581656317925</stp>
        <tr r="P68" s="2"/>
      </tp>
      <tp t="s">
        <v>#N/A N/A</v>
        <stp/>
        <stp>BDH|2999275358631701724</stp>
        <tr r="AF58" s="2"/>
      </tp>
      <tp t="s">
        <v>#N/A N/A</v>
        <stp/>
        <stp>BDH|6960692730954799474</stp>
        <tr r="D48" s="2"/>
      </tp>
      <tp t="s">
        <v>#N/A N/A</v>
        <stp/>
        <stp>BDH|4679447384172076964</stp>
        <tr r="J72" s="2"/>
      </tp>
      <tp t="s">
        <v>#N/A N/A</v>
        <stp/>
        <stp>BDH|6914694836953586330</stp>
        <tr r="L76" s="2"/>
      </tp>
      <tp t="s">
        <v>#N/A N/A</v>
        <stp/>
        <stp>BDH|9039905440457482047</stp>
        <tr r="R67" s="2"/>
      </tp>
      <tp t="s">
        <v>#N/A N/A</v>
        <stp/>
        <stp>BDH|6951457600179598896</stp>
        <tr r="T17" s="2"/>
      </tp>
      <tp t="s">
        <v>#N/A N/A</v>
        <stp/>
        <stp>BDH|2096271459531918770</stp>
        <tr r="X32" s="2"/>
      </tp>
      <tp t="s">
        <v>#N/A N/A</v>
        <stp/>
        <stp>BDH|3445007509540902057</stp>
        <tr r="P49" s="2"/>
      </tp>
      <tp t="s">
        <v>#N/A N/A</v>
        <stp/>
        <stp>BDH|5129825764749013163</stp>
        <tr r="M59" s="2"/>
      </tp>
      <tp t="s">
        <v>#N/A N/A</v>
        <stp/>
        <stp>BDH|9917263725313885932</stp>
        <tr r="K31" s="2"/>
      </tp>
      <tp t="s">
        <v>#N/A N/A</v>
        <stp/>
        <stp>BDH|9459040796946140563</stp>
        <tr r="AB52" s="2"/>
      </tp>
      <tp t="s">
        <v>#N/A N/A</v>
        <stp/>
        <stp>BDH|1696058987093197946</stp>
        <tr r="R76" s="2"/>
      </tp>
      <tp t="s">
        <v>#N/A N/A</v>
        <stp/>
        <stp>BDH|7799940607765267809</stp>
        <tr r="I31" s="2"/>
      </tp>
      <tp t="s">
        <v>#N/A N/A</v>
        <stp/>
        <stp>BDH|3218225377666426355</stp>
        <tr r="AB34" s="2"/>
      </tp>
      <tp t="s">
        <v>#N/A N/A</v>
        <stp/>
        <stp>BDH|1898229289959280177</stp>
        <tr r="G50" s="2"/>
      </tp>
      <tp t="s">
        <v>#N/A N/A</v>
        <stp/>
        <stp>BDH|3111059210350106131</stp>
        <tr r="AA32" s="2"/>
      </tp>
      <tp t="s">
        <v>#N/A N/A</v>
        <stp/>
        <stp>BDH|7886786365122239711</stp>
        <tr r="AA85" s="2"/>
      </tp>
      <tp t="s">
        <v>#N/A N/A</v>
        <stp/>
        <stp>BDH|1895073038935470458</stp>
        <tr r="X33" s="2"/>
      </tp>
      <tp t="s">
        <v>#N/A N/A</v>
        <stp/>
        <stp>BDH|2715920627869439305</stp>
        <tr r="H36" s="2"/>
      </tp>
      <tp t="s">
        <v>#N/A N/A</v>
        <stp/>
        <stp>BDH|9352166731270367803</stp>
        <tr r="D51" s="2"/>
      </tp>
      <tp t="s">
        <v>#N/A N/A</v>
        <stp/>
        <stp>BDH|8109052453179158710</stp>
        <tr r="V18" s="2"/>
      </tp>
      <tp t="s">
        <v>#N/A N/A</v>
        <stp/>
        <stp>BDH|5588251204750720444</stp>
        <tr r="C28" s="2"/>
      </tp>
      <tp t="s">
        <v>#N/A N/A</v>
        <stp/>
        <stp>BDH|8944278989897775679</stp>
        <tr r="AF11" s="2"/>
      </tp>
      <tp t="s">
        <v>#N/A N/A</v>
        <stp/>
        <stp>BDH|3482032311073925282</stp>
        <tr r="U65" s="2"/>
      </tp>
      <tp t="s">
        <v>#N/A N/A</v>
        <stp/>
        <stp>BDH|2099313788612712890</stp>
        <tr r="F44" s="2"/>
      </tp>
      <tp t="s">
        <v>#N/A N/A</v>
        <stp/>
        <stp>BDH|4237560042006483054</stp>
        <tr r="R86" s="2"/>
      </tp>
      <tp t="s">
        <v>#N/A N/A</v>
        <stp/>
        <stp>BDH|9681345524419297201</stp>
        <tr r="AA27" s="2"/>
      </tp>
      <tp t="s">
        <v>#N/A N/A</v>
        <stp/>
        <stp>BDH|9162255810331760877</stp>
        <tr r="T82" s="2"/>
      </tp>
      <tp t="s">
        <v>#N/A N/A</v>
        <stp/>
        <stp>BDH|3398668317361583639</stp>
        <tr r="N66" s="2"/>
      </tp>
      <tp t="s">
        <v>#N/A N/A</v>
        <stp/>
        <stp>BDH|4962893730015425903</stp>
        <tr r="Z70" s="2"/>
      </tp>
      <tp t="s">
        <v>#N/A N/A</v>
        <stp/>
        <stp>BDH|8355632066413197833</stp>
        <tr r="C21" s="2"/>
      </tp>
      <tp t="s">
        <v>#N/A N/A</v>
        <stp/>
        <stp>BDH|4000939873611559812</stp>
        <tr r="E72" s="2"/>
      </tp>
      <tp t="s">
        <v>#N/A N/A</v>
        <stp/>
        <stp>BDH|9137894286822925835</stp>
        <tr r="AB92" s="2"/>
      </tp>
      <tp t="s">
        <v>#N/A N/A</v>
        <stp/>
        <stp>BDH|1864336488569645019</stp>
        <tr r="N48" s="2"/>
      </tp>
      <tp t="s">
        <v>#N/A N/A</v>
        <stp/>
        <stp>BDH|9688068123840218852</stp>
        <tr r="Y31" s="2"/>
      </tp>
      <tp t="s">
        <v>#N/A N/A</v>
        <stp/>
        <stp>BDH|3668354434049084936</stp>
        <tr r="R56" s="2"/>
      </tp>
      <tp t="s">
        <v>#N/A N/A</v>
        <stp/>
        <stp>BDH|9901398722652241944</stp>
        <tr r="F28" s="2"/>
      </tp>
      <tp t="s">
        <v>#N/A N/A</v>
        <stp/>
        <stp>BDH|5345329607955316007</stp>
        <tr r="O77" s="2"/>
      </tp>
      <tp t="s">
        <v>#N/A N/A</v>
        <stp/>
        <stp>BDH|1798498124415619196</stp>
        <tr r="C42" s="2"/>
      </tp>
      <tp t="s">
        <v>#N/A N/A</v>
        <stp/>
        <stp>BDH|6817542907358872862</stp>
        <tr r="Y73" s="2"/>
      </tp>
      <tp t="s">
        <v>#N/A N/A</v>
        <stp/>
        <stp>BDH|8539499545389947259</stp>
        <tr r="F15" s="2"/>
      </tp>
      <tp t="s">
        <v>#N/A N/A</v>
        <stp/>
        <stp>BDH|3112323244601358617</stp>
        <tr r="AF91" s="2"/>
      </tp>
      <tp t="s">
        <v>#N/A N/A</v>
        <stp/>
        <stp>BDH|7063850914374398973</stp>
        <tr r="N69" s="2"/>
      </tp>
      <tp t="s">
        <v>#N/A N/A</v>
        <stp/>
        <stp>BDH|18642365667879961</stp>
        <tr r="AE19" s="2"/>
      </tp>
      <tp t="s">
        <v>#N/A N/A</v>
        <stp/>
        <stp>BDH|692079759581522128</stp>
        <tr r="D21" s="2"/>
      </tp>
      <tp t="s">
        <v>#N/A N/A</v>
        <stp/>
        <stp>BDH|146937272338128387</stp>
        <tr r="C17" s="2"/>
      </tp>
      <tp t="s">
        <v>#N/A N/A</v>
        <stp/>
        <stp>BDH|344507039505785668</stp>
        <tr r="R39" s="2"/>
      </tp>
      <tp t="s">
        <v>#N/A N/A</v>
        <stp/>
        <stp>BDH|438588475224836370</stp>
        <tr r="Y11" s="2"/>
      </tp>
      <tp t="s">
        <v>#N/A N/A</v>
        <stp/>
        <stp>BDH|949343760643380397</stp>
        <tr r="J95" s="2"/>
      </tp>
      <tp t="s">
        <v>#N/A N/A</v>
        <stp/>
        <stp>BDH|406281418880032782</stp>
        <tr r="AD92" s="2"/>
      </tp>
      <tp t="s">
        <v>#N/A N/A</v>
        <stp/>
        <stp>BDH|415434173687834033</stp>
        <tr r="V8" s="2"/>
      </tp>
      <tp t="s">
        <v>#N/A N/A</v>
        <stp/>
        <stp>BDH|510298175341664009</stp>
        <tr r="Z54" s="2"/>
      </tp>
      <tp t="s">
        <v>#N/A N/A</v>
        <stp/>
        <stp>BDH|565538580698958173</stp>
        <tr r="H92" s="2"/>
      </tp>
      <tp t="s">
        <v>#N/A N/A</v>
        <stp/>
        <stp>BDH|753602592773167815</stp>
        <tr r="O50" s="2"/>
      </tp>
      <tp t="s">
        <v>#N/A N/A</v>
        <stp/>
        <stp>BDH|506331344357517422</stp>
        <tr r="AC65" s="2"/>
      </tp>
      <tp t="s">
        <v>#N/A N/A</v>
        <stp/>
        <stp>BDH|379834329469933768</stp>
        <tr r="R48" s="2"/>
      </tp>
      <tp t="s">
        <v>#N/A N/A</v>
        <stp/>
        <stp>BDH|494078809606852259</stp>
        <tr r="AA64" s="2"/>
      </tp>
      <tp t="s">
        <v>#N/A N/A</v>
        <stp/>
        <stp>BDH|230586965784988362</stp>
        <tr r="C94" s="2"/>
      </tp>
      <tp t="s">
        <v>#N/A N/A</v>
        <stp/>
        <stp>BDH|662239051515379664</stp>
        <tr r="X27" s="2"/>
      </tp>
      <tp t="s">
        <v>#N/A N/A</v>
        <stp/>
        <stp>BDH|656405176362401554</stp>
        <tr r="W32" s="2"/>
      </tp>
      <tp t="s">
        <v>#N/A N/A</v>
        <stp/>
        <stp>BDH|595598443063547697</stp>
        <tr r="K90" s="2"/>
      </tp>
      <tp t="s">
        <v>#N/A N/A</v>
        <stp/>
        <stp>BDH|359011510597864151</stp>
        <tr r="Y8" s="2"/>
      </tp>
      <tp t="s">
        <v>#N/A N/A</v>
        <stp/>
        <stp>BDH|743027118547482116</stp>
        <tr r="AE69" s="2"/>
      </tp>
      <tp t="s">
        <v>#N/A N/A</v>
        <stp/>
        <stp>BDH|675914290035526295</stp>
        <tr r="AD52" s="2"/>
      </tp>
      <tp t="s">
        <v>#N/A N/A</v>
        <stp/>
        <stp>BDH|772777617349214810</stp>
        <tr r="S55" s="2"/>
      </tp>
      <tp t="s">
        <v>#N/A N/A</v>
        <stp/>
        <stp>BDH|366594928827241771</stp>
        <tr r="AF17" s="2"/>
      </tp>
      <tp t="s">
        <v>#N/A N/A</v>
        <stp/>
        <stp>BDH|105403253470757655</stp>
        <tr r="R83" s="2"/>
      </tp>
      <tp t="s">
        <v>#N/A N/A</v>
        <stp/>
        <stp>BDH|170401394643208965</stp>
        <tr r="J59" s="2"/>
      </tp>
      <tp t="s">
        <v>#N/A N/A</v>
        <stp/>
        <stp>BDH|683778540037752352</stp>
        <tr r="AE94" s="2"/>
      </tp>
      <tp t="s">
        <v>#N/A N/A</v>
        <stp/>
        <stp>BDH|641383424181538672</stp>
        <tr r="V33" s="2"/>
      </tp>
      <tp t="s">
        <v>#N/A N/A</v>
        <stp/>
        <stp>BDH|545229500332895668</stp>
        <tr r="AE64" s="2"/>
      </tp>
      <tp t="s">
        <v>#N/A N/A</v>
        <stp/>
        <stp>BDH|900328505916930329</stp>
        <tr r="AB19" s="2"/>
      </tp>
      <tp t="s">
        <v>#N/A N/A</v>
        <stp/>
        <stp>BDH|482761967932774557</stp>
        <tr r="N72" s="2"/>
      </tp>
      <tp t="s">
        <v>#N/A N/A</v>
        <stp/>
        <stp>BDH|239650152355501075</stp>
        <tr r="W60" s="2"/>
      </tp>
      <tp t="s">
        <v>#N/A N/A</v>
        <stp/>
        <stp>BDH|682696456877830220</stp>
        <tr r="R29" s="2"/>
      </tp>
      <tp t="s">
        <v>#N/A N/A</v>
        <stp/>
        <stp>BDH|990958620648110277</stp>
        <tr r="F91" s="2"/>
      </tp>
      <tp t="s">
        <v>#N/A N/A</v>
        <stp/>
        <stp>BDH|252087512264457493</stp>
        <tr r="W70" s="2"/>
      </tp>
      <tp t="s">
        <v>#N/A N/A</v>
        <stp/>
        <stp>BDH|488367144157332153</stp>
        <tr r="AF21" s="2"/>
      </tp>
      <tp t="s">
        <v>#N/A N/A</v>
        <stp/>
        <stp>BDH|118789286956910864</stp>
        <tr r="Y12" s="2"/>
      </tp>
      <tp t="s">
        <v>#N/A N/A</v>
        <stp/>
        <stp>BDH|465098548691186457</stp>
        <tr r="AD67" s="2"/>
      </tp>
      <tp t="s">
        <v>#N/A N/A</v>
        <stp/>
        <stp>BDH|648681122942855777</stp>
        <tr r="T94" s="2"/>
      </tp>
      <tp t="s">
        <v>#N/A N/A</v>
        <stp/>
        <stp>BDH|685561709061105404</stp>
        <tr r="E24" s="2"/>
      </tp>
      <tp t="s">
        <v>#N/A N/A</v>
        <stp/>
        <stp>BDH|841631967357027744</stp>
        <tr r="L77" s="2"/>
      </tp>
      <tp t="s">
        <v>#N/A N/A</v>
        <stp/>
        <stp>BDH|481626951964619786</stp>
        <tr r="Y44" s="2"/>
      </tp>
      <tp t="s">
        <v>#N/A N/A</v>
        <stp/>
        <stp>BDH|498770031410005444</stp>
        <tr r="AD71" s="2"/>
      </tp>
      <tp t="s">
        <v>#N/A N/A</v>
        <stp/>
        <stp>BDH|406310572892739664</stp>
        <tr r="AA77" s="2"/>
      </tp>
      <tp t="s">
        <v>#N/A N/A</v>
        <stp/>
        <stp>BDH|235863159704363994</stp>
        <tr r="R91" s="2"/>
      </tp>
      <tp t="s">
        <v>#N/A N/A</v>
        <stp/>
        <stp>BDH|399764796249696764</stp>
        <tr r="AE9" s="2"/>
      </tp>
      <tp t="s">
        <v>#N/A N/A</v>
        <stp/>
        <stp>BDH|318675856553164395</stp>
        <tr r="G60" s="2"/>
      </tp>
      <tp t="s">
        <v>#N/A N/A</v>
        <stp/>
        <stp>BDH|605448023726392381</stp>
        <tr r="L54" s="2"/>
      </tp>
      <tp t="s">
        <v>#N/A N/A</v>
        <stp/>
        <stp>BDH|669451179648754865</stp>
        <tr r="O20" s="2"/>
      </tp>
      <tp t="s">
        <v>#N/A N/A</v>
        <stp/>
        <stp>BDH|729044864575085025</stp>
        <tr r="V53" s="2"/>
      </tp>
      <tp t="s">
        <v>#N/A N/A</v>
        <stp/>
        <stp>BDH|236578435297338235</stp>
        <tr r="M91" s="2"/>
      </tp>
      <tp t="s">
        <v>#N/A N/A</v>
        <stp/>
        <stp>BDH|818223159684422047</stp>
        <tr r="AD49" s="2"/>
      </tp>
      <tp t="s">
        <v>#N/A N/A</v>
        <stp/>
        <stp>BDH|706156017794112683</stp>
        <tr r="I90" s="2"/>
      </tp>
      <tp t="s">
        <v>#N/A N/A</v>
        <stp/>
        <stp>BDH|970606273183469011</stp>
        <tr r="X28" s="2"/>
      </tp>
      <tp t="s">
        <v>#N/A N/A</v>
        <stp/>
        <stp>BDH|827227447630529418</stp>
        <tr r="W87" s="2"/>
      </tp>
      <tp t="s">
        <v>#N/A N/A</v>
        <stp/>
        <stp>BDH|800119444221305640</stp>
        <tr r="I14" s="2"/>
      </tp>
      <tp t="s">
        <v>#N/A N/A</v>
        <stp/>
        <stp>BDH|849299356871106426</stp>
        <tr r="L88" s="2"/>
      </tp>
      <tp t="s">
        <v>#N/A N/A</v>
        <stp/>
        <stp>BDH|691269413500277172</stp>
        <tr r="C58" s="2"/>
      </tp>
      <tp t="s">
        <v>#N/A N/A</v>
        <stp/>
        <stp>BDH|928923226160236985</stp>
        <tr r="AE35" s="2"/>
      </tp>
      <tp t="s">
        <v>#N/A N/A</v>
        <stp/>
        <stp>BDH|295445673161006078</stp>
        <tr r="F24" s="2"/>
      </tp>
      <tp t="s">
        <v>#N/A N/A</v>
        <stp/>
        <stp>BDH|395979401204841016</stp>
        <tr r="AF39" s="2"/>
      </tp>
      <tp t="s">
        <v>#N/A N/A</v>
        <stp/>
        <stp>BDH|500893857661659134</stp>
        <tr r="K34" s="2"/>
      </tp>
      <tp t="s">
        <v>#N/A N/A</v>
        <stp/>
        <stp>BDH|599595331582618949</stp>
        <tr r="G28" s="2"/>
      </tp>
      <tp t="s">
        <v>#N/A N/A</v>
        <stp/>
        <stp>BDH|839228400356635946</stp>
        <tr r="AA69" s="2"/>
      </tp>
      <tp t="s">
        <v>#N/A N/A</v>
        <stp/>
        <stp>BDH|523930094725937960</stp>
        <tr r="W51" s="2"/>
      </tp>
      <tp t="s">
        <v>#N/A N/A</v>
        <stp/>
        <stp>BDH|219227588622441482</stp>
        <tr r="X63" s="2"/>
      </tp>
      <tp t="s">
        <v>#N/A N/A</v>
        <stp/>
        <stp>BDH|724129054569582101</stp>
        <tr r="P82" s="2"/>
      </tp>
      <tp t="s">
        <v>#N/A N/A</v>
        <stp/>
        <stp>BDH|199962346159248805</stp>
        <tr r="AB87" s="2"/>
      </tp>
      <tp t="s">
        <v>#N/A N/A</v>
        <stp/>
        <stp>BDH|217687901619107021</stp>
        <tr r="H52" s="2"/>
      </tp>
      <tp t="s">
        <v>#N/A N/A</v>
        <stp/>
        <stp>BDH|583936613813492499</stp>
        <tr r="G19" s="2"/>
      </tp>
      <tp t="s">
        <v>#N/A N/A</v>
        <stp/>
        <stp>BDH|110757189195775509</stp>
        <tr r="P92" s="2"/>
      </tp>
      <tp t="s">
        <v>#N/A N/A</v>
        <stp/>
        <stp>BDH|989329378738123379</stp>
        <tr r="AF83" s="2"/>
      </tp>
      <tp t="s">
        <v>#N/A N/A</v>
        <stp/>
        <stp>BDH|626548321880427826</stp>
        <tr r="AF16" s="2"/>
      </tp>
      <tp t="s">
        <v>#N/A N/A</v>
        <stp/>
        <stp>BDH|712985955396856575</stp>
        <tr r="Q31" s="2"/>
      </tp>
      <tp t="s">
        <v>#N/A N/A</v>
        <stp/>
        <stp>BDH|714456673435406973</stp>
        <tr r="E56" s="2"/>
      </tp>
      <tp t="s">
        <v>#N/A N/A</v>
        <stp/>
        <stp>BDH|939235318704521981</stp>
        <tr r="AB56" s="2"/>
      </tp>
      <tp t="s">
        <v>#N/A N/A</v>
        <stp/>
        <stp>BDH|289545421710823960</stp>
        <tr r="P42" s="2"/>
      </tp>
      <tp t="s">
        <v>#N/A N/A</v>
        <stp/>
        <stp>BDH|705867962745882516</stp>
        <tr r="T77" s="2"/>
      </tp>
      <tp t="s">
        <v>#N/A N/A</v>
        <stp/>
        <stp>BDH|283332005204793982</stp>
        <tr r="W54" s="2"/>
      </tp>
      <tp t="s">
        <v>#N/A N/A</v>
        <stp/>
        <stp>BDH|217860976267487630</stp>
        <tr r="C52" s="2"/>
      </tp>
      <tp t="s">
        <v>#N/A N/A</v>
        <stp/>
        <stp>BDH|379613487054758448</stp>
        <tr r="Z49" s="2"/>
      </tp>
      <tp t="s">
        <v>#N/A N/A</v>
        <stp/>
        <stp>BDH|739249518034411995</stp>
        <tr r="D74" s="2"/>
      </tp>
      <tp t="s">
        <v>#N/A N/A</v>
        <stp/>
        <stp>BDH|789033786632837494</stp>
        <tr r="V72" s="2"/>
      </tp>
      <tp t="s">
        <v>#N/A N/A</v>
        <stp/>
        <stp>BDH|830947705907542701</stp>
        <tr r="Q82" s="2"/>
      </tp>
      <tp t="s">
        <v>#N/A N/A</v>
        <stp/>
        <stp>BDH|993094295410955018</stp>
        <tr r="L45" s="2"/>
      </tp>
      <tp t="s">
        <v>#N/A N/A</v>
        <stp/>
        <stp>BDH|811879933947165555</stp>
        <tr r="L30" s="2"/>
      </tp>
      <tp t="s">
        <v>#N/A N/A</v>
        <stp/>
        <stp>BDH|970115030462538979</stp>
        <tr r="AB10" s="2"/>
      </tp>
      <tp t="s">
        <v>#N/A N/A</v>
        <stp/>
        <stp>BDH|140038675716781871</stp>
        <tr r="Z32" s="2"/>
      </tp>
      <tp t="s">
        <v>#N/A N/A</v>
        <stp/>
        <stp>BDH|121234393671067322</stp>
        <tr r="J69" s="2"/>
      </tp>
      <tp t="s">
        <v>#N/A N/A</v>
        <stp/>
        <stp>BDH|908802064910097618</stp>
        <tr r="P29" s="2"/>
      </tp>
      <tp t="s">
        <v>#N/A N/A</v>
        <stp/>
        <stp>BDH|801518060838659325</stp>
        <tr r="M50" s="2"/>
      </tp>
      <tp t="s">
        <v>#N/A N/A</v>
        <stp/>
        <stp>BDH|698399710382002815</stp>
        <tr r="C73" s="2"/>
      </tp>
      <tp t="s">
        <v>#N/A N/A</v>
        <stp/>
        <stp>BDH|203885400506946676</stp>
        <tr r="O46" s="2"/>
      </tp>
      <tp t="s">
        <v>#N/A N/A</v>
        <stp/>
        <stp>BDH|771673592407637002</stp>
        <tr r="AE85" s="2"/>
      </tp>
      <tp t="s">
        <v>#N/A N/A</v>
        <stp/>
        <stp>BDH|946962901900236192</stp>
        <tr r="AE54" s="2"/>
      </tp>
      <tp t="s">
        <v>#N/A N/A</v>
        <stp/>
        <stp>BDH|119726485673152476</stp>
        <tr r="Q91" s="2"/>
      </tp>
      <tp t="s">
        <v>#N/A N/A</v>
        <stp/>
        <stp>BDH|169902953252904565</stp>
        <tr r="Y82" s="2"/>
      </tp>
      <tp t="s">
        <v>#N/A N/A</v>
        <stp/>
        <stp>BDH|807445381954687340</stp>
        <tr r="AF9" s="2"/>
      </tp>
      <tp t="s">
        <v>#N/A N/A</v>
        <stp/>
        <stp>BDH|571901918445128648</stp>
        <tr r="G40" s="2"/>
      </tp>
      <tp t="s">
        <v>#N/A N/A</v>
        <stp/>
        <stp>BDH|763880157330933619</stp>
        <tr r="I30" s="2"/>
      </tp>
      <tp t="s">
        <v>#N/A N/A</v>
        <stp/>
        <stp>BDH|423872470686297218</stp>
        <tr r="F72" s="2"/>
      </tp>
      <tp t="s">
        <v>#N/A N/A</v>
        <stp/>
        <stp>BDH|406805653682753434</stp>
        <tr r="D89" s="2"/>
      </tp>
      <tp t="s">
        <v>#N/A N/A</v>
        <stp/>
        <stp>BDH|464193812823754954</stp>
        <tr r="D62" s="2"/>
      </tp>
      <tp t="s">
        <v>#N/A N/A</v>
        <stp/>
        <stp>BDH|866406004487957981</stp>
        <tr r="AB73" s="2"/>
      </tp>
      <tp t="s">
        <v>#N/A N/A</v>
        <stp/>
        <stp>BDH|135974519761209328</stp>
        <tr r="C92" s="2"/>
      </tp>
      <tp t="s">
        <v>#N/A N/A</v>
        <stp/>
        <stp>BDH|684002400152674886</stp>
        <tr r="O9" s="2"/>
      </tp>
      <tp t="s">
        <v>#N/A N/A</v>
        <stp/>
        <stp>BDH|803144560575385850</stp>
        <tr r="AF47" s="2"/>
      </tp>
      <tp t="s">
        <v>#N/A N/A</v>
        <stp/>
        <stp>BDH|964579813337199969</stp>
        <tr r="J40" s="2"/>
      </tp>
      <tp t="s">
        <v>#N/A N/A</v>
        <stp/>
        <stp>BDH|897950729297938680</stp>
        <tr r="U40" s="2"/>
      </tp>
      <tp t="s">
        <v>#N/A N/A</v>
        <stp/>
        <stp>BDH|406448642268232271</stp>
        <tr r="H88" s="2"/>
      </tp>
      <tp t="s">
        <v>#N/A N/A</v>
        <stp/>
        <stp>BDH|656914864841212437</stp>
        <tr r="L78" s="2"/>
      </tp>
      <tp t="s">
        <v>#N/A N/A</v>
        <stp/>
        <stp>BDH|696841280513935985</stp>
        <tr r="K74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6"/>
  <sheetViews>
    <sheetView tabSelected="1" workbookViewId="0">
      <selection activeCell="A10" sqref="A10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65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10" t="s">
        <v>66</v>
      </c>
      <c r="B7" s="10" t="s">
        <v>67</v>
      </c>
      <c r="C7" s="13" cm="1">
        <f t="array" ref="C7">_xll.BDH("PH US Equity","CASH_CASH_EQTY_STI_DETAILED","FQ1 2019","FQ1 2019","Currency=USD","Period=FQ","BEST_FPERIOD_OVERRIDE=FQ","FILING_STATUS=MR","SCALING_FORMAT=MLN","Sort=A","Dates=H","DateFormat=P","Fill=—","Direction=H","UseDPDF=Y")</f>
        <v>992.90899999999999</v>
      </c>
      <c r="D7" s="13" cm="1">
        <f t="array" ref="D7">_xll.BDH("PH US Equity","CASH_CASH_EQTY_STI_DETAILED","FQ2 2019","FQ2 2019","Currency=USD","Period=FQ","BEST_FPERIOD_OVERRIDE=FQ","FILING_STATUS=MR","SCALING_FORMAT=MLN","Sort=A","Dates=H","DateFormat=P","Fill=—","Direction=H","UseDPDF=Y")</f>
        <v>1078.3409999999999</v>
      </c>
      <c r="E7" s="13" cm="1">
        <f t="array" ref="E7">_xll.BDH("PH US Equity","CASH_CASH_EQTY_STI_DETAILED","FQ3 2019","FQ3 2019","Currency=USD","Period=FQ","BEST_FPERIOD_OVERRIDE=FQ","FILING_STATUS=MR","SCALING_FORMAT=MLN","Sort=A","Dates=H","DateFormat=P","Fill=—","Direction=H","UseDPDF=Y")</f>
        <v>1168.9190000000001</v>
      </c>
      <c r="F7" s="13" cm="1">
        <f t="array" ref="F7">_xll.BDH("PH US Equity","CASH_CASH_EQTY_STI_DETAILED","FQ4 2019","FQ4 2019","Currency=USD","Period=FQ","BEST_FPERIOD_OVERRIDE=FQ","FILING_STATUS=MR","SCALING_FORMAT=MLN","Sort=A","Dates=H","DateFormat=P","Fill=—","Direction=H","UseDPDF=Y")</f>
        <v>3370.6979999999999</v>
      </c>
      <c r="G7" s="13" cm="1">
        <f t="array" ref="G7">_xll.BDH("PH US Equity","CASH_CASH_EQTY_STI_DETAILED","FQ1 2020","FQ1 2020","Currency=USD","Period=FQ","BEST_FPERIOD_OVERRIDE=FQ","FILING_STATUS=MR","SCALING_FORMAT=MLN","Sort=A","Dates=H","DateFormat=P","Fill=—","Direction=H","UseDPDF=Y")</f>
        <v>3909.4949999999999</v>
      </c>
      <c r="H7" s="13" cm="1">
        <f t="array" ref="H7">_xll.BDH("PH US Equity","CASH_CASH_EQTY_STI_DETAILED","FQ2 2020","FQ2 2020","Currency=USD","Period=FQ","BEST_FPERIOD_OVERRIDE=FQ","FILING_STATUS=MR","SCALING_FORMAT=MLN","Sort=A","Dates=H","DateFormat=P","Fill=—","Direction=H","UseDPDF=Y")</f>
        <v>1093.4749999999999</v>
      </c>
      <c r="I7" s="13" cm="1">
        <f t="array" ref="I7">_xll.BDH("PH US Equity","CASH_CASH_EQTY_STI_DETAILED","FQ3 2020","FQ3 2020","Currency=USD","Period=FQ","BEST_FPERIOD_OVERRIDE=FQ","FILING_STATUS=MR","SCALING_FORMAT=MLN","Sort=A","Dates=H","DateFormat=P","Fill=—","Direction=H","UseDPDF=Y")</f>
        <v>790.15300000000002</v>
      </c>
      <c r="J7" s="13" cm="1">
        <f t="array" ref="J7">_xll.BDH("PH US Equity","CASH_CASH_EQTY_STI_DETAILED","FQ4 2020","FQ4 2020","Currency=USD","Period=FQ","BEST_FPERIOD_OVERRIDE=FQ","FILING_STATUS=MR","SCALING_FORMAT=MLN","Sort=A","Dates=H","DateFormat=P","Fill=—","Direction=H","UseDPDF=Y")</f>
        <v>756.31899999999996</v>
      </c>
      <c r="K7" s="13" cm="1">
        <f t="array" ref="K7">_xll.BDH("PH US Equity","CASH_CASH_EQTY_STI_DETAILED","FQ1 2021","FQ1 2021","Currency=USD","Period=FQ","BEST_FPERIOD_OVERRIDE=FQ","FILING_STATUS=MR","SCALING_FORMAT=MLN","Sort=A","Dates=H","DateFormat=P","Fill=—","Direction=H","UseDPDF=Y")</f>
        <v>775.85699999999997</v>
      </c>
      <c r="L7" s="13" cm="1">
        <f t="array" ref="L7">_xll.BDH("PH US Equity","CASH_CASH_EQTY_STI_DETAILED","FQ2 2021","FQ2 2021","Currency=USD","Period=FQ","BEST_FPERIOD_OVERRIDE=FQ","FILING_STATUS=MR","SCALING_FORMAT=MLN","Sort=A","Dates=H","DateFormat=P","Fill=—","Direction=H","UseDPDF=Y")</f>
        <v>608.048</v>
      </c>
      <c r="M7" s="13" cm="1">
        <f t="array" ref="M7">_xll.BDH("PH US Equity","CASH_CASH_EQTY_STI_DETAILED","FQ3 2021","FQ3 2021","Currency=USD","Period=FQ","BEST_FPERIOD_OVERRIDE=FQ","FILING_STATUS=MR","SCALING_FORMAT=MLN","Sort=A","Dates=H","DateFormat=P","Fill=—","Direction=H","UseDPDF=Y")</f>
        <v>529.87</v>
      </c>
      <c r="N7" s="13" cm="1">
        <f t="array" ref="N7">_xll.BDH("PH US Equity","CASH_CASH_EQTY_STI_DETAILED","FQ4 2021","FQ4 2021","Currency=USD","Period=FQ","BEST_FPERIOD_OVERRIDE=FQ","FILING_STATUS=MR","SCALING_FORMAT=MLN","Sort=A","Dates=H","DateFormat=P","Fill=—","Direction=H","UseDPDF=Y")</f>
        <v>772.23299999999995</v>
      </c>
      <c r="O7" s="13" cm="1">
        <f t="array" ref="O7">_xll.BDH("PH US Equity","CASH_CASH_EQTY_STI_DETAILED","FQ1 2022","FQ1 2022","Currency=USD","Period=FQ","BEST_FPERIOD_OVERRIDE=FQ","FILING_STATUS=MR","SCALING_FORMAT=MLN","Sort=A","Dates=H","DateFormat=P","Fill=—","Direction=H","UseDPDF=Y")</f>
        <v>518.74199999999996</v>
      </c>
      <c r="P7" s="13" cm="1">
        <f t="array" ref="P7">_xll.BDH("PH US Equity","CASH_CASH_EQTY_STI_DETAILED","FQ2 2022","FQ2 2022","Currency=USD","Period=FQ","BEST_FPERIOD_OVERRIDE=FQ","FILING_STATUS=MR","SCALING_FORMAT=MLN","Sort=A","Dates=H","DateFormat=P","Fill=—","Direction=H","UseDPDF=Y")</f>
        <v>489.99200000000002</v>
      </c>
      <c r="Q7" s="13" cm="1">
        <f t="array" ref="Q7">_xll.BDH("PH US Equity","CASH_CASH_EQTY_STI_DETAILED","FQ3 2022","FQ3 2022","Currency=USD","Period=FQ","BEST_FPERIOD_OVERRIDE=FQ","FILING_STATUS=MR","SCALING_FORMAT=MLN","Sort=A","Dates=H","DateFormat=P","Fill=—","Direction=H","UseDPDF=Y")</f>
        <v>506.27199999999999</v>
      </c>
      <c r="R7" s="13" cm="1">
        <f t="array" ref="R7">_xll.BDH("PH US Equity","CASH_CASH_EQTY_STI_DETAILED","FQ4 2022","FQ4 2022","Currency=USD","Period=FQ","BEST_FPERIOD_OVERRIDE=FQ","FILING_STATUS=MR","SCALING_FORMAT=MLN","Sort=A","Dates=H","DateFormat=P","Fill=—","Direction=H","UseDPDF=Y")</f>
        <v>563.66099999999994</v>
      </c>
      <c r="S7" s="13" cm="1">
        <f t="array" ref="S7">_xll.BDH("PH US Equity","CASH_CASH_EQTY_STI_DETAILED","FQ1 2023","FQ1 2023","Currency=USD","Period=FQ","BEST_FPERIOD_OVERRIDE=FQ","FILING_STATUS=MR","SCALING_FORMAT=MLN","Sort=A","Dates=H","DateFormat=P","Fill=—","Direction=H","UseDPDF=Y")</f>
        <v>521.81100000000004</v>
      </c>
      <c r="T7" s="13" cm="1">
        <f t="array" ref="T7">_xll.BDH("PH US Equity","CASH_CASH_EQTY_STI_DETAILED","FQ2 2023","FQ2 2023","Currency=USD","Period=FQ","BEST_FPERIOD_OVERRIDE=FQ","FILING_STATUS=MR","SCALING_FORMAT=MLN","Sort=A","Dates=H","DateFormat=P","Fill=—","Direction=H","UseDPDF=Y")</f>
        <v>777.66600000000005</v>
      </c>
      <c r="U7" s="13" cm="1">
        <f t="array" ref="U7">_xll.BDH("PH US Equity","CASH_CASH_EQTY_STI_DETAILED","FQ3 2023","FQ3 2023","Currency=USD","Period=FQ","BEST_FPERIOD_OVERRIDE=FQ","FILING_STATUS=MR","SCALING_FORMAT=MLN","Sort=A","Dates=H","DateFormat=P","Fill=—","Direction=H","UseDPDF=Y")</f>
        <v>558.29700000000003</v>
      </c>
      <c r="V7" s="13" cm="1">
        <f t="array" ref="V7">_xll.BDH("PH US Equity","CASH_CASH_EQTY_STI_DETAILED","FQ4 2023","FQ4 2023","Currency=USD","Period=FQ","BEST_FPERIOD_OVERRIDE=FQ","FILING_STATUS=MR","SCALING_FORMAT=MLN","Sort=A","Dates=H","DateFormat=P","Fill=—","Direction=H","UseDPDF=Y")</f>
        <v>483.572</v>
      </c>
      <c r="W7" s="13" cm="1">
        <f t="array" ref="W7">_xll.BDH("PH US Equity","CASH_CASH_EQTY_STI_DETAILED","FQ1 2024","FQ1 2024","Currency=USD","Period=FQ","BEST_FPERIOD_OVERRIDE=FQ","FILING_STATUS=MR","SCALING_FORMAT=MLN","Sort=A","Dates=H","DateFormat=P","Fill=—","Direction=H","UseDPDF=Y")</f>
        <v>456.85599999999999</v>
      </c>
      <c r="X7" s="13" cm="1">
        <f t="array" ref="X7">_xll.BDH("PH US Equity","CASH_CASH_EQTY_STI_DETAILED","FQ2 2024","FQ2 2024","Currency=USD","Period=FQ","BEST_FPERIOD_OVERRIDE=FQ","FILING_STATUS=MR","SCALING_FORMAT=MLN","Sort=A","Dates=H","DateFormat=P","Fill=—","Direction=H","UseDPDF=Y")</f>
        <v>393.86799999999999</v>
      </c>
      <c r="Y7" s="13" cm="1">
        <f t="array" ref="Y7">_xll.BDH("PH US Equity","CASH_CASH_EQTY_STI_DETAILED","FQ3 2024","FQ3 2024","Currency=USD","Period=FQ","BEST_FPERIOD_OVERRIDE=FQ","FILING_STATUS=MR","SCALING_FORMAT=MLN","Sort=A","Dates=H","DateFormat=P","Fill=—","Direction=H","UseDPDF=Y")</f>
        <v>415.452</v>
      </c>
      <c r="Z7" s="13" cm="1">
        <f t="array" ref="Z7">_xll.BDH("PH US Equity","CASH_CASH_EQTY_STI_DETAILED","FQ4 2024","FQ4 2024","Currency=USD","Period=FQ","BEST_FPERIOD_OVERRIDE=FQ","FILING_STATUS=MR","SCALING_FORMAT=MLN","Sort=A","Dates=H","DateFormat=P","Fill=—","Direction=H","UseDPDF=Y")</f>
        <v>422.02699999999999</v>
      </c>
      <c r="AA7" s="13" cm="1">
        <f t="array" ref="AA7">_xll.BDH("PH US Equity","CASH_CASH_EQTY_STI_DETAILED","FQ1 2025","FQ1 2025","Currency=USD","Period=FQ","BEST_FPERIOD_OVERRIDE=FQ","FILING_STATUS=MR","SCALING_FORMAT=MLN","Sort=A","Dates=H","DateFormat=P","Fill=—","Direction=H","UseDPDF=Y")</f>
        <v>371.06799999999998</v>
      </c>
      <c r="AB7" s="13" cm="1">
        <f t="array" ref="AB7">_xll.BDH("PH US Equity","CASH_CASH_EQTY_STI_DETAILED","FQ2 2025","FQ2 2025","Currency=USD","Period=FQ","BEST_FPERIOD_OVERRIDE=FQ","FILING_STATUS=MR","SCALING_FORMAT=MLN","Sort=A","Dates=H","DateFormat=P","Fill=—","Direction=H","UseDPDF=Y")</f>
        <v>395.50700000000001</v>
      </c>
      <c r="AC7" s="13" cm="1">
        <f t="array" ref="AC7">_xll.BDH("PH US Equity","CASH_CASH_EQTY_STI_DETAILED","FQ3 2025","FQ3 2025","Currency=USD","Period=FQ","BEST_FPERIOD_OVERRIDE=FQ","FILING_STATUS=MR","SCALING_FORMAT=MLN","Sort=A","Dates=H","DateFormat=P","Fill=—","Direction=H","UseDPDF=Y")</f>
        <v>408.73500000000001</v>
      </c>
      <c r="AD7" s="13" cm="1">
        <f t="array" ref="AD7">_xll.BDH("PH US Equity","CASH_CASH_EQTY_STI_DETAILED","FQ4 2025","FQ4 2025","Currency=USD","Period=FQ","BEST_FPERIOD_OVERRIDE=FQ","FILING_STATUS=MR","SCALING_FORMAT=MLN","Sort=A","Dates=H","DateFormat=P","Fill=—","Direction=H","UseDPDF=Y")</f>
        <v>467</v>
      </c>
      <c r="AE7" s="13" cm="1">
        <f t="array" ref="AE7">_xll.BDH("PH US Equity","CASH_CASH_EQTY_STI_DETAILED","FQ1 2026","FQ1 2026","Currency=USD","Period=FQ","BEST_FPERIOD_OVERRIDE=FQ","FILING_STATUS=MR","SCALING_FORMAT=MLN","Sort=A","Dates=H","DateFormat=P","Fill=—","Direction=H","UseDPDF=Y")</f>
        <v>473</v>
      </c>
      <c r="AF7" s="13" cm="1">
        <f t="array" ref="AF7">_xll.BDH("PH US Equity","CASH_CASH_EQTY_STI_DETAILED","FQ2 2026","FQ2 2026","Currency=USD","Period=FQ","BEST_FPERIOD_OVERRIDE=FQ","FILING_STATUS=MR","SCALING_FORMAT=MLN","Sort=A","Dates=H","DateFormat=P","Fill=—","Direction=H","UseDPDF=Y")</f>
        <v>427</v>
      </c>
    </row>
    <row r="8" spans="1:32" x14ac:dyDescent="0.25">
      <c r="A8" s="10" t="s">
        <v>68</v>
      </c>
      <c r="B8" s="10" t="s">
        <v>69</v>
      </c>
      <c r="C8" s="13" cm="1">
        <f t="array" ref="C8">_xll.BDH("PH US Equity","BS_CASH_NEAR_CASH_ITEM","FQ1 2019","FQ1 2019","Currency=USD","Period=FQ","BEST_FPERIOD_OVERRIDE=FQ","FILING_STATUS=MR","SCALING_FORMAT=MLN","Sort=A","Dates=H","DateFormat=P","Fill=—","Direction=H","UseDPDF=Y")</f>
        <v>952.12199999999996</v>
      </c>
      <c r="D8" s="13" cm="1">
        <f t="array" ref="D8">_xll.BDH("PH US Equity","BS_CASH_NEAR_CASH_ITEM","FQ2 2019","FQ2 2019","Currency=USD","Period=FQ","BEST_FPERIOD_OVERRIDE=FQ","FILING_STATUS=MR","SCALING_FORMAT=MLN","Sort=A","Dates=H","DateFormat=P","Fill=—","Direction=H","UseDPDF=Y")</f>
        <v>1047.385</v>
      </c>
      <c r="E8" s="13" cm="1">
        <f t="array" ref="E8">_xll.BDH("PH US Equity","BS_CASH_NEAR_CASH_ITEM","FQ3 2019","FQ3 2019","Currency=USD","Period=FQ","BEST_FPERIOD_OVERRIDE=FQ","FILING_STATUS=MR","SCALING_FORMAT=MLN","Sort=A","Dates=H","DateFormat=P","Fill=—","Direction=H","UseDPDF=Y")</f>
        <v>1098.729</v>
      </c>
      <c r="F8" s="13" cm="1">
        <f t="array" ref="F8">_xll.BDH("PH US Equity","BS_CASH_NEAR_CASH_ITEM","FQ4 2019","FQ4 2019","Currency=USD","Period=FQ","BEST_FPERIOD_OVERRIDE=FQ","FILING_STATUS=MR","SCALING_FORMAT=MLN","Sort=A","Dates=H","DateFormat=P","Fill=—","Direction=H","UseDPDF=Y")</f>
        <v>3219.7669999999998</v>
      </c>
      <c r="G8" s="13" cm="1">
        <f t="array" ref="G8">_xll.BDH("PH US Equity","BS_CASH_NEAR_CASH_ITEM","FQ1 2020","FQ1 2020","Currency=USD","Period=FQ","BEST_FPERIOD_OVERRIDE=FQ","FILING_STATUS=MR","SCALING_FORMAT=MLN","Sort=A","Dates=H","DateFormat=P","Fill=—","Direction=H","UseDPDF=Y")</f>
        <v>3627.393</v>
      </c>
      <c r="H8" s="13" cm="1">
        <f t="array" ref="H8">_xll.BDH("PH US Equity","BS_CASH_NEAR_CASH_ITEM","FQ2 2020","FQ2 2020","Currency=USD","Period=FQ","BEST_FPERIOD_OVERRIDE=FQ","FILING_STATUS=MR","SCALING_FORMAT=MLN","Sort=A","Dates=H","DateFormat=P","Fill=—","Direction=H","UseDPDF=Y")</f>
        <v>948.35500000000002</v>
      </c>
      <c r="I8" s="13" cm="1">
        <f t="array" ref="I8">_xll.BDH("PH US Equity","BS_CASH_NEAR_CASH_ITEM","FQ3 2020","FQ3 2020","Currency=USD","Period=FQ","BEST_FPERIOD_OVERRIDE=FQ","FILING_STATUS=MR","SCALING_FORMAT=MLN","Sort=A","Dates=H","DateFormat=P","Fill=—","Direction=H","UseDPDF=Y")</f>
        <v>697.61699999999996</v>
      </c>
      <c r="J8" s="13" cm="1">
        <f t="array" ref="J8">_xll.BDH("PH US Equity","BS_CASH_NEAR_CASH_ITEM","FQ4 2020","FQ4 2020","Currency=USD","Period=FQ","BEST_FPERIOD_OVERRIDE=FQ","FILING_STATUS=MR","SCALING_FORMAT=MLN","Sort=A","Dates=H","DateFormat=P","Fill=—","Direction=H","UseDPDF=Y")</f>
        <v>685.51400000000001</v>
      </c>
      <c r="K8" s="13" cm="1">
        <f t="array" ref="K8">_xll.BDH("PH US Equity","BS_CASH_NEAR_CASH_ITEM","FQ1 2021","FQ1 2021","Currency=USD","Period=FQ","BEST_FPERIOD_OVERRIDE=FQ","FILING_STATUS=MR","SCALING_FORMAT=MLN","Sort=A","Dates=H","DateFormat=P","Fill=—","Direction=H","UseDPDF=Y")</f>
        <v>742.39400000000001</v>
      </c>
      <c r="L8" s="13" cm="1">
        <f t="array" ref="L8">_xll.BDH("PH US Equity","BS_CASH_NEAR_CASH_ITEM","FQ2 2021","FQ2 2021","Currency=USD","Period=FQ","BEST_FPERIOD_OVERRIDE=FQ","FILING_STATUS=MR","SCALING_FORMAT=MLN","Sort=A","Dates=H","DateFormat=P","Fill=—","Direction=H","UseDPDF=Y")</f>
        <v>564.73400000000004</v>
      </c>
      <c r="M8" s="13" cm="1">
        <f t="array" ref="M8">_xll.BDH("PH US Equity","BS_CASH_NEAR_CASH_ITEM","FQ3 2021","FQ3 2021","Currency=USD","Period=FQ","BEST_FPERIOD_OVERRIDE=FQ","FILING_STATUS=MR","SCALING_FORMAT=MLN","Sort=A","Dates=H","DateFormat=P","Fill=—","Direction=H","UseDPDF=Y")</f>
        <v>489.6</v>
      </c>
      <c r="N8" s="13" cm="1">
        <f t="array" ref="N8">_xll.BDH("PH US Equity","BS_CASH_NEAR_CASH_ITEM","FQ4 2021","FQ4 2021","Currency=USD","Period=FQ","BEST_FPERIOD_OVERRIDE=FQ","FILING_STATUS=MR","SCALING_FORMAT=MLN","Sort=A","Dates=H","DateFormat=P","Fill=—","Direction=H","UseDPDF=Y")</f>
        <v>733.11699999999996</v>
      </c>
      <c r="O8" s="13" cm="1">
        <f t="array" ref="O8">_xll.BDH("PH US Equity","BS_CASH_NEAR_CASH_ITEM","FQ1 2022","FQ1 2022","Currency=USD","Period=FQ","BEST_FPERIOD_OVERRIDE=FQ","FILING_STATUS=MR","SCALING_FORMAT=MLN","Sort=A","Dates=H","DateFormat=P","Fill=—","Direction=H","UseDPDF=Y")</f>
        <v>478.58199999999999</v>
      </c>
      <c r="P8" s="13" cm="1">
        <f t="array" ref="P8">_xll.BDH("PH US Equity","BS_CASH_NEAR_CASH_ITEM","FQ2 2022","FQ2 2022","Currency=USD","Period=FQ","BEST_FPERIOD_OVERRIDE=FQ","FILING_STATUS=MR","SCALING_FORMAT=MLN","Sort=A","Dates=H","DateFormat=P","Fill=—","Direction=H","UseDPDF=Y")</f>
        <v>449.48099999999999</v>
      </c>
      <c r="Q8" s="13" cm="1">
        <f t="array" ref="Q8">_xll.BDH("PH US Equity","BS_CASH_NEAR_CASH_ITEM","FQ3 2022","FQ3 2022","Currency=USD","Period=FQ","BEST_FPERIOD_OVERRIDE=FQ","FILING_STATUS=MR","SCALING_FORMAT=MLN","Sort=A","Dates=H","DateFormat=P","Fill=—","Direction=H","UseDPDF=Y")</f>
        <v>467.71100000000001</v>
      </c>
      <c r="R8" s="13" cm="1">
        <f t="array" ref="R8">_xll.BDH("PH US Equity","BS_CASH_NEAR_CASH_ITEM","FQ4 2022","FQ4 2022","Currency=USD","Period=FQ","BEST_FPERIOD_OVERRIDE=FQ","FILING_STATUS=MR","SCALING_FORMAT=MLN","Sort=A","Dates=H","DateFormat=P","Fill=—","Direction=H","UseDPDF=Y")</f>
        <v>535.79899999999998</v>
      </c>
      <c r="S8" s="13" cm="1">
        <f t="array" ref="S8">_xll.BDH("PH US Equity","BS_CASH_NEAR_CASH_ITEM","FQ1 2023","FQ1 2023","Currency=USD","Period=FQ","BEST_FPERIOD_OVERRIDE=FQ","FILING_STATUS=MR","SCALING_FORMAT=MLN","Sort=A","Dates=H","DateFormat=P","Fill=—","Direction=H","UseDPDF=Y")</f>
        <v>502.30700000000002</v>
      </c>
      <c r="T8" s="13" cm="1">
        <f t="array" ref="T8">_xll.BDH("PH US Equity","BS_CASH_NEAR_CASH_ITEM","FQ2 2023","FQ2 2023","Currency=USD","Period=FQ","BEST_FPERIOD_OVERRIDE=FQ","FILING_STATUS=MR","SCALING_FORMAT=MLN","Sort=A","Dates=H","DateFormat=P","Fill=—","Direction=H","UseDPDF=Y")</f>
        <v>756.05499999999995</v>
      </c>
      <c r="U8" s="13" cm="1">
        <f t="array" ref="U8">_xll.BDH("PH US Equity","BS_CASH_NEAR_CASH_ITEM","FQ3 2023","FQ3 2023","Currency=USD","Period=FQ","BEST_FPERIOD_OVERRIDE=FQ","FILING_STATUS=MR","SCALING_FORMAT=MLN","Sort=A","Dates=H","DateFormat=P","Fill=—","Direction=H","UseDPDF=Y")</f>
        <v>534.83100000000002</v>
      </c>
      <c r="V8" s="13" cm="1">
        <f t="array" ref="V8">_xll.BDH("PH US Equity","BS_CASH_NEAR_CASH_ITEM","FQ4 2023","FQ4 2023","Currency=USD","Period=FQ","BEST_FPERIOD_OVERRIDE=FQ","FILING_STATUS=MR","SCALING_FORMAT=MLN","Sort=A","Dates=H","DateFormat=P","Fill=—","Direction=H","UseDPDF=Y")</f>
        <v>475.18200000000002</v>
      </c>
      <c r="W8" s="13" cm="1">
        <f t="array" ref="W8">_xll.BDH("PH US Equity","BS_CASH_NEAR_CASH_ITEM","FQ1 2024","FQ1 2024","Currency=USD","Period=FQ","BEST_FPERIOD_OVERRIDE=FQ","FILING_STATUS=MR","SCALING_FORMAT=MLN","Sort=A","Dates=H","DateFormat=P","Fill=—","Direction=H","UseDPDF=Y")</f>
        <v>448.92599999999999</v>
      </c>
      <c r="X8" s="13" cm="1">
        <f t="array" ref="X8">_xll.BDH("PH US Equity","BS_CASH_NEAR_CASH_ITEM","FQ2 2024","FQ2 2024","Currency=USD","Period=FQ","BEST_FPERIOD_OVERRIDE=FQ","FILING_STATUS=MR","SCALING_FORMAT=MLN","Sort=A","Dates=H","DateFormat=P","Fill=—","Direction=H","UseDPDF=Y")</f>
        <v>382.815</v>
      </c>
      <c r="Y8" s="13" cm="1">
        <f t="array" ref="Y8">_xll.BDH("PH US Equity","BS_CASH_NEAR_CASH_ITEM","FQ3 2024","FQ3 2024","Currency=USD","Period=FQ","BEST_FPERIOD_OVERRIDE=FQ","FILING_STATUS=MR","SCALING_FORMAT=MLN","Sort=A","Dates=H","DateFormat=P","Fill=—","Direction=H","UseDPDF=Y")</f>
        <v>405.48399999999998</v>
      </c>
      <c r="Z8" s="13" cm="1">
        <f t="array" ref="Z8">_xll.BDH("PH US Equity","BS_CASH_NEAR_CASH_ITEM","FQ4 2024","FQ4 2024","Currency=USD","Period=FQ","BEST_FPERIOD_OVERRIDE=FQ","FILING_STATUS=MR","SCALING_FORMAT=MLN","Sort=A","Dates=H","DateFormat=P","Fill=—","Direction=H","UseDPDF=Y")</f>
        <v>422.02699999999999</v>
      </c>
      <c r="AA8" s="13" cm="1">
        <f t="array" ref="AA8">_xll.BDH("PH US Equity","BS_CASH_NEAR_CASH_ITEM","FQ1 2025","FQ1 2025","Currency=USD","Period=FQ","BEST_FPERIOD_OVERRIDE=FQ","FILING_STATUS=MR","SCALING_FORMAT=MLN","Sort=A","Dates=H","DateFormat=P","Fill=—","Direction=H","UseDPDF=Y")</f>
        <v>371.06799999999998</v>
      </c>
      <c r="AB8" s="13" cm="1">
        <f t="array" ref="AB8">_xll.BDH("PH US Equity","BS_CASH_NEAR_CASH_ITEM","FQ2 2025","FQ2 2025","Currency=USD","Period=FQ","BEST_FPERIOD_OVERRIDE=FQ","FILING_STATUS=MR","SCALING_FORMAT=MLN","Sort=A","Dates=H","DateFormat=P","Fill=—","Direction=H","UseDPDF=Y")</f>
        <v>395.50700000000001</v>
      </c>
      <c r="AC8" s="13" cm="1">
        <f t="array" ref="AC8">_xll.BDH("PH US Equity","BS_CASH_NEAR_CASH_ITEM","FQ3 2025","FQ3 2025","Currency=USD","Period=FQ","BEST_FPERIOD_OVERRIDE=FQ","FILING_STATUS=MR","SCALING_FORMAT=MLN","Sort=A","Dates=H","DateFormat=P","Fill=—","Direction=H","UseDPDF=Y")</f>
        <v>408.73500000000001</v>
      </c>
      <c r="AD8" s="13" cm="1">
        <f t="array" ref="AD8">_xll.BDH("PH US Equity","BS_CASH_NEAR_CASH_ITEM","FQ4 2025","FQ4 2025","Currency=USD","Period=FQ","BEST_FPERIOD_OVERRIDE=FQ","FILING_STATUS=MR","SCALING_FORMAT=MLN","Sort=A","Dates=H","DateFormat=P","Fill=—","Direction=H","UseDPDF=Y")</f>
        <v>467</v>
      </c>
      <c r="AE8" s="13" cm="1">
        <f t="array" ref="AE8">_xll.BDH("PH US Equity","BS_CASH_NEAR_CASH_ITEM","FQ1 2026","FQ1 2026","Currency=USD","Period=FQ","BEST_FPERIOD_OVERRIDE=FQ","FILING_STATUS=MR","SCALING_FORMAT=MLN","Sort=A","Dates=H","DateFormat=P","Fill=—","Direction=H","UseDPDF=Y")</f>
        <v>473</v>
      </c>
      <c r="AF8" s="13" cm="1">
        <f t="array" ref="AF8">_xll.BDH("PH US Equity","BS_CASH_NEAR_CASH_ITEM","FQ2 2026","FQ2 2026","Currency=USD","Period=FQ","BEST_FPERIOD_OVERRIDE=FQ","FILING_STATUS=MR","SCALING_FORMAT=MLN","Sort=A","Dates=H","DateFormat=P","Fill=—","Direction=H","UseDPDF=Y")</f>
        <v>427</v>
      </c>
    </row>
    <row r="9" spans="1:32" x14ac:dyDescent="0.25">
      <c r="A9" s="10" t="s">
        <v>70</v>
      </c>
      <c r="B9" s="10" t="s">
        <v>71</v>
      </c>
      <c r="C9" s="13" cm="1">
        <f t="array" ref="C9">_xll.BDH("PH US Equity","BS_MKT_SEC_OTHER_ST_INVEST","FQ1 2019","FQ1 2019","Currency=USD","Period=FQ","BEST_FPERIOD_OVERRIDE=FQ","FILING_STATUS=MR","SCALING_FORMAT=MLN","Sort=A","Dates=H","DateFormat=P","Fill=—","Direction=H","UseDPDF=Y")</f>
        <v>40.786999999999999</v>
      </c>
      <c r="D9" s="13" cm="1">
        <f t="array" ref="D9">_xll.BDH("PH US Equity","BS_MKT_SEC_OTHER_ST_INVEST","FQ2 2019","FQ2 2019","Currency=USD","Period=FQ","BEST_FPERIOD_OVERRIDE=FQ","FILING_STATUS=MR","SCALING_FORMAT=MLN","Sort=A","Dates=H","DateFormat=P","Fill=—","Direction=H","UseDPDF=Y")</f>
        <v>30.956</v>
      </c>
      <c r="E9" s="13" cm="1">
        <f t="array" ref="E9">_xll.BDH("PH US Equity","BS_MKT_SEC_OTHER_ST_INVEST","FQ3 2019","FQ3 2019","Currency=USD","Period=FQ","BEST_FPERIOD_OVERRIDE=FQ","FILING_STATUS=MR","SCALING_FORMAT=MLN","Sort=A","Dates=H","DateFormat=P","Fill=—","Direction=H","UseDPDF=Y")</f>
        <v>70.19</v>
      </c>
      <c r="F9" s="13" cm="1">
        <f t="array" ref="F9">_xll.BDH("PH US Equity","BS_MKT_SEC_OTHER_ST_INVEST","FQ4 2019","FQ4 2019","Currency=USD","Period=FQ","BEST_FPERIOD_OVERRIDE=FQ","FILING_STATUS=MR","SCALING_FORMAT=MLN","Sort=A","Dates=H","DateFormat=P","Fill=—","Direction=H","UseDPDF=Y")</f>
        <v>150.93100000000001</v>
      </c>
      <c r="G9" s="13" cm="1">
        <f t="array" ref="G9">_xll.BDH("PH US Equity","BS_MKT_SEC_OTHER_ST_INVEST","FQ1 2020","FQ1 2020","Currency=USD","Period=FQ","BEST_FPERIOD_OVERRIDE=FQ","FILING_STATUS=MR","SCALING_FORMAT=MLN","Sort=A","Dates=H","DateFormat=P","Fill=—","Direction=H","UseDPDF=Y")</f>
        <v>282.10199999999998</v>
      </c>
      <c r="H9" s="13" cm="1">
        <f t="array" ref="H9">_xll.BDH("PH US Equity","BS_MKT_SEC_OTHER_ST_INVEST","FQ2 2020","FQ2 2020","Currency=USD","Period=FQ","BEST_FPERIOD_OVERRIDE=FQ","FILING_STATUS=MR","SCALING_FORMAT=MLN","Sort=A","Dates=H","DateFormat=P","Fill=—","Direction=H","UseDPDF=Y")</f>
        <v>145.12</v>
      </c>
      <c r="I9" s="13" cm="1">
        <f t="array" ref="I9">_xll.BDH("PH US Equity","BS_MKT_SEC_OTHER_ST_INVEST","FQ3 2020","FQ3 2020","Currency=USD","Period=FQ","BEST_FPERIOD_OVERRIDE=FQ","FILING_STATUS=MR","SCALING_FORMAT=MLN","Sort=A","Dates=H","DateFormat=P","Fill=—","Direction=H","UseDPDF=Y")</f>
        <v>92.536000000000001</v>
      </c>
      <c r="J9" s="13" cm="1">
        <f t="array" ref="J9">_xll.BDH("PH US Equity","BS_MKT_SEC_OTHER_ST_INVEST","FQ4 2020","FQ4 2020","Currency=USD","Period=FQ","BEST_FPERIOD_OVERRIDE=FQ","FILING_STATUS=MR","SCALING_FORMAT=MLN","Sort=A","Dates=H","DateFormat=P","Fill=—","Direction=H","UseDPDF=Y")</f>
        <v>70.805000000000007</v>
      </c>
      <c r="K9" s="13" cm="1">
        <f t="array" ref="K9">_xll.BDH("PH US Equity","BS_MKT_SEC_OTHER_ST_INVEST","FQ1 2021","FQ1 2021","Currency=USD","Period=FQ","BEST_FPERIOD_OVERRIDE=FQ","FILING_STATUS=MR","SCALING_FORMAT=MLN","Sort=A","Dates=H","DateFormat=P","Fill=—","Direction=H","UseDPDF=Y")</f>
        <v>33.463000000000001</v>
      </c>
      <c r="L9" s="13" cm="1">
        <f t="array" ref="L9">_xll.BDH("PH US Equity","BS_MKT_SEC_OTHER_ST_INVEST","FQ2 2021","FQ2 2021","Currency=USD","Period=FQ","BEST_FPERIOD_OVERRIDE=FQ","FILING_STATUS=MR","SCALING_FORMAT=MLN","Sort=A","Dates=H","DateFormat=P","Fill=—","Direction=H","UseDPDF=Y")</f>
        <v>43.314</v>
      </c>
      <c r="M9" s="13" cm="1">
        <f t="array" ref="M9">_xll.BDH("PH US Equity","BS_MKT_SEC_OTHER_ST_INVEST","FQ3 2021","FQ3 2021","Currency=USD","Period=FQ","BEST_FPERIOD_OVERRIDE=FQ","FILING_STATUS=MR","SCALING_FORMAT=MLN","Sort=A","Dates=H","DateFormat=P","Fill=—","Direction=H","UseDPDF=Y")</f>
        <v>40.270000000000003</v>
      </c>
      <c r="N9" s="13" cm="1">
        <f t="array" ref="N9">_xll.BDH("PH US Equity","BS_MKT_SEC_OTHER_ST_INVEST","FQ4 2021","FQ4 2021","Currency=USD","Period=FQ","BEST_FPERIOD_OVERRIDE=FQ","FILING_STATUS=MR","SCALING_FORMAT=MLN","Sort=A","Dates=H","DateFormat=P","Fill=—","Direction=H","UseDPDF=Y")</f>
        <v>39.116</v>
      </c>
      <c r="O9" s="13" cm="1">
        <f t="array" ref="O9">_xll.BDH("PH US Equity","BS_MKT_SEC_OTHER_ST_INVEST","FQ1 2022","FQ1 2022","Currency=USD","Period=FQ","BEST_FPERIOD_OVERRIDE=FQ","FILING_STATUS=MR","SCALING_FORMAT=MLN","Sort=A","Dates=H","DateFormat=P","Fill=—","Direction=H","UseDPDF=Y")</f>
        <v>40.159999999999997</v>
      </c>
      <c r="P9" s="13" cm="1">
        <f t="array" ref="P9">_xll.BDH("PH US Equity","BS_MKT_SEC_OTHER_ST_INVEST","FQ2 2022","FQ2 2022","Currency=USD","Period=FQ","BEST_FPERIOD_OVERRIDE=FQ","FILING_STATUS=MR","SCALING_FORMAT=MLN","Sort=A","Dates=H","DateFormat=P","Fill=—","Direction=H","UseDPDF=Y")</f>
        <v>40.511000000000003</v>
      </c>
      <c r="Q9" s="13" cm="1">
        <f t="array" ref="Q9">_xll.BDH("PH US Equity","BS_MKT_SEC_OTHER_ST_INVEST","FQ3 2022","FQ3 2022","Currency=USD","Period=FQ","BEST_FPERIOD_OVERRIDE=FQ","FILING_STATUS=MR","SCALING_FORMAT=MLN","Sort=A","Dates=H","DateFormat=P","Fill=—","Direction=H","UseDPDF=Y")</f>
        <v>38.561</v>
      </c>
      <c r="R9" s="13" cm="1">
        <f t="array" ref="R9">_xll.BDH("PH US Equity","BS_MKT_SEC_OTHER_ST_INVEST","FQ4 2022","FQ4 2022","Currency=USD","Period=FQ","BEST_FPERIOD_OVERRIDE=FQ","FILING_STATUS=MR","SCALING_FORMAT=MLN","Sort=A","Dates=H","DateFormat=P","Fill=—","Direction=H","UseDPDF=Y")</f>
        <v>27.861999999999998</v>
      </c>
      <c r="S9" s="13" cm="1">
        <f t="array" ref="S9">_xll.BDH("PH US Equity","BS_MKT_SEC_OTHER_ST_INVEST","FQ1 2023","FQ1 2023","Currency=USD","Period=FQ","BEST_FPERIOD_OVERRIDE=FQ","FILING_STATUS=MR","SCALING_FORMAT=MLN","Sort=A","Dates=H","DateFormat=P","Fill=—","Direction=H","UseDPDF=Y")</f>
        <v>19.504000000000001</v>
      </c>
      <c r="T9" s="13" cm="1">
        <f t="array" ref="T9">_xll.BDH("PH US Equity","BS_MKT_SEC_OTHER_ST_INVEST","FQ2 2023","FQ2 2023","Currency=USD","Period=FQ","BEST_FPERIOD_OVERRIDE=FQ","FILING_STATUS=MR","SCALING_FORMAT=MLN","Sort=A","Dates=H","DateFormat=P","Fill=—","Direction=H","UseDPDF=Y")</f>
        <v>21.611000000000001</v>
      </c>
      <c r="U9" s="13" cm="1">
        <f t="array" ref="U9">_xll.BDH("PH US Equity","BS_MKT_SEC_OTHER_ST_INVEST","FQ3 2023","FQ3 2023","Currency=USD","Period=FQ","BEST_FPERIOD_OVERRIDE=FQ","FILING_STATUS=MR","SCALING_FORMAT=MLN","Sort=A","Dates=H","DateFormat=P","Fill=—","Direction=H","UseDPDF=Y")</f>
        <v>23.466000000000001</v>
      </c>
      <c r="V9" s="13" cm="1">
        <f t="array" ref="V9">_xll.BDH("PH US Equity","BS_MKT_SEC_OTHER_ST_INVEST","FQ4 2023","FQ4 2023","Currency=USD","Period=FQ","BEST_FPERIOD_OVERRIDE=FQ","FILING_STATUS=MR","SCALING_FORMAT=MLN","Sort=A","Dates=H","DateFormat=P","Fill=—","Direction=H","UseDPDF=Y")</f>
        <v>8.39</v>
      </c>
      <c r="W9" s="13" cm="1">
        <f t="array" ref="W9">_xll.BDH("PH US Equity","BS_MKT_SEC_OTHER_ST_INVEST","FQ1 2024","FQ1 2024","Currency=USD","Period=FQ","BEST_FPERIOD_OVERRIDE=FQ","FILING_STATUS=MR","SCALING_FORMAT=MLN","Sort=A","Dates=H","DateFormat=P","Fill=—","Direction=H","UseDPDF=Y")</f>
        <v>7.93</v>
      </c>
      <c r="X9" s="13" cm="1">
        <f t="array" ref="X9">_xll.BDH("PH US Equity","BS_MKT_SEC_OTHER_ST_INVEST","FQ2 2024","FQ2 2024","Currency=USD","Period=FQ","BEST_FPERIOD_OVERRIDE=FQ","FILING_STATUS=MR","SCALING_FORMAT=MLN","Sort=A","Dates=H","DateFormat=P","Fill=—","Direction=H","UseDPDF=Y")</f>
        <v>11.053000000000001</v>
      </c>
      <c r="Y9" s="13" cm="1">
        <f t="array" ref="Y9">_xll.BDH("PH US Equity","BS_MKT_SEC_OTHER_ST_INVEST","FQ3 2024","FQ3 2024","Currency=USD","Period=FQ","BEST_FPERIOD_OVERRIDE=FQ","FILING_STATUS=MR","SCALING_FORMAT=MLN","Sort=A","Dates=H","DateFormat=P","Fill=—","Direction=H","UseDPDF=Y")</f>
        <v>9.968</v>
      </c>
      <c r="Z9" s="13" cm="1">
        <f t="array" ref="Z9">_xll.BDH("PH US Equity","BS_MKT_SEC_OTHER_ST_INVEST","FQ4 2024","FQ4 2024","Currency=USD","Period=FQ","BEST_FPERIOD_OVERRIDE=FQ","FILING_STATUS=MR","SCALING_FORMAT=MLN","Sort=A","Dates=H","DateFormat=P","Fill=—","Direction=H","UseDPDF=Y")</f>
        <v>0</v>
      </c>
      <c r="AA9" s="13" cm="1">
        <f t="array" ref="AA9">_xll.BDH("PH US Equity","BS_MKT_SEC_OTHER_ST_INVEST","FQ1 2025","FQ1 2025","Currency=USD","Period=FQ","BEST_FPERIOD_OVERRIDE=FQ","FILING_STATUS=MR","SCALING_FORMAT=MLN","Sort=A","Dates=H","DateFormat=P","Fill=—","Direction=H","UseDPDF=Y")</f>
        <v>0</v>
      </c>
      <c r="AB9" s="13" cm="1">
        <f t="array" ref="AB9">_xll.BDH("PH US Equity","BS_MKT_SEC_OTHER_ST_INVEST","FQ2 2025","FQ2 2025","Currency=USD","Period=FQ","BEST_FPERIOD_OVERRIDE=FQ","FILING_STATUS=MR","SCALING_FORMAT=MLN","Sort=A","Dates=H","DateFormat=P","Fill=—","Direction=H","UseDPDF=Y")</f>
        <v>0</v>
      </c>
      <c r="AC9" s="13" cm="1">
        <f t="array" ref="AC9">_xll.BDH("PH US Equity","BS_MKT_SEC_OTHER_ST_INVEST","FQ3 2025","FQ3 2025","Currency=USD","Period=FQ","BEST_FPERIOD_OVERRIDE=FQ","FILING_STATUS=MR","SCALING_FORMAT=MLN","Sort=A","Dates=H","DateFormat=P","Fill=—","Direction=H","UseDPDF=Y")</f>
        <v>0</v>
      </c>
      <c r="AD9" s="13" cm="1">
        <f t="array" ref="AD9">_xll.BDH("PH US Equity","BS_MKT_SEC_OTHER_ST_INVEST","FQ4 2025","FQ4 2025","Currency=USD","Period=FQ","BEST_FPERIOD_OVERRIDE=FQ","FILING_STATUS=MR","SCALING_FORMAT=MLN","Sort=A","Dates=H","DateFormat=P","Fill=—","Direction=H","UseDPDF=Y")</f>
        <v>0</v>
      </c>
      <c r="AE9" s="13" cm="1">
        <f t="array" ref="AE9">_xll.BDH("PH US Equity","BS_MKT_SEC_OTHER_ST_INVEST","FQ1 2026","FQ1 2026","Currency=USD","Period=FQ","BEST_FPERIOD_OVERRIDE=FQ","FILING_STATUS=MR","SCALING_FORMAT=MLN","Sort=A","Dates=H","DateFormat=P","Fill=—","Direction=H","UseDPDF=Y")</f>
        <v>0</v>
      </c>
      <c r="AF9" s="13" cm="1">
        <f t="array" ref="AF9">_xll.BDH("PH US Equity","BS_MKT_SEC_OTHER_ST_INVEST","FQ2 2026","FQ2 2026","Currency=USD","Period=FQ","BEST_FPERIOD_OVERRIDE=FQ","FILING_STATUS=MR","SCALING_FORMAT=MLN","Sort=A","Dates=H","DateFormat=P","Fill=—","Direction=H","UseDPDF=Y")</f>
        <v>0</v>
      </c>
    </row>
    <row r="10" spans="1:32" x14ac:dyDescent="0.25">
      <c r="A10" s="10" t="s">
        <v>72</v>
      </c>
      <c r="B10" s="10" t="s">
        <v>73</v>
      </c>
      <c r="C10" s="13" cm="1">
        <f t="array" ref="C10">_xll.BDH("PH US Equity","BS_ACCT_NOTE_RCV","FQ1 2019","FQ1 2019","Currency=USD","Period=FQ","BEST_FPERIOD_OVERRIDE=FQ","FILING_STATUS=MR","SCALING_FORMAT=MLN","Sort=A","Dates=H","DateFormat=P","Fill=—","Direction=H","UseDPDF=Y")</f>
        <v>2376.1950000000002</v>
      </c>
      <c r="D10" s="13" cm="1">
        <f t="array" ref="D10">_xll.BDH("PH US Equity","BS_ACCT_NOTE_RCV","FQ2 2019","FQ2 2019","Currency=USD","Period=FQ","BEST_FPERIOD_OVERRIDE=FQ","FILING_STATUS=MR","SCALING_FORMAT=MLN","Sort=A","Dates=H","DateFormat=P","Fill=—","Direction=H","UseDPDF=Y")</f>
        <v>2262.6849999999999</v>
      </c>
      <c r="E10" s="13" cm="1">
        <f t="array" ref="E10">_xll.BDH("PH US Equity","BS_ACCT_NOTE_RCV","FQ3 2019","FQ3 2019","Currency=USD","Period=FQ","BEST_FPERIOD_OVERRIDE=FQ","FILING_STATUS=MR","SCALING_FORMAT=MLN","Sort=A","Dates=H","DateFormat=P","Fill=—","Direction=H","UseDPDF=Y")</f>
        <v>2421.4270000000001</v>
      </c>
      <c r="F10" s="13" cm="1">
        <f t="array" ref="F10">_xll.BDH("PH US Equity","BS_ACCT_NOTE_RCV","FQ4 2019","FQ4 2019","Currency=USD","Period=FQ","BEST_FPERIOD_OVERRIDE=FQ","FILING_STATUS=MR","SCALING_FORMAT=MLN","Sort=A","Dates=H","DateFormat=P","Fill=—","Direction=H","UseDPDF=Y")</f>
        <v>2441.3049999999998</v>
      </c>
      <c r="G10" s="13" cm="1">
        <f t="array" ref="G10">_xll.BDH("PH US Equity","BS_ACCT_NOTE_RCV","FQ1 2020","FQ1 2020","Currency=USD","Period=FQ","BEST_FPERIOD_OVERRIDE=FQ","FILING_STATUS=MR","SCALING_FORMAT=MLN","Sort=A","Dates=H","DateFormat=P","Fill=—","Direction=H","UseDPDF=Y")</f>
        <v>2256.1709999999998</v>
      </c>
      <c r="H10" s="13" cm="1">
        <f t="array" ref="H10">_xll.BDH("PH US Equity","BS_ACCT_NOTE_RCV","FQ2 2020","FQ2 2020","Currency=USD","Period=FQ","BEST_FPERIOD_OVERRIDE=FQ","FILING_STATUS=MR","SCALING_FORMAT=MLN","Sort=A","Dates=H","DateFormat=P","Fill=—","Direction=H","UseDPDF=Y")</f>
        <v>2290.7539999999999</v>
      </c>
      <c r="I10" s="13" cm="1">
        <f t="array" ref="I10">_xll.BDH("PH US Equity","BS_ACCT_NOTE_RCV","FQ3 2020","FQ3 2020","Currency=USD","Period=FQ","BEST_FPERIOD_OVERRIDE=FQ","FILING_STATUS=MR","SCALING_FORMAT=MLN","Sort=A","Dates=H","DateFormat=P","Fill=—","Direction=H","UseDPDF=Y")</f>
        <v>2437.3960000000002</v>
      </c>
      <c r="J10" s="13" cm="1">
        <f t="array" ref="J10">_xll.BDH("PH US Equity","BS_ACCT_NOTE_RCV","FQ4 2020","FQ4 2020","Currency=USD","Period=FQ","BEST_FPERIOD_OVERRIDE=FQ","FILING_STATUS=MR","SCALING_FORMAT=MLN","Sort=A","Dates=H","DateFormat=P","Fill=—","Direction=H","UseDPDF=Y")</f>
        <v>2097.018</v>
      </c>
      <c r="K10" s="13" cm="1">
        <f t="array" ref="K10">_xll.BDH("PH US Equity","BS_ACCT_NOTE_RCV","FQ1 2021","FQ1 2021","Currency=USD","Period=FQ","BEST_FPERIOD_OVERRIDE=FQ","FILING_STATUS=MR","SCALING_FORMAT=MLN","Sort=A","Dates=H","DateFormat=P","Fill=—","Direction=H","UseDPDF=Y")</f>
        <v>2119.335</v>
      </c>
      <c r="L10" s="13" cm="1">
        <f t="array" ref="L10">_xll.BDH("PH US Equity","BS_ACCT_NOTE_RCV","FQ2 2021","FQ2 2021","Currency=USD","Period=FQ","BEST_FPERIOD_OVERRIDE=FQ","FILING_STATUS=MR","SCALING_FORMAT=MLN","Sort=A","Dates=H","DateFormat=P","Fill=—","Direction=H","UseDPDF=Y")</f>
        <v>2110.5659999999998</v>
      </c>
      <c r="M10" s="13" cm="1">
        <f t="array" ref="M10">_xll.BDH("PH US Equity","BS_ACCT_NOTE_RCV","FQ3 2021","FQ3 2021","Currency=USD","Period=FQ","BEST_FPERIOD_OVERRIDE=FQ","FILING_STATUS=MR","SCALING_FORMAT=MLN","Sort=A","Dates=H","DateFormat=P","Fill=—","Direction=H","UseDPDF=Y")</f>
        <v>2419.473</v>
      </c>
      <c r="N10" s="13" cm="1">
        <f t="array" ref="N10">_xll.BDH("PH US Equity","BS_ACCT_NOTE_RCV","FQ4 2021","FQ4 2021","Currency=USD","Period=FQ","BEST_FPERIOD_OVERRIDE=FQ","FILING_STATUS=MR","SCALING_FORMAT=MLN","Sort=A","Dates=H","DateFormat=P","Fill=—","Direction=H","UseDPDF=Y")</f>
        <v>2509.799</v>
      </c>
      <c r="O10" s="13" cm="1">
        <f t="array" ref="O10">_xll.BDH("PH US Equity","BS_ACCT_NOTE_RCV","FQ1 2022","FQ1 2022","Currency=USD","Period=FQ","BEST_FPERIOD_OVERRIDE=FQ","FILING_STATUS=MR","SCALING_FORMAT=MLN","Sort=A","Dates=H","DateFormat=P","Fill=—","Direction=H","UseDPDF=Y")</f>
        <v>2414.9490000000001</v>
      </c>
      <c r="P10" s="13" cm="1">
        <f t="array" ref="P10">_xll.BDH("PH US Equity","BS_ACCT_NOTE_RCV","FQ2 2022","FQ2 2022","Currency=USD","Period=FQ","BEST_FPERIOD_OVERRIDE=FQ","FILING_STATUS=MR","SCALING_FORMAT=MLN","Sort=A","Dates=H","DateFormat=P","Fill=—","Direction=H","UseDPDF=Y")</f>
        <v>2339.6210000000001</v>
      </c>
      <c r="Q10" s="13" cm="1">
        <f t="array" ref="Q10">_xll.BDH("PH US Equity","BS_ACCT_NOTE_RCV","FQ3 2022","FQ3 2022","Currency=USD","Period=FQ","BEST_FPERIOD_OVERRIDE=FQ","FILING_STATUS=MR","SCALING_FORMAT=MLN","Sort=A","Dates=H","DateFormat=P","Fill=—","Direction=H","UseDPDF=Y")</f>
        <v>2684.1509999999998</v>
      </c>
      <c r="R10" s="13" cm="1">
        <f t="array" ref="R10">_xll.BDH("PH US Equity","BS_ACCT_NOTE_RCV","FQ4 2022","FQ4 2022","Currency=USD","Period=FQ","BEST_FPERIOD_OVERRIDE=FQ","FILING_STATUS=MR","SCALING_FORMAT=MLN","Sort=A","Dates=H","DateFormat=P","Fill=—","Direction=H","UseDPDF=Y")</f>
        <v>2884.91</v>
      </c>
      <c r="S10" s="13" cm="1">
        <f t="array" ref="S10">_xll.BDH("PH US Equity","BS_ACCT_NOTE_RCV","FQ1 2023","FQ1 2023","Currency=USD","Period=FQ","BEST_FPERIOD_OVERRIDE=FQ","FILING_STATUS=MR","SCALING_FORMAT=MLN","Sort=A","Dates=H","DateFormat=P","Fill=—","Direction=H","UseDPDF=Y")</f>
        <v>3014.6950000000002</v>
      </c>
      <c r="T10" s="13" cm="1">
        <f t="array" ref="T10">_xll.BDH("PH US Equity","BS_ACCT_NOTE_RCV","FQ2 2023","FQ2 2023","Currency=USD","Period=FQ","BEST_FPERIOD_OVERRIDE=FQ","FILING_STATUS=MR","SCALING_FORMAT=MLN","Sort=A","Dates=H","DateFormat=P","Fill=—","Direction=H","UseDPDF=Y")</f>
        <v>2927.63</v>
      </c>
      <c r="U10" s="13" cm="1">
        <f t="array" ref="U10">_xll.BDH("PH US Equity","BS_ACCT_NOTE_RCV","FQ3 2023","FQ3 2023","Currency=USD","Period=FQ","BEST_FPERIOD_OVERRIDE=FQ","FILING_STATUS=MR","SCALING_FORMAT=MLN","Sort=A","Dates=H","DateFormat=P","Fill=—","Direction=H","UseDPDF=Y")</f>
        <v>3224.576</v>
      </c>
      <c r="V10" s="13" cm="1">
        <f t="array" ref="V10">_xll.BDH("PH US Equity","BS_ACCT_NOTE_RCV","FQ4 2023","FQ4 2023","Currency=USD","Period=FQ","BEST_FPERIOD_OVERRIDE=FQ","FILING_STATUS=MR","SCALING_FORMAT=MLN","Sort=A","Dates=H","DateFormat=P","Fill=—","Direction=H","UseDPDF=Y")</f>
        <v>3136.4639999999999</v>
      </c>
      <c r="W10" s="13" cm="1">
        <f t="array" ref="W10">_xll.BDH("PH US Equity","BS_ACCT_NOTE_RCV","FQ1 2024","FQ1 2024","Currency=USD","Period=FQ","BEST_FPERIOD_OVERRIDE=FQ","FILING_STATUS=MR","SCALING_FORMAT=MLN","Sort=A","Dates=H","DateFormat=P","Fill=—","Direction=H","UseDPDF=Y")</f>
        <v>3036.5169999999998</v>
      </c>
      <c r="X10" s="13" cm="1">
        <f t="array" ref="X10">_xll.BDH("PH US Equity","BS_ACCT_NOTE_RCV","FQ2 2024","FQ2 2024","Currency=USD","Period=FQ","BEST_FPERIOD_OVERRIDE=FQ","FILING_STATUS=MR","SCALING_FORMAT=MLN","Sort=A","Dates=H","DateFormat=P","Fill=—","Direction=H","UseDPDF=Y")</f>
        <v>2933.0839999999998</v>
      </c>
      <c r="Y10" s="13" cm="1">
        <f t="array" ref="Y10">_xll.BDH("PH US Equity","BS_ACCT_NOTE_RCV","FQ3 2024","FQ3 2024","Currency=USD","Period=FQ","BEST_FPERIOD_OVERRIDE=FQ","FILING_STATUS=MR","SCALING_FORMAT=MLN","Sort=A","Dates=H","DateFormat=P","Fill=—","Direction=H","UseDPDF=Y")</f>
        <v>3223.712</v>
      </c>
      <c r="Z10" s="13" cm="1">
        <f t="array" ref="Z10">_xll.BDH("PH US Equity","BS_ACCT_NOTE_RCV","FQ4 2024","FQ4 2024","Currency=USD","Period=FQ","BEST_FPERIOD_OVERRIDE=FQ","FILING_STATUS=MR","SCALING_FORMAT=MLN","Sort=A","Dates=H","DateFormat=P","Fill=—","Direction=H","UseDPDF=Y")</f>
        <v>3189.35</v>
      </c>
      <c r="AA10" s="13" cm="1">
        <f t="array" ref="AA10">_xll.BDH("PH US Equity","BS_ACCT_NOTE_RCV","FQ1 2025","FQ1 2025","Currency=USD","Period=FQ","BEST_FPERIOD_OVERRIDE=FQ","FILING_STATUS=MR","SCALING_FORMAT=MLN","Sort=A","Dates=H","DateFormat=P","Fill=—","Direction=H","UseDPDF=Y")</f>
        <v>3029.971</v>
      </c>
      <c r="AB10" s="13" cm="1">
        <f t="array" ref="AB10">_xll.BDH("PH US Equity","BS_ACCT_NOTE_RCV","FQ2 2025","FQ2 2025","Currency=USD","Period=FQ","BEST_FPERIOD_OVERRIDE=FQ","FILING_STATUS=MR","SCALING_FORMAT=MLN","Sort=A","Dates=H","DateFormat=P","Fill=—","Direction=H","UseDPDF=Y")</f>
        <v>2730.6770000000001</v>
      </c>
      <c r="AC10" s="13" cm="1">
        <f t="array" ref="AC10">_xll.BDH("PH US Equity","BS_ACCT_NOTE_RCV","FQ3 2025","FQ3 2025","Currency=USD","Period=FQ","BEST_FPERIOD_OVERRIDE=FQ","FILING_STATUS=MR","SCALING_FORMAT=MLN","Sort=A","Dates=H","DateFormat=P","Fill=—","Direction=H","UseDPDF=Y")</f>
        <v>3127.9029999999998</v>
      </c>
      <c r="AD10" s="13" cm="1">
        <f t="array" ref="AD10">_xll.BDH("PH US Equity","BS_ACCT_NOTE_RCV","FQ4 2025","FQ4 2025","Currency=USD","Period=FQ","BEST_FPERIOD_OVERRIDE=FQ","FILING_STATUS=MR","SCALING_FORMAT=MLN","Sort=A","Dates=H","DateFormat=P","Fill=—","Direction=H","UseDPDF=Y")</f>
        <v>3225</v>
      </c>
      <c r="AE10" s="13" cm="1">
        <f t="array" ref="AE10">_xll.BDH("PH US Equity","BS_ACCT_NOTE_RCV","FQ1 2026","FQ1 2026","Currency=USD","Period=FQ","BEST_FPERIOD_OVERRIDE=FQ","FILING_STATUS=MR","SCALING_FORMAT=MLN","Sort=A","Dates=H","DateFormat=P","Fill=—","Direction=H","UseDPDF=Y")</f>
        <v>3204</v>
      </c>
      <c r="AF10" s="13" cm="1">
        <f t="array" ref="AF10">_xll.BDH("PH US Equity","BS_ACCT_NOTE_RCV","FQ2 2026","FQ2 2026","Currency=USD","Period=FQ","BEST_FPERIOD_OVERRIDE=FQ","FILING_STATUS=MR","SCALING_FORMAT=MLN","Sort=A","Dates=H","DateFormat=P","Fill=—","Direction=H","UseDPDF=Y")</f>
        <v>3064</v>
      </c>
    </row>
    <row r="11" spans="1:32" x14ac:dyDescent="0.25">
      <c r="A11" s="10" t="s">
        <v>74</v>
      </c>
      <c r="B11" s="10" t="s">
        <v>75</v>
      </c>
      <c r="C11" s="13" cm="1">
        <f t="array" ref="C11">_xll.BDH("PH US Equity","BS_ACCTS_REC_EXCL_NOTES_REC","FQ1 2019","FQ1 2019","Currency=USD","Period=FQ","BEST_FPERIOD_OVERRIDE=FQ","FILING_STATUS=MR","SCALING_FORMAT=MLN","Sort=A","Dates=H","DateFormat=P","Fill=—","Direction=H","UseDPDF=Y")</f>
        <v>2064.0329999999999</v>
      </c>
      <c r="D11" s="13" cm="1">
        <f t="array" ref="D11">_xll.BDH("PH US Equity","BS_ACCTS_REC_EXCL_NOTES_REC","FQ2 2019","FQ2 2019","Currency=USD","Period=FQ","BEST_FPERIOD_OVERRIDE=FQ","FILING_STATUS=MR","SCALING_FORMAT=MLN","Sort=A","Dates=H","DateFormat=P","Fill=—","Direction=H","UseDPDF=Y")</f>
        <v>1938.431</v>
      </c>
      <c r="E11" s="13" cm="1">
        <f t="array" ref="E11">_xll.BDH("PH US Equity","BS_ACCTS_REC_EXCL_NOTES_REC","FQ3 2019","FQ3 2019","Currency=USD","Period=FQ","BEST_FPERIOD_OVERRIDE=FQ","FILING_STATUS=MR","SCALING_FORMAT=MLN","Sort=A","Dates=H","DateFormat=P","Fill=—","Direction=H","UseDPDF=Y")</f>
        <v>2104.0149999999999</v>
      </c>
      <c r="F11" s="13" cm="1">
        <f t="array" ref="F11">_xll.BDH("PH US Equity","BS_ACCTS_REC_EXCL_NOTES_REC","FQ4 2019","FQ4 2019","Currency=USD","Period=FQ","BEST_FPERIOD_OVERRIDE=FQ","FILING_STATUS=MR","SCALING_FORMAT=MLN","Sort=A","Dates=H","DateFormat=P","Fill=—","Direction=H","UseDPDF=Y")</f>
        <v>2130.5970000000002</v>
      </c>
      <c r="G11" s="13" cm="1">
        <f t="array" ref="G11">_xll.BDH("PH US Equity","BS_ACCTS_REC_EXCL_NOTES_REC","FQ1 2020","FQ1 2020","Currency=USD","Period=FQ","BEST_FPERIOD_OVERRIDE=FQ","FILING_STATUS=MR","SCALING_FORMAT=MLN","Sort=A","Dates=H","DateFormat=P","Fill=—","Direction=H","UseDPDF=Y")</f>
        <v>1967.4090000000001</v>
      </c>
      <c r="H11" s="13" cm="1">
        <f t="array" ref="H11">_xll.BDH("PH US Equity","BS_ACCTS_REC_EXCL_NOTES_REC","FQ2 2020","FQ2 2020","Currency=USD","Period=FQ","BEST_FPERIOD_OVERRIDE=FQ","FILING_STATUS=MR","SCALING_FORMAT=MLN","Sort=A","Dates=H","DateFormat=P","Fill=—","Direction=H","UseDPDF=Y")</f>
        <v>1971.6279999999999</v>
      </c>
      <c r="I11" s="13" cm="1">
        <f t="array" ref="I11">_xll.BDH("PH US Equity","BS_ACCTS_REC_EXCL_NOTES_REC","FQ3 2020","FQ3 2020","Currency=USD","Period=FQ","BEST_FPERIOD_OVERRIDE=FQ","FILING_STATUS=MR","SCALING_FORMAT=MLN","Sort=A","Dates=H","DateFormat=P","Fill=—","Direction=H","UseDPDF=Y")</f>
        <v>2115.2089999999998</v>
      </c>
      <c r="J11" s="13" cm="1">
        <f t="array" ref="J11">_xll.BDH("PH US Equity","BS_ACCTS_REC_EXCL_NOTES_REC","FQ4 2020","FQ4 2020","Currency=USD","Period=FQ","BEST_FPERIOD_OVERRIDE=FQ","FILING_STATUS=MR","SCALING_FORMAT=MLN","Sort=A","Dates=H","DateFormat=P","Fill=—","Direction=H","UseDPDF=Y")</f>
        <v>1852.1479999999999</v>
      </c>
      <c r="K11" s="13" cm="1">
        <f t="array" ref="K11">_xll.BDH("PH US Equity","BS_ACCTS_REC_EXCL_NOTES_REC","FQ1 2021","FQ1 2021","Currency=USD","Period=FQ","BEST_FPERIOD_OVERRIDE=FQ","FILING_STATUS=MR","SCALING_FORMAT=MLN","Sort=A","Dates=H","DateFormat=P","Fill=—","Direction=H","UseDPDF=Y")</f>
        <v>1845.3440000000001</v>
      </c>
      <c r="L11" s="13" cm="1">
        <f t="array" ref="L11">_xll.BDH("PH US Equity","BS_ACCTS_REC_EXCL_NOTES_REC","FQ2 2021","FQ2 2021","Currency=USD","Period=FQ","BEST_FPERIOD_OVERRIDE=FQ","FILING_STATUS=MR","SCALING_FORMAT=MLN","Sort=A","Dates=H","DateFormat=P","Fill=—","Direction=H","UseDPDF=Y")</f>
        <v>1797.9760000000001</v>
      </c>
      <c r="M11" s="13" cm="1">
        <f t="array" ref="M11">_xll.BDH("PH US Equity","BS_ACCTS_REC_EXCL_NOTES_REC","FQ3 2021","FQ3 2021","Currency=USD","Period=FQ","BEST_FPERIOD_OVERRIDE=FQ","FILING_STATUS=MR","SCALING_FORMAT=MLN","Sort=A","Dates=H","DateFormat=P","Fill=—","Direction=H","UseDPDF=Y")</f>
        <v>2109.9050000000002</v>
      </c>
      <c r="N11" s="13" cm="1">
        <f t="array" ref="N11">_xll.BDH("PH US Equity","BS_ACCTS_REC_EXCL_NOTES_REC","FQ4 2021","FQ4 2021","Currency=USD","Period=FQ","BEST_FPERIOD_OVERRIDE=FQ","FILING_STATUS=MR","SCALING_FORMAT=MLN","Sort=A","Dates=H","DateFormat=P","Fill=—","Direction=H","UseDPDF=Y")</f>
        <v>2183.4839999999999</v>
      </c>
      <c r="O11" s="13" cm="1">
        <f t="array" ref="O11">_xll.BDH("PH US Equity","BS_ACCTS_REC_EXCL_NOTES_REC","FQ1 2022","FQ1 2022","Currency=USD","Period=FQ","BEST_FPERIOD_OVERRIDE=FQ","FILING_STATUS=MR","SCALING_FORMAT=MLN","Sort=A","Dates=H","DateFormat=P","Fill=—","Direction=H","UseDPDF=Y")</f>
        <v>2099.3780000000002</v>
      </c>
      <c r="P11" s="13" cm="1">
        <f t="array" ref="P11">_xll.BDH("PH US Equity","BS_ACCTS_REC_EXCL_NOTES_REC","FQ2 2022","FQ2 2022","Currency=USD","Period=FQ","BEST_FPERIOD_OVERRIDE=FQ","FILING_STATUS=MR","SCALING_FORMAT=MLN","Sort=A","Dates=H","DateFormat=P","Fill=—","Direction=H","UseDPDF=Y")</f>
        <v>2024.7239999999999</v>
      </c>
      <c r="Q11" s="13" cm="1">
        <f t="array" ref="Q11">_xll.BDH("PH US Equity","BS_ACCTS_REC_EXCL_NOTES_REC","FQ3 2022","FQ3 2022","Currency=USD","Period=FQ","BEST_FPERIOD_OVERRIDE=FQ","FILING_STATUS=MR","SCALING_FORMAT=MLN","Sort=A","Dates=H","DateFormat=P","Fill=—","Direction=H","UseDPDF=Y")</f>
        <v>2356.9650000000001</v>
      </c>
      <c r="R11" s="13" cm="1">
        <f t="array" ref="R11">_xll.BDH("PH US Equity","BS_ACCTS_REC_EXCL_NOTES_REC","FQ4 2022","FQ4 2022","Currency=USD","Period=FQ","BEST_FPERIOD_OVERRIDE=FQ","FILING_STATUS=MR","SCALING_FORMAT=MLN","Sort=A","Dates=H","DateFormat=P","Fill=—","Direction=H","UseDPDF=Y")</f>
        <v>2341.1529999999998</v>
      </c>
      <c r="S11" s="13" cm="1">
        <f t="array" ref="S11">_xll.BDH("PH US Equity","BS_ACCTS_REC_EXCL_NOTES_REC","FQ1 2023","FQ1 2023","Currency=USD","Period=FQ","BEST_FPERIOD_OVERRIDE=FQ","FILING_STATUS=MR","SCALING_FORMAT=MLN","Sort=A","Dates=H","DateFormat=P","Fill=—","Direction=H","UseDPDF=Y")</f>
        <v>2640.518</v>
      </c>
      <c r="T11" s="13" cm="1">
        <f t="array" ref="T11">_xll.BDH("PH US Equity","BS_ACCTS_REC_EXCL_NOTES_REC","FQ2 2023","FQ2 2023","Currency=USD","Period=FQ","BEST_FPERIOD_OVERRIDE=FQ","FILING_STATUS=MR","SCALING_FORMAT=MLN","Sort=A","Dates=H","DateFormat=P","Fill=—","Direction=H","UseDPDF=Y")</f>
        <v>2556.1559999999999</v>
      </c>
      <c r="U11" s="13" cm="1">
        <f t="array" ref="U11">_xll.BDH("PH US Equity","BS_ACCTS_REC_EXCL_NOTES_REC","FQ3 2023","FQ3 2023","Currency=USD","Period=FQ","BEST_FPERIOD_OVERRIDE=FQ","FILING_STATUS=MR","SCALING_FORMAT=MLN","Sort=A","Dates=H","DateFormat=P","Fill=—","Direction=H","UseDPDF=Y")</f>
        <v>2874.6729999999998</v>
      </c>
      <c r="V11" s="13" cm="1">
        <f t="array" ref="V11">_xll.BDH("PH US Equity","BS_ACCTS_REC_EXCL_NOTES_REC","FQ4 2023","FQ4 2023","Currency=USD","Period=FQ","BEST_FPERIOD_OVERRIDE=FQ","FILING_STATUS=MR","SCALING_FORMAT=MLN","Sort=A","Dates=H","DateFormat=P","Fill=—","Direction=H","UseDPDF=Y")</f>
        <v>2827.297</v>
      </c>
      <c r="W11" s="13" cm="1">
        <f t="array" ref="W11">_xll.BDH("PH US Equity","BS_ACCTS_REC_EXCL_NOTES_REC","FQ1 2024","FQ1 2024","Currency=USD","Period=FQ","BEST_FPERIOD_OVERRIDE=FQ","FILING_STATUS=MR","SCALING_FORMAT=MLN","Sort=A","Dates=H","DateFormat=P","Fill=—","Direction=H","UseDPDF=Y")</f>
        <v>2740.42</v>
      </c>
      <c r="X11" s="13" cm="1">
        <f t="array" ref="X11">_xll.BDH("PH US Equity","BS_ACCTS_REC_EXCL_NOTES_REC","FQ2 2024","FQ2 2024","Currency=USD","Period=FQ","BEST_FPERIOD_OVERRIDE=FQ","FILING_STATUS=MR","SCALING_FORMAT=MLN","Sort=A","Dates=H","DateFormat=P","Fill=—","Direction=H","UseDPDF=Y")</f>
        <v>2611.404</v>
      </c>
      <c r="Y11" s="13" cm="1">
        <f t="array" ref="Y11">_xll.BDH("PH US Equity","BS_ACCTS_REC_EXCL_NOTES_REC","FQ3 2024","FQ3 2024","Currency=USD","Period=FQ","BEST_FPERIOD_OVERRIDE=FQ","FILING_STATUS=MR","SCALING_FORMAT=MLN","Sort=A","Dates=H","DateFormat=P","Fill=—","Direction=H","UseDPDF=Y")</f>
        <v>2913.357</v>
      </c>
      <c r="Z11" s="13" cm="1">
        <f t="array" ref="Z11">_xll.BDH("PH US Equity","BS_ACCTS_REC_EXCL_NOTES_REC","FQ4 2024","FQ4 2024","Currency=USD","Period=FQ","BEST_FPERIOD_OVERRIDE=FQ","FILING_STATUS=MR","SCALING_FORMAT=MLN","Sort=A","Dates=H","DateFormat=P","Fill=—","Direction=H","UseDPDF=Y")</f>
        <v>2857.9209999999998</v>
      </c>
      <c r="AA11" s="13" cm="1">
        <f t="array" ref="AA11">_xll.BDH("PH US Equity","BS_ACCTS_REC_EXCL_NOTES_REC","FQ1 2025","FQ1 2025","Currency=USD","Period=FQ","BEST_FPERIOD_OVERRIDE=FQ","FILING_STATUS=MR","SCALING_FORMAT=MLN","Sort=A","Dates=H","DateFormat=P","Fill=—","Direction=H","UseDPDF=Y")</f>
        <v>2712.59</v>
      </c>
      <c r="AB11" s="13" cm="1">
        <f t="array" ref="AB11">_xll.BDH("PH US Equity","BS_ACCTS_REC_EXCL_NOTES_REC","FQ2 2025","FQ2 2025","Currency=USD","Period=FQ","BEST_FPERIOD_OVERRIDE=FQ","FILING_STATUS=MR","SCALING_FORMAT=MLN","Sort=A","Dates=H","DateFormat=P","Fill=—","Direction=H","UseDPDF=Y")</f>
        <v>2425.848</v>
      </c>
      <c r="AC11" s="13" cm="1">
        <f t="array" ref="AC11">_xll.BDH("PH US Equity","BS_ACCTS_REC_EXCL_NOTES_REC","FQ3 2025","FQ3 2025","Currency=USD","Period=FQ","BEST_FPERIOD_OVERRIDE=FQ","FILING_STATUS=MR","SCALING_FORMAT=MLN","Sort=A","Dates=H","DateFormat=P","Fill=—","Direction=H","UseDPDF=Y")</f>
        <v>2846.114</v>
      </c>
      <c r="AD11" s="13" cm="1">
        <f t="array" ref="AD11">_xll.BDH("PH US Equity","BS_ACCTS_REC_EXCL_NOTES_REC","FQ4 2025","FQ4 2025","Currency=USD","Period=FQ","BEST_FPERIOD_OVERRIDE=FQ","FILING_STATUS=MR","SCALING_FORMAT=MLN","Sort=A","Dates=H","DateFormat=P","Fill=—","Direction=H","UseDPDF=Y")</f>
        <v>2907</v>
      </c>
      <c r="AE11" s="13" cm="1">
        <f t="array" ref="AE11">_xll.BDH("PH US Equity","BS_ACCTS_REC_EXCL_NOTES_REC","FQ1 2026","FQ1 2026","Currency=USD","Period=FQ","BEST_FPERIOD_OVERRIDE=FQ","FILING_STATUS=MR","SCALING_FORMAT=MLN","Sort=A","Dates=H","DateFormat=P","Fill=—","Direction=H","UseDPDF=Y")</f>
        <v>2873</v>
      </c>
      <c r="AF11" s="13" cm="1">
        <f t="array" ref="AF11">_xll.BDH("PH US Equity","BS_ACCTS_REC_EXCL_NOTES_REC","FQ2 2026","FQ2 2026","Currency=USD","Period=FQ","BEST_FPERIOD_OVERRIDE=FQ","FILING_STATUS=MR","SCALING_FORMAT=MLN","Sort=A","Dates=H","DateFormat=P","Fill=—","Direction=H","UseDPDF=Y")</f>
        <v>2757</v>
      </c>
    </row>
    <row r="12" spans="1:32" x14ac:dyDescent="0.25">
      <c r="A12" s="10" t="s">
        <v>76</v>
      </c>
      <c r="B12" s="10" t="s">
        <v>77</v>
      </c>
      <c r="C12" s="13" cm="1">
        <f t="array" ref="C12">_xll.BDH("PH US Equity","NOTES_RECEIVABLE","FQ1 2019","FQ1 2019","Currency=USD","Period=FQ","BEST_FPERIOD_OVERRIDE=FQ","FILING_STATUS=MR","SCALING_FORMAT=MLN","Sort=A","Dates=H","DateFormat=P","Fill=—","Direction=H","UseDPDF=Y")</f>
        <v>312.16199999999998</v>
      </c>
      <c r="D12" s="13" cm="1">
        <f t="array" ref="D12">_xll.BDH("PH US Equity","NOTES_RECEIVABLE","FQ2 2019","FQ2 2019","Currency=USD","Period=FQ","BEST_FPERIOD_OVERRIDE=FQ","FILING_STATUS=MR","SCALING_FORMAT=MLN","Sort=A","Dates=H","DateFormat=P","Fill=—","Direction=H","UseDPDF=Y")</f>
        <v>324.25400000000002</v>
      </c>
      <c r="E12" s="13" cm="1">
        <f t="array" ref="E12">_xll.BDH("PH US Equity","NOTES_RECEIVABLE","FQ3 2019","FQ3 2019","Currency=USD","Period=FQ","BEST_FPERIOD_OVERRIDE=FQ","FILING_STATUS=MR","SCALING_FORMAT=MLN","Sort=A","Dates=H","DateFormat=P","Fill=—","Direction=H","UseDPDF=Y")</f>
        <v>317.41199999999998</v>
      </c>
      <c r="F12" s="13" cm="1">
        <f t="array" ref="F12">_xll.BDH("PH US Equity","NOTES_RECEIVABLE","FQ4 2019","FQ4 2019","Currency=USD","Period=FQ","BEST_FPERIOD_OVERRIDE=FQ","FILING_STATUS=MR","SCALING_FORMAT=MLN","Sort=A","Dates=H","DateFormat=P","Fill=—","Direction=H","UseDPDF=Y")</f>
        <v>310.70800000000003</v>
      </c>
      <c r="G12" s="13" cm="1">
        <f t="array" ref="G12">_xll.BDH("PH US Equity","NOTES_RECEIVABLE","FQ1 2020","FQ1 2020","Currency=USD","Period=FQ","BEST_FPERIOD_OVERRIDE=FQ","FILING_STATUS=MR","SCALING_FORMAT=MLN","Sort=A","Dates=H","DateFormat=P","Fill=—","Direction=H","UseDPDF=Y")</f>
        <v>288.762</v>
      </c>
      <c r="H12" s="13" cm="1">
        <f t="array" ref="H12">_xll.BDH("PH US Equity","NOTES_RECEIVABLE","FQ2 2020","FQ2 2020","Currency=USD","Period=FQ","BEST_FPERIOD_OVERRIDE=FQ","FILING_STATUS=MR","SCALING_FORMAT=MLN","Sort=A","Dates=H","DateFormat=P","Fill=—","Direction=H","UseDPDF=Y")</f>
        <v>319.12599999999998</v>
      </c>
      <c r="I12" s="13" cm="1">
        <f t="array" ref="I12">_xll.BDH("PH US Equity","NOTES_RECEIVABLE","FQ3 2020","FQ3 2020","Currency=USD","Period=FQ","BEST_FPERIOD_OVERRIDE=FQ","FILING_STATUS=MR","SCALING_FORMAT=MLN","Sort=A","Dates=H","DateFormat=P","Fill=—","Direction=H","UseDPDF=Y")</f>
        <v>322.18700000000001</v>
      </c>
      <c r="J12" s="13" cm="1">
        <f t="array" ref="J12">_xll.BDH("PH US Equity","NOTES_RECEIVABLE","FQ4 2020","FQ4 2020","Currency=USD","Period=FQ","BEST_FPERIOD_OVERRIDE=FQ","FILING_STATUS=MR","SCALING_FORMAT=MLN","Sort=A","Dates=H","DateFormat=P","Fill=—","Direction=H","UseDPDF=Y")</f>
        <v>244.87</v>
      </c>
      <c r="K12" s="13" cm="1">
        <f t="array" ref="K12">_xll.BDH("PH US Equity","NOTES_RECEIVABLE","FQ1 2021","FQ1 2021","Currency=USD","Period=FQ","BEST_FPERIOD_OVERRIDE=FQ","FILING_STATUS=MR","SCALING_FORMAT=MLN","Sort=A","Dates=H","DateFormat=P","Fill=—","Direction=H","UseDPDF=Y")</f>
        <v>273.99099999999999</v>
      </c>
      <c r="L12" s="13" cm="1">
        <f t="array" ref="L12">_xll.BDH("PH US Equity","NOTES_RECEIVABLE","FQ2 2021","FQ2 2021","Currency=USD","Period=FQ","BEST_FPERIOD_OVERRIDE=FQ","FILING_STATUS=MR","SCALING_FORMAT=MLN","Sort=A","Dates=H","DateFormat=P","Fill=—","Direction=H","UseDPDF=Y")</f>
        <v>312.58999999999997</v>
      </c>
      <c r="M12" s="13" cm="1">
        <f t="array" ref="M12">_xll.BDH("PH US Equity","NOTES_RECEIVABLE","FQ3 2021","FQ3 2021","Currency=USD","Period=FQ","BEST_FPERIOD_OVERRIDE=FQ","FILING_STATUS=MR","SCALING_FORMAT=MLN","Sort=A","Dates=H","DateFormat=P","Fill=—","Direction=H","UseDPDF=Y")</f>
        <v>309.56799999999998</v>
      </c>
      <c r="N12" s="13" cm="1">
        <f t="array" ref="N12">_xll.BDH("PH US Equity","NOTES_RECEIVABLE","FQ4 2021","FQ4 2021","Currency=USD","Period=FQ","BEST_FPERIOD_OVERRIDE=FQ","FILING_STATUS=MR","SCALING_FORMAT=MLN","Sort=A","Dates=H","DateFormat=P","Fill=—","Direction=H","UseDPDF=Y")</f>
        <v>326.315</v>
      </c>
      <c r="O12" s="13" cm="1">
        <f t="array" ref="O12">_xll.BDH("PH US Equity","NOTES_RECEIVABLE","FQ1 2022","FQ1 2022","Currency=USD","Period=FQ","BEST_FPERIOD_OVERRIDE=FQ","FILING_STATUS=MR","SCALING_FORMAT=MLN","Sort=A","Dates=H","DateFormat=P","Fill=—","Direction=H","UseDPDF=Y")</f>
        <v>315.57100000000003</v>
      </c>
      <c r="P12" s="13" cm="1">
        <f t="array" ref="P12">_xll.BDH("PH US Equity","NOTES_RECEIVABLE","FQ2 2022","FQ2 2022","Currency=USD","Period=FQ","BEST_FPERIOD_OVERRIDE=FQ","FILING_STATUS=MR","SCALING_FORMAT=MLN","Sort=A","Dates=H","DateFormat=P","Fill=—","Direction=H","UseDPDF=Y")</f>
        <v>314.89699999999999</v>
      </c>
      <c r="Q12" s="13" cm="1">
        <f t="array" ref="Q12">_xll.BDH("PH US Equity","NOTES_RECEIVABLE","FQ3 2022","FQ3 2022","Currency=USD","Period=FQ","BEST_FPERIOD_OVERRIDE=FQ","FILING_STATUS=MR","SCALING_FORMAT=MLN","Sort=A","Dates=H","DateFormat=P","Fill=—","Direction=H","UseDPDF=Y")</f>
        <v>327.18599999999998</v>
      </c>
      <c r="R12" s="13" cm="1">
        <f t="array" ref="R12">_xll.BDH("PH US Equity","NOTES_RECEIVABLE","FQ4 2022","FQ4 2022","Currency=USD","Period=FQ","BEST_FPERIOD_OVERRIDE=FQ","FILING_STATUS=MR","SCALING_FORMAT=MLN","Sort=A","Dates=H","DateFormat=P","Fill=—","Direction=H","UseDPDF=Y")</f>
        <v>543.75699999999995</v>
      </c>
      <c r="S12" s="13" cm="1">
        <f t="array" ref="S12">_xll.BDH("PH US Equity","NOTES_RECEIVABLE","FQ1 2023","FQ1 2023","Currency=USD","Period=FQ","BEST_FPERIOD_OVERRIDE=FQ","FILING_STATUS=MR","SCALING_FORMAT=MLN","Sort=A","Dates=H","DateFormat=P","Fill=—","Direction=H","UseDPDF=Y")</f>
        <v>374.17700000000002</v>
      </c>
      <c r="T12" s="13" cm="1">
        <f t="array" ref="T12">_xll.BDH("PH US Equity","NOTES_RECEIVABLE","FQ2 2023","FQ2 2023","Currency=USD","Period=FQ","BEST_FPERIOD_OVERRIDE=FQ","FILING_STATUS=MR","SCALING_FORMAT=MLN","Sort=A","Dates=H","DateFormat=P","Fill=—","Direction=H","UseDPDF=Y")</f>
        <v>371.47399999999999</v>
      </c>
      <c r="U12" s="13" cm="1">
        <f t="array" ref="U12">_xll.BDH("PH US Equity","NOTES_RECEIVABLE","FQ3 2023","FQ3 2023","Currency=USD","Period=FQ","BEST_FPERIOD_OVERRIDE=FQ","FILING_STATUS=MR","SCALING_FORMAT=MLN","Sort=A","Dates=H","DateFormat=P","Fill=—","Direction=H","UseDPDF=Y")</f>
        <v>349.90300000000002</v>
      </c>
      <c r="V12" s="13" cm="1">
        <f t="array" ref="V12">_xll.BDH("PH US Equity","NOTES_RECEIVABLE","FQ4 2023","FQ4 2023","Currency=USD","Period=FQ","BEST_FPERIOD_OVERRIDE=FQ","FILING_STATUS=MR","SCALING_FORMAT=MLN","Sort=A","Dates=H","DateFormat=P","Fill=—","Direction=H","UseDPDF=Y")</f>
        <v>309.16699999999997</v>
      </c>
      <c r="W12" s="13" cm="1">
        <f t="array" ref="W12">_xll.BDH("PH US Equity","NOTES_RECEIVABLE","FQ1 2024","FQ1 2024","Currency=USD","Period=FQ","BEST_FPERIOD_OVERRIDE=FQ","FILING_STATUS=MR","SCALING_FORMAT=MLN","Sort=A","Dates=H","DateFormat=P","Fill=—","Direction=H","UseDPDF=Y")</f>
        <v>296.09699999999998</v>
      </c>
      <c r="X12" s="13" cm="1">
        <f t="array" ref="X12">_xll.BDH("PH US Equity","NOTES_RECEIVABLE","FQ2 2024","FQ2 2024","Currency=USD","Period=FQ","BEST_FPERIOD_OVERRIDE=FQ","FILING_STATUS=MR","SCALING_FORMAT=MLN","Sort=A","Dates=H","DateFormat=P","Fill=—","Direction=H","UseDPDF=Y")</f>
        <v>321.68</v>
      </c>
      <c r="Y12" s="13" cm="1">
        <f t="array" ref="Y12">_xll.BDH("PH US Equity","NOTES_RECEIVABLE","FQ3 2024","FQ3 2024","Currency=USD","Period=FQ","BEST_FPERIOD_OVERRIDE=FQ","FILING_STATUS=MR","SCALING_FORMAT=MLN","Sort=A","Dates=H","DateFormat=P","Fill=—","Direction=H","UseDPDF=Y")</f>
        <v>310.35500000000002</v>
      </c>
      <c r="Z12" s="13" cm="1">
        <f t="array" ref="Z12">_xll.BDH("PH US Equity","NOTES_RECEIVABLE","FQ4 2024","FQ4 2024","Currency=USD","Period=FQ","BEST_FPERIOD_OVERRIDE=FQ","FILING_STATUS=MR","SCALING_FORMAT=MLN","Sort=A","Dates=H","DateFormat=P","Fill=—","Direction=H","UseDPDF=Y")</f>
        <v>331.42899999999997</v>
      </c>
      <c r="AA12" s="13" cm="1">
        <f t="array" ref="AA12">_xll.BDH("PH US Equity","NOTES_RECEIVABLE","FQ1 2025","FQ1 2025","Currency=USD","Period=FQ","BEST_FPERIOD_OVERRIDE=FQ","FILING_STATUS=MR","SCALING_FORMAT=MLN","Sort=A","Dates=H","DateFormat=P","Fill=—","Direction=H","UseDPDF=Y")</f>
        <v>317.38099999999997</v>
      </c>
      <c r="AB12" s="13" cm="1">
        <f t="array" ref="AB12">_xll.BDH("PH US Equity","NOTES_RECEIVABLE","FQ2 2025","FQ2 2025","Currency=USD","Period=FQ","BEST_FPERIOD_OVERRIDE=FQ","FILING_STATUS=MR","SCALING_FORMAT=MLN","Sort=A","Dates=H","DateFormat=P","Fill=—","Direction=H","UseDPDF=Y")</f>
        <v>304.82900000000001</v>
      </c>
      <c r="AC12" s="13" cm="1">
        <f t="array" ref="AC12">_xll.BDH("PH US Equity","NOTES_RECEIVABLE","FQ3 2025","FQ3 2025","Currency=USD","Period=FQ","BEST_FPERIOD_OVERRIDE=FQ","FILING_STATUS=MR","SCALING_FORMAT=MLN","Sort=A","Dates=H","DateFormat=P","Fill=—","Direction=H","UseDPDF=Y")</f>
        <v>281.78899999999999</v>
      </c>
      <c r="AD12" s="13" cm="1">
        <f t="array" ref="AD12">_xll.BDH("PH US Equity","NOTES_RECEIVABLE","FQ4 2025","FQ4 2025","Currency=USD","Period=FQ","BEST_FPERIOD_OVERRIDE=FQ","FILING_STATUS=MR","SCALING_FORMAT=MLN","Sort=A","Dates=H","DateFormat=P","Fill=—","Direction=H","UseDPDF=Y")</f>
        <v>318</v>
      </c>
      <c r="AE12" s="13" cm="1">
        <f t="array" ref="AE12">_xll.BDH("PH US Equity","NOTES_RECEIVABLE","FQ1 2026","FQ1 2026","Currency=USD","Period=FQ","BEST_FPERIOD_OVERRIDE=FQ","FILING_STATUS=MR","SCALING_FORMAT=MLN","Sort=A","Dates=H","DateFormat=P","Fill=—","Direction=H","UseDPDF=Y")</f>
        <v>331</v>
      </c>
      <c r="AF12" s="13" cm="1">
        <f t="array" ref="AF12">_xll.BDH("PH US Equity","NOTES_RECEIVABLE","FQ2 2026","FQ2 2026","Currency=USD","Period=FQ","BEST_FPERIOD_OVERRIDE=FQ","FILING_STATUS=MR","SCALING_FORMAT=MLN","Sort=A","Dates=H","DateFormat=P","Fill=—","Direction=H","UseDPDF=Y")</f>
        <v>307</v>
      </c>
    </row>
    <row r="13" spans="1:32" x14ac:dyDescent="0.25">
      <c r="A13" s="10" t="s">
        <v>78</v>
      </c>
      <c r="B13" s="10" t="s">
        <v>79</v>
      </c>
      <c r="C13" s="13" cm="1">
        <f t="array" ref="C13">_xll.BDH("PH US Equity","BS_INVENTORIES","FQ1 2019","FQ1 2019","Currency=USD","Period=FQ","BEST_FPERIOD_OVERRIDE=FQ","FILING_STATUS=MR","SCALING_FORMAT=MLN","Sort=A","Dates=H","DateFormat=P","Fill=—","Direction=H","UseDPDF=Y")</f>
        <v>1762.64</v>
      </c>
      <c r="D13" s="13" cm="1">
        <f t="array" ref="D13">_xll.BDH("PH US Equity","BS_INVENTORIES","FQ2 2019","FQ2 2019","Currency=USD","Period=FQ","BEST_FPERIOD_OVERRIDE=FQ","FILING_STATUS=MR","SCALING_FORMAT=MLN","Sort=A","Dates=H","DateFormat=P","Fill=—","Direction=H","UseDPDF=Y")</f>
        <v>1804.5640000000001</v>
      </c>
      <c r="E13" s="13" cm="1">
        <f t="array" ref="E13">_xll.BDH("PH US Equity","BS_INVENTORIES","FQ3 2019","FQ3 2019","Currency=USD","Period=FQ","BEST_FPERIOD_OVERRIDE=FQ","FILING_STATUS=MR","SCALING_FORMAT=MLN","Sort=A","Dates=H","DateFormat=P","Fill=—","Direction=H","UseDPDF=Y")</f>
        <v>1755.991</v>
      </c>
      <c r="F13" s="13" cm="1">
        <f t="array" ref="F13">_xll.BDH("PH US Equity","BS_INVENTORIES","FQ4 2019","FQ4 2019","Currency=USD","Period=FQ","BEST_FPERIOD_OVERRIDE=FQ","FILING_STATUS=MR","SCALING_FORMAT=MLN","Sort=A","Dates=H","DateFormat=P","Fill=—","Direction=H","UseDPDF=Y")</f>
        <v>1678.1320000000001</v>
      </c>
      <c r="G13" s="13" cm="1">
        <f t="array" ref="G13">_xll.BDH("PH US Equity","BS_INVENTORIES","FQ1 2020","FQ1 2020","Currency=USD","Period=FQ","BEST_FPERIOD_OVERRIDE=FQ","FILING_STATUS=MR","SCALING_FORMAT=MLN","Sort=A","Dates=H","DateFormat=P","Fill=—","Direction=H","UseDPDF=Y")</f>
        <v>1790.0440000000001</v>
      </c>
      <c r="H13" s="13" cm="1">
        <f t="array" ref="H13">_xll.BDH("PH US Equity","BS_INVENTORIES","FQ2 2020","FQ2 2020","Currency=USD","Period=FQ","BEST_FPERIOD_OVERRIDE=FQ","FILING_STATUS=MR","SCALING_FORMAT=MLN","Sort=A","Dates=H","DateFormat=P","Fill=—","Direction=H","UseDPDF=Y")</f>
        <v>2014.26</v>
      </c>
      <c r="I13" s="13" cm="1">
        <f t="array" ref="I13">_xll.BDH("PH US Equity","BS_INVENTORIES","FQ3 2020","FQ3 2020","Currency=USD","Period=FQ","BEST_FPERIOD_OVERRIDE=FQ","FILING_STATUS=MR","SCALING_FORMAT=MLN","Sort=A","Dates=H","DateFormat=P","Fill=—","Direction=H","UseDPDF=Y")</f>
        <v>2011.367</v>
      </c>
      <c r="J13" s="13" cm="1">
        <f t="array" ref="J13">_xll.BDH("PH US Equity","BS_INVENTORIES","FQ4 2020","FQ4 2020","Currency=USD","Period=FQ","BEST_FPERIOD_OVERRIDE=FQ","FILING_STATUS=MR","SCALING_FORMAT=MLN","Sort=A","Dates=H","DateFormat=P","Fill=—","Direction=H","UseDPDF=Y")</f>
        <v>1964.1949999999999</v>
      </c>
      <c r="K13" s="13" cm="1">
        <f t="array" ref="K13">_xll.BDH("PH US Equity","BS_INVENTORIES","FQ1 2021","FQ1 2021","Currency=USD","Period=FQ","BEST_FPERIOD_OVERRIDE=FQ","FILING_STATUS=MR","SCALING_FORMAT=MLN","Sort=A","Dates=H","DateFormat=P","Fill=—","Direction=H","UseDPDF=Y")</f>
        <v>1795.779</v>
      </c>
      <c r="L13" s="13" cm="1">
        <f t="array" ref="L13">_xll.BDH("PH US Equity","BS_INVENTORIES","FQ2 2021","FQ2 2021","Currency=USD","Period=FQ","BEST_FPERIOD_OVERRIDE=FQ","FILING_STATUS=MR","SCALING_FORMAT=MLN","Sort=A","Dates=H","DateFormat=P","Fill=—","Direction=H","UseDPDF=Y")</f>
        <v>1870.9480000000001</v>
      </c>
      <c r="M13" s="13" cm="1">
        <f t="array" ref="M13">_xll.BDH("PH US Equity","BS_INVENTORIES","FQ3 2021","FQ3 2021","Currency=USD","Period=FQ","BEST_FPERIOD_OVERRIDE=FQ","FILING_STATUS=MR","SCALING_FORMAT=MLN","Sort=A","Dates=H","DateFormat=P","Fill=—","Direction=H","UseDPDF=Y")</f>
        <v>1898.1590000000001</v>
      </c>
      <c r="N13" s="13" cm="1">
        <f t="array" ref="N13">_xll.BDH("PH US Equity","BS_INVENTORIES","FQ4 2021","FQ4 2021","Currency=USD","Period=FQ","BEST_FPERIOD_OVERRIDE=FQ","FILING_STATUS=MR","SCALING_FORMAT=MLN","Sort=A","Dates=H","DateFormat=P","Fill=—","Direction=H","UseDPDF=Y")</f>
        <v>2090.6419999999998</v>
      </c>
      <c r="O13" s="13" cm="1">
        <f t="array" ref="O13">_xll.BDH("PH US Equity","BS_INVENTORIES","FQ1 2022","FQ1 2022","Currency=USD","Period=FQ","BEST_FPERIOD_OVERRIDE=FQ","FILING_STATUS=MR","SCALING_FORMAT=MLN","Sort=A","Dates=H","DateFormat=P","Fill=—","Direction=H","UseDPDF=Y")</f>
        <v>2264.7249999999999</v>
      </c>
      <c r="P13" s="13" cm="1">
        <f t="array" ref="P13">_xll.BDH("PH US Equity","BS_INVENTORIES","FQ2 2022","FQ2 2022","Currency=USD","Period=FQ","BEST_FPERIOD_OVERRIDE=FQ","FILING_STATUS=MR","SCALING_FORMAT=MLN","Sort=A","Dates=H","DateFormat=P","Fill=—","Direction=H","UseDPDF=Y")</f>
        <v>2307.306</v>
      </c>
      <c r="Q13" s="13" cm="1">
        <f t="array" ref="Q13">_xll.BDH("PH US Equity","BS_INVENTORIES","FQ3 2022","FQ3 2022","Currency=USD","Period=FQ","BEST_FPERIOD_OVERRIDE=FQ","FILING_STATUS=MR","SCALING_FORMAT=MLN","Sort=A","Dates=H","DateFormat=P","Fill=—","Direction=H","UseDPDF=Y")</f>
        <v>2330.2420000000002</v>
      </c>
      <c r="R13" s="13" cm="1">
        <f t="array" ref="R13">_xll.BDH("PH US Equity","BS_INVENTORIES","FQ4 2022","FQ4 2022","Currency=USD","Period=FQ","BEST_FPERIOD_OVERRIDE=FQ","FILING_STATUS=MR","SCALING_FORMAT=MLN","Sort=A","Dates=H","DateFormat=P","Fill=—","Direction=H","UseDPDF=Y")</f>
        <v>2214.5529999999999</v>
      </c>
      <c r="S13" s="13" cm="1">
        <f t="array" ref="S13">_xll.BDH("PH US Equity","BS_INVENTORIES","FQ1 2023","FQ1 2023","Currency=USD","Period=FQ","BEST_FPERIOD_OVERRIDE=FQ","FILING_STATUS=MR","SCALING_FORMAT=MLN","Sort=A","Dates=H","DateFormat=P","Fill=—","Direction=H","UseDPDF=Y")</f>
        <v>3130.1819999999998</v>
      </c>
      <c r="T13" s="13" cm="1">
        <f t="array" ref="T13">_xll.BDH("PH US Equity","BS_INVENTORIES","FQ2 2023","FQ2 2023","Currency=USD","Period=FQ","BEST_FPERIOD_OVERRIDE=FQ","FILING_STATUS=MR","SCALING_FORMAT=MLN","Sort=A","Dates=H","DateFormat=P","Fill=—","Direction=H","UseDPDF=Y")</f>
        <v>3095.7220000000002</v>
      </c>
      <c r="U13" s="13" cm="1">
        <f t="array" ref="U13">_xll.BDH("PH US Equity","BS_INVENTORIES","FQ3 2023","FQ3 2023","Currency=USD","Period=FQ","BEST_FPERIOD_OVERRIDE=FQ","FILING_STATUS=MR","SCALING_FORMAT=MLN","Sort=A","Dates=H","DateFormat=P","Fill=—","Direction=H","UseDPDF=Y")</f>
        <v>3067.614</v>
      </c>
      <c r="V13" s="13" cm="1">
        <f t="array" ref="V13">_xll.BDH("PH US Equity","BS_INVENTORIES","FQ4 2023","FQ4 2023","Currency=USD","Period=FQ","BEST_FPERIOD_OVERRIDE=FQ","FILING_STATUS=MR","SCALING_FORMAT=MLN","Sort=A","Dates=H","DateFormat=P","Fill=—","Direction=H","UseDPDF=Y")</f>
        <v>2907.8789999999999</v>
      </c>
      <c r="W13" s="13" cm="1">
        <f t="array" ref="W13">_xll.BDH("PH US Equity","BS_INVENTORIES","FQ1 2024","FQ1 2024","Currency=USD","Period=FQ","BEST_FPERIOD_OVERRIDE=FQ","FILING_STATUS=MR","SCALING_FORMAT=MLN","Sort=A","Dates=H","DateFormat=P","Fill=—","Direction=H","UseDPDF=Y")</f>
        <v>3028.748</v>
      </c>
      <c r="X13" s="13" cm="1">
        <f t="array" ref="X13">_xll.BDH("PH US Equity","BS_INVENTORIES","FQ2 2024","FQ2 2024","Currency=USD","Period=FQ","BEST_FPERIOD_OVERRIDE=FQ","FILING_STATUS=MR","SCALING_FORMAT=MLN","Sort=A","Dates=H","DateFormat=P","Fill=—","Direction=H","UseDPDF=Y")</f>
        <v>3092.9229999999998</v>
      </c>
      <c r="Y13" s="13" cm="1">
        <f t="array" ref="Y13">_xll.BDH("PH US Equity","BS_INVENTORIES","FQ3 2024","FQ3 2024","Currency=USD","Period=FQ","BEST_FPERIOD_OVERRIDE=FQ","FILING_STATUS=MR","SCALING_FORMAT=MLN","Sort=A","Dates=H","DateFormat=P","Fill=—","Direction=H","UseDPDF=Y")</f>
        <v>2966.3359999999998</v>
      </c>
      <c r="Z13" s="13" cm="1">
        <f t="array" ref="Z13">_xll.BDH("PH US Equity","BS_INVENTORIES","FQ4 2024","FQ4 2024","Currency=USD","Period=FQ","BEST_FPERIOD_OVERRIDE=FQ","FILING_STATUS=MR","SCALING_FORMAT=MLN","Sort=A","Dates=H","DateFormat=P","Fill=—","Direction=H","UseDPDF=Y")</f>
        <v>2786.8</v>
      </c>
      <c r="AA13" s="13" cm="1">
        <f t="array" ref="AA13">_xll.BDH("PH US Equity","BS_INVENTORIES","FQ1 2025","FQ1 2025","Currency=USD","Period=FQ","BEST_FPERIOD_OVERRIDE=FQ","FILING_STATUS=MR","SCALING_FORMAT=MLN","Sort=A","Dates=H","DateFormat=P","Fill=—","Direction=H","UseDPDF=Y")</f>
        <v>2872.25</v>
      </c>
      <c r="AB13" s="13" cm="1">
        <f t="array" ref="AB13">_xll.BDH("PH US Equity","BS_INVENTORIES","FQ2 2025","FQ2 2025","Currency=USD","Period=FQ","BEST_FPERIOD_OVERRIDE=FQ","FILING_STATUS=MR","SCALING_FORMAT=MLN","Sort=A","Dates=H","DateFormat=P","Fill=—","Direction=H","UseDPDF=Y")</f>
        <v>2806.9830000000002</v>
      </c>
      <c r="AC13" s="13" cm="1">
        <f t="array" ref="AC13">_xll.BDH("PH US Equity","BS_INVENTORIES","FQ3 2025","FQ3 2025","Currency=USD","Period=FQ","BEST_FPERIOD_OVERRIDE=FQ","FILING_STATUS=MR","SCALING_FORMAT=MLN","Sort=A","Dates=H","DateFormat=P","Fill=—","Direction=H","UseDPDF=Y")</f>
        <v>2822.547</v>
      </c>
      <c r="AD13" s="13" cm="1">
        <f t="array" ref="AD13">_xll.BDH("PH US Equity","BS_INVENTORIES","FQ4 2025","FQ4 2025","Currency=USD","Period=FQ","BEST_FPERIOD_OVERRIDE=FQ","FILING_STATUS=MR","SCALING_FORMAT=MLN","Sort=A","Dates=H","DateFormat=P","Fill=—","Direction=H","UseDPDF=Y")</f>
        <v>2839</v>
      </c>
      <c r="AE13" s="13" cm="1">
        <f t="array" ref="AE13">_xll.BDH("PH US Equity","BS_INVENTORIES","FQ1 2026","FQ1 2026","Currency=USD","Period=FQ","BEST_FPERIOD_OVERRIDE=FQ","FILING_STATUS=MR","SCALING_FORMAT=MLN","Sort=A","Dates=H","DateFormat=P","Fill=—","Direction=H","UseDPDF=Y")</f>
        <v>3081</v>
      </c>
      <c r="AF13" s="13" cm="1">
        <f t="array" ref="AF13">_xll.BDH("PH US Equity","BS_INVENTORIES","FQ2 2026","FQ2 2026","Currency=USD","Period=FQ","BEST_FPERIOD_OVERRIDE=FQ","FILING_STATUS=MR","SCALING_FORMAT=MLN","Sort=A","Dates=H","DateFormat=P","Fill=—","Direction=H","UseDPDF=Y")</f>
        <v>3152</v>
      </c>
    </row>
    <row r="14" spans="1:32" x14ac:dyDescent="0.25">
      <c r="A14" s="10" t="s">
        <v>80</v>
      </c>
      <c r="B14" s="10" t="s">
        <v>81</v>
      </c>
      <c r="C14" s="13" cm="1">
        <f t="array" ref="C14">_xll.BDH("PH US Equity","INVTRY_RAW_MATERIALS","FQ1 2019","FQ1 2019","Currency=USD","Period=FQ","BEST_FPERIOD_OVERRIDE=FQ","FILING_STATUS=MR","SCALING_FORMAT=MLN","Sort=A","Dates=H","DateFormat=P","Fill=—","Direction=H","UseDPDF=Y")</f>
        <v>197.048</v>
      </c>
      <c r="D14" s="13" cm="1">
        <f t="array" ref="D14">_xll.BDH("PH US Equity","INVTRY_RAW_MATERIALS","FQ2 2019","FQ2 2019","Currency=USD","Period=FQ","BEST_FPERIOD_OVERRIDE=FQ","FILING_STATUS=MR","SCALING_FORMAT=MLN","Sort=A","Dates=H","DateFormat=P","Fill=—","Direction=H","UseDPDF=Y")</f>
        <v>200.964</v>
      </c>
      <c r="E14" s="13" cm="1">
        <f t="array" ref="E14">_xll.BDH("PH US Equity","INVTRY_RAW_MATERIALS","FQ3 2019","FQ3 2019","Currency=USD","Period=FQ","BEST_FPERIOD_OVERRIDE=FQ","FILING_STATUS=MR","SCALING_FORMAT=MLN","Sort=A","Dates=H","DateFormat=P","Fill=—","Direction=H","UseDPDF=Y")</f>
        <v>190.08199999999999</v>
      </c>
      <c r="F14" s="13" cm="1">
        <f t="array" ref="F14">_xll.BDH("PH US Equity","INVTRY_RAW_MATERIALS","FQ4 2019","FQ4 2019","Currency=USD","Period=FQ","BEST_FPERIOD_OVERRIDE=FQ","FILING_STATUS=MR","SCALING_FORMAT=MLN","Sort=A","Dates=H","DateFormat=P","Fill=—","Direction=H","UseDPDF=Y")</f>
        <v>164.286</v>
      </c>
      <c r="G14" s="13" cm="1">
        <f t="array" ref="G14">_xll.BDH("PH US Equity","INVTRY_RAW_MATERIALS","FQ1 2020","FQ1 2020","Currency=USD","Period=FQ","BEST_FPERIOD_OVERRIDE=FQ","FILING_STATUS=MR","SCALING_FORMAT=MLN","Sort=A","Dates=H","DateFormat=P","Fill=—","Direction=H","UseDPDF=Y")</f>
        <v>207.04900000000001</v>
      </c>
      <c r="H14" s="13" cm="1">
        <f t="array" ref="H14">_xll.BDH("PH US Equity","INVTRY_RAW_MATERIALS","FQ2 2020","FQ2 2020","Currency=USD","Period=FQ","BEST_FPERIOD_OVERRIDE=FQ","FILING_STATUS=MR","SCALING_FORMAT=MLN","Sort=A","Dates=H","DateFormat=P","Fill=—","Direction=H","UseDPDF=Y")</f>
        <v>278.40100000000001</v>
      </c>
      <c r="I14" s="13" cm="1">
        <f t="array" ref="I14">_xll.BDH("PH US Equity","INVTRY_RAW_MATERIALS","FQ3 2020","FQ3 2020","Currency=USD","Period=FQ","BEST_FPERIOD_OVERRIDE=FQ","FILING_STATUS=MR","SCALING_FORMAT=MLN","Sort=A","Dates=H","DateFormat=P","Fill=—","Direction=H","UseDPDF=Y")</f>
        <v>281.327</v>
      </c>
      <c r="J14" s="13" cm="1">
        <f t="array" ref="J14">_xll.BDH("PH US Equity","INVTRY_RAW_MATERIALS","FQ4 2020","FQ4 2020","Currency=USD","Period=FQ","BEST_FPERIOD_OVERRIDE=FQ","FILING_STATUS=MR","SCALING_FORMAT=MLN","Sort=A","Dates=H","DateFormat=P","Fill=—","Direction=H","UseDPDF=Y")</f>
        <v>272.00099999999998</v>
      </c>
      <c r="K14" s="13" cm="1">
        <f t="array" ref="K14">_xll.BDH("PH US Equity","INVTRY_RAW_MATERIALS","FQ1 2021","FQ1 2021","Currency=USD","Period=FQ","BEST_FPERIOD_OVERRIDE=FQ","FILING_STATUS=MR","SCALING_FORMAT=MLN","Sort=A","Dates=H","DateFormat=P","Fill=—","Direction=H","UseDPDF=Y")</f>
        <v>228.00700000000001</v>
      </c>
      <c r="L14" s="13" cm="1">
        <f t="array" ref="L14">_xll.BDH("PH US Equity","INVTRY_RAW_MATERIALS","FQ2 2021","FQ2 2021","Currency=USD","Period=FQ","BEST_FPERIOD_OVERRIDE=FQ","FILING_STATUS=MR","SCALING_FORMAT=MLN","Sort=A","Dates=H","DateFormat=P","Fill=—","Direction=H","UseDPDF=Y")</f>
        <v>236.774</v>
      </c>
      <c r="M14" s="13" cm="1">
        <f t="array" ref="M14">_xll.BDH("PH US Equity","INVTRY_RAW_MATERIALS","FQ3 2021","FQ3 2021","Currency=USD","Period=FQ","BEST_FPERIOD_OVERRIDE=FQ","FILING_STATUS=MR","SCALING_FORMAT=MLN","Sort=A","Dates=H","DateFormat=P","Fill=—","Direction=H","UseDPDF=Y")</f>
        <v>238.56299999999999</v>
      </c>
      <c r="N14" s="13" cm="1">
        <f t="array" ref="N14">_xll.BDH("PH US Equity","INVTRY_RAW_MATERIALS","FQ4 2021","FQ4 2021","Currency=USD","Period=FQ","BEST_FPERIOD_OVERRIDE=FQ","FILING_STATUS=MR","SCALING_FORMAT=MLN","Sort=A","Dates=H","DateFormat=P","Fill=—","Direction=H","UseDPDF=Y")</f>
        <v>266.92200000000003</v>
      </c>
      <c r="O14" s="13" cm="1">
        <f t="array" ref="O14">_xll.BDH("PH US Equity","INVTRY_RAW_MATERIALS","FQ1 2022","FQ1 2022","Currency=USD","Period=FQ","BEST_FPERIOD_OVERRIDE=FQ","FILING_STATUS=MR","SCALING_FORMAT=MLN","Sort=A","Dates=H","DateFormat=P","Fill=—","Direction=H","UseDPDF=Y")</f>
        <v>300.78199999999998</v>
      </c>
      <c r="P14" s="13" cm="1">
        <f t="array" ref="P14">_xll.BDH("PH US Equity","INVTRY_RAW_MATERIALS","FQ2 2022","FQ2 2022","Currency=USD","Period=FQ","BEST_FPERIOD_OVERRIDE=FQ","FILING_STATUS=MR","SCALING_FORMAT=MLN","Sort=A","Dates=H","DateFormat=P","Fill=—","Direction=H","UseDPDF=Y")</f>
        <v>309.87900000000002</v>
      </c>
      <c r="Q14" s="13" cm="1">
        <f t="array" ref="Q14">_xll.BDH("PH US Equity","INVTRY_RAW_MATERIALS","FQ3 2022","FQ3 2022","Currency=USD","Period=FQ","BEST_FPERIOD_OVERRIDE=FQ","FILING_STATUS=MR","SCALING_FORMAT=MLN","Sort=A","Dates=H","DateFormat=P","Fill=—","Direction=H","UseDPDF=Y")</f>
        <v>288.363</v>
      </c>
      <c r="R14" s="13" cm="1">
        <f t="array" ref="R14">_xll.BDH("PH US Equity","INVTRY_RAW_MATERIALS","FQ4 2022","FQ4 2022","Currency=USD","Period=FQ","BEST_FPERIOD_OVERRIDE=FQ","FILING_STATUS=MR","SCALING_FORMAT=MLN","Sort=A","Dates=H","DateFormat=P","Fill=—","Direction=H","UseDPDF=Y")</f>
        <v>274.35000000000002</v>
      </c>
      <c r="S14" s="13" cm="1">
        <f t="array" ref="S14">_xll.BDH("PH US Equity","INVTRY_RAW_MATERIALS","FQ1 2023","FQ1 2023","Currency=USD","Period=FQ","BEST_FPERIOD_OVERRIDE=FQ","FILING_STATUS=MR","SCALING_FORMAT=MLN","Sort=A","Dates=H","DateFormat=P","Fill=—","Direction=H","UseDPDF=Y")</f>
        <v>628.94600000000003</v>
      </c>
      <c r="T14" s="13" cm="1">
        <f t="array" ref="T14">_xll.BDH("PH US Equity","INVTRY_RAW_MATERIALS","FQ2 2023","FQ2 2023","Currency=USD","Period=FQ","BEST_FPERIOD_OVERRIDE=FQ","FILING_STATUS=MR","SCALING_FORMAT=MLN","Sort=A","Dates=H","DateFormat=P","Fill=—","Direction=H","UseDPDF=Y")</f>
        <v>666.49199999999996</v>
      </c>
      <c r="U14" s="13" cm="1">
        <f t="array" ref="U14">_xll.BDH("PH US Equity","INVTRY_RAW_MATERIALS","FQ3 2023","FQ3 2023","Currency=USD","Period=FQ","BEST_FPERIOD_OVERRIDE=FQ","FILING_STATUS=MR","SCALING_FORMAT=MLN","Sort=A","Dates=H","DateFormat=P","Fill=—","Direction=H","UseDPDF=Y")</f>
        <v>666.10900000000004</v>
      </c>
      <c r="V14" s="13" cm="1">
        <f t="array" ref="V14">_xll.BDH("PH US Equity","INVTRY_RAW_MATERIALS","FQ4 2023","FQ4 2023","Currency=USD","Period=FQ","BEST_FPERIOD_OVERRIDE=FQ","FILING_STATUS=MR","SCALING_FORMAT=MLN","Sort=A","Dates=H","DateFormat=P","Fill=—","Direction=H","UseDPDF=Y")</f>
        <v>625.08600000000001</v>
      </c>
      <c r="W14" s="13" cm="1">
        <f t="array" ref="W14">_xll.BDH("PH US Equity","INVTRY_RAW_MATERIALS","FQ1 2024","FQ1 2024","Currency=USD","Period=FQ","BEST_FPERIOD_OVERRIDE=FQ","FILING_STATUS=MR","SCALING_FORMAT=MLN","Sort=A","Dates=H","DateFormat=P","Fill=—","Direction=H","UseDPDF=Y")</f>
        <v>657.08199999999999</v>
      </c>
      <c r="X14" s="13" cm="1">
        <f t="array" ref="X14">_xll.BDH("PH US Equity","INVTRY_RAW_MATERIALS","FQ2 2024","FQ2 2024","Currency=USD","Period=FQ","BEST_FPERIOD_OVERRIDE=FQ","FILING_STATUS=MR","SCALING_FORMAT=MLN","Sort=A","Dates=H","DateFormat=P","Fill=—","Direction=H","UseDPDF=Y")</f>
        <v>670.51</v>
      </c>
      <c r="Y14" s="13" cm="1">
        <f t="array" ref="Y14">_xll.BDH("PH US Equity","INVTRY_RAW_MATERIALS","FQ3 2024","FQ3 2024","Currency=USD","Period=FQ","BEST_FPERIOD_OVERRIDE=FQ","FILING_STATUS=MR","SCALING_FORMAT=MLN","Sort=A","Dates=H","DateFormat=P","Fill=—","Direction=H","UseDPDF=Y")</f>
        <v>618.80100000000004</v>
      </c>
      <c r="Z14" s="13" cm="1">
        <f t="array" ref="Z14">_xll.BDH("PH US Equity","INVTRY_RAW_MATERIALS","FQ4 2024","FQ4 2024","Currency=USD","Period=FQ","BEST_FPERIOD_OVERRIDE=FQ","FILING_STATUS=MR","SCALING_FORMAT=MLN","Sort=A","Dates=H","DateFormat=P","Fill=—","Direction=H","UseDPDF=Y")</f>
        <v>587.92100000000005</v>
      </c>
      <c r="AA14" s="13" cm="1">
        <f t="array" ref="AA14">_xll.BDH("PH US Equity","INVTRY_RAW_MATERIALS","FQ1 2025","FQ1 2025","Currency=USD","Period=FQ","BEST_FPERIOD_OVERRIDE=FQ","FILING_STATUS=MR","SCALING_FORMAT=MLN","Sort=A","Dates=H","DateFormat=P","Fill=—","Direction=H","UseDPDF=Y")</f>
        <v>581.29200000000003</v>
      </c>
      <c r="AB14" s="13" cm="1">
        <f t="array" ref="AB14">_xll.BDH("PH US Equity","INVTRY_RAW_MATERIALS","FQ2 2025","FQ2 2025","Currency=USD","Period=FQ","BEST_FPERIOD_OVERRIDE=FQ","FILING_STATUS=MR","SCALING_FORMAT=MLN","Sort=A","Dates=H","DateFormat=P","Fill=—","Direction=H","UseDPDF=Y")</f>
        <v>561.21299999999997</v>
      </c>
      <c r="AC14" s="13" cm="1">
        <f t="array" ref="AC14">_xll.BDH("PH US Equity","INVTRY_RAW_MATERIALS","FQ3 2025","FQ3 2025","Currency=USD","Period=FQ","BEST_FPERIOD_OVERRIDE=FQ","FILING_STATUS=MR","SCALING_FORMAT=MLN","Sort=A","Dates=H","DateFormat=P","Fill=—","Direction=H","UseDPDF=Y")</f>
        <v>560.53</v>
      </c>
      <c r="AD14" s="13" cm="1">
        <f t="array" ref="AD14">_xll.BDH("PH US Equity","INVTRY_RAW_MATERIALS","FQ4 2025","FQ4 2025","Currency=USD","Period=FQ","BEST_FPERIOD_OVERRIDE=FQ","FILING_STATUS=MR","SCALING_FORMAT=MLN","Sort=A","Dates=H","DateFormat=P","Fill=—","Direction=H","UseDPDF=Y")</f>
        <v>576</v>
      </c>
      <c r="AE14" s="13" cm="1">
        <f t="array" ref="AE14">_xll.BDH("PH US Equity","INVTRY_RAW_MATERIALS","FQ1 2026","FQ1 2026","Currency=USD","Period=FQ","BEST_FPERIOD_OVERRIDE=FQ","FILING_STATUS=MR","SCALING_FORMAT=MLN","Sort=A","Dates=H","DateFormat=P","Fill=—","Direction=H","UseDPDF=Y")</f>
        <v>653</v>
      </c>
      <c r="AF14" s="13" cm="1">
        <f t="array" ref="AF14">_xll.BDH("PH US Equity","INVTRY_RAW_MATERIALS","FQ2 2026","FQ2 2026","Currency=USD","Period=FQ","BEST_FPERIOD_OVERRIDE=FQ","FILING_STATUS=MR","SCALING_FORMAT=MLN","Sort=A","Dates=H","DateFormat=P","Fill=—","Direction=H","UseDPDF=Y")</f>
        <v>880</v>
      </c>
    </row>
    <row r="15" spans="1:32" x14ac:dyDescent="0.25">
      <c r="A15" s="10" t="s">
        <v>82</v>
      </c>
      <c r="B15" s="10" t="s">
        <v>83</v>
      </c>
      <c r="C15" s="13" cm="1">
        <f t="array" ref="C15">_xll.BDH("PH US Equity","INVTRY_IN_PROGRESS","FQ1 2019","FQ1 2019","Currency=USD","Period=FQ","BEST_FPERIOD_OVERRIDE=FQ","FILING_STATUS=MR","SCALING_FORMAT=MLN","Sort=A","Dates=H","DateFormat=P","Fill=—","Direction=H","UseDPDF=Y")</f>
        <v>861.279</v>
      </c>
      <c r="D15" s="13" cm="1">
        <f t="array" ref="D15">_xll.BDH("PH US Equity","INVTRY_IN_PROGRESS","FQ2 2019","FQ2 2019","Currency=USD","Period=FQ","BEST_FPERIOD_OVERRIDE=FQ","FILING_STATUS=MR","SCALING_FORMAT=MLN","Sort=A","Dates=H","DateFormat=P","Fill=—","Direction=H","UseDPDF=Y")</f>
        <v>866.35699999999997</v>
      </c>
      <c r="E15" s="13" cm="1">
        <f t="array" ref="E15">_xll.BDH("PH US Equity","INVTRY_IN_PROGRESS","FQ3 2019","FQ3 2019","Currency=USD","Period=FQ","BEST_FPERIOD_OVERRIDE=FQ","FILING_STATUS=MR","SCALING_FORMAT=MLN","Sort=A","Dates=H","DateFormat=P","Fill=—","Direction=H","UseDPDF=Y")</f>
        <v>869.654</v>
      </c>
      <c r="F15" s="13" cm="1">
        <f t="array" ref="F15">_xll.BDH("PH US Equity","INVTRY_IN_PROGRESS","FQ4 2019","FQ4 2019","Currency=USD","Period=FQ","BEST_FPERIOD_OVERRIDE=FQ","FILING_STATUS=MR","SCALING_FORMAT=MLN","Sort=A","Dates=H","DateFormat=P","Fill=—","Direction=H","UseDPDF=Y")</f>
        <v>850.77800000000002</v>
      </c>
      <c r="G15" s="13" cm="1">
        <f t="array" ref="G15">_xll.BDH("PH US Equity","INVTRY_IN_PROGRESS","FQ1 2020","FQ1 2020","Currency=USD","Period=FQ","BEST_FPERIOD_OVERRIDE=FQ","FILING_STATUS=MR","SCALING_FORMAT=MLN","Sort=A","Dates=H","DateFormat=P","Fill=—","Direction=H","UseDPDF=Y")</f>
        <v>891.98500000000001</v>
      </c>
      <c r="H15" s="13" cm="1">
        <f t="array" ref="H15">_xll.BDH("PH US Equity","INVTRY_IN_PROGRESS","FQ2 2020","FQ2 2020","Currency=USD","Period=FQ","BEST_FPERIOD_OVERRIDE=FQ","FILING_STATUS=MR","SCALING_FORMAT=MLN","Sort=A","Dates=H","DateFormat=P","Fill=—","Direction=H","UseDPDF=Y")</f>
        <v>948.96799999999996</v>
      </c>
      <c r="I15" s="13" cm="1">
        <f t="array" ref="I15">_xll.BDH("PH US Equity","INVTRY_IN_PROGRESS","FQ3 2020","FQ3 2020","Currency=USD","Period=FQ","BEST_FPERIOD_OVERRIDE=FQ","FILING_STATUS=MR","SCALING_FORMAT=MLN","Sort=A","Dates=H","DateFormat=P","Fill=—","Direction=H","UseDPDF=Y")</f>
        <v>968.20600000000002</v>
      </c>
      <c r="J15" s="13" cm="1">
        <f t="array" ref="J15">_xll.BDH("PH US Equity","INVTRY_IN_PROGRESS","FQ4 2020","FQ4 2020","Currency=USD","Period=FQ","BEST_FPERIOD_OVERRIDE=FQ","FILING_STATUS=MR","SCALING_FORMAT=MLN","Sort=A","Dates=H","DateFormat=P","Fill=—","Direction=H","UseDPDF=Y")</f>
        <v>988.56399999999996</v>
      </c>
      <c r="K15" s="13" cm="1">
        <f t="array" ref="K15">_xll.BDH("PH US Equity","INVTRY_IN_PROGRESS","FQ1 2021","FQ1 2021","Currency=USD","Period=FQ","BEST_FPERIOD_OVERRIDE=FQ","FILING_STATUS=MR","SCALING_FORMAT=MLN","Sort=A","Dates=H","DateFormat=P","Fill=—","Direction=H","UseDPDF=Y")</f>
        <v>899.23599999999999</v>
      </c>
      <c r="L15" s="13" cm="1">
        <f t="array" ref="L15">_xll.BDH("PH US Equity","INVTRY_IN_PROGRESS","FQ2 2021","FQ2 2021","Currency=USD","Period=FQ","BEST_FPERIOD_OVERRIDE=FQ","FILING_STATUS=MR","SCALING_FORMAT=MLN","Sort=A","Dates=H","DateFormat=P","Fill=—","Direction=H","UseDPDF=Y")</f>
        <v>930.09900000000005</v>
      </c>
      <c r="M15" s="13" cm="1">
        <f t="array" ref="M15">_xll.BDH("PH US Equity","INVTRY_IN_PROGRESS","FQ3 2021","FQ3 2021","Currency=USD","Period=FQ","BEST_FPERIOD_OVERRIDE=FQ","FILING_STATUS=MR","SCALING_FORMAT=MLN","Sort=A","Dates=H","DateFormat=P","Fill=—","Direction=H","UseDPDF=Y")</f>
        <v>944.37800000000004</v>
      </c>
      <c r="N15" s="13" cm="1">
        <f t="array" ref="N15">_xll.BDH("PH US Equity","INVTRY_IN_PROGRESS","FQ4 2021","FQ4 2021","Currency=USD","Period=FQ","BEST_FPERIOD_OVERRIDE=FQ","FILING_STATUS=MR","SCALING_FORMAT=MLN","Sort=A","Dates=H","DateFormat=P","Fill=—","Direction=H","UseDPDF=Y")</f>
        <v>1089.9760000000001</v>
      </c>
      <c r="O15" s="13" cm="1">
        <f t="array" ref="O15">_xll.BDH("PH US Equity","INVTRY_IN_PROGRESS","FQ1 2022","FQ1 2022","Currency=USD","Period=FQ","BEST_FPERIOD_OVERRIDE=FQ","FILING_STATUS=MR","SCALING_FORMAT=MLN","Sort=A","Dates=H","DateFormat=P","Fill=—","Direction=H","UseDPDF=Y")</f>
        <v>1189.194</v>
      </c>
      <c r="P15" s="13" cm="1">
        <f t="array" ref="P15">_xll.BDH("PH US Equity","INVTRY_IN_PROGRESS","FQ2 2022","FQ2 2022","Currency=USD","Period=FQ","BEST_FPERIOD_OVERRIDE=FQ","FILING_STATUS=MR","SCALING_FORMAT=MLN","Sort=A","Dates=H","DateFormat=P","Fill=—","Direction=H","UseDPDF=Y")</f>
        <v>1196.0719999999999</v>
      </c>
      <c r="Q15" s="13" cm="1">
        <f t="array" ref="Q15">_xll.BDH("PH US Equity","INVTRY_IN_PROGRESS","FQ3 2022","FQ3 2022","Currency=USD","Period=FQ","BEST_FPERIOD_OVERRIDE=FQ","FILING_STATUS=MR","SCALING_FORMAT=MLN","Sort=A","Dates=H","DateFormat=P","Fill=—","Direction=H","UseDPDF=Y")</f>
        <v>1214.415</v>
      </c>
      <c r="R15" s="13" cm="1">
        <f t="array" ref="R15">_xll.BDH("PH US Equity","INVTRY_IN_PROGRESS","FQ4 2022","FQ4 2022","Currency=USD","Period=FQ","BEST_FPERIOD_OVERRIDE=FQ","FILING_STATUS=MR","SCALING_FORMAT=MLN","Sort=A","Dates=H","DateFormat=P","Fill=—","Direction=H","UseDPDF=Y")</f>
        <v>1128.501</v>
      </c>
      <c r="S15" s="13" cm="1">
        <f t="array" ref="S15">_xll.BDH("PH US Equity","INVTRY_IN_PROGRESS","FQ1 2023","FQ1 2023","Currency=USD","Period=FQ","BEST_FPERIOD_OVERRIDE=FQ","FILING_STATUS=MR","SCALING_FORMAT=MLN","Sort=A","Dates=H","DateFormat=P","Fill=—","Direction=H","UseDPDF=Y")</f>
        <v>1581.5450000000001</v>
      </c>
      <c r="T15" s="13" cm="1">
        <f t="array" ref="T15">_xll.BDH("PH US Equity","INVTRY_IN_PROGRESS","FQ2 2023","FQ2 2023","Currency=USD","Period=FQ","BEST_FPERIOD_OVERRIDE=FQ","FILING_STATUS=MR","SCALING_FORMAT=MLN","Sort=A","Dates=H","DateFormat=P","Fill=—","Direction=H","UseDPDF=Y")</f>
        <v>1561.76</v>
      </c>
      <c r="U15" s="13" cm="1">
        <f t="array" ref="U15">_xll.BDH("PH US Equity","INVTRY_IN_PROGRESS","FQ3 2023","FQ3 2023","Currency=USD","Period=FQ","BEST_FPERIOD_OVERRIDE=FQ","FILING_STATUS=MR","SCALING_FORMAT=MLN","Sort=A","Dates=H","DateFormat=P","Fill=—","Direction=H","UseDPDF=Y")</f>
        <v>1569.885</v>
      </c>
      <c r="V15" s="13" cm="1">
        <f t="array" ref="V15">_xll.BDH("PH US Equity","INVTRY_IN_PROGRESS","FQ4 2023","FQ4 2023","Currency=USD","Period=FQ","BEST_FPERIOD_OVERRIDE=FQ","FILING_STATUS=MR","SCALING_FORMAT=MLN","Sort=A","Dates=H","DateFormat=P","Fill=—","Direction=H","UseDPDF=Y")</f>
        <v>1488.665</v>
      </c>
      <c r="W15" s="13" cm="1">
        <f t="array" ref="W15">_xll.BDH("PH US Equity","INVTRY_IN_PROGRESS","FQ1 2024","FQ1 2024","Currency=USD","Period=FQ","BEST_FPERIOD_OVERRIDE=FQ","FILING_STATUS=MR","SCALING_FORMAT=MLN","Sort=A","Dates=H","DateFormat=P","Fill=—","Direction=H","UseDPDF=Y")</f>
        <v>1571.43</v>
      </c>
      <c r="X15" s="13" cm="1">
        <f t="array" ref="X15">_xll.BDH("PH US Equity","INVTRY_IN_PROGRESS","FQ2 2024","FQ2 2024","Currency=USD","Period=FQ","BEST_FPERIOD_OVERRIDE=FQ","FILING_STATUS=MR","SCALING_FORMAT=MLN","Sort=A","Dates=H","DateFormat=P","Fill=—","Direction=H","UseDPDF=Y")</f>
        <v>1580.288</v>
      </c>
      <c r="Y15" s="13" cm="1">
        <f t="array" ref="Y15">_xll.BDH("PH US Equity","INVTRY_IN_PROGRESS","FQ3 2024","FQ3 2024","Currency=USD","Period=FQ","BEST_FPERIOD_OVERRIDE=FQ","FILING_STATUS=MR","SCALING_FORMAT=MLN","Sort=A","Dates=H","DateFormat=P","Fill=—","Direction=H","UseDPDF=Y")</f>
        <v>1526.1130000000001</v>
      </c>
      <c r="Z15" s="13" cm="1">
        <f t="array" ref="Z15">_xll.BDH("PH US Equity","INVTRY_IN_PROGRESS","FQ4 2024","FQ4 2024","Currency=USD","Period=FQ","BEST_FPERIOD_OVERRIDE=FQ","FILING_STATUS=MR","SCALING_FORMAT=MLN","Sort=A","Dates=H","DateFormat=P","Fill=—","Direction=H","UseDPDF=Y")</f>
        <v>1421.104</v>
      </c>
      <c r="AA15" s="13" cm="1">
        <f t="array" ref="AA15">_xll.BDH("PH US Equity","INVTRY_IN_PROGRESS","FQ1 2025","FQ1 2025","Currency=USD","Period=FQ","BEST_FPERIOD_OVERRIDE=FQ","FILING_STATUS=MR","SCALING_FORMAT=MLN","Sort=A","Dates=H","DateFormat=P","Fill=—","Direction=H","UseDPDF=Y")</f>
        <v>1494.5119999999999</v>
      </c>
      <c r="AB15" s="13" cm="1">
        <f t="array" ref="AB15">_xll.BDH("PH US Equity","INVTRY_IN_PROGRESS","FQ2 2025","FQ2 2025","Currency=USD","Period=FQ","BEST_FPERIOD_OVERRIDE=FQ","FILING_STATUS=MR","SCALING_FORMAT=MLN","Sort=A","Dates=H","DateFormat=P","Fill=—","Direction=H","UseDPDF=Y")</f>
        <v>1461.2270000000001</v>
      </c>
      <c r="AC15" s="13" cm="1">
        <f t="array" ref="AC15">_xll.BDH("PH US Equity","INVTRY_IN_PROGRESS","FQ3 2025","FQ3 2025","Currency=USD","Period=FQ","BEST_FPERIOD_OVERRIDE=FQ","FILING_STATUS=MR","SCALING_FORMAT=MLN","Sort=A","Dates=H","DateFormat=P","Fill=—","Direction=H","UseDPDF=Y")</f>
        <v>1501.348</v>
      </c>
      <c r="AD15" s="13" cm="1">
        <f t="array" ref="AD15">_xll.BDH("PH US Equity","INVTRY_IN_PROGRESS","FQ4 2025","FQ4 2025","Currency=USD","Period=FQ","BEST_FPERIOD_OVERRIDE=FQ","FILING_STATUS=MR","SCALING_FORMAT=MLN","Sort=A","Dates=H","DateFormat=P","Fill=—","Direction=H","UseDPDF=Y")</f>
        <v>1485</v>
      </c>
      <c r="AE15" s="13" cm="1">
        <f t="array" ref="AE15">_xll.BDH("PH US Equity","INVTRY_IN_PROGRESS","FQ1 2026","FQ1 2026","Currency=USD","Period=FQ","BEST_FPERIOD_OVERRIDE=FQ","FILING_STATUS=MR","SCALING_FORMAT=MLN","Sort=A","Dates=H","DateFormat=P","Fill=—","Direction=H","UseDPDF=Y")</f>
        <v>1585</v>
      </c>
      <c r="AF15" s="13" cm="1">
        <f t="array" ref="AF15">_xll.BDH("PH US Equity","INVTRY_IN_PROGRESS","FQ2 2026","FQ2 2026","Currency=USD","Period=FQ","BEST_FPERIOD_OVERRIDE=FQ","FILING_STATUS=MR","SCALING_FORMAT=MLN","Sort=A","Dates=H","DateFormat=P","Fill=—","Direction=H","UseDPDF=Y")</f>
        <v>1623</v>
      </c>
    </row>
    <row r="16" spans="1:32" x14ac:dyDescent="0.25">
      <c r="A16" s="10" t="s">
        <v>84</v>
      </c>
      <c r="B16" s="10" t="s">
        <v>85</v>
      </c>
      <c r="C16" s="13" cm="1">
        <f t="array" ref="C16">_xll.BDH("PH US Equity","INVTRY_FINISHED_GOODS","FQ1 2019","FQ1 2019","Currency=USD","Period=FQ","BEST_FPERIOD_OVERRIDE=FQ","FILING_STATUS=MR","SCALING_FORMAT=MLN","Sort=A","Dates=H","DateFormat=P","Fill=—","Direction=H","UseDPDF=Y")</f>
        <v>704.31299999999999</v>
      </c>
      <c r="D16" s="13" cm="1">
        <f t="array" ref="D16">_xll.BDH("PH US Equity","INVTRY_FINISHED_GOODS","FQ2 2019","FQ2 2019","Currency=USD","Period=FQ","BEST_FPERIOD_OVERRIDE=FQ","FILING_STATUS=MR","SCALING_FORMAT=MLN","Sort=A","Dates=H","DateFormat=P","Fill=—","Direction=H","UseDPDF=Y")</f>
        <v>737.24300000000005</v>
      </c>
      <c r="E16" s="13" cm="1">
        <f t="array" ref="E16">_xll.BDH("PH US Equity","INVTRY_FINISHED_GOODS","FQ3 2019","FQ3 2019","Currency=USD","Period=FQ","BEST_FPERIOD_OVERRIDE=FQ","FILING_STATUS=MR","SCALING_FORMAT=MLN","Sort=A","Dates=H","DateFormat=P","Fill=—","Direction=H","UseDPDF=Y")</f>
        <v>696.255</v>
      </c>
      <c r="F16" s="13" cm="1">
        <f t="array" ref="F16">_xll.BDH("PH US Equity","INVTRY_FINISHED_GOODS","FQ4 2019","FQ4 2019","Currency=USD","Period=FQ","BEST_FPERIOD_OVERRIDE=FQ","FILING_STATUS=MR","SCALING_FORMAT=MLN","Sort=A","Dates=H","DateFormat=P","Fill=—","Direction=H","UseDPDF=Y")</f>
        <v>663.06799999999998</v>
      </c>
      <c r="G16" s="13" cm="1">
        <f t="array" ref="G16">_xll.BDH("PH US Equity","INVTRY_FINISHED_GOODS","FQ1 2020","FQ1 2020","Currency=USD","Period=FQ","BEST_FPERIOD_OVERRIDE=FQ","FILING_STATUS=MR","SCALING_FORMAT=MLN","Sort=A","Dates=H","DateFormat=P","Fill=—","Direction=H","UseDPDF=Y")</f>
        <v>691.01</v>
      </c>
      <c r="H16" s="13" cm="1">
        <f t="array" ref="H16">_xll.BDH("PH US Equity","INVTRY_FINISHED_GOODS","FQ2 2020","FQ2 2020","Currency=USD","Period=FQ","BEST_FPERIOD_OVERRIDE=FQ","FILING_STATUS=MR","SCALING_FORMAT=MLN","Sort=A","Dates=H","DateFormat=P","Fill=—","Direction=H","UseDPDF=Y")</f>
        <v>786.89099999999996</v>
      </c>
      <c r="I16" s="13" cm="1">
        <f t="array" ref="I16">_xll.BDH("PH US Equity","INVTRY_FINISHED_GOODS","FQ3 2020","FQ3 2020","Currency=USD","Period=FQ","BEST_FPERIOD_OVERRIDE=FQ","FILING_STATUS=MR","SCALING_FORMAT=MLN","Sort=A","Dates=H","DateFormat=P","Fill=—","Direction=H","UseDPDF=Y")</f>
        <v>761.83399999999995</v>
      </c>
      <c r="J16" s="13" cm="1">
        <f t="array" ref="J16">_xll.BDH("PH US Equity","INVTRY_FINISHED_GOODS","FQ4 2020","FQ4 2020","Currency=USD","Period=FQ","BEST_FPERIOD_OVERRIDE=FQ","FILING_STATUS=MR","SCALING_FORMAT=MLN","Sort=A","Dates=H","DateFormat=P","Fill=—","Direction=H","UseDPDF=Y")</f>
        <v>703.63</v>
      </c>
      <c r="K16" s="13" cm="1">
        <f t="array" ref="K16">_xll.BDH("PH US Equity","INVTRY_FINISHED_GOODS","FQ1 2021","FQ1 2021","Currency=USD","Period=FQ","BEST_FPERIOD_OVERRIDE=FQ","FILING_STATUS=MR","SCALING_FORMAT=MLN","Sort=A","Dates=H","DateFormat=P","Fill=—","Direction=H","UseDPDF=Y")</f>
        <v>668.53599999999994</v>
      </c>
      <c r="L16" s="13" cm="1">
        <f t="array" ref="L16">_xll.BDH("PH US Equity","INVTRY_FINISHED_GOODS","FQ2 2021","FQ2 2021","Currency=USD","Period=FQ","BEST_FPERIOD_OVERRIDE=FQ","FILING_STATUS=MR","SCALING_FORMAT=MLN","Sort=A","Dates=H","DateFormat=P","Fill=—","Direction=H","UseDPDF=Y")</f>
        <v>704.07500000000005</v>
      </c>
      <c r="M16" s="13" cm="1">
        <f t="array" ref="M16">_xll.BDH("PH US Equity","INVTRY_FINISHED_GOODS","FQ3 2021","FQ3 2021","Currency=USD","Period=FQ","BEST_FPERIOD_OVERRIDE=FQ","FILING_STATUS=MR","SCALING_FORMAT=MLN","Sort=A","Dates=H","DateFormat=P","Fill=—","Direction=H","UseDPDF=Y")</f>
        <v>715.21799999999996</v>
      </c>
      <c r="N16" s="13" cm="1">
        <f t="array" ref="N16">_xll.BDH("PH US Equity","INVTRY_FINISHED_GOODS","FQ4 2021","FQ4 2021","Currency=USD","Period=FQ","BEST_FPERIOD_OVERRIDE=FQ","FILING_STATUS=MR","SCALING_FORMAT=MLN","Sort=A","Dates=H","DateFormat=P","Fill=—","Direction=H","UseDPDF=Y")</f>
        <v>733.74400000000003</v>
      </c>
      <c r="O16" s="13" cm="1">
        <f t="array" ref="O16">_xll.BDH("PH US Equity","INVTRY_FINISHED_GOODS","FQ1 2022","FQ1 2022","Currency=USD","Period=FQ","BEST_FPERIOD_OVERRIDE=FQ","FILING_STATUS=MR","SCALING_FORMAT=MLN","Sort=A","Dates=H","DateFormat=P","Fill=—","Direction=H","UseDPDF=Y")</f>
        <v>774.74900000000002</v>
      </c>
      <c r="P16" s="13" cm="1">
        <f t="array" ref="P16">_xll.BDH("PH US Equity","INVTRY_FINISHED_GOODS","FQ2 2022","FQ2 2022","Currency=USD","Period=FQ","BEST_FPERIOD_OVERRIDE=FQ","FILING_STATUS=MR","SCALING_FORMAT=MLN","Sort=A","Dates=H","DateFormat=P","Fill=—","Direction=H","UseDPDF=Y")</f>
        <v>801.35500000000002</v>
      </c>
      <c r="Q16" s="13" cm="1">
        <f t="array" ref="Q16">_xll.BDH("PH US Equity","INVTRY_FINISHED_GOODS","FQ3 2022","FQ3 2022","Currency=USD","Period=FQ","BEST_FPERIOD_OVERRIDE=FQ","FILING_STATUS=MR","SCALING_FORMAT=MLN","Sort=A","Dates=H","DateFormat=P","Fill=—","Direction=H","UseDPDF=Y")</f>
        <v>827.46400000000006</v>
      </c>
      <c r="R16" s="13" cm="1">
        <f t="array" ref="R16">_xll.BDH("PH US Equity","INVTRY_FINISHED_GOODS","FQ4 2022","FQ4 2022","Currency=USD","Period=FQ","BEST_FPERIOD_OVERRIDE=FQ","FILING_STATUS=MR","SCALING_FORMAT=MLN","Sort=A","Dates=H","DateFormat=P","Fill=—","Direction=H","UseDPDF=Y")</f>
        <v>811.702</v>
      </c>
      <c r="S16" s="13" cm="1">
        <f t="array" ref="S16">_xll.BDH("PH US Equity","INVTRY_FINISHED_GOODS","FQ1 2023","FQ1 2023","Currency=USD","Period=FQ","BEST_FPERIOD_OVERRIDE=FQ","FILING_STATUS=MR","SCALING_FORMAT=MLN","Sort=A","Dates=H","DateFormat=P","Fill=—","Direction=H","UseDPDF=Y")</f>
        <v>919.69100000000003</v>
      </c>
      <c r="T16" s="13" cm="1">
        <f t="array" ref="T16">_xll.BDH("PH US Equity","INVTRY_FINISHED_GOODS","FQ2 2023","FQ2 2023","Currency=USD","Period=FQ","BEST_FPERIOD_OVERRIDE=FQ","FILING_STATUS=MR","SCALING_FORMAT=MLN","Sort=A","Dates=H","DateFormat=P","Fill=—","Direction=H","UseDPDF=Y")</f>
        <v>867.47</v>
      </c>
      <c r="U16" s="13" cm="1">
        <f t="array" ref="U16">_xll.BDH("PH US Equity","INVTRY_FINISHED_GOODS","FQ3 2023","FQ3 2023","Currency=USD","Period=FQ","BEST_FPERIOD_OVERRIDE=FQ","FILING_STATUS=MR","SCALING_FORMAT=MLN","Sort=A","Dates=H","DateFormat=P","Fill=—","Direction=H","UseDPDF=Y")</f>
        <v>831.62</v>
      </c>
      <c r="V16" s="13" cm="1">
        <f t="array" ref="V16">_xll.BDH("PH US Equity","INVTRY_FINISHED_GOODS","FQ4 2023","FQ4 2023","Currency=USD","Period=FQ","BEST_FPERIOD_OVERRIDE=FQ","FILING_STATUS=MR","SCALING_FORMAT=MLN","Sort=A","Dates=H","DateFormat=P","Fill=—","Direction=H","UseDPDF=Y")</f>
        <v>794.12800000000004</v>
      </c>
      <c r="W16" s="13" cm="1">
        <f t="array" ref="W16">_xll.BDH("PH US Equity","INVTRY_FINISHED_GOODS","FQ1 2024","FQ1 2024","Currency=USD","Period=FQ","BEST_FPERIOD_OVERRIDE=FQ","FILING_STATUS=MR","SCALING_FORMAT=MLN","Sort=A","Dates=H","DateFormat=P","Fill=—","Direction=H","UseDPDF=Y")</f>
        <v>800.23599999999999</v>
      </c>
      <c r="X16" s="13" cm="1">
        <f t="array" ref="X16">_xll.BDH("PH US Equity","INVTRY_FINISHED_GOODS","FQ2 2024","FQ2 2024","Currency=USD","Period=FQ","BEST_FPERIOD_OVERRIDE=FQ","FILING_STATUS=MR","SCALING_FORMAT=MLN","Sort=A","Dates=H","DateFormat=P","Fill=—","Direction=H","UseDPDF=Y")</f>
        <v>842.125</v>
      </c>
      <c r="Y16" s="13" cm="1">
        <f t="array" ref="Y16">_xll.BDH("PH US Equity","INVTRY_FINISHED_GOODS","FQ3 2024","FQ3 2024","Currency=USD","Period=FQ","BEST_FPERIOD_OVERRIDE=FQ","FILING_STATUS=MR","SCALING_FORMAT=MLN","Sort=A","Dates=H","DateFormat=P","Fill=—","Direction=H","UseDPDF=Y")</f>
        <v>821.42200000000003</v>
      </c>
      <c r="Z16" s="13" cm="1">
        <f t="array" ref="Z16">_xll.BDH("PH US Equity","INVTRY_FINISHED_GOODS","FQ4 2024","FQ4 2024","Currency=USD","Period=FQ","BEST_FPERIOD_OVERRIDE=FQ","FILING_STATUS=MR","SCALING_FORMAT=MLN","Sort=A","Dates=H","DateFormat=P","Fill=—","Direction=H","UseDPDF=Y")</f>
        <v>777.77499999999998</v>
      </c>
      <c r="AA16" s="13" cm="1">
        <f t="array" ref="AA16">_xll.BDH("PH US Equity","INVTRY_FINISHED_GOODS","FQ1 2025","FQ1 2025","Currency=USD","Period=FQ","BEST_FPERIOD_OVERRIDE=FQ","FILING_STATUS=MR","SCALING_FORMAT=MLN","Sort=A","Dates=H","DateFormat=P","Fill=—","Direction=H","UseDPDF=Y")</f>
        <v>796.44600000000003</v>
      </c>
      <c r="AB16" s="13" cm="1">
        <f t="array" ref="AB16">_xll.BDH("PH US Equity","INVTRY_FINISHED_GOODS","FQ2 2025","FQ2 2025","Currency=USD","Period=FQ","BEST_FPERIOD_OVERRIDE=FQ","FILING_STATUS=MR","SCALING_FORMAT=MLN","Sort=A","Dates=H","DateFormat=P","Fill=—","Direction=H","UseDPDF=Y")</f>
        <v>784.54300000000001</v>
      </c>
      <c r="AC16" s="13" cm="1">
        <f t="array" ref="AC16">_xll.BDH("PH US Equity","INVTRY_FINISHED_GOODS","FQ3 2025","FQ3 2025","Currency=USD","Period=FQ","BEST_FPERIOD_OVERRIDE=FQ","FILING_STATUS=MR","SCALING_FORMAT=MLN","Sort=A","Dates=H","DateFormat=P","Fill=—","Direction=H","UseDPDF=Y")</f>
        <v>760.66899999999998</v>
      </c>
      <c r="AD16" s="13" cm="1">
        <f t="array" ref="AD16">_xll.BDH("PH US Equity","INVTRY_FINISHED_GOODS","FQ4 2025","FQ4 2025","Currency=USD","Period=FQ","BEST_FPERIOD_OVERRIDE=FQ","FILING_STATUS=MR","SCALING_FORMAT=MLN","Sort=A","Dates=H","DateFormat=P","Fill=—","Direction=H","UseDPDF=Y")</f>
        <v>778</v>
      </c>
      <c r="AE16" s="13" cm="1">
        <f t="array" ref="AE16">_xll.BDH("PH US Equity","INVTRY_FINISHED_GOODS","FQ1 2026","FQ1 2026","Currency=USD","Period=FQ","BEST_FPERIOD_OVERRIDE=FQ","FILING_STATUS=MR","SCALING_FORMAT=MLN","Sort=A","Dates=H","DateFormat=P","Fill=—","Direction=H","UseDPDF=Y")</f>
        <v>843</v>
      </c>
      <c r="AF16" s="13" cm="1">
        <f t="array" ref="AF16">_xll.BDH("PH US Equity","INVTRY_FINISHED_GOODS","FQ2 2026","FQ2 2026","Currency=USD","Period=FQ","BEST_FPERIOD_OVERRIDE=FQ","FILING_STATUS=MR","SCALING_FORMAT=MLN","Sort=A","Dates=H","DateFormat=P","Fill=—","Direction=H","UseDPDF=Y")</f>
        <v>649</v>
      </c>
    </row>
    <row r="17" spans="1:32" x14ac:dyDescent="0.25">
      <c r="A17" s="10" t="s">
        <v>86</v>
      </c>
      <c r="B17" s="10" t="s">
        <v>87</v>
      </c>
      <c r="C17" s="13" cm="1">
        <f t="array" ref="C17">_xll.BDH("PH US Equity","BS_OTHER_INV","FQ1 2019","FQ1 2019","Currency=USD","Period=FQ","BEST_FPERIOD_OVERRIDE=FQ","FILING_STATUS=MR","SCALING_FORMAT=MLN","Sort=A","Dates=H","DateFormat=P","Fill=—","Direction=H","UseDPDF=Y")</f>
        <v>0</v>
      </c>
      <c r="D17" s="13" cm="1">
        <f t="array" ref="D17">_xll.BDH("PH US Equity","BS_OTHER_INV","FQ2 2019","FQ2 2019","Currency=USD","Period=FQ","BEST_FPERIOD_OVERRIDE=FQ","FILING_STATUS=MR","SCALING_FORMAT=MLN","Sort=A","Dates=H","DateFormat=P","Fill=—","Direction=H","UseDPDF=Y")</f>
        <v>0</v>
      </c>
      <c r="E17" s="13" cm="1">
        <f t="array" ref="E17">_xll.BDH("PH US Equity","BS_OTHER_INV","FQ3 2019","FQ3 2019","Currency=USD","Period=FQ","BEST_FPERIOD_OVERRIDE=FQ","FILING_STATUS=MR","SCALING_FORMAT=MLN","Sort=A","Dates=H","DateFormat=P","Fill=—","Direction=H","UseDPDF=Y")</f>
        <v>0</v>
      </c>
      <c r="F17" s="13" cm="1">
        <f t="array" ref="F17">_xll.BDH("PH US Equity","BS_OTHER_INV","FQ4 2019","FQ4 2019","Currency=USD","Period=FQ","BEST_FPERIOD_OVERRIDE=FQ","FILING_STATUS=MR","SCALING_FORMAT=MLN","Sort=A","Dates=H","DateFormat=P","Fill=—","Direction=H","UseDPDF=Y")</f>
        <v>0</v>
      </c>
      <c r="G17" s="13" cm="1">
        <f t="array" ref="G17">_xll.BDH("PH US Equity","BS_OTHER_INV","FQ1 2020","FQ1 2020","Currency=USD","Period=FQ","BEST_FPERIOD_OVERRIDE=FQ","FILING_STATUS=MR","SCALING_FORMAT=MLN","Sort=A","Dates=H","DateFormat=P","Fill=—","Direction=H","UseDPDF=Y")</f>
        <v>0</v>
      </c>
      <c r="H17" s="13" cm="1">
        <f t="array" ref="H17">_xll.BDH("PH US Equity","BS_OTHER_INV","FQ2 2020","FQ2 2020","Currency=USD","Period=FQ","BEST_FPERIOD_OVERRIDE=FQ","FILING_STATUS=MR","SCALING_FORMAT=MLN","Sort=A","Dates=H","DateFormat=P","Fill=—","Direction=H","UseDPDF=Y")</f>
        <v>0</v>
      </c>
      <c r="I17" s="13" cm="1">
        <f t="array" ref="I17">_xll.BDH("PH US Equity","BS_OTHER_INV","FQ3 2020","FQ3 2020","Currency=USD","Period=FQ","BEST_FPERIOD_OVERRIDE=FQ","FILING_STATUS=MR","SCALING_FORMAT=MLN","Sort=A","Dates=H","DateFormat=P","Fill=—","Direction=H","UseDPDF=Y")</f>
        <v>0</v>
      </c>
      <c r="J17" s="13" cm="1">
        <f t="array" ref="J17">_xll.BDH("PH US Equity","BS_OTHER_INV","FQ4 2020","FQ4 2020","Currency=USD","Period=FQ","BEST_FPERIOD_OVERRIDE=FQ","FILING_STATUS=MR","SCALING_FORMAT=MLN","Sort=A","Dates=H","DateFormat=P","Fill=—","Direction=H","UseDPDF=Y")</f>
        <v>0</v>
      </c>
      <c r="K17" s="13" cm="1">
        <f t="array" ref="K17">_xll.BDH("PH US Equity","BS_OTHER_INV","FQ1 2021","FQ1 2021","Currency=USD","Period=FQ","BEST_FPERIOD_OVERRIDE=FQ","FILING_STATUS=MR","SCALING_FORMAT=MLN","Sort=A","Dates=H","DateFormat=P","Fill=—","Direction=H","UseDPDF=Y")</f>
        <v>0</v>
      </c>
      <c r="L17" s="13" cm="1">
        <f t="array" ref="L17">_xll.BDH("PH US Equity","BS_OTHER_INV","FQ2 2021","FQ2 2021","Currency=USD","Period=FQ","BEST_FPERIOD_OVERRIDE=FQ","FILING_STATUS=MR","SCALING_FORMAT=MLN","Sort=A","Dates=H","DateFormat=P","Fill=—","Direction=H","UseDPDF=Y")</f>
        <v>0</v>
      </c>
      <c r="M17" s="13" cm="1">
        <f t="array" ref="M17">_xll.BDH("PH US Equity","BS_OTHER_INV","FQ3 2021","FQ3 2021","Currency=USD","Period=FQ","BEST_FPERIOD_OVERRIDE=FQ","FILING_STATUS=MR","SCALING_FORMAT=MLN","Sort=A","Dates=H","DateFormat=P","Fill=—","Direction=H","UseDPDF=Y")</f>
        <v>0</v>
      </c>
      <c r="N17" s="13" cm="1">
        <f t="array" ref="N17">_xll.BDH("PH US Equity","BS_OTHER_INV","FQ4 2021","FQ4 2021","Currency=USD","Period=FQ","BEST_FPERIOD_OVERRIDE=FQ","FILING_STATUS=MR","SCALING_FORMAT=MLN","Sort=A","Dates=H","DateFormat=P","Fill=—","Direction=H","UseDPDF=Y")</f>
        <v>0</v>
      </c>
      <c r="O17" s="13" cm="1">
        <f t="array" ref="O17">_xll.BDH("PH US Equity","BS_OTHER_INV","FQ1 2022","FQ1 2022","Currency=USD","Period=FQ","BEST_FPERIOD_OVERRIDE=FQ","FILING_STATUS=MR","SCALING_FORMAT=MLN","Sort=A","Dates=H","DateFormat=P","Fill=—","Direction=H","UseDPDF=Y")</f>
        <v>0</v>
      </c>
      <c r="P17" s="13" cm="1">
        <f t="array" ref="P17">_xll.BDH("PH US Equity","BS_OTHER_INV","FQ2 2022","FQ2 2022","Currency=USD","Period=FQ","BEST_FPERIOD_OVERRIDE=FQ","FILING_STATUS=MR","SCALING_FORMAT=MLN","Sort=A","Dates=H","DateFormat=P","Fill=—","Direction=H","UseDPDF=Y")</f>
        <v>0</v>
      </c>
      <c r="Q17" s="13" cm="1">
        <f t="array" ref="Q17">_xll.BDH("PH US Equity","BS_OTHER_INV","FQ3 2022","FQ3 2022","Currency=USD","Period=FQ","BEST_FPERIOD_OVERRIDE=FQ","FILING_STATUS=MR","SCALING_FORMAT=MLN","Sort=A","Dates=H","DateFormat=P","Fill=—","Direction=H","UseDPDF=Y")</f>
        <v>0</v>
      </c>
      <c r="R17" s="13" cm="1">
        <f t="array" ref="R17">_xll.BDH("PH US Equity","BS_OTHER_INV","FQ4 2022","FQ4 2022","Currency=USD","Period=FQ","BEST_FPERIOD_OVERRIDE=FQ","FILING_STATUS=MR","SCALING_FORMAT=MLN","Sort=A","Dates=H","DateFormat=P","Fill=—","Direction=H","UseDPDF=Y")</f>
        <v>0</v>
      </c>
      <c r="S17" s="13" cm="1">
        <f t="array" ref="S17">_xll.BDH("PH US Equity","BS_OTHER_INV","FQ1 2023","FQ1 2023","Currency=USD","Period=FQ","BEST_FPERIOD_OVERRIDE=FQ","FILING_STATUS=MR","SCALING_FORMAT=MLN","Sort=A","Dates=H","DateFormat=P","Fill=—","Direction=H","UseDPDF=Y")</f>
        <v>0</v>
      </c>
      <c r="T17" s="13" cm="1">
        <f t="array" ref="T17">_xll.BDH("PH US Equity","BS_OTHER_INV","FQ2 2023","FQ2 2023","Currency=USD","Period=FQ","BEST_FPERIOD_OVERRIDE=FQ","FILING_STATUS=MR","SCALING_FORMAT=MLN","Sort=A","Dates=H","DateFormat=P","Fill=—","Direction=H","UseDPDF=Y")</f>
        <v>0</v>
      </c>
      <c r="U17" s="13" cm="1">
        <f t="array" ref="U17">_xll.BDH("PH US Equity","BS_OTHER_INV","FQ3 2023","FQ3 2023","Currency=USD","Period=FQ","BEST_FPERIOD_OVERRIDE=FQ","FILING_STATUS=MR","SCALING_FORMAT=MLN","Sort=A","Dates=H","DateFormat=P","Fill=—","Direction=H","UseDPDF=Y")</f>
        <v>0</v>
      </c>
      <c r="V17" s="13" cm="1">
        <f t="array" ref="V17">_xll.BDH("PH US Equity","BS_OTHER_INV","FQ4 2023","FQ4 2023","Currency=USD","Period=FQ","BEST_FPERIOD_OVERRIDE=FQ","FILING_STATUS=MR","SCALING_FORMAT=MLN","Sort=A","Dates=H","DateFormat=P","Fill=—","Direction=H","UseDPDF=Y")</f>
        <v>0</v>
      </c>
      <c r="W17" s="13" cm="1">
        <f t="array" ref="W17">_xll.BDH("PH US Equity","BS_OTHER_INV","FQ1 2024","FQ1 2024","Currency=USD","Period=FQ","BEST_FPERIOD_OVERRIDE=FQ","FILING_STATUS=MR","SCALING_FORMAT=MLN","Sort=A","Dates=H","DateFormat=P","Fill=—","Direction=H","UseDPDF=Y")</f>
        <v>0</v>
      </c>
      <c r="X17" s="13" cm="1">
        <f t="array" ref="X17">_xll.BDH("PH US Equity","BS_OTHER_INV","FQ2 2024","FQ2 2024","Currency=USD","Period=FQ","BEST_FPERIOD_OVERRIDE=FQ","FILING_STATUS=MR","SCALING_FORMAT=MLN","Sort=A","Dates=H","DateFormat=P","Fill=—","Direction=H","UseDPDF=Y")</f>
        <v>0</v>
      </c>
      <c r="Y17" s="13" cm="1">
        <f t="array" ref="Y17">_xll.BDH("PH US Equity","BS_OTHER_INV","FQ3 2024","FQ3 2024","Currency=USD","Period=FQ","BEST_FPERIOD_OVERRIDE=FQ","FILING_STATUS=MR","SCALING_FORMAT=MLN","Sort=A","Dates=H","DateFormat=P","Fill=—","Direction=H","UseDPDF=Y")</f>
        <v>0</v>
      </c>
      <c r="Z17" s="13" cm="1">
        <f t="array" ref="Z17">_xll.BDH("PH US Equity","BS_OTHER_INV","FQ4 2024","FQ4 2024","Currency=USD","Period=FQ","BEST_FPERIOD_OVERRIDE=FQ","FILING_STATUS=MR","SCALING_FORMAT=MLN","Sort=A","Dates=H","DateFormat=P","Fill=—","Direction=H","UseDPDF=Y")</f>
        <v>0</v>
      </c>
      <c r="AA17" s="13" cm="1">
        <f t="array" ref="AA17">_xll.BDH("PH US Equity","BS_OTHER_INV","FQ1 2025","FQ1 2025","Currency=USD","Period=FQ","BEST_FPERIOD_OVERRIDE=FQ","FILING_STATUS=MR","SCALING_FORMAT=MLN","Sort=A","Dates=H","DateFormat=P","Fill=—","Direction=H","UseDPDF=Y")</f>
        <v>0</v>
      </c>
      <c r="AB17" s="13" cm="1">
        <f t="array" ref="AB17">_xll.BDH("PH US Equity","BS_OTHER_INV","FQ2 2025","FQ2 2025","Currency=USD","Period=FQ","BEST_FPERIOD_OVERRIDE=FQ","FILING_STATUS=MR","SCALING_FORMAT=MLN","Sort=A","Dates=H","DateFormat=P","Fill=—","Direction=H","UseDPDF=Y")</f>
        <v>0</v>
      </c>
      <c r="AC17" s="13" cm="1">
        <f t="array" ref="AC17">_xll.BDH("PH US Equity","BS_OTHER_INV","FQ3 2025","FQ3 2025","Currency=USD","Period=FQ","BEST_FPERIOD_OVERRIDE=FQ","FILING_STATUS=MR","SCALING_FORMAT=MLN","Sort=A","Dates=H","DateFormat=P","Fill=—","Direction=H","UseDPDF=Y")</f>
        <v>0</v>
      </c>
      <c r="AD17" s="13" cm="1">
        <f t="array" ref="AD17">_xll.BDH("PH US Equity","BS_OTHER_INV","FQ4 2025","FQ4 2025","Currency=USD","Period=FQ","BEST_FPERIOD_OVERRIDE=FQ","FILING_STATUS=MR","SCALING_FORMAT=MLN","Sort=A","Dates=H","DateFormat=P","Fill=—","Direction=H","UseDPDF=Y")</f>
        <v>0</v>
      </c>
      <c r="AE17" s="13" cm="1">
        <f t="array" ref="AE17">_xll.BDH("PH US Equity","BS_OTHER_INV","FQ1 2026","FQ1 2026","Currency=USD","Period=FQ","BEST_FPERIOD_OVERRIDE=FQ","FILING_STATUS=MR","SCALING_FORMAT=MLN","Sort=A","Dates=H","DateFormat=P","Fill=—","Direction=H","UseDPDF=Y")</f>
        <v>0</v>
      </c>
      <c r="AF17" s="13" cm="1">
        <f t="array" ref="AF17">_xll.BDH("PH US Equity","BS_OTHER_INV","FQ2 2026","FQ2 2026","Currency=USD","Period=FQ","BEST_FPERIOD_OVERRIDE=FQ","FILING_STATUS=MR","SCALING_FORMAT=MLN","Sort=A","Dates=H","DateFormat=P","Fill=—","Direction=H","UseDPDF=Y")</f>
        <v>0</v>
      </c>
    </row>
    <row r="18" spans="1:32" x14ac:dyDescent="0.25">
      <c r="A18" s="10" t="s">
        <v>88</v>
      </c>
      <c r="B18" s="10" t="s">
        <v>89</v>
      </c>
      <c r="C18" s="13" cm="1">
        <f t="array" ref="C18">_xll.BDH("PH US Equity","OTHER_CURRENT_ASSETS_DETAILED","FQ1 2019","FQ1 2019","Currency=USD","Period=FQ","BEST_FPERIOD_OVERRIDE=FQ","FILING_STATUS=MR","SCALING_FORMAT=MLN","Sort=A","Dates=H","DateFormat=P","Fill=—","Direction=H","UseDPDF=Y")</f>
        <v>166.33799999999999</v>
      </c>
      <c r="D18" s="13" cm="1">
        <f t="array" ref="D18">_xll.BDH("PH US Equity","OTHER_CURRENT_ASSETS_DETAILED","FQ2 2019","FQ2 2019","Currency=USD","Period=FQ","BEST_FPERIOD_OVERRIDE=FQ","FILING_STATUS=MR","SCALING_FORMAT=MLN","Sort=A","Dates=H","DateFormat=P","Fill=—","Direction=H","UseDPDF=Y")</f>
        <v>189.14599999999999</v>
      </c>
      <c r="E18" s="13" cm="1">
        <f t="array" ref="E18">_xll.BDH("PH US Equity","OTHER_CURRENT_ASSETS_DETAILED","FQ3 2019","FQ3 2019","Currency=USD","Period=FQ","BEST_FPERIOD_OVERRIDE=FQ","FILING_STATUS=MR","SCALING_FORMAT=MLN","Sort=A","Dates=H","DateFormat=P","Fill=—","Direction=H","UseDPDF=Y")</f>
        <v>191.45400000000001</v>
      </c>
      <c r="F18" s="13" cm="1">
        <f t="array" ref="F18">_xll.BDH("PH US Equity","OTHER_CURRENT_ASSETS_DETAILED","FQ4 2019","FQ4 2019","Currency=USD","Period=FQ","BEST_FPERIOD_OVERRIDE=FQ","FILING_STATUS=MR","SCALING_FORMAT=MLN","Sort=A","Dates=H","DateFormat=P","Fill=—","Direction=H","UseDPDF=Y")</f>
        <v>182.95099999999999</v>
      </c>
      <c r="G18" s="13" cm="1">
        <f t="array" ref="G18">_xll.BDH("PH US Equity","OTHER_CURRENT_ASSETS_DETAILED","FQ1 2020","FQ1 2020","Currency=USD","Period=FQ","BEST_FPERIOD_OVERRIDE=FQ","FILING_STATUS=MR","SCALING_FORMAT=MLN","Sort=A","Dates=H","DateFormat=P","Fill=—","Direction=H","UseDPDF=Y")</f>
        <v>182.369</v>
      </c>
      <c r="H18" s="13" cm="1">
        <f t="array" ref="H18">_xll.BDH("PH US Equity","OTHER_CURRENT_ASSETS_DETAILED","FQ2 2020","FQ2 2020","Currency=USD","Period=FQ","BEST_FPERIOD_OVERRIDE=FQ","FILING_STATUS=MR","SCALING_FORMAT=MLN","Sort=A","Dates=H","DateFormat=P","Fill=—","Direction=H","UseDPDF=Y")</f>
        <v>262.66199999999998</v>
      </c>
      <c r="I18" s="13" cm="1">
        <f t="array" ref="I18">_xll.BDH("PH US Equity","OTHER_CURRENT_ASSETS_DETAILED","FQ3 2020","FQ3 2020","Currency=USD","Period=FQ","BEST_FPERIOD_OVERRIDE=FQ","FILING_STATUS=MR","SCALING_FORMAT=MLN","Sort=A","Dates=H","DateFormat=P","Fill=—","Direction=H","UseDPDF=Y")</f>
        <v>242.51</v>
      </c>
      <c r="J18" s="13" cm="1">
        <f t="array" ref="J18">_xll.BDH("PH US Equity","OTHER_CURRENT_ASSETS_DETAILED","FQ4 2020","FQ4 2020","Currency=USD","Period=FQ","BEST_FPERIOD_OVERRIDE=FQ","FILING_STATUS=MR","SCALING_FORMAT=MLN","Sort=A","Dates=H","DateFormat=P","Fill=—","Direction=H","UseDPDF=Y")</f>
        <v>217.23599999999999</v>
      </c>
      <c r="K18" s="13" cm="1">
        <f t="array" ref="K18">_xll.BDH("PH US Equity","OTHER_CURRENT_ASSETS_DETAILED","FQ1 2021","FQ1 2021","Currency=USD","Period=FQ","BEST_FPERIOD_OVERRIDE=FQ","FILING_STATUS=MR","SCALING_FORMAT=MLN","Sort=A","Dates=H","DateFormat=P","Fill=—","Direction=H","UseDPDF=Y")</f>
        <v>178.51300000000001</v>
      </c>
      <c r="L18" s="13" cm="1">
        <f t="array" ref="L18">_xll.BDH("PH US Equity","OTHER_CURRENT_ASSETS_DETAILED","FQ2 2021","FQ2 2021","Currency=USD","Period=FQ","BEST_FPERIOD_OVERRIDE=FQ","FILING_STATUS=MR","SCALING_FORMAT=MLN","Sort=A","Dates=H","DateFormat=P","Fill=—","Direction=H","UseDPDF=Y")</f>
        <v>210.11699999999999</v>
      </c>
      <c r="M18" s="13" cm="1">
        <f t="array" ref="M18">_xll.BDH("PH US Equity","OTHER_CURRENT_ASSETS_DETAILED","FQ3 2021","FQ3 2021","Currency=USD","Period=FQ","BEST_FPERIOD_OVERRIDE=FQ","FILING_STATUS=MR","SCALING_FORMAT=MLN","Sort=A","Dates=H","DateFormat=P","Fill=—","Direction=H","UseDPDF=Y")</f>
        <v>201.55099999999999</v>
      </c>
      <c r="N18" s="13" cm="1">
        <f t="array" ref="N18">_xll.BDH("PH US Equity","OTHER_CURRENT_ASSETS_DETAILED","FQ4 2021","FQ4 2021","Currency=USD","Period=FQ","BEST_FPERIOD_OVERRIDE=FQ","FILING_STATUS=MR","SCALING_FORMAT=MLN","Sort=A","Dates=H","DateFormat=P","Fill=—","Direction=H","UseDPDF=Y")</f>
        <v>244.07599999999999</v>
      </c>
      <c r="O18" s="13" cm="1">
        <f t="array" ref="O18">_xll.BDH("PH US Equity","OTHER_CURRENT_ASSETS_DETAILED","FQ1 2022","FQ1 2022","Currency=USD","Period=FQ","BEST_FPERIOD_OVERRIDE=FQ","FILING_STATUS=MR","SCALING_FORMAT=MLN","Sort=A","Dates=H","DateFormat=P","Fill=—","Direction=H","UseDPDF=Y")</f>
        <v>432.858</v>
      </c>
      <c r="P18" s="13" cm="1">
        <f t="array" ref="P18">_xll.BDH("PH US Equity","OTHER_CURRENT_ASSETS_DETAILED","FQ2 2022","FQ2 2022","Currency=USD","Period=FQ","BEST_FPERIOD_OVERRIDE=FQ","FILING_STATUS=MR","SCALING_FORMAT=MLN","Sort=A","Dates=H","DateFormat=P","Fill=—","Direction=H","UseDPDF=Y")</f>
        <v>2770.73</v>
      </c>
      <c r="Q18" s="13" cm="1">
        <f t="array" ref="Q18">_xll.BDH("PH US Equity","OTHER_CURRENT_ASSETS_DETAILED","FQ3 2022","FQ3 2022","Currency=USD","Period=FQ","BEST_FPERIOD_OVERRIDE=FQ","FILING_STATUS=MR","SCALING_FORMAT=MLN","Sort=A","Dates=H","DateFormat=P","Fill=—","Direction=H","UseDPDF=Y")</f>
        <v>2709.029</v>
      </c>
      <c r="R18" s="13" cm="1">
        <f t="array" ref="R18">_xll.BDH("PH US Equity","OTHER_CURRENT_ASSETS_DETAILED","FQ4 2022","FQ4 2022","Currency=USD","Period=FQ","BEST_FPERIOD_OVERRIDE=FQ","FILING_STATUS=MR","SCALING_FORMAT=MLN","Sort=A","Dates=H","DateFormat=P","Fill=—","Direction=H","UseDPDF=Y")</f>
        <v>6383.52</v>
      </c>
      <c r="S18" s="13" cm="1">
        <f t="array" ref="S18">_xll.BDH("PH US Equity","OTHER_CURRENT_ASSETS_DETAILED","FQ1 2023","FQ1 2023","Currency=USD","Period=FQ","BEST_FPERIOD_OVERRIDE=FQ","FILING_STATUS=MR","SCALING_FORMAT=MLN","Sort=A","Dates=H","DateFormat=P","Fill=—","Direction=H","UseDPDF=Y")</f>
        <v>501.13900000000001</v>
      </c>
      <c r="T18" s="13" cm="1">
        <f t="array" ref="T18">_xll.BDH("PH US Equity","OTHER_CURRENT_ASSETS_DETAILED","FQ2 2023","FQ2 2023","Currency=USD","Period=FQ","BEST_FPERIOD_OVERRIDE=FQ","FILING_STATUS=MR","SCALING_FORMAT=MLN","Sort=A","Dates=H","DateFormat=P","Fill=—","Direction=H","UseDPDF=Y")</f>
        <v>483.98200000000003</v>
      </c>
      <c r="U18" s="13" cm="1">
        <f t="array" ref="U18">_xll.BDH("PH US Equity","OTHER_CURRENT_ASSETS_DETAILED","FQ3 2023","FQ3 2023","Currency=USD","Period=FQ","BEST_FPERIOD_OVERRIDE=FQ","FILING_STATUS=MR","SCALING_FORMAT=MLN","Sort=A","Dates=H","DateFormat=P","Fill=—","Direction=H","UseDPDF=Y")</f>
        <v>382.92700000000002</v>
      </c>
      <c r="V18" s="13" cm="1">
        <f t="array" ref="V18">_xll.BDH("PH US Equity","OTHER_CURRENT_ASSETS_DETAILED","FQ4 2023","FQ4 2023","Currency=USD","Period=FQ","BEST_FPERIOD_OVERRIDE=FQ","FILING_STATUS=MR","SCALING_FORMAT=MLN","Sort=A","Dates=H","DateFormat=P","Fill=—","Direction=H","UseDPDF=Y")</f>
        <v>306.31400000000002</v>
      </c>
      <c r="W18" s="13" cm="1">
        <f t="array" ref="W18">_xll.BDH("PH US Equity","OTHER_CURRENT_ASSETS_DETAILED","FQ1 2024","FQ1 2024","Currency=USD","Period=FQ","BEST_FPERIOD_OVERRIDE=FQ","FILING_STATUS=MR","SCALING_FORMAT=MLN","Sort=A","Dates=H","DateFormat=P","Fill=—","Direction=H","UseDPDF=Y")</f>
        <v>307.47399999999999</v>
      </c>
      <c r="X18" s="13" cm="1">
        <f t="array" ref="X18">_xll.BDH("PH US Equity","OTHER_CURRENT_ASSETS_DETAILED","FQ2 2024","FQ2 2024","Currency=USD","Period=FQ","BEST_FPERIOD_OVERRIDE=FQ","FILING_STATUS=MR","SCALING_FORMAT=MLN","Sort=A","Dates=H","DateFormat=P","Fill=—","Direction=H","UseDPDF=Y")</f>
        <v>309.98500000000001</v>
      </c>
      <c r="Y18" s="13" cm="1">
        <f t="array" ref="Y18">_xll.BDH("PH US Equity","OTHER_CURRENT_ASSETS_DETAILED","FQ3 2024","FQ3 2024","Currency=USD","Period=FQ","BEST_FPERIOD_OVERRIDE=FQ","FILING_STATUS=MR","SCALING_FORMAT=MLN","Sort=A","Dates=H","DateFormat=P","Fill=—","Direction=H","UseDPDF=Y")</f>
        <v>337.05500000000001</v>
      </c>
      <c r="Z18" s="13" cm="1">
        <f t="array" ref="Z18">_xll.BDH("PH US Equity","OTHER_CURRENT_ASSETS_DETAILED","FQ4 2024","FQ4 2024","Currency=USD","Period=FQ","BEST_FPERIOD_OVERRIDE=FQ","FILING_STATUS=MR","SCALING_FORMAT=MLN","Sort=A","Dates=H","DateFormat=P","Fill=—","Direction=H","UseDPDF=Y")</f>
        <v>400.447</v>
      </c>
      <c r="AA18" s="13" cm="1">
        <f t="array" ref="AA18">_xll.BDH("PH US Equity","OTHER_CURRENT_ASSETS_DETAILED","FQ1 2025","FQ1 2025","Currency=USD","Period=FQ","BEST_FPERIOD_OVERRIDE=FQ","FILING_STATUS=MR","SCALING_FORMAT=MLN","Sort=A","Dates=H","DateFormat=P","Fill=—","Direction=H","UseDPDF=Y")</f>
        <v>760.41200000000003</v>
      </c>
      <c r="AB18" s="13" cm="1">
        <f t="array" ref="AB18">_xll.BDH("PH US Equity","OTHER_CURRENT_ASSETS_DETAILED","FQ2 2025","FQ2 2025","Currency=USD","Period=FQ","BEST_FPERIOD_OVERRIDE=FQ","FILING_STATUS=MR","SCALING_FORMAT=MLN","Sort=A","Dates=H","DateFormat=P","Fill=—","Direction=H","UseDPDF=Y")</f>
        <v>415.29500000000002</v>
      </c>
      <c r="AC18" s="13" cm="1">
        <f t="array" ref="AC18">_xll.BDH("PH US Equity","OTHER_CURRENT_ASSETS_DETAILED","FQ3 2025","FQ3 2025","Currency=USD","Period=FQ","BEST_FPERIOD_OVERRIDE=FQ","FILING_STATUS=MR","SCALING_FORMAT=MLN","Sort=A","Dates=H","DateFormat=P","Fill=—","Direction=H","UseDPDF=Y")</f>
        <v>417.95499999999998</v>
      </c>
      <c r="AD18" s="13" cm="1">
        <f t="array" ref="AD18">_xll.BDH("PH US Equity","OTHER_CURRENT_ASSETS_DETAILED","FQ4 2025","FQ4 2025","Currency=USD","Period=FQ","BEST_FPERIOD_OVERRIDE=FQ","FILING_STATUS=MR","SCALING_FORMAT=MLN","Sort=A","Dates=H","DateFormat=P","Fill=—","Direction=H","UseDPDF=Y")</f>
        <v>419</v>
      </c>
      <c r="AE18" s="13" cm="1">
        <f t="array" ref="AE18">_xll.BDH("PH US Equity","OTHER_CURRENT_ASSETS_DETAILED","FQ1 2026","FQ1 2026","Currency=USD","Period=FQ","BEST_FPERIOD_OVERRIDE=FQ","FILING_STATUS=MR","SCALING_FORMAT=MLN","Sort=A","Dates=H","DateFormat=P","Fill=—","Direction=H","UseDPDF=Y")</f>
        <v>469</v>
      </c>
      <c r="AF18" s="13" cm="1">
        <f t="array" ref="AF18">_xll.BDH("PH US Equity","OTHER_CURRENT_ASSETS_DETAILED","FQ2 2026","FQ2 2026","Currency=USD","Period=FQ","BEST_FPERIOD_OVERRIDE=FQ","FILING_STATUS=MR","SCALING_FORMAT=MLN","Sort=A","Dates=H","DateFormat=P","Fill=—","Direction=H","UseDPDF=Y")</f>
        <v>550</v>
      </c>
    </row>
    <row r="19" spans="1:32" x14ac:dyDescent="0.25">
      <c r="A19" s="10" t="s">
        <v>90</v>
      </c>
      <c r="B19" s="10" t="s">
        <v>91</v>
      </c>
      <c r="C19" s="13" cm="1">
        <f t="array" ref="C19">_xll.BDH("PH US Equity","BS_PREPAY","FQ1 2019","FQ1 2019","Currency=USD","Period=FQ","BEST_FPERIOD_OVERRIDE=FQ","FILING_STATUS=MR","SCALING_FORMAT=MLN","Sort=A","Dates=H","DateFormat=P","Fill=—","Direction=H","UseDPDF=Y")</f>
        <v>165.21299999999999</v>
      </c>
      <c r="D19" s="13" cm="1">
        <f t="array" ref="D19">_xll.BDH("PH US Equity","BS_PREPAY","FQ2 2019","FQ2 2019","Currency=USD","Period=FQ","BEST_FPERIOD_OVERRIDE=FQ","FILING_STATUS=MR","SCALING_FORMAT=MLN","Sort=A","Dates=H","DateFormat=P","Fill=—","Direction=H","UseDPDF=Y")</f>
        <v>188.86799999999999</v>
      </c>
      <c r="E19" s="13" cm="1">
        <f t="array" ref="E19">_xll.BDH("PH US Equity","BS_PREPAY","FQ3 2019","FQ3 2019","Currency=USD","Period=FQ","BEST_FPERIOD_OVERRIDE=FQ","FILING_STATUS=MR","SCALING_FORMAT=MLN","Sort=A","Dates=H","DateFormat=P","Fill=—","Direction=H","UseDPDF=Y")</f>
        <v>178.36600000000001</v>
      </c>
      <c r="F19" s="13" cm="1">
        <f t="array" ref="F19">_xll.BDH("PH US Equity","BS_PREPAY","FQ4 2019","FQ4 2019","Currency=USD","Period=FQ","BEST_FPERIOD_OVERRIDE=FQ","FILING_STATUS=MR","SCALING_FORMAT=MLN","Sort=A","Dates=H","DateFormat=P","Fill=—","Direction=H","UseDPDF=Y")</f>
        <v>182.494</v>
      </c>
      <c r="G19" s="13" cm="1">
        <f t="array" ref="G19">_xll.BDH("PH US Equity","BS_PREPAY","FQ1 2020","FQ1 2020","Currency=USD","Period=FQ","BEST_FPERIOD_OVERRIDE=FQ","FILING_STATUS=MR","SCALING_FORMAT=MLN","Sort=A","Dates=H","DateFormat=P","Fill=—","Direction=H","UseDPDF=Y")</f>
        <v>166.536</v>
      </c>
      <c r="H19" s="13" cm="1">
        <f t="array" ref="H19">_xll.BDH("PH US Equity","BS_PREPAY","FQ2 2020","FQ2 2020","Currency=USD","Period=FQ","BEST_FPERIOD_OVERRIDE=FQ","FILING_STATUS=MR","SCALING_FORMAT=MLN","Sort=A","Dates=H","DateFormat=P","Fill=—","Direction=H","UseDPDF=Y")</f>
        <v>261.10300000000001</v>
      </c>
      <c r="I19" s="13" cm="1">
        <f t="array" ref="I19">_xll.BDH("PH US Equity","BS_PREPAY","FQ3 2020","FQ3 2020","Currency=USD","Period=FQ","BEST_FPERIOD_OVERRIDE=FQ","FILING_STATUS=MR","SCALING_FORMAT=MLN","Sort=A","Dates=H","DateFormat=P","Fill=—","Direction=H","UseDPDF=Y")</f>
        <v>183.29400000000001</v>
      </c>
      <c r="J19" s="13" cm="1">
        <f t="array" ref="J19">_xll.BDH("PH US Equity","BS_PREPAY","FQ4 2020","FQ4 2020","Currency=USD","Period=FQ","BEST_FPERIOD_OVERRIDE=FQ","FILING_STATUS=MR","SCALING_FORMAT=MLN","Sort=A","Dates=H","DateFormat=P","Fill=—","Direction=H","UseDPDF=Y")</f>
        <v>214.98599999999999</v>
      </c>
      <c r="K19" s="13" cm="1">
        <f t="array" ref="K19">_xll.BDH("PH US Equity","BS_PREPAY","FQ1 2021","FQ1 2021","Currency=USD","Period=FQ","BEST_FPERIOD_OVERRIDE=FQ","FILING_STATUS=MR","SCALING_FORMAT=MLN","Sort=A","Dates=H","DateFormat=P","Fill=—","Direction=H","UseDPDF=Y")</f>
        <v>163.53299999999999</v>
      </c>
      <c r="L19" s="13" cm="1">
        <f t="array" ref="L19">_xll.BDH("PH US Equity","BS_PREPAY","FQ2 2021","FQ2 2021","Currency=USD","Period=FQ","BEST_FPERIOD_OVERRIDE=FQ","FILING_STATUS=MR","SCALING_FORMAT=MLN","Sort=A","Dates=H","DateFormat=P","Fill=—","Direction=H","UseDPDF=Y")</f>
        <v>191.36199999999999</v>
      </c>
      <c r="M19" s="13" cm="1">
        <f t="array" ref="M19">_xll.BDH("PH US Equity","BS_PREPAY","FQ3 2021","FQ3 2021","Currency=USD","Period=FQ","BEST_FPERIOD_OVERRIDE=FQ","FILING_STATUS=MR","SCALING_FORMAT=MLN","Sort=A","Dates=H","DateFormat=P","Fill=—","Direction=H","UseDPDF=Y")</f>
        <v>193.01900000000001</v>
      </c>
      <c r="N19" s="13" cm="1">
        <f t="array" ref="N19">_xll.BDH("PH US Equity","BS_PREPAY","FQ4 2021","FQ4 2021","Currency=USD","Period=FQ","BEST_FPERIOD_OVERRIDE=FQ","FILING_STATUS=MR","SCALING_FORMAT=MLN","Sort=A","Dates=H","DateFormat=P","Fill=—","Direction=H","UseDPDF=Y")</f>
        <v>243.96600000000001</v>
      </c>
      <c r="O19" s="13" cm="1">
        <f t="array" ref="O19">_xll.BDH("PH US Equity","BS_PREPAY","FQ1 2022","FQ1 2022","Currency=USD","Period=FQ","BEST_FPERIOD_OVERRIDE=FQ","FILING_STATUS=MR","SCALING_FORMAT=MLN","Sort=A","Dates=H","DateFormat=P","Fill=—","Direction=H","UseDPDF=Y")</f>
        <v>422.58800000000002</v>
      </c>
      <c r="P19" s="13" cm="1">
        <f t="array" ref="P19">_xll.BDH("PH US Equity","BS_PREPAY","FQ2 2022","FQ2 2022","Currency=USD","Period=FQ","BEST_FPERIOD_OVERRIDE=FQ","FILING_STATUS=MR","SCALING_FORMAT=MLN","Sort=A","Dates=H","DateFormat=P","Fill=—","Direction=H","UseDPDF=Y")</f>
        <v>2753.5010000000002</v>
      </c>
      <c r="Q19" s="13" cm="1">
        <f t="array" ref="Q19">_xll.BDH("PH US Equity","BS_PREPAY","FQ3 2022","FQ3 2022","Currency=USD","Period=FQ","BEST_FPERIOD_OVERRIDE=FQ","FILING_STATUS=MR","SCALING_FORMAT=MLN","Sort=A","Dates=H","DateFormat=P","Fill=—","Direction=H","UseDPDF=Y")</f>
        <v>2708.75</v>
      </c>
      <c r="R19" s="13" cm="1">
        <f t="array" ref="R19">_xll.BDH("PH US Equity","BS_PREPAY","FQ4 2022","FQ4 2022","Currency=USD","Period=FQ","BEST_FPERIOD_OVERRIDE=FQ","FILING_STATUS=MR","SCALING_FORMAT=MLN","Sort=A","Dates=H","DateFormat=P","Fill=—","Direction=H","UseDPDF=Y")</f>
        <v>6383.1689999999999</v>
      </c>
      <c r="S19" s="13" cm="1">
        <f t="array" ref="S19">_xll.BDH("PH US Equity","BS_PREPAY","FQ1 2023","FQ1 2023","Currency=USD","Period=FQ","BEST_FPERIOD_OVERRIDE=FQ","FILING_STATUS=MR","SCALING_FORMAT=MLN","Sort=A","Dates=H","DateFormat=P","Fill=—","Direction=H","UseDPDF=Y")</f>
        <v>492.49099999999999</v>
      </c>
      <c r="T19" s="13" cm="1">
        <f t="array" ref="T19">_xll.BDH("PH US Equity","BS_PREPAY","FQ2 2023","FQ2 2023","Currency=USD","Period=FQ","BEST_FPERIOD_OVERRIDE=FQ","FILING_STATUS=MR","SCALING_FORMAT=MLN","Sort=A","Dates=H","DateFormat=P","Fill=—","Direction=H","UseDPDF=Y")</f>
        <v>462.09300000000002</v>
      </c>
      <c r="U19" s="13" cm="1">
        <f t="array" ref="U19">_xll.BDH("PH US Equity","BS_PREPAY","FQ3 2023","FQ3 2023","Currency=USD","Period=FQ","BEST_FPERIOD_OVERRIDE=FQ","FILING_STATUS=MR","SCALING_FORMAT=MLN","Sort=A","Dates=H","DateFormat=P","Fill=—","Direction=H","UseDPDF=Y")</f>
        <v>376.06599999999997</v>
      </c>
      <c r="V19" s="13" cm="1">
        <f t="array" ref="V19">_xll.BDH("PH US Equity","BS_PREPAY","FQ4 2023","FQ4 2023","Currency=USD","Period=FQ","BEST_FPERIOD_OVERRIDE=FQ","FILING_STATUS=MR","SCALING_FORMAT=MLN","Sort=A","Dates=H","DateFormat=P","Fill=—","Direction=H","UseDPDF=Y")</f>
        <v>306.31400000000002</v>
      </c>
      <c r="W19" s="13" cm="1">
        <f t="array" ref="W19">_xll.BDH("PH US Equity","BS_PREPAY","FQ1 2024","FQ1 2024","Currency=USD","Period=FQ","BEST_FPERIOD_OVERRIDE=FQ","FILING_STATUS=MR","SCALING_FORMAT=MLN","Sort=A","Dates=H","DateFormat=P","Fill=—","Direction=H","UseDPDF=Y")</f>
        <v>307.47399999999999</v>
      </c>
      <c r="X19" s="13" cm="1">
        <f t="array" ref="X19">_xll.BDH("PH US Equity","BS_PREPAY","FQ2 2024","FQ2 2024","Currency=USD","Period=FQ","BEST_FPERIOD_OVERRIDE=FQ","FILING_STATUS=MR","SCALING_FORMAT=MLN","Sort=A","Dates=H","DateFormat=P","Fill=—","Direction=H","UseDPDF=Y")</f>
        <v>309.98500000000001</v>
      </c>
      <c r="Y19" s="13" cm="1">
        <f t="array" ref="Y19">_xll.BDH("PH US Equity","BS_PREPAY","FQ3 2024","FQ3 2024","Currency=USD","Period=FQ","BEST_FPERIOD_OVERRIDE=FQ","FILING_STATUS=MR","SCALING_FORMAT=MLN","Sort=A","Dates=H","DateFormat=P","Fill=—","Direction=H","UseDPDF=Y")</f>
        <v>337.05500000000001</v>
      </c>
      <c r="Z19" s="13" cm="1">
        <f t="array" ref="Z19">_xll.BDH("PH US Equity","BS_PREPAY","FQ4 2024","FQ4 2024","Currency=USD","Period=FQ","BEST_FPERIOD_OVERRIDE=FQ","FILING_STATUS=MR","SCALING_FORMAT=MLN","Sort=A","Dates=H","DateFormat=P","Fill=—","Direction=H","UseDPDF=Y")</f>
        <v>392.822</v>
      </c>
      <c r="AA19" s="13" cm="1">
        <f t="array" ref="AA19">_xll.BDH("PH US Equity","BS_PREPAY","FQ1 2025","FQ1 2025","Currency=USD","Period=FQ","BEST_FPERIOD_OVERRIDE=FQ","FILING_STATUS=MR","SCALING_FORMAT=MLN","Sort=A","Dates=H","DateFormat=P","Fill=—","Direction=H","UseDPDF=Y")</f>
        <v>249.148</v>
      </c>
      <c r="AB19" s="13" cm="1">
        <f t="array" ref="AB19">_xll.BDH("PH US Equity","BS_PREPAY","FQ2 2025","FQ2 2025","Currency=USD","Period=FQ","BEST_FPERIOD_OVERRIDE=FQ","FILING_STATUS=MR","SCALING_FORMAT=MLN","Sort=A","Dates=H","DateFormat=P","Fill=—","Direction=H","UseDPDF=Y")</f>
        <v>246.46700000000001</v>
      </c>
      <c r="AC19" s="13" cm="1">
        <f t="array" ref="AC19">_xll.BDH("PH US Equity","BS_PREPAY","FQ3 2025","FQ3 2025","Currency=USD","Period=FQ","BEST_FPERIOD_OVERRIDE=FQ","FILING_STATUS=MR","SCALING_FORMAT=MLN","Sort=A","Dates=H","DateFormat=P","Fill=—","Direction=H","UseDPDF=Y")</f>
        <v>253.43600000000001</v>
      </c>
      <c r="AD19" s="13" cm="1">
        <f t="array" ref="AD19">_xll.BDH("PH US Equity","BS_PREPAY","FQ4 2025","FQ4 2025","Currency=USD","Period=FQ","BEST_FPERIOD_OVERRIDE=FQ","FILING_STATUS=MR","SCALING_FORMAT=MLN","Sort=A","Dates=H","DateFormat=P","Fill=—","Direction=H","UseDPDF=Y")</f>
        <v>263</v>
      </c>
      <c r="AE19" s="13" cm="1">
        <f t="array" ref="AE19">_xll.BDH("PH US Equity","BS_PREPAY","FQ1 2026","FQ1 2026","Currency=USD","Period=FQ","BEST_FPERIOD_OVERRIDE=FQ","FILING_STATUS=MR","SCALING_FORMAT=MLN","Sort=A","Dates=H","DateFormat=P","Fill=—","Direction=H","UseDPDF=Y")</f>
        <v>296</v>
      </c>
      <c r="AF19" s="13" cm="1">
        <f t="array" ref="AF19">_xll.BDH("PH US Equity","BS_PREPAY","FQ2 2026","FQ2 2026","Currency=USD","Period=FQ","BEST_FPERIOD_OVERRIDE=FQ","FILING_STATUS=MR","SCALING_FORMAT=MLN","Sort=A","Dates=H","DateFormat=P","Fill=—","Direction=H","UseDPDF=Y")</f>
        <v>367</v>
      </c>
    </row>
    <row r="20" spans="1:32" x14ac:dyDescent="0.25">
      <c r="A20" s="10" t="s">
        <v>92</v>
      </c>
      <c r="B20" s="10" t="s">
        <v>93</v>
      </c>
      <c r="C20" s="13" cm="1">
        <f t="array" ref="C20">_xll.BDH("PH US Equity","BS_DERIV_HEDGING_ASST_ST","FQ1 2019","FQ1 2019","Currency=USD","Period=FQ","BEST_FPERIOD_OVERRIDE=FQ","FILING_STATUS=MR","SCALING_FORMAT=MLN","Sort=A","Dates=H","DateFormat=P","Fill=—","Direction=H","UseDPDF=Y")</f>
        <v>1.125</v>
      </c>
      <c r="D20" s="13" cm="1">
        <f t="array" ref="D20">_xll.BDH("PH US Equity","BS_DERIV_HEDGING_ASST_ST","FQ2 2019","FQ2 2019","Currency=USD","Period=FQ","BEST_FPERIOD_OVERRIDE=FQ","FILING_STATUS=MR","SCALING_FORMAT=MLN","Sort=A","Dates=H","DateFormat=P","Fill=—","Direction=H","UseDPDF=Y")</f>
        <v>0.27800000000000002</v>
      </c>
      <c r="E20" s="13" cm="1">
        <f t="array" ref="E20">_xll.BDH("PH US Equity","BS_DERIV_HEDGING_ASST_ST","FQ3 2019","FQ3 2019","Currency=USD","Period=FQ","BEST_FPERIOD_OVERRIDE=FQ","FILING_STATUS=MR","SCALING_FORMAT=MLN","Sort=A","Dates=H","DateFormat=P","Fill=—","Direction=H","UseDPDF=Y")</f>
        <v>13.087999999999999</v>
      </c>
      <c r="F20" s="13" cm="1">
        <f t="array" ref="F20">_xll.BDH("PH US Equity","BS_DERIV_HEDGING_ASST_ST","FQ4 2019","FQ4 2019","Currency=USD","Period=FQ","BEST_FPERIOD_OVERRIDE=FQ","FILING_STATUS=MR","SCALING_FORMAT=MLN","Sort=A","Dates=H","DateFormat=P","Fill=—","Direction=H","UseDPDF=Y")</f>
        <v>0.45700000000000002</v>
      </c>
      <c r="G20" s="13" cm="1">
        <f t="array" ref="G20">_xll.BDH("PH US Equity","BS_DERIV_HEDGING_ASST_ST","FQ1 2020","FQ1 2020","Currency=USD","Period=FQ","BEST_FPERIOD_OVERRIDE=FQ","FILING_STATUS=MR","SCALING_FORMAT=MLN","Sort=A","Dates=H","DateFormat=P","Fill=—","Direction=H","UseDPDF=Y")</f>
        <v>15.833</v>
      </c>
      <c r="H20" s="13" cm="1">
        <f t="array" ref="H20">_xll.BDH("PH US Equity","BS_DERIV_HEDGING_ASST_ST","FQ2 2020","FQ2 2020","Currency=USD","Period=FQ","BEST_FPERIOD_OVERRIDE=FQ","FILING_STATUS=MR","SCALING_FORMAT=MLN","Sort=A","Dates=H","DateFormat=P","Fill=—","Direction=H","UseDPDF=Y")</f>
        <v>1.5589999999999999</v>
      </c>
      <c r="I20" s="13" cm="1">
        <f t="array" ref="I20">_xll.BDH("PH US Equity","BS_DERIV_HEDGING_ASST_ST","FQ3 2020","FQ3 2020","Currency=USD","Period=FQ","BEST_FPERIOD_OVERRIDE=FQ","FILING_STATUS=MR","SCALING_FORMAT=MLN","Sort=A","Dates=H","DateFormat=P","Fill=—","Direction=H","UseDPDF=Y")</f>
        <v>59.216000000000001</v>
      </c>
      <c r="J20" s="13" cm="1">
        <f t="array" ref="J20">_xll.BDH("PH US Equity","BS_DERIV_HEDGING_ASST_ST","FQ4 2020","FQ4 2020","Currency=USD","Period=FQ","BEST_FPERIOD_OVERRIDE=FQ","FILING_STATUS=MR","SCALING_FORMAT=MLN","Sort=A","Dates=H","DateFormat=P","Fill=—","Direction=H","UseDPDF=Y")</f>
        <v>2.25</v>
      </c>
      <c r="K20" s="13" cm="1">
        <f t="array" ref="K20">_xll.BDH("PH US Equity","BS_DERIV_HEDGING_ASST_ST","FQ1 2021","FQ1 2021","Currency=USD","Period=FQ","BEST_FPERIOD_OVERRIDE=FQ","FILING_STATUS=MR","SCALING_FORMAT=MLN","Sort=A","Dates=H","DateFormat=P","Fill=—","Direction=H","UseDPDF=Y")</f>
        <v>14.98</v>
      </c>
      <c r="L20" s="13" cm="1">
        <f t="array" ref="L20">_xll.BDH("PH US Equity","BS_DERIV_HEDGING_ASST_ST","FQ2 2021","FQ2 2021","Currency=USD","Period=FQ","BEST_FPERIOD_OVERRIDE=FQ","FILING_STATUS=MR","SCALING_FORMAT=MLN","Sort=A","Dates=H","DateFormat=P","Fill=—","Direction=H","UseDPDF=Y")</f>
        <v>18.754999999999999</v>
      </c>
      <c r="M20" s="13" cm="1">
        <f t="array" ref="M20">_xll.BDH("PH US Equity","BS_DERIV_HEDGING_ASST_ST","FQ3 2021","FQ3 2021","Currency=USD","Period=FQ","BEST_FPERIOD_OVERRIDE=FQ","FILING_STATUS=MR","SCALING_FORMAT=MLN","Sort=A","Dates=H","DateFormat=P","Fill=—","Direction=H","UseDPDF=Y")</f>
        <v>8.532</v>
      </c>
      <c r="N20" s="13" cm="1">
        <f t="array" ref="N20">_xll.BDH("PH US Equity","BS_DERIV_HEDGING_ASST_ST","FQ4 2021","FQ4 2021","Currency=USD","Period=FQ","BEST_FPERIOD_OVERRIDE=FQ","FILING_STATUS=MR","SCALING_FORMAT=MLN","Sort=A","Dates=H","DateFormat=P","Fill=—","Direction=H","UseDPDF=Y")</f>
        <v>0.11</v>
      </c>
      <c r="O20" s="13" cm="1">
        <f t="array" ref="O20">_xll.BDH("PH US Equity","BS_DERIV_HEDGING_ASST_ST","FQ1 2022","FQ1 2022","Currency=USD","Period=FQ","BEST_FPERIOD_OVERRIDE=FQ","FILING_STATUS=MR","SCALING_FORMAT=MLN","Sort=A","Dates=H","DateFormat=P","Fill=—","Direction=H","UseDPDF=Y")</f>
        <v>10.27</v>
      </c>
      <c r="P20" s="13" cm="1">
        <f t="array" ref="P20">_xll.BDH("PH US Equity","BS_DERIV_HEDGING_ASST_ST","FQ2 2022","FQ2 2022","Currency=USD","Period=FQ","BEST_FPERIOD_OVERRIDE=FQ","FILING_STATUS=MR","SCALING_FORMAT=MLN","Sort=A","Dates=H","DateFormat=P","Fill=—","Direction=H","UseDPDF=Y")</f>
        <v>17.228999999999999</v>
      </c>
      <c r="Q20" s="13" cm="1">
        <f t="array" ref="Q20">_xll.BDH("PH US Equity","BS_DERIV_HEDGING_ASST_ST","FQ3 2022","FQ3 2022","Currency=USD","Period=FQ","BEST_FPERIOD_OVERRIDE=FQ","FILING_STATUS=MR","SCALING_FORMAT=MLN","Sort=A","Dates=H","DateFormat=P","Fill=—","Direction=H","UseDPDF=Y")</f>
        <v>0.27900000000000003</v>
      </c>
      <c r="R20" s="13" cm="1">
        <f t="array" ref="R20">_xll.BDH("PH US Equity","BS_DERIV_HEDGING_ASST_ST","FQ4 2022","FQ4 2022","Currency=USD","Period=FQ","BEST_FPERIOD_OVERRIDE=FQ","FILING_STATUS=MR","SCALING_FORMAT=MLN","Sort=A","Dates=H","DateFormat=P","Fill=—","Direction=H","UseDPDF=Y")</f>
        <v>0.35099999999999998</v>
      </c>
      <c r="S20" s="13" cm="1">
        <f t="array" ref="S20">_xll.BDH("PH US Equity","BS_DERIV_HEDGING_ASST_ST","FQ1 2023","FQ1 2023","Currency=USD","Period=FQ","BEST_FPERIOD_OVERRIDE=FQ","FILING_STATUS=MR","SCALING_FORMAT=MLN","Sort=A","Dates=H","DateFormat=P","Fill=—","Direction=H","UseDPDF=Y")</f>
        <v>8.6479999999999997</v>
      </c>
      <c r="T20" s="13" cm="1">
        <f t="array" ref="T20">_xll.BDH("PH US Equity","BS_DERIV_HEDGING_ASST_ST","FQ2 2023","FQ2 2023","Currency=USD","Period=FQ","BEST_FPERIOD_OVERRIDE=FQ","FILING_STATUS=MR","SCALING_FORMAT=MLN","Sort=A","Dates=H","DateFormat=P","Fill=—","Direction=H","UseDPDF=Y")</f>
        <v>21.888999999999999</v>
      </c>
      <c r="U20" s="13" cm="1">
        <f t="array" ref="U20">_xll.BDH("PH US Equity","BS_DERIV_HEDGING_ASST_ST","FQ3 2023","FQ3 2023","Currency=USD","Period=FQ","BEST_FPERIOD_OVERRIDE=FQ","FILING_STATUS=MR","SCALING_FORMAT=MLN","Sort=A","Dates=H","DateFormat=P","Fill=—","Direction=H","UseDPDF=Y")</f>
        <v>6.8609999999999998</v>
      </c>
      <c r="V20" s="13" cm="1">
        <f t="array" ref="V20">_xll.BDH("PH US Equity","BS_DERIV_HEDGING_ASST_ST","FQ4 2023","FQ4 2023","Currency=USD","Period=FQ","BEST_FPERIOD_OVERRIDE=FQ","FILING_STATUS=MR","SCALING_FORMAT=MLN","Sort=A","Dates=H","DateFormat=P","Fill=—","Direction=H","UseDPDF=Y")</f>
        <v>0</v>
      </c>
      <c r="W20" s="13" t="str" cm="1">
        <f t="array" ref="W20">_xll.BDH("PH US Equity","BS_DERIV_HEDGING_ASST_ST","FQ1 2024","FQ1 2024","Currency=USD","Period=FQ","BEST_FPERIOD_OVERRIDE=FQ","FILING_STATUS=MR","SCALING_FORMAT=MLN","Sort=A","Dates=H","DateFormat=P","Fill=—","Direction=H","UseDPDF=Y")</f>
        <v>—</v>
      </c>
      <c r="X20" s="13" t="str" cm="1">
        <f t="array" ref="X20">_xll.BDH("PH US Equity","BS_DERIV_HEDGING_ASST_ST","FQ2 2024","FQ2 2024","Currency=USD","Period=FQ","BEST_FPERIOD_OVERRIDE=FQ","FILING_STATUS=MR","SCALING_FORMAT=MLN","Sort=A","Dates=H","DateFormat=P","Fill=—","Direction=H","UseDPDF=Y")</f>
        <v>—</v>
      </c>
      <c r="Y20" s="13" cm="1">
        <f t="array" ref="Y20">_xll.BDH("PH US Equity","BS_DERIV_HEDGING_ASST_ST","FQ3 2024","FQ3 2024","Currency=USD","Period=FQ","BEST_FPERIOD_OVERRIDE=FQ","FILING_STATUS=MR","SCALING_FORMAT=MLN","Sort=A","Dates=H","DateFormat=P","Fill=—","Direction=H","UseDPDF=Y")</f>
        <v>0</v>
      </c>
      <c r="Z20" s="13" cm="1">
        <f t="array" ref="Z20">_xll.BDH("PH US Equity","BS_DERIV_HEDGING_ASST_ST","FQ4 2024","FQ4 2024","Currency=USD","Period=FQ","BEST_FPERIOD_OVERRIDE=FQ","FILING_STATUS=MR","SCALING_FORMAT=MLN","Sort=A","Dates=H","DateFormat=P","Fill=—","Direction=H","UseDPDF=Y")</f>
        <v>7.625</v>
      </c>
      <c r="AA20" s="13" cm="1">
        <f t="array" ref="AA20">_xll.BDH("PH US Equity","BS_DERIV_HEDGING_ASST_ST","FQ1 2025","FQ1 2025","Currency=USD","Period=FQ","BEST_FPERIOD_OVERRIDE=FQ","FILING_STATUS=MR","SCALING_FORMAT=MLN","Sort=A","Dates=H","DateFormat=P","Fill=—","Direction=H","UseDPDF=Y")</f>
        <v>6.6000000000000003E-2</v>
      </c>
      <c r="AB20" s="13" cm="1">
        <f t="array" ref="AB20">_xll.BDH("PH US Equity","BS_DERIV_HEDGING_ASST_ST","FQ2 2025","FQ2 2025","Currency=USD","Period=FQ","BEST_FPERIOD_OVERRIDE=FQ","FILING_STATUS=MR","SCALING_FORMAT=MLN","Sort=A","Dates=H","DateFormat=P","Fill=—","Direction=H","UseDPDF=Y")</f>
        <v>19.997</v>
      </c>
      <c r="AC20" s="13" cm="1">
        <f t="array" ref="AC20">_xll.BDH("PH US Equity","BS_DERIV_HEDGING_ASST_ST","FQ3 2025","FQ3 2025","Currency=USD","Period=FQ","BEST_FPERIOD_OVERRIDE=FQ","FILING_STATUS=MR","SCALING_FORMAT=MLN","Sort=A","Dates=H","DateFormat=P","Fill=—","Direction=H","UseDPDF=Y")</f>
        <v>6.7190000000000003</v>
      </c>
      <c r="AD20" s="13" cm="1">
        <f t="array" ref="AD20">_xll.BDH("PH US Equity","BS_DERIV_HEDGING_ASST_ST","FQ4 2025","FQ4 2025","Currency=USD","Period=FQ","BEST_FPERIOD_OVERRIDE=FQ","FILING_STATUS=MR","SCALING_FORMAT=MLN","Sort=A","Dates=H","DateFormat=P","Fill=—","Direction=H","UseDPDF=Y")</f>
        <v>3</v>
      </c>
      <c r="AE20" s="13" cm="1">
        <f t="array" ref="AE20">_xll.BDH("PH US Equity","BS_DERIV_HEDGING_ASST_ST","FQ1 2026","FQ1 2026","Currency=USD","Period=FQ","BEST_FPERIOD_OVERRIDE=FQ","FILING_STATUS=MR","SCALING_FORMAT=MLN","Sort=A","Dates=H","DateFormat=P","Fill=—","Direction=H","UseDPDF=Y")</f>
        <v>4</v>
      </c>
      <c r="AF20" s="13" cm="1">
        <f t="array" ref="AF20">_xll.BDH("PH US Equity","BS_DERIV_HEDGING_ASST_ST","FQ2 2026","FQ2 2026","Currency=USD","Period=FQ","BEST_FPERIOD_OVERRIDE=FQ","FILING_STATUS=MR","SCALING_FORMAT=MLN","Sort=A","Dates=H","DateFormat=P","Fill=—","Direction=H","UseDPDF=Y")</f>
        <v>3</v>
      </c>
    </row>
    <row r="21" spans="1:32" x14ac:dyDescent="0.25">
      <c r="A21" s="10" t="s">
        <v>94</v>
      </c>
      <c r="B21" s="10" t="s">
        <v>95</v>
      </c>
      <c r="C21" s="13" cm="1">
        <f t="array" ref="C21">_xll.BDH("PH US Equity","BS_OTHER_CUR_ASSET_LESS_PREPAY","FQ1 2019","FQ1 2019","Currency=USD","Period=FQ","BEST_FPERIOD_OVERRIDE=FQ","FILING_STATUS=MR","SCALING_FORMAT=MLN","Sort=A","Dates=H","DateFormat=P","Fill=—","Direction=H","UseDPDF=Y")</f>
        <v>0</v>
      </c>
      <c r="D21" s="13" cm="1">
        <f t="array" ref="D21">_xll.BDH("PH US Equity","BS_OTHER_CUR_ASSET_LESS_PREPAY","FQ2 2019","FQ2 2019","Currency=USD","Period=FQ","BEST_FPERIOD_OVERRIDE=FQ","FILING_STATUS=MR","SCALING_FORMAT=MLN","Sort=A","Dates=H","DateFormat=P","Fill=—","Direction=H","UseDPDF=Y")</f>
        <v>0</v>
      </c>
      <c r="E21" s="13" cm="1">
        <f t="array" ref="E21">_xll.BDH("PH US Equity","BS_OTHER_CUR_ASSET_LESS_PREPAY","FQ3 2019","FQ3 2019","Currency=USD","Period=FQ","BEST_FPERIOD_OVERRIDE=FQ","FILING_STATUS=MR","SCALING_FORMAT=MLN","Sort=A","Dates=H","DateFormat=P","Fill=—","Direction=H","UseDPDF=Y")</f>
        <v>0</v>
      </c>
      <c r="F21" s="13" cm="1">
        <f t="array" ref="F21">_xll.BDH("PH US Equity","BS_OTHER_CUR_ASSET_LESS_PREPAY","FQ4 2019","FQ4 2019","Currency=USD","Period=FQ","BEST_FPERIOD_OVERRIDE=FQ","FILING_STATUS=MR","SCALING_FORMAT=MLN","Sort=A","Dates=H","DateFormat=P","Fill=—","Direction=H","UseDPDF=Y")</f>
        <v>0</v>
      </c>
      <c r="G21" s="13" cm="1">
        <f t="array" ref="G21">_xll.BDH("PH US Equity","BS_OTHER_CUR_ASSET_LESS_PREPAY","FQ1 2020","FQ1 2020","Currency=USD","Period=FQ","BEST_FPERIOD_OVERRIDE=FQ","FILING_STATUS=MR","SCALING_FORMAT=MLN","Sort=A","Dates=H","DateFormat=P","Fill=—","Direction=H","UseDPDF=Y")</f>
        <v>0</v>
      </c>
      <c r="H21" s="13" cm="1">
        <f t="array" ref="H21">_xll.BDH("PH US Equity","BS_OTHER_CUR_ASSET_LESS_PREPAY","FQ2 2020","FQ2 2020","Currency=USD","Period=FQ","BEST_FPERIOD_OVERRIDE=FQ","FILING_STATUS=MR","SCALING_FORMAT=MLN","Sort=A","Dates=H","DateFormat=P","Fill=—","Direction=H","UseDPDF=Y")</f>
        <v>0</v>
      </c>
      <c r="I21" s="13" cm="1">
        <f t="array" ref="I21">_xll.BDH("PH US Equity","BS_OTHER_CUR_ASSET_LESS_PREPAY","FQ3 2020","FQ3 2020","Currency=USD","Period=FQ","BEST_FPERIOD_OVERRIDE=FQ","FILING_STATUS=MR","SCALING_FORMAT=MLN","Sort=A","Dates=H","DateFormat=P","Fill=—","Direction=H","UseDPDF=Y")</f>
        <v>0</v>
      </c>
      <c r="J21" s="13" cm="1">
        <f t="array" ref="J21">_xll.BDH("PH US Equity","BS_OTHER_CUR_ASSET_LESS_PREPAY","FQ4 2020","FQ4 2020","Currency=USD","Period=FQ","BEST_FPERIOD_OVERRIDE=FQ","FILING_STATUS=MR","SCALING_FORMAT=MLN","Sort=A","Dates=H","DateFormat=P","Fill=—","Direction=H","UseDPDF=Y")</f>
        <v>0</v>
      </c>
      <c r="K21" s="13" cm="1">
        <f t="array" ref="K21">_xll.BDH("PH US Equity","BS_OTHER_CUR_ASSET_LESS_PREPAY","FQ1 2021","FQ1 2021","Currency=USD","Period=FQ","BEST_FPERIOD_OVERRIDE=FQ","FILING_STATUS=MR","SCALING_FORMAT=MLN","Sort=A","Dates=H","DateFormat=P","Fill=—","Direction=H","UseDPDF=Y")</f>
        <v>0</v>
      </c>
      <c r="L21" s="13" cm="1">
        <f t="array" ref="L21">_xll.BDH("PH US Equity","BS_OTHER_CUR_ASSET_LESS_PREPAY","FQ2 2021","FQ2 2021","Currency=USD","Period=FQ","BEST_FPERIOD_OVERRIDE=FQ","FILING_STATUS=MR","SCALING_FORMAT=MLN","Sort=A","Dates=H","DateFormat=P","Fill=—","Direction=H","UseDPDF=Y")</f>
        <v>0</v>
      </c>
      <c r="M21" s="13" cm="1">
        <f t="array" ref="M21">_xll.BDH("PH US Equity","BS_OTHER_CUR_ASSET_LESS_PREPAY","FQ3 2021","FQ3 2021","Currency=USD","Period=FQ","BEST_FPERIOD_OVERRIDE=FQ","FILING_STATUS=MR","SCALING_FORMAT=MLN","Sort=A","Dates=H","DateFormat=P","Fill=—","Direction=H","UseDPDF=Y")</f>
        <v>0</v>
      </c>
      <c r="N21" s="13" cm="1">
        <f t="array" ref="N21">_xll.BDH("PH US Equity","BS_OTHER_CUR_ASSET_LESS_PREPAY","FQ4 2021","FQ4 2021","Currency=USD","Period=FQ","BEST_FPERIOD_OVERRIDE=FQ","FILING_STATUS=MR","SCALING_FORMAT=MLN","Sort=A","Dates=H","DateFormat=P","Fill=—","Direction=H","UseDPDF=Y")</f>
        <v>0</v>
      </c>
      <c r="O21" s="13" cm="1">
        <f t="array" ref="O21">_xll.BDH("PH US Equity","BS_OTHER_CUR_ASSET_LESS_PREPAY","FQ1 2022","FQ1 2022","Currency=USD","Period=FQ","BEST_FPERIOD_OVERRIDE=FQ","FILING_STATUS=MR","SCALING_FORMAT=MLN","Sort=A","Dates=H","DateFormat=P","Fill=—","Direction=H","UseDPDF=Y")</f>
        <v>0</v>
      </c>
      <c r="P21" s="13" cm="1">
        <f t="array" ref="P21">_xll.BDH("PH US Equity","BS_OTHER_CUR_ASSET_LESS_PREPAY","FQ2 2022","FQ2 2022","Currency=USD","Period=FQ","BEST_FPERIOD_OVERRIDE=FQ","FILING_STATUS=MR","SCALING_FORMAT=MLN","Sort=A","Dates=H","DateFormat=P","Fill=—","Direction=H","UseDPDF=Y")</f>
        <v>0</v>
      </c>
      <c r="Q21" s="13" cm="1">
        <f t="array" ref="Q21">_xll.BDH("PH US Equity","BS_OTHER_CUR_ASSET_LESS_PREPAY","FQ3 2022","FQ3 2022","Currency=USD","Period=FQ","BEST_FPERIOD_OVERRIDE=FQ","FILING_STATUS=MR","SCALING_FORMAT=MLN","Sort=A","Dates=H","DateFormat=P","Fill=—","Direction=H","UseDPDF=Y")</f>
        <v>0</v>
      </c>
      <c r="R21" s="13" cm="1">
        <f t="array" ref="R21">_xll.BDH("PH US Equity","BS_OTHER_CUR_ASSET_LESS_PREPAY","FQ4 2022","FQ4 2022","Currency=USD","Period=FQ","BEST_FPERIOD_OVERRIDE=FQ","FILING_STATUS=MR","SCALING_FORMAT=MLN","Sort=A","Dates=H","DateFormat=P","Fill=—","Direction=H","UseDPDF=Y")</f>
        <v>0</v>
      </c>
      <c r="S21" s="13" cm="1">
        <f t="array" ref="S21">_xll.BDH("PH US Equity","BS_OTHER_CUR_ASSET_LESS_PREPAY","FQ1 2023","FQ1 2023","Currency=USD","Period=FQ","BEST_FPERIOD_OVERRIDE=FQ","FILING_STATUS=MR","SCALING_FORMAT=MLN","Sort=A","Dates=H","DateFormat=P","Fill=—","Direction=H","UseDPDF=Y")</f>
        <v>0</v>
      </c>
      <c r="T21" s="13" cm="1">
        <f t="array" ref="T21">_xll.BDH("PH US Equity","BS_OTHER_CUR_ASSET_LESS_PREPAY","FQ2 2023","FQ2 2023","Currency=USD","Period=FQ","BEST_FPERIOD_OVERRIDE=FQ","FILING_STATUS=MR","SCALING_FORMAT=MLN","Sort=A","Dates=H","DateFormat=P","Fill=—","Direction=H","UseDPDF=Y")</f>
        <v>0</v>
      </c>
      <c r="U21" s="13" cm="1">
        <f t="array" ref="U21">_xll.BDH("PH US Equity","BS_OTHER_CUR_ASSET_LESS_PREPAY","FQ3 2023","FQ3 2023","Currency=USD","Period=FQ","BEST_FPERIOD_OVERRIDE=FQ","FILING_STATUS=MR","SCALING_FORMAT=MLN","Sort=A","Dates=H","DateFormat=P","Fill=—","Direction=H","UseDPDF=Y")</f>
        <v>0</v>
      </c>
      <c r="V21" s="13" cm="1">
        <f t="array" ref="V21">_xll.BDH("PH US Equity","BS_OTHER_CUR_ASSET_LESS_PREPAY","FQ4 2023","FQ4 2023","Currency=USD","Period=FQ","BEST_FPERIOD_OVERRIDE=FQ","FILING_STATUS=MR","SCALING_FORMAT=MLN","Sort=A","Dates=H","DateFormat=P","Fill=—","Direction=H","UseDPDF=Y")</f>
        <v>0</v>
      </c>
      <c r="W21" s="13" cm="1">
        <f t="array" ref="W21">_xll.BDH("PH US Equity","BS_OTHER_CUR_ASSET_LESS_PREPAY","FQ1 2024","FQ1 2024","Currency=USD","Period=FQ","BEST_FPERIOD_OVERRIDE=FQ","FILING_STATUS=MR","SCALING_FORMAT=MLN","Sort=A","Dates=H","DateFormat=P","Fill=—","Direction=H","UseDPDF=Y")</f>
        <v>0</v>
      </c>
      <c r="X21" s="13" cm="1">
        <f t="array" ref="X21">_xll.BDH("PH US Equity","BS_OTHER_CUR_ASSET_LESS_PREPAY","FQ2 2024","FQ2 2024","Currency=USD","Period=FQ","BEST_FPERIOD_OVERRIDE=FQ","FILING_STATUS=MR","SCALING_FORMAT=MLN","Sort=A","Dates=H","DateFormat=P","Fill=—","Direction=H","UseDPDF=Y")</f>
        <v>0</v>
      </c>
      <c r="Y21" s="13" cm="1">
        <f t="array" ref="Y21">_xll.BDH("PH US Equity","BS_OTHER_CUR_ASSET_LESS_PREPAY","FQ3 2024","FQ3 2024","Currency=USD","Period=FQ","BEST_FPERIOD_OVERRIDE=FQ","FILING_STATUS=MR","SCALING_FORMAT=MLN","Sort=A","Dates=H","DateFormat=P","Fill=—","Direction=H","UseDPDF=Y")</f>
        <v>0</v>
      </c>
      <c r="Z21" s="13" cm="1">
        <f t="array" ref="Z21">_xll.BDH("PH US Equity","BS_OTHER_CUR_ASSET_LESS_PREPAY","FQ4 2024","FQ4 2024","Currency=USD","Period=FQ","BEST_FPERIOD_OVERRIDE=FQ","FILING_STATUS=MR","SCALING_FORMAT=MLN","Sort=A","Dates=H","DateFormat=P","Fill=—","Direction=H","UseDPDF=Y")</f>
        <v>0</v>
      </c>
      <c r="AA21" s="13" cm="1">
        <f t="array" ref="AA21">_xll.BDH("PH US Equity","BS_OTHER_CUR_ASSET_LESS_PREPAY","FQ1 2025","FQ1 2025","Currency=USD","Period=FQ","BEST_FPERIOD_OVERRIDE=FQ","FILING_STATUS=MR","SCALING_FORMAT=MLN","Sort=A","Dates=H","DateFormat=P","Fill=—","Direction=H","UseDPDF=Y")</f>
        <v>511.19799999999998</v>
      </c>
      <c r="AB21" s="13" cm="1">
        <f t="array" ref="AB21">_xll.BDH("PH US Equity","BS_OTHER_CUR_ASSET_LESS_PREPAY","FQ2 2025","FQ2 2025","Currency=USD","Period=FQ","BEST_FPERIOD_OVERRIDE=FQ","FILING_STATUS=MR","SCALING_FORMAT=MLN","Sort=A","Dates=H","DateFormat=P","Fill=—","Direction=H","UseDPDF=Y")</f>
        <v>148.83099999999999</v>
      </c>
      <c r="AC21" s="13" cm="1">
        <f t="array" ref="AC21">_xll.BDH("PH US Equity","BS_OTHER_CUR_ASSET_LESS_PREPAY","FQ3 2025","FQ3 2025","Currency=USD","Period=FQ","BEST_FPERIOD_OVERRIDE=FQ","FILING_STATUS=MR","SCALING_FORMAT=MLN","Sort=A","Dates=H","DateFormat=P","Fill=—","Direction=H","UseDPDF=Y")</f>
        <v>157.80000000000001</v>
      </c>
      <c r="AD21" s="13" cm="1">
        <f t="array" ref="AD21">_xll.BDH("PH US Equity","BS_OTHER_CUR_ASSET_LESS_PREPAY","FQ4 2025","FQ4 2025","Currency=USD","Period=FQ","BEST_FPERIOD_OVERRIDE=FQ","FILING_STATUS=MR","SCALING_FORMAT=MLN","Sort=A","Dates=H","DateFormat=P","Fill=—","Direction=H","UseDPDF=Y")</f>
        <v>153</v>
      </c>
      <c r="AE21" s="13" cm="1">
        <f t="array" ref="AE21">_xll.BDH("PH US Equity","BS_OTHER_CUR_ASSET_LESS_PREPAY","FQ1 2026","FQ1 2026","Currency=USD","Period=FQ","BEST_FPERIOD_OVERRIDE=FQ","FILING_STATUS=MR","SCALING_FORMAT=MLN","Sort=A","Dates=H","DateFormat=P","Fill=—","Direction=H","UseDPDF=Y")</f>
        <v>169</v>
      </c>
      <c r="AF21" s="13" cm="1">
        <f t="array" ref="AF21">_xll.BDH("PH US Equity","BS_OTHER_CUR_ASSET_LESS_PREPAY","FQ2 2026","FQ2 2026","Currency=USD","Period=FQ","BEST_FPERIOD_OVERRIDE=FQ","FILING_STATUS=MR","SCALING_FORMAT=MLN","Sort=A","Dates=H","DateFormat=P","Fill=—","Direction=H","UseDPDF=Y")</f>
        <v>180</v>
      </c>
    </row>
    <row r="22" spans="1:32" x14ac:dyDescent="0.25">
      <c r="A22" s="6" t="s">
        <v>96</v>
      </c>
      <c r="B22" s="6" t="s">
        <v>97</v>
      </c>
      <c r="C22" s="16" cm="1">
        <f t="array" ref="C22">_xll.BDH("PH US Equity","BS_CUR_ASSET_REPORT","FQ1 2019","FQ1 2019","Currency=USD","Period=FQ","BEST_FPERIOD_OVERRIDE=FQ","FILING_STATUS=MR","SCALING_FORMAT=MLN","Sort=A","Dates=H","DateFormat=P","Fill=—","Direction=H","UseDPDF=Y")</f>
        <v>5298.0820000000003</v>
      </c>
      <c r="D22" s="16" cm="1">
        <f t="array" ref="D22">_xll.BDH("PH US Equity","BS_CUR_ASSET_REPORT","FQ2 2019","FQ2 2019","Currency=USD","Period=FQ","BEST_FPERIOD_OVERRIDE=FQ","FILING_STATUS=MR","SCALING_FORMAT=MLN","Sort=A","Dates=H","DateFormat=P","Fill=—","Direction=H","UseDPDF=Y")</f>
        <v>5334.7359999999999</v>
      </c>
      <c r="E22" s="16" cm="1">
        <f t="array" ref="E22">_xll.BDH("PH US Equity","BS_CUR_ASSET_REPORT","FQ3 2019","FQ3 2019","Currency=USD","Period=FQ","BEST_FPERIOD_OVERRIDE=FQ","FILING_STATUS=MR","SCALING_FORMAT=MLN","Sort=A","Dates=H","DateFormat=P","Fill=—","Direction=H","UseDPDF=Y")</f>
        <v>5537.7910000000002</v>
      </c>
      <c r="F22" s="16" cm="1">
        <f t="array" ref="F22">_xll.BDH("PH US Equity","BS_CUR_ASSET_REPORT","FQ4 2019","FQ4 2019","Currency=USD","Period=FQ","BEST_FPERIOD_OVERRIDE=FQ","FILING_STATUS=MR","SCALING_FORMAT=MLN","Sort=A","Dates=H","DateFormat=P","Fill=—","Direction=H","UseDPDF=Y")</f>
        <v>7673.0860000000002</v>
      </c>
      <c r="G22" s="16" cm="1">
        <f t="array" ref="G22">_xll.BDH("PH US Equity","BS_CUR_ASSET_REPORT","FQ1 2020","FQ1 2020","Currency=USD","Period=FQ","BEST_FPERIOD_OVERRIDE=FQ","FILING_STATUS=MR","SCALING_FORMAT=MLN","Sort=A","Dates=H","DateFormat=P","Fill=—","Direction=H","UseDPDF=Y")</f>
        <v>8138.0789999999997</v>
      </c>
      <c r="H22" s="16" cm="1">
        <f t="array" ref="H22">_xll.BDH("PH US Equity","BS_CUR_ASSET_REPORT","FQ2 2020","FQ2 2020","Currency=USD","Period=FQ","BEST_FPERIOD_OVERRIDE=FQ","FILING_STATUS=MR","SCALING_FORMAT=MLN","Sort=A","Dates=H","DateFormat=P","Fill=—","Direction=H","UseDPDF=Y")</f>
        <v>5661.1509999999998</v>
      </c>
      <c r="I22" s="16" cm="1">
        <f t="array" ref="I22">_xll.BDH("PH US Equity","BS_CUR_ASSET_REPORT","FQ3 2020","FQ3 2020","Currency=USD","Period=FQ","BEST_FPERIOD_OVERRIDE=FQ","FILING_STATUS=MR","SCALING_FORMAT=MLN","Sort=A","Dates=H","DateFormat=P","Fill=—","Direction=H","UseDPDF=Y")</f>
        <v>5481.4260000000004</v>
      </c>
      <c r="J22" s="16" cm="1">
        <f t="array" ref="J22">_xll.BDH("PH US Equity","BS_CUR_ASSET_REPORT","FQ4 2020","FQ4 2020","Currency=USD","Period=FQ","BEST_FPERIOD_OVERRIDE=FQ","FILING_STATUS=MR","SCALING_FORMAT=MLN","Sort=A","Dates=H","DateFormat=P","Fill=—","Direction=H","UseDPDF=Y")</f>
        <v>5034.768</v>
      </c>
      <c r="K22" s="16" cm="1">
        <f t="array" ref="K22">_xll.BDH("PH US Equity","BS_CUR_ASSET_REPORT","FQ1 2021","FQ1 2021","Currency=USD","Period=FQ","BEST_FPERIOD_OVERRIDE=FQ","FILING_STATUS=MR","SCALING_FORMAT=MLN","Sort=A","Dates=H","DateFormat=P","Fill=—","Direction=H","UseDPDF=Y")</f>
        <v>4869.4840000000004</v>
      </c>
      <c r="L22" s="16" cm="1">
        <f t="array" ref="L22">_xll.BDH("PH US Equity","BS_CUR_ASSET_REPORT","FQ2 2021","FQ2 2021","Currency=USD","Period=FQ","BEST_FPERIOD_OVERRIDE=FQ","FILING_STATUS=MR","SCALING_FORMAT=MLN","Sort=A","Dates=H","DateFormat=P","Fill=—","Direction=H","UseDPDF=Y")</f>
        <v>4799.6790000000001</v>
      </c>
      <c r="M22" s="16" cm="1">
        <f t="array" ref="M22">_xll.BDH("PH US Equity","BS_CUR_ASSET_REPORT","FQ3 2021","FQ3 2021","Currency=USD","Period=FQ","BEST_FPERIOD_OVERRIDE=FQ","FILING_STATUS=MR","SCALING_FORMAT=MLN","Sort=A","Dates=H","DateFormat=P","Fill=—","Direction=H","UseDPDF=Y")</f>
        <v>5049.0529999999999</v>
      </c>
      <c r="N22" s="16" cm="1">
        <f t="array" ref="N22">_xll.BDH("PH US Equity","BS_CUR_ASSET_REPORT","FQ4 2021","FQ4 2021","Currency=USD","Period=FQ","BEST_FPERIOD_OVERRIDE=FQ","FILING_STATUS=MR","SCALING_FORMAT=MLN","Sort=A","Dates=H","DateFormat=P","Fill=—","Direction=H","UseDPDF=Y")</f>
        <v>5616.75</v>
      </c>
      <c r="O22" s="16" cm="1">
        <f t="array" ref="O22">_xll.BDH("PH US Equity","BS_CUR_ASSET_REPORT","FQ1 2022","FQ1 2022","Currency=USD","Period=FQ","BEST_FPERIOD_OVERRIDE=FQ","FILING_STATUS=MR","SCALING_FORMAT=MLN","Sort=A","Dates=H","DateFormat=P","Fill=—","Direction=H","UseDPDF=Y")</f>
        <v>5631.2740000000003</v>
      </c>
      <c r="P22" s="16" cm="1">
        <f t="array" ref="P22">_xll.BDH("PH US Equity","BS_CUR_ASSET_REPORT","FQ2 2022","FQ2 2022","Currency=USD","Period=FQ","BEST_FPERIOD_OVERRIDE=FQ","FILING_STATUS=MR","SCALING_FORMAT=MLN","Sort=A","Dates=H","DateFormat=P","Fill=—","Direction=H","UseDPDF=Y")</f>
        <v>7907.6490000000003</v>
      </c>
      <c r="Q22" s="16" cm="1">
        <f t="array" ref="Q22">_xll.BDH("PH US Equity","BS_CUR_ASSET_REPORT","FQ3 2022","FQ3 2022","Currency=USD","Period=FQ","BEST_FPERIOD_OVERRIDE=FQ","FILING_STATUS=MR","SCALING_FORMAT=MLN","Sort=A","Dates=H","DateFormat=P","Fill=—","Direction=H","UseDPDF=Y")</f>
        <v>8229.6939999999995</v>
      </c>
      <c r="R22" s="16" cm="1">
        <f t="array" ref="R22">_xll.BDH("PH US Equity","BS_CUR_ASSET_REPORT","FQ4 2022","FQ4 2022","Currency=USD","Period=FQ","BEST_FPERIOD_OVERRIDE=FQ","FILING_STATUS=MR","SCALING_FORMAT=MLN","Sort=A","Dates=H","DateFormat=P","Fill=—","Direction=H","UseDPDF=Y")</f>
        <v>12046.644</v>
      </c>
      <c r="S22" s="16" cm="1">
        <f t="array" ref="S22">_xll.BDH("PH US Equity","BS_CUR_ASSET_REPORT","FQ1 2023","FQ1 2023","Currency=USD","Period=FQ","BEST_FPERIOD_OVERRIDE=FQ","FILING_STATUS=MR","SCALING_FORMAT=MLN","Sort=A","Dates=H","DateFormat=P","Fill=—","Direction=H","UseDPDF=Y")</f>
        <v>7167.8270000000002</v>
      </c>
      <c r="T22" s="16" cm="1">
        <f t="array" ref="T22">_xll.BDH("PH US Equity","BS_CUR_ASSET_REPORT","FQ2 2023","FQ2 2023","Currency=USD","Period=FQ","BEST_FPERIOD_OVERRIDE=FQ","FILING_STATUS=MR","SCALING_FORMAT=MLN","Sort=A","Dates=H","DateFormat=P","Fill=—","Direction=H","UseDPDF=Y")</f>
        <v>7285</v>
      </c>
      <c r="U22" s="16" cm="1">
        <f t="array" ref="U22">_xll.BDH("PH US Equity","BS_CUR_ASSET_REPORT","FQ3 2023","FQ3 2023","Currency=USD","Period=FQ","BEST_FPERIOD_OVERRIDE=FQ","FILING_STATUS=MR","SCALING_FORMAT=MLN","Sort=A","Dates=H","DateFormat=P","Fill=—","Direction=H","UseDPDF=Y")</f>
        <v>7233.4139999999998</v>
      </c>
      <c r="V22" s="16" cm="1">
        <f t="array" ref="V22">_xll.BDH("PH US Equity","BS_CUR_ASSET_REPORT","FQ4 2023","FQ4 2023","Currency=USD","Period=FQ","BEST_FPERIOD_OVERRIDE=FQ","FILING_STATUS=MR","SCALING_FORMAT=MLN","Sort=A","Dates=H","DateFormat=P","Fill=—","Direction=H","UseDPDF=Y")</f>
        <v>6834.2290000000003</v>
      </c>
      <c r="W22" s="16" cm="1">
        <f t="array" ref="W22">_xll.BDH("PH US Equity","BS_CUR_ASSET_REPORT","FQ1 2024","FQ1 2024","Currency=USD","Period=FQ","BEST_FPERIOD_OVERRIDE=FQ","FILING_STATUS=MR","SCALING_FORMAT=MLN","Sort=A","Dates=H","DateFormat=P","Fill=—","Direction=H","UseDPDF=Y")</f>
        <v>6829.5950000000003</v>
      </c>
      <c r="X22" s="16" cm="1">
        <f t="array" ref="X22">_xll.BDH("PH US Equity","BS_CUR_ASSET_REPORT","FQ2 2024","FQ2 2024","Currency=USD","Period=FQ","BEST_FPERIOD_OVERRIDE=FQ","FILING_STATUS=MR","SCALING_FORMAT=MLN","Sort=A","Dates=H","DateFormat=P","Fill=—","Direction=H","UseDPDF=Y")</f>
        <v>6729.86</v>
      </c>
      <c r="Y22" s="16" cm="1">
        <f t="array" ref="Y22">_xll.BDH("PH US Equity","BS_CUR_ASSET_REPORT","FQ3 2024","FQ3 2024","Currency=USD","Period=FQ","BEST_FPERIOD_OVERRIDE=FQ","FILING_STATUS=MR","SCALING_FORMAT=MLN","Sort=A","Dates=H","DateFormat=P","Fill=—","Direction=H","UseDPDF=Y")</f>
        <v>6942.5550000000003</v>
      </c>
      <c r="Z22" s="16" cm="1">
        <f t="array" ref="Z22">_xll.BDH("PH US Equity","BS_CUR_ASSET_REPORT","FQ4 2024","FQ4 2024","Currency=USD","Period=FQ","BEST_FPERIOD_OVERRIDE=FQ","FILING_STATUS=MR","SCALING_FORMAT=MLN","Sort=A","Dates=H","DateFormat=P","Fill=—","Direction=H","UseDPDF=Y")</f>
        <v>6798.6239999999998</v>
      </c>
      <c r="AA22" s="16" cm="1">
        <f t="array" ref="AA22">_xll.BDH("PH US Equity","BS_CUR_ASSET_REPORT","FQ1 2025","FQ1 2025","Currency=USD","Period=FQ","BEST_FPERIOD_OVERRIDE=FQ","FILING_STATUS=MR","SCALING_FORMAT=MLN","Sort=A","Dates=H","DateFormat=P","Fill=—","Direction=H","UseDPDF=Y")</f>
        <v>7033.701</v>
      </c>
      <c r="AB22" s="16" cm="1">
        <f t="array" ref="AB22">_xll.BDH("PH US Equity","BS_CUR_ASSET_REPORT","FQ2 2025","FQ2 2025","Currency=USD","Period=FQ","BEST_FPERIOD_OVERRIDE=FQ","FILING_STATUS=MR","SCALING_FORMAT=MLN","Sort=A","Dates=H","DateFormat=P","Fill=—","Direction=H","UseDPDF=Y")</f>
        <v>6348.4620000000004</v>
      </c>
      <c r="AC22" s="16" cm="1">
        <f t="array" ref="AC22">_xll.BDH("PH US Equity","BS_CUR_ASSET_REPORT","FQ3 2025","FQ3 2025","Currency=USD","Period=FQ","BEST_FPERIOD_OVERRIDE=FQ","FILING_STATUS=MR","SCALING_FORMAT=MLN","Sort=A","Dates=H","DateFormat=P","Fill=—","Direction=H","UseDPDF=Y")</f>
        <v>6777.14</v>
      </c>
      <c r="AD22" s="16" cm="1">
        <f t="array" ref="AD22">_xll.BDH("PH US Equity","BS_CUR_ASSET_REPORT","FQ4 2025","FQ4 2025","Currency=USD","Period=FQ","BEST_FPERIOD_OVERRIDE=FQ","FILING_STATUS=MR","SCALING_FORMAT=MLN","Sort=A","Dates=H","DateFormat=P","Fill=—","Direction=H","UseDPDF=Y")</f>
        <v>6950</v>
      </c>
      <c r="AE22" s="16" cm="1">
        <f t="array" ref="AE22">_xll.BDH("PH US Equity","BS_CUR_ASSET_REPORT","FQ1 2026","FQ1 2026","Currency=USD","Period=FQ","BEST_FPERIOD_OVERRIDE=FQ","FILING_STATUS=MR","SCALING_FORMAT=MLN","Sort=A","Dates=H","DateFormat=P","Fill=—","Direction=H","UseDPDF=Y")</f>
        <v>7227</v>
      </c>
      <c r="AF22" s="16" cm="1">
        <f t="array" ref="AF22">_xll.BDH("PH US Equity","BS_CUR_ASSET_REPORT","FQ2 2026","FQ2 2026","Currency=USD","Period=FQ","BEST_FPERIOD_OVERRIDE=FQ","FILING_STATUS=MR","SCALING_FORMAT=MLN","Sort=A","Dates=H","DateFormat=P","Fill=—","Direction=H","UseDPDF=Y")</f>
        <v>7193</v>
      </c>
    </row>
    <row r="23" spans="1:32" x14ac:dyDescent="0.25">
      <c r="A23" s="10" t="s">
        <v>98</v>
      </c>
      <c r="B23" s="10" t="s">
        <v>99</v>
      </c>
      <c r="C23" s="13" cm="1">
        <f t="array" ref="C23">_xll.BDH("PH US Equity","BS_NET_FIX_ASSET","FQ1 2019","FQ1 2019","Currency=USD","Period=FQ","BEST_FPERIOD_OVERRIDE=FQ","FILING_STATUS=MR","SCALING_FORMAT=MLN","Sort=A","Dates=H","DateFormat=P","Fill=—","Direction=H","UseDPDF=Y")</f>
        <v>1828.0340000000001</v>
      </c>
      <c r="D23" s="13" cm="1">
        <f t="array" ref="D23">_xll.BDH("PH US Equity","BS_NET_FIX_ASSET","FQ2 2019","FQ2 2019","Currency=USD","Period=FQ","BEST_FPERIOD_OVERRIDE=FQ","FILING_STATUS=MR","SCALING_FORMAT=MLN","Sort=A","Dates=H","DateFormat=P","Fill=—","Direction=H","UseDPDF=Y")</f>
        <v>1793.8050000000001</v>
      </c>
      <c r="E23" s="13" cm="1">
        <f t="array" ref="E23">_xll.BDH("PH US Equity","BS_NET_FIX_ASSET","FQ3 2019","FQ3 2019","Currency=USD","Period=FQ","BEST_FPERIOD_OVERRIDE=FQ","FILING_STATUS=MR","SCALING_FORMAT=MLN","Sort=A","Dates=H","DateFormat=P","Fill=—","Direction=H","UseDPDF=Y")</f>
        <v>1779.8920000000001</v>
      </c>
      <c r="F23" s="13" cm="1">
        <f t="array" ref="F23">_xll.BDH("PH US Equity","BS_NET_FIX_ASSET","FQ4 2019","FQ4 2019","Currency=USD","Period=FQ","BEST_FPERIOD_OVERRIDE=FQ","FILING_STATUS=MR","SCALING_FORMAT=MLN","Sort=A","Dates=H","DateFormat=P","Fill=—","Direction=H","UseDPDF=Y")</f>
        <v>1768.287</v>
      </c>
      <c r="G23" s="13" cm="1">
        <f t="array" ref="G23">_xll.BDH("PH US Equity","BS_NET_FIX_ASSET","FQ1 2020","FQ1 2020","Currency=USD","Period=FQ","BEST_FPERIOD_OVERRIDE=FQ","FILING_STATUS=MR","SCALING_FORMAT=MLN","Sort=A","Dates=H","DateFormat=P","Fill=—","Direction=H","UseDPDF=Y")</f>
        <v>2016.9259999999999</v>
      </c>
      <c r="H23" s="13" cm="1">
        <f t="array" ref="H23">_xll.BDH("PH US Equity","BS_NET_FIX_ASSET","FQ2 2020","FQ2 2020","Currency=USD","Period=FQ","BEST_FPERIOD_OVERRIDE=FQ","FILING_STATUS=MR","SCALING_FORMAT=MLN","Sort=A","Dates=H","DateFormat=P","Fill=—","Direction=H","UseDPDF=Y")</f>
        <v>2491.8090000000002</v>
      </c>
      <c r="I23" s="13" cm="1">
        <f t="array" ref="I23">_xll.BDH("PH US Equity","BS_NET_FIX_ASSET","FQ3 2020","FQ3 2020","Currency=USD","Period=FQ","BEST_FPERIOD_OVERRIDE=FQ","FILING_STATUS=MR","SCALING_FORMAT=MLN","Sort=A","Dates=H","DateFormat=P","Fill=—","Direction=H","UseDPDF=Y")</f>
        <v>2434.6550000000002</v>
      </c>
      <c r="J23" s="13" cm="1">
        <f t="array" ref="J23">_xll.BDH("PH US Equity","BS_NET_FIX_ASSET","FQ4 2020","FQ4 2020","Currency=USD","Period=FQ","BEST_FPERIOD_OVERRIDE=FQ","FILING_STATUS=MR","SCALING_FORMAT=MLN","Sort=A","Dates=H","DateFormat=P","Fill=—","Direction=H","UseDPDF=Y")</f>
        <v>2431.3359999999998</v>
      </c>
      <c r="K23" s="13" cm="1">
        <f t="array" ref="K23">_xll.BDH("PH US Equity","BS_NET_FIX_ASSET","FQ1 2021","FQ1 2021","Currency=USD","Period=FQ","BEST_FPERIOD_OVERRIDE=FQ","FILING_STATUS=MR","SCALING_FORMAT=MLN","Sort=A","Dates=H","DateFormat=P","Fill=—","Direction=H","UseDPDF=Y")</f>
        <v>2292.88</v>
      </c>
      <c r="L23" s="13" cm="1">
        <f t="array" ref="L23">_xll.BDH("PH US Equity","BS_NET_FIX_ASSET","FQ2 2021","FQ2 2021","Currency=USD","Period=FQ","BEST_FPERIOD_OVERRIDE=FQ","FILING_STATUS=MR","SCALING_FORMAT=MLN","Sort=A","Dates=H","DateFormat=P","Fill=—","Direction=H","UseDPDF=Y")</f>
        <v>2302.1419999999998</v>
      </c>
      <c r="M23" s="13" cm="1">
        <f t="array" ref="M23">_xll.BDH("PH US Equity","BS_NET_FIX_ASSET","FQ3 2021","FQ3 2021","Currency=USD","Period=FQ","BEST_FPERIOD_OVERRIDE=FQ","FILING_STATUS=MR","SCALING_FORMAT=MLN","Sort=A","Dates=H","DateFormat=P","Fill=—","Direction=H","UseDPDF=Y")</f>
        <v>2249.1219999999998</v>
      </c>
      <c r="N23" s="13" cm="1">
        <f t="array" ref="N23">_xll.BDH("PH US Equity","BS_NET_FIX_ASSET","FQ4 2021","FQ4 2021","Currency=USD","Period=FQ","BEST_FPERIOD_OVERRIDE=FQ","FILING_STATUS=MR","SCALING_FORMAT=MLN","Sort=A","Dates=H","DateFormat=P","Fill=—","Direction=H","UseDPDF=Y")</f>
        <v>2398.3560000000002</v>
      </c>
      <c r="O23" s="13" cm="1">
        <f t="array" ref="O23">_xll.BDH("PH US Equity","BS_NET_FIX_ASSET","FQ1 2022","FQ1 2022","Currency=USD","Period=FQ","BEST_FPERIOD_OVERRIDE=FQ","FILING_STATUS=MR","SCALING_FORMAT=MLN","Sort=A","Dates=H","DateFormat=P","Fill=—","Direction=H","UseDPDF=Y")</f>
        <v>2223.5340000000001</v>
      </c>
      <c r="P23" s="13" cm="1">
        <f t="array" ref="P23">_xll.BDH("PH US Equity","BS_NET_FIX_ASSET","FQ2 2022","FQ2 2022","Currency=USD","Period=FQ","BEST_FPERIOD_OVERRIDE=FQ","FILING_STATUS=MR","SCALING_FORMAT=MLN","Sort=A","Dates=H","DateFormat=P","Fill=—","Direction=H","UseDPDF=Y")</f>
        <v>2202.9319999999998</v>
      </c>
      <c r="Q23" s="13" cm="1">
        <f t="array" ref="Q23">_xll.BDH("PH US Equity","BS_NET_FIX_ASSET","FQ3 2022","FQ3 2022","Currency=USD","Period=FQ","BEST_FPERIOD_OVERRIDE=FQ","FILING_STATUS=MR","SCALING_FORMAT=MLN","Sort=A","Dates=H","DateFormat=P","Fill=—","Direction=H","UseDPDF=Y")</f>
        <v>2174.2370000000001</v>
      </c>
      <c r="R23" s="13" cm="1">
        <f t="array" ref="R23">_xll.BDH("PH US Equity","BS_NET_FIX_ASSET","FQ4 2022","FQ4 2022","Currency=USD","Period=FQ","BEST_FPERIOD_OVERRIDE=FQ","FILING_STATUS=MR","SCALING_FORMAT=MLN","Sort=A","Dates=H","DateFormat=P","Fill=—","Direction=H","UseDPDF=Y")</f>
        <v>2122.7579999999998</v>
      </c>
      <c r="S23" s="13" cm="1">
        <f t="array" ref="S23">_xll.BDH("PH US Equity","BS_NET_FIX_ASSET","FQ1 2023","FQ1 2023","Currency=USD","Period=FQ","BEST_FPERIOD_OVERRIDE=FQ","FILING_STATUS=MR","SCALING_FORMAT=MLN","Sort=A","Dates=H","DateFormat=P","Fill=—","Direction=H","UseDPDF=Y")</f>
        <v>2753.607</v>
      </c>
      <c r="T23" s="13" cm="1">
        <f t="array" ref="T23">_xll.BDH("PH US Equity","BS_NET_FIX_ASSET","FQ2 2023","FQ2 2023","Currency=USD","Period=FQ","BEST_FPERIOD_OVERRIDE=FQ","FILING_STATUS=MR","SCALING_FORMAT=MLN","Sort=A","Dates=H","DateFormat=P","Fill=—","Direction=H","UseDPDF=Y")</f>
        <v>2839.5239999999999</v>
      </c>
      <c r="U23" s="13" cm="1">
        <f t="array" ref="U23">_xll.BDH("PH US Equity","BS_NET_FIX_ASSET","FQ3 2023","FQ3 2023","Currency=USD","Period=FQ","BEST_FPERIOD_OVERRIDE=FQ","FILING_STATUS=MR","SCALING_FORMAT=MLN","Sort=A","Dates=H","DateFormat=P","Fill=—","Direction=H","UseDPDF=Y")</f>
        <v>2843.7950000000001</v>
      </c>
      <c r="V23" s="13" cm="1">
        <f t="array" ref="V23">_xll.BDH("PH US Equity","BS_NET_FIX_ASSET","FQ4 2023","FQ4 2023","Currency=USD","Period=FQ","BEST_FPERIOD_OVERRIDE=FQ","FILING_STATUS=MR","SCALING_FORMAT=MLN","Sort=A","Dates=H","DateFormat=P","Fill=—","Direction=H","UseDPDF=Y")</f>
        <v>3097.7629999999999</v>
      </c>
      <c r="W23" s="13" cm="1">
        <f t="array" ref="W23">_xll.BDH("PH US Equity","BS_NET_FIX_ASSET","FQ1 2024","FQ1 2024","Currency=USD","Period=FQ","BEST_FPERIOD_OVERRIDE=FQ","FILING_STATUS=MR","SCALING_FORMAT=MLN","Sort=A","Dates=H","DateFormat=P","Fill=—","Direction=H","UseDPDF=Y")</f>
        <v>2840.5079999999998</v>
      </c>
      <c r="X23" s="13" cm="1">
        <f t="array" ref="X23">_xll.BDH("PH US Equity","BS_NET_FIX_ASSET","FQ2 2024","FQ2 2024","Currency=USD","Period=FQ","BEST_FPERIOD_OVERRIDE=FQ","FILING_STATUS=MR","SCALING_FORMAT=MLN","Sort=A","Dates=H","DateFormat=P","Fill=—","Direction=H","UseDPDF=Y")</f>
        <v>2905.7440000000001</v>
      </c>
      <c r="Y23" s="13" cm="1">
        <f t="array" ref="Y23">_xll.BDH("PH US Equity","BS_NET_FIX_ASSET","FQ3 2024","FQ3 2024","Currency=USD","Period=FQ","BEST_FPERIOD_OVERRIDE=FQ","FILING_STATUS=MR","SCALING_FORMAT=MLN","Sort=A","Dates=H","DateFormat=P","Fill=—","Direction=H","UseDPDF=Y")</f>
        <v>2870.9189999999999</v>
      </c>
      <c r="Z23" s="13" cm="1">
        <f t="array" ref="Z23">_xll.BDH("PH US Equity","BS_NET_FIX_ASSET","FQ4 2024","FQ4 2024","Currency=USD","Period=FQ","BEST_FPERIOD_OVERRIDE=FQ","FILING_STATUS=MR","SCALING_FORMAT=MLN","Sort=A","Dates=H","DateFormat=P","Fill=—","Direction=H","UseDPDF=Y")</f>
        <v>3101.62</v>
      </c>
      <c r="AA23" s="13" cm="1">
        <f t="array" ref="AA23">_xll.BDH("PH US Equity","BS_NET_FIX_ASSET","FQ1 2025","FQ1 2025","Currency=USD","Period=FQ","BEST_FPERIOD_OVERRIDE=FQ","FILING_STATUS=MR","SCALING_FORMAT=MLN","Sort=A","Dates=H","DateFormat=P","Fill=—","Direction=H","UseDPDF=Y")</f>
        <v>2839.5419999999999</v>
      </c>
      <c r="AB23" s="13" cm="1">
        <f t="array" ref="AB23">_xll.BDH("PH US Equity","BS_NET_FIX_ASSET","FQ2 2025","FQ2 2025","Currency=USD","Period=FQ","BEST_FPERIOD_OVERRIDE=FQ","FILING_STATUS=MR","SCALING_FORMAT=MLN","Sort=A","Dates=H","DateFormat=P","Fill=—","Direction=H","UseDPDF=Y")</f>
        <v>2800.9920000000002</v>
      </c>
      <c r="AC23" s="13" cm="1">
        <f t="array" ref="AC23">_xll.BDH("PH US Equity","BS_NET_FIX_ASSET","FQ3 2025","FQ3 2025","Currency=USD","Period=FQ","BEST_FPERIOD_OVERRIDE=FQ","FILING_STATUS=MR","SCALING_FORMAT=MLN","Sort=A","Dates=H","DateFormat=P","Fill=—","Direction=H","UseDPDF=Y")</f>
        <v>2821.5659999999998</v>
      </c>
      <c r="AD23" s="13" cm="1">
        <f t="array" ref="AD23">_xll.BDH("PH US Equity","BS_NET_FIX_ASSET","FQ4 2025","FQ4 2025","Currency=USD","Period=FQ","BEST_FPERIOD_OVERRIDE=FQ","FILING_STATUS=MR","SCALING_FORMAT=MLN","Sort=A","Dates=H","DateFormat=P","Fill=—","Direction=H","UseDPDF=Y")</f>
        <v>3129</v>
      </c>
      <c r="AE23" s="13" cm="1">
        <f t="array" ref="AE23">_xll.BDH("PH US Equity","BS_NET_FIX_ASSET","FQ1 2026","FQ1 2026","Currency=USD","Period=FQ","BEST_FPERIOD_OVERRIDE=FQ","FILING_STATUS=MR","SCALING_FORMAT=MLN","Sort=A","Dates=H","DateFormat=P","Fill=—","Direction=H","UseDPDF=Y")</f>
        <v>2972</v>
      </c>
      <c r="AF23" s="13" cm="1">
        <f t="array" ref="AF23">_xll.BDH("PH US Equity","BS_NET_FIX_ASSET","FQ2 2026","FQ2 2026","Currency=USD","Period=FQ","BEST_FPERIOD_OVERRIDE=FQ","FILING_STATUS=MR","SCALING_FORMAT=MLN","Sort=A","Dates=H","DateFormat=P","Fill=—","Direction=H","UseDPDF=Y")</f>
        <v>2966</v>
      </c>
    </row>
    <row r="24" spans="1:32" x14ac:dyDescent="0.25">
      <c r="A24" s="10" t="s">
        <v>100</v>
      </c>
      <c r="B24" s="10" t="s">
        <v>101</v>
      </c>
      <c r="C24" s="13" cm="1">
        <f t="array" ref="C24">_xll.BDH("PH US Equity","BS_GROSS_FIX_ASSET","FQ1 2019","FQ1 2019","Currency=USD","Period=FQ","BEST_FPERIOD_OVERRIDE=FQ","FILING_STATUS=MR","SCALING_FORMAT=MLN","Sort=A","Dates=H","DateFormat=P","Fill=—","Direction=H","UseDPDF=Y")</f>
        <v>5207.8670000000002</v>
      </c>
      <c r="D24" s="13" cm="1">
        <f t="array" ref="D24">_xll.BDH("PH US Equity","BS_GROSS_FIX_ASSET","FQ2 2019","FQ2 2019","Currency=USD","Period=FQ","BEST_FPERIOD_OVERRIDE=FQ","FILING_STATUS=MR","SCALING_FORMAT=MLN","Sort=A","Dates=H","DateFormat=P","Fill=—","Direction=H","UseDPDF=Y")</f>
        <v>5192.1440000000002</v>
      </c>
      <c r="E24" s="13" cm="1">
        <f t="array" ref="E24">_xll.BDH("PH US Equity","BS_GROSS_FIX_ASSET","FQ3 2019","FQ3 2019","Currency=USD","Period=FQ","BEST_FPERIOD_OVERRIDE=FQ","FILING_STATUS=MR","SCALING_FORMAT=MLN","Sort=A","Dates=H","DateFormat=P","Fill=—","Direction=H","UseDPDF=Y")</f>
        <v>5188.9579999999996</v>
      </c>
      <c r="F24" s="13" cm="1">
        <f t="array" ref="F24">_xll.BDH("PH US Equity","BS_GROSS_FIX_ASSET","FQ4 2019","FQ4 2019","Currency=USD","Period=FQ","BEST_FPERIOD_OVERRIDE=FQ","FILING_STATUS=MR","SCALING_FORMAT=MLN","Sort=A","Dates=H","DateFormat=P","Fill=—","Direction=H","UseDPDF=Y")</f>
        <v>5186.7299999999996</v>
      </c>
      <c r="G24" s="13" cm="1">
        <f t="array" ref="G24">_xll.BDH("PH US Equity","BS_GROSS_FIX_ASSET","FQ1 2020","FQ1 2020","Currency=USD","Period=FQ","BEST_FPERIOD_OVERRIDE=FQ","FILING_STATUS=MR","SCALING_FORMAT=MLN","Sort=A","Dates=H","DateFormat=P","Fill=—","Direction=H","UseDPDF=Y")</f>
        <v>5407.5249999999996</v>
      </c>
      <c r="H24" s="13" cm="1">
        <f t="array" ref="H24">_xll.BDH("PH US Equity","BS_GROSS_FIX_ASSET","FQ2 2020","FQ2 2020","Currency=USD","Period=FQ","BEST_FPERIOD_OVERRIDE=FQ","FILING_STATUS=MR","SCALING_FORMAT=MLN","Sort=A","Dates=H","DateFormat=P","Fill=—","Direction=H","UseDPDF=Y")</f>
        <v>5973.6670000000004</v>
      </c>
      <c r="I24" s="13" cm="1">
        <f t="array" ref="I24">_xll.BDH("PH US Equity","BS_GROSS_FIX_ASSET","FQ3 2020","FQ3 2020","Currency=USD","Period=FQ","BEST_FPERIOD_OVERRIDE=FQ","FILING_STATUS=MR","SCALING_FORMAT=MLN","Sort=A","Dates=H","DateFormat=P","Fill=—","Direction=H","UseDPDF=Y")</f>
        <v>5887.4009999999998</v>
      </c>
      <c r="J24" s="13" cm="1">
        <f t="array" ref="J24">_xll.BDH("PH US Equity","BS_GROSS_FIX_ASSET","FQ4 2020","FQ4 2020","Currency=USD","Period=FQ","BEST_FPERIOD_OVERRIDE=FQ","FILING_STATUS=MR","SCALING_FORMAT=MLN","Sort=A","Dates=H","DateFormat=P","Fill=—","Direction=H","UseDPDF=Y")</f>
        <v>5949.2820000000002</v>
      </c>
      <c r="K24" s="13" cm="1">
        <f t="array" ref="K24">_xll.BDH("PH US Equity","BS_GROSS_FIX_ASSET","FQ1 2021","FQ1 2021","Currency=USD","Period=FQ","BEST_FPERIOD_OVERRIDE=FQ","FILING_STATUS=MR","SCALING_FORMAT=MLN","Sort=A","Dates=H","DateFormat=P","Fill=—","Direction=H","UseDPDF=Y")</f>
        <v>5902.2790000000005</v>
      </c>
      <c r="L24" s="13" cm="1">
        <f t="array" ref="L24">_xll.BDH("PH US Equity","BS_GROSS_FIX_ASSET","FQ2 2021","FQ2 2021","Currency=USD","Period=FQ","BEST_FPERIOD_OVERRIDE=FQ","FILING_STATUS=MR","SCALING_FORMAT=MLN","Sort=A","Dates=H","DateFormat=P","Fill=—","Direction=H","UseDPDF=Y")</f>
        <v>6026.68</v>
      </c>
      <c r="M24" s="13" cm="1">
        <f t="array" ref="M24">_xll.BDH("PH US Equity","BS_GROSS_FIX_ASSET","FQ3 2021","FQ3 2021","Currency=USD","Period=FQ","BEST_FPERIOD_OVERRIDE=FQ","FILING_STATUS=MR","SCALING_FORMAT=MLN","Sort=A","Dates=H","DateFormat=P","Fill=—","Direction=H","UseDPDF=Y")</f>
        <v>5989.92</v>
      </c>
      <c r="N24" s="13" cm="1">
        <f t="array" ref="N24">_xll.BDH("PH US Equity","BS_GROSS_FIX_ASSET","FQ4 2021","FQ4 2021","Currency=USD","Period=FQ","BEST_FPERIOD_OVERRIDE=FQ","FILING_STATUS=MR","SCALING_FORMAT=MLN","Sort=A","Dates=H","DateFormat=P","Fill=—","Direction=H","UseDPDF=Y")</f>
        <v>6172.1</v>
      </c>
      <c r="O24" s="13" cm="1">
        <f t="array" ref="O24">_xll.BDH("PH US Equity","BS_GROSS_FIX_ASSET","FQ1 2022","FQ1 2022","Currency=USD","Period=FQ","BEST_FPERIOD_OVERRIDE=FQ","FILING_STATUS=MR","SCALING_FORMAT=MLN","Sort=A","Dates=H","DateFormat=P","Fill=—","Direction=H","UseDPDF=Y")</f>
        <v>6019.2370000000001</v>
      </c>
      <c r="P24" s="13" cm="1">
        <f t="array" ref="P24">_xll.BDH("PH US Equity","BS_GROSS_FIX_ASSET","FQ2 2022","FQ2 2022","Currency=USD","Period=FQ","BEST_FPERIOD_OVERRIDE=FQ","FILING_STATUS=MR","SCALING_FORMAT=MLN","Sort=A","Dates=H","DateFormat=P","Fill=—","Direction=H","UseDPDF=Y")</f>
        <v>6019.5519999999997</v>
      </c>
      <c r="Q24" s="13" cm="1">
        <f t="array" ref="Q24">_xll.BDH("PH US Equity","BS_GROSS_FIX_ASSET","FQ3 2022","FQ3 2022","Currency=USD","Period=FQ","BEST_FPERIOD_OVERRIDE=FQ","FILING_STATUS=MR","SCALING_FORMAT=MLN","Sort=A","Dates=H","DateFormat=P","Fill=—","Direction=H","UseDPDF=Y")</f>
        <v>6019.7449999999999</v>
      </c>
      <c r="R24" s="13" cm="1">
        <f t="array" ref="R24">_xll.BDH("PH US Equity","BS_GROSS_FIX_ASSET","FQ4 2022","FQ4 2022","Currency=USD","Period=FQ","BEST_FPERIOD_OVERRIDE=FQ","FILING_STATUS=MR","SCALING_FORMAT=MLN","Sort=A","Dates=H","DateFormat=P","Fill=—","Direction=H","UseDPDF=Y")</f>
        <v>5897.9549999999999</v>
      </c>
      <c r="S24" s="13" cm="1">
        <f t="array" ref="S24">_xll.BDH("PH US Equity","BS_GROSS_FIX_ASSET","FQ1 2023","FQ1 2023","Currency=USD","Period=FQ","BEST_FPERIOD_OVERRIDE=FQ","FILING_STATUS=MR","SCALING_FORMAT=MLN","Sort=A","Dates=H","DateFormat=P","Fill=—","Direction=H","UseDPDF=Y")</f>
        <v>6488.5630000000001</v>
      </c>
      <c r="T24" s="13" cm="1">
        <f t="array" ref="T24">_xll.BDH("PH US Equity","BS_GROSS_FIX_ASSET","FQ2 2023","FQ2 2023","Currency=USD","Period=FQ","BEST_FPERIOD_OVERRIDE=FQ","FILING_STATUS=MR","SCALING_FORMAT=MLN","Sort=A","Dates=H","DateFormat=P","Fill=—","Direction=H","UseDPDF=Y")</f>
        <v>6730.223</v>
      </c>
      <c r="U24" s="13" cm="1">
        <f t="array" ref="U24">_xll.BDH("PH US Equity","BS_GROSS_FIX_ASSET","FQ3 2023","FQ3 2023","Currency=USD","Period=FQ","BEST_FPERIOD_OVERRIDE=FQ","FILING_STATUS=MR","SCALING_FORMAT=MLN","Sort=A","Dates=H","DateFormat=P","Fill=—","Direction=H","UseDPDF=Y")</f>
        <v>6807.7340000000004</v>
      </c>
      <c r="V24" s="13" cm="1">
        <f t="array" ref="V24">_xll.BDH("PH US Equity","BS_GROSS_FIX_ASSET","FQ4 2023","FQ4 2023","Currency=USD","Period=FQ","BEST_FPERIOD_OVERRIDE=FQ","FILING_STATUS=MR","SCALING_FORMAT=MLN","Sort=A","Dates=H","DateFormat=P","Fill=—","Direction=H","UseDPDF=Y")</f>
        <v>7098.2780000000002</v>
      </c>
      <c r="W24" s="13" cm="1">
        <f t="array" ref="W24">_xll.BDH("PH US Equity","BS_GROSS_FIX_ASSET","FQ1 2024","FQ1 2024","Currency=USD","Period=FQ","BEST_FPERIOD_OVERRIDE=FQ","FILING_STATUS=MR","SCALING_FORMAT=MLN","Sort=A","Dates=H","DateFormat=P","Fill=—","Direction=H","UseDPDF=Y")</f>
        <v>6870.0150000000003</v>
      </c>
      <c r="X24" s="13" cm="1">
        <f t="array" ref="X24">_xll.BDH("PH US Equity","BS_GROSS_FIX_ASSET","FQ2 2024","FQ2 2024","Currency=USD","Period=FQ","BEST_FPERIOD_OVERRIDE=FQ","FILING_STATUS=MR","SCALING_FORMAT=MLN","Sort=A","Dates=H","DateFormat=P","Fill=—","Direction=H","UseDPDF=Y")</f>
        <v>7060.7179999999998</v>
      </c>
      <c r="Y24" s="13" cm="1">
        <f t="array" ref="Y24">_xll.BDH("PH US Equity","BS_GROSS_FIX_ASSET","FQ3 2024","FQ3 2024","Currency=USD","Period=FQ","BEST_FPERIOD_OVERRIDE=FQ","FILING_STATUS=MR","SCALING_FORMAT=MLN","Sort=A","Dates=H","DateFormat=P","Fill=—","Direction=H","UseDPDF=Y")</f>
        <v>7033.1869999999999</v>
      </c>
      <c r="Z24" s="13" cm="1">
        <f t="array" ref="Z24">_xll.BDH("PH US Equity","BS_GROSS_FIX_ASSET","FQ4 2024","FQ4 2024","Currency=USD","Period=FQ","BEST_FPERIOD_OVERRIDE=FQ","FILING_STATUS=MR","SCALING_FORMAT=MLN","Sort=A","Dates=H","DateFormat=P","Fill=—","Direction=H","UseDPDF=Y")</f>
        <v>7300.5259999999998</v>
      </c>
      <c r="AA24" s="13" cm="1">
        <f t="array" ref="AA24">_xll.BDH("PH US Equity","BS_GROSS_FIX_ASSET","FQ1 2025","FQ1 2025","Currency=USD","Period=FQ","BEST_FPERIOD_OVERRIDE=FQ","FILING_STATUS=MR","SCALING_FORMAT=MLN","Sort=A","Dates=H","DateFormat=P","Fill=—","Direction=H","UseDPDF=Y")</f>
        <v>7111.027</v>
      </c>
      <c r="AB24" s="13" cm="1">
        <f t="array" ref="AB24">_xll.BDH("PH US Equity","BS_GROSS_FIX_ASSET","FQ2 2025","FQ2 2025","Currency=USD","Period=FQ","BEST_FPERIOD_OVERRIDE=FQ","FILING_STATUS=MR","SCALING_FORMAT=MLN","Sort=A","Dates=H","DateFormat=P","Fill=—","Direction=H","UseDPDF=Y")</f>
        <v>7039.8829999999998</v>
      </c>
      <c r="AC24" s="13" cm="1">
        <f t="array" ref="AC24">_xll.BDH("PH US Equity","BS_GROSS_FIX_ASSET","FQ3 2025","FQ3 2025","Currency=USD","Period=FQ","BEST_FPERIOD_OVERRIDE=FQ","FILING_STATUS=MR","SCALING_FORMAT=MLN","Sort=A","Dates=H","DateFormat=P","Fill=—","Direction=H","UseDPDF=Y")</f>
        <v>7159.7830000000004</v>
      </c>
      <c r="AD24" s="13" cm="1">
        <f t="array" ref="AD24">_xll.BDH("PH US Equity","BS_GROSS_FIX_ASSET","FQ4 2025","FQ4 2025","Currency=USD","Period=FQ","BEST_FPERIOD_OVERRIDE=FQ","FILING_STATUS=MR","SCALING_FORMAT=MLN","Sort=A","Dates=H","DateFormat=P","Fill=—","Direction=H","UseDPDF=Y")</f>
        <v>7609</v>
      </c>
      <c r="AE24" s="13" t="str" cm="1">
        <f t="array" ref="AE24">_xll.BDH("PH US Equity","BS_GROSS_FIX_ASSET","FQ1 2026","FQ1 2026","Currency=USD","Period=FQ","BEST_FPERIOD_OVERRIDE=FQ","FILING_STATUS=MR","SCALING_FORMAT=MLN","Sort=A","Dates=H","DateFormat=P","Fill=—","Direction=H","UseDPDF=Y")</f>
        <v>—</v>
      </c>
      <c r="AF24" s="13" cm="1">
        <f t="array" ref="AF24">_xll.BDH("PH US Equity","BS_GROSS_FIX_ASSET","FQ2 2026","FQ2 2026","Currency=USD","Period=FQ","BEST_FPERIOD_OVERRIDE=FQ","FILING_STATUS=MR","SCALING_FORMAT=MLN","Sort=A","Dates=H","DateFormat=P","Fill=—","Direction=H","UseDPDF=Y")</f>
        <v>7540</v>
      </c>
    </row>
    <row r="25" spans="1:32" x14ac:dyDescent="0.25">
      <c r="A25" s="10" t="s">
        <v>102</v>
      </c>
      <c r="B25" s="10" t="s">
        <v>103</v>
      </c>
      <c r="C25" s="13" cm="1">
        <f t="array" ref="C25">_xll.BDH("PH US Equity","BS_ACCUM_DEPR","FQ1 2019","FQ1 2019","Currency=USD","Period=FQ","BEST_FPERIOD_OVERRIDE=FQ","FILING_STATUS=MR","SCALING_FORMAT=MLN","Sort=A","Dates=H","DateFormat=P","Fill=—","Direction=H","UseDPDF=Y")</f>
        <v>3379.8330000000001</v>
      </c>
      <c r="D25" s="13" cm="1">
        <f t="array" ref="D25">_xll.BDH("PH US Equity","BS_ACCUM_DEPR","FQ2 2019","FQ2 2019","Currency=USD","Period=FQ","BEST_FPERIOD_OVERRIDE=FQ","FILING_STATUS=MR","SCALING_FORMAT=MLN","Sort=A","Dates=H","DateFormat=P","Fill=—","Direction=H","UseDPDF=Y")</f>
        <v>3398.3389999999999</v>
      </c>
      <c r="E25" s="13" cm="1">
        <f t="array" ref="E25">_xll.BDH("PH US Equity","BS_ACCUM_DEPR","FQ3 2019","FQ3 2019","Currency=USD","Period=FQ","BEST_FPERIOD_OVERRIDE=FQ","FILING_STATUS=MR","SCALING_FORMAT=MLN","Sort=A","Dates=H","DateFormat=P","Fill=—","Direction=H","UseDPDF=Y")</f>
        <v>3409.0659999999998</v>
      </c>
      <c r="F25" s="13" cm="1">
        <f t="array" ref="F25">_xll.BDH("PH US Equity","BS_ACCUM_DEPR","FQ4 2019","FQ4 2019","Currency=USD","Period=FQ","BEST_FPERIOD_OVERRIDE=FQ","FILING_STATUS=MR","SCALING_FORMAT=MLN","Sort=A","Dates=H","DateFormat=P","Fill=—","Direction=H","UseDPDF=Y")</f>
        <v>3418.4430000000002</v>
      </c>
      <c r="G25" s="13" cm="1">
        <f t="array" ref="G25">_xll.BDH("PH US Equity","BS_ACCUM_DEPR","FQ1 2020","FQ1 2020","Currency=USD","Period=FQ","BEST_FPERIOD_OVERRIDE=FQ","FILING_STATUS=MR","SCALING_FORMAT=MLN","Sort=A","Dates=H","DateFormat=P","Fill=—","Direction=H","UseDPDF=Y")</f>
        <v>3390.5990000000002</v>
      </c>
      <c r="H25" s="13" cm="1">
        <f t="array" ref="H25">_xll.BDH("PH US Equity","BS_ACCUM_DEPR","FQ2 2020","FQ2 2020","Currency=USD","Period=FQ","BEST_FPERIOD_OVERRIDE=FQ","FILING_STATUS=MR","SCALING_FORMAT=MLN","Sort=A","Dates=H","DateFormat=P","Fill=—","Direction=H","UseDPDF=Y")</f>
        <v>3481.8580000000002</v>
      </c>
      <c r="I25" s="13" cm="1">
        <f t="array" ref="I25">_xll.BDH("PH US Equity","BS_ACCUM_DEPR","FQ3 2020","FQ3 2020","Currency=USD","Period=FQ","BEST_FPERIOD_OVERRIDE=FQ","FILING_STATUS=MR","SCALING_FORMAT=MLN","Sort=A","Dates=H","DateFormat=P","Fill=—","Direction=H","UseDPDF=Y")</f>
        <v>3452.7460000000001</v>
      </c>
      <c r="J25" s="13" cm="1">
        <f t="array" ref="J25">_xll.BDH("PH US Equity","BS_ACCUM_DEPR","FQ4 2020","FQ4 2020","Currency=USD","Period=FQ","BEST_FPERIOD_OVERRIDE=FQ","FILING_STATUS=MR","SCALING_FORMAT=MLN","Sort=A","Dates=H","DateFormat=P","Fill=—","Direction=H","UseDPDF=Y")</f>
        <v>3517.9459999999999</v>
      </c>
      <c r="K25" s="13" cm="1">
        <f t="array" ref="K25">_xll.BDH("PH US Equity","BS_ACCUM_DEPR","FQ1 2021","FQ1 2021","Currency=USD","Period=FQ","BEST_FPERIOD_OVERRIDE=FQ","FILING_STATUS=MR","SCALING_FORMAT=MLN","Sort=A","Dates=H","DateFormat=P","Fill=—","Direction=H","UseDPDF=Y")</f>
        <v>3609.3989999999999</v>
      </c>
      <c r="L25" s="13" cm="1">
        <f t="array" ref="L25">_xll.BDH("PH US Equity","BS_ACCUM_DEPR","FQ2 2021","FQ2 2021","Currency=USD","Period=FQ","BEST_FPERIOD_OVERRIDE=FQ","FILING_STATUS=MR","SCALING_FORMAT=MLN","Sort=A","Dates=H","DateFormat=P","Fill=—","Direction=H","UseDPDF=Y")</f>
        <v>3724.538</v>
      </c>
      <c r="M25" s="13" cm="1">
        <f t="array" ref="M25">_xll.BDH("PH US Equity","BS_ACCUM_DEPR","FQ3 2021","FQ3 2021","Currency=USD","Period=FQ","BEST_FPERIOD_OVERRIDE=FQ","FILING_STATUS=MR","SCALING_FORMAT=MLN","Sort=A","Dates=H","DateFormat=P","Fill=—","Direction=H","UseDPDF=Y")</f>
        <v>3740.7979999999998</v>
      </c>
      <c r="N25" s="13" cm="1">
        <f t="array" ref="N25">_xll.BDH("PH US Equity","BS_ACCUM_DEPR","FQ4 2021","FQ4 2021","Currency=USD","Period=FQ","BEST_FPERIOD_OVERRIDE=FQ","FILING_STATUS=MR","SCALING_FORMAT=MLN","Sort=A","Dates=H","DateFormat=P","Fill=—","Direction=H","UseDPDF=Y")</f>
        <v>3773.7440000000001</v>
      </c>
      <c r="O25" s="13" cm="1">
        <f t="array" ref="O25">_xll.BDH("PH US Equity","BS_ACCUM_DEPR","FQ1 2022","FQ1 2022","Currency=USD","Period=FQ","BEST_FPERIOD_OVERRIDE=FQ","FILING_STATUS=MR","SCALING_FORMAT=MLN","Sort=A","Dates=H","DateFormat=P","Fill=—","Direction=H","UseDPDF=Y")</f>
        <v>3795.703</v>
      </c>
      <c r="P25" s="13" cm="1">
        <f t="array" ref="P25">_xll.BDH("PH US Equity","BS_ACCUM_DEPR","FQ2 2022","FQ2 2022","Currency=USD","Period=FQ","BEST_FPERIOD_OVERRIDE=FQ","FILING_STATUS=MR","SCALING_FORMAT=MLN","Sort=A","Dates=H","DateFormat=P","Fill=—","Direction=H","UseDPDF=Y")</f>
        <v>3816.62</v>
      </c>
      <c r="Q25" s="13" cm="1">
        <f t="array" ref="Q25">_xll.BDH("PH US Equity","BS_ACCUM_DEPR","FQ3 2022","FQ3 2022","Currency=USD","Period=FQ","BEST_FPERIOD_OVERRIDE=FQ","FILING_STATUS=MR","SCALING_FORMAT=MLN","Sort=A","Dates=H","DateFormat=P","Fill=—","Direction=H","UseDPDF=Y")</f>
        <v>3845.5079999999998</v>
      </c>
      <c r="R25" s="13" cm="1">
        <f t="array" ref="R25">_xll.BDH("PH US Equity","BS_ACCUM_DEPR","FQ4 2022","FQ4 2022","Currency=USD","Period=FQ","BEST_FPERIOD_OVERRIDE=FQ","FILING_STATUS=MR","SCALING_FORMAT=MLN","Sort=A","Dates=H","DateFormat=P","Fill=—","Direction=H","UseDPDF=Y")</f>
        <v>3775.1970000000001</v>
      </c>
      <c r="S25" s="13" cm="1">
        <f t="array" ref="S25">_xll.BDH("PH US Equity","BS_ACCUM_DEPR","FQ1 2023","FQ1 2023","Currency=USD","Period=FQ","BEST_FPERIOD_OVERRIDE=FQ","FILING_STATUS=MR","SCALING_FORMAT=MLN","Sort=A","Dates=H","DateFormat=P","Fill=—","Direction=H","UseDPDF=Y")</f>
        <v>3734.9560000000001</v>
      </c>
      <c r="T25" s="13" cm="1">
        <f t="array" ref="T25">_xll.BDH("PH US Equity","BS_ACCUM_DEPR","FQ2 2023","FQ2 2023","Currency=USD","Period=FQ","BEST_FPERIOD_OVERRIDE=FQ","FILING_STATUS=MR","SCALING_FORMAT=MLN","Sort=A","Dates=H","DateFormat=P","Fill=—","Direction=H","UseDPDF=Y")</f>
        <v>3890.6990000000001</v>
      </c>
      <c r="U25" s="13" cm="1">
        <f t="array" ref="U25">_xll.BDH("PH US Equity","BS_ACCUM_DEPR","FQ3 2023","FQ3 2023","Currency=USD","Period=FQ","BEST_FPERIOD_OVERRIDE=FQ","FILING_STATUS=MR","SCALING_FORMAT=MLN","Sort=A","Dates=H","DateFormat=P","Fill=—","Direction=H","UseDPDF=Y")</f>
        <v>3963.9389999999999</v>
      </c>
      <c r="V25" s="13" cm="1">
        <f t="array" ref="V25">_xll.BDH("PH US Equity","BS_ACCUM_DEPR","FQ4 2023","FQ4 2023","Currency=USD","Period=FQ","BEST_FPERIOD_OVERRIDE=FQ","FILING_STATUS=MR","SCALING_FORMAT=MLN","Sort=A","Dates=H","DateFormat=P","Fill=—","Direction=H","UseDPDF=Y")</f>
        <v>4000.5149999999999</v>
      </c>
      <c r="W25" s="13" cm="1">
        <f t="array" ref="W25">_xll.BDH("PH US Equity","BS_ACCUM_DEPR","FQ1 2024","FQ1 2024","Currency=USD","Period=FQ","BEST_FPERIOD_OVERRIDE=FQ","FILING_STATUS=MR","SCALING_FORMAT=MLN","Sort=A","Dates=H","DateFormat=P","Fill=—","Direction=H","UseDPDF=Y")</f>
        <v>4029.5070000000001</v>
      </c>
      <c r="X25" s="13" cm="1">
        <f t="array" ref="X25">_xll.BDH("PH US Equity","BS_ACCUM_DEPR","FQ2 2024","FQ2 2024","Currency=USD","Period=FQ","BEST_FPERIOD_OVERRIDE=FQ","FILING_STATUS=MR","SCALING_FORMAT=MLN","Sort=A","Dates=H","DateFormat=P","Fill=—","Direction=H","UseDPDF=Y")</f>
        <v>4154.9740000000002</v>
      </c>
      <c r="Y25" s="13" cm="1">
        <f t="array" ref="Y25">_xll.BDH("PH US Equity","BS_ACCUM_DEPR","FQ3 2024","FQ3 2024","Currency=USD","Period=FQ","BEST_FPERIOD_OVERRIDE=FQ","FILING_STATUS=MR","SCALING_FORMAT=MLN","Sort=A","Dates=H","DateFormat=P","Fill=—","Direction=H","UseDPDF=Y")</f>
        <v>4162.268</v>
      </c>
      <c r="Z25" s="13" cm="1">
        <f t="array" ref="Z25">_xll.BDH("PH US Equity","BS_ACCUM_DEPR","FQ4 2024","FQ4 2024","Currency=USD","Period=FQ","BEST_FPERIOD_OVERRIDE=FQ","FILING_STATUS=MR","SCALING_FORMAT=MLN","Sort=A","Dates=H","DateFormat=P","Fill=—","Direction=H","UseDPDF=Y")</f>
        <v>4198.9059999999999</v>
      </c>
      <c r="AA25" s="13" cm="1">
        <f t="array" ref="AA25">_xll.BDH("PH US Equity","BS_ACCUM_DEPR","FQ1 2025","FQ1 2025","Currency=USD","Period=FQ","BEST_FPERIOD_OVERRIDE=FQ","FILING_STATUS=MR","SCALING_FORMAT=MLN","Sort=A","Dates=H","DateFormat=P","Fill=—","Direction=H","UseDPDF=Y")</f>
        <v>4271.4849999999997</v>
      </c>
      <c r="AB25" s="13" cm="1">
        <f t="array" ref="AB25">_xll.BDH("PH US Equity","BS_ACCUM_DEPR","FQ2 2025","FQ2 2025","Currency=USD","Period=FQ","BEST_FPERIOD_OVERRIDE=FQ","FILING_STATUS=MR","SCALING_FORMAT=MLN","Sort=A","Dates=H","DateFormat=P","Fill=—","Direction=H","UseDPDF=Y")</f>
        <v>4238.8909999999996</v>
      </c>
      <c r="AC25" s="13" cm="1">
        <f t="array" ref="AC25">_xll.BDH("PH US Equity","BS_ACCUM_DEPR","FQ3 2025","FQ3 2025","Currency=USD","Period=FQ","BEST_FPERIOD_OVERRIDE=FQ","FILING_STATUS=MR","SCALING_FORMAT=MLN","Sort=A","Dates=H","DateFormat=P","Fill=—","Direction=H","UseDPDF=Y")</f>
        <v>4338.2169999999996</v>
      </c>
      <c r="AD25" s="13" cm="1">
        <f t="array" ref="AD25">_xll.BDH("PH US Equity","BS_ACCUM_DEPR","FQ4 2025","FQ4 2025","Currency=USD","Period=FQ","BEST_FPERIOD_OVERRIDE=FQ","FILING_STATUS=MR","SCALING_FORMAT=MLN","Sort=A","Dates=H","DateFormat=P","Fill=—","Direction=H","UseDPDF=Y")</f>
        <v>4480</v>
      </c>
      <c r="AE25" s="13" t="str" cm="1">
        <f t="array" ref="AE25">_xll.BDH("PH US Equity","BS_ACCUM_DEPR","FQ1 2026","FQ1 2026","Currency=USD","Period=FQ","BEST_FPERIOD_OVERRIDE=FQ","FILING_STATUS=MR","SCALING_FORMAT=MLN","Sort=A","Dates=H","DateFormat=P","Fill=—","Direction=H","UseDPDF=Y")</f>
        <v>—</v>
      </c>
      <c r="AF25" s="13" cm="1">
        <f t="array" ref="AF25">_xll.BDH("PH US Equity","BS_ACCUM_DEPR","FQ2 2026","FQ2 2026","Currency=USD","Period=FQ","BEST_FPERIOD_OVERRIDE=FQ","FILING_STATUS=MR","SCALING_FORMAT=MLN","Sort=A","Dates=H","DateFormat=P","Fill=—","Direction=H","UseDPDF=Y")</f>
        <v>4574</v>
      </c>
    </row>
    <row r="26" spans="1:32" x14ac:dyDescent="0.25">
      <c r="A26" s="10" t="s">
        <v>104</v>
      </c>
      <c r="B26" s="10" t="s">
        <v>105</v>
      </c>
      <c r="C26" s="13" cm="1">
        <f t="array" ref="C26">_xll.BDH("PH US Equity","BS_LT_INVEST","FQ1 2019","FQ1 2019","Currency=USD","Period=FQ","BEST_FPERIOD_OVERRIDE=FQ","FILING_STATUS=MR","SCALING_FORMAT=MLN","Sort=A","Dates=H","DateFormat=P","Fill=—","Direction=H","UseDPDF=Y")</f>
        <v>0</v>
      </c>
      <c r="D26" s="13" cm="1">
        <f t="array" ref="D26">_xll.BDH("PH US Equity","BS_LT_INVEST","FQ2 2019","FQ2 2019","Currency=USD","Period=FQ","BEST_FPERIOD_OVERRIDE=FQ","FILING_STATUS=MR","SCALING_FORMAT=MLN","Sort=A","Dates=H","DateFormat=P","Fill=—","Direction=H","UseDPDF=Y")</f>
        <v>0</v>
      </c>
      <c r="E26" s="13" cm="1">
        <f t="array" ref="E26">_xll.BDH("PH US Equity","BS_LT_INVEST","FQ3 2019","FQ3 2019","Currency=USD","Period=FQ","BEST_FPERIOD_OVERRIDE=FQ","FILING_STATUS=MR","SCALING_FORMAT=MLN","Sort=A","Dates=H","DateFormat=P","Fill=—","Direction=H","UseDPDF=Y")</f>
        <v>0</v>
      </c>
      <c r="F26" s="13" cm="1">
        <f t="array" ref="F26">_xll.BDH("PH US Equity","BS_LT_INVEST","FQ4 2019","FQ4 2019","Currency=USD","Period=FQ","BEST_FPERIOD_OVERRIDE=FQ","FILING_STATUS=MR","SCALING_FORMAT=MLN","Sort=A","Dates=H","DateFormat=P","Fill=—","Direction=H","UseDPDF=Y")</f>
        <v>0</v>
      </c>
      <c r="G26" s="13" cm="1">
        <f t="array" ref="G26">_xll.BDH("PH US Equity","BS_LT_INVEST","FQ1 2020","FQ1 2020","Currency=USD","Period=FQ","BEST_FPERIOD_OVERRIDE=FQ","FILING_STATUS=MR","SCALING_FORMAT=MLN","Sort=A","Dates=H","DateFormat=P","Fill=—","Direction=H","UseDPDF=Y")</f>
        <v>0</v>
      </c>
      <c r="H26" s="13" cm="1">
        <f t="array" ref="H26">_xll.BDH("PH US Equity","BS_LT_INVEST","FQ2 2020","FQ2 2020","Currency=USD","Period=FQ","BEST_FPERIOD_OVERRIDE=FQ","FILING_STATUS=MR","SCALING_FORMAT=MLN","Sort=A","Dates=H","DateFormat=P","Fill=—","Direction=H","UseDPDF=Y")</f>
        <v>0</v>
      </c>
      <c r="I26" s="13" cm="1">
        <f t="array" ref="I26">_xll.BDH("PH US Equity","BS_LT_INVEST","FQ3 2020","FQ3 2020","Currency=USD","Period=FQ","BEST_FPERIOD_OVERRIDE=FQ","FILING_STATUS=MR","SCALING_FORMAT=MLN","Sort=A","Dates=H","DateFormat=P","Fill=—","Direction=H","UseDPDF=Y")</f>
        <v>0</v>
      </c>
      <c r="J26" s="13" cm="1">
        <f t="array" ref="J26">_xll.BDH("PH US Equity","BS_LT_INVEST","FQ4 2020","FQ4 2020","Currency=USD","Period=FQ","BEST_FPERIOD_OVERRIDE=FQ","FILING_STATUS=MR","SCALING_FORMAT=MLN","Sort=A","Dates=H","DateFormat=P","Fill=—","Direction=H","UseDPDF=Y")</f>
        <v>0</v>
      </c>
      <c r="K26" s="13" cm="1">
        <f t="array" ref="K26">_xll.BDH("PH US Equity","BS_LT_INVEST","FQ1 2021","FQ1 2021","Currency=USD","Period=FQ","BEST_FPERIOD_OVERRIDE=FQ","FILING_STATUS=MR","SCALING_FORMAT=MLN","Sort=A","Dates=H","DateFormat=P","Fill=—","Direction=H","UseDPDF=Y")</f>
        <v>0</v>
      </c>
      <c r="L26" s="13" cm="1">
        <f t="array" ref="L26">_xll.BDH("PH US Equity","BS_LT_INVEST","FQ2 2021","FQ2 2021","Currency=USD","Period=FQ","BEST_FPERIOD_OVERRIDE=FQ","FILING_STATUS=MR","SCALING_FORMAT=MLN","Sort=A","Dates=H","DateFormat=P","Fill=—","Direction=H","UseDPDF=Y")</f>
        <v>0</v>
      </c>
      <c r="M26" s="13" cm="1">
        <f t="array" ref="M26">_xll.BDH("PH US Equity","BS_LT_INVEST","FQ3 2021","FQ3 2021","Currency=USD","Period=FQ","BEST_FPERIOD_OVERRIDE=FQ","FILING_STATUS=MR","SCALING_FORMAT=MLN","Sort=A","Dates=H","DateFormat=P","Fill=—","Direction=H","UseDPDF=Y")</f>
        <v>0</v>
      </c>
      <c r="N26" s="13" cm="1">
        <f t="array" ref="N26">_xll.BDH("PH US Equity","BS_LT_INVEST","FQ4 2021","FQ4 2021","Currency=USD","Period=FQ","BEST_FPERIOD_OVERRIDE=FQ","FILING_STATUS=MR","SCALING_FORMAT=MLN","Sort=A","Dates=H","DateFormat=P","Fill=—","Direction=H","UseDPDF=Y")</f>
        <v>0</v>
      </c>
      <c r="O26" s="13" cm="1">
        <f t="array" ref="O26">_xll.BDH("PH US Equity","BS_LT_INVEST","FQ1 2022","FQ1 2022","Currency=USD","Period=FQ","BEST_FPERIOD_OVERRIDE=FQ","FILING_STATUS=MR","SCALING_FORMAT=MLN","Sort=A","Dates=H","DateFormat=P","Fill=—","Direction=H","UseDPDF=Y")</f>
        <v>0</v>
      </c>
      <c r="P26" s="13" cm="1">
        <f t="array" ref="P26">_xll.BDH("PH US Equity","BS_LT_INVEST","FQ2 2022","FQ2 2022","Currency=USD","Period=FQ","BEST_FPERIOD_OVERRIDE=FQ","FILING_STATUS=MR","SCALING_FORMAT=MLN","Sort=A","Dates=H","DateFormat=P","Fill=—","Direction=H","UseDPDF=Y")</f>
        <v>0</v>
      </c>
      <c r="Q26" s="13" cm="1">
        <f t="array" ref="Q26">_xll.BDH("PH US Equity","BS_LT_INVEST","FQ3 2022","FQ3 2022","Currency=USD","Period=FQ","BEST_FPERIOD_OVERRIDE=FQ","FILING_STATUS=MR","SCALING_FORMAT=MLN","Sort=A","Dates=H","DateFormat=P","Fill=—","Direction=H","UseDPDF=Y")</f>
        <v>0</v>
      </c>
      <c r="R26" s="13" cm="1">
        <f t="array" ref="R26">_xll.BDH("PH US Equity","BS_LT_INVEST","FQ4 2022","FQ4 2022","Currency=USD","Period=FQ","BEST_FPERIOD_OVERRIDE=FQ","FILING_STATUS=MR","SCALING_FORMAT=MLN","Sort=A","Dates=H","DateFormat=P","Fill=—","Direction=H","UseDPDF=Y")</f>
        <v>0</v>
      </c>
      <c r="S26" s="13" cm="1">
        <f t="array" ref="S26">_xll.BDH("PH US Equity","BS_LT_INVEST","FQ1 2023","FQ1 2023","Currency=USD","Period=FQ","BEST_FPERIOD_OVERRIDE=FQ","FILING_STATUS=MR","SCALING_FORMAT=MLN","Sort=A","Dates=H","DateFormat=P","Fill=—","Direction=H","UseDPDF=Y")</f>
        <v>0</v>
      </c>
      <c r="T26" s="13" cm="1">
        <f t="array" ref="T26">_xll.BDH("PH US Equity","BS_LT_INVEST","FQ2 2023","FQ2 2023","Currency=USD","Period=FQ","BEST_FPERIOD_OVERRIDE=FQ","FILING_STATUS=MR","SCALING_FORMAT=MLN","Sort=A","Dates=H","DateFormat=P","Fill=—","Direction=H","UseDPDF=Y")</f>
        <v>0</v>
      </c>
      <c r="U26" s="13" cm="1">
        <f t="array" ref="U26">_xll.BDH("PH US Equity","BS_LT_INVEST","FQ3 2023","FQ3 2023","Currency=USD","Period=FQ","BEST_FPERIOD_OVERRIDE=FQ","FILING_STATUS=MR","SCALING_FORMAT=MLN","Sort=A","Dates=H","DateFormat=P","Fill=—","Direction=H","UseDPDF=Y")</f>
        <v>0</v>
      </c>
      <c r="V26" s="13" cm="1">
        <f t="array" ref="V26">_xll.BDH("PH US Equity","BS_LT_INVEST","FQ4 2023","FQ4 2023","Currency=USD","Period=FQ","BEST_FPERIOD_OVERRIDE=FQ","FILING_STATUS=MR","SCALING_FORMAT=MLN","Sort=A","Dates=H","DateFormat=P","Fill=—","Direction=H","UseDPDF=Y")</f>
        <v>0</v>
      </c>
      <c r="W26" s="13" cm="1">
        <f t="array" ref="W26">_xll.BDH("PH US Equity","BS_LT_INVEST","FQ1 2024","FQ1 2024","Currency=USD","Period=FQ","BEST_FPERIOD_OVERRIDE=FQ","FILING_STATUS=MR","SCALING_FORMAT=MLN","Sort=A","Dates=H","DateFormat=P","Fill=—","Direction=H","UseDPDF=Y")</f>
        <v>0</v>
      </c>
      <c r="X26" s="13" cm="1">
        <f t="array" ref="X26">_xll.BDH("PH US Equity","BS_LT_INVEST","FQ2 2024","FQ2 2024","Currency=USD","Period=FQ","BEST_FPERIOD_OVERRIDE=FQ","FILING_STATUS=MR","SCALING_FORMAT=MLN","Sort=A","Dates=H","DateFormat=P","Fill=—","Direction=H","UseDPDF=Y")</f>
        <v>0</v>
      </c>
      <c r="Y26" s="13" cm="1">
        <f t="array" ref="Y26">_xll.BDH("PH US Equity","BS_LT_INVEST","FQ3 2024","FQ3 2024","Currency=USD","Period=FQ","BEST_FPERIOD_OVERRIDE=FQ","FILING_STATUS=MR","SCALING_FORMAT=MLN","Sort=A","Dates=H","DateFormat=P","Fill=—","Direction=H","UseDPDF=Y")</f>
        <v>0</v>
      </c>
      <c r="Z26" s="13" cm="1">
        <f t="array" ref="Z26">_xll.BDH("PH US Equity","BS_LT_INVEST","FQ4 2024","FQ4 2024","Currency=USD","Period=FQ","BEST_FPERIOD_OVERRIDE=FQ","FILING_STATUS=MR","SCALING_FORMAT=MLN","Sort=A","Dates=H","DateFormat=P","Fill=—","Direction=H","UseDPDF=Y")</f>
        <v>0</v>
      </c>
      <c r="AA26" s="13" cm="1">
        <f t="array" ref="AA26">_xll.BDH("PH US Equity","BS_LT_INVEST","FQ1 2025","FQ1 2025","Currency=USD","Period=FQ","BEST_FPERIOD_OVERRIDE=FQ","FILING_STATUS=MR","SCALING_FORMAT=MLN","Sort=A","Dates=H","DateFormat=P","Fill=—","Direction=H","UseDPDF=Y")</f>
        <v>0</v>
      </c>
      <c r="AB26" s="13" cm="1">
        <f t="array" ref="AB26">_xll.BDH("PH US Equity","BS_LT_INVEST","FQ2 2025","FQ2 2025","Currency=USD","Period=FQ","BEST_FPERIOD_OVERRIDE=FQ","FILING_STATUS=MR","SCALING_FORMAT=MLN","Sort=A","Dates=H","DateFormat=P","Fill=—","Direction=H","UseDPDF=Y")</f>
        <v>0</v>
      </c>
      <c r="AC26" s="13" cm="1">
        <f t="array" ref="AC26">_xll.BDH("PH US Equity","BS_LT_INVEST","FQ3 2025","FQ3 2025","Currency=USD","Period=FQ","BEST_FPERIOD_OVERRIDE=FQ","FILING_STATUS=MR","SCALING_FORMAT=MLN","Sort=A","Dates=H","DateFormat=P","Fill=—","Direction=H","UseDPDF=Y")</f>
        <v>0</v>
      </c>
      <c r="AD26" s="13" cm="1">
        <f t="array" ref="AD26">_xll.BDH("PH US Equity","BS_LT_INVEST","FQ4 2025","FQ4 2025","Currency=USD","Period=FQ","BEST_FPERIOD_OVERRIDE=FQ","FILING_STATUS=MR","SCALING_FORMAT=MLN","Sort=A","Dates=H","DateFormat=P","Fill=—","Direction=H","UseDPDF=Y")</f>
        <v>0</v>
      </c>
      <c r="AE26" s="13" cm="1">
        <f t="array" ref="AE26">_xll.BDH("PH US Equity","BS_LT_INVEST","FQ1 2026","FQ1 2026","Currency=USD","Period=FQ","BEST_FPERIOD_OVERRIDE=FQ","FILING_STATUS=MR","SCALING_FORMAT=MLN","Sort=A","Dates=H","DateFormat=P","Fill=—","Direction=H","UseDPDF=Y")</f>
        <v>0</v>
      </c>
      <c r="AF26" s="13" cm="1">
        <f t="array" ref="AF26">_xll.BDH("PH US Equity","BS_LT_INVEST","FQ2 2026","FQ2 2026","Currency=USD","Period=FQ","BEST_FPERIOD_OVERRIDE=FQ","FILING_STATUS=MR","SCALING_FORMAT=MLN","Sort=A","Dates=H","DateFormat=P","Fill=—","Direction=H","UseDPDF=Y")</f>
        <v>0</v>
      </c>
    </row>
    <row r="27" spans="1:32" x14ac:dyDescent="0.25">
      <c r="A27" s="10" t="s">
        <v>106</v>
      </c>
      <c r="B27" s="10" t="s">
        <v>107</v>
      </c>
      <c r="C27" s="13" cm="1">
        <f t="array" ref="C27">_xll.BDH("PH US Equity","BS_OTHER_ASSETS_DEF_CHRG_OTHER","FQ1 2019","FQ1 2019","Currency=USD","Period=FQ","BEST_FPERIOD_OVERRIDE=FQ","FILING_STATUS=MR","SCALING_FORMAT=MLN","Sort=A","Dates=H","DateFormat=P","Fill=—","Direction=H","UseDPDF=Y")</f>
        <v>8298.9259999999995</v>
      </c>
      <c r="D27" s="13" cm="1">
        <f t="array" ref="D27">_xll.BDH("PH US Equity","BS_OTHER_ASSETS_DEF_CHRG_OTHER","FQ2 2019","FQ2 2019","Currency=USD","Period=FQ","BEST_FPERIOD_OVERRIDE=FQ","FILING_STATUS=MR","SCALING_FORMAT=MLN","Sort=A","Dates=H","DateFormat=P","Fill=—","Direction=H","UseDPDF=Y")</f>
        <v>8179.1459999999997</v>
      </c>
      <c r="E27" s="13" cm="1">
        <f t="array" ref="E27">_xll.BDH("PH US Equity","BS_OTHER_ASSETS_DEF_CHRG_OTHER","FQ3 2019","FQ3 2019","Currency=USD","Period=FQ","BEST_FPERIOD_OVERRIDE=FQ","FILING_STATUS=MR","SCALING_FORMAT=MLN","Sort=A","Dates=H","DateFormat=P","Fill=—","Direction=H","UseDPDF=Y")</f>
        <v>8160.2520000000004</v>
      </c>
      <c r="F27" s="13" cm="1">
        <f t="array" ref="F27">_xll.BDH("PH US Equity","BS_OTHER_ASSETS_DEF_CHRG_OTHER","FQ4 2019","FQ4 2019","Currency=USD","Period=FQ","BEST_FPERIOD_OVERRIDE=FQ","FILING_STATUS=MR","SCALING_FORMAT=MLN","Sort=A","Dates=H","DateFormat=P","Fill=—","Direction=H","UseDPDF=Y")</f>
        <v>8135.317</v>
      </c>
      <c r="G27" s="13" cm="1">
        <f t="array" ref="G27">_xll.BDH("PH US Equity","BS_OTHER_ASSETS_DEF_CHRG_OTHER","FQ1 2020","FQ1 2020","Currency=USD","Period=FQ","BEST_FPERIOD_OVERRIDE=FQ","FILING_STATUS=MR","SCALING_FORMAT=MLN","Sort=A","Dates=H","DateFormat=P","Fill=—","Direction=H","UseDPDF=Y")</f>
        <v>9413.5840000000007</v>
      </c>
      <c r="H27" s="13" cm="1">
        <f t="array" ref="H27">_xll.BDH("PH US Equity","BS_OTHER_ASSETS_DEF_CHRG_OTHER","FQ2 2020","FQ2 2020","Currency=USD","Period=FQ","BEST_FPERIOD_OVERRIDE=FQ","FILING_STATUS=MR","SCALING_FORMAT=MLN","Sort=A","Dates=H","DateFormat=P","Fill=—","Direction=H","UseDPDF=Y")</f>
        <v>12891.029</v>
      </c>
      <c r="I27" s="13" cm="1">
        <f t="array" ref="I27">_xll.BDH("PH US Equity","BS_OTHER_ASSETS_DEF_CHRG_OTHER","FQ3 2020","FQ3 2020","Currency=USD","Period=FQ","BEST_FPERIOD_OVERRIDE=FQ","FILING_STATUS=MR","SCALING_FORMAT=MLN","Sort=A","Dates=H","DateFormat=P","Fill=—","Direction=H","UseDPDF=Y")</f>
        <v>12449.199000000001</v>
      </c>
      <c r="J27" s="13" cm="1">
        <f t="array" ref="J27">_xll.BDH("PH US Equity","BS_OTHER_ASSETS_DEF_CHRG_OTHER","FQ4 2020","FQ4 2020","Currency=USD","Period=FQ","BEST_FPERIOD_OVERRIDE=FQ","FILING_STATUS=MR","SCALING_FORMAT=MLN","Sort=A","Dates=H","DateFormat=P","Fill=—","Direction=H","UseDPDF=Y")</f>
        <v>12421.648999999999</v>
      </c>
      <c r="K27" s="13" cm="1">
        <f t="array" ref="K27">_xll.BDH("PH US Equity","BS_OTHER_ASSETS_DEF_CHRG_OTHER","FQ1 2021","FQ1 2021","Currency=USD","Period=FQ","BEST_FPERIOD_OVERRIDE=FQ","FILING_STATUS=MR","SCALING_FORMAT=MLN","Sort=A","Dates=H","DateFormat=P","Fill=—","Direction=H","UseDPDF=Y")</f>
        <v>12623.553</v>
      </c>
      <c r="L27" s="13" cm="1">
        <f t="array" ref="L27">_xll.BDH("PH US Equity","BS_OTHER_ASSETS_DEF_CHRG_OTHER","FQ2 2021","FQ2 2021","Currency=USD","Period=FQ","BEST_FPERIOD_OVERRIDE=FQ","FILING_STATUS=MR","SCALING_FORMAT=MLN","Sort=A","Dates=H","DateFormat=P","Fill=—","Direction=H","UseDPDF=Y")</f>
        <v>12725.608</v>
      </c>
      <c r="M27" s="13" cm="1">
        <f t="array" ref="M27">_xll.BDH("PH US Equity","BS_OTHER_ASSETS_DEF_CHRG_OTHER","FQ3 2021","FQ3 2021","Currency=USD","Period=FQ","BEST_FPERIOD_OVERRIDE=FQ","FILING_STATUS=MR","SCALING_FORMAT=MLN","Sort=A","Dates=H","DateFormat=P","Fill=—","Direction=H","UseDPDF=Y")</f>
        <v>12543.370999999999</v>
      </c>
      <c r="N27" s="13" cm="1">
        <f t="array" ref="N27">_xll.BDH("PH US Equity","BS_OTHER_ASSETS_DEF_CHRG_OTHER","FQ4 2021","FQ4 2021","Currency=USD","Period=FQ","BEST_FPERIOD_OVERRIDE=FQ","FILING_STATUS=MR","SCALING_FORMAT=MLN","Sort=A","Dates=H","DateFormat=P","Fill=—","Direction=H","UseDPDF=Y")</f>
        <v>12326.093999999999</v>
      </c>
      <c r="O27" s="13" cm="1">
        <f t="array" ref="O27">_xll.BDH("PH US Equity","BS_OTHER_ASSETS_DEF_CHRG_OTHER","FQ1 2022","FQ1 2022","Currency=USD","Period=FQ","BEST_FPERIOD_OVERRIDE=FQ","FILING_STATUS=MR","SCALING_FORMAT=MLN","Sort=A","Dates=H","DateFormat=P","Fill=—","Direction=H","UseDPDF=Y")</f>
        <v>12382.063</v>
      </c>
      <c r="P27" s="13" cm="1">
        <f t="array" ref="P27">_xll.BDH("PH US Equity","BS_OTHER_ASSETS_DEF_CHRG_OTHER","FQ2 2022","FQ2 2022","Currency=USD","Period=FQ","BEST_FPERIOD_OVERRIDE=FQ","FILING_STATUS=MR","SCALING_FORMAT=MLN","Sort=A","Dates=H","DateFormat=P","Fill=—","Direction=H","UseDPDF=Y")</f>
        <v>12284.894</v>
      </c>
      <c r="Q27" s="13" cm="1">
        <f t="array" ref="Q27">_xll.BDH("PH US Equity","BS_OTHER_ASSETS_DEF_CHRG_OTHER","FQ3 2022","FQ3 2022","Currency=USD","Period=FQ","BEST_FPERIOD_OVERRIDE=FQ","FILING_STATUS=MR","SCALING_FORMAT=MLN","Sort=A","Dates=H","DateFormat=P","Fill=—","Direction=H","UseDPDF=Y")</f>
        <v>12141.388999999999</v>
      </c>
      <c r="R27" s="13" cm="1">
        <f t="array" ref="R27">_xll.BDH("PH US Equity","BS_OTHER_ASSETS_DEF_CHRG_OTHER","FQ4 2022","FQ4 2022","Currency=USD","Period=FQ","BEST_FPERIOD_OVERRIDE=FQ","FILING_STATUS=MR","SCALING_FORMAT=MLN","Sort=A","Dates=H","DateFormat=P","Fill=—","Direction=H","UseDPDF=Y")</f>
        <v>11774.540999999999</v>
      </c>
      <c r="S27" s="13" cm="1">
        <f t="array" ref="S27">_xll.BDH("PH US Equity","BS_OTHER_ASSETS_DEF_CHRG_OTHER","FQ1 2023","FQ1 2023","Currency=USD","Period=FQ","BEST_FPERIOD_OVERRIDE=FQ","FILING_STATUS=MR","SCALING_FORMAT=MLN","Sort=A","Dates=H","DateFormat=P","Fill=—","Direction=H","UseDPDF=Y")</f>
        <v>20033.473000000002</v>
      </c>
      <c r="T27" s="13" cm="1">
        <f t="array" ref="T27">_xll.BDH("PH US Equity","BS_OTHER_ASSETS_DEF_CHRG_OTHER","FQ2 2023","FQ2 2023","Currency=USD","Period=FQ","BEST_FPERIOD_OVERRIDE=FQ","FILING_STATUS=MR","SCALING_FORMAT=MLN","Sort=A","Dates=H","DateFormat=P","Fill=—","Direction=H","UseDPDF=Y")</f>
        <v>20396.363000000001</v>
      </c>
      <c r="U27" s="13" cm="1">
        <f t="array" ref="U27">_xll.BDH("PH US Equity","BS_OTHER_ASSETS_DEF_CHRG_OTHER","FQ3 2023","FQ3 2023","Currency=USD","Period=FQ","BEST_FPERIOD_OVERRIDE=FQ","FILING_STATUS=MR","SCALING_FORMAT=MLN","Sort=A","Dates=H","DateFormat=P","Fill=—","Direction=H","UseDPDF=Y")</f>
        <v>20438.518</v>
      </c>
      <c r="V27" s="13" cm="1">
        <f t="array" ref="V27">_xll.BDH("PH US Equity","BS_OTHER_ASSETS_DEF_CHRG_OTHER","FQ4 2023","FQ4 2023","Currency=USD","Period=FQ","BEST_FPERIOD_OVERRIDE=FQ","FILING_STATUS=MR","SCALING_FORMAT=MLN","Sort=A","Dates=H","DateFormat=P","Fill=—","Direction=H","UseDPDF=Y")</f>
        <v>20032.48</v>
      </c>
      <c r="W27" s="13" cm="1">
        <f t="array" ref="W27">_xll.BDH("PH US Equity","BS_OTHER_ASSETS_DEF_CHRG_OTHER","FQ1 2024","FQ1 2024","Currency=USD","Period=FQ","BEST_FPERIOD_OVERRIDE=FQ","FILING_STATUS=MR","SCALING_FORMAT=MLN","Sort=A","Dates=H","DateFormat=P","Fill=—","Direction=H","UseDPDF=Y")</f>
        <v>19922.614000000001</v>
      </c>
      <c r="X27" s="13" cm="1">
        <f t="array" ref="X27">_xll.BDH("PH US Equity","BS_OTHER_ASSETS_DEF_CHRG_OTHER","FQ2 2024","FQ2 2024","Currency=USD","Period=FQ","BEST_FPERIOD_OVERRIDE=FQ","FILING_STATUS=MR","SCALING_FORMAT=MLN","Sort=A","Dates=H","DateFormat=P","Fill=—","Direction=H","UseDPDF=Y")</f>
        <v>20059.330999999998</v>
      </c>
      <c r="Y27" s="13" cm="1">
        <f t="array" ref="Y27">_xll.BDH("PH US Equity","BS_OTHER_ASSETS_DEF_CHRG_OTHER","FQ3 2024","FQ3 2024","Currency=USD","Period=FQ","BEST_FPERIOD_OVERRIDE=FQ","FILING_STATUS=MR","SCALING_FORMAT=MLN","Sort=A","Dates=H","DateFormat=P","Fill=—","Direction=H","UseDPDF=Y")</f>
        <v>19764.856</v>
      </c>
      <c r="Z27" s="13" cm="1">
        <f t="array" ref="Z27">_xll.BDH("PH US Equity","BS_OTHER_ASSETS_DEF_CHRG_OTHER","FQ4 2024","FQ4 2024","Currency=USD","Period=FQ","BEST_FPERIOD_OVERRIDE=FQ","FILING_STATUS=MR","SCALING_FORMAT=MLN","Sort=A","Dates=H","DateFormat=P","Fill=—","Direction=H","UseDPDF=Y")</f>
        <v>19397.598000000002</v>
      </c>
      <c r="AA27" s="13" cm="1">
        <f t="array" ref="AA27">_xll.BDH("PH US Equity","BS_OTHER_ASSETS_DEF_CHRG_OTHER","FQ1 2025","FQ1 2025","Currency=USD","Period=FQ","BEST_FPERIOD_OVERRIDE=FQ","FILING_STATUS=MR","SCALING_FORMAT=MLN","Sort=A","Dates=H","DateFormat=P","Fill=—","Direction=H","UseDPDF=Y")</f>
        <v>19727.592000000001</v>
      </c>
      <c r="AB27" s="13" cm="1">
        <f t="array" ref="AB27">_xll.BDH("PH US Equity","BS_OTHER_ASSETS_DEF_CHRG_OTHER","FQ2 2025","FQ2 2025","Currency=USD","Period=FQ","BEST_FPERIOD_OVERRIDE=FQ","FILING_STATUS=MR","SCALING_FORMAT=MLN","Sort=A","Dates=H","DateFormat=P","Fill=—","Direction=H","UseDPDF=Y")</f>
        <v>19122.008999999998</v>
      </c>
      <c r="AC27" s="13" cm="1">
        <f t="array" ref="AC27">_xll.BDH("PH US Equity","BS_OTHER_ASSETS_DEF_CHRG_OTHER","FQ3 2025","FQ3 2025","Currency=USD","Period=FQ","BEST_FPERIOD_OVERRIDE=FQ","FILING_STATUS=MR","SCALING_FORMAT=MLN","Sort=A","Dates=H","DateFormat=P","Fill=—","Direction=H","UseDPDF=Y")</f>
        <v>19319.101999999999</v>
      </c>
      <c r="AD27" s="13" cm="1">
        <f t="array" ref="AD27">_xll.BDH("PH US Equity","BS_OTHER_ASSETS_DEF_CHRG_OTHER","FQ4 2025","FQ4 2025","Currency=USD","Period=FQ","BEST_FPERIOD_OVERRIDE=FQ","FILING_STATUS=MR","SCALING_FORMAT=MLN","Sort=A","Dates=H","DateFormat=P","Fill=—","Direction=H","UseDPDF=Y")</f>
        <v>19415</v>
      </c>
      <c r="AE27" s="13" cm="1">
        <f t="array" ref="AE27">_xll.BDH("PH US Equity","BS_OTHER_ASSETS_DEF_CHRG_OTHER","FQ1 2026","FQ1 2026","Currency=USD","Period=FQ","BEST_FPERIOD_OVERRIDE=FQ","FILING_STATUS=MR","SCALING_FORMAT=MLN","Sort=A","Dates=H","DateFormat=P","Fill=—","Direction=H","UseDPDF=Y")</f>
        <v>20478</v>
      </c>
      <c r="AF27" s="13" cm="1">
        <f t="array" ref="AF27">_xll.BDH("PH US Equity","BS_OTHER_ASSETS_DEF_CHRG_OTHER","FQ2 2026","FQ2 2026","Currency=USD","Period=FQ","BEST_FPERIOD_OVERRIDE=FQ","FILING_STATUS=MR","SCALING_FORMAT=MLN","Sort=A","Dates=H","DateFormat=P","Fill=—","Direction=H","UseDPDF=Y")</f>
        <v>20352</v>
      </c>
    </row>
    <row r="28" spans="1:32" x14ac:dyDescent="0.25">
      <c r="A28" s="10" t="s">
        <v>108</v>
      </c>
      <c r="B28" s="10" t="s">
        <v>109</v>
      </c>
      <c r="C28" s="13" cm="1">
        <f t="array" ref="C28">_xll.BDH("PH US Equity","BS_DISCLOSED_INTANGIBLES","FQ1 2019","FQ1 2019","Currency=USD","Period=FQ","BEST_FPERIOD_OVERRIDE=FQ","FILING_STATUS=MR","SCALING_FORMAT=MLN","Sort=A","Dates=H","DateFormat=P","Fill=—","Direction=H","UseDPDF=Y")</f>
        <v>7441.2449999999999</v>
      </c>
      <c r="D28" s="13" cm="1">
        <f t="array" ref="D28">_xll.BDH("PH US Equity","BS_DISCLOSED_INTANGIBLES","FQ2 2019","FQ2 2019","Currency=USD","Period=FQ","BEST_FPERIOD_OVERRIDE=FQ","FILING_STATUS=MR","SCALING_FORMAT=MLN","Sort=A","Dates=H","DateFormat=P","Fill=—","Direction=H","UseDPDF=Y")</f>
        <v>7346.38</v>
      </c>
      <c r="E28" s="13" cm="1">
        <f t="array" ref="E28">_xll.BDH("PH US Equity","BS_DISCLOSED_INTANGIBLES","FQ3 2019","FQ3 2019","Currency=USD","Period=FQ","BEST_FPERIOD_OVERRIDE=FQ","FILING_STATUS=MR","SCALING_FORMAT=MLN","Sort=A","Dates=H","DateFormat=P","Fill=—","Direction=H","UseDPDF=Y")</f>
        <v>7294.3980000000001</v>
      </c>
      <c r="F28" s="13" cm="1">
        <f t="array" ref="F28">_xll.BDH("PH US Equity","BS_DISCLOSED_INTANGIBLES","FQ4 2019","FQ4 2019","Currency=USD","Period=FQ","BEST_FPERIOD_OVERRIDE=FQ","FILING_STATUS=MR","SCALING_FORMAT=MLN","Sort=A","Dates=H","DateFormat=P","Fill=—","Direction=H","UseDPDF=Y")</f>
        <v>7237.0820000000003</v>
      </c>
      <c r="G28" s="13" cm="1">
        <f t="array" ref="G28">_xll.BDH("PH US Equity","BS_DISCLOSED_INTANGIBLES","FQ1 2020","FQ1 2020","Currency=USD","Period=FQ","BEST_FPERIOD_OVERRIDE=FQ","FILING_STATUS=MR","SCALING_FORMAT=MLN","Sort=A","Dates=H","DateFormat=P","Fill=—","Direction=H","UseDPDF=Y")</f>
        <v>8512.3690000000006</v>
      </c>
      <c r="H28" s="13" cm="1">
        <f t="array" ref="H28">_xll.BDH("PH US Equity","BS_DISCLOSED_INTANGIBLES","FQ2 2020","FQ2 2020","Currency=USD","Period=FQ","BEST_FPERIOD_OVERRIDE=FQ","FILING_STATUS=MR","SCALING_FORMAT=MLN","Sort=A","Dates=H","DateFormat=P","Fill=—","Direction=H","UseDPDF=Y")</f>
        <v>11991.278</v>
      </c>
      <c r="I28" s="13" cm="1">
        <f t="array" ref="I28">_xll.BDH("PH US Equity","BS_DISCLOSED_INTANGIBLES","FQ3 2020","FQ3 2020","Currency=USD","Period=FQ","BEST_FPERIOD_OVERRIDE=FQ","FILING_STATUS=MR","SCALING_FORMAT=MLN","Sort=A","Dates=H","DateFormat=P","Fill=—","Direction=H","UseDPDF=Y")</f>
        <v>11711.606</v>
      </c>
      <c r="J28" s="13" cm="1">
        <f t="array" ref="J28">_xll.BDH("PH US Equity","BS_DISCLOSED_INTANGIBLES","FQ4 2020","FQ4 2020","Currency=USD","Period=FQ","BEST_FPERIOD_OVERRIDE=FQ","FILING_STATUS=MR","SCALING_FORMAT=MLN","Sort=A","Dates=H","DateFormat=P","Fill=—","Direction=H","UseDPDF=Y")</f>
        <v>11668.848</v>
      </c>
      <c r="K28" s="13" cm="1">
        <f t="array" ref="K28">_xll.BDH("PH US Equity","BS_DISCLOSED_INTANGIBLES","FQ1 2021","FQ1 2021","Currency=USD","Period=FQ","BEST_FPERIOD_OVERRIDE=FQ","FILING_STATUS=MR","SCALING_FORMAT=MLN","Sort=A","Dates=H","DateFormat=P","Fill=—","Direction=H","UseDPDF=Y")</f>
        <v>11715.210999999999</v>
      </c>
      <c r="L28" s="13" cm="1">
        <f t="array" ref="L28">_xll.BDH("PH US Equity","BS_DISCLOSED_INTANGIBLES","FQ2 2021","FQ2 2021","Currency=USD","Period=FQ","BEST_FPERIOD_OVERRIDE=FQ","FILING_STATUS=MR","SCALING_FORMAT=MLN","Sort=A","Dates=H","DateFormat=P","Fill=—","Direction=H","UseDPDF=Y")</f>
        <v>11796.21</v>
      </c>
      <c r="M28" s="13" cm="1">
        <f t="array" ref="M28">_xll.BDH("PH US Equity","BS_DISCLOSED_INTANGIBLES","FQ3 2021","FQ3 2021","Currency=USD","Period=FQ","BEST_FPERIOD_OVERRIDE=FQ","FILING_STATUS=MR","SCALING_FORMAT=MLN","Sort=A","Dates=H","DateFormat=P","Fill=—","Direction=H","UseDPDF=Y")</f>
        <v>11626.768</v>
      </c>
      <c r="N28" s="13" cm="1">
        <f t="array" ref="N28">_xll.BDH("PH US Equity","BS_DISCLOSED_INTANGIBLES","FQ4 2021","FQ4 2021","Currency=USD","Period=FQ","BEST_FPERIOD_OVERRIDE=FQ","FILING_STATUS=MR","SCALING_FORMAT=MLN","Sort=A","Dates=H","DateFormat=P","Fill=—","Direction=H","UseDPDF=Y")</f>
        <v>11579.484</v>
      </c>
      <c r="O28" s="13" cm="1">
        <f t="array" ref="O28">_xll.BDH("PH US Equity","BS_DISCLOSED_INTANGIBLES","FQ1 2022","FQ1 2022","Currency=USD","Period=FQ","BEST_FPERIOD_OVERRIDE=FQ","FILING_STATUS=MR","SCALING_FORMAT=MLN","Sort=A","Dates=H","DateFormat=P","Fill=—","Direction=H","UseDPDF=Y")</f>
        <v>11435.88</v>
      </c>
      <c r="P28" s="13" cm="1">
        <f t="array" ref="P28">_xll.BDH("PH US Equity","BS_DISCLOSED_INTANGIBLES","FQ2 2022","FQ2 2022","Currency=USD","Period=FQ","BEST_FPERIOD_OVERRIDE=FQ","FILING_STATUS=MR","SCALING_FORMAT=MLN","Sort=A","Dates=H","DateFormat=P","Fill=—","Direction=H","UseDPDF=Y")</f>
        <v>11343.513000000001</v>
      </c>
      <c r="Q28" s="13" cm="1">
        <f t="array" ref="Q28">_xll.BDH("PH US Equity","BS_DISCLOSED_INTANGIBLES","FQ3 2022","FQ3 2022","Currency=USD","Period=FQ","BEST_FPERIOD_OVERRIDE=FQ","FILING_STATUS=MR","SCALING_FORMAT=MLN","Sort=A","Dates=H","DateFormat=P","Fill=—","Direction=H","UseDPDF=Y")</f>
        <v>11208.897000000001</v>
      </c>
      <c r="R28" s="13" cm="1">
        <f t="array" ref="R28">_xll.BDH("PH US Equity","BS_DISCLOSED_INTANGIBLES","FQ4 2022","FQ4 2022","Currency=USD","Period=FQ","BEST_FPERIOD_OVERRIDE=FQ","FILING_STATUS=MR","SCALING_FORMAT=MLN","Sort=A","Dates=H","DateFormat=P","Fill=—","Direction=H","UseDPDF=Y")</f>
        <v>10875.898999999999</v>
      </c>
      <c r="S28" s="13" cm="1">
        <f t="array" ref="S28">_xll.BDH("PH US Equity","BS_DISCLOSED_INTANGIBLES","FQ1 2023","FQ1 2023","Currency=USD","Period=FQ","BEST_FPERIOD_OVERRIDE=FQ","FILING_STATUS=MR","SCALING_FORMAT=MLN","Sort=A","Dates=H","DateFormat=P","Fill=—","Direction=H","UseDPDF=Y")</f>
        <v>18772.141</v>
      </c>
      <c r="T28" s="13" cm="1">
        <f t="array" ref="T28">_xll.BDH("PH US Equity","BS_DISCLOSED_INTANGIBLES","FQ2 2023","FQ2 2023","Currency=USD","Period=FQ","BEST_FPERIOD_OVERRIDE=FQ","FILING_STATUS=MR","SCALING_FORMAT=MLN","Sort=A","Dates=H","DateFormat=P","Fill=—","Direction=H","UseDPDF=Y")</f>
        <v>19056.821</v>
      </c>
      <c r="U28" s="13" cm="1">
        <f t="array" ref="U28">_xll.BDH("PH US Equity","BS_DISCLOSED_INTANGIBLES","FQ3 2023","FQ3 2023","Currency=USD","Period=FQ","BEST_FPERIOD_OVERRIDE=FQ","FILING_STATUS=MR","SCALING_FORMAT=MLN","Sort=A","Dates=H","DateFormat=P","Fill=—","Direction=H","UseDPDF=Y")</f>
        <v>19118.064999999999</v>
      </c>
      <c r="V28" s="13" cm="1">
        <f t="array" ref="V28">_xll.BDH("PH US Equity","BS_DISCLOSED_INTANGIBLES","FQ4 2023","FQ4 2023","Currency=USD","Period=FQ","BEST_FPERIOD_OVERRIDE=FQ","FILING_STATUS=MR","SCALING_FORMAT=MLN","Sort=A","Dates=H","DateFormat=P","Fill=—","Direction=H","UseDPDF=Y")</f>
        <v>19079.207999999999</v>
      </c>
      <c r="W28" s="13" cm="1">
        <f t="array" ref="W28">_xll.BDH("PH US Equity","BS_DISCLOSED_INTANGIBLES","FQ1 2024","FQ1 2024","Currency=USD","Period=FQ","BEST_FPERIOD_OVERRIDE=FQ","FILING_STATUS=MR","SCALING_FORMAT=MLN","Sort=A","Dates=H","DateFormat=P","Fill=—","Direction=H","UseDPDF=Y")</f>
        <v>18715.087</v>
      </c>
      <c r="X28" s="13" cm="1">
        <f t="array" ref="X28">_xll.BDH("PH US Equity","BS_DISCLOSED_INTANGIBLES","FQ2 2024","FQ2 2024","Currency=USD","Period=FQ","BEST_FPERIOD_OVERRIDE=FQ","FILING_STATUS=MR","SCALING_FORMAT=MLN","Sort=A","Dates=H","DateFormat=P","Fill=—","Direction=H","UseDPDF=Y")</f>
        <v>18825.365000000002</v>
      </c>
      <c r="Y28" s="13" cm="1">
        <f t="array" ref="Y28">_xll.BDH("PH US Equity","BS_DISCLOSED_INTANGIBLES","FQ3 2024","FQ3 2024","Currency=USD","Period=FQ","BEST_FPERIOD_OVERRIDE=FQ","FILING_STATUS=MR","SCALING_FORMAT=MLN","Sort=A","Dates=H","DateFormat=P","Fill=—","Direction=H","UseDPDF=Y")</f>
        <v>18541.263999999999</v>
      </c>
      <c r="Z28" s="13" cm="1">
        <f t="array" ref="Z28">_xll.BDH("PH US Equity","BS_DISCLOSED_INTANGIBLES","FQ4 2024","FQ4 2024","Currency=USD","Period=FQ","BEST_FPERIOD_OVERRIDE=FQ","FILING_STATUS=MR","SCALING_FORMAT=MLN","Sort=A","Dates=H","DateFormat=P","Fill=—","Direction=H","UseDPDF=Y")</f>
        <v>18323.614000000001</v>
      </c>
      <c r="AA28" s="13" cm="1">
        <f t="array" ref="AA28">_xll.BDH("PH US Equity","BS_DISCLOSED_INTANGIBLES","FQ1 2025","FQ1 2025","Currency=USD","Period=FQ","BEST_FPERIOD_OVERRIDE=FQ","FILING_STATUS=MR","SCALING_FORMAT=MLN","Sort=A","Dates=H","DateFormat=P","Fill=—","Direction=H","UseDPDF=Y")</f>
        <v>18372.52</v>
      </c>
      <c r="AB28" s="13" cm="1">
        <f t="array" ref="AB28">_xll.BDH("PH US Equity","BS_DISCLOSED_INTANGIBLES","FQ2 2025","FQ2 2025","Currency=USD","Period=FQ","BEST_FPERIOD_OVERRIDE=FQ","FILING_STATUS=MR","SCALING_FORMAT=MLN","Sort=A","Dates=H","DateFormat=P","Fill=—","Direction=H","UseDPDF=Y")</f>
        <v>17801.973000000002</v>
      </c>
      <c r="AC28" s="13" cm="1">
        <f t="array" ref="AC28">_xll.BDH("PH US Equity","BS_DISCLOSED_INTANGIBLES","FQ3 2025","FQ3 2025","Currency=USD","Period=FQ","BEST_FPERIOD_OVERRIDE=FQ","FILING_STATUS=MR","SCALING_FORMAT=MLN","Sort=A","Dates=H","DateFormat=P","Fill=—","Direction=H","UseDPDF=Y")</f>
        <v>17832.47</v>
      </c>
      <c r="AD28" s="13" cm="1">
        <f t="array" ref="AD28">_xll.BDH("PH US Equity","BS_DISCLOSED_INTANGIBLES","FQ4 2025","FQ4 2025","Currency=USD","Period=FQ","BEST_FPERIOD_OVERRIDE=FQ","FILING_STATUS=MR","SCALING_FORMAT=MLN","Sort=A","Dates=H","DateFormat=P","Fill=—","Direction=H","UseDPDF=Y")</f>
        <v>18068</v>
      </c>
      <c r="AE28" s="13" cm="1">
        <f t="array" ref="AE28">_xll.BDH("PH US Equity","BS_DISCLOSED_INTANGIBLES","FQ1 2026","FQ1 2026","Currency=USD","Period=FQ","BEST_FPERIOD_OVERRIDE=FQ","FILING_STATUS=MR","SCALING_FORMAT=MLN","Sort=A","Dates=H","DateFormat=P","Fill=—","Direction=H","UseDPDF=Y")</f>
        <v>18901</v>
      </c>
      <c r="AF28" s="13" cm="1">
        <f t="array" ref="AF28">_xll.BDH("PH US Equity","BS_DISCLOSED_INTANGIBLES","FQ2 2026","FQ2 2026","Currency=USD","Period=FQ","BEST_FPERIOD_OVERRIDE=FQ","FILING_STATUS=MR","SCALING_FORMAT=MLN","Sort=A","Dates=H","DateFormat=P","Fill=—","Direction=H","UseDPDF=Y")</f>
        <v>18759</v>
      </c>
    </row>
    <row r="29" spans="1:32" x14ac:dyDescent="0.25">
      <c r="A29" s="11" t="s">
        <v>110</v>
      </c>
      <c r="B29" s="11" t="s">
        <v>111</v>
      </c>
      <c r="C29" s="17" cm="1">
        <f t="array" ref="C29">_xll.BDH("PH US Equity","BS_GOODWILL","FQ1 2019","FQ1 2019","Currency=USD","Period=FQ","BEST_FPERIOD_OVERRIDE=FQ","FILING_STATUS=MR","SCALING_FORMAT=MLN","Sort=A","Dates=H","DateFormat=P","Fill=—","Direction=H","UseDPDF=Y")</f>
        <v>5485.1440000000002</v>
      </c>
      <c r="D29" s="17" cm="1">
        <f t="array" ref="D29">_xll.BDH("PH US Equity","BS_GOODWILL","FQ2 2019","FQ2 2019","Currency=USD","Period=FQ","BEST_FPERIOD_OVERRIDE=FQ","FILING_STATUS=MR","SCALING_FORMAT=MLN","Sort=A","Dates=H","DateFormat=P","Fill=—","Direction=H","UseDPDF=Y")</f>
        <v>5462.5550000000003</v>
      </c>
      <c r="E29" s="17" cm="1">
        <f t="array" ref="E29">_xll.BDH("PH US Equity","BS_GOODWILL","FQ3 2019","FQ3 2019","Currency=USD","Period=FQ","BEST_FPERIOD_OVERRIDE=FQ","FILING_STATUS=MR","SCALING_FORMAT=MLN","Sort=A","Dates=H","DateFormat=P","Fill=—","Direction=H","UseDPDF=Y")</f>
        <v>5459.9650000000001</v>
      </c>
      <c r="F29" s="17" cm="1">
        <f t="array" ref="F29">_xll.BDH("PH US Equity","BS_GOODWILL","FQ4 2019","FQ4 2019","Currency=USD","Period=FQ","BEST_FPERIOD_OVERRIDE=FQ","FILING_STATUS=MR","SCALING_FORMAT=MLN","Sort=A","Dates=H","DateFormat=P","Fill=—","Direction=H","UseDPDF=Y")</f>
        <v>5453.8050000000003</v>
      </c>
      <c r="G29" s="17" cm="1">
        <f t="array" ref="G29">_xll.BDH("PH US Equity","BS_GOODWILL","FQ1 2020","FQ1 2020","Currency=USD","Period=FQ","BEST_FPERIOD_OVERRIDE=FQ","FILING_STATUS=MR","SCALING_FORMAT=MLN","Sort=A","Dates=H","DateFormat=P","Fill=—","Direction=H","UseDPDF=Y")</f>
        <v>5818.6130000000003</v>
      </c>
      <c r="H29" s="17" cm="1">
        <f t="array" ref="H29">_xll.BDH("PH US Equity","BS_GOODWILL","FQ2 2020","FQ2 2020","Currency=USD","Period=FQ","BEST_FPERIOD_OVERRIDE=FQ","FILING_STATUS=MR","SCALING_FORMAT=MLN","Sort=A","Dates=H","DateFormat=P","Fill=—","Direction=H","UseDPDF=Y")</f>
        <v>7955.17</v>
      </c>
      <c r="I29" s="17" cm="1">
        <f t="array" ref="I29">_xll.BDH("PH US Equity","BS_GOODWILL","FQ3 2020","FQ3 2020","Currency=USD","Period=FQ","BEST_FPERIOD_OVERRIDE=FQ","FILING_STATUS=MR","SCALING_FORMAT=MLN","Sort=A","Dates=H","DateFormat=P","Fill=—","Direction=H","UseDPDF=Y")</f>
        <v>7829.7790000000005</v>
      </c>
      <c r="J29" s="17" cm="1">
        <f t="array" ref="J29">_xll.BDH("PH US Equity","BS_GOODWILL","FQ4 2020","FQ4 2020","Currency=USD","Period=FQ","BEST_FPERIOD_OVERRIDE=FQ","FILING_STATUS=MR","SCALING_FORMAT=MLN","Sort=A","Dates=H","DateFormat=P","Fill=—","Direction=H","UseDPDF=Y")</f>
        <v>7869.9350000000004</v>
      </c>
      <c r="K29" s="17" cm="1">
        <f t="array" ref="K29">_xll.BDH("PH US Equity","BS_GOODWILL","FQ1 2021","FQ1 2021","Currency=USD","Period=FQ","BEST_FPERIOD_OVERRIDE=FQ","FILING_STATUS=MR","SCALING_FORMAT=MLN","Sort=A","Dates=H","DateFormat=P","Fill=—","Direction=H","UseDPDF=Y")</f>
        <v>7971.8969999999999</v>
      </c>
      <c r="L29" s="17" cm="1">
        <f t="array" ref="L29">_xll.BDH("PH US Equity","BS_GOODWILL","FQ2 2021","FQ2 2021","Currency=USD","Period=FQ","BEST_FPERIOD_OVERRIDE=FQ","FILING_STATUS=MR","SCALING_FORMAT=MLN","Sort=A","Dates=H","DateFormat=P","Fill=—","Direction=H","UseDPDF=Y")</f>
        <v>8101.0159999999996</v>
      </c>
      <c r="M29" s="17" cm="1">
        <f t="array" ref="M29">_xll.BDH("PH US Equity","BS_GOODWILL","FQ3 2021","FQ3 2021","Currency=USD","Period=FQ","BEST_FPERIOD_OVERRIDE=FQ","FILING_STATUS=MR","SCALING_FORMAT=MLN","Sort=A","Dates=H","DateFormat=P","Fill=—","Direction=H","UseDPDF=Y")</f>
        <v>8031.5860000000002</v>
      </c>
      <c r="N29" s="17" cm="1">
        <f t="array" ref="N29">_xll.BDH("PH US Equity","BS_GOODWILL","FQ4 2021","FQ4 2021","Currency=USD","Period=FQ","BEST_FPERIOD_OVERRIDE=FQ","FILING_STATUS=MR","SCALING_FORMAT=MLN","Sort=A","Dates=H","DateFormat=P","Fill=—","Direction=H","UseDPDF=Y")</f>
        <v>8059.6869999999999</v>
      </c>
      <c r="O29" s="17" cm="1">
        <f t="array" ref="O29">_xll.BDH("PH US Equity","BS_GOODWILL","FQ1 2022","FQ1 2022","Currency=USD","Period=FQ","BEST_FPERIOD_OVERRIDE=FQ","FILING_STATUS=MR","SCALING_FORMAT=MLN","Sort=A","Dates=H","DateFormat=P","Fill=—","Direction=H","UseDPDF=Y")</f>
        <v>8009.34</v>
      </c>
      <c r="P29" s="17" cm="1">
        <f t="array" ref="P29">_xll.BDH("PH US Equity","BS_GOODWILL","FQ2 2022","FQ2 2022","Currency=USD","Period=FQ","BEST_FPERIOD_OVERRIDE=FQ","FILING_STATUS=MR","SCALING_FORMAT=MLN","Sort=A","Dates=H","DateFormat=P","Fill=—","Direction=H","UseDPDF=Y")</f>
        <v>7999.9009999999998</v>
      </c>
      <c r="Q29" s="17" cm="1">
        <f t="array" ref="Q29">_xll.BDH("PH US Equity","BS_GOODWILL","FQ3 2022","FQ3 2022","Currency=USD","Period=FQ","BEST_FPERIOD_OVERRIDE=FQ","FILING_STATUS=MR","SCALING_FORMAT=MLN","Sort=A","Dates=H","DateFormat=P","Fill=—","Direction=H","UseDPDF=Y")</f>
        <v>7954.835</v>
      </c>
      <c r="R29" s="17" cm="1">
        <f t="array" ref="R29">_xll.BDH("PH US Equity","BS_GOODWILL","FQ4 2022","FQ4 2022","Currency=USD","Period=FQ","BEST_FPERIOD_OVERRIDE=FQ","FILING_STATUS=MR","SCALING_FORMAT=MLN","Sort=A","Dates=H","DateFormat=P","Fill=—","Direction=H","UseDPDF=Y")</f>
        <v>7740.0820000000003</v>
      </c>
      <c r="S29" s="17" cm="1">
        <f t="array" ref="S29">_xll.BDH("PH US Equity","BS_GOODWILL","FQ1 2023","FQ1 2023","Currency=USD","Period=FQ","BEST_FPERIOD_OVERRIDE=FQ","FILING_STATUS=MR","SCALING_FORMAT=MLN","Sort=A","Dates=H","DateFormat=P","Fill=—","Direction=H","UseDPDF=Y")</f>
        <v>10384.129999999999</v>
      </c>
      <c r="T29" s="17" cm="1">
        <f t="array" ref="T29">_xll.BDH("PH US Equity","BS_GOODWILL","FQ2 2023","FQ2 2023","Currency=USD","Period=FQ","BEST_FPERIOD_OVERRIDE=FQ","FILING_STATUS=MR","SCALING_FORMAT=MLN","Sort=A","Dates=H","DateFormat=P","Fill=—","Direction=H","UseDPDF=Y")</f>
        <v>10668.904</v>
      </c>
      <c r="U29" s="17" cm="1">
        <f t="array" ref="U29">_xll.BDH("PH US Equity","BS_GOODWILL","FQ3 2023","FQ3 2023","Currency=USD","Period=FQ","BEST_FPERIOD_OVERRIDE=FQ","FILING_STATUS=MR","SCALING_FORMAT=MLN","Sort=A","Dates=H","DateFormat=P","Fill=—","Direction=H","UseDPDF=Y")</f>
        <v>10830.548000000001</v>
      </c>
      <c r="V29" s="17" cm="1">
        <f t="array" ref="V29">_xll.BDH("PH US Equity","BS_GOODWILL","FQ4 2023","FQ4 2023","Currency=USD","Period=FQ","BEST_FPERIOD_OVERRIDE=FQ","FILING_STATUS=MR","SCALING_FORMAT=MLN","Sort=A","Dates=H","DateFormat=P","Fill=—","Direction=H","UseDPDF=Y")</f>
        <v>10628.593999999999</v>
      </c>
      <c r="W29" s="17" cm="1">
        <f t="array" ref="W29">_xll.BDH("PH US Equity","BS_GOODWILL","FQ1 2024","FQ1 2024","Currency=USD","Period=FQ","BEST_FPERIOD_OVERRIDE=FQ","FILING_STATUS=MR","SCALING_FORMAT=MLN","Sort=A","Dates=H","DateFormat=P","Fill=—","Direction=H","UseDPDF=Y")</f>
        <v>10523.129000000001</v>
      </c>
      <c r="X29" s="17" cm="1">
        <f t="array" ref="X29">_xll.BDH("PH US Equity","BS_GOODWILL","FQ2 2024","FQ2 2024","Currency=USD","Period=FQ","BEST_FPERIOD_OVERRIDE=FQ","FILING_STATUS=MR","SCALING_FORMAT=MLN","Sort=A","Dates=H","DateFormat=P","Fill=—","Direction=H","UseDPDF=Y")</f>
        <v>10671.897000000001</v>
      </c>
      <c r="Y29" s="17" cm="1">
        <f t="array" ref="Y29">_xll.BDH("PH US Equity","BS_GOODWILL","FQ3 2024","FQ3 2024","Currency=USD","Period=FQ","BEST_FPERIOD_OVERRIDE=FQ","FILING_STATUS=MR","SCALING_FORMAT=MLN","Sort=A","Dates=H","DateFormat=P","Fill=—","Direction=H","UseDPDF=Y")</f>
        <v>10579.307000000001</v>
      </c>
      <c r="Z29" s="17" cm="1">
        <f t="array" ref="Z29">_xll.BDH("PH US Equity","BS_GOODWILL","FQ4 2024","FQ4 2024","Currency=USD","Period=FQ","BEST_FPERIOD_OVERRIDE=FQ","FILING_STATUS=MR","SCALING_FORMAT=MLN","Sort=A","Dates=H","DateFormat=P","Fill=—","Direction=H","UseDPDF=Y")</f>
        <v>10507.433000000001</v>
      </c>
      <c r="AA29" s="17" cm="1">
        <f t="array" ref="AA29">_xll.BDH("PH US Equity","BS_GOODWILL","FQ1 2025","FQ1 2025","Currency=USD","Period=FQ","BEST_FPERIOD_OVERRIDE=FQ","FILING_STATUS=MR","SCALING_FORMAT=MLN","Sort=A","Dates=H","DateFormat=P","Fill=—","Direction=H","UseDPDF=Y")</f>
        <v>10625.287</v>
      </c>
      <c r="AB29" s="17" cm="1">
        <f t="array" ref="AB29">_xll.BDH("PH US Equity","BS_GOODWILL","FQ2 2025","FQ2 2025","Currency=USD","Period=FQ","BEST_FPERIOD_OVERRIDE=FQ","FILING_STATUS=MR","SCALING_FORMAT=MLN","Sort=A","Dates=H","DateFormat=P","Fill=—","Direction=H","UseDPDF=Y")</f>
        <v>10357.303</v>
      </c>
      <c r="AC29" s="17" cm="1">
        <f t="array" ref="AC29">_xll.BDH("PH US Equity","BS_GOODWILL","FQ3 2025","FQ3 2025","Currency=USD","Period=FQ","BEST_FPERIOD_OVERRIDE=FQ","FILING_STATUS=MR","SCALING_FORMAT=MLN","Sort=A","Dates=H","DateFormat=P","Fill=—","Direction=H","UseDPDF=Y")</f>
        <v>10461.946</v>
      </c>
      <c r="AD29" s="17" cm="1">
        <f t="array" ref="AD29">_xll.BDH("PH US Equity","BS_GOODWILL","FQ4 2025","FQ4 2025","Currency=USD","Period=FQ","BEST_FPERIOD_OVERRIDE=FQ","FILING_STATUS=MR","SCALING_FORMAT=MLN","Sort=A","Dates=H","DateFormat=P","Fill=—","Direction=H","UseDPDF=Y")</f>
        <v>10694</v>
      </c>
      <c r="AE29" s="17" cm="1">
        <f t="array" ref="AE29">_xll.BDH("PH US Equity","BS_GOODWILL","FQ1 2026","FQ1 2026","Currency=USD","Period=FQ","BEST_FPERIOD_OVERRIDE=FQ","FILING_STATUS=MR","SCALING_FORMAT=MLN","Sort=A","Dates=H","DateFormat=P","Fill=—","Direction=H","UseDPDF=Y")</f>
        <v>11141</v>
      </c>
      <c r="AF29" s="17" cm="1">
        <f t="array" ref="AF29">_xll.BDH("PH US Equity","BS_GOODWILL","FQ2 2026","FQ2 2026","Currency=USD","Period=FQ","BEST_FPERIOD_OVERRIDE=FQ","FILING_STATUS=MR","SCALING_FORMAT=MLN","Sort=A","Dates=H","DateFormat=P","Fill=—","Direction=H","UseDPDF=Y")</f>
        <v>11149</v>
      </c>
    </row>
    <row r="30" spans="1:32" x14ac:dyDescent="0.25">
      <c r="A30" s="11" t="s">
        <v>112</v>
      </c>
      <c r="B30" s="11" t="s">
        <v>113</v>
      </c>
      <c r="C30" s="17" cm="1">
        <f t="array" ref="C30">_xll.BDH("PH US Equity","OTHER_INTANGIBLE_ASSETS_DETAILED","FQ1 2019","FQ1 2019","Currency=USD","Period=FQ","BEST_FPERIOD_OVERRIDE=FQ","FILING_STATUS=MR","SCALING_FORMAT=MLN","Sort=A","Dates=H","DateFormat=P","Fill=—","Direction=H","UseDPDF=Y")</f>
        <v>1956.1010000000001</v>
      </c>
      <c r="D30" s="17" cm="1">
        <f t="array" ref="D30">_xll.BDH("PH US Equity","OTHER_INTANGIBLE_ASSETS_DETAILED","FQ2 2019","FQ2 2019","Currency=USD","Period=FQ","BEST_FPERIOD_OVERRIDE=FQ","FILING_STATUS=MR","SCALING_FORMAT=MLN","Sort=A","Dates=H","DateFormat=P","Fill=—","Direction=H","UseDPDF=Y")</f>
        <v>1883.825</v>
      </c>
      <c r="E30" s="17" cm="1">
        <f t="array" ref="E30">_xll.BDH("PH US Equity","OTHER_INTANGIBLE_ASSETS_DETAILED","FQ3 2019","FQ3 2019","Currency=USD","Period=FQ","BEST_FPERIOD_OVERRIDE=FQ","FILING_STATUS=MR","SCALING_FORMAT=MLN","Sort=A","Dates=H","DateFormat=P","Fill=—","Direction=H","UseDPDF=Y")</f>
        <v>1834.433</v>
      </c>
      <c r="F30" s="17" cm="1">
        <f t="array" ref="F30">_xll.BDH("PH US Equity","OTHER_INTANGIBLE_ASSETS_DETAILED","FQ4 2019","FQ4 2019","Currency=USD","Period=FQ","BEST_FPERIOD_OVERRIDE=FQ","FILING_STATUS=MR","SCALING_FORMAT=MLN","Sort=A","Dates=H","DateFormat=P","Fill=—","Direction=H","UseDPDF=Y")</f>
        <v>1783.277</v>
      </c>
      <c r="G30" s="17" cm="1">
        <f t="array" ref="G30">_xll.BDH("PH US Equity","OTHER_INTANGIBLE_ASSETS_DETAILED","FQ1 2020","FQ1 2020","Currency=USD","Period=FQ","BEST_FPERIOD_OVERRIDE=FQ","FILING_STATUS=MR","SCALING_FORMAT=MLN","Sort=A","Dates=H","DateFormat=P","Fill=—","Direction=H","UseDPDF=Y")</f>
        <v>2693.7559999999999</v>
      </c>
      <c r="H30" s="17" cm="1">
        <f t="array" ref="H30">_xll.BDH("PH US Equity","OTHER_INTANGIBLE_ASSETS_DETAILED","FQ2 2020","FQ2 2020","Currency=USD","Period=FQ","BEST_FPERIOD_OVERRIDE=FQ","FILING_STATUS=MR","SCALING_FORMAT=MLN","Sort=A","Dates=H","DateFormat=P","Fill=—","Direction=H","UseDPDF=Y")</f>
        <v>4036.1080000000002</v>
      </c>
      <c r="I30" s="17" cm="1">
        <f t="array" ref="I30">_xll.BDH("PH US Equity","OTHER_INTANGIBLE_ASSETS_DETAILED","FQ3 2020","FQ3 2020","Currency=USD","Period=FQ","BEST_FPERIOD_OVERRIDE=FQ","FILING_STATUS=MR","SCALING_FORMAT=MLN","Sort=A","Dates=H","DateFormat=P","Fill=—","Direction=H","UseDPDF=Y")</f>
        <v>3881.8270000000002</v>
      </c>
      <c r="J30" s="17" cm="1">
        <f t="array" ref="J30">_xll.BDH("PH US Equity","OTHER_INTANGIBLE_ASSETS_DETAILED","FQ4 2020","FQ4 2020","Currency=USD","Period=FQ","BEST_FPERIOD_OVERRIDE=FQ","FILING_STATUS=MR","SCALING_FORMAT=MLN","Sort=A","Dates=H","DateFormat=P","Fill=—","Direction=H","UseDPDF=Y")</f>
        <v>3798.913</v>
      </c>
      <c r="K30" s="17" cm="1">
        <f t="array" ref="K30">_xll.BDH("PH US Equity","OTHER_INTANGIBLE_ASSETS_DETAILED","FQ1 2021","FQ1 2021","Currency=USD","Period=FQ","BEST_FPERIOD_OVERRIDE=FQ","FILING_STATUS=MR","SCALING_FORMAT=MLN","Sort=A","Dates=H","DateFormat=P","Fill=—","Direction=H","UseDPDF=Y")</f>
        <v>3743.3139999999999</v>
      </c>
      <c r="L30" s="17" cm="1">
        <f t="array" ref="L30">_xll.BDH("PH US Equity","OTHER_INTANGIBLE_ASSETS_DETAILED","FQ2 2021","FQ2 2021","Currency=USD","Period=FQ","BEST_FPERIOD_OVERRIDE=FQ","FILING_STATUS=MR","SCALING_FORMAT=MLN","Sort=A","Dates=H","DateFormat=P","Fill=—","Direction=H","UseDPDF=Y")</f>
        <v>3695.194</v>
      </c>
      <c r="M30" s="17" cm="1">
        <f t="array" ref="M30">_xll.BDH("PH US Equity","OTHER_INTANGIBLE_ASSETS_DETAILED","FQ3 2021","FQ3 2021","Currency=USD","Period=FQ","BEST_FPERIOD_OVERRIDE=FQ","FILING_STATUS=MR","SCALING_FORMAT=MLN","Sort=A","Dates=H","DateFormat=P","Fill=—","Direction=H","UseDPDF=Y")</f>
        <v>3595.1819999999998</v>
      </c>
      <c r="N30" s="17" cm="1">
        <f t="array" ref="N30">_xll.BDH("PH US Equity","OTHER_INTANGIBLE_ASSETS_DETAILED","FQ4 2021","FQ4 2021","Currency=USD","Period=FQ","BEST_FPERIOD_OVERRIDE=FQ","FILING_STATUS=MR","SCALING_FORMAT=MLN","Sort=A","Dates=H","DateFormat=P","Fill=—","Direction=H","UseDPDF=Y")</f>
        <v>3519.797</v>
      </c>
      <c r="O30" s="17" cm="1">
        <f t="array" ref="O30">_xll.BDH("PH US Equity","OTHER_INTANGIBLE_ASSETS_DETAILED","FQ1 2022","FQ1 2022","Currency=USD","Period=FQ","BEST_FPERIOD_OVERRIDE=FQ","FILING_STATUS=MR","SCALING_FORMAT=MLN","Sort=A","Dates=H","DateFormat=P","Fill=—","Direction=H","UseDPDF=Y")</f>
        <v>3426.54</v>
      </c>
      <c r="P30" s="17" cm="1">
        <f t="array" ref="P30">_xll.BDH("PH US Equity","OTHER_INTANGIBLE_ASSETS_DETAILED","FQ2 2022","FQ2 2022","Currency=USD","Period=FQ","BEST_FPERIOD_OVERRIDE=FQ","FILING_STATUS=MR","SCALING_FORMAT=MLN","Sort=A","Dates=H","DateFormat=P","Fill=—","Direction=H","UseDPDF=Y")</f>
        <v>3343.6120000000001</v>
      </c>
      <c r="Q30" s="17" cm="1">
        <f t="array" ref="Q30">_xll.BDH("PH US Equity","OTHER_INTANGIBLE_ASSETS_DETAILED","FQ3 2022","FQ3 2022","Currency=USD","Period=FQ","BEST_FPERIOD_OVERRIDE=FQ","FILING_STATUS=MR","SCALING_FORMAT=MLN","Sort=A","Dates=H","DateFormat=P","Fill=—","Direction=H","UseDPDF=Y")</f>
        <v>3254.0619999999999</v>
      </c>
      <c r="R30" s="17" cm="1">
        <f t="array" ref="R30">_xll.BDH("PH US Equity","OTHER_INTANGIBLE_ASSETS_DETAILED","FQ4 2022","FQ4 2022","Currency=USD","Period=FQ","BEST_FPERIOD_OVERRIDE=FQ","FILING_STATUS=MR","SCALING_FORMAT=MLN","Sort=A","Dates=H","DateFormat=P","Fill=—","Direction=H","UseDPDF=Y")</f>
        <v>3135.817</v>
      </c>
      <c r="S30" s="17" cm="1">
        <f t="array" ref="S30">_xll.BDH("PH US Equity","OTHER_INTANGIBLE_ASSETS_DETAILED","FQ1 2023","FQ1 2023","Currency=USD","Period=FQ","BEST_FPERIOD_OVERRIDE=FQ","FILING_STATUS=MR","SCALING_FORMAT=MLN","Sort=A","Dates=H","DateFormat=P","Fill=—","Direction=H","UseDPDF=Y")</f>
        <v>8388.0110000000004</v>
      </c>
      <c r="T30" s="17" cm="1">
        <f t="array" ref="T30">_xll.BDH("PH US Equity","OTHER_INTANGIBLE_ASSETS_DETAILED","FQ2 2023","FQ2 2023","Currency=USD","Period=FQ","BEST_FPERIOD_OVERRIDE=FQ","FILING_STATUS=MR","SCALING_FORMAT=MLN","Sort=A","Dates=H","DateFormat=P","Fill=—","Direction=H","UseDPDF=Y")</f>
        <v>8387.9169999999995</v>
      </c>
      <c r="U30" s="17" cm="1">
        <f t="array" ref="U30">_xll.BDH("PH US Equity","OTHER_INTANGIBLE_ASSETS_DETAILED","FQ3 2023","FQ3 2023","Currency=USD","Period=FQ","BEST_FPERIOD_OVERRIDE=FQ","FILING_STATUS=MR","SCALING_FORMAT=MLN","Sort=A","Dates=H","DateFormat=P","Fill=—","Direction=H","UseDPDF=Y")</f>
        <v>8287.5169999999998</v>
      </c>
      <c r="V30" s="17" cm="1">
        <f t="array" ref="V30">_xll.BDH("PH US Equity","OTHER_INTANGIBLE_ASSETS_DETAILED","FQ4 2023","FQ4 2023","Currency=USD","Period=FQ","BEST_FPERIOD_OVERRIDE=FQ","FILING_STATUS=MR","SCALING_FORMAT=MLN","Sort=A","Dates=H","DateFormat=P","Fill=—","Direction=H","UseDPDF=Y")</f>
        <v>8450.6139999999996</v>
      </c>
      <c r="W30" s="17" cm="1">
        <f t="array" ref="W30">_xll.BDH("PH US Equity","OTHER_INTANGIBLE_ASSETS_DETAILED","FQ1 2024","FQ1 2024","Currency=USD","Period=FQ","BEST_FPERIOD_OVERRIDE=FQ","FILING_STATUS=MR","SCALING_FORMAT=MLN","Sort=A","Dates=H","DateFormat=P","Fill=—","Direction=H","UseDPDF=Y")</f>
        <v>8191.9579999999996</v>
      </c>
      <c r="X30" s="17" cm="1">
        <f t="array" ref="X30">_xll.BDH("PH US Equity","OTHER_INTANGIBLE_ASSETS_DETAILED","FQ2 2024","FQ2 2024","Currency=USD","Period=FQ","BEST_FPERIOD_OVERRIDE=FQ","FILING_STATUS=MR","SCALING_FORMAT=MLN","Sort=A","Dates=H","DateFormat=P","Fill=—","Direction=H","UseDPDF=Y")</f>
        <v>8153.4679999999998</v>
      </c>
      <c r="Y30" s="17" cm="1">
        <f t="array" ref="Y30">_xll.BDH("PH US Equity","OTHER_INTANGIBLE_ASSETS_DETAILED","FQ3 2024","FQ3 2024","Currency=USD","Period=FQ","BEST_FPERIOD_OVERRIDE=FQ","FILING_STATUS=MR","SCALING_FORMAT=MLN","Sort=A","Dates=H","DateFormat=P","Fill=—","Direction=H","UseDPDF=Y")</f>
        <v>7961.9570000000003</v>
      </c>
      <c r="Z30" s="17" cm="1">
        <f t="array" ref="Z30">_xll.BDH("PH US Equity","OTHER_INTANGIBLE_ASSETS_DETAILED","FQ4 2024","FQ4 2024","Currency=USD","Period=FQ","BEST_FPERIOD_OVERRIDE=FQ","FILING_STATUS=MR","SCALING_FORMAT=MLN","Sort=A","Dates=H","DateFormat=P","Fill=—","Direction=H","UseDPDF=Y")</f>
        <v>7816.1809999999996</v>
      </c>
      <c r="AA30" s="17" cm="1">
        <f t="array" ref="AA30">_xll.BDH("PH US Equity","OTHER_INTANGIBLE_ASSETS_DETAILED","FQ1 2025","FQ1 2025","Currency=USD","Period=FQ","BEST_FPERIOD_OVERRIDE=FQ","FILING_STATUS=MR","SCALING_FORMAT=MLN","Sort=A","Dates=H","DateFormat=P","Fill=—","Direction=H","UseDPDF=Y")</f>
        <v>7747.2330000000002</v>
      </c>
      <c r="AB30" s="17" cm="1">
        <f t="array" ref="AB30">_xll.BDH("PH US Equity","OTHER_INTANGIBLE_ASSETS_DETAILED","FQ2 2025","FQ2 2025","Currency=USD","Period=FQ","BEST_FPERIOD_OVERRIDE=FQ","FILING_STATUS=MR","SCALING_FORMAT=MLN","Sort=A","Dates=H","DateFormat=P","Fill=—","Direction=H","UseDPDF=Y")</f>
        <v>7444.67</v>
      </c>
      <c r="AC30" s="17" cm="1">
        <f t="array" ref="AC30">_xll.BDH("PH US Equity","OTHER_INTANGIBLE_ASSETS_DETAILED","FQ3 2025","FQ3 2025","Currency=USD","Period=FQ","BEST_FPERIOD_OVERRIDE=FQ","FILING_STATUS=MR","SCALING_FORMAT=MLN","Sort=A","Dates=H","DateFormat=P","Fill=—","Direction=H","UseDPDF=Y")</f>
        <v>7370.5240000000003</v>
      </c>
      <c r="AD30" s="17" cm="1">
        <f t="array" ref="AD30">_xll.BDH("PH US Equity","OTHER_INTANGIBLE_ASSETS_DETAILED","FQ4 2025","FQ4 2025","Currency=USD","Period=FQ","BEST_FPERIOD_OVERRIDE=FQ","FILING_STATUS=MR","SCALING_FORMAT=MLN","Sort=A","Dates=H","DateFormat=P","Fill=—","Direction=H","UseDPDF=Y")</f>
        <v>7374</v>
      </c>
      <c r="AE30" s="17" cm="1">
        <f t="array" ref="AE30">_xll.BDH("PH US Equity","OTHER_INTANGIBLE_ASSETS_DETAILED","FQ1 2026","FQ1 2026","Currency=USD","Period=FQ","BEST_FPERIOD_OVERRIDE=FQ","FILING_STATUS=MR","SCALING_FORMAT=MLN","Sort=A","Dates=H","DateFormat=P","Fill=—","Direction=H","UseDPDF=Y")</f>
        <v>7760</v>
      </c>
      <c r="AF30" s="17" cm="1">
        <f t="array" ref="AF30">_xll.BDH("PH US Equity","OTHER_INTANGIBLE_ASSETS_DETAILED","FQ2 2026","FQ2 2026","Currency=USD","Period=FQ","BEST_FPERIOD_OVERRIDE=FQ","FILING_STATUS=MR","SCALING_FORMAT=MLN","Sort=A","Dates=H","DateFormat=P","Fill=—","Direction=H","UseDPDF=Y")</f>
        <v>7610</v>
      </c>
    </row>
    <row r="31" spans="1:32" x14ac:dyDescent="0.25">
      <c r="A31" s="10" t="s">
        <v>114</v>
      </c>
      <c r="B31" s="10" t="s">
        <v>115</v>
      </c>
      <c r="C31" s="13" cm="1">
        <f t="array" ref="C31">_xll.BDH("PH US Equity","BS_DEFERRED_TAX_ASSETS_LT","FQ1 2019","FQ1 2019","Currency=USD","Period=FQ","BEST_FPERIOD_OVERRIDE=FQ","FILING_STATUS=MR","SCALING_FORMAT=MLN","Sort=A","Dates=H","DateFormat=P","Fill=—","Direction=H","UseDPDF=Y")</f>
        <v>99.885999999999996</v>
      </c>
      <c r="D31" s="13" cm="1">
        <f t="array" ref="D31">_xll.BDH("PH US Equity","BS_DEFERRED_TAX_ASSETS_LT","FQ2 2019","FQ2 2019","Currency=USD","Period=FQ","BEST_FPERIOD_OVERRIDE=FQ","FILING_STATUS=MR","SCALING_FORMAT=MLN","Sort=A","Dates=H","DateFormat=P","Fill=—","Direction=H","UseDPDF=Y")</f>
        <v>98.778999999999996</v>
      </c>
      <c r="E31" s="13" cm="1">
        <f t="array" ref="E31">_xll.BDH("PH US Equity","BS_DEFERRED_TAX_ASSETS_LT","FQ3 2019","FQ3 2019","Currency=USD","Period=FQ","BEST_FPERIOD_OVERRIDE=FQ","FILING_STATUS=MR","SCALING_FORMAT=MLN","Sort=A","Dates=H","DateFormat=P","Fill=—","Direction=H","UseDPDF=Y")</f>
        <v>96.462999999999994</v>
      </c>
      <c r="F31" s="13" cm="1">
        <f t="array" ref="F31">_xll.BDH("PH US Equity","BS_DEFERRED_TAX_ASSETS_LT","FQ4 2019","FQ4 2019","Currency=USD","Period=FQ","BEST_FPERIOD_OVERRIDE=FQ","FILING_STATUS=MR","SCALING_FORMAT=MLN","Sort=A","Dates=H","DateFormat=P","Fill=—","Direction=H","UseDPDF=Y")</f>
        <v>150.46199999999999</v>
      </c>
      <c r="G31" s="13" cm="1">
        <f t="array" ref="G31">_xll.BDH("PH US Equity","BS_DEFERRED_TAX_ASSETS_LT","FQ1 2020","FQ1 2020","Currency=USD","Period=FQ","BEST_FPERIOD_OVERRIDE=FQ","FILING_STATUS=MR","SCALING_FORMAT=MLN","Sort=A","Dates=H","DateFormat=P","Fill=—","Direction=H","UseDPDF=Y")</f>
        <v>145.476</v>
      </c>
      <c r="H31" s="13" cm="1">
        <f t="array" ref="H31">_xll.BDH("PH US Equity","BS_DEFERRED_TAX_ASSETS_LT","FQ2 2020","FQ2 2020","Currency=USD","Period=FQ","BEST_FPERIOD_OVERRIDE=FQ","FILING_STATUS=MR","SCALING_FORMAT=MLN","Sort=A","Dates=H","DateFormat=P","Fill=—","Direction=H","UseDPDF=Y")</f>
        <v>114.032</v>
      </c>
      <c r="I31" s="13" cm="1">
        <f t="array" ref="I31">_xll.BDH("PH US Equity","BS_DEFERRED_TAX_ASSETS_LT","FQ3 2020","FQ3 2020","Currency=USD","Period=FQ","BEST_FPERIOD_OVERRIDE=FQ","FILING_STATUS=MR","SCALING_FORMAT=MLN","Sort=A","Dates=H","DateFormat=P","Fill=—","Direction=H","UseDPDF=Y")</f>
        <v>124.515</v>
      </c>
      <c r="J31" s="13" cm="1">
        <f t="array" ref="J31">_xll.BDH("PH US Equity","BS_DEFERRED_TAX_ASSETS_LT","FQ4 2020","FQ4 2020","Currency=USD","Period=FQ","BEST_FPERIOD_OVERRIDE=FQ","FILING_STATUS=MR","SCALING_FORMAT=MLN","Sort=A","Dates=H","DateFormat=P","Fill=—","Direction=H","UseDPDF=Y")</f>
        <v>126.839</v>
      </c>
      <c r="K31" s="13" cm="1">
        <f t="array" ref="K31">_xll.BDH("PH US Equity","BS_DEFERRED_TAX_ASSETS_LT","FQ1 2021","FQ1 2021","Currency=USD","Period=FQ","BEST_FPERIOD_OVERRIDE=FQ","FILING_STATUS=MR","SCALING_FORMAT=MLN","Sort=A","Dates=H","DateFormat=P","Fill=—","Direction=H","UseDPDF=Y")</f>
        <v>129.751</v>
      </c>
      <c r="L31" s="13" cm="1">
        <f t="array" ref="L31">_xll.BDH("PH US Equity","BS_DEFERRED_TAX_ASSETS_LT","FQ2 2021","FQ2 2021","Currency=USD","Period=FQ","BEST_FPERIOD_OVERRIDE=FQ","FILING_STATUS=MR","SCALING_FORMAT=MLN","Sort=A","Dates=H","DateFormat=P","Fill=—","Direction=H","UseDPDF=Y")</f>
        <v>134.32499999999999</v>
      </c>
      <c r="M31" s="13" cm="1">
        <f t="array" ref="M31">_xll.BDH("PH US Equity","BS_DEFERRED_TAX_ASSETS_LT","FQ3 2021","FQ3 2021","Currency=USD","Period=FQ","BEST_FPERIOD_OVERRIDE=FQ","FILING_STATUS=MR","SCALING_FORMAT=MLN","Sort=A","Dates=H","DateFormat=P","Fill=—","Direction=H","UseDPDF=Y")</f>
        <v>125.38200000000001</v>
      </c>
      <c r="N31" s="13" cm="1">
        <f t="array" ref="N31">_xll.BDH("PH US Equity","BS_DEFERRED_TAX_ASSETS_LT","FQ4 2021","FQ4 2021","Currency=USD","Period=FQ","BEST_FPERIOD_OVERRIDE=FQ","FILING_STATUS=MR","SCALING_FORMAT=MLN","Sort=A","Dates=H","DateFormat=P","Fill=—","Direction=H","UseDPDF=Y")</f>
        <v>104.251</v>
      </c>
      <c r="O31" s="13" cm="1">
        <f t="array" ref="O31">_xll.BDH("PH US Equity","BS_DEFERRED_TAX_ASSETS_LT","FQ1 2022","FQ1 2022","Currency=USD","Period=FQ","BEST_FPERIOD_OVERRIDE=FQ","FILING_STATUS=MR","SCALING_FORMAT=MLN","Sort=A","Dates=H","DateFormat=P","Fill=—","Direction=H","UseDPDF=Y")</f>
        <v>145.97200000000001</v>
      </c>
      <c r="P31" s="13" cm="1">
        <f t="array" ref="P31">_xll.BDH("PH US Equity","BS_DEFERRED_TAX_ASSETS_LT","FQ2 2022","FQ2 2022","Currency=USD","Period=FQ","BEST_FPERIOD_OVERRIDE=FQ","FILING_STATUS=MR","SCALING_FORMAT=MLN","Sort=A","Dates=H","DateFormat=P","Fill=—","Direction=H","UseDPDF=Y")</f>
        <v>146.56700000000001</v>
      </c>
      <c r="Q31" s="13" cm="1">
        <f t="array" ref="Q31">_xll.BDH("PH US Equity","BS_DEFERRED_TAX_ASSETS_LT","FQ3 2022","FQ3 2022","Currency=USD","Period=FQ","BEST_FPERIOD_OVERRIDE=FQ","FILING_STATUS=MR","SCALING_FORMAT=MLN","Sort=A","Dates=H","DateFormat=P","Fill=—","Direction=H","UseDPDF=Y")</f>
        <v>144.506</v>
      </c>
      <c r="R31" s="13" cm="1">
        <f t="array" ref="R31">_xll.BDH("PH US Equity","BS_DEFERRED_TAX_ASSETS_LT","FQ4 2022","FQ4 2022","Currency=USD","Period=FQ","BEST_FPERIOD_OVERRIDE=FQ","FILING_STATUS=MR","SCALING_FORMAT=MLN","Sort=A","Dates=H","DateFormat=P","Fill=—","Direction=H","UseDPDF=Y")</f>
        <v>110.58499999999999</v>
      </c>
      <c r="S31" s="13" cm="1">
        <f t="array" ref="S31">_xll.BDH("PH US Equity","BS_DEFERRED_TAX_ASSETS_LT","FQ1 2023","FQ1 2023","Currency=USD","Period=FQ","BEST_FPERIOD_OVERRIDE=FQ","FILING_STATUS=MR","SCALING_FORMAT=MLN","Sort=A","Dates=H","DateFormat=P","Fill=—","Direction=H","UseDPDF=Y")</f>
        <v>125.604</v>
      </c>
      <c r="T31" s="13" cm="1">
        <f t="array" ref="T31">_xll.BDH("PH US Equity","BS_DEFERRED_TAX_ASSETS_LT","FQ2 2023","FQ2 2023","Currency=USD","Period=FQ","BEST_FPERIOD_OVERRIDE=FQ","FILING_STATUS=MR","SCALING_FORMAT=MLN","Sort=A","Dates=H","DateFormat=P","Fill=—","Direction=H","UseDPDF=Y")</f>
        <v>133.34800000000001</v>
      </c>
      <c r="U31" s="13" cm="1">
        <f t="array" ref="U31">_xll.BDH("PH US Equity","BS_DEFERRED_TAX_ASSETS_LT","FQ3 2023","FQ3 2023","Currency=USD","Period=FQ","BEST_FPERIOD_OVERRIDE=FQ","FILING_STATUS=MR","SCALING_FORMAT=MLN","Sort=A","Dates=H","DateFormat=P","Fill=—","Direction=H","UseDPDF=Y")</f>
        <v>131.78200000000001</v>
      </c>
      <c r="V31" s="13" cm="1">
        <f t="array" ref="V31">_xll.BDH("PH US Equity","BS_DEFERRED_TAX_ASSETS_LT","FQ4 2023","FQ4 2023","Currency=USD","Period=FQ","BEST_FPERIOD_OVERRIDE=FQ","FILING_STATUS=MR","SCALING_FORMAT=MLN","Sort=A","Dates=H","DateFormat=P","Fill=—","Direction=H","UseDPDF=Y")</f>
        <v>81.429000000000002</v>
      </c>
      <c r="W31" s="13" cm="1">
        <f t="array" ref="W31">_xll.BDH("PH US Equity","BS_DEFERRED_TAX_ASSETS_LT","FQ1 2024","FQ1 2024","Currency=USD","Period=FQ","BEST_FPERIOD_OVERRIDE=FQ","FILING_STATUS=MR","SCALING_FORMAT=MLN","Sort=A","Dates=H","DateFormat=P","Fill=—","Direction=H","UseDPDF=Y")</f>
        <v>72.456999999999994</v>
      </c>
      <c r="X31" s="13" cm="1">
        <f t="array" ref="X31">_xll.BDH("PH US Equity","BS_DEFERRED_TAX_ASSETS_LT","FQ2 2024","FQ2 2024","Currency=USD","Period=FQ","BEST_FPERIOD_OVERRIDE=FQ","FILING_STATUS=MR","SCALING_FORMAT=MLN","Sort=A","Dates=H","DateFormat=P","Fill=—","Direction=H","UseDPDF=Y")</f>
        <v>77.256</v>
      </c>
      <c r="Y31" s="13" cm="1">
        <f t="array" ref="Y31">_xll.BDH("PH US Equity","BS_DEFERRED_TAX_ASSETS_LT","FQ3 2024","FQ3 2024","Currency=USD","Period=FQ","BEST_FPERIOD_OVERRIDE=FQ","FILING_STATUS=MR","SCALING_FORMAT=MLN","Sort=A","Dates=H","DateFormat=P","Fill=—","Direction=H","UseDPDF=Y")</f>
        <v>72.808000000000007</v>
      </c>
      <c r="Z31" s="13" cm="1">
        <f t="array" ref="Z31">_xll.BDH("PH US Equity","BS_DEFERRED_TAX_ASSETS_LT","FQ4 2024","FQ4 2024","Currency=USD","Period=FQ","BEST_FPERIOD_OVERRIDE=FQ","FILING_STATUS=MR","SCALING_FORMAT=MLN","Sort=A","Dates=H","DateFormat=P","Fill=—","Direction=H","UseDPDF=Y")</f>
        <v>92.703999999999994</v>
      </c>
      <c r="AA31" s="13" cm="1">
        <f t="array" ref="AA31">_xll.BDH("PH US Equity","BS_DEFERRED_TAX_ASSETS_LT","FQ1 2025","FQ1 2025","Currency=USD","Period=FQ","BEST_FPERIOD_OVERRIDE=FQ","FILING_STATUS=MR","SCALING_FORMAT=MLN","Sort=A","Dates=H","DateFormat=P","Fill=—","Direction=H","UseDPDF=Y")</f>
        <v>91.882000000000005</v>
      </c>
      <c r="AB31" s="13" cm="1">
        <f t="array" ref="AB31">_xll.BDH("PH US Equity","BS_DEFERRED_TAX_ASSETS_LT","FQ2 2025","FQ2 2025","Currency=USD","Period=FQ","BEST_FPERIOD_OVERRIDE=FQ","FILING_STATUS=MR","SCALING_FORMAT=MLN","Sort=A","Dates=H","DateFormat=P","Fill=—","Direction=H","UseDPDF=Y")</f>
        <v>87.4</v>
      </c>
      <c r="AC31" s="13" cm="1">
        <f t="array" ref="AC31">_xll.BDH("PH US Equity","BS_DEFERRED_TAX_ASSETS_LT","FQ3 2025","FQ3 2025","Currency=USD","Period=FQ","BEST_FPERIOD_OVERRIDE=FQ","FILING_STATUS=MR","SCALING_FORMAT=MLN","Sort=A","Dates=H","DateFormat=P","Fill=—","Direction=H","UseDPDF=Y")</f>
        <v>271.43099999999998</v>
      </c>
      <c r="AD31" s="13" cm="1">
        <f t="array" ref="AD31">_xll.BDH("PH US Equity","BS_DEFERRED_TAX_ASSETS_LT","FQ4 2025","FQ4 2025","Currency=USD","Period=FQ","BEST_FPERIOD_OVERRIDE=FQ","FILING_STATUS=MR","SCALING_FORMAT=MLN","Sort=A","Dates=H","DateFormat=P","Fill=—","Direction=H","UseDPDF=Y")</f>
        <v>270</v>
      </c>
      <c r="AE31" s="13" cm="1">
        <f t="array" ref="AE31">_xll.BDH("PH US Equity","BS_DEFERRED_TAX_ASSETS_LT","FQ1 2026","FQ1 2026","Currency=USD","Period=FQ","BEST_FPERIOD_OVERRIDE=FQ","FILING_STATUS=MR","SCALING_FORMAT=MLN","Sort=A","Dates=H","DateFormat=P","Fill=—","Direction=H","UseDPDF=Y")</f>
        <v>271</v>
      </c>
      <c r="AF31" s="13" cm="1">
        <f t="array" ref="AF31">_xll.BDH("PH US Equity","BS_DEFERRED_TAX_ASSETS_LT","FQ2 2026","FQ2 2026","Currency=USD","Period=FQ","BEST_FPERIOD_OVERRIDE=FQ","FILING_STATUS=MR","SCALING_FORMAT=MLN","Sort=A","Dates=H","DateFormat=P","Fill=—","Direction=H","UseDPDF=Y")</f>
        <v>271</v>
      </c>
    </row>
    <row r="32" spans="1:32" x14ac:dyDescent="0.25">
      <c r="A32" s="10" t="s">
        <v>92</v>
      </c>
      <c r="B32" s="10" t="s">
        <v>116</v>
      </c>
      <c r="C32" s="13" cm="1">
        <f t="array" ref="C32">_xll.BDH("PH US Equity","BS_DERIV_HEDGING_ASST_LT","FQ1 2019","FQ1 2019","Currency=USD","Period=FQ","BEST_FPERIOD_OVERRIDE=FQ","FILING_STATUS=MR","SCALING_FORMAT=MLN","Sort=A","Dates=H","DateFormat=P","Fill=—","Direction=H","UseDPDF=Y")</f>
        <v>9.5980000000000008</v>
      </c>
      <c r="D32" s="13" cm="1">
        <f t="array" ref="D32">_xll.BDH("PH US Equity","BS_DERIV_HEDGING_ASST_LT","FQ2 2019","FQ2 2019","Currency=USD","Period=FQ","BEST_FPERIOD_OVERRIDE=FQ","FILING_STATUS=MR","SCALING_FORMAT=MLN","Sort=A","Dates=H","DateFormat=P","Fill=—","Direction=H","UseDPDF=Y")</f>
        <v>17.126000000000001</v>
      </c>
      <c r="E32" s="13" cm="1">
        <f t="array" ref="E32">_xll.BDH("PH US Equity","BS_DERIV_HEDGING_ASST_LT","FQ3 2019","FQ3 2019","Currency=USD","Period=FQ","BEST_FPERIOD_OVERRIDE=FQ","FILING_STATUS=MR","SCALING_FORMAT=MLN","Sort=A","Dates=H","DateFormat=P","Fill=—","Direction=H","UseDPDF=Y")</f>
        <v>25.396000000000001</v>
      </c>
      <c r="F32" s="13" cm="1">
        <f t="array" ref="F32">_xll.BDH("PH US Equity","BS_DERIV_HEDGING_ASST_LT","FQ4 2019","FQ4 2019","Currency=USD","Period=FQ","BEST_FPERIOD_OVERRIDE=FQ","FILING_STATUS=MR","SCALING_FORMAT=MLN","Sort=A","Dates=H","DateFormat=P","Fill=—","Direction=H","UseDPDF=Y")</f>
        <v>24.545000000000002</v>
      </c>
      <c r="G32" s="13" cm="1">
        <f t="array" ref="G32">_xll.BDH("PH US Equity","BS_DERIV_HEDGING_ASST_LT","FQ1 2020","FQ1 2020","Currency=USD","Period=FQ","BEST_FPERIOD_OVERRIDE=FQ","FILING_STATUS=MR","SCALING_FORMAT=MLN","Sort=A","Dates=H","DateFormat=P","Fill=—","Direction=H","UseDPDF=Y")</f>
        <v>37.546999999999997</v>
      </c>
      <c r="H32" s="13" cm="1">
        <f t="array" ref="H32">_xll.BDH("PH US Equity","BS_DERIV_HEDGING_ASST_LT","FQ2 2020","FQ2 2020","Currency=USD","Period=FQ","BEST_FPERIOD_OVERRIDE=FQ","FILING_STATUS=MR","SCALING_FORMAT=MLN","Sort=A","Dates=H","DateFormat=P","Fill=—","Direction=H","UseDPDF=Y")</f>
        <v>32.484999999999999</v>
      </c>
      <c r="I32" s="13" cm="1">
        <f t="array" ref="I32">_xll.BDH("PH US Equity","BS_DERIV_HEDGING_ASST_LT","FQ3 2020","FQ3 2020","Currency=USD","Period=FQ","BEST_FPERIOD_OVERRIDE=FQ","FILING_STATUS=MR","SCALING_FORMAT=MLN","Sort=A","Dates=H","DateFormat=P","Fill=—","Direction=H","UseDPDF=Y")</f>
        <v>0</v>
      </c>
      <c r="J32" s="13" cm="1">
        <f t="array" ref="J32">_xll.BDH("PH US Equity","BS_DERIV_HEDGING_ASST_LT","FQ4 2020","FQ4 2020","Currency=USD","Period=FQ","BEST_FPERIOD_OVERRIDE=FQ","FILING_STATUS=MR","SCALING_FORMAT=MLN","Sort=A","Dates=H","DateFormat=P","Fill=—","Direction=H","UseDPDF=Y")</f>
        <v>0</v>
      </c>
      <c r="K32" s="13" t="str" cm="1">
        <f t="array" ref="K32">_xll.BDH("PH US Equity","BS_DERIV_HEDGING_ASST_LT","FQ1 2021","FQ1 2021","Currency=USD","Period=FQ","BEST_FPERIOD_OVERRIDE=FQ","FILING_STATUS=MR","SCALING_FORMAT=MLN","Sort=A","Dates=H","DateFormat=P","Fill=—","Direction=H","UseDPDF=Y")</f>
        <v>—</v>
      </c>
      <c r="L32" s="13" cm="1">
        <f t="array" ref="L32">_xll.BDH("PH US Equity","BS_DERIV_HEDGING_ASST_LT","FQ2 2021","FQ2 2021","Currency=USD","Period=FQ","BEST_FPERIOD_OVERRIDE=FQ","FILING_STATUS=MR","SCALING_FORMAT=MLN","Sort=A","Dates=H","DateFormat=P","Fill=—","Direction=H","UseDPDF=Y")</f>
        <v>81.129000000000005</v>
      </c>
      <c r="M32" s="13" cm="1">
        <f t="array" ref="M32">_xll.BDH("PH US Equity","BS_DERIV_HEDGING_ASST_LT","FQ3 2021","FQ3 2021","Currency=USD","Period=FQ","BEST_FPERIOD_OVERRIDE=FQ","FILING_STATUS=MR","SCALING_FORMAT=MLN","Sort=A","Dates=H","DateFormat=P","Fill=—","Direction=H","UseDPDF=Y")</f>
        <v>73.144000000000005</v>
      </c>
      <c r="N32" s="13" cm="1">
        <f t="array" ref="N32">_xll.BDH("PH US Equity","BS_DERIV_HEDGING_ASST_LT","FQ4 2021","FQ4 2021","Currency=USD","Period=FQ","BEST_FPERIOD_OVERRIDE=FQ","FILING_STATUS=MR","SCALING_FORMAT=MLN","Sort=A","Dates=H","DateFormat=P","Fill=—","Direction=H","UseDPDF=Y")</f>
        <v>0</v>
      </c>
      <c r="O32" s="13" t="str" cm="1">
        <f t="array" ref="O32">_xll.BDH("PH US Equity","BS_DERIV_HEDGING_ASST_LT","FQ1 2022","FQ1 2022","Currency=USD","Period=FQ","BEST_FPERIOD_OVERRIDE=FQ","FILING_STATUS=MR","SCALING_FORMAT=MLN","Sort=A","Dates=H","DateFormat=P","Fill=—","Direction=H","UseDPDF=Y")</f>
        <v>—</v>
      </c>
      <c r="P32" s="13" cm="1">
        <f t="array" ref="P32">_xll.BDH("PH US Equity","BS_DERIV_HEDGING_ASST_LT","FQ2 2022","FQ2 2022","Currency=USD","Period=FQ","BEST_FPERIOD_OVERRIDE=FQ","FILING_STATUS=MR","SCALING_FORMAT=MLN","Sort=A","Dates=H","DateFormat=P","Fill=—","Direction=H","UseDPDF=Y")</f>
        <v>0.625</v>
      </c>
      <c r="Q32" s="13" cm="1">
        <f t="array" ref="Q32">_xll.BDH("PH US Equity","BS_DERIV_HEDGING_ASST_LT","FQ3 2022","FQ3 2022","Currency=USD","Period=FQ","BEST_FPERIOD_OVERRIDE=FQ","FILING_STATUS=MR","SCALING_FORMAT=MLN","Sort=A","Dates=H","DateFormat=P","Fill=—","Direction=H","UseDPDF=Y")</f>
        <v>30.355</v>
      </c>
      <c r="R32" s="13" t="str" cm="1">
        <f t="array" ref="R32">_xll.BDH("PH US Equity","BS_DERIV_HEDGING_ASST_LT","FQ4 2022","FQ4 2022","Currency=USD","Period=FQ","BEST_FPERIOD_OVERRIDE=FQ","FILING_STATUS=MR","SCALING_FORMAT=MLN","Sort=A","Dates=H","DateFormat=P","Fill=—","Direction=H","UseDPDF=Y")</f>
        <v>—</v>
      </c>
      <c r="S32" s="13" cm="1">
        <f t="array" ref="S32">_xll.BDH("PH US Equity","BS_DERIV_HEDGING_ASST_LT","FQ1 2023","FQ1 2023","Currency=USD","Period=FQ","BEST_FPERIOD_OVERRIDE=FQ","FILING_STATUS=MR","SCALING_FORMAT=MLN","Sort=A","Dates=H","DateFormat=P","Fill=—","Direction=H","UseDPDF=Y")</f>
        <v>58.601999999999997</v>
      </c>
      <c r="T32" s="13" cm="1">
        <f t="array" ref="T32">_xll.BDH("PH US Equity","BS_DERIV_HEDGING_ASST_LT","FQ2 2023","FQ2 2023","Currency=USD","Period=FQ","BEST_FPERIOD_OVERRIDE=FQ","FILING_STATUS=MR","SCALING_FORMAT=MLN","Sort=A","Dates=H","DateFormat=P","Fill=—","Direction=H","UseDPDF=Y")</f>
        <v>2.3090000000000002</v>
      </c>
      <c r="U32" s="13" cm="1">
        <f t="array" ref="U32">_xll.BDH("PH US Equity","BS_DERIV_HEDGING_ASST_LT","FQ3 2023","FQ3 2023","Currency=USD","Period=FQ","BEST_FPERIOD_OVERRIDE=FQ","FILING_STATUS=MR","SCALING_FORMAT=MLN","Sort=A","Dates=H","DateFormat=P","Fill=—","Direction=H","UseDPDF=Y")</f>
        <v>12.076000000000001</v>
      </c>
      <c r="V32" s="13" cm="1">
        <f t="array" ref="V32">_xll.BDH("PH US Equity","BS_DERIV_HEDGING_ASST_LT","FQ4 2023","FQ4 2023","Currency=USD","Period=FQ","BEST_FPERIOD_OVERRIDE=FQ","FILING_STATUS=MR","SCALING_FORMAT=MLN","Sort=A","Dates=H","DateFormat=P","Fill=—","Direction=H","UseDPDF=Y")</f>
        <v>21.577999999999999</v>
      </c>
      <c r="W32" s="13" cm="1">
        <f t="array" ref="W32">_xll.BDH("PH US Equity","BS_DERIV_HEDGING_ASST_LT","FQ1 2024","FQ1 2024","Currency=USD","Period=FQ","BEST_FPERIOD_OVERRIDE=FQ","FILING_STATUS=MR","SCALING_FORMAT=MLN","Sort=A","Dates=H","DateFormat=P","Fill=—","Direction=H","UseDPDF=Y")</f>
        <v>26.725000000000001</v>
      </c>
      <c r="X32" s="13" cm="1">
        <f t="array" ref="X32">_xll.BDH("PH US Equity","BS_DERIV_HEDGING_ASST_LT","FQ2 2024","FQ2 2024","Currency=USD","Period=FQ","BEST_FPERIOD_OVERRIDE=FQ","FILING_STATUS=MR","SCALING_FORMAT=MLN","Sort=A","Dates=H","DateFormat=P","Fill=—","Direction=H","UseDPDF=Y")</f>
        <v>2.0499999999999998</v>
      </c>
      <c r="Y32" s="13" cm="1">
        <f t="array" ref="Y32">_xll.BDH("PH US Equity","BS_DERIV_HEDGING_ASST_LT","FQ3 2024","FQ3 2024","Currency=USD","Period=FQ","BEST_FPERIOD_OVERRIDE=FQ","FILING_STATUS=MR","SCALING_FORMAT=MLN","Sort=A","Dates=H","DateFormat=P","Fill=—","Direction=H","UseDPDF=Y")</f>
        <v>6.2690000000000001</v>
      </c>
      <c r="Z32" s="13" cm="1">
        <f t="array" ref="Z32">_xll.BDH("PH US Equity","BS_DERIV_HEDGING_ASST_LT","FQ4 2024","FQ4 2024","Currency=USD","Period=FQ","BEST_FPERIOD_OVERRIDE=FQ","FILING_STATUS=MR","SCALING_FORMAT=MLN","Sort=A","Dates=H","DateFormat=P","Fill=—","Direction=H","UseDPDF=Y")</f>
        <v>16.324999999999999</v>
      </c>
      <c r="AA32" s="13" cm="1">
        <f t="array" ref="AA32">_xll.BDH("PH US Equity","BS_DERIV_HEDGING_ASST_LT","FQ1 2025","FQ1 2025","Currency=USD","Period=FQ","BEST_FPERIOD_OVERRIDE=FQ","FILING_STATUS=MR","SCALING_FORMAT=MLN","Sort=A","Dates=H","DateFormat=P","Fill=—","Direction=H","UseDPDF=Y")</f>
        <v>7.0490000000000004</v>
      </c>
      <c r="AB32" s="13" cm="1">
        <f t="array" ref="AB32">_xll.BDH("PH US Equity","BS_DERIV_HEDGING_ASST_LT","FQ2 2025","FQ2 2025","Currency=USD","Period=FQ","BEST_FPERIOD_OVERRIDE=FQ","FILING_STATUS=MR","SCALING_FORMAT=MLN","Sort=A","Dates=H","DateFormat=P","Fill=—","Direction=H","UseDPDF=Y")</f>
        <v>13.143000000000001</v>
      </c>
      <c r="AC32" s="13" cm="1">
        <f t="array" ref="AC32">_xll.BDH("PH US Equity","BS_DERIV_HEDGING_ASST_LT","FQ3 2025","FQ3 2025","Currency=USD","Period=FQ","BEST_FPERIOD_OVERRIDE=FQ","FILING_STATUS=MR","SCALING_FORMAT=MLN","Sort=A","Dates=H","DateFormat=P","Fill=—","Direction=H","UseDPDF=Y")</f>
        <v>20.013999999999999</v>
      </c>
      <c r="AD32" s="13" cm="1">
        <f t="array" ref="AD32">_xll.BDH("PH US Equity","BS_DERIV_HEDGING_ASST_LT","FQ4 2025","FQ4 2025","Currency=USD","Period=FQ","BEST_FPERIOD_OVERRIDE=FQ","FILING_STATUS=MR","SCALING_FORMAT=MLN","Sort=A","Dates=H","DateFormat=P","Fill=—","Direction=H","UseDPDF=Y")</f>
        <v>4</v>
      </c>
      <c r="AE32" s="13" cm="1">
        <f t="array" ref="AE32">_xll.BDH("PH US Equity","BS_DERIV_HEDGING_ASST_LT","FQ1 2026","FQ1 2026","Currency=USD","Period=FQ","BEST_FPERIOD_OVERRIDE=FQ","FILING_STATUS=MR","SCALING_FORMAT=MLN","Sort=A","Dates=H","DateFormat=P","Fill=—","Direction=H","UseDPDF=Y")</f>
        <v>5</v>
      </c>
      <c r="AF32" s="13" cm="1">
        <f t="array" ref="AF32">_xll.BDH("PH US Equity","BS_DERIV_HEDGING_ASST_LT","FQ2 2026","FQ2 2026","Currency=USD","Period=FQ","BEST_FPERIOD_OVERRIDE=FQ","FILING_STATUS=MR","SCALING_FORMAT=MLN","Sort=A","Dates=H","DateFormat=P","Fill=—","Direction=H","UseDPDF=Y")</f>
        <v>5</v>
      </c>
    </row>
    <row r="33" spans="1:32" x14ac:dyDescent="0.25">
      <c r="A33" s="10" t="s">
        <v>117</v>
      </c>
      <c r="B33" s="10" t="s">
        <v>118</v>
      </c>
      <c r="C33" s="13" t="str" cm="1">
        <f t="array" ref="C33">_xll.BDH("PH US Equity","BS_INVEST_IN_ASSOC_CO","FQ1 2019","FQ1 2019","Currency=USD","Period=FQ","BEST_FPERIOD_OVERRIDE=FQ","FILING_STATUS=MR","SCALING_FORMAT=MLN","Sort=A","Dates=H","DateFormat=P","Fill=—","Direction=H","UseDPDF=Y")</f>
        <v>—</v>
      </c>
      <c r="D33" s="13" t="str" cm="1">
        <f t="array" ref="D33">_xll.BDH("PH US Equity","BS_INVEST_IN_ASSOC_CO","FQ2 2019","FQ2 2019","Currency=USD","Period=FQ","BEST_FPERIOD_OVERRIDE=FQ","FILING_STATUS=MR","SCALING_FORMAT=MLN","Sort=A","Dates=H","DateFormat=P","Fill=—","Direction=H","UseDPDF=Y")</f>
        <v>—</v>
      </c>
      <c r="E33" s="13" t="str" cm="1">
        <f t="array" ref="E33">_xll.BDH("PH US Equity","BS_INVEST_IN_ASSOC_CO","FQ3 2019","FQ3 2019","Currency=USD","Period=FQ","BEST_FPERIOD_OVERRIDE=FQ","FILING_STATUS=MR","SCALING_FORMAT=MLN","Sort=A","Dates=H","DateFormat=P","Fill=—","Direction=H","UseDPDF=Y")</f>
        <v>—</v>
      </c>
      <c r="F33" s="13" cm="1">
        <f t="array" ref="F33">_xll.BDH("PH US Equity","BS_INVEST_IN_ASSOC_CO","FQ4 2019","FQ4 2019","Currency=USD","Period=FQ","BEST_FPERIOD_OVERRIDE=FQ","FILING_STATUS=MR","SCALING_FORMAT=MLN","Sort=A","Dates=H","DateFormat=P","Fill=—","Direction=H","UseDPDF=Y")</f>
        <v>316.72800000000001</v>
      </c>
      <c r="G33" s="13" t="str" cm="1">
        <f t="array" ref="G33">_xll.BDH("PH US Equity","BS_INVEST_IN_ASSOC_CO","FQ1 2020","FQ1 2020","Currency=USD","Period=FQ","BEST_FPERIOD_OVERRIDE=FQ","FILING_STATUS=MR","SCALING_FORMAT=MLN","Sort=A","Dates=H","DateFormat=P","Fill=—","Direction=H","UseDPDF=Y")</f>
        <v>—</v>
      </c>
      <c r="H33" s="13" t="str" cm="1">
        <f t="array" ref="H33">_xll.BDH("PH US Equity","BS_INVEST_IN_ASSOC_CO","FQ2 2020","FQ2 2020","Currency=USD","Period=FQ","BEST_FPERIOD_OVERRIDE=FQ","FILING_STATUS=MR","SCALING_FORMAT=MLN","Sort=A","Dates=H","DateFormat=P","Fill=—","Direction=H","UseDPDF=Y")</f>
        <v>—</v>
      </c>
      <c r="I33" s="13" t="str" cm="1">
        <f t="array" ref="I33">_xll.BDH("PH US Equity","BS_INVEST_IN_ASSOC_CO","FQ3 2020","FQ3 2020","Currency=USD","Period=FQ","BEST_FPERIOD_OVERRIDE=FQ","FILING_STATUS=MR","SCALING_FORMAT=MLN","Sort=A","Dates=H","DateFormat=P","Fill=—","Direction=H","UseDPDF=Y")</f>
        <v>—</v>
      </c>
      <c r="J33" s="13" cm="1">
        <f t="array" ref="J33">_xll.BDH("PH US Equity","BS_INVEST_IN_ASSOC_CO","FQ4 2020","FQ4 2020","Currency=USD","Period=FQ","BEST_FPERIOD_OVERRIDE=FQ","FILING_STATUS=MR","SCALING_FORMAT=MLN","Sort=A","Dates=H","DateFormat=P","Fill=—","Direction=H","UseDPDF=Y")</f>
        <v>317.97500000000002</v>
      </c>
      <c r="K33" s="13" t="str" cm="1">
        <f t="array" ref="K33">_xll.BDH("PH US Equity","BS_INVEST_IN_ASSOC_CO","FQ1 2021","FQ1 2021","Currency=USD","Period=FQ","BEST_FPERIOD_OVERRIDE=FQ","FILING_STATUS=MR","SCALING_FORMAT=MLN","Sort=A","Dates=H","DateFormat=P","Fill=—","Direction=H","UseDPDF=Y")</f>
        <v>—</v>
      </c>
      <c r="L33" s="13" t="str" cm="1">
        <f t="array" ref="L33">_xll.BDH("PH US Equity","BS_INVEST_IN_ASSOC_CO","FQ2 2021","FQ2 2021","Currency=USD","Period=FQ","BEST_FPERIOD_OVERRIDE=FQ","FILING_STATUS=MR","SCALING_FORMAT=MLN","Sort=A","Dates=H","DateFormat=P","Fill=—","Direction=H","UseDPDF=Y")</f>
        <v>—</v>
      </c>
      <c r="M33" s="13" t="str" cm="1">
        <f t="array" ref="M33">_xll.BDH("PH US Equity","BS_INVEST_IN_ASSOC_CO","FQ3 2021","FQ3 2021","Currency=USD","Period=FQ","BEST_FPERIOD_OVERRIDE=FQ","FILING_STATUS=MR","SCALING_FORMAT=MLN","Sort=A","Dates=H","DateFormat=P","Fill=—","Direction=H","UseDPDF=Y")</f>
        <v>—</v>
      </c>
      <c r="N33" s="13" cm="1">
        <f t="array" ref="N33">_xll.BDH("PH US Equity","BS_INVEST_IN_ASSOC_CO","FQ4 2021","FQ4 2021","Currency=USD","Period=FQ","BEST_FPERIOD_OVERRIDE=FQ","FILING_STATUS=MR","SCALING_FORMAT=MLN","Sort=A","Dates=H","DateFormat=P","Fill=—","Direction=H","UseDPDF=Y")</f>
        <v>292</v>
      </c>
      <c r="O33" s="13" t="str" cm="1">
        <f t="array" ref="O33">_xll.BDH("PH US Equity","BS_INVEST_IN_ASSOC_CO","FQ1 2022","FQ1 2022","Currency=USD","Period=FQ","BEST_FPERIOD_OVERRIDE=FQ","FILING_STATUS=MR","SCALING_FORMAT=MLN","Sort=A","Dates=H","DateFormat=P","Fill=—","Direction=H","UseDPDF=Y")</f>
        <v>—</v>
      </c>
      <c r="P33" s="13" t="str" cm="1">
        <f t="array" ref="P33">_xll.BDH("PH US Equity","BS_INVEST_IN_ASSOC_CO","FQ2 2022","FQ2 2022","Currency=USD","Period=FQ","BEST_FPERIOD_OVERRIDE=FQ","FILING_STATUS=MR","SCALING_FORMAT=MLN","Sort=A","Dates=H","DateFormat=P","Fill=—","Direction=H","UseDPDF=Y")</f>
        <v>—</v>
      </c>
      <c r="Q33" s="13" t="str" cm="1">
        <f t="array" ref="Q33">_xll.BDH("PH US Equity","BS_INVEST_IN_ASSOC_CO","FQ3 2022","FQ3 2022","Currency=USD","Period=FQ","BEST_FPERIOD_OVERRIDE=FQ","FILING_STATUS=MR","SCALING_FORMAT=MLN","Sort=A","Dates=H","DateFormat=P","Fill=—","Direction=H","UseDPDF=Y")</f>
        <v>—</v>
      </c>
      <c r="R33" s="13" t="str" cm="1">
        <f t="array" ref="R33">_xll.BDH("PH US Equity","BS_INVEST_IN_ASSOC_CO","FQ4 2022","FQ4 2022","Currency=USD","Period=FQ","BEST_FPERIOD_OVERRIDE=FQ","FILING_STATUS=MR","SCALING_FORMAT=MLN","Sort=A","Dates=H","DateFormat=P","Fill=—","Direction=H","UseDPDF=Y")</f>
        <v>—</v>
      </c>
      <c r="S33" s="13" t="str" cm="1">
        <f t="array" ref="S33">_xll.BDH("PH US Equity","BS_INVEST_IN_ASSOC_CO","FQ1 2023","FQ1 2023","Currency=USD","Period=FQ","BEST_FPERIOD_OVERRIDE=FQ","FILING_STATUS=MR","SCALING_FORMAT=MLN","Sort=A","Dates=H","DateFormat=P","Fill=—","Direction=H","UseDPDF=Y")</f>
        <v>—</v>
      </c>
      <c r="T33" s="13" t="str" cm="1">
        <f t="array" ref="T33">_xll.BDH("PH US Equity","BS_INVEST_IN_ASSOC_CO","FQ2 2023","FQ2 2023","Currency=USD","Period=FQ","BEST_FPERIOD_OVERRIDE=FQ","FILING_STATUS=MR","SCALING_FORMAT=MLN","Sort=A","Dates=H","DateFormat=P","Fill=—","Direction=H","UseDPDF=Y")</f>
        <v>—</v>
      </c>
      <c r="U33" s="13" t="str" cm="1">
        <f t="array" ref="U33">_xll.BDH("PH US Equity","BS_INVEST_IN_ASSOC_CO","FQ3 2023","FQ3 2023","Currency=USD","Period=FQ","BEST_FPERIOD_OVERRIDE=FQ","FILING_STATUS=MR","SCALING_FORMAT=MLN","Sort=A","Dates=H","DateFormat=P","Fill=—","Direction=H","UseDPDF=Y")</f>
        <v>—</v>
      </c>
      <c r="V33" s="13" cm="1">
        <f t="array" ref="V33">_xll.BDH("PH US Equity","BS_INVEST_IN_ASSOC_CO","FQ4 2023","FQ4 2023","Currency=USD","Period=FQ","BEST_FPERIOD_OVERRIDE=FQ","FILING_STATUS=MR","SCALING_FORMAT=MLN","Sort=A","Dates=H","DateFormat=P","Fill=—","Direction=H","UseDPDF=Y")</f>
        <v>297</v>
      </c>
      <c r="W33" s="13" t="str" cm="1">
        <f t="array" ref="W33">_xll.BDH("PH US Equity","BS_INVEST_IN_ASSOC_CO","FQ1 2024","FQ1 2024","Currency=USD","Period=FQ","BEST_FPERIOD_OVERRIDE=FQ","FILING_STATUS=MR","SCALING_FORMAT=MLN","Sort=A","Dates=H","DateFormat=P","Fill=—","Direction=H","UseDPDF=Y")</f>
        <v>—</v>
      </c>
      <c r="X33" s="13" t="str" cm="1">
        <f t="array" ref="X33">_xll.BDH("PH US Equity","BS_INVEST_IN_ASSOC_CO","FQ2 2024","FQ2 2024","Currency=USD","Period=FQ","BEST_FPERIOD_OVERRIDE=FQ","FILING_STATUS=MR","SCALING_FORMAT=MLN","Sort=A","Dates=H","DateFormat=P","Fill=—","Direction=H","UseDPDF=Y")</f>
        <v>—</v>
      </c>
      <c r="Y33" s="13" t="str" cm="1">
        <f t="array" ref="Y33">_xll.BDH("PH US Equity","BS_INVEST_IN_ASSOC_CO","FQ3 2024","FQ3 2024","Currency=USD","Period=FQ","BEST_FPERIOD_OVERRIDE=FQ","FILING_STATUS=MR","SCALING_FORMAT=MLN","Sort=A","Dates=H","DateFormat=P","Fill=—","Direction=H","UseDPDF=Y")</f>
        <v>—</v>
      </c>
      <c r="Z33" s="13" cm="1">
        <f t="array" ref="Z33">_xll.BDH("PH US Equity","BS_INVEST_IN_ASSOC_CO","FQ4 2024","FQ4 2024","Currency=USD","Period=FQ","BEST_FPERIOD_OVERRIDE=FQ","FILING_STATUS=MR","SCALING_FORMAT=MLN","Sort=A","Dates=H","DateFormat=P","Fill=—","Direction=H","UseDPDF=Y")</f>
        <v>294</v>
      </c>
      <c r="AA33" s="13" t="str" cm="1">
        <f t="array" ref="AA33">_xll.BDH("PH US Equity","BS_INVEST_IN_ASSOC_CO","FQ1 2025","FQ1 2025","Currency=USD","Period=FQ","BEST_FPERIOD_OVERRIDE=FQ","FILING_STATUS=MR","SCALING_FORMAT=MLN","Sort=A","Dates=H","DateFormat=P","Fill=—","Direction=H","UseDPDF=Y")</f>
        <v>—</v>
      </c>
      <c r="AB33" s="13" t="str" cm="1">
        <f t="array" ref="AB33">_xll.BDH("PH US Equity","BS_INVEST_IN_ASSOC_CO","FQ2 2025","FQ2 2025","Currency=USD","Period=FQ","BEST_FPERIOD_OVERRIDE=FQ","FILING_STATUS=MR","SCALING_FORMAT=MLN","Sort=A","Dates=H","DateFormat=P","Fill=—","Direction=H","UseDPDF=Y")</f>
        <v>—</v>
      </c>
      <c r="AC33" s="13" t="str" cm="1">
        <f t="array" ref="AC33">_xll.BDH("PH US Equity","BS_INVEST_IN_ASSOC_CO","FQ3 2025","FQ3 2025","Currency=USD","Period=FQ","BEST_FPERIOD_OVERRIDE=FQ","FILING_STATUS=MR","SCALING_FORMAT=MLN","Sort=A","Dates=H","DateFormat=P","Fill=—","Direction=H","UseDPDF=Y")</f>
        <v>—</v>
      </c>
      <c r="AD33" s="13" cm="1">
        <f t="array" ref="AD33">_xll.BDH("PH US Equity","BS_INVEST_IN_ASSOC_CO","FQ4 2025","FQ4 2025","Currency=USD","Period=FQ","BEST_FPERIOD_OVERRIDE=FQ","FILING_STATUS=MR","SCALING_FORMAT=MLN","Sort=A","Dates=H","DateFormat=P","Fill=—","Direction=H","UseDPDF=Y")</f>
        <v>280</v>
      </c>
      <c r="AE33" s="13" t="str" cm="1">
        <f t="array" ref="AE33">_xll.BDH("PH US Equity","BS_INVEST_IN_ASSOC_CO","FQ1 2026","FQ1 2026","Currency=USD","Period=FQ","BEST_FPERIOD_OVERRIDE=FQ","FILING_STATUS=MR","SCALING_FORMAT=MLN","Sort=A","Dates=H","DateFormat=P","Fill=—","Direction=H","UseDPDF=Y")</f>
        <v>—</v>
      </c>
      <c r="AF33" s="13" t="str" cm="1">
        <f t="array" ref="AF33">_xll.BDH("PH US Equity","BS_INVEST_IN_ASSOC_CO","FQ2 2026","FQ2 2026","Currency=USD","Period=FQ","BEST_FPERIOD_OVERRIDE=FQ","FILING_STATUS=MR","SCALING_FORMAT=MLN","Sort=A","Dates=H","DateFormat=P","Fill=—","Direction=H","UseDPDF=Y")</f>
        <v>—</v>
      </c>
    </row>
    <row r="34" spans="1:32" x14ac:dyDescent="0.25">
      <c r="A34" s="10" t="s">
        <v>119</v>
      </c>
      <c r="B34" s="10" t="s">
        <v>120</v>
      </c>
      <c r="C34" s="13" cm="1">
        <f t="array" ref="C34">_xll.BDH("PH US Equity","OTHER_NONCURRENT_ASSETS_DETAILED","FQ1 2019","FQ1 2019","Currency=USD","Period=FQ","BEST_FPERIOD_OVERRIDE=FQ","FILING_STATUS=MR","SCALING_FORMAT=MLN","Sort=A","Dates=H","DateFormat=P","Fill=—","Direction=H","UseDPDF=Y")</f>
        <v>748.197</v>
      </c>
      <c r="D34" s="13" cm="1">
        <f t="array" ref="D34">_xll.BDH("PH US Equity","OTHER_NONCURRENT_ASSETS_DETAILED","FQ2 2019","FQ2 2019","Currency=USD","Period=FQ","BEST_FPERIOD_OVERRIDE=FQ","FILING_STATUS=MR","SCALING_FORMAT=MLN","Sort=A","Dates=H","DateFormat=P","Fill=—","Direction=H","UseDPDF=Y")</f>
        <v>716.86099999999999</v>
      </c>
      <c r="E34" s="13" cm="1">
        <f t="array" ref="E34">_xll.BDH("PH US Equity","OTHER_NONCURRENT_ASSETS_DETAILED","FQ3 2019","FQ3 2019","Currency=USD","Period=FQ","BEST_FPERIOD_OVERRIDE=FQ","FILING_STATUS=MR","SCALING_FORMAT=MLN","Sort=A","Dates=H","DateFormat=P","Fill=—","Direction=H","UseDPDF=Y")</f>
        <v>743.995</v>
      </c>
      <c r="F34" s="13" cm="1">
        <f t="array" ref="F34">_xll.BDH("PH US Equity","OTHER_NONCURRENT_ASSETS_DETAILED","FQ4 2019","FQ4 2019","Currency=USD","Period=FQ","BEST_FPERIOD_OVERRIDE=FQ","FILING_STATUS=MR","SCALING_FORMAT=MLN","Sort=A","Dates=H","DateFormat=P","Fill=—","Direction=H","UseDPDF=Y")</f>
        <v>406.5</v>
      </c>
      <c r="G34" s="13" cm="1">
        <f t="array" ref="G34">_xll.BDH("PH US Equity","OTHER_NONCURRENT_ASSETS_DETAILED","FQ1 2020","FQ1 2020","Currency=USD","Period=FQ","BEST_FPERIOD_OVERRIDE=FQ","FILING_STATUS=MR","SCALING_FORMAT=MLN","Sort=A","Dates=H","DateFormat=P","Fill=—","Direction=H","UseDPDF=Y")</f>
        <v>718.19200000000001</v>
      </c>
      <c r="H34" s="13" cm="1">
        <f t="array" ref="H34">_xll.BDH("PH US Equity","OTHER_NONCURRENT_ASSETS_DETAILED","FQ2 2020","FQ2 2020","Currency=USD","Period=FQ","BEST_FPERIOD_OVERRIDE=FQ","FILING_STATUS=MR","SCALING_FORMAT=MLN","Sort=A","Dates=H","DateFormat=P","Fill=—","Direction=H","UseDPDF=Y")</f>
        <v>753.23400000000004</v>
      </c>
      <c r="I34" s="13" cm="1">
        <f t="array" ref="I34">_xll.BDH("PH US Equity","OTHER_NONCURRENT_ASSETS_DETAILED","FQ3 2020","FQ3 2020","Currency=USD","Period=FQ","BEST_FPERIOD_OVERRIDE=FQ","FILING_STATUS=MR","SCALING_FORMAT=MLN","Sort=A","Dates=H","DateFormat=P","Fill=—","Direction=H","UseDPDF=Y")</f>
        <v>613.07799999999997</v>
      </c>
      <c r="J34" s="13" cm="1">
        <f t="array" ref="J34">_xll.BDH("PH US Equity","OTHER_NONCURRENT_ASSETS_DETAILED","FQ4 2020","FQ4 2020","Currency=USD","Period=FQ","BEST_FPERIOD_OVERRIDE=FQ","FILING_STATUS=MR","SCALING_FORMAT=MLN","Sort=A","Dates=H","DateFormat=P","Fill=—","Direction=H","UseDPDF=Y")</f>
        <v>307.98700000000002</v>
      </c>
      <c r="K34" s="13" cm="1">
        <f t="array" ref="K34">_xll.BDH("PH US Equity","OTHER_NONCURRENT_ASSETS_DETAILED","FQ1 2021","FQ1 2021","Currency=USD","Period=FQ","BEST_FPERIOD_OVERRIDE=FQ","FILING_STATUS=MR","SCALING_FORMAT=MLN","Sort=A","Dates=H","DateFormat=P","Fill=—","Direction=H","UseDPDF=Y")</f>
        <v>778.59100000000001</v>
      </c>
      <c r="L34" s="13" cm="1">
        <f t="array" ref="L34">_xll.BDH("PH US Equity","OTHER_NONCURRENT_ASSETS_DETAILED","FQ2 2021","FQ2 2021","Currency=USD","Period=FQ","BEST_FPERIOD_OVERRIDE=FQ","FILING_STATUS=MR","SCALING_FORMAT=MLN","Sort=A","Dates=H","DateFormat=P","Fill=—","Direction=H","UseDPDF=Y")</f>
        <v>713.94399999999996</v>
      </c>
      <c r="M34" s="13" cm="1">
        <f t="array" ref="M34">_xll.BDH("PH US Equity","OTHER_NONCURRENT_ASSETS_DETAILED","FQ3 2021","FQ3 2021","Currency=USD","Period=FQ","BEST_FPERIOD_OVERRIDE=FQ","FILING_STATUS=MR","SCALING_FORMAT=MLN","Sort=A","Dates=H","DateFormat=P","Fill=—","Direction=H","UseDPDF=Y")</f>
        <v>718.077</v>
      </c>
      <c r="N34" s="13" cm="1">
        <f t="array" ref="N34">_xll.BDH("PH US Equity","OTHER_NONCURRENT_ASSETS_DETAILED","FQ4 2021","FQ4 2021","Currency=USD","Period=FQ","BEST_FPERIOD_OVERRIDE=FQ","FILING_STATUS=MR","SCALING_FORMAT=MLN","Sort=A","Dates=H","DateFormat=P","Fill=—","Direction=H","UseDPDF=Y")</f>
        <v>350.35899999999998</v>
      </c>
      <c r="O34" s="13" cm="1">
        <f t="array" ref="O34">_xll.BDH("PH US Equity","OTHER_NONCURRENT_ASSETS_DETAILED","FQ1 2022","FQ1 2022","Currency=USD","Period=FQ","BEST_FPERIOD_OVERRIDE=FQ","FILING_STATUS=MR","SCALING_FORMAT=MLN","Sort=A","Dates=H","DateFormat=P","Fill=—","Direction=H","UseDPDF=Y")</f>
        <v>800.21100000000001</v>
      </c>
      <c r="P34" s="13" cm="1">
        <f t="array" ref="P34">_xll.BDH("PH US Equity","OTHER_NONCURRENT_ASSETS_DETAILED","FQ2 2022","FQ2 2022","Currency=USD","Period=FQ","BEST_FPERIOD_OVERRIDE=FQ","FILING_STATUS=MR","SCALING_FORMAT=MLN","Sort=A","Dates=H","DateFormat=P","Fill=—","Direction=H","UseDPDF=Y")</f>
        <v>794.18899999999996</v>
      </c>
      <c r="Q34" s="13" cm="1">
        <f t="array" ref="Q34">_xll.BDH("PH US Equity","OTHER_NONCURRENT_ASSETS_DETAILED","FQ3 2022","FQ3 2022","Currency=USD","Period=FQ","BEST_FPERIOD_OVERRIDE=FQ","FILING_STATUS=MR","SCALING_FORMAT=MLN","Sort=A","Dates=H","DateFormat=P","Fill=—","Direction=H","UseDPDF=Y")</f>
        <v>757.63099999999997</v>
      </c>
      <c r="R34" s="13" cm="1">
        <f t="array" ref="R34">_xll.BDH("PH US Equity","OTHER_NONCURRENT_ASSETS_DETAILED","FQ4 2022","FQ4 2022","Currency=USD","Period=FQ","BEST_FPERIOD_OVERRIDE=FQ","FILING_STATUS=MR","SCALING_FORMAT=MLN","Sort=A","Dates=H","DateFormat=P","Fill=—","Direction=H","UseDPDF=Y")</f>
        <v>788.05700000000002</v>
      </c>
      <c r="S34" s="13" cm="1">
        <f t="array" ref="S34">_xll.BDH("PH US Equity","OTHER_NONCURRENT_ASSETS_DETAILED","FQ1 2023","FQ1 2023","Currency=USD","Period=FQ","BEST_FPERIOD_OVERRIDE=FQ","FILING_STATUS=MR","SCALING_FORMAT=MLN","Sort=A","Dates=H","DateFormat=P","Fill=—","Direction=H","UseDPDF=Y")</f>
        <v>1077.126</v>
      </c>
      <c r="T34" s="13" cm="1">
        <f t="array" ref="T34">_xll.BDH("PH US Equity","OTHER_NONCURRENT_ASSETS_DETAILED","FQ2 2023","FQ2 2023","Currency=USD","Period=FQ","BEST_FPERIOD_OVERRIDE=FQ","FILING_STATUS=MR","SCALING_FORMAT=MLN","Sort=A","Dates=H","DateFormat=P","Fill=—","Direction=H","UseDPDF=Y")</f>
        <v>1203.885</v>
      </c>
      <c r="U34" s="13" cm="1">
        <f t="array" ref="U34">_xll.BDH("PH US Equity","OTHER_NONCURRENT_ASSETS_DETAILED","FQ3 2023","FQ3 2023","Currency=USD","Period=FQ","BEST_FPERIOD_OVERRIDE=FQ","FILING_STATUS=MR","SCALING_FORMAT=MLN","Sort=A","Dates=H","DateFormat=P","Fill=—","Direction=H","UseDPDF=Y")</f>
        <v>1176.595</v>
      </c>
      <c r="V34" s="13" cm="1">
        <f t="array" ref="V34">_xll.BDH("PH US Equity","OTHER_NONCURRENT_ASSETS_DETAILED","FQ4 2023","FQ4 2023","Currency=USD","Period=FQ","BEST_FPERIOD_OVERRIDE=FQ","FILING_STATUS=MR","SCALING_FORMAT=MLN","Sort=A","Dates=H","DateFormat=P","Fill=—","Direction=H","UseDPDF=Y")</f>
        <v>553.26499999999999</v>
      </c>
      <c r="W34" s="13" cm="1">
        <f t="array" ref="W34">_xll.BDH("PH US Equity","OTHER_NONCURRENT_ASSETS_DETAILED","FQ1 2024","FQ1 2024","Currency=USD","Period=FQ","BEST_FPERIOD_OVERRIDE=FQ","FILING_STATUS=MR","SCALING_FORMAT=MLN","Sort=A","Dates=H","DateFormat=P","Fill=—","Direction=H","UseDPDF=Y")</f>
        <v>1108.345</v>
      </c>
      <c r="X34" s="13" cm="1">
        <f t="array" ref="X34">_xll.BDH("PH US Equity","OTHER_NONCURRENT_ASSETS_DETAILED","FQ2 2024","FQ2 2024","Currency=USD","Period=FQ","BEST_FPERIOD_OVERRIDE=FQ","FILING_STATUS=MR","SCALING_FORMAT=MLN","Sort=A","Dates=H","DateFormat=P","Fill=—","Direction=H","UseDPDF=Y")</f>
        <v>1154.6600000000001</v>
      </c>
      <c r="Y34" s="13" cm="1">
        <f t="array" ref="Y34">_xll.BDH("PH US Equity","OTHER_NONCURRENT_ASSETS_DETAILED","FQ3 2024","FQ3 2024","Currency=USD","Period=FQ","BEST_FPERIOD_OVERRIDE=FQ","FILING_STATUS=MR","SCALING_FORMAT=MLN","Sort=A","Dates=H","DateFormat=P","Fill=—","Direction=H","UseDPDF=Y")</f>
        <v>1144.5150000000001</v>
      </c>
      <c r="Z34" s="13" cm="1">
        <f t="array" ref="Z34">_xll.BDH("PH US Equity","OTHER_NONCURRENT_ASSETS_DETAILED","FQ4 2024","FQ4 2024","Currency=USD","Period=FQ","BEST_FPERIOD_OVERRIDE=FQ","FILING_STATUS=MR","SCALING_FORMAT=MLN","Sort=A","Dates=H","DateFormat=P","Fill=—","Direction=H","UseDPDF=Y")</f>
        <v>670.95500000000004</v>
      </c>
      <c r="AA34" s="13" cm="1">
        <f t="array" ref="AA34">_xll.BDH("PH US Equity","OTHER_NONCURRENT_ASSETS_DETAILED","FQ1 2025","FQ1 2025","Currency=USD","Period=FQ","BEST_FPERIOD_OVERRIDE=FQ","FILING_STATUS=MR","SCALING_FORMAT=MLN","Sort=A","Dates=H","DateFormat=P","Fill=—","Direction=H","UseDPDF=Y")</f>
        <v>1256.1410000000001</v>
      </c>
      <c r="AB34" s="13" cm="1">
        <f t="array" ref="AB34">_xll.BDH("PH US Equity","OTHER_NONCURRENT_ASSETS_DETAILED","FQ2 2025","FQ2 2025","Currency=USD","Period=FQ","BEST_FPERIOD_OVERRIDE=FQ","FILING_STATUS=MR","SCALING_FORMAT=MLN","Sort=A","Dates=H","DateFormat=P","Fill=—","Direction=H","UseDPDF=Y")</f>
        <v>1219.4929999999999</v>
      </c>
      <c r="AC34" s="13" cm="1">
        <f t="array" ref="AC34">_xll.BDH("PH US Equity","OTHER_NONCURRENT_ASSETS_DETAILED","FQ3 2025","FQ3 2025","Currency=USD","Period=FQ","BEST_FPERIOD_OVERRIDE=FQ","FILING_STATUS=MR","SCALING_FORMAT=MLN","Sort=A","Dates=H","DateFormat=P","Fill=—","Direction=H","UseDPDF=Y")</f>
        <v>1195.1869999999999</v>
      </c>
      <c r="AD34" s="13" cm="1">
        <f t="array" ref="AD34">_xll.BDH("PH US Equity","OTHER_NONCURRENT_ASSETS_DETAILED","FQ4 2025","FQ4 2025","Currency=USD","Period=FQ","BEST_FPERIOD_OVERRIDE=FQ","FILING_STATUS=MR","SCALING_FORMAT=MLN","Sort=A","Dates=H","DateFormat=P","Fill=—","Direction=H","UseDPDF=Y")</f>
        <v>793</v>
      </c>
      <c r="AE34" s="13" cm="1">
        <f t="array" ref="AE34">_xll.BDH("PH US Equity","OTHER_NONCURRENT_ASSETS_DETAILED","FQ1 2026","FQ1 2026","Currency=USD","Period=FQ","BEST_FPERIOD_OVERRIDE=FQ","FILING_STATUS=MR","SCALING_FORMAT=MLN","Sort=A","Dates=H","DateFormat=P","Fill=—","Direction=H","UseDPDF=Y")</f>
        <v>1301</v>
      </c>
      <c r="AF34" s="13" cm="1">
        <f t="array" ref="AF34">_xll.BDH("PH US Equity","OTHER_NONCURRENT_ASSETS_DETAILED","FQ2 2026","FQ2 2026","Currency=USD","Period=FQ","BEST_FPERIOD_OVERRIDE=FQ","FILING_STATUS=MR","SCALING_FORMAT=MLN","Sort=A","Dates=H","DateFormat=P","Fill=—","Direction=H","UseDPDF=Y")</f>
        <v>1317</v>
      </c>
    </row>
    <row r="35" spans="1:32" x14ac:dyDescent="0.25">
      <c r="A35" s="6" t="s">
        <v>121</v>
      </c>
      <c r="B35" s="6" t="s">
        <v>122</v>
      </c>
      <c r="C35" s="16" cm="1">
        <f t="array" ref="C35">_xll.BDH("PH US Equity","BS_TOT_NON_CUR_ASSET","FQ1 2019","FQ1 2019","Currency=USD","Period=FQ","BEST_FPERIOD_OVERRIDE=FQ","FILING_STATUS=MR","SCALING_FORMAT=MLN","Sort=A","Dates=H","DateFormat=P","Fill=—","Direction=H","UseDPDF=Y")</f>
        <v>10126.959999999999</v>
      </c>
      <c r="D35" s="16" cm="1">
        <f t="array" ref="D35">_xll.BDH("PH US Equity","BS_TOT_NON_CUR_ASSET","FQ2 2019","FQ2 2019","Currency=USD","Period=FQ","BEST_FPERIOD_OVERRIDE=FQ","FILING_STATUS=MR","SCALING_FORMAT=MLN","Sort=A","Dates=H","DateFormat=P","Fill=—","Direction=H","UseDPDF=Y")</f>
        <v>9972.9509999999991</v>
      </c>
      <c r="E35" s="16" cm="1">
        <f t="array" ref="E35">_xll.BDH("PH US Equity","BS_TOT_NON_CUR_ASSET","FQ3 2019","FQ3 2019","Currency=USD","Period=FQ","BEST_FPERIOD_OVERRIDE=FQ","FILING_STATUS=MR","SCALING_FORMAT=MLN","Sort=A","Dates=H","DateFormat=P","Fill=—","Direction=H","UseDPDF=Y")</f>
        <v>9940.1440000000002</v>
      </c>
      <c r="F35" s="16" cm="1">
        <f t="array" ref="F35">_xll.BDH("PH US Equity","BS_TOT_NON_CUR_ASSET","FQ4 2019","FQ4 2019","Currency=USD","Period=FQ","BEST_FPERIOD_OVERRIDE=FQ","FILING_STATUS=MR","SCALING_FORMAT=MLN","Sort=A","Dates=H","DateFormat=P","Fill=—","Direction=H","UseDPDF=Y")</f>
        <v>9903.6039999999994</v>
      </c>
      <c r="G35" s="16" cm="1">
        <f t="array" ref="G35">_xll.BDH("PH US Equity","BS_TOT_NON_CUR_ASSET","FQ1 2020","FQ1 2020","Currency=USD","Period=FQ","BEST_FPERIOD_OVERRIDE=FQ","FILING_STATUS=MR","SCALING_FORMAT=MLN","Sort=A","Dates=H","DateFormat=P","Fill=—","Direction=H","UseDPDF=Y")</f>
        <v>11430.51</v>
      </c>
      <c r="H35" s="16" cm="1">
        <f t="array" ref="H35">_xll.BDH("PH US Equity","BS_TOT_NON_CUR_ASSET","FQ2 2020","FQ2 2020","Currency=USD","Period=FQ","BEST_FPERIOD_OVERRIDE=FQ","FILING_STATUS=MR","SCALING_FORMAT=MLN","Sort=A","Dates=H","DateFormat=P","Fill=—","Direction=H","UseDPDF=Y")</f>
        <v>15382.838</v>
      </c>
      <c r="I35" s="16" cm="1">
        <f t="array" ref="I35">_xll.BDH("PH US Equity","BS_TOT_NON_CUR_ASSET","FQ3 2020","FQ3 2020","Currency=USD","Period=FQ","BEST_FPERIOD_OVERRIDE=FQ","FILING_STATUS=MR","SCALING_FORMAT=MLN","Sort=A","Dates=H","DateFormat=P","Fill=—","Direction=H","UseDPDF=Y")</f>
        <v>14883.853999999999</v>
      </c>
      <c r="J35" s="16" cm="1">
        <f t="array" ref="J35">_xll.BDH("PH US Equity","BS_TOT_NON_CUR_ASSET","FQ4 2020","FQ4 2020","Currency=USD","Period=FQ","BEST_FPERIOD_OVERRIDE=FQ","FILING_STATUS=MR","SCALING_FORMAT=MLN","Sort=A","Dates=H","DateFormat=P","Fill=—","Direction=H","UseDPDF=Y")</f>
        <v>14852.985000000001</v>
      </c>
      <c r="K35" s="16" cm="1">
        <f t="array" ref="K35">_xll.BDH("PH US Equity","BS_TOT_NON_CUR_ASSET","FQ1 2021","FQ1 2021","Currency=USD","Period=FQ","BEST_FPERIOD_OVERRIDE=FQ","FILING_STATUS=MR","SCALING_FORMAT=MLN","Sort=A","Dates=H","DateFormat=P","Fill=—","Direction=H","UseDPDF=Y")</f>
        <v>14916.433000000001</v>
      </c>
      <c r="L35" s="16" cm="1">
        <f t="array" ref="L35">_xll.BDH("PH US Equity","BS_TOT_NON_CUR_ASSET","FQ2 2021","FQ2 2021","Currency=USD","Period=FQ","BEST_FPERIOD_OVERRIDE=FQ","FILING_STATUS=MR","SCALING_FORMAT=MLN","Sort=A","Dates=H","DateFormat=P","Fill=—","Direction=H","UseDPDF=Y")</f>
        <v>15027.75</v>
      </c>
      <c r="M35" s="16" cm="1">
        <f t="array" ref="M35">_xll.BDH("PH US Equity","BS_TOT_NON_CUR_ASSET","FQ3 2021","FQ3 2021","Currency=USD","Period=FQ","BEST_FPERIOD_OVERRIDE=FQ","FILING_STATUS=MR","SCALING_FORMAT=MLN","Sort=A","Dates=H","DateFormat=P","Fill=—","Direction=H","UseDPDF=Y")</f>
        <v>14792.493</v>
      </c>
      <c r="N35" s="16" cm="1">
        <f t="array" ref="N35">_xll.BDH("PH US Equity","BS_TOT_NON_CUR_ASSET","FQ4 2021","FQ4 2021","Currency=USD","Period=FQ","BEST_FPERIOD_OVERRIDE=FQ","FILING_STATUS=MR","SCALING_FORMAT=MLN","Sort=A","Dates=H","DateFormat=P","Fill=—","Direction=H","UseDPDF=Y")</f>
        <v>14724.45</v>
      </c>
      <c r="O35" s="16" cm="1">
        <f t="array" ref="O35">_xll.BDH("PH US Equity","BS_TOT_NON_CUR_ASSET","FQ1 2022","FQ1 2022","Currency=USD","Period=FQ","BEST_FPERIOD_OVERRIDE=FQ","FILING_STATUS=MR","SCALING_FORMAT=MLN","Sort=A","Dates=H","DateFormat=P","Fill=—","Direction=H","UseDPDF=Y")</f>
        <v>14605.597</v>
      </c>
      <c r="P35" s="16" cm="1">
        <f t="array" ref="P35">_xll.BDH("PH US Equity","BS_TOT_NON_CUR_ASSET","FQ2 2022","FQ2 2022","Currency=USD","Period=FQ","BEST_FPERIOD_OVERRIDE=FQ","FILING_STATUS=MR","SCALING_FORMAT=MLN","Sort=A","Dates=H","DateFormat=P","Fill=—","Direction=H","UseDPDF=Y")</f>
        <v>14487.825999999999</v>
      </c>
      <c r="Q35" s="16" cm="1">
        <f t="array" ref="Q35">_xll.BDH("PH US Equity","BS_TOT_NON_CUR_ASSET","FQ3 2022","FQ3 2022","Currency=USD","Period=FQ","BEST_FPERIOD_OVERRIDE=FQ","FILING_STATUS=MR","SCALING_FORMAT=MLN","Sort=A","Dates=H","DateFormat=P","Fill=—","Direction=H","UseDPDF=Y")</f>
        <v>14315.626</v>
      </c>
      <c r="R35" s="16" cm="1">
        <f t="array" ref="R35">_xll.BDH("PH US Equity","BS_TOT_NON_CUR_ASSET","FQ4 2022","FQ4 2022","Currency=USD","Period=FQ","BEST_FPERIOD_OVERRIDE=FQ","FILING_STATUS=MR","SCALING_FORMAT=MLN","Sort=A","Dates=H","DateFormat=P","Fill=—","Direction=H","UseDPDF=Y")</f>
        <v>13897.299000000001</v>
      </c>
      <c r="S35" s="16" cm="1">
        <f t="array" ref="S35">_xll.BDH("PH US Equity","BS_TOT_NON_CUR_ASSET","FQ1 2023","FQ1 2023","Currency=USD","Period=FQ","BEST_FPERIOD_OVERRIDE=FQ","FILING_STATUS=MR","SCALING_FORMAT=MLN","Sort=A","Dates=H","DateFormat=P","Fill=—","Direction=H","UseDPDF=Y")</f>
        <v>22787.08</v>
      </c>
      <c r="T35" s="16" cm="1">
        <f t="array" ref="T35">_xll.BDH("PH US Equity","BS_TOT_NON_CUR_ASSET","FQ2 2023","FQ2 2023","Currency=USD","Period=FQ","BEST_FPERIOD_OVERRIDE=FQ","FILING_STATUS=MR","SCALING_FORMAT=MLN","Sort=A","Dates=H","DateFormat=P","Fill=—","Direction=H","UseDPDF=Y")</f>
        <v>23235.886999999999</v>
      </c>
      <c r="U35" s="16" cm="1">
        <f t="array" ref="U35">_xll.BDH("PH US Equity","BS_TOT_NON_CUR_ASSET","FQ3 2023","FQ3 2023","Currency=USD","Period=FQ","BEST_FPERIOD_OVERRIDE=FQ","FILING_STATUS=MR","SCALING_FORMAT=MLN","Sort=A","Dates=H","DateFormat=P","Fill=—","Direction=H","UseDPDF=Y")</f>
        <v>23282.312999999998</v>
      </c>
      <c r="V35" s="16" cm="1">
        <f t="array" ref="V35">_xll.BDH("PH US Equity","BS_TOT_NON_CUR_ASSET","FQ4 2023","FQ4 2023","Currency=USD","Period=FQ","BEST_FPERIOD_OVERRIDE=FQ","FILING_STATUS=MR","SCALING_FORMAT=MLN","Sort=A","Dates=H","DateFormat=P","Fill=—","Direction=H","UseDPDF=Y")</f>
        <v>23130.242999999999</v>
      </c>
      <c r="W35" s="16" cm="1">
        <f t="array" ref="W35">_xll.BDH("PH US Equity","BS_TOT_NON_CUR_ASSET","FQ1 2024","FQ1 2024","Currency=USD","Period=FQ","BEST_FPERIOD_OVERRIDE=FQ","FILING_STATUS=MR","SCALING_FORMAT=MLN","Sort=A","Dates=H","DateFormat=P","Fill=—","Direction=H","UseDPDF=Y")</f>
        <v>22763.121999999999</v>
      </c>
      <c r="X35" s="16" cm="1">
        <f t="array" ref="X35">_xll.BDH("PH US Equity","BS_TOT_NON_CUR_ASSET","FQ2 2024","FQ2 2024","Currency=USD","Period=FQ","BEST_FPERIOD_OVERRIDE=FQ","FILING_STATUS=MR","SCALING_FORMAT=MLN","Sort=A","Dates=H","DateFormat=P","Fill=—","Direction=H","UseDPDF=Y")</f>
        <v>22965.075000000001</v>
      </c>
      <c r="Y35" s="16" cm="1">
        <f t="array" ref="Y35">_xll.BDH("PH US Equity","BS_TOT_NON_CUR_ASSET","FQ3 2024","FQ3 2024","Currency=USD","Period=FQ","BEST_FPERIOD_OVERRIDE=FQ","FILING_STATUS=MR","SCALING_FORMAT=MLN","Sort=A","Dates=H","DateFormat=P","Fill=—","Direction=H","UseDPDF=Y")</f>
        <v>22635.775000000001</v>
      </c>
      <c r="Z35" s="16" cm="1">
        <f t="array" ref="Z35">_xll.BDH("PH US Equity","BS_TOT_NON_CUR_ASSET","FQ4 2024","FQ4 2024","Currency=USD","Period=FQ","BEST_FPERIOD_OVERRIDE=FQ","FILING_STATUS=MR","SCALING_FORMAT=MLN","Sort=A","Dates=H","DateFormat=P","Fill=—","Direction=H","UseDPDF=Y")</f>
        <v>22499.218000000001</v>
      </c>
      <c r="AA35" s="16" cm="1">
        <f t="array" ref="AA35">_xll.BDH("PH US Equity","BS_TOT_NON_CUR_ASSET","FQ1 2025","FQ1 2025","Currency=USD","Period=FQ","BEST_FPERIOD_OVERRIDE=FQ","FILING_STATUS=MR","SCALING_FORMAT=MLN","Sort=A","Dates=H","DateFormat=P","Fill=—","Direction=H","UseDPDF=Y")</f>
        <v>22567.133999999998</v>
      </c>
      <c r="AB35" s="16" cm="1">
        <f t="array" ref="AB35">_xll.BDH("PH US Equity","BS_TOT_NON_CUR_ASSET","FQ2 2025","FQ2 2025","Currency=USD","Period=FQ","BEST_FPERIOD_OVERRIDE=FQ","FILING_STATUS=MR","SCALING_FORMAT=MLN","Sort=A","Dates=H","DateFormat=P","Fill=—","Direction=H","UseDPDF=Y")</f>
        <v>21923.001</v>
      </c>
      <c r="AC35" s="16" cm="1">
        <f t="array" ref="AC35">_xll.BDH("PH US Equity","BS_TOT_NON_CUR_ASSET","FQ3 2025","FQ3 2025","Currency=USD","Period=FQ","BEST_FPERIOD_OVERRIDE=FQ","FILING_STATUS=MR","SCALING_FORMAT=MLN","Sort=A","Dates=H","DateFormat=P","Fill=—","Direction=H","UseDPDF=Y")</f>
        <v>22140.668000000001</v>
      </c>
      <c r="AD35" s="16" cm="1">
        <f t="array" ref="AD35">_xll.BDH("PH US Equity","BS_TOT_NON_CUR_ASSET","FQ4 2025","FQ4 2025","Currency=USD","Period=FQ","BEST_FPERIOD_OVERRIDE=FQ","FILING_STATUS=MR","SCALING_FORMAT=MLN","Sort=A","Dates=H","DateFormat=P","Fill=—","Direction=H","UseDPDF=Y")</f>
        <v>22544</v>
      </c>
      <c r="AE35" s="16" cm="1">
        <f t="array" ref="AE35">_xll.BDH("PH US Equity","BS_TOT_NON_CUR_ASSET","FQ1 2026","FQ1 2026","Currency=USD","Period=FQ","BEST_FPERIOD_OVERRIDE=FQ","FILING_STATUS=MR","SCALING_FORMAT=MLN","Sort=A","Dates=H","DateFormat=P","Fill=—","Direction=H","UseDPDF=Y")</f>
        <v>23450</v>
      </c>
      <c r="AF35" s="16" cm="1">
        <f t="array" ref="AF35">_xll.BDH("PH US Equity","BS_TOT_NON_CUR_ASSET","FQ2 2026","FQ2 2026","Currency=USD","Period=FQ","BEST_FPERIOD_OVERRIDE=FQ","FILING_STATUS=MR","SCALING_FORMAT=MLN","Sort=A","Dates=H","DateFormat=P","Fill=—","Direction=H","UseDPDF=Y")</f>
        <v>23318</v>
      </c>
    </row>
    <row r="36" spans="1:32" x14ac:dyDescent="0.25">
      <c r="A36" s="6" t="s">
        <v>65</v>
      </c>
      <c r="B36" s="6" t="s">
        <v>123</v>
      </c>
      <c r="C36" s="16" cm="1">
        <f t="array" ref="C36">_xll.BDH("PH US Equity","BS_TOT_ASSET","FQ1 2019","FQ1 2019","Currency=USD","Period=FQ","BEST_FPERIOD_OVERRIDE=FQ","FILING_STATUS=MR","SCALING_FORMAT=MLN","Sort=A","Dates=H","DateFormat=P","Fill=—","Direction=H","UseDPDF=Y")</f>
        <v>15425.041999999999</v>
      </c>
      <c r="D36" s="16" cm="1">
        <f t="array" ref="D36">_xll.BDH("PH US Equity","BS_TOT_ASSET","FQ2 2019","FQ2 2019","Currency=USD","Period=FQ","BEST_FPERIOD_OVERRIDE=FQ","FILING_STATUS=MR","SCALING_FORMAT=MLN","Sort=A","Dates=H","DateFormat=P","Fill=—","Direction=H","UseDPDF=Y")</f>
        <v>15307.687</v>
      </c>
      <c r="E36" s="16" cm="1">
        <f t="array" ref="E36">_xll.BDH("PH US Equity","BS_TOT_ASSET","FQ3 2019","FQ3 2019","Currency=USD","Period=FQ","BEST_FPERIOD_OVERRIDE=FQ","FILING_STATUS=MR","SCALING_FORMAT=MLN","Sort=A","Dates=H","DateFormat=P","Fill=—","Direction=H","UseDPDF=Y")</f>
        <v>15477.934999999999</v>
      </c>
      <c r="F36" s="16" cm="1">
        <f t="array" ref="F36">_xll.BDH("PH US Equity","BS_TOT_ASSET","FQ4 2019","FQ4 2019","Currency=USD","Period=FQ","BEST_FPERIOD_OVERRIDE=FQ","FILING_STATUS=MR","SCALING_FORMAT=MLN","Sort=A","Dates=H","DateFormat=P","Fill=—","Direction=H","UseDPDF=Y")</f>
        <v>17576.689999999999</v>
      </c>
      <c r="G36" s="16" cm="1">
        <f t="array" ref="G36">_xll.BDH("PH US Equity","BS_TOT_ASSET","FQ1 2020","FQ1 2020","Currency=USD","Period=FQ","BEST_FPERIOD_OVERRIDE=FQ","FILING_STATUS=MR","SCALING_FORMAT=MLN","Sort=A","Dates=H","DateFormat=P","Fill=—","Direction=H","UseDPDF=Y")</f>
        <v>19568.589</v>
      </c>
      <c r="H36" s="16" cm="1">
        <f t="array" ref="H36">_xll.BDH("PH US Equity","BS_TOT_ASSET","FQ2 2020","FQ2 2020","Currency=USD","Period=FQ","BEST_FPERIOD_OVERRIDE=FQ","FILING_STATUS=MR","SCALING_FORMAT=MLN","Sort=A","Dates=H","DateFormat=P","Fill=—","Direction=H","UseDPDF=Y")</f>
        <v>21043.989000000001</v>
      </c>
      <c r="I36" s="16" cm="1">
        <f t="array" ref="I36">_xll.BDH("PH US Equity","BS_TOT_ASSET","FQ3 2020","FQ3 2020","Currency=USD","Period=FQ","BEST_FPERIOD_OVERRIDE=FQ","FILING_STATUS=MR","SCALING_FORMAT=MLN","Sort=A","Dates=H","DateFormat=P","Fill=—","Direction=H","UseDPDF=Y")</f>
        <v>20365.28</v>
      </c>
      <c r="J36" s="16" cm="1">
        <f t="array" ref="J36">_xll.BDH("PH US Equity","BS_TOT_ASSET","FQ4 2020","FQ4 2020","Currency=USD","Period=FQ","BEST_FPERIOD_OVERRIDE=FQ","FILING_STATUS=MR","SCALING_FORMAT=MLN","Sort=A","Dates=H","DateFormat=P","Fill=—","Direction=H","UseDPDF=Y")</f>
        <v>19887.753000000001</v>
      </c>
      <c r="K36" s="16" cm="1">
        <f t="array" ref="K36">_xll.BDH("PH US Equity","BS_TOT_ASSET","FQ1 2021","FQ1 2021","Currency=USD","Period=FQ","BEST_FPERIOD_OVERRIDE=FQ","FILING_STATUS=MR","SCALING_FORMAT=MLN","Sort=A","Dates=H","DateFormat=P","Fill=—","Direction=H","UseDPDF=Y")</f>
        <v>19785.917000000001</v>
      </c>
      <c r="L36" s="16" cm="1">
        <f t="array" ref="L36">_xll.BDH("PH US Equity","BS_TOT_ASSET","FQ2 2021","FQ2 2021","Currency=USD","Period=FQ","BEST_FPERIOD_OVERRIDE=FQ","FILING_STATUS=MR","SCALING_FORMAT=MLN","Sort=A","Dates=H","DateFormat=P","Fill=—","Direction=H","UseDPDF=Y")</f>
        <v>19827.429</v>
      </c>
      <c r="M36" s="16" cm="1">
        <f t="array" ref="M36">_xll.BDH("PH US Equity","BS_TOT_ASSET","FQ3 2021","FQ3 2021","Currency=USD","Period=FQ","BEST_FPERIOD_OVERRIDE=FQ","FILING_STATUS=MR","SCALING_FORMAT=MLN","Sort=A","Dates=H","DateFormat=P","Fill=—","Direction=H","UseDPDF=Y")</f>
        <v>19841.545999999998</v>
      </c>
      <c r="N36" s="16" cm="1">
        <f t="array" ref="N36">_xll.BDH("PH US Equity","BS_TOT_ASSET","FQ4 2021","FQ4 2021","Currency=USD","Period=FQ","BEST_FPERIOD_OVERRIDE=FQ","FILING_STATUS=MR","SCALING_FORMAT=MLN","Sort=A","Dates=H","DateFormat=P","Fill=—","Direction=H","UseDPDF=Y")</f>
        <v>20341.2</v>
      </c>
      <c r="O36" s="16" cm="1">
        <f t="array" ref="O36">_xll.BDH("PH US Equity","BS_TOT_ASSET","FQ1 2022","FQ1 2022","Currency=USD","Period=FQ","BEST_FPERIOD_OVERRIDE=FQ","FILING_STATUS=MR","SCALING_FORMAT=MLN","Sort=A","Dates=H","DateFormat=P","Fill=—","Direction=H","UseDPDF=Y")</f>
        <v>20236.870999999999</v>
      </c>
      <c r="P36" s="16" cm="1">
        <f t="array" ref="P36">_xll.BDH("PH US Equity","BS_TOT_ASSET","FQ2 2022","FQ2 2022","Currency=USD","Period=FQ","BEST_FPERIOD_OVERRIDE=FQ","FILING_STATUS=MR","SCALING_FORMAT=MLN","Sort=A","Dates=H","DateFormat=P","Fill=—","Direction=H","UseDPDF=Y")</f>
        <v>22395.474999999999</v>
      </c>
      <c r="Q36" s="16" cm="1">
        <f t="array" ref="Q36">_xll.BDH("PH US Equity","BS_TOT_ASSET","FQ3 2022","FQ3 2022","Currency=USD","Period=FQ","BEST_FPERIOD_OVERRIDE=FQ","FILING_STATUS=MR","SCALING_FORMAT=MLN","Sort=A","Dates=H","DateFormat=P","Fill=—","Direction=H","UseDPDF=Y")</f>
        <v>22545.32</v>
      </c>
      <c r="R36" s="16" cm="1">
        <f t="array" ref="R36">_xll.BDH("PH US Equity","BS_TOT_ASSET","FQ4 2022","FQ4 2022","Currency=USD","Period=FQ","BEST_FPERIOD_OVERRIDE=FQ","FILING_STATUS=MR","SCALING_FORMAT=MLN","Sort=A","Dates=H","DateFormat=P","Fill=—","Direction=H","UseDPDF=Y")</f>
        <v>25943.942999999999</v>
      </c>
      <c r="S36" s="16" cm="1">
        <f t="array" ref="S36">_xll.BDH("PH US Equity","BS_TOT_ASSET","FQ1 2023","FQ1 2023","Currency=USD","Period=FQ","BEST_FPERIOD_OVERRIDE=FQ","FILING_STATUS=MR","SCALING_FORMAT=MLN","Sort=A","Dates=H","DateFormat=P","Fill=—","Direction=H","UseDPDF=Y")</f>
        <v>29954.906999999999</v>
      </c>
      <c r="T36" s="16" cm="1">
        <f t="array" ref="T36">_xll.BDH("PH US Equity","BS_TOT_ASSET","FQ2 2023","FQ2 2023","Currency=USD","Period=FQ","BEST_FPERIOD_OVERRIDE=FQ","FILING_STATUS=MR","SCALING_FORMAT=MLN","Sort=A","Dates=H","DateFormat=P","Fill=—","Direction=H","UseDPDF=Y")</f>
        <v>30520.886999999999</v>
      </c>
      <c r="U36" s="16" cm="1">
        <f t="array" ref="U36">_xll.BDH("PH US Equity","BS_TOT_ASSET","FQ3 2023","FQ3 2023","Currency=USD","Period=FQ","BEST_FPERIOD_OVERRIDE=FQ","FILING_STATUS=MR","SCALING_FORMAT=MLN","Sort=A","Dates=H","DateFormat=P","Fill=—","Direction=H","UseDPDF=Y")</f>
        <v>30515.726999999999</v>
      </c>
      <c r="V36" s="16" cm="1">
        <f t="array" ref="V36">_xll.BDH("PH US Equity","BS_TOT_ASSET","FQ4 2023","FQ4 2023","Currency=USD","Period=FQ","BEST_FPERIOD_OVERRIDE=FQ","FILING_STATUS=MR","SCALING_FORMAT=MLN","Sort=A","Dates=H","DateFormat=P","Fill=—","Direction=H","UseDPDF=Y")</f>
        <v>29964.472000000002</v>
      </c>
      <c r="W36" s="16" cm="1">
        <f t="array" ref="W36">_xll.BDH("PH US Equity","BS_TOT_ASSET","FQ1 2024","FQ1 2024","Currency=USD","Period=FQ","BEST_FPERIOD_OVERRIDE=FQ","FILING_STATUS=MR","SCALING_FORMAT=MLN","Sort=A","Dates=H","DateFormat=P","Fill=—","Direction=H","UseDPDF=Y")</f>
        <v>29592.717000000001</v>
      </c>
      <c r="X36" s="16" cm="1">
        <f t="array" ref="X36">_xll.BDH("PH US Equity","BS_TOT_ASSET","FQ2 2024","FQ2 2024","Currency=USD","Period=FQ","BEST_FPERIOD_OVERRIDE=FQ","FILING_STATUS=MR","SCALING_FORMAT=MLN","Sort=A","Dates=H","DateFormat=P","Fill=—","Direction=H","UseDPDF=Y")</f>
        <v>29694.935000000001</v>
      </c>
      <c r="Y36" s="16" cm="1">
        <f t="array" ref="Y36">_xll.BDH("PH US Equity","BS_TOT_ASSET","FQ3 2024","FQ3 2024","Currency=USD","Period=FQ","BEST_FPERIOD_OVERRIDE=FQ","FILING_STATUS=MR","SCALING_FORMAT=MLN","Sort=A","Dates=H","DateFormat=P","Fill=—","Direction=H","UseDPDF=Y")</f>
        <v>29578.33</v>
      </c>
      <c r="Z36" s="16" cm="1">
        <f t="array" ref="Z36">_xll.BDH("PH US Equity","BS_TOT_ASSET","FQ4 2024","FQ4 2024","Currency=USD","Period=FQ","BEST_FPERIOD_OVERRIDE=FQ","FILING_STATUS=MR","SCALING_FORMAT=MLN","Sort=A","Dates=H","DateFormat=P","Fill=—","Direction=H","UseDPDF=Y")</f>
        <v>29297.842000000001</v>
      </c>
      <c r="AA36" s="16" cm="1">
        <f t="array" ref="AA36">_xll.BDH("PH US Equity","BS_TOT_ASSET","FQ1 2025","FQ1 2025","Currency=USD","Period=FQ","BEST_FPERIOD_OVERRIDE=FQ","FILING_STATUS=MR","SCALING_FORMAT=MLN","Sort=A","Dates=H","DateFormat=P","Fill=—","Direction=H","UseDPDF=Y")</f>
        <v>29600.834999999999</v>
      </c>
      <c r="AB36" s="16" cm="1">
        <f t="array" ref="AB36">_xll.BDH("PH US Equity","BS_TOT_ASSET","FQ2 2025","FQ2 2025","Currency=USD","Period=FQ","BEST_FPERIOD_OVERRIDE=FQ","FILING_STATUS=MR","SCALING_FORMAT=MLN","Sort=A","Dates=H","DateFormat=P","Fill=—","Direction=H","UseDPDF=Y")</f>
        <v>28271.463</v>
      </c>
      <c r="AC36" s="16" cm="1">
        <f t="array" ref="AC36">_xll.BDH("PH US Equity","BS_TOT_ASSET","FQ3 2025","FQ3 2025","Currency=USD","Period=FQ","BEST_FPERIOD_OVERRIDE=FQ","FILING_STATUS=MR","SCALING_FORMAT=MLN","Sort=A","Dates=H","DateFormat=P","Fill=—","Direction=H","UseDPDF=Y")</f>
        <v>28917.808000000001</v>
      </c>
      <c r="AD36" s="16" cm="1">
        <f t="array" ref="AD36">_xll.BDH("PH US Equity","BS_TOT_ASSET","FQ4 2025","FQ4 2025","Currency=USD","Period=FQ","BEST_FPERIOD_OVERRIDE=FQ","FILING_STATUS=MR","SCALING_FORMAT=MLN","Sort=A","Dates=H","DateFormat=P","Fill=—","Direction=H","UseDPDF=Y")</f>
        <v>29494</v>
      </c>
      <c r="AE36" s="16" cm="1">
        <f t="array" ref="AE36">_xll.BDH("PH US Equity","BS_TOT_ASSET","FQ1 2026","FQ1 2026","Currency=USD","Period=FQ","BEST_FPERIOD_OVERRIDE=FQ","FILING_STATUS=MR","SCALING_FORMAT=MLN","Sort=A","Dates=H","DateFormat=P","Fill=—","Direction=H","UseDPDF=Y")</f>
        <v>30677</v>
      </c>
      <c r="AF36" s="16" cm="1">
        <f t="array" ref="AF36">_xll.BDH("PH US Equity","BS_TOT_ASSET","FQ2 2026","FQ2 2026","Currency=USD","Period=FQ","BEST_FPERIOD_OVERRIDE=FQ","FILING_STATUS=MR","SCALING_FORMAT=MLN","Sort=A","Dates=H","DateFormat=P","Fill=—","Direction=H","UseDPDF=Y")</f>
        <v>30511</v>
      </c>
    </row>
    <row r="37" spans="1:32" x14ac:dyDescent="0.25">
      <c r="A37" s="6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1:32" x14ac:dyDescent="0.25">
      <c r="A38" s="6" t="s">
        <v>124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1:32" x14ac:dyDescent="0.25">
      <c r="A39" s="10" t="s">
        <v>125</v>
      </c>
      <c r="B39" s="10" t="s">
        <v>126</v>
      </c>
      <c r="C39" s="13" cm="1">
        <f t="array" ref="C39">_xll.BDH("PH US Equity","ACCT_PAYABLE_ACCRUALS_DETAILED","FQ1 2019","FQ1 2019","Currency=USD","Period=FQ","BEST_FPERIOD_OVERRIDE=FQ","FILING_STATUS=MR","SCALING_FORMAT=MLN","Sort=A","Dates=H","DateFormat=P","Fill=—","Direction=H","UseDPDF=Y")</f>
        <v>2508.8829999999998</v>
      </c>
      <c r="D39" s="13" cm="1">
        <f t="array" ref="D39">_xll.BDH("PH US Equity","ACCT_PAYABLE_ACCRUALS_DETAILED","FQ2 2019","FQ2 2019","Currency=USD","Period=FQ","BEST_FPERIOD_OVERRIDE=FQ","FILING_STATUS=MR","SCALING_FORMAT=MLN","Sort=A","Dates=H","DateFormat=P","Fill=—","Direction=H","UseDPDF=Y")</f>
        <v>2360.0340000000001</v>
      </c>
      <c r="E39" s="13" cm="1">
        <f t="array" ref="E39">_xll.BDH("PH US Equity","ACCT_PAYABLE_ACCRUALS_DETAILED","FQ3 2019","FQ3 2019","Currency=USD","Period=FQ","BEST_FPERIOD_OVERRIDE=FQ","FILING_STATUS=MR","SCALING_FORMAT=MLN","Sort=A","Dates=H","DateFormat=P","Fill=—","Direction=H","UseDPDF=Y")</f>
        <v>2523.8240000000001</v>
      </c>
      <c r="F39" s="13" cm="1">
        <f t="array" ref="F39">_xll.BDH("PH US Equity","ACCT_PAYABLE_ACCRUALS_DETAILED","FQ4 2019","FQ4 2019","Currency=USD","Period=FQ","BEST_FPERIOD_OVERRIDE=FQ","FILING_STATUS=MR","SCALING_FORMAT=MLN","Sort=A","Dates=H","DateFormat=P","Fill=—","Direction=H","UseDPDF=Y")</f>
        <v>2562.8249999999998</v>
      </c>
      <c r="G39" s="13" cm="1">
        <f t="array" ref="G39">_xll.BDH("PH US Equity","ACCT_PAYABLE_ACCRUALS_DETAILED","FQ1 2020","FQ1 2020","Currency=USD","Period=FQ","BEST_FPERIOD_OVERRIDE=FQ","FILING_STATUS=MR","SCALING_FORMAT=MLN","Sort=A","Dates=H","DateFormat=P","Fill=—","Direction=H","UseDPDF=Y")</f>
        <v>2375.6089999999999</v>
      </c>
      <c r="H39" s="13" cm="1">
        <f t="array" ref="H39">_xll.BDH("PH US Equity","ACCT_PAYABLE_ACCRUALS_DETAILED","FQ2 2020","FQ2 2020","Currency=USD","Period=FQ","BEST_FPERIOD_OVERRIDE=FQ","FILING_STATUS=MR","SCALING_FORMAT=MLN","Sort=A","Dates=H","DateFormat=P","Fill=—","Direction=H","UseDPDF=Y")</f>
        <v>2441.2860000000001</v>
      </c>
      <c r="I39" s="13" cm="1">
        <f t="array" ref="I39">_xll.BDH("PH US Equity","ACCT_PAYABLE_ACCRUALS_DETAILED","FQ3 2020","FQ3 2020","Currency=USD","Period=FQ","BEST_FPERIOD_OVERRIDE=FQ","FILING_STATUS=MR","SCALING_FORMAT=MLN","Sort=A","Dates=H","DateFormat=P","Fill=—","Direction=H","UseDPDF=Y")</f>
        <v>2545.442</v>
      </c>
      <c r="J39" s="13" cm="1">
        <f t="array" ref="J39">_xll.BDH("PH US Equity","ACCT_PAYABLE_ACCRUALS_DETAILED","FQ4 2020","FQ4 2020","Currency=USD","Period=FQ","BEST_FPERIOD_OVERRIDE=FQ","FILING_STATUS=MR","SCALING_FORMAT=MLN","Sort=A","Dates=H","DateFormat=P","Fill=—","Direction=H","UseDPDF=Y")</f>
        <v>2263.9960000000001</v>
      </c>
      <c r="K39" s="13" cm="1">
        <f t="array" ref="K39">_xll.BDH("PH US Equity","ACCT_PAYABLE_ACCRUALS_DETAILED","FQ1 2021","FQ1 2021","Currency=USD","Period=FQ","BEST_FPERIOD_OVERRIDE=FQ","FILING_STATUS=MR","SCALING_FORMAT=MLN","Sort=A","Dates=H","DateFormat=P","Fill=—","Direction=H","UseDPDF=Y")</f>
        <v>2437.5610000000001</v>
      </c>
      <c r="L39" s="13" cm="1">
        <f t="array" ref="L39">_xll.BDH("PH US Equity","ACCT_PAYABLE_ACCRUALS_DETAILED","FQ2 2021","FQ2 2021","Currency=USD","Period=FQ","BEST_FPERIOD_OVERRIDE=FQ","FILING_STATUS=MR","SCALING_FORMAT=MLN","Sort=A","Dates=H","DateFormat=P","Fill=—","Direction=H","UseDPDF=Y")</f>
        <v>2587.5680000000002</v>
      </c>
      <c r="M39" s="13" cm="1">
        <f t="array" ref="M39">_xll.BDH("PH US Equity","ACCT_PAYABLE_ACCRUALS_DETAILED","FQ3 2021","FQ3 2021","Currency=USD","Period=FQ","BEST_FPERIOD_OVERRIDE=FQ","FILING_STATUS=MR","SCALING_FORMAT=MLN","Sort=A","Dates=H","DateFormat=P","Fill=—","Direction=H","UseDPDF=Y")</f>
        <v>2843.9789999999998</v>
      </c>
      <c r="N39" s="13" cm="1">
        <f t="array" ref="N39">_xll.BDH("PH US Equity","ACCT_PAYABLE_ACCRUALS_DETAILED","FQ4 2021","FQ4 2021","Currency=USD","Period=FQ","BEST_FPERIOD_OVERRIDE=FQ","FILING_STATUS=MR","SCALING_FORMAT=MLN","Sort=A","Dates=H","DateFormat=P","Fill=—","Direction=H","UseDPDF=Y")</f>
        <v>2980.7869999999998</v>
      </c>
      <c r="O39" s="13" cm="1">
        <f t="array" ref="O39">_xll.BDH("PH US Equity","ACCT_PAYABLE_ACCRUALS_DETAILED","FQ1 2022","FQ1 2022","Currency=USD","Period=FQ","BEST_FPERIOD_OVERRIDE=FQ","FILING_STATUS=MR","SCALING_FORMAT=MLN","Sort=A","Dates=H","DateFormat=P","Fill=—","Direction=H","UseDPDF=Y")</f>
        <v>2971.2620000000002</v>
      </c>
      <c r="P39" s="13" cm="1">
        <f t="array" ref="P39">_xll.BDH("PH US Equity","ACCT_PAYABLE_ACCRUALS_DETAILED","FQ2 2022","FQ2 2022","Currency=USD","Period=FQ","BEST_FPERIOD_OVERRIDE=FQ","FILING_STATUS=MR","SCALING_FORMAT=MLN","Sort=A","Dates=H","DateFormat=P","Fill=—","Direction=H","UseDPDF=Y")</f>
        <v>2900.1970000000001</v>
      </c>
      <c r="Q39" s="13" cm="1">
        <f t="array" ref="Q39">_xll.BDH("PH US Equity","ACCT_PAYABLE_ACCRUALS_DETAILED","FQ3 2022","FQ3 2022","Currency=USD","Period=FQ","BEST_FPERIOD_OVERRIDE=FQ","FILING_STATUS=MR","SCALING_FORMAT=MLN","Sort=A","Dates=H","DateFormat=P","Fill=—","Direction=H","UseDPDF=Y")</f>
        <v>3043.9380000000001</v>
      </c>
      <c r="R39" s="13" cm="1">
        <f t="array" ref="R39">_xll.BDH("PH US Equity","ACCT_PAYABLE_ACCRUALS_DETAILED","FQ4 2022","FQ4 2022","Currency=USD","Period=FQ","BEST_FPERIOD_OVERRIDE=FQ","FILING_STATUS=MR","SCALING_FORMAT=MLN","Sort=A","Dates=H","DateFormat=P","Fill=—","Direction=H","UseDPDF=Y")</f>
        <v>4097.4070000000002</v>
      </c>
      <c r="S39" s="13" cm="1">
        <f t="array" ref="S39">_xll.BDH("PH US Equity","ACCT_PAYABLE_ACCRUALS_DETAILED","FQ1 2023","FQ1 2023","Currency=USD","Period=FQ","BEST_FPERIOD_OVERRIDE=FQ","FILING_STATUS=MR","SCALING_FORMAT=MLN","Sort=A","Dates=H","DateFormat=P","Fill=—","Direction=H","UseDPDF=Y")</f>
        <v>3735.335</v>
      </c>
      <c r="T39" s="13" cm="1">
        <f t="array" ref="T39">_xll.BDH("PH US Equity","ACCT_PAYABLE_ACCRUALS_DETAILED","FQ2 2023","FQ2 2023","Currency=USD","Period=FQ","BEST_FPERIOD_OVERRIDE=FQ","FILING_STATUS=MR","SCALING_FORMAT=MLN","Sort=A","Dates=H","DateFormat=P","Fill=—","Direction=H","UseDPDF=Y")</f>
        <v>3663.3359999999998</v>
      </c>
      <c r="U39" s="13" cm="1">
        <f t="array" ref="U39">_xll.BDH("PH US Equity","ACCT_PAYABLE_ACCRUALS_DETAILED","FQ3 2023","FQ3 2023","Currency=USD","Period=FQ","BEST_FPERIOD_OVERRIDE=FQ","FILING_STATUS=MR","SCALING_FORMAT=MLN","Sort=A","Dates=H","DateFormat=P","Fill=—","Direction=H","UseDPDF=Y")</f>
        <v>3735.5639999999999</v>
      </c>
      <c r="V39" s="13" cm="1">
        <f t="array" ref="V39">_xll.BDH("PH US Equity","ACCT_PAYABLE_ACCRUALS_DETAILED","FQ4 2023","FQ4 2023","Currency=USD","Period=FQ","BEST_FPERIOD_OVERRIDE=FQ","FILING_STATUS=MR","SCALING_FORMAT=MLN","Sort=A","Dates=H","DateFormat=P","Fill=—","Direction=H","UseDPDF=Y")</f>
        <v>3917.4740000000002</v>
      </c>
      <c r="W39" s="13" cm="1">
        <f t="array" ref="W39">_xll.BDH("PH US Equity","ACCT_PAYABLE_ACCRUALS_DETAILED","FQ1 2024","FQ1 2024","Currency=USD","Period=FQ","BEST_FPERIOD_OVERRIDE=FQ","FILING_STATUS=MR","SCALING_FORMAT=MLN","Sort=A","Dates=H","DateFormat=P","Fill=—","Direction=H","UseDPDF=Y")</f>
        <v>4072.6309999999999</v>
      </c>
      <c r="X39" s="13" cm="1">
        <f t="array" ref="X39">_xll.BDH("PH US Equity","ACCT_PAYABLE_ACCRUALS_DETAILED","FQ2 2024","FQ2 2024","Currency=USD","Period=FQ","BEST_FPERIOD_OVERRIDE=FQ","FILING_STATUS=MR","SCALING_FORMAT=MLN","Sort=A","Dates=H","DateFormat=P","Fill=—","Direction=H","UseDPDF=Y")</f>
        <v>3815.9059999999999</v>
      </c>
      <c r="Y39" s="13" cm="1">
        <f t="array" ref="Y39">_xll.BDH("PH US Equity","ACCT_PAYABLE_ACCRUALS_DETAILED","FQ3 2024","FQ3 2024","Currency=USD","Period=FQ","BEST_FPERIOD_OVERRIDE=FQ","FILING_STATUS=MR","SCALING_FORMAT=MLN","Sort=A","Dates=H","DateFormat=P","Fill=—","Direction=H","UseDPDF=Y")</f>
        <v>3903.998</v>
      </c>
      <c r="Z39" s="13" cm="1">
        <f t="array" ref="Z39">_xll.BDH("PH US Equity","ACCT_PAYABLE_ACCRUALS_DETAILED","FQ4 2024","FQ4 2024","Currency=USD","Period=FQ","BEST_FPERIOD_OVERRIDE=FQ","FILING_STATUS=MR","SCALING_FORMAT=MLN","Sort=A","Dates=H","DateFormat=P","Fill=—","Direction=H","UseDPDF=Y")</f>
        <v>3850.9720000000002</v>
      </c>
      <c r="AA39" s="13" cm="1">
        <f t="array" ref="AA39">_xll.BDH("PH US Equity","ACCT_PAYABLE_ACCRUALS_DETAILED","FQ1 2025","FQ1 2025","Currency=USD","Period=FQ","BEST_FPERIOD_OVERRIDE=FQ","FILING_STATUS=MR","SCALING_FORMAT=MLN","Sort=A","Dates=H","DateFormat=P","Fill=—","Direction=H","UseDPDF=Y")</f>
        <v>3816.3519999999999</v>
      </c>
      <c r="AB39" s="13" cm="1">
        <f t="array" ref="AB39">_xll.BDH("PH US Equity","ACCT_PAYABLE_ACCRUALS_DETAILED","FQ2 2025","FQ2 2025","Currency=USD","Period=FQ","BEST_FPERIOD_OVERRIDE=FQ","FILING_STATUS=MR","SCALING_FORMAT=MLN","Sort=A","Dates=H","DateFormat=P","Fill=—","Direction=H","UseDPDF=Y")</f>
        <v>3612.1469999999999</v>
      </c>
      <c r="AC39" s="13" cm="1">
        <f t="array" ref="AC39">_xll.BDH("PH US Equity","ACCT_PAYABLE_ACCRUALS_DETAILED","FQ3 2025","FQ3 2025","Currency=USD","Period=FQ","BEST_FPERIOD_OVERRIDE=FQ","FILING_STATUS=MR","SCALING_FORMAT=MLN","Sort=A","Dates=H","DateFormat=P","Fill=—","Direction=H","UseDPDF=Y")</f>
        <v>3634.8829999999998</v>
      </c>
      <c r="AD39" s="13" cm="1">
        <f t="array" ref="AD39">_xll.BDH("PH US Equity","ACCT_PAYABLE_ACCRUALS_DETAILED","FQ4 2025","FQ4 2025","Currency=USD","Period=FQ","BEST_FPERIOD_OVERRIDE=FQ","FILING_STATUS=MR","SCALING_FORMAT=MLN","Sort=A","Dates=H","DateFormat=P","Fill=—","Direction=H","UseDPDF=Y")</f>
        <v>3937</v>
      </c>
      <c r="AE39" s="13" cm="1">
        <f t="array" ref="AE39">_xll.BDH("PH US Equity","ACCT_PAYABLE_ACCRUALS_DETAILED","FQ1 2026","FQ1 2026","Currency=USD","Period=FQ","BEST_FPERIOD_OVERRIDE=FQ","FILING_STATUS=MR","SCALING_FORMAT=MLN","Sort=A","Dates=H","DateFormat=P","Fill=—","Direction=H","UseDPDF=Y")</f>
        <v>2974</v>
      </c>
      <c r="AF39" s="13" cm="1">
        <f t="array" ref="AF39">_xll.BDH("PH US Equity","ACCT_PAYABLE_ACCRUALS_DETAILED","FQ2 2026","FQ2 2026","Currency=USD","Period=FQ","BEST_FPERIOD_OVERRIDE=FQ","FILING_STATUS=MR","SCALING_FORMAT=MLN","Sort=A","Dates=H","DateFormat=P","Fill=—","Direction=H","UseDPDF=Y")</f>
        <v>3686</v>
      </c>
    </row>
    <row r="40" spans="1:32" x14ac:dyDescent="0.25">
      <c r="A40" s="10" t="s">
        <v>127</v>
      </c>
      <c r="B40" s="10" t="s">
        <v>128</v>
      </c>
      <c r="C40" s="13" cm="1">
        <f t="array" ref="C40">_xll.BDH("PH US Equity","BS_ACCT_PAYABLE","FQ1 2019","FQ1 2019","Currency=USD","Period=FQ","BEST_FPERIOD_OVERRIDE=FQ","FILING_STATUS=MR","SCALING_FORMAT=MLN","Sort=A","Dates=H","DateFormat=P","Fill=—","Direction=H","UseDPDF=Y")</f>
        <v>1404.7159999999999</v>
      </c>
      <c r="D40" s="13" cm="1">
        <f t="array" ref="D40">_xll.BDH("PH US Equity","BS_ACCT_PAYABLE","FQ2 2019","FQ2 2019","Currency=USD","Period=FQ","BEST_FPERIOD_OVERRIDE=FQ","FILING_STATUS=MR","SCALING_FORMAT=MLN","Sort=A","Dates=H","DateFormat=P","Fill=—","Direction=H","UseDPDF=Y")</f>
        <v>1307.1780000000001</v>
      </c>
      <c r="E40" s="13" cm="1">
        <f t="array" ref="E40">_xll.BDH("PH US Equity","BS_ACCT_PAYABLE","FQ3 2019","FQ3 2019","Currency=USD","Period=FQ","BEST_FPERIOD_OVERRIDE=FQ","FILING_STATUS=MR","SCALING_FORMAT=MLN","Sort=A","Dates=H","DateFormat=P","Fill=—","Direction=H","UseDPDF=Y")</f>
        <v>1423.6590000000001</v>
      </c>
      <c r="F40" s="13" cm="1">
        <f t="array" ref="F40">_xll.BDH("PH US Equity","BS_ACCT_PAYABLE","FQ4 2019","FQ4 2019","Currency=USD","Period=FQ","BEST_FPERIOD_OVERRIDE=FQ","FILING_STATUS=MR","SCALING_FORMAT=MLN","Sort=A","Dates=H","DateFormat=P","Fill=—","Direction=H","UseDPDF=Y")</f>
        <v>1413.155</v>
      </c>
      <c r="G40" s="13" cm="1">
        <f t="array" ref="G40">_xll.BDH("PH US Equity","BS_ACCT_PAYABLE","FQ1 2020","FQ1 2020","Currency=USD","Period=FQ","BEST_FPERIOD_OVERRIDE=FQ","FILING_STATUS=MR","SCALING_FORMAT=MLN","Sort=A","Dates=H","DateFormat=P","Fill=—","Direction=H","UseDPDF=Y")</f>
        <v>1287.42</v>
      </c>
      <c r="H40" s="13" cm="1">
        <f t="array" ref="H40">_xll.BDH("PH US Equity","BS_ACCT_PAYABLE","FQ2 2020","FQ2 2020","Currency=USD","Period=FQ","BEST_FPERIOD_OVERRIDE=FQ","FILING_STATUS=MR","SCALING_FORMAT=MLN","Sort=A","Dates=H","DateFormat=P","Fill=—","Direction=H","UseDPDF=Y")</f>
        <v>1311.7329999999999</v>
      </c>
      <c r="I40" s="13" cm="1">
        <f t="array" ref="I40">_xll.BDH("PH US Equity","BS_ACCT_PAYABLE","FQ3 2020","FQ3 2020","Currency=USD","Period=FQ","BEST_FPERIOD_OVERRIDE=FQ","FILING_STATUS=MR","SCALING_FORMAT=MLN","Sort=A","Dates=H","DateFormat=P","Fill=—","Direction=H","UseDPDF=Y")</f>
        <v>1422.011</v>
      </c>
      <c r="J40" s="13" cm="1">
        <f t="array" ref="J40">_xll.BDH("PH US Equity","BS_ACCT_PAYABLE","FQ4 2020","FQ4 2020","Currency=USD","Period=FQ","BEST_FPERIOD_OVERRIDE=FQ","FILING_STATUS=MR","SCALING_FORMAT=MLN","Sort=A","Dates=H","DateFormat=P","Fill=—","Direction=H","UseDPDF=Y")</f>
        <v>1111.759</v>
      </c>
      <c r="K40" s="13" cm="1">
        <f t="array" ref="K40">_xll.BDH("PH US Equity","BS_ACCT_PAYABLE","FQ1 2021","FQ1 2021","Currency=USD","Period=FQ","BEST_FPERIOD_OVERRIDE=FQ","FILING_STATUS=MR","SCALING_FORMAT=MLN","Sort=A","Dates=H","DateFormat=P","Fill=—","Direction=H","UseDPDF=Y")</f>
        <v>1264.991</v>
      </c>
      <c r="L40" s="13" cm="1">
        <f t="array" ref="L40">_xll.BDH("PH US Equity","BS_ACCT_PAYABLE","FQ2 2021","FQ2 2021","Currency=USD","Period=FQ","BEST_FPERIOD_OVERRIDE=FQ","FILING_STATUS=MR","SCALING_FORMAT=MLN","Sort=A","Dates=H","DateFormat=P","Fill=—","Direction=H","UseDPDF=Y")</f>
        <v>1343.011</v>
      </c>
      <c r="M40" s="13" cm="1">
        <f t="array" ref="M40">_xll.BDH("PH US Equity","BS_ACCT_PAYABLE","FQ3 2021","FQ3 2021","Currency=USD","Period=FQ","BEST_FPERIOD_OVERRIDE=FQ","FILING_STATUS=MR","SCALING_FORMAT=MLN","Sort=A","Dates=H","DateFormat=P","Fill=—","Direction=H","UseDPDF=Y")</f>
        <v>1551.46</v>
      </c>
      <c r="N40" s="13" cm="1">
        <f t="array" ref="N40">_xll.BDH("PH US Equity","BS_ACCT_PAYABLE","FQ4 2021","FQ4 2021","Currency=USD","Period=FQ","BEST_FPERIOD_OVERRIDE=FQ","FILING_STATUS=MR","SCALING_FORMAT=MLN","Sort=A","Dates=H","DateFormat=P","Fill=—","Direction=H","UseDPDF=Y")</f>
        <v>1667.8779999999999</v>
      </c>
      <c r="O40" s="13" cm="1">
        <f t="array" ref="O40">_xll.BDH("PH US Equity","BS_ACCT_PAYABLE","FQ1 2022","FQ1 2022","Currency=USD","Period=FQ","BEST_FPERIOD_OVERRIDE=FQ","FILING_STATUS=MR","SCALING_FORMAT=MLN","Sort=A","Dates=H","DateFormat=P","Fill=—","Direction=H","UseDPDF=Y")</f>
        <v>1636.2719999999999</v>
      </c>
      <c r="P40" s="13" cm="1">
        <f t="array" ref="P40">_xll.BDH("PH US Equity","BS_ACCT_PAYABLE","FQ2 2022","FQ2 2022","Currency=USD","Period=FQ","BEST_FPERIOD_OVERRIDE=FQ","FILING_STATUS=MR","SCALING_FORMAT=MLN","Sort=A","Dates=H","DateFormat=P","Fill=—","Direction=H","UseDPDF=Y")</f>
        <v>1597.0250000000001</v>
      </c>
      <c r="Q40" s="13" cm="1">
        <f t="array" ref="Q40">_xll.BDH("PH US Equity","BS_ACCT_PAYABLE","FQ3 2022","FQ3 2022","Currency=USD","Period=FQ","BEST_FPERIOD_OVERRIDE=FQ","FILING_STATUS=MR","SCALING_FORMAT=MLN","Sort=A","Dates=H","DateFormat=P","Fill=—","Direction=H","UseDPDF=Y")</f>
        <v>1336.056</v>
      </c>
      <c r="R40" s="13" cm="1">
        <f t="array" ref="R40">_xll.BDH("PH US Equity","BS_ACCT_PAYABLE","FQ4 2022","FQ4 2022","Currency=USD","Period=FQ","BEST_FPERIOD_OVERRIDE=FQ","FILING_STATUS=MR","SCALING_FORMAT=MLN","Sort=A","Dates=H","DateFormat=P","Fill=—","Direction=H","UseDPDF=Y")</f>
        <v>1731.925</v>
      </c>
      <c r="S40" s="13" cm="1">
        <f t="array" ref="S40">_xll.BDH("PH US Equity","BS_ACCT_PAYABLE","FQ1 2023","FQ1 2023","Currency=USD","Period=FQ","BEST_FPERIOD_OVERRIDE=FQ","FILING_STATUS=MR","SCALING_FORMAT=MLN","Sort=A","Dates=H","DateFormat=P","Fill=—","Direction=H","UseDPDF=Y")</f>
        <v>2018.2090000000001</v>
      </c>
      <c r="T40" s="13" cm="1">
        <f t="array" ref="T40">_xll.BDH("PH US Equity","BS_ACCT_PAYABLE","FQ2 2023","FQ2 2023","Currency=USD","Period=FQ","BEST_FPERIOD_OVERRIDE=FQ","FILING_STATUS=MR","SCALING_FORMAT=MLN","Sort=A","Dates=H","DateFormat=P","Fill=—","Direction=H","UseDPDF=Y")</f>
        <v>1966.7570000000001</v>
      </c>
      <c r="U40" s="13" cm="1">
        <f t="array" ref="U40">_xll.BDH("PH US Equity","BS_ACCT_PAYABLE","FQ3 2023","FQ3 2023","Currency=USD","Period=FQ","BEST_FPERIOD_OVERRIDE=FQ","FILING_STATUS=MR","SCALING_FORMAT=MLN","Sort=A","Dates=H","DateFormat=P","Fill=—","Direction=H","UseDPDF=Y")</f>
        <v>2080.1469999999999</v>
      </c>
      <c r="V40" s="13" cm="1">
        <f t="array" ref="V40">_xll.BDH("PH US Equity","BS_ACCT_PAYABLE","FQ4 2023","FQ4 2023","Currency=USD","Period=FQ","BEST_FPERIOD_OVERRIDE=FQ","FILING_STATUS=MR","SCALING_FORMAT=MLN","Sort=A","Dates=H","DateFormat=P","Fill=—","Direction=H","UseDPDF=Y")</f>
        <v>2050.9340000000002</v>
      </c>
      <c r="W40" s="13" cm="1">
        <f t="array" ref="W40">_xll.BDH("PH US Equity","BS_ACCT_PAYABLE","FQ1 2024","FQ1 2024","Currency=USD","Period=FQ","BEST_FPERIOD_OVERRIDE=FQ","FILING_STATUS=MR","SCALING_FORMAT=MLN","Sort=A","Dates=H","DateFormat=P","Fill=—","Direction=H","UseDPDF=Y")</f>
        <v>2036.752</v>
      </c>
      <c r="X40" s="13" cm="1">
        <f t="array" ref="X40">_xll.BDH("PH US Equity","BS_ACCT_PAYABLE","FQ2 2024","FQ2 2024","Currency=USD","Period=FQ","BEST_FPERIOD_OVERRIDE=FQ","FILING_STATUS=MR","SCALING_FORMAT=MLN","Sort=A","Dates=H","DateFormat=P","Fill=—","Direction=H","UseDPDF=Y")</f>
        <v>1971.943</v>
      </c>
      <c r="Y40" s="13" cm="1">
        <f t="array" ref="Y40">_xll.BDH("PH US Equity","BS_ACCT_PAYABLE","FQ3 2024","FQ3 2024","Currency=USD","Period=FQ","BEST_FPERIOD_OVERRIDE=FQ","FILING_STATUS=MR","SCALING_FORMAT=MLN","Sort=A","Dates=H","DateFormat=P","Fill=—","Direction=H","UseDPDF=Y")</f>
        <v>1964.211</v>
      </c>
      <c r="Z40" s="13" cm="1">
        <f t="array" ref="Z40">_xll.BDH("PH US Equity","BS_ACCT_PAYABLE","FQ4 2024","FQ4 2024","Currency=USD","Period=FQ","BEST_FPERIOD_OVERRIDE=FQ","FILING_STATUS=MR","SCALING_FORMAT=MLN","Sort=A","Dates=H","DateFormat=P","Fill=—","Direction=H","UseDPDF=Y")</f>
        <v>1991.6389999999999</v>
      </c>
      <c r="AA40" s="13" cm="1">
        <f t="array" ref="AA40">_xll.BDH("PH US Equity","BS_ACCT_PAYABLE","FQ1 2025","FQ1 2025","Currency=USD","Period=FQ","BEST_FPERIOD_OVERRIDE=FQ","FILING_STATUS=MR","SCALING_FORMAT=MLN","Sort=A","Dates=H","DateFormat=P","Fill=—","Direction=H","UseDPDF=Y")</f>
        <v>1953.4770000000001</v>
      </c>
      <c r="AB40" s="13" cm="1">
        <f t="array" ref="AB40">_xll.BDH("PH US Equity","BS_ACCT_PAYABLE","FQ2 2025","FQ2 2025","Currency=USD","Period=FQ","BEST_FPERIOD_OVERRIDE=FQ","FILING_STATUS=MR","SCALING_FORMAT=MLN","Sort=A","Dates=H","DateFormat=P","Fill=—","Direction=H","UseDPDF=Y")</f>
        <v>1794.884</v>
      </c>
      <c r="AC40" s="13" cm="1">
        <f t="array" ref="AC40">_xll.BDH("PH US Equity","BS_ACCT_PAYABLE","FQ3 2025","FQ3 2025","Currency=USD","Period=FQ","BEST_FPERIOD_OVERRIDE=FQ","FILING_STATUS=MR","SCALING_FORMAT=MLN","Sort=A","Dates=H","DateFormat=P","Fill=—","Direction=H","UseDPDF=Y")</f>
        <v>1980.9670000000001</v>
      </c>
      <c r="AD40" s="13" cm="1">
        <f t="array" ref="AD40">_xll.BDH("PH US Equity","BS_ACCT_PAYABLE","FQ4 2025","FQ4 2025","Currency=USD","Period=FQ","BEST_FPERIOD_OVERRIDE=FQ","FILING_STATUS=MR","SCALING_FORMAT=MLN","Sort=A","Dates=H","DateFormat=P","Fill=—","Direction=H","UseDPDF=Y")</f>
        <v>2126</v>
      </c>
      <c r="AE40" s="13" cm="1">
        <f t="array" ref="AE40">_xll.BDH("PH US Equity","BS_ACCT_PAYABLE","FQ1 2026","FQ1 2026","Currency=USD","Period=FQ","BEST_FPERIOD_OVERRIDE=FQ","FILING_STATUS=MR","SCALING_FORMAT=MLN","Sort=A","Dates=H","DateFormat=P","Fill=—","Direction=H","UseDPDF=Y")</f>
        <v>2150</v>
      </c>
      <c r="AF40" s="13" cm="1">
        <f t="array" ref="AF40">_xll.BDH("PH US Equity","BS_ACCT_PAYABLE","FQ2 2026","FQ2 2026","Currency=USD","Period=FQ","BEST_FPERIOD_OVERRIDE=FQ","FILING_STATUS=MR","SCALING_FORMAT=MLN","Sort=A","Dates=H","DateFormat=P","Fill=—","Direction=H","UseDPDF=Y")</f>
        <v>2054</v>
      </c>
    </row>
    <row r="41" spans="1:32" x14ac:dyDescent="0.25">
      <c r="A41" s="10" t="s">
        <v>129</v>
      </c>
      <c r="B41" s="10" t="s">
        <v>130</v>
      </c>
      <c r="C41" s="13" cm="1">
        <f t="array" ref="C41">_xll.BDH("PH US Equity","BS_TAXES_PAYABLE","FQ1 2019","FQ1 2019","Currency=USD","Period=FQ","BEST_FPERIOD_OVERRIDE=FQ","FILING_STATUS=MR","SCALING_FORMAT=MLN","Sort=A","Dates=H","DateFormat=P","Fill=—","Direction=H","UseDPDF=Y")</f>
        <v>238.423</v>
      </c>
      <c r="D41" s="13" cm="1">
        <f t="array" ref="D41">_xll.BDH("PH US Equity","BS_TAXES_PAYABLE","FQ2 2019","FQ2 2019","Currency=USD","Period=FQ","BEST_FPERIOD_OVERRIDE=FQ","FILING_STATUS=MR","SCALING_FORMAT=MLN","Sort=A","Dates=H","DateFormat=P","Fill=—","Direction=H","UseDPDF=Y")</f>
        <v>182.61699999999999</v>
      </c>
      <c r="E41" s="13" cm="1">
        <f t="array" ref="E41">_xll.BDH("PH US Equity","BS_TAXES_PAYABLE","FQ3 2019","FQ3 2019","Currency=USD","Period=FQ","BEST_FPERIOD_OVERRIDE=FQ","FILING_STATUS=MR","SCALING_FORMAT=MLN","Sort=A","Dates=H","DateFormat=P","Fill=—","Direction=H","UseDPDF=Y")</f>
        <v>186.113</v>
      </c>
      <c r="F41" s="13" cm="1">
        <f t="array" ref="F41">_xll.BDH("PH US Equity","BS_TAXES_PAYABLE","FQ4 2019","FQ4 2019","Currency=USD","Period=FQ","BEST_FPERIOD_OVERRIDE=FQ","FILING_STATUS=MR","SCALING_FORMAT=MLN","Sort=A","Dates=H","DateFormat=P","Fill=—","Direction=H","UseDPDF=Y")</f>
        <v>167.31200000000001</v>
      </c>
      <c r="G41" s="13" cm="1">
        <f t="array" ref="G41">_xll.BDH("PH US Equity","BS_TAXES_PAYABLE","FQ1 2020","FQ1 2020","Currency=USD","Period=FQ","BEST_FPERIOD_OVERRIDE=FQ","FILING_STATUS=MR","SCALING_FORMAT=MLN","Sort=A","Dates=H","DateFormat=P","Fill=—","Direction=H","UseDPDF=Y")</f>
        <v>188.571</v>
      </c>
      <c r="H41" s="13" cm="1">
        <f t="array" ref="H41">_xll.BDH("PH US Equity","BS_TAXES_PAYABLE","FQ2 2020","FQ2 2020","Currency=USD","Period=FQ","BEST_FPERIOD_OVERRIDE=FQ","FILING_STATUS=MR","SCALING_FORMAT=MLN","Sort=A","Dates=H","DateFormat=P","Fill=—","Direction=H","UseDPDF=Y")</f>
        <v>165.26499999999999</v>
      </c>
      <c r="I41" s="13" cm="1">
        <f t="array" ref="I41">_xll.BDH("PH US Equity","BS_TAXES_PAYABLE","FQ3 2020","FQ3 2020","Currency=USD","Period=FQ","BEST_FPERIOD_OVERRIDE=FQ","FILING_STATUS=MR","SCALING_FORMAT=MLN","Sort=A","Dates=H","DateFormat=P","Fill=—","Direction=H","UseDPDF=Y")</f>
        <v>151.029</v>
      </c>
      <c r="J41" s="13" cm="1">
        <f t="array" ref="J41">_xll.BDH("PH US Equity","BS_TAXES_PAYABLE","FQ4 2020","FQ4 2020","Currency=USD","Period=FQ","BEST_FPERIOD_OVERRIDE=FQ","FILING_STATUS=MR","SCALING_FORMAT=MLN","Sort=A","Dates=H","DateFormat=P","Fill=—","Direction=H","UseDPDF=Y")</f>
        <v>195.31399999999999</v>
      </c>
      <c r="K41" s="13" cm="1">
        <f t="array" ref="K41">_xll.BDH("PH US Equity","BS_TAXES_PAYABLE","FQ1 2021","FQ1 2021","Currency=USD","Period=FQ","BEST_FPERIOD_OVERRIDE=FQ","FILING_STATUS=MR","SCALING_FORMAT=MLN","Sort=A","Dates=H","DateFormat=P","Fill=—","Direction=H","UseDPDF=Y")</f>
        <v>196.429</v>
      </c>
      <c r="L41" s="13" cm="1">
        <f t="array" ref="L41">_xll.BDH("PH US Equity","BS_TAXES_PAYABLE","FQ2 2021","FQ2 2021","Currency=USD","Period=FQ","BEST_FPERIOD_OVERRIDE=FQ","FILING_STATUS=MR","SCALING_FORMAT=MLN","Sort=A","Dates=H","DateFormat=P","Fill=—","Direction=H","UseDPDF=Y")</f>
        <v>218.624</v>
      </c>
      <c r="M41" s="13" cm="1">
        <f t="array" ref="M41">_xll.BDH("PH US Equity","BS_TAXES_PAYABLE","FQ3 2021","FQ3 2021","Currency=USD","Period=FQ","BEST_FPERIOD_OVERRIDE=FQ","FILING_STATUS=MR","SCALING_FORMAT=MLN","Sort=A","Dates=H","DateFormat=P","Fill=—","Direction=H","UseDPDF=Y")</f>
        <v>204.24100000000001</v>
      </c>
      <c r="N41" s="13" cm="1">
        <f t="array" ref="N41">_xll.BDH("PH US Equity","BS_TAXES_PAYABLE","FQ4 2021","FQ4 2021","Currency=USD","Period=FQ","BEST_FPERIOD_OVERRIDE=FQ","FILING_STATUS=MR","SCALING_FORMAT=MLN","Sort=A","Dates=H","DateFormat=P","Fill=—","Direction=H","UseDPDF=Y")</f>
        <v>236.38399999999999</v>
      </c>
      <c r="O41" s="13" cm="1">
        <f t="array" ref="O41">_xll.BDH("PH US Equity","BS_TAXES_PAYABLE","FQ1 2022","FQ1 2022","Currency=USD","Period=FQ","BEST_FPERIOD_OVERRIDE=FQ","FILING_STATUS=MR","SCALING_FORMAT=MLN","Sort=A","Dates=H","DateFormat=P","Fill=—","Direction=H","UseDPDF=Y")</f>
        <v>279.173</v>
      </c>
      <c r="P41" s="13" cm="1">
        <f t="array" ref="P41">_xll.BDH("PH US Equity","BS_TAXES_PAYABLE","FQ2 2022","FQ2 2022","Currency=USD","Period=FQ","BEST_FPERIOD_OVERRIDE=FQ","FILING_STATUS=MR","SCALING_FORMAT=MLN","Sort=A","Dates=H","DateFormat=P","Fill=—","Direction=H","UseDPDF=Y")</f>
        <v>294.255</v>
      </c>
      <c r="Q41" s="13" cm="1">
        <f t="array" ref="Q41">_xll.BDH("PH US Equity","BS_TAXES_PAYABLE","FQ3 2022","FQ3 2022","Currency=USD","Period=FQ","BEST_FPERIOD_OVERRIDE=FQ","FILING_STATUS=MR","SCALING_FORMAT=MLN","Sort=A","Dates=H","DateFormat=P","Fill=—","Direction=H","UseDPDF=Y")</f>
        <v>276.15899999999999</v>
      </c>
      <c r="R41" s="13" cm="1">
        <f t="array" ref="R41">_xll.BDH("PH US Equity","BS_TAXES_PAYABLE","FQ4 2022","FQ4 2022","Currency=USD","Period=FQ","BEST_FPERIOD_OVERRIDE=FQ","FILING_STATUS=MR","SCALING_FORMAT=MLN","Sort=A","Dates=H","DateFormat=P","Fill=—","Direction=H","UseDPDF=Y")</f>
        <v>250.292</v>
      </c>
      <c r="S41" s="13" cm="1">
        <f t="array" ref="S41">_xll.BDH("PH US Equity","BS_TAXES_PAYABLE","FQ1 2023","FQ1 2023","Currency=USD","Period=FQ","BEST_FPERIOD_OVERRIDE=FQ","FILING_STATUS=MR","SCALING_FORMAT=MLN","Sort=A","Dates=H","DateFormat=P","Fill=—","Direction=H","UseDPDF=Y")</f>
        <v>230.899</v>
      </c>
      <c r="T41" s="13" cm="1">
        <f t="array" ref="T41">_xll.BDH("PH US Equity","BS_TAXES_PAYABLE","FQ2 2023","FQ2 2023","Currency=USD","Period=FQ","BEST_FPERIOD_OVERRIDE=FQ","FILING_STATUS=MR","SCALING_FORMAT=MLN","Sort=A","Dates=H","DateFormat=P","Fill=—","Direction=H","UseDPDF=Y")</f>
        <v>236.227</v>
      </c>
      <c r="U41" s="13" cm="1">
        <f t="array" ref="U41">_xll.BDH("PH US Equity","BS_TAXES_PAYABLE","FQ3 2023","FQ3 2023","Currency=USD","Period=FQ","BEST_FPERIOD_OVERRIDE=FQ","FILING_STATUS=MR","SCALING_FORMAT=MLN","Sort=A","Dates=H","DateFormat=P","Fill=—","Direction=H","UseDPDF=Y")</f>
        <v>270.80700000000002</v>
      </c>
      <c r="V41" s="13" cm="1">
        <f t="array" ref="V41">_xll.BDH("PH US Equity","BS_TAXES_PAYABLE","FQ4 2023","FQ4 2023","Currency=USD","Period=FQ","BEST_FPERIOD_OVERRIDE=FQ","FILING_STATUS=MR","SCALING_FORMAT=MLN","Sort=A","Dates=H","DateFormat=P","Fill=—","Direction=H","UseDPDF=Y")</f>
        <v>374.57100000000003</v>
      </c>
      <c r="W41" s="13" cm="1">
        <f t="array" ref="W41">_xll.BDH("PH US Equity","BS_TAXES_PAYABLE","FQ1 2024","FQ1 2024","Currency=USD","Period=FQ","BEST_FPERIOD_OVERRIDE=FQ","FILING_STATUS=MR","SCALING_FORMAT=MLN","Sort=A","Dates=H","DateFormat=P","Fill=—","Direction=H","UseDPDF=Y")</f>
        <v>505.01799999999997</v>
      </c>
      <c r="X41" s="13" cm="1">
        <f t="array" ref="X41">_xll.BDH("PH US Equity","BS_TAXES_PAYABLE","FQ2 2024","FQ2 2024","Currency=USD","Period=FQ","BEST_FPERIOD_OVERRIDE=FQ","FILING_STATUS=MR","SCALING_FORMAT=MLN","Sort=A","Dates=H","DateFormat=P","Fill=—","Direction=H","UseDPDF=Y")</f>
        <v>302.113</v>
      </c>
      <c r="Y41" s="13" cm="1">
        <f t="array" ref="Y41">_xll.BDH("PH US Equity","BS_TAXES_PAYABLE","FQ3 2024","FQ3 2024","Currency=USD","Period=FQ","BEST_FPERIOD_OVERRIDE=FQ","FILING_STATUS=MR","SCALING_FORMAT=MLN","Sort=A","Dates=H","DateFormat=P","Fill=—","Direction=H","UseDPDF=Y")</f>
        <v>358.06099999999998</v>
      </c>
      <c r="Z41" s="13" cm="1">
        <f t="array" ref="Z41">_xll.BDH("PH US Equity","BS_TAXES_PAYABLE","FQ4 2024","FQ4 2024","Currency=USD","Period=FQ","BEST_FPERIOD_OVERRIDE=FQ","FILING_STATUS=MR","SCALING_FORMAT=MLN","Sort=A","Dates=H","DateFormat=P","Fill=—","Direction=H","UseDPDF=Y")</f>
        <v>354.65899999999999</v>
      </c>
      <c r="AA41" s="13" cm="1">
        <f t="array" ref="AA41">_xll.BDH("PH US Equity","BS_TAXES_PAYABLE","FQ1 2025","FQ1 2025","Currency=USD","Period=FQ","BEST_FPERIOD_OVERRIDE=FQ","FILING_STATUS=MR","SCALING_FORMAT=MLN","Sort=A","Dates=H","DateFormat=P","Fill=—","Direction=H","UseDPDF=Y")</f>
        <v>457.76100000000002</v>
      </c>
      <c r="AB41" s="13" cm="1">
        <f t="array" ref="AB41">_xll.BDH("PH US Equity","BS_TAXES_PAYABLE","FQ2 2025","FQ2 2025","Currency=USD","Period=FQ","BEST_FPERIOD_OVERRIDE=FQ","FILING_STATUS=MR","SCALING_FORMAT=MLN","Sort=A","Dates=H","DateFormat=P","Fill=—","Direction=H","UseDPDF=Y")</f>
        <v>364.14299999999997</v>
      </c>
      <c r="AC41" s="13" cm="1">
        <f t="array" ref="AC41">_xll.BDH("PH US Equity","BS_TAXES_PAYABLE","FQ3 2025","FQ3 2025","Currency=USD","Period=FQ","BEST_FPERIOD_OVERRIDE=FQ","FILING_STATUS=MR","SCALING_FORMAT=MLN","Sort=A","Dates=H","DateFormat=P","Fill=—","Direction=H","UseDPDF=Y")</f>
        <v>356.50599999999997</v>
      </c>
      <c r="AD41" s="13" cm="1">
        <f t="array" ref="AD41">_xll.BDH("PH US Equity","BS_TAXES_PAYABLE","FQ4 2025","FQ4 2025","Currency=USD","Period=FQ","BEST_FPERIOD_OVERRIDE=FQ","FILING_STATUS=MR","SCALING_FORMAT=MLN","Sort=A","Dates=H","DateFormat=P","Fill=—","Direction=H","UseDPDF=Y")</f>
        <v>382</v>
      </c>
      <c r="AE41" s="13" cm="1">
        <f t="array" ref="AE41">_xll.BDH("PH US Equity","BS_TAXES_PAYABLE","FQ1 2026","FQ1 2026","Currency=USD","Period=FQ","BEST_FPERIOD_OVERRIDE=FQ","FILING_STATUS=MR","SCALING_FORMAT=MLN","Sort=A","Dates=H","DateFormat=P","Fill=—","Direction=H","UseDPDF=Y")</f>
        <v>411</v>
      </c>
      <c r="AF41" s="13" cm="1">
        <f t="array" ref="AF41">_xll.BDH("PH US Equity","BS_TAXES_PAYABLE","FQ2 2026","FQ2 2026","Currency=USD","Period=FQ","BEST_FPERIOD_OVERRIDE=FQ","FILING_STATUS=MR","SCALING_FORMAT=MLN","Sort=A","Dates=H","DateFormat=P","Fill=—","Direction=H","UseDPDF=Y")</f>
        <v>221</v>
      </c>
    </row>
    <row r="42" spans="1:32" x14ac:dyDescent="0.25">
      <c r="A42" s="10" t="s">
        <v>131</v>
      </c>
      <c r="B42" s="10" t="s">
        <v>132</v>
      </c>
      <c r="C42" s="13" cm="1">
        <f t="array" ref="C42">_xll.BDH("PH US Equity","BS_ACCRUAL","FQ1 2019","FQ1 2019","Currency=USD","Period=FQ","BEST_FPERIOD_OVERRIDE=FQ","FILING_STATUS=MR","SCALING_FORMAT=MLN","Sort=A","Dates=H","DateFormat=P","Fill=—","Direction=H","UseDPDF=Y")</f>
        <v>865.74400000000003</v>
      </c>
      <c r="D42" s="13" cm="1">
        <f t="array" ref="D42">_xll.BDH("PH US Equity","BS_ACCRUAL","FQ2 2019","FQ2 2019","Currency=USD","Period=FQ","BEST_FPERIOD_OVERRIDE=FQ","FILING_STATUS=MR","SCALING_FORMAT=MLN","Sort=A","Dates=H","DateFormat=P","Fill=—","Direction=H","UseDPDF=Y")</f>
        <v>870.23900000000003</v>
      </c>
      <c r="E42" s="13" cm="1">
        <f t="array" ref="E42">_xll.BDH("PH US Equity","BS_ACCRUAL","FQ3 2019","FQ3 2019","Currency=USD","Period=FQ","BEST_FPERIOD_OVERRIDE=FQ","FILING_STATUS=MR","SCALING_FORMAT=MLN","Sort=A","Dates=H","DateFormat=P","Fill=—","Direction=H","UseDPDF=Y")</f>
        <v>914.05200000000002</v>
      </c>
      <c r="F42" s="13" cm="1">
        <f t="array" ref="F42">_xll.BDH("PH US Equity","BS_ACCRUAL","FQ4 2019","FQ4 2019","Currency=USD","Period=FQ","BEST_FPERIOD_OVERRIDE=FQ","FILING_STATUS=MR","SCALING_FORMAT=MLN","Sort=A","Dates=H","DateFormat=P","Fill=—","Direction=H","UseDPDF=Y")</f>
        <v>982.35799999999995</v>
      </c>
      <c r="G42" s="13" cm="1">
        <f t="array" ref="G42">_xll.BDH("PH US Equity","BS_ACCRUAL","FQ1 2020","FQ1 2020","Currency=USD","Period=FQ","BEST_FPERIOD_OVERRIDE=FQ","FILING_STATUS=MR","SCALING_FORMAT=MLN","Sort=A","Dates=H","DateFormat=P","Fill=—","Direction=H","UseDPDF=Y")</f>
        <v>899.61800000000005</v>
      </c>
      <c r="H42" s="13" cm="1">
        <f t="array" ref="H42">_xll.BDH("PH US Equity","BS_ACCRUAL","FQ2 2020","FQ2 2020","Currency=USD","Period=FQ","BEST_FPERIOD_OVERRIDE=FQ","FILING_STATUS=MR","SCALING_FORMAT=MLN","Sort=A","Dates=H","DateFormat=P","Fill=—","Direction=H","UseDPDF=Y")</f>
        <v>964.28800000000001</v>
      </c>
      <c r="I42" s="13" cm="1">
        <f t="array" ref="I42">_xll.BDH("PH US Equity","BS_ACCRUAL","FQ3 2020","FQ3 2020","Currency=USD","Period=FQ","BEST_FPERIOD_OVERRIDE=FQ","FILING_STATUS=MR","SCALING_FORMAT=MLN","Sort=A","Dates=H","DateFormat=P","Fill=—","Direction=H","UseDPDF=Y")</f>
        <v>972.40200000000004</v>
      </c>
      <c r="J42" s="13" cm="1">
        <f t="array" ref="J42">_xll.BDH("PH US Equity","BS_ACCRUAL","FQ4 2020","FQ4 2020","Currency=USD","Period=FQ","BEST_FPERIOD_OVERRIDE=FQ","FILING_STATUS=MR","SCALING_FORMAT=MLN","Sort=A","Dates=H","DateFormat=P","Fill=—","Direction=H","UseDPDF=Y")</f>
        <v>956.923</v>
      </c>
      <c r="K42" s="13" cm="1">
        <f t="array" ref="K42">_xll.BDH("PH US Equity","BS_ACCRUAL","FQ1 2021","FQ1 2021","Currency=USD","Period=FQ","BEST_FPERIOD_OVERRIDE=FQ","FILING_STATUS=MR","SCALING_FORMAT=MLN","Sort=A","Dates=H","DateFormat=P","Fill=—","Direction=H","UseDPDF=Y")</f>
        <v>976.14099999999996</v>
      </c>
      <c r="L42" s="13" cm="1">
        <f t="array" ref="L42">_xll.BDH("PH US Equity","BS_ACCRUAL","FQ2 2021","FQ2 2021","Currency=USD","Period=FQ","BEST_FPERIOD_OVERRIDE=FQ","FILING_STATUS=MR","SCALING_FORMAT=MLN","Sort=A","Dates=H","DateFormat=P","Fill=—","Direction=H","UseDPDF=Y")</f>
        <v>1025.933</v>
      </c>
      <c r="M42" s="13" cm="1">
        <f t="array" ref="M42">_xll.BDH("PH US Equity","BS_ACCRUAL","FQ3 2021","FQ3 2021","Currency=USD","Period=FQ","BEST_FPERIOD_OVERRIDE=FQ","FILING_STATUS=MR","SCALING_FORMAT=MLN","Sort=A","Dates=H","DateFormat=P","Fill=—","Direction=H","UseDPDF=Y")</f>
        <v>1088.278</v>
      </c>
      <c r="N42" s="13" cm="1">
        <f t="array" ref="N42">_xll.BDH("PH US Equity","BS_ACCRUAL","FQ4 2021","FQ4 2021","Currency=USD","Period=FQ","BEST_FPERIOD_OVERRIDE=FQ","FILING_STATUS=MR","SCALING_FORMAT=MLN","Sort=A","Dates=H","DateFormat=P","Fill=—","Direction=H","UseDPDF=Y")</f>
        <v>1076.5250000000001</v>
      </c>
      <c r="O42" s="13" cm="1">
        <f t="array" ref="O42">_xll.BDH("PH US Equity","BS_ACCRUAL","FQ1 2022","FQ1 2022","Currency=USD","Period=FQ","BEST_FPERIOD_OVERRIDE=FQ","FILING_STATUS=MR","SCALING_FORMAT=MLN","Sort=A","Dates=H","DateFormat=P","Fill=—","Direction=H","UseDPDF=Y")</f>
        <v>1055.817</v>
      </c>
      <c r="P42" s="13" cm="1">
        <f t="array" ref="P42">_xll.BDH("PH US Equity","BS_ACCRUAL","FQ2 2022","FQ2 2022","Currency=USD","Period=FQ","BEST_FPERIOD_OVERRIDE=FQ","FILING_STATUS=MR","SCALING_FORMAT=MLN","Sort=A","Dates=H","DateFormat=P","Fill=—","Direction=H","UseDPDF=Y")</f>
        <v>1008.917</v>
      </c>
      <c r="Q42" s="13" cm="1">
        <f t="array" ref="Q42">_xll.BDH("PH US Equity","BS_ACCRUAL","FQ3 2022","FQ3 2022","Currency=USD","Period=FQ","BEST_FPERIOD_OVERRIDE=FQ","FILING_STATUS=MR","SCALING_FORMAT=MLN","Sort=A","Dates=H","DateFormat=P","Fill=—","Direction=H","UseDPDF=Y")</f>
        <v>1431.723</v>
      </c>
      <c r="R42" s="13" cm="1">
        <f t="array" ref="R42">_xll.BDH("PH US Equity","BS_ACCRUAL","FQ4 2022","FQ4 2022","Currency=USD","Period=FQ","BEST_FPERIOD_OVERRIDE=FQ","FILING_STATUS=MR","SCALING_FORMAT=MLN","Sort=A","Dates=H","DateFormat=P","Fill=—","Direction=H","UseDPDF=Y")</f>
        <v>2115.19</v>
      </c>
      <c r="S42" s="13" cm="1">
        <f t="array" ref="S42">_xll.BDH("PH US Equity","BS_ACCRUAL","FQ1 2023","FQ1 2023","Currency=USD","Period=FQ","BEST_FPERIOD_OVERRIDE=FQ","FILING_STATUS=MR","SCALING_FORMAT=MLN","Sort=A","Dates=H","DateFormat=P","Fill=—","Direction=H","UseDPDF=Y")</f>
        <v>1486.2270000000001</v>
      </c>
      <c r="T42" s="13" cm="1">
        <f t="array" ref="T42">_xll.BDH("PH US Equity","BS_ACCRUAL","FQ2 2023","FQ2 2023","Currency=USD","Period=FQ","BEST_FPERIOD_OVERRIDE=FQ","FILING_STATUS=MR","SCALING_FORMAT=MLN","Sort=A","Dates=H","DateFormat=P","Fill=—","Direction=H","UseDPDF=Y")</f>
        <v>1460.3520000000001</v>
      </c>
      <c r="U42" s="13" cm="1">
        <f t="array" ref="U42">_xll.BDH("PH US Equity","BS_ACCRUAL","FQ3 2023","FQ3 2023","Currency=USD","Period=FQ","BEST_FPERIOD_OVERRIDE=FQ","FILING_STATUS=MR","SCALING_FORMAT=MLN","Sort=A","Dates=H","DateFormat=P","Fill=—","Direction=H","UseDPDF=Y")</f>
        <v>1384.61</v>
      </c>
      <c r="V42" s="13" cm="1">
        <f t="array" ref="V42">_xll.BDH("PH US Equity","BS_ACCRUAL","FQ4 2023","FQ4 2023","Currency=USD","Period=FQ","BEST_FPERIOD_OVERRIDE=FQ","FILING_STATUS=MR","SCALING_FORMAT=MLN","Sort=A","Dates=H","DateFormat=P","Fill=—","Direction=H","UseDPDF=Y")</f>
        <v>1491.9690000000001</v>
      </c>
      <c r="W42" s="13" cm="1">
        <f t="array" ref="W42">_xll.BDH("PH US Equity","BS_ACCRUAL","FQ1 2024","FQ1 2024","Currency=USD","Period=FQ","BEST_FPERIOD_OVERRIDE=FQ","FILING_STATUS=MR","SCALING_FORMAT=MLN","Sort=A","Dates=H","DateFormat=P","Fill=—","Direction=H","UseDPDF=Y")</f>
        <v>1530.8610000000001</v>
      </c>
      <c r="X42" s="13" cm="1">
        <f t="array" ref="X42">_xll.BDH("PH US Equity","BS_ACCRUAL","FQ2 2024","FQ2 2024","Currency=USD","Period=FQ","BEST_FPERIOD_OVERRIDE=FQ","FILING_STATUS=MR","SCALING_FORMAT=MLN","Sort=A","Dates=H","DateFormat=P","Fill=—","Direction=H","UseDPDF=Y")</f>
        <v>1541.85</v>
      </c>
      <c r="Y42" s="13" cm="1">
        <f t="array" ref="Y42">_xll.BDH("PH US Equity","BS_ACCRUAL","FQ3 2024","FQ3 2024","Currency=USD","Period=FQ","BEST_FPERIOD_OVERRIDE=FQ","FILING_STATUS=MR","SCALING_FORMAT=MLN","Sort=A","Dates=H","DateFormat=P","Fill=—","Direction=H","UseDPDF=Y")</f>
        <v>1581.7260000000001</v>
      </c>
      <c r="Z42" s="13" cm="1">
        <f t="array" ref="Z42">_xll.BDH("PH US Equity","BS_ACCRUAL","FQ4 2024","FQ4 2024","Currency=USD","Period=FQ","BEST_FPERIOD_OVERRIDE=FQ","FILING_STATUS=MR","SCALING_FORMAT=MLN","Sort=A","Dates=H","DateFormat=P","Fill=—","Direction=H","UseDPDF=Y")</f>
        <v>1504.674</v>
      </c>
      <c r="AA42" s="13" cm="1">
        <f t="array" ref="AA42">_xll.BDH("PH US Equity","BS_ACCRUAL","FQ1 2025","FQ1 2025","Currency=USD","Period=FQ","BEST_FPERIOD_OVERRIDE=FQ","FILING_STATUS=MR","SCALING_FORMAT=MLN","Sort=A","Dates=H","DateFormat=P","Fill=—","Direction=H","UseDPDF=Y")</f>
        <v>1405.114</v>
      </c>
      <c r="AB42" s="13" cm="1">
        <f t="array" ref="AB42">_xll.BDH("PH US Equity","BS_ACCRUAL","FQ2 2025","FQ2 2025","Currency=USD","Period=FQ","BEST_FPERIOD_OVERRIDE=FQ","FILING_STATUS=MR","SCALING_FORMAT=MLN","Sort=A","Dates=H","DateFormat=P","Fill=—","Direction=H","UseDPDF=Y")</f>
        <v>1453.12</v>
      </c>
      <c r="AC42" s="13" cm="1">
        <f t="array" ref="AC42">_xll.BDH("PH US Equity","BS_ACCRUAL","FQ3 2025","FQ3 2025","Currency=USD","Period=FQ","BEST_FPERIOD_OVERRIDE=FQ","FILING_STATUS=MR","SCALING_FORMAT=MLN","Sort=A","Dates=H","DateFormat=P","Fill=—","Direction=H","UseDPDF=Y")</f>
        <v>1297.4100000000001</v>
      </c>
      <c r="AD42" s="13" cm="1">
        <f t="array" ref="AD42">_xll.BDH("PH US Equity","BS_ACCRUAL","FQ4 2025","FQ4 2025","Currency=USD","Period=FQ","BEST_FPERIOD_OVERRIDE=FQ","FILING_STATUS=MR","SCALING_FORMAT=MLN","Sort=A","Dates=H","DateFormat=P","Fill=—","Direction=H","UseDPDF=Y")</f>
        <v>1429</v>
      </c>
      <c r="AE42" s="13" cm="1">
        <f t="array" ref="AE42">_xll.BDH("PH US Equity","BS_ACCRUAL","FQ1 2026","FQ1 2026","Currency=USD","Period=FQ","BEST_FPERIOD_OVERRIDE=FQ","FILING_STATUS=MR","SCALING_FORMAT=MLN","Sort=A","Dates=H","DateFormat=P","Fill=—","Direction=H","UseDPDF=Y")</f>
        <v>413</v>
      </c>
      <c r="AF42" s="13" cm="1">
        <f t="array" ref="AF42">_xll.BDH("PH US Equity","BS_ACCRUAL","FQ2 2026","FQ2 2026","Currency=USD","Period=FQ","BEST_FPERIOD_OVERRIDE=FQ","FILING_STATUS=MR","SCALING_FORMAT=MLN","Sort=A","Dates=H","DateFormat=P","Fill=—","Direction=H","UseDPDF=Y")</f>
        <v>1411</v>
      </c>
    </row>
    <row r="43" spans="1:32" x14ac:dyDescent="0.25">
      <c r="A43" s="10" t="s">
        <v>133</v>
      </c>
      <c r="B43" s="10" t="s">
        <v>134</v>
      </c>
      <c r="C43" s="13" cm="1">
        <f t="array" ref="C43">_xll.BDH("PH US Equity","BS_ST_BORROW","FQ1 2019","FQ1 2019","Currency=USD","Period=FQ","BEST_FPERIOD_OVERRIDE=FQ","FILING_STATUS=MR","SCALING_FORMAT=MLN","Sort=A","Dates=H","DateFormat=P","Fill=—","Direction=H","UseDPDF=Y")</f>
        <v>796.86099999999999</v>
      </c>
      <c r="D43" s="13" cm="1">
        <f t="array" ref="D43">_xll.BDH("PH US Equity","BS_ST_BORROW","FQ2 2019","FQ2 2019","Currency=USD","Period=FQ","BEST_FPERIOD_OVERRIDE=FQ","FILING_STATUS=MR","SCALING_FORMAT=MLN","Sort=A","Dates=H","DateFormat=P","Fill=—","Direction=H","UseDPDF=Y")</f>
        <v>1144.347</v>
      </c>
      <c r="E43" s="13" cm="1">
        <f t="array" ref="E43">_xll.BDH("PH US Equity","BS_ST_BORROW","FQ3 2019","FQ3 2019","Currency=USD","Period=FQ","BEST_FPERIOD_OVERRIDE=FQ","FILING_STATUS=MR","SCALING_FORMAT=MLN","Sort=A","Dates=H","DateFormat=P","Fill=—","Direction=H","UseDPDF=Y")</f>
        <v>1017.278</v>
      </c>
      <c r="F43" s="13" cm="1">
        <f t="array" ref="F43">_xll.BDH("PH US Equity","BS_ST_BORROW","FQ4 2019","FQ4 2019","Currency=USD","Period=FQ","BEST_FPERIOD_OVERRIDE=FQ","FILING_STATUS=MR","SCALING_FORMAT=MLN","Sort=A","Dates=H","DateFormat=P","Fill=—","Direction=H","UseDPDF=Y")</f>
        <v>587.01400000000001</v>
      </c>
      <c r="G43" s="13" cm="1">
        <f t="array" ref="G43">_xll.BDH("PH US Equity","BS_ST_BORROW","FQ1 2020","FQ1 2020","Currency=USD","Period=FQ","BEST_FPERIOD_OVERRIDE=FQ","FILING_STATUS=MR","SCALING_FORMAT=MLN","Sort=A","Dates=H","DateFormat=P","Fill=—","Direction=H","UseDPDF=Y")</f>
        <v>1775.4369999999999</v>
      </c>
      <c r="H43" s="13" cm="1">
        <f t="array" ref="H43">_xll.BDH("PH US Equity","BS_ST_BORROW","FQ2 2020","FQ2 2020","Currency=USD","Period=FQ","BEST_FPERIOD_OVERRIDE=FQ","FILING_STATUS=MR","SCALING_FORMAT=MLN","Sort=A","Dates=H","DateFormat=P","Fill=—","Direction=H","UseDPDF=Y")</f>
        <v>1646.979</v>
      </c>
      <c r="I43" s="13" cm="1">
        <f t="array" ref="I43">_xll.BDH("PH US Equity","BS_ST_BORROW","FQ3 2020","FQ3 2020","Currency=USD","Period=FQ","BEST_FPERIOD_OVERRIDE=FQ","FILING_STATUS=MR","SCALING_FORMAT=MLN","Sort=A","Dates=H","DateFormat=P","Fill=—","Direction=H","UseDPDF=Y")</f>
        <v>1076.057</v>
      </c>
      <c r="J43" s="13" cm="1">
        <f t="array" ref="J43">_xll.BDH("PH US Equity","BS_ST_BORROW","FQ4 2020","FQ4 2020","Currency=USD","Period=FQ","BEST_FPERIOD_OVERRIDE=FQ","FILING_STATUS=MR","SCALING_FORMAT=MLN","Sort=A","Dates=H","DateFormat=P","Fill=—","Direction=H","UseDPDF=Y")</f>
        <v>852.85599999999999</v>
      </c>
      <c r="K43" s="13" cm="1">
        <f t="array" ref="K43">_xll.BDH("PH US Equity","BS_ST_BORROW","FQ1 2021","FQ1 2021","Currency=USD","Period=FQ","BEST_FPERIOD_OVERRIDE=FQ","FILING_STATUS=MR","SCALING_FORMAT=MLN","Sort=A","Dates=H","DateFormat=P","Fill=—","Direction=H","UseDPDF=Y")</f>
        <v>884.45</v>
      </c>
      <c r="L43" s="13" cm="1">
        <f t="array" ref="L43">_xll.BDH("PH US Equity","BS_ST_BORROW","FQ2 2021","FQ2 2021","Currency=USD","Period=FQ","BEST_FPERIOD_OVERRIDE=FQ","FILING_STATUS=MR","SCALING_FORMAT=MLN","Sort=A","Dates=H","DateFormat=P","Fill=—","Direction=H","UseDPDF=Y")</f>
        <v>610.90899999999999</v>
      </c>
      <c r="M43" s="13" cm="1">
        <f t="array" ref="M43">_xll.BDH("PH US Equity","BS_ST_BORROW","FQ3 2021","FQ3 2021","Currency=USD","Period=FQ","BEST_FPERIOD_OVERRIDE=FQ","FILING_STATUS=MR","SCALING_FORMAT=MLN","Sort=A","Dates=H","DateFormat=P","Fill=—","Direction=H","UseDPDF=Y")</f>
        <v>186.38800000000001</v>
      </c>
      <c r="N43" s="13" cm="1">
        <f t="array" ref="N43">_xll.BDH("PH US Equity","BS_ST_BORROW","FQ4 2021","FQ4 2021","Currency=USD","Period=FQ","BEST_FPERIOD_OVERRIDE=FQ","FILING_STATUS=MR","SCALING_FORMAT=MLN","Sort=A","Dates=H","DateFormat=P","Fill=—","Direction=H","UseDPDF=Y")</f>
        <v>43.017000000000003</v>
      </c>
      <c r="O43" s="13" cm="1">
        <f t="array" ref="O43">_xll.BDH("PH US Equity","BS_ST_BORROW","FQ1 2022","FQ1 2022","Currency=USD","Period=FQ","BEST_FPERIOD_OVERRIDE=FQ","FILING_STATUS=MR","SCALING_FORMAT=MLN","Sort=A","Dates=H","DateFormat=P","Fill=—","Direction=H","UseDPDF=Y")</f>
        <v>302.30900000000003</v>
      </c>
      <c r="P43" s="13" cm="1">
        <f t="array" ref="P43">_xll.BDH("PH US Equity","BS_ST_BORROW","FQ2 2022","FQ2 2022","Currency=USD","Period=FQ","BEST_FPERIOD_OVERRIDE=FQ","FILING_STATUS=MR","SCALING_FORMAT=MLN","Sort=A","Dates=H","DateFormat=P","Fill=—","Direction=H","UseDPDF=Y")</f>
        <v>2201.6529999999998</v>
      </c>
      <c r="Q43" s="13" cm="1">
        <f t="array" ref="Q43">_xll.BDH("PH US Equity","BS_ST_BORROW","FQ3 2022","FQ3 2022","Currency=USD","Period=FQ","BEST_FPERIOD_OVERRIDE=FQ","FILING_STATUS=MR","SCALING_FORMAT=MLN","Sort=A","Dates=H","DateFormat=P","Fill=—","Direction=H","UseDPDF=Y")</f>
        <v>1923.86</v>
      </c>
      <c r="R43" s="13" cm="1">
        <f t="array" ref="R43">_xll.BDH("PH US Equity","BS_ST_BORROW","FQ4 2022","FQ4 2022","Currency=USD","Period=FQ","BEST_FPERIOD_OVERRIDE=FQ","FILING_STATUS=MR","SCALING_FORMAT=MLN","Sort=A","Dates=H","DateFormat=P","Fill=—","Direction=H","UseDPDF=Y")</f>
        <v>1760.3330000000001</v>
      </c>
      <c r="S43" s="13" cm="1">
        <f t="array" ref="S43">_xll.BDH("PH US Equity","BS_ST_BORROW","FQ1 2023","FQ1 2023","Currency=USD","Period=FQ","BEST_FPERIOD_OVERRIDE=FQ","FILING_STATUS=MR","SCALING_FORMAT=MLN","Sort=A","Dates=H","DateFormat=P","Fill=—","Direction=H","UseDPDF=Y")</f>
        <v>1725.077</v>
      </c>
      <c r="T43" s="13" cm="1">
        <f t="array" ref="T43">_xll.BDH("PH US Equity","BS_ST_BORROW","FQ2 2023","FQ2 2023","Currency=USD","Period=FQ","BEST_FPERIOD_OVERRIDE=FQ","FILING_STATUS=MR","SCALING_FORMAT=MLN","Sort=A","Dates=H","DateFormat=P","Fill=—","Direction=H","UseDPDF=Y")</f>
        <v>1994.3330000000001</v>
      </c>
      <c r="U43" s="13" cm="1">
        <f t="array" ref="U43">_xll.BDH("PH US Equity","BS_ST_BORROW","FQ3 2023","FQ3 2023","Currency=USD","Period=FQ","BEST_FPERIOD_OVERRIDE=FQ","FILING_STATUS=MR","SCALING_FORMAT=MLN","Sort=A","Dates=H","DateFormat=P","Fill=—","Direction=H","UseDPDF=Y")</f>
        <v>1992.9190000000001</v>
      </c>
      <c r="V43" s="13" cm="1">
        <f t="array" ref="V43">_xll.BDH("PH US Equity","BS_ST_BORROW","FQ4 2023","FQ4 2023","Currency=USD","Period=FQ","BEST_FPERIOD_OVERRIDE=FQ","FILING_STATUS=MR","SCALING_FORMAT=MLN","Sort=A","Dates=H","DateFormat=P","Fill=—","Direction=H","UseDPDF=Y")</f>
        <v>3817.8960000000002</v>
      </c>
      <c r="W43" s="13" cm="1">
        <f t="array" ref="W43">_xll.BDH("PH US Equity","BS_ST_BORROW","FQ1 2024","FQ1 2024","Currency=USD","Period=FQ","BEST_FPERIOD_OVERRIDE=FQ","FILING_STATUS=MR","SCALING_FORMAT=MLN","Sort=A","Dates=H","DateFormat=P","Fill=—","Direction=H","UseDPDF=Y")</f>
        <v>3594.4250000000002</v>
      </c>
      <c r="X43" s="13" cm="1">
        <f t="array" ref="X43">_xll.BDH("PH US Equity","BS_ST_BORROW","FQ2 2024","FQ2 2024","Currency=USD","Period=FQ","BEST_FPERIOD_OVERRIDE=FQ","FILING_STATUS=MR","SCALING_FORMAT=MLN","Sort=A","Dates=H","DateFormat=P","Fill=—","Direction=H","UseDPDF=Y")</f>
        <v>3681.1669999999999</v>
      </c>
      <c r="Y43" s="13" cm="1">
        <f t="array" ref="Y43">_xll.BDH("PH US Equity","BS_ST_BORROW","FQ3 2024","FQ3 2024","Currency=USD","Period=FQ","BEST_FPERIOD_OVERRIDE=FQ","FILING_STATUS=MR","SCALING_FORMAT=MLN","Sort=A","Dates=H","DateFormat=P","Fill=—","Direction=H","UseDPDF=Y")</f>
        <v>4080.759</v>
      </c>
      <c r="Z43" s="13" cm="1">
        <f t="array" ref="Z43">_xll.BDH("PH US Equity","BS_ST_BORROW","FQ4 2024","FQ4 2024","Currency=USD","Period=FQ","BEST_FPERIOD_OVERRIDE=FQ","FILING_STATUS=MR","SCALING_FORMAT=MLN","Sort=A","Dates=H","DateFormat=P","Fill=—","Direction=H","UseDPDF=Y")</f>
        <v>3462.2649999999999</v>
      </c>
      <c r="AA43" s="13" cm="1">
        <f t="array" ref="AA43">_xll.BDH("PH US Equity","BS_ST_BORROW","FQ1 2025","FQ1 2025","Currency=USD","Period=FQ","BEST_FPERIOD_OVERRIDE=FQ","FILING_STATUS=MR","SCALING_FORMAT=MLN","Sort=A","Dates=H","DateFormat=P","Fill=—","Direction=H","UseDPDF=Y")</f>
        <v>3515.6129999999998</v>
      </c>
      <c r="AB43" s="13" cm="1">
        <f t="array" ref="AB43">_xll.BDH("PH US Equity","BS_ST_BORROW","FQ2 2025","FQ2 2025","Currency=USD","Period=FQ","BEST_FPERIOD_OVERRIDE=FQ","FILING_STATUS=MR","SCALING_FORMAT=MLN","Sort=A","Dates=H","DateFormat=P","Fill=—","Direction=H","UseDPDF=Y")</f>
        <v>2373.2860000000001</v>
      </c>
      <c r="AC43" s="13" cm="1">
        <f t="array" ref="AC43">_xll.BDH("PH US Equity","BS_ST_BORROW","FQ3 2025","FQ3 2025","Currency=USD","Period=FQ","BEST_FPERIOD_OVERRIDE=FQ","FILING_STATUS=MR","SCALING_FORMAT=MLN","Sort=A","Dates=H","DateFormat=P","Fill=—","Direction=H","UseDPDF=Y")</f>
        <v>1951.5429999999999</v>
      </c>
      <c r="AD43" s="13" cm="1">
        <f t="array" ref="AD43">_xll.BDH("PH US Equity","BS_ST_BORROW","FQ4 2025","FQ4 2025","Currency=USD","Period=FQ","BEST_FPERIOD_OVERRIDE=FQ","FILING_STATUS=MR","SCALING_FORMAT=MLN","Sort=A","Dates=H","DateFormat=P","Fill=—","Direction=H","UseDPDF=Y")</f>
        <v>1844</v>
      </c>
      <c r="AE43" s="13" cm="1">
        <f t="array" ref="AE43">_xll.BDH("PH US Equity","BS_ST_BORROW","FQ1 2026","FQ1 2026","Currency=USD","Period=FQ","BEST_FPERIOD_OVERRIDE=FQ","FILING_STATUS=MR","SCALING_FORMAT=MLN","Sort=A","Dates=H","DateFormat=P","Fill=—","Direction=H","UseDPDF=Y")</f>
        <v>2848</v>
      </c>
      <c r="AF43" s="13" cm="1">
        <f t="array" ref="AF43">_xll.BDH("PH US Equity","BS_ST_BORROW","FQ2 2026","FQ2 2026","Currency=USD","Period=FQ","BEST_FPERIOD_OVERRIDE=FQ","FILING_STATUS=MR","SCALING_FORMAT=MLN","Sort=A","Dates=H","DateFormat=P","Fill=—","Direction=H","UseDPDF=Y")</f>
        <v>2386</v>
      </c>
    </row>
    <row r="44" spans="1:32" x14ac:dyDescent="0.25">
      <c r="A44" s="10" t="s">
        <v>135</v>
      </c>
      <c r="B44" s="10" t="s">
        <v>136</v>
      </c>
      <c r="C44" s="13" cm="1">
        <f t="array" ref="C44">_xll.BDH("PH US Equity","SHORT_TERM_DEBT_DETAILED","FQ1 2019","FQ1 2019","Currency=USD","Period=FQ","BEST_FPERIOD_OVERRIDE=FQ","FILING_STATUS=MR","SCALING_FORMAT=MLN","Sort=A","Dates=H","DateFormat=P","Fill=—","Direction=H","UseDPDF=Y")</f>
        <v>796.86099999999999</v>
      </c>
      <c r="D44" s="13" cm="1">
        <f t="array" ref="D44">_xll.BDH("PH US Equity","SHORT_TERM_DEBT_DETAILED","FQ2 2019","FQ2 2019","Currency=USD","Period=FQ","BEST_FPERIOD_OVERRIDE=FQ","FILING_STATUS=MR","SCALING_FORMAT=MLN","Sort=A","Dates=H","DateFormat=P","Fill=—","Direction=H","UseDPDF=Y")</f>
        <v>1144.347</v>
      </c>
      <c r="E44" s="13" cm="1">
        <f t="array" ref="E44">_xll.BDH("PH US Equity","SHORT_TERM_DEBT_DETAILED","FQ3 2019","FQ3 2019","Currency=USD","Period=FQ","BEST_FPERIOD_OVERRIDE=FQ","FILING_STATUS=MR","SCALING_FORMAT=MLN","Sort=A","Dates=H","DateFormat=P","Fill=—","Direction=H","UseDPDF=Y")</f>
        <v>1017.278</v>
      </c>
      <c r="F44" s="13" cm="1">
        <f t="array" ref="F44">_xll.BDH("PH US Equity","SHORT_TERM_DEBT_DETAILED","FQ4 2019","FQ4 2019","Currency=USD","Period=FQ","BEST_FPERIOD_OVERRIDE=FQ","FILING_STATUS=MR","SCALING_FORMAT=MLN","Sort=A","Dates=H","DateFormat=P","Fill=—","Direction=H","UseDPDF=Y")</f>
        <v>586.78599999999994</v>
      </c>
      <c r="G44" s="13" cm="1">
        <f t="array" ref="G44">_xll.BDH("PH US Equity","SHORT_TERM_DEBT_DETAILED","FQ1 2020","FQ1 2020","Currency=USD","Period=FQ","BEST_FPERIOD_OVERRIDE=FQ","FILING_STATUS=MR","SCALING_FORMAT=MLN","Sort=A","Dates=H","DateFormat=P","Fill=—","Direction=H","UseDPDF=Y")</f>
        <v>1736.779</v>
      </c>
      <c r="H44" s="13" cm="1">
        <f t="array" ref="H44">_xll.BDH("PH US Equity","SHORT_TERM_DEBT_DETAILED","FQ2 2020","FQ2 2020","Currency=USD","Period=FQ","BEST_FPERIOD_OVERRIDE=FQ","FILING_STATUS=MR","SCALING_FORMAT=MLN","Sort=A","Dates=H","DateFormat=P","Fill=—","Direction=H","UseDPDF=Y")</f>
        <v>1604.318</v>
      </c>
      <c r="I44" s="13" cm="1">
        <f t="array" ref="I44">_xll.BDH("PH US Equity","SHORT_TERM_DEBT_DETAILED","FQ3 2020","FQ3 2020","Currency=USD","Period=FQ","BEST_FPERIOD_OVERRIDE=FQ","FILING_STATUS=MR","SCALING_FORMAT=MLN","Sort=A","Dates=H","DateFormat=P","Fill=—","Direction=H","UseDPDF=Y")</f>
        <v>1035.191</v>
      </c>
      <c r="J44" s="13" cm="1">
        <f t="array" ref="J44">_xll.BDH("PH US Equity","SHORT_TERM_DEBT_DETAILED","FQ4 2020","FQ4 2020","Currency=USD","Period=FQ","BEST_FPERIOD_OVERRIDE=FQ","FILING_STATUS=MR","SCALING_FORMAT=MLN","Sort=A","Dates=H","DateFormat=P","Fill=—","Direction=H","UseDPDF=Y")</f>
        <v>723.5</v>
      </c>
      <c r="K44" s="13" cm="1">
        <f t="array" ref="K44">_xll.BDH("PH US Equity","SHORT_TERM_DEBT_DETAILED","FQ1 2021","FQ1 2021","Currency=USD","Period=FQ","BEST_FPERIOD_OVERRIDE=FQ","FILING_STATUS=MR","SCALING_FORMAT=MLN","Sort=A","Dates=H","DateFormat=P","Fill=—","Direction=H","UseDPDF=Y")</f>
        <v>884.45</v>
      </c>
      <c r="L44" s="13" cm="1">
        <f t="array" ref="L44">_xll.BDH("PH US Equity","SHORT_TERM_DEBT_DETAILED","FQ2 2021","FQ2 2021","Currency=USD","Period=FQ","BEST_FPERIOD_OVERRIDE=FQ","FILING_STATUS=MR","SCALING_FORMAT=MLN","Sort=A","Dates=H","DateFormat=P","Fill=—","Direction=H","UseDPDF=Y")</f>
        <v>610.90899999999999</v>
      </c>
      <c r="M44" s="13" cm="1">
        <f t="array" ref="M44">_xll.BDH("PH US Equity","SHORT_TERM_DEBT_DETAILED","FQ3 2021","FQ3 2021","Currency=USD","Period=FQ","BEST_FPERIOD_OVERRIDE=FQ","FILING_STATUS=MR","SCALING_FORMAT=MLN","Sort=A","Dates=H","DateFormat=P","Fill=—","Direction=H","UseDPDF=Y")</f>
        <v>186.38800000000001</v>
      </c>
      <c r="N44" s="13" cm="1">
        <f t="array" ref="N44">_xll.BDH("PH US Equity","SHORT_TERM_DEBT_DETAILED","FQ4 2021","FQ4 2021","Currency=USD","Period=FQ","BEST_FPERIOD_OVERRIDE=FQ","FILING_STATUS=MR","SCALING_FORMAT=MLN","Sort=A","Dates=H","DateFormat=P","Fill=—","Direction=H","UseDPDF=Y")</f>
        <v>5.0000000000000001E-3</v>
      </c>
      <c r="O44" s="13" cm="1">
        <f t="array" ref="O44">_xll.BDH("PH US Equity","SHORT_TERM_DEBT_DETAILED","FQ1 2022","FQ1 2022","Currency=USD","Period=FQ","BEST_FPERIOD_OVERRIDE=FQ","FILING_STATUS=MR","SCALING_FORMAT=MLN","Sort=A","Dates=H","DateFormat=P","Fill=—","Direction=H","UseDPDF=Y")</f>
        <v>302.30900000000003</v>
      </c>
      <c r="P44" s="13" cm="1">
        <f t="array" ref="P44">_xll.BDH("PH US Equity","SHORT_TERM_DEBT_DETAILED","FQ2 2022","FQ2 2022","Currency=USD","Period=FQ","BEST_FPERIOD_OVERRIDE=FQ","FILING_STATUS=MR","SCALING_FORMAT=MLN","Sort=A","Dates=H","DateFormat=P","Fill=—","Direction=H","UseDPDF=Y")</f>
        <v>2201.6529999999998</v>
      </c>
      <c r="Q44" s="13" cm="1">
        <f t="array" ref="Q44">_xll.BDH("PH US Equity","SHORT_TERM_DEBT_DETAILED","FQ3 2022","FQ3 2022","Currency=USD","Period=FQ","BEST_FPERIOD_OVERRIDE=FQ","FILING_STATUS=MR","SCALING_FORMAT=MLN","Sort=A","Dates=H","DateFormat=P","Fill=—","Direction=H","UseDPDF=Y")</f>
        <v>1923.86</v>
      </c>
      <c r="R44" s="13" cm="1">
        <f t="array" ref="R44">_xll.BDH("PH US Equity","SHORT_TERM_DEBT_DETAILED","FQ4 2022","FQ4 2022","Currency=USD","Period=FQ","BEST_FPERIOD_OVERRIDE=FQ","FILING_STATUS=MR","SCALING_FORMAT=MLN","Sort=A","Dates=H","DateFormat=P","Fill=—","Direction=H","UseDPDF=Y")</f>
        <v>1422.03</v>
      </c>
      <c r="S44" s="13" cm="1">
        <f t="array" ref="S44">_xll.BDH("PH US Equity","SHORT_TERM_DEBT_DETAILED","FQ1 2023","FQ1 2023","Currency=USD","Period=FQ","BEST_FPERIOD_OVERRIDE=FQ","FILING_STATUS=MR","SCALING_FORMAT=MLN","Sort=A","Dates=H","DateFormat=P","Fill=—","Direction=H","UseDPDF=Y")</f>
        <v>1725.077</v>
      </c>
      <c r="T44" s="13" cm="1">
        <f t="array" ref="T44">_xll.BDH("PH US Equity","SHORT_TERM_DEBT_DETAILED","FQ2 2023","FQ2 2023","Currency=USD","Period=FQ","BEST_FPERIOD_OVERRIDE=FQ","FILING_STATUS=MR","SCALING_FORMAT=MLN","Sort=A","Dates=H","DateFormat=P","Fill=—","Direction=H","UseDPDF=Y")</f>
        <v>1994.3330000000001</v>
      </c>
      <c r="U44" s="13" cm="1">
        <f t="array" ref="U44">_xll.BDH("PH US Equity","SHORT_TERM_DEBT_DETAILED","FQ3 2023","FQ3 2023","Currency=USD","Period=FQ","BEST_FPERIOD_OVERRIDE=FQ","FILING_STATUS=MR","SCALING_FORMAT=MLN","Sort=A","Dates=H","DateFormat=P","Fill=—","Direction=H","UseDPDF=Y")</f>
        <v>1992.9190000000001</v>
      </c>
      <c r="V44" s="13" cm="1">
        <f t="array" ref="V44">_xll.BDH("PH US Equity","SHORT_TERM_DEBT_DETAILED","FQ4 2023","FQ4 2023","Currency=USD","Period=FQ","BEST_FPERIOD_OVERRIDE=FQ","FILING_STATUS=MR","SCALING_FORMAT=MLN","Sort=A","Dates=H","DateFormat=P","Fill=—","Direction=H","UseDPDF=Y")</f>
        <v>1788.8040000000001</v>
      </c>
      <c r="W44" s="13" cm="1">
        <f t="array" ref="W44">_xll.BDH("PH US Equity","SHORT_TERM_DEBT_DETAILED","FQ1 2024","FQ1 2024","Currency=USD","Period=FQ","BEST_FPERIOD_OVERRIDE=FQ","FILING_STATUS=MR","SCALING_FORMAT=MLN","Sort=A","Dates=H","DateFormat=P","Fill=—","Direction=H","UseDPDF=Y")</f>
        <v>3594.4250000000002</v>
      </c>
      <c r="X44" s="13" cm="1">
        <f t="array" ref="X44">_xll.BDH("PH US Equity","SHORT_TERM_DEBT_DETAILED","FQ2 2024","FQ2 2024","Currency=USD","Period=FQ","BEST_FPERIOD_OVERRIDE=FQ","FILING_STATUS=MR","SCALING_FORMAT=MLN","Sort=A","Dates=H","DateFormat=P","Fill=—","Direction=H","UseDPDF=Y")</f>
        <v>3681.1669999999999</v>
      </c>
      <c r="Y44" s="13" cm="1">
        <f t="array" ref="Y44">_xll.BDH("PH US Equity","SHORT_TERM_DEBT_DETAILED","FQ3 2024","FQ3 2024","Currency=USD","Period=FQ","BEST_FPERIOD_OVERRIDE=FQ","FILING_STATUS=MR","SCALING_FORMAT=MLN","Sort=A","Dates=H","DateFormat=P","Fill=—","Direction=H","UseDPDF=Y")</f>
        <v>4080.759</v>
      </c>
      <c r="Z44" s="13" cm="1">
        <f t="array" ref="Z44">_xll.BDH("PH US Equity","SHORT_TERM_DEBT_DETAILED","FQ4 2024","FQ4 2024","Currency=USD","Period=FQ","BEST_FPERIOD_OVERRIDE=FQ","FILING_STATUS=MR","SCALING_FORMAT=MLN","Sort=A","Dates=H","DateFormat=P","Fill=—","Direction=H","UseDPDF=Y")</f>
        <v>2148.085</v>
      </c>
      <c r="AA44" s="13" cm="1">
        <f t="array" ref="AA44">_xll.BDH("PH US Equity","SHORT_TERM_DEBT_DETAILED","FQ1 2025","FQ1 2025","Currency=USD","Period=FQ","BEST_FPERIOD_OVERRIDE=FQ","FILING_STATUS=MR","SCALING_FORMAT=MLN","Sort=A","Dates=H","DateFormat=P","Fill=—","Direction=H","UseDPDF=Y")</f>
        <v>3515.6129999999998</v>
      </c>
      <c r="AB44" s="13" cm="1">
        <f t="array" ref="AB44">_xll.BDH("PH US Equity","SHORT_TERM_DEBT_DETAILED","FQ2 2025","FQ2 2025","Currency=USD","Period=FQ","BEST_FPERIOD_OVERRIDE=FQ","FILING_STATUS=MR","SCALING_FORMAT=MLN","Sort=A","Dates=H","DateFormat=P","Fill=—","Direction=H","UseDPDF=Y")</f>
        <v>2373.2860000000001</v>
      </c>
      <c r="AC44" s="13" cm="1">
        <f t="array" ref="AC44">_xll.BDH("PH US Equity","SHORT_TERM_DEBT_DETAILED","FQ3 2025","FQ3 2025","Currency=USD","Period=FQ","BEST_FPERIOD_OVERRIDE=FQ","FILING_STATUS=MR","SCALING_FORMAT=MLN","Sort=A","Dates=H","DateFormat=P","Fill=—","Direction=H","UseDPDF=Y")</f>
        <v>1951.5429999999999</v>
      </c>
      <c r="AD44" s="13" cm="1">
        <f t="array" ref="AD44">_xll.BDH("PH US Equity","SHORT_TERM_DEBT_DETAILED","FQ4 2025","FQ4 2025","Currency=USD","Period=FQ","BEST_FPERIOD_OVERRIDE=FQ","FILING_STATUS=MR","SCALING_FORMAT=MLN","Sort=A","Dates=H","DateFormat=P","Fill=—","Direction=H","UseDPDF=Y")</f>
        <v>1784</v>
      </c>
      <c r="AE44" s="13" cm="1">
        <f t="array" ref="AE44">_xll.BDH("PH US Equity","SHORT_TERM_DEBT_DETAILED","FQ1 2026","FQ1 2026","Currency=USD","Period=FQ","BEST_FPERIOD_OVERRIDE=FQ","FILING_STATUS=MR","SCALING_FORMAT=MLN","Sort=A","Dates=H","DateFormat=P","Fill=—","Direction=H","UseDPDF=Y")</f>
        <v>2848</v>
      </c>
      <c r="AF44" s="13" cm="1">
        <f t="array" ref="AF44">_xll.BDH("PH US Equity","SHORT_TERM_DEBT_DETAILED","FQ2 2026","FQ2 2026","Currency=USD","Period=FQ","BEST_FPERIOD_OVERRIDE=FQ","FILING_STATUS=MR","SCALING_FORMAT=MLN","Sort=A","Dates=H","DateFormat=P","Fill=—","Direction=H","UseDPDF=Y")</f>
        <v>2386</v>
      </c>
    </row>
    <row r="45" spans="1:32" x14ac:dyDescent="0.25">
      <c r="A45" s="10" t="s">
        <v>137</v>
      </c>
      <c r="B45" s="10" t="s">
        <v>138</v>
      </c>
      <c r="C45" s="13" t="str" cm="1">
        <f t="array" ref="C45">_xll.BDH("PH US Equity","ST_CAPITALIZED_LEASE_LIABILITIES","FQ1 2019","FQ1 2019","Currency=USD","Period=FQ","BEST_FPERIOD_OVERRIDE=FQ","FILING_STATUS=MR","SCALING_FORMAT=MLN","Sort=A","Dates=H","DateFormat=P","Fill=—","Direction=H","UseDPDF=Y")</f>
        <v>—</v>
      </c>
      <c r="D45" s="13" t="str" cm="1">
        <f t="array" ref="D45">_xll.BDH("PH US Equity","ST_CAPITALIZED_LEASE_LIABILITIES","FQ2 2019","FQ2 2019","Currency=USD","Period=FQ","BEST_FPERIOD_OVERRIDE=FQ","FILING_STATUS=MR","SCALING_FORMAT=MLN","Sort=A","Dates=H","DateFormat=P","Fill=—","Direction=H","UseDPDF=Y")</f>
        <v>—</v>
      </c>
      <c r="E45" s="13" t="str" cm="1">
        <f t="array" ref="E45">_xll.BDH("PH US Equity","ST_CAPITALIZED_LEASE_LIABILITIES","FQ3 2019","FQ3 2019","Currency=USD","Period=FQ","BEST_FPERIOD_OVERRIDE=FQ","FILING_STATUS=MR","SCALING_FORMAT=MLN","Sort=A","Dates=H","DateFormat=P","Fill=—","Direction=H","UseDPDF=Y")</f>
        <v>—</v>
      </c>
      <c r="F45" s="13" cm="1">
        <f t="array" ref="F45">_xll.BDH("PH US Equity","ST_CAPITALIZED_LEASE_LIABILITIES","FQ4 2019","FQ4 2019","Currency=USD","Period=FQ","BEST_FPERIOD_OVERRIDE=FQ","FILING_STATUS=MR","SCALING_FORMAT=MLN","Sort=A","Dates=H","DateFormat=P","Fill=—","Direction=H","UseDPDF=Y")</f>
        <v>0</v>
      </c>
      <c r="G45" s="13" cm="1">
        <f t="array" ref="G45">_xll.BDH("PH US Equity","ST_CAPITALIZED_LEASE_LIABILITIES","FQ1 2020","FQ1 2020","Currency=USD","Period=FQ","BEST_FPERIOD_OVERRIDE=FQ","FILING_STATUS=MR","SCALING_FORMAT=MLN","Sort=A","Dates=H","DateFormat=P","Fill=—","Direction=H","UseDPDF=Y")</f>
        <v>38.658000000000001</v>
      </c>
      <c r="H45" s="13" cm="1">
        <f t="array" ref="H45">_xll.BDH("PH US Equity","ST_CAPITALIZED_LEASE_LIABILITIES","FQ2 2020","FQ2 2020","Currency=USD","Period=FQ","BEST_FPERIOD_OVERRIDE=FQ","FILING_STATUS=MR","SCALING_FORMAT=MLN","Sort=A","Dates=H","DateFormat=P","Fill=—","Direction=H","UseDPDF=Y")</f>
        <v>42.661000000000001</v>
      </c>
      <c r="I45" s="13" cm="1">
        <f t="array" ref="I45">_xll.BDH("PH US Equity","ST_CAPITALIZED_LEASE_LIABILITIES","FQ3 2020","FQ3 2020","Currency=USD","Period=FQ","BEST_FPERIOD_OVERRIDE=FQ","FILING_STATUS=MR","SCALING_FORMAT=MLN","Sort=A","Dates=H","DateFormat=P","Fill=—","Direction=H","UseDPDF=Y")</f>
        <v>40.866</v>
      </c>
      <c r="J45" s="13" cm="1">
        <f t="array" ref="J45">_xll.BDH("PH US Equity","ST_CAPITALIZED_LEASE_LIABILITIES","FQ4 2020","FQ4 2020","Currency=USD","Period=FQ","BEST_FPERIOD_OVERRIDE=FQ","FILING_STATUS=MR","SCALING_FORMAT=MLN","Sort=A","Dates=H","DateFormat=P","Fill=—","Direction=H","UseDPDF=Y")</f>
        <v>43.326999999999998</v>
      </c>
      <c r="K45" s="13" t="str" cm="1">
        <f t="array" ref="K45">_xll.BDH("PH US Equity","ST_CAPITALIZED_LEASE_LIABILITIES","FQ1 2021","FQ1 2021","Currency=USD","Period=FQ","BEST_FPERIOD_OVERRIDE=FQ","FILING_STATUS=MR","SCALING_FORMAT=MLN","Sort=A","Dates=H","DateFormat=P","Fill=—","Direction=H","UseDPDF=Y")</f>
        <v>—</v>
      </c>
      <c r="L45" s="13" t="str" cm="1">
        <f t="array" ref="L45">_xll.BDH("PH US Equity","ST_CAPITALIZED_LEASE_LIABILITIES","FQ2 2021","FQ2 2021","Currency=USD","Period=FQ","BEST_FPERIOD_OVERRIDE=FQ","FILING_STATUS=MR","SCALING_FORMAT=MLN","Sort=A","Dates=H","DateFormat=P","Fill=—","Direction=H","UseDPDF=Y")</f>
        <v>—</v>
      </c>
      <c r="M45" s="13" t="str" cm="1">
        <f t="array" ref="M45">_xll.BDH("PH US Equity","ST_CAPITALIZED_LEASE_LIABILITIES","FQ3 2021","FQ3 2021","Currency=USD","Period=FQ","BEST_FPERIOD_OVERRIDE=FQ","FILING_STATUS=MR","SCALING_FORMAT=MLN","Sort=A","Dates=H","DateFormat=P","Fill=—","Direction=H","UseDPDF=Y")</f>
        <v>—</v>
      </c>
      <c r="N45" s="13" cm="1">
        <f t="array" ref="N45">_xll.BDH("PH US Equity","ST_CAPITALIZED_LEASE_LIABILITIES","FQ4 2021","FQ4 2021","Currency=USD","Period=FQ","BEST_FPERIOD_OVERRIDE=FQ","FILING_STATUS=MR","SCALING_FORMAT=MLN","Sort=A","Dates=H","DateFormat=P","Fill=—","Direction=H","UseDPDF=Y")</f>
        <v>40.192999999999998</v>
      </c>
      <c r="O45" s="13" t="str" cm="1">
        <f t="array" ref="O45">_xll.BDH("PH US Equity","ST_CAPITALIZED_LEASE_LIABILITIES","FQ1 2022","FQ1 2022","Currency=USD","Period=FQ","BEST_FPERIOD_OVERRIDE=FQ","FILING_STATUS=MR","SCALING_FORMAT=MLN","Sort=A","Dates=H","DateFormat=P","Fill=—","Direction=H","UseDPDF=Y")</f>
        <v>—</v>
      </c>
      <c r="P45" s="13" t="str" cm="1">
        <f t="array" ref="P45">_xll.BDH("PH US Equity","ST_CAPITALIZED_LEASE_LIABILITIES","FQ2 2022","FQ2 2022","Currency=USD","Period=FQ","BEST_FPERIOD_OVERRIDE=FQ","FILING_STATUS=MR","SCALING_FORMAT=MLN","Sort=A","Dates=H","DateFormat=P","Fill=—","Direction=H","UseDPDF=Y")</f>
        <v>—</v>
      </c>
      <c r="Q45" s="13" t="str" cm="1">
        <f t="array" ref="Q45">_xll.BDH("PH US Equity","ST_CAPITALIZED_LEASE_LIABILITIES","FQ3 2022","FQ3 2022","Currency=USD","Period=FQ","BEST_FPERIOD_OVERRIDE=FQ","FILING_STATUS=MR","SCALING_FORMAT=MLN","Sort=A","Dates=H","DateFormat=P","Fill=—","Direction=H","UseDPDF=Y")</f>
        <v>—</v>
      </c>
      <c r="R45" s="13" cm="1">
        <f t="array" ref="R45">_xll.BDH("PH US Equity","ST_CAPITALIZED_LEASE_LIABILITIES","FQ4 2022","FQ4 2022","Currency=USD","Period=FQ","BEST_FPERIOD_OVERRIDE=FQ","FILING_STATUS=MR","SCALING_FORMAT=MLN","Sort=A","Dates=H","DateFormat=P","Fill=—","Direction=H","UseDPDF=Y")</f>
        <v>36.023000000000003</v>
      </c>
      <c r="S45" s="13" t="str" cm="1">
        <f t="array" ref="S45">_xll.BDH("PH US Equity","ST_CAPITALIZED_LEASE_LIABILITIES","FQ1 2023","FQ1 2023","Currency=USD","Period=FQ","BEST_FPERIOD_OVERRIDE=FQ","FILING_STATUS=MR","SCALING_FORMAT=MLN","Sort=A","Dates=H","DateFormat=P","Fill=—","Direction=H","UseDPDF=Y")</f>
        <v>—</v>
      </c>
      <c r="T45" s="13" t="str" cm="1">
        <f t="array" ref="T45">_xll.BDH("PH US Equity","ST_CAPITALIZED_LEASE_LIABILITIES","FQ2 2023","FQ2 2023","Currency=USD","Period=FQ","BEST_FPERIOD_OVERRIDE=FQ","FILING_STATUS=MR","SCALING_FORMAT=MLN","Sort=A","Dates=H","DateFormat=P","Fill=—","Direction=H","UseDPDF=Y")</f>
        <v>—</v>
      </c>
      <c r="U45" s="13" t="str" cm="1">
        <f t="array" ref="U45">_xll.BDH("PH US Equity","ST_CAPITALIZED_LEASE_LIABILITIES","FQ3 2023","FQ3 2023","Currency=USD","Period=FQ","BEST_FPERIOD_OVERRIDE=FQ","FILING_STATUS=MR","SCALING_FORMAT=MLN","Sort=A","Dates=H","DateFormat=P","Fill=—","Direction=H","UseDPDF=Y")</f>
        <v>—</v>
      </c>
      <c r="V45" s="13" cm="1">
        <f t="array" ref="V45">_xll.BDH("PH US Equity","ST_CAPITALIZED_LEASE_LIABILITIES","FQ4 2023","FQ4 2023","Currency=USD","Period=FQ","BEST_FPERIOD_OVERRIDE=FQ","FILING_STATUS=MR","SCALING_FORMAT=MLN","Sort=A","Dates=H","DateFormat=P","Fill=—","Direction=H","UseDPDF=Y")</f>
        <v>54.720999999999997</v>
      </c>
      <c r="W45" s="13" t="str" cm="1">
        <f t="array" ref="W45">_xll.BDH("PH US Equity","ST_CAPITALIZED_LEASE_LIABILITIES","FQ1 2024","FQ1 2024","Currency=USD","Period=FQ","BEST_FPERIOD_OVERRIDE=FQ","FILING_STATUS=MR","SCALING_FORMAT=MLN","Sort=A","Dates=H","DateFormat=P","Fill=—","Direction=H","UseDPDF=Y")</f>
        <v>—</v>
      </c>
      <c r="X45" s="13" t="str" cm="1">
        <f t="array" ref="X45">_xll.BDH("PH US Equity","ST_CAPITALIZED_LEASE_LIABILITIES","FQ2 2024","FQ2 2024","Currency=USD","Period=FQ","BEST_FPERIOD_OVERRIDE=FQ","FILING_STATUS=MR","SCALING_FORMAT=MLN","Sort=A","Dates=H","DateFormat=P","Fill=—","Direction=H","UseDPDF=Y")</f>
        <v>—</v>
      </c>
      <c r="Y45" s="13" t="str" cm="1">
        <f t="array" ref="Y45">_xll.BDH("PH US Equity","ST_CAPITALIZED_LEASE_LIABILITIES","FQ3 2024","FQ3 2024","Currency=USD","Period=FQ","BEST_FPERIOD_OVERRIDE=FQ","FILING_STATUS=MR","SCALING_FORMAT=MLN","Sort=A","Dates=H","DateFormat=P","Fill=—","Direction=H","UseDPDF=Y")</f>
        <v>—</v>
      </c>
      <c r="Z45" s="13" cm="1">
        <f t="array" ref="Z45">_xll.BDH("PH US Equity","ST_CAPITALIZED_LEASE_LIABILITIES","FQ4 2024","FQ4 2024","Currency=USD","Period=FQ","BEST_FPERIOD_OVERRIDE=FQ","FILING_STATUS=MR","SCALING_FORMAT=MLN","Sort=A","Dates=H","DateFormat=P","Fill=—","Direction=H","UseDPDF=Y")</f>
        <v>59.2</v>
      </c>
      <c r="AA45" s="13" t="str" cm="1">
        <f t="array" ref="AA45">_xll.BDH("PH US Equity","ST_CAPITALIZED_LEASE_LIABILITIES","FQ1 2025","FQ1 2025","Currency=USD","Period=FQ","BEST_FPERIOD_OVERRIDE=FQ","FILING_STATUS=MR","SCALING_FORMAT=MLN","Sort=A","Dates=H","DateFormat=P","Fill=—","Direction=H","UseDPDF=Y")</f>
        <v>—</v>
      </c>
      <c r="AB45" s="13" t="str" cm="1">
        <f t="array" ref="AB45">_xll.BDH("PH US Equity","ST_CAPITALIZED_LEASE_LIABILITIES","FQ2 2025","FQ2 2025","Currency=USD","Period=FQ","BEST_FPERIOD_OVERRIDE=FQ","FILING_STATUS=MR","SCALING_FORMAT=MLN","Sort=A","Dates=H","DateFormat=P","Fill=—","Direction=H","UseDPDF=Y")</f>
        <v>—</v>
      </c>
      <c r="AC45" s="13" t="str" cm="1">
        <f t="array" ref="AC45">_xll.BDH("PH US Equity","ST_CAPITALIZED_LEASE_LIABILITIES","FQ3 2025","FQ3 2025","Currency=USD","Period=FQ","BEST_FPERIOD_OVERRIDE=FQ","FILING_STATUS=MR","SCALING_FORMAT=MLN","Sort=A","Dates=H","DateFormat=P","Fill=—","Direction=H","UseDPDF=Y")</f>
        <v>—</v>
      </c>
      <c r="AD45" s="13" cm="1">
        <f t="array" ref="AD45">_xll.BDH("PH US Equity","ST_CAPITALIZED_LEASE_LIABILITIES","FQ4 2025","FQ4 2025","Currency=USD","Period=FQ","BEST_FPERIOD_OVERRIDE=FQ","FILING_STATUS=MR","SCALING_FORMAT=MLN","Sort=A","Dates=H","DateFormat=P","Fill=—","Direction=H","UseDPDF=Y")</f>
        <v>53</v>
      </c>
      <c r="AE45" s="13" t="str" cm="1">
        <f t="array" ref="AE45">_xll.BDH("PH US Equity","ST_CAPITALIZED_LEASE_LIABILITIES","FQ1 2026","FQ1 2026","Currency=USD","Period=FQ","BEST_FPERIOD_OVERRIDE=FQ","FILING_STATUS=MR","SCALING_FORMAT=MLN","Sort=A","Dates=H","DateFormat=P","Fill=—","Direction=H","UseDPDF=Y")</f>
        <v>—</v>
      </c>
      <c r="AF45" s="13" t="str" cm="1">
        <f t="array" ref="AF45">_xll.BDH("PH US Equity","ST_CAPITALIZED_LEASE_LIABILITIES","FQ2 2026","FQ2 2026","Currency=USD","Period=FQ","BEST_FPERIOD_OVERRIDE=FQ","FILING_STATUS=MR","SCALING_FORMAT=MLN","Sort=A","Dates=H","DateFormat=P","Fill=—","Direction=H","UseDPDF=Y")</f>
        <v>—</v>
      </c>
    </row>
    <row r="46" spans="1:32" x14ac:dyDescent="0.25">
      <c r="A46" s="11" t="s">
        <v>139</v>
      </c>
      <c r="B46" s="11" t="s">
        <v>140</v>
      </c>
      <c r="C46" s="17" t="str" cm="1">
        <f t="array" ref="C46">_xll.BDH("PH US Equity","ST_CAPITAL_LEASE_OBLIGATIONS","FQ1 2019","FQ1 2019","Currency=USD","Period=FQ","BEST_FPERIOD_OVERRIDE=FQ","FILING_STATUS=MR","SCALING_FORMAT=MLN","Sort=A","Dates=H","DateFormat=P","Fill=—","Direction=H","UseDPDF=Y")</f>
        <v>—</v>
      </c>
      <c r="D46" s="17" t="str" cm="1">
        <f t="array" ref="D46">_xll.BDH("PH US Equity","ST_CAPITAL_LEASE_OBLIGATIONS","FQ2 2019","FQ2 2019","Currency=USD","Period=FQ","BEST_FPERIOD_OVERRIDE=FQ","FILING_STATUS=MR","SCALING_FORMAT=MLN","Sort=A","Dates=H","DateFormat=P","Fill=—","Direction=H","UseDPDF=Y")</f>
        <v>—</v>
      </c>
      <c r="E46" s="17" t="str" cm="1">
        <f t="array" ref="E46">_xll.BDH("PH US Equity","ST_CAPITAL_LEASE_OBLIGATIONS","FQ3 2019","FQ3 2019","Currency=USD","Period=FQ","BEST_FPERIOD_OVERRIDE=FQ","FILING_STATUS=MR","SCALING_FORMAT=MLN","Sort=A","Dates=H","DateFormat=P","Fill=—","Direction=H","UseDPDF=Y")</f>
        <v>—</v>
      </c>
      <c r="F46" s="17" cm="1">
        <f t="array" ref="F46">_xll.BDH("PH US Equity","ST_CAPITAL_LEASE_OBLIGATIONS","FQ4 2019","FQ4 2019","Currency=USD","Period=FQ","BEST_FPERIOD_OVERRIDE=FQ","FILING_STATUS=MR","SCALING_FORMAT=MLN","Sort=A","Dates=H","DateFormat=P","Fill=—","Direction=H","UseDPDF=Y")</f>
        <v>0</v>
      </c>
      <c r="G46" s="17" t="str" cm="1">
        <f t="array" ref="G46">_xll.BDH("PH US Equity","ST_CAPITAL_LEASE_OBLIGATIONS","FQ1 2020","FQ1 2020","Currency=USD","Period=FQ","BEST_FPERIOD_OVERRIDE=FQ","FILING_STATUS=MR","SCALING_FORMAT=MLN","Sort=A","Dates=H","DateFormat=P","Fill=—","Direction=H","UseDPDF=Y")</f>
        <v>—</v>
      </c>
      <c r="H46" s="17" t="str" cm="1">
        <f t="array" ref="H46">_xll.BDH("PH US Equity","ST_CAPITAL_LEASE_OBLIGATIONS","FQ2 2020","FQ2 2020","Currency=USD","Period=FQ","BEST_FPERIOD_OVERRIDE=FQ","FILING_STATUS=MR","SCALING_FORMAT=MLN","Sort=A","Dates=H","DateFormat=P","Fill=—","Direction=H","UseDPDF=Y")</f>
        <v>—</v>
      </c>
      <c r="I46" s="17" t="str" cm="1">
        <f t="array" ref="I46">_xll.BDH("PH US Equity","ST_CAPITAL_LEASE_OBLIGATIONS","FQ3 2020","FQ3 2020","Currency=USD","Period=FQ","BEST_FPERIOD_OVERRIDE=FQ","FILING_STATUS=MR","SCALING_FORMAT=MLN","Sort=A","Dates=H","DateFormat=P","Fill=—","Direction=H","UseDPDF=Y")</f>
        <v>—</v>
      </c>
      <c r="J46" s="17" cm="1">
        <f t="array" ref="J46">_xll.BDH("PH US Equity","ST_CAPITAL_LEASE_OBLIGATIONS","FQ4 2020","FQ4 2020","Currency=USD","Period=FQ","BEST_FPERIOD_OVERRIDE=FQ","FILING_STATUS=MR","SCALING_FORMAT=MLN","Sort=A","Dates=H","DateFormat=P","Fill=—","Direction=H","UseDPDF=Y")</f>
        <v>0</v>
      </c>
      <c r="K46" s="17" t="str" cm="1">
        <f t="array" ref="K46">_xll.BDH("PH US Equity","ST_CAPITAL_LEASE_OBLIGATIONS","FQ1 2021","FQ1 2021","Currency=USD","Period=FQ","BEST_FPERIOD_OVERRIDE=FQ","FILING_STATUS=MR","SCALING_FORMAT=MLN","Sort=A","Dates=H","DateFormat=P","Fill=—","Direction=H","UseDPDF=Y")</f>
        <v>—</v>
      </c>
      <c r="L46" s="17" t="str" cm="1">
        <f t="array" ref="L46">_xll.BDH("PH US Equity","ST_CAPITAL_LEASE_OBLIGATIONS","FQ2 2021","FQ2 2021","Currency=USD","Period=FQ","BEST_FPERIOD_OVERRIDE=FQ","FILING_STATUS=MR","SCALING_FORMAT=MLN","Sort=A","Dates=H","DateFormat=P","Fill=—","Direction=H","UseDPDF=Y")</f>
        <v>—</v>
      </c>
      <c r="M46" s="17" t="str" cm="1">
        <f t="array" ref="M46">_xll.BDH("PH US Equity","ST_CAPITAL_LEASE_OBLIGATIONS","FQ3 2021","FQ3 2021","Currency=USD","Period=FQ","BEST_FPERIOD_OVERRIDE=FQ","FILING_STATUS=MR","SCALING_FORMAT=MLN","Sort=A","Dates=H","DateFormat=P","Fill=—","Direction=H","UseDPDF=Y")</f>
        <v>—</v>
      </c>
      <c r="N46" s="17" cm="1">
        <f t="array" ref="N46">_xll.BDH("PH US Equity","ST_CAPITAL_LEASE_OBLIGATIONS","FQ4 2021","FQ4 2021","Currency=USD","Period=FQ","BEST_FPERIOD_OVERRIDE=FQ","FILING_STATUS=MR","SCALING_FORMAT=MLN","Sort=A","Dates=H","DateFormat=P","Fill=—","Direction=H","UseDPDF=Y")</f>
        <v>0</v>
      </c>
      <c r="O46" s="17" t="str" cm="1">
        <f t="array" ref="O46">_xll.BDH("PH US Equity","ST_CAPITAL_LEASE_OBLIGATIONS","FQ1 2022","FQ1 2022","Currency=USD","Period=FQ","BEST_FPERIOD_OVERRIDE=FQ","FILING_STATUS=MR","SCALING_FORMAT=MLN","Sort=A","Dates=H","DateFormat=P","Fill=—","Direction=H","UseDPDF=Y")</f>
        <v>—</v>
      </c>
      <c r="P46" s="17" t="str" cm="1">
        <f t="array" ref="P46">_xll.BDH("PH US Equity","ST_CAPITAL_LEASE_OBLIGATIONS","FQ2 2022","FQ2 2022","Currency=USD","Period=FQ","BEST_FPERIOD_OVERRIDE=FQ","FILING_STATUS=MR","SCALING_FORMAT=MLN","Sort=A","Dates=H","DateFormat=P","Fill=—","Direction=H","UseDPDF=Y")</f>
        <v>—</v>
      </c>
      <c r="Q46" s="17" t="str" cm="1">
        <f t="array" ref="Q46">_xll.BDH("PH US Equity","ST_CAPITAL_LEASE_OBLIGATIONS","FQ3 2022","FQ3 2022","Currency=USD","Period=FQ","BEST_FPERIOD_OVERRIDE=FQ","FILING_STATUS=MR","SCALING_FORMAT=MLN","Sort=A","Dates=H","DateFormat=P","Fill=—","Direction=H","UseDPDF=Y")</f>
        <v>—</v>
      </c>
      <c r="R46" s="17" cm="1">
        <f t="array" ref="R46">_xll.BDH("PH US Equity","ST_CAPITAL_LEASE_OBLIGATIONS","FQ4 2022","FQ4 2022","Currency=USD","Period=FQ","BEST_FPERIOD_OVERRIDE=FQ","FILING_STATUS=MR","SCALING_FORMAT=MLN","Sort=A","Dates=H","DateFormat=P","Fill=—","Direction=H","UseDPDF=Y")</f>
        <v>0</v>
      </c>
      <c r="S46" s="17" t="str" cm="1">
        <f t="array" ref="S46">_xll.BDH("PH US Equity","ST_CAPITAL_LEASE_OBLIGATIONS","FQ1 2023","FQ1 2023","Currency=USD","Period=FQ","BEST_FPERIOD_OVERRIDE=FQ","FILING_STATUS=MR","SCALING_FORMAT=MLN","Sort=A","Dates=H","DateFormat=P","Fill=—","Direction=H","UseDPDF=Y")</f>
        <v>—</v>
      </c>
      <c r="T46" s="17" t="str" cm="1">
        <f t="array" ref="T46">_xll.BDH("PH US Equity","ST_CAPITAL_LEASE_OBLIGATIONS","FQ2 2023","FQ2 2023","Currency=USD","Period=FQ","BEST_FPERIOD_OVERRIDE=FQ","FILING_STATUS=MR","SCALING_FORMAT=MLN","Sort=A","Dates=H","DateFormat=P","Fill=—","Direction=H","UseDPDF=Y")</f>
        <v>—</v>
      </c>
      <c r="U46" s="17" t="str" cm="1">
        <f t="array" ref="U46">_xll.BDH("PH US Equity","ST_CAPITAL_LEASE_OBLIGATIONS","FQ3 2023","FQ3 2023","Currency=USD","Period=FQ","BEST_FPERIOD_OVERRIDE=FQ","FILING_STATUS=MR","SCALING_FORMAT=MLN","Sort=A","Dates=H","DateFormat=P","Fill=—","Direction=H","UseDPDF=Y")</f>
        <v>—</v>
      </c>
      <c r="V46" s="17" cm="1">
        <f t="array" ref="V46">_xll.BDH("PH US Equity","ST_CAPITAL_LEASE_OBLIGATIONS","FQ4 2023","FQ4 2023","Currency=USD","Period=FQ","BEST_FPERIOD_OVERRIDE=FQ","FILING_STATUS=MR","SCALING_FORMAT=MLN","Sort=A","Dates=H","DateFormat=P","Fill=—","Direction=H","UseDPDF=Y")</f>
        <v>4.1980000000000004</v>
      </c>
      <c r="W46" s="17" t="str" cm="1">
        <f t="array" ref="W46">_xll.BDH("PH US Equity","ST_CAPITAL_LEASE_OBLIGATIONS","FQ1 2024","FQ1 2024","Currency=USD","Period=FQ","BEST_FPERIOD_OVERRIDE=FQ","FILING_STATUS=MR","SCALING_FORMAT=MLN","Sort=A","Dates=H","DateFormat=P","Fill=—","Direction=H","UseDPDF=Y")</f>
        <v>—</v>
      </c>
      <c r="X46" s="17" t="str" cm="1">
        <f t="array" ref="X46">_xll.BDH("PH US Equity","ST_CAPITAL_LEASE_OBLIGATIONS","FQ2 2024","FQ2 2024","Currency=USD","Period=FQ","BEST_FPERIOD_OVERRIDE=FQ","FILING_STATUS=MR","SCALING_FORMAT=MLN","Sort=A","Dates=H","DateFormat=P","Fill=—","Direction=H","UseDPDF=Y")</f>
        <v>—</v>
      </c>
      <c r="Y46" s="17" t="str" cm="1">
        <f t="array" ref="Y46">_xll.BDH("PH US Equity","ST_CAPITAL_LEASE_OBLIGATIONS","FQ3 2024","FQ3 2024","Currency=USD","Period=FQ","BEST_FPERIOD_OVERRIDE=FQ","FILING_STATUS=MR","SCALING_FORMAT=MLN","Sort=A","Dates=H","DateFormat=P","Fill=—","Direction=H","UseDPDF=Y")</f>
        <v>—</v>
      </c>
      <c r="Z46" s="17" cm="1">
        <f t="array" ref="Z46">_xll.BDH("PH US Equity","ST_CAPITAL_LEASE_OBLIGATIONS","FQ4 2024","FQ4 2024","Currency=USD","Period=FQ","BEST_FPERIOD_OVERRIDE=FQ","FILING_STATUS=MR","SCALING_FORMAT=MLN","Sort=A","Dates=H","DateFormat=P","Fill=—","Direction=H","UseDPDF=Y")</f>
        <v>5.0419999999999998</v>
      </c>
      <c r="AA46" s="17" t="str" cm="1">
        <f t="array" ref="AA46">_xll.BDH("PH US Equity","ST_CAPITAL_LEASE_OBLIGATIONS","FQ1 2025","FQ1 2025","Currency=USD","Period=FQ","BEST_FPERIOD_OVERRIDE=FQ","FILING_STATUS=MR","SCALING_FORMAT=MLN","Sort=A","Dates=H","DateFormat=P","Fill=—","Direction=H","UseDPDF=Y")</f>
        <v>—</v>
      </c>
      <c r="AB46" s="17" t="str" cm="1">
        <f t="array" ref="AB46">_xll.BDH("PH US Equity","ST_CAPITAL_LEASE_OBLIGATIONS","FQ2 2025","FQ2 2025","Currency=USD","Period=FQ","BEST_FPERIOD_OVERRIDE=FQ","FILING_STATUS=MR","SCALING_FORMAT=MLN","Sort=A","Dates=H","DateFormat=P","Fill=—","Direction=H","UseDPDF=Y")</f>
        <v>—</v>
      </c>
      <c r="AC46" s="17" t="str" cm="1">
        <f t="array" ref="AC46">_xll.BDH("PH US Equity","ST_CAPITAL_LEASE_OBLIGATIONS","FQ3 2025","FQ3 2025","Currency=USD","Period=FQ","BEST_FPERIOD_OVERRIDE=FQ","FILING_STATUS=MR","SCALING_FORMAT=MLN","Sort=A","Dates=H","DateFormat=P","Fill=—","Direction=H","UseDPDF=Y")</f>
        <v>—</v>
      </c>
      <c r="AD46" s="17" cm="1">
        <f t="array" ref="AD46">_xll.BDH("PH US Equity","ST_CAPITAL_LEASE_OBLIGATIONS","FQ4 2025","FQ4 2025","Currency=USD","Period=FQ","BEST_FPERIOD_OVERRIDE=FQ","FILING_STATUS=MR","SCALING_FORMAT=MLN","Sort=A","Dates=H","DateFormat=P","Fill=—","Direction=H","UseDPDF=Y")</f>
        <v>6</v>
      </c>
      <c r="AE46" s="17" t="str" cm="1">
        <f t="array" ref="AE46">_xll.BDH("PH US Equity","ST_CAPITAL_LEASE_OBLIGATIONS","FQ1 2026","FQ1 2026","Currency=USD","Period=FQ","BEST_FPERIOD_OVERRIDE=FQ","FILING_STATUS=MR","SCALING_FORMAT=MLN","Sort=A","Dates=H","DateFormat=P","Fill=—","Direction=H","UseDPDF=Y")</f>
        <v>—</v>
      </c>
      <c r="AF46" s="17" t="str" cm="1">
        <f t="array" ref="AF46">_xll.BDH("PH US Equity","ST_CAPITAL_LEASE_OBLIGATIONS","FQ2 2026","FQ2 2026","Currency=USD","Period=FQ","BEST_FPERIOD_OVERRIDE=FQ","FILING_STATUS=MR","SCALING_FORMAT=MLN","Sort=A","Dates=H","DateFormat=P","Fill=—","Direction=H","UseDPDF=Y")</f>
        <v>—</v>
      </c>
    </row>
    <row r="47" spans="1:32" x14ac:dyDescent="0.25">
      <c r="A47" s="11" t="s">
        <v>141</v>
      </c>
      <c r="B47" s="11" t="s">
        <v>142</v>
      </c>
      <c r="C47" s="17" t="str" cm="1">
        <f t="array" ref="C47">_xll.BDH("PH US Equity","BS_ST_OPERATING_LEASE_LIABS","FQ1 2019","FQ1 2019","Currency=USD","Period=FQ","BEST_FPERIOD_OVERRIDE=FQ","FILING_STATUS=MR","SCALING_FORMAT=MLN","Sort=A","Dates=H","DateFormat=P","Fill=—","Direction=H","UseDPDF=Y")</f>
        <v>—</v>
      </c>
      <c r="D47" s="17" t="str" cm="1">
        <f t="array" ref="D47">_xll.BDH("PH US Equity","BS_ST_OPERATING_LEASE_LIABS","FQ2 2019","FQ2 2019","Currency=USD","Period=FQ","BEST_FPERIOD_OVERRIDE=FQ","FILING_STATUS=MR","SCALING_FORMAT=MLN","Sort=A","Dates=H","DateFormat=P","Fill=—","Direction=H","UseDPDF=Y")</f>
        <v>—</v>
      </c>
      <c r="E47" s="17" t="str" cm="1">
        <f t="array" ref="E47">_xll.BDH("PH US Equity","BS_ST_OPERATING_LEASE_LIABS","FQ3 2019","FQ3 2019","Currency=USD","Period=FQ","BEST_FPERIOD_OVERRIDE=FQ","FILING_STATUS=MR","SCALING_FORMAT=MLN","Sort=A","Dates=H","DateFormat=P","Fill=—","Direction=H","UseDPDF=Y")</f>
        <v>—</v>
      </c>
      <c r="F47" s="17" t="str" cm="1">
        <f t="array" ref="F47">_xll.BDH("PH US Equity","BS_ST_OPERATING_LEASE_LIABS","FQ4 2019","FQ4 2019","Currency=USD","Period=FQ","BEST_FPERIOD_OVERRIDE=FQ","FILING_STATUS=MR","SCALING_FORMAT=MLN","Sort=A","Dates=H","DateFormat=P","Fill=—","Direction=H","UseDPDF=Y")</f>
        <v>—</v>
      </c>
      <c r="G47" s="17" cm="1">
        <f t="array" ref="G47">_xll.BDH("PH US Equity","BS_ST_OPERATING_LEASE_LIABS","FQ1 2020","FQ1 2020","Currency=USD","Period=FQ","BEST_FPERIOD_OVERRIDE=FQ","FILING_STATUS=MR","SCALING_FORMAT=MLN","Sort=A","Dates=H","DateFormat=P","Fill=—","Direction=H","UseDPDF=Y")</f>
        <v>38.658000000000001</v>
      </c>
      <c r="H47" s="17" cm="1">
        <f t="array" ref="H47">_xll.BDH("PH US Equity","BS_ST_OPERATING_LEASE_LIABS","FQ2 2020","FQ2 2020","Currency=USD","Period=FQ","BEST_FPERIOD_OVERRIDE=FQ","FILING_STATUS=MR","SCALING_FORMAT=MLN","Sort=A","Dates=H","DateFormat=P","Fill=—","Direction=H","UseDPDF=Y")</f>
        <v>42.661000000000001</v>
      </c>
      <c r="I47" s="17" cm="1">
        <f t="array" ref="I47">_xll.BDH("PH US Equity","BS_ST_OPERATING_LEASE_LIABS","FQ3 2020","FQ3 2020","Currency=USD","Period=FQ","BEST_FPERIOD_OVERRIDE=FQ","FILING_STATUS=MR","SCALING_FORMAT=MLN","Sort=A","Dates=H","DateFormat=P","Fill=—","Direction=H","UseDPDF=Y")</f>
        <v>40.866</v>
      </c>
      <c r="J47" s="17" cm="1">
        <f t="array" ref="J47">_xll.BDH("PH US Equity","BS_ST_OPERATING_LEASE_LIABS","FQ4 2020","FQ4 2020","Currency=USD","Period=FQ","BEST_FPERIOD_OVERRIDE=FQ","FILING_STATUS=MR","SCALING_FORMAT=MLN","Sort=A","Dates=H","DateFormat=P","Fill=—","Direction=H","UseDPDF=Y")</f>
        <v>43.326999999999998</v>
      </c>
      <c r="K47" s="17" t="str" cm="1">
        <f t="array" ref="K47">_xll.BDH("PH US Equity","BS_ST_OPERATING_LEASE_LIABS","FQ1 2021","FQ1 2021","Currency=USD","Period=FQ","BEST_FPERIOD_OVERRIDE=FQ","FILING_STATUS=MR","SCALING_FORMAT=MLN","Sort=A","Dates=H","DateFormat=P","Fill=—","Direction=H","UseDPDF=Y")</f>
        <v>—</v>
      </c>
      <c r="L47" s="17" t="str" cm="1">
        <f t="array" ref="L47">_xll.BDH("PH US Equity","BS_ST_OPERATING_LEASE_LIABS","FQ2 2021","FQ2 2021","Currency=USD","Period=FQ","BEST_FPERIOD_OVERRIDE=FQ","FILING_STATUS=MR","SCALING_FORMAT=MLN","Sort=A","Dates=H","DateFormat=P","Fill=—","Direction=H","UseDPDF=Y")</f>
        <v>—</v>
      </c>
      <c r="M47" s="17" t="str" cm="1">
        <f t="array" ref="M47">_xll.BDH("PH US Equity","BS_ST_OPERATING_LEASE_LIABS","FQ3 2021","FQ3 2021","Currency=USD","Period=FQ","BEST_FPERIOD_OVERRIDE=FQ","FILING_STATUS=MR","SCALING_FORMAT=MLN","Sort=A","Dates=H","DateFormat=P","Fill=—","Direction=H","UseDPDF=Y")</f>
        <v>—</v>
      </c>
      <c r="N47" s="17" cm="1">
        <f t="array" ref="N47">_xll.BDH("PH US Equity","BS_ST_OPERATING_LEASE_LIABS","FQ4 2021","FQ4 2021","Currency=USD","Period=FQ","BEST_FPERIOD_OVERRIDE=FQ","FILING_STATUS=MR","SCALING_FORMAT=MLN","Sort=A","Dates=H","DateFormat=P","Fill=—","Direction=H","UseDPDF=Y")</f>
        <v>40.192999999999998</v>
      </c>
      <c r="O47" s="17" t="str" cm="1">
        <f t="array" ref="O47">_xll.BDH("PH US Equity","BS_ST_OPERATING_LEASE_LIABS","FQ1 2022","FQ1 2022","Currency=USD","Period=FQ","BEST_FPERIOD_OVERRIDE=FQ","FILING_STATUS=MR","SCALING_FORMAT=MLN","Sort=A","Dates=H","DateFormat=P","Fill=—","Direction=H","UseDPDF=Y")</f>
        <v>—</v>
      </c>
      <c r="P47" s="17" t="str" cm="1">
        <f t="array" ref="P47">_xll.BDH("PH US Equity","BS_ST_OPERATING_LEASE_LIABS","FQ2 2022","FQ2 2022","Currency=USD","Period=FQ","BEST_FPERIOD_OVERRIDE=FQ","FILING_STATUS=MR","SCALING_FORMAT=MLN","Sort=A","Dates=H","DateFormat=P","Fill=—","Direction=H","UseDPDF=Y")</f>
        <v>—</v>
      </c>
      <c r="Q47" s="17" t="str" cm="1">
        <f t="array" ref="Q47">_xll.BDH("PH US Equity","BS_ST_OPERATING_LEASE_LIABS","FQ3 2022","FQ3 2022","Currency=USD","Period=FQ","BEST_FPERIOD_OVERRIDE=FQ","FILING_STATUS=MR","SCALING_FORMAT=MLN","Sort=A","Dates=H","DateFormat=P","Fill=—","Direction=H","UseDPDF=Y")</f>
        <v>—</v>
      </c>
      <c r="R47" s="17" cm="1">
        <f t="array" ref="R47">_xll.BDH("PH US Equity","BS_ST_OPERATING_LEASE_LIABS","FQ4 2022","FQ4 2022","Currency=USD","Period=FQ","BEST_FPERIOD_OVERRIDE=FQ","FILING_STATUS=MR","SCALING_FORMAT=MLN","Sort=A","Dates=H","DateFormat=P","Fill=—","Direction=H","UseDPDF=Y")</f>
        <v>36.023000000000003</v>
      </c>
      <c r="S47" s="17" t="str" cm="1">
        <f t="array" ref="S47">_xll.BDH("PH US Equity","BS_ST_OPERATING_LEASE_LIABS","FQ1 2023","FQ1 2023","Currency=USD","Period=FQ","BEST_FPERIOD_OVERRIDE=FQ","FILING_STATUS=MR","SCALING_FORMAT=MLN","Sort=A","Dates=H","DateFormat=P","Fill=—","Direction=H","UseDPDF=Y")</f>
        <v>—</v>
      </c>
      <c r="T47" s="17" t="str" cm="1">
        <f t="array" ref="T47">_xll.BDH("PH US Equity","BS_ST_OPERATING_LEASE_LIABS","FQ2 2023","FQ2 2023","Currency=USD","Period=FQ","BEST_FPERIOD_OVERRIDE=FQ","FILING_STATUS=MR","SCALING_FORMAT=MLN","Sort=A","Dates=H","DateFormat=P","Fill=—","Direction=H","UseDPDF=Y")</f>
        <v>—</v>
      </c>
      <c r="U47" s="17" t="str" cm="1">
        <f t="array" ref="U47">_xll.BDH("PH US Equity","BS_ST_OPERATING_LEASE_LIABS","FQ3 2023","FQ3 2023","Currency=USD","Period=FQ","BEST_FPERIOD_OVERRIDE=FQ","FILING_STATUS=MR","SCALING_FORMAT=MLN","Sort=A","Dates=H","DateFormat=P","Fill=—","Direction=H","UseDPDF=Y")</f>
        <v>—</v>
      </c>
      <c r="V47" s="17" cm="1">
        <f t="array" ref="V47">_xll.BDH("PH US Equity","BS_ST_OPERATING_LEASE_LIABS","FQ4 2023","FQ4 2023","Currency=USD","Period=FQ","BEST_FPERIOD_OVERRIDE=FQ","FILING_STATUS=MR","SCALING_FORMAT=MLN","Sort=A","Dates=H","DateFormat=P","Fill=—","Direction=H","UseDPDF=Y")</f>
        <v>50.523000000000003</v>
      </c>
      <c r="W47" s="17" t="str" cm="1">
        <f t="array" ref="W47">_xll.BDH("PH US Equity","BS_ST_OPERATING_LEASE_LIABS","FQ1 2024","FQ1 2024","Currency=USD","Period=FQ","BEST_FPERIOD_OVERRIDE=FQ","FILING_STATUS=MR","SCALING_FORMAT=MLN","Sort=A","Dates=H","DateFormat=P","Fill=—","Direction=H","UseDPDF=Y")</f>
        <v>—</v>
      </c>
      <c r="X47" s="17" t="str" cm="1">
        <f t="array" ref="X47">_xll.BDH("PH US Equity","BS_ST_OPERATING_LEASE_LIABS","FQ2 2024","FQ2 2024","Currency=USD","Period=FQ","BEST_FPERIOD_OVERRIDE=FQ","FILING_STATUS=MR","SCALING_FORMAT=MLN","Sort=A","Dates=H","DateFormat=P","Fill=—","Direction=H","UseDPDF=Y")</f>
        <v>—</v>
      </c>
      <c r="Y47" s="17" t="str" cm="1">
        <f t="array" ref="Y47">_xll.BDH("PH US Equity","BS_ST_OPERATING_LEASE_LIABS","FQ3 2024","FQ3 2024","Currency=USD","Period=FQ","BEST_FPERIOD_OVERRIDE=FQ","FILING_STATUS=MR","SCALING_FORMAT=MLN","Sort=A","Dates=H","DateFormat=P","Fill=—","Direction=H","UseDPDF=Y")</f>
        <v>—</v>
      </c>
      <c r="Z47" s="17" cm="1">
        <f t="array" ref="Z47">_xll.BDH("PH US Equity","BS_ST_OPERATING_LEASE_LIABS","FQ4 2024","FQ4 2024","Currency=USD","Period=FQ","BEST_FPERIOD_OVERRIDE=FQ","FILING_STATUS=MR","SCALING_FORMAT=MLN","Sort=A","Dates=H","DateFormat=P","Fill=—","Direction=H","UseDPDF=Y")</f>
        <v>54.158000000000001</v>
      </c>
      <c r="AA47" s="17" t="str" cm="1">
        <f t="array" ref="AA47">_xll.BDH("PH US Equity","BS_ST_OPERATING_LEASE_LIABS","FQ1 2025","FQ1 2025","Currency=USD","Period=FQ","BEST_FPERIOD_OVERRIDE=FQ","FILING_STATUS=MR","SCALING_FORMAT=MLN","Sort=A","Dates=H","DateFormat=P","Fill=—","Direction=H","UseDPDF=Y")</f>
        <v>—</v>
      </c>
      <c r="AB47" s="17" t="str" cm="1">
        <f t="array" ref="AB47">_xll.BDH("PH US Equity","BS_ST_OPERATING_LEASE_LIABS","FQ2 2025","FQ2 2025","Currency=USD","Period=FQ","BEST_FPERIOD_OVERRIDE=FQ","FILING_STATUS=MR","SCALING_FORMAT=MLN","Sort=A","Dates=H","DateFormat=P","Fill=—","Direction=H","UseDPDF=Y")</f>
        <v>—</v>
      </c>
      <c r="AC47" s="17" t="str" cm="1">
        <f t="array" ref="AC47">_xll.BDH("PH US Equity","BS_ST_OPERATING_LEASE_LIABS","FQ3 2025","FQ3 2025","Currency=USD","Period=FQ","BEST_FPERIOD_OVERRIDE=FQ","FILING_STATUS=MR","SCALING_FORMAT=MLN","Sort=A","Dates=H","DateFormat=P","Fill=—","Direction=H","UseDPDF=Y")</f>
        <v>—</v>
      </c>
      <c r="AD47" s="17" cm="1">
        <f t="array" ref="AD47">_xll.BDH("PH US Equity","BS_ST_OPERATING_LEASE_LIABS","FQ4 2025","FQ4 2025","Currency=USD","Period=FQ","BEST_FPERIOD_OVERRIDE=FQ","FILING_STATUS=MR","SCALING_FORMAT=MLN","Sort=A","Dates=H","DateFormat=P","Fill=—","Direction=H","UseDPDF=Y")</f>
        <v>47</v>
      </c>
      <c r="AE47" s="17" t="str" cm="1">
        <f t="array" ref="AE47">_xll.BDH("PH US Equity","BS_ST_OPERATING_LEASE_LIABS","FQ1 2026","FQ1 2026","Currency=USD","Period=FQ","BEST_FPERIOD_OVERRIDE=FQ","FILING_STATUS=MR","SCALING_FORMAT=MLN","Sort=A","Dates=H","DateFormat=P","Fill=—","Direction=H","UseDPDF=Y")</f>
        <v>—</v>
      </c>
      <c r="AF47" s="17" t="str" cm="1">
        <f t="array" ref="AF47">_xll.BDH("PH US Equity","BS_ST_OPERATING_LEASE_LIABS","FQ2 2026","FQ2 2026","Currency=USD","Period=FQ","BEST_FPERIOD_OVERRIDE=FQ","FILING_STATUS=MR","SCALING_FORMAT=MLN","Sort=A","Dates=H","DateFormat=P","Fill=—","Direction=H","UseDPDF=Y")</f>
        <v>—</v>
      </c>
    </row>
    <row r="48" spans="1:32" x14ac:dyDescent="0.25">
      <c r="A48" s="10" t="s">
        <v>143</v>
      </c>
      <c r="B48" s="10" t="s">
        <v>144</v>
      </c>
      <c r="C48" s="13" t="str" cm="1">
        <f t="array" ref="C48">_xll.BDH("PH US Equity","BS_CURR_PORTION_LT_DEBT","FQ1 2019","FQ1 2019","Currency=USD","Period=FQ","BEST_FPERIOD_OVERRIDE=FQ","FILING_STATUS=MR","SCALING_FORMAT=MLN","Sort=A","Dates=H","DateFormat=P","Fill=—","Direction=H","UseDPDF=Y")</f>
        <v>—</v>
      </c>
      <c r="D48" s="13" t="str" cm="1">
        <f t="array" ref="D48">_xll.BDH("PH US Equity","BS_CURR_PORTION_LT_DEBT","FQ2 2019","FQ2 2019","Currency=USD","Period=FQ","BEST_FPERIOD_OVERRIDE=FQ","FILING_STATUS=MR","SCALING_FORMAT=MLN","Sort=A","Dates=H","DateFormat=P","Fill=—","Direction=H","UseDPDF=Y")</f>
        <v>—</v>
      </c>
      <c r="E48" s="13" t="str" cm="1">
        <f t="array" ref="E48">_xll.BDH("PH US Equity","BS_CURR_PORTION_LT_DEBT","FQ3 2019","FQ3 2019","Currency=USD","Period=FQ","BEST_FPERIOD_OVERRIDE=FQ","FILING_STATUS=MR","SCALING_FORMAT=MLN","Sort=A","Dates=H","DateFormat=P","Fill=—","Direction=H","UseDPDF=Y")</f>
        <v>—</v>
      </c>
      <c r="F48" s="13" cm="1">
        <f t="array" ref="F48">_xll.BDH("PH US Equity","BS_CURR_PORTION_LT_DEBT","FQ4 2019","FQ4 2019","Currency=USD","Period=FQ","BEST_FPERIOD_OVERRIDE=FQ","FILING_STATUS=MR","SCALING_FORMAT=MLN","Sort=A","Dates=H","DateFormat=P","Fill=—","Direction=H","UseDPDF=Y")</f>
        <v>0.22800000000000001</v>
      </c>
      <c r="G48" s="13" t="str" cm="1">
        <f t="array" ref="G48">_xll.BDH("PH US Equity","BS_CURR_PORTION_LT_DEBT","FQ1 2020","FQ1 2020","Currency=USD","Period=FQ","BEST_FPERIOD_OVERRIDE=FQ","FILING_STATUS=MR","SCALING_FORMAT=MLN","Sort=A","Dates=H","DateFormat=P","Fill=—","Direction=H","UseDPDF=Y")</f>
        <v>—</v>
      </c>
      <c r="H48" s="13" t="str" cm="1">
        <f t="array" ref="H48">_xll.BDH("PH US Equity","BS_CURR_PORTION_LT_DEBT","FQ2 2020","FQ2 2020","Currency=USD","Period=FQ","BEST_FPERIOD_OVERRIDE=FQ","FILING_STATUS=MR","SCALING_FORMAT=MLN","Sort=A","Dates=H","DateFormat=P","Fill=—","Direction=H","UseDPDF=Y")</f>
        <v>—</v>
      </c>
      <c r="I48" s="13" t="str" cm="1">
        <f t="array" ref="I48">_xll.BDH("PH US Equity","BS_CURR_PORTION_LT_DEBT","FQ3 2020","FQ3 2020","Currency=USD","Period=FQ","BEST_FPERIOD_OVERRIDE=FQ","FILING_STATUS=MR","SCALING_FORMAT=MLN","Sort=A","Dates=H","DateFormat=P","Fill=—","Direction=H","UseDPDF=Y")</f>
        <v>—</v>
      </c>
      <c r="J48" s="13" cm="1">
        <f t="array" ref="J48">_xll.BDH("PH US Equity","BS_CURR_PORTION_LT_DEBT","FQ4 2020","FQ4 2020","Currency=USD","Period=FQ","BEST_FPERIOD_OVERRIDE=FQ","FILING_STATUS=MR","SCALING_FORMAT=MLN","Sort=A","Dates=H","DateFormat=P","Fill=—","Direction=H","UseDPDF=Y")</f>
        <v>86.028999999999996</v>
      </c>
      <c r="K48" s="13" t="str" cm="1">
        <f t="array" ref="K48">_xll.BDH("PH US Equity","BS_CURR_PORTION_LT_DEBT","FQ1 2021","FQ1 2021","Currency=USD","Period=FQ","BEST_FPERIOD_OVERRIDE=FQ","FILING_STATUS=MR","SCALING_FORMAT=MLN","Sort=A","Dates=H","DateFormat=P","Fill=—","Direction=H","UseDPDF=Y")</f>
        <v>—</v>
      </c>
      <c r="L48" s="13" t="str" cm="1">
        <f t="array" ref="L48">_xll.BDH("PH US Equity","BS_CURR_PORTION_LT_DEBT","FQ2 2021","FQ2 2021","Currency=USD","Period=FQ","BEST_FPERIOD_OVERRIDE=FQ","FILING_STATUS=MR","SCALING_FORMAT=MLN","Sort=A","Dates=H","DateFormat=P","Fill=—","Direction=H","UseDPDF=Y")</f>
        <v>—</v>
      </c>
      <c r="M48" s="13" t="str" cm="1">
        <f t="array" ref="M48">_xll.BDH("PH US Equity","BS_CURR_PORTION_LT_DEBT","FQ3 2021","FQ3 2021","Currency=USD","Period=FQ","BEST_FPERIOD_OVERRIDE=FQ","FILING_STATUS=MR","SCALING_FORMAT=MLN","Sort=A","Dates=H","DateFormat=P","Fill=—","Direction=H","UseDPDF=Y")</f>
        <v>—</v>
      </c>
      <c r="N48" s="13" cm="1">
        <f t="array" ref="N48">_xll.BDH("PH US Equity","BS_CURR_PORTION_LT_DEBT","FQ4 2021","FQ4 2021","Currency=USD","Period=FQ","BEST_FPERIOD_OVERRIDE=FQ","FILING_STATUS=MR","SCALING_FORMAT=MLN","Sort=A","Dates=H","DateFormat=P","Fill=—","Direction=H","UseDPDF=Y")</f>
        <v>2.819</v>
      </c>
      <c r="O48" s="13" t="str" cm="1">
        <f t="array" ref="O48">_xll.BDH("PH US Equity","BS_CURR_PORTION_LT_DEBT","FQ1 2022","FQ1 2022","Currency=USD","Period=FQ","BEST_FPERIOD_OVERRIDE=FQ","FILING_STATUS=MR","SCALING_FORMAT=MLN","Sort=A","Dates=H","DateFormat=P","Fill=—","Direction=H","UseDPDF=Y")</f>
        <v>—</v>
      </c>
      <c r="P48" s="13" t="str" cm="1">
        <f t="array" ref="P48">_xll.BDH("PH US Equity","BS_CURR_PORTION_LT_DEBT","FQ2 2022","FQ2 2022","Currency=USD","Period=FQ","BEST_FPERIOD_OVERRIDE=FQ","FILING_STATUS=MR","SCALING_FORMAT=MLN","Sort=A","Dates=H","DateFormat=P","Fill=—","Direction=H","UseDPDF=Y")</f>
        <v>—</v>
      </c>
      <c r="Q48" s="13" t="str" cm="1">
        <f t="array" ref="Q48">_xll.BDH("PH US Equity","BS_CURR_PORTION_LT_DEBT","FQ3 2022","FQ3 2022","Currency=USD","Period=FQ","BEST_FPERIOD_OVERRIDE=FQ","FILING_STATUS=MR","SCALING_FORMAT=MLN","Sort=A","Dates=H","DateFormat=P","Fill=—","Direction=H","UseDPDF=Y")</f>
        <v>—</v>
      </c>
      <c r="R48" s="13" cm="1">
        <f t="array" ref="R48">_xll.BDH("PH US Equity","BS_CURR_PORTION_LT_DEBT","FQ4 2022","FQ4 2022","Currency=USD","Period=FQ","BEST_FPERIOD_OVERRIDE=FQ","FILING_STATUS=MR","SCALING_FORMAT=MLN","Sort=A","Dates=H","DateFormat=P","Fill=—","Direction=H","UseDPDF=Y")</f>
        <v>302.27999999999997</v>
      </c>
      <c r="S48" s="13" t="str" cm="1">
        <f t="array" ref="S48">_xll.BDH("PH US Equity","BS_CURR_PORTION_LT_DEBT","FQ1 2023","FQ1 2023","Currency=USD","Period=FQ","BEST_FPERIOD_OVERRIDE=FQ","FILING_STATUS=MR","SCALING_FORMAT=MLN","Sort=A","Dates=H","DateFormat=P","Fill=—","Direction=H","UseDPDF=Y")</f>
        <v>—</v>
      </c>
      <c r="T48" s="13" t="str" cm="1">
        <f t="array" ref="T48">_xll.BDH("PH US Equity","BS_CURR_PORTION_LT_DEBT","FQ2 2023","FQ2 2023","Currency=USD","Period=FQ","BEST_FPERIOD_OVERRIDE=FQ","FILING_STATUS=MR","SCALING_FORMAT=MLN","Sort=A","Dates=H","DateFormat=P","Fill=—","Direction=H","UseDPDF=Y")</f>
        <v>—</v>
      </c>
      <c r="U48" s="13" t="str" cm="1">
        <f t="array" ref="U48">_xll.BDH("PH US Equity","BS_CURR_PORTION_LT_DEBT","FQ3 2023","FQ3 2023","Currency=USD","Period=FQ","BEST_FPERIOD_OVERRIDE=FQ","FILING_STATUS=MR","SCALING_FORMAT=MLN","Sort=A","Dates=H","DateFormat=P","Fill=—","Direction=H","UseDPDF=Y")</f>
        <v>—</v>
      </c>
      <c r="V48" s="13" cm="1">
        <f t="array" ref="V48">_xll.BDH("PH US Equity","BS_CURR_PORTION_LT_DEBT","FQ4 2023","FQ4 2023","Currency=USD","Period=FQ","BEST_FPERIOD_OVERRIDE=FQ","FILING_STATUS=MR","SCALING_FORMAT=MLN","Sort=A","Dates=H","DateFormat=P","Fill=—","Direction=H","UseDPDF=Y")</f>
        <v>1974.3710000000001</v>
      </c>
      <c r="W48" s="13" t="str" cm="1">
        <f t="array" ref="W48">_xll.BDH("PH US Equity","BS_CURR_PORTION_LT_DEBT","FQ1 2024","FQ1 2024","Currency=USD","Period=FQ","BEST_FPERIOD_OVERRIDE=FQ","FILING_STATUS=MR","SCALING_FORMAT=MLN","Sort=A","Dates=H","DateFormat=P","Fill=—","Direction=H","UseDPDF=Y")</f>
        <v>—</v>
      </c>
      <c r="X48" s="13" t="str" cm="1">
        <f t="array" ref="X48">_xll.BDH("PH US Equity","BS_CURR_PORTION_LT_DEBT","FQ2 2024","FQ2 2024","Currency=USD","Period=FQ","BEST_FPERIOD_OVERRIDE=FQ","FILING_STATUS=MR","SCALING_FORMAT=MLN","Sort=A","Dates=H","DateFormat=P","Fill=—","Direction=H","UseDPDF=Y")</f>
        <v>—</v>
      </c>
      <c r="Y48" s="13" t="str" cm="1">
        <f t="array" ref="Y48">_xll.BDH("PH US Equity","BS_CURR_PORTION_LT_DEBT","FQ3 2024","FQ3 2024","Currency=USD","Period=FQ","BEST_FPERIOD_OVERRIDE=FQ","FILING_STATUS=MR","SCALING_FORMAT=MLN","Sort=A","Dates=H","DateFormat=P","Fill=—","Direction=H","UseDPDF=Y")</f>
        <v>—</v>
      </c>
      <c r="Z48" s="13" cm="1">
        <f t="array" ref="Z48">_xll.BDH("PH US Equity","BS_CURR_PORTION_LT_DEBT","FQ4 2024","FQ4 2024","Currency=USD","Period=FQ","BEST_FPERIOD_OVERRIDE=FQ","FILING_STATUS=MR","SCALING_FORMAT=MLN","Sort=A","Dates=H","DateFormat=P","Fill=—","Direction=H","UseDPDF=Y")</f>
        <v>1254.98</v>
      </c>
      <c r="AA48" s="13" t="str" cm="1">
        <f t="array" ref="AA48">_xll.BDH("PH US Equity","BS_CURR_PORTION_LT_DEBT","FQ1 2025","FQ1 2025","Currency=USD","Period=FQ","BEST_FPERIOD_OVERRIDE=FQ","FILING_STATUS=MR","SCALING_FORMAT=MLN","Sort=A","Dates=H","DateFormat=P","Fill=—","Direction=H","UseDPDF=Y")</f>
        <v>—</v>
      </c>
      <c r="AB48" s="13" t="str" cm="1">
        <f t="array" ref="AB48">_xll.BDH("PH US Equity","BS_CURR_PORTION_LT_DEBT","FQ2 2025","FQ2 2025","Currency=USD","Period=FQ","BEST_FPERIOD_OVERRIDE=FQ","FILING_STATUS=MR","SCALING_FORMAT=MLN","Sort=A","Dates=H","DateFormat=P","Fill=—","Direction=H","UseDPDF=Y")</f>
        <v>—</v>
      </c>
      <c r="AC48" s="13" t="str" cm="1">
        <f t="array" ref="AC48">_xll.BDH("PH US Equity","BS_CURR_PORTION_LT_DEBT","FQ3 2025","FQ3 2025","Currency=USD","Period=FQ","BEST_FPERIOD_OVERRIDE=FQ","FILING_STATUS=MR","SCALING_FORMAT=MLN","Sort=A","Dates=H","DateFormat=P","Fill=—","Direction=H","UseDPDF=Y")</f>
        <v>—</v>
      </c>
      <c r="AD48" s="13" cm="1">
        <f t="array" ref="AD48">_xll.BDH("PH US Equity","BS_CURR_PORTION_LT_DEBT","FQ4 2025","FQ4 2025","Currency=USD","Period=FQ","BEST_FPERIOD_OVERRIDE=FQ","FILING_STATUS=MR","SCALING_FORMAT=MLN","Sort=A","Dates=H","DateFormat=P","Fill=—","Direction=H","UseDPDF=Y")</f>
        <v>7</v>
      </c>
      <c r="AE48" s="13" t="str" cm="1">
        <f t="array" ref="AE48">_xll.BDH("PH US Equity","BS_CURR_PORTION_LT_DEBT","FQ1 2026","FQ1 2026","Currency=USD","Period=FQ","BEST_FPERIOD_OVERRIDE=FQ","FILING_STATUS=MR","SCALING_FORMAT=MLN","Sort=A","Dates=H","DateFormat=P","Fill=—","Direction=H","UseDPDF=Y")</f>
        <v>—</v>
      </c>
      <c r="AF48" s="13" t="str" cm="1">
        <f t="array" ref="AF48">_xll.BDH("PH US Equity","BS_CURR_PORTION_LT_DEBT","FQ2 2026","FQ2 2026","Currency=USD","Period=FQ","BEST_FPERIOD_OVERRIDE=FQ","FILING_STATUS=MR","SCALING_FORMAT=MLN","Sort=A","Dates=H","DateFormat=P","Fill=—","Direction=H","UseDPDF=Y")</f>
        <v>—</v>
      </c>
    </row>
    <row r="49" spans="1:32" x14ac:dyDescent="0.25">
      <c r="A49" s="10" t="s">
        <v>145</v>
      </c>
      <c r="B49" s="10" t="s">
        <v>146</v>
      </c>
      <c r="C49" s="13" cm="1">
        <f t="array" ref="C49">_xll.BDH("PH US Equity","OTHER_CURRENT_LIABS_SUB_DETAILED","FQ1 2019","FQ1 2019","Currency=USD","Period=FQ","BEST_FPERIOD_OVERRIDE=FQ","FILING_STATUS=MR","SCALING_FORMAT=MLN","Sort=A","Dates=H","DateFormat=P","Fill=—","Direction=H","UseDPDF=Y")</f>
        <v>2.7770000000000001</v>
      </c>
      <c r="D49" s="13" cm="1">
        <f t="array" ref="D49">_xll.BDH("PH US Equity","OTHER_CURRENT_LIABS_SUB_DETAILED","FQ2 2019","FQ2 2019","Currency=USD","Period=FQ","BEST_FPERIOD_OVERRIDE=FQ","FILING_STATUS=MR","SCALING_FORMAT=MLN","Sort=A","Dates=H","DateFormat=P","Fill=—","Direction=H","UseDPDF=Y")</f>
        <v>4.5529999999999999</v>
      </c>
      <c r="E49" s="13" cm="1">
        <f t="array" ref="E49">_xll.BDH("PH US Equity","OTHER_CURRENT_LIABS_SUB_DETAILED","FQ3 2019","FQ3 2019","Currency=USD","Period=FQ","BEST_FPERIOD_OVERRIDE=FQ","FILING_STATUS=MR","SCALING_FORMAT=MLN","Sort=A","Dates=H","DateFormat=P","Fill=—","Direction=H","UseDPDF=Y")</f>
        <v>7.8479999999999999</v>
      </c>
      <c r="F49" s="13" cm="1">
        <f t="array" ref="F49">_xll.BDH("PH US Equity","OTHER_CURRENT_LIABS_SUB_DETAILED","FQ4 2019","FQ4 2019","Currency=USD","Period=FQ","BEST_FPERIOD_OVERRIDE=FQ","FILING_STATUS=MR","SCALING_FORMAT=MLN","Sort=A","Dates=H","DateFormat=P","Fill=—","Direction=H","UseDPDF=Y")</f>
        <v>1.9339999999999999</v>
      </c>
      <c r="G49" s="13" cm="1">
        <f t="array" ref="G49">_xll.BDH("PH US Equity","OTHER_CURRENT_LIABS_SUB_DETAILED","FQ1 2020","FQ1 2020","Currency=USD","Period=FQ","BEST_FPERIOD_OVERRIDE=FQ","FILING_STATUS=MR","SCALING_FORMAT=MLN","Sort=A","Dates=H","DateFormat=P","Fill=—","Direction=H","UseDPDF=Y")</f>
        <v>6.282</v>
      </c>
      <c r="H49" s="13" cm="1">
        <f t="array" ref="H49">_xll.BDH("PH US Equity","OTHER_CURRENT_LIABS_SUB_DETAILED","FQ2 2020","FQ2 2020","Currency=USD","Period=FQ","BEST_FPERIOD_OVERRIDE=FQ","FILING_STATUS=MR","SCALING_FORMAT=MLN","Sort=A","Dates=H","DateFormat=P","Fill=—","Direction=H","UseDPDF=Y")</f>
        <v>2.8570000000000002</v>
      </c>
      <c r="I49" s="13" cm="1">
        <f t="array" ref="I49">_xll.BDH("PH US Equity","OTHER_CURRENT_LIABS_SUB_DETAILED","FQ3 2020","FQ3 2020","Currency=USD","Period=FQ","BEST_FPERIOD_OVERRIDE=FQ","FILING_STATUS=MR","SCALING_FORMAT=MLN","Sort=A","Dates=H","DateFormat=P","Fill=—","Direction=H","UseDPDF=Y")</f>
        <v>52.11</v>
      </c>
      <c r="J49" s="13" cm="1">
        <f t="array" ref="J49">_xll.BDH("PH US Equity","OTHER_CURRENT_LIABS_SUB_DETAILED","FQ4 2020","FQ4 2020","Currency=USD","Period=FQ","BEST_FPERIOD_OVERRIDE=FQ","FILING_STATUS=MR","SCALING_FORMAT=MLN","Sort=A","Dates=H","DateFormat=P","Fill=—","Direction=H","UseDPDF=Y")</f>
        <v>31.521000000000001</v>
      </c>
      <c r="K49" s="13" cm="1">
        <f t="array" ref="K49">_xll.BDH("PH US Equity","OTHER_CURRENT_LIABS_SUB_DETAILED","FQ1 2021","FQ1 2021","Currency=USD","Period=FQ","BEST_FPERIOD_OVERRIDE=FQ","FILING_STATUS=MR","SCALING_FORMAT=MLN","Sort=A","Dates=H","DateFormat=P","Fill=—","Direction=H","UseDPDF=Y")</f>
        <v>6.2119999999999997</v>
      </c>
      <c r="L49" s="13" cm="1">
        <f t="array" ref="L49">_xll.BDH("PH US Equity","OTHER_CURRENT_LIABS_SUB_DETAILED","FQ2 2021","FQ2 2021","Currency=USD","Period=FQ","BEST_FPERIOD_OVERRIDE=FQ","FILING_STATUS=MR","SCALING_FORMAT=MLN","Sort=A","Dates=H","DateFormat=P","Fill=—","Direction=H","UseDPDF=Y")</f>
        <v>8.6059999999999999</v>
      </c>
      <c r="M49" s="13" cm="1">
        <f t="array" ref="M49">_xll.BDH("PH US Equity","OTHER_CURRENT_LIABS_SUB_DETAILED","FQ3 2021","FQ3 2021","Currency=USD","Period=FQ","BEST_FPERIOD_OVERRIDE=FQ","FILING_STATUS=MR","SCALING_FORMAT=MLN","Sort=A","Dates=H","DateFormat=P","Fill=—","Direction=H","UseDPDF=Y")</f>
        <v>6.28</v>
      </c>
      <c r="N49" s="13" cm="1">
        <f t="array" ref="N49">_xll.BDH("PH US Equity","OTHER_CURRENT_LIABS_SUB_DETAILED","FQ4 2021","FQ4 2021","Currency=USD","Period=FQ","BEST_FPERIOD_OVERRIDE=FQ","FILING_STATUS=MR","SCALING_FORMAT=MLN","Sort=A","Dates=H","DateFormat=P","Fill=—","Direction=H","UseDPDF=Y")</f>
        <v>72.698999999999998</v>
      </c>
      <c r="O49" s="13" cm="1">
        <f t="array" ref="O49">_xll.BDH("PH US Equity","OTHER_CURRENT_LIABS_SUB_DETAILED","FQ1 2022","FQ1 2022","Currency=USD","Period=FQ","BEST_FPERIOD_OVERRIDE=FQ","FILING_STATUS=MR","SCALING_FORMAT=MLN","Sort=A","Dates=H","DateFormat=P","Fill=—","Direction=H","UseDPDF=Y")</f>
        <v>9.6720000000000006</v>
      </c>
      <c r="P49" s="13" cm="1">
        <f t="array" ref="P49">_xll.BDH("PH US Equity","OTHER_CURRENT_LIABS_SUB_DETAILED","FQ2 2022","FQ2 2022","Currency=USD","Period=FQ","BEST_FPERIOD_OVERRIDE=FQ","FILING_STATUS=MR","SCALING_FORMAT=MLN","Sort=A","Dates=H","DateFormat=P","Fill=—","Direction=H","UseDPDF=Y")</f>
        <v>155.64099999999999</v>
      </c>
      <c r="Q49" s="13" cm="1">
        <f t="array" ref="Q49">_xll.BDH("PH US Equity","OTHER_CURRENT_LIABS_SUB_DETAILED","FQ3 2022","FQ3 2022","Currency=USD","Period=FQ","BEST_FPERIOD_OVERRIDE=FQ","FILING_STATUS=MR","SCALING_FORMAT=MLN","Sort=A","Dates=H","DateFormat=P","Fill=—","Direction=H","UseDPDF=Y")</f>
        <v>438.86599999999999</v>
      </c>
      <c r="R49" s="13" cm="1">
        <f t="array" ref="R49">_xll.BDH("PH US Equity","OTHER_CURRENT_LIABS_SUB_DETAILED","FQ4 2022","FQ4 2022","Currency=USD","Period=FQ","BEST_FPERIOD_OVERRIDE=FQ","FILING_STATUS=MR","SCALING_FORMAT=MLN","Sort=A","Dates=H","DateFormat=P","Fill=—","Direction=H","UseDPDF=Y")</f>
        <v>1.5780000000000001</v>
      </c>
      <c r="S49" s="13" cm="1">
        <f t="array" ref="S49">_xll.BDH("PH US Equity","OTHER_CURRENT_LIABS_SUB_DETAILED","FQ1 2023","FQ1 2023","Currency=USD","Period=FQ","BEST_FPERIOD_OVERRIDE=FQ","FILING_STATUS=MR","SCALING_FORMAT=MLN","Sort=A","Dates=H","DateFormat=P","Fill=—","Direction=H","UseDPDF=Y")</f>
        <v>38.295999999999999</v>
      </c>
      <c r="T49" s="13" cm="1">
        <f t="array" ref="T49">_xll.BDH("PH US Equity","OTHER_CURRENT_LIABS_SUB_DETAILED","FQ2 2023","FQ2 2023","Currency=USD","Period=FQ","BEST_FPERIOD_OVERRIDE=FQ","FILING_STATUS=MR","SCALING_FORMAT=MLN","Sort=A","Dates=H","DateFormat=P","Fill=—","Direction=H","UseDPDF=Y")</f>
        <v>45.734000000000002</v>
      </c>
      <c r="U49" s="13" cm="1">
        <f t="array" ref="U49">_xll.BDH("PH US Equity","OTHER_CURRENT_LIABS_SUB_DETAILED","FQ3 2023","FQ3 2023","Currency=USD","Period=FQ","BEST_FPERIOD_OVERRIDE=FQ","FILING_STATUS=MR","SCALING_FORMAT=MLN","Sort=A","Dates=H","DateFormat=P","Fill=—","Direction=H","UseDPDF=Y")</f>
        <v>59.686</v>
      </c>
      <c r="V49" s="13" cm="1">
        <f t="array" ref="V49">_xll.BDH("PH US Equity","OTHER_CURRENT_LIABS_SUB_DETAILED","FQ4 2023","FQ4 2023","Currency=USD","Period=FQ","BEST_FPERIOD_OVERRIDE=FQ","FILING_STATUS=MR","SCALING_FORMAT=MLN","Sort=A","Dates=H","DateFormat=P","Fill=—","Direction=H","UseDPDF=Y")</f>
        <v>0</v>
      </c>
      <c r="W49" s="13" cm="1">
        <f t="array" ref="W49">_xll.BDH("PH US Equity","OTHER_CURRENT_LIABS_SUB_DETAILED","FQ1 2024","FQ1 2024","Currency=USD","Period=FQ","BEST_FPERIOD_OVERRIDE=FQ","FILING_STATUS=MR","SCALING_FORMAT=MLN","Sort=A","Dates=H","DateFormat=P","Fill=—","Direction=H","UseDPDF=Y")</f>
        <v>0</v>
      </c>
      <c r="X49" s="13" cm="1">
        <f t="array" ref="X49">_xll.BDH("PH US Equity","OTHER_CURRENT_LIABS_SUB_DETAILED","FQ2 2024","FQ2 2024","Currency=USD","Period=FQ","BEST_FPERIOD_OVERRIDE=FQ","FILING_STATUS=MR","SCALING_FORMAT=MLN","Sort=A","Dates=H","DateFormat=P","Fill=—","Direction=H","UseDPDF=Y")</f>
        <v>0</v>
      </c>
      <c r="Y49" s="13" cm="1">
        <f t="array" ref="Y49">_xll.BDH("PH US Equity","OTHER_CURRENT_LIABS_SUB_DETAILED","FQ3 2024","FQ3 2024","Currency=USD","Period=FQ","BEST_FPERIOD_OVERRIDE=FQ","FILING_STATUS=MR","SCALING_FORMAT=MLN","Sort=A","Dates=H","DateFormat=P","Fill=—","Direction=H","UseDPDF=Y")</f>
        <v>9.6129999999999995</v>
      </c>
      <c r="Z49" s="13" cm="1">
        <f t="array" ref="Z49">_xll.BDH("PH US Equity","OTHER_CURRENT_LIABS_SUB_DETAILED","FQ4 2024","FQ4 2024","Currency=USD","Period=FQ","BEST_FPERIOD_OVERRIDE=FQ","FILING_STATUS=MR","SCALING_FORMAT=MLN","Sort=A","Dates=H","DateFormat=P","Fill=—","Direction=H","UseDPDF=Y")</f>
        <v>7.1999999999999995E-2</v>
      </c>
      <c r="AA49" s="13" cm="1">
        <f t="array" ref="AA49">_xll.BDH("PH US Equity","OTHER_CURRENT_LIABS_SUB_DETAILED","FQ1 2025","FQ1 2025","Currency=USD","Period=FQ","BEST_FPERIOD_OVERRIDE=FQ","FILING_STATUS=MR","SCALING_FORMAT=MLN","Sort=A","Dates=H","DateFormat=P","Fill=—","Direction=H","UseDPDF=Y")</f>
        <v>6.0650000000000004</v>
      </c>
      <c r="AB49" s="13" cm="1">
        <f t="array" ref="AB49">_xll.BDH("PH US Equity","OTHER_CURRENT_LIABS_SUB_DETAILED","FQ2 2025","FQ2 2025","Currency=USD","Period=FQ","BEST_FPERIOD_OVERRIDE=FQ","FILING_STATUS=MR","SCALING_FORMAT=MLN","Sort=A","Dates=H","DateFormat=P","Fill=—","Direction=H","UseDPDF=Y")</f>
        <v>1.8580000000000001</v>
      </c>
      <c r="AC49" s="13" cm="1">
        <f t="array" ref="AC49">_xll.BDH("PH US Equity","OTHER_CURRENT_LIABS_SUB_DETAILED","FQ3 2025","FQ3 2025","Currency=USD","Period=FQ","BEST_FPERIOD_OVERRIDE=FQ","FILING_STATUS=MR","SCALING_FORMAT=MLN","Sort=A","Dates=H","DateFormat=P","Fill=—","Direction=H","UseDPDF=Y")</f>
        <v>28.04</v>
      </c>
      <c r="AD49" s="13" cm="1">
        <f t="array" ref="AD49">_xll.BDH("PH US Equity","OTHER_CURRENT_LIABS_SUB_DETAILED","FQ4 2025","FQ4 2025","Currency=USD","Period=FQ","BEST_FPERIOD_OVERRIDE=FQ","FILING_STATUS=MR","SCALING_FORMAT=MLN","Sort=A","Dates=H","DateFormat=P","Fill=—","Direction=H","UseDPDF=Y")</f>
        <v>38</v>
      </c>
      <c r="AE49" s="13" cm="1">
        <f t="array" ref="AE49">_xll.BDH("PH US Equity","OTHER_CURRENT_LIABS_SUB_DETAILED","FQ1 2026","FQ1 2026","Currency=USD","Period=FQ","BEST_FPERIOD_OVERRIDE=FQ","FILING_STATUS=MR","SCALING_FORMAT=MLN","Sort=A","Dates=H","DateFormat=P","Fill=—","Direction=H","UseDPDF=Y")</f>
        <v>957</v>
      </c>
      <c r="AF49" s="13" cm="1">
        <f t="array" ref="AF49">_xll.BDH("PH US Equity","OTHER_CURRENT_LIABS_SUB_DETAILED","FQ2 2026","FQ2 2026","Currency=USD","Period=FQ","BEST_FPERIOD_OVERRIDE=FQ","FILING_STATUS=MR","SCALING_FORMAT=MLN","Sort=A","Dates=H","DateFormat=P","Fill=—","Direction=H","UseDPDF=Y")</f>
        <v>14</v>
      </c>
    </row>
    <row r="50" spans="1:32" x14ac:dyDescent="0.25">
      <c r="A50" s="10" t="s">
        <v>147</v>
      </c>
      <c r="B50" s="10" t="s">
        <v>148</v>
      </c>
      <c r="C50" s="13" t="str" cm="1">
        <f t="array" ref="C50">_xll.BDH("PH US Equity","ST_DEFERRED_REVENUE","FQ1 2019","FQ1 2019","Currency=USD","Period=FQ","BEST_FPERIOD_OVERRIDE=FQ","FILING_STATUS=MR","SCALING_FORMAT=MLN","Sort=A","Dates=H","DateFormat=P","Fill=—","Direction=H","UseDPDF=Y")</f>
        <v>—</v>
      </c>
      <c r="D50" s="13" t="str" cm="1">
        <f t="array" ref="D50">_xll.BDH("PH US Equity","ST_DEFERRED_REVENUE","FQ2 2019","FQ2 2019","Currency=USD","Period=FQ","BEST_FPERIOD_OVERRIDE=FQ","FILING_STATUS=MR","SCALING_FORMAT=MLN","Sort=A","Dates=H","DateFormat=P","Fill=—","Direction=H","UseDPDF=Y")</f>
        <v>—</v>
      </c>
      <c r="E50" s="13" t="str" cm="1">
        <f t="array" ref="E50">_xll.BDH("PH US Equity","ST_DEFERRED_REVENUE","FQ3 2019","FQ3 2019","Currency=USD","Period=FQ","BEST_FPERIOD_OVERRIDE=FQ","FILING_STATUS=MR","SCALING_FORMAT=MLN","Sort=A","Dates=H","DateFormat=P","Fill=—","Direction=H","UseDPDF=Y")</f>
        <v>—</v>
      </c>
      <c r="F50" s="13" cm="1">
        <f t="array" ref="F50">_xll.BDH("PH US Equity","ST_DEFERRED_REVENUE","FQ4 2019","FQ4 2019","Currency=USD","Period=FQ","BEST_FPERIOD_OVERRIDE=FQ","FILING_STATUS=MR","SCALING_FORMAT=MLN","Sort=A","Dates=H","DateFormat=P","Fill=—","Direction=H","UseDPDF=Y")</f>
        <v>0</v>
      </c>
      <c r="G50" s="13" t="str" cm="1">
        <f t="array" ref="G50">_xll.BDH("PH US Equity","ST_DEFERRED_REVENUE","FQ1 2020","FQ1 2020","Currency=USD","Period=FQ","BEST_FPERIOD_OVERRIDE=FQ","FILING_STATUS=MR","SCALING_FORMAT=MLN","Sort=A","Dates=H","DateFormat=P","Fill=—","Direction=H","UseDPDF=Y")</f>
        <v>—</v>
      </c>
      <c r="H50" s="13" t="str" cm="1">
        <f t="array" ref="H50">_xll.BDH("PH US Equity","ST_DEFERRED_REVENUE","FQ2 2020","FQ2 2020","Currency=USD","Period=FQ","BEST_FPERIOD_OVERRIDE=FQ","FILING_STATUS=MR","SCALING_FORMAT=MLN","Sort=A","Dates=H","DateFormat=P","Fill=—","Direction=H","UseDPDF=Y")</f>
        <v>—</v>
      </c>
      <c r="I50" s="13" t="str" cm="1">
        <f t="array" ref="I50">_xll.BDH("PH US Equity","ST_DEFERRED_REVENUE","FQ3 2020","FQ3 2020","Currency=USD","Period=FQ","BEST_FPERIOD_OVERRIDE=FQ","FILING_STATUS=MR","SCALING_FORMAT=MLN","Sort=A","Dates=H","DateFormat=P","Fill=—","Direction=H","UseDPDF=Y")</f>
        <v>—</v>
      </c>
      <c r="J50" s="13" cm="1">
        <f t="array" ref="J50">_xll.BDH("PH US Equity","ST_DEFERRED_REVENUE","FQ4 2020","FQ4 2020","Currency=USD","Period=FQ","BEST_FPERIOD_OVERRIDE=FQ","FILING_STATUS=MR","SCALING_FORMAT=MLN","Sort=A","Dates=H","DateFormat=P","Fill=—","Direction=H","UseDPDF=Y")</f>
        <v>0</v>
      </c>
      <c r="K50" s="13" t="str" cm="1">
        <f t="array" ref="K50">_xll.BDH("PH US Equity","ST_DEFERRED_REVENUE","FQ1 2021","FQ1 2021","Currency=USD","Period=FQ","BEST_FPERIOD_OVERRIDE=FQ","FILING_STATUS=MR","SCALING_FORMAT=MLN","Sort=A","Dates=H","DateFormat=P","Fill=—","Direction=H","UseDPDF=Y")</f>
        <v>—</v>
      </c>
      <c r="L50" s="13" t="str" cm="1">
        <f t="array" ref="L50">_xll.BDH("PH US Equity","ST_DEFERRED_REVENUE","FQ2 2021","FQ2 2021","Currency=USD","Period=FQ","BEST_FPERIOD_OVERRIDE=FQ","FILING_STATUS=MR","SCALING_FORMAT=MLN","Sort=A","Dates=H","DateFormat=P","Fill=—","Direction=H","UseDPDF=Y")</f>
        <v>—</v>
      </c>
      <c r="M50" s="13" t="str" cm="1">
        <f t="array" ref="M50">_xll.BDH("PH US Equity","ST_DEFERRED_REVENUE","FQ3 2021","FQ3 2021","Currency=USD","Period=FQ","BEST_FPERIOD_OVERRIDE=FQ","FILING_STATUS=MR","SCALING_FORMAT=MLN","Sort=A","Dates=H","DateFormat=P","Fill=—","Direction=H","UseDPDF=Y")</f>
        <v>—</v>
      </c>
      <c r="N50" s="13" cm="1">
        <f t="array" ref="N50">_xll.BDH("PH US Equity","ST_DEFERRED_REVENUE","FQ4 2021","FQ4 2021","Currency=USD","Period=FQ","BEST_FPERIOD_OVERRIDE=FQ","FILING_STATUS=MR","SCALING_FORMAT=MLN","Sort=A","Dates=H","DateFormat=P","Fill=—","Direction=H","UseDPDF=Y")</f>
        <v>0</v>
      </c>
      <c r="O50" s="13" t="str" cm="1">
        <f t="array" ref="O50">_xll.BDH("PH US Equity","ST_DEFERRED_REVENUE","FQ1 2022","FQ1 2022","Currency=USD","Period=FQ","BEST_FPERIOD_OVERRIDE=FQ","FILING_STATUS=MR","SCALING_FORMAT=MLN","Sort=A","Dates=H","DateFormat=P","Fill=—","Direction=H","UseDPDF=Y")</f>
        <v>—</v>
      </c>
      <c r="P50" s="13" t="str" cm="1">
        <f t="array" ref="P50">_xll.BDH("PH US Equity","ST_DEFERRED_REVENUE","FQ2 2022","FQ2 2022","Currency=USD","Period=FQ","BEST_FPERIOD_OVERRIDE=FQ","FILING_STATUS=MR","SCALING_FORMAT=MLN","Sort=A","Dates=H","DateFormat=P","Fill=—","Direction=H","UseDPDF=Y")</f>
        <v>—</v>
      </c>
      <c r="Q50" s="13" t="str" cm="1">
        <f t="array" ref="Q50">_xll.BDH("PH US Equity","ST_DEFERRED_REVENUE","FQ3 2022","FQ3 2022","Currency=USD","Period=FQ","BEST_FPERIOD_OVERRIDE=FQ","FILING_STATUS=MR","SCALING_FORMAT=MLN","Sort=A","Dates=H","DateFormat=P","Fill=—","Direction=H","UseDPDF=Y")</f>
        <v>—</v>
      </c>
      <c r="R50" s="13" cm="1">
        <f t="array" ref="R50">_xll.BDH("PH US Equity","ST_DEFERRED_REVENUE","FQ4 2022","FQ4 2022","Currency=USD","Period=FQ","BEST_FPERIOD_OVERRIDE=FQ","FILING_STATUS=MR","SCALING_FORMAT=MLN","Sort=A","Dates=H","DateFormat=P","Fill=—","Direction=H","UseDPDF=Y")</f>
        <v>0</v>
      </c>
      <c r="S50" s="13" t="str" cm="1">
        <f t="array" ref="S50">_xll.BDH("PH US Equity","ST_DEFERRED_REVENUE","FQ1 2023","FQ1 2023","Currency=USD","Period=FQ","BEST_FPERIOD_OVERRIDE=FQ","FILING_STATUS=MR","SCALING_FORMAT=MLN","Sort=A","Dates=H","DateFormat=P","Fill=—","Direction=H","UseDPDF=Y")</f>
        <v>—</v>
      </c>
      <c r="T50" s="13" t="str" cm="1">
        <f t="array" ref="T50">_xll.BDH("PH US Equity","ST_DEFERRED_REVENUE","FQ2 2023","FQ2 2023","Currency=USD","Period=FQ","BEST_FPERIOD_OVERRIDE=FQ","FILING_STATUS=MR","SCALING_FORMAT=MLN","Sort=A","Dates=H","DateFormat=P","Fill=—","Direction=H","UseDPDF=Y")</f>
        <v>—</v>
      </c>
      <c r="U50" s="13" t="str" cm="1">
        <f t="array" ref="U50">_xll.BDH("PH US Equity","ST_DEFERRED_REVENUE","FQ3 2023","FQ3 2023","Currency=USD","Period=FQ","BEST_FPERIOD_OVERRIDE=FQ","FILING_STATUS=MR","SCALING_FORMAT=MLN","Sort=A","Dates=H","DateFormat=P","Fill=—","Direction=H","UseDPDF=Y")</f>
        <v>—</v>
      </c>
      <c r="V50" s="13" cm="1">
        <f t="array" ref="V50">_xll.BDH("PH US Equity","ST_DEFERRED_REVENUE","FQ4 2023","FQ4 2023","Currency=USD","Period=FQ","BEST_FPERIOD_OVERRIDE=FQ","FILING_STATUS=MR","SCALING_FORMAT=MLN","Sort=A","Dates=H","DateFormat=P","Fill=—","Direction=H","UseDPDF=Y")</f>
        <v>0</v>
      </c>
      <c r="W50" s="13" t="str" cm="1">
        <f t="array" ref="W50">_xll.BDH("PH US Equity","ST_DEFERRED_REVENUE","FQ1 2024","FQ1 2024","Currency=USD","Period=FQ","BEST_FPERIOD_OVERRIDE=FQ","FILING_STATUS=MR","SCALING_FORMAT=MLN","Sort=A","Dates=H","DateFormat=P","Fill=—","Direction=H","UseDPDF=Y")</f>
        <v>—</v>
      </c>
      <c r="X50" s="13" t="str" cm="1">
        <f t="array" ref="X50">_xll.BDH("PH US Equity","ST_DEFERRED_REVENUE","FQ2 2024","FQ2 2024","Currency=USD","Period=FQ","BEST_FPERIOD_OVERRIDE=FQ","FILING_STATUS=MR","SCALING_FORMAT=MLN","Sort=A","Dates=H","DateFormat=P","Fill=—","Direction=H","UseDPDF=Y")</f>
        <v>—</v>
      </c>
      <c r="Y50" s="13" t="str" cm="1">
        <f t="array" ref="Y50">_xll.BDH("PH US Equity","ST_DEFERRED_REVENUE","FQ3 2024","FQ3 2024","Currency=USD","Period=FQ","BEST_FPERIOD_OVERRIDE=FQ","FILING_STATUS=MR","SCALING_FORMAT=MLN","Sort=A","Dates=H","DateFormat=P","Fill=—","Direction=H","UseDPDF=Y")</f>
        <v>—</v>
      </c>
      <c r="Z50" s="13" cm="1">
        <f t="array" ref="Z50">_xll.BDH("PH US Equity","ST_DEFERRED_REVENUE","FQ4 2024","FQ4 2024","Currency=USD","Period=FQ","BEST_FPERIOD_OVERRIDE=FQ","FILING_STATUS=MR","SCALING_FORMAT=MLN","Sort=A","Dates=H","DateFormat=P","Fill=—","Direction=H","UseDPDF=Y")</f>
        <v>0</v>
      </c>
      <c r="AA50" s="13" t="str" cm="1">
        <f t="array" ref="AA50">_xll.BDH("PH US Equity","ST_DEFERRED_REVENUE","FQ1 2025","FQ1 2025","Currency=USD","Period=FQ","BEST_FPERIOD_OVERRIDE=FQ","FILING_STATUS=MR","SCALING_FORMAT=MLN","Sort=A","Dates=H","DateFormat=P","Fill=—","Direction=H","UseDPDF=Y")</f>
        <v>—</v>
      </c>
      <c r="AB50" s="13" t="str" cm="1">
        <f t="array" ref="AB50">_xll.BDH("PH US Equity","ST_DEFERRED_REVENUE","FQ2 2025","FQ2 2025","Currency=USD","Period=FQ","BEST_FPERIOD_OVERRIDE=FQ","FILING_STATUS=MR","SCALING_FORMAT=MLN","Sort=A","Dates=H","DateFormat=P","Fill=—","Direction=H","UseDPDF=Y")</f>
        <v>—</v>
      </c>
      <c r="AC50" s="13" t="str" cm="1">
        <f t="array" ref="AC50">_xll.BDH("PH US Equity","ST_DEFERRED_REVENUE","FQ3 2025","FQ3 2025","Currency=USD","Period=FQ","BEST_FPERIOD_OVERRIDE=FQ","FILING_STATUS=MR","SCALING_FORMAT=MLN","Sort=A","Dates=H","DateFormat=P","Fill=—","Direction=H","UseDPDF=Y")</f>
        <v>—</v>
      </c>
      <c r="AD50" s="13" cm="1">
        <f t="array" ref="AD50">_xll.BDH("PH US Equity","ST_DEFERRED_REVENUE","FQ4 2025","FQ4 2025","Currency=USD","Period=FQ","BEST_FPERIOD_OVERRIDE=FQ","FILING_STATUS=MR","SCALING_FORMAT=MLN","Sort=A","Dates=H","DateFormat=P","Fill=—","Direction=H","UseDPDF=Y")</f>
        <v>0</v>
      </c>
      <c r="AE50" s="13" t="str" cm="1">
        <f t="array" ref="AE50">_xll.BDH("PH US Equity","ST_DEFERRED_REVENUE","FQ1 2026","FQ1 2026","Currency=USD","Period=FQ","BEST_FPERIOD_OVERRIDE=FQ","FILING_STATUS=MR","SCALING_FORMAT=MLN","Sort=A","Dates=H","DateFormat=P","Fill=—","Direction=H","UseDPDF=Y")</f>
        <v>—</v>
      </c>
      <c r="AF50" s="13" t="str" cm="1">
        <f t="array" ref="AF50">_xll.BDH("PH US Equity","ST_DEFERRED_REVENUE","FQ2 2026","FQ2 2026","Currency=USD","Period=FQ","BEST_FPERIOD_OVERRIDE=FQ","FILING_STATUS=MR","SCALING_FORMAT=MLN","Sort=A","Dates=H","DateFormat=P","Fill=—","Direction=H","UseDPDF=Y")</f>
        <v>—</v>
      </c>
    </row>
    <row r="51" spans="1:32" x14ac:dyDescent="0.25">
      <c r="A51" s="10" t="s">
        <v>149</v>
      </c>
      <c r="B51" s="10" t="s">
        <v>150</v>
      </c>
      <c r="C51" s="13" cm="1">
        <f t="array" ref="C51">_xll.BDH("PH US Equity","BS_DERIV_HEDGING_LIAB_ST","FQ1 2019","FQ1 2019","Currency=USD","Period=FQ","BEST_FPERIOD_OVERRIDE=FQ","FILING_STATUS=MR","SCALING_FORMAT=MLN","Sort=A","Dates=H","DateFormat=P","Fill=—","Direction=H","UseDPDF=Y")</f>
        <v>2.7770000000000001</v>
      </c>
      <c r="D51" s="13" cm="1">
        <f t="array" ref="D51">_xll.BDH("PH US Equity","BS_DERIV_HEDGING_LIAB_ST","FQ2 2019","FQ2 2019","Currency=USD","Period=FQ","BEST_FPERIOD_OVERRIDE=FQ","FILING_STATUS=MR","SCALING_FORMAT=MLN","Sort=A","Dates=H","DateFormat=P","Fill=—","Direction=H","UseDPDF=Y")</f>
        <v>4.5529999999999999</v>
      </c>
      <c r="E51" s="13" cm="1">
        <f t="array" ref="E51">_xll.BDH("PH US Equity","BS_DERIV_HEDGING_LIAB_ST","FQ3 2019","FQ3 2019","Currency=USD","Period=FQ","BEST_FPERIOD_OVERRIDE=FQ","FILING_STATUS=MR","SCALING_FORMAT=MLN","Sort=A","Dates=H","DateFormat=P","Fill=—","Direction=H","UseDPDF=Y")</f>
        <v>7.8479999999999999</v>
      </c>
      <c r="F51" s="13" cm="1">
        <f t="array" ref="F51">_xll.BDH("PH US Equity","BS_DERIV_HEDGING_LIAB_ST","FQ4 2019","FQ4 2019","Currency=USD","Period=FQ","BEST_FPERIOD_OVERRIDE=FQ","FILING_STATUS=MR","SCALING_FORMAT=MLN","Sort=A","Dates=H","DateFormat=P","Fill=—","Direction=H","UseDPDF=Y")</f>
        <v>1.9339999999999999</v>
      </c>
      <c r="G51" s="13" cm="1">
        <f t="array" ref="G51">_xll.BDH("PH US Equity","BS_DERIV_HEDGING_LIAB_ST","FQ1 2020","FQ1 2020","Currency=USD","Period=FQ","BEST_FPERIOD_OVERRIDE=FQ","FILING_STATUS=MR","SCALING_FORMAT=MLN","Sort=A","Dates=H","DateFormat=P","Fill=—","Direction=H","UseDPDF=Y")</f>
        <v>6.282</v>
      </c>
      <c r="H51" s="13" cm="1">
        <f t="array" ref="H51">_xll.BDH("PH US Equity","BS_DERIV_HEDGING_LIAB_ST","FQ2 2020","FQ2 2020","Currency=USD","Period=FQ","BEST_FPERIOD_OVERRIDE=FQ","FILING_STATUS=MR","SCALING_FORMAT=MLN","Sort=A","Dates=H","DateFormat=P","Fill=—","Direction=H","UseDPDF=Y")</f>
        <v>2.8570000000000002</v>
      </c>
      <c r="I51" s="13" cm="1">
        <f t="array" ref="I51">_xll.BDH("PH US Equity","BS_DERIV_HEDGING_LIAB_ST","FQ3 2020","FQ3 2020","Currency=USD","Period=FQ","BEST_FPERIOD_OVERRIDE=FQ","FILING_STATUS=MR","SCALING_FORMAT=MLN","Sort=A","Dates=H","DateFormat=P","Fill=—","Direction=H","UseDPDF=Y")</f>
        <v>52.11</v>
      </c>
      <c r="J51" s="13" cm="1">
        <f t="array" ref="J51">_xll.BDH("PH US Equity","BS_DERIV_HEDGING_LIAB_ST","FQ4 2020","FQ4 2020","Currency=USD","Period=FQ","BEST_FPERIOD_OVERRIDE=FQ","FILING_STATUS=MR","SCALING_FORMAT=MLN","Sort=A","Dates=H","DateFormat=P","Fill=—","Direction=H","UseDPDF=Y")</f>
        <v>31.521000000000001</v>
      </c>
      <c r="K51" s="13" cm="1">
        <f t="array" ref="K51">_xll.BDH("PH US Equity","BS_DERIV_HEDGING_LIAB_ST","FQ1 2021","FQ1 2021","Currency=USD","Period=FQ","BEST_FPERIOD_OVERRIDE=FQ","FILING_STATUS=MR","SCALING_FORMAT=MLN","Sort=A","Dates=H","DateFormat=P","Fill=—","Direction=H","UseDPDF=Y")</f>
        <v>6.2119999999999997</v>
      </c>
      <c r="L51" s="13" cm="1">
        <f t="array" ref="L51">_xll.BDH("PH US Equity","BS_DERIV_HEDGING_LIAB_ST","FQ2 2021","FQ2 2021","Currency=USD","Period=FQ","BEST_FPERIOD_OVERRIDE=FQ","FILING_STATUS=MR","SCALING_FORMAT=MLN","Sort=A","Dates=H","DateFormat=P","Fill=—","Direction=H","UseDPDF=Y")</f>
        <v>8.6059999999999999</v>
      </c>
      <c r="M51" s="13" cm="1">
        <f t="array" ref="M51">_xll.BDH("PH US Equity","BS_DERIV_HEDGING_LIAB_ST","FQ3 2021","FQ3 2021","Currency=USD","Period=FQ","BEST_FPERIOD_OVERRIDE=FQ","FILING_STATUS=MR","SCALING_FORMAT=MLN","Sort=A","Dates=H","DateFormat=P","Fill=—","Direction=H","UseDPDF=Y")</f>
        <v>6.28</v>
      </c>
      <c r="N51" s="13" cm="1">
        <f t="array" ref="N51">_xll.BDH("PH US Equity","BS_DERIV_HEDGING_LIAB_ST","FQ4 2021","FQ4 2021","Currency=USD","Period=FQ","BEST_FPERIOD_OVERRIDE=FQ","FILING_STATUS=MR","SCALING_FORMAT=MLN","Sort=A","Dates=H","DateFormat=P","Fill=—","Direction=H","UseDPDF=Y")</f>
        <v>72.698999999999998</v>
      </c>
      <c r="O51" s="13" cm="1">
        <f t="array" ref="O51">_xll.BDH("PH US Equity","BS_DERIV_HEDGING_LIAB_ST","FQ1 2022","FQ1 2022","Currency=USD","Period=FQ","BEST_FPERIOD_OVERRIDE=FQ","FILING_STATUS=MR","SCALING_FORMAT=MLN","Sort=A","Dates=H","DateFormat=P","Fill=—","Direction=H","UseDPDF=Y")</f>
        <v>9.6720000000000006</v>
      </c>
      <c r="P51" s="13" cm="1">
        <f t="array" ref="P51">_xll.BDH("PH US Equity","BS_DERIV_HEDGING_LIAB_ST","FQ2 2022","FQ2 2022","Currency=USD","Period=FQ","BEST_FPERIOD_OVERRIDE=FQ","FILING_STATUS=MR","SCALING_FORMAT=MLN","Sort=A","Dates=H","DateFormat=P","Fill=—","Direction=H","UseDPDF=Y")</f>
        <v>155.64099999999999</v>
      </c>
      <c r="Q51" s="13" cm="1">
        <f t="array" ref="Q51">_xll.BDH("PH US Equity","BS_DERIV_HEDGING_LIAB_ST","FQ3 2022","FQ3 2022","Currency=USD","Period=FQ","BEST_FPERIOD_OVERRIDE=FQ","FILING_STATUS=MR","SCALING_FORMAT=MLN","Sort=A","Dates=H","DateFormat=P","Fill=—","Direction=H","UseDPDF=Y")</f>
        <v>438.86599999999999</v>
      </c>
      <c r="R51" s="13" cm="1">
        <f t="array" ref="R51">_xll.BDH("PH US Equity","BS_DERIV_HEDGING_LIAB_ST","FQ4 2022","FQ4 2022","Currency=USD","Period=FQ","BEST_FPERIOD_OVERRIDE=FQ","FILING_STATUS=MR","SCALING_FORMAT=MLN","Sort=A","Dates=H","DateFormat=P","Fill=—","Direction=H","UseDPDF=Y")</f>
        <v>1.5780000000000001</v>
      </c>
      <c r="S51" s="13" cm="1">
        <f t="array" ref="S51">_xll.BDH("PH US Equity","BS_DERIV_HEDGING_LIAB_ST","FQ1 2023","FQ1 2023","Currency=USD","Period=FQ","BEST_FPERIOD_OVERRIDE=FQ","FILING_STATUS=MR","SCALING_FORMAT=MLN","Sort=A","Dates=H","DateFormat=P","Fill=—","Direction=H","UseDPDF=Y")</f>
        <v>38.295999999999999</v>
      </c>
      <c r="T51" s="13" cm="1">
        <f t="array" ref="T51">_xll.BDH("PH US Equity","BS_DERIV_HEDGING_LIAB_ST","FQ2 2023","FQ2 2023","Currency=USD","Period=FQ","BEST_FPERIOD_OVERRIDE=FQ","FILING_STATUS=MR","SCALING_FORMAT=MLN","Sort=A","Dates=H","DateFormat=P","Fill=—","Direction=H","UseDPDF=Y")</f>
        <v>45.734000000000002</v>
      </c>
      <c r="U51" s="13" cm="1">
        <f t="array" ref="U51">_xll.BDH("PH US Equity","BS_DERIV_HEDGING_LIAB_ST","FQ3 2023","FQ3 2023","Currency=USD","Period=FQ","BEST_FPERIOD_OVERRIDE=FQ","FILING_STATUS=MR","SCALING_FORMAT=MLN","Sort=A","Dates=H","DateFormat=P","Fill=—","Direction=H","UseDPDF=Y")</f>
        <v>59.686</v>
      </c>
      <c r="V51" s="13" cm="1">
        <f t="array" ref="V51">_xll.BDH("PH US Equity","BS_DERIV_HEDGING_LIAB_ST","FQ4 2023","FQ4 2023","Currency=USD","Period=FQ","BEST_FPERIOD_OVERRIDE=FQ","FILING_STATUS=MR","SCALING_FORMAT=MLN","Sort=A","Dates=H","DateFormat=P","Fill=—","Direction=H","UseDPDF=Y")</f>
        <v>0</v>
      </c>
      <c r="W51" s="13" t="str" cm="1">
        <f t="array" ref="W51">_xll.BDH("PH US Equity","BS_DERIV_HEDGING_LIAB_ST","FQ1 2024","FQ1 2024","Currency=USD","Period=FQ","BEST_FPERIOD_OVERRIDE=FQ","FILING_STATUS=MR","SCALING_FORMAT=MLN","Sort=A","Dates=H","DateFormat=P","Fill=—","Direction=H","UseDPDF=Y")</f>
        <v>—</v>
      </c>
      <c r="X51" s="13" t="str" cm="1">
        <f t="array" ref="X51">_xll.BDH("PH US Equity","BS_DERIV_HEDGING_LIAB_ST","FQ2 2024","FQ2 2024","Currency=USD","Period=FQ","BEST_FPERIOD_OVERRIDE=FQ","FILING_STATUS=MR","SCALING_FORMAT=MLN","Sort=A","Dates=H","DateFormat=P","Fill=—","Direction=H","UseDPDF=Y")</f>
        <v>—</v>
      </c>
      <c r="Y51" s="13" cm="1">
        <f t="array" ref="Y51">_xll.BDH("PH US Equity","BS_DERIV_HEDGING_LIAB_ST","FQ3 2024","FQ3 2024","Currency=USD","Period=FQ","BEST_FPERIOD_OVERRIDE=FQ","FILING_STATUS=MR","SCALING_FORMAT=MLN","Sort=A","Dates=H","DateFormat=P","Fill=—","Direction=H","UseDPDF=Y")</f>
        <v>9.6129999999999995</v>
      </c>
      <c r="Z51" s="13" cm="1">
        <f t="array" ref="Z51">_xll.BDH("PH US Equity","BS_DERIV_HEDGING_LIAB_ST","FQ4 2024","FQ4 2024","Currency=USD","Period=FQ","BEST_FPERIOD_OVERRIDE=FQ","FILING_STATUS=MR","SCALING_FORMAT=MLN","Sort=A","Dates=H","DateFormat=P","Fill=—","Direction=H","UseDPDF=Y")</f>
        <v>7.1999999999999995E-2</v>
      </c>
      <c r="AA51" s="13" cm="1">
        <f t="array" ref="AA51">_xll.BDH("PH US Equity","BS_DERIV_HEDGING_LIAB_ST","FQ1 2025","FQ1 2025","Currency=USD","Period=FQ","BEST_FPERIOD_OVERRIDE=FQ","FILING_STATUS=MR","SCALING_FORMAT=MLN","Sort=A","Dates=H","DateFormat=P","Fill=—","Direction=H","UseDPDF=Y")</f>
        <v>6.0650000000000004</v>
      </c>
      <c r="AB51" s="13" cm="1">
        <f t="array" ref="AB51">_xll.BDH("PH US Equity","BS_DERIV_HEDGING_LIAB_ST","FQ2 2025","FQ2 2025","Currency=USD","Period=FQ","BEST_FPERIOD_OVERRIDE=FQ","FILING_STATUS=MR","SCALING_FORMAT=MLN","Sort=A","Dates=H","DateFormat=P","Fill=—","Direction=H","UseDPDF=Y")</f>
        <v>1.8580000000000001</v>
      </c>
      <c r="AC51" s="13" cm="1">
        <f t="array" ref="AC51">_xll.BDH("PH US Equity","BS_DERIV_HEDGING_LIAB_ST","FQ3 2025","FQ3 2025","Currency=USD","Period=FQ","BEST_FPERIOD_OVERRIDE=FQ","FILING_STATUS=MR","SCALING_FORMAT=MLN","Sort=A","Dates=H","DateFormat=P","Fill=—","Direction=H","UseDPDF=Y")</f>
        <v>28.04</v>
      </c>
      <c r="AD51" s="13" cm="1">
        <f t="array" ref="AD51">_xll.BDH("PH US Equity","BS_DERIV_HEDGING_LIAB_ST","FQ4 2025","FQ4 2025","Currency=USD","Period=FQ","BEST_FPERIOD_OVERRIDE=FQ","FILING_STATUS=MR","SCALING_FORMAT=MLN","Sort=A","Dates=H","DateFormat=P","Fill=—","Direction=H","UseDPDF=Y")</f>
        <v>38</v>
      </c>
      <c r="AE51" s="13" cm="1">
        <f t="array" ref="AE51">_xll.BDH("PH US Equity","BS_DERIV_HEDGING_LIAB_ST","FQ1 2026","FQ1 2026","Currency=USD","Period=FQ","BEST_FPERIOD_OVERRIDE=FQ","FILING_STATUS=MR","SCALING_FORMAT=MLN","Sort=A","Dates=H","DateFormat=P","Fill=—","Direction=H","UseDPDF=Y")</f>
        <v>19</v>
      </c>
      <c r="AF51" s="13" cm="1">
        <f t="array" ref="AF51">_xll.BDH("PH US Equity","BS_DERIV_HEDGING_LIAB_ST","FQ2 2026","FQ2 2026","Currency=USD","Period=FQ","BEST_FPERIOD_OVERRIDE=FQ","FILING_STATUS=MR","SCALING_FORMAT=MLN","Sort=A","Dates=H","DateFormat=P","Fill=—","Direction=H","UseDPDF=Y")</f>
        <v>14</v>
      </c>
    </row>
    <row r="52" spans="1:32" x14ac:dyDescent="0.25">
      <c r="A52" s="10" t="s">
        <v>151</v>
      </c>
      <c r="B52" s="10" t="s">
        <v>152</v>
      </c>
      <c r="C52" s="13" cm="1">
        <f t="array" ref="C52">_xll.BDH("PH US Equity","OTHER_CURRENT_LIABS_DETAILED","FQ1 2019","FQ1 2019","Currency=USD","Period=FQ","BEST_FPERIOD_OVERRIDE=FQ","FILING_STATUS=MR","SCALING_FORMAT=MLN","Sort=A","Dates=H","DateFormat=P","Fill=—","Direction=H","UseDPDF=Y")</f>
        <v>0</v>
      </c>
      <c r="D52" s="13" cm="1">
        <f t="array" ref="D52">_xll.BDH("PH US Equity","OTHER_CURRENT_LIABS_DETAILED","FQ2 2019","FQ2 2019","Currency=USD","Period=FQ","BEST_FPERIOD_OVERRIDE=FQ","FILING_STATUS=MR","SCALING_FORMAT=MLN","Sort=A","Dates=H","DateFormat=P","Fill=—","Direction=H","UseDPDF=Y")</f>
        <v>0</v>
      </c>
      <c r="E52" s="13" cm="1">
        <f t="array" ref="E52">_xll.BDH("PH US Equity","OTHER_CURRENT_LIABS_DETAILED","FQ3 2019","FQ3 2019","Currency=USD","Period=FQ","BEST_FPERIOD_OVERRIDE=FQ","FILING_STATUS=MR","SCALING_FORMAT=MLN","Sort=A","Dates=H","DateFormat=P","Fill=—","Direction=H","UseDPDF=Y")</f>
        <v>0</v>
      </c>
      <c r="F52" s="13" cm="1">
        <f t="array" ref="F52">_xll.BDH("PH US Equity","OTHER_CURRENT_LIABS_DETAILED","FQ4 2019","FQ4 2019","Currency=USD","Period=FQ","BEST_FPERIOD_OVERRIDE=FQ","FILING_STATUS=MR","SCALING_FORMAT=MLN","Sort=A","Dates=H","DateFormat=P","Fill=—","Direction=H","UseDPDF=Y")</f>
        <v>0</v>
      </c>
      <c r="G52" s="13" cm="1">
        <f t="array" ref="G52">_xll.BDH("PH US Equity","OTHER_CURRENT_LIABS_DETAILED","FQ1 2020","FQ1 2020","Currency=USD","Period=FQ","BEST_FPERIOD_OVERRIDE=FQ","FILING_STATUS=MR","SCALING_FORMAT=MLN","Sort=A","Dates=H","DateFormat=P","Fill=—","Direction=H","UseDPDF=Y")</f>
        <v>0</v>
      </c>
      <c r="H52" s="13" cm="1">
        <f t="array" ref="H52">_xll.BDH("PH US Equity","OTHER_CURRENT_LIABS_DETAILED","FQ2 2020","FQ2 2020","Currency=USD","Period=FQ","BEST_FPERIOD_OVERRIDE=FQ","FILING_STATUS=MR","SCALING_FORMAT=MLN","Sort=A","Dates=H","DateFormat=P","Fill=—","Direction=H","UseDPDF=Y")</f>
        <v>0</v>
      </c>
      <c r="I52" s="13" cm="1">
        <f t="array" ref="I52">_xll.BDH("PH US Equity","OTHER_CURRENT_LIABS_DETAILED","FQ3 2020","FQ3 2020","Currency=USD","Period=FQ","BEST_FPERIOD_OVERRIDE=FQ","FILING_STATUS=MR","SCALING_FORMAT=MLN","Sort=A","Dates=H","DateFormat=P","Fill=—","Direction=H","UseDPDF=Y")</f>
        <v>0</v>
      </c>
      <c r="J52" s="13" cm="1">
        <f t="array" ref="J52">_xll.BDH("PH US Equity","OTHER_CURRENT_LIABS_DETAILED","FQ4 2020","FQ4 2020","Currency=USD","Period=FQ","BEST_FPERIOD_OVERRIDE=FQ","FILING_STATUS=MR","SCALING_FORMAT=MLN","Sort=A","Dates=H","DateFormat=P","Fill=—","Direction=H","UseDPDF=Y")</f>
        <v>0</v>
      </c>
      <c r="K52" s="13" cm="1">
        <f t="array" ref="K52">_xll.BDH("PH US Equity","OTHER_CURRENT_LIABS_DETAILED","FQ1 2021","FQ1 2021","Currency=USD","Period=FQ","BEST_FPERIOD_OVERRIDE=FQ","FILING_STATUS=MR","SCALING_FORMAT=MLN","Sort=A","Dates=H","DateFormat=P","Fill=—","Direction=H","UseDPDF=Y")</f>
        <v>0</v>
      </c>
      <c r="L52" s="13" cm="1">
        <f t="array" ref="L52">_xll.BDH("PH US Equity","OTHER_CURRENT_LIABS_DETAILED","FQ2 2021","FQ2 2021","Currency=USD","Period=FQ","BEST_FPERIOD_OVERRIDE=FQ","FILING_STATUS=MR","SCALING_FORMAT=MLN","Sort=A","Dates=H","DateFormat=P","Fill=—","Direction=H","UseDPDF=Y")</f>
        <v>0</v>
      </c>
      <c r="M52" s="13" cm="1">
        <f t="array" ref="M52">_xll.BDH("PH US Equity","OTHER_CURRENT_LIABS_DETAILED","FQ3 2021","FQ3 2021","Currency=USD","Period=FQ","BEST_FPERIOD_OVERRIDE=FQ","FILING_STATUS=MR","SCALING_FORMAT=MLN","Sort=A","Dates=H","DateFormat=P","Fill=—","Direction=H","UseDPDF=Y")</f>
        <v>0</v>
      </c>
      <c r="N52" s="13" cm="1">
        <f t="array" ref="N52">_xll.BDH("PH US Equity","OTHER_CURRENT_LIABS_DETAILED","FQ4 2021","FQ4 2021","Currency=USD","Period=FQ","BEST_FPERIOD_OVERRIDE=FQ","FILING_STATUS=MR","SCALING_FORMAT=MLN","Sort=A","Dates=H","DateFormat=P","Fill=—","Direction=H","UseDPDF=Y")</f>
        <v>0</v>
      </c>
      <c r="O52" s="13" cm="1">
        <f t="array" ref="O52">_xll.BDH("PH US Equity","OTHER_CURRENT_LIABS_DETAILED","FQ1 2022","FQ1 2022","Currency=USD","Period=FQ","BEST_FPERIOD_OVERRIDE=FQ","FILING_STATUS=MR","SCALING_FORMAT=MLN","Sort=A","Dates=H","DateFormat=P","Fill=—","Direction=H","UseDPDF=Y")</f>
        <v>0</v>
      </c>
      <c r="P52" s="13" cm="1">
        <f t="array" ref="P52">_xll.BDH("PH US Equity","OTHER_CURRENT_LIABS_DETAILED","FQ2 2022","FQ2 2022","Currency=USD","Period=FQ","BEST_FPERIOD_OVERRIDE=FQ","FILING_STATUS=MR","SCALING_FORMAT=MLN","Sort=A","Dates=H","DateFormat=P","Fill=—","Direction=H","UseDPDF=Y")</f>
        <v>0</v>
      </c>
      <c r="Q52" s="13" cm="1">
        <f t="array" ref="Q52">_xll.BDH("PH US Equity","OTHER_CURRENT_LIABS_DETAILED","FQ3 2022","FQ3 2022","Currency=USD","Period=FQ","BEST_FPERIOD_OVERRIDE=FQ","FILING_STATUS=MR","SCALING_FORMAT=MLN","Sort=A","Dates=H","DateFormat=P","Fill=—","Direction=H","UseDPDF=Y")</f>
        <v>0</v>
      </c>
      <c r="R52" s="13" cm="1">
        <f t="array" ref="R52">_xll.BDH("PH US Equity","OTHER_CURRENT_LIABS_DETAILED","FQ4 2022","FQ4 2022","Currency=USD","Period=FQ","BEST_FPERIOD_OVERRIDE=FQ","FILING_STATUS=MR","SCALING_FORMAT=MLN","Sort=A","Dates=H","DateFormat=P","Fill=—","Direction=H","UseDPDF=Y")</f>
        <v>0</v>
      </c>
      <c r="S52" s="13" cm="1">
        <f t="array" ref="S52">_xll.BDH("PH US Equity","OTHER_CURRENT_LIABS_DETAILED","FQ1 2023","FQ1 2023","Currency=USD","Period=FQ","BEST_FPERIOD_OVERRIDE=FQ","FILING_STATUS=MR","SCALING_FORMAT=MLN","Sort=A","Dates=H","DateFormat=P","Fill=—","Direction=H","UseDPDF=Y")</f>
        <v>0</v>
      </c>
      <c r="T52" s="13" cm="1">
        <f t="array" ref="T52">_xll.BDH("PH US Equity","OTHER_CURRENT_LIABS_DETAILED","FQ2 2023","FQ2 2023","Currency=USD","Period=FQ","BEST_FPERIOD_OVERRIDE=FQ","FILING_STATUS=MR","SCALING_FORMAT=MLN","Sort=A","Dates=H","DateFormat=P","Fill=—","Direction=H","UseDPDF=Y")</f>
        <v>0</v>
      </c>
      <c r="U52" s="13" cm="1">
        <f t="array" ref="U52">_xll.BDH("PH US Equity","OTHER_CURRENT_LIABS_DETAILED","FQ3 2023","FQ3 2023","Currency=USD","Period=FQ","BEST_FPERIOD_OVERRIDE=FQ","FILING_STATUS=MR","SCALING_FORMAT=MLN","Sort=A","Dates=H","DateFormat=P","Fill=—","Direction=H","UseDPDF=Y")</f>
        <v>0</v>
      </c>
      <c r="V52" s="13" cm="1">
        <f t="array" ref="V52">_xll.BDH("PH US Equity","OTHER_CURRENT_LIABS_DETAILED","FQ4 2023","FQ4 2023","Currency=USD","Period=FQ","BEST_FPERIOD_OVERRIDE=FQ","FILING_STATUS=MR","SCALING_FORMAT=MLN","Sort=A","Dates=H","DateFormat=P","Fill=—","Direction=H","UseDPDF=Y")</f>
        <v>0</v>
      </c>
      <c r="W52" s="13" cm="1">
        <f t="array" ref="W52">_xll.BDH("PH US Equity","OTHER_CURRENT_LIABS_DETAILED","FQ1 2024","FQ1 2024","Currency=USD","Period=FQ","BEST_FPERIOD_OVERRIDE=FQ","FILING_STATUS=MR","SCALING_FORMAT=MLN","Sort=A","Dates=H","DateFormat=P","Fill=—","Direction=H","UseDPDF=Y")</f>
        <v>0</v>
      </c>
      <c r="X52" s="13" cm="1">
        <f t="array" ref="X52">_xll.BDH("PH US Equity","OTHER_CURRENT_LIABS_DETAILED","FQ2 2024","FQ2 2024","Currency=USD","Period=FQ","BEST_FPERIOD_OVERRIDE=FQ","FILING_STATUS=MR","SCALING_FORMAT=MLN","Sort=A","Dates=H","DateFormat=P","Fill=—","Direction=H","UseDPDF=Y")</f>
        <v>0</v>
      </c>
      <c r="Y52" s="13" cm="1">
        <f t="array" ref="Y52">_xll.BDH("PH US Equity","OTHER_CURRENT_LIABS_DETAILED","FQ3 2024","FQ3 2024","Currency=USD","Period=FQ","BEST_FPERIOD_OVERRIDE=FQ","FILING_STATUS=MR","SCALING_FORMAT=MLN","Sort=A","Dates=H","DateFormat=P","Fill=—","Direction=H","UseDPDF=Y")</f>
        <v>0</v>
      </c>
      <c r="Z52" s="13" cm="1">
        <f t="array" ref="Z52">_xll.BDH("PH US Equity","OTHER_CURRENT_LIABS_DETAILED","FQ4 2024","FQ4 2024","Currency=USD","Period=FQ","BEST_FPERIOD_OVERRIDE=FQ","FILING_STATUS=MR","SCALING_FORMAT=MLN","Sort=A","Dates=H","DateFormat=P","Fill=—","Direction=H","UseDPDF=Y")</f>
        <v>0</v>
      </c>
      <c r="AA52" s="13" cm="1">
        <f t="array" ref="AA52">_xll.BDH("PH US Equity","OTHER_CURRENT_LIABS_DETAILED","FQ1 2025","FQ1 2025","Currency=USD","Period=FQ","BEST_FPERIOD_OVERRIDE=FQ","FILING_STATUS=MR","SCALING_FORMAT=MLN","Sort=A","Dates=H","DateFormat=P","Fill=—","Direction=H","UseDPDF=Y")</f>
        <v>0</v>
      </c>
      <c r="AB52" s="13" cm="1">
        <f t="array" ref="AB52">_xll.BDH("PH US Equity","OTHER_CURRENT_LIABS_DETAILED","FQ2 2025","FQ2 2025","Currency=USD","Period=FQ","BEST_FPERIOD_OVERRIDE=FQ","FILING_STATUS=MR","SCALING_FORMAT=MLN","Sort=A","Dates=H","DateFormat=P","Fill=—","Direction=H","UseDPDF=Y")</f>
        <v>0</v>
      </c>
      <c r="AC52" s="13" cm="1">
        <f t="array" ref="AC52">_xll.BDH("PH US Equity","OTHER_CURRENT_LIABS_DETAILED","FQ3 2025","FQ3 2025","Currency=USD","Period=FQ","BEST_FPERIOD_OVERRIDE=FQ","FILING_STATUS=MR","SCALING_FORMAT=MLN","Sort=A","Dates=H","DateFormat=P","Fill=—","Direction=H","UseDPDF=Y")</f>
        <v>0</v>
      </c>
      <c r="AD52" s="13" cm="1">
        <f t="array" ref="AD52">_xll.BDH("PH US Equity","OTHER_CURRENT_LIABS_DETAILED","FQ4 2025","FQ4 2025","Currency=USD","Period=FQ","BEST_FPERIOD_OVERRIDE=FQ","FILING_STATUS=MR","SCALING_FORMAT=MLN","Sort=A","Dates=H","DateFormat=P","Fill=—","Direction=H","UseDPDF=Y")</f>
        <v>0</v>
      </c>
      <c r="AE52" s="13" cm="1">
        <f t="array" ref="AE52">_xll.BDH("PH US Equity","OTHER_CURRENT_LIABS_DETAILED","FQ1 2026","FQ1 2026","Currency=USD","Period=FQ","BEST_FPERIOD_OVERRIDE=FQ","FILING_STATUS=MR","SCALING_FORMAT=MLN","Sort=A","Dates=H","DateFormat=P","Fill=—","Direction=H","UseDPDF=Y")</f>
        <v>938</v>
      </c>
      <c r="AF52" s="13" cm="1">
        <f t="array" ref="AF52">_xll.BDH("PH US Equity","OTHER_CURRENT_LIABS_DETAILED","FQ2 2026","FQ2 2026","Currency=USD","Period=FQ","BEST_FPERIOD_OVERRIDE=FQ","FILING_STATUS=MR","SCALING_FORMAT=MLN","Sort=A","Dates=H","DateFormat=P","Fill=—","Direction=H","UseDPDF=Y")</f>
        <v>0</v>
      </c>
    </row>
    <row r="53" spans="1:32" x14ac:dyDescent="0.25">
      <c r="A53" s="6" t="s">
        <v>153</v>
      </c>
      <c r="B53" s="6" t="s">
        <v>154</v>
      </c>
      <c r="C53" s="16" cm="1">
        <f t="array" ref="C53">_xll.BDH("PH US Equity","BS_CUR_LIAB","FQ1 2019","FQ1 2019","Currency=USD","Period=FQ","BEST_FPERIOD_OVERRIDE=FQ","FILING_STATUS=MR","SCALING_FORMAT=MLN","Sort=A","Dates=H","DateFormat=P","Fill=—","Direction=H","UseDPDF=Y")</f>
        <v>3308.5210000000002</v>
      </c>
      <c r="D53" s="16" cm="1">
        <f t="array" ref="D53">_xll.BDH("PH US Equity","BS_CUR_LIAB","FQ2 2019","FQ2 2019","Currency=USD","Period=FQ","BEST_FPERIOD_OVERRIDE=FQ","FILING_STATUS=MR","SCALING_FORMAT=MLN","Sort=A","Dates=H","DateFormat=P","Fill=—","Direction=H","UseDPDF=Y")</f>
        <v>3508.9340000000002</v>
      </c>
      <c r="E53" s="16" cm="1">
        <f t="array" ref="E53">_xll.BDH("PH US Equity","BS_CUR_LIAB","FQ3 2019","FQ3 2019","Currency=USD","Period=FQ","BEST_FPERIOD_OVERRIDE=FQ","FILING_STATUS=MR","SCALING_FORMAT=MLN","Sort=A","Dates=H","DateFormat=P","Fill=—","Direction=H","UseDPDF=Y")</f>
        <v>3548.95</v>
      </c>
      <c r="F53" s="16" cm="1">
        <f t="array" ref="F53">_xll.BDH("PH US Equity","BS_CUR_LIAB","FQ4 2019","FQ4 2019","Currency=USD","Period=FQ","BEST_FPERIOD_OVERRIDE=FQ","FILING_STATUS=MR","SCALING_FORMAT=MLN","Sort=A","Dates=H","DateFormat=P","Fill=—","Direction=H","UseDPDF=Y")</f>
        <v>3151.7730000000001</v>
      </c>
      <c r="G53" s="16" cm="1">
        <f t="array" ref="G53">_xll.BDH("PH US Equity","BS_CUR_LIAB","FQ1 2020","FQ1 2020","Currency=USD","Period=FQ","BEST_FPERIOD_OVERRIDE=FQ","FILING_STATUS=MR","SCALING_FORMAT=MLN","Sort=A","Dates=H","DateFormat=P","Fill=—","Direction=H","UseDPDF=Y")</f>
        <v>4157.3280000000004</v>
      </c>
      <c r="H53" s="16" cm="1">
        <f t="array" ref="H53">_xll.BDH("PH US Equity","BS_CUR_LIAB","FQ2 2020","FQ2 2020","Currency=USD","Period=FQ","BEST_FPERIOD_OVERRIDE=FQ","FILING_STATUS=MR","SCALING_FORMAT=MLN","Sort=A","Dates=H","DateFormat=P","Fill=—","Direction=H","UseDPDF=Y")</f>
        <v>4091.1219999999998</v>
      </c>
      <c r="I53" s="16" cm="1">
        <f t="array" ref="I53">_xll.BDH("PH US Equity","BS_CUR_LIAB","FQ3 2020","FQ3 2020","Currency=USD","Period=FQ","BEST_FPERIOD_OVERRIDE=FQ","FILING_STATUS=MR","SCALING_FORMAT=MLN","Sort=A","Dates=H","DateFormat=P","Fill=—","Direction=H","UseDPDF=Y")</f>
        <v>3673.6089999999999</v>
      </c>
      <c r="J53" s="16" cm="1">
        <f t="array" ref="J53">_xll.BDH("PH US Equity","BS_CUR_LIAB","FQ4 2020","FQ4 2020","Currency=USD","Period=FQ","BEST_FPERIOD_OVERRIDE=FQ","FILING_STATUS=MR","SCALING_FORMAT=MLN","Sort=A","Dates=H","DateFormat=P","Fill=—","Direction=H","UseDPDF=Y")</f>
        <v>3148.373</v>
      </c>
      <c r="K53" s="16" cm="1">
        <f t="array" ref="K53">_xll.BDH("PH US Equity","BS_CUR_LIAB","FQ1 2021","FQ1 2021","Currency=USD","Period=FQ","BEST_FPERIOD_OVERRIDE=FQ","FILING_STATUS=MR","SCALING_FORMAT=MLN","Sort=A","Dates=H","DateFormat=P","Fill=—","Direction=H","UseDPDF=Y")</f>
        <v>3328.223</v>
      </c>
      <c r="L53" s="16" cm="1">
        <f t="array" ref="L53">_xll.BDH("PH US Equity","BS_CUR_LIAB","FQ2 2021","FQ2 2021","Currency=USD","Period=FQ","BEST_FPERIOD_OVERRIDE=FQ","FILING_STATUS=MR","SCALING_FORMAT=MLN","Sort=A","Dates=H","DateFormat=P","Fill=—","Direction=H","UseDPDF=Y")</f>
        <v>3207.0830000000001</v>
      </c>
      <c r="M53" s="16" cm="1">
        <f t="array" ref="M53">_xll.BDH("PH US Equity","BS_CUR_LIAB","FQ3 2021","FQ3 2021","Currency=USD","Period=FQ","BEST_FPERIOD_OVERRIDE=FQ","FILING_STATUS=MR","SCALING_FORMAT=MLN","Sort=A","Dates=H","DateFormat=P","Fill=—","Direction=H","UseDPDF=Y")</f>
        <v>3036.6469999999999</v>
      </c>
      <c r="N53" s="16" cm="1">
        <f t="array" ref="N53">_xll.BDH("PH US Equity","BS_CUR_LIAB","FQ4 2021","FQ4 2021","Currency=USD","Period=FQ","BEST_FPERIOD_OVERRIDE=FQ","FILING_STATUS=MR","SCALING_FORMAT=MLN","Sort=A","Dates=H","DateFormat=P","Fill=—","Direction=H","UseDPDF=Y")</f>
        <v>3096.5030000000002</v>
      </c>
      <c r="O53" s="16" cm="1">
        <f t="array" ref="O53">_xll.BDH("PH US Equity","BS_CUR_LIAB","FQ1 2022","FQ1 2022","Currency=USD","Period=FQ","BEST_FPERIOD_OVERRIDE=FQ","FILING_STATUS=MR","SCALING_FORMAT=MLN","Sort=A","Dates=H","DateFormat=P","Fill=—","Direction=H","UseDPDF=Y")</f>
        <v>3283.2429999999999</v>
      </c>
      <c r="P53" s="16" cm="1">
        <f t="array" ref="P53">_xll.BDH("PH US Equity","BS_CUR_LIAB","FQ2 2022","FQ2 2022","Currency=USD","Period=FQ","BEST_FPERIOD_OVERRIDE=FQ","FILING_STATUS=MR","SCALING_FORMAT=MLN","Sort=A","Dates=H","DateFormat=P","Fill=—","Direction=H","UseDPDF=Y")</f>
        <v>5257.491</v>
      </c>
      <c r="Q53" s="16" cm="1">
        <f t="array" ref="Q53">_xll.BDH("PH US Equity","BS_CUR_LIAB","FQ3 2022","FQ3 2022","Currency=USD","Period=FQ","BEST_FPERIOD_OVERRIDE=FQ","FILING_STATUS=MR","SCALING_FORMAT=MLN","Sort=A","Dates=H","DateFormat=P","Fill=—","Direction=H","UseDPDF=Y")</f>
        <v>5406.6639999999998</v>
      </c>
      <c r="R53" s="16" cm="1">
        <f t="array" ref="R53">_xll.BDH("PH US Equity","BS_CUR_LIAB","FQ4 2022","FQ4 2022","Currency=USD","Period=FQ","BEST_FPERIOD_OVERRIDE=FQ","FILING_STATUS=MR","SCALING_FORMAT=MLN","Sort=A","Dates=H","DateFormat=P","Fill=—","Direction=H","UseDPDF=Y")</f>
        <v>5859.3180000000002</v>
      </c>
      <c r="S53" s="16" cm="1">
        <f t="array" ref="S53">_xll.BDH("PH US Equity","BS_CUR_LIAB","FQ1 2023","FQ1 2023","Currency=USD","Period=FQ","BEST_FPERIOD_OVERRIDE=FQ","FILING_STATUS=MR","SCALING_FORMAT=MLN","Sort=A","Dates=H","DateFormat=P","Fill=—","Direction=H","UseDPDF=Y")</f>
        <v>5498.7079999999996</v>
      </c>
      <c r="T53" s="16" cm="1">
        <f t="array" ref="T53">_xll.BDH("PH US Equity","BS_CUR_LIAB","FQ2 2023","FQ2 2023","Currency=USD","Period=FQ","BEST_FPERIOD_OVERRIDE=FQ","FILING_STATUS=MR","SCALING_FORMAT=MLN","Sort=A","Dates=H","DateFormat=P","Fill=—","Direction=H","UseDPDF=Y")</f>
        <v>5703.4030000000002</v>
      </c>
      <c r="U53" s="16" cm="1">
        <f t="array" ref="U53">_xll.BDH("PH US Equity","BS_CUR_LIAB","FQ3 2023","FQ3 2023","Currency=USD","Period=FQ","BEST_FPERIOD_OVERRIDE=FQ","FILING_STATUS=MR","SCALING_FORMAT=MLN","Sort=A","Dates=H","DateFormat=P","Fill=—","Direction=H","UseDPDF=Y")</f>
        <v>5788.1689999999999</v>
      </c>
      <c r="V53" s="16" cm="1">
        <f t="array" ref="V53">_xll.BDH("PH US Equity","BS_CUR_LIAB","FQ4 2023","FQ4 2023","Currency=USD","Period=FQ","BEST_FPERIOD_OVERRIDE=FQ","FILING_STATUS=MR","SCALING_FORMAT=MLN","Sort=A","Dates=H","DateFormat=P","Fill=—","Direction=H","UseDPDF=Y")</f>
        <v>7735.37</v>
      </c>
      <c r="W53" s="16" cm="1">
        <f t="array" ref="W53">_xll.BDH("PH US Equity","BS_CUR_LIAB","FQ1 2024","FQ1 2024","Currency=USD","Period=FQ","BEST_FPERIOD_OVERRIDE=FQ","FILING_STATUS=MR","SCALING_FORMAT=MLN","Sort=A","Dates=H","DateFormat=P","Fill=—","Direction=H","UseDPDF=Y")</f>
        <v>7667.0559999999996</v>
      </c>
      <c r="X53" s="16" cm="1">
        <f t="array" ref="X53">_xll.BDH("PH US Equity","BS_CUR_LIAB","FQ2 2024","FQ2 2024","Currency=USD","Period=FQ","BEST_FPERIOD_OVERRIDE=FQ","FILING_STATUS=MR","SCALING_FORMAT=MLN","Sort=A","Dates=H","DateFormat=P","Fill=—","Direction=H","UseDPDF=Y")</f>
        <v>7497.0730000000003</v>
      </c>
      <c r="Y53" s="16" cm="1">
        <f t="array" ref="Y53">_xll.BDH("PH US Equity","BS_CUR_LIAB","FQ3 2024","FQ3 2024","Currency=USD","Period=FQ","BEST_FPERIOD_OVERRIDE=FQ","FILING_STATUS=MR","SCALING_FORMAT=MLN","Sort=A","Dates=H","DateFormat=P","Fill=—","Direction=H","UseDPDF=Y")</f>
        <v>7994.37</v>
      </c>
      <c r="Z53" s="16" cm="1">
        <f t="array" ref="Z53">_xll.BDH("PH US Equity","BS_CUR_LIAB","FQ4 2024","FQ4 2024","Currency=USD","Period=FQ","BEST_FPERIOD_OVERRIDE=FQ","FILING_STATUS=MR","SCALING_FORMAT=MLN","Sort=A","Dates=H","DateFormat=P","Fill=—","Direction=H","UseDPDF=Y")</f>
        <v>7313.3090000000002</v>
      </c>
      <c r="AA53" s="16" cm="1">
        <f t="array" ref="AA53">_xll.BDH("PH US Equity","BS_CUR_LIAB","FQ1 2025","FQ1 2025","Currency=USD","Period=FQ","BEST_FPERIOD_OVERRIDE=FQ","FILING_STATUS=MR","SCALING_FORMAT=MLN","Sort=A","Dates=H","DateFormat=P","Fill=—","Direction=H","UseDPDF=Y")</f>
        <v>7338.03</v>
      </c>
      <c r="AB53" s="16" cm="1">
        <f t="array" ref="AB53">_xll.BDH("PH US Equity","BS_CUR_LIAB","FQ2 2025","FQ2 2025","Currency=USD","Period=FQ","BEST_FPERIOD_OVERRIDE=FQ","FILING_STATUS=MR","SCALING_FORMAT=MLN","Sort=A","Dates=H","DateFormat=P","Fill=—","Direction=H","UseDPDF=Y")</f>
        <v>5987.2910000000002</v>
      </c>
      <c r="AC53" s="16" cm="1">
        <f t="array" ref="AC53">_xll.BDH("PH US Equity","BS_CUR_LIAB","FQ3 2025","FQ3 2025","Currency=USD","Period=FQ","BEST_FPERIOD_OVERRIDE=FQ","FILING_STATUS=MR","SCALING_FORMAT=MLN","Sort=A","Dates=H","DateFormat=P","Fill=—","Direction=H","UseDPDF=Y")</f>
        <v>5614.4660000000003</v>
      </c>
      <c r="AD53" s="16" cm="1">
        <f t="array" ref="AD53">_xll.BDH("PH US Equity","BS_CUR_LIAB","FQ4 2025","FQ4 2025","Currency=USD","Period=FQ","BEST_FPERIOD_OVERRIDE=FQ","FILING_STATUS=MR","SCALING_FORMAT=MLN","Sort=A","Dates=H","DateFormat=P","Fill=—","Direction=H","UseDPDF=Y")</f>
        <v>5819</v>
      </c>
      <c r="AE53" s="16" cm="1">
        <f t="array" ref="AE53">_xll.BDH("PH US Equity","BS_CUR_LIAB","FQ1 2026","FQ1 2026","Currency=USD","Period=FQ","BEST_FPERIOD_OVERRIDE=FQ","FILING_STATUS=MR","SCALING_FORMAT=MLN","Sort=A","Dates=H","DateFormat=P","Fill=—","Direction=H","UseDPDF=Y")</f>
        <v>6779</v>
      </c>
      <c r="AF53" s="16" cm="1">
        <f t="array" ref="AF53">_xll.BDH("PH US Equity","BS_CUR_LIAB","FQ2 2026","FQ2 2026","Currency=USD","Period=FQ","BEST_FPERIOD_OVERRIDE=FQ","FILING_STATUS=MR","SCALING_FORMAT=MLN","Sort=A","Dates=H","DateFormat=P","Fill=—","Direction=H","UseDPDF=Y")</f>
        <v>6086</v>
      </c>
    </row>
    <row r="54" spans="1:32" x14ac:dyDescent="0.25">
      <c r="A54" s="10" t="s">
        <v>155</v>
      </c>
      <c r="B54" s="10" t="s">
        <v>156</v>
      </c>
      <c r="C54" s="13" cm="1">
        <f t="array" ref="C54">_xll.BDH("PH US Equity","BS_LT_BORROW","FQ1 2019","FQ1 2019","Currency=USD","Period=FQ","BEST_FPERIOD_OVERRIDE=FQ","FILING_STATUS=MR","SCALING_FORMAT=MLN","Sort=A","Dates=H","DateFormat=P","Fill=—","Direction=H","UseDPDF=Y")</f>
        <v>4313.2209999999995</v>
      </c>
      <c r="D54" s="13" cm="1">
        <f t="array" ref="D54">_xll.BDH("PH US Equity","BS_LT_BORROW","FQ2 2019","FQ2 2019","Currency=USD","Period=FQ","BEST_FPERIOD_OVERRIDE=FQ","FILING_STATUS=MR","SCALING_FORMAT=MLN","Sort=A","Dates=H","DateFormat=P","Fill=—","Direction=H","UseDPDF=Y")</f>
        <v>4303.3310000000001</v>
      </c>
      <c r="E54" s="13" cm="1">
        <f t="array" ref="E54">_xll.BDH("PH US Equity","BS_LT_BORROW","FQ3 2019","FQ3 2019","Currency=USD","Period=FQ","BEST_FPERIOD_OVERRIDE=FQ","FILING_STATUS=MR","SCALING_FORMAT=MLN","Sort=A","Dates=H","DateFormat=P","Fill=—","Direction=H","UseDPDF=Y")</f>
        <v>4284.2349999999997</v>
      </c>
      <c r="F54" s="13" cm="1">
        <f t="array" ref="F54">_xll.BDH("PH US Equity","BS_LT_BORROW","FQ4 2019","FQ4 2019","Currency=USD","Period=FQ","BEST_FPERIOD_OVERRIDE=FQ","FILING_STATUS=MR","SCALING_FORMAT=MLN","Sort=A","Dates=H","DateFormat=P","Fill=—","Direction=H","UseDPDF=Y")</f>
        <v>6520.8310000000001</v>
      </c>
      <c r="G54" s="13" cm="1">
        <f t="array" ref="G54">_xll.BDH("PH US Equity","BS_LT_BORROW","FQ1 2020","FQ1 2020","Currency=USD","Period=FQ","BEST_FPERIOD_OVERRIDE=FQ","FILING_STATUS=MR","SCALING_FORMAT=MLN","Sort=A","Dates=H","DateFormat=P","Fill=—","Direction=H","UseDPDF=Y")</f>
        <v>7464.2510000000002</v>
      </c>
      <c r="H54" s="13" cm="1">
        <f t="array" ref="H54">_xll.BDH("PH US Equity","BS_LT_BORROW","FQ2 2020","FQ2 2020","Currency=USD","Period=FQ","BEST_FPERIOD_OVERRIDE=FQ","FILING_STATUS=MR","SCALING_FORMAT=MLN","Sort=A","Dates=H","DateFormat=P","Fill=—","Direction=H","UseDPDF=Y")</f>
        <v>8253.6620000000003</v>
      </c>
      <c r="I54" s="13" cm="1">
        <f t="array" ref="I54">_xll.BDH("PH US Equity","BS_LT_BORROW","FQ3 2020","FQ3 2020","Currency=USD","Period=FQ","BEST_FPERIOD_OVERRIDE=FQ","FILING_STATUS=MR","SCALING_FORMAT=MLN","Sort=A","Dates=H","DateFormat=P","Fill=—","Direction=H","UseDPDF=Y")</f>
        <v>8195.2389999999996</v>
      </c>
      <c r="J54" s="13" cm="1">
        <f t="array" ref="J54">_xll.BDH("PH US Equity","BS_LT_BORROW","FQ4 2020","FQ4 2020","Currency=USD","Period=FQ","BEST_FPERIOD_OVERRIDE=FQ","FILING_STATUS=MR","SCALING_FORMAT=MLN","Sort=A","Dates=H","DateFormat=P","Fill=—","Direction=H","UseDPDF=Y")</f>
        <v>7748.7020000000002</v>
      </c>
      <c r="K54" s="13" cm="1">
        <f t="array" ref="K54">_xll.BDH("PH US Equity","BS_LT_BORROW","FQ1 2021","FQ1 2021","Currency=USD","Period=FQ","BEST_FPERIOD_OVERRIDE=FQ","FILING_STATUS=MR","SCALING_FORMAT=MLN","Sort=A","Dates=H","DateFormat=P","Fill=—","Direction=H","UseDPDF=Y")</f>
        <v>7057.723</v>
      </c>
      <c r="L54" s="13" cm="1">
        <f t="array" ref="L54">_xll.BDH("PH US Equity","BS_LT_BORROW","FQ2 2021","FQ2 2021","Currency=USD","Period=FQ","BEST_FPERIOD_OVERRIDE=FQ","FILING_STATUS=MR","SCALING_FORMAT=MLN","Sort=A","Dates=H","DateFormat=P","Fill=—","Direction=H","UseDPDF=Y")</f>
        <v>6602.3090000000002</v>
      </c>
      <c r="M54" s="13" cm="1">
        <f t="array" ref="M54">_xll.BDH("PH US Equity","BS_LT_BORROW","FQ3 2021","FQ3 2021","Currency=USD","Period=FQ","BEST_FPERIOD_OVERRIDE=FQ","FILING_STATUS=MR","SCALING_FORMAT=MLN","Sort=A","Dates=H","DateFormat=P","Fill=—","Direction=H","UseDPDF=Y")</f>
        <v>6571.9080000000004</v>
      </c>
      <c r="N54" s="13" cm="1">
        <f t="array" ref="N54">_xll.BDH("PH US Equity","BS_LT_BORROW","FQ4 2021","FQ4 2021","Currency=USD","Period=FQ","BEST_FPERIOD_OVERRIDE=FQ","FILING_STATUS=MR","SCALING_FORMAT=MLN","Sort=A","Dates=H","DateFormat=P","Fill=—","Direction=H","UseDPDF=Y")</f>
        <v>6675.9570000000003</v>
      </c>
      <c r="O54" s="13" cm="1">
        <f t="array" ref="O54">_xll.BDH("PH US Equity","BS_LT_BORROW","FQ1 2022","FQ1 2022","Currency=USD","Period=FQ","BEST_FPERIOD_OVERRIDE=FQ","FILING_STATUS=MR","SCALING_FORMAT=MLN","Sort=A","Dates=H","DateFormat=P","Fill=—","Direction=H","UseDPDF=Y")</f>
        <v>6263.9409999999998</v>
      </c>
      <c r="P54" s="13" cm="1">
        <f t="array" ref="P54">_xll.BDH("PH US Equity","BS_LT_BORROW","FQ2 2022","FQ2 2022","Currency=USD","Period=FQ","BEST_FPERIOD_OVERRIDE=FQ","FILING_STATUS=MR","SCALING_FORMAT=MLN","Sort=A","Dates=H","DateFormat=P","Fill=—","Direction=H","UseDPDF=Y")</f>
        <v>6250.5249999999996</v>
      </c>
      <c r="Q54" s="13" cm="1">
        <f t="array" ref="Q54">_xll.BDH("PH US Equity","BS_LT_BORROW","FQ3 2022","FQ3 2022","Currency=USD","Period=FQ","BEST_FPERIOD_OVERRIDE=FQ","FILING_STATUS=MR","SCALING_FORMAT=MLN","Sort=A","Dates=H","DateFormat=P","Fill=—","Direction=H","UseDPDF=Y")</f>
        <v>6229.6540000000005</v>
      </c>
      <c r="R54" s="13" cm="1">
        <f t="array" ref="R54">_xll.BDH("PH US Equity","BS_LT_BORROW","FQ4 2022","FQ4 2022","Currency=USD","Period=FQ","BEST_FPERIOD_OVERRIDE=FQ","FILING_STATUS=MR","SCALING_FORMAT=MLN","Sort=A","Dates=H","DateFormat=P","Fill=—","Direction=H","UseDPDF=Y")</f>
        <v>9856.1620000000003</v>
      </c>
      <c r="S54" s="13" cm="1">
        <f t="array" ref="S54">_xll.BDH("PH US Equity","BS_LT_BORROW","FQ1 2023","FQ1 2023","Currency=USD","Period=FQ","BEST_FPERIOD_OVERRIDE=FQ","FILING_STATUS=MR","SCALING_FORMAT=MLN","Sort=A","Dates=H","DateFormat=P","Fill=—","Direction=H","UseDPDF=Y")</f>
        <v>12238.9</v>
      </c>
      <c r="T54" s="13" cm="1">
        <f t="array" ref="T54">_xll.BDH("PH US Equity","BS_LT_BORROW","FQ2 2023","FQ2 2023","Currency=USD","Period=FQ","BEST_FPERIOD_OVERRIDE=FQ","FILING_STATUS=MR","SCALING_FORMAT=MLN","Sort=A","Dates=H","DateFormat=P","Fill=—","Direction=H","UseDPDF=Y")</f>
        <v>12025.86</v>
      </c>
      <c r="U54" s="13" cm="1">
        <f t="array" ref="U54">_xll.BDH("PH US Equity","BS_LT_BORROW","FQ3 2023","FQ3 2023","Currency=USD","Period=FQ","BEST_FPERIOD_OVERRIDE=FQ","FILING_STATUS=MR","SCALING_FORMAT=MLN","Sort=A","Dates=H","DateFormat=P","Fill=—","Direction=H","UseDPDF=Y")</f>
        <v>11412.304</v>
      </c>
      <c r="V54" s="13" cm="1">
        <f t="array" ref="V54">_xll.BDH("PH US Equity","BS_LT_BORROW","FQ4 2023","FQ4 2023","Currency=USD","Period=FQ","BEST_FPERIOD_OVERRIDE=FQ","FILING_STATUS=MR","SCALING_FORMAT=MLN","Sort=A","Dates=H","DateFormat=P","Fill=—","Direction=H","UseDPDF=Y")</f>
        <v>9084.6180000000004</v>
      </c>
      <c r="W54" s="13" cm="1">
        <f t="array" ref="W54">_xll.BDH("PH US Equity","BS_LT_BORROW","FQ1 2024","FQ1 2024","Currency=USD","Period=FQ","BEST_FPERIOD_OVERRIDE=FQ","FILING_STATUS=MR","SCALING_FORMAT=MLN","Sort=A","Dates=H","DateFormat=P","Fill=—","Direction=H","UseDPDF=Y")</f>
        <v>8596.0630000000001</v>
      </c>
      <c r="X54" s="13" cm="1">
        <f t="array" ref="X54">_xll.BDH("PH US Equity","BS_LT_BORROW","FQ2 2024","FQ2 2024","Currency=USD","Period=FQ","BEST_FPERIOD_OVERRIDE=FQ","FILING_STATUS=MR","SCALING_FORMAT=MLN","Sort=A","Dates=H","DateFormat=P","Fill=—","Direction=H","UseDPDF=Y")</f>
        <v>8108.6959999999999</v>
      </c>
      <c r="Y54" s="13" cm="1">
        <f t="array" ref="Y54">_xll.BDH("PH US Equity","BS_LT_BORROW","FQ3 2024","FQ3 2024","Currency=USD","Period=FQ","BEST_FPERIOD_OVERRIDE=FQ","FILING_STATUS=MR","SCALING_FORMAT=MLN","Sort=A","Dates=H","DateFormat=P","Fill=—","Direction=H","UseDPDF=Y")</f>
        <v>7290.2079999999996</v>
      </c>
      <c r="Z54" s="13" cm="1">
        <f t="array" ref="Z54">_xll.BDH("PH US Equity","BS_LT_BORROW","FQ4 2024","FQ4 2024","Currency=USD","Period=FQ","BEST_FPERIOD_OVERRIDE=FQ","FILING_STATUS=MR","SCALING_FORMAT=MLN","Sort=A","Dates=H","DateFormat=P","Fill=—","Direction=H","UseDPDF=Y")</f>
        <v>7435.2259999999997</v>
      </c>
      <c r="AA54" s="13" cm="1">
        <f t="array" ref="AA54">_xll.BDH("PH US Equity","BS_LT_BORROW","FQ1 2025","FQ1 2025","Currency=USD","Period=FQ","BEST_FPERIOD_OVERRIDE=FQ","FILING_STATUS=MR","SCALING_FORMAT=MLN","Sort=A","Dates=H","DateFormat=P","Fill=—","Direction=H","UseDPDF=Y")</f>
        <v>6673.3029999999999</v>
      </c>
      <c r="AB54" s="13" cm="1">
        <f t="array" ref="AB54">_xll.BDH("PH US Equity","BS_LT_BORROW","FQ2 2025","FQ2 2025","Currency=USD","Period=FQ","BEST_FPERIOD_OVERRIDE=FQ","FILING_STATUS=MR","SCALING_FORMAT=MLN","Sort=A","Dates=H","DateFormat=P","Fill=—","Direction=H","UseDPDF=Y")</f>
        <v>6667.9549999999999</v>
      </c>
      <c r="AC54" s="13" cm="1">
        <f t="array" ref="AC54">_xll.BDH("PH US Equity","BS_LT_BORROW","FQ3 2025","FQ3 2025","Currency=USD","Period=FQ","BEST_FPERIOD_OVERRIDE=FQ","FILING_STATUS=MR","SCALING_FORMAT=MLN","Sort=A","Dates=H","DateFormat=P","Fill=—","Direction=H","UseDPDF=Y")</f>
        <v>7421.37</v>
      </c>
      <c r="AD54" s="13" cm="1">
        <f t="array" ref="AD54">_xll.BDH("PH US Equity","BS_LT_BORROW","FQ4 2025","FQ4 2025","Currency=USD","Period=FQ","BEST_FPERIOD_OVERRIDE=FQ","FILING_STATUS=MR","SCALING_FORMAT=MLN","Sort=A","Dates=H","DateFormat=P","Fill=—","Direction=H","UseDPDF=Y")</f>
        <v>7750</v>
      </c>
      <c r="AE54" s="13" cm="1">
        <f t="array" ref="AE54">_xll.BDH("PH US Equity","BS_LT_BORROW","FQ1 2026","FQ1 2026","Currency=USD","Period=FQ","BEST_FPERIOD_OVERRIDE=FQ","FILING_STATUS=MR","SCALING_FORMAT=MLN","Sort=A","Dates=H","DateFormat=P","Fill=—","Direction=H","UseDPDF=Y")</f>
        <v>7485</v>
      </c>
      <c r="AF54" s="13" cm="1">
        <f t="array" ref="AF54">_xll.BDH("PH US Equity","BS_LT_BORROW","FQ2 2026","FQ2 2026","Currency=USD","Period=FQ","BEST_FPERIOD_OVERRIDE=FQ","FILING_STATUS=MR","SCALING_FORMAT=MLN","Sort=A","Dates=H","DateFormat=P","Fill=—","Direction=H","UseDPDF=Y")</f>
        <v>7484</v>
      </c>
    </row>
    <row r="55" spans="1:32" x14ac:dyDescent="0.25">
      <c r="A55" s="10" t="s">
        <v>157</v>
      </c>
      <c r="B55" s="10" t="s">
        <v>158</v>
      </c>
      <c r="C55" s="13" cm="1">
        <f t="array" ref="C55">_xll.BDH("PH US Equity","LONG_TERM_BORROWINGS_DETAILED","FQ1 2019","FQ1 2019","Currency=USD","Period=FQ","BEST_FPERIOD_OVERRIDE=FQ","FILING_STATUS=MR","SCALING_FORMAT=MLN","Sort=A","Dates=H","DateFormat=P","Fill=—","Direction=H","UseDPDF=Y")</f>
        <v>4313.2209999999995</v>
      </c>
      <c r="D55" s="13" cm="1">
        <f t="array" ref="D55">_xll.BDH("PH US Equity","LONG_TERM_BORROWINGS_DETAILED","FQ2 2019","FQ2 2019","Currency=USD","Period=FQ","BEST_FPERIOD_OVERRIDE=FQ","FILING_STATUS=MR","SCALING_FORMAT=MLN","Sort=A","Dates=H","DateFormat=P","Fill=—","Direction=H","UseDPDF=Y")</f>
        <v>4303.3310000000001</v>
      </c>
      <c r="E55" s="13" cm="1">
        <f t="array" ref="E55">_xll.BDH("PH US Equity","LONG_TERM_BORROWINGS_DETAILED","FQ3 2019","FQ3 2019","Currency=USD","Period=FQ","BEST_FPERIOD_OVERRIDE=FQ","FILING_STATUS=MR","SCALING_FORMAT=MLN","Sort=A","Dates=H","DateFormat=P","Fill=—","Direction=H","UseDPDF=Y")</f>
        <v>4284.2349999999997</v>
      </c>
      <c r="F55" s="13" cm="1">
        <f t="array" ref="F55">_xll.BDH("PH US Equity","LONG_TERM_BORROWINGS_DETAILED","FQ4 2019","FQ4 2019","Currency=USD","Period=FQ","BEST_FPERIOD_OVERRIDE=FQ","FILING_STATUS=MR","SCALING_FORMAT=MLN","Sort=A","Dates=H","DateFormat=P","Fill=—","Direction=H","UseDPDF=Y")</f>
        <v>6520.8310000000001</v>
      </c>
      <c r="G55" s="13" cm="1">
        <f t="array" ref="G55">_xll.BDH("PH US Equity","LONG_TERM_BORROWINGS_DETAILED","FQ1 2020","FQ1 2020","Currency=USD","Period=FQ","BEST_FPERIOD_OVERRIDE=FQ","FILING_STATUS=MR","SCALING_FORMAT=MLN","Sort=A","Dates=H","DateFormat=P","Fill=—","Direction=H","UseDPDF=Y")</f>
        <v>7366.9120000000003</v>
      </c>
      <c r="H55" s="13" cm="1">
        <f t="array" ref="H55">_xll.BDH("PH US Equity","LONG_TERM_BORROWINGS_DETAILED","FQ2 2020","FQ2 2020","Currency=USD","Period=FQ","BEST_FPERIOD_OVERRIDE=FQ","FILING_STATUS=MR","SCALING_FORMAT=MLN","Sort=A","Dates=H","DateFormat=P","Fill=—","Direction=H","UseDPDF=Y")</f>
        <v>8141.22</v>
      </c>
      <c r="I55" s="13" cm="1">
        <f t="array" ref="I55">_xll.BDH("PH US Equity","LONG_TERM_BORROWINGS_DETAILED","FQ3 2020","FQ3 2020","Currency=USD","Period=FQ","BEST_FPERIOD_OVERRIDE=FQ","FILING_STATUS=MR","SCALING_FORMAT=MLN","Sort=A","Dates=H","DateFormat=P","Fill=—","Direction=H","UseDPDF=Y")</f>
        <v>8097.9219999999996</v>
      </c>
      <c r="J55" s="13" cm="1">
        <f t="array" ref="J55">_xll.BDH("PH US Equity","LONG_TERM_BORROWINGS_DETAILED","FQ4 2020","FQ4 2020","Currency=USD","Period=FQ","BEST_FPERIOD_OVERRIDE=FQ","FILING_STATUS=MR","SCALING_FORMAT=MLN","Sort=A","Dates=H","DateFormat=P","Fill=—","Direction=H","UseDPDF=Y")</f>
        <v>7652.2560000000003</v>
      </c>
      <c r="K55" s="13" cm="1">
        <f t="array" ref="K55">_xll.BDH("PH US Equity","LONG_TERM_BORROWINGS_DETAILED","FQ1 2021","FQ1 2021","Currency=USD","Period=FQ","BEST_FPERIOD_OVERRIDE=FQ","FILING_STATUS=MR","SCALING_FORMAT=MLN","Sort=A","Dates=H","DateFormat=P","Fill=—","Direction=H","UseDPDF=Y")</f>
        <v>7057.723</v>
      </c>
      <c r="L55" s="13" cm="1">
        <f t="array" ref="L55">_xll.BDH("PH US Equity","LONG_TERM_BORROWINGS_DETAILED","FQ2 2021","FQ2 2021","Currency=USD","Period=FQ","BEST_FPERIOD_OVERRIDE=FQ","FILING_STATUS=MR","SCALING_FORMAT=MLN","Sort=A","Dates=H","DateFormat=P","Fill=—","Direction=H","UseDPDF=Y")</f>
        <v>6602.3090000000002</v>
      </c>
      <c r="M55" s="13" cm="1">
        <f t="array" ref="M55">_xll.BDH("PH US Equity","LONG_TERM_BORROWINGS_DETAILED","FQ3 2021","FQ3 2021","Currency=USD","Period=FQ","BEST_FPERIOD_OVERRIDE=FQ","FILING_STATUS=MR","SCALING_FORMAT=MLN","Sort=A","Dates=H","DateFormat=P","Fill=—","Direction=H","UseDPDF=Y")</f>
        <v>6571.9080000000004</v>
      </c>
      <c r="N55" s="13" cm="1">
        <f t="array" ref="N55">_xll.BDH("PH US Equity","LONG_TERM_BORROWINGS_DETAILED","FQ4 2021","FQ4 2021","Currency=USD","Period=FQ","BEST_FPERIOD_OVERRIDE=FQ","FILING_STATUS=MR","SCALING_FORMAT=MLN","Sort=A","Dates=H","DateFormat=P","Fill=—","Direction=H","UseDPDF=Y")</f>
        <v>6582.0529999999999</v>
      </c>
      <c r="O55" s="13" cm="1">
        <f t="array" ref="O55">_xll.BDH("PH US Equity","LONG_TERM_BORROWINGS_DETAILED","FQ1 2022","FQ1 2022","Currency=USD","Period=FQ","BEST_FPERIOD_OVERRIDE=FQ","FILING_STATUS=MR","SCALING_FORMAT=MLN","Sort=A","Dates=H","DateFormat=P","Fill=—","Direction=H","UseDPDF=Y")</f>
        <v>6263.9409999999998</v>
      </c>
      <c r="P55" s="13" cm="1">
        <f t="array" ref="P55">_xll.BDH("PH US Equity","LONG_TERM_BORROWINGS_DETAILED","FQ2 2022","FQ2 2022","Currency=USD","Period=FQ","BEST_FPERIOD_OVERRIDE=FQ","FILING_STATUS=MR","SCALING_FORMAT=MLN","Sort=A","Dates=H","DateFormat=P","Fill=—","Direction=H","UseDPDF=Y")</f>
        <v>6250.5249999999996</v>
      </c>
      <c r="Q55" s="13" cm="1">
        <f t="array" ref="Q55">_xll.BDH("PH US Equity","LONG_TERM_BORROWINGS_DETAILED","FQ3 2022","FQ3 2022","Currency=USD","Period=FQ","BEST_FPERIOD_OVERRIDE=FQ","FILING_STATUS=MR","SCALING_FORMAT=MLN","Sort=A","Dates=H","DateFormat=P","Fill=—","Direction=H","UseDPDF=Y")</f>
        <v>6229.6540000000005</v>
      </c>
      <c r="R55" s="13" cm="1">
        <f t="array" ref="R55">_xll.BDH("PH US Equity","LONG_TERM_BORROWINGS_DETAILED","FQ4 2022","FQ4 2022","Currency=USD","Period=FQ","BEST_FPERIOD_OVERRIDE=FQ","FILING_STATUS=MR","SCALING_FORMAT=MLN","Sort=A","Dates=H","DateFormat=P","Fill=—","Direction=H","UseDPDF=Y")</f>
        <v>9755.8250000000007</v>
      </c>
      <c r="S55" s="13" cm="1">
        <f t="array" ref="S55">_xll.BDH("PH US Equity","LONG_TERM_BORROWINGS_DETAILED","FQ1 2023","FQ1 2023","Currency=USD","Period=FQ","BEST_FPERIOD_OVERRIDE=FQ","FILING_STATUS=MR","SCALING_FORMAT=MLN","Sort=A","Dates=H","DateFormat=P","Fill=—","Direction=H","UseDPDF=Y")</f>
        <v>12238.9</v>
      </c>
      <c r="T55" s="13" cm="1">
        <f t="array" ref="T55">_xll.BDH("PH US Equity","LONG_TERM_BORROWINGS_DETAILED","FQ2 2023","FQ2 2023","Currency=USD","Period=FQ","BEST_FPERIOD_OVERRIDE=FQ","FILING_STATUS=MR","SCALING_FORMAT=MLN","Sort=A","Dates=H","DateFormat=P","Fill=—","Direction=H","UseDPDF=Y")</f>
        <v>12025.86</v>
      </c>
      <c r="U55" s="13" cm="1">
        <f t="array" ref="U55">_xll.BDH("PH US Equity","LONG_TERM_BORROWINGS_DETAILED","FQ3 2023","FQ3 2023","Currency=USD","Period=FQ","BEST_FPERIOD_OVERRIDE=FQ","FILING_STATUS=MR","SCALING_FORMAT=MLN","Sort=A","Dates=H","DateFormat=P","Fill=—","Direction=H","UseDPDF=Y")</f>
        <v>11412.304</v>
      </c>
      <c r="V55" s="13" cm="1">
        <f t="array" ref="V55">_xll.BDH("PH US Equity","LONG_TERM_BORROWINGS_DETAILED","FQ4 2023","FQ4 2023","Currency=USD","Period=FQ","BEST_FPERIOD_OVERRIDE=FQ","FILING_STATUS=MR","SCALING_FORMAT=MLN","Sort=A","Dates=H","DateFormat=P","Fill=—","Direction=H","UseDPDF=Y")</f>
        <v>8796.2839999999997</v>
      </c>
      <c r="W55" s="13" cm="1">
        <f t="array" ref="W55">_xll.BDH("PH US Equity","LONG_TERM_BORROWINGS_DETAILED","FQ1 2024","FQ1 2024","Currency=USD","Period=FQ","BEST_FPERIOD_OVERRIDE=FQ","FILING_STATUS=MR","SCALING_FORMAT=MLN","Sort=A","Dates=H","DateFormat=P","Fill=—","Direction=H","UseDPDF=Y")</f>
        <v>8596.0630000000001</v>
      </c>
      <c r="X55" s="13" cm="1">
        <f t="array" ref="X55">_xll.BDH("PH US Equity","LONG_TERM_BORROWINGS_DETAILED","FQ2 2024","FQ2 2024","Currency=USD","Period=FQ","BEST_FPERIOD_OVERRIDE=FQ","FILING_STATUS=MR","SCALING_FORMAT=MLN","Sort=A","Dates=H","DateFormat=P","Fill=—","Direction=H","UseDPDF=Y")</f>
        <v>8108.6959999999999</v>
      </c>
      <c r="Y55" s="13" cm="1">
        <f t="array" ref="Y55">_xll.BDH("PH US Equity","LONG_TERM_BORROWINGS_DETAILED","FQ3 2024","FQ3 2024","Currency=USD","Period=FQ","BEST_FPERIOD_OVERRIDE=FQ","FILING_STATUS=MR","SCALING_FORMAT=MLN","Sort=A","Dates=H","DateFormat=P","Fill=—","Direction=H","UseDPDF=Y")</f>
        <v>7290.2079999999996</v>
      </c>
      <c r="Z55" s="13" cm="1">
        <f t="array" ref="Z55">_xll.BDH("PH US Equity","LONG_TERM_BORROWINGS_DETAILED","FQ4 2024","FQ4 2024","Currency=USD","Period=FQ","BEST_FPERIOD_OVERRIDE=FQ","FILING_STATUS=MR","SCALING_FORMAT=MLN","Sort=A","Dates=H","DateFormat=P","Fill=—","Direction=H","UseDPDF=Y")</f>
        <v>7157.0339999999997</v>
      </c>
      <c r="AA55" s="13" cm="1">
        <f t="array" ref="AA55">_xll.BDH("PH US Equity","LONG_TERM_BORROWINGS_DETAILED","FQ1 2025","FQ1 2025","Currency=USD","Period=FQ","BEST_FPERIOD_OVERRIDE=FQ","FILING_STATUS=MR","SCALING_FORMAT=MLN","Sort=A","Dates=H","DateFormat=P","Fill=—","Direction=H","UseDPDF=Y")</f>
        <v>6673.3029999999999</v>
      </c>
      <c r="AB55" s="13" cm="1">
        <f t="array" ref="AB55">_xll.BDH("PH US Equity","LONG_TERM_BORROWINGS_DETAILED","FQ2 2025","FQ2 2025","Currency=USD","Period=FQ","BEST_FPERIOD_OVERRIDE=FQ","FILING_STATUS=MR","SCALING_FORMAT=MLN","Sort=A","Dates=H","DateFormat=P","Fill=—","Direction=H","UseDPDF=Y")</f>
        <v>6667.9549999999999</v>
      </c>
      <c r="AC55" s="13" cm="1">
        <f t="array" ref="AC55">_xll.BDH("PH US Equity","LONG_TERM_BORROWINGS_DETAILED","FQ3 2025","FQ3 2025","Currency=USD","Period=FQ","BEST_FPERIOD_OVERRIDE=FQ","FILING_STATUS=MR","SCALING_FORMAT=MLN","Sort=A","Dates=H","DateFormat=P","Fill=—","Direction=H","UseDPDF=Y")</f>
        <v>7421.37</v>
      </c>
      <c r="AD55" s="13" cm="1">
        <f t="array" ref="AD55">_xll.BDH("PH US Equity","LONG_TERM_BORROWINGS_DETAILED","FQ4 2025","FQ4 2025","Currency=USD","Period=FQ","BEST_FPERIOD_OVERRIDE=FQ","FILING_STATUS=MR","SCALING_FORMAT=MLN","Sort=A","Dates=H","DateFormat=P","Fill=—","Direction=H","UseDPDF=Y")</f>
        <v>7494</v>
      </c>
      <c r="AE55" s="13" cm="1">
        <f t="array" ref="AE55">_xll.BDH("PH US Equity","LONG_TERM_BORROWINGS_DETAILED","FQ1 2026","FQ1 2026","Currency=USD","Period=FQ","BEST_FPERIOD_OVERRIDE=FQ","FILING_STATUS=MR","SCALING_FORMAT=MLN","Sort=A","Dates=H","DateFormat=P","Fill=—","Direction=H","UseDPDF=Y")</f>
        <v>7485</v>
      </c>
      <c r="AF55" s="13" cm="1">
        <f t="array" ref="AF55">_xll.BDH("PH US Equity","LONG_TERM_BORROWINGS_DETAILED","FQ2 2026","FQ2 2026","Currency=USD","Period=FQ","BEST_FPERIOD_OVERRIDE=FQ","FILING_STATUS=MR","SCALING_FORMAT=MLN","Sort=A","Dates=H","DateFormat=P","Fill=—","Direction=H","UseDPDF=Y")</f>
        <v>7484</v>
      </c>
    </row>
    <row r="56" spans="1:32" x14ac:dyDescent="0.25">
      <c r="A56" s="10" t="s">
        <v>159</v>
      </c>
      <c r="B56" s="10" t="s">
        <v>160</v>
      </c>
      <c r="C56" s="13" t="str" cm="1">
        <f t="array" ref="C56">_xll.BDH("PH US Equity","LT_CAPITALIZED_LEASE_LIABILITIES","FQ1 2019","FQ1 2019","Currency=USD","Period=FQ","BEST_FPERIOD_OVERRIDE=FQ","FILING_STATUS=MR","SCALING_FORMAT=MLN","Sort=A","Dates=H","DateFormat=P","Fill=—","Direction=H","UseDPDF=Y")</f>
        <v>—</v>
      </c>
      <c r="D56" s="13" t="str" cm="1">
        <f t="array" ref="D56">_xll.BDH("PH US Equity","LT_CAPITALIZED_LEASE_LIABILITIES","FQ2 2019","FQ2 2019","Currency=USD","Period=FQ","BEST_FPERIOD_OVERRIDE=FQ","FILING_STATUS=MR","SCALING_FORMAT=MLN","Sort=A","Dates=H","DateFormat=P","Fill=—","Direction=H","UseDPDF=Y")</f>
        <v>—</v>
      </c>
      <c r="E56" s="13" t="str" cm="1">
        <f t="array" ref="E56">_xll.BDH("PH US Equity","LT_CAPITALIZED_LEASE_LIABILITIES","FQ3 2019","FQ3 2019","Currency=USD","Period=FQ","BEST_FPERIOD_OVERRIDE=FQ","FILING_STATUS=MR","SCALING_FORMAT=MLN","Sort=A","Dates=H","DateFormat=P","Fill=—","Direction=H","UseDPDF=Y")</f>
        <v>—</v>
      </c>
      <c r="F56" s="13" cm="1">
        <f t="array" ref="F56">_xll.BDH("PH US Equity","LT_CAPITALIZED_LEASE_LIABILITIES","FQ4 2019","FQ4 2019","Currency=USD","Period=FQ","BEST_FPERIOD_OVERRIDE=FQ","FILING_STATUS=MR","SCALING_FORMAT=MLN","Sort=A","Dates=H","DateFormat=P","Fill=—","Direction=H","UseDPDF=Y")</f>
        <v>0</v>
      </c>
      <c r="G56" s="13" cm="1">
        <f t="array" ref="G56">_xll.BDH("PH US Equity","LT_CAPITALIZED_LEASE_LIABILITIES","FQ1 2020","FQ1 2020","Currency=USD","Period=FQ","BEST_FPERIOD_OVERRIDE=FQ","FILING_STATUS=MR","SCALING_FORMAT=MLN","Sort=A","Dates=H","DateFormat=P","Fill=—","Direction=H","UseDPDF=Y")</f>
        <v>97.338999999999999</v>
      </c>
      <c r="H56" s="13" cm="1">
        <f t="array" ref="H56">_xll.BDH("PH US Equity","LT_CAPITALIZED_LEASE_LIABILITIES","FQ2 2020","FQ2 2020","Currency=USD","Period=FQ","BEST_FPERIOD_OVERRIDE=FQ","FILING_STATUS=MR","SCALING_FORMAT=MLN","Sort=A","Dates=H","DateFormat=P","Fill=—","Direction=H","UseDPDF=Y")</f>
        <v>112.44199999999999</v>
      </c>
      <c r="I56" s="13" cm="1">
        <f t="array" ref="I56">_xll.BDH("PH US Equity","LT_CAPITALIZED_LEASE_LIABILITIES","FQ3 2020","FQ3 2020","Currency=USD","Period=FQ","BEST_FPERIOD_OVERRIDE=FQ","FILING_STATUS=MR","SCALING_FORMAT=MLN","Sort=A","Dates=H","DateFormat=P","Fill=—","Direction=H","UseDPDF=Y")</f>
        <v>97.316999999999993</v>
      </c>
      <c r="J56" s="13" cm="1">
        <f t="array" ref="J56">_xll.BDH("PH US Equity","LT_CAPITALIZED_LEASE_LIABILITIES","FQ4 2020","FQ4 2020","Currency=USD","Period=FQ","BEST_FPERIOD_OVERRIDE=FQ","FILING_STATUS=MR","SCALING_FORMAT=MLN","Sort=A","Dates=H","DateFormat=P","Fill=—","Direction=H","UseDPDF=Y")</f>
        <v>96.445999999999998</v>
      </c>
      <c r="K56" s="13" t="str" cm="1">
        <f t="array" ref="K56">_xll.BDH("PH US Equity","LT_CAPITALIZED_LEASE_LIABILITIES","FQ1 2021","FQ1 2021","Currency=USD","Period=FQ","BEST_FPERIOD_OVERRIDE=FQ","FILING_STATUS=MR","SCALING_FORMAT=MLN","Sort=A","Dates=H","DateFormat=P","Fill=—","Direction=H","UseDPDF=Y")</f>
        <v>—</v>
      </c>
      <c r="L56" s="13" t="str" cm="1">
        <f t="array" ref="L56">_xll.BDH("PH US Equity","LT_CAPITALIZED_LEASE_LIABILITIES","FQ2 2021","FQ2 2021","Currency=USD","Period=FQ","BEST_FPERIOD_OVERRIDE=FQ","FILING_STATUS=MR","SCALING_FORMAT=MLN","Sort=A","Dates=H","DateFormat=P","Fill=—","Direction=H","UseDPDF=Y")</f>
        <v>—</v>
      </c>
      <c r="M56" s="13" t="str" cm="1">
        <f t="array" ref="M56">_xll.BDH("PH US Equity","LT_CAPITALIZED_LEASE_LIABILITIES","FQ3 2021","FQ3 2021","Currency=USD","Period=FQ","BEST_FPERIOD_OVERRIDE=FQ","FILING_STATUS=MR","SCALING_FORMAT=MLN","Sort=A","Dates=H","DateFormat=P","Fill=—","Direction=H","UseDPDF=Y")</f>
        <v>—</v>
      </c>
      <c r="N56" s="13" cm="1">
        <f t="array" ref="N56">_xll.BDH("PH US Equity","LT_CAPITALIZED_LEASE_LIABILITIES","FQ4 2021","FQ4 2021","Currency=USD","Period=FQ","BEST_FPERIOD_OVERRIDE=FQ","FILING_STATUS=MR","SCALING_FORMAT=MLN","Sort=A","Dates=H","DateFormat=P","Fill=—","Direction=H","UseDPDF=Y")</f>
        <v>93.903999999999996</v>
      </c>
      <c r="O56" s="13" t="str" cm="1">
        <f t="array" ref="O56">_xll.BDH("PH US Equity","LT_CAPITALIZED_LEASE_LIABILITIES","FQ1 2022","FQ1 2022","Currency=USD","Period=FQ","BEST_FPERIOD_OVERRIDE=FQ","FILING_STATUS=MR","SCALING_FORMAT=MLN","Sort=A","Dates=H","DateFormat=P","Fill=—","Direction=H","UseDPDF=Y")</f>
        <v>—</v>
      </c>
      <c r="P56" s="13" t="str" cm="1">
        <f t="array" ref="P56">_xll.BDH("PH US Equity","LT_CAPITALIZED_LEASE_LIABILITIES","FQ2 2022","FQ2 2022","Currency=USD","Period=FQ","BEST_FPERIOD_OVERRIDE=FQ","FILING_STATUS=MR","SCALING_FORMAT=MLN","Sort=A","Dates=H","DateFormat=P","Fill=—","Direction=H","UseDPDF=Y")</f>
        <v>—</v>
      </c>
      <c r="Q56" s="13" t="str" cm="1">
        <f t="array" ref="Q56">_xll.BDH("PH US Equity","LT_CAPITALIZED_LEASE_LIABILITIES","FQ3 2022","FQ3 2022","Currency=USD","Period=FQ","BEST_FPERIOD_OVERRIDE=FQ","FILING_STATUS=MR","SCALING_FORMAT=MLN","Sort=A","Dates=H","DateFormat=P","Fill=—","Direction=H","UseDPDF=Y")</f>
        <v>—</v>
      </c>
      <c r="R56" s="13" cm="1">
        <f t="array" ref="R56">_xll.BDH("PH US Equity","LT_CAPITALIZED_LEASE_LIABILITIES","FQ4 2022","FQ4 2022","Currency=USD","Period=FQ","BEST_FPERIOD_OVERRIDE=FQ","FILING_STATUS=MR","SCALING_FORMAT=MLN","Sort=A","Dates=H","DateFormat=P","Fill=—","Direction=H","UseDPDF=Y")</f>
        <v>100.337</v>
      </c>
      <c r="S56" s="13" t="str" cm="1">
        <f t="array" ref="S56">_xll.BDH("PH US Equity","LT_CAPITALIZED_LEASE_LIABILITIES","FQ1 2023","FQ1 2023","Currency=USD","Period=FQ","BEST_FPERIOD_OVERRIDE=FQ","FILING_STATUS=MR","SCALING_FORMAT=MLN","Sort=A","Dates=H","DateFormat=P","Fill=—","Direction=H","UseDPDF=Y")</f>
        <v>—</v>
      </c>
      <c r="T56" s="13" t="str" cm="1">
        <f t="array" ref="T56">_xll.BDH("PH US Equity","LT_CAPITALIZED_LEASE_LIABILITIES","FQ2 2023","FQ2 2023","Currency=USD","Period=FQ","BEST_FPERIOD_OVERRIDE=FQ","FILING_STATUS=MR","SCALING_FORMAT=MLN","Sort=A","Dates=H","DateFormat=P","Fill=—","Direction=H","UseDPDF=Y")</f>
        <v>—</v>
      </c>
      <c r="U56" s="13" t="str" cm="1">
        <f t="array" ref="U56">_xll.BDH("PH US Equity","LT_CAPITALIZED_LEASE_LIABILITIES","FQ3 2023","FQ3 2023","Currency=USD","Period=FQ","BEST_FPERIOD_OVERRIDE=FQ","FILING_STATUS=MR","SCALING_FORMAT=MLN","Sort=A","Dates=H","DateFormat=P","Fill=—","Direction=H","UseDPDF=Y")</f>
        <v>—</v>
      </c>
      <c r="V56" s="13" cm="1">
        <f t="array" ref="V56">_xll.BDH("PH US Equity","LT_CAPITALIZED_LEASE_LIABILITIES","FQ4 2023","FQ4 2023","Currency=USD","Period=FQ","BEST_FPERIOD_OVERRIDE=FQ","FILING_STATUS=MR","SCALING_FORMAT=MLN","Sort=A","Dates=H","DateFormat=P","Fill=—","Direction=H","UseDPDF=Y")</f>
        <v>288.334</v>
      </c>
      <c r="W56" s="13" t="str" cm="1">
        <f t="array" ref="W56">_xll.BDH("PH US Equity","LT_CAPITALIZED_LEASE_LIABILITIES","FQ1 2024","FQ1 2024","Currency=USD","Period=FQ","BEST_FPERIOD_OVERRIDE=FQ","FILING_STATUS=MR","SCALING_FORMAT=MLN","Sort=A","Dates=H","DateFormat=P","Fill=—","Direction=H","UseDPDF=Y")</f>
        <v>—</v>
      </c>
      <c r="X56" s="13" t="str" cm="1">
        <f t="array" ref="X56">_xll.BDH("PH US Equity","LT_CAPITALIZED_LEASE_LIABILITIES","FQ2 2024","FQ2 2024","Currency=USD","Period=FQ","BEST_FPERIOD_OVERRIDE=FQ","FILING_STATUS=MR","SCALING_FORMAT=MLN","Sort=A","Dates=H","DateFormat=P","Fill=—","Direction=H","UseDPDF=Y")</f>
        <v>—</v>
      </c>
      <c r="Y56" s="13" t="str" cm="1">
        <f t="array" ref="Y56">_xll.BDH("PH US Equity","LT_CAPITALIZED_LEASE_LIABILITIES","FQ3 2024","FQ3 2024","Currency=USD","Period=FQ","BEST_FPERIOD_OVERRIDE=FQ","FILING_STATUS=MR","SCALING_FORMAT=MLN","Sort=A","Dates=H","DateFormat=P","Fill=—","Direction=H","UseDPDF=Y")</f>
        <v>—</v>
      </c>
      <c r="Z56" s="13" cm="1">
        <f t="array" ref="Z56">_xll.BDH("PH US Equity","LT_CAPITALIZED_LEASE_LIABILITIES","FQ4 2024","FQ4 2024","Currency=USD","Period=FQ","BEST_FPERIOD_OVERRIDE=FQ","FILING_STATUS=MR","SCALING_FORMAT=MLN","Sort=A","Dates=H","DateFormat=P","Fill=—","Direction=H","UseDPDF=Y")</f>
        <v>278.19200000000001</v>
      </c>
      <c r="AA56" s="13" t="str" cm="1">
        <f t="array" ref="AA56">_xll.BDH("PH US Equity","LT_CAPITALIZED_LEASE_LIABILITIES","FQ1 2025","FQ1 2025","Currency=USD","Period=FQ","BEST_FPERIOD_OVERRIDE=FQ","FILING_STATUS=MR","SCALING_FORMAT=MLN","Sort=A","Dates=H","DateFormat=P","Fill=—","Direction=H","UseDPDF=Y")</f>
        <v>—</v>
      </c>
      <c r="AB56" s="13" t="str" cm="1">
        <f t="array" ref="AB56">_xll.BDH("PH US Equity","LT_CAPITALIZED_LEASE_LIABILITIES","FQ2 2025","FQ2 2025","Currency=USD","Period=FQ","BEST_FPERIOD_OVERRIDE=FQ","FILING_STATUS=MR","SCALING_FORMAT=MLN","Sort=A","Dates=H","DateFormat=P","Fill=—","Direction=H","UseDPDF=Y")</f>
        <v>—</v>
      </c>
      <c r="AC56" s="13" t="str" cm="1">
        <f t="array" ref="AC56">_xll.BDH("PH US Equity","LT_CAPITALIZED_LEASE_LIABILITIES","FQ3 2025","FQ3 2025","Currency=USD","Period=FQ","BEST_FPERIOD_OVERRIDE=FQ","FILING_STATUS=MR","SCALING_FORMAT=MLN","Sort=A","Dates=H","DateFormat=P","Fill=—","Direction=H","UseDPDF=Y")</f>
        <v>—</v>
      </c>
      <c r="AD56" s="13" cm="1">
        <f t="array" ref="AD56">_xll.BDH("PH US Equity","LT_CAPITALIZED_LEASE_LIABILITIES","FQ4 2025","FQ4 2025","Currency=USD","Period=FQ","BEST_FPERIOD_OVERRIDE=FQ","FILING_STATUS=MR","SCALING_FORMAT=MLN","Sort=A","Dates=H","DateFormat=P","Fill=—","Direction=H","UseDPDF=Y")</f>
        <v>256</v>
      </c>
      <c r="AE56" s="13" t="str" cm="1">
        <f t="array" ref="AE56">_xll.BDH("PH US Equity","LT_CAPITALIZED_LEASE_LIABILITIES","FQ1 2026","FQ1 2026","Currency=USD","Period=FQ","BEST_FPERIOD_OVERRIDE=FQ","FILING_STATUS=MR","SCALING_FORMAT=MLN","Sort=A","Dates=H","DateFormat=P","Fill=—","Direction=H","UseDPDF=Y")</f>
        <v>—</v>
      </c>
      <c r="AF56" s="13" t="str" cm="1">
        <f t="array" ref="AF56">_xll.BDH("PH US Equity","LT_CAPITALIZED_LEASE_LIABILITIES","FQ2 2026","FQ2 2026","Currency=USD","Period=FQ","BEST_FPERIOD_OVERRIDE=FQ","FILING_STATUS=MR","SCALING_FORMAT=MLN","Sort=A","Dates=H","DateFormat=P","Fill=—","Direction=H","UseDPDF=Y")</f>
        <v>—</v>
      </c>
    </row>
    <row r="57" spans="1:32" x14ac:dyDescent="0.25">
      <c r="A57" s="11" t="s">
        <v>161</v>
      </c>
      <c r="B57" s="11" t="s">
        <v>162</v>
      </c>
      <c r="C57" s="17" t="str" cm="1">
        <f t="array" ref="C57">_xll.BDH("PH US Equity","LT_CAPITAL_LEASE_OBLIGATIONS","FQ1 2019","FQ1 2019","Currency=USD","Period=FQ","BEST_FPERIOD_OVERRIDE=FQ","FILING_STATUS=MR","SCALING_FORMAT=MLN","Sort=A","Dates=H","DateFormat=P","Fill=—","Direction=H","UseDPDF=Y")</f>
        <v>—</v>
      </c>
      <c r="D57" s="17" t="str" cm="1">
        <f t="array" ref="D57">_xll.BDH("PH US Equity","LT_CAPITAL_LEASE_OBLIGATIONS","FQ2 2019","FQ2 2019","Currency=USD","Period=FQ","BEST_FPERIOD_OVERRIDE=FQ","FILING_STATUS=MR","SCALING_FORMAT=MLN","Sort=A","Dates=H","DateFormat=P","Fill=—","Direction=H","UseDPDF=Y")</f>
        <v>—</v>
      </c>
      <c r="E57" s="17" t="str" cm="1">
        <f t="array" ref="E57">_xll.BDH("PH US Equity","LT_CAPITAL_LEASE_OBLIGATIONS","FQ3 2019","FQ3 2019","Currency=USD","Period=FQ","BEST_FPERIOD_OVERRIDE=FQ","FILING_STATUS=MR","SCALING_FORMAT=MLN","Sort=A","Dates=H","DateFormat=P","Fill=—","Direction=H","UseDPDF=Y")</f>
        <v>—</v>
      </c>
      <c r="F57" s="17" cm="1">
        <f t="array" ref="F57">_xll.BDH("PH US Equity","LT_CAPITAL_LEASE_OBLIGATIONS","FQ4 2019","FQ4 2019","Currency=USD","Period=FQ","BEST_FPERIOD_OVERRIDE=FQ","FILING_STATUS=MR","SCALING_FORMAT=MLN","Sort=A","Dates=H","DateFormat=P","Fill=—","Direction=H","UseDPDF=Y")</f>
        <v>0</v>
      </c>
      <c r="G57" s="17" t="str" cm="1">
        <f t="array" ref="G57">_xll.BDH("PH US Equity","LT_CAPITAL_LEASE_OBLIGATIONS","FQ1 2020","FQ1 2020","Currency=USD","Period=FQ","BEST_FPERIOD_OVERRIDE=FQ","FILING_STATUS=MR","SCALING_FORMAT=MLN","Sort=A","Dates=H","DateFormat=P","Fill=—","Direction=H","UseDPDF=Y")</f>
        <v>—</v>
      </c>
      <c r="H57" s="17" t="str" cm="1">
        <f t="array" ref="H57">_xll.BDH("PH US Equity","LT_CAPITAL_LEASE_OBLIGATIONS","FQ2 2020","FQ2 2020","Currency=USD","Period=FQ","BEST_FPERIOD_OVERRIDE=FQ","FILING_STATUS=MR","SCALING_FORMAT=MLN","Sort=A","Dates=H","DateFormat=P","Fill=—","Direction=H","UseDPDF=Y")</f>
        <v>—</v>
      </c>
      <c r="I57" s="17" t="str" cm="1">
        <f t="array" ref="I57">_xll.BDH("PH US Equity","LT_CAPITAL_LEASE_OBLIGATIONS","FQ3 2020","FQ3 2020","Currency=USD","Period=FQ","BEST_FPERIOD_OVERRIDE=FQ","FILING_STATUS=MR","SCALING_FORMAT=MLN","Sort=A","Dates=H","DateFormat=P","Fill=—","Direction=H","UseDPDF=Y")</f>
        <v>—</v>
      </c>
      <c r="J57" s="17" cm="1">
        <f t="array" ref="J57">_xll.BDH("PH US Equity","LT_CAPITAL_LEASE_OBLIGATIONS","FQ4 2020","FQ4 2020","Currency=USD","Period=FQ","BEST_FPERIOD_OVERRIDE=FQ","FILING_STATUS=MR","SCALING_FORMAT=MLN","Sort=A","Dates=H","DateFormat=P","Fill=—","Direction=H","UseDPDF=Y")</f>
        <v>0</v>
      </c>
      <c r="K57" s="17" t="str" cm="1">
        <f t="array" ref="K57">_xll.BDH("PH US Equity","LT_CAPITAL_LEASE_OBLIGATIONS","FQ1 2021","FQ1 2021","Currency=USD","Period=FQ","BEST_FPERIOD_OVERRIDE=FQ","FILING_STATUS=MR","SCALING_FORMAT=MLN","Sort=A","Dates=H","DateFormat=P","Fill=—","Direction=H","UseDPDF=Y")</f>
        <v>—</v>
      </c>
      <c r="L57" s="17" t="str" cm="1">
        <f t="array" ref="L57">_xll.BDH("PH US Equity","LT_CAPITAL_LEASE_OBLIGATIONS","FQ2 2021","FQ2 2021","Currency=USD","Period=FQ","BEST_FPERIOD_OVERRIDE=FQ","FILING_STATUS=MR","SCALING_FORMAT=MLN","Sort=A","Dates=H","DateFormat=P","Fill=—","Direction=H","UseDPDF=Y")</f>
        <v>—</v>
      </c>
      <c r="M57" s="17" t="str" cm="1">
        <f t="array" ref="M57">_xll.BDH("PH US Equity","LT_CAPITAL_LEASE_OBLIGATIONS","FQ3 2021","FQ3 2021","Currency=USD","Period=FQ","BEST_FPERIOD_OVERRIDE=FQ","FILING_STATUS=MR","SCALING_FORMAT=MLN","Sort=A","Dates=H","DateFormat=P","Fill=—","Direction=H","UseDPDF=Y")</f>
        <v>—</v>
      </c>
      <c r="N57" s="17" cm="1">
        <f t="array" ref="N57">_xll.BDH("PH US Equity","LT_CAPITAL_LEASE_OBLIGATIONS","FQ4 2021","FQ4 2021","Currency=USD","Period=FQ","BEST_FPERIOD_OVERRIDE=FQ","FILING_STATUS=MR","SCALING_FORMAT=MLN","Sort=A","Dates=H","DateFormat=P","Fill=—","Direction=H","UseDPDF=Y")</f>
        <v>0</v>
      </c>
      <c r="O57" s="17" t="str" cm="1">
        <f t="array" ref="O57">_xll.BDH("PH US Equity","LT_CAPITAL_LEASE_OBLIGATIONS","FQ1 2022","FQ1 2022","Currency=USD","Period=FQ","BEST_FPERIOD_OVERRIDE=FQ","FILING_STATUS=MR","SCALING_FORMAT=MLN","Sort=A","Dates=H","DateFormat=P","Fill=—","Direction=H","UseDPDF=Y")</f>
        <v>—</v>
      </c>
      <c r="P57" s="17" t="str" cm="1">
        <f t="array" ref="P57">_xll.BDH("PH US Equity","LT_CAPITAL_LEASE_OBLIGATIONS","FQ2 2022","FQ2 2022","Currency=USD","Period=FQ","BEST_FPERIOD_OVERRIDE=FQ","FILING_STATUS=MR","SCALING_FORMAT=MLN","Sort=A","Dates=H","DateFormat=P","Fill=—","Direction=H","UseDPDF=Y")</f>
        <v>—</v>
      </c>
      <c r="Q57" s="17" t="str" cm="1">
        <f t="array" ref="Q57">_xll.BDH("PH US Equity","LT_CAPITAL_LEASE_OBLIGATIONS","FQ3 2022","FQ3 2022","Currency=USD","Period=FQ","BEST_FPERIOD_OVERRIDE=FQ","FILING_STATUS=MR","SCALING_FORMAT=MLN","Sort=A","Dates=H","DateFormat=P","Fill=—","Direction=H","UseDPDF=Y")</f>
        <v>—</v>
      </c>
      <c r="R57" s="17" cm="1">
        <f t="array" ref="R57">_xll.BDH("PH US Equity","LT_CAPITAL_LEASE_OBLIGATIONS","FQ4 2022","FQ4 2022","Currency=USD","Period=FQ","BEST_FPERIOD_OVERRIDE=FQ","FILING_STATUS=MR","SCALING_FORMAT=MLN","Sort=A","Dates=H","DateFormat=P","Fill=—","Direction=H","UseDPDF=Y")</f>
        <v>0</v>
      </c>
      <c r="S57" s="17" t="str" cm="1">
        <f t="array" ref="S57">_xll.BDH("PH US Equity","LT_CAPITAL_LEASE_OBLIGATIONS","FQ1 2023","FQ1 2023","Currency=USD","Period=FQ","BEST_FPERIOD_OVERRIDE=FQ","FILING_STATUS=MR","SCALING_FORMAT=MLN","Sort=A","Dates=H","DateFormat=P","Fill=—","Direction=H","UseDPDF=Y")</f>
        <v>—</v>
      </c>
      <c r="T57" s="17" t="str" cm="1">
        <f t="array" ref="T57">_xll.BDH("PH US Equity","LT_CAPITAL_LEASE_OBLIGATIONS","FQ2 2023","FQ2 2023","Currency=USD","Period=FQ","BEST_FPERIOD_OVERRIDE=FQ","FILING_STATUS=MR","SCALING_FORMAT=MLN","Sort=A","Dates=H","DateFormat=P","Fill=—","Direction=H","UseDPDF=Y")</f>
        <v>—</v>
      </c>
      <c r="U57" s="17" t="str" cm="1">
        <f t="array" ref="U57">_xll.BDH("PH US Equity","LT_CAPITAL_LEASE_OBLIGATIONS","FQ3 2023","FQ3 2023","Currency=USD","Period=FQ","BEST_FPERIOD_OVERRIDE=FQ","FILING_STATUS=MR","SCALING_FORMAT=MLN","Sort=A","Dates=H","DateFormat=P","Fill=—","Direction=H","UseDPDF=Y")</f>
        <v>—</v>
      </c>
      <c r="V57" s="17" cm="1">
        <f t="array" ref="V57">_xll.BDH("PH US Equity","LT_CAPITAL_LEASE_OBLIGATIONS","FQ4 2023","FQ4 2023","Currency=USD","Period=FQ","BEST_FPERIOD_OVERRIDE=FQ","FILING_STATUS=MR","SCALING_FORMAT=MLN","Sort=A","Dates=H","DateFormat=P","Fill=—","Direction=H","UseDPDF=Y")</f>
        <v>100.889</v>
      </c>
      <c r="W57" s="17" t="str" cm="1">
        <f t="array" ref="W57">_xll.BDH("PH US Equity","LT_CAPITAL_LEASE_OBLIGATIONS","FQ1 2024","FQ1 2024","Currency=USD","Period=FQ","BEST_FPERIOD_OVERRIDE=FQ","FILING_STATUS=MR","SCALING_FORMAT=MLN","Sort=A","Dates=H","DateFormat=P","Fill=—","Direction=H","UseDPDF=Y")</f>
        <v>—</v>
      </c>
      <c r="X57" s="17" t="str" cm="1">
        <f t="array" ref="X57">_xll.BDH("PH US Equity","LT_CAPITAL_LEASE_OBLIGATIONS","FQ2 2024","FQ2 2024","Currency=USD","Period=FQ","BEST_FPERIOD_OVERRIDE=FQ","FILING_STATUS=MR","SCALING_FORMAT=MLN","Sort=A","Dates=H","DateFormat=P","Fill=—","Direction=H","UseDPDF=Y")</f>
        <v>—</v>
      </c>
      <c r="Y57" s="17" t="str" cm="1">
        <f t="array" ref="Y57">_xll.BDH("PH US Equity","LT_CAPITAL_LEASE_OBLIGATIONS","FQ3 2024","FQ3 2024","Currency=USD","Period=FQ","BEST_FPERIOD_OVERRIDE=FQ","FILING_STATUS=MR","SCALING_FORMAT=MLN","Sort=A","Dates=H","DateFormat=P","Fill=—","Direction=H","UseDPDF=Y")</f>
        <v>—</v>
      </c>
      <c r="Z57" s="17" cm="1">
        <f t="array" ref="Z57">_xll.BDH("PH US Equity","LT_CAPITAL_LEASE_OBLIGATIONS","FQ4 2024","FQ4 2024","Currency=USD","Period=FQ","BEST_FPERIOD_OVERRIDE=FQ","FILING_STATUS=MR","SCALING_FORMAT=MLN","Sort=A","Dates=H","DateFormat=P","Fill=—","Direction=H","UseDPDF=Y")</f>
        <v>98.343000000000004</v>
      </c>
      <c r="AA57" s="17" t="str" cm="1">
        <f t="array" ref="AA57">_xll.BDH("PH US Equity","LT_CAPITAL_LEASE_OBLIGATIONS","FQ1 2025","FQ1 2025","Currency=USD","Period=FQ","BEST_FPERIOD_OVERRIDE=FQ","FILING_STATUS=MR","SCALING_FORMAT=MLN","Sort=A","Dates=H","DateFormat=P","Fill=—","Direction=H","UseDPDF=Y")</f>
        <v>—</v>
      </c>
      <c r="AB57" s="17" t="str" cm="1">
        <f t="array" ref="AB57">_xll.BDH("PH US Equity","LT_CAPITAL_LEASE_OBLIGATIONS","FQ2 2025","FQ2 2025","Currency=USD","Period=FQ","BEST_FPERIOD_OVERRIDE=FQ","FILING_STATUS=MR","SCALING_FORMAT=MLN","Sort=A","Dates=H","DateFormat=P","Fill=—","Direction=H","UseDPDF=Y")</f>
        <v>—</v>
      </c>
      <c r="AC57" s="17" t="str" cm="1">
        <f t="array" ref="AC57">_xll.BDH("PH US Equity","LT_CAPITAL_LEASE_OBLIGATIONS","FQ3 2025","FQ3 2025","Currency=USD","Period=FQ","BEST_FPERIOD_OVERRIDE=FQ","FILING_STATUS=MR","SCALING_FORMAT=MLN","Sort=A","Dates=H","DateFormat=P","Fill=—","Direction=H","UseDPDF=Y")</f>
        <v>—</v>
      </c>
      <c r="AD57" s="17" cm="1">
        <f t="array" ref="AD57">_xll.BDH("PH US Equity","LT_CAPITAL_LEASE_OBLIGATIONS","FQ4 2025","FQ4 2025","Currency=USD","Period=FQ","BEST_FPERIOD_OVERRIDE=FQ","FILING_STATUS=MR","SCALING_FORMAT=MLN","Sort=A","Dates=H","DateFormat=P","Fill=—","Direction=H","UseDPDF=Y")</f>
        <v>102</v>
      </c>
      <c r="AE57" s="17" t="str" cm="1">
        <f t="array" ref="AE57">_xll.BDH("PH US Equity","LT_CAPITAL_LEASE_OBLIGATIONS","FQ1 2026","FQ1 2026","Currency=USD","Period=FQ","BEST_FPERIOD_OVERRIDE=FQ","FILING_STATUS=MR","SCALING_FORMAT=MLN","Sort=A","Dates=H","DateFormat=P","Fill=—","Direction=H","UseDPDF=Y")</f>
        <v>—</v>
      </c>
      <c r="AF57" s="17" t="str" cm="1">
        <f t="array" ref="AF57">_xll.BDH("PH US Equity","LT_CAPITAL_LEASE_OBLIGATIONS","FQ2 2026","FQ2 2026","Currency=USD","Period=FQ","BEST_FPERIOD_OVERRIDE=FQ","FILING_STATUS=MR","SCALING_FORMAT=MLN","Sort=A","Dates=H","DateFormat=P","Fill=—","Direction=H","UseDPDF=Y")</f>
        <v>—</v>
      </c>
    </row>
    <row r="58" spans="1:32" x14ac:dyDescent="0.25">
      <c r="A58" s="11" t="s">
        <v>163</v>
      </c>
      <c r="B58" s="11" t="s">
        <v>164</v>
      </c>
      <c r="C58" s="17" t="str" cm="1">
        <f t="array" ref="C58">_xll.BDH("PH US Equity","BS_LT_OPERATING_LEASE_LIABS","FQ1 2019","FQ1 2019","Currency=USD","Period=FQ","BEST_FPERIOD_OVERRIDE=FQ","FILING_STATUS=MR","SCALING_FORMAT=MLN","Sort=A","Dates=H","DateFormat=P","Fill=—","Direction=H","UseDPDF=Y")</f>
        <v>—</v>
      </c>
      <c r="D58" s="17" t="str" cm="1">
        <f t="array" ref="D58">_xll.BDH("PH US Equity","BS_LT_OPERATING_LEASE_LIABS","FQ2 2019","FQ2 2019","Currency=USD","Period=FQ","BEST_FPERIOD_OVERRIDE=FQ","FILING_STATUS=MR","SCALING_FORMAT=MLN","Sort=A","Dates=H","DateFormat=P","Fill=—","Direction=H","UseDPDF=Y")</f>
        <v>—</v>
      </c>
      <c r="E58" s="17" t="str" cm="1">
        <f t="array" ref="E58">_xll.BDH("PH US Equity","BS_LT_OPERATING_LEASE_LIABS","FQ3 2019","FQ3 2019","Currency=USD","Period=FQ","BEST_FPERIOD_OVERRIDE=FQ","FILING_STATUS=MR","SCALING_FORMAT=MLN","Sort=A","Dates=H","DateFormat=P","Fill=—","Direction=H","UseDPDF=Y")</f>
        <v>—</v>
      </c>
      <c r="F58" s="17" t="str" cm="1">
        <f t="array" ref="F58">_xll.BDH("PH US Equity","BS_LT_OPERATING_LEASE_LIABS","FQ4 2019","FQ4 2019","Currency=USD","Period=FQ","BEST_FPERIOD_OVERRIDE=FQ","FILING_STATUS=MR","SCALING_FORMAT=MLN","Sort=A","Dates=H","DateFormat=P","Fill=—","Direction=H","UseDPDF=Y")</f>
        <v>—</v>
      </c>
      <c r="G58" s="17" cm="1">
        <f t="array" ref="G58">_xll.BDH("PH US Equity","BS_LT_OPERATING_LEASE_LIABS","FQ1 2020","FQ1 2020","Currency=USD","Period=FQ","BEST_FPERIOD_OVERRIDE=FQ","FILING_STATUS=MR","SCALING_FORMAT=MLN","Sort=A","Dates=H","DateFormat=P","Fill=—","Direction=H","UseDPDF=Y")</f>
        <v>97.338999999999999</v>
      </c>
      <c r="H58" s="17" cm="1">
        <f t="array" ref="H58">_xll.BDH("PH US Equity","BS_LT_OPERATING_LEASE_LIABS","FQ2 2020","FQ2 2020","Currency=USD","Period=FQ","BEST_FPERIOD_OVERRIDE=FQ","FILING_STATUS=MR","SCALING_FORMAT=MLN","Sort=A","Dates=H","DateFormat=P","Fill=—","Direction=H","UseDPDF=Y")</f>
        <v>112.44199999999999</v>
      </c>
      <c r="I58" s="17" cm="1">
        <f t="array" ref="I58">_xll.BDH("PH US Equity","BS_LT_OPERATING_LEASE_LIABS","FQ3 2020","FQ3 2020","Currency=USD","Period=FQ","BEST_FPERIOD_OVERRIDE=FQ","FILING_STATUS=MR","SCALING_FORMAT=MLN","Sort=A","Dates=H","DateFormat=P","Fill=—","Direction=H","UseDPDF=Y")</f>
        <v>97.316999999999993</v>
      </c>
      <c r="J58" s="17" cm="1">
        <f t="array" ref="J58">_xll.BDH("PH US Equity","BS_LT_OPERATING_LEASE_LIABS","FQ4 2020","FQ4 2020","Currency=USD","Period=FQ","BEST_FPERIOD_OVERRIDE=FQ","FILING_STATUS=MR","SCALING_FORMAT=MLN","Sort=A","Dates=H","DateFormat=P","Fill=—","Direction=H","UseDPDF=Y")</f>
        <v>96.445999999999998</v>
      </c>
      <c r="K58" s="17" t="str" cm="1">
        <f t="array" ref="K58">_xll.BDH("PH US Equity","BS_LT_OPERATING_LEASE_LIABS","FQ1 2021","FQ1 2021","Currency=USD","Period=FQ","BEST_FPERIOD_OVERRIDE=FQ","FILING_STATUS=MR","SCALING_FORMAT=MLN","Sort=A","Dates=H","DateFormat=P","Fill=—","Direction=H","UseDPDF=Y")</f>
        <v>—</v>
      </c>
      <c r="L58" s="17" t="str" cm="1">
        <f t="array" ref="L58">_xll.BDH("PH US Equity","BS_LT_OPERATING_LEASE_LIABS","FQ2 2021","FQ2 2021","Currency=USD","Period=FQ","BEST_FPERIOD_OVERRIDE=FQ","FILING_STATUS=MR","SCALING_FORMAT=MLN","Sort=A","Dates=H","DateFormat=P","Fill=—","Direction=H","UseDPDF=Y")</f>
        <v>—</v>
      </c>
      <c r="M58" s="17" t="str" cm="1">
        <f t="array" ref="M58">_xll.BDH("PH US Equity","BS_LT_OPERATING_LEASE_LIABS","FQ3 2021","FQ3 2021","Currency=USD","Period=FQ","BEST_FPERIOD_OVERRIDE=FQ","FILING_STATUS=MR","SCALING_FORMAT=MLN","Sort=A","Dates=H","DateFormat=P","Fill=—","Direction=H","UseDPDF=Y")</f>
        <v>—</v>
      </c>
      <c r="N58" s="17" cm="1">
        <f t="array" ref="N58">_xll.BDH("PH US Equity","BS_LT_OPERATING_LEASE_LIABS","FQ4 2021","FQ4 2021","Currency=USD","Period=FQ","BEST_FPERIOD_OVERRIDE=FQ","FILING_STATUS=MR","SCALING_FORMAT=MLN","Sort=A","Dates=H","DateFormat=P","Fill=—","Direction=H","UseDPDF=Y")</f>
        <v>93.903999999999996</v>
      </c>
      <c r="O58" s="17" t="str" cm="1">
        <f t="array" ref="O58">_xll.BDH("PH US Equity","BS_LT_OPERATING_LEASE_LIABS","FQ1 2022","FQ1 2022","Currency=USD","Period=FQ","BEST_FPERIOD_OVERRIDE=FQ","FILING_STATUS=MR","SCALING_FORMAT=MLN","Sort=A","Dates=H","DateFormat=P","Fill=—","Direction=H","UseDPDF=Y")</f>
        <v>—</v>
      </c>
      <c r="P58" s="17" t="str" cm="1">
        <f t="array" ref="P58">_xll.BDH("PH US Equity","BS_LT_OPERATING_LEASE_LIABS","FQ2 2022","FQ2 2022","Currency=USD","Period=FQ","BEST_FPERIOD_OVERRIDE=FQ","FILING_STATUS=MR","SCALING_FORMAT=MLN","Sort=A","Dates=H","DateFormat=P","Fill=—","Direction=H","UseDPDF=Y")</f>
        <v>—</v>
      </c>
      <c r="Q58" s="17" t="str" cm="1">
        <f t="array" ref="Q58">_xll.BDH("PH US Equity","BS_LT_OPERATING_LEASE_LIABS","FQ3 2022","FQ3 2022","Currency=USD","Period=FQ","BEST_FPERIOD_OVERRIDE=FQ","FILING_STATUS=MR","SCALING_FORMAT=MLN","Sort=A","Dates=H","DateFormat=P","Fill=—","Direction=H","UseDPDF=Y")</f>
        <v>—</v>
      </c>
      <c r="R58" s="17" cm="1">
        <f t="array" ref="R58">_xll.BDH("PH US Equity","BS_LT_OPERATING_LEASE_LIABS","FQ4 2022","FQ4 2022","Currency=USD","Period=FQ","BEST_FPERIOD_OVERRIDE=FQ","FILING_STATUS=MR","SCALING_FORMAT=MLN","Sort=A","Dates=H","DateFormat=P","Fill=—","Direction=H","UseDPDF=Y")</f>
        <v>100.337</v>
      </c>
      <c r="S58" s="17" t="str" cm="1">
        <f t="array" ref="S58">_xll.BDH("PH US Equity","BS_LT_OPERATING_LEASE_LIABS","FQ1 2023","FQ1 2023","Currency=USD","Period=FQ","BEST_FPERIOD_OVERRIDE=FQ","FILING_STATUS=MR","SCALING_FORMAT=MLN","Sort=A","Dates=H","DateFormat=P","Fill=—","Direction=H","UseDPDF=Y")</f>
        <v>—</v>
      </c>
      <c r="T58" s="17" t="str" cm="1">
        <f t="array" ref="T58">_xll.BDH("PH US Equity","BS_LT_OPERATING_LEASE_LIABS","FQ2 2023","FQ2 2023","Currency=USD","Period=FQ","BEST_FPERIOD_OVERRIDE=FQ","FILING_STATUS=MR","SCALING_FORMAT=MLN","Sort=A","Dates=H","DateFormat=P","Fill=—","Direction=H","UseDPDF=Y")</f>
        <v>—</v>
      </c>
      <c r="U58" s="17" t="str" cm="1">
        <f t="array" ref="U58">_xll.BDH("PH US Equity","BS_LT_OPERATING_LEASE_LIABS","FQ3 2023","FQ3 2023","Currency=USD","Period=FQ","BEST_FPERIOD_OVERRIDE=FQ","FILING_STATUS=MR","SCALING_FORMAT=MLN","Sort=A","Dates=H","DateFormat=P","Fill=—","Direction=H","UseDPDF=Y")</f>
        <v>—</v>
      </c>
      <c r="V58" s="17" cm="1">
        <f t="array" ref="V58">_xll.BDH("PH US Equity","BS_LT_OPERATING_LEASE_LIABS","FQ4 2023","FQ4 2023","Currency=USD","Period=FQ","BEST_FPERIOD_OVERRIDE=FQ","FILING_STATUS=MR","SCALING_FORMAT=MLN","Sort=A","Dates=H","DateFormat=P","Fill=—","Direction=H","UseDPDF=Y")</f>
        <v>187.44499999999999</v>
      </c>
      <c r="W58" s="17" t="str" cm="1">
        <f t="array" ref="W58">_xll.BDH("PH US Equity","BS_LT_OPERATING_LEASE_LIABS","FQ1 2024","FQ1 2024","Currency=USD","Period=FQ","BEST_FPERIOD_OVERRIDE=FQ","FILING_STATUS=MR","SCALING_FORMAT=MLN","Sort=A","Dates=H","DateFormat=P","Fill=—","Direction=H","UseDPDF=Y")</f>
        <v>—</v>
      </c>
      <c r="X58" s="17" t="str" cm="1">
        <f t="array" ref="X58">_xll.BDH("PH US Equity","BS_LT_OPERATING_LEASE_LIABS","FQ2 2024","FQ2 2024","Currency=USD","Period=FQ","BEST_FPERIOD_OVERRIDE=FQ","FILING_STATUS=MR","SCALING_FORMAT=MLN","Sort=A","Dates=H","DateFormat=P","Fill=—","Direction=H","UseDPDF=Y")</f>
        <v>—</v>
      </c>
      <c r="Y58" s="17" t="str" cm="1">
        <f t="array" ref="Y58">_xll.BDH("PH US Equity","BS_LT_OPERATING_LEASE_LIABS","FQ3 2024","FQ3 2024","Currency=USD","Period=FQ","BEST_FPERIOD_OVERRIDE=FQ","FILING_STATUS=MR","SCALING_FORMAT=MLN","Sort=A","Dates=H","DateFormat=P","Fill=—","Direction=H","UseDPDF=Y")</f>
        <v>—</v>
      </c>
      <c r="Z58" s="17" cm="1">
        <f t="array" ref="Z58">_xll.BDH("PH US Equity","BS_LT_OPERATING_LEASE_LIABS","FQ4 2024","FQ4 2024","Currency=USD","Period=FQ","BEST_FPERIOD_OVERRIDE=FQ","FILING_STATUS=MR","SCALING_FORMAT=MLN","Sort=A","Dates=H","DateFormat=P","Fill=—","Direction=H","UseDPDF=Y")</f>
        <v>179.84899999999999</v>
      </c>
      <c r="AA58" s="17" t="str" cm="1">
        <f t="array" ref="AA58">_xll.BDH("PH US Equity","BS_LT_OPERATING_LEASE_LIABS","FQ1 2025","FQ1 2025","Currency=USD","Period=FQ","BEST_FPERIOD_OVERRIDE=FQ","FILING_STATUS=MR","SCALING_FORMAT=MLN","Sort=A","Dates=H","DateFormat=P","Fill=—","Direction=H","UseDPDF=Y")</f>
        <v>—</v>
      </c>
      <c r="AB58" s="17" t="str" cm="1">
        <f t="array" ref="AB58">_xll.BDH("PH US Equity","BS_LT_OPERATING_LEASE_LIABS","FQ2 2025","FQ2 2025","Currency=USD","Period=FQ","BEST_FPERIOD_OVERRIDE=FQ","FILING_STATUS=MR","SCALING_FORMAT=MLN","Sort=A","Dates=H","DateFormat=P","Fill=—","Direction=H","UseDPDF=Y")</f>
        <v>—</v>
      </c>
      <c r="AC58" s="17" t="str" cm="1">
        <f t="array" ref="AC58">_xll.BDH("PH US Equity","BS_LT_OPERATING_LEASE_LIABS","FQ3 2025","FQ3 2025","Currency=USD","Period=FQ","BEST_FPERIOD_OVERRIDE=FQ","FILING_STATUS=MR","SCALING_FORMAT=MLN","Sort=A","Dates=H","DateFormat=P","Fill=—","Direction=H","UseDPDF=Y")</f>
        <v>—</v>
      </c>
      <c r="AD58" s="17" cm="1">
        <f t="array" ref="AD58">_xll.BDH("PH US Equity","BS_LT_OPERATING_LEASE_LIABS","FQ4 2025","FQ4 2025","Currency=USD","Period=FQ","BEST_FPERIOD_OVERRIDE=FQ","FILING_STATUS=MR","SCALING_FORMAT=MLN","Sort=A","Dates=H","DateFormat=P","Fill=—","Direction=H","UseDPDF=Y")</f>
        <v>154</v>
      </c>
      <c r="AE58" s="17" t="str" cm="1">
        <f t="array" ref="AE58">_xll.BDH("PH US Equity","BS_LT_OPERATING_LEASE_LIABS","FQ1 2026","FQ1 2026","Currency=USD","Period=FQ","BEST_FPERIOD_OVERRIDE=FQ","FILING_STATUS=MR","SCALING_FORMAT=MLN","Sort=A","Dates=H","DateFormat=P","Fill=—","Direction=H","UseDPDF=Y")</f>
        <v>—</v>
      </c>
      <c r="AF58" s="17" t="str" cm="1">
        <f t="array" ref="AF58">_xll.BDH("PH US Equity","BS_LT_OPERATING_LEASE_LIABS","FQ2 2026","FQ2 2026","Currency=USD","Period=FQ","BEST_FPERIOD_OVERRIDE=FQ","FILING_STATUS=MR","SCALING_FORMAT=MLN","Sort=A","Dates=H","DateFormat=P","Fill=—","Direction=H","UseDPDF=Y")</f>
        <v>—</v>
      </c>
    </row>
    <row r="59" spans="1:32" x14ac:dyDescent="0.25">
      <c r="A59" s="10" t="s">
        <v>165</v>
      </c>
      <c r="B59" s="10" t="s">
        <v>166</v>
      </c>
      <c r="C59" s="13" cm="1">
        <f t="array" ref="C59">_xll.BDH("PH US Equity","OTHER_NONCUR_LIABS_SUB_DETAILED","FQ1 2019","FQ1 2019","Currency=USD","Period=FQ","BEST_FPERIOD_OVERRIDE=FQ","FILING_STATUS=MR","SCALING_FORMAT=MLN","Sort=A","Dates=H","DateFormat=P","Fill=—","Direction=H","UseDPDF=Y")</f>
        <v>1696.194</v>
      </c>
      <c r="D59" s="13" cm="1">
        <f t="array" ref="D59">_xll.BDH("PH US Equity","OTHER_NONCUR_LIABS_SUB_DETAILED","FQ2 2019","FQ2 2019","Currency=USD","Period=FQ","BEST_FPERIOD_OVERRIDE=FQ","FILING_STATUS=MR","SCALING_FORMAT=MLN","Sort=A","Dates=H","DateFormat=P","Fill=—","Direction=H","UseDPDF=Y")</f>
        <v>1674.2560000000001</v>
      </c>
      <c r="E59" s="13" cm="1">
        <f t="array" ref="E59">_xll.BDH("PH US Equity","OTHER_NONCUR_LIABS_SUB_DETAILED","FQ3 2019","FQ3 2019","Currency=USD","Period=FQ","BEST_FPERIOD_OVERRIDE=FQ","FILING_STATUS=MR","SCALING_FORMAT=MLN","Sort=A","Dates=H","DateFormat=P","Fill=—","Direction=H","UseDPDF=Y")</f>
        <v>1628.702</v>
      </c>
      <c r="F59" s="13" cm="1">
        <f t="array" ref="F59">_xll.BDH("PH US Equity","OTHER_NONCUR_LIABS_SUB_DETAILED","FQ4 2019","FQ4 2019","Currency=USD","Period=FQ","BEST_FPERIOD_OVERRIDE=FQ","FILING_STATUS=MR","SCALING_FORMAT=MLN","Sort=A","Dates=H","DateFormat=P","Fill=—","Direction=H","UseDPDF=Y")</f>
        <v>1935.934</v>
      </c>
      <c r="G59" s="13" cm="1">
        <f t="array" ref="G59">_xll.BDH("PH US Equity","OTHER_NONCUR_LIABS_SUB_DETAILED","FQ1 2020","FQ1 2020","Currency=USD","Period=FQ","BEST_FPERIOD_OVERRIDE=FQ","FILING_STATUS=MR","SCALING_FORMAT=MLN","Sort=A","Dates=H","DateFormat=P","Fill=—","Direction=H","UseDPDF=Y")</f>
        <v>1844.2180000000001</v>
      </c>
      <c r="H59" s="13" cm="1">
        <f t="array" ref="H59">_xll.BDH("PH US Equity","OTHER_NONCUR_LIABS_SUB_DETAILED","FQ2 2020","FQ2 2020","Currency=USD","Period=FQ","BEST_FPERIOD_OVERRIDE=FQ","FILING_STATUS=MR","SCALING_FORMAT=MLN","Sort=A","Dates=H","DateFormat=P","Fill=—","Direction=H","UseDPDF=Y")</f>
        <v>2356.7040000000002</v>
      </c>
      <c r="I59" s="13" cm="1">
        <f t="array" ref="I59">_xll.BDH("PH US Equity","OTHER_NONCUR_LIABS_SUB_DETAILED","FQ3 2020","FQ3 2020","Currency=USD","Period=FQ","BEST_FPERIOD_OVERRIDE=FQ","FILING_STATUS=MR","SCALING_FORMAT=MLN","Sort=A","Dates=H","DateFormat=P","Fill=—","Direction=H","UseDPDF=Y")</f>
        <v>2189.0050000000001</v>
      </c>
      <c r="J59" s="13" cm="1">
        <f t="array" ref="J59">_xll.BDH("PH US Equity","OTHER_NONCUR_LIABS_SUB_DETAILED","FQ4 2020","FQ4 2020","Currency=USD","Period=FQ","BEST_FPERIOD_OVERRIDE=FQ","FILING_STATUS=MR","SCALING_FORMAT=MLN","Sort=A","Dates=H","DateFormat=P","Fill=—","Direction=H","UseDPDF=Y")</f>
        <v>2748.9079999999999</v>
      </c>
      <c r="K59" s="13" cm="1">
        <f t="array" ref="K59">_xll.BDH("PH US Equity","OTHER_NONCUR_LIABS_SUB_DETAILED","FQ1 2021","FQ1 2021","Currency=USD","Period=FQ","BEST_FPERIOD_OVERRIDE=FQ","FILING_STATUS=MR","SCALING_FORMAT=MLN","Sort=A","Dates=H","DateFormat=P","Fill=—","Direction=H","UseDPDF=Y")</f>
        <v>2855.7220000000002</v>
      </c>
      <c r="L59" s="13" cm="1">
        <f t="array" ref="L59">_xll.BDH("PH US Equity","OTHER_NONCUR_LIABS_SUB_DETAILED","FQ2 2021","FQ2 2021","Currency=USD","Period=FQ","BEST_FPERIOD_OVERRIDE=FQ","FILING_STATUS=MR","SCALING_FORMAT=MLN","Sort=A","Dates=H","DateFormat=P","Fill=—","Direction=H","UseDPDF=Y")</f>
        <v>2895.7330000000002</v>
      </c>
      <c r="M59" s="13" cm="1">
        <f t="array" ref="M59">_xll.BDH("PH US Equity","OTHER_NONCUR_LIABS_SUB_DETAILED","FQ3 2021","FQ3 2021","Currency=USD","Period=FQ","BEST_FPERIOD_OVERRIDE=FQ","FILING_STATUS=MR","SCALING_FORMAT=MLN","Sort=A","Dates=H","DateFormat=P","Fill=—","Direction=H","UseDPDF=Y")</f>
        <v>2825.0619999999999</v>
      </c>
      <c r="N59" s="13" cm="1">
        <f t="array" ref="N59">_xll.BDH("PH US Equity","OTHER_NONCUR_LIABS_SUB_DETAILED","FQ4 2021","FQ4 2021","Currency=USD","Period=FQ","BEST_FPERIOD_OVERRIDE=FQ","FILING_STATUS=MR","SCALING_FORMAT=MLN","Sort=A","Dates=H","DateFormat=P","Fill=—","Direction=H","UseDPDF=Y")</f>
        <v>2155.0700000000002</v>
      </c>
      <c r="O59" s="13" cm="1">
        <f t="array" ref="O59">_xll.BDH("PH US Equity","OTHER_NONCUR_LIABS_SUB_DETAILED","FQ1 2022","FQ1 2022","Currency=USD","Period=FQ","BEST_FPERIOD_OVERRIDE=FQ","FILING_STATUS=MR","SCALING_FORMAT=MLN","Sort=A","Dates=H","DateFormat=P","Fill=—","Direction=H","UseDPDF=Y")</f>
        <v>2183.8420000000001</v>
      </c>
      <c r="P59" s="13" cm="1">
        <f t="array" ref="P59">_xll.BDH("PH US Equity","OTHER_NONCUR_LIABS_SUB_DETAILED","FQ2 2022","FQ2 2022","Currency=USD","Period=FQ","BEST_FPERIOD_OVERRIDE=FQ","FILING_STATUS=MR","SCALING_FORMAT=MLN","Sort=A","Dates=H","DateFormat=P","Fill=—","Direction=H","UseDPDF=Y")</f>
        <v>2119.1790000000001</v>
      </c>
      <c r="Q59" s="13" cm="1">
        <f t="array" ref="Q59">_xll.BDH("PH US Equity","OTHER_NONCUR_LIABS_SUB_DETAILED","FQ3 2022","FQ3 2022","Currency=USD","Period=FQ","BEST_FPERIOD_OVERRIDE=FQ","FILING_STATUS=MR","SCALING_FORMAT=MLN","Sort=A","Dates=H","DateFormat=P","Fill=—","Direction=H","UseDPDF=Y")</f>
        <v>1936.143</v>
      </c>
      <c r="R59" s="13" cm="1">
        <f t="array" ref="R59">_xll.BDH("PH US Equity","OTHER_NONCUR_LIABS_SUB_DETAILED","FQ4 2022","FQ4 2022","Currency=USD","Period=FQ","BEST_FPERIOD_OVERRIDE=FQ","FILING_STATUS=MR","SCALING_FORMAT=MLN","Sort=A","Dates=H","DateFormat=P","Fill=—","Direction=H","UseDPDF=Y")</f>
        <v>1368.5429999999999</v>
      </c>
      <c r="S59" s="13" cm="1">
        <f t="array" ref="S59">_xll.BDH("PH US Equity","OTHER_NONCUR_LIABS_SUB_DETAILED","FQ1 2023","FQ1 2023","Currency=USD","Period=FQ","BEST_FPERIOD_OVERRIDE=FQ","FILING_STATUS=MR","SCALING_FORMAT=MLN","Sort=A","Dates=H","DateFormat=P","Fill=—","Direction=H","UseDPDF=Y")</f>
        <v>3443.895</v>
      </c>
      <c r="T59" s="13" cm="1">
        <f t="array" ref="T59">_xll.BDH("PH US Equity","OTHER_NONCUR_LIABS_SUB_DETAILED","FQ2 2023","FQ2 2023","Currency=USD","Period=FQ","BEST_FPERIOD_OVERRIDE=FQ","FILING_STATUS=MR","SCALING_FORMAT=MLN","Sort=A","Dates=H","DateFormat=P","Fill=—","Direction=H","UseDPDF=Y")</f>
        <v>3457.1480000000001</v>
      </c>
      <c r="U59" s="13" cm="1">
        <f t="array" ref="U59">_xll.BDH("PH US Equity","OTHER_NONCUR_LIABS_SUB_DETAILED","FQ3 2023","FQ3 2023","Currency=USD","Period=FQ","BEST_FPERIOD_OVERRIDE=FQ","FILING_STATUS=MR","SCALING_FORMAT=MLN","Sort=A","Dates=H","DateFormat=P","Fill=—","Direction=H","UseDPDF=Y")</f>
        <v>3522.0889999999999</v>
      </c>
      <c r="V59" s="13" cm="1">
        <f t="array" ref="V59">_xll.BDH("PH US Equity","OTHER_NONCUR_LIABS_SUB_DETAILED","FQ4 2023","FQ4 2023","Currency=USD","Period=FQ","BEST_FPERIOD_OVERRIDE=FQ","FILING_STATUS=MR","SCALING_FORMAT=MLN","Sort=A","Dates=H","DateFormat=P","Fill=—","Direction=H","UseDPDF=Y")</f>
        <v>2806.2049999999999</v>
      </c>
      <c r="W59" s="13" cm="1">
        <f t="array" ref="W59">_xll.BDH("PH US Equity","OTHER_NONCUR_LIABS_SUB_DETAILED","FQ1 2024","FQ1 2024","Currency=USD","Period=FQ","BEST_FPERIOD_OVERRIDE=FQ","FILING_STATUS=MR","SCALING_FORMAT=MLN","Sort=A","Dates=H","DateFormat=P","Fill=—","Direction=H","UseDPDF=Y")</f>
        <v>2754.6480000000001</v>
      </c>
      <c r="X59" s="13" cm="1">
        <f t="array" ref="X59">_xll.BDH("PH US Equity","OTHER_NONCUR_LIABS_SUB_DETAILED","FQ2 2024","FQ2 2024","Currency=USD","Period=FQ","BEST_FPERIOD_OVERRIDE=FQ","FILING_STATUS=MR","SCALING_FORMAT=MLN","Sort=A","Dates=H","DateFormat=P","Fill=—","Direction=H","UseDPDF=Y")</f>
        <v>2776.7869999999998</v>
      </c>
      <c r="Y59" s="13" cm="1">
        <f t="array" ref="Y59">_xll.BDH("PH US Equity","OTHER_NONCUR_LIABS_SUB_DETAILED","FQ3 2024","FQ3 2024","Currency=USD","Period=FQ","BEST_FPERIOD_OVERRIDE=FQ","FILING_STATUS=MR","SCALING_FORMAT=MLN","Sort=A","Dates=H","DateFormat=P","Fill=—","Direction=H","UseDPDF=Y")</f>
        <v>2693.3310000000001</v>
      </c>
      <c r="Z59" s="13" cm="1">
        <f t="array" ref="Z59">_xll.BDH("PH US Equity","OTHER_NONCUR_LIABS_SUB_DETAILED","FQ4 2024","FQ4 2024","Currency=USD","Period=FQ","BEST_FPERIOD_OVERRIDE=FQ","FILING_STATUS=MR","SCALING_FORMAT=MLN","Sort=A","Dates=H","DateFormat=P","Fill=—","Direction=H","UseDPDF=Y")</f>
        <v>2468.4140000000002</v>
      </c>
      <c r="AA59" s="13" cm="1">
        <f t="array" ref="AA59">_xll.BDH("PH US Equity","OTHER_NONCUR_LIABS_SUB_DETAILED","FQ1 2025","FQ1 2025","Currency=USD","Period=FQ","BEST_FPERIOD_OVERRIDE=FQ","FILING_STATUS=MR","SCALING_FORMAT=MLN","Sort=A","Dates=H","DateFormat=P","Fill=—","Direction=H","UseDPDF=Y")</f>
        <v>2688.1529999999998</v>
      </c>
      <c r="AB59" s="13" cm="1">
        <f t="array" ref="AB59">_xll.BDH("PH US Equity","OTHER_NONCUR_LIABS_SUB_DETAILED","FQ2 2025","FQ2 2025","Currency=USD","Period=FQ","BEST_FPERIOD_OVERRIDE=FQ","FILING_STATUS=MR","SCALING_FORMAT=MLN","Sort=A","Dates=H","DateFormat=P","Fill=—","Direction=H","UseDPDF=Y")</f>
        <v>2489.1559999999999</v>
      </c>
      <c r="AC59" s="13" cm="1">
        <f t="array" ref="AC59">_xll.BDH("PH US Equity","OTHER_NONCUR_LIABS_SUB_DETAILED","FQ3 2025","FQ3 2025","Currency=USD","Period=FQ","BEST_FPERIOD_OVERRIDE=FQ","FILING_STATUS=MR","SCALING_FORMAT=MLN","Sort=A","Dates=H","DateFormat=P","Fill=—","Direction=H","UseDPDF=Y")</f>
        <v>2482.1469999999999</v>
      </c>
      <c r="AD59" s="13" cm="1">
        <f t="array" ref="AD59">_xll.BDH("PH US Equity","OTHER_NONCUR_LIABS_SUB_DETAILED","FQ4 2025","FQ4 2025","Currency=USD","Period=FQ","BEST_FPERIOD_OVERRIDE=FQ","FILING_STATUS=MR","SCALING_FORMAT=MLN","Sort=A","Dates=H","DateFormat=P","Fill=—","Direction=H","UseDPDF=Y")</f>
        <v>2234</v>
      </c>
      <c r="AE59" s="13" cm="1">
        <f t="array" ref="AE59">_xll.BDH("PH US Equity","OTHER_NONCUR_LIABS_SUB_DETAILED","FQ1 2026","FQ1 2026","Currency=USD","Period=FQ","BEST_FPERIOD_OVERRIDE=FQ","FILING_STATUS=MR","SCALING_FORMAT=MLN","Sort=A","Dates=H","DateFormat=P","Fill=—","Direction=H","UseDPDF=Y")</f>
        <v>2627</v>
      </c>
      <c r="AF59" s="13" cm="1">
        <f t="array" ref="AF59">_xll.BDH("PH US Equity","OTHER_NONCUR_LIABS_SUB_DETAILED","FQ2 2026","FQ2 2026","Currency=USD","Period=FQ","BEST_FPERIOD_OVERRIDE=FQ","FILING_STATUS=MR","SCALING_FORMAT=MLN","Sort=A","Dates=H","DateFormat=P","Fill=—","Direction=H","UseDPDF=Y")</f>
        <v>2621</v>
      </c>
    </row>
    <row r="60" spans="1:32" x14ac:dyDescent="0.25">
      <c r="A60" s="10" t="s">
        <v>167</v>
      </c>
      <c r="B60" s="10" t="s">
        <v>168</v>
      </c>
      <c r="C60" s="13" t="str" cm="1">
        <f t="array" ref="C60">_xll.BDH("PH US Equity","BS_ACCRUED_LIABILITIES","FQ1 2019","FQ1 2019","Currency=USD","Period=FQ","BEST_FPERIOD_OVERRIDE=FQ","FILING_STATUS=MR","SCALING_FORMAT=MLN","Sort=A","Dates=H","DateFormat=P","Fill=—","Direction=H","UseDPDF=Y")</f>
        <v>—</v>
      </c>
      <c r="D60" s="13" t="str" cm="1">
        <f t="array" ref="D60">_xll.BDH("PH US Equity","BS_ACCRUED_LIABILITIES","FQ2 2019","FQ2 2019","Currency=USD","Period=FQ","BEST_FPERIOD_OVERRIDE=FQ","FILING_STATUS=MR","SCALING_FORMAT=MLN","Sort=A","Dates=H","DateFormat=P","Fill=—","Direction=H","UseDPDF=Y")</f>
        <v>—</v>
      </c>
      <c r="E60" s="13" t="str" cm="1">
        <f t="array" ref="E60">_xll.BDH("PH US Equity","BS_ACCRUED_LIABILITIES","FQ3 2019","FQ3 2019","Currency=USD","Period=FQ","BEST_FPERIOD_OVERRIDE=FQ","FILING_STATUS=MR","SCALING_FORMAT=MLN","Sort=A","Dates=H","DateFormat=P","Fill=—","Direction=H","UseDPDF=Y")</f>
        <v>—</v>
      </c>
      <c r="F60" s="13" cm="1">
        <f t="array" ref="F60">_xll.BDH("PH US Equity","BS_ACCRUED_LIABILITIES","FQ4 2019","FQ4 2019","Currency=USD","Period=FQ","BEST_FPERIOD_OVERRIDE=FQ","FILING_STATUS=MR","SCALING_FORMAT=MLN","Sort=A","Dates=H","DateFormat=P","Fill=—","Direction=H","UseDPDF=Y")</f>
        <v>0</v>
      </c>
      <c r="G60" s="13" t="str" cm="1">
        <f t="array" ref="G60">_xll.BDH("PH US Equity","BS_ACCRUED_LIABILITIES","FQ1 2020","FQ1 2020","Currency=USD","Period=FQ","BEST_FPERIOD_OVERRIDE=FQ","FILING_STATUS=MR","SCALING_FORMAT=MLN","Sort=A","Dates=H","DateFormat=P","Fill=—","Direction=H","UseDPDF=Y")</f>
        <v>—</v>
      </c>
      <c r="H60" s="13" t="str" cm="1">
        <f t="array" ref="H60">_xll.BDH("PH US Equity","BS_ACCRUED_LIABILITIES","FQ2 2020","FQ2 2020","Currency=USD","Period=FQ","BEST_FPERIOD_OVERRIDE=FQ","FILING_STATUS=MR","SCALING_FORMAT=MLN","Sort=A","Dates=H","DateFormat=P","Fill=—","Direction=H","UseDPDF=Y")</f>
        <v>—</v>
      </c>
      <c r="I60" s="13" t="str" cm="1">
        <f t="array" ref="I60">_xll.BDH("PH US Equity","BS_ACCRUED_LIABILITIES","FQ3 2020","FQ3 2020","Currency=USD","Period=FQ","BEST_FPERIOD_OVERRIDE=FQ","FILING_STATUS=MR","SCALING_FORMAT=MLN","Sort=A","Dates=H","DateFormat=P","Fill=—","Direction=H","UseDPDF=Y")</f>
        <v>—</v>
      </c>
      <c r="J60" s="13" cm="1">
        <f t="array" ref="J60">_xll.BDH("PH US Equity","BS_ACCRUED_LIABILITIES","FQ4 2020","FQ4 2020","Currency=USD","Period=FQ","BEST_FPERIOD_OVERRIDE=FQ","FILING_STATUS=MR","SCALING_FORMAT=MLN","Sort=A","Dates=H","DateFormat=P","Fill=—","Direction=H","UseDPDF=Y")</f>
        <v>0</v>
      </c>
      <c r="K60" s="13" t="str" cm="1">
        <f t="array" ref="K60">_xll.BDH("PH US Equity","BS_ACCRUED_LIABILITIES","FQ1 2021","FQ1 2021","Currency=USD","Period=FQ","BEST_FPERIOD_OVERRIDE=FQ","FILING_STATUS=MR","SCALING_FORMAT=MLN","Sort=A","Dates=H","DateFormat=P","Fill=—","Direction=H","UseDPDF=Y")</f>
        <v>—</v>
      </c>
      <c r="L60" s="13" t="str" cm="1">
        <f t="array" ref="L60">_xll.BDH("PH US Equity","BS_ACCRUED_LIABILITIES","FQ2 2021","FQ2 2021","Currency=USD","Period=FQ","BEST_FPERIOD_OVERRIDE=FQ","FILING_STATUS=MR","SCALING_FORMAT=MLN","Sort=A","Dates=H","DateFormat=P","Fill=—","Direction=H","UseDPDF=Y")</f>
        <v>—</v>
      </c>
      <c r="M60" s="13" t="str" cm="1">
        <f t="array" ref="M60">_xll.BDH("PH US Equity","BS_ACCRUED_LIABILITIES","FQ3 2021","FQ3 2021","Currency=USD","Period=FQ","BEST_FPERIOD_OVERRIDE=FQ","FILING_STATUS=MR","SCALING_FORMAT=MLN","Sort=A","Dates=H","DateFormat=P","Fill=—","Direction=H","UseDPDF=Y")</f>
        <v>—</v>
      </c>
      <c r="N60" s="13" cm="1">
        <f t="array" ref="N60">_xll.BDH("PH US Equity","BS_ACCRUED_LIABILITIES","FQ4 2021","FQ4 2021","Currency=USD","Period=FQ","BEST_FPERIOD_OVERRIDE=FQ","FILING_STATUS=MR","SCALING_FORMAT=MLN","Sort=A","Dates=H","DateFormat=P","Fill=—","Direction=H","UseDPDF=Y")</f>
        <v>0</v>
      </c>
      <c r="O60" s="13" t="str" cm="1">
        <f t="array" ref="O60">_xll.BDH("PH US Equity","BS_ACCRUED_LIABILITIES","FQ1 2022","FQ1 2022","Currency=USD","Period=FQ","BEST_FPERIOD_OVERRIDE=FQ","FILING_STATUS=MR","SCALING_FORMAT=MLN","Sort=A","Dates=H","DateFormat=P","Fill=—","Direction=H","UseDPDF=Y")</f>
        <v>—</v>
      </c>
      <c r="P60" s="13" t="str" cm="1">
        <f t="array" ref="P60">_xll.BDH("PH US Equity","BS_ACCRUED_LIABILITIES","FQ2 2022","FQ2 2022","Currency=USD","Period=FQ","BEST_FPERIOD_OVERRIDE=FQ","FILING_STATUS=MR","SCALING_FORMAT=MLN","Sort=A","Dates=H","DateFormat=P","Fill=—","Direction=H","UseDPDF=Y")</f>
        <v>—</v>
      </c>
      <c r="Q60" s="13" t="str" cm="1">
        <f t="array" ref="Q60">_xll.BDH("PH US Equity","BS_ACCRUED_LIABILITIES","FQ3 2022","FQ3 2022","Currency=USD","Period=FQ","BEST_FPERIOD_OVERRIDE=FQ","FILING_STATUS=MR","SCALING_FORMAT=MLN","Sort=A","Dates=H","DateFormat=P","Fill=—","Direction=H","UseDPDF=Y")</f>
        <v>—</v>
      </c>
      <c r="R60" s="13" cm="1">
        <f t="array" ref="R60">_xll.BDH("PH US Equity","BS_ACCRUED_LIABILITIES","FQ4 2022","FQ4 2022","Currency=USD","Period=FQ","BEST_FPERIOD_OVERRIDE=FQ","FILING_STATUS=MR","SCALING_FORMAT=MLN","Sort=A","Dates=H","DateFormat=P","Fill=—","Direction=H","UseDPDF=Y")</f>
        <v>0</v>
      </c>
      <c r="S60" s="13" t="str" cm="1">
        <f t="array" ref="S60">_xll.BDH("PH US Equity","BS_ACCRUED_LIABILITIES","FQ1 2023","FQ1 2023","Currency=USD","Period=FQ","BEST_FPERIOD_OVERRIDE=FQ","FILING_STATUS=MR","SCALING_FORMAT=MLN","Sort=A","Dates=H","DateFormat=P","Fill=—","Direction=H","UseDPDF=Y")</f>
        <v>—</v>
      </c>
      <c r="T60" s="13" t="str" cm="1">
        <f t="array" ref="T60">_xll.BDH("PH US Equity","BS_ACCRUED_LIABILITIES","FQ2 2023","FQ2 2023","Currency=USD","Period=FQ","BEST_FPERIOD_OVERRIDE=FQ","FILING_STATUS=MR","SCALING_FORMAT=MLN","Sort=A","Dates=H","DateFormat=P","Fill=—","Direction=H","UseDPDF=Y")</f>
        <v>—</v>
      </c>
      <c r="U60" s="13" t="str" cm="1">
        <f t="array" ref="U60">_xll.BDH("PH US Equity","BS_ACCRUED_LIABILITIES","FQ3 2023","FQ3 2023","Currency=USD","Period=FQ","BEST_FPERIOD_OVERRIDE=FQ","FILING_STATUS=MR","SCALING_FORMAT=MLN","Sort=A","Dates=H","DateFormat=P","Fill=—","Direction=H","UseDPDF=Y")</f>
        <v>—</v>
      </c>
      <c r="V60" s="13" cm="1">
        <f t="array" ref="V60">_xll.BDH("PH US Equity","BS_ACCRUED_LIABILITIES","FQ4 2023","FQ4 2023","Currency=USD","Period=FQ","BEST_FPERIOD_OVERRIDE=FQ","FILING_STATUS=MR","SCALING_FORMAT=MLN","Sort=A","Dates=H","DateFormat=P","Fill=—","Direction=H","UseDPDF=Y")</f>
        <v>0</v>
      </c>
      <c r="W60" s="13" t="str" cm="1">
        <f t="array" ref="W60">_xll.BDH("PH US Equity","BS_ACCRUED_LIABILITIES","FQ1 2024","FQ1 2024","Currency=USD","Period=FQ","BEST_FPERIOD_OVERRIDE=FQ","FILING_STATUS=MR","SCALING_FORMAT=MLN","Sort=A","Dates=H","DateFormat=P","Fill=—","Direction=H","UseDPDF=Y")</f>
        <v>—</v>
      </c>
      <c r="X60" s="13" t="str" cm="1">
        <f t="array" ref="X60">_xll.BDH("PH US Equity","BS_ACCRUED_LIABILITIES","FQ2 2024","FQ2 2024","Currency=USD","Period=FQ","BEST_FPERIOD_OVERRIDE=FQ","FILING_STATUS=MR","SCALING_FORMAT=MLN","Sort=A","Dates=H","DateFormat=P","Fill=—","Direction=H","UseDPDF=Y")</f>
        <v>—</v>
      </c>
      <c r="Y60" s="13" t="str" cm="1">
        <f t="array" ref="Y60">_xll.BDH("PH US Equity","BS_ACCRUED_LIABILITIES","FQ3 2024","FQ3 2024","Currency=USD","Period=FQ","BEST_FPERIOD_OVERRIDE=FQ","FILING_STATUS=MR","SCALING_FORMAT=MLN","Sort=A","Dates=H","DateFormat=P","Fill=—","Direction=H","UseDPDF=Y")</f>
        <v>—</v>
      </c>
      <c r="Z60" s="13" cm="1">
        <f t="array" ref="Z60">_xll.BDH("PH US Equity","BS_ACCRUED_LIABILITIES","FQ4 2024","FQ4 2024","Currency=USD","Period=FQ","BEST_FPERIOD_OVERRIDE=FQ","FILING_STATUS=MR","SCALING_FORMAT=MLN","Sort=A","Dates=H","DateFormat=P","Fill=—","Direction=H","UseDPDF=Y")</f>
        <v>0</v>
      </c>
      <c r="AA60" s="13" t="str" cm="1">
        <f t="array" ref="AA60">_xll.BDH("PH US Equity","BS_ACCRUED_LIABILITIES","FQ1 2025","FQ1 2025","Currency=USD","Period=FQ","BEST_FPERIOD_OVERRIDE=FQ","FILING_STATUS=MR","SCALING_FORMAT=MLN","Sort=A","Dates=H","DateFormat=P","Fill=—","Direction=H","UseDPDF=Y")</f>
        <v>—</v>
      </c>
      <c r="AB60" s="13" t="str" cm="1">
        <f t="array" ref="AB60">_xll.BDH("PH US Equity","BS_ACCRUED_LIABILITIES","FQ2 2025","FQ2 2025","Currency=USD","Period=FQ","BEST_FPERIOD_OVERRIDE=FQ","FILING_STATUS=MR","SCALING_FORMAT=MLN","Sort=A","Dates=H","DateFormat=P","Fill=—","Direction=H","UseDPDF=Y")</f>
        <v>—</v>
      </c>
      <c r="AC60" s="13" t="str" cm="1">
        <f t="array" ref="AC60">_xll.BDH("PH US Equity","BS_ACCRUED_LIABILITIES","FQ3 2025","FQ3 2025","Currency=USD","Period=FQ","BEST_FPERIOD_OVERRIDE=FQ","FILING_STATUS=MR","SCALING_FORMAT=MLN","Sort=A","Dates=H","DateFormat=P","Fill=—","Direction=H","UseDPDF=Y")</f>
        <v>—</v>
      </c>
      <c r="AD60" s="13" cm="1">
        <f t="array" ref="AD60">_xll.BDH("PH US Equity","BS_ACCRUED_LIABILITIES","FQ4 2025","FQ4 2025","Currency=USD","Period=FQ","BEST_FPERIOD_OVERRIDE=FQ","FILING_STATUS=MR","SCALING_FORMAT=MLN","Sort=A","Dates=H","DateFormat=P","Fill=—","Direction=H","UseDPDF=Y")</f>
        <v>0</v>
      </c>
      <c r="AE60" s="13" t="str" cm="1">
        <f t="array" ref="AE60">_xll.BDH("PH US Equity","BS_ACCRUED_LIABILITIES","FQ1 2026","FQ1 2026","Currency=USD","Period=FQ","BEST_FPERIOD_OVERRIDE=FQ","FILING_STATUS=MR","SCALING_FORMAT=MLN","Sort=A","Dates=H","DateFormat=P","Fill=—","Direction=H","UseDPDF=Y")</f>
        <v>—</v>
      </c>
      <c r="AF60" s="13" t="str" cm="1">
        <f t="array" ref="AF60">_xll.BDH("PH US Equity","BS_ACCRUED_LIABILITIES","FQ2 2026","FQ2 2026","Currency=USD","Period=FQ","BEST_FPERIOD_OVERRIDE=FQ","FILING_STATUS=MR","SCALING_FORMAT=MLN","Sort=A","Dates=H","DateFormat=P","Fill=—","Direction=H","UseDPDF=Y")</f>
        <v>—</v>
      </c>
    </row>
    <row r="61" spans="1:32" x14ac:dyDescent="0.25">
      <c r="A61" s="10" t="s">
        <v>169</v>
      </c>
      <c r="B61" s="10" t="s">
        <v>170</v>
      </c>
      <c r="C61" s="13" cm="1">
        <f t="array" ref="C61">_xll.BDH("PH US Equity","PENSION_LIABILITIES","FQ1 2019","FQ1 2019","Currency=USD","Period=FQ","BEST_FPERIOD_OVERRIDE=FQ","FILING_STATUS=MR","SCALING_FORMAT=MLN","Sort=A","Dates=H","DateFormat=P","Fill=—","Direction=H","UseDPDF=Y")</f>
        <v>958.93700000000001</v>
      </c>
      <c r="D61" s="13" cm="1">
        <f t="array" ref="D61">_xll.BDH("PH US Equity","PENSION_LIABILITIES","FQ2 2019","FQ2 2019","Currency=USD","Period=FQ","BEST_FPERIOD_OVERRIDE=FQ","FILING_STATUS=MR","SCALING_FORMAT=MLN","Sort=A","Dates=H","DateFormat=P","Fill=—","Direction=H","UseDPDF=Y")</f>
        <v>937.93799999999999</v>
      </c>
      <c r="E61" s="13" cm="1">
        <f t="array" ref="E61">_xll.BDH("PH US Equity","PENSION_LIABILITIES","FQ3 2019","FQ3 2019","Currency=USD","Period=FQ","BEST_FPERIOD_OVERRIDE=FQ","FILING_STATUS=MR","SCALING_FORMAT=MLN","Sort=A","Dates=H","DateFormat=P","Fill=—","Direction=H","UseDPDF=Y")</f>
        <v>895.197</v>
      </c>
      <c r="F61" s="13" cm="1">
        <f t="array" ref="F61">_xll.BDH("PH US Equity","PENSION_LIABILITIES","FQ4 2019","FQ4 2019","Currency=USD","Period=FQ","BEST_FPERIOD_OVERRIDE=FQ","FILING_STATUS=MR","SCALING_FORMAT=MLN","Sort=A","Dates=H","DateFormat=P","Fill=—","Direction=H","UseDPDF=Y")</f>
        <v>1304.3789999999999</v>
      </c>
      <c r="G61" s="13" cm="1">
        <f t="array" ref="G61">_xll.BDH("PH US Equity","PENSION_LIABILITIES","FQ1 2020","FQ1 2020","Currency=USD","Period=FQ","BEST_FPERIOD_OVERRIDE=FQ","FILING_STATUS=MR","SCALING_FORMAT=MLN","Sort=A","Dates=H","DateFormat=P","Fill=—","Direction=H","UseDPDF=Y")</f>
        <v>1261.4929999999999</v>
      </c>
      <c r="H61" s="13" cm="1">
        <f t="array" ref="H61">_xll.BDH("PH US Equity","PENSION_LIABILITIES","FQ2 2020","FQ2 2020","Currency=USD","Period=FQ","BEST_FPERIOD_OVERRIDE=FQ","FILING_STATUS=MR","SCALING_FORMAT=MLN","Sort=A","Dates=H","DateFormat=P","Fill=—","Direction=H","UseDPDF=Y")</f>
        <v>1366.8140000000001</v>
      </c>
      <c r="I61" s="13" cm="1">
        <f t="array" ref="I61">_xll.BDH("PH US Equity","PENSION_LIABILITIES","FQ3 2020","FQ3 2020","Currency=USD","Period=FQ","BEST_FPERIOD_OVERRIDE=FQ","FILING_STATUS=MR","SCALING_FORMAT=MLN","Sort=A","Dates=H","DateFormat=P","Fill=—","Direction=H","UseDPDF=Y")</f>
        <v>1320.1669999999999</v>
      </c>
      <c r="J61" s="13" cm="1">
        <f t="array" ref="J61">_xll.BDH("PH US Equity","PENSION_LIABILITIES","FQ4 2020","FQ4 2020","Currency=USD","Period=FQ","BEST_FPERIOD_OVERRIDE=FQ","FILING_STATUS=MR","SCALING_FORMAT=MLN","Sort=A","Dates=H","DateFormat=P","Fill=—","Direction=H","UseDPDF=Y")</f>
        <v>1887.414</v>
      </c>
      <c r="K61" s="13" cm="1">
        <f t="array" ref="K61">_xll.BDH("PH US Equity","PENSION_LIABILITIES","FQ1 2021","FQ1 2021","Currency=USD","Period=FQ","BEST_FPERIOD_OVERRIDE=FQ","FILING_STATUS=MR","SCALING_FORMAT=MLN","Sort=A","Dates=H","DateFormat=P","Fill=—","Direction=H","UseDPDF=Y")</f>
        <v>1864.5060000000001</v>
      </c>
      <c r="L61" s="13" cm="1">
        <f t="array" ref="L61">_xll.BDH("PH US Equity","PENSION_LIABILITIES","FQ2 2021","FQ2 2021","Currency=USD","Period=FQ","BEST_FPERIOD_OVERRIDE=FQ","FILING_STATUS=MR","SCALING_FORMAT=MLN","Sort=A","Dates=H","DateFormat=P","Fill=—","Direction=H","UseDPDF=Y")</f>
        <v>1843.2090000000001</v>
      </c>
      <c r="M61" s="13" cm="1">
        <f t="array" ref="M61">_xll.BDH("PH US Equity","PENSION_LIABILITIES","FQ3 2021","FQ3 2021","Currency=USD","Period=FQ","BEST_FPERIOD_OVERRIDE=FQ","FILING_STATUS=MR","SCALING_FORMAT=MLN","Sort=A","Dates=H","DateFormat=P","Fill=—","Direction=H","UseDPDF=Y")</f>
        <v>1777.1369999999999</v>
      </c>
      <c r="N61" s="13" cm="1">
        <f t="array" ref="N61">_xll.BDH("PH US Equity","PENSION_LIABILITIES","FQ4 2021","FQ4 2021","Currency=USD","Period=FQ","BEST_FPERIOD_OVERRIDE=FQ","FILING_STATUS=MR","SCALING_FORMAT=MLN","Sort=A","Dates=H","DateFormat=P","Fill=—","Direction=H","UseDPDF=Y")</f>
        <v>1055.6379999999999</v>
      </c>
      <c r="O61" s="13" cm="1">
        <f t="array" ref="O61">_xll.BDH("PH US Equity","PENSION_LIABILITIES","FQ1 2022","FQ1 2022","Currency=USD","Period=FQ","BEST_FPERIOD_OVERRIDE=FQ","FILING_STATUS=MR","SCALING_FORMAT=MLN","Sort=A","Dates=H","DateFormat=P","Fill=—","Direction=H","UseDPDF=Y")</f>
        <v>997.39200000000005</v>
      </c>
      <c r="P61" s="13" cm="1">
        <f t="array" ref="P61">_xll.BDH("PH US Equity","PENSION_LIABILITIES","FQ2 2022","FQ2 2022","Currency=USD","Period=FQ","BEST_FPERIOD_OVERRIDE=FQ","FILING_STATUS=MR","SCALING_FORMAT=MLN","Sort=A","Dates=H","DateFormat=P","Fill=—","Direction=H","UseDPDF=Y")</f>
        <v>959.74099999999999</v>
      </c>
      <c r="Q61" s="13" cm="1">
        <f t="array" ref="Q61">_xll.BDH("PH US Equity","PENSION_LIABILITIES","FQ3 2022","FQ3 2022","Currency=USD","Period=FQ","BEST_FPERIOD_OVERRIDE=FQ","FILING_STATUS=MR","SCALING_FORMAT=MLN","Sort=A","Dates=H","DateFormat=P","Fill=—","Direction=H","UseDPDF=Y")</f>
        <v>904.33199999999999</v>
      </c>
      <c r="R61" s="13" cm="1">
        <f t="array" ref="R61">_xll.BDH("PH US Equity","PENSION_LIABILITIES","FQ4 2022","FQ4 2022","Currency=USD","Period=FQ","BEST_FPERIOD_OVERRIDE=FQ","FILING_STATUS=MR","SCALING_FORMAT=MLN","Sort=A","Dates=H","DateFormat=P","Fill=—","Direction=H","UseDPDF=Y")</f>
        <v>639.93899999999996</v>
      </c>
      <c r="S61" s="13" cm="1">
        <f t="array" ref="S61">_xll.BDH("PH US Equity","PENSION_LIABILITIES","FQ1 2023","FQ1 2023","Currency=USD","Period=FQ","BEST_FPERIOD_OVERRIDE=FQ","FILING_STATUS=MR","SCALING_FORMAT=MLN","Sort=A","Dates=H","DateFormat=P","Fill=—","Direction=H","UseDPDF=Y")</f>
        <v>770.03200000000004</v>
      </c>
      <c r="T61" s="13" cm="1">
        <f t="array" ref="T61">_xll.BDH("PH US Equity","PENSION_LIABILITIES","FQ2 2023","FQ2 2023","Currency=USD","Period=FQ","BEST_FPERIOD_OVERRIDE=FQ","FILING_STATUS=MR","SCALING_FORMAT=MLN","Sort=A","Dates=H","DateFormat=P","Fill=—","Direction=H","UseDPDF=Y")</f>
        <v>807.12400000000002</v>
      </c>
      <c r="U61" s="13" cm="1">
        <f t="array" ref="U61">_xll.BDH("PH US Equity","PENSION_LIABILITIES","FQ3 2023","FQ3 2023","Currency=USD","Period=FQ","BEST_FPERIOD_OVERRIDE=FQ","FILING_STATUS=MR","SCALING_FORMAT=MLN","Sort=A","Dates=H","DateFormat=P","Fill=—","Direction=H","UseDPDF=Y")</f>
        <v>781.13900000000001</v>
      </c>
      <c r="V61" s="13" cm="1">
        <f t="array" ref="V61">_xll.BDH("PH US Equity","PENSION_LIABILITIES","FQ4 2023","FQ4 2023","Currency=USD","Period=FQ","BEST_FPERIOD_OVERRIDE=FQ","FILING_STATUS=MR","SCALING_FORMAT=MLN","Sort=A","Dates=H","DateFormat=P","Fill=—","Direction=H","UseDPDF=Y")</f>
        <v>551.51</v>
      </c>
      <c r="W61" s="13" cm="1">
        <f t="array" ref="W61">_xll.BDH("PH US Equity","PENSION_LIABILITIES","FQ1 2024","FQ1 2024","Currency=USD","Period=FQ","BEST_FPERIOD_OVERRIDE=FQ","FILING_STATUS=MR","SCALING_FORMAT=MLN","Sort=A","Dates=H","DateFormat=P","Fill=—","Direction=H","UseDPDF=Y")</f>
        <v>493.27800000000002</v>
      </c>
      <c r="X61" s="13" cm="1">
        <f t="array" ref="X61">_xll.BDH("PH US Equity","PENSION_LIABILITIES","FQ2 2024","FQ2 2024","Currency=USD","Period=FQ","BEST_FPERIOD_OVERRIDE=FQ","FILING_STATUS=MR","SCALING_FORMAT=MLN","Sort=A","Dates=H","DateFormat=P","Fill=—","Direction=H","UseDPDF=Y")</f>
        <v>482.75200000000001</v>
      </c>
      <c r="Y61" s="13" cm="1">
        <f t="array" ref="Y61">_xll.BDH("PH US Equity","PENSION_LIABILITIES","FQ3 2024","FQ3 2024","Currency=USD","Period=FQ","BEST_FPERIOD_OVERRIDE=FQ","FILING_STATUS=MR","SCALING_FORMAT=MLN","Sort=A","Dates=H","DateFormat=P","Fill=—","Direction=H","UseDPDF=Y")</f>
        <v>455.25400000000002</v>
      </c>
      <c r="Z61" s="13" cm="1">
        <f t="array" ref="Z61">_xll.BDH("PH US Equity","PENSION_LIABILITIES","FQ4 2024","FQ4 2024","Currency=USD","Period=FQ","BEST_FPERIOD_OVERRIDE=FQ","FILING_STATUS=MR","SCALING_FORMAT=MLN","Sort=A","Dates=H","DateFormat=P","Fill=—","Direction=H","UseDPDF=Y")</f>
        <v>437.49</v>
      </c>
      <c r="AA61" s="13" cm="1">
        <f t="array" ref="AA61">_xll.BDH("PH US Equity","PENSION_LIABILITIES","FQ1 2025","FQ1 2025","Currency=USD","Period=FQ","BEST_FPERIOD_OVERRIDE=FQ","FILING_STATUS=MR","SCALING_FORMAT=MLN","Sort=A","Dates=H","DateFormat=P","Fill=—","Direction=H","UseDPDF=Y")</f>
        <v>427.702</v>
      </c>
      <c r="AB61" s="13" cm="1">
        <f t="array" ref="AB61">_xll.BDH("PH US Equity","PENSION_LIABILITIES","FQ2 2025","FQ2 2025","Currency=USD","Period=FQ","BEST_FPERIOD_OVERRIDE=FQ","FILING_STATUS=MR","SCALING_FORMAT=MLN","Sort=A","Dates=H","DateFormat=P","Fill=—","Direction=H","UseDPDF=Y")</f>
        <v>409.87299999999999</v>
      </c>
      <c r="AC61" s="13" cm="1">
        <f t="array" ref="AC61">_xll.BDH("PH US Equity","PENSION_LIABILITIES","FQ3 2025","FQ3 2025","Currency=USD","Period=FQ","BEST_FPERIOD_OVERRIDE=FQ","FILING_STATUS=MR","SCALING_FORMAT=MLN","Sort=A","Dates=H","DateFormat=P","Fill=—","Direction=H","UseDPDF=Y")</f>
        <v>389.89100000000002</v>
      </c>
      <c r="AD61" s="13" cm="1">
        <f t="array" ref="AD61">_xll.BDH("PH US Equity","PENSION_LIABILITIES","FQ4 2025","FQ4 2025","Currency=USD","Period=FQ","BEST_FPERIOD_OVERRIDE=FQ","FILING_STATUS=MR","SCALING_FORMAT=MLN","Sort=A","Dates=H","DateFormat=P","Fill=—","Direction=H","UseDPDF=Y")</f>
        <v>267</v>
      </c>
      <c r="AE61" s="13" cm="1">
        <f t="array" ref="AE61">_xll.BDH("PH US Equity","PENSION_LIABILITIES","FQ1 2026","FQ1 2026","Currency=USD","Period=FQ","BEST_FPERIOD_OVERRIDE=FQ","FILING_STATUS=MR","SCALING_FORMAT=MLN","Sort=A","Dates=H","DateFormat=P","Fill=—","Direction=H","UseDPDF=Y")</f>
        <v>253</v>
      </c>
      <c r="AF61" s="13" cm="1">
        <f t="array" ref="AF61">_xll.BDH("PH US Equity","PENSION_LIABILITIES","FQ2 2026","FQ2 2026","Currency=USD","Period=FQ","BEST_FPERIOD_OVERRIDE=FQ","FILING_STATUS=MR","SCALING_FORMAT=MLN","Sort=A","Dates=H","DateFormat=P","Fill=—","Direction=H","UseDPDF=Y")</f>
        <v>239</v>
      </c>
    </row>
    <row r="62" spans="1:32" x14ac:dyDescent="0.25">
      <c r="A62" s="10" t="s">
        <v>147</v>
      </c>
      <c r="B62" s="10" t="s">
        <v>171</v>
      </c>
      <c r="C62" s="13" t="str" cm="1">
        <f t="array" ref="C62">_xll.BDH("PH US Equity","LT_DEFERRED_REVENUE","FQ1 2019","FQ1 2019","Currency=USD","Period=FQ","BEST_FPERIOD_OVERRIDE=FQ","FILING_STATUS=MR","SCALING_FORMAT=MLN","Sort=A","Dates=H","DateFormat=P","Fill=—","Direction=H","UseDPDF=Y")</f>
        <v>—</v>
      </c>
      <c r="D62" s="13" t="str" cm="1">
        <f t="array" ref="D62">_xll.BDH("PH US Equity","LT_DEFERRED_REVENUE","FQ2 2019","FQ2 2019","Currency=USD","Period=FQ","BEST_FPERIOD_OVERRIDE=FQ","FILING_STATUS=MR","SCALING_FORMAT=MLN","Sort=A","Dates=H","DateFormat=P","Fill=—","Direction=H","UseDPDF=Y")</f>
        <v>—</v>
      </c>
      <c r="E62" s="13" t="str" cm="1">
        <f t="array" ref="E62">_xll.BDH("PH US Equity","LT_DEFERRED_REVENUE","FQ3 2019","FQ3 2019","Currency=USD","Period=FQ","BEST_FPERIOD_OVERRIDE=FQ","FILING_STATUS=MR","SCALING_FORMAT=MLN","Sort=A","Dates=H","DateFormat=P","Fill=—","Direction=H","UseDPDF=Y")</f>
        <v>—</v>
      </c>
      <c r="F62" s="13" cm="1">
        <f t="array" ref="F62">_xll.BDH("PH US Equity","LT_DEFERRED_REVENUE","FQ4 2019","FQ4 2019","Currency=USD","Period=FQ","BEST_FPERIOD_OVERRIDE=FQ","FILING_STATUS=MR","SCALING_FORMAT=MLN","Sort=A","Dates=H","DateFormat=P","Fill=—","Direction=H","UseDPDF=Y")</f>
        <v>0</v>
      </c>
      <c r="G62" s="13" t="str" cm="1">
        <f t="array" ref="G62">_xll.BDH("PH US Equity","LT_DEFERRED_REVENUE","FQ1 2020","FQ1 2020","Currency=USD","Period=FQ","BEST_FPERIOD_OVERRIDE=FQ","FILING_STATUS=MR","SCALING_FORMAT=MLN","Sort=A","Dates=H","DateFormat=P","Fill=—","Direction=H","UseDPDF=Y")</f>
        <v>—</v>
      </c>
      <c r="H62" s="13" t="str" cm="1">
        <f t="array" ref="H62">_xll.BDH("PH US Equity","LT_DEFERRED_REVENUE","FQ2 2020","FQ2 2020","Currency=USD","Period=FQ","BEST_FPERIOD_OVERRIDE=FQ","FILING_STATUS=MR","SCALING_FORMAT=MLN","Sort=A","Dates=H","DateFormat=P","Fill=—","Direction=H","UseDPDF=Y")</f>
        <v>—</v>
      </c>
      <c r="I62" s="13" t="str" cm="1">
        <f t="array" ref="I62">_xll.BDH("PH US Equity","LT_DEFERRED_REVENUE","FQ3 2020","FQ3 2020","Currency=USD","Period=FQ","BEST_FPERIOD_OVERRIDE=FQ","FILING_STATUS=MR","SCALING_FORMAT=MLN","Sort=A","Dates=H","DateFormat=P","Fill=—","Direction=H","UseDPDF=Y")</f>
        <v>—</v>
      </c>
      <c r="J62" s="13" cm="1">
        <f t="array" ref="J62">_xll.BDH("PH US Equity","LT_DEFERRED_REVENUE","FQ4 2020","FQ4 2020","Currency=USD","Period=FQ","BEST_FPERIOD_OVERRIDE=FQ","FILING_STATUS=MR","SCALING_FORMAT=MLN","Sort=A","Dates=H","DateFormat=P","Fill=—","Direction=H","UseDPDF=Y")</f>
        <v>0</v>
      </c>
      <c r="K62" s="13" t="str" cm="1">
        <f t="array" ref="K62">_xll.BDH("PH US Equity","LT_DEFERRED_REVENUE","FQ1 2021","FQ1 2021","Currency=USD","Period=FQ","BEST_FPERIOD_OVERRIDE=FQ","FILING_STATUS=MR","SCALING_FORMAT=MLN","Sort=A","Dates=H","DateFormat=P","Fill=—","Direction=H","UseDPDF=Y")</f>
        <v>—</v>
      </c>
      <c r="L62" s="13" t="str" cm="1">
        <f t="array" ref="L62">_xll.BDH("PH US Equity","LT_DEFERRED_REVENUE","FQ2 2021","FQ2 2021","Currency=USD","Period=FQ","BEST_FPERIOD_OVERRIDE=FQ","FILING_STATUS=MR","SCALING_FORMAT=MLN","Sort=A","Dates=H","DateFormat=P","Fill=—","Direction=H","UseDPDF=Y")</f>
        <v>—</v>
      </c>
      <c r="M62" s="13" t="str" cm="1">
        <f t="array" ref="M62">_xll.BDH("PH US Equity","LT_DEFERRED_REVENUE","FQ3 2021","FQ3 2021","Currency=USD","Period=FQ","BEST_FPERIOD_OVERRIDE=FQ","FILING_STATUS=MR","SCALING_FORMAT=MLN","Sort=A","Dates=H","DateFormat=P","Fill=—","Direction=H","UseDPDF=Y")</f>
        <v>—</v>
      </c>
      <c r="N62" s="13" cm="1">
        <f t="array" ref="N62">_xll.BDH("PH US Equity","LT_DEFERRED_REVENUE","FQ4 2021","FQ4 2021","Currency=USD","Period=FQ","BEST_FPERIOD_OVERRIDE=FQ","FILING_STATUS=MR","SCALING_FORMAT=MLN","Sort=A","Dates=H","DateFormat=P","Fill=—","Direction=H","UseDPDF=Y")</f>
        <v>0</v>
      </c>
      <c r="O62" s="13" t="str" cm="1">
        <f t="array" ref="O62">_xll.BDH("PH US Equity","LT_DEFERRED_REVENUE","FQ1 2022","FQ1 2022","Currency=USD","Period=FQ","BEST_FPERIOD_OVERRIDE=FQ","FILING_STATUS=MR","SCALING_FORMAT=MLN","Sort=A","Dates=H","DateFormat=P","Fill=—","Direction=H","UseDPDF=Y")</f>
        <v>—</v>
      </c>
      <c r="P62" s="13" t="str" cm="1">
        <f t="array" ref="P62">_xll.BDH("PH US Equity","LT_DEFERRED_REVENUE","FQ2 2022","FQ2 2022","Currency=USD","Period=FQ","BEST_FPERIOD_OVERRIDE=FQ","FILING_STATUS=MR","SCALING_FORMAT=MLN","Sort=A","Dates=H","DateFormat=P","Fill=—","Direction=H","UseDPDF=Y")</f>
        <v>—</v>
      </c>
      <c r="Q62" s="13" t="str" cm="1">
        <f t="array" ref="Q62">_xll.BDH("PH US Equity","LT_DEFERRED_REVENUE","FQ3 2022","FQ3 2022","Currency=USD","Period=FQ","BEST_FPERIOD_OVERRIDE=FQ","FILING_STATUS=MR","SCALING_FORMAT=MLN","Sort=A","Dates=H","DateFormat=P","Fill=—","Direction=H","UseDPDF=Y")</f>
        <v>—</v>
      </c>
      <c r="R62" s="13" cm="1">
        <f t="array" ref="R62">_xll.BDH("PH US Equity","LT_DEFERRED_REVENUE","FQ4 2022","FQ4 2022","Currency=USD","Period=FQ","BEST_FPERIOD_OVERRIDE=FQ","FILING_STATUS=MR","SCALING_FORMAT=MLN","Sort=A","Dates=H","DateFormat=P","Fill=—","Direction=H","UseDPDF=Y")</f>
        <v>0</v>
      </c>
      <c r="S62" s="13" t="str" cm="1">
        <f t="array" ref="S62">_xll.BDH("PH US Equity","LT_DEFERRED_REVENUE","FQ1 2023","FQ1 2023","Currency=USD","Period=FQ","BEST_FPERIOD_OVERRIDE=FQ","FILING_STATUS=MR","SCALING_FORMAT=MLN","Sort=A","Dates=H","DateFormat=P","Fill=—","Direction=H","UseDPDF=Y")</f>
        <v>—</v>
      </c>
      <c r="T62" s="13" t="str" cm="1">
        <f t="array" ref="T62">_xll.BDH("PH US Equity","LT_DEFERRED_REVENUE","FQ2 2023","FQ2 2023","Currency=USD","Period=FQ","BEST_FPERIOD_OVERRIDE=FQ","FILING_STATUS=MR","SCALING_FORMAT=MLN","Sort=A","Dates=H","DateFormat=P","Fill=—","Direction=H","UseDPDF=Y")</f>
        <v>—</v>
      </c>
      <c r="U62" s="13" t="str" cm="1">
        <f t="array" ref="U62">_xll.BDH("PH US Equity","LT_DEFERRED_REVENUE","FQ3 2023","FQ3 2023","Currency=USD","Period=FQ","BEST_FPERIOD_OVERRIDE=FQ","FILING_STATUS=MR","SCALING_FORMAT=MLN","Sort=A","Dates=H","DateFormat=P","Fill=—","Direction=H","UseDPDF=Y")</f>
        <v>—</v>
      </c>
      <c r="V62" s="13" cm="1">
        <f t="array" ref="V62">_xll.BDH("PH US Equity","LT_DEFERRED_REVENUE","FQ4 2023","FQ4 2023","Currency=USD","Period=FQ","BEST_FPERIOD_OVERRIDE=FQ","FILING_STATUS=MR","SCALING_FORMAT=MLN","Sort=A","Dates=H","DateFormat=P","Fill=—","Direction=H","UseDPDF=Y")</f>
        <v>0</v>
      </c>
      <c r="W62" s="13" t="str" cm="1">
        <f t="array" ref="W62">_xll.BDH("PH US Equity","LT_DEFERRED_REVENUE","FQ1 2024","FQ1 2024","Currency=USD","Period=FQ","BEST_FPERIOD_OVERRIDE=FQ","FILING_STATUS=MR","SCALING_FORMAT=MLN","Sort=A","Dates=H","DateFormat=P","Fill=—","Direction=H","UseDPDF=Y")</f>
        <v>—</v>
      </c>
      <c r="X62" s="13" t="str" cm="1">
        <f t="array" ref="X62">_xll.BDH("PH US Equity","LT_DEFERRED_REVENUE","FQ2 2024","FQ2 2024","Currency=USD","Period=FQ","BEST_FPERIOD_OVERRIDE=FQ","FILING_STATUS=MR","SCALING_FORMAT=MLN","Sort=A","Dates=H","DateFormat=P","Fill=—","Direction=H","UseDPDF=Y")</f>
        <v>—</v>
      </c>
      <c r="Y62" s="13" t="str" cm="1">
        <f t="array" ref="Y62">_xll.BDH("PH US Equity","LT_DEFERRED_REVENUE","FQ3 2024","FQ3 2024","Currency=USD","Period=FQ","BEST_FPERIOD_OVERRIDE=FQ","FILING_STATUS=MR","SCALING_FORMAT=MLN","Sort=A","Dates=H","DateFormat=P","Fill=—","Direction=H","UseDPDF=Y")</f>
        <v>—</v>
      </c>
      <c r="Z62" s="13" cm="1">
        <f t="array" ref="Z62">_xll.BDH("PH US Equity","LT_DEFERRED_REVENUE","FQ4 2024","FQ4 2024","Currency=USD","Period=FQ","BEST_FPERIOD_OVERRIDE=FQ","FILING_STATUS=MR","SCALING_FORMAT=MLN","Sort=A","Dates=H","DateFormat=P","Fill=—","Direction=H","UseDPDF=Y")</f>
        <v>0</v>
      </c>
      <c r="AA62" s="13" t="str" cm="1">
        <f t="array" ref="AA62">_xll.BDH("PH US Equity","LT_DEFERRED_REVENUE","FQ1 2025","FQ1 2025","Currency=USD","Period=FQ","BEST_FPERIOD_OVERRIDE=FQ","FILING_STATUS=MR","SCALING_FORMAT=MLN","Sort=A","Dates=H","DateFormat=P","Fill=—","Direction=H","UseDPDF=Y")</f>
        <v>—</v>
      </c>
      <c r="AB62" s="13" t="str" cm="1">
        <f t="array" ref="AB62">_xll.BDH("PH US Equity","LT_DEFERRED_REVENUE","FQ2 2025","FQ2 2025","Currency=USD","Period=FQ","BEST_FPERIOD_OVERRIDE=FQ","FILING_STATUS=MR","SCALING_FORMAT=MLN","Sort=A","Dates=H","DateFormat=P","Fill=—","Direction=H","UseDPDF=Y")</f>
        <v>—</v>
      </c>
      <c r="AC62" s="13" t="str" cm="1">
        <f t="array" ref="AC62">_xll.BDH("PH US Equity","LT_DEFERRED_REVENUE","FQ3 2025","FQ3 2025","Currency=USD","Period=FQ","BEST_FPERIOD_OVERRIDE=FQ","FILING_STATUS=MR","SCALING_FORMAT=MLN","Sort=A","Dates=H","DateFormat=P","Fill=—","Direction=H","UseDPDF=Y")</f>
        <v>—</v>
      </c>
      <c r="AD62" s="13" cm="1">
        <f t="array" ref="AD62">_xll.BDH("PH US Equity","LT_DEFERRED_REVENUE","FQ4 2025","FQ4 2025","Currency=USD","Period=FQ","BEST_FPERIOD_OVERRIDE=FQ","FILING_STATUS=MR","SCALING_FORMAT=MLN","Sort=A","Dates=H","DateFormat=P","Fill=—","Direction=H","UseDPDF=Y")</f>
        <v>0</v>
      </c>
      <c r="AE62" s="13" t="str" cm="1">
        <f t="array" ref="AE62">_xll.BDH("PH US Equity","LT_DEFERRED_REVENUE","FQ1 2026","FQ1 2026","Currency=USD","Period=FQ","BEST_FPERIOD_OVERRIDE=FQ","FILING_STATUS=MR","SCALING_FORMAT=MLN","Sort=A","Dates=H","DateFormat=P","Fill=—","Direction=H","UseDPDF=Y")</f>
        <v>—</v>
      </c>
      <c r="AF62" s="13" t="str" cm="1">
        <f t="array" ref="AF62">_xll.BDH("PH US Equity","LT_DEFERRED_REVENUE","FQ2 2026","FQ2 2026","Currency=USD","Period=FQ","BEST_FPERIOD_OVERRIDE=FQ","FILING_STATUS=MR","SCALING_FORMAT=MLN","Sort=A","Dates=H","DateFormat=P","Fill=—","Direction=H","UseDPDF=Y")</f>
        <v>—</v>
      </c>
    </row>
    <row r="63" spans="1:32" x14ac:dyDescent="0.25">
      <c r="A63" s="10" t="s">
        <v>172</v>
      </c>
      <c r="B63" s="10" t="s">
        <v>173</v>
      </c>
      <c r="C63" s="13" cm="1">
        <f t="array" ref="C63">_xll.BDH("PH US Equity","BS_DEFERRED_TAX_LIABILITIES_LT","FQ1 2019","FQ1 2019","Currency=USD","Period=FQ","BEST_FPERIOD_OVERRIDE=FQ","FILING_STATUS=MR","SCALING_FORMAT=MLN","Sort=A","Dates=H","DateFormat=P","Fill=—","Direction=H","UseDPDF=Y")</f>
        <v>265.41800000000001</v>
      </c>
      <c r="D63" s="13" cm="1">
        <f t="array" ref="D63">_xll.BDH("PH US Equity","BS_DEFERRED_TAX_LIABILITIES_LT","FQ2 2019","FQ2 2019","Currency=USD","Period=FQ","BEST_FPERIOD_OVERRIDE=FQ","FILING_STATUS=MR","SCALING_FORMAT=MLN","Sort=A","Dates=H","DateFormat=P","Fill=—","Direction=H","UseDPDF=Y")</f>
        <v>286.62200000000001</v>
      </c>
      <c r="E63" s="13" cm="1">
        <f t="array" ref="E63">_xll.BDH("PH US Equity","BS_DEFERRED_TAX_LIABILITIES_LT","FQ3 2019","FQ3 2019","Currency=USD","Period=FQ","BEST_FPERIOD_OVERRIDE=FQ","FILING_STATUS=MR","SCALING_FORMAT=MLN","Sort=A","Dates=H","DateFormat=P","Fill=—","Direction=H","UseDPDF=Y")</f>
        <v>277.21199999999999</v>
      </c>
      <c r="F63" s="13" cm="1">
        <f t="array" ref="F63">_xll.BDH("PH US Equity","BS_DEFERRED_TAX_LIABILITIES_LT","FQ4 2019","FQ4 2019","Currency=USD","Period=FQ","BEST_FPERIOD_OVERRIDE=FQ","FILING_STATUS=MR","SCALING_FORMAT=MLN","Sort=A","Dates=H","DateFormat=P","Fill=—","Direction=H","UseDPDF=Y")</f>
        <v>193.066</v>
      </c>
      <c r="G63" s="13" cm="1">
        <f t="array" ref="G63">_xll.BDH("PH US Equity","BS_DEFERRED_TAX_LIABILITIES_LT","FQ1 2020","FQ1 2020","Currency=USD","Period=FQ","BEST_FPERIOD_OVERRIDE=FQ","FILING_STATUS=MR","SCALING_FORMAT=MLN","Sort=A","Dates=H","DateFormat=P","Fill=—","Direction=H","UseDPDF=Y")</f>
        <v>178.45400000000001</v>
      </c>
      <c r="H63" s="13" cm="1">
        <f t="array" ref="H63">_xll.BDH("PH US Equity","BS_DEFERRED_TAX_LIABILITIES_LT","FQ2 2020","FQ2 2020","Currency=USD","Period=FQ","BEST_FPERIOD_OVERRIDE=FQ","FILING_STATUS=MR","SCALING_FORMAT=MLN","Sort=A","Dates=H","DateFormat=P","Fill=—","Direction=H","UseDPDF=Y")</f>
        <v>569.58199999999999</v>
      </c>
      <c r="I63" s="13" cm="1">
        <f t="array" ref="I63">_xll.BDH("PH US Equity","BS_DEFERRED_TAX_LIABILITIES_LT","FQ3 2020","FQ3 2020","Currency=USD","Period=FQ","BEST_FPERIOD_OVERRIDE=FQ","FILING_STATUS=MR","SCALING_FORMAT=MLN","Sort=A","Dates=H","DateFormat=P","Fill=—","Direction=H","UseDPDF=Y")</f>
        <v>497.92</v>
      </c>
      <c r="J63" s="13" cm="1">
        <f t="array" ref="J63">_xll.BDH("PH US Equity","BS_DEFERRED_TAX_LIABILITIES_LT","FQ4 2020","FQ4 2020","Currency=USD","Period=FQ","BEST_FPERIOD_OVERRIDE=FQ","FILING_STATUS=MR","SCALING_FORMAT=MLN","Sort=A","Dates=H","DateFormat=P","Fill=—","Direction=H","UseDPDF=Y")</f>
        <v>418.851</v>
      </c>
      <c r="K63" s="13" cm="1">
        <f t="array" ref="K63">_xll.BDH("PH US Equity","BS_DEFERRED_TAX_LIABILITIES_LT","FQ1 2021","FQ1 2021","Currency=USD","Period=FQ","BEST_FPERIOD_OVERRIDE=FQ","FILING_STATUS=MR","SCALING_FORMAT=MLN","Sort=A","Dates=H","DateFormat=P","Fill=—","Direction=H","UseDPDF=Y")</f>
        <v>413.89100000000002</v>
      </c>
      <c r="L63" s="13" cm="1">
        <f t="array" ref="L63">_xll.BDH("PH US Equity","BS_DEFERRED_TAX_LIABILITIES_LT","FQ2 2021","FQ2 2021","Currency=USD","Period=FQ","BEST_FPERIOD_OVERRIDE=FQ","FILING_STATUS=MR","SCALING_FORMAT=MLN","Sort=A","Dates=H","DateFormat=P","Fill=—","Direction=H","UseDPDF=Y")</f>
        <v>420.69900000000001</v>
      </c>
      <c r="M63" s="13" cm="1">
        <f t="array" ref="M63">_xll.BDH("PH US Equity","BS_DEFERRED_TAX_LIABILITIES_LT","FQ3 2021","FQ3 2021","Currency=USD","Period=FQ","BEST_FPERIOD_OVERRIDE=FQ","FILING_STATUS=MR","SCALING_FORMAT=MLN","Sort=A","Dates=H","DateFormat=P","Fill=—","Direction=H","UseDPDF=Y")</f>
        <v>416.22300000000001</v>
      </c>
      <c r="N63" s="13" cm="1">
        <f t="array" ref="N63">_xll.BDH("PH US Equity","BS_DEFERRED_TAX_LIABILITIES_LT","FQ4 2021","FQ4 2021","Currency=USD","Period=FQ","BEST_FPERIOD_OVERRIDE=FQ","FILING_STATUS=MR","SCALING_FORMAT=MLN","Sort=A","Dates=H","DateFormat=P","Fill=—","Direction=H","UseDPDF=Y")</f>
        <v>553.98099999999999</v>
      </c>
      <c r="O63" s="13" cm="1">
        <f t="array" ref="O63">_xll.BDH("PH US Equity","BS_DEFERRED_TAX_LIABILITIES_LT","FQ1 2022","FQ1 2022","Currency=USD","Period=FQ","BEST_FPERIOD_OVERRIDE=FQ","FILING_STATUS=MR","SCALING_FORMAT=MLN","Sort=A","Dates=H","DateFormat=P","Fill=—","Direction=H","UseDPDF=Y")</f>
        <v>568.36900000000003</v>
      </c>
      <c r="P63" s="13" cm="1">
        <f t="array" ref="P63">_xll.BDH("PH US Equity","BS_DEFERRED_TAX_LIABILITIES_LT","FQ2 2022","FQ2 2022","Currency=USD","Period=FQ","BEST_FPERIOD_OVERRIDE=FQ","FILING_STATUS=MR","SCALING_FORMAT=MLN","Sort=A","Dates=H","DateFormat=P","Fill=—","Direction=H","UseDPDF=Y")</f>
        <v>558.98599999999999</v>
      </c>
      <c r="Q63" s="13" cm="1">
        <f t="array" ref="Q63">_xll.BDH("PH US Equity","BS_DEFERRED_TAX_LIABILITIES_LT","FQ3 2022","FQ3 2022","Currency=USD","Period=FQ","BEST_FPERIOD_OVERRIDE=FQ","FILING_STATUS=MR","SCALING_FORMAT=MLN","Sort=A","Dates=H","DateFormat=P","Fill=—","Direction=H","UseDPDF=Y")</f>
        <v>448.58300000000003</v>
      </c>
      <c r="R63" s="13" cm="1">
        <f t="array" ref="R63">_xll.BDH("PH US Equity","BS_DEFERRED_TAX_LIABILITIES_LT","FQ4 2022","FQ4 2022","Currency=USD","Period=FQ","BEST_FPERIOD_OVERRIDE=FQ","FILING_STATUS=MR","SCALING_FORMAT=MLN","Sort=A","Dates=H","DateFormat=P","Fill=—","Direction=H","UseDPDF=Y")</f>
        <v>307.04399999999998</v>
      </c>
      <c r="S63" s="13" cm="1">
        <f t="array" ref="S63">_xll.BDH("PH US Equity","BS_DEFERRED_TAX_LIABILITIES_LT","FQ1 2023","FQ1 2023","Currency=USD","Period=FQ","BEST_FPERIOD_OVERRIDE=FQ","FILING_STATUS=MR","SCALING_FORMAT=MLN","Sort=A","Dates=H","DateFormat=P","Fill=—","Direction=H","UseDPDF=Y")</f>
        <v>1778.0740000000001</v>
      </c>
      <c r="T63" s="13" cm="1">
        <f t="array" ref="T63">_xll.BDH("PH US Equity","BS_DEFERRED_TAX_LIABILITIES_LT","FQ2 2023","FQ2 2023","Currency=USD","Period=FQ","BEST_FPERIOD_OVERRIDE=FQ","FILING_STATUS=MR","SCALING_FORMAT=MLN","Sort=A","Dates=H","DateFormat=P","Fill=—","Direction=H","UseDPDF=Y")</f>
        <v>1751.3209999999999</v>
      </c>
      <c r="U63" s="13" cm="1">
        <f t="array" ref="U63">_xll.BDH("PH US Equity","BS_DEFERRED_TAX_LIABILITIES_LT","FQ3 2023","FQ3 2023","Currency=USD","Period=FQ","BEST_FPERIOD_OVERRIDE=FQ","FILING_STATUS=MR","SCALING_FORMAT=MLN","Sort=A","Dates=H","DateFormat=P","Fill=—","Direction=H","UseDPDF=Y")</f>
        <v>1780.5329999999999</v>
      </c>
      <c r="V63" s="13" cm="1">
        <f t="array" ref="V63">_xll.BDH("PH US Equity","BS_DEFERRED_TAX_LIABILITIES_LT","FQ4 2023","FQ4 2023","Currency=USD","Period=FQ","BEST_FPERIOD_OVERRIDE=FQ","FILING_STATUS=MR","SCALING_FORMAT=MLN","Sort=A","Dates=H","DateFormat=P","Fill=—","Direction=H","UseDPDF=Y")</f>
        <v>1649.674</v>
      </c>
      <c r="W63" s="13" cm="1">
        <f t="array" ref="W63">_xll.BDH("PH US Equity","BS_DEFERRED_TAX_LIABILITIES_LT","FQ1 2024","FQ1 2024","Currency=USD","Period=FQ","BEST_FPERIOD_OVERRIDE=FQ","FILING_STATUS=MR","SCALING_FORMAT=MLN","Sort=A","Dates=H","DateFormat=P","Fill=—","Direction=H","UseDPDF=Y")</f>
        <v>1589.8330000000001</v>
      </c>
      <c r="X63" s="13" cm="1">
        <f t="array" ref="X63">_xll.BDH("PH US Equity","BS_DEFERRED_TAX_LIABILITIES_LT","FQ2 2024","FQ2 2024","Currency=USD","Period=FQ","BEST_FPERIOD_OVERRIDE=FQ","FILING_STATUS=MR","SCALING_FORMAT=MLN","Sort=A","Dates=H","DateFormat=P","Fill=—","Direction=H","UseDPDF=Y")</f>
        <v>1579.1969999999999</v>
      </c>
      <c r="Y63" s="13" cm="1">
        <f t="array" ref="Y63">_xll.BDH("PH US Equity","BS_DEFERRED_TAX_LIABILITIES_LT","FQ3 2024","FQ3 2024","Currency=USD","Period=FQ","BEST_FPERIOD_OVERRIDE=FQ","FILING_STATUS=MR","SCALING_FORMAT=MLN","Sort=A","Dates=H","DateFormat=P","Fill=—","Direction=H","UseDPDF=Y")</f>
        <v>1528.529</v>
      </c>
      <c r="Z63" s="13" cm="1">
        <f t="array" ref="Z63">_xll.BDH("PH US Equity","BS_DEFERRED_TAX_LIABILITIES_LT","FQ4 2024","FQ4 2024","Currency=USD","Period=FQ","BEST_FPERIOD_OVERRIDE=FQ","FILING_STATUS=MR","SCALING_FORMAT=MLN","Sort=A","Dates=H","DateFormat=P","Fill=—","Direction=H","UseDPDF=Y")</f>
        <v>1583.923</v>
      </c>
      <c r="AA63" s="13" cm="1">
        <f t="array" ref="AA63">_xll.BDH("PH US Equity","BS_DEFERRED_TAX_LIABILITIES_LT","FQ1 2025","FQ1 2025","Currency=USD","Period=FQ","BEST_FPERIOD_OVERRIDE=FQ","FILING_STATUS=MR","SCALING_FORMAT=MLN","Sort=A","Dates=H","DateFormat=P","Fill=—","Direction=H","UseDPDF=Y")</f>
        <v>1544.5029999999999</v>
      </c>
      <c r="AB63" s="13" cm="1">
        <f t="array" ref="AB63">_xll.BDH("PH US Equity","BS_DEFERRED_TAX_LIABILITIES_LT","FQ2 2025","FQ2 2025","Currency=USD","Period=FQ","BEST_FPERIOD_OVERRIDE=FQ","FILING_STATUS=MR","SCALING_FORMAT=MLN","Sort=A","Dates=H","DateFormat=P","Fill=—","Direction=H","UseDPDF=Y")</f>
        <v>1394.8820000000001</v>
      </c>
      <c r="AC63" s="13" cm="1">
        <f t="array" ref="AC63">_xll.BDH("PH US Equity","BS_DEFERRED_TAX_LIABILITIES_LT","FQ3 2025","FQ3 2025","Currency=USD","Period=FQ","BEST_FPERIOD_OVERRIDE=FQ","FILING_STATUS=MR","SCALING_FORMAT=MLN","Sort=A","Dates=H","DateFormat=P","Fill=—","Direction=H","UseDPDF=Y")</f>
        <v>1399.6120000000001</v>
      </c>
      <c r="AD63" s="13" cm="1">
        <f t="array" ref="AD63">_xll.BDH("PH US Equity","BS_DEFERRED_TAX_LIABILITIES_LT","FQ4 2025","FQ4 2025","Currency=USD","Period=FQ","BEST_FPERIOD_OVERRIDE=FQ","FILING_STATUS=MR","SCALING_FORMAT=MLN","Sort=A","Dates=H","DateFormat=P","Fill=—","Direction=H","UseDPDF=Y")</f>
        <v>1490</v>
      </c>
      <c r="AE63" s="13" cm="1">
        <f t="array" ref="AE63">_xll.BDH("PH US Equity","BS_DEFERRED_TAX_LIABILITIES_LT","FQ1 2026","FQ1 2026","Currency=USD","Period=FQ","BEST_FPERIOD_OVERRIDE=FQ","FILING_STATUS=MR","SCALING_FORMAT=MLN","Sort=A","Dates=H","DateFormat=P","Fill=—","Direction=H","UseDPDF=Y")</f>
        <v>1621</v>
      </c>
      <c r="AF63" s="13" cm="1">
        <f t="array" ref="AF63">_xll.BDH("PH US Equity","BS_DEFERRED_TAX_LIABILITIES_LT","FQ2 2026","FQ2 2026","Currency=USD","Period=FQ","BEST_FPERIOD_OVERRIDE=FQ","FILING_STATUS=MR","SCALING_FORMAT=MLN","Sort=A","Dates=H","DateFormat=P","Fill=—","Direction=H","UseDPDF=Y")</f>
        <v>1610</v>
      </c>
    </row>
    <row r="64" spans="1:32" x14ac:dyDescent="0.25">
      <c r="A64" s="10" t="s">
        <v>149</v>
      </c>
      <c r="B64" s="10" t="s">
        <v>174</v>
      </c>
      <c r="C64" s="13" t="str" cm="1">
        <f t="array" ref="C64">_xll.BDH("PH US Equity","BS_DERIV_HEDGING_LIAB_LT","FQ1 2019","FQ1 2019","Currency=USD","Period=FQ","BEST_FPERIOD_OVERRIDE=FQ","FILING_STATUS=MR","SCALING_FORMAT=MLN","Sort=A","Dates=H","DateFormat=P","Fill=—","Direction=H","UseDPDF=Y")</f>
        <v>—</v>
      </c>
      <c r="D64" s="13" t="str" cm="1">
        <f t="array" ref="D64">_xll.BDH("PH US Equity","BS_DERIV_HEDGING_LIAB_LT","FQ2 2019","FQ2 2019","Currency=USD","Period=FQ","BEST_FPERIOD_OVERRIDE=FQ","FILING_STATUS=MR","SCALING_FORMAT=MLN","Sort=A","Dates=H","DateFormat=P","Fill=—","Direction=H","UseDPDF=Y")</f>
        <v>—</v>
      </c>
      <c r="E64" s="13" t="str" cm="1">
        <f t="array" ref="E64">_xll.BDH("PH US Equity","BS_DERIV_HEDGING_LIAB_LT","FQ3 2019","FQ3 2019","Currency=USD","Period=FQ","BEST_FPERIOD_OVERRIDE=FQ","FILING_STATUS=MR","SCALING_FORMAT=MLN","Sort=A","Dates=H","DateFormat=P","Fill=—","Direction=H","UseDPDF=Y")</f>
        <v>—</v>
      </c>
      <c r="F64" s="13" cm="1">
        <f t="array" ref="F64">_xll.BDH("PH US Equity","BS_DERIV_HEDGING_LIAB_LT","FQ4 2019","FQ4 2019","Currency=USD","Period=FQ","BEST_FPERIOD_OVERRIDE=FQ","FILING_STATUS=MR","SCALING_FORMAT=MLN","Sort=A","Dates=H","DateFormat=P","Fill=—","Direction=H","UseDPDF=Y")</f>
        <v>0</v>
      </c>
      <c r="G64" s="13" t="str" cm="1">
        <f t="array" ref="G64">_xll.BDH("PH US Equity","BS_DERIV_HEDGING_LIAB_LT","FQ1 2020","FQ1 2020","Currency=USD","Period=FQ","BEST_FPERIOD_OVERRIDE=FQ","FILING_STATUS=MR","SCALING_FORMAT=MLN","Sort=A","Dates=H","DateFormat=P","Fill=—","Direction=H","UseDPDF=Y")</f>
        <v>—</v>
      </c>
      <c r="H64" s="13" t="str" cm="1">
        <f t="array" ref="H64">_xll.BDH("PH US Equity","BS_DERIV_HEDGING_LIAB_LT","FQ2 2020","FQ2 2020","Currency=USD","Period=FQ","BEST_FPERIOD_OVERRIDE=FQ","FILING_STATUS=MR","SCALING_FORMAT=MLN","Sort=A","Dates=H","DateFormat=P","Fill=—","Direction=H","UseDPDF=Y")</f>
        <v>—</v>
      </c>
      <c r="I64" s="13" t="str" cm="1">
        <f t="array" ref="I64">_xll.BDH("PH US Equity","BS_DERIV_HEDGING_LIAB_LT","FQ3 2020","FQ3 2020","Currency=USD","Period=FQ","BEST_FPERIOD_OVERRIDE=FQ","FILING_STATUS=MR","SCALING_FORMAT=MLN","Sort=A","Dates=H","DateFormat=P","Fill=—","Direction=H","UseDPDF=Y")</f>
        <v>—</v>
      </c>
      <c r="J64" s="13" cm="1">
        <f t="array" ref="J64">_xll.BDH("PH US Equity","BS_DERIV_HEDGING_LIAB_LT","FQ4 2020","FQ4 2020","Currency=USD","Period=FQ","BEST_FPERIOD_OVERRIDE=FQ","FILING_STATUS=MR","SCALING_FORMAT=MLN","Sort=A","Dates=H","DateFormat=P","Fill=—","Direction=H","UseDPDF=Y")</f>
        <v>0</v>
      </c>
      <c r="K64" s="13" cm="1">
        <f t="array" ref="K64">_xll.BDH("PH US Equity","BS_DERIV_HEDGING_LIAB_LT","FQ1 2021","FQ1 2021","Currency=USD","Period=FQ","BEST_FPERIOD_OVERRIDE=FQ","FILING_STATUS=MR","SCALING_FORMAT=MLN","Sort=A","Dates=H","DateFormat=P","Fill=—","Direction=H","UseDPDF=Y")</f>
        <v>52.256999999999998</v>
      </c>
      <c r="L64" s="13" t="str" cm="1">
        <f t="array" ref="L64">_xll.BDH("PH US Equity","BS_DERIV_HEDGING_LIAB_LT","FQ2 2021","FQ2 2021","Currency=USD","Period=FQ","BEST_FPERIOD_OVERRIDE=FQ","FILING_STATUS=MR","SCALING_FORMAT=MLN","Sort=A","Dates=H","DateFormat=P","Fill=—","Direction=H","UseDPDF=Y")</f>
        <v>—</v>
      </c>
      <c r="M64" s="13" t="str" cm="1">
        <f t="array" ref="M64">_xll.BDH("PH US Equity","BS_DERIV_HEDGING_LIAB_LT","FQ3 2021","FQ3 2021","Currency=USD","Period=FQ","BEST_FPERIOD_OVERRIDE=FQ","FILING_STATUS=MR","SCALING_FORMAT=MLN","Sort=A","Dates=H","DateFormat=P","Fill=—","Direction=H","UseDPDF=Y")</f>
        <v>—</v>
      </c>
      <c r="N64" s="13" cm="1">
        <f t="array" ref="N64">_xll.BDH("PH US Equity","BS_DERIV_HEDGING_LIAB_LT","FQ4 2021","FQ4 2021","Currency=USD","Period=FQ","BEST_FPERIOD_OVERRIDE=FQ","FILING_STATUS=MR","SCALING_FORMAT=MLN","Sort=A","Dates=H","DateFormat=P","Fill=—","Direction=H","UseDPDF=Y")</f>
        <v>0</v>
      </c>
      <c r="O64" s="13" cm="1">
        <f t="array" ref="O64">_xll.BDH("PH US Equity","BS_DERIV_HEDGING_LIAB_LT","FQ1 2022","FQ1 2022","Currency=USD","Period=FQ","BEST_FPERIOD_OVERRIDE=FQ","FILING_STATUS=MR","SCALING_FORMAT=MLN","Sort=A","Dates=H","DateFormat=P","Fill=—","Direction=H","UseDPDF=Y")</f>
        <v>53.722999999999999</v>
      </c>
      <c r="P64" s="13" cm="1">
        <f t="array" ref="P64">_xll.BDH("PH US Equity","BS_DERIV_HEDGING_LIAB_LT","FQ2 2022","FQ2 2022","Currency=USD","Period=FQ","BEST_FPERIOD_OVERRIDE=FQ","FILING_STATUS=MR","SCALING_FORMAT=MLN","Sort=A","Dates=H","DateFormat=P","Fill=—","Direction=H","UseDPDF=Y")</f>
        <v>32.831000000000003</v>
      </c>
      <c r="Q64" s="13" t="str" cm="1">
        <f t="array" ref="Q64">_xll.BDH("PH US Equity","BS_DERIV_HEDGING_LIAB_LT","FQ3 2022","FQ3 2022","Currency=USD","Period=FQ","BEST_FPERIOD_OVERRIDE=FQ","FILING_STATUS=MR","SCALING_FORMAT=MLN","Sort=A","Dates=H","DateFormat=P","Fill=—","Direction=H","UseDPDF=Y")</f>
        <v>—</v>
      </c>
      <c r="R64" s="13" cm="1">
        <f t="array" ref="R64">_xll.BDH("PH US Equity","BS_DERIV_HEDGING_LIAB_LT","FQ4 2022","FQ4 2022","Currency=USD","Period=FQ","BEST_FPERIOD_OVERRIDE=FQ","FILING_STATUS=MR","SCALING_FORMAT=MLN","Sort=A","Dates=H","DateFormat=P","Fill=—","Direction=H","UseDPDF=Y")</f>
        <v>0</v>
      </c>
      <c r="S64" s="13" t="str" cm="1">
        <f t="array" ref="S64">_xll.BDH("PH US Equity","BS_DERIV_HEDGING_LIAB_LT","FQ1 2023","FQ1 2023","Currency=USD","Period=FQ","BEST_FPERIOD_OVERRIDE=FQ","FILING_STATUS=MR","SCALING_FORMAT=MLN","Sort=A","Dates=H","DateFormat=P","Fill=—","Direction=H","UseDPDF=Y")</f>
        <v>—</v>
      </c>
      <c r="T64" s="13" cm="1">
        <f t="array" ref="T64">_xll.BDH("PH US Equity","BS_DERIV_HEDGING_LIAB_LT","FQ2 2023","FQ2 2023","Currency=USD","Period=FQ","BEST_FPERIOD_OVERRIDE=FQ","FILING_STATUS=MR","SCALING_FORMAT=MLN","Sort=A","Dates=H","DateFormat=P","Fill=—","Direction=H","UseDPDF=Y")</f>
        <v>20.184999999999999</v>
      </c>
      <c r="U64" s="13" t="str" cm="1">
        <f t="array" ref="U64">_xll.BDH("PH US Equity","BS_DERIV_HEDGING_LIAB_LT","FQ3 2023","FQ3 2023","Currency=USD","Period=FQ","BEST_FPERIOD_OVERRIDE=FQ","FILING_STATUS=MR","SCALING_FORMAT=MLN","Sort=A","Dates=H","DateFormat=P","Fill=—","Direction=H","UseDPDF=Y")</f>
        <v>—</v>
      </c>
      <c r="V64" s="13" cm="1">
        <f t="array" ref="V64">_xll.BDH("PH US Equity","BS_DERIV_HEDGING_LIAB_LT","FQ4 2023","FQ4 2023","Currency=USD","Period=FQ","BEST_FPERIOD_OVERRIDE=FQ","FILING_STATUS=MR","SCALING_FORMAT=MLN","Sort=A","Dates=H","DateFormat=P","Fill=—","Direction=H","UseDPDF=Y")</f>
        <v>0</v>
      </c>
      <c r="W64" s="13" t="str" cm="1">
        <f t="array" ref="W64">_xll.BDH("PH US Equity","BS_DERIV_HEDGING_LIAB_LT","FQ1 2024","FQ1 2024","Currency=USD","Period=FQ","BEST_FPERIOD_OVERRIDE=FQ","FILING_STATUS=MR","SCALING_FORMAT=MLN","Sort=A","Dates=H","DateFormat=P","Fill=—","Direction=H","UseDPDF=Y")</f>
        <v>—</v>
      </c>
      <c r="X64" s="13" t="str" cm="1">
        <f t="array" ref="X64">_xll.BDH("PH US Equity","BS_DERIV_HEDGING_LIAB_LT","FQ2 2024","FQ2 2024","Currency=USD","Period=FQ","BEST_FPERIOD_OVERRIDE=FQ","FILING_STATUS=MR","SCALING_FORMAT=MLN","Sort=A","Dates=H","DateFormat=P","Fill=—","Direction=H","UseDPDF=Y")</f>
        <v>—</v>
      </c>
      <c r="Y64" s="13" t="str" cm="1">
        <f t="array" ref="Y64">_xll.BDH("PH US Equity","BS_DERIV_HEDGING_LIAB_LT","FQ3 2024","FQ3 2024","Currency=USD","Period=FQ","BEST_FPERIOD_OVERRIDE=FQ","FILING_STATUS=MR","SCALING_FORMAT=MLN","Sort=A","Dates=H","DateFormat=P","Fill=—","Direction=H","UseDPDF=Y")</f>
        <v>—</v>
      </c>
      <c r="Z64" s="13" cm="1">
        <f t="array" ref="Z64">_xll.BDH("PH US Equity","BS_DERIV_HEDGING_LIAB_LT","FQ4 2024","FQ4 2024","Currency=USD","Period=FQ","BEST_FPERIOD_OVERRIDE=FQ","FILING_STATUS=MR","SCALING_FORMAT=MLN","Sort=A","Dates=H","DateFormat=P","Fill=—","Direction=H","UseDPDF=Y")</f>
        <v>0.20799999999999999</v>
      </c>
      <c r="AA64" s="13" cm="1">
        <f t="array" ref="AA64">_xll.BDH("PH US Equity","BS_DERIV_HEDGING_LIAB_LT","FQ1 2025","FQ1 2025","Currency=USD","Period=FQ","BEST_FPERIOD_OVERRIDE=FQ","FILING_STATUS=MR","SCALING_FORMAT=MLN","Sort=A","Dates=H","DateFormat=P","Fill=—","Direction=H","UseDPDF=Y")</f>
        <v>2.089</v>
      </c>
      <c r="AB64" s="13" cm="1">
        <f t="array" ref="AB64">_xll.BDH("PH US Equity","BS_DERIV_HEDGING_LIAB_LT","FQ2 2025","FQ2 2025","Currency=USD","Period=FQ","BEST_FPERIOD_OVERRIDE=FQ","FILING_STATUS=MR","SCALING_FORMAT=MLN","Sort=A","Dates=H","DateFormat=P","Fill=—","Direction=H","UseDPDF=Y")</f>
        <v>0.19900000000000001</v>
      </c>
      <c r="AC64" s="13" cm="1">
        <f t="array" ref="AC64">_xll.BDH("PH US Equity","BS_DERIV_HEDGING_LIAB_LT","FQ3 2025","FQ3 2025","Currency=USD","Period=FQ","BEST_FPERIOD_OVERRIDE=FQ","FILING_STATUS=MR","SCALING_FORMAT=MLN","Sort=A","Dates=H","DateFormat=P","Fill=—","Direction=H","UseDPDF=Y")</f>
        <v>0</v>
      </c>
      <c r="AD64" s="13" cm="1">
        <f t="array" ref="AD64">_xll.BDH("PH US Equity","BS_DERIV_HEDGING_LIAB_LT","FQ4 2025","FQ4 2025","Currency=USD","Period=FQ","BEST_FPERIOD_OVERRIDE=FQ","FILING_STATUS=MR","SCALING_FORMAT=MLN","Sort=A","Dates=H","DateFormat=P","Fill=—","Direction=H","UseDPDF=Y")</f>
        <v>26</v>
      </c>
      <c r="AE64" s="13" cm="1">
        <f t="array" ref="AE64">_xll.BDH("PH US Equity","BS_DERIV_HEDGING_LIAB_LT","FQ1 2026","FQ1 2026","Currency=USD","Period=FQ","BEST_FPERIOD_OVERRIDE=FQ","FILING_STATUS=MR","SCALING_FORMAT=MLN","Sort=A","Dates=H","DateFormat=P","Fill=—","Direction=H","UseDPDF=Y")</f>
        <v>23</v>
      </c>
      <c r="AF64" s="13" cm="1">
        <f t="array" ref="AF64">_xll.BDH("PH US Equity","BS_DERIV_HEDGING_LIAB_LT","FQ2 2026","FQ2 2026","Currency=USD","Period=FQ","BEST_FPERIOD_OVERRIDE=FQ","FILING_STATUS=MR","SCALING_FORMAT=MLN","Sort=A","Dates=H","DateFormat=P","Fill=—","Direction=H","UseDPDF=Y")</f>
        <v>21</v>
      </c>
    </row>
    <row r="65" spans="1:32" x14ac:dyDescent="0.25">
      <c r="A65" s="10" t="s">
        <v>175</v>
      </c>
      <c r="B65" s="10" t="s">
        <v>176</v>
      </c>
      <c r="C65" s="13" cm="1">
        <f t="array" ref="C65">_xll.BDH("PH US Equity","OTHER_NONCURRENT_LIABS_DETAILED","FQ1 2019","FQ1 2019","Currency=USD","Period=FQ","BEST_FPERIOD_OVERRIDE=FQ","FILING_STATUS=MR","SCALING_FORMAT=MLN","Sort=A","Dates=H","DateFormat=P","Fill=—","Direction=H","UseDPDF=Y")</f>
        <v>471.839</v>
      </c>
      <c r="D65" s="13" cm="1">
        <f t="array" ref="D65">_xll.BDH("PH US Equity","OTHER_NONCURRENT_LIABS_DETAILED","FQ2 2019","FQ2 2019","Currency=USD","Period=FQ","BEST_FPERIOD_OVERRIDE=FQ","FILING_STATUS=MR","SCALING_FORMAT=MLN","Sort=A","Dates=H","DateFormat=P","Fill=—","Direction=H","UseDPDF=Y")</f>
        <v>449.69600000000003</v>
      </c>
      <c r="E65" s="13" cm="1">
        <f t="array" ref="E65">_xll.BDH("PH US Equity","OTHER_NONCURRENT_LIABS_DETAILED","FQ3 2019","FQ3 2019","Currency=USD","Period=FQ","BEST_FPERIOD_OVERRIDE=FQ","FILING_STATUS=MR","SCALING_FORMAT=MLN","Sort=A","Dates=H","DateFormat=P","Fill=—","Direction=H","UseDPDF=Y")</f>
        <v>456.29300000000001</v>
      </c>
      <c r="F65" s="13" cm="1">
        <f t="array" ref="F65">_xll.BDH("PH US Equity","OTHER_NONCURRENT_LIABS_DETAILED","FQ4 2019","FQ4 2019","Currency=USD","Period=FQ","BEST_FPERIOD_OVERRIDE=FQ","FILING_STATUS=MR","SCALING_FORMAT=MLN","Sort=A","Dates=H","DateFormat=P","Fill=—","Direction=H","UseDPDF=Y")</f>
        <v>438.48899999999998</v>
      </c>
      <c r="G65" s="13" cm="1">
        <f t="array" ref="G65">_xll.BDH("PH US Equity","OTHER_NONCURRENT_LIABS_DETAILED","FQ1 2020","FQ1 2020","Currency=USD","Period=FQ","BEST_FPERIOD_OVERRIDE=FQ","FILING_STATUS=MR","SCALING_FORMAT=MLN","Sort=A","Dates=H","DateFormat=P","Fill=—","Direction=H","UseDPDF=Y")</f>
        <v>404.27100000000002</v>
      </c>
      <c r="H65" s="13" cm="1">
        <f t="array" ref="H65">_xll.BDH("PH US Equity","OTHER_NONCURRENT_LIABS_DETAILED","FQ2 2020","FQ2 2020","Currency=USD","Period=FQ","BEST_FPERIOD_OVERRIDE=FQ","FILING_STATUS=MR","SCALING_FORMAT=MLN","Sort=A","Dates=H","DateFormat=P","Fill=—","Direction=H","UseDPDF=Y")</f>
        <v>420.30799999999999</v>
      </c>
      <c r="I65" s="13" cm="1">
        <f t="array" ref="I65">_xll.BDH("PH US Equity","OTHER_NONCURRENT_LIABS_DETAILED","FQ3 2020","FQ3 2020","Currency=USD","Period=FQ","BEST_FPERIOD_OVERRIDE=FQ","FILING_STATUS=MR","SCALING_FORMAT=MLN","Sort=A","Dates=H","DateFormat=P","Fill=—","Direction=H","UseDPDF=Y")</f>
        <v>370.91800000000001</v>
      </c>
      <c r="J65" s="13" cm="1">
        <f t="array" ref="J65">_xll.BDH("PH US Equity","OTHER_NONCURRENT_LIABS_DETAILED","FQ4 2020","FQ4 2020","Currency=USD","Period=FQ","BEST_FPERIOD_OVERRIDE=FQ","FILING_STATUS=MR","SCALING_FORMAT=MLN","Sort=A","Dates=H","DateFormat=P","Fill=—","Direction=H","UseDPDF=Y")</f>
        <v>442.64299999999997</v>
      </c>
      <c r="K65" s="13" cm="1">
        <f t="array" ref="K65">_xll.BDH("PH US Equity","OTHER_NONCURRENT_LIABS_DETAILED","FQ1 2021","FQ1 2021","Currency=USD","Period=FQ","BEST_FPERIOD_OVERRIDE=FQ","FILING_STATUS=MR","SCALING_FORMAT=MLN","Sort=A","Dates=H","DateFormat=P","Fill=—","Direction=H","UseDPDF=Y")</f>
        <v>525.06799999999998</v>
      </c>
      <c r="L65" s="13" cm="1">
        <f t="array" ref="L65">_xll.BDH("PH US Equity","OTHER_NONCURRENT_LIABS_DETAILED","FQ2 2021","FQ2 2021","Currency=USD","Period=FQ","BEST_FPERIOD_OVERRIDE=FQ","FILING_STATUS=MR","SCALING_FORMAT=MLN","Sort=A","Dates=H","DateFormat=P","Fill=—","Direction=H","UseDPDF=Y")</f>
        <v>631.82500000000005</v>
      </c>
      <c r="M65" s="13" cm="1">
        <f t="array" ref="M65">_xll.BDH("PH US Equity","OTHER_NONCURRENT_LIABS_DETAILED","FQ3 2021","FQ3 2021","Currency=USD","Period=FQ","BEST_FPERIOD_OVERRIDE=FQ","FILING_STATUS=MR","SCALING_FORMAT=MLN","Sort=A","Dates=H","DateFormat=P","Fill=—","Direction=H","UseDPDF=Y")</f>
        <v>631.702</v>
      </c>
      <c r="N65" s="13" cm="1">
        <f t="array" ref="N65">_xll.BDH("PH US Equity","OTHER_NONCURRENT_LIABS_DETAILED","FQ4 2021","FQ4 2021","Currency=USD","Period=FQ","BEST_FPERIOD_OVERRIDE=FQ","FILING_STATUS=MR","SCALING_FORMAT=MLN","Sort=A","Dates=H","DateFormat=P","Fill=—","Direction=H","UseDPDF=Y")</f>
        <v>545.45100000000002</v>
      </c>
      <c r="O65" s="13" cm="1">
        <f t="array" ref="O65">_xll.BDH("PH US Equity","OTHER_NONCURRENT_LIABS_DETAILED","FQ1 2022","FQ1 2022","Currency=USD","Period=FQ","BEST_FPERIOD_OVERRIDE=FQ","FILING_STATUS=MR","SCALING_FORMAT=MLN","Sort=A","Dates=H","DateFormat=P","Fill=—","Direction=H","UseDPDF=Y")</f>
        <v>564.35799999999995</v>
      </c>
      <c r="P65" s="13" cm="1">
        <f t="array" ref="P65">_xll.BDH("PH US Equity","OTHER_NONCURRENT_LIABS_DETAILED","FQ2 2022","FQ2 2022","Currency=USD","Period=FQ","BEST_FPERIOD_OVERRIDE=FQ","FILING_STATUS=MR","SCALING_FORMAT=MLN","Sort=A","Dates=H","DateFormat=P","Fill=—","Direction=H","UseDPDF=Y")</f>
        <v>567.62099999999998</v>
      </c>
      <c r="Q65" s="13" cm="1">
        <f t="array" ref="Q65">_xll.BDH("PH US Equity","OTHER_NONCURRENT_LIABS_DETAILED","FQ3 2022","FQ3 2022","Currency=USD","Period=FQ","BEST_FPERIOD_OVERRIDE=FQ","FILING_STATUS=MR","SCALING_FORMAT=MLN","Sort=A","Dates=H","DateFormat=P","Fill=—","Direction=H","UseDPDF=Y")</f>
        <v>583.22799999999995</v>
      </c>
      <c r="R65" s="13" cm="1">
        <f t="array" ref="R65">_xll.BDH("PH US Equity","OTHER_NONCURRENT_LIABS_DETAILED","FQ4 2022","FQ4 2022","Currency=USD","Period=FQ","BEST_FPERIOD_OVERRIDE=FQ","FILING_STATUS=MR","SCALING_FORMAT=MLN","Sort=A","Dates=H","DateFormat=P","Fill=—","Direction=H","UseDPDF=Y")</f>
        <v>421.56</v>
      </c>
      <c r="S65" s="13" cm="1">
        <f t="array" ref="S65">_xll.BDH("PH US Equity","OTHER_NONCURRENT_LIABS_DETAILED","FQ1 2023","FQ1 2023","Currency=USD","Period=FQ","BEST_FPERIOD_OVERRIDE=FQ","FILING_STATUS=MR","SCALING_FORMAT=MLN","Sort=A","Dates=H","DateFormat=P","Fill=—","Direction=H","UseDPDF=Y")</f>
        <v>895.78899999999999</v>
      </c>
      <c r="T65" s="13" cm="1">
        <f t="array" ref="T65">_xll.BDH("PH US Equity","OTHER_NONCURRENT_LIABS_DETAILED","FQ2 2023","FQ2 2023","Currency=USD","Period=FQ","BEST_FPERIOD_OVERRIDE=FQ","FILING_STATUS=MR","SCALING_FORMAT=MLN","Sort=A","Dates=H","DateFormat=P","Fill=—","Direction=H","UseDPDF=Y")</f>
        <v>878.51800000000003</v>
      </c>
      <c r="U65" s="13" cm="1">
        <f t="array" ref="U65">_xll.BDH("PH US Equity","OTHER_NONCURRENT_LIABS_DETAILED","FQ3 2023","FQ3 2023","Currency=USD","Period=FQ","BEST_FPERIOD_OVERRIDE=FQ","FILING_STATUS=MR","SCALING_FORMAT=MLN","Sort=A","Dates=H","DateFormat=P","Fill=—","Direction=H","UseDPDF=Y")</f>
        <v>960.41700000000003</v>
      </c>
      <c r="V65" s="13" cm="1">
        <f t="array" ref="V65">_xll.BDH("PH US Equity","OTHER_NONCURRENT_LIABS_DETAILED","FQ4 2023","FQ4 2023","Currency=USD","Period=FQ","BEST_FPERIOD_OVERRIDE=FQ","FILING_STATUS=MR","SCALING_FORMAT=MLN","Sort=A","Dates=H","DateFormat=P","Fill=—","Direction=H","UseDPDF=Y")</f>
        <v>605.02099999999996</v>
      </c>
      <c r="W65" s="13" cm="1">
        <f t="array" ref="W65">_xll.BDH("PH US Equity","OTHER_NONCURRENT_LIABS_DETAILED","FQ1 2024","FQ1 2024","Currency=USD","Period=FQ","BEST_FPERIOD_OVERRIDE=FQ","FILING_STATUS=MR","SCALING_FORMAT=MLN","Sort=A","Dates=H","DateFormat=P","Fill=—","Direction=H","UseDPDF=Y")</f>
        <v>671.53700000000003</v>
      </c>
      <c r="X65" s="13" cm="1">
        <f t="array" ref="X65">_xll.BDH("PH US Equity","OTHER_NONCURRENT_LIABS_DETAILED","FQ2 2024","FQ2 2024","Currency=USD","Period=FQ","BEST_FPERIOD_OVERRIDE=FQ","FILING_STATUS=MR","SCALING_FORMAT=MLN","Sort=A","Dates=H","DateFormat=P","Fill=—","Direction=H","UseDPDF=Y")</f>
        <v>714.83799999999997</v>
      </c>
      <c r="Y65" s="13" cm="1">
        <f t="array" ref="Y65">_xll.BDH("PH US Equity","OTHER_NONCURRENT_LIABS_DETAILED","FQ3 2024","FQ3 2024","Currency=USD","Period=FQ","BEST_FPERIOD_OVERRIDE=FQ","FILING_STATUS=MR","SCALING_FORMAT=MLN","Sort=A","Dates=H","DateFormat=P","Fill=—","Direction=H","UseDPDF=Y")</f>
        <v>709.548</v>
      </c>
      <c r="Z65" s="13" cm="1">
        <f t="array" ref="Z65">_xll.BDH("PH US Equity","OTHER_NONCURRENT_LIABS_DETAILED","FQ4 2024","FQ4 2024","Currency=USD","Period=FQ","BEST_FPERIOD_OVERRIDE=FQ","FILING_STATUS=MR","SCALING_FORMAT=MLN","Sort=A","Dates=H","DateFormat=P","Fill=—","Direction=H","UseDPDF=Y")</f>
        <v>446.79300000000001</v>
      </c>
      <c r="AA65" s="13" cm="1">
        <f t="array" ref="AA65">_xll.BDH("PH US Equity","OTHER_NONCURRENT_LIABS_DETAILED","FQ1 2025","FQ1 2025","Currency=USD","Period=FQ","BEST_FPERIOD_OVERRIDE=FQ","FILING_STATUS=MR","SCALING_FORMAT=MLN","Sort=A","Dates=H","DateFormat=P","Fill=—","Direction=H","UseDPDF=Y")</f>
        <v>713.85900000000004</v>
      </c>
      <c r="AB65" s="13" cm="1">
        <f t="array" ref="AB65">_xll.BDH("PH US Equity","OTHER_NONCURRENT_LIABS_DETAILED","FQ2 2025","FQ2 2025","Currency=USD","Period=FQ","BEST_FPERIOD_OVERRIDE=FQ","FILING_STATUS=MR","SCALING_FORMAT=MLN","Sort=A","Dates=H","DateFormat=P","Fill=—","Direction=H","UseDPDF=Y")</f>
        <v>684.202</v>
      </c>
      <c r="AC65" s="13" cm="1">
        <f t="array" ref="AC65">_xll.BDH("PH US Equity","OTHER_NONCURRENT_LIABS_DETAILED","FQ3 2025","FQ3 2025","Currency=USD","Period=FQ","BEST_FPERIOD_OVERRIDE=FQ","FILING_STATUS=MR","SCALING_FORMAT=MLN","Sort=A","Dates=H","DateFormat=P","Fill=—","Direction=H","UseDPDF=Y")</f>
        <v>692.64400000000001</v>
      </c>
      <c r="AD65" s="13" cm="1">
        <f t="array" ref="AD65">_xll.BDH("PH US Equity","OTHER_NONCURRENT_LIABS_DETAILED","FQ4 2025","FQ4 2025","Currency=USD","Period=FQ","BEST_FPERIOD_OVERRIDE=FQ","FILING_STATUS=MR","SCALING_FORMAT=MLN","Sort=A","Dates=H","DateFormat=P","Fill=—","Direction=H","UseDPDF=Y")</f>
        <v>451</v>
      </c>
      <c r="AE65" s="13" cm="1">
        <f t="array" ref="AE65">_xll.BDH("PH US Equity","OTHER_NONCURRENT_LIABS_DETAILED","FQ1 2026","FQ1 2026","Currency=USD","Period=FQ","BEST_FPERIOD_OVERRIDE=FQ","FILING_STATUS=MR","SCALING_FORMAT=MLN","Sort=A","Dates=H","DateFormat=P","Fill=—","Direction=H","UseDPDF=Y")</f>
        <v>730</v>
      </c>
      <c r="AF65" s="13" cm="1">
        <f t="array" ref="AF65">_xll.BDH("PH US Equity","OTHER_NONCURRENT_LIABS_DETAILED","FQ2 2026","FQ2 2026","Currency=USD","Period=FQ","BEST_FPERIOD_OVERRIDE=FQ","FILING_STATUS=MR","SCALING_FORMAT=MLN","Sort=A","Dates=H","DateFormat=P","Fill=—","Direction=H","UseDPDF=Y")</f>
        <v>751</v>
      </c>
    </row>
    <row r="66" spans="1:32" x14ac:dyDescent="0.25">
      <c r="A66" s="6" t="s">
        <v>177</v>
      </c>
      <c r="B66" s="6" t="s">
        <v>178</v>
      </c>
      <c r="C66" s="16" cm="1">
        <f t="array" ref="C66">_xll.BDH("PH US Equity","NON_CUR_LIAB","FQ1 2019","FQ1 2019","Currency=USD","Period=FQ","BEST_FPERIOD_OVERRIDE=FQ","FILING_STATUS=MR","SCALING_FORMAT=MLN","Sort=A","Dates=H","DateFormat=P","Fill=—","Direction=H","UseDPDF=Y")</f>
        <v>6009.415</v>
      </c>
      <c r="D66" s="16" cm="1">
        <f t="array" ref="D66">_xll.BDH("PH US Equity","NON_CUR_LIAB","FQ2 2019","FQ2 2019","Currency=USD","Period=FQ","BEST_FPERIOD_OVERRIDE=FQ","FILING_STATUS=MR","SCALING_FORMAT=MLN","Sort=A","Dates=H","DateFormat=P","Fill=—","Direction=H","UseDPDF=Y")</f>
        <v>5977.5870000000004</v>
      </c>
      <c r="E66" s="16" cm="1">
        <f t="array" ref="E66">_xll.BDH("PH US Equity","NON_CUR_LIAB","FQ3 2019","FQ3 2019","Currency=USD","Period=FQ","BEST_FPERIOD_OVERRIDE=FQ","FILING_STATUS=MR","SCALING_FORMAT=MLN","Sort=A","Dates=H","DateFormat=P","Fill=—","Direction=H","UseDPDF=Y")</f>
        <v>5912.9369999999999</v>
      </c>
      <c r="F66" s="16" cm="1">
        <f t="array" ref="F66">_xll.BDH("PH US Equity","NON_CUR_LIAB","FQ4 2019","FQ4 2019","Currency=USD","Period=FQ","BEST_FPERIOD_OVERRIDE=FQ","FILING_STATUS=MR","SCALING_FORMAT=MLN","Sort=A","Dates=H","DateFormat=P","Fill=—","Direction=H","UseDPDF=Y")</f>
        <v>8456.7649999999994</v>
      </c>
      <c r="G66" s="16" cm="1">
        <f t="array" ref="G66">_xll.BDH("PH US Equity","NON_CUR_LIAB","FQ1 2020","FQ1 2020","Currency=USD","Period=FQ","BEST_FPERIOD_OVERRIDE=FQ","FILING_STATUS=MR","SCALING_FORMAT=MLN","Sort=A","Dates=H","DateFormat=P","Fill=—","Direction=H","UseDPDF=Y")</f>
        <v>9308.4689999999991</v>
      </c>
      <c r="H66" s="16" cm="1">
        <f t="array" ref="H66">_xll.BDH("PH US Equity","NON_CUR_LIAB","FQ2 2020","FQ2 2020","Currency=USD","Period=FQ","BEST_FPERIOD_OVERRIDE=FQ","FILING_STATUS=MR","SCALING_FORMAT=MLN","Sort=A","Dates=H","DateFormat=P","Fill=—","Direction=H","UseDPDF=Y")</f>
        <v>10610.366</v>
      </c>
      <c r="I66" s="16" cm="1">
        <f t="array" ref="I66">_xll.BDH("PH US Equity","NON_CUR_LIAB","FQ3 2020","FQ3 2020","Currency=USD","Period=FQ","BEST_FPERIOD_OVERRIDE=FQ","FILING_STATUS=MR","SCALING_FORMAT=MLN","Sort=A","Dates=H","DateFormat=P","Fill=—","Direction=H","UseDPDF=Y")</f>
        <v>10384.244000000001</v>
      </c>
      <c r="J66" s="16" cm="1">
        <f t="array" ref="J66">_xll.BDH("PH US Equity","NON_CUR_LIAB","FQ4 2020","FQ4 2020","Currency=USD","Period=FQ","BEST_FPERIOD_OVERRIDE=FQ","FILING_STATUS=MR","SCALING_FORMAT=MLN","Sort=A","Dates=H","DateFormat=P","Fill=—","Direction=H","UseDPDF=Y")</f>
        <v>10497.61</v>
      </c>
      <c r="K66" s="16" cm="1">
        <f t="array" ref="K66">_xll.BDH("PH US Equity","NON_CUR_LIAB","FQ1 2021","FQ1 2021","Currency=USD","Period=FQ","BEST_FPERIOD_OVERRIDE=FQ","FILING_STATUS=MR","SCALING_FORMAT=MLN","Sort=A","Dates=H","DateFormat=P","Fill=—","Direction=H","UseDPDF=Y")</f>
        <v>9913.4449999999997</v>
      </c>
      <c r="L66" s="16" cm="1">
        <f t="array" ref="L66">_xll.BDH("PH US Equity","NON_CUR_LIAB","FQ2 2021","FQ2 2021","Currency=USD","Period=FQ","BEST_FPERIOD_OVERRIDE=FQ","FILING_STATUS=MR","SCALING_FORMAT=MLN","Sort=A","Dates=H","DateFormat=P","Fill=—","Direction=H","UseDPDF=Y")</f>
        <v>9498.0419999999995</v>
      </c>
      <c r="M66" s="16" cm="1">
        <f t="array" ref="M66">_xll.BDH("PH US Equity","NON_CUR_LIAB","FQ3 2021","FQ3 2021","Currency=USD","Period=FQ","BEST_FPERIOD_OVERRIDE=FQ","FILING_STATUS=MR","SCALING_FORMAT=MLN","Sort=A","Dates=H","DateFormat=P","Fill=—","Direction=H","UseDPDF=Y")</f>
        <v>9396.9699999999993</v>
      </c>
      <c r="N66" s="16" cm="1">
        <f t="array" ref="N66">_xll.BDH("PH US Equity","NON_CUR_LIAB","FQ4 2021","FQ4 2021","Currency=USD","Period=FQ","BEST_FPERIOD_OVERRIDE=FQ","FILING_STATUS=MR","SCALING_FORMAT=MLN","Sort=A","Dates=H","DateFormat=P","Fill=—","Direction=H","UseDPDF=Y")</f>
        <v>8831.027</v>
      </c>
      <c r="O66" s="16" cm="1">
        <f t="array" ref="O66">_xll.BDH("PH US Equity","NON_CUR_LIAB","FQ1 2022","FQ1 2022","Currency=USD","Period=FQ","BEST_FPERIOD_OVERRIDE=FQ","FILING_STATUS=MR","SCALING_FORMAT=MLN","Sort=A","Dates=H","DateFormat=P","Fill=—","Direction=H","UseDPDF=Y")</f>
        <v>8447.7829999999994</v>
      </c>
      <c r="P66" s="16" cm="1">
        <f t="array" ref="P66">_xll.BDH("PH US Equity","NON_CUR_LIAB","FQ2 2022","FQ2 2022","Currency=USD","Period=FQ","BEST_FPERIOD_OVERRIDE=FQ","FILING_STATUS=MR","SCALING_FORMAT=MLN","Sort=A","Dates=H","DateFormat=P","Fill=—","Direction=H","UseDPDF=Y")</f>
        <v>8369.7039999999997</v>
      </c>
      <c r="Q66" s="16" cm="1">
        <f t="array" ref="Q66">_xll.BDH("PH US Equity","NON_CUR_LIAB","FQ3 2022","FQ3 2022","Currency=USD","Period=FQ","BEST_FPERIOD_OVERRIDE=FQ","FILING_STATUS=MR","SCALING_FORMAT=MLN","Sort=A","Dates=H","DateFormat=P","Fill=—","Direction=H","UseDPDF=Y")</f>
        <v>8165.7969999999996</v>
      </c>
      <c r="R66" s="16" cm="1">
        <f t="array" ref="R66">_xll.BDH("PH US Equity","NON_CUR_LIAB","FQ4 2022","FQ4 2022","Currency=USD","Period=FQ","BEST_FPERIOD_OVERRIDE=FQ","FILING_STATUS=MR","SCALING_FORMAT=MLN","Sort=A","Dates=H","DateFormat=P","Fill=—","Direction=H","UseDPDF=Y")</f>
        <v>11224.705</v>
      </c>
      <c r="S66" s="16" cm="1">
        <f t="array" ref="S66">_xll.BDH("PH US Equity","NON_CUR_LIAB","FQ1 2023","FQ1 2023","Currency=USD","Period=FQ","BEST_FPERIOD_OVERRIDE=FQ","FILING_STATUS=MR","SCALING_FORMAT=MLN","Sort=A","Dates=H","DateFormat=P","Fill=—","Direction=H","UseDPDF=Y")</f>
        <v>15682.795</v>
      </c>
      <c r="T66" s="16" cm="1">
        <f t="array" ref="T66">_xll.BDH("PH US Equity","NON_CUR_LIAB","FQ2 2023","FQ2 2023","Currency=USD","Period=FQ","BEST_FPERIOD_OVERRIDE=FQ","FILING_STATUS=MR","SCALING_FORMAT=MLN","Sort=A","Dates=H","DateFormat=P","Fill=—","Direction=H","UseDPDF=Y")</f>
        <v>15483.008</v>
      </c>
      <c r="U66" s="16" cm="1">
        <f t="array" ref="U66">_xll.BDH("PH US Equity","NON_CUR_LIAB","FQ3 2023","FQ3 2023","Currency=USD","Period=FQ","BEST_FPERIOD_OVERRIDE=FQ","FILING_STATUS=MR","SCALING_FORMAT=MLN","Sort=A","Dates=H","DateFormat=P","Fill=—","Direction=H","UseDPDF=Y")</f>
        <v>14934.393</v>
      </c>
      <c r="V66" s="16" cm="1">
        <f t="array" ref="V66">_xll.BDH("PH US Equity","NON_CUR_LIAB","FQ4 2023","FQ4 2023","Currency=USD","Period=FQ","BEST_FPERIOD_OVERRIDE=FQ","FILING_STATUS=MR","SCALING_FORMAT=MLN","Sort=A","Dates=H","DateFormat=P","Fill=—","Direction=H","UseDPDF=Y")</f>
        <v>11890.823</v>
      </c>
      <c r="W66" s="16" cm="1">
        <f t="array" ref="W66">_xll.BDH("PH US Equity","NON_CUR_LIAB","FQ1 2024","FQ1 2024","Currency=USD","Period=FQ","BEST_FPERIOD_OVERRIDE=FQ","FILING_STATUS=MR","SCALING_FORMAT=MLN","Sort=A","Dates=H","DateFormat=P","Fill=—","Direction=H","UseDPDF=Y")</f>
        <v>11350.710999999999</v>
      </c>
      <c r="X66" s="16" cm="1">
        <f t="array" ref="X66">_xll.BDH("PH US Equity","NON_CUR_LIAB","FQ2 2024","FQ2 2024","Currency=USD","Period=FQ","BEST_FPERIOD_OVERRIDE=FQ","FILING_STATUS=MR","SCALING_FORMAT=MLN","Sort=A","Dates=H","DateFormat=P","Fill=—","Direction=H","UseDPDF=Y")</f>
        <v>10885.483</v>
      </c>
      <c r="Y66" s="16" cm="1">
        <f t="array" ref="Y66">_xll.BDH("PH US Equity","NON_CUR_LIAB","FQ3 2024","FQ3 2024","Currency=USD","Period=FQ","BEST_FPERIOD_OVERRIDE=FQ","FILING_STATUS=MR","SCALING_FORMAT=MLN","Sort=A","Dates=H","DateFormat=P","Fill=—","Direction=H","UseDPDF=Y")</f>
        <v>9983.5390000000007</v>
      </c>
      <c r="Z66" s="16" cm="1">
        <f t="array" ref="Z66">_xll.BDH("PH US Equity","NON_CUR_LIAB","FQ4 2024","FQ4 2024","Currency=USD","Period=FQ","BEST_FPERIOD_OVERRIDE=FQ","FILING_STATUS=MR","SCALING_FORMAT=MLN","Sort=A","Dates=H","DateFormat=P","Fill=—","Direction=H","UseDPDF=Y")</f>
        <v>9903.64</v>
      </c>
      <c r="AA66" s="16" cm="1">
        <f t="array" ref="AA66">_xll.BDH("PH US Equity","NON_CUR_LIAB","FQ1 2025","FQ1 2025","Currency=USD","Period=FQ","BEST_FPERIOD_OVERRIDE=FQ","FILING_STATUS=MR","SCALING_FORMAT=MLN","Sort=A","Dates=H","DateFormat=P","Fill=—","Direction=H","UseDPDF=Y")</f>
        <v>9361.4560000000001</v>
      </c>
      <c r="AB66" s="16" cm="1">
        <f t="array" ref="AB66">_xll.BDH("PH US Equity","NON_CUR_LIAB","FQ2 2025","FQ2 2025","Currency=USD","Period=FQ","BEST_FPERIOD_OVERRIDE=FQ","FILING_STATUS=MR","SCALING_FORMAT=MLN","Sort=A","Dates=H","DateFormat=P","Fill=—","Direction=H","UseDPDF=Y")</f>
        <v>9157.1110000000008</v>
      </c>
      <c r="AC66" s="16" cm="1">
        <f t="array" ref="AC66">_xll.BDH("PH US Equity","NON_CUR_LIAB","FQ3 2025","FQ3 2025","Currency=USD","Period=FQ","BEST_FPERIOD_OVERRIDE=FQ","FILING_STATUS=MR","SCALING_FORMAT=MLN","Sort=A","Dates=H","DateFormat=P","Fill=—","Direction=H","UseDPDF=Y")</f>
        <v>9903.5169999999998</v>
      </c>
      <c r="AD66" s="16" cm="1">
        <f t="array" ref="AD66">_xll.BDH("PH US Equity","NON_CUR_LIAB","FQ4 2025","FQ4 2025","Currency=USD","Period=FQ","BEST_FPERIOD_OVERRIDE=FQ","FILING_STATUS=MR","SCALING_FORMAT=MLN","Sort=A","Dates=H","DateFormat=P","Fill=—","Direction=H","UseDPDF=Y")</f>
        <v>9984</v>
      </c>
      <c r="AE66" s="16" cm="1">
        <f t="array" ref="AE66">_xll.BDH("PH US Equity","NON_CUR_LIAB","FQ1 2026","FQ1 2026","Currency=USD","Period=FQ","BEST_FPERIOD_OVERRIDE=FQ","FILING_STATUS=MR","SCALING_FORMAT=MLN","Sort=A","Dates=H","DateFormat=P","Fill=—","Direction=H","UseDPDF=Y")</f>
        <v>10112</v>
      </c>
      <c r="AF66" s="16" cm="1">
        <f t="array" ref="AF66">_xll.BDH("PH US Equity","NON_CUR_LIAB","FQ2 2026","FQ2 2026","Currency=USD","Period=FQ","BEST_FPERIOD_OVERRIDE=FQ","FILING_STATUS=MR","SCALING_FORMAT=MLN","Sort=A","Dates=H","DateFormat=P","Fill=—","Direction=H","UseDPDF=Y")</f>
        <v>10105</v>
      </c>
    </row>
    <row r="67" spans="1:32" x14ac:dyDescent="0.25">
      <c r="A67" s="6" t="s">
        <v>179</v>
      </c>
      <c r="B67" s="6" t="s">
        <v>180</v>
      </c>
      <c r="C67" s="16" cm="1">
        <f t="array" ref="C67">_xll.BDH("PH US Equity","BS_TOT_LIAB2","FQ1 2019","FQ1 2019","Currency=USD","Period=FQ","BEST_FPERIOD_OVERRIDE=FQ","FILING_STATUS=MR","SCALING_FORMAT=MLN","Sort=A","Dates=H","DateFormat=P","Fill=—","Direction=H","UseDPDF=Y")</f>
        <v>9317.9359999999997</v>
      </c>
      <c r="D67" s="16" cm="1">
        <f t="array" ref="D67">_xll.BDH("PH US Equity","BS_TOT_LIAB2","FQ2 2019","FQ2 2019","Currency=USD","Period=FQ","BEST_FPERIOD_OVERRIDE=FQ","FILING_STATUS=MR","SCALING_FORMAT=MLN","Sort=A","Dates=H","DateFormat=P","Fill=—","Direction=H","UseDPDF=Y")</f>
        <v>9486.5210000000006</v>
      </c>
      <c r="E67" s="16" cm="1">
        <f t="array" ref="E67">_xll.BDH("PH US Equity","BS_TOT_LIAB2","FQ3 2019","FQ3 2019","Currency=USD","Period=FQ","BEST_FPERIOD_OVERRIDE=FQ","FILING_STATUS=MR","SCALING_FORMAT=MLN","Sort=A","Dates=H","DateFormat=P","Fill=—","Direction=H","UseDPDF=Y")</f>
        <v>9461.8870000000006</v>
      </c>
      <c r="F67" s="16" cm="1">
        <f t="array" ref="F67">_xll.BDH("PH US Equity","BS_TOT_LIAB2","FQ4 2019","FQ4 2019","Currency=USD","Period=FQ","BEST_FPERIOD_OVERRIDE=FQ","FILING_STATUS=MR","SCALING_FORMAT=MLN","Sort=A","Dates=H","DateFormat=P","Fill=—","Direction=H","UseDPDF=Y")</f>
        <v>11608.538</v>
      </c>
      <c r="G67" s="16" cm="1">
        <f t="array" ref="G67">_xll.BDH("PH US Equity","BS_TOT_LIAB2","FQ1 2020","FQ1 2020","Currency=USD","Period=FQ","BEST_FPERIOD_OVERRIDE=FQ","FILING_STATUS=MR","SCALING_FORMAT=MLN","Sort=A","Dates=H","DateFormat=P","Fill=—","Direction=H","UseDPDF=Y")</f>
        <v>13465.797</v>
      </c>
      <c r="H67" s="16" cm="1">
        <f t="array" ref="H67">_xll.BDH("PH US Equity","BS_TOT_LIAB2","FQ2 2020","FQ2 2020","Currency=USD","Period=FQ","BEST_FPERIOD_OVERRIDE=FQ","FILING_STATUS=MR","SCALING_FORMAT=MLN","Sort=A","Dates=H","DateFormat=P","Fill=—","Direction=H","UseDPDF=Y")</f>
        <v>14701.487999999999</v>
      </c>
      <c r="I67" s="16" cm="1">
        <f t="array" ref="I67">_xll.BDH("PH US Equity","BS_TOT_LIAB2","FQ3 2020","FQ3 2020","Currency=USD","Period=FQ","BEST_FPERIOD_OVERRIDE=FQ","FILING_STATUS=MR","SCALING_FORMAT=MLN","Sort=A","Dates=H","DateFormat=P","Fill=—","Direction=H","UseDPDF=Y")</f>
        <v>14057.852999999999</v>
      </c>
      <c r="J67" s="16" cm="1">
        <f t="array" ref="J67">_xll.BDH("PH US Equity","BS_TOT_LIAB2","FQ4 2020","FQ4 2020","Currency=USD","Period=FQ","BEST_FPERIOD_OVERRIDE=FQ","FILING_STATUS=MR","SCALING_FORMAT=MLN","Sort=A","Dates=H","DateFormat=P","Fill=—","Direction=H","UseDPDF=Y")</f>
        <v>13645.983</v>
      </c>
      <c r="K67" s="16" cm="1">
        <f t="array" ref="K67">_xll.BDH("PH US Equity","BS_TOT_LIAB2","FQ1 2021","FQ1 2021","Currency=USD","Period=FQ","BEST_FPERIOD_OVERRIDE=FQ","FILING_STATUS=MR","SCALING_FORMAT=MLN","Sort=A","Dates=H","DateFormat=P","Fill=—","Direction=H","UseDPDF=Y")</f>
        <v>13241.668</v>
      </c>
      <c r="L67" s="16" cm="1">
        <f t="array" ref="L67">_xll.BDH("PH US Equity","BS_TOT_LIAB2","FQ2 2021","FQ2 2021","Currency=USD","Period=FQ","BEST_FPERIOD_OVERRIDE=FQ","FILING_STATUS=MR","SCALING_FORMAT=MLN","Sort=A","Dates=H","DateFormat=P","Fill=—","Direction=H","UseDPDF=Y")</f>
        <v>12705.125</v>
      </c>
      <c r="M67" s="16" cm="1">
        <f t="array" ref="M67">_xll.BDH("PH US Equity","BS_TOT_LIAB2","FQ3 2021","FQ3 2021","Currency=USD","Period=FQ","BEST_FPERIOD_OVERRIDE=FQ","FILING_STATUS=MR","SCALING_FORMAT=MLN","Sort=A","Dates=H","DateFormat=P","Fill=—","Direction=H","UseDPDF=Y")</f>
        <v>12433.617</v>
      </c>
      <c r="N67" s="16" cm="1">
        <f t="array" ref="N67">_xll.BDH("PH US Equity","BS_TOT_LIAB2","FQ4 2021","FQ4 2021","Currency=USD","Period=FQ","BEST_FPERIOD_OVERRIDE=FQ","FILING_STATUS=MR","SCALING_FORMAT=MLN","Sort=A","Dates=H","DateFormat=P","Fill=—","Direction=H","UseDPDF=Y")</f>
        <v>11927.53</v>
      </c>
      <c r="O67" s="16" cm="1">
        <f t="array" ref="O67">_xll.BDH("PH US Equity","BS_TOT_LIAB2","FQ1 2022","FQ1 2022","Currency=USD","Period=FQ","BEST_FPERIOD_OVERRIDE=FQ","FILING_STATUS=MR","SCALING_FORMAT=MLN","Sort=A","Dates=H","DateFormat=P","Fill=—","Direction=H","UseDPDF=Y")</f>
        <v>11731.026</v>
      </c>
      <c r="P67" s="16" cm="1">
        <f t="array" ref="P67">_xll.BDH("PH US Equity","BS_TOT_LIAB2","FQ2 2022","FQ2 2022","Currency=USD","Period=FQ","BEST_FPERIOD_OVERRIDE=FQ","FILING_STATUS=MR","SCALING_FORMAT=MLN","Sort=A","Dates=H","DateFormat=P","Fill=—","Direction=H","UseDPDF=Y")</f>
        <v>13627.195</v>
      </c>
      <c r="Q67" s="16" cm="1">
        <f t="array" ref="Q67">_xll.BDH("PH US Equity","BS_TOT_LIAB2","FQ3 2022","FQ3 2022","Currency=USD","Period=FQ","BEST_FPERIOD_OVERRIDE=FQ","FILING_STATUS=MR","SCALING_FORMAT=MLN","Sort=A","Dates=H","DateFormat=P","Fill=—","Direction=H","UseDPDF=Y")</f>
        <v>13572.460999999999</v>
      </c>
      <c r="R67" s="16" cm="1">
        <f t="array" ref="R67">_xll.BDH("PH US Equity","BS_TOT_LIAB2","FQ4 2022","FQ4 2022","Currency=USD","Period=FQ","BEST_FPERIOD_OVERRIDE=FQ","FILING_STATUS=MR","SCALING_FORMAT=MLN","Sort=A","Dates=H","DateFormat=P","Fill=—","Direction=H","UseDPDF=Y")</f>
        <v>17084.023000000001</v>
      </c>
      <c r="S67" s="16" cm="1">
        <f t="array" ref="S67">_xll.BDH("PH US Equity","BS_TOT_LIAB2","FQ1 2023","FQ1 2023","Currency=USD","Period=FQ","BEST_FPERIOD_OVERRIDE=FQ","FILING_STATUS=MR","SCALING_FORMAT=MLN","Sort=A","Dates=H","DateFormat=P","Fill=—","Direction=H","UseDPDF=Y")</f>
        <v>21181.503000000001</v>
      </c>
      <c r="T67" s="16" cm="1">
        <f t="array" ref="T67">_xll.BDH("PH US Equity","BS_TOT_LIAB2","FQ2 2023","FQ2 2023","Currency=USD","Period=FQ","BEST_FPERIOD_OVERRIDE=FQ","FILING_STATUS=MR","SCALING_FORMAT=MLN","Sort=A","Dates=H","DateFormat=P","Fill=—","Direction=H","UseDPDF=Y")</f>
        <v>21186.411</v>
      </c>
      <c r="U67" s="16" cm="1">
        <f t="array" ref="U67">_xll.BDH("PH US Equity","BS_TOT_LIAB2","FQ3 2023","FQ3 2023","Currency=USD","Period=FQ","BEST_FPERIOD_OVERRIDE=FQ","FILING_STATUS=MR","SCALING_FORMAT=MLN","Sort=A","Dates=H","DateFormat=P","Fill=—","Direction=H","UseDPDF=Y")</f>
        <v>20722.562000000002</v>
      </c>
      <c r="V67" s="16" cm="1">
        <f t="array" ref="V67">_xll.BDH("PH US Equity","BS_TOT_LIAB2","FQ4 2023","FQ4 2023","Currency=USD","Period=FQ","BEST_FPERIOD_OVERRIDE=FQ","FILING_STATUS=MR","SCALING_FORMAT=MLN","Sort=A","Dates=H","DateFormat=P","Fill=—","Direction=H","UseDPDF=Y")</f>
        <v>19626.192999999999</v>
      </c>
      <c r="W67" s="16" cm="1">
        <f t="array" ref="W67">_xll.BDH("PH US Equity","BS_TOT_LIAB2","FQ1 2024","FQ1 2024","Currency=USD","Period=FQ","BEST_FPERIOD_OVERRIDE=FQ","FILING_STATUS=MR","SCALING_FORMAT=MLN","Sort=A","Dates=H","DateFormat=P","Fill=—","Direction=H","UseDPDF=Y")</f>
        <v>19017.767</v>
      </c>
      <c r="X67" s="16" cm="1">
        <f t="array" ref="X67">_xll.BDH("PH US Equity","BS_TOT_LIAB2","FQ2 2024","FQ2 2024","Currency=USD","Period=FQ","BEST_FPERIOD_OVERRIDE=FQ","FILING_STATUS=MR","SCALING_FORMAT=MLN","Sort=A","Dates=H","DateFormat=P","Fill=—","Direction=H","UseDPDF=Y")</f>
        <v>18382.556</v>
      </c>
      <c r="Y67" s="16" cm="1">
        <f t="array" ref="Y67">_xll.BDH("PH US Equity","BS_TOT_LIAB2","FQ3 2024","FQ3 2024","Currency=USD","Period=FQ","BEST_FPERIOD_OVERRIDE=FQ","FILING_STATUS=MR","SCALING_FORMAT=MLN","Sort=A","Dates=H","DateFormat=P","Fill=—","Direction=H","UseDPDF=Y")</f>
        <v>17977.909</v>
      </c>
      <c r="Z67" s="16" cm="1">
        <f t="array" ref="Z67">_xll.BDH("PH US Equity","BS_TOT_LIAB2","FQ4 2024","FQ4 2024","Currency=USD","Period=FQ","BEST_FPERIOD_OVERRIDE=FQ","FILING_STATUS=MR","SCALING_FORMAT=MLN","Sort=A","Dates=H","DateFormat=P","Fill=—","Direction=H","UseDPDF=Y")</f>
        <v>17216.949000000001</v>
      </c>
      <c r="AA67" s="16" cm="1">
        <f t="array" ref="AA67">_xll.BDH("PH US Equity","BS_TOT_LIAB2","FQ1 2025","FQ1 2025","Currency=USD","Period=FQ","BEST_FPERIOD_OVERRIDE=FQ","FILING_STATUS=MR","SCALING_FORMAT=MLN","Sort=A","Dates=H","DateFormat=P","Fill=—","Direction=H","UseDPDF=Y")</f>
        <v>16699.486000000001</v>
      </c>
      <c r="AB67" s="16" cm="1">
        <f t="array" ref="AB67">_xll.BDH("PH US Equity","BS_TOT_LIAB2","FQ2 2025","FQ2 2025","Currency=USD","Period=FQ","BEST_FPERIOD_OVERRIDE=FQ","FILING_STATUS=MR","SCALING_FORMAT=MLN","Sort=A","Dates=H","DateFormat=P","Fill=—","Direction=H","UseDPDF=Y")</f>
        <v>15144.402</v>
      </c>
      <c r="AC67" s="16" cm="1">
        <f t="array" ref="AC67">_xll.BDH("PH US Equity","BS_TOT_LIAB2","FQ3 2025","FQ3 2025","Currency=USD","Period=FQ","BEST_FPERIOD_OVERRIDE=FQ","FILING_STATUS=MR","SCALING_FORMAT=MLN","Sort=A","Dates=H","DateFormat=P","Fill=—","Direction=H","UseDPDF=Y")</f>
        <v>15517.983</v>
      </c>
      <c r="AD67" s="16" cm="1">
        <f t="array" ref="AD67">_xll.BDH("PH US Equity","BS_TOT_LIAB2","FQ4 2025","FQ4 2025","Currency=USD","Period=FQ","BEST_FPERIOD_OVERRIDE=FQ","FILING_STATUS=MR","SCALING_FORMAT=MLN","Sort=A","Dates=H","DateFormat=P","Fill=—","Direction=H","UseDPDF=Y")</f>
        <v>15803</v>
      </c>
      <c r="AE67" s="16" cm="1">
        <f t="array" ref="AE67">_xll.BDH("PH US Equity","BS_TOT_LIAB2","FQ1 2026","FQ1 2026","Currency=USD","Period=FQ","BEST_FPERIOD_OVERRIDE=FQ","FILING_STATUS=MR","SCALING_FORMAT=MLN","Sort=A","Dates=H","DateFormat=P","Fill=—","Direction=H","UseDPDF=Y")</f>
        <v>16891</v>
      </c>
      <c r="AF67" s="16" cm="1">
        <f t="array" ref="AF67">_xll.BDH("PH US Equity","BS_TOT_LIAB2","FQ2 2026","FQ2 2026","Currency=USD","Period=FQ","BEST_FPERIOD_OVERRIDE=FQ","FILING_STATUS=MR","SCALING_FORMAT=MLN","Sort=A","Dates=H","DateFormat=P","Fill=—","Direction=H","UseDPDF=Y")</f>
        <v>16191</v>
      </c>
    </row>
    <row r="68" spans="1:32" x14ac:dyDescent="0.25">
      <c r="A68" s="10" t="s">
        <v>181</v>
      </c>
      <c r="B68" s="10" t="s">
        <v>182</v>
      </c>
      <c r="C68" s="13" cm="1">
        <f t="array" ref="C68">_xll.BDH("PH US Equity","PFD_EQTY_HYBRID_CAPITAL","FQ1 2019","FQ1 2019","Currency=USD","Period=FQ","BEST_FPERIOD_OVERRIDE=FQ","FILING_STATUS=MR","SCALING_FORMAT=MLN","Sort=A","Dates=H","DateFormat=P","Fill=—","Direction=H","UseDPDF=Y")</f>
        <v>0</v>
      </c>
      <c r="D68" s="13" cm="1">
        <f t="array" ref="D68">_xll.BDH("PH US Equity","PFD_EQTY_HYBRID_CAPITAL","FQ2 2019","FQ2 2019","Currency=USD","Period=FQ","BEST_FPERIOD_OVERRIDE=FQ","FILING_STATUS=MR","SCALING_FORMAT=MLN","Sort=A","Dates=H","DateFormat=P","Fill=—","Direction=H","UseDPDF=Y")</f>
        <v>0</v>
      </c>
      <c r="E68" s="13" cm="1">
        <f t="array" ref="E68">_xll.BDH("PH US Equity","PFD_EQTY_HYBRID_CAPITAL","FQ3 2019","FQ3 2019","Currency=USD","Period=FQ","BEST_FPERIOD_OVERRIDE=FQ","FILING_STATUS=MR","SCALING_FORMAT=MLN","Sort=A","Dates=H","DateFormat=P","Fill=—","Direction=H","UseDPDF=Y")</f>
        <v>0</v>
      </c>
      <c r="F68" s="13" cm="1">
        <f t="array" ref="F68">_xll.BDH("PH US Equity","PFD_EQTY_HYBRID_CAPITAL","FQ4 2019","FQ4 2019","Currency=USD","Period=FQ","BEST_FPERIOD_OVERRIDE=FQ","FILING_STATUS=MR","SCALING_FORMAT=MLN","Sort=A","Dates=H","DateFormat=P","Fill=—","Direction=H","UseDPDF=Y")</f>
        <v>0</v>
      </c>
      <c r="G68" s="13" cm="1">
        <f t="array" ref="G68">_xll.BDH("PH US Equity","PFD_EQTY_HYBRID_CAPITAL","FQ1 2020","FQ1 2020","Currency=USD","Period=FQ","BEST_FPERIOD_OVERRIDE=FQ","FILING_STATUS=MR","SCALING_FORMAT=MLN","Sort=A","Dates=H","DateFormat=P","Fill=—","Direction=H","UseDPDF=Y")</f>
        <v>0</v>
      </c>
      <c r="H68" s="13" cm="1">
        <f t="array" ref="H68">_xll.BDH("PH US Equity","PFD_EQTY_HYBRID_CAPITAL","FQ2 2020","FQ2 2020","Currency=USD","Period=FQ","BEST_FPERIOD_OVERRIDE=FQ","FILING_STATUS=MR","SCALING_FORMAT=MLN","Sort=A","Dates=H","DateFormat=P","Fill=—","Direction=H","UseDPDF=Y")</f>
        <v>0</v>
      </c>
      <c r="I68" s="13" cm="1">
        <f t="array" ref="I68">_xll.BDH("PH US Equity","PFD_EQTY_HYBRID_CAPITAL","FQ3 2020","FQ3 2020","Currency=USD","Period=FQ","BEST_FPERIOD_OVERRIDE=FQ","FILING_STATUS=MR","SCALING_FORMAT=MLN","Sort=A","Dates=H","DateFormat=P","Fill=—","Direction=H","UseDPDF=Y")</f>
        <v>0</v>
      </c>
      <c r="J68" s="13" cm="1">
        <f t="array" ref="J68">_xll.BDH("PH US Equity","PFD_EQTY_HYBRID_CAPITAL","FQ4 2020","FQ4 2020","Currency=USD","Period=FQ","BEST_FPERIOD_OVERRIDE=FQ","FILING_STATUS=MR","SCALING_FORMAT=MLN","Sort=A","Dates=H","DateFormat=P","Fill=—","Direction=H","UseDPDF=Y")</f>
        <v>0</v>
      </c>
      <c r="K68" s="13" cm="1">
        <f t="array" ref="K68">_xll.BDH("PH US Equity","PFD_EQTY_HYBRID_CAPITAL","FQ1 2021","FQ1 2021","Currency=USD","Period=FQ","BEST_FPERIOD_OVERRIDE=FQ","FILING_STATUS=MR","SCALING_FORMAT=MLN","Sort=A","Dates=H","DateFormat=P","Fill=—","Direction=H","UseDPDF=Y")</f>
        <v>0</v>
      </c>
      <c r="L68" s="13" cm="1">
        <f t="array" ref="L68">_xll.BDH("PH US Equity","PFD_EQTY_HYBRID_CAPITAL","FQ2 2021","FQ2 2021","Currency=USD","Period=FQ","BEST_FPERIOD_OVERRIDE=FQ","FILING_STATUS=MR","SCALING_FORMAT=MLN","Sort=A","Dates=H","DateFormat=P","Fill=—","Direction=H","UseDPDF=Y")</f>
        <v>0</v>
      </c>
      <c r="M68" s="13" cm="1">
        <f t="array" ref="M68">_xll.BDH("PH US Equity","PFD_EQTY_HYBRID_CAPITAL","FQ3 2021","FQ3 2021","Currency=USD","Period=FQ","BEST_FPERIOD_OVERRIDE=FQ","FILING_STATUS=MR","SCALING_FORMAT=MLN","Sort=A","Dates=H","DateFormat=P","Fill=—","Direction=H","UseDPDF=Y")</f>
        <v>0</v>
      </c>
      <c r="N68" s="13" cm="1">
        <f t="array" ref="N68">_xll.BDH("PH US Equity","PFD_EQTY_HYBRID_CAPITAL","FQ4 2021","FQ4 2021","Currency=USD","Period=FQ","BEST_FPERIOD_OVERRIDE=FQ","FILING_STATUS=MR","SCALING_FORMAT=MLN","Sort=A","Dates=H","DateFormat=P","Fill=—","Direction=H","UseDPDF=Y")</f>
        <v>0</v>
      </c>
      <c r="O68" s="13" cm="1">
        <f t="array" ref="O68">_xll.BDH("PH US Equity","PFD_EQTY_HYBRID_CAPITAL","FQ1 2022","FQ1 2022","Currency=USD","Period=FQ","BEST_FPERIOD_OVERRIDE=FQ","FILING_STATUS=MR","SCALING_FORMAT=MLN","Sort=A","Dates=H","DateFormat=P","Fill=—","Direction=H","UseDPDF=Y")</f>
        <v>0</v>
      </c>
      <c r="P68" s="13" cm="1">
        <f t="array" ref="P68">_xll.BDH("PH US Equity","PFD_EQTY_HYBRID_CAPITAL","FQ2 2022","FQ2 2022","Currency=USD","Period=FQ","BEST_FPERIOD_OVERRIDE=FQ","FILING_STATUS=MR","SCALING_FORMAT=MLN","Sort=A","Dates=H","DateFormat=P","Fill=—","Direction=H","UseDPDF=Y")</f>
        <v>0</v>
      </c>
      <c r="Q68" s="13" cm="1">
        <f t="array" ref="Q68">_xll.BDH("PH US Equity","PFD_EQTY_HYBRID_CAPITAL","FQ3 2022","FQ3 2022","Currency=USD","Period=FQ","BEST_FPERIOD_OVERRIDE=FQ","FILING_STATUS=MR","SCALING_FORMAT=MLN","Sort=A","Dates=H","DateFormat=P","Fill=—","Direction=H","UseDPDF=Y")</f>
        <v>0</v>
      </c>
      <c r="R68" s="13" cm="1">
        <f t="array" ref="R68">_xll.BDH("PH US Equity","PFD_EQTY_HYBRID_CAPITAL","FQ4 2022","FQ4 2022","Currency=USD","Period=FQ","BEST_FPERIOD_OVERRIDE=FQ","FILING_STATUS=MR","SCALING_FORMAT=MLN","Sort=A","Dates=H","DateFormat=P","Fill=—","Direction=H","UseDPDF=Y")</f>
        <v>0</v>
      </c>
      <c r="S68" s="13" cm="1">
        <f t="array" ref="S68">_xll.BDH("PH US Equity","PFD_EQTY_HYBRID_CAPITAL","FQ1 2023","FQ1 2023","Currency=USD","Period=FQ","BEST_FPERIOD_OVERRIDE=FQ","FILING_STATUS=MR","SCALING_FORMAT=MLN","Sort=A","Dates=H","DateFormat=P","Fill=—","Direction=H","UseDPDF=Y")</f>
        <v>0</v>
      </c>
      <c r="T68" s="13" cm="1">
        <f t="array" ref="T68">_xll.BDH("PH US Equity","PFD_EQTY_HYBRID_CAPITAL","FQ2 2023","FQ2 2023","Currency=USD","Period=FQ","BEST_FPERIOD_OVERRIDE=FQ","FILING_STATUS=MR","SCALING_FORMAT=MLN","Sort=A","Dates=H","DateFormat=P","Fill=—","Direction=H","UseDPDF=Y")</f>
        <v>0</v>
      </c>
      <c r="U68" s="13" cm="1">
        <f t="array" ref="U68">_xll.BDH("PH US Equity","PFD_EQTY_HYBRID_CAPITAL","FQ3 2023","FQ3 2023","Currency=USD","Period=FQ","BEST_FPERIOD_OVERRIDE=FQ","FILING_STATUS=MR","SCALING_FORMAT=MLN","Sort=A","Dates=H","DateFormat=P","Fill=—","Direction=H","UseDPDF=Y")</f>
        <v>0</v>
      </c>
      <c r="V68" s="13" cm="1">
        <f t="array" ref="V68">_xll.BDH("PH US Equity","PFD_EQTY_HYBRID_CAPITAL","FQ4 2023","FQ4 2023","Currency=USD","Period=FQ","BEST_FPERIOD_OVERRIDE=FQ","FILING_STATUS=MR","SCALING_FORMAT=MLN","Sort=A","Dates=H","DateFormat=P","Fill=—","Direction=H","UseDPDF=Y")</f>
        <v>0</v>
      </c>
      <c r="W68" s="13" cm="1">
        <f t="array" ref="W68">_xll.BDH("PH US Equity","PFD_EQTY_HYBRID_CAPITAL","FQ1 2024","FQ1 2024","Currency=USD","Period=FQ","BEST_FPERIOD_OVERRIDE=FQ","FILING_STATUS=MR","SCALING_FORMAT=MLN","Sort=A","Dates=H","DateFormat=P","Fill=—","Direction=H","UseDPDF=Y")</f>
        <v>0</v>
      </c>
      <c r="X68" s="13" cm="1">
        <f t="array" ref="X68">_xll.BDH("PH US Equity","PFD_EQTY_HYBRID_CAPITAL","FQ2 2024","FQ2 2024","Currency=USD","Period=FQ","BEST_FPERIOD_OVERRIDE=FQ","FILING_STATUS=MR","SCALING_FORMAT=MLN","Sort=A","Dates=H","DateFormat=P","Fill=—","Direction=H","UseDPDF=Y")</f>
        <v>0</v>
      </c>
      <c r="Y68" s="13" cm="1">
        <f t="array" ref="Y68">_xll.BDH("PH US Equity","PFD_EQTY_HYBRID_CAPITAL","FQ3 2024","FQ3 2024","Currency=USD","Period=FQ","BEST_FPERIOD_OVERRIDE=FQ","FILING_STATUS=MR","SCALING_FORMAT=MLN","Sort=A","Dates=H","DateFormat=P","Fill=—","Direction=H","UseDPDF=Y")</f>
        <v>0</v>
      </c>
      <c r="Z68" s="13" cm="1">
        <f t="array" ref="Z68">_xll.BDH("PH US Equity","PFD_EQTY_HYBRID_CAPITAL","FQ4 2024","FQ4 2024","Currency=USD","Period=FQ","BEST_FPERIOD_OVERRIDE=FQ","FILING_STATUS=MR","SCALING_FORMAT=MLN","Sort=A","Dates=H","DateFormat=P","Fill=—","Direction=H","UseDPDF=Y")</f>
        <v>0</v>
      </c>
      <c r="AA68" s="13" cm="1">
        <f t="array" ref="AA68">_xll.BDH("PH US Equity","PFD_EQTY_HYBRID_CAPITAL","FQ1 2025","FQ1 2025","Currency=USD","Period=FQ","BEST_FPERIOD_OVERRIDE=FQ","FILING_STATUS=MR","SCALING_FORMAT=MLN","Sort=A","Dates=H","DateFormat=P","Fill=—","Direction=H","UseDPDF=Y")</f>
        <v>0</v>
      </c>
      <c r="AB68" s="13" cm="1">
        <f t="array" ref="AB68">_xll.BDH("PH US Equity","PFD_EQTY_HYBRID_CAPITAL","FQ2 2025","FQ2 2025","Currency=USD","Period=FQ","BEST_FPERIOD_OVERRIDE=FQ","FILING_STATUS=MR","SCALING_FORMAT=MLN","Sort=A","Dates=H","DateFormat=P","Fill=—","Direction=H","UseDPDF=Y")</f>
        <v>0</v>
      </c>
      <c r="AC68" s="13" cm="1">
        <f t="array" ref="AC68">_xll.BDH("PH US Equity","PFD_EQTY_HYBRID_CAPITAL","FQ3 2025","FQ3 2025","Currency=USD","Period=FQ","BEST_FPERIOD_OVERRIDE=FQ","FILING_STATUS=MR","SCALING_FORMAT=MLN","Sort=A","Dates=H","DateFormat=P","Fill=—","Direction=H","UseDPDF=Y")</f>
        <v>0</v>
      </c>
      <c r="AD68" s="13" cm="1">
        <f t="array" ref="AD68">_xll.BDH("PH US Equity","PFD_EQTY_HYBRID_CAPITAL","FQ4 2025","FQ4 2025","Currency=USD","Period=FQ","BEST_FPERIOD_OVERRIDE=FQ","FILING_STATUS=MR","SCALING_FORMAT=MLN","Sort=A","Dates=H","DateFormat=P","Fill=—","Direction=H","UseDPDF=Y")</f>
        <v>0</v>
      </c>
      <c r="AE68" s="13" cm="1">
        <f t="array" ref="AE68">_xll.BDH("PH US Equity","PFD_EQTY_HYBRID_CAPITAL","FQ1 2026","FQ1 2026","Currency=USD","Period=FQ","BEST_FPERIOD_OVERRIDE=FQ","FILING_STATUS=MR","SCALING_FORMAT=MLN","Sort=A","Dates=H","DateFormat=P","Fill=—","Direction=H","UseDPDF=Y")</f>
        <v>0</v>
      </c>
      <c r="AF68" s="13" cm="1">
        <f t="array" ref="AF68">_xll.BDH("PH US Equity","PFD_EQTY_HYBRID_CAPITAL","FQ2 2026","FQ2 2026","Currency=USD","Period=FQ","BEST_FPERIOD_OVERRIDE=FQ","FILING_STATUS=MR","SCALING_FORMAT=MLN","Sort=A","Dates=H","DateFormat=P","Fill=—","Direction=H","UseDPDF=Y")</f>
        <v>0</v>
      </c>
    </row>
    <row r="69" spans="1:32" x14ac:dyDescent="0.25">
      <c r="A69" s="10" t="s">
        <v>183</v>
      </c>
      <c r="B69" s="10" t="s">
        <v>184</v>
      </c>
      <c r="C69" s="13" cm="1">
        <f t="array" ref="C69">_xll.BDH("PH US Equity","BS_SH_CAP_AND_APIC","FQ1 2019","FQ1 2019","Currency=USD","Period=FQ","BEST_FPERIOD_OVERRIDE=FQ","FILING_STATUS=MR","SCALING_FORMAT=MLN","Sort=A","Dates=H","DateFormat=P","Fill=—","Direction=H","UseDPDF=Y")</f>
        <v>593.57500000000005</v>
      </c>
      <c r="D69" s="13" cm="1">
        <f t="array" ref="D69">_xll.BDH("PH US Equity","BS_SH_CAP_AND_APIC","FQ2 2019","FQ2 2019","Currency=USD","Period=FQ","BEST_FPERIOD_OVERRIDE=FQ","FILING_STATUS=MR","SCALING_FORMAT=MLN","Sort=A","Dates=H","DateFormat=P","Fill=—","Direction=H","UseDPDF=Y")</f>
        <v>612.37699999999995</v>
      </c>
      <c r="E69" s="13" cm="1">
        <f t="array" ref="E69">_xll.BDH("PH US Equity","BS_SH_CAP_AND_APIC","FQ3 2019","FQ3 2019","Currency=USD","Period=FQ","BEST_FPERIOD_OVERRIDE=FQ","FILING_STATUS=MR","SCALING_FORMAT=MLN","Sort=A","Dates=H","DateFormat=P","Fill=—","Direction=H","UseDPDF=Y")</f>
        <v>619.66600000000005</v>
      </c>
      <c r="F69" s="13" cm="1">
        <f t="array" ref="F69">_xll.BDH("PH US Equity","BS_SH_CAP_AND_APIC","FQ4 2019","FQ4 2019","Currency=USD","Period=FQ","BEST_FPERIOD_OVERRIDE=FQ","FILING_STATUS=MR","SCALING_FORMAT=MLN","Sort=A","Dates=H","DateFormat=P","Fill=—","Direction=H","UseDPDF=Y")</f>
        <v>552.60900000000004</v>
      </c>
      <c r="G69" s="13" cm="1">
        <f t="array" ref="G69">_xll.BDH("PH US Equity","BS_SH_CAP_AND_APIC","FQ1 2020","FQ1 2020","Currency=USD","Period=FQ","BEST_FPERIOD_OVERRIDE=FQ","FILING_STATUS=MR","SCALING_FORMAT=MLN","Sort=A","Dates=H","DateFormat=P","Fill=—","Direction=H","UseDPDF=Y")</f>
        <v>554.96299999999997</v>
      </c>
      <c r="H69" s="13" cm="1">
        <f t="array" ref="H69">_xll.BDH("PH US Equity","BS_SH_CAP_AND_APIC","FQ2 2020","FQ2 2020","Currency=USD","Period=FQ","BEST_FPERIOD_OVERRIDE=FQ","FILING_STATUS=MR","SCALING_FORMAT=MLN","Sort=A","Dates=H","DateFormat=P","Fill=—","Direction=H","UseDPDF=Y")</f>
        <v>546.38499999999999</v>
      </c>
      <c r="I69" s="13" cm="1">
        <f t="array" ref="I69">_xll.BDH("PH US Equity","BS_SH_CAP_AND_APIC","FQ3 2020","FQ3 2020","Currency=USD","Period=FQ","BEST_FPERIOD_OVERRIDE=FQ","FILING_STATUS=MR","SCALING_FORMAT=MLN","Sort=A","Dates=H","DateFormat=P","Fill=—","Direction=H","UseDPDF=Y")</f>
        <v>542.67999999999995</v>
      </c>
      <c r="J69" s="13" cm="1">
        <f t="array" ref="J69">_xll.BDH("PH US Equity","BS_SH_CAP_AND_APIC","FQ4 2020","FQ4 2020","Currency=USD","Period=FQ","BEST_FPERIOD_OVERRIDE=FQ","FILING_STATUS=MR","SCALING_FORMAT=MLN","Sort=A","Dates=H","DateFormat=P","Fill=—","Direction=H","UseDPDF=Y")</f>
        <v>507.108</v>
      </c>
      <c r="K69" s="13" cm="1">
        <f t="array" ref="K69">_xll.BDH("PH US Equity","BS_SH_CAP_AND_APIC","FQ1 2021","FQ1 2021","Currency=USD","Period=FQ","BEST_FPERIOD_OVERRIDE=FQ","FILING_STATUS=MR","SCALING_FORMAT=MLN","Sort=A","Dates=H","DateFormat=P","Fill=—","Direction=H","UseDPDF=Y")</f>
        <v>518.85199999999998</v>
      </c>
      <c r="L69" s="13" cm="1">
        <f t="array" ref="L69">_xll.BDH("PH US Equity","BS_SH_CAP_AND_APIC","FQ2 2021","FQ2 2021","Currency=USD","Period=FQ","BEST_FPERIOD_OVERRIDE=FQ","FILING_STATUS=MR","SCALING_FORMAT=MLN","Sort=A","Dates=H","DateFormat=P","Fill=—","Direction=H","UseDPDF=Y")</f>
        <v>475.572</v>
      </c>
      <c r="M69" s="13" cm="1">
        <f t="array" ref="M69">_xll.BDH("PH US Equity","BS_SH_CAP_AND_APIC","FQ3 2021","FQ3 2021","Currency=USD","Period=FQ","BEST_FPERIOD_OVERRIDE=FQ","FILING_STATUS=MR","SCALING_FORMAT=MLN","Sort=A","Dates=H","DateFormat=P","Fill=—","Direction=H","UseDPDF=Y")</f>
        <v>465.02</v>
      </c>
      <c r="N69" s="13" cm="1">
        <f t="array" ref="N69">_xll.BDH("PH US Equity","BS_SH_CAP_AND_APIC","FQ4 2021","FQ4 2021","Currency=USD","Period=FQ","BEST_FPERIOD_OVERRIDE=FQ","FILING_STATUS=MR","SCALING_FORMAT=MLN","Sort=A","Dates=H","DateFormat=P","Fill=—","Direction=H","UseDPDF=Y")</f>
        <v>420.142</v>
      </c>
      <c r="O69" s="13" cm="1">
        <f t="array" ref="O69">_xll.BDH("PH US Equity","BS_SH_CAP_AND_APIC","FQ1 2022","FQ1 2022","Currency=USD","Period=FQ","BEST_FPERIOD_OVERRIDE=FQ","FILING_STATUS=MR","SCALING_FORMAT=MLN","Sort=A","Dates=H","DateFormat=P","Fill=—","Direction=H","UseDPDF=Y")</f>
        <v>449.2</v>
      </c>
      <c r="P69" s="13" cm="1">
        <f t="array" ref="P69">_xll.BDH("PH US Equity","BS_SH_CAP_AND_APIC","FQ2 2022","FQ2 2022","Currency=USD","Period=FQ","BEST_FPERIOD_OVERRIDE=FQ","FILING_STATUS=MR","SCALING_FORMAT=MLN","Sort=A","Dates=H","DateFormat=P","Fill=—","Direction=H","UseDPDF=Y")</f>
        <v>434.83499999999998</v>
      </c>
      <c r="Q69" s="13" cm="1">
        <f t="array" ref="Q69">_xll.BDH("PH US Equity","BS_SH_CAP_AND_APIC","FQ3 2022","FQ3 2022","Currency=USD","Period=FQ","BEST_FPERIOD_OVERRIDE=FQ","FILING_STATUS=MR","SCALING_FORMAT=MLN","Sort=A","Dates=H","DateFormat=P","Fill=—","Direction=H","UseDPDF=Y")</f>
        <v>453.89</v>
      </c>
      <c r="R69" s="13" cm="1">
        <f t="array" ref="R69">_xll.BDH("PH US Equity","BS_SH_CAP_AND_APIC","FQ4 2022","FQ4 2022","Currency=USD","Period=FQ","BEST_FPERIOD_OVERRIDE=FQ","FILING_STATUS=MR","SCALING_FORMAT=MLN","Sort=A","Dates=H","DateFormat=P","Fill=—","Direction=H","UseDPDF=Y")</f>
        <v>417.83</v>
      </c>
      <c r="S69" s="13" cm="1">
        <f t="array" ref="S69">_xll.BDH("PH US Equity","BS_SH_CAP_AND_APIC","FQ1 2023","FQ1 2023","Currency=USD","Period=FQ","BEST_FPERIOD_OVERRIDE=FQ","FILING_STATUS=MR","SCALING_FORMAT=MLN","Sort=A","Dates=H","DateFormat=P","Fill=—","Direction=H","UseDPDF=Y")</f>
        <v>450.96600000000001</v>
      </c>
      <c r="T69" s="13" cm="1">
        <f t="array" ref="T69">_xll.BDH("PH US Equity","BS_SH_CAP_AND_APIC","FQ2 2023","FQ2 2023","Currency=USD","Period=FQ","BEST_FPERIOD_OVERRIDE=FQ","FILING_STATUS=MR","SCALING_FORMAT=MLN","Sort=A","Dates=H","DateFormat=P","Fill=—","Direction=H","UseDPDF=Y")</f>
        <v>468.39400000000001</v>
      </c>
      <c r="U69" s="13" cm="1">
        <f t="array" ref="U69">_xll.BDH("PH US Equity","BS_SH_CAP_AND_APIC","FQ3 2023","FQ3 2023","Currency=USD","Period=FQ","BEST_FPERIOD_OVERRIDE=FQ","FILING_STATUS=MR","SCALING_FORMAT=MLN","Sort=A","Dates=H","DateFormat=P","Fill=—","Direction=H","UseDPDF=Y")</f>
        <v>446.27699999999999</v>
      </c>
      <c r="V69" s="13" cm="1">
        <f t="array" ref="V69">_xll.BDH("PH US Equity","BS_SH_CAP_AND_APIC","FQ4 2023","FQ4 2023","Currency=USD","Period=FQ","BEST_FPERIOD_OVERRIDE=FQ","FILING_STATUS=MR","SCALING_FORMAT=MLN","Sort=A","Dates=H","DateFormat=P","Fill=—","Direction=H","UseDPDF=Y")</f>
        <v>396.04500000000002</v>
      </c>
      <c r="W69" s="13" cm="1">
        <f t="array" ref="W69">_xll.BDH("PH US Equity","BS_SH_CAP_AND_APIC","FQ1 2024","FQ1 2024","Currency=USD","Period=FQ","BEST_FPERIOD_OVERRIDE=FQ","FILING_STATUS=MR","SCALING_FORMAT=MLN","Sort=A","Dates=H","DateFormat=P","Fill=—","Direction=H","UseDPDF=Y")</f>
        <v>427.685</v>
      </c>
      <c r="X69" s="13" cm="1">
        <f t="array" ref="X69">_xll.BDH("PH US Equity","BS_SH_CAP_AND_APIC","FQ2 2024","FQ2 2024","Currency=USD","Period=FQ","BEST_FPERIOD_OVERRIDE=FQ","FILING_STATUS=MR","SCALING_FORMAT=MLN","Sort=A","Dates=H","DateFormat=P","Fill=—","Direction=H","UseDPDF=Y")</f>
        <v>443.34</v>
      </c>
      <c r="Y69" s="13" cm="1">
        <f t="array" ref="Y69">_xll.BDH("PH US Equity","BS_SH_CAP_AND_APIC","FQ3 2024","FQ3 2024","Currency=USD","Period=FQ","BEST_FPERIOD_OVERRIDE=FQ","FILING_STATUS=MR","SCALING_FORMAT=MLN","Sort=A","Dates=H","DateFormat=P","Fill=—","Direction=H","UseDPDF=Y")</f>
        <v>386.25299999999999</v>
      </c>
      <c r="Z69" s="13" cm="1">
        <f t="array" ref="Z69">_xll.BDH("PH US Equity","BS_SH_CAP_AND_APIC","FQ4 2024","FQ4 2024","Currency=USD","Period=FQ","BEST_FPERIOD_OVERRIDE=FQ","FILING_STATUS=MR","SCALING_FORMAT=MLN","Sort=A","Dates=H","DateFormat=P","Fill=—","Direction=H","UseDPDF=Y")</f>
        <v>355.03100000000001</v>
      </c>
      <c r="AA69" s="13" cm="1">
        <f t="array" ref="AA69">_xll.BDH("PH US Equity","BS_SH_CAP_AND_APIC","FQ1 2025","FQ1 2025","Currency=USD","Period=FQ","BEST_FPERIOD_OVERRIDE=FQ","FILING_STATUS=MR","SCALING_FORMAT=MLN","Sort=A","Dates=H","DateFormat=P","Fill=—","Direction=H","UseDPDF=Y")</f>
        <v>365.54199999999997</v>
      </c>
      <c r="AB69" s="13" cm="1">
        <f t="array" ref="AB69">_xll.BDH("PH US Equity","BS_SH_CAP_AND_APIC","FQ2 2025","FQ2 2025","Currency=USD","Period=FQ","BEST_FPERIOD_OVERRIDE=FQ","FILING_STATUS=MR","SCALING_FORMAT=MLN","Sort=A","Dates=H","DateFormat=P","Fill=—","Direction=H","UseDPDF=Y")</f>
        <v>334.714</v>
      </c>
      <c r="AC69" s="13" cm="1">
        <f t="array" ref="AC69">_xll.BDH("PH US Equity","BS_SH_CAP_AND_APIC","FQ3 2025","FQ3 2025","Currency=USD","Period=FQ","BEST_FPERIOD_OVERRIDE=FQ","FILING_STATUS=MR","SCALING_FORMAT=MLN","Sort=A","Dates=H","DateFormat=P","Fill=—","Direction=H","UseDPDF=Y")</f>
        <v>334.18099999999998</v>
      </c>
      <c r="AD69" s="13" cm="1">
        <f t="array" ref="AD69">_xll.BDH("PH US Equity","BS_SH_CAP_AND_APIC","FQ4 2025","FQ4 2025","Currency=USD","Period=FQ","BEST_FPERIOD_OVERRIDE=FQ","FILING_STATUS=MR","SCALING_FORMAT=MLN","Sort=A","Dates=H","DateFormat=P","Fill=—","Direction=H","UseDPDF=Y")</f>
        <v>285</v>
      </c>
      <c r="AE69" s="13" cm="1">
        <f t="array" ref="AE69">_xll.BDH("PH US Equity","BS_SH_CAP_AND_APIC","FQ1 2026","FQ1 2026","Currency=USD","Period=FQ","BEST_FPERIOD_OVERRIDE=FQ","FILING_STATUS=MR","SCALING_FORMAT=MLN","Sort=A","Dates=H","DateFormat=P","Fill=—","Direction=H","UseDPDF=Y")</f>
        <v>914</v>
      </c>
      <c r="AF69" s="13" cm="1">
        <f t="array" ref="AF69">_xll.BDH("PH US Equity","BS_SH_CAP_AND_APIC","FQ2 2026","FQ2 2026","Currency=USD","Period=FQ","BEST_FPERIOD_OVERRIDE=FQ","FILING_STATUS=MR","SCALING_FORMAT=MLN","Sort=A","Dates=H","DateFormat=P","Fill=—","Direction=H","UseDPDF=Y")</f>
        <v>913</v>
      </c>
    </row>
    <row r="70" spans="1:32" x14ac:dyDescent="0.25">
      <c r="A70" s="10" t="s">
        <v>185</v>
      </c>
      <c r="B70" s="10" t="s">
        <v>186</v>
      </c>
      <c r="C70" s="13" cm="1">
        <f t="array" ref="C70">_xll.BDH("PH US Equity","BS_COMMON_STOCK","FQ1 2019","FQ1 2019","Currency=USD","Period=FQ","BEST_FPERIOD_OVERRIDE=FQ","FILING_STATUS=MR","SCALING_FORMAT=MLN","Sort=A","Dates=H","DateFormat=P","Fill=—","Direction=H","UseDPDF=Y")</f>
        <v>90.522999999999996</v>
      </c>
      <c r="D70" s="13" cm="1">
        <f t="array" ref="D70">_xll.BDH("PH US Equity","BS_COMMON_STOCK","FQ2 2019","FQ2 2019","Currency=USD","Period=FQ","BEST_FPERIOD_OVERRIDE=FQ","FILING_STATUS=MR","SCALING_FORMAT=MLN","Sort=A","Dates=H","DateFormat=P","Fill=—","Direction=H","UseDPDF=Y")</f>
        <v>90.522999999999996</v>
      </c>
      <c r="E70" s="13" cm="1">
        <f t="array" ref="E70">_xll.BDH("PH US Equity","BS_COMMON_STOCK","FQ3 2019","FQ3 2019","Currency=USD","Period=FQ","BEST_FPERIOD_OVERRIDE=FQ","FILING_STATUS=MR","SCALING_FORMAT=MLN","Sort=A","Dates=H","DateFormat=P","Fill=—","Direction=H","UseDPDF=Y")</f>
        <v>90.522999999999996</v>
      </c>
      <c r="F70" s="13" cm="1">
        <f t="array" ref="F70">_xll.BDH("PH US Equity","BS_COMMON_STOCK","FQ4 2019","FQ4 2019","Currency=USD","Period=FQ","BEST_FPERIOD_OVERRIDE=FQ","FILING_STATUS=MR","SCALING_FORMAT=MLN","Sort=A","Dates=H","DateFormat=P","Fill=—","Direction=H","UseDPDF=Y")</f>
        <v>90.522999999999996</v>
      </c>
      <c r="G70" s="13" cm="1">
        <f t="array" ref="G70">_xll.BDH("PH US Equity","BS_COMMON_STOCK","FQ1 2020","FQ1 2020","Currency=USD","Period=FQ","BEST_FPERIOD_OVERRIDE=FQ","FILING_STATUS=MR","SCALING_FORMAT=MLN","Sort=A","Dates=H","DateFormat=P","Fill=—","Direction=H","UseDPDF=Y")</f>
        <v>90.522999999999996</v>
      </c>
      <c r="H70" s="13" cm="1">
        <f t="array" ref="H70">_xll.BDH("PH US Equity","BS_COMMON_STOCK","FQ2 2020","FQ2 2020","Currency=USD","Period=FQ","BEST_FPERIOD_OVERRIDE=FQ","FILING_STATUS=MR","SCALING_FORMAT=MLN","Sort=A","Dates=H","DateFormat=P","Fill=—","Direction=H","UseDPDF=Y")</f>
        <v>90.522999999999996</v>
      </c>
      <c r="I70" s="13" cm="1">
        <f t="array" ref="I70">_xll.BDH("PH US Equity","BS_COMMON_STOCK","FQ3 2020","FQ3 2020","Currency=USD","Period=FQ","BEST_FPERIOD_OVERRIDE=FQ","FILING_STATUS=MR","SCALING_FORMAT=MLN","Sort=A","Dates=H","DateFormat=P","Fill=—","Direction=H","UseDPDF=Y")</f>
        <v>90.522999999999996</v>
      </c>
      <c r="J70" s="13" cm="1">
        <f t="array" ref="J70">_xll.BDH("PH US Equity","BS_COMMON_STOCK","FQ4 2020","FQ4 2020","Currency=USD","Period=FQ","BEST_FPERIOD_OVERRIDE=FQ","FILING_STATUS=MR","SCALING_FORMAT=MLN","Sort=A","Dates=H","DateFormat=P","Fill=—","Direction=H","UseDPDF=Y")</f>
        <v>90.522999999999996</v>
      </c>
      <c r="K70" s="13" cm="1">
        <f t="array" ref="K70">_xll.BDH("PH US Equity","BS_COMMON_STOCK","FQ1 2021","FQ1 2021","Currency=USD","Period=FQ","BEST_FPERIOD_OVERRIDE=FQ","FILING_STATUS=MR","SCALING_FORMAT=MLN","Sort=A","Dates=H","DateFormat=P","Fill=—","Direction=H","UseDPDF=Y")</f>
        <v>90.522999999999996</v>
      </c>
      <c r="L70" s="13" cm="1">
        <f t="array" ref="L70">_xll.BDH("PH US Equity","BS_COMMON_STOCK","FQ2 2021","FQ2 2021","Currency=USD","Period=FQ","BEST_FPERIOD_OVERRIDE=FQ","FILING_STATUS=MR","SCALING_FORMAT=MLN","Sort=A","Dates=H","DateFormat=P","Fill=—","Direction=H","UseDPDF=Y")</f>
        <v>90.522999999999996</v>
      </c>
      <c r="M70" s="13" cm="1">
        <f t="array" ref="M70">_xll.BDH("PH US Equity","BS_COMMON_STOCK","FQ3 2021","FQ3 2021","Currency=USD","Period=FQ","BEST_FPERIOD_OVERRIDE=FQ","FILING_STATUS=MR","SCALING_FORMAT=MLN","Sort=A","Dates=H","DateFormat=P","Fill=—","Direction=H","UseDPDF=Y")</f>
        <v>90.522999999999996</v>
      </c>
      <c r="N70" s="13" cm="1">
        <f t="array" ref="N70">_xll.BDH("PH US Equity","BS_COMMON_STOCK","FQ4 2021","FQ4 2021","Currency=USD","Period=FQ","BEST_FPERIOD_OVERRIDE=FQ","FILING_STATUS=MR","SCALING_FORMAT=MLN","Sort=A","Dates=H","DateFormat=P","Fill=—","Direction=H","UseDPDF=Y")</f>
        <v>90.522999999999996</v>
      </c>
      <c r="O70" s="13" cm="1">
        <f t="array" ref="O70">_xll.BDH("PH US Equity","BS_COMMON_STOCK","FQ1 2022","FQ1 2022","Currency=USD","Period=FQ","BEST_FPERIOD_OVERRIDE=FQ","FILING_STATUS=MR","SCALING_FORMAT=MLN","Sort=A","Dates=H","DateFormat=P","Fill=—","Direction=H","UseDPDF=Y")</f>
        <v>90.522999999999996</v>
      </c>
      <c r="P70" s="13" cm="1">
        <f t="array" ref="P70">_xll.BDH("PH US Equity","BS_COMMON_STOCK","FQ2 2022","FQ2 2022","Currency=USD","Period=FQ","BEST_FPERIOD_OVERRIDE=FQ","FILING_STATUS=MR","SCALING_FORMAT=MLN","Sort=A","Dates=H","DateFormat=P","Fill=—","Direction=H","UseDPDF=Y")</f>
        <v>90.522999999999996</v>
      </c>
      <c r="Q70" s="13" cm="1">
        <f t="array" ref="Q70">_xll.BDH("PH US Equity","BS_COMMON_STOCK","FQ3 2022","FQ3 2022","Currency=USD","Period=FQ","BEST_FPERIOD_OVERRIDE=FQ","FILING_STATUS=MR","SCALING_FORMAT=MLN","Sort=A","Dates=H","DateFormat=P","Fill=—","Direction=H","UseDPDF=Y")</f>
        <v>90.522999999999996</v>
      </c>
      <c r="R70" s="13" cm="1">
        <f t="array" ref="R70">_xll.BDH("PH US Equity","BS_COMMON_STOCK","FQ4 2022","FQ4 2022","Currency=USD","Period=FQ","BEST_FPERIOD_OVERRIDE=FQ","FILING_STATUS=MR","SCALING_FORMAT=MLN","Sort=A","Dates=H","DateFormat=P","Fill=—","Direction=H","UseDPDF=Y")</f>
        <v>90.522999999999996</v>
      </c>
      <c r="S70" s="13" cm="1">
        <f t="array" ref="S70">_xll.BDH("PH US Equity","BS_COMMON_STOCK","FQ1 2023","FQ1 2023","Currency=USD","Period=FQ","BEST_FPERIOD_OVERRIDE=FQ","FILING_STATUS=MR","SCALING_FORMAT=MLN","Sort=A","Dates=H","DateFormat=P","Fill=—","Direction=H","UseDPDF=Y")</f>
        <v>90.522999999999996</v>
      </c>
      <c r="T70" s="13" cm="1">
        <f t="array" ref="T70">_xll.BDH("PH US Equity","BS_COMMON_STOCK","FQ2 2023","FQ2 2023","Currency=USD","Period=FQ","BEST_FPERIOD_OVERRIDE=FQ","FILING_STATUS=MR","SCALING_FORMAT=MLN","Sort=A","Dates=H","DateFormat=P","Fill=—","Direction=H","UseDPDF=Y")</f>
        <v>90.522999999999996</v>
      </c>
      <c r="U70" s="13" cm="1">
        <f t="array" ref="U70">_xll.BDH("PH US Equity","BS_COMMON_STOCK","FQ3 2023","FQ3 2023","Currency=USD","Period=FQ","BEST_FPERIOD_OVERRIDE=FQ","FILING_STATUS=MR","SCALING_FORMAT=MLN","Sort=A","Dates=H","DateFormat=P","Fill=—","Direction=H","UseDPDF=Y")</f>
        <v>90.522999999999996</v>
      </c>
      <c r="V70" s="13" cm="1">
        <f t="array" ref="V70">_xll.BDH("PH US Equity","BS_COMMON_STOCK","FQ4 2023","FQ4 2023","Currency=USD","Period=FQ","BEST_FPERIOD_OVERRIDE=FQ","FILING_STATUS=MR","SCALING_FORMAT=MLN","Sort=A","Dates=H","DateFormat=P","Fill=—","Direction=H","UseDPDF=Y")</f>
        <v>90.522999999999996</v>
      </c>
      <c r="W70" s="13" cm="1">
        <f t="array" ref="W70">_xll.BDH("PH US Equity","BS_COMMON_STOCK","FQ1 2024","FQ1 2024","Currency=USD","Period=FQ","BEST_FPERIOD_OVERRIDE=FQ","FILING_STATUS=MR","SCALING_FORMAT=MLN","Sort=A","Dates=H","DateFormat=P","Fill=—","Direction=H","UseDPDF=Y")</f>
        <v>90.522999999999996</v>
      </c>
      <c r="X70" s="13" cm="1">
        <f t="array" ref="X70">_xll.BDH("PH US Equity","BS_COMMON_STOCK","FQ2 2024","FQ2 2024","Currency=USD","Period=FQ","BEST_FPERIOD_OVERRIDE=FQ","FILING_STATUS=MR","SCALING_FORMAT=MLN","Sort=A","Dates=H","DateFormat=P","Fill=—","Direction=H","UseDPDF=Y")</f>
        <v>90.522999999999996</v>
      </c>
      <c r="Y70" s="13" cm="1">
        <f t="array" ref="Y70">_xll.BDH("PH US Equity","BS_COMMON_STOCK","FQ3 2024","FQ3 2024","Currency=USD","Period=FQ","BEST_FPERIOD_OVERRIDE=FQ","FILING_STATUS=MR","SCALING_FORMAT=MLN","Sort=A","Dates=H","DateFormat=P","Fill=—","Direction=H","UseDPDF=Y")</f>
        <v>90.522999999999996</v>
      </c>
      <c r="Z70" s="13" cm="1">
        <f t="array" ref="Z70">_xll.BDH("PH US Equity","BS_COMMON_STOCK","FQ4 2024","FQ4 2024","Currency=USD","Period=FQ","BEST_FPERIOD_OVERRIDE=FQ","FILING_STATUS=MR","SCALING_FORMAT=MLN","Sort=A","Dates=H","DateFormat=P","Fill=—","Direction=H","UseDPDF=Y")</f>
        <v>90.522999999999996</v>
      </c>
      <c r="AA70" s="13" cm="1">
        <f t="array" ref="AA70">_xll.BDH("PH US Equity","BS_COMMON_STOCK","FQ1 2025","FQ1 2025","Currency=USD","Period=FQ","BEST_FPERIOD_OVERRIDE=FQ","FILING_STATUS=MR","SCALING_FORMAT=MLN","Sort=A","Dates=H","DateFormat=P","Fill=—","Direction=H","UseDPDF=Y")</f>
        <v>90.522999999999996</v>
      </c>
      <c r="AB70" s="13" cm="1">
        <f t="array" ref="AB70">_xll.BDH("PH US Equity","BS_COMMON_STOCK","FQ2 2025","FQ2 2025","Currency=USD","Period=FQ","BEST_FPERIOD_OVERRIDE=FQ","FILING_STATUS=MR","SCALING_FORMAT=MLN","Sort=A","Dates=H","DateFormat=P","Fill=—","Direction=H","UseDPDF=Y")</f>
        <v>90.522999999999996</v>
      </c>
      <c r="AC70" s="13" cm="1">
        <f t="array" ref="AC70">_xll.BDH("PH US Equity","BS_COMMON_STOCK","FQ3 2025","FQ3 2025","Currency=USD","Period=FQ","BEST_FPERIOD_OVERRIDE=FQ","FILING_STATUS=MR","SCALING_FORMAT=MLN","Sort=A","Dates=H","DateFormat=P","Fill=—","Direction=H","UseDPDF=Y")</f>
        <v>90.522999999999996</v>
      </c>
      <c r="AD70" s="13" cm="1">
        <f t="array" ref="AD70">_xll.BDH("PH US Equity","BS_COMMON_STOCK","FQ4 2025","FQ4 2025","Currency=USD","Period=FQ","BEST_FPERIOD_OVERRIDE=FQ","FILING_STATUS=MR","SCALING_FORMAT=MLN","Sort=A","Dates=H","DateFormat=P","Fill=—","Direction=H","UseDPDF=Y")</f>
        <v>91</v>
      </c>
      <c r="AE70" s="13" cm="1">
        <f t="array" ref="AE70">_xll.BDH("PH US Equity","BS_COMMON_STOCK","FQ1 2026","FQ1 2026","Currency=USD","Period=FQ","BEST_FPERIOD_OVERRIDE=FQ","FILING_STATUS=MR","SCALING_FORMAT=MLN","Sort=A","Dates=H","DateFormat=P","Fill=—","Direction=H","UseDPDF=Y")</f>
        <v>91</v>
      </c>
      <c r="AF70" s="13" cm="1">
        <f t="array" ref="AF70">_xll.BDH("PH US Equity","BS_COMMON_STOCK","FQ2 2026","FQ2 2026","Currency=USD","Period=FQ","BEST_FPERIOD_OVERRIDE=FQ","FILING_STATUS=MR","SCALING_FORMAT=MLN","Sort=A","Dates=H","DateFormat=P","Fill=—","Direction=H","UseDPDF=Y")</f>
        <v>91</v>
      </c>
    </row>
    <row r="71" spans="1:32" x14ac:dyDescent="0.25">
      <c r="A71" s="10" t="s">
        <v>187</v>
      </c>
      <c r="B71" s="10" t="s">
        <v>188</v>
      </c>
      <c r="C71" s="13" cm="1">
        <f t="array" ref="C71">_xll.BDH("PH US Equity","BS_ADD_PAID_IN_CAP","FQ1 2019","FQ1 2019","Currency=USD","Period=FQ","BEST_FPERIOD_OVERRIDE=FQ","FILING_STATUS=MR","SCALING_FORMAT=MLN","Sort=A","Dates=H","DateFormat=P","Fill=—","Direction=H","UseDPDF=Y")</f>
        <v>503.05200000000002</v>
      </c>
      <c r="D71" s="13" cm="1">
        <f t="array" ref="D71">_xll.BDH("PH US Equity","BS_ADD_PAID_IN_CAP","FQ2 2019","FQ2 2019","Currency=USD","Period=FQ","BEST_FPERIOD_OVERRIDE=FQ","FILING_STATUS=MR","SCALING_FORMAT=MLN","Sort=A","Dates=H","DateFormat=P","Fill=—","Direction=H","UseDPDF=Y")</f>
        <v>521.85400000000004</v>
      </c>
      <c r="E71" s="13" cm="1">
        <f t="array" ref="E71">_xll.BDH("PH US Equity","BS_ADD_PAID_IN_CAP","FQ3 2019","FQ3 2019","Currency=USD","Period=FQ","BEST_FPERIOD_OVERRIDE=FQ","FILING_STATUS=MR","SCALING_FORMAT=MLN","Sort=A","Dates=H","DateFormat=P","Fill=—","Direction=H","UseDPDF=Y")</f>
        <v>529.14300000000003</v>
      </c>
      <c r="F71" s="13" cm="1">
        <f t="array" ref="F71">_xll.BDH("PH US Equity","BS_ADD_PAID_IN_CAP","FQ4 2019","FQ4 2019","Currency=USD","Period=FQ","BEST_FPERIOD_OVERRIDE=FQ","FILING_STATUS=MR","SCALING_FORMAT=MLN","Sort=A","Dates=H","DateFormat=P","Fill=—","Direction=H","UseDPDF=Y")</f>
        <v>462.08600000000001</v>
      </c>
      <c r="G71" s="13" cm="1">
        <f t="array" ref="G71">_xll.BDH("PH US Equity","BS_ADD_PAID_IN_CAP","FQ1 2020","FQ1 2020","Currency=USD","Period=FQ","BEST_FPERIOD_OVERRIDE=FQ","FILING_STATUS=MR","SCALING_FORMAT=MLN","Sort=A","Dates=H","DateFormat=P","Fill=—","Direction=H","UseDPDF=Y")</f>
        <v>464.44</v>
      </c>
      <c r="H71" s="13" cm="1">
        <f t="array" ref="H71">_xll.BDH("PH US Equity","BS_ADD_PAID_IN_CAP","FQ2 2020","FQ2 2020","Currency=USD","Period=FQ","BEST_FPERIOD_OVERRIDE=FQ","FILING_STATUS=MR","SCALING_FORMAT=MLN","Sort=A","Dates=H","DateFormat=P","Fill=—","Direction=H","UseDPDF=Y")</f>
        <v>455.86200000000002</v>
      </c>
      <c r="I71" s="13" cm="1">
        <f t="array" ref="I71">_xll.BDH("PH US Equity","BS_ADD_PAID_IN_CAP","FQ3 2020","FQ3 2020","Currency=USD","Period=FQ","BEST_FPERIOD_OVERRIDE=FQ","FILING_STATUS=MR","SCALING_FORMAT=MLN","Sort=A","Dates=H","DateFormat=P","Fill=—","Direction=H","UseDPDF=Y")</f>
        <v>452.15699999999998</v>
      </c>
      <c r="J71" s="13" cm="1">
        <f t="array" ref="J71">_xll.BDH("PH US Equity","BS_ADD_PAID_IN_CAP","FQ4 2020","FQ4 2020","Currency=USD","Period=FQ","BEST_FPERIOD_OVERRIDE=FQ","FILING_STATUS=MR","SCALING_FORMAT=MLN","Sort=A","Dates=H","DateFormat=P","Fill=—","Direction=H","UseDPDF=Y")</f>
        <v>416.58499999999998</v>
      </c>
      <c r="K71" s="13" cm="1">
        <f t="array" ref="K71">_xll.BDH("PH US Equity","BS_ADD_PAID_IN_CAP","FQ1 2021","FQ1 2021","Currency=USD","Period=FQ","BEST_FPERIOD_OVERRIDE=FQ","FILING_STATUS=MR","SCALING_FORMAT=MLN","Sort=A","Dates=H","DateFormat=P","Fill=—","Direction=H","UseDPDF=Y")</f>
        <v>428.32900000000001</v>
      </c>
      <c r="L71" s="13" cm="1">
        <f t="array" ref="L71">_xll.BDH("PH US Equity","BS_ADD_PAID_IN_CAP","FQ2 2021","FQ2 2021","Currency=USD","Period=FQ","BEST_FPERIOD_OVERRIDE=FQ","FILING_STATUS=MR","SCALING_FORMAT=MLN","Sort=A","Dates=H","DateFormat=P","Fill=—","Direction=H","UseDPDF=Y")</f>
        <v>385.04899999999998</v>
      </c>
      <c r="M71" s="13" cm="1">
        <f t="array" ref="M71">_xll.BDH("PH US Equity","BS_ADD_PAID_IN_CAP","FQ3 2021","FQ3 2021","Currency=USD","Period=FQ","BEST_FPERIOD_OVERRIDE=FQ","FILING_STATUS=MR","SCALING_FORMAT=MLN","Sort=A","Dates=H","DateFormat=P","Fill=—","Direction=H","UseDPDF=Y")</f>
        <v>374.49700000000001</v>
      </c>
      <c r="N71" s="13" cm="1">
        <f t="array" ref="N71">_xll.BDH("PH US Equity","BS_ADD_PAID_IN_CAP","FQ4 2021","FQ4 2021","Currency=USD","Period=FQ","BEST_FPERIOD_OVERRIDE=FQ","FILING_STATUS=MR","SCALING_FORMAT=MLN","Sort=A","Dates=H","DateFormat=P","Fill=—","Direction=H","UseDPDF=Y")</f>
        <v>329.61900000000003</v>
      </c>
      <c r="O71" s="13" cm="1">
        <f t="array" ref="O71">_xll.BDH("PH US Equity","BS_ADD_PAID_IN_CAP","FQ1 2022","FQ1 2022","Currency=USD","Period=FQ","BEST_FPERIOD_OVERRIDE=FQ","FILING_STATUS=MR","SCALING_FORMAT=MLN","Sort=A","Dates=H","DateFormat=P","Fill=—","Direction=H","UseDPDF=Y")</f>
        <v>358.67700000000002</v>
      </c>
      <c r="P71" s="13" cm="1">
        <f t="array" ref="P71">_xll.BDH("PH US Equity","BS_ADD_PAID_IN_CAP","FQ2 2022","FQ2 2022","Currency=USD","Period=FQ","BEST_FPERIOD_OVERRIDE=FQ","FILING_STATUS=MR","SCALING_FORMAT=MLN","Sort=A","Dates=H","DateFormat=P","Fill=—","Direction=H","UseDPDF=Y")</f>
        <v>344.31200000000001</v>
      </c>
      <c r="Q71" s="13" cm="1">
        <f t="array" ref="Q71">_xll.BDH("PH US Equity","BS_ADD_PAID_IN_CAP","FQ3 2022","FQ3 2022","Currency=USD","Period=FQ","BEST_FPERIOD_OVERRIDE=FQ","FILING_STATUS=MR","SCALING_FORMAT=MLN","Sort=A","Dates=H","DateFormat=P","Fill=—","Direction=H","UseDPDF=Y")</f>
        <v>363.36700000000002</v>
      </c>
      <c r="R71" s="13" cm="1">
        <f t="array" ref="R71">_xll.BDH("PH US Equity","BS_ADD_PAID_IN_CAP","FQ4 2022","FQ4 2022","Currency=USD","Period=FQ","BEST_FPERIOD_OVERRIDE=FQ","FILING_STATUS=MR","SCALING_FORMAT=MLN","Sort=A","Dates=H","DateFormat=P","Fill=—","Direction=H","UseDPDF=Y")</f>
        <v>327.30700000000002</v>
      </c>
      <c r="S71" s="13" cm="1">
        <f t="array" ref="S71">_xll.BDH("PH US Equity","BS_ADD_PAID_IN_CAP","FQ1 2023","FQ1 2023","Currency=USD","Period=FQ","BEST_FPERIOD_OVERRIDE=FQ","FILING_STATUS=MR","SCALING_FORMAT=MLN","Sort=A","Dates=H","DateFormat=P","Fill=—","Direction=H","UseDPDF=Y")</f>
        <v>360.44299999999998</v>
      </c>
      <c r="T71" s="13" cm="1">
        <f t="array" ref="T71">_xll.BDH("PH US Equity","BS_ADD_PAID_IN_CAP","FQ2 2023","FQ2 2023","Currency=USD","Period=FQ","BEST_FPERIOD_OVERRIDE=FQ","FILING_STATUS=MR","SCALING_FORMAT=MLN","Sort=A","Dates=H","DateFormat=P","Fill=—","Direction=H","UseDPDF=Y")</f>
        <v>377.87099999999998</v>
      </c>
      <c r="U71" s="13" cm="1">
        <f t="array" ref="U71">_xll.BDH("PH US Equity","BS_ADD_PAID_IN_CAP","FQ3 2023","FQ3 2023","Currency=USD","Period=FQ","BEST_FPERIOD_OVERRIDE=FQ","FILING_STATUS=MR","SCALING_FORMAT=MLN","Sort=A","Dates=H","DateFormat=P","Fill=—","Direction=H","UseDPDF=Y")</f>
        <v>355.75400000000002</v>
      </c>
      <c r="V71" s="13" cm="1">
        <f t="array" ref="V71">_xll.BDH("PH US Equity","BS_ADD_PAID_IN_CAP","FQ4 2023","FQ4 2023","Currency=USD","Period=FQ","BEST_FPERIOD_OVERRIDE=FQ","FILING_STATUS=MR","SCALING_FORMAT=MLN","Sort=A","Dates=H","DateFormat=P","Fill=—","Direction=H","UseDPDF=Y")</f>
        <v>305.52199999999999</v>
      </c>
      <c r="W71" s="13" cm="1">
        <f t="array" ref="W71">_xll.BDH("PH US Equity","BS_ADD_PAID_IN_CAP","FQ1 2024","FQ1 2024","Currency=USD","Period=FQ","BEST_FPERIOD_OVERRIDE=FQ","FILING_STATUS=MR","SCALING_FORMAT=MLN","Sort=A","Dates=H","DateFormat=P","Fill=—","Direction=H","UseDPDF=Y")</f>
        <v>337.16199999999998</v>
      </c>
      <c r="X71" s="13" cm="1">
        <f t="array" ref="X71">_xll.BDH("PH US Equity","BS_ADD_PAID_IN_CAP","FQ2 2024","FQ2 2024","Currency=USD","Period=FQ","BEST_FPERIOD_OVERRIDE=FQ","FILING_STATUS=MR","SCALING_FORMAT=MLN","Sort=A","Dates=H","DateFormat=P","Fill=—","Direction=H","UseDPDF=Y")</f>
        <v>352.81700000000001</v>
      </c>
      <c r="Y71" s="13" cm="1">
        <f t="array" ref="Y71">_xll.BDH("PH US Equity","BS_ADD_PAID_IN_CAP","FQ3 2024","FQ3 2024","Currency=USD","Period=FQ","BEST_FPERIOD_OVERRIDE=FQ","FILING_STATUS=MR","SCALING_FORMAT=MLN","Sort=A","Dates=H","DateFormat=P","Fill=—","Direction=H","UseDPDF=Y")</f>
        <v>295.73</v>
      </c>
      <c r="Z71" s="13" cm="1">
        <f t="array" ref="Z71">_xll.BDH("PH US Equity","BS_ADD_PAID_IN_CAP","FQ4 2024","FQ4 2024","Currency=USD","Period=FQ","BEST_FPERIOD_OVERRIDE=FQ","FILING_STATUS=MR","SCALING_FORMAT=MLN","Sort=A","Dates=H","DateFormat=P","Fill=—","Direction=H","UseDPDF=Y")</f>
        <v>264.50799999999998</v>
      </c>
      <c r="AA71" s="13" cm="1">
        <f t="array" ref="AA71">_xll.BDH("PH US Equity","BS_ADD_PAID_IN_CAP","FQ1 2025","FQ1 2025","Currency=USD","Period=FQ","BEST_FPERIOD_OVERRIDE=FQ","FILING_STATUS=MR","SCALING_FORMAT=MLN","Sort=A","Dates=H","DateFormat=P","Fill=—","Direction=H","UseDPDF=Y")</f>
        <v>275.01900000000001</v>
      </c>
      <c r="AB71" s="13" cm="1">
        <f t="array" ref="AB71">_xll.BDH("PH US Equity","BS_ADD_PAID_IN_CAP","FQ2 2025","FQ2 2025","Currency=USD","Period=FQ","BEST_FPERIOD_OVERRIDE=FQ","FILING_STATUS=MR","SCALING_FORMAT=MLN","Sort=A","Dates=H","DateFormat=P","Fill=—","Direction=H","UseDPDF=Y")</f>
        <v>244.191</v>
      </c>
      <c r="AC71" s="13" cm="1">
        <f t="array" ref="AC71">_xll.BDH("PH US Equity","BS_ADD_PAID_IN_CAP","FQ3 2025","FQ3 2025","Currency=USD","Period=FQ","BEST_FPERIOD_OVERRIDE=FQ","FILING_STATUS=MR","SCALING_FORMAT=MLN","Sort=A","Dates=H","DateFormat=P","Fill=—","Direction=H","UseDPDF=Y")</f>
        <v>243.65799999999999</v>
      </c>
      <c r="AD71" s="13" cm="1">
        <f t="array" ref="AD71">_xll.BDH("PH US Equity","BS_ADD_PAID_IN_CAP","FQ4 2025","FQ4 2025","Currency=USD","Period=FQ","BEST_FPERIOD_OVERRIDE=FQ","FILING_STATUS=MR","SCALING_FORMAT=MLN","Sort=A","Dates=H","DateFormat=P","Fill=—","Direction=H","UseDPDF=Y")</f>
        <v>194</v>
      </c>
      <c r="AE71" s="13" cm="1">
        <f t="array" ref="AE71">_xll.BDH("PH US Equity","BS_ADD_PAID_IN_CAP","FQ1 2026","FQ1 2026","Currency=USD","Period=FQ","BEST_FPERIOD_OVERRIDE=FQ","FILING_STATUS=MR","SCALING_FORMAT=MLN","Sort=A","Dates=H","DateFormat=P","Fill=—","Direction=H","UseDPDF=Y")</f>
        <v>823</v>
      </c>
      <c r="AF71" s="13" cm="1">
        <f t="array" ref="AF71">_xll.BDH("PH US Equity","BS_ADD_PAID_IN_CAP","FQ2 2026","FQ2 2026","Currency=USD","Period=FQ","BEST_FPERIOD_OVERRIDE=FQ","FILING_STATUS=MR","SCALING_FORMAT=MLN","Sort=A","Dates=H","DateFormat=P","Fill=—","Direction=H","UseDPDF=Y")</f>
        <v>822</v>
      </c>
    </row>
    <row r="72" spans="1:32" x14ac:dyDescent="0.25">
      <c r="A72" s="10" t="s">
        <v>189</v>
      </c>
      <c r="B72" s="10" t="s">
        <v>190</v>
      </c>
      <c r="C72" s="13" cm="1">
        <f t="array" ref="C72">_xll.BDH("PH US Equity","BS_AMT_OF_TSY_STOCK","FQ1 2019","FQ1 2019","Currency=USD","Period=FQ","BEST_FPERIOD_OVERRIDE=FQ","FILING_STATUS=MR","SCALING_FORMAT=MLN","Sort=A","Dates=H","DateFormat=P","Fill=—","Direction=H","UseDPDF=Y")</f>
        <v>4618.5119999999997</v>
      </c>
      <c r="D72" s="13" cm="1">
        <f t="array" ref="D72">_xll.BDH("PH US Equity","BS_AMT_OF_TSY_STOCK","FQ2 2019","FQ2 2019","Currency=USD","Period=FQ","BEST_FPERIOD_OVERRIDE=FQ","FILING_STATUS=MR","SCALING_FORMAT=MLN","Sort=A","Dates=H","DateFormat=P","Fill=—","Direction=H","UseDPDF=Y")</f>
        <v>5116.1189999999997</v>
      </c>
      <c r="E72" s="13" cm="1">
        <f t="array" ref="E72">_xll.BDH("PH US Equity","BS_AMT_OF_TSY_STOCK","FQ3 2019","FQ3 2019","Currency=USD","Period=FQ","BEST_FPERIOD_OVERRIDE=FQ","FILING_STATUS=MR","SCALING_FORMAT=MLN","Sort=A","Dates=H","DateFormat=P","Fill=—","Direction=H","UseDPDF=Y")</f>
        <v>5307.9849999999997</v>
      </c>
      <c r="F72" s="13" cm="1">
        <f t="array" ref="F72">_xll.BDH("PH US Equity","BS_AMT_OF_TSY_STOCK","FQ4 2019","FQ4 2019","Currency=USD","Period=FQ","BEST_FPERIOD_OVERRIDE=FQ","FILING_STATUS=MR","SCALING_FORMAT=MLN","Sort=A","Dates=H","DateFormat=P","Fill=—","Direction=H","UseDPDF=Y")</f>
        <v>5309.13</v>
      </c>
      <c r="G72" s="13" cm="1">
        <f t="array" ref="G72">_xll.BDH("PH US Equity","BS_AMT_OF_TSY_STOCK","FQ1 2020","FQ1 2020","Currency=USD","Period=FQ","BEST_FPERIOD_OVERRIDE=FQ","FILING_STATUS=MR","SCALING_FORMAT=MLN","Sort=A","Dates=H","DateFormat=P","Fill=—","Direction=H","UseDPDF=Y")</f>
        <v>5330.8370000000004</v>
      </c>
      <c r="H72" s="13" cm="1">
        <f t="array" ref="H72">_xll.BDH("PH US Equity","BS_AMT_OF_TSY_STOCK","FQ2 2020","FQ2 2020","Currency=USD","Period=FQ","BEST_FPERIOD_OVERRIDE=FQ","FILING_STATUS=MR","SCALING_FORMAT=MLN","Sort=A","Dates=H","DateFormat=P","Fill=—","Direction=H","UseDPDF=Y")</f>
        <v>5364.73</v>
      </c>
      <c r="I72" s="13" cm="1">
        <f t="array" ref="I72">_xll.BDH("PH US Equity","BS_AMT_OF_TSY_STOCK","FQ3 2020","FQ3 2020","Currency=USD","Period=FQ","BEST_FPERIOD_OVERRIDE=FQ","FILING_STATUS=MR","SCALING_FORMAT=MLN","Sort=A","Dates=H","DateFormat=P","Fill=—","Direction=H","UseDPDF=Y")</f>
        <v>5399.5190000000002</v>
      </c>
      <c r="J72" s="13" cm="1">
        <f t="array" ref="J72">_xll.BDH("PH US Equity","BS_AMT_OF_TSY_STOCK","FQ4 2020","FQ4 2020","Currency=USD","Period=FQ","BEST_FPERIOD_OVERRIDE=FQ","FILING_STATUS=MR","SCALING_FORMAT=MLN","Sort=A","Dates=H","DateFormat=P","Fill=—","Direction=H","UseDPDF=Y")</f>
        <v>5364.9160000000002</v>
      </c>
      <c r="K72" s="13" cm="1">
        <f t="array" ref="K72">_xll.BDH("PH US Equity","BS_AMT_OF_TSY_STOCK","FQ1 2021","FQ1 2021","Currency=USD","Period=FQ","BEST_FPERIOD_OVERRIDE=FQ","FILING_STATUS=MR","SCALING_FORMAT=MLN","Sort=A","Dates=H","DateFormat=P","Fill=—","Direction=H","UseDPDF=Y")</f>
        <v>5339.9489999999996</v>
      </c>
      <c r="L72" s="13" cm="1">
        <f t="array" ref="L72">_xll.BDH("PH US Equity","BS_AMT_OF_TSY_STOCK","FQ2 2021","FQ2 2021","Currency=USD","Period=FQ","BEST_FPERIOD_OVERRIDE=FQ","FILING_STATUS=MR","SCALING_FORMAT=MLN","Sort=A","Dates=H","DateFormat=P","Fill=—","Direction=H","UseDPDF=Y")</f>
        <v>5311.2359999999999</v>
      </c>
      <c r="M72" s="13" cm="1">
        <f t="array" ref="M72">_xll.BDH("PH US Equity","BS_AMT_OF_TSY_STOCK","FQ3 2021","FQ3 2021","Currency=USD","Period=FQ","BEST_FPERIOD_OVERRIDE=FQ","FILING_STATUS=MR","SCALING_FORMAT=MLN","Sort=A","Dates=H","DateFormat=P","Fill=—","Direction=H","UseDPDF=Y")</f>
        <v>5346.44</v>
      </c>
      <c r="N72" s="13" cm="1">
        <f t="array" ref="N72">_xll.BDH("PH US Equity","BS_AMT_OF_TSY_STOCK","FQ4 2021","FQ4 2021","Currency=USD","Period=FQ","BEST_FPERIOD_OVERRIDE=FQ","FILING_STATUS=MR","SCALING_FORMAT=MLN","Sort=A","Dates=H","DateFormat=P","Fill=—","Direction=H","UseDPDF=Y")</f>
        <v>5370.6049999999996</v>
      </c>
      <c r="O72" s="13" cm="1">
        <f t="array" ref="O72">_xll.BDH("PH US Equity","BS_AMT_OF_TSY_STOCK","FQ1 2022","FQ1 2022","Currency=USD","Period=FQ","BEST_FPERIOD_OVERRIDE=FQ","FILING_STATUS=MR","SCALING_FORMAT=MLN","Sort=A","Dates=H","DateFormat=P","Fill=—","Direction=H","UseDPDF=Y")</f>
        <v>5586.7280000000001</v>
      </c>
      <c r="P72" s="13" cm="1">
        <f t="array" ref="P72">_xll.BDH("PH US Equity","BS_AMT_OF_TSY_STOCK","FQ2 2022","FQ2 2022","Currency=USD","Period=FQ","BEST_FPERIOD_OVERRIDE=FQ","FILING_STATUS=MR","SCALING_FORMAT=MLN","Sort=A","Dates=H","DateFormat=P","Fill=—","Direction=H","UseDPDF=Y")</f>
        <v>5623.424</v>
      </c>
      <c r="Q72" s="13" cm="1">
        <f t="array" ref="Q72">_xll.BDH("PH US Equity","BS_AMT_OF_TSY_STOCK","FQ3 2022","FQ3 2022","Currency=USD","Period=FQ","BEST_FPERIOD_OVERRIDE=FQ","FILING_STATUS=MR","SCALING_FORMAT=MLN","Sort=A","Dates=H","DateFormat=P","Fill=—","Direction=H","UseDPDF=Y")</f>
        <v>5667.0020000000004</v>
      </c>
      <c r="R72" s="13" cm="1">
        <f t="array" ref="R72">_xll.BDH("PH US Equity","BS_AMT_OF_TSY_STOCK","FQ4 2022","FQ4 2022","Currency=USD","Period=FQ","BEST_FPERIOD_OVERRIDE=FQ","FILING_STATUS=MR","SCALING_FORMAT=MLN","Sort=A","Dates=H","DateFormat=P","Fill=—","Direction=H","UseDPDF=Y")</f>
        <v>5688.4290000000001</v>
      </c>
      <c r="S72" s="13" cm="1">
        <f t="array" ref="S72">_xll.BDH("PH US Equity","BS_AMT_OF_TSY_STOCK","FQ1 2023","FQ1 2023","Currency=USD","Period=FQ","BEST_FPERIOD_OVERRIDE=FQ","FILING_STATUS=MR","SCALING_FORMAT=MLN","Sort=A","Dates=H","DateFormat=P","Fill=—","Direction=H","UseDPDF=Y")</f>
        <v>5723.23</v>
      </c>
      <c r="T72" s="13" cm="1">
        <f t="array" ref="T72">_xll.BDH("PH US Equity","BS_AMT_OF_TSY_STOCK","FQ2 2023","FQ2 2023","Currency=USD","Period=FQ","BEST_FPERIOD_OVERRIDE=FQ","FILING_STATUS=MR","SCALING_FORMAT=MLN","Sort=A","Dates=H","DateFormat=P","Fill=—","Direction=H","UseDPDF=Y")</f>
        <v>5769.2280000000001</v>
      </c>
      <c r="U72" s="13" cm="1">
        <f t="array" ref="U72">_xll.BDH("PH US Equity","BS_AMT_OF_TSY_STOCK","FQ3 2023","FQ3 2023","Currency=USD","Period=FQ","BEST_FPERIOD_OVERRIDE=FQ","FILING_STATUS=MR","SCALING_FORMAT=MLN","Sort=A","Dates=H","DateFormat=P","Fill=—","Direction=H","UseDPDF=Y")</f>
        <v>5799.2520000000004</v>
      </c>
      <c r="V72" s="13" cm="1">
        <f t="array" ref="V72">_xll.BDH("PH US Equity","BS_AMT_OF_TSY_STOCK","FQ4 2023","FQ4 2023","Currency=USD","Period=FQ","BEST_FPERIOD_OVERRIDE=FQ","FILING_STATUS=MR","SCALING_FORMAT=MLN","Sort=A","Dates=H","DateFormat=P","Fill=—","Direction=H","UseDPDF=Y")</f>
        <v>5817.7870000000003</v>
      </c>
      <c r="W72" s="13" cm="1">
        <f t="array" ref="W72">_xll.BDH("PH US Equity","BS_AMT_OF_TSY_STOCK","FQ1 2024","FQ1 2024","Currency=USD","Period=FQ","BEST_FPERIOD_OVERRIDE=FQ","FILING_STATUS=MR","SCALING_FORMAT=MLN","Sort=A","Dates=H","DateFormat=P","Fill=—","Direction=H","UseDPDF=Y")</f>
        <v>5849.2650000000003</v>
      </c>
      <c r="X72" s="13" cm="1">
        <f t="array" ref="X72">_xll.BDH("PH US Equity","BS_AMT_OF_TSY_STOCK","FQ2 2024","FQ2 2024","Currency=USD","Period=FQ","BEST_FPERIOD_OVERRIDE=FQ","FILING_STATUS=MR","SCALING_FORMAT=MLN","Sort=A","Dates=H","DateFormat=P","Fill=—","Direction=H","UseDPDF=Y")</f>
        <v>5892.9989999999998</v>
      </c>
      <c r="Y72" s="13" cm="1">
        <f t="array" ref="Y72">_xll.BDH("PH US Equity","BS_AMT_OF_TSY_STOCK","FQ3 2024","FQ3 2024","Currency=USD","Period=FQ","BEST_FPERIOD_OVERRIDE=FQ","FILING_STATUS=MR","SCALING_FORMAT=MLN","Sort=A","Dates=H","DateFormat=P","Fill=—","Direction=H","UseDPDF=Y")</f>
        <v>5916.5860000000002</v>
      </c>
      <c r="Z72" s="13" cm="1">
        <f t="array" ref="Z72">_xll.BDH("PH US Equity","BS_AMT_OF_TSY_STOCK","FQ4 2024","FQ4 2024","Currency=USD","Period=FQ","BEST_FPERIOD_OVERRIDE=FQ","FILING_STATUS=MR","SCALING_FORMAT=MLN","Sort=A","Dates=H","DateFormat=P","Fill=—","Direction=H","UseDPDF=Y")</f>
        <v>5949.6459999999997</v>
      </c>
      <c r="AA72" s="13" cm="1">
        <f t="array" ref="AA72">_xll.BDH("PH US Equity","BS_AMT_OF_TSY_STOCK","FQ1 2025","FQ1 2025","Currency=USD","Period=FQ","BEST_FPERIOD_OVERRIDE=FQ","FILING_STATUS=MR","SCALING_FORMAT=MLN","Sort=A","Dates=H","DateFormat=P","Fill=—","Direction=H","UseDPDF=Y")</f>
        <v>5976.2889999999998</v>
      </c>
      <c r="AB72" s="13" cm="1">
        <f t="array" ref="AB72">_xll.BDH("PH US Equity","BS_AMT_OF_TSY_STOCK","FQ2 2025","FQ2 2025","Currency=USD","Period=FQ","BEST_FPERIOD_OVERRIDE=FQ","FILING_STATUS=MR","SCALING_FORMAT=MLN","Sort=A","Dates=H","DateFormat=P","Fill=—","Direction=H","UseDPDF=Y")</f>
        <v>6012.5320000000002</v>
      </c>
      <c r="AC72" s="13" cm="1">
        <f t="array" ref="AC72">_xll.BDH("PH US Equity","BS_AMT_OF_TSY_STOCK","FQ3 2025","FQ3 2025","Currency=USD","Period=FQ","BEST_FPERIOD_OVERRIDE=FQ","FILING_STATUS=MR","SCALING_FORMAT=MLN","Sort=A","Dates=H","DateFormat=P","Fill=—","Direction=H","UseDPDF=Y")</f>
        <v>6661.0820000000003</v>
      </c>
      <c r="AD72" s="13" cm="1">
        <f t="array" ref="AD72">_xll.BDH("PH US Equity","BS_AMT_OF_TSY_STOCK","FQ4 2025","FQ4 2025","Currency=USD","Period=FQ","BEST_FPERIOD_OVERRIDE=FQ","FILING_STATUS=MR","SCALING_FORMAT=MLN","Sort=A","Dates=H","DateFormat=P","Fill=—","Direction=H","UseDPDF=Y")</f>
        <v>7495</v>
      </c>
      <c r="AE72" s="13" cm="1">
        <f t="array" ref="AE72">_xll.BDH("PH US Equity","BS_AMT_OF_TSY_STOCK","FQ1 2026","FQ1 2026","Currency=USD","Period=FQ","BEST_FPERIOD_OVERRIDE=FQ","FILING_STATUS=MR","SCALING_FORMAT=MLN","Sort=A","Dates=H","DateFormat=P","Fill=—","Direction=H","UseDPDF=Y")</f>
        <v>8568</v>
      </c>
      <c r="AF72" s="13" cm="1">
        <f t="array" ref="AF72">_xll.BDH("PH US Equity","BS_AMT_OF_TSY_STOCK","FQ2 2026","FQ2 2026","Currency=USD","Period=FQ","BEST_FPERIOD_OVERRIDE=FQ","FILING_STATUS=MR","SCALING_FORMAT=MLN","Sort=A","Dates=H","DateFormat=P","Fill=—","Direction=H","UseDPDF=Y")</f>
        <v>8671</v>
      </c>
    </row>
    <row r="73" spans="1:32" x14ac:dyDescent="0.25">
      <c r="A73" s="10" t="s">
        <v>191</v>
      </c>
      <c r="B73" s="10" t="s">
        <v>192</v>
      </c>
      <c r="C73" s="13" cm="1">
        <f t="array" ref="C73">_xll.BDH("PH US Equity","BS_PURE_RETAINED_EARNINGS","FQ1 2019","FQ1 2019","Currency=USD","Period=FQ","BEST_FPERIOD_OVERRIDE=FQ","FILING_STATUS=MR","SCALING_FORMAT=MLN","Sort=A","Dates=H","DateFormat=P","Fill=—","Direction=H","UseDPDF=Y")</f>
        <v>11902.3</v>
      </c>
      <c r="D73" s="13" cm="1">
        <f t="array" ref="D73">_xll.BDH("PH US Equity","BS_PURE_RETAINED_EARNINGS","FQ2 2019","FQ2 2019","Currency=USD","Period=FQ","BEST_FPERIOD_OVERRIDE=FQ","FILING_STATUS=MR","SCALING_FORMAT=MLN","Sort=A","Dates=H","DateFormat=P","Fill=—","Direction=H","UseDPDF=Y")</f>
        <v>12114.448</v>
      </c>
      <c r="E73" s="13" cm="1">
        <f t="array" ref="E73">_xll.BDH("PH US Equity","BS_PURE_RETAINED_EARNINGS","FQ3 2019","FQ3 2019","Currency=USD","Period=FQ","BEST_FPERIOD_OVERRIDE=FQ","FILING_STATUS=MR","SCALING_FORMAT=MLN","Sort=A","Dates=H","DateFormat=P","Fill=—","Direction=H","UseDPDF=Y")</f>
        <v>12427.212</v>
      </c>
      <c r="F73" s="13" cm="1">
        <f t="array" ref="F73">_xll.BDH("PH US Equity","BS_PURE_RETAINED_EARNINGS","FQ4 2019","FQ4 2019","Currency=USD","Period=FQ","BEST_FPERIOD_OVERRIDE=FQ","FILING_STATUS=MR","SCALING_FORMAT=MLN","Sort=A","Dates=H","DateFormat=P","Fill=—","Direction=H","UseDPDF=Y")</f>
        <v>12777.538</v>
      </c>
      <c r="G73" s="13" cm="1">
        <f t="array" ref="G73">_xll.BDH("PH US Equity","BS_PURE_RETAINED_EARNINGS","FQ1 2020","FQ1 2020","Currency=USD","Period=FQ","BEST_FPERIOD_OVERRIDE=FQ","FILING_STATUS=MR","SCALING_FORMAT=MLN","Sort=A","Dates=H","DateFormat=P","Fill=—","Direction=H","UseDPDF=Y")</f>
        <v>13003.084000000001</v>
      </c>
      <c r="H73" s="13" cm="1">
        <f t="array" ref="H73">_xll.BDH("PH US Equity","BS_PURE_RETAINED_EARNINGS","FQ2 2020","FQ2 2020","Currency=USD","Period=FQ","BEST_FPERIOD_OVERRIDE=FQ","FILING_STATUS=MR","SCALING_FORMAT=MLN","Sort=A","Dates=H","DateFormat=P","Fill=—","Direction=H","UseDPDF=Y")</f>
        <v>13094.252</v>
      </c>
      <c r="I73" s="13" cm="1">
        <f t="array" ref="I73">_xll.BDH("PH US Equity","BS_PURE_RETAINED_EARNINGS","FQ3 2020","FQ3 2020","Currency=USD","Period=FQ","BEST_FPERIOD_OVERRIDE=FQ","FILING_STATUS=MR","SCALING_FORMAT=MLN","Sort=A","Dates=H","DateFormat=P","Fill=—","Direction=H","UseDPDF=Y")</f>
        <v>13348.290999999999</v>
      </c>
      <c r="J73" s="13" cm="1">
        <f t="array" ref="J73">_xll.BDH("PH US Equity","BS_PURE_RETAINED_EARNINGS","FQ4 2020","FQ4 2020","Currency=USD","Period=FQ","BEST_FPERIOD_OVERRIDE=FQ","FILING_STATUS=MR","SCALING_FORMAT=MLN","Sort=A","Dates=H","DateFormat=P","Fill=—","Direction=H","UseDPDF=Y")</f>
        <v>13643.906999999999</v>
      </c>
      <c r="K73" s="13" cm="1">
        <f t="array" ref="K73">_xll.BDH("PH US Equity","BS_PURE_RETAINED_EARNINGS","FQ1 2021","FQ1 2021","Currency=USD","Period=FQ","BEST_FPERIOD_OVERRIDE=FQ","FILING_STATUS=MR","SCALING_FORMAT=MLN","Sort=A","Dates=H","DateFormat=P","Fill=—","Direction=H","UseDPDF=Y")</f>
        <v>13738.532999999999</v>
      </c>
      <c r="L73" s="13" cm="1">
        <f t="array" ref="L73">_xll.BDH("PH US Equity","BS_PURE_RETAINED_EARNINGS","FQ2 2021","FQ2 2021","Currency=USD","Period=FQ","BEST_FPERIOD_OVERRIDE=FQ","FILING_STATUS=MR","SCALING_FORMAT=MLN","Sort=A","Dates=H","DateFormat=P","Fill=—","Direction=H","UseDPDF=Y")</f>
        <v>14072.152</v>
      </c>
      <c r="M73" s="13" cm="1">
        <f t="array" ref="M73">_xll.BDH("PH US Equity","BS_PURE_RETAINED_EARNINGS","FQ3 2021","FQ3 2021","Currency=USD","Period=FQ","BEST_FPERIOD_OVERRIDE=FQ","FILING_STATUS=MR","SCALING_FORMAT=MLN","Sort=A","Dates=H","DateFormat=P","Fill=—","Direction=H","UseDPDF=Y")</f>
        <v>14429.912</v>
      </c>
      <c r="N73" s="13" cm="1">
        <f t="array" ref="N73">_xll.BDH("PH US Equity","BS_PURE_RETAINED_EARNINGS","FQ4 2021","FQ4 2021","Currency=USD","Period=FQ","BEST_FPERIOD_OVERRIDE=FQ","FILING_STATUS=MR","SCALING_FORMAT=MLN","Sort=A","Dates=H","DateFormat=P","Fill=—","Direction=H","UseDPDF=Y")</f>
        <v>14915.496999999999</v>
      </c>
      <c r="O73" s="13" cm="1">
        <f t="array" ref="O73">_xll.BDH("PH US Equity","BS_PURE_RETAINED_EARNINGS","FQ1 2022","FQ1 2022","Currency=USD","Period=FQ","BEST_FPERIOD_OVERRIDE=FQ","FILING_STATUS=MR","SCALING_FORMAT=MLN","Sort=A","Dates=H","DateFormat=P","Fill=—","Direction=H","UseDPDF=Y")</f>
        <v>15233.799000000001</v>
      </c>
      <c r="P73" s="13" cm="1">
        <f t="array" ref="P73">_xll.BDH("PH US Equity","BS_PURE_RETAINED_EARNINGS","FQ2 2022","FQ2 2022","Currency=USD","Period=FQ","BEST_FPERIOD_OVERRIDE=FQ","FILING_STATUS=MR","SCALING_FORMAT=MLN","Sort=A","Dates=H","DateFormat=P","Fill=—","Direction=H","UseDPDF=Y")</f>
        <v>15488.763999999999</v>
      </c>
      <c r="Q73" s="13" cm="1">
        <f t="array" ref="Q73">_xll.BDH("PH US Equity","BS_PURE_RETAINED_EARNINGS","FQ3 2022","FQ3 2022","Currency=USD","Period=FQ","BEST_FPERIOD_OVERRIDE=FQ","FILING_STATUS=MR","SCALING_FORMAT=MLN","Sort=A","Dates=H","DateFormat=P","Fill=—","Direction=H","UseDPDF=Y")</f>
        <v>15704.237999999999</v>
      </c>
      <c r="R73" s="13" cm="1">
        <f t="array" ref="R73">_xll.BDH("PH US Equity","BS_PURE_RETAINED_EARNINGS","FQ4 2022","FQ4 2022","Currency=USD","Period=FQ","BEST_FPERIOD_OVERRIDE=FQ","FILING_STATUS=MR","SCALING_FORMAT=MLN","Sort=A","Dates=H","DateFormat=P","Fill=—","Direction=H","UseDPDF=Y")</f>
        <v>15661.808000000001</v>
      </c>
      <c r="S73" s="13" cm="1">
        <f t="array" ref="S73">_xll.BDH("PH US Equity","BS_PURE_RETAINED_EARNINGS","FQ1 2023","FQ1 2023","Currency=USD","Period=FQ","BEST_FPERIOD_OVERRIDE=FQ","FILING_STATUS=MR","SCALING_FORMAT=MLN","Sort=A","Dates=H","DateFormat=P","Fill=—","Direction=H","UseDPDF=Y")</f>
        <v>15878.565000000001</v>
      </c>
      <c r="T73" s="13" cm="1">
        <f t="array" ref="T73">_xll.BDH("PH US Equity","BS_PURE_RETAINED_EARNINGS","FQ2 2023","FQ2 2023","Currency=USD","Period=FQ","BEST_FPERIOD_OVERRIDE=FQ","FILING_STATUS=MR","SCALING_FORMAT=MLN","Sort=A","Dates=H","DateFormat=P","Fill=—","Direction=H","UseDPDF=Y")</f>
        <v>16102.883</v>
      </c>
      <c r="U73" s="13" cm="1">
        <f t="array" ref="U73">_xll.BDH("PH US Equity","BS_PURE_RETAINED_EARNINGS","FQ3 2023","FQ3 2023","Currency=USD","Period=FQ","BEST_FPERIOD_OVERRIDE=FQ","FILING_STATUS=MR","SCALING_FORMAT=MLN","Sort=A","Dates=H","DateFormat=P","Fill=—","Direction=H","UseDPDF=Y")</f>
        <v>16522.900000000001</v>
      </c>
      <c r="V73" s="13" cm="1">
        <f t="array" ref="V73">_xll.BDH("PH US Equity","BS_PURE_RETAINED_EARNINGS","FQ4 2023","FQ4 2023","Currency=USD","Period=FQ","BEST_FPERIOD_OVERRIDE=FQ","FILING_STATUS=MR","SCALING_FORMAT=MLN","Sort=A","Dates=H","DateFormat=P","Fill=—","Direction=H","UseDPDF=Y")</f>
        <v>17041.502</v>
      </c>
      <c r="W73" s="13" cm="1">
        <f t="array" ref="W73">_xll.BDH("PH US Equity","BS_PURE_RETAINED_EARNINGS","FQ1 2024","FQ1 2024","Currency=USD","Period=FQ","BEST_FPERIOD_OVERRIDE=FQ","FILING_STATUS=MR","SCALING_FORMAT=MLN","Sort=A","Dates=H","DateFormat=P","Fill=—","Direction=H","UseDPDF=Y")</f>
        <v>17501.909</v>
      </c>
      <c r="X73" s="13" cm="1">
        <f t="array" ref="X73">_xll.BDH("PH US Equity","BS_PURE_RETAINED_EARNINGS","FQ2 2024","FQ2 2024","Currency=USD","Period=FQ","BEST_FPERIOD_OVERRIDE=FQ","FILING_STATUS=MR","SCALING_FORMAT=MLN","Sort=A","Dates=H","DateFormat=P","Fill=—","Direction=H","UseDPDF=Y")</f>
        <v>17993.453000000001</v>
      </c>
      <c r="Y73" s="13" cm="1">
        <f t="array" ref="Y73">_xll.BDH("PH US Equity","BS_PURE_RETAINED_EARNINGS","FQ3 2024","FQ3 2024","Currency=USD","Period=FQ","BEST_FPERIOD_OVERRIDE=FQ","FILING_STATUS=MR","SCALING_FORMAT=MLN","Sort=A","Dates=H","DateFormat=P","Fill=—","Direction=H","UseDPDF=Y")</f>
        <v>18529.559000000001</v>
      </c>
      <c r="Z73" s="13" cm="1">
        <f t="array" ref="Z73">_xll.BDH("PH US Equity","BS_PURE_RETAINED_EARNINGS","FQ4 2024","FQ4 2024","Currency=USD","Period=FQ","BEST_FPERIOD_OVERRIDE=FQ","FILING_STATUS=MR","SCALING_FORMAT=MLN","Sort=A","Dates=H","DateFormat=P","Fill=—","Direction=H","UseDPDF=Y")</f>
        <v>19104.598999999998</v>
      </c>
      <c r="AA73" s="13" cm="1">
        <f t="array" ref="AA73">_xll.BDH("PH US Equity","BS_PURE_RETAINED_EARNINGS","FQ1 2025","FQ1 2025","Currency=USD","Period=FQ","BEST_FPERIOD_OVERRIDE=FQ","FILING_STATUS=MR","SCALING_FORMAT=MLN","Sort=A","Dates=H","DateFormat=P","Fill=—","Direction=H","UseDPDF=Y")</f>
        <v>19593.081999999999</v>
      </c>
      <c r="AB73" s="13" cm="1">
        <f t="array" ref="AB73">_xll.BDH("PH US Equity","BS_PURE_RETAINED_EARNINGS","FQ2 2025","FQ2 2025","Currency=USD","Period=FQ","BEST_FPERIOD_OVERRIDE=FQ","FILING_STATUS=MR","SCALING_FORMAT=MLN","Sort=A","Dates=H","DateFormat=P","Fill=—","Direction=H","UseDPDF=Y")</f>
        <v>20331.5</v>
      </c>
      <c r="AC73" s="13" cm="1">
        <f t="array" ref="AC73">_xll.BDH("PH US Equity","BS_PURE_RETAINED_EARNINGS","FQ3 2025","FQ3 2025","Currency=USD","Period=FQ","BEST_FPERIOD_OVERRIDE=FQ","FILING_STATUS=MR","SCALING_FORMAT=MLN","Sort=A","Dates=H","DateFormat=P","Fill=—","Direction=H","UseDPDF=Y")</f>
        <v>21082.258999999998</v>
      </c>
      <c r="AD73" s="13" cm="1">
        <f t="array" ref="AD73">_xll.BDH("PH US Equity","BS_PURE_RETAINED_EARNINGS","FQ4 2025","FQ4 2025","Currency=USD","Period=FQ","BEST_FPERIOD_OVERRIDE=FQ","FILING_STATUS=MR","SCALING_FORMAT=MLN","Sort=A","Dates=H","DateFormat=P","Fill=—","Direction=H","UseDPDF=Y")</f>
        <v>21775</v>
      </c>
      <c r="AE73" s="13" cm="1">
        <f t="array" ref="AE73">_xll.BDH("PH US Equity","BS_PURE_RETAINED_EARNINGS","FQ1 2026","FQ1 2026","Currency=USD","Period=FQ","BEST_FPERIOD_OVERRIDE=FQ","FILING_STATUS=MR","SCALING_FORMAT=MLN","Sort=A","Dates=H","DateFormat=P","Fill=—","Direction=H","UseDPDF=Y")</f>
        <v>22355</v>
      </c>
      <c r="AF73" s="13" cm="1">
        <f t="array" ref="AF73">_xll.BDH("PH US Equity","BS_PURE_RETAINED_EARNINGS","FQ2 2026","FQ2 2026","Currency=USD","Period=FQ","BEST_FPERIOD_OVERRIDE=FQ","FILING_STATUS=MR","SCALING_FORMAT=MLN","Sort=A","Dates=H","DateFormat=P","Fill=—","Direction=H","UseDPDF=Y")</f>
        <v>22972</v>
      </c>
    </row>
    <row r="74" spans="1:32" x14ac:dyDescent="0.25">
      <c r="A74" s="10" t="s">
        <v>193</v>
      </c>
      <c r="B74" s="10" t="s">
        <v>194</v>
      </c>
      <c r="C74" s="13" cm="1">
        <f t="array" ref="C74">_xll.BDH("PH US Equity","OTHER_EQUITY_RATIO","FQ1 2019","FQ1 2019","Currency=USD","Period=FQ","BEST_FPERIOD_OVERRIDE=FQ","FILING_STATUS=MR","SCALING_FORMAT=MLN","Sort=A","Dates=H","DateFormat=P","Fill=—","Direction=H","UseDPDF=Y")</f>
        <v>-1775.9829999999999</v>
      </c>
      <c r="D74" s="13" cm="1">
        <f t="array" ref="D74">_xll.BDH("PH US Equity","OTHER_EQUITY_RATIO","FQ2 2019","FQ2 2019","Currency=USD","Period=FQ","BEST_FPERIOD_OVERRIDE=FQ","FILING_STATUS=MR","SCALING_FORMAT=MLN","Sort=A","Dates=H","DateFormat=P","Fill=—","Direction=H","UseDPDF=Y")</f>
        <v>-1795.4970000000001</v>
      </c>
      <c r="E74" s="13" cm="1">
        <f t="array" ref="E74">_xll.BDH("PH US Equity","OTHER_EQUITY_RATIO","FQ3 2019","FQ3 2019","Currency=USD","Period=FQ","BEST_FPERIOD_OVERRIDE=FQ","FILING_STATUS=MR","SCALING_FORMAT=MLN","Sort=A","Dates=H","DateFormat=P","Fill=—","Direction=H","UseDPDF=Y")</f>
        <v>-1728.915</v>
      </c>
      <c r="F74" s="13" cm="1">
        <f t="array" ref="F74">_xll.BDH("PH US Equity","OTHER_EQUITY_RATIO","FQ4 2019","FQ4 2019","Currency=USD","Period=FQ","BEST_FPERIOD_OVERRIDE=FQ","FILING_STATUS=MR","SCALING_FORMAT=MLN","Sort=A","Dates=H","DateFormat=P","Fill=—","Direction=H","UseDPDF=Y")</f>
        <v>-2059.0479999999998</v>
      </c>
      <c r="G74" s="13" cm="1">
        <f t="array" ref="G74">_xll.BDH("PH US Equity","OTHER_EQUITY_RATIO","FQ1 2020","FQ1 2020","Currency=USD","Period=FQ","BEST_FPERIOD_OVERRIDE=FQ","FILING_STATUS=MR","SCALING_FORMAT=MLN","Sort=A","Dates=H","DateFormat=P","Fill=—","Direction=H","UseDPDF=Y")</f>
        <v>-2130.5940000000001</v>
      </c>
      <c r="H74" s="13" cm="1">
        <f t="array" ref="H74">_xll.BDH("PH US Equity","OTHER_EQUITY_RATIO","FQ2 2020","FQ2 2020","Currency=USD","Period=FQ","BEST_FPERIOD_OVERRIDE=FQ","FILING_STATUS=MR","SCALING_FORMAT=MLN","Sort=A","Dates=H","DateFormat=P","Fill=—","Direction=H","UseDPDF=Y")</f>
        <v>-1945.732</v>
      </c>
      <c r="I74" s="13" cm="1">
        <f t="array" ref="I74">_xll.BDH("PH US Equity","OTHER_EQUITY_RATIO","FQ3 2020","FQ3 2020","Currency=USD","Period=FQ","BEST_FPERIOD_OVERRIDE=FQ","FILING_STATUS=MR","SCALING_FORMAT=MLN","Sort=A","Dates=H","DateFormat=P","Fill=—","Direction=H","UseDPDF=Y")</f>
        <v>-2195.462</v>
      </c>
      <c r="J74" s="13" cm="1">
        <f t="array" ref="J74">_xll.BDH("PH US Equity","OTHER_EQUITY_RATIO","FQ4 2020","FQ4 2020","Currency=USD","Period=FQ","BEST_FPERIOD_OVERRIDE=FQ","FILING_STATUS=MR","SCALING_FORMAT=MLN","Sort=A","Dates=H","DateFormat=P","Fill=—","Direction=H","UseDPDF=Y")</f>
        <v>-2558.875</v>
      </c>
      <c r="K74" s="13" cm="1">
        <f t="array" ref="K74">_xll.BDH("PH US Equity","OTHER_EQUITY_RATIO","FQ1 2021","FQ1 2021","Currency=USD","Period=FQ","BEST_FPERIOD_OVERRIDE=FQ","FILING_STATUS=MR","SCALING_FORMAT=MLN","Sort=A","Dates=H","DateFormat=P","Fill=—","Direction=H","UseDPDF=Y")</f>
        <v>-2388.4720000000002</v>
      </c>
      <c r="L74" s="13" cm="1">
        <f t="array" ref="L74">_xll.BDH("PH US Equity","OTHER_EQUITY_RATIO","FQ2 2021","FQ2 2021","Currency=USD","Period=FQ","BEST_FPERIOD_OVERRIDE=FQ","FILING_STATUS=MR","SCALING_FORMAT=MLN","Sort=A","Dates=H","DateFormat=P","Fill=—","Direction=H","UseDPDF=Y")</f>
        <v>-2130.5059999999999</v>
      </c>
      <c r="M74" s="13" cm="1">
        <f t="array" ref="M74">_xll.BDH("PH US Equity","OTHER_EQUITY_RATIO","FQ3 2021","FQ3 2021","Currency=USD","Period=FQ","BEST_FPERIOD_OVERRIDE=FQ","FILING_STATUS=MR","SCALING_FORMAT=MLN","Sort=A","Dates=H","DateFormat=P","Fill=—","Direction=H","UseDPDF=Y")</f>
        <v>-2156.29</v>
      </c>
      <c r="N74" s="13" cm="1">
        <f t="array" ref="N74">_xll.BDH("PH US Equity","OTHER_EQUITY_RATIO","FQ4 2021","FQ4 2021","Currency=USD","Period=FQ","BEST_FPERIOD_OVERRIDE=FQ","FILING_STATUS=MR","SCALING_FORMAT=MLN","Sort=A","Dates=H","DateFormat=P","Fill=—","Direction=H","UseDPDF=Y")</f>
        <v>-1566.7270000000001</v>
      </c>
      <c r="O74" s="13" cm="1">
        <f t="array" ref="O74">_xll.BDH("PH US Equity","OTHER_EQUITY_RATIO","FQ1 2022","FQ1 2022","Currency=USD","Period=FQ","BEST_FPERIOD_OVERRIDE=FQ","FILING_STATUS=MR","SCALING_FORMAT=MLN","Sort=A","Dates=H","DateFormat=P","Fill=—","Direction=H","UseDPDF=Y")</f>
        <v>-1605.49</v>
      </c>
      <c r="P74" s="13" cm="1">
        <f t="array" ref="P74">_xll.BDH("PH US Equity","OTHER_EQUITY_RATIO","FQ2 2022","FQ2 2022","Currency=USD","Period=FQ","BEST_FPERIOD_OVERRIDE=FQ","FILING_STATUS=MR","SCALING_FORMAT=MLN","Sort=A","Dates=H","DateFormat=P","Fill=—","Direction=H","UseDPDF=Y")</f>
        <v>-1545.0930000000001</v>
      </c>
      <c r="Q74" s="13" cm="1">
        <f t="array" ref="Q74">_xll.BDH("PH US Equity","OTHER_EQUITY_RATIO","FQ3 2022","FQ3 2022","Currency=USD","Period=FQ","BEST_FPERIOD_OVERRIDE=FQ","FILING_STATUS=MR","SCALING_FORMAT=MLN","Sort=A","Dates=H","DateFormat=P","Fill=—","Direction=H","UseDPDF=Y")</f>
        <v>-1531.26</v>
      </c>
      <c r="R74" s="13" cm="1">
        <f t="array" ref="R74">_xll.BDH("PH US Equity","OTHER_EQUITY_RATIO","FQ4 2022","FQ4 2022","Currency=USD","Period=FQ","BEST_FPERIOD_OVERRIDE=FQ","FILING_STATUS=MR","SCALING_FORMAT=MLN","Sort=A","Dates=H","DateFormat=P","Fill=—","Direction=H","UseDPDF=Y")</f>
        <v>-1543.1980000000001</v>
      </c>
      <c r="S74" s="13" cm="1">
        <f t="array" ref="S74">_xll.BDH("PH US Equity","OTHER_EQUITY_RATIO","FQ1 2023","FQ1 2023","Currency=USD","Period=FQ","BEST_FPERIOD_OVERRIDE=FQ","FILING_STATUS=MR","SCALING_FORMAT=MLN","Sort=A","Dates=H","DateFormat=P","Fill=—","Direction=H","UseDPDF=Y")</f>
        <v>-1843.78</v>
      </c>
      <c r="T74" s="13" cm="1">
        <f t="array" ref="T74">_xll.BDH("PH US Equity","OTHER_EQUITY_RATIO","FQ2 2023","FQ2 2023","Currency=USD","Period=FQ","BEST_FPERIOD_OVERRIDE=FQ","FILING_STATUS=MR","SCALING_FORMAT=MLN","Sort=A","Dates=H","DateFormat=P","Fill=—","Direction=H","UseDPDF=Y")</f>
        <v>-1479.6690000000001</v>
      </c>
      <c r="U74" s="13" cm="1">
        <f t="array" ref="U74">_xll.BDH("PH US Equity","OTHER_EQUITY_RATIO","FQ3 2023","FQ3 2023","Currency=USD","Period=FQ","BEST_FPERIOD_OVERRIDE=FQ","FILING_STATUS=MR","SCALING_FORMAT=MLN","Sort=A","Dates=H","DateFormat=P","Fill=—","Direction=H","UseDPDF=Y")</f>
        <v>-1388.6279999999999</v>
      </c>
      <c r="V74" s="13" cm="1">
        <f t="array" ref="V74">_xll.BDH("PH US Equity","OTHER_EQUITY_RATIO","FQ4 2023","FQ4 2023","Currency=USD","Period=FQ","BEST_FPERIOD_OVERRIDE=FQ","FILING_STATUS=MR","SCALING_FORMAT=MLN","Sort=A","Dates=H","DateFormat=P","Fill=—","Direction=H","UseDPDF=Y")</f>
        <v>-1292.8720000000001</v>
      </c>
      <c r="W74" s="13" cm="1">
        <f t="array" ref="W74">_xll.BDH("PH US Equity","OTHER_EQUITY_RATIO","FQ1 2024","FQ1 2024","Currency=USD","Period=FQ","BEST_FPERIOD_OVERRIDE=FQ","FILING_STATUS=MR","SCALING_FORMAT=MLN","Sort=A","Dates=H","DateFormat=P","Fill=—","Direction=H","UseDPDF=Y")</f>
        <v>-1514.9469999999999</v>
      </c>
      <c r="X74" s="13" cm="1">
        <f t="array" ref="X74">_xll.BDH("PH US Equity","OTHER_EQUITY_RATIO","FQ2 2024","FQ2 2024","Currency=USD","Period=FQ","BEST_FPERIOD_OVERRIDE=FQ","FILING_STATUS=MR","SCALING_FORMAT=MLN","Sort=A","Dates=H","DateFormat=P","Fill=—","Direction=H","UseDPDF=Y")</f>
        <v>-1241.2159999999999</v>
      </c>
      <c r="Y74" s="13" cm="1">
        <f t="array" ref="Y74">_xll.BDH("PH US Equity","OTHER_EQUITY_RATIO","FQ3 2024","FQ3 2024","Currency=USD","Period=FQ","BEST_FPERIOD_OVERRIDE=FQ","FILING_STATUS=MR","SCALING_FORMAT=MLN","Sort=A","Dates=H","DateFormat=P","Fill=—","Direction=H","UseDPDF=Y")</f>
        <v>-1408.374</v>
      </c>
      <c r="Z74" s="13" cm="1">
        <f t="array" ref="Z74">_xll.BDH("PH US Equity","OTHER_EQUITY_RATIO","FQ4 2024","FQ4 2024","Currency=USD","Period=FQ","BEST_FPERIOD_OVERRIDE=FQ","FILING_STATUS=MR","SCALING_FORMAT=MLN","Sort=A","Dates=H","DateFormat=P","Fill=—","Direction=H","UseDPDF=Y")</f>
        <v>-1438.0119999999999</v>
      </c>
      <c r="AA74" s="13" cm="1">
        <f t="array" ref="AA74">_xll.BDH("PH US Equity","OTHER_EQUITY_RATIO","FQ1 2025","FQ1 2025","Currency=USD","Period=FQ","BEST_FPERIOD_OVERRIDE=FQ","FILING_STATUS=MR","SCALING_FORMAT=MLN","Sort=A","Dates=H","DateFormat=P","Fill=—","Direction=H","UseDPDF=Y")</f>
        <v>-1090.4349999999999</v>
      </c>
      <c r="AB74" s="13" cm="1">
        <f t="array" ref="AB74">_xll.BDH("PH US Equity","OTHER_EQUITY_RATIO","FQ2 2025","FQ2 2025","Currency=USD","Period=FQ","BEST_FPERIOD_OVERRIDE=FQ","FILING_STATUS=MR","SCALING_FORMAT=MLN","Sort=A","Dates=H","DateFormat=P","Fill=—","Direction=H","UseDPDF=Y")</f>
        <v>-1535.1289999999999</v>
      </c>
      <c r="AC74" s="13" cm="1">
        <f t="array" ref="AC74">_xll.BDH("PH US Equity","OTHER_EQUITY_RATIO","FQ3 2025","FQ3 2025","Currency=USD","Period=FQ","BEST_FPERIOD_OVERRIDE=FQ","FILING_STATUS=MR","SCALING_FORMAT=MLN","Sort=A","Dates=H","DateFormat=P","Fill=—","Direction=H","UseDPDF=Y")</f>
        <v>-1364.384</v>
      </c>
      <c r="AD74" s="13" cm="1">
        <f t="array" ref="AD74">_xll.BDH("PH US Equity","OTHER_EQUITY_RATIO","FQ4 2025","FQ4 2025","Currency=USD","Period=FQ","BEST_FPERIOD_OVERRIDE=FQ","FILING_STATUS=MR","SCALING_FORMAT=MLN","Sort=A","Dates=H","DateFormat=P","Fill=—","Direction=H","UseDPDF=Y")</f>
        <v>-883</v>
      </c>
      <c r="AE74" s="13" cm="1">
        <f t="array" ref="AE74">_xll.BDH("PH US Equity","OTHER_EQUITY_RATIO","FQ1 2026","FQ1 2026","Currency=USD","Period=FQ","BEST_FPERIOD_OVERRIDE=FQ","FILING_STATUS=MR","SCALING_FORMAT=MLN","Sort=A","Dates=H","DateFormat=P","Fill=—","Direction=H","UseDPDF=Y")</f>
        <v>-924</v>
      </c>
      <c r="AF74" s="13" cm="1">
        <f t="array" ref="AF74">_xll.BDH("PH US Equity","OTHER_EQUITY_RATIO","FQ2 2026","FQ2 2026","Currency=USD","Period=FQ","BEST_FPERIOD_OVERRIDE=FQ","FILING_STATUS=MR","SCALING_FORMAT=MLN","Sort=A","Dates=H","DateFormat=P","Fill=—","Direction=H","UseDPDF=Y")</f>
        <v>-903</v>
      </c>
    </row>
    <row r="75" spans="1:32" x14ac:dyDescent="0.25">
      <c r="A75" s="6" t="s">
        <v>195</v>
      </c>
      <c r="B75" s="6" t="s">
        <v>196</v>
      </c>
      <c r="C75" s="16" cm="1">
        <f t="array" ref="C75">_xll.BDH("PH US Equity","EQTY_BEF_MINORITY_INT_DETAILED","FQ1 2019","FQ1 2019","Currency=USD","Period=FQ","BEST_FPERIOD_OVERRIDE=FQ","FILING_STATUS=MR","SCALING_FORMAT=MLN","Sort=A","Dates=H","DateFormat=P","Fill=—","Direction=H","UseDPDF=Y")</f>
        <v>6101.38</v>
      </c>
      <c r="D75" s="16" cm="1">
        <f t="array" ref="D75">_xll.BDH("PH US Equity","EQTY_BEF_MINORITY_INT_DETAILED","FQ2 2019","FQ2 2019","Currency=USD","Period=FQ","BEST_FPERIOD_OVERRIDE=FQ","FILING_STATUS=MR","SCALING_FORMAT=MLN","Sort=A","Dates=H","DateFormat=P","Fill=—","Direction=H","UseDPDF=Y")</f>
        <v>5815.2089999999998</v>
      </c>
      <c r="E75" s="16" cm="1">
        <f t="array" ref="E75">_xll.BDH("PH US Equity","EQTY_BEF_MINORITY_INT_DETAILED","FQ3 2019","FQ3 2019","Currency=USD","Period=FQ","BEST_FPERIOD_OVERRIDE=FQ","FILING_STATUS=MR","SCALING_FORMAT=MLN","Sort=A","Dates=H","DateFormat=P","Fill=—","Direction=H","UseDPDF=Y")</f>
        <v>6009.9780000000001</v>
      </c>
      <c r="F75" s="16" cm="1">
        <f t="array" ref="F75">_xll.BDH("PH US Equity","EQTY_BEF_MINORITY_INT_DETAILED","FQ4 2019","FQ4 2019","Currency=USD","Period=FQ","BEST_FPERIOD_OVERRIDE=FQ","FILING_STATUS=MR","SCALING_FORMAT=MLN","Sort=A","Dates=H","DateFormat=P","Fill=—","Direction=H","UseDPDF=Y")</f>
        <v>5961.9690000000001</v>
      </c>
      <c r="G75" s="16" cm="1">
        <f t="array" ref="G75">_xll.BDH("PH US Equity","EQTY_BEF_MINORITY_INT_DETAILED","FQ1 2020","FQ1 2020","Currency=USD","Period=FQ","BEST_FPERIOD_OVERRIDE=FQ","FILING_STATUS=MR","SCALING_FORMAT=MLN","Sort=A","Dates=H","DateFormat=P","Fill=—","Direction=H","UseDPDF=Y")</f>
        <v>6096.616</v>
      </c>
      <c r="H75" s="16" cm="1">
        <f t="array" ref="H75">_xll.BDH("PH US Equity","EQTY_BEF_MINORITY_INT_DETAILED","FQ2 2020","FQ2 2020","Currency=USD","Period=FQ","BEST_FPERIOD_OVERRIDE=FQ","FILING_STATUS=MR","SCALING_FORMAT=MLN","Sort=A","Dates=H","DateFormat=P","Fill=—","Direction=H","UseDPDF=Y")</f>
        <v>6330.1750000000002</v>
      </c>
      <c r="I75" s="16" cm="1">
        <f t="array" ref="I75">_xll.BDH("PH US Equity","EQTY_BEF_MINORITY_INT_DETAILED","FQ3 2020","FQ3 2020","Currency=USD","Period=FQ","BEST_FPERIOD_OVERRIDE=FQ","FILING_STATUS=MR","SCALING_FORMAT=MLN","Sort=A","Dates=H","DateFormat=P","Fill=—","Direction=H","UseDPDF=Y")</f>
        <v>6295.99</v>
      </c>
      <c r="J75" s="16" cm="1">
        <f t="array" ref="J75">_xll.BDH("PH US Equity","EQTY_BEF_MINORITY_INT_DETAILED","FQ4 2020","FQ4 2020","Currency=USD","Period=FQ","BEST_FPERIOD_OVERRIDE=FQ","FILING_STATUS=MR","SCALING_FORMAT=MLN","Sort=A","Dates=H","DateFormat=P","Fill=—","Direction=H","UseDPDF=Y")</f>
        <v>6227.2240000000002</v>
      </c>
      <c r="K75" s="16" cm="1">
        <f t="array" ref="K75">_xll.BDH("PH US Equity","EQTY_BEF_MINORITY_INT_DETAILED","FQ1 2021","FQ1 2021","Currency=USD","Period=FQ","BEST_FPERIOD_OVERRIDE=FQ","FILING_STATUS=MR","SCALING_FORMAT=MLN","Sort=A","Dates=H","DateFormat=P","Fill=—","Direction=H","UseDPDF=Y")</f>
        <v>6528.9639999999999</v>
      </c>
      <c r="L75" s="16" cm="1">
        <f t="array" ref="L75">_xll.BDH("PH US Equity","EQTY_BEF_MINORITY_INT_DETAILED","FQ2 2021","FQ2 2021","Currency=USD","Period=FQ","BEST_FPERIOD_OVERRIDE=FQ","FILING_STATUS=MR","SCALING_FORMAT=MLN","Sort=A","Dates=H","DateFormat=P","Fill=—","Direction=H","UseDPDF=Y")</f>
        <v>7105.982</v>
      </c>
      <c r="M75" s="16" cm="1">
        <f t="array" ref="M75">_xll.BDH("PH US Equity","EQTY_BEF_MINORITY_INT_DETAILED","FQ3 2021","FQ3 2021","Currency=USD","Period=FQ","BEST_FPERIOD_OVERRIDE=FQ","FILING_STATUS=MR","SCALING_FORMAT=MLN","Sort=A","Dates=H","DateFormat=P","Fill=—","Direction=H","UseDPDF=Y")</f>
        <v>7392.2020000000002</v>
      </c>
      <c r="N75" s="16" cm="1">
        <f t="array" ref="N75">_xll.BDH("PH US Equity","EQTY_BEF_MINORITY_INT_DETAILED","FQ4 2021","FQ4 2021","Currency=USD","Period=FQ","BEST_FPERIOD_OVERRIDE=FQ","FILING_STATUS=MR","SCALING_FORMAT=MLN","Sort=A","Dates=H","DateFormat=P","Fill=—","Direction=H","UseDPDF=Y")</f>
        <v>8398.3070000000007</v>
      </c>
      <c r="O75" s="16" cm="1">
        <f t="array" ref="O75">_xll.BDH("PH US Equity","EQTY_BEF_MINORITY_INT_DETAILED","FQ1 2022","FQ1 2022","Currency=USD","Period=FQ","BEST_FPERIOD_OVERRIDE=FQ","FILING_STATUS=MR","SCALING_FORMAT=MLN","Sort=A","Dates=H","DateFormat=P","Fill=—","Direction=H","UseDPDF=Y")</f>
        <v>8490.7810000000009</v>
      </c>
      <c r="P75" s="16" cm="1">
        <f t="array" ref="P75">_xll.BDH("PH US Equity","EQTY_BEF_MINORITY_INT_DETAILED","FQ2 2022","FQ2 2022","Currency=USD","Period=FQ","BEST_FPERIOD_OVERRIDE=FQ","FILING_STATUS=MR","SCALING_FORMAT=MLN","Sort=A","Dates=H","DateFormat=P","Fill=—","Direction=H","UseDPDF=Y")</f>
        <v>8755.0820000000003</v>
      </c>
      <c r="Q75" s="16" cm="1">
        <f t="array" ref="Q75">_xll.BDH("PH US Equity","EQTY_BEF_MINORITY_INT_DETAILED","FQ3 2022","FQ3 2022","Currency=USD","Period=FQ","BEST_FPERIOD_OVERRIDE=FQ","FILING_STATUS=MR","SCALING_FORMAT=MLN","Sort=A","Dates=H","DateFormat=P","Fill=—","Direction=H","UseDPDF=Y")</f>
        <v>8959.866</v>
      </c>
      <c r="R75" s="16" cm="1">
        <f t="array" ref="R75">_xll.BDH("PH US Equity","EQTY_BEF_MINORITY_INT_DETAILED","FQ4 2022","FQ4 2022","Currency=USD","Period=FQ","BEST_FPERIOD_OVERRIDE=FQ","FILING_STATUS=MR","SCALING_FORMAT=MLN","Sort=A","Dates=H","DateFormat=P","Fill=—","Direction=H","UseDPDF=Y")</f>
        <v>8848.0110000000004</v>
      </c>
      <c r="S75" s="16" cm="1">
        <f t="array" ref="S75">_xll.BDH("PH US Equity","EQTY_BEF_MINORITY_INT_DETAILED","FQ1 2023","FQ1 2023","Currency=USD","Period=FQ","BEST_FPERIOD_OVERRIDE=FQ","FILING_STATUS=MR","SCALING_FORMAT=MLN","Sort=A","Dates=H","DateFormat=P","Fill=—","Direction=H","UseDPDF=Y")</f>
        <v>8762.5210000000006</v>
      </c>
      <c r="T75" s="16" cm="1">
        <f t="array" ref="T75">_xll.BDH("PH US Equity","EQTY_BEF_MINORITY_INT_DETAILED","FQ2 2023","FQ2 2023","Currency=USD","Period=FQ","BEST_FPERIOD_OVERRIDE=FQ","FILING_STATUS=MR","SCALING_FORMAT=MLN","Sort=A","Dates=H","DateFormat=P","Fill=—","Direction=H","UseDPDF=Y")</f>
        <v>9322.3799999999992</v>
      </c>
      <c r="U75" s="16" cm="1">
        <f t="array" ref="U75">_xll.BDH("PH US Equity","EQTY_BEF_MINORITY_INT_DETAILED","FQ3 2023","FQ3 2023","Currency=USD","Period=FQ","BEST_FPERIOD_OVERRIDE=FQ","FILING_STATUS=MR","SCALING_FORMAT=MLN","Sort=A","Dates=H","DateFormat=P","Fill=—","Direction=H","UseDPDF=Y")</f>
        <v>9781.2970000000005</v>
      </c>
      <c r="V75" s="16" cm="1">
        <f t="array" ref="V75">_xll.BDH("PH US Equity","EQTY_BEF_MINORITY_INT_DETAILED","FQ4 2023","FQ4 2023","Currency=USD","Period=FQ","BEST_FPERIOD_OVERRIDE=FQ","FILING_STATUS=MR","SCALING_FORMAT=MLN","Sort=A","Dates=H","DateFormat=P","Fill=—","Direction=H","UseDPDF=Y")</f>
        <v>10326.888000000001</v>
      </c>
      <c r="W75" s="16" cm="1">
        <f t="array" ref="W75">_xll.BDH("PH US Equity","EQTY_BEF_MINORITY_INT_DETAILED","FQ1 2024","FQ1 2024","Currency=USD","Period=FQ","BEST_FPERIOD_OVERRIDE=FQ","FILING_STATUS=MR","SCALING_FORMAT=MLN","Sort=A","Dates=H","DateFormat=P","Fill=—","Direction=H","UseDPDF=Y")</f>
        <v>10565.382</v>
      </c>
      <c r="X75" s="16" cm="1">
        <f t="array" ref="X75">_xll.BDH("PH US Equity","EQTY_BEF_MINORITY_INT_DETAILED","FQ2 2024","FQ2 2024","Currency=USD","Period=FQ","BEST_FPERIOD_OVERRIDE=FQ","FILING_STATUS=MR","SCALING_FORMAT=MLN","Sort=A","Dates=H","DateFormat=P","Fill=—","Direction=H","UseDPDF=Y")</f>
        <v>11302.578</v>
      </c>
      <c r="Y75" s="16" cm="1">
        <f t="array" ref="Y75">_xll.BDH("PH US Equity","EQTY_BEF_MINORITY_INT_DETAILED","FQ3 2024","FQ3 2024","Currency=USD","Period=FQ","BEST_FPERIOD_OVERRIDE=FQ","FILING_STATUS=MR","SCALING_FORMAT=MLN","Sort=A","Dates=H","DateFormat=P","Fill=—","Direction=H","UseDPDF=Y")</f>
        <v>11590.852000000001</v>
      </c>
      <c r="Z75" s="16" cm="1">
        <f t="array" ref="Z75">_xll.BDH("PH US Equity","EQTY_BEF_MINORITY_INT_DETAILED","FQ4 2024","FQ4 2024","Currency=USD","Period=FQ","BEST_FPERIOD_OVERRIDE=FQ","FILING_STATUS=MR","SCALING_FORMAT=MLN","Sort=A","Dates=H","DateFormat=P","Fill=—","Direction=H","UseDPDF=Y")</f>
        <v>12071.972</v>
      </c>
      <c r="AA75" s="16" cm="1">
        <f t="array" ref="AA75">_xll.BDH("PH US Equity","EQTY_BEF_MINORITY_INT_DETAILED","FQ1 2025","FQ1 2025","Currency=USD","Period=FQ","BEST_FPERIOD_OVERRIDE=FQ","FILING_STATUS=MR","SCALING_FORMAT=MLN","Sort=A","Dates=H","DateFormat=P","Fill=—","Direction=H","UseDPDF=Y")</f>
        <v>12891.9</v>
      </c>
      <c r="AB75" s="16" cm="1">
        <f t="array" ref="AB75">_xll.BDH("PH US Equity","EQTY_BEF_MINORITY_INT_DETAILED","FQ2 2025","FQ2 2025","Currency=USD","Period=FQ","BEST_FPERIOD_OVERRIDE=FQ","FILING_STATUS=MR","SCALING_FORMAT=MLN","Sort=A","Dates=H","DateFormat=P","Fill=—","Direction=H","UseDPDF=Y")</f>
        <v>13118.553</v>
      </c>
      <c r="AC75" s="16" cm="1">
        <f t="array" ref="AC75">_xll.BDH("PH US Equity","EQTY_BEF_MINORITY_INT_DETAILED","FQ3 2025","FQ3 2025","Currency=USD","Period=FQ","BEST_FPERIOD_OVERRIDE=FQ","FILING_STATUS=MR","SCALING_FORMAT=MLN","Sort=A","Dates=H","DateFormat=P","Fill=—","Direction=H","UseDPDF=Y")</f>
        <v>13390.974</v>
      </c>
      <c r="AD75" s="16" cm="1">
        <f t="array" ref="AD75">_xll.BDH("PH US Equity","EQTY_BEF_MINORITY_INT_DETAILED","FQ4 2025","FQ4 2025","Currency=USD","Period=FQ","BEST_FPERIOD_OVERRIDE=FQ","FILING_STATUS=MR","SCALING_FORMAT=MLN","Sort=A","Dates=H","DateFormat=P","Fill=—","Direction=H","UseDPDF=Y")</f>
        <v>13682</v>
      </c>
      <c r="AE75" s="16" cm="1">
        <f t="array" ref="AE75">_xll.BDH("PH US Equity","EQTY_BEF_MINORITY_INT_DETAILED","FQ1 2026","FQ1 2026","Currency=USD","Period=FQ","BEST_FPERIOD_OVERRIDE=FQ","FILING_STATUS=MR","SCALING_FORMAT=MLN","Sort=A","Dates=H","DateFormat=P","Fill=—","Direction=H","UseDPDF=Y")</f>
        <v>13777</v>
      </c>
      <c r="AF75" s="16" cm="1">
        <f t="array" ref="AF75">_xll.BDH("PH US Equity","EQTY_BEF_MINORITY_INT_DETAILED","FQ2 2026","FQ2 2026","Currency=USD","Period=FQ","BEST_FPERIOD_OVERRIDE=FQ","FILING_STATUS=MR","SCALING_FORMAT=MLN","Sort=A","Dates=H","DateFormat=P","Fill=—","Direction=H","UseDPDF=Y")</f>
        <v>14311</v>
      </c>
    </row>
    <row r="76" spans="1:32" x14ac:dyDescent="0.25">
      <c r="A76" s="10" t="s">
        <v>197</v>
      </c>
      <c r="B76" s="10" t="s">
        <v>198</v>
      </c>
      <c r="C76" s="13" cm="1">
        <f t="array" ref="C76">_xll.BDH("PH US Equity","MINORITY_NONCONTROLLING_INTEREST","FQ1 2019","FQ1 2019","Currency=USD","Period=FQ","BEST_FPERIOD_OVERRIDE=FQ","FILING_STATUS=MR","SCALING_FORMAT=MLN","Sort=A","Dates=H","DateFormat=P","Fill=—","Direction=H","UseDPDF=Y")</f>
        <v>5.726</v>
      </c>
      <c r="D76" s="13" cm="1">
        <f t="array" ref="D76">_xll.BDH("PH US Equity","MINORITY_NONCONTROLLING_INTEREST","FQ2 2019","FQ2 2019","Currency=USD","Period=FQ","BEST_FPERIOD_OVERRIDE=FQ","FILING_STATUS=MR","SCALING_FORMAT=MLN","Sort=A","Dates=H","DateFormat=P","Fill=—","Direction=H","UseDPDF=Y")</f>
        <v>5.9569999999999999</v>
      </c>
      <c r="E76" s="13" cm="1">
        <f t="array" ref="E76">_xll.BDH("PH US Equity","MINORITY_NONCONTROLLING_INTEREST","FQ3 2019","FQ3 2019","Currency=USD","Period=FQ","BEST_FPERIOD_OVERRIDE=FQ","FILING_STATUS=MR","SCALING_FORMAT=MLN","Sort=A","Dates=H","DateFormat=P","Fill=—","Direction=H","UseDPDF=Y")</f>
        <v>6.07</v>
      </c>
      <c r="F76" s="13" cm="1">
        <f t="array" ref="F76">_xll.BDH("PH US Equity","MINORITY_NONCONTROLLING_INTEREST","FQ4 2019","FQ4 2019","Currency=USD","Period=FQ","BEST_FPERIOD_OVERRIDE=FQ","FILING_STATUS=MR","SCALING_FORMAT=MLN","Sort=A","Dates=H","DateFormat=P","Fill=—","Direction=H","UseDPDF=Y")</f>
        <v>6.1829999999999998</v>
      </c>
      <c r="G76" s="13" cm="1">
        <f t="array" ref="G76">_xll.BDH("PH US Equity","MINORITY_NONCONTROLLING_INTEREST","FQ1 2020","FQ1 2020","Currency=USD","Period=FQ","BEST_FPERIOD_OVERRIDE=FQ","FILING_STATUS=MR","SCALING_FORMAT=MLN","Sort=A","Dates=H","DateFormat=P","Fill=—","Direction=H","UseDPDF=Y")</f>
        <v>6.1760000000000002</v>
      </c>
      <c r="H76" s="13" cm="1">
        <f t="array" ref="H76">_xll.BDH("PH US Equity","MINORITY_NONCONTROLLING_INTEREST","FQ2 2020","FQ2 2020","Currency=USD","Period=FQ","BEST_FPERIOD_OVERRIDE=FQ","FILING_STATUS=MR","SCALING_FORMAT=MLN","Sort=A","Dates=H","DateFormat=P","Fill=—","Direction=H","UseDPDF=Y")</f>
        <v>12.326000000000001</v>
      </c>
      <c r="I76" s="13" cm="1">
        <f t="array" ref="I76">_xll.BDH("PH US Equity","MINORITY_NONCONTROLLING_INTEREST","FQ3 2020","FQ3 2020","Currency=USD","Period=FQ","BEST_FPERIOD_OVERRIDE=FQ","FILING_STATUS=MR","SCALING_FORMAT=MLN","Sort=A","Dates=H","DateFormat=P","Fill=—","Direction=H","UseDPDF=Y")</f>
        <v>11.436999999999999</v>
      </c>
      <c r="J76" s="13" cm="1">
        <f t="array" ref="J76">_xll.BDH("PH US Equity","MINORITY_NONCONTROLLING_INTEREST","FQ4 2020","FQ4 2020","Currency=USD","Period=FQ","BEST_FPERIOD_OVERRIDE=FQ","FILING_STATUS=MR","SCALING_FORMAT=MLN","Sort=A","Dates=H","DateFormat=P","Fill=—","Direction=H","UseDPDF=Y")</f>
        <v>14.545999999999999</v>
      </c>
      <c r="K76" s="13" cm="1">
        <f t="array" ref="K76">_xll.BDH("PH US Equity","MINORITY_NONCONTROLLING_INTEREST","FQ1 2021","FQ1 2021","Currency=USD","Period=FQ","BEST_FPERIOD_OVERRIDE=FQ","FILING_STATUS=MR","SCALING_FORMAT=MLN","Sort=A","Dates=H","DateFormat=P","Fill=—","Direction=H","UseDPDF=Y")</f>
        <v>15.285</v>
      </c>
      <c r="L76" s="13" cm="1">
        <f t="array" ref="L76">_xll.BDH("PH US Equity","MINORITY_NONCONTROLLING_INTEREST","FQ2 2021","FQ2 2021","Currency=USD","Period=FQ","BEST_FPERIOD_OVERRIDE=FQ","FILING_STATUS=MR","SCALING_FORMAT=MLN","Sort=A","Dates=H","DateFormat=P","Fill=—","Direction=H","UseDPDF=Y")</f>
        <v>16.321999999999999</v>
      </c>
      <c r="M76" s="13" cm="1">
        <f t="array" ref="M76">_xll.BDH("PH US Equity","MINORITY_NONCONTROLLING_INTEREST","FQ3 2021","FQ3 2021","Currency=USD","Period=FQ","BEST_FPERIOD_OVERRIDE=FQ","FILING_STATUS=MR","SCALING_FORMAT=MLN","Sort=A","Dates=H","DateFormat=P","Fill=—","Direction=H","UseDPDF=Y")</f>
        <v>15.727</v>
      </c>
      <c r="N76" s="13" cm="1">
        <f t="array" ref="N76">_xll.BDH("PH US Equity","MINORITY_NONCONTROLLING_INTEREST","FQ4 2021","FQ4 2021","Currency=USD","Period=FQ","BEST_FPERIOD_OVERRIDE=FQ","FILING_STATUS=MR","SCALING_FORMAT=MLN","Sort=A","Dates=H","DateFormat=P","Fill=—","Direction=H","UseDPDF=Y")</f>
        <v>15.363</v>
      </c>
      <c r="O76" s="13" cm="1">
        <f t="array" ref="O76">_xll.BDH("PH US Equity","MINORITY_NONCONTROLLING_INTEREST","FQ1 2022","FQ1 2022","Currency=USD","Period=FQ","BEST_FPERIOD_OVERRIDE=FQ","FILING_STATUS=MR","SCALING_FORMAT=MLN","Sort=A","Dates=H","DateFormat=P","Fill=—","Direction=H","UseDPDF=Y")</f>
        <v>15.064</v>
      </c>
      <c r="P76" s="13" cm="1">
        <f t="array" ref="P76">_xll.BDH("PH US Equity","MINORITY_NONCONTROLLING_INTEREST","FQ2 2022","FQ2 2022","Currency=USD","Period=FQ","BEST_FPERIOD_OVERRIDE=FQ","FILING_STATUS=MR","SCALING_FORMAT=MLN","Sort=A","Dates=H","DateFormat=P","Fill=—","Direction=H","UseDPDF=Y")</f>
        <v>13.198</v>
      </c>
      <c r="Q76" s="13" cm="1">
        <f t="array" ref="Q76">_xll.BDH("PH US Equity","MINORITY_NONCONTROLLING_INTEREST","FQ3 2022","FQ3 2022","Currency=USD","Period=FQ","BEST_FPERIOD_OVERRIDE=FQ","FILING_STATUS=MR","SCALING_FORMAT=MLN","Sort=A","Dates=H","DateFormat=P","Fill=—","Direction=H","UseDPDF=Y")</f>
        <v>12.993</v>
      </c>
      <c r="R76" s="13" cm="1">
        <f t="array" ref="R76">_xll.BDH("PH US Equity","MINORITY_NONCONTROLLING_INTEREST","FQ4 2022","FQ4 2022","Currency=USD","Period=FQ","BEST_FPERIOD_OVERRIDE=FQ","FILING_STATUS=MR","SCALING_FORMAT=MLN","Sort=A","Dates=H","DateFormat=P","Fill=—","Direction=H","UseDPDF=Y")</f>
        <v>11.909000000000001</v>
      </c>
      <c r="S76" s="13" cm="1">
        <f t="array" ref="S76">_xll.BDH("PH US Equity","MINORITY_NONCONTROLLING_INTEREST","FQ1 2023","FQ1 2023","Currency=USD","Period=FQ","BEST_FPERIOD_OVERRIDE=FQ","FILING_STATUS=MR","SCALING_FORMAT=MLN","Sort=A","Dates=H","DateFormat=P","Fill=—","Direction=H","UseDPDF=Y")</f>
        <v>10.882999999999999</v>
      </c>
      <c r="T76" s="13" cm="1">
        <f t="array" ref="T76">_xll.BDH("PH US Equity","MINORITY_NONCONTROLLING_INTEREST","FQ2 2023","FQ2 2023","Currency=USD","Period=FQ","BEST_FPERIOD_OVERRIDE=FQ","FILING_STATUS=MR","SCALING_FORMAT=MLN","Sort=A","Dates=H","DateFormat=P","Fill=—","Direction=H","UseDPDF=Y")</f>
        <v>12.096</v>
      </c>
      <c r="U76" s="13" cm="1">
        <f t="array" ref="U76">_xll.BDH("PH US Equity","MINORITY_NONCONTROLLING_INTEREST","FQ3 2023","FQ3 2023","Currency=USD","Period=FQ","BEST_FPERIOD_OVERRIDE=FQ","FILING_STATUS=MR","SCALING_FORMAT=MLN","Sort=A","Dates=H","DateFormat=P","Fill=—","Direction=H","UseDPDF=Y")</f>
        <v>11.868</v>
      </c>
      <c r="V76" s="13" cm="1">
        <f t="array" ref="V76">_xll.BDH("PH US Equity","MINORITY_NONCONTROLLING_INTEREST","FQ4 2023","FQ4 2023","Currency=USD","Period=FQ","BEST_FPERIOD_OVERRIDE=FQ","FILING_STATUS=MR","SCALING_FORMAT=MLN","Sort=A","Dates=H","DateFormat=P","Fill=—","Direction=H","UseDPDF=Y")</f>
        <v>11.391</v>
      </c>
      <c r="W76" s="13" cm="1">
        <f t="array" ref="W76">_xll.BDH("PH US Equity","MINORITY_NONCONTROLLING_INTEREST","FQ1 2024","FQ1 2024","Currency=USD","Period=FQ","BEST_FPERIOD_OVERRIDE=FQ","FILING_STATUS=MR","SCALING_FORMAT=MLN","Sort=A","Dates=H","DateFormat=P","Fill=—","Direction=H","UseDPDF=Y")</f>
        <v>9.5679999999999996</v>
      </c>
      <c r="X76" s="13" cm="1">
        <f t="array" ref="X76">_xll.BDH("PH US Equity","MINORITY_NONCONTROLLING_INTEREST","FQ2 2024","FQ2 2024","Currency=USD","Period=FQ","BEST_FPERIOD_OVERRIDE=FQ","FILING_STATUS=MR","SCALING_FORMAT=MLN","Sort=A","Dates=H","DateFormat=P","Fill=—","Direction=H","UseDPDF=Y")</f>
        <v>9.8010000000000002</v>
      </c>
      <c r="Y76" s="13" cm="1">
        <f t="array" ref="Y76">_xll.BDH("PH US Equity","MINORITY_NONCONTROLLING_INTEREST","FQ3 2024","FQ3 2024","Currency=USD","Period=FQ","BEST_FPERIOD_OVERRIDE=FQ","FILING_STATUS=MR","SCALING_FORMAT=MLN","Sort=A","Dates=H","DateFormat=P","Fill=—","Direction=H","UseDPDF=Y")</f>
        <v>9.5690000000000008</v>
      </c>
      <c r="Z76" s="13" cm="1">
        <f t="array" ref="Z76">_xll.BDH("PH US Equity","MINORITY_NONCONTROLLING_INTEREST","FQ4 2024","FQ4 2024","Currency=USD","Period=FQ","BEST_FPERIOD_OVERRIDE=FQ","FILING_STATUS=MR","SCALING_FORMAT=MLN","Sort=A","Dates=H","DateFormat=P","Fill=—","Direction=H","UseDPDF=Y")</f>
        <v>8.9209999999999994</v>
      </c>
      <c r="AA76" s="13" cm="1">
        <f t="array" ref="AA76">_xll.BDH("PH US Equity","MINORITY_NONCONTROLLING_INTEREST","FQ1 2025","FQ1 2025","Currency=USD","Period=FQ","BEST_FPERIOD_OVERRIDE=FQ","FILING_STATUS=MR","SCALING_FORMAT=MLN","Sort=A","Dates=H","DateFormat=P","Fill=—","Direction=H","UseDPDF=Y")</f>
        <v>9.4489999999999998</v>
      </c>
      <c r="AB76" s="13" cm="1">
        <f t="array" ref="AB76">_xll.BDH("PH US Equity","MINORITY_NONCONTROLLING_INTEREST","FQ2 2025","FQ2 2025","Currency=USD","Period=FQ","BEST_FPERIOD_OVERRIDE=FQ","FILING_STATUS=MR","SCALING_FORMAT=MLN","Sort=A","Dates=H","DateFormat=P","Fill=—","Direction=H","UseDPDF=Y")</f>
        <v>8.5079999999999991</v>
      </c>
      <c r="AC76" s="13" cm="1">
        <f t="array" ref="AC76">_xll.BDH("PH US Equity","MINORITY_NONCONTROLLING_INTEREST","FQ3 2025","FQ3 2025","Currency=USD","Period=FQ","BEST_FPERIOD_OVERRIDE=FQ","FILING_STATUS=MR","SCALING_FORMAT=MLN","Sort=A","Dates=H","DateFormat=P","Fill=—","Direction=H","UseDPDF=Y")</f>
        <v>8.8510000000000009</v>
      </c>
      <c r="AD76" s="13" cm="1">
        <f t="array" ref="AD76">_xll.BDH("PH US Equity","MINORITY_NONCONTROLLING_INTEREST","FQ4 2025","FQ4 2025","Currency=USD","Period=FQ","BEST_FPERIOD_OVERRIDE=FQ","FILING_STATUS=MR","SCALING_FORMAT=MLN","Sort=A","Dates=H","DateFormat=P","Fill=—","Direction=H","UseDPDF=Y")</f>
        <v>9</v>
      </c>
      <c r="AE76" s="13" cm="1">
        <f t="array" ref="AE76">_xll.BDH("PH US Equity","MINORITY_NONCONTROLLING_INTEREST","FQ1 2026","FQ1 2026","Currency=USD","Period=FQ","BEST_FPERIOD_OVERRIDE=FQ","FILING_STATUS=MR","SCALING_FORMAT=MLN","Sort=A","Dates=H","DateFormat=P","Fill=—","Direction=H","UseDPDF=Y")</f>
        <v>9</v>
      </c>
      <c r="AF76" s="13" cm="1">
        <f t="array" ref="AF76">_xll.BDH("PH US Equity","MINORITY_NONCONTROLLING_INTEREST","FQ2 2026","FQ2 2026","Currency=USD","Period=FQ","BEST_FPERIOD_OVERRIDE=FQ","FILING_STATUS=MR","SCALING_FORMAT=MLN","Sort=A","Dates=H","DateFormat=P","Fill=—","Direction=H","UseDPDF=Y")</f>
        <v>9</v>
      </c>
    </row>
    <row r="77" spans="1:32" x14ac:dyDescent="0.25">
      <c r="A77" s="6" t="s">
        <v>199</v>
      </c>
      <c r="B77" s="6" t="s">
        <v>200</v>
      </c>
      <c r="C77" s="16" cm="1">
        <f t="array" ref="C77">_xll.BDH("PH US Equity","TOTAL_EQUITY","FQ1 2019","FQ1 2019","Currency=USD","Period=FQ","BEST_FPERIOD_OVERRIDE=FQ","FILING_STATUS=MR","SCALING_FORMAT=MLN","Sort=A","Dates=H","DateFormat=P","Fill=—","Direction=H","UseDPDF=Y")</f>
        <v>6107.1059999999998</v>
      </c>
      <c r="D77" s="16" cm="1">
        <f t="array" ref="D77">_xll.BDH("PH US Equity","TOTAL_EQUITY","FQ2 2019","FQ2 2019","Currency=USD","Period=FQ","BEST_FPERIOD_OVERRIDE=FQ","FILING_STATUS=MR","SCALING_FORMAT=MLN","Sort=A","Dates=H","DateFormat=P","Fill=—","Direction=H","UseDPDF=Y")</f>
        <v>5821.1660000000002</v>
      </c>
      <c r="E77" s="16" cm="1">
        <f t="array" ref="E77">_xll.BDH("PH US Equity","TOTAL_EQUITY","FQ3 2019","FQ3 2019","Currency=USD","Period=FQ","BEST_FPERIOD_OVERRIDE=FQ","FILING_STATUS=MR","SCALING_FORMAT=MLN","Sort=A","Dates=H","DateFormat=P","Fill=—","Direction=H","UseDPDF=Y")</f>
        <v>6016.0479999999998</v>
      </c>
      <c r="F77" s="16" cm="1">
        <f t="array" ref="F77">_xll.BDH("PH US Equity","TOTAL_EQUITY","FQ4 2019","FQ4 2019","Currency=USD","Period=FQ","BEST_FPERIOD_OVERRIDE=FQ","FILING_STATUS=MR","SCALING_FORMAT=MLN","Sort=A","Dates=H","DateFormat=P","Fill=—","Direction=H","UseDPDF=Y")</f>
        <v>5968.152</v>
      </c>
      <c r="G77" s="16" cm="1">
        <f t="array" ref="G77">_xll.BDH("PH US Equity","TOTAL_EQUITY","FQ1 2020","FQ1 2020","Currency=USD","Period=FQ","BEST_FPERIOD_OVERRIDE=FQ","FILING_STATUS=MR","SCALING_FORMAT=MLN","Sort=A","Dates=H","DateFormat=P","Fill=—","Direction=H","UseDPDF=Y")</f>
        <v>6102.7920000000004</v>
      </c>
      <c r="H77" s="16" cm="1">
        <f t="array" ref="H77">_xll.BDH("PH US Equity","TOTAL_EQUITY","FQ2 2020","FQ2 2020","Currency=USD","Period=FQ","BEST_FPERIOD_OVERRIDE=FQ","FILING_STATUS=MR","SCALING_FORMAT=MLN","Sort=A","Dates=H","DateFormat=P","Fill=—","Direction=H","UseDPDF=Y")</f>
        <v>6342.5010000000002</v>
      </c>
      <c r="I77" s="16" cm="1">
        <f t="array" ref="I77">_xll.BDH("PH US Equity","TOTAL_EQUITY","FQ3 2020","FQ3 2020","Currency=USD","Period=FQ","BEST_FPERIOD_OVERRIDE=FQ","FILING_STATUS=MR","SCALING_FORMAT=MLN","Sort=A","Dates=H","DateFormat=P","Fill=—","Direction=H","UseDPDF=Y")</f>
        <v>6307.4269999999997</v>
      </c>
      <c r="J77" s="16" cm="1">
        <f t="array" ref="J77">_xll.BDH("PH US Equity","TOTAL_EQUITY","FQ4 2020","FQ4 2020","Currency=USD","Period=FQ","BEST_FPERIOD_OVERRIDE=FQ","FILING_STATUS=MR","SCALING_FORMAT=MLN","Sort=A","Dates=H","DateFormat=P","Fill=—","Direction=H","UseDPDF=Y")</f>
        <v>6241.77</v>
      </c>
      <c r="K77" s="16" cm="1">
        <f t="array" ref="K77">_xll.BDH("PH US Equity","TOTAL_EQUITY","FQ1 2021","FQ1 2021","Currency=USD","Period=FQ","BEST_FPERIOD_OVERRIDE=FQ","FILING_STATUS=MR","SCALING_FORMAT=MLN","Sort=A","Dates=H","DateFormat=P","Fill=—","Direction=H","UseDPDF=Y")</f>
        <v>6544.2489999999998</v>
      </c>
      <c r="L77" s="16" cm="1">
        <f t="array" ref="L77">_xll.BDH("PH US Equity","TOTAL_EQUITY","FQ2 2021","FQ2 2021","Currency=USD","Period=FQ","BEST_FPERIOD_OVERRIDE=FQ","FILING_STATUS=MR","SCALING_FORMAT=MLN","Sort=A","Dates=H","DateFormat=P","Fill=—","Direction=H","UseDPDF=Y")</f>
        <v>7122.3040000000001</v>
      </c>
      <c r="M77" s="16" cm="1">
        <f t="array" ref="M77">_xll.BDH("PH US Equity","TOTAL_EQUITY","FQ3 2021","FQ3 2021","Currency=USD","Period=FQ","BEST_FPERIOD_OVERRIDE=FQ","FILING_STATUS=MR","SCALING_FORMAT=MLN","Sort=A","Dates=H","DateFormat=P","Fill=—","Direction=H","UseDPDF=Y")</f>
        <v>7407.9290000000001</v>
      </c>
      <c r="N77" s="16" cm="1">
        <f t="array" ref="N77">_xll.BDH("PH US Equity","TOTAL_EQUITY","FQ4 2021","FQ4 2021","Currency=USD","Period=FQ","BEST_FPERIOD_OVERRIDE=FQ","FILING_STATUS=MR","SCALING_FORMAT=MLN","Sort=A","Dates=H","DateFormat=P","Fill=—","Direction=H","UseDPDF=Y")</f>
        <v>8413.67</v>
      </c>
      <c r="O77" s="16" cm="1">
        <f t="array" ref="O77">_xll.BDH("PH US Equity","TOTAL_EQUITY","FQ1 2022","FQ1 2022","Currency=USD","Period=FQ","BEST_FPERIOD_OVERRIDE=FQ","FILING_STATUS=MR","SCALING_FORMAT=MLN","Sort=A","Dates=H","DateFormat=P","Fill=—","Direction=H","UseDPDF=Y")</f>
        <v>8505.8449999999993</v>
      </c>
      <c r="P77" s="16" cm="1">
        <f t="array" ref="P77">_xll.BDH("PH US Equity","TOTAL_EQUITY","FQ2 2022","FQ2 2022","Currency=USD","Period=FQ","BEST_FPERIOD_OVERRIDE=FQ","FILING_STATUS=MR","SCALING_FORMAT=MLN","Sort=A","Dates=H","DateFormat=P","Fill=—","Direction=H","UseDPDF=Y")</f>
        <v>8768.2800000000007</v>
      </c>
      <c r="Q77" s="16" cm="1">
        <f t="array" ref="Q77">_xll.BDH("PH US Equity","TOTAL_EQUITY","FQ3 2022","FQ3 2022","Currency=USD","Period=FQ","BEST_FPERIOD_OVERRIDE=FQ","FILING_STATUS=MR","SCALING_FORMAT=MLN","Sort=A","Dates=H","DateFormat=P","Fill=—","Direction=H","UseDPDF=Y")</f>
        <v>8972.8590000000004</v>
      </c>
      <c r="R77" s="16" cm="1">
        <f t="array" ref="R77">_xll.BDH("PH US Equity","TOTAL_EQUITY","FQ4 2022","FQ4 2022","Currency=USD","Period=FQ","BEST_FPERIOD_OVERRIDE=FQ","FILING_STATUS=MR","SCALING_FORMAT=MLN","Sort=A","Dates=H","DateFormat=P","Fill=—","Direction=H","UseDPDF=Y")</f>
        <v>8859.92</v>
      </c>
      <c r="S77" s="16" cm="1">
        <f t="array" ref="S77">_xll.BDH("PH US Equity","TOTAL_EQUITY","FQ1 2023","FQ1 2023","Currency=USD","Period=FQ","BEST_FPERIOD_OVERRIDE=FQ","FILING_STATUS=MR","SCALING_FORMAT=MLN","Sort=A","Dates=H","DateFormat=P","Fill=—","Direction=H","UseDPDF=Y")</f>
        <v>8773.4040000000005</v>
      </c>
      <c r="T77" s="16" cm="1">
        <f t="array" ref="T77">_xll.BDH("PH US Equity","TOTAL_EQUITY","FQ2 2023","FQ2 2023","Currency=USD","Period=FQ","BEST_FPERIOD_OVERRIDE=FQ","FILING_STATUS=MR","SCALING_FORMAT=MLN","Sort=A","Dates=H","DateFormat=P","Fill=—","Direction=H","UseDPDF=Y")</f>
        <v>9334.4760000000006</v>
      </c>
      <c r="U77" s="16" cm="1">
        <f t="array" ref="U77">_xll.BDH("PH US Equity","TOTAL_EQUITY","FQ3 2023","FQ3 2023","Currency=USD","Period=FQ","BEST_FPERIOD_OVERRIDE=FQ","FILING_STATUS=MR","SCALING_FORMAT=MLN","Sort=A","Dates=H","DateFormat=P","Fill=—","Direction=H","UseDPDF=Y")</f>
        <v>9793.1650000000009</v>
      </c>
      <c r="V77" s="16" cm="1">
        <f t="array" ref="V77">_xll.BDH("PH US Equity","TOTAL_EQUITY","FQ4 2023","FQ4 2023","Currency=USD","Period=FQ","BEST_FPERIOD_OVERRIDE=FQ","FILING_STATUS=MR","SCALING_FORMAT=MLN","Sort=A","Dates=H","DateFormat=P","Fill=—","Direction=H","UseDPDF=Y")</f>
        <v>10338.279</v>
      </c>
      <c r="W77" s="16" cm="1">
        <f t="array" ref="W77">_xll.BDH("PH US Equity","TOTAL_EQUITY","FQ1 2024","FQ1 2024","Currency=USD","Period=FQ","BEST_FPERIOD_OVERRIDE=FQ","FILING_STATUS=MR","SCALING_FORMAT=MLN","Sort=A","Dates=H","DateFormat=P","Fill=—","Direction=H","UseDPDF=Y")</f>
        <v>10574.95</v>
      </c>
      <c r="X77" s="16" cm="1">
        <f t="array" ref="X77">_xll.BDH("PH US Equity","TOTAL_EQUITY","FQ2 2024","FQ2 2024","Currency=USD","Period=FQ","BEST_FPERIOD_OVERRIDE=FQ","FILING_STATUS=MR","SCALING_FORMAT=MLN","Sort=A","Dates=H","DateFormat=P","Fill=—","Direction=H","UseDPDF=Y")</f>
        <v>11312.379000000001</v>
      </c>
      <c r="Y77" s="16" cm="1">
        <f t="array" ref="Y77">_xll.BDH("PH US Equity","TOTAL_EQUITY","FQ3 2024","FQ3 2024","Currency=USD","Period=FQ","BEST_FPERIOD_OVERRIDE=FQ","FILING_STATUS=MR","SCALING_FORMAT=MLN","Sort=A","Dates=H","DateFormat=P","Fill=—","Direction=H","UseDPDF=Y")</f>
        <v>11600.421</v>
      </c>
      <c r="Z77" s="16" cm="1">
        <f t="array" ref="Z77">_xll.BDH("PH US Equity","TOTAL_EQUITY","FQ4 2024","FQ4 2024","Currency=USD","Period=FQ","BEST_FPERIOD_OVERRIDE=FQ","FILING_STATUS=MR","SCALING_FORMAT=MLN","Sort=A","Dates=H","DateFormat=P","Fill=—","Direction=H","UseDPDF=Y")</f>
        <v>12080.893</v>
      </c>
      <c r="AA77" s="16" cm="1">
        <f t="array" ref="AA77">_xll.BDH("PH US Equity","TOTAL_EQUITY","FQ1 2025","FQ1 2025","Currency=USD","Period=FQ","BEST_FPERIOD_OVERRIDE=FQ","FILING_STATUS=MR","SCALING_FORMAT=MLN","Sort=A","Dates=H","DateFormat=P","Fill=—","Direction=H","UseDPDF=Y")</f>
        <v>12901.349</v>
      </c>
      <c r="AB77" s="16" cm="1">
        <f t="array" ref="AB77">_xll.BDH("PH US Equity","TOTAL_EQUITY","FQ2 2025","FQ2 2025","Currency=USD","Period=FQ","BEST_FPERIOD_OVERRIDE=FQ","FILING_STATUS=MR","SCALING_FORMAT=MLN","Sort=A","Dates=H","DateFormat=P","Fill=—","Direction=H","UseDPDF=Y")</f>
        <v>13127.061</v>
      </c>
      <c r="AC77" s="16" cm="1">
        <f t="array" ref="AC77">_xll.BDH("PH US Equity","TOTAL_EQUITY","FQ3 2025","FQ3 2025","Currency=USD","Period=FQ","BEST_FPERIOD_OVERRIDE=FQ","FILING_STATUS=MR","SCALING_FORMAT=MLN","Sort=A","Dates=H","DateFormat=P","Fill=—","Direction=H","UseDPDF=Y")</f>
        <v>13399.825000000001</v>
      </c>
      <c r="AD77" s="16" cm="1">
        <f t="array" ref="AD77">_xll.BDH("PH US Equity","TOTAL_EQUITY","FQ4 2025","FQ4 2025","Currency=USD","Period=FQ","BEST_FPERIOD_OVERRIDE=FQ","FILING_STATUS=MR","SCALING_FORMAT=MLN","Sort=A","Dates=H","DateFormat=P","Fill=—","Direction=H","UseDPDF=Y")</f>
        <v>13691</v>
      </c>
      <c r="AE77" s="16" cm="1">
        <f t="array" ref="AE77">_xll.BDH("PH US Equity","TOTAL_EQUITY","FQ1 2026","FQ1 2026","Currency=USD","Period=FQ","BEST_FPERIOD_OVERRIDE=FQ","FILING_STATUS=MR","SCALING_FORMAT=MLN","Sort=A","Dates=H","DateFormat=P","Fill=—","Direction=H","UseDPDF=Y")</f>
        <v>13786</v>
      </c>
      <c r="AF77" s="16" cm="1">
        <f t="array" ref="AF77">_xll.BDH("PH US Equity","TOTAL_EQUITY","FQ2 2026","FQ2 2026","Currency=USD","Period=FQ","BEST_FPERIOD_OVERRIDE=FQ","FILING_STATUS=MR","SCALING_FORMAT=MLN","Sort=A","Dates=H","DateFormat=P","Fill=—","Direction=H","UseDPDF=Y")</f>
        <v>14320</v>
      </c>
    </row>
    <row r="78" spans="1:32" x14ac:dyDescent="0.25">
      <c r="A78" s="6" t="s">
        <v>201</v>
      </c>
      <c r="B78" s="6" t="s">
        <v>202</v>
      </c>
      <c r="C78" s="16" cm="1">
        <f t="array" ref="C78">_xll.BDH("PH US Equity","TOT_LIAB_AND_EQY","FQ1 2019","FQ1 2019","Currency=USD","Period=FQ","BEST_FPERIOD_OVERRIDE=FQ","FILING_STATUS=MR","SCALING_FORMAT=MLN","Sort=A","Dates=H","DateFormat=P","Fill=—","Direction=H","UseDPDF=Y")</f>
        <v>15425.041999999999</v>
      </c>
      <c r="D78" s="16" cm="1">
        <f t="array" ref="D78">_xll.BDH("PH US Equity","TOT_LIAB_AND_EQY","FQ2 2019","FQ2 2019","Currency=USD","Period=FQ","BEST_FPERIOD_OVERRIDE=FQ","FILING_STATUS=MR","SCALING_FORMAT=MLN","Sort=A","Dates=H","DateFormat=P","Fill=—","Direction=H","UseDPDF=Y")</f>
        <v>15307.687</v>
      </c>
      <c r="E78" s="16" cm="1">
        <f t="array" ref="E78">_xll.BDH("PH US Equity","TOT_LIAB_AND_EQY","FQ3 2019","FQ3 2019","Currency=USD","Period=FQ","BEST_FPERIOD_OVERRIDE=FQ","FILING_STATUS=MR","SCALING_FORMAT=MLN","Sort=A","Dates=H","DateFormat=P","Fill=—","Direction=H","UseDPDF=Y")</f>
        <v>15477.934999999999</v>
      </c>
      <c r="F78" s="16" cm="1">
        <f t="array" ref="F78">_xll.BDH("PH US Equity","TOT_LIAB_AND_EQY","FQ4 2019","FQ4 2019","Currency=USD","Period=FQ","BEST_FPERIOD_OVERRIDE=FQ","FILING_STATUS=MR","SCALING_FORMAT=MLN","Sort=A","Dates=H","DateFormat=P","Fill=—","Direction=H","UseDPDF=Y")</f>
        <v>17576.689999999999</v>
      </c>
      <c r="G78" s="16" cm="1">
        <f t="array" ref="G78">_xll.BDH("PH US Equity","TOT_LIAB_AND_EQY","FQ1 2020","FQ1 2020","Currency=USD","Period=FQ","BEST_FPERIOD_OVERRIDE=FQ","FILING_STATUS=MR","SCALING_FORMAT=MLN","Sort=A","Dates=H","DateFormat=P","Fill=—","Direction=H","UseDPDF=Y")</f>
        <v>19568.589</v>
      </c>
      <c r="H78" s="16" cm="1">
        <f t="array" ref="H78">_xll.BDH("PH US Equity","TOT_LIAB_AND_EQY","FQ2 2020","FQ2 2020","Currency=USD","Period=FQ","BEST_FPERIOD_OVERRIDE=FQ","FILING_STATUS=MR","SCALING_FORMAT=MLN","Sort=A","Dates=H","DateFormat=P","Fill=—","Direction=H","UseDPDF=Y")</f>
        <v>21043.989000000001</v>
      </c>
      <c r="I78" s="16" cm="1">
        <f t="array" ref="I78">_xll.BDH("PH US Equity","TOT_LIAB_AND_EQY","FQ3 2020","FQ3 2020","Currency=USD","Period=FQ","BEST_FPERIOD_OVERRIDE=FQ","FILING_STATUS=MR","SCALING_FORMAT=MLN","Sort=A","Dates=H","DateFormat=P","Fill=—","Direction=H","UseDPDF=Y")</f>
        <v>20365.28</v>
      </c>
      <c r="J78" s="16" cm="1">
        <f t="array" ref="J78">_xll.BDH("PH US Equity","TOT_LIAB_AND_EQY","FQ4 2020","FQ4 2020","Currency=USD","Period=FQ","BEST_FPERIOD_OVERRIDE=FQ","FILING_STATUS=MR","SCALING_FORMAT=MLN","Sort=A","Dates=H","DateFormat=P","Fill=—","Direction=H","UseDPDF=Y")</f>
        <v>19887.753000000001</v>
      </c>
      <c r="K78" s="16" cm="1">
        <f t="array" ref="K78">_xll.BDH("PH US Equity","TOT_LIAB_AND_EQY","FQ1 2021","FQ1 2021","Currency=USD","Period=FQ","BEST_FPERIOD_OVERRIDE=FQ","FILING_STATUS=MR","SCALING_FORMAT=MLN","Sort=A","Dates=H","DateFormat=P","Fill=—","Direction=H","UseDPDF=Y")</f>
        <v>19785.917000000001</v>
      </c>
      <c r="L78" s="16" cm="1">
        <f t="array" ref="L78">_xll.BDH("PH US Equity","TOT_LIAB_AND_EQY","FQ2 2021","FQ2 2021","Currency=USD","Period=FQ","BEST_FPERIOD_OVERRIDE=FQ","FILING_STATUS=MR","SCALING_FORMAT=MLN","Sort=A","Dates=H","DateFormat=P","Fill=—","Direction=H","UseDPDF=Y")</f>
        <v>19827.429</v>
      </c>
      <c r="M78" s="16" cm="1">
        <f t="array" ref="M78">_xll.BDH("PH US Equity","TOT_LIAB_AND_EQY","FQ3 2021","FQ3 2021","Currency=USD","Period=FQ","BEST_FPERIOD_OVERRIDE=FQ","FILING_STATUS=MR","SCALING_FORMAT=MLN","Sort=A","Dates=H","DateFormat=P","Fill=—","Direction=H","UseDPDF=Y")</f>
        <v>19841.545999999998</v>
      </c>
      <c r="N78" s="16" cm="1">
        <f t="array" ref="N78">_xll.BDH("PH US Equity","TOT_LIAB_AND_EQY","FQ4 2021","FQ4 2021","Currency=USD","Period=FQ","BEST_FPERIOD_OVERRIDE=FQ","FILING_STATUS=MR","SCALING_FORMAT=MLN","Sort=A","Dates=H","DateFormat=P","Fill=—","Direction=H","UseDPDF=Y")</f>
        <v>20341.2</v>
      </c>
      <c r="O78" s="16" cm="1">
        <f t="array" ref="O78">_xll.BDH("PH US Equity","TOT_LIAB_AND_EQY","FQ1 2022","FQ1 2022","Currency=USD","Period=FQ","BEST_FPERIOD_OVERRIDE=FQ","FILING_STATUS=MR","SCALING_FORMAT=MLN","Sort=A","Dates=H","DateFormat=P","Fill=—","Direction=H","UseDPDF=Y")</f>
        <v>20236.870999999999</v>
      </c>
      <c r="P78" s="16" cm="1">
        <f t="array" ref="P78">_xll.BDH("PH US Equity","TOT_LIAB_AND_EQY","FQ2 2022","FQ2 2022","Currency=USD","Period=FQ","BEST_FPERIOD_OVERRIDE=FQ","FILING_STATUS=MR","SCALING_FORMAT=MLN","Sort=A","Dates=H","DateFormat=P","Fill=—","Direction=H","UseDPDF=Y")</f>
        <v>22395.474999999999</v>
      </c>
      <c r="Q78" s="16" cm="1">
        <f t="array" ref="Q78">_xll.BDH("PH US Equity","TOT_LIAB_AND_EQY","FQ3 2022","FQ3 2022","Currency=USD","Period=FQ","BEST_FPERIOD_OVERRIDE=FQ","FILING_STATUS=MR","SCALING_FORMAT=MLN","Sort=A","Dates=H","DateFormat=P","Fill=—","Direction=H","UseDPDF=Y")</f>
        <v>22545.32</v>
      </c>
      <c r="R78" s="16" cm="1">
        <f t="array" ref="R78">_xll.BDH("PH US Equity","TOT_LIAB_AND_EQY","FQ4 2022","FQ4 2022","Currency=USD","Period=FQ","BEST_FPERIOD_OVERRIDE=FQ","FILING_STATUS=MR","SCALING_FORMAT=MLN","Sort=A","Dates=H","DateFormat=P","Fill=—","Direction=H","UseDPDF=Y")</f>
        <v>25943.942999999999</v>
      </c>
      <c r="S78" s="16" cm="1">
        <f t="array" ref="S78">_xll.BDH("PH US Equity","TOT_LIAB_AND_EQY","FQ1 2023","FQ1 2023","Currency=USD","Period=FQ","BEST_FPERIOD_OVERRIDE=FQ","FILING_STATUS=MR","SCALING_FORMAT=MLN","Sort=A","Dates=H","DateFormat=P","Fill=—","Direction=H","UseDPDF=Y")</f>
        <v>29954.906999999999</v>
      </c>
      <c r="T78" s="16" cm="1">
        <f t="array" ref="T78">_xll.BDH("PH US Equity","TOT_LIAB_AND_EQY","FQ2 2023","FQ2 2023","Currency=USD","Period=FQ","BEST_FPERIOD_OVERRIDE=FQ","FILING_STATUS=MR","SCALING_FORMAT=MLN","Sort=A","Dates=H","DateFormat=P","Fill=—","Direction=H","UseDPDF=Y")</f>
        <v>30520.886999999999</v>
      </c>
      <c r="U78" s="16" cm="1">
        <f t="array" ref="U78">_xll.BDH("PH US Equity","TOT_LIAB_AND_EQY","FQ3 2023","FQ3 2023","Currency=USD","Period=FQ","BEST_FPERIOD_OVERRIDE=FQ","FILING_STATUS=MR","SCALING_FORMAT=MLN","Sort=A","Dates=H","DateFormat=P","Fill=—","Direction=H","UseDPDF=Y")</f>
        <v>30515.726999999999</v>
      </c>
      <c r="V78" s="16" cm="1">
        <f t="array" ref="V78">_xll.BDH("PH US Equity","TOT_LIAB_AND_EQY","FQ4 2023","FQ4 2023","Currency=USD","Period=FQ","BEST_FPERIOD_OVERRIDE=FQ","FILING_STATUS=MR","SCALING_FORMAT=MLN","Sort=A","Dates=H","DateFormat=P","Fill=—","Direction=H","UseDPDF=Y")</f>
        <v>29964.472000000002</v>
      </c>
      <c r="W78" s="16" cm="1">
        <f t="array" ref="W78">_xll.BDH("PH US Equity","TOT_LIAB_AND_EQY","FQ1 2024","FQ1 2024","Currency=USD","Period=FQ","BEST_FPERIOD_OVERRIDE=FQ","FILING_STATUS=MR","SCALING_FORMAT=MLN","Sort=A","Dates=H","DateFormat=P","Fill=—","Direction=H","UseDPDF=Y")</f>
        <v>29592.717000000001</v>
      </c>
      <c r="X78" s="16" cm="1">
        <f t="array" ref="X78">_xll.BDH("PH US Equity","TOT_LIAB_AND_EQY","FQ2 2024","FQ2 2024","Currency=USD","Period=FQ","BEST_FPERIOD_OVERRIDE=FQ","FILING_STATUS=MR","SCALING_FORMAT=MLN","Sort=A","Dates=H","DateFormat=P","Fill=—","Direction=H","UseDPDF=Y")</f>
        <v>29694.935000000001</v>
      </c>
      <c r="Y78" s="16" cm="1">
        <f t="array" ref="Y78">_xll.BDH("PH US Equity","TOT_LIAB_AND_EQY","FQ3 2024","FQ3 2024","Currency=USD","Period=FQ","BEST_FPERIOD_OVERRIDE=FQ","FILING_STATUS=MR","SCALING_FORMAT=MLN","Sort=A","Dates=H","DateFormat=P","Fill=—","Direction=H","UseDPDF=Y")</f>
        <v>29578.33</v>
      </c>
      <c r="Z78" s="16" cm="1">
        <f t="array" ref="Z78">_xll.BDH("PH US Equity","TOT_LIAB_AND_EQY","FQ4 2024","FQ4 2024","Currency=USD","Period=FQ","BEST_FPERIOD_OVERRIDE=FQ","FILING_STATUS=MR","SCALING_FORMAT=MLN","Sort=A","Dates=H","DateFormat=P","Fill=—","Direction=H","UseDPDF=Y")</f>
        <v>29297.842000000001</v>
      </c>
      <c r="AA78" s="16" cm="1">
        <f t="array" ref="AA78">_xll.BDH("PH US Equity","TOT_LIAB_AND_EQY","FQ1 2025","FQ1 2025","Currency=USD","Period=FQ","BEST_FPERIOD_OVERRIDE=FQ","FILING_STATUS=MR","SCALING_FORMAT=MLN","Sort=A","Dates=H","DateFormat=P","Fill=—","Direction=H","UseDPDF=Y")</f>
        <v>29600.834999999999</v>
      </c>
      <c r="AB78" s="16" cm="1">
        <f t="array" ref="AB78">_xll.BDH("PH US Equity","TOT_LIAB_AND_EQY","FQ2 2025","FQ2 2025","Currency=USD","Period=FQ","BEST_FPERIOD_OVERRIDE=FQ","FILING_STATUS=MR","SCALING_FORMAT=MLN","Sort=A","Dates=H","DateFormat=P","Fill=—","Direction=H","UseDPDF=Y")</f>
        <v>28271.463</v>
      </c>
      <c r="AC78" s="16" cm="1">
        <f t="array" ref="AC78">_xll.BDH("PH US Equity","TOT_LIAB_AND_EQY","FQ3 2025","FQ3 2025","Currency=USD","Period=FQ","BEST_FPERIOD_OVERRIDE=FQ","FILING_STATUS=MR","SCALING_FORMAT=MLN","Sort=A","Dates=H","DateFormat=P","Fill=—","Direction=H","UseDPDF=Y")</f>
        <v>28917.808000000001</v>
      </c>
      <c r="AD78" s="16" cm="1">
        <f t="array" ref="AD78">_xll.BDH("PH US Equity","TOT_LIAB_AND_EQY","FQ4 2025","FQ4 2025","Currency=USD","Period=FQ","BEST_FPERIOD_OVERRIDE=FQ","FILING_STATUS=MR","SCALING_FORMAT=MLN","Sort=A","Dates=H","DateFormat=P","Fill=—","Direction=H","UseDPDF=Y")</f>
        <v>29494</v>
      </c>
      <c r="AE78" s="16" cm="1">
        <f t="array" ref="AE78">_xll.BDH("PH US Equity","TOT_LIAB_AND_EQY","FQ1 2026","FQ1 2026","Currency=USD","Period=FQ","BEST_FPERIOD_OVERRIDE=FQ","FILING_STATUS=MR","SCALING_FORMAT=MLN","Sort=A","Dates=H","DateFormat=P","Fill=—","Direction=H","UseDPDF=Y")</f>
        <v>30677</v>
      </c>
      <c r="AF78" s="16" cm="1">
        <f t="array" ref="AF78">_xll.BDH("PH US Equity","TOT_LIAB_AND_EQY","FQ2 2026","FQ2 2026","Currency=USD","Period=FQ","BEST_FPERIOD_OVERRIDE=FQ","FILING_STATUS=MR","SCALING_FORMAT=MLN","Sort=A","Dates=H","DateFormat=P","Fill=—","Direction=H","UseDPDF=Y")</f>
        <v>30511</v>
      </c>
    </row>
    <row r="79" spans="1:32" x14ac:dyDescent="0.25">
      <c r="A79" s="6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spans="1:32" x14ac:dyDescent="0.25">
      <c r="A80" s="6" t="s">
        <v>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spans="1:32" x14ac:dyDescent="0.25">
      <c r="A81" s="10" t="s">
        <v>203</v>
      </c>
      <c r="B81" s="10" t="s">
        <v>204</v>
      </c>
      <c r="C81" s="12" t="s">
        <v>205</v>
      </c>
      <c r="D81" s="12" t="s">
        <v>205</v>
      </c>
      <c r="E81" s="12" t="s">
        <v>205</v>
      </c>
      <c r="F81" s="12" t="s">
        <v>205</v>
      </c>
      <c r="G81" s="12" t="s">
        <v>205</v>
      </c>
      <c r="H81" s="12" t="s">
        <v>205</v>
      </c>
      <c r="I81" s="12" t="s">
        <v>205</v>
      </c>
      <c r="J81" s="12" t="s">
        <v>205</v>
      </c>
      <c r="K81" s="12" t="s">
        <v>205</v>
      </c>
      <c r="L81" s="12" t="s">
        <v>205</v>
      </c>
      <c r="M81" s="12" t="s">
        <v>205</v>
      </c>
      <c r="N81" s="12" t="s">
        <v>205</v>
      </c>
      <c r="O81" s="12" t="s">
        <v>205</v>
      </c>
      <c r="P81" s="12" t="s">
        <v>205</v>
      </c>
      <c r="Q81" s="12" t="s">
        <v>205</v>
      </c>
      <c r="R81" s="12" t="s">
        <v>205</v>
      </c>
      <c r="S81" s="12" t="s">
        <v>205</v>
      </c>
      <c r="T81" s="12" t="s">
        <v>205</v>
      </c>
      <c r="U81" s="12" t="s">
        <v>205</v>
      </c>
      <c r="V81" s="12" t="s">
        <v>205</v>
      </c>
      <c r="W81" s="12" t="s">
        <v>205</v>
      </c>
      <c r="X81" s="12" t="s">
        <v>205</v>
      </c>
      <c r="Y81" s="12" t="s">
        <v>205</v>
      </c>
      <c r="Z81" s="12" t="s">
        <v>205</v>
      </c>
      <c r="AA81" s="12" t="s">
        <v>205</v>
      </c>
      <c r="AB81" s="12" t="s">
        <v>205</v>
      </c>
      <c r="AC81" s="12" t="s">
        <v>205</v>
      </c>
      <c r="AD81" s="12" t="s">
        <v>205</v>
      </c>
      <c r="AE81" s="12" t="s">
        <v>205</v>
      </c>
      <c r="AF81" s="12" t="s">
        <v>205</v>
      </c>
    </row>
    <row r="82" spans="1:32" x14ac:dyDescent="0.25">
      <c r="A82" s="10" t="s">
        <v>206</v>
      </c>
      <c r="B82" s="10" t="s">
        <v>207</v>
      </c>
      <c r="C82" s="13" cm="1">
        <f t="array" ref="C82">_xll.BDH("PH US Equity","BS_SH_OUT","FQ1 2019","FQ1 2019","Currency=USD","Period=FQ","BEST_FPERIOD_OVERRIDE=FQ","FILING_STATUS=MR","Sort=A","Dates=H","DateFormat=P","Fill=—","Direction=H","UseDPDF=Y")</f>
        <v>132.34889999999999</v>
      </c>
      <c r="D82" s="13" cm="1">
        <f t="array" ref="D82">_xll.BDH("PH US Equity","BS_SH_OUT","FQ2 2019","FQ2 2019","Currency=USD","Period=FQ","BEST_FPERIOD_OVERRIDE=FQ","FILING_STATUS=MR","Sort=A","Dates=H","DateFormat=P","Fill=—","Direction=H","UseDPDF=Y")</f>
        <v>129.36539999999999</v>
      </c>
      <c r="E82" s="13" cm="1">
        <f t="array" ref="E82">_xll.BDH("PH US Equity","BS_SH_OUT","FQ3 2019","FQ3 2019","Currency=USD","Period=FQ","BEST_FPERIOD_OVERRIDE=FQ","FILING_STATUS=MR","Sort=A","Dates=H","DateFormat=P","Fill=—","Direction=H","UseDPDF=Y")</f>
        <v>128.28540000000001</v>
      </c>
      <c r="F82" s="13" cm="1">
        <f t="array" ref="F82">_xll.BDH("PH US Equity","BS_SH_OUT","FQ4 2019","FQ4 2019","Currency=USD","Period=FQ","BEST_FPERIOD_OVERRIDE=FQ","FILING_STATUS=MR","Sort=A","Dates=H","DateFormat=P","Fill=—","Direction=H","UseDPDF=Y")</f>
        <v>128.55600000000001</v>
      </c>
      <c r="G82" s="13" cm="1">
        <f t="array" ref="G82">_xll.BDH("PH US Equity","BS_SH_OUT","FQ1 2020","FQ1 2020","Currency=USD","Period=FQ","BEST_FPERIOD_OVERRIDE=FQ","FILING_STATUS=MR","Sort=A","Dates=H","DateFormat=P","Fill=—","Direction=H","UseDPDF=Y")</f>
        <v>128.46469999999999</v>
      </c>
      <c r="H82" s="13" cm="1">
        <f t="array" ref="H82">_xll.BDH("PH US Equity","BS_SH_OUT","FQ2 2020","FQ2 2020","Currency=USD","Period=FQ","BEST_FPERIOD_OVERRIDE=FQ","FILING_STATUS=MR","Sort=A","Dates=H","DateFormat=P","Fill=—","Direction=H","UseDPDF=Y")</f>
        <v>128.3631</v>
      </c>
      <c r="I82" s="13" cm="1">
        <f t="array" ref="I82">_xll.BDH("PH US Equity","BS_SH_OUT","FQ3 2020","FQ3 2020","Currency=USD","Period=FQ","BEST_FPERIOD_OVERRIDE=FQ","FILING_STATUS=MR","Sort=A","Dates=H","DateFormat=P","Fill=—","Direction=H","UseDPDF=Y")</f>
        <v>128.2174</v>
      </c>
      <c r="J82" s="13" cm="1">
        <f t="array" ref="J82">_xll.BDH("PH US Equity","BS_SH_OUT","FQ4 2020","FQ4 2020","Currency=USD","Period=FQ","BEST_FPERIOD_OVERRIDE=FQ","FILING_STATUS=MR","Sort=A","Dates=H","DateFormat=P","Fill=—","Direction=H","UseDPDF=Y")</f>
        <v>128.55600000000001</v>
      </c>
      <c r="K82" s="13" cm="1">
        <f t="array" ref="K82">_xll.BDH("PH US Equity","BS_SH_OUT","FQ1 2021","FQ1 2021","Currency=USD","Period=FQ","BEST_FPERIOD_OVERRIDE=FQ","FILING_STATUS=MR","Sort=A","Dates=H","DateFormat=P","Fill=—","Direction=H","UseDPDF=Y")</f>
        <v>128.80019999999999</v>
      </c>
      <c r="L82" s="13" cm="1">
        <f t="array" ref="L82">_xll.BDH("PH US Equity","BS_SH_OUT","FQ2 2021","FQ2 2021","Currency=USD","Period=FQ","BEST_FPERIOD_OVERRIDE=FQ","FILING_STATUS=MR","Sort=A","Dates=H","DateFormat=P","Fill=—","Direction=H","UseDPDF=Y")</f>
        <v>129.0812</v>
      </c>
      <c r="M82" s="13" cm="1">
        <f t="array" ref="M82">_xll.BDH("PH US Equity","BS_SH_OUT","FQ3 2021","FQ3 2021","Currency=USD","Period=FQ","BEST_FPERIOD_OVERRIDE=FQ","FILING_STATUS=MR","Sort=A","Dates=H","DateFormat=P","Fill=—","Direction=H","UseDPDF=Y")</f>
        <v>129.05590000000001</v>
      </c>
      <c r="N82" s="13" cm="1">
        <f t="array" ref="N82">_xll.BDH("PH US Equity","BS_SH_OUT","FQ4 2021","FQ4 2021","Currency=USD","Period=FQ","BEST_FPERIOD_OVERRIDE=FQ","FILING_STATUS=MR","Sort=A","Dates=H","DateFormat=P","Fill=—","Direction=H","UseDPDF=Y")</f>
        <v>129.14570000000001</v>
      </c>
      <c r="O82" s="13" cm="1">
        <f t="array" ref="O82">_xll.BDH("PH US Equity","BS_SH_OUT","FQ1 2022","FQ1 2022","Currency=USD","Period=FQ","BEST_FPERIOD_OVERRIDE=FQ","FILING_STATUS=MR","Sort=A","Dates=H","DateFormat=P","Fill=—","Direction=H","UseDPDF=Y")</f>
        <v>128.51499999999999</v>
      </c>
      <c r="P82" s="13" cm="1">
        <f t="array" ref="P82">_xll.BDH("PH US Equity","BS_SH_OUT","FQ2 2022","FQ2 2022","Currency=USD","Period=FQ","BEST_FPERIOD_OVERRIDE=FQ","FILING_STATUS=MR","Sort=A","Dates=H","DateFormat=P","Fill=—","Direction=H","UseDPDF=Y")</f>
        <v>128.4776</v>
      </c>
      <c r="Q82" s="13" cm="1">
        <f t="array" ref="Q82">_xll.BDH("PH US Equity","BS_SH_OUT","FQ3 2022","FQ3 2022","Currency=USD","Period=FQ","BEST_FPERIOD_OVERRIDE=FQ","FILING_STATUS=MR","Sort=A","Dates=H","DateFormat=P","Fill=—","Direction=H","UseDPDF=Y")</f>
        <v>128.37200000000001</v>
      </c>
      <c r="R82" s="13" cm="1">
        <f t="array" ref="R82">_xll.BDH("PH US Equity","BS_SH_OUT","FQ4 2022","FQ4 2022","Currency=USD","Period=FQ","BEST_FPERIOD_OVERRIDE=FQ","FILING_STATUS=MR","Sort=A","Dates=H","DateFormat=P","Fill=—","Direction=H","UseDPDF=Y")</f>
        <v>128.4331</v>
      </c>
      <c r="S82" s="13" cm="1">
        <f t="array" ref="S82">_xll.BDH("PH US Equity","BS_SH_OUT","FQ1 2023","FQ1 2023","Currency=USD","Period=FQ","BEST_FPERIOD_OVERRIDE=FQ","FILING_STATUS=MR","Sort=A","Dates=H","DateFormat=P","Fill=—","Direction=H","UseDPDF=Y")</f>
        <v>128.4057</v>
      </c>
      <c r="T82" s="13" cm="1">
        <f t="array" ref="T82">_xll.BDH("PH US Equity","BS_SH_OUT","FQ2 2023","FQ2 2023","Currency=USD","Period=FQ","BEST_FPERIOD_OVERRIDE=FQ","FILING_STATUS=MR","Sort=A","Dates=H","DateFormat=P","Fill=—","Direction=H","UseDPDF=Y")</f>
        <v>128.26599999999999</v>
      </c>
      <c r="U82" s="13" cm="1">
        <f t="array" ref="U82">_xll.BDH("PH US Equity","BS_SH_OUT","FQ3 2023","FQ3 2023","Currency=USD","Period=FQ","BEST_FPERIOD_OVERRIDE=FQ","FILING_STATUS=MR","Sort=A","Dates=H","DateFormat=P","Fill=—","Direction=H","UseDPDF=Y")</f>
        <v>128.2961</v>
      </c>
      <c r="V82" s="13" cm="1">
        <f t="array" ref="V82">_xll.BDH("PH US Equity","BS_SH_OUT","FQ4 2023","FQ4 2023","Currency=USD","Period=FQ","BEST_FPERIOD_OVERRIDE=FQ","FILING_STATUS=MR","Sort=A","Dates=H","DateFormat=P","Fill=—","Direction=H","UseDPDF=Y")</f>
        <v>128.4331</v>
      </c>
      <c r="W82" s="13" cm="1">
        <f t="array" ref="W82">_xll.BDH("PH US Equity","BS_SH_OUT","FQ1 2024","FQ1 2024","Currency=USD","Period=FQ","BEST_FPERIOD_OVERRIDE=FQ","FILING_STATUS=MR","Sort=A","Dates=H","DateFormat=P","Fill=—","Direction=H","UseDPDF=Y")</f>
        <v>128.47579999999999</v>
      </c>
      <c r="X82" s="13" cm="1">
        <f t="array" ref="X82">_xll.BDH("PH US Equity","BS_SH_OUT","FQ2 2024","FQ2 2024","Currency=USD","Period=FQ","BEST_FPERIOD_OVERRIDE=FQ","FILING_STATUS=MR","Sort=A","Dates=H","DateFormat=P","Fill=—","Direction=H","UseDPDF=Y")</f>
        <v>128.4109</v>
      </c>
      <c r="Y82" s="13" cm="1">
        <f t="array" ref="Y82">_xll.BDH("PH US Equity","BS_SH_OUT","FQ3 2024","FQ3 2024","Currency=USD","Period=FQ","BEST_FPERIOD_OVERRIDE=FQ","FILING_STATUS=MR","Sort=A","Dates=H","DateFormat=P","Fill=—","Direction=H","UseDPDF=Y")</f>
        <v>128.541</v>
      </c>
      <c r="Z82" s="13" cm="1">
        <f t="array" ref="Z82">_xll.BDH("PH US Equity","BS_SH_OUT","FQ4 2024","FQ4 2024","Currency=USD","Period=FQ","BEST_FPERIOD_OVERRIDE=FQ","FILING_STATUS=MR","Sort=A","Dates=H","DateFormat=P","Fill=—","Direction=H","UseDPDF=Y")</f>
        <v>128.60400000000001</v>
      </c>
      <c r="AA82" s="13" cm="1">
        <f t="array" ref="AA82">_xll.BDH("PH US Equity","BS_SH_OUT","FQ1 2025","FQ1 2025","Currency=USD","Period=FQ","BEST_FPERIOD_OVERRIDE=FQ","FILING_STATUS=MR","Sort=A","Dates=H","DateFormat=P","Fill=—","Direction=H","UseDPDF=Y")</f>
        <v>128.72040000000001</v>
      </c>
      <c r="AB82" s="13" cm="1">
        <f t="array" ref="AB82">_xll.BDH("PH US Equity","BS_SH_OUT","FQ2 2025","FQ2 2025","Currency=USD","Period=FQ","BEST_FPERIOD_OVERRIDE=FQ","FILING_STATUS=MR","Sort=A","Dates=H","DateFormat=P","Fill=—","Direction=H","UseDPDF=Y")</f>
        <v>128.76480000000001</v>
      </c>
      <c r="AC82" s="13" cm="1">
        <f t="array" ref="AC82">_xll.BDH("PH US Equity","BS_SH_OUT","FQ3 2025","FQ3 2025","Currency=USD","Period=FQ","BEST_FPERIOD_OVERRIDE=FQ","FILING_STATUS=MR","Sort=A","Dates=H","DateFormat=P","Fill=—","Direction=H","UseDPDF=Y")</f>
        <v>127.77800000000001</v>
      </c>
      <c r="AD82" s="13" cm="1">
        <f t="array" ref="AD82">_xll.BDH("PH US Equity","BS_SH_OUT","FQ4 2025","FQ4 2025","Currency=USD","Period=FQ","BEST_FPERIOD_OVERRIDE=FQ","FILING_STATUS=MR","Sort=A","Dates=H","DateFormat=P","Fill=—","Direction=H","UseDPDF=Y")</f>
        <v>126.6</v>
      </c>
      <c r="AE82" s="13" cm="1">
        <f t="array" ref="AE82">_xll.BDH("PH US Equity","BS_SH_OUT","FQ1 2026","FQ1 2026","Currency=USD","Period=FQ","BEST_FPERIOD_OVERRIDE=FQ","FILING_STATUS=MR","Sort=A","Dates=H","DateFormat=P","Fill=—","Direction=H","UseDPDF=Y")</f>
        <v>126.1</v>
      </c>
      <c r="AF82" s="13" cm="1">
        <f t="array" ref="AF82">_xll.BDH("PH US Equity","BS_SH_OUT","FQ2 2026","FQ2 2026","Currency=USD","Period=FQ","BEST_FPERIOD_OVERRIDE=FQ","FILING_STATUS=MR","Sort=A","Dates=H","DateFormat=P","Fill=—","Direction=H","UseDPDF=Y")</f>
        <v>126.2</v>
      </c>
    </row>
    <row r="83" spans="1:32" x14ac:dyDescent="0.25">
      <c r="A83" s="10" t="s">
        <v>208</v>
      </c>
      <c r="B83" s="10" t="s">
        <v>209</v>
      </c>
      <c r="C83" s="13" cm="1">
        <f t="array" ref="C83">_xll.BDH("PH US Equity","BS_NUM_OF_TSY_SH","FQ1 2019","FQ1 2019","Currency=USD","Period=FQ","BEST_FPERIOD_OVERRIDE=FQ","FILING_STATUS=MR","Sort=A","Dates=H","DateFormat=P","Fill=—","Direction=H","UseDPDF=Y")</f>
        <v>48.697299999999998</v>
      </c>
      <c r="D83" s="13" cm="1">
        <f t="array" ref="D83">_xll.BDH("PH US Equity","BS_NUM_OF_TSY_SH","FQ2 2019","FQ2 2019","Currency=USD","Period=FQ","BEST_FPERIOD_OVERRIDE=FQ","FILING_STATUS=MR","Sort=A","Dates=H","DateFormat=P","Fill=—","Direction=H","UseDPDF=Y")</f>
        <v>51.680799999999998</v>
      </c>
      <c r="E83" s="13" cm="1">
        <f t="array" ref="E83">_xll.BDH("PH US Equity","BS_NUM_OF_TSY_SH","FQ3 2019","FQ3 2019","Currency=USD","Period=FQ","BEST_FPERIOD_OVERRIDE=FQ","FILING_STATUS=MR","Sort=A","Dates=H","DateFormat=P","Fill=—","Direction=H","UseDPDF=Y")</f>
        <v>52.7607</v>
      </c>
      <c r="F83" s="13" cm="1">
        <f t="array" ref="F83">_xll.BDH("PH US Equity","BS_NUM_OF_TSY_SH","FQ4 2019","FQ4 2019","Currency=USD","Period=FQ","BEST_FPERIOD_OVERRIDE=FQ","FILING_STATUS=MR","Sort=A","Dates=H","DateFormat=P","Fill=—","Direction=H","UseDPDF=Y")</f>
        <v>52.490200000000002</v>
      </c>
      <c r="G83" s="13" cm="1">
        <f t="array" ref="G83">_xll.BDH("PH US Equity","BS_NUM_OF_TSY_SH","FQ1 2020","FQ1 2020","Currency=USD","Period=FQ","BEST_FPERIOD_OVERRIDE=FQ","FILING_STATUS=MR","Sort=A","Dates=H","DateFormat=P","Fill=—","Direction=H","UseDPDF=Y")</f>
        <v>52.581400000000002</v>
      </c>
      <c r="H83" s="13" cm="1">
        <f t="array" ref="H83">_xll.BDH("PH US Equity","BS_NUM_OF_TSY_SH","FQ2 2020","FQ2 2020","Currency=USD","Period=FQ","BEST_FPERIOD_OVERRIDE=FQ","FILING_STATUS=MR","Sort=A","Dates=H","DateFormat=P","Fill=—","Direction=H","UseDPDF=Y")</f>
        <v>52.683</v>
      </c>
      <c r="I83" s="13" cm="1">
        <f t="array" ref="I83">_xll.BDH("PH US Equity","BS_NUM_OF_TSY_SH","FQ3 2020","FQ3 2020","Currency=USD","Period=FQ","BEST_FPERIOD_OVERRIDE=FQ","FILING_STATUS=MR","Sort=A","Dates=H","DateFormat=P","Fill=—","Direction=H","UseDPDF=Y")</f>
        <v>52.828699999999998</v>
      </c>
      <c r="J83" s="13" cm="1">
        <f t="array" ref="J83">_xll.BDH("PH US Equity","BS_NUM_OF_TSY_SH","FQ4 2020","FQ4 2020","Currency=USD","Period=FQ","BEST_FPERIOD_OVERRIDE=FQ","FILING_STATUS=MR","Sort=A","Dates=H","DateFormat=P","Fill=—","Direction=H","UseDPDF=Y")</f>
        <v>52.490200000000002</v>
      </c>
      <c r="K83" s="13" cm="1">
        <f t="array" ref="K83">_xll.BDH("PH US Equity","BS_NUM_OF_TSY_SH","FQ1 2021","FQ1 2021","Currency=USD","Period=FQ","BEST_FPERIOD_OVERRIDE=FQ","FILING_STATUS=MR","Sort=A","Dates=H","DateFormat=P","Fill=—","Direction=H","UseDPDF=Y")</f>
        <v>52.245899999999999</v>
      </c>
      <c r="L83" s="13" cm="1">
        <f t="array" ref="L83">_xll.BDH("PH US Equity","BS_NUM_OF_TSY_SH","FQ2 2021","FQ2 2021","Currency=USD","Period=FQ","BEST_FPERIOD_OVERRIDE=FQ","FILING_STATUS=MR","Sort=A","Dates=H","DateFormat=P","Fill=—","Direction=H","UseDPDF=Y")</f>
        <v>51.965000000000003</v>
      </c>
      <c r="M83" s="13" cm="1">
        <f t="array" ref="M83">_xll.BDH("PH US Equity","BS_NUM_OF_TSY_SH","FQ3 2021","FQ3 2021","Currency=USD","Period=FQ","BEST_FPERIOD_OVERRIDE=FQ","FILING_STATUS=MR","Sort=A","Dates=H","DateFormat=P","Fill=—","Direction=H","UseDPDF=Y")</f>
        <v>51.990200000000002</v>
      </c>
      <c r="N83" s="13" cm="1">
        <f t="array" ref="N83">_xll.BDH("PH US Equity","BS_NUM_OF_TSY_SH","FQ4 2021","FQ4 2021","Currency=USD","Period=FQ","BEST_FPERIOD_OVERRIDE=FQ","FILING_STATUS=MR","Sort=A","Dates=H","DateFormat=P","Fill=—","Direction=H","UseDPDF=Y")</f>
        <v>51.900500000000001</v>
      </c>
      <c r="O83" s="13" cm="1">
        <f t="array" ref="O83">_xll.BDH("PH US Equity","BS_NUM_OF_TSY_SH","FQ1 2022","FQ1 2022","Currency=USD","Period=FQ","BEST_FPERIOD_OVERRIDE=FQ","FILING_STATUS=MR","Sort=A","Dates=H","DateFormat=P","Fill=—","Direction=H","UseDPDF=Y")</f>
        <v>52.531199999999998</v>
      </c>
      <c r="P83" s="13" cm="1">
        <f t="array" ref="P83">_xll.BDH("PH US Equity","BS_NUM_OF_TSY_SH","FQ2 2022","FQ2 2022","Currency=USD","Period=FQ","BEST_FPERIOD_OVERRIDE=FQ","FILING_STATUS=MR","Sort=A","Dates=H","DateFormat=P","Fill=—","Direction=H","UseDPDF=Y")</f>
        <v>52.5685</v>
      </c>
      <c r="Q83" s="13" cm="1">
        <f t="array" ref="Q83">_xll.BDH("PH US Equity","BS_NUM_OF_TSY_SH","FQ3 2022","FQ3 2022","Currency=USD","Period=FQ","BEST_FPERIOD_OVERRIDE=FQ","FILING_STATUS=MR","Sort=A","Dates=H","DateFormat=P","Fill=—","Direction=H","UseDPDF=Y")</f>
        <v>52.674100000000003</v>
      </c>
      <c r="R83" s="13" cm="1">
        <f t="array" ref="R83">_xll.BDH("PH US Equity","BS_NUM_OF_TSY_SH","FQ4 2022","FQ4 2022","Currency=USD","Period=FQ","BEST_FPERIOD_OVERRIDE=FQ","FILING_STATUS=MR","Sort=A","Dates=H","DateFormat=P","Fill=—","Direction=H","UseDPDF=Y")</f>
        <v>52.613</v>
      </c>
      <c r="S83" s="13" cm="1">
        <f t="array" ref="S83">_xll.BDH("PH US Equity","BS_NUM_OF_TSY_SH","FQ1 2023","FQ1 2023","Currency=USD","Period=FQ","BEST_FPERIOD_OVERRIDE=FQ","FILING_STATUS=MR","Sort=A","Dates=H","DateFormat=P","Fill=—","Direction=H","UseDPDF=Y")</f>
        <v>52.6404</v>
      </c>
      <c r="T83" s="13" cm="1">
        <f t="array" ref="T83">_xll.BDH("PH US Equity","BS_NUM_OF_TSY_SH","FQ2 2023","FQ2 2023","Currency=USD","Period=FQ","BEST_FPERIOD_OVERRIDE=FQ","FILING_STATUS=MR","Sort=A","Dates=H","DateFormat=P","Fill=—","Direction=H","UseDPDF=Y")</f>
        <v>52.780099999999997</v>
      </c>
      <c r="U83" s="13" cm="1">
        <f t="array" ref="U83">_xll.BDH("PH US Equity","BS_NUM_OF_TSY_SH","FQ3 2023","FQ3 2023","Currency=USD","Period=FQ","BEST_FPERIOD_OVERRIDE=FQ","FILING_STATUS=MR","Sort=A","Dates=H","DateFormat=P","Fill=—","Direction=H","UseDPDF=Y")</f>
        <v>52.75</v>
      </c>
      <c r="V83" s="13" cm="1">
        <f t="array" ref="V83">_xll.BDH("PH US Equity","BS_NUM_OF_TSY_SH","FQ4 2023","FQ4 2023","Currency=USD","Period=FQ","BEST_FPERIOD_OVERRIDE=FQ","FILING_STATUS=MR","Sort=A","Dates=H","DateFormat=P","Fill=—","Direction=H","UseDPDF=Y")</f>
        <v>52.613</v>
      </c>
      <c r="W83" s="13" cm="1">
        <f t="array" ref="W83">_xll.BDH("PH US Equity","BS_NUM_OF_TSY_SH","FQ1 2024","FQ1 2024","Currency=USD","Period=FQ","BEST_FPERIOD_OVERRIDE=FQ","FILING_STATUS=MR","Sort=A","Dates=H","DateFormat=P","Fill=—","Direction=H","UseDPDF=Y")</f>
        <v>52.570300000000003</v>
      </c>
      <c r="X83" s="13" cm="1">
        <f t="array" ref="X83">_xll.BDH("PH US Equity","BS_NUM_OF_TSY_SH","FQ2 2024","FQ2 2024","Currency=USD","Period=FQ","BEST_FPERIOD_OVERRIDE=FQ","FILING_STATUS=MR","Sort=A","Dates=H","DateFormat=P","Fill=—","Direction=H","UseDPDF=Y")</f>
        <v>52.635300000000001</v>
      </c>
      <c r="Y83" s="13" cm="1">
        <f t="array" ref="Y83">_xll.BDH("PH US Equity","BS_NUM_OF_TSY_SH","FQ3 2024","FQ3 2024","Currency=USD","Period=FQ","BEST_FPERIOD_OVERRIDE=FQ","FILING_STATUS=MR","Sort=A","Dates=H","DateFormat=P","Fill=—","Direction=H","UseDPDF=Y")</f>
        <v>52.505099999999999</v>
      </c>
      <c r="Z83" s="13" cm="1">
        <f t="array" ref="Z83">_xll.BDH("PH US Equity","BS_NUM_OF_TSY_SH","FQ4 2024","FQ4 2024","Currency=USD","Period=FQ","BEST_FPERIOD_OVERRIDE=FQ","FILING_STATUS=MR","Sort=A","Dates=H","DateFormat=P","Fill=—","Direction=H","UseDPDF=Y")</f>
        <v>52.4422</v>
      </c>
      <c r="AA83" s="13" cm="1">
        <f t="array" ref="AA83">_xll.BDH("PH US Equity","BS_NUM_OF_TSY_SH","FQ1 2025","FQ1 2025","Currency=USD","Period=FQ","BEST_FPERIOD_OVERRIDE=FQ","FILING_STATUS=MR","Sort=A","Dates=H","DateFormat=P","Fill=—","Direction=H","UseDPDF=Y")</f>
        <v>52.325699999999998</v>
      </c>
      <c r="AB83" s="13" cm="1">
        <f t="array" ref="AB83">_xll.BDH("PH US Equity","BS_NUM_OF_TSY_SH","FQ2 2025","FQ2 2025","Currency=USD","Period=FQ","BEST_FPERIOD_OVERRIDE=FQ","FILING_STATUS=MR","Sort=A","Dates=H","DateFormat=P","Fill=—","Direction=H","UseDPDF=Y")</f>
        <v>52.281300000000002</v>
      </c>
      <c r="AC83" s="13" cm="1">
        <f t="array" ref="AC83">_xll.BDH("PH US Equity","BS_NUM_OF_TSY_SH","FQ3 2025","FQ3 2025","Currency=USD","Period=FQ","BEST_FPERIOD_OVERRIDE=FQ","FILING_STATUS=MR","Sort=A","Dates=H","DateFormat=P","Fill=—","Direction=H","UseDPDF=Y")</f>
        <v>53.268099999999997</v>
      </c>
      <c r="AD83" s="13" cm="1">
        <f t="array" ref="AD83">_xll.BDH("PH US Equity","BS_NUM_OF_TSY_SH","FQ4 2025","FQ4 2025","Currency=USD","Period=FQ","BEST_FPERIOD_OVERRIDE=FQ","FILING_STATUS=MR","Sort=A","Dates=H","DateFormat=P","Fill=—","Direction=H","UseDPDF=Y")</f>
        <v>54.4</v>
      </c>
      <c r="AE83" s="13" cm="1">
        <f t="array" ref="AE83">_xll.BDH("PH US Equity","BS_NUM_OF_TSY_SH","FQ1 2026","FQ1 2026","Currency=USD","Period=FQ","BEST_FPERIOD_OVERRIDE=FQ","FILING_STATUS=MR","Sort=A","Dates=H","DateFormat=P","Fill=—","Direction=H","UseDPDF=Y")</f>
        <v>54.9</v>
      </c>
      <c r="AF83" s="13" cm="1">
        <f t="array" ref="AF83">_xll.BDH("PH US Equity","BS_NUM_OF_TSY_SH","FQ2 2026","FQ2 2026","Currency=USD","Period=FQ","BEST_FPERIOD_OVERRIDE=FQ","FILING_STATUS=MR","Sort=A","Dates=H","DateFormat=P","Fill=—","Direction=H","UseDPDF=Y")</f>
        <v>54.8</v>
      </c>
    </row>
    <row r="84" spans="1:32" x14ac:dyDescent="0.25">
      <c r="A84" s="10" t="s">
        <v>210</v>
      </c>
      <c r="B84" s="10" t="s">
        <v>211</v>
      </c>
      <c r="C84" s="13" cm="1">
        <f t="array" ref="C84">_xll.BDH("PH US Equity","BS_PENSION_RSRV","FQ1 2019","FQ1 2019","Currency=USD","Period=FQ","BEST_FPERIOD_OVERRIDE=FQ","FILING_STATUS=MR","SCALING_FORMAT=MLN","Sort=A","Dates=H","DateFormat=P","Fill=—","Direction=H","UseDPDF=Y")</f>
        <v>958.93700000000001</v>
      </c>
      <c r="D84" s="13" cm="1">
        <f t="array" ref="D84">_xll.BDH("PH US Equity","BS_PENSION_RSRV","FQ2 2019","FQ2 2019","Currency=USD","Period=FQ","BEST_FPERIOD_OVERRIDE=FQ","FILING_STATUS=MR","SCALING_FORMAT=MLN","Sort=A","Dates=H","DateFormat=P","Fill=—","Direction=H","UseDPDF=Y")</f>
        <v>937.93799999999999</v>
      </c>
      <c r="E84" s="13" cm="1">
        <f t="array" ref="E84">_xll.BDH("PH US Equity","BS_PENSION_RSRV","FQ3 2019","FQ3 2019","Currency=USD","Period=FQ","BEST_FPERIOD_OVERRIDE=FQ","FILING_STATUS=MR","SCALING_FORMAT=MLN","Sort=A","Dates=H","DateFormat=P","Fill=—","Direction=H","UseDPDF=Y")</f>
        <v>895.197</v>
      </c>
      <c r="F84" s="13" cm="1">
        <f t="array" ref="F84">_xll.BDH("PH US Equity","BS_PENSION_RSRV","FQ4 2019","FQ4 2019","Currency=USD","Period=FQ","BEST_FPERIOD_OVERRIDE=FQ","FILING_STATUS=MR","SCALING_FORMAT=MLN","Sort=A","Dates=H","DateFormat=P","Fill=—","Direction=H","UseDPDF=Y")</f>
        <v>1304.3789999999999</v>
      </c>
      <c r="G84" s="13" cm="1">
        <f t="array" ref="G84">_xll.BDH("PH US Equity","BS_PENSION_RSRV","FQ1 2020","FQ1 2020","Currency=USD","Period=FQ","BEST_FPERIOD_OVERRIDE=FQ","FILING_STATUS=MR","SCALING_FORMAT=MLN","Sort=A","Dates=H","DateFormat=P","Fill=—","Direction=H","UseDPDF=Y")</f>
        <v>1261.4929999999999</v>
      </c>
      <c r="H84" s="13" cm="1">
        <f t="array" ref="H84">_xll.BDH("PH US Equity","BS_PENSION_RSRV","FQ2 2020","FQ2 2020","Currency=USD","Period=FQ","BEST_FPERIOD_OVERRIDE=FQ","FILING_STATUS=MR","SCALING_FORMAT=MLN","Sort=A","Dates=H","DateFormat=P","Fill=—","Direction=H","UseDPDF=Y")</f>
        <v>1366.8140000000001</v>
      </c>
      <c r="I84" s="13" cm="1">
        <f t="array" ref="I84">_xll.BDH("PH US Equity","BS_PENSION_RSRV","FQ3 2020","FQ3 2020","Currency=USD","Period=FQ","BEST_FPERIOD_OVERRIDE=FQ","FILING_STATUS=MR","SCALING_FORMAT=MLN","Sort=A","Dates=H","DateFormat=P","Fill=—","Direction=H","UseDPDF=Y")</f>
        <v>1320.1669999999999</v>
      </c>
      <c r="J84" s="13" cm="1">
        <f t="array" ref="J84">_xll.BDH("PH US Equity","BS_PENSION_RSRV","FQ4 2020","FQ4 2020","Currency=USD","Period=FQ","BEST_FPERIOD_OVERRIDE=FQ","FILING_STATUS=MR","SCALING_FORMAT=MLN","Sort=A","Dates=H","DateFormat=P","Fill=—","Direction=H","UseDPDF=Y")</f>
        <v>1887.414</v>
      </c>
      <c r="K84" s="13" cm="1">
        <f t="array" ref="K84">_xll.BDH("PH US Equity","BS_PENSION_RSRV","FQ1 2021","FQ1 2021","Currency=USD","Period=FQ","BEST_FPERIOD_OVERRIDE=FQ","FILING_STATUS=MR","SCALING_FORMAT=MLN","Sort=A","Dates=H","DateFormat=P","Fill=—","Direction=H","UseDPDF=Y")</f>
        <v>1864.5060000000001</v>
      </c>
      <c r="L84" s="13" cm="1">
        <f t="array" ref="L84">_xll.BDH("PH US Equity","BS_PENSION_RSRV","FQ2 2021","FQ2 2021","Currency=USD","Period=FQ","BEST_FPERIOD_OVERRIDE=FQ","FILING_STATUS=MR","SCALING_FORMAT=MLN","Sort=A","Dates=H","DateFormat=P","Fill=—","Direction=H","UseDPDF=Y")</f>
        <v>1843.2090000000001</v>
      </c>
      <c r="M84" s="13" cm="1">
        <f t="array" ref="M84">_xll.BDH("PH US Equity","BS_PENSION_RSRV","FQ3 2021","FQ3 2021","Currency=USD","Period=FQ","BEST_FPERIOD_OVERRIDE=FQ","FILING_STATUS=MR","SCALING_FORMAT=MLN","Sort=A","Dates=H","DateFormat=P","Fill=—","Direction=H","UseDPDF=Y")</f>
        <v>1777.1369999999999</v>
      </c>
      <c r="N84" s="13" cm="1">
        <f t="array" ref="N84">_xll.BDH("PH US Equity","BS_PENSION_RSRV","FQ4 2021","FQ4 2021","Currency=USD","Period=FQ","BEST_FPERIOD_OVERRIDE=FQ","FILING_STATUS=MR","SCALING_FORMAT=MLN","Sort=A","Dates=H","DateFormat=P","Fill=—","Direction=H","UseDPDF=Y")</f>
        <v>1055.6379999999999</v>
      </c>
      <c r="O84" s="13" cm="1">
        <f t="array" ref="O84">_xll.BDH("PH US Equity","BS_PENSION_RSRV","FQ1 2022","FQ1 2022","Currency=USD","Period=FQ","BEST_FPERIOD_OVERRIDE=FQ","FILING_STATUS=MR","SCALING_FORMAT=MLN","Sort=A","Dates=H","DateFormat=P","Fill=—","Direction=H","UseDPDF=Y")</f>
        <v>997.39200000000005</v>
      </c>
      <c r="P84" s="13" cm="1">
        <f t="array" ref="P84">_xll.BDH("PH US Equity","BS_PENSION_RSRV","FQ2 2022","FQ2 2022","Currency=USD","Period=FQ","BEST_FPERIOD_OVERRIDE=FQ","FILING_STATUS=MR","SCALING_FORMAT=MLN","Sort=A","Dates=H","DateFormat=P","Fill=—","Direction=H","UseDPDF=Y")</f>
        <v>959.74099999999999</v>
      </c>
      <c r="Q84" s="13" cm="1">
        <f t="array" ref="Q84">_xll.BDH("PH US Equity","BS_PENSION_RSRV","FQ3 2022","FQ3 2022","Currency=USD","Period=FQ","BEST_FPERIOD_OVERRIDE=FQ","FILING_STATUS=MR","SCALING_FORMAT=MLN","Sort=A","Dates=H","DateFormat=P","Fill=—","Direction=H","UseDPDF=Y")</f>
        <v>904.33199999999999</v>
      </c>
      <c r="R84" s="13" cm="1">
        <f t="array" ref="R84">_xll.BDH("PH US Equity","BS_PENSION_RSRV","FQ4 2022","FQ4 2022","Currency=USD","Period=FQ","BEST_FPERIOD_OVERRIDE=FQ","FILING_STATUS=MR","SCALING_FORMAT=MLN","Sort=A","Dates=H","DateFormat=P","Fill=—","Direction=H","UseDPDF=Y")</f>
        <v>639.93899999999996</v>
      </c>
      <c r="S84" s="13" cm="1">
        <f t="array" ref="S84">_xll.BDH("PH US Equity","BS_PENSION_RSRV","FQ1 2023","FQ1 2023","Currency=USD","Period=FQ","BEST_FPERIOD_OVERRIDE=FQ","FILING_STATUS=MR","SCALING_FORMAT=MLN","Sort=A","Dates=H","DateFormat=P","Fill=—","Direction=H","UseDPDF=Y")</f>
        <v>770.03200000000004</v>
      </c>
      <c r="T84" s="13" cm="1">
        <f t="array" ref="T84">_xll.BDH("PH US Equity","BS_PENSION_RSRV","FQ2 2023","FQ2 2023","Currency=USD","Period=FQ","BEST_FPERIOD_OVERRIDE=FQ","FILING_STATUS=MR","SCALING_FORMAT=MLN","Sort=A","Dates=H","DateFormat=P","Fill=—","Direction=H","UseDPDF=Y")</f>
        <v>807.12400000000002</v>
      </c>
      <c r="U84" s="13" cm="1">
        <f t="array" ref="U84">_xll.BDH("PH US Equity","BS_PENSION_RSRV","FQ3 2023","FQ3 2023","Currency=USD","Period=FQ","BEST_FPERIOD_OVERRIDE=FQ","FILING_STATUS=MR","SCALING_FORMAT=MLN","Sort=A","Dates=H","DateFormat=P","Fill=—","Direction=H","UseDPDF=Y")</f>
        <v>781.13900000000001</v>
      </c>
      <c r="V84" s="13" cm="1">
        <f t="array" ref="V84">_xll.BDH("PH US Equity","BS_PENSION_RSRV","FQ4 2023","FQ4 2023","Currency=USD","Period=FQ","BEST_FPERIOD_OVERRIDE=FQ","FILING_STATUS=MR","SCALING_FORMAT=MLN","Sort=A","Dates=H","DateFormat=P","Fill=—","Direction=H","UseDPDF=Y")</f>
        <v>551.51</v>
      </c>
      <c r="W84" s="13" cm="1">
        <f t="array" ref="W84">_xll.BDH("PH US Equity","BS_PENSION_RSRV","FQ1 2024","FQ1 2024","Currency=USD","Period=FQ","BEST_FPERIOD_OVERRIDE=FQ","FILING_STATUS=MR","SCALING_FORMAT=MLN","Sort=A","Dates=H","DateFormat=P","Fill=—","Direction=H","UseDPDF=Y")</f>
        <v>493.27800000000002</v>
      </c>
      <c r="X84" s="13" cm="1">
        <f t="array" ref="X84">_xll.BDH("PH US Equity","BS_PENSION_RSRV","FQ2 2024","FQ2 2024","Currency=USD","Period=FQ","BEST_FPERIOD_OVERRIDE=FQ","FILING_STATUS=MR","SCALING_FORMAT=MLN","Sort=A","Dates=H","DateFormat=P","Fill=—","Direction=H","UseDPDF=Y")</f>
        <v>482.75200000000001</v>
      </c>
      <c r="Y84" s="13" cm="1">
        <f t="array" ref="Y84">_xll.BDH("PH US Equity","BS_PENSION_RSRV","FQ3 2024","FQ3 2024","Currency=USD","Period=FQ","BEST_FPERIOD_OVERRIDE=FQ","FILING_STATUS=MR","SCALING_FORMAT=MLN","Sort=A","Dates=H","DateFormat=P","Fill=—","Direction=H","UseDPDF=Y")</f>
        <v>455.25400000000002</v>
      </c>
      <c r="Z84" s="13" cm="1">
        <f t="array" ref="Z84">_xll.BDH("PH US Equity","BS_PENSION_RSRV","FQ4 2024","FQ4 2024","Currency=USD","Period=FQ","BEST_FPERIOD_OVERRIDE=FQ","FILING_STATUS=MR","SCALING_FORMAT=MLN","Sort=A","Dates=H","DateFormat=P","Fill=—","Direction=H","UseDPDF=Y")</f>
        <v>437.49</v>
      </c>
      <c r="AA84" s="13" cm="1">
        <f t="array" ref="AA84">_xll.BDH("PH US Equity","BS_PENSION_RSRV","FQ1 2025","FQ1 2025","Currency=USD","Period=FQ","BEST_FPERIOD_OVERRIDE=FQ","FILING_STATUS=MR","SCALING_FORMAT=MLN","Sort=A","Dates=H","DateFormat=P","Fill=—","Direction=H","UseDPDF=Y")</f>
        <v>427.702</v>
      </c>
      <c r="AB84" s="13" cm="1">
        <f t="array" ref="AB84">_xll.BDH("PH US Equity","BS_PENSION_RSRV","FQ2 2025","FQ2 2025","Currency=USD","Period=FQ","BEST_FPERIOD_OVERRIDE=FQ","FILING_STATUS=MR","SCALING_FORMAT=MLN","Sort=A","Dates=H","DateFormat=P","Fill=—","Direction=H","UseDPDF=Y")</f>
        <v>409.87299999999999</v>
      </c>
      <c r="AC84" s="13" cm="1">
        <f t="array" ref="AC84">_xll.BDH("PH US Equity","BS_PENSION_RSRV","FQ3 2025","FQ3 2025","Currency=USD","Period=FQ","BEST_FPERIOD_OVERRIDE=FQ","FILING_STATUS=MR","SCALING_FORMAT=MLN","Sort=A","Dates=H","DateFormat=P","Fill=—","Direction=H","UseDPDF=Y")</f>
        <v>389.89100000000002</v>
      </c>
      <c r="AD84" s="13" cm="1">
        <f t="array" ref="AD84">_xll.BDH("PH US Equity","BS_PENSION_RSRV","FQ4 2025","FQ4 2025","Currency=USD","Period=FQ","BEST_FPERIOD_OVERRIDE=FQ","FILING_STATUS=MR","SCALING_FORMAT=MLN","Sort=A","Dates=H","DateFormat=P","Fill=—","Direction=H","UseDPDF=Y")</f>
        <v>267</v>
      </c>
      <c r="AE84" s="13" cm="1">
        <f t="array" ref="AE84">_xll.BDH("PH US Equity","BS_PENSION_RSRV","FQ1 2026","FQ1 2026","Currency=USD","Period=FQ","BEST_FPERIOD_OVERRIDE=FQ","FILING_STATUS=MR","SCALING_FORMAT=MLN","Sort=A","Dates=H","DateFormat=P","Fill=—","Direction=H","UseDPDF=Y")</f>
        <v>253</v>
      </c>
      <c r="AF84" s="13" cm="1">
        <f t="array" ref="AF84">_xll.BDH("PH US Equity","BS_PENSION_RSRV","FQ2 2026","FQ2 2026","Currency=USD","Period=FQ","BEST_FPERIOD_OVERRIDE=FQ","FILING_STATUS=MR","SCALING_FORMAT=MLN","Sort=A","Dates=H","DateFormat=P","Fill=—","Direction=H","UseDPDF=Y")</f>
        <v>239</v>
      </c>
    </row>
    <row r="85" spans="1:32" x14ac:dyDescent="0.25">
      <c r="A85" s="10" t="s">
        <v>212</v>
      </c>
      <c r="B85" s="10" t="s">
        <v>213</v>
      </c>
      <c r="C85" s="13" t="str" cm="1">
        <f t="array" ref="C85">_xll.BDH("PH US Equity","BS_FUTURE_MIN_OPER_LEASE_OBLIG","FQ1 2019","FQ1 2019","Currency=USD","Period=FQ","BEST_FPERIOD_OVERRIDE=FQ","FILING_STATUS=MR","SCALING_FORMAT=MLN","Sort=A","Dates=H","DateFormat=P","Fill=—","Direction=H","UseDPDF=Y")</f>
        <v>—</v>
      </c>
      <c r="D85" s="13" t="str" cm="1">
        <f t="array" ref="D85">_xll.BDH("PH US Equity","BS_FUTURE_MIN_OPER_LEASE_OBLIG","FQ2 2019","FQ2 2019","Currency=USD","Period=FQ","BEST_FPERIOD_OVERRIDE=FQ","FILING_STATUS=MR","SCALING_FORMAT=MLN","Sort=A","Dates=H","DateFormat=P","Fill=—","Direction=H","UseDPDF=Y")</f>
        <v>—</v>
      </c>
      <c r="E85" s="13" t="str" cm="1">
        <f t="array" ref="E85">_xll.BDH("PH US Equity","BS_FUTURE_MIN_OPER_LEASE_OBLIG","FQ3 2019","FQ3 2019","Currency=USD","Period=FQ","BEST_FPERIOD_OVERRIDE=FQ","FILING_STATUS=MR","SCALING_FORMAT=MLN","Sort=A","Dates=H","DateFormat=P","Fill=—","Direction=H","UseDPDF=Y")</f>
        <v>—</v>
      </c>
      <c r="F85" s="13" cm="1">
        <f t="array" ref="F85">_xll.BDH("PH US Equity","BS_FUTURE_MIN_OPER_LEASE_OBLIG","FQ4 2019","FQ4 2019","Currency=USD","Period=FQ","BEST_FPERIOD_OVERRIDE=FQ","FILING_STATUS=MR","SCALING_FORMAT=MLN","Sort=A","Dates=H","DateFormat=P","Fill=—","Direction=H","UseDPDF=Y")</f>
        <v>142.202</v>
      </c>
      <c r="G85" s="13" cm="1">
        <f t="array" ref="G85">_xll.BDH("PH US Equity","BS_FUTURE_MIN_OPER_LEASE_OBLIG","FQ1 2020","FQ1 2020","Currency=USD","Period=FQ","BEST_FPERIOD_OVERRIDE=FQ","FILING_STATUS=MR","SCALING_FORMAT=MLN","Sort=A","Dates=H","DateFormat=P","Fill=—","Direction=H","UseDPDF=Y")</f>
        <v>145.697</v>
      </c>
      <c r="H85" s="13" cm="1">
        <f t="array" ref="H85">_xll.BDH("PH US Equity","BS_FUTURE_MIN_OPER_LEASE_OBLIG","FQ2 2020","FQ2 2020","Currency=USD","Period=FQ","BEST_FPERIOD_OVERRIDE=FQ","FILING_STATUS=MR","SCALING_FORMAT=MLN","Sort=A","Dates=H","DateFormat=P","Fill=—","Direction=H","UseDPDF=Y")</f>
        <v>169.77600000000001</v>
      </c>
      <c r="I85" s="13" cm="1">
        <f t="array" ref="I85">_xll.BDH("PH US Equity","BS_FUTURE_MIN_OPER_LEASE_OBLIG","FQ3 2020","FQ3 2020","Currency=USD","Period=FQ","BEST_FPERIOD_OVERRIDE=FQ","FILING_STATUS=MR","SCALING_FORMAT=MLN","Sort=A","Dates=H","DateFormat=P","Fill=—","Direction=H","UseDPDF=Y")</f>
        <v>146.78899999999999</v>
      </c>
      <c r="J85" s="13" cm="1">
        <f t="array" ref="J85">_xll.BDH("PH US Equity","BS_FUTURE_MIN_OPER_LEASE_OBLIG","FQ4 2020","FQ4 2020","Currency=USD","Period=FQ","BEST_FPERIOD_OVERRIDE=FQ","FILING_STATUS=MR","SCALING_FORMAT=MLN","Sort=A","Dates=H","DateFormat=P","Fill=—","Direction=H","UseDPDF=Y")</f>
        <v>148.25</v>
      </c>
      <c r="K85" s="13" t="str" cm="1">
        <f t="array" ref="K85">_xll.BDH("PH US Equity","BS_FUTURE_MIN_OPER_LEASE_OBLIG","FQ1 2021","FQ1 2021","Currency=USD","Period=FQ","BEST_FPERIOD_OVERRIDE=FQ","FILING_STATUS=MR","SCALING_FORMAT=MLN","Sort=A","Dates=H","DateFormat=P","Fill=—","Direction=H","UseDPDF=Y")</f>
        <v>—</v>
      </c>
      <c r="L85" s="13" t="str" cm="1">
        <f t="array" ref="L85">_xll.BDH("PH US Equity","BS_FUTURE_MIN_OPER_LEASE_OBLIG","FQ2 2021","FQ2 2021","Currency=USD","Period=FQ","BEST_FPERIOD_OVERRIDE=FQ","FILING_STATUS=MR","SCALING_FORMAT=MLN","Sort=A","Dates=H","DateFormat=P","Fill=—","Direction=H","UseDPDF=Y")</f>
        <v>—</v>
      </c>
      <c r="M85" s="13" t="str" cm="1">
        <f t="array" ref="M85">_xll.BDH("PH US Equity","BS_FUTURE_MIN_OPER_LEASE_OBLIG","FQ3 2021","FQ3 2021","Currency=USD","Period=FQ","BEST_FPERIOD_OVERRIDE=FQ","FILING_STATUS=MR","SCALING_FORMAT=MLN","Sort=A","Dates=H","DateFormat=P","Fill=—","Direction=H","UseDPDF=Y")</f>
        <v>—</v>
      </c>
      <c r="N85" s="13" cm="1">
        <f t="array" ref="N85">_xll.BDH("PH US Equity","BS_FUTURE_MIN_OPER_LEASE_OBLIG","FQ4 2021","FQ4 2021","Currency=USD","Period=FQ","BEST_FPERIOD_OVERRIDE=FQ","FILING_STATUS=MR","SCALING_FORMAT=MLN","Sort=A","Dates=H","DateFormat=P","Fill=—","Direction=H","UseDPDF=Y")</f>
        <v>141.566</v>
      </c>
      <c r="O85" s="13" t="str" cm="1">
        <f t="array" ref="O85">_xll.BDH("PH US Equity","BS_FUTURE_MIN_OPER_LEASE_OBLIG","FQ1 2022","FQ1 2022","Currency=USD","Period=FQ","BEST_FPERIOD_OVERRIDE=FQ","FILING_STATUS=MR","SCALING_FORMAT=MLN","Sort=A","Dates=H","DateFormat=P","Fill=—","Direction=H","UseDPDF=Y")</f>
        <v>—</v>
      </c>
      <c r="P85" s="13" t="str" cm="1">
        <f t="array" ref="P85">_xll.BDH("PH US Equity","BS_FUTURE_MIN_OPER_LEASE_OBLIG","FQ2 2022","FQ2 2022","Currency=USD","Period=FQ","BEST_FPERIOD_OVERRIDE=FQ","FILING_STATUS=MR","SCALING_FORMAT=MLN","Sort=A","Dates=H","DateFormat=P","Fill=—","Direction=H","UseDPDF=Y")</f>
        <v>—</v>
      </c>
      <c r="Q85" s="13" t="str" cm="1">
        <f t="array" ref="Q85">_xll.BDH("PH US Equity","BS_FUTURE_MIN_OPER_LEASE_OBLIG","FQ3 2022","FQ3 2022","Currency=USD","Period=FQ","BEST_FPERIOD_OVERRIDE=FQ","FILING_STATUS=MR","SCALING_FORMAT=MLN","Sort=A","Dates=H","DateFormat=P","Fill=—","Direction=H","UseDPDF=Y")</f>
        <v>—</v>
      </c>
      <c r="R85" s="13" cm="1">
        <f t="array" ref="R85">_xll.BDH("PH US Equity","BS_FUTURE_MIN_OPER_LEASE_OBLIG","FQ4 2022","FQ4 2022","Currency=USD","Period=FQ","BEST_FPERIOD_OVERRIDE=FQ","FILING_STATUS=MR","SCALING_FORMAT=MLN","Sort=A","Dates=H","DateFormat=P","Fill=—","Direction=H","UseDPDF=Y")</f>
        <v>143.596</v>
      </c>
      <c r="S85" s="13" t="str" cm="1">
        <f t="array" ref="S85">_xll.BDH("PH US Equity","BS_FUTURE_MIN_OPER_LEASE_OBLIG","FQ1 2023","FQ1 2023","Currency=USD","Period=FQ","BEST_FPERIOD_OVERRIDE=FQ","FILING_STATUS=MR","SCALING_FORMAT=MLN","Sort=A","Dates=H","DateFormat=P","Fill=—","Direction=H","UseDPDF=Y")</f>
        <v>—</v>
      </c>
      <c r="T85" s="13" t="str" cm="1">
        <f t="array" ref="T85">_xll.BDH("PH US Equity","BS_FUTURE_MIN_OPER_LEASE_OBLIG","FQ2 2023","FQ2 2023","Currency=USD","Period=FQ","BEST_FPERIOD_OVERRIDE=FQ","FILING_STATUS=MR","SCALING_FORMAT=MLN","Sort=A","Dates=H","DateFormat=P","Fill=—","Direction=H","UseDPDF=Y")</f>
        <v>—</v>
      </c>
      <c r="U85" s="13" t="str" cm="1">
        <f t="array" ref="U85">_xll.BDH("PH US Equity","BS_FUTURE_MIN_OPER_LEASE_OBLIG","FQ3 2023","FQ3 2023","Currency=USD","Period=FQ","BEST_FPERIOD_OVERRIDE=FQ","FILING_STATUS=MR","SCALING_FORMAT=MLN","Sort=A","Dates=H","DateFormat=P","Fill=—","Direction=H","UseDPDF=Y")</f>
        <v>—</v>
      </c>
      <c r="V85" s="13" cm="1">
        <f t="array" ref="V85">_xll.BDH("PH US Equity","BS_FUTURE_MIN_OPER_LEASE_OBLIG","FQ4 2023","FQ4 2023","Currency=USD","Period=FQ","BEST_FPERIOD_OVERRIDE=FQ","FILING_STATUS=MR","SCALING_FORMAT=MLN","Sort=A","Dates=H","DateFormat=P","Fill=—","Direction=H","UseDPDF=Y")</f>
        <v>278.37700000000001</v>
      </c>
      <c r="W85" s="13" t="str" cm="1">
        <f t="array" ref="W85">_xll.BDH("PH US Equity","BS_FUTURE_MIN_OPER_LEASE_OBLIG","FQ1 2024","FQ1 2024","Currency=USD","Period=FQ","BEST_FPERIOD_OVERRIDE=FQ","FILING_STATUS=MR","SCALING_FORMAT=MLN","Sort=A","Dates=H","DateFormat=P","Fill=—","Direction=H","UseDPDF=Y")</f>
        <v>—</v>
      </c>
      <c r="X85" s="13" t="str" cm="1">
        <f t="array" ref="X85">_xll.BDH("PH US Equity","BS_FUTURE_MIN_OPER_LEASE_OBLIG","FQ2 2024","FQ2 2024","Currency=USD","Period=FQ","BEST_FPERIOD_OVERRIDE=FQ","FILING_STATUS=MR","SCALING_FORMAT=MLN","Sort=A","Dates=H","DateFormat=P","Fill=—","Direction=H","UseDPDF=Y")</f>
        <v>—</v>
      </c>
      <c r="Y85" s="13" t="str" cm="1">
        <f t="array" ref="Y85">_xll.BDH("PH US Equity","BS_FUTURE_MIN_OPER_LEASE_OBLIG","FQ3 2024","FQ3 2024","Currency=USD","Period=FQ","BEST_FPERIOD_OVERRIDE=FQ","FILING_STATUS=MR","SCALING_FORMAT=MLN","Sort=A","Dates=H","DateFormat=P","Fill=—","Direction=H","UseDPDF=Y")</f>
        <v>—</v>
      </c>
      <c r="Z85" s="13" cm="1">
        <f t="array" ref="Z85">_xll.BDH("PH US Equity","BS_FUTURE_MIN_OPER_LEASE_OBLIG","FQ4 2024","FQ4 2024","Currency=USD","Period=FQ","BEST_FPERIOD_OVERRIDE=FQ","FILING_STATUS=MR","SCALING_FORMAT=MLN","Sort=A","Dates=H","DateFormat=P","Fill=—","Direction=H","UseDPDF=Y")</f>
        <v>272.15899999999999</v>
      </c>
      <c r="AA85" s="13" t="str" cm="1">
        <f t="array" ref="AA85">_xll.BDH("PH US Equity","BS_FUTURE_MIN_OPER_LEASE_OBLIG","FQ1 2025","FQ1 2025","Currency=USD","Period=FQ","BEST_FPERIOD_OVERRIDE=FQ","FILING_STATUS=MR","SCALING_FORMAT=MLN","Sort=A","Dates=H","DateFormat=P","Fill=—","Direction=H","UseDPDF=Y")</f>
        <v>—</v>
      </c>
      <c r="AB85" s="13" t="str" cm="1">
        <f t="array" ref="AB85">_xll.BDH("PH US Equity","BS_FUTURE_MIN_OPER_LEASE_OBLIG","FQ2 2025","FQ2 2025","Currency=USD","Period=FQ","BEST_FPERIOD_OVERRIDE=FQ","FILING_STATUS=MR","SCALING_FORMAT=MLN","Sort=A","Dates=H","DateFormat=P","Fill=—","Direction=H","UseDPDF=Y")</f>
        <v>—</v>
      </c>
      <c r="AC85" s="13" t="str" cm="1">
        <f t="array" ref="AC85">_xll.BDH("PH US Equity","BS_FUTURE_MIN_OPER_LEASE_OBLIG","FQ3 2025","FQ3 2025","Currency=USD","Period=FQ","BEST_FPERIOD_OVERRIDE=FQ","FILING_STATUS=MR","SCALING_FORMAT=MLN","Sort=A","Dates=H","DateFormat=P","Fill=—","Direction=H","UseDPDF=Y")</f>
        <v>—</v>
      </c>
      <c r="AD85" s="13" cm="1">
        <f t="array" ref="AD85">_xll.BDH("PH US Equity","BS_FUTURE_MIN_OPER_LEASE_OBLIG","FQ4 2025","FQ4 2025","Currency=USD","Period=FQ","BEST_FPERIOD_OVERRIDE=FQ","FILING_STATUS=MR","SCALING_FORMAT=MLN","Sort=A","Dates=H","DateFormat=P","Fill=—","Direction=H","UseDPDF=Y")</f>
        <v>233</v>
      </c>
      <c r="AE85" s="13" t="str" cm="1">
        <f t="array" ref="AE85">_xll.BDH("PH US Equity","BS_FUTURE_MIN_OPER_LEASE_OBLIG","FQ1 2026","FQ1 2026","Currency=USD","Period=FQ","BEST_FPERIOD_OVERRIDE=FQ","FILING_STATUS=MR","SCALING_FORMAT=MLN","Sort=A","Dates=H","DateFormat=P","Fill=—","Direction=H","UseDPDF=Y")</f>
        <v>—</v>
      </c>
      <c r="AF85" s="13" t="str" cm="1">
        <f t="array" ref="AF85">_xll.BDH("PH US Equity","BS_FUTURE_MIN_OPER_LEASE_OBLIG","FQ2 2026","FQ2 2026","Currency=USD","Period=FQ","BEST_FPERIOD_OVERRIDE=FQ","FILING_STATUS=MR","SCALING_FORMAT=MLN","Sort=A","Dates=H","DateFormat=P","Fill=—","Direction=H","UseDPDF=Y")</f>
        <v>—</v>
      </c>
    </row>
    <row r="86" spans="1:32" x14ac:dyDescent="0.25">
      <c r="A86" s="10" t="s">
        <v>214</v>
      </c>
      <c r="B86" s="10" t="s">
        <v>215</v>
      </c>
      <c r="C86" s="13" t="str" cm="1">
        <f t="array" ref="C86">_xll.BDH("PH US Equity","BS_TOTAL_CAPITAL_LEASES","FQ1 2019","FQ1 2019","Currency=USD","Period=FQ","BEST_FPERIOD_OVERRIDE=FQ","FILING_STATUS=MR","SCALING_FORMAT=MLN","Sort=A","Dates=H","DateFormat=P","Fill=—","Direction=H","UseDPDF=Y")</f>
        <v>—</v>
      </c>
      <c r="D86" s="13" t="str" cm="1">
        <f t="array" ref="D86">_xll.BDH("PH US Equity","BS_TOTAL_CAPITAL_LEASES","FQ2 2019","FQ2 2019","Currency=USD","Period=FQ","BEST_FPERIOD_OVERRIDE=FQ","FILING_STATUS=MR","SCALING_FORMAT=MLN","Sort=A","Dates=H","DateFormat=P","Fill=—","Direction=H","UseDPDF=Y")</f>
        <v>—</v>
      </c>
      <c r="E86" s="13" t="str" cm="1">
        <f t="array" ref="E86">_xll.BDH("PH US Equity","BS_TOTAL_CAPITAL_LEASES","FQ3 2019","FQ3 2019","Currency=USD","Period=FQ","BEST_FPERIOD_OVERRIDE=FQ","FILING_STATUS=MR","SCALING_FORMAT=MLN","Sort=A","Dates=H","DateFormat=P","Fill=—","Direction=H","UseDPDF=Y")</f>
        <v>—</v>
      </c>
      <c r="F86" s="13" cm="1">
        <f t="array" ref="F86">_xll.BDH("PH US Equity","BS_TOTAL_CAPITAL_LEASES","FQ4 2019","FQ4 2019","Currency=USD","Period=FQ","BEST_FPERIOD_OVERRIDE=FQ","FILING_STATUS=MR","SCALING_FORMAT=MLN","Sort=A","Dates=H","DateFormat=P","Fill=—","Direction=H","UseDPDF=Y")</f>
        <v>0</v>
      </c>
      <c r="G86" s="13" t="str" cm="1">
        <f t="array" ref="G86">_xll.BDH("PH US Equity","BS_TOTAL_CAPITAL_LEASES","FQ1 2020","FQ1 2020","Currency=USD","Period=FQ","BEST_FPERIOD_OVERRIDE=FQ","FILING_STATUS=MR","SCALING_FORMAT=MLN","Sort=A","Dates=H","DateFormat=P","Fill=—","Direction=H","UseDPDF=Y")</f>
        <v>—</v>
      </c>
      <c r="H86" s="13" t="str" cm="1">
        <f t="array" ref="H86">_xll.BDH("PH US Equity","BS_TOTAL_CAPITAL_LEASES","FQ2 2020","FQ2 2020","Currency=USD","Period=FQ","BEST_FPERIOD_OVERRIDE=FQ","FILING_STATUS=MR","SCALING_FORMAT=MLN","Sort=A","Dates=H","DateFormat=P","Fill=—","Direction=H","UseDPDF=Y")</f>
        <v>—</v>
      </c>
      <c r="I86" s="13" t="str" cm="1">
        <f t="array" ref="I86">_xll.BDH("PH US Equity","BS_TOTAL_CAPITAL_LEASES","FQ3 2020","FQ3 2020","Currency=USD","Period=FQ","BEST_FPERIOD_OVERRIDE=FQ","FILING_STATUS=MR","SCALING_FORMAT=MLN","Sort=A","Dates=H","DateFormat=P","Fill=—","Direction=H","UseDPDF=Y")</f>
        <v>—</v>
      </c>
      <c r="J86" s="13" cm="1">
        <f t="array" ref="J86">_xll.BDH("PH US Equity","BS_TOTAL_CAPITAL_LEASES","FQ4 2020","FQ4 2020","Currency=USD","Period=FQ","BEST_FPERIOD_OVERRIDE=FQ","FILING_STATUS=MR","SCALING_FORMAT=MLN","Sort=A","Dates=H","DateFormat=P","Fill=—","Direction=H","UseDPDF=Y")</f>
        <v>0</v>
      </c>
      <c r="K86" s="13" t="str" cm="1">
        <f t="array" ref="K86">_xll.BDH("PH US Equity","BS_TOTAL_CAPITAL_LEASES","FQ1 2021","FQ1 2021","Currency=USD","Period=FQ","BEST_FPERIOD_OVERRIDE=FQ","FILING_STATUS=MR","SCALING_FORMAT=MLN","Sort=A","Dates=H","DateFormat=P","Fill=—","Direction=H","UseDPDF=Y")</f>
        <v>—</v>
      </c>
      <c r="L86" s="13" t="str" cm="1">
        <f t="array" ref="L86">_xll.BDH("PH US Equity","BS_TOTAL_CAPITAL_LEASES","FQ2 2021","FQ2 2021","Currency=USD","Period=FQ","BEST_FPERIOD_OVERRIDE=FQ","FILING_STATUS=MR","SCALING_FORMAT=MLN","Sort=A","Dates=H","DateFormat=P","Fill=—","Direction=H","UseDPDF=Y")</f>
        <v>—</v>
      </c>
      <c r="M86" s="13" t="str" cm="1">
        <f t="array" ref="M86">_xll.BDH("PH US Equity","BS_TOTAL_CAPITAL_LEASES","FQ3 2021","FQ3 2021","Currency=USD","Period=FQ","BEST_FPERIOD_OVERRIDE=FQ","FILING_STATUS=MR","SCALING_FORMAT=MLN","Sort=A","Dates=H","DateFormat=P","Fill=—","Direction=H","UseDPDF=Y")</f>
        <v>—</v>
      </c>
      <c r="N86" s="13" cm="1">
        <f t="array" ref="N86">_xll.BDH("PH US Equity","BS_TOTAL_CAPITAL_LEASES","FQ4 2021","FQ4 2021","Currency=USD","Period=FQ","BEST_FPERIOD_OVERRIDE=FQ","FILING_STATUS=MR","SCALING_FORMAT=MLN","Sort=A","Dates=H","DateFormat=P","Fill=—","Direction=H","UseDPDF=Y")</f>
        <v>0</v>
      </c>
      <c r="O86" s="13" t="str" cm="1">
        <f t="array" ref="O86">_xll.BDH("PH US Equity","BS_TOTAL_CAPITAL_LEASES","FQ1 2022","FQ1 2022","Currency=USD","Period=FQ","BEST_FPERIOD_OVERRIDE=FQ","FILING_STATUS=MR","SCALING_FORMAT=MLN","Sort=A","Dates=H","DateFormat=P","Fill=—","Direction=H","UseDPDF=Y")</f>
        <v>—</v>
      </c>
      <c r="P86" s="13" t="str" cm="1">
        <f t="array" ref="P86">_xll.BDH("PH US Equity","BS_TOTAL_CAPITAL_LEASES","FQ2 2022","FQ2 2022","Currency=USD","Period=FQ","BEST_FPERIOD_OVERRIDE=FQ","FILING_STATUS=MR","SCALING_FORMAT=MLN","Sort=A","Dates=H","DateFormat=P","Fill=—","Direction=H","UseDPDF=Y")</f>
        <v>—</v>
      </c>
      <c r="Q86" s="13" t="str" cm="1">
        <f t="array" ref="Q86">_xll.BDH("PH US Equity","BS_TOTAL_CAPITAL_LEASES","FQ3 2022","FQ3 2022","Currency=USD","Period=FQ","BEST_FPERIOD_OVERRIDE=FQ","FILING_STATUS=MR","SCALING_FORMAT=MLN","Sort=A","Dates=H","DateFormat=P","Fill=—","Direction=H","UseDPDF=Y")</f>
        <v>—</v>
      </c>
      <c r="R86" s="13" cm="1">
        <f t="array" ref="R86">_xll.BDH("PH US Equity","BS_TOTAL_CAPITAL_LEASES","FQ4 2022","FQ4 2022","Currency=USD","Period=FQ","BEST_FPERIOD_OVERRIDE=FQ","FILING_STATUS=MR","SCALING_FORMAT=MLN","Sort=A","Dates=H","DateFormat=P","Fill=—","Direction=H","UseDPDF=Y")</f>
        <v>0</v>
      </c>
      <c r="S86" s="13" t="str" cm="1">
        <f t="array" ref="S86">_xll.BDH("PH US Equity","BS_TOTAL_CAPITAL_LEASES","FQ1 2023","FQ1 2023","Currency=USD","Period=FQ","BEST_FPERIOD_OVERRIDE=FQ","FILING_STATUS=MR","SCALING_FORMAT=MLN","Sort=A","Dates=H","DateFormat=P","Fill=—","Direction=H","UseDPDF=Y")</f>
        <v>—</v>
      </c>
      <c r="T86" s="13" t="str" cm="1">
        <f t="array" ref="T86">_xll.BDH("PH US Equity","BS_TOTAL_CAPITAL_LEASES","FQ2 2023","FQ2 2023","Currency=USD","Period=FQ","BEST_FPERIOD_OVERRIDE=FQ","FILING_STATUS=MR","SCALING_FORMAT=MLN","Sort=A","Dates=H","DateFormat=P","Fill=—","Direction=H","UseDPDF=Y")</f>
        <v>—</v>
      </c>
      <c r="U86" s="13" t="str" cm="1">
        <f t="array" ref="U86">_xll.BDH("PH US Equity","BS_TOTAL_CAPITAL_LEASES","FQ3 2023","FQ3 2023","Currency=USD","Period=FQ","BEST_FPERIOD_OVERRIDE=FQ","FILING_STATUS=MR","SCALING_FORMAT=MLN","Sort=A","Dates=H","DateFormat=P","Fill=—","Direction=H","UseDPDF=Y")</f>
        <v>—</v>
      </c>
      <c r="V86" s="13" cm="1">
        <f t="array" ref="V86">_xll.BDH("PH US Equity","BS_TOTAL_CAPITAL_LEASES","FQ4 2023","FQ4 2023","Currency=USD","Period=FQ","BEST_FPERIOD_OVERRIDE=FQ","FILING_STATUS=MR","SCALING_FORMAT=MLN","Sort=A","Dates=H","DateFormat=P","Fill=—","Direction=H","UseDPDF=Y")</f>
        <v>105.087</v>
      </c>
      <c r="W86" s="13" t="str" cm="1">
        <f t="array" ref="W86">_xll.BDH("PH US Equity","BS_TOTAL_CAPITAL_LEASES","FQ1 2024","FQ1 2024","Currency=USD","Period=FQ","BEST_FPERIOD_OVERRIDE=FQ","FILING_STATUS=MR","SCALING_FORMAT=MLN","Sort=A","Dates=H","DateFormat=P","Fill=—","Direction=H","UseDPDF=Y")</f>
        <v>—</v>
      </c>
      <c r="X86" s="13" t="str" cm="1">
        <f t="array" ref="X86">_xll.BDH("PH US Equity","BS_TOTAL_CAPITAL_LEASES","FQ2 2024","FQ2 2024","Currency=USD","Period=FQ","BEST_FPERIOD_OVERRIDE=FQ","FILING_STATUS=MR","SCALING_FORMAT=MLN","Sort=A","Dates=H","DateFormat=P","Fill=—","Direction=H","UseDPDF=Y")</f>
        <v>—</v>
      </c>
      <c r="Y86" s="13" t="str" cm="1">
        <f t="array" ref="Y86">_xll.BDH("PH US Equity","BS_TOTAL_CAPITAL_LEASES","FQ3 2024","FQ3 2024","Currency=USD","Period=FQ","BEST_FPERIOD_OVERRIDE=FQ","FILING_STATUS=MR","SCALING_FORMAT=MLN","Sort=A","Dates=H","DateFormat=P","Fill=—","Direction=H","UseDPDF=Y")</f>
        <v>—</v>
      </c>
      <c r="Z86" s="13" cm="1">
        <f t="array" ref="Z86">_xll.BDH("PH US Equity","BS_TOTAL_CAPITAL_LEASES","FQ4 2024","FQ4 2024","Currency=USD","Period=FQ","BEST_FPERIOD_OVERRIDE=FQ","FILING_STATUS=MR","SCALING_FORMAT=MLN","Sort=A","Dates=H","DateFormat=P","Fill=—","Direction=H","UseDPDF=Y")</f>
        <v>103.38500000000001</v>
      </c>
      <c r="AA86" s="13" t="str" cm="1">
        <f t="array" ref="AA86">_xll.BDH("PH US Equity","BS_TOTAL_CAPITAL_LEASES","FQ1 2025","FQ1 2025","Currency=USD","Period=FQ","BEST_FPERIOD_OVERRIDE=FQ","FILING_STATUS=MR","SCALING_FORMAT=MLN","Sort=A","Dates=H","DateFormat=P","Fill=—","Direction=H","UseDPDF=Y")</f>
        <v>—</v>
      </c>
      <c r="AB86" s="13" t="str" cm="1">
        <f t="array" ref="AB86">_xll.BDH("PH US Equity","BS_TOTAL_CAPITAL_LEASES","FQ2 2025","FQ2 2025","Currency=USD","Period=FQ","BEST_FPERIOD_OVERRIDE=FQ","FILING_STATUS=MR","SCALING_FORMAT=MLN","Sort=A","Dates=H","DateFormat=P","Fill=—","Direction=H","UseDPDF=Y")</f>
        <v>—</v>
      </c>
      <c r="AC86" s="13" t="str" cm="1">
        <f t="array" ref="AC86">_xll.BDH("PH US Equity","BS_TOTAL_CAPITAL_LEASES","FQ3 2025","FQ3 2025","Currency=USD","Period=FQ","BEST_FPERIOD_OVERRIDE=FQ","FILING_STATUS=MR","SCALING_FORMAT=MLN","Sort=A","Dates=H","DateFormat=P","Fill=—","Direction=H","UseDPDF=Y")</f>
        <v>—</v>
      </c>
      <c r="AD86" s="13" cm="1">
        <f t="array" ref="AD86">_xll.BDH("PH US Equity","BS_TOTAL_CAPITAL_LEASES","FQ4 2025","FQ4 2025","Currency=USD","Period=FQ","BEST_FPERIOD_OVERRIDE=FQ","FILING_STATUS=MR","SCALING_FORMAT=MLN","Sort=A","Dates=H","DateFormat=P","Fill=—","Direction=H","UseDPDF=Y")</f>
        <v>108</v>
      </c>
      <c r="AE86" s="13" t="str" cm="1">
        <f t="array" ref="AE86">_xll.BDH("PH US Equity","BS_TOTAL_CAPITAL_LEASES","FQ1 2026","FQ1 2026","Currency=USD","Period=FQ","BEST_FPERIOD_OVERRIDE=FQ","FILING_STATUS=MR","SCALING_FORMAT=MLN","Sort=A","Dates=H","DateFormat=P","Fill=—","Direction=H","UseDPDF=Y")</f>
        <v>—</v>
      </c>
      <c r="AF86" s="13" t="str" cm="1">
        <f t="array" ref="AF86">_xll.BDH("PH US Equity","BS_TOTAL_CAPITAL_LEASES","FQ2 2026","FQ2 2026","Currency=USD","Period=FQ","BEST_FPERIOD_OVERRIDE=FQ","FILING_STATUS=MR","SCALING_FORMAT=MLN","Sort=A","Dates=H","DateFormat=P","Fill=—","Direction=H","UseDPDF=Y")</f>
        <v>—</v>
      </c>
    </row>
    <row r="87" spans="1:32" x14ac:dyDescent="0.25">
      <c r="A87" s="10" t="s">
        <v>216</v>
      </c>
      <c r="B87" s="10" t="s">
        <v>217</v>
      </c>
      <c r="C87" s="13" t="str" cm="1">
        <f t="array" ref="C87">_xll.BDH("PH US Equity","BS_OPTIONS_GRANTED","FQ1 2019","FQ1 2019","Currency=USD","Period=FQ","BEST_FPERIOD_OVERRIDE=FQ","FILING_STATUS=MR","Sort=A","Dates=H","DateFormat=P","Fill=—","Direction=H","UseDPDF=Y")</f>
        <v>—</v>
      </c>
      <c r="D87" s="13" t="str" cm="1">
        <f t="array" ref="D87">_xll.BDH("PH US Equity","BS_OPTIONS_GRANTED","FQ2 2019","FQ2 2019","Currency=USD","Period=FQ","BEST_FPERIOD_OVERRIDE=FQ","FILING_STATUS=MR","Sort=A","Dates=H","DateFormat=P","Fill=—","Direction=H","UseDPDF=Y")</f>
        <v>—</v>
      </c>
      <c r="E87" s="13" t="str" cm="1">
        <f t="array" ref="E87">_xll.BDH("PH US Equity","BS_OPTIONS_GRANTED","FQ3 2019","FQ3 2019","Currency=USD","Period=FQ","BEST_FPERIOD_OVERRIDE=FQ","FILING_STATUS=MR","Sort=A","Dates=H","DateFormat=P","Fill=—","Direction=H","UseDPDF=Y")</f>
        <v>—</v>
      </c>
      <c r="F87" s="13" t="str" cm="1">
        <f t="array" ref="F87">_xll.BDH("PH US Equity","BS_OPTIONS_GRANTED","FQ4 2019","FQ4 2019","Currency=USD","Period=FQ","BEST_FPERIOD_OVERRIDE=FQ","FILING_STATUS=MR","Sort=A","Dates=H","DateFormat=P","Fill=—","Direction=H","UseDPDF=Y")</f>
        <v>—</v>
      </c>
      <c r="G87" s="13" t="str" cm="1">
        <f t="array" ref="G87">_xll.BDH("PH US Equity","BS_OPTIONS_GRANTED","FQ1 2020","FQ1 2020","Currency=USD","Period=FQ","BEST_FPERIOD_OVERRIDE=FQ","FILING_STATUS=MR","Sort=A","Dates=H","DateFormat=P","Fill=—","Direction=H","UseDPDF=Y")</f>
        <v>—</v>
      </c>
      <c r="H87" s="13" t="str" cm="1">
        <f t="array" ref="H87">_xll.BDH("PH US Equity","BS_OPTIONS_GRANTED","FQ2 2020","FQ2 2020","Currency=USD","Period=FQ","BEST_FPERIOD_OVERRIDE=FQ","FILING_STATUS=MR","Sort=A","Dates=H","DateFormat=P","Fill=—","Direction=H","UseDPDF=Y")</f>
        <v>—</v>
      </c>
      <c r="I87" s="13" t="str" cm="1">
        <f t="array" ref="I87">_xll.BDH("PH US Equity","BS_OPTIONS_GRANTED","FQ3 2020","FQ3 2020","Currency=USD","Period=FQ","BEST_FPERIOD_OVERRIDE=FQ","FILING_STATUS=MR","Sort=A","Dates=H","DateFormat=P","Fill=—","Direction=H","UseDPDF=Y")</f>
        <v>—</v>
      </c>
      <c r="J87" s="13" t="str" cm="1">
        <f t="array" ref="J87">_xll.BDH("PH US Equity","BS_OPTIONS_GRANTED","FQ4 2020","FQ4 2020","Currency=USD","Period=FQ","BEST_FPERIOD_OVERRIDE=FQ","FILING_STATUS=MR","Sort=A","Dates=H","DateFormat=P","Fill=—","Direction=H","UseDPDF=Y")</f>
        <v>—</v>
      </c>
      <c r="K87" s="13" t="str" cm="1">
        <f t="array" ref="K87">_xll.BDH("PH US Equity","BS_OPTIONS_GRANTED","FQ1 2021","FQ1 2021","Currency=USD","Period=FQ","BEST_FPERIOD_OVERRIDE=FQ","FILING_STATUS=MR","Sort=A","Dates=H","DateFormat=P","Fill=—","Direction=H","UseDPDF=Y")</f>
        <v>—</v>
      </c>
      <c r="L87" s="13" t="str" cm="1">
        <f t="array" ref="L87">_xll.BDH("PH US Equity","BS_OPTIONS_GRANTED","FQ2 2021","FQ2 2021","Currency=USD","Period=FQ","BEST_FPERIOD_OVERRIDE=FQ","FILING_STATUS=MR","Sort=A","Dates=H","DateFormat=P","Fill=—","Direction=H","UseDPDF=Y")</f>
        <v>—</v>
      </c>
      <c r="M87" s="13" t="str" cm="1">
        <f t="array" ref="M87">_xll.BDH("PH US Equity","BS_OPTIONS_GRANTED","FQ3 2021","FQ3 2021","Currency=USD","Period=FQ","BEST_FPERIOD_OVERRIDE=FQ","FILING_STATUS=MR","Sort=A","Dates=H","DateFormat=P","Fill=—","Direction=H","UseDPDF=Y")</f>
        <v>—</v>
      </c>
      <c r="N87" s="13" t="str" cm="1">
        <f t="array" ref="N87">_xll.BDH("PH US Equity","BS_OPTIONS_GRANTED","FQ4 2021","FQ4 2021","Currency=USD","Period=FQ","BEST_FPERIOD_OVERRIDE=FQ","FILING_STATUS=MR","Sort=A","Dates=H","DateFormat=P","Fill=—","Direction=H","UseDPDF=Y")</f>
        <v>—</v>
      </c>
      <c r="O87" s="13" t="str" cm="1">
        <f t="array" ref="O87">_xll.BDH("PH US Equity","BS_OPTIONS_GRANTED","FQ1 2022","FQ1 2022","Currency=USD","Period=FQ","BEST_FPERIOD_OVERRIDE=FQ","FILING_STATUS=MR","Sort=A","Dates=H","DateFormat=P","Fill=—","Direction=H","UseDPDF=Y")</f>
        <v>—</v>
      </c>
      <c r="P87" s="13" t="str" cm="1">
        <f t="array" ref="P87">_xll.BDH("PH US Equity","BS_OPTIONS_GRANTED","FQ2 2022","FQ2 2022","Currency=USD","Period=FQ","BEST_FPERIOD_OVERRIDE=FQ","FILING_STATUS=MR","Sort=A","Dates=H","DateFormat=P","Fill=—","Direction=H","UseDPDF=Y")</f>
        <v>—</v>
      </c>
      <c r="Q87" s="13" t="str" cm="1">
        <f t="array" ref="Q87">_xll.BDH("PH US Equity","BS_OPTIONS_GRANTED","FQ3 2022","FQ3 2022","Currency=USD","Period=FQ","BEST_FPERIOD_OVERRIDE=FQ","FILING_STATUS=MR","Sort=A","Dates=H","DateFormat=P","Fill=—","Direction=H","UseDPDF=Y")</f>
        <v>—</v>
      </c>
      <c r="R87" s="13" t="str" cm="1">
        <f t="array" ref="R87">_xll.BDH("PH US Equity","BS_OPTIONS_GRANTED","FQ4 2022","FQ4 2022","Currency=USD","Period=FQ","BEST_FPERIOD_OVERRIDE=FQ","FILING_STATUS=MR","Sort=A","Dates=H","DateFormat=P","Fill=—","Direction=H","UseDPDF=Y")</f>
        <v>—</v>
      </c>
      <c r="S87" s="13" t="str" cm="1">
        <f t="array" ref="S87">_xll.BDH("PH US Equity","BS_OPTIONS_GRANTED","FQ1 2023","FQ1 2023","Currency=USD","Period=FQ","BEST_FPERIOD_OVERRIDE=FQ","FILING_STATUS=MR","Sort=A","Dates=H","DateFormat=P","Fill=—","Direction=H","UseDPDF=Y")</f>
        <v>—</v>
      </c>
      <c r="T87" s="13" t="str" cm="1">
        <f t="array" ref="T87">_xll.BDH("PH US Equity","BS_OPTIONS_GRANTED","FQ2 2023","FQ2 2023","Currency=USD","Period=FQ","BEST_FPERIOD_OVERRIDE=FQ","FILING_STATUS=MR","Sort=A","Dates=H","DateFormat=P","Fill=—","Direction=H","UseDPDF=Y")</f>
        <v>—</v>
      </c>
      <c r="U87" s="13" t="str" cm="1">
        <f t="array" ref="U87">_xll.BDH("PH US Equity","BS_OPTIONS_GRANTED","FQ3 2023","FQ3 2023","Currency=USD","Period=FQ","BEST_FPERIOD_OVERRIDE=FQ","FILING_STATUS=MR","Sort=A","Dates=H","DateFormat=P","Fill=—","Direction=H","UseDPDF=Y")</f>
        <v>—</v>
      </c>
      <c r="V87" s="13" t="str" cm="1">
        <f t="array" ref="V87">_xll.BDH("PH US Equity","BS_OPTIONS_GRANTED","FQ4 2023","FQ4 2023","Currency=USD","Period=FQ","BEST_FPERIOD_OVERRIDE=FQ","FILING_STATUS=MR","Sort=A","Dates=H","DateFormat=P","Fill=—","Direction=H","UseDPDF=Y")</f>
        <v>—</v>
      </c>
      <c r="W87" s="13" t="str" cm="1">
        <f t="array" ref="W87">_xll.BDH("PH US Equity","BS_OPTIONS_GRANTED","FQ1 2024","FQ1 2024","Currency=USD","Period=FQ","BEST_FPERIOD_OVERRIDE=FQ","FILING_STATUS=MR","Sort=A","Dates=H","DateFormat=P","Fill=—","Direction=H","UseDPDF=Y")</f>
        <v>—</v>
      </c>
      <c r="X87" s="13" t="str" cm="1">
        <f t="array" ref="X87">_xll.BDH("PH US Equity","BS_OPTIONS_GRANTED","FQ2 2024","FQ2 2024","Currency=USD","Period=FQ","BEST_FPERIOD_OVERRIDE=FQ","FILING_STATUS=MR","Sort=A","Dates=H","DateFormat=P","Fill=—","Direction=H","UseDPDF=Y")</f>
        <v>—</v>
      </c>
      <c r="Y87" s="13" t="str" cm="1">
        <f t="array" ref="Y87">_xll.BDH("PH US Equity","BS_OPTIONS_GRANTED","FQ3 2024","FQ3 2024","Currency=USD","Period=FQ","BEST_FPERIOD_OVERRIDE=FQ","FILING_STATUS=MR","Sort=A","Dates=H","DateFormat=P","Fill=—","Direction=H","UseDPDF=Y")</f>
        <v>—</v>
      </c>
      <c r="Z87" s="13" t="str" cm="1">
        <f t="array" ref="Z87">_xll.BDH("PH US Equity","BS_OPTIONS_GRANTED","FQ4 2024","FQ4 2024","Currency=USD","Period=FQ","BEST_FPERIOD_OVERRIDE=FQ","FILING_STATUS=MR","Sort=A","Dates=H","DateFormat=P","Fill=—","Direction=H","UseDPDF=Y")</f>
        <v>—</v>
      </c>
      <c r="AA87" s="13" t="str" cm="1">
        <f t="array" ref="AA87">_xll.BDH("PH US Equity","BS_OPTIONS_GRANTED","FQ1 2025","FQ1 2025","Currency=USD","Period=FQ","BEST_FPERIOD_OVERRIDE=FQ","FILING_STATUS=MR","Sort=A","Dates=H","DateFormat=P","Fill=—","Direction=H","UseDPDF=Y")</f>
        <v>—</v>
      </c>
      <c r="AB87" s="13" t="str" cm="1">
        <f t="array" ref="AB87">_xll.BDH("PH US Equity","BS_OPTIONS_GRANTED","FQ2 2025","FQ2 2025","Currency=USD","Period=FQ","BEST_FPERIOD_OVERRIDE=FQ","FILING_STATUS=MR","Sort=A","Dates=H","DateFormat=P","Fill=—","Direction=H","UseDPDF=Y")</f>
        <v>—</v>
      </c>
      <c r="AC87" s="13" t="str" cm="1">
        <f t="array" ref="AC87">_xll.BDH("PH US Equity","BS_OPTIONS_GRANTED","FQ3 2025","FQ3 2025","Currency=USD","Period=FQ","BEST_FPERIOD_OVERRIDE=FQ","FILING_STATUS=MR","Sort=A","Dates=H","DateFormat=P","Fill=—","Direction=H","UseDPDF=Y")</f>
        <v>—</v>
      </c>
      <c r="AD87" s="13" cm="1">
        <f t="array" ref="AD87">_xll.BDH("PH US Equity","BS_OPTIONS_GRANTED","FQ4 2025","FQ4 2025","Currency=USD","Period=FQ","BEST_FPERIOD_OVERRIDE=FQ","FILING_STATUS=MR","Sort=A","Dates=H","DateFormat=P","Fill=—","Direction=H","UseDPDF=Y")</f>
        <v>0.34699999999999998</v>
      </c>
      <c r="AE87" s="13" t="str" cm="1">
        <f t="array" ref="AE87">_xll.BDH("PH US Equity","BS_OPTIONS_GRANTED","FQ1 2026","FQ1 2026","Currency=USD","Period=FQ","BEST_FPERIOD_OVERRIDE=FQ","FILING_STATUS=MR","Sort=A","Dates=H","DateFormat=P","Fill=—","Direction=H","UseDPDF=Y")</f>
        <v>—</v>
      </c>
      <c r="AF87" s="13" t="str" cm="1">
        <f t="array" ref="AF87">_xll.BDH("PH US Equity","BS_OPTIONS_GRANTED","FQ2 2026","FQ2 2026","Currency=USD","Period=FQ","BEST_FPERIOD_OVERRIDE=FQ","FILING_STATUS=MR","Sort=A","Dates=H","DateFormat=P","Fill=—","Direction=H","UseDPDF=Y")</f>
        <v>—</v>
      </c>
    </row>
    <row r="88" spans="1:32" x14ac:dyDescent="0.25">
      <c r="A88" s="10" t="s">
        <v>218</v>
      </c>
      <c r="B88" s="10" t="s">
        <v>219</v>
      </c>
      <c r="C88" s="13" t="str" cm="1">
        <f t="array" ref="C88">_xll.BDH("PH US Equity","BS_OPTIONS_OUTSTANDING","FQ1 2019","FQ1 2019","Currency=USD","Period=FQ","BEST_FPERIOD_OVERRIDE=FQ","FILING_STATUS=MR","Sort=A","Dates=H","DateFormat=P","Fill=—","Direction=H","UseDPDF=Y")</f>
        <v>—</v>
      </c>
      <c r="D88" s="13" t="str" cm="1">
        <f t="array" ref="D88">_xll.BDH("PH US Equity","BS_OPTIONS_OUTSTANDING","FQ2 2019","FQ2 2019","Currency=USD","Period=FQ","BEST_FPERIOD_OVERRIDE=FQ","FILING_STATUS=MR","Sort=A","Dates=H","DateFormat=P","Fill=—","Direction=H","UseDPDF=Y")</f>
        <v>—</v>
      </c>
      <c r="E88" s="13" t="str" cm="1">
        <f t="array" ref="E88">_xll.BDH("PH US Equity","BS_OPTIONS_OUTSTANDING","FQ3 2019","FQ3 2019","Currency=USD","Period=FQ","BEST_FPERIOD_OVERRIDE=FQ","FILING_STATUS=MR","Sort=A","Dates=H","DateFormat=P","Fill=—","Direction=H","UseDPDF=Y")</f>
        <v>—</v>
      </c>
      <c r="F88" s="13" cm="1">
        <f t="array" ref="F88">_xll.BDH("PH US Equity","BS_OPTIONS_OUTSTANDING","FQ4 2019","FQ4 2019","Currency=USD","Period=FQ","BEST_FPERIOD_OVERRIDE=FQ","FILING_STATUS=MR","Sort=A","Dates=H","DateFormat=P","Fill=—","Direction=H","UseDPDF=Y")</f>
        <v>5.7495000000000003</v>
      </c>
      <c r="G88" s="13" t="str" cm="1">
        <f t="array" ref="G88">_xll.BDH("PH US Equity","BS_OPTIONS_OUTSTANDING","FQ1 2020","FQ1 2020","Currency=USD","Period=FQ","BEST_FPERIOD_OVERRIDE=FQ","FILING_STATUS=MR","Sort=A","Dates=H","DateFormat=P","Fill=—","Direction=H","UseDPDF=Y")</f>
        <v>—</v>
      </c>
      <c r="H88" s="13" t="str" cm="1">
        <f t="array" ref="H88">_xll.BDH("PH US Equity","BS_OPTIONS_OUTSTANDING","FQ2 2020","FQ2 2020","Currency=USD","Period=FQ","BEST_FPERIOD_OVERRIDE=FQ","FILING_STATUS=MR","Sort=A","Dates=H","DateFormat=P","Fill=—","Direction=H","UseDPDF=Y")</f>
        <v>—</v>
      </c>
      <c r="I88" s="13" t="str" cm="1">
        <f t="array" ref="I88">_xll.BDH("PH US Equity","BS_OPTIONS_OUTSTANDING","FQ3 2020","FQ3 2020","Currency=USD","Period=FQ","BEST_FPERIOD_OVERRIDE=FQ","FILING_STATUS=MR","Sort=A","Dates=H","DateFormat=P","Fill=—","Direction=H","UseDPDF=Y")</f>
        <v>—</v>
      </c>
      <c r="J88" s="13" cm="1">
        <f t="array" ref="J88">_xll.BDH("PH US Equity","BS_OPTIONS_OUTSTANDING","FQ4 2020","FQ4 2020","Currency=USD","Period=FQ","BEST_FPERIOD_OVERRIDE=FQ","FILING_STATUS=MR","Sort=A","Dates=H","DateFormat=P","Fill=—","Direction=H","UseDPDF=Y")</f>
        <v>5.1840000000000002</v>
      </c>
      <c r="K88" s="13" t="str" cm="1">
        <f t="array" ref="K88">_xll.BDH("PH US Equity","BS_OPTIONS_OUTSTANDING","FQ1 2021","FQ1 2021","Currency=USD","Period=FQ","BEST_FPERIOD_OVERRIDE=FQ","FILING_STATUS=MR","Sort=A","Dates=H","DateFormat=P","Fill=—","Direction=H","UseDPDF=Y")</f>
        <v>—</v>
      </c>
      <c r="L88" s="13" t="str" cm="1">
        <f t="array" ref="L88">_xll.BDH("PH US Equity","BS_OPTIONS_OUTSTANDING","FQ2 2021","FQ2 2021","Currency=USD","Period=FQ","BEST_FPERIOD_OVERRIDE=FQ","FILING_STATUS=MR","Sort=A","Dates=H","DateFormat=P","Fill=—","Direction=H","UseDPDF=Y")</f>
        <v>—</v>
      </c>
      <c r="M88" s="13" t="str" cm="1">
        <f t="array" ref="M88">_xll.BDH("PH US Equity","BS_OPTIONS_OUTSTANDING","FQ3 2021","FQ3 2021","Currency=USD","Period=FQ","BEST_FPERIOD_OVERRIDE=FQ","FILING_STATUS=MR","Sort=A","Dates=H","DateFormat=P","Fill=—","Direction=H","UseDPDF=Y")</f>
        <v>—</v>
      </c>
      <c r="N88" s="13" cm="1">
        <f t="array" ref="N88">_xll.BDH("PH US Equity","BS_OPTIONS_OUTSTANDING","FQ4 2021","FQ4 2021","Currency=USD","Period=FQ","BEST_FPERIOD_OVERRIDE=FQ","FILING_STATUS=MR","Sort=A","Dates=H","DateFormat=P","Fill=—","Direction=H","UseDPDF=Y")</f>
        <v>4.1486000000000001</v>
      </c>
      <c r="O88" s="13" t="str" cm="1">
        <f t="array" ref="O88">_xll.BDH("PH US Equity","BS_OPTIONS_OUTSTANDING","FQ1 2022","FQ1 2022","Currency=USD","Period=FQ","BEST_FPERIOD_OVERRIDE=FQ","FILING_STATUS=MR","Sort=A","Dates=H","DateFormat=P","Fill=—","Direction=H","UseDPDF=Y")</f>
        <v>—</v>
      </c>
      <c r="P88" s="13" t="str" cm="1">
        <f t="array" ref="P88">_xll.BDH("PH US Equity","BS_OPTIONS_OUTSTANDING","FQ2 2022","FQ2 2022","Currency=USD","Period=FQ","BEST_FPERIOD_OVERRIDE=FQ","FILING_STATUS=MR","Sort=A","Dates=H","DateFormat=P","Fill=—","Direction=H","UseDPDF=Y")</f>
        <v>—</v>
      </c>
      <c r="Q88" s="13" t="str" cm="1">
        <f t="array" ref="Q88">_xll.BDH("PH US Equity","BS_OPTIONS_OUTSTANDING","FQ3 2022","FQ3 2022","Currency=USD","Period=FQ","BEST_FPERIOD_OVERRIDE=FQ","FILING_STATUS=MR","Sort=A","Dates=H","DateFormat=P","Fill=—","Direction=H","UseDPDF=Y")</f>
        <v>—</v>
      </c>
      <c r="R88" s="13" cm="1">
        <f t="array" ref="R88">_xll.BDH("PH US Equity","BS_OPTIONS_OUTSTANDING","FQ4 2022","FQ4 2022","Currency=USD","Period=FQ","BEST_FPERIOD_OVERRIDE=FQ","FILING_STATUS=MR","Sort=A","Dates=H","DateFormat=P","Fill=—","Direction=H","UseDPDF=Y")</f>
        <v>4.0991</v>
      </c>
      <c r="S88" s="13" t="str" cm="1">
        <f t="array" ref="S88">_xll.BDH("PH US Equity","BS_OPTIONS_OUTSTANDING","FQ1 2023","FQ1 2023","Currency=USD","Period=FQ","BEST_FPERIOD_OVERRIDE=FQ","FILING_STATUS=MR","Sort=A","Dates=H","DateFormat=P","Fill=—","Direction=H","UseDPDF=Y")</f>
        <v>—</v>
      </c>
      <c r="T88" s="13" t="str" cm="1">
        <f t="array" ref="T88">_xll.BDH("PH US Equity","BS_OPTIONS_OUTSTANDING","FQ2 2023","FQ2 2023","Currency=USD","Period=FQ","BEST_FPERIOD_OVERRIDE=FQ","FILING_STATUS=MR","Sort=A","Dates=H","DateFormat=P","Fill=—","Direction=H","UseDPDF=Y")</f>
        <v>—</v>
      </c>
      <c r="U88" s="13" t="str" cm="1">
        <f t="array" ref="U88">_xll.BDH("PH US Equity","BS_OPTIONS_OUTSTANDING","FQ3 2023","FQ3 2023","Currency=USD","Period=FQ","BEST_FPERIOD_OVERRIDE=FQ","FILING_STATUS=MR","Sort=A","Dates=H","DateFormat=P","Fill=—","Direction=H","UseDPDF=Y")</f>
        <v>—</v>
      </c>
      <c r="V88" s="13" cm="1">
        <f t="array" ref="V88">_xll.BDH("PH US Equity","BS_OPTIONS_OUTSTANDING","FQ4 2023","FQ4 2023","Currency=USD","Period=FQ","BEST_FPERIOD_OVERRIDE=FQ","FILING_STATUS=MR","Sort=A","Dates=H","DateFormat=P","Fill=—","Direction=H","UseDPDF=Y")</f>
        <v>3.8734000000000002</v>
      </c>
      <c r="W88" s="13" t="str" cm="1">
        <f t="array" ref="W88">_xll.BDH("PH US Equity","BS_OPTIONS_OUTSTANDING","FQ1 2024","FQ1 2024","Currency=USD","Period=FQ","BEST_FPERIOD_OVERRIDE=FQ","FILING_STATUS=MR","Sort=A","Dates=H","DateFormat=P","Fill=—","Direction=H","UseDPDF=Y")</f>
        <v>—</v>
      </c>
      <c r="X88" s="13" t="str" cm="1">
        <f t="array" ref="X88">_xll.BDH("PH US Equity","BS_OPTIONS_OUTSTANDING","FQ2 2024","FQ2 2024","Currency=USD","Period=FQ","BEST_FPERIOD_OVERRIDE=FQ","FILING_STATUS=MR","Sort=A","Dates=H","DateFormat=P","Fill=—","Direction=H","UseDPDF=Y")</f>
        <v>—</v>
      </c>
      <c r="Y88" s="13" t="str" cm="1">
        <f t="array" ref="Y88">_xll.BDH("PH US Equity","BS_OPTIONS_OUTSTANDING","FQ3 2024","FQ3 2024","Currency=USD","Period=FQ","BEST_FPERIOD_OVERRIDE=FQ","FILING_STATUS=MR","Sort=A","Dates=H","DateFormat=P","Fill=—","Direction=H","UseDPDF=Y")</f>
        <v>—</v>
      </c>
      <c r="Z88" s="13" cm="1">
        <f t="array" ref="Z88">_xll.BDH("PH US Equity","BS_OPTIONS_OUTSTANDING","FQ4 2024","FQ4 2024","Currency=USD","Period=FQ","BEST_FPERIOD_OVERRIDE=FQ","FILING_STATUS=MR","Sort=A","Dates=H","DateFormat=P","Fill=—","Direction=H","UseDPDF=Y")</f>
        <v>3.4948000000000001</v>
      </c>
      <c r="AA88" s="13" t="str" cm="1">
        <f t="array" ref="AA88">_xll.BDH("PH US Equity","BS_OPTIONS_OUTSTANDING","FQ1 2025","FQ1 2025","Currency=USD","Period=FQ","BEST_FPERIOD_OVERRIDE=FQ","FILING_STATUS=MR","Sort=A","Dates=H","DateFormat=P","Fill=—","Direction=H","UseDPDF=Y")</f>
        <v>—</v>
      </c>
      <c r="AB88" s="13" t="str" cm="1">
        <f t="array" ref="AB88">_xll.BDH("PH US Equity","BS_OPTIONS_OUTSTANDING","FQ2 2025","FQ2 2025","Currency=USD","Period=FQ","BEST_FPERIOD_OVERRIDE=FQ","FILING_STATUS=MR","Sort=A","Dates=H","DateFormat=P","Fill=—","Direction=H","UseDPDF=Y")</f>
        <v>—</v>
      </c>
      <c r="AC88" s="13" t="str" cm="1">
        <f t="array" ref="AC88">_xll.BDH("PH US Equity","BS_OPTIONS_OUTSTANDING","FQ3 2025","FQ3 2025","Currency=USD","Period=FQ","BEST_FPERIOD_OVERRIDE=FQ","FILING_STATUS=MR","Sort=A","Dates=H","DateFormat=P","Fill=—","Direction=H","UseDPDF=Y")</f>
        <v>—</v>
      </c>
      <c r="AD88" s="13" cm="1">
        <f t="array" ref="AD88">_xll.BDH("PH US Equity","BS_OPTIONS_OUTSTANDING","FQ4 2025","FQ4 2025","Currency=USD","Period=FQ","BEST_FPERIOD_OVERRIDE=FQ","FILING_STATUS=MR","Sort=A","Dates=H","DateFormat=P","Fill=—","Direction=H","UseDPDF=Y")</f>
        <v>3.0880000000000001</v>
      </c>
      <c r="AE88" s="13" t="str" cm="1">
        <f t="array" ref="AE88">_xll.BDH("PH US Equity","BS_OPTIONS_OUTSTANDING","FQ1 2026","FQ1 2026","Currency=USD","Period=FQ","BEST_FPERIOD_OVERRIDE=FQ","FILING_STATUS=MR","Sort=A","Dates=H","DateFormat=P","Fill=—","Direction=H","UseDPDF=Y")</f>
        <v>—</v>
      </c>
      <c r="AF88" s="13" t="str" cm="1">
        <f t="array" ref="AF88">_xll.BDH("PH US Equity","BS_OPTIONS_OUTSTANDING","FQ2 2026","FQ2 2026","Currency=USD","Period=FQ","BEST_FPERIOD_OVERRIDE=FQ","FILING_STATUS=MR","Sort=A","Dates=H","DateFormat=P","Fill=—","Direction=H","UseDPDF=Y")</f>
        <v>—</v>
      </c>
    </row>
    <row r="89" spans="1:32" x14ac:dyDescent="0.25">
      <c r="A89" s="10" t="s">
        <v>220</v>
      </c>
      <c r="B89" s="10" t="s">
        <v>221</v>
      </c>
      <c r="C89" s="13" cm="1">
        <f t="array" ref="C89">_xll.BDH("PH US Equity","NET_DEBT","FQ1 2019","FQ1 2019","Currency=USD","Period=FQ","BEST_FPERIOD_OVERRIDE=FQ","FILING_STATUS=MR","SCALING_FORMAT=MLN","Sort=A","Dates=H","DateFormat=P","Fill=—","Direction=H","UseDPDF=Y")</f>
        <v>4117.1729999999998</v>
      </c>
      <c r="D89" s="13" cm="1">
        <f t="array" ref="D89">_xll.BDH("PH US Equity","NET_DEBT","FQ2 2019","FQ2 2019","Currency=USD","Period=FQ","BEST_FPERIOD_OVERRIDE=FQ","FILING_STATUS=MR","SCALING_FORMAT=MLN","Sort=A","Dates=H","DateFormat=P","Fill=—","Direction=H","UseDPDF=Y")</f>
        <v>4369.3370000000004</v>
      </c>
      <c r="E89" s="13" cm="1">
        <f t="array" ref="E89">_xll.BDH("PH US Equity","NET_DEBT","FQ3 2019","FQ3 2019","Currency=USD","Period=FQ","BEST_FPERIOD_OVERRIDE=FQ","FILING_STATUS=MR","SCALING_FORMAT=MLN","Sort=A","Dates=H","DateFormat=P","Fill=—","Direction=H","UseDPDF=Y")</f>
        <v>4132.5940000000001</v>
      </c>
      <c r="F89" s="13" cm="1">
        <f t="array" ref="F89">_xll.BDH("PH US Equity","NET_DEBT","FQ4 2019","FQ4 2019","Currency=USD","Period=FQ","BEST_FPERIOD_OVERRIDE=FQ","FILING_STATUS=MR","SCALING_FORMAT=MLN","Sort=A","Dates=H","DateFormat=P","Fill=—","Direction=H","UseDPDF=Y")</f>
        <v>3737.1469999999999</v>
      </c>
      <c r="G89" s="13" cm="1">
        <f t="array" ref="G89">_xll.BDH("PH US Equity","NET_DEBT","FQ1 2020","FQ1 2020","Currency=USD","Period=FQ","BEST_FPERIOD_OVERRIDE=FQ","FILING_STATUS=MR","SCALING_FORMAT=MLN","Sort=A","Dates=H","DateFormat=P","Fill=—","Direction=H","UseDPDF=Y")</f>
        <v>5330.1930000000002</v>
      </c>
      <c r="H89" s="13" cm="1">
        <f t="array" ref="H89">_xll.BDH("PH US Equity","NET_DEBT","FQ2 2020","FQ2 2020","Currency=USD","Period=FQ","BEST_FPERIOD_OVERRIDE=FQ","FILING_STATUS=MR","SCALING_FORMAT=MLN","Sort=A","Dates=H","DateFormat=P","Fill=—","Direction=H","UseDPDF=Y")</f>
        <v>8807.1659999999993</v>
      </c>
      <c r="I89" s="13" cm="1">
        <f t="array" ref="I89">_xll.BDH("PH US Equity","NET_DEBT","FQ3 2020","FQ3 2020","Currency=USD","Period=FQ","BEST_FPERIOD_OVERRIDE=FQ","FILING_STATUS=MR","SCALING_FORMAT=MLN","Sort=A","Dates=H","DateFormat=P","Fill=—","Direction=H","UseDPDF=Y")</f>
        <v>8481.143</v>
      </c>
      <c r="J89" s="13" cm="1">
        <f t="array" ref="J89">_xll.BDH("PH US Equity","NET_DEBT","FQ4 2020","FQ4 2020","Currency=USD","Period=FQ","BEST_FPERIOD_OVERRIDE=FQ","FILING_STATUS=MR","SCALING_FORMAT=MLN","Sort=A","Dates=H","DateFormat=P","Fill=—","Direction=H","UseDPDF=Y")</f>
        <v>7845.2389999999996</v>
      </c>
      <c r="K89" s="13" cm="1">
        <f t="array" ref="K89">_xll.BDH("PH US Equity","NET_DEBT","FQ1 2021","FQ1 2021","Currency=USD","Period=FQ","BEST_FPERIOD_OVERRIDE=FQ","FILING_STATUS=MR","SCALING_FORMAT=MLN","Sort=A","Dates=H","DateFormat=P","Fill=—","Direction=H","UseDPDF=Y")</f>
        <v>7166.3159999999998</v>
      </c>
      <c r="L89" s="13" cm="1">
        <f t="array" ref="L89">_xll.BDH("PH US Equity","NET_DEBT","FQ2 2021","FQ2 2021","Currency=USD","Period=FQ","BEST_FPERIOD_OVERRIDE=FQ","FILING_STATUS=MR","SCALING_FORMAT=MLN","Sort=A","Dates=H","DateFormat=P","Fill=—","Direction=H","UseDPDF=Y")</f>
        <v>6605.17</v>
      </c>
      <c r="M89" s="13" cm="1">
        <f t="array" ref="M89">_xll.BDH("PH US Equity","NET_DEBT","FQ3 2021","FQ3 2021","Currency=USD","Period=FQ","BEST_FPERIOD_OVERRIDE=FQ","FILING_STATUS=MR","SCALING_FORMAT=MLN","Sort=A","Dates=H","DateFormat=P","Fill=—","Direction=H","UseDPDF=Y")</f>
        <v>6228.4260000000004</v>
      </c>
      <c r="N89" s="13" cm="1">
        <f t="array" ref="N89">_xll.BDH("PH US Equity","NET_DEBT","FQ4 2021","FQ4 2021","Currency=USD","Period=FQ","BEST_FPERIOD_OVERRIDE=FQ","FILING_STATUS=MR","SCALING_FORMAT=MLN","Sort=A","Dates=H","DateFormat=P","Fill=—","Direction=H","UseDPDF=Y")</f>
        <v>5946.741</v>
      </c>
      <c r="O89" s="13" cm="1">
        <f t="array" ref="O89">_xll.BDH("PH US Equity","NET_DEBT","FQ1 2022","FQ1 2022","Currency=USD","Period=FQ","BEST_FPERIOD_OVERRIDE=FQ","FILING_STATUS=MR","SCALING_FORMAT=MLN","Sort=A","Dates=H","DateFormat=P","Fill=—","Direction=H","UseDPDF=Y")</f>
        <v>6047.5079999999998</v>
      </c>
      <c r="P89" s="13" cm="1">
        <f t="array" ref="P89">_xll.BDH("PH US Equity","NET_DEBT","FQ2 2022","FQ2 2022","Currency=USD","Period=FQ","BEST_FPERIOD_OVERRIDE=FQ","FILING_STATUS=MR","SCALING_FORMAT=MLN","Sort=A","Dates=H","DateFormat=P","Fill=—","Direction=H","UseDPDF=Y")</f>
        <v>7962.1859999999997</v>
      </c>
      <c r="Q89" s="13" cm="1">
        <f t="array" ref="Q89">_xll.BDH("PH US Equity","NET_DEBT","FQ3 2022","FQ3 2022","Currency=USD","Period=FQ","BEST_FPERIOD_OVERRIDE=FQ","FILING_STATUS=MR","SCALING_FORMAT=MLN","Sort=A","Dates=H","DateFormat=P","Fill=—","Direction=H","UseDPDF=Y")</f>
        <v>7647.2420000000002</v>
      </c>
      <c r="R89" s="13" cm="1">
        <f t="array" ref="R89">_xll.BDH("PH US Equity","NET_DEBT","FQ4 2022","FQ4 2022","Currency=USD","Period=FQ","BEST_FPERIOD_OVERRIDE=FQ","FILING_STATUS=MR","SCALING_FORMAT=MLN","Sort=A","Dates=H","DateFormat=P","Fill=—","Direction=H","UseDPDF=Y")</f>
        <v>11052.834000000001</v>
      </c>
      <c r="S89" s="13" cm="1">
        <f t="array" ref="S89">_xll.BDH("PH US Equity","NET_DEBT","FQ1 2023","FQ1 2023","Currency=USD","Period=FQ","BEST_FPERIOD_OVERRIDE=FQ","FILING_STATUS=MR","SCALING_FORMAT=MLN","Sort=A","Dates=H","DateFormat=P","Fill=—","Direction=H","UseDPDF=Y")</f>
        <v>13442.165999999999</v>
      </c>
      <c r="T89" s="13" cm="1">
        <f t="array" ref="T89">_xll.BDH("PH US Equity","NET_DEBT","FQ2 2023","FQ2 2023","Currency=USD","Period=FQ","BEST_FPERIOD_OVERRIDE=FQ","FILING_STATUS=MR","SCALING_FORMAT=MLN","Sort=A","Dates=H","DateFormat=P","Fill=—","Direction=H","UseDPDF=Y")</f>
        <v>13242.527</v>
      </c>
      <c r="U89" s="13" cm="1">
        <f t="array" ref="U89">_xll.BDH("PH US Equity","NET_DEBT","FQ3 2023","FQ3 2023","Currency=USD","Period=FQ","BEST_FPERIOD_OVERRIDE=FQ","FILING_STATUS=MR","SCALING_FORMAT=MLN","Sort=A","Dates=H","DateFormat=P","Fill=—","Direction=H","UseDPDF=Y")</f>
        <v>12846.925999999999</v>
      </c>
      <c r="V89" s="13" cm="1">
        <f t="array" ref="V89">_xll.BDH("PH US Equity","NET_DEBT","FQ4 2023","FQ4 2023","Currency=USD","Period=FQ","BEST_FPERIOD_OVERRIDE=FQ","FILING_STATUS=MR","SCALING_FORMAT=MLN","Sort=A","Dates=H","DateFormat=P","Fill=—","Direction=H","UseDPDF=Y")</f>
        <v>12418.941999999999</v>
      </c>
      <c r="W89" s="13" cm="1">
        <f t="array" ref="W89">_xll.BDH("PH US Equity","NET_DEBT","FQ1 2024","FQ1 2024","Currency=USD","Period=FQ","BEST_FPERIOD_OVERRIDE=FQ","FILING_STATUS=MR","SCALING_FORMAT=MLN","Sort=A","Dates=H","DateFormat=P","Fill=—","Direction=H","UseDPDF=Y")</f>
        <v>11733.632</v>
      </c>
      <c r="X89" s="13" cm="1">
        <f t="array" ref="X89">_xll.BDH("PH US Equity","NET_DEBT","FQ2 2024","FQ2 2024","Currency=USD","Period=FQ","BEST_FPERIOD_OVERRIDE=FQ","FILING_STATUS=MR","SCALING_FORMAT=MLN","Sort=A","Dates=H","DateFormat=P","Fill=—","Direction=H","UseDPDF=Y")</f>
        <v>11395.995000000001</v>
      </c>
      <c r="Y89" s="13" cm="1">
        <f t="array" ref="Y89">_xll.BDH("PH US Equity","NET_DEBT","FQ3 2024","FQ3 2024","Currency=USD","Period=FQ","BEST_FPERIOD_OVERRIDE=FQ","FILING_STATUS=MR","SCALING_FORMAT=MLN","Sort=A","Dates=H","DateFormat=P","Fill=—","Direction=H","UseDPDF=Y")</f>
        <v>10955.514999999999</v>
      </c>
      <c r="Z89" s="13" cm="1">
        <f t="array" ref="Z89">_xll.BDH("PH US Equity","NET_DEBT","FQ4 2024","FQ4 2024","Currency=USD","Period=FQ","BEST_FPERIOD_OVERRIDE=FQ","FILING_STATUS=MR","SCALING_FORMAT=MLN","Sort=A","Dates=H","DateFormat=P","Fill=—","Direction=H","UseDPDF=Y")</f>
        <v>10475.464</v>
      </c>
      <c r="AA89" s="13" cm="1">
        <f t="array" ref="AA89">_xll.BDH("PH US Equity","NET_DEBT","FQ1 2025","FQ1 2025","Currency=USD","Period=FQ","BEST_FPERIOD_OVERRIDE=FQ","FILING_STATUS=MR","SCALING_FORMAT=MLN","Sort=A","Dates=H","DateFormat=P","Fill=—","Direction=H","UseDPDF=Y")</f>
        <v>9817.848</v>
      </c>
      <c r="AB89" s="13" cm="1">
        <f t="array" ref="AB89">_xll.BDH("PH US Equity","NET_DEBT","FQ2 2025","FQ2 2025","Currency=USD","Period=FQ","BEST_FPERIOD_OVERRIDE=FQ","FILING_STATUS=MR","SCALING_FORMAT=MLN","Sort=A","Dates=H","DateFormat=P","Fill=—","Direction=H","UseDPDF=Y")</f>
        <v>8645.7340000000004</v>
      </c>
      <c r="AC89" s="13" cm="1">
        <f t="array" ref="AC89">_xll.BDH("PH US Equity","NET_DEBT","FQ3 2025","FQ3 2025","Currency=USD","Period=FQ","BEST_FPERIOD_OVERRIDE=FQ","FILING_STATUS=MR","SCALING_FORMAT=MLN","Sort=A","Dates=H","DateFormat=P","Fill=—","Direction=H","UseDPDF=Y")</f>
        <v>8964.1779999999999</v>
      </c>
      <c r="AD89" s="13" cm="1">
        <f t="array" ref="AD89">_xll.BDH("PH US Equity","NET_DEBT","FQ4 2025","FQ4 2025","Currency=USD","Period=FQ","BEST_FPERIOD_OVERRIDE=FQ","FILING_STATUS=MR","SCALING_FORMAT=MLN","Sort=A","Dates=H","DateFormat=P","Fill=—","Direction=H","UseDPDF=Y")</f>
        <v>9127</v>
      </c>
      <c r="AE89" s="13" cm="1">
        <f t="array" ref="AE89">_xll.BDH("PH US Equity","NET_DEBT","FQ1 2026","FQ1 2026","Currency=USD","Period=FQ","BEST_FPERIOD_OVERRIDE=FQ","FILING_STATUS=MR","SCALING_FORMAT=MLN","Sort=A","Dates=H","DateFormat=P","Fill=—","Direction=H","UseDPDF=Y")</f>
        <v>9860</v>
      </c>
      <c r="AF89" s="13" cm="1">
        <f t="array" ref="AF89">_xll.BDH("PH US Equity","NET_DEBT","FQ2 2026","FQ2 2026","Currency=USD","Period=FQ","BEST_FPERIOD_OVERRIDE=FQ","FILING_STATUS=MR","SCALING_FORMAT=MLN","Sort=A","Dates=H","DateFormat=P","Fill=—","Direction=H","UseDPDF=Y")</f>
        <v>9443</v>
      </c>
    </row>
    <row r="90" spans="1:32" x14ac:dyDescent="0.25">
      <c r="A90" s="10" t="s">
        <v>222</v>
      </c>
      <c r="B90" s="10" t="s">
        <v>223</v>
      </c>
      <c r="C90" s="14" cm="1">
        <f t="array" ref="C90">_xll.BDH("PH US Equity","NET_DEBT_TO_SHRHLDR_EQTY","FQ1 2019","FQ1 2019","Currency=USD","Period=FQ","BEST_FPERIOD_OVERRIDE=FQ","FILING_STATUS=MR","Sort=A","Dates=H","DateFormat=P","Fill=—","Direction=H","UseDPDF=Y")</f>
        <v>67.4161</v>
      </c>
      <c r="D90" s="14" cm="1">
        <f t="array" ref="D90">_xll.BDH("PH US Equity","NET_DEBT_TO_SHRHLDR_EQTY","FQ2 2019","FQ2 2019","Currency=USD","Period=FQ","BEST_FPERIOD_OVERRIDE=FQ","FILING_STATUS=MR","Sort=A","Dates=H","DateFormat=P","Fill=—","Direction=H","UseDPDF=Y")</f>
        <v>75.0595</v>
      </c>
      <c r="E90" s="14" cm="1">
        <f t="array" ref="E90">_xll.BDH("PH US Equity","NET_DEBT_TO_SHRHLDR_EQTY","FQ3 2019","FQ3 2019","Currency=USD","Period=FQ","BEST_FPERIOD_OVERRIDE=FQ","FILING_STATUS=MR","Sort=A","Dates=H","DateFormat=P","Fill=—","Direction=H","UseDPDF=Y")</f>
        <v>68.692800000000005</v>
      </c>
      <c r="F90" s="14" cm="1">
        <f t="array" ref="F90">_xll.BDH("PH US Equity","NET_DEBT_TO_SHRHLDR_EQTY","FQ4 2019","FQ4 2019","Currency=USD","Period=FQ","BEST_FPERIOD_OVERRIDE=FQ","FILING_STATUS=MR","Sort=A","Dates=H","DateFormat=P","Fill=—","Direction=H","UseDPDF=Y")</f>
        <v>62.618200000000002</v>
      </c>
      <c r="G90" s="14" cm="1">
        <f t="array" ref="G90">_xll.BDH("PH US Equity","NET_DEBT_TO_SHRHLDR_EQTY","FQ1 2020","FQ1 2020","Currency=USD","Period=FQ","BEST_FPERIOD_OVERRIDE=FQ","FILING_STATUS=MR","Sort=A","Dates=H","DateFormat=P","Fill=—","Direction=H","UseDPDF=Y")</f>
        <v>87.340199999999996</v>
      </c>
      <c r="H90" s="14" cm="1">
        <f t="array" ref="H90">_xll.BDH("PH US Equity","NET_DEBT_TO_SHRHLDR_EQTY","FQ2 2020","FQ2 2020","Currency=USD","Period=FQ","BEST_FPERIOD_OVERRIDE=FQ","FILING_STATUS=MR","Sort=A","Dates=H","DateFormat=P","Fill=—","Direction=H","UseDPDF=Y")</f>
        <v>138.8595</v>
      </c>
      <c r="I90" s="14" cm="1">
        <f t="array" ref="I90">_xll.BDH("PH US Equity","NET_DEBT_TO_SHRHLDR_EQTY","FQ3 2020","FQ3 2020","Currency=USD","Period=FQ","BEST_FPERIOD_OVERRIDE=FQ","FILING_STATUS=MR","Sort=A","Dates=H","DateFormat=P","Fill=—","Direction=H","UseDPDF=Y")</f>
        <v>134.46279999999999</v>
      </c>
      <c r="J90" s="14" cm="1">
        <f t="array" ref="J90">_xll.BDH("PH US Equity","NET_DEBT_TO_SHRHLDR_EQTY","FQ4 2020","FQ4 2020","Currency=USD","Period=FQ","BEST_FPERIOD_OVERRIDE=FQ","FILING_STATUS=MR","Sort=A","Dates=H","DateFormat=P","Fill=—","Direction=H","UseDPDF=Y")</f>
        <v>125.6893</v>
      </c>
      <c r="K90" s="14" cm="1">
        <f t="array" ref="K90">_xll.BDH("PH US Equity","NET_DEBT_TO_SHRHLDR_EQTY","FQ1 2021","FQ1 2021","Currency=USD","Period=FQ","BEST_FPERIOD_OVERRIDE=FQ","FILING_STATUS=MR","Sort=A","Dates=H","DateFormat=P","Fill=—","Direction=H","UseDPDF=Y")</f>
        <v>109.5056</v>
      </c>
      <c r="L90" s="14" cm="1">
        <f t="array" ref="L90">_xll.BDH("PH US Equity","NET_DEBT_TO_SHRHLDR_EQTY","FQ2 2021","FQ2 2021","Currency=USD","Period=FQ","BEST_FPERIOD_OVERRIDE=FQ","FILING_STATUS=MR","Sort=A","Dates=H","DateFormat=P","Fill=—","Direction=H","UseDPDF=Y")</f>
        <v>92.739199999999997</v>
      </c>
      <c r="M90" s="14" cm="1">
        <f t="array" ref="M90">_xll.BDH("PH US Equity","NET_DEBT_TO_SHRHLDR_EQTY","FQ3 2021","FQ3 2021","Currency=USD","Period=FQ","BEST_FPERIOD_OVERRIDE=FQ","FILING_STATUS=MR","Sort=A","Dates=H","DateFormat=P","Fill=—","Direction=H","UseDPDF=Y")</f>
        <v>84.077799999999996</v>
      </c>
      <c r="N90" s="14" cm="1">
        <f t="array" ref="N90">_xll.BDH("PH US Equity","NET_DEBT_TO_SHRHLDR_EQTY","FQ4 2021","FQ4 2021","Currency=USD","Period=FQ","BEST_FPERIOD_OVERRIDE=FQ","FILING_STATUS=MR","Sort=A","Dates=H","DateFormat=P","Fill=—","Direction=H","UseDPDF=Y")</f>
        <v>70.679500000000004</v>
      </c>
      <c r="O90" s="14" cm="1">
        <f t="array" ref="O90">_xll.BDH("PH US Equity","NET_DEBT_TO_SHRHLDR_EQTY","FQ1 2022","FQ1 2022","Currency=USD","Period=FQ","BEST_FPERIOD_OVERRIDE=FQ","FILING_STATUS=MR","Sort=A","Dates=H","DateFormat=P","Fill=—","Direction=H","UseDPDF=Y")</f>
        <v>71.098299999999995</v>
      </c>
      <c r="P90" s="14" cm="1">
        <f t="array" ref="P90">_xll.BDH("PH US Equity","NET_DEBT_TO_SHRHLDR_EQTY","FQ2 2022","FQ2 2022","Currency=USD","Period=FQ","BEST_FPERIOD_OVERRIDE=FQ","FILING_STATUS=MR","Sort=A","Dates=H","DateFormat=P","Fill=—","Direction=H","UseDPDF=Y")</f>
        <v>90.806700000000006</v>
      </c>
      <c r="Q90" s="14" cm="1">
        <f t="array" ref="Q90">_xll.BDH("PH US Equity","NET_DEBT_TO_SHRHLDR_EQTY","FQ3 2022","FQ3 2022","Currency=USD","Period=FQ","BEST_FPERIOD_OVERRIDE=FQ","FILING_STATUS=MR","Sort=A","Dates=H","DateFormat=P","Fill=—","Direction=H","UseDPDF=Y")</f>
        <v>85.226399999999998</v>
      </c>
      <c r="R90" s="14" cm="1">
        <f t="array" ref="R90">_xll.BDH("PH US Equity","NET_DEBT_TO_SHRHLDR_EQTY","FQ4 2022","FQ4 2022","Currency=USD","Period=FQ","BEST_FPERIOD_OVERRIDE=FQ","FILING_STATUS=MR","Sort=A","Dates=H","DateFormat=P","Fill=—","Direction=H","UseDPDF=Y")</f>
        <v>124.7509</v>
      </c>
      <c r="S90" s="14" cm="1">
        <f t="array" ref="S90">_xll.BDH("PH US Equity","NET_DEBT_TO_SHRHLDR_EQTY","FQ1 2023","FQ1 2023","Currency=USD","Period=FQ","BEST_FPERIOD_OVERRIDE=FQ","FILING_STATUS=MR","Sort=A","Dates=H","DateFormat=P","Fill=—","Direction=H","UseDPDF=Y")</f>
        <v>153.2149</v>
      </c>
      <c r="T90" s="14" cm="1">
        <f t="array" ref="T90">_xll.BDH("PH US Equity","NET_DEBT_TO_SHRHLDR_EQTY","FQ2 2023","FQ2 2023","Currency=USD","Period=FQ","BEST_FPERIOD_OVERRIDE=FQ","FILING_STATUS=MR","Sort=A","Dates=H","DateFormat=P","Fill=—","Direction=H","UseDPDF=Y")</f>
        <v>141.86680000000001</v>
      </c>
      <c r="U90" s="14" cm="1">
        <f t="array" ref="U90">_xll.BDH("PH US Equity","NET_DEBT_TO_SHRHLDR_EQTY","FQ3 2023","FQ3 2023","Currency=USD","Period=FQ","BEST_FPERIOD_OVERRIDE=FQ","FILING_STATUS=MR","Sort=A","Dates=H","DateFormat=P","Fill=—","Direction=H","UseDPDF=Y")</f>
        <v>131.18260000000001</v>
      </c>
      <c r="V90" s="14" cm="1">
        <f t="array" ref="V90">_xll.BDH("PH US Equity","NET_DEBT_TO_SHRHLDR_EQTY","FQ4 2023","FQ4 2023","Currency=USD","Period=FQ","BEST_FPERIOD_OVERRIDE=FQ","FILING_STATUS=MR","Sort=A","Dates=H","DateFormat=P","Fill=—","Direction=H","UseDPDF=Y")</f>
        <v>120.1258</v>
      </c>
      <c r="W90" s="14" cm="1">
        <f t="array" ref="W90">_xll.BDH("PH US Equity","NET_DEBT_TO_SHRHLDR_EQTY","FQ1 2024","FQ1 2024","Currency=USD","Period=FQ","BEST_FPERIOD_OVERRIDE=FQ","FILING_STATUS=MR","Sort=A","Dates=H","DateFormat=P","Fill=—","Direction=H","UseDPDF=Y")</f>
        <v>110.9569</v>
      </c>
      <c r="X90" s="14" cm="1">
        <f t="array" ref="X90">_xll.BDH("PH US Equity","NET_DEBT_TO_SHRHLDR_EQTY","FQ2 2024","FQ2 2024","Currency=USD","Period=FQ","BEST_FPERIOD_OVERRIDE=FQ","FILING_STATUS=MR","Sort=A","Dates=H","DateFormat=P","Fill=—","Direction=H","UseDPDF=Y")</f>
        <v>100.7392</v>
      </c>
      <c r="Y90" s="14" cm="1">
        <f t="array" ref="Y90">_xll.BDH("PH US Equity","NET_DEBT_TO_SHRHLDR_EQTY","FQ3 2024","FQ3 2024","Currency=USD","Period=FQ","BEST_FPERIOD_OVERRIDE=FQ","FILING_STATUS=MR","Sort=A","Dates=H","DateFormat=P","Fill=—","Direction=H","UseDPDF=Y")</f>
        <v>94.440700000000007</v>
      </c>
      <c r="Z90" s="14" cm="1">
        <f t="array" ref="Z90">_xll.BDH("PH US Equity","NET_DEBT_TO_SHRHLDR_EQTY","FQ4 2024","FQ4 2024","Currency=USD","Period=FQ","BEST_FPERIOD_OVERRIDE=FQ","FILING_STATUS=MR","Sort=A","Dates=H","DateFormat=P","Fill=—","Direction=H","UseDPDF=Y")</f>
        <v>86.710999999999999</v>
      </c>
      <c r="AA90" s="14" cm="1">
        <f t="array" ref="AA90">_xll.BDH("PH US Equity","NET_DEBT_TO_SHRHLDR_EQTY","FQ1 2025","FQ1 2025","Currency=USD","Period=FQ","BEST_FPERIOD_OVERRIDE=FQ","FILING_STATUS=MR","Sort=A","Dates=H","DateFormat=P","Fill=—","Direction=H","UseDPDF=Y")</f>
        <v>76.099400000000003</v>
      </c>
      <c r="AB90" s="14" cm="1">
        <f t="array" ref="AB90">_xll.BDH("PH US Equity","NET_DEBT_TO_SHRHLDR_EQTY","FQ2 2025","FQ2 2025","Currency=USD","Period=FQ","BEST_FPERIOD_OVERRIDE=FQ","FILING_STATUS=MR","Sort=A","Dates=H","DateFormat=P","Fill=—","Direction=H","UseDPDF=Y")</f>
        <v>65.861900000000006</v>
      </c>
      <c r="AC90" s="14" cm="1">
        <f t="array" ref="AC90">_xll.BDH("PH US Equity","NET_DEBT_TO_SHRHLDR_EQTY","FQ3 2025","FQ3 2025","Currency=USD","Period=FQ","BEST_FPERIOD_OVERRIDE=FQ","FILING_STATUS=MR","Sort=A","Dates=H","DateFormat=P","Fill=—","Direction=H","UseDPDF=Y")</f>
        <v>66.8977</v>
      </c>
      <c r="AD90" s="14" cm="1">
        <f t="array" ref="AD90">_xll.BDH("PH US Equity","NET_DEBT_TO_SHRHLDR_EQTY","FQ4 2025","FQ4 2025","Currency=USD","Period=FQ","BEST_FPERIOD_OVERRIDE=FQ","FILING_STATUS=MR","Sort=A","Dates=H","DateFormat=P","Fill=—","Direction=H","UseDPDF=Y")</f>
        <v>66.664199999999994</v>
      </c>
      <c r="AE90" s="14" cm="1">
        <f t="array" ref="AE90">_xll.BDH("PH US Equity","NET_DEBT_TO_SHRHLDR_EQTY","FQ1 2026","FQ1 2026","Currency=USD","Period=FQ","BEST_FPERIOD_OVERRIDE=FQ","FILING_STATUS=MR","Sort=A","Dates=H","DateFormat=P","Fill=—","Direction=H","UseDPDF=Y")</f>
        <v>71.521799999999999</v>
      </c>
      <c r="AF90" s="14" cm="1">
        <f t="array" ref="AF90">_xll.BDH("PH US Equity","NET_DEBT_TO_SHRHLDR_EQTY","FQ2 2026","FQ2 2026","Currency=USD","Period=FQ","BEST_FPERIOD_OVERRIDE=FQ","FILING_STATUS=MR","Sort=A","Dates=H","DateFormat=P","Fill=—","Direction=H","UseDPDF=Y")</f>
        <v>65.942700000000002</v>
      </c>
    </row>
    <row r="91" spans="1:32" x14ac:dyDescent="0.25">
      <c r="A91" s="10" t="s">
        <v>224</v>
      </c>
      <c r="B91" s="10" t="s">
        <v>225</v>
      </c>
      <c r="C91" s="14" cm="1">
        <f t="array" ref="C91">_xll.BDH("PH US Equity","TCE_RATIO","FQ1 2019","FQ1 2019","Currency=USD","Period=FQ","BEST_FPERIOD_OVERRIDE=FQ","FILING_STATUS=MR","Sort=A","Dates=H","DateFormat=P","Fill=—","Direction=H","UseDPDF=Y")</f>
        <v>-16.782299999999999</v>
      </c>
      <c r="D91" s="14" cm="1">
        <f t="array" ref="D91">_xll.BDH("PH US Equity","TCE_RATIO","FQ2 2019","FQ2 2019","Currency=USD","Period=FQ","BEST_FPERIOD_OVERRIDE=FQ","FILING_STATUS=MR","Sort=A","Dates=H","DateFormat=P","Fill=—","Direction=H","UseDPDF=Y")</f>
        <v>-19.232700000000001</v>
      </c>
      <c r="E91" s="14" cm="1">
        <f t="array" ref="E91">_xll.BDH("PH US Equity","TCE_RATIO","FQ3 2019","FQ3 2019","Currency=USD","Period=FQ","BEST_FPERIOD_OVERRIDE=FQ","FILING_STATUS=MR","Sort=A","Dates=H","DateFormat=P","Fill=—","Direction=H","UseDPDF=Y")</f>
        <v>-15.6952</v>
      </c>
      <c r="F91" s="14" cm="1">
        <f t="array" ref="F91">_xll.BDH("PH US Equity","TCE_RATIO","FQ4 2019","FQ4 2019","Currency=USD","Period=FQ","BEST_FPERIOD_OVERRIDE=FQ","FILING_STATUS=MR","Sort=A","Dates=H","DateFormat=P","Fill=—","Direction=H","UseDPDF=Y")</f>
        <v>-12.3323</v>
      </c>
      <c r="G91" s="14" cm="1">
        <f t="array" ref="G91">_xll.BDH("PH US Equity","TCE_RATIO","FQ1 2020","FQ1 2020","Currency=USD","Period=FQ","BEST_FPERIOD_OVERRIDE=FQ","FILING_STATUS=MR","Sort=A","Dates=H","DateFormat=P","Fill=—","Direction=H","UseDPDF=Y")</f>
        <v>-21.849699999999999</v>
      </c>
      <c r="H91" s="14" cm="1">
        <f t="array" ref="H91">_xll.BDH("PH US Equity","TCE_RATIO","FQ2 2020","FQ2 2020","Currency=USD","Period=FQ","BEST_FPERIOD_OVERRIDE=FQ","FILING_STATUS=MR","Sort=A","Dates=H","DateFormat=P","Fill=—","Direction=H","UseDPDF=Y")</f>
        <v>-62.5349</v>
      </c>
      <c r="I91" s="14" cm="1">
        <f t="array" ref="I91">_xll.BDH("PH US Equity","TCE_RATIO","FQ3 2020","FQ3 2020","Currency=USD","Period=FQ","BEST_FPERIOD_OVERRIDE=FQ","FILING_STATUS=MR","Sort=A","Dates=H","DateFormat=P","Fill=—","Direction=H","UseDPDF=Y")</f>
        <v>-62.581699999999998</v>
      </c>
      <c r="J91" s="14" cm="1">
        <f t="array" ref="J91">_xll.BDH("PH US Equity","TCE_RATIO","FQ4 2020","FQ4 2020","Currency=USD","Period=FQ","BEST_FPERIOD_OVERRIDE=FQ","FILING_STATUS=MR","Sort=A","Dates=H","DateFormat=P","Fill=—","Direction=H","UseDPDF=Y")</f>
        <v>-66.208600000000004</v>
      </c>
      <c r="K91" s="14" cm="1">
        <f t="array" ref="K91">_xll.BDH("PH US Equity","TCE_RATIO","FQ1 2021","FQ1 2021","Currency=USD","Period=FQ","BEST_FPERIOD_OVERRIDE=FQ","FILING_STATUS=MR","Sort=A","Dates=H","DateFormat=P","Fill=—","Direction=H","UseDPDF=Y")</f>
        <v>-64.260099999999994</v>
      </c>
      <c r="L91" s="14" cm="1">
        <f t="array" ref="L91">_xll.BDH("PH US Equity","TCE_RATIO","FQ2 2021","FQ2 2021","Currency=USD","Period=FQ","BEST_FPERIOD_OVERRIDE=FQ","FILING_STATUS=MR","Sort=A","Dates=H","DateFormat=P","Fill=—","Direction=H","UseDPDF=Y")</f>
        <v>-58.4</v>
      </c>
      <c r="M91" s="14" cm="1">
        <f t="array" ref="M91">_xll.BDH("PH US Equity","TCE_RATIO","FQ3 2021","FQ3 2021","Currency=USD","Period=FQ","BEST_FPERIOD_OVERRIDE=FQ","FILING_STATUS=MR","Sort=A","Dates=H","DateFormat=P","Fill=—","Direction=H","UseDPDF=Y")</f>
        <v>-51.548099999999998</v>
      </c>
      <c r="N91" s="14" cm="1">
        <f t="array" ref="N91">_xll.BDH("PH US Equity","TCE_RATIO","FQ4 2021","FQ4 2021","Currency=USD","Period=FQ","BEST_FPERIOD_OVERRIDE=FQ","FILING_STATUS=MR","Sort=A","Dates=H","DateFormat=P","Fill=—","Direction=H","UseDPDF=Y")</f>
        <v>-36.307699999999997</v>
      </c>
      <c r="O91" s="14" cm="1">
        <f t="array" ref="O91">_xll.BDH("PH US Equity","TCE_RATIO","FQ1 2022","FQ1 2022","Currency=USD","Period=FQ","BEST_FPERIOD_OVERRIDE=FQ","FILING_STATUS=MR","Sort=A","Dates=H","DateFormat=P","Fill=—","Direction=H","UseDPDF=Y")</f>
        <v>-33.463299999999997</v>
      </c>
      <c r="P91" s="14" cm="1">
        <f t="array" ref="P91">_xll.BDH("PH US Equity","TCE_RATIO","FQ2 2022","FQ2 2022","Currency=USD","Period=FQ","BEST_FPERIOD_OVERRIDE=FQ","FILING_STATUS=MR","Sort=A","Dates=H","DateFormat=P","Fill=—","Direction=H","UseDPDF=Y")</f>
        <v>-23.4206</v>
      </c>
      <c r="Q91" s="14" cm="1">
        <f t="array" ref="Q91">_xll.BDH("PH US Equity","TCE_RATIO","FQ3 2022","FQ3 2022","Currency=USD","Period=FQ","BEST_FPERIOD_OVERRIDE=FQ","FILING_STATUS=MR","Sort=A","Dates=H","DateFormat=P","Fill=—","Direction=H","UseDPDF=Y")</f>
        <v>-19.838999999999999</v>
      </c>
      <c r="R91" s="14" cm="1">
        <f t="array" ref="R91">_xll.BDH("PH US Equity","TCE_RATIO","FQ4 2022","FQ4 2022","Currency=USD","Period=FQ","BEST_FPERIOD_OVERRIDE=FQ","FILING_STATUS=MR","Sort=A","Dates=H","DateFormat=P","Fill=—","Direction=H","UseDPDF=Y")</f>
        <v>-13.4582</v>
      </c>
      <c r="S91" s="14" cm="1">
        <f t="array" ref="S91">_xll.BDH("PH US Equity","TCE_RATIO","FQ1 2023","FQ1 2023","Currency=USD","Period=FQ","BEST_FPERIOD_OVERRIDE=FQ","FILING_STATUS=MR","Sort=A","Dates=H","DateFormat=P","Fill=—","Direction=H","UseDPDF=Y")</f>
        <v>-89.509299999999996</v>
      </c>
      <c r="T91" s="14" cm="1">
        <f t="array" ref="T91">_xll.BDH("PH US Equity","TCE_RATIO","FQ2 2023","FQ2 2023","Currency=USD","Period=FQ","BEST_FPERIOD_OVERRIDE=FQ","FILING_STATUS=MR","Sort=A","Dates=H","DateFormat=P","Fill=—","Direction=H","UseDPDF=Y")</f>
        <v>-84.912599999999998</v>
      </c>
      <c r="U91" s="14" cm="1">
        <f t="array" ref="U91">_xll.BDH("PH US Equity","TCE_RATIO","FQ3 2023","FQ3 2023","Currency=USD","Period=FQ","BEST_FPERIOD_OVERRIDE=FQ","FILING_STATUS=MR","Sort=A","Dates=H","DateFormat=P","Fill=—","Direction=H","UseDPDF=Y")</f>
        <v>-81.918300000000002</v>
      </c>
      <c r="V91" s="14" cm="1">
        <f t="array" ref="V91">_xll.BDH("PH US Equity","TCE_RATIO","FQ4 2023","FQ4 2023","Currency=USD","Period=FQ","BEST_FPERIOD_OVERRIDE=FQ","FILING_STATUS=MR","Sort=A","Dates=H","DateFormat=P","Fill=—","Direction=H","UseDPDF=Y")</f>
        <v>-80.405199999999994</v>
      </c>
      <c r="W91" s="14" cm="1">
        <f t="array" ref="W91">_xll.BDH("PH US Equity","TCE_RATIO","FQ1 2024","FQ1 2024","Currency=USD","Period=FQ","BEST_FPERIOD_OVERRIDE=FQ","FILING_STATUS=MR","Sort=A","Dates=H","DateFormat=P","Fill=—","Direction=H","UseDPDF=Y")</f>
        <v>-74.921700000000001</v>
      </c>
      <c r="X91" s="14" cm="1">
        <f t="array" ref="X91">_xll.BDH("PH US Equity","TCE_RATIO","FQ2 2024","FQ2 2024","Currency=USD","Period=FQ","BEST_FPERIOD_OVERRIDE=FQ","FILING_STATUS=MR","Sort=A","Dates=H","DateFormat=P","Fill=—","Direction=H","UseDPDF=Y")</f>
        <v>-69.209599999999995</v>
      </c>
      <c r="Y91" s="14" cm="1">
        <f t="array" ref="Y91">_xll.BDH("PH US Equity","TCE_RATIO","FQ3 2024","FQ3 2024","Currency=USD","Period=FQ","BEST_FPERIOD_OVERRIDE=FQ","FILING_STATUS=MR","Sort=A","Dates=H","DateFormat=P","Fill=—","Direction=H","UseDPDF=Y")</f>
        <v>-62.973399999999998</v>
      </c>
      <c r="Z91" s="14" cm="1">
        <f t="array" ref="Z91">_xll.BDH("PH US Equity","TCE_RATIO","FQ4 2024","FQ4 2024","Currency=USD","Period=FQ","BEST_FPERIOD_OVERRIDE=FQ","FILING_STATUS=MR","Sort=A","Dates=H","DateFormat=P","Fill=—","Direction=H","UseDPDF=Y")</f>
        <v>-56.9666</v>
      </c>
      <c r="AA91" s="14" cm="1">
        <f t="array" ref="AA91">_xll.BDH("PH US Equity","TCE_RATIO","FQ1 2025","FQ1 2025","Currency=USD","Period=FQ","BEST_FPERIOD_OVERRIDE=FQ","FILING_STATUS=MR","Sort=A","Dates=H","DateFormat=P","Fill=—","Direction=H","UseDPDF=Y")</f>
        <v>-48.810699999999997</v>
      </c>
      <c r="AB91" s="14" cm="1">
        <f t="array" ref="AB91">_xll.BDH("PH US Equity","TCE_RATIO","FQ2 2025","FQ2 2025","Currency=USD","Period=FQ","BEST_FPERIOD_OVERRIDE=FQ","FILING_STATUS=MR","Sort=A","Dates=H","DateFormat=P","Fill=—","Direction=H","UseDPDF=Y")</f>
        <v>-44.734000000000002</v>
      </c>
      <c r="AC91" s="14" cm="1">
        <f t="array" ref="AC91">_xll.BDH("PH US Equity","TCE_RATIO","FQ3 2025","FQ3 2025","Currency=USD","Period=FQ","BEST_FPERIOD_OVERRIDE=FQ","FILING_STATUS=MR","Sort=A","Dates=H","DateFormat=P","Fill=—","Direction=H","UseDPDF=Y")</f>
        <v>-40.066400000000002</v>
      </c>
      <c r="AD91" s="14" cm="1">
        <f t="array" ref="AD91">_xll.BDH("PH US Equity","TCE_RATIO","FQ4 2025","FQ4 2025","Currency=USD","Period=FQ","BEST_FPERIOD_OVERRIDE=FQ","FILING_STATUS=MR","Sort=A","Dates=H","DateFormat=P","Fill=—","Direction=H","UseDPDF=Y")</f>
        <v>-38.386099999999999</v>
      </c>
      <c r="AE91" s="14" cm="1">
        <f t="array" ref="AE91">_xll.BDH("PH US Equity","TCE_RATIO","FQ1 2026","FQ1 2026","Currency=USD","Period=FQ","BEST_FPERIOD_OVERRIDE=FQ","FILING_STATUS=MR","Sort=A","Dates=H","DateFormat=P","Fill=—","Direction=H","UseDPDF=Y")</f>
        <v>-43.5122</v>
      </c>
      <c r="AF91" s="14" cm="1">
        <f t="array" ref="AF91">_xll.BDH("PH US Equity","TCE_RATIO","FQ2 2026","FQ2 2026","Currency=USD","Period=FQ","BEST_FPERIOD_OVERRIDE=FQ","FILING_STATUS=MR","Sort=A","Dates=H","DateFormat=P","Fill=—","Direction=H","UseDPDF=Y")</f>
        <v>-37.8489</v>
      </c>
    </row>
    <row r="92" spans="1:32" x14ac:dyDescent="0.25">
      <c r="A92" s="10" t="s">
        <v>226</v>
      </c>
      <c r="B92" s="10" t="s">
        <v>227</v>
      </c>
      <c r="C92" s="14" cm="1">
        <f t="array" ref="C92">_xll.BDH("PH US Equity","CUR_RATIO","FQ1 2019","FQ1 2019","Currency=USD","Period=FQ","BEST_FPERIOD_OVERRIDE=FQ","FILING_STATUS=MR","Sort=A","Dates=H","DateFormat=P","Fill=—","Direction=H","UseDPDF=Y")</f>
        <v>1.6012999999999999</v>
      </c>
      <c r="D92" s="14" cm="1">
        <f t="array" ref="D92">_xll.BDH("PH US Equity","CUR_RATIO","FQ2 2019","FQ2 2019","Currency=USD","Period=FQ","BEST_FPERIOD_OVERRIDE=FQ","FILING_STATUS=MR","Sort=A","Dates=H","DateFormat=P","Fill=—","Direction=H","UseDPDF=Y")</f>
        <v>1.5203</v>
      </c>
      <c r="E92" s="14" cm="1">
        <f t="array" ref="E92">_xll.BDH("PH US Equity","CUR_RATIO","FQ3 2019","FQ3 2019","Currency=USD","Period=FQ","BEST_FPERIOD_OVERRIDE=FQ","FILING_STATUS=MR","Sort=A","Dates=H","DateFormat=P","Fill=—","Direction=H","UseDPDF=Y")</f>
        <v>1.5604</v>
      </c>
      <c r="F92" s="14" cm="1">
        <f t="array" ref="F92">_xll.BDH("PH US Equity","CUR_RATIO","FQ4 2019","FQ4 2019","Currency=USD","Period=FQ","BEST_FPERIOD_OVERRIDE=FQ","FILING_STATUS=MR","Sort=A","Dates=H","DateFormat=P","Fill=—","Direction=H","UseDPDF=Y")</f>
        <v>2.4344999999999999</v>
      </c>
      <c r="G92" s="14" cm="1">
        <f t="array" ref="G92">_xll.BDH("PH US Equity","CUR_RATIO","FQ1 2020","FQ1 2020","Currency=USD","Period=FQ","BEST_FPERIOD_OVERRIDE=FQ","FILING_STATUS=MR","Sort=A","Dates=H","DateFormat=P","Fill=—","Direction=H","UseDPDF=Y")</f>
        <v>1.9575</v>
      </c>
      <c r="H92" s="14" cm="1">
        <f t="array" ref="H92">_xll.BDH("PH US Equity","CUR_RATIO","FQ2 2020","FQ2 2020","Currency=USD","Period=FQ","BEST_FPERIOD_OVERRIDE=FQ","FILING_STATUS=MR","Sort=A","Dates=H","DateFormat=P","Fill=—","Direction=H","UseDPDF=Y")</f>
        <v>1.3837999999999999</v>
      </c>
      <c r="I92" s="14" cm="1">
        <f t="array" ref="I92">_xll.BDH("PH US Equity","CUR_RATIO","FQ3 2020","FQ3 2020","Currency=USD","Period=FQ","BEST_FPERIOD_OVERRIDE=FQ","FILING_STATUS=MR","Sort=A","Dates=H","DateFormat=P","Fill=—","Direction=H","UseDPDF=Y")</f>
        <v>1.4921</v>
      </c>
      <c r="J92" s="14" cm="1">
        <f t="array" ref="J92">_xll.BDH("PH US Equity","CUR_RATIO","FQ4 2020","FQ4 2020","Currency=USD","Period=FQ","BEST_FPERIOD_OVERRIDE=FQ","FILING_STATUS=MR","Sort=A","Dates=H","DateFormat=P","Fill=—","Direction=H","UseDPDF=Y")</f>
        <v>1.5992</v>
      </c>
      <c r="K92" s="14" cm="1">
        <f t="array" ref="K92">_xll.BDH("PH US Equity","CUR_RATIO","FQ1 2021","FQ1 2021","Currency=USD","Period=FQ","BEST_FPERIOD_OVERRIDE=FQ","FILING_STATUS=MR","Sort=A","Dates=H","DateFormat=P","Fill=—","Direction=H","UseDPDF=Y")</f>
        <v>1.4631000000000001</v>
      </c>
      <c r="L92" s="14" cm="1">
        <f t="array" ref="L92">_xll.BDH("PH US Equity","CUR_RATIO","FQ2 2021","FQ2 2021","Currency=USD","Period=FQ","BEST_FPERIOD_OVERRIDE=FQ","FILING_STATUS=MR","Sort=A","Dates=H","DateFormat=P","Fill=—","Direction=H","UseDPDF=Y")</f>
        <v>1.4965999999999999</v>
      </c>
      <c r="M92" s="14" cm="1">
        <f t="array" ref="M92">_xll.BDH("PH US Equity","CUR_RATIO","FQ3 2021","FQ3 2021","Currency=USD","Period=FQ","BEST_FPERIOD_OVERRIDE=FQ","FILING_STATUS=MR","Sort=A","Dates=H","DateFormat=P","Fill=—","Direction=H","UseDPDF=Y")</f>
        <v>1.6627000000000001</v>
      </c>
      <c r="N92" s="14" cm="1">
        <f t="array" ref="N92">_xll.BDH("PH US Equity","CUR_RATIO","FQ4 2021","FQ4 2021","Currency=USD","Period=FQ","BEST_FPERIOD_OVERRIDE=FQ","FILING_STATUS=MR","Sort=A","Dates=H","DateFormat=P","Fill=—","Direction=H","UseDPDF=Y")</f>
        <v>1.8139000000000001</v>
      </c>
      <c r="O92" s="14" cm="1">
        <f t="array" ref="O92">_xll.BDH("PH US Equity","CUR_RATIO","FQ1 2022","FQ1 2022","Currency=USD","Period=FQ","BEST_FPERIOD_OVERRIDE=FQ","FILING_STATUS=MR","Sort=A","Dates=H","DateFormat=P","Fill=—","Direction=H","UseDPDF=Y")</f>
        <v>1.7152000000000001</v>
      </c>
      <c r="P92" s="14" cm="1">
        <f t="array" ref="P92">_xll.BDH("PH US Equity","CUR_RATIO","FQ2 2022","FQ2 2022","Currency=USD","Period=FQ","BEST_FPERIOD_OVERRIDE=FQ","FILING_STATUS=MR","Sort=A","Dates=H","DateFormat=P","Fill=—","Direction=H","UseDPDF=Y")</f>
        <v>1.5041</v>
      </c>
      <c r="Q92" s="14" cm="1">
        <f t="array" ref="Q92">_xll.BDH("PH US Equity","CUR_RATIO","FQ3 2022","FQ3 2022","Currency=USD","Period=FQ","BEST_FPERIOD_OVERRIDE=FQ","FILING_STATUS=MR","Sort=A","Dates=H","DateFormat=P","Fill=—","Direction=H","UseDPDF=Y")</f>
        <v>1.5221</v>
      </c>
      <c r="R92" s="14" cm="1">
        <f t="array" ref="R92">_xll.BDH("PH US Equity","CUR_RATIO","FQ4 2022","FQ4 2022","Currency=USD","Period=FQ","BEST_FPERIOD_OVERRIDE=FQ","FILING_STATUS=MR","Sort=A","Dates=H","DateFormat=P","Fill=—","Direction=H","UseDPDF=Y")</f>
        <v>2.056</v>
      </c>
      <c r="S92" s="14" cm="1">
        <f t="array" ref="S92">_xll.BDH("PH US Equity","CUR_RATIO","FQ1 2023","FQ1 2023","Currency=USD","Period=FQ","BEST_FPERIOD_OVERRIDE=FQ","FILING_STATUS=MR","Sort=A","Dates=H","DateFormat=P","Fill=—","Direction=H","UseDPDF=Y")</f>
        <v>1.3035000000000001</v>
      </c>
      <c r="T92" s="14" cm="1">
        <f t="array" ref="T92">_xll.BDH("PH US Equity","CUR_RATIO","FQ2 2023","FQ2 2023","Currency=USD","Period=FQ","BEST_FPERIOD_OVERRIDE=FQ","FILING_STATUS=MR","Sort=A","Dates=H","DateFormat=P","Fill=—","Direction=H","UseDPDF=Y")</f>
        <v>1.2773000000000001</v>
      </c>
      <c r="U92" s="14" cm="1">
        <f t="array" ref="U92">_xll.BDH("PH US Equity","CUR_RATIO","FQ3 2023","FQ3 2023","Currency=USD","Period=FQ","BEST_FPERIOD_OVERRIDE=FQ","FILING_STATUS=MR","Sort=A","Dates=H","DateFormat=P","Fill=—","Direction=H","UseDPDF=Y")</f>
        <v>1.2497</v>
      </c>
      <c r="V92" s="14" cm="1">
        <f t="array" ref="V92">_xll.BDH("PH US Equity","CUR_RATIO","FQ4 2023","FQ4 2023","Currency=USD","Period=FQ","BEST_FPERIOD_OVERRIDE=FQ","FILING_STATUS=MR","Sort=A","Dates=H","DateFormat=P","Fill=—","Direction=H","UseDPDF=Y")</f>
        <v>0.88349999999999995</v>
      </c>
      <c r="W92" s="14" cm="1">
        <f t="array" ref="W92">_xll.BDH("PH US Equity","CUR_RATIO","FQ1 2024","FQ1 2024","Currency=USD","Period=FQ","BEST_FPERIOD_OVERRIDE=FQ","FILING_STATUS=MR","Sort=A","Dates=H","DateFormat=P","Fill=—","Direction=H","UseDPDF=Y")</f>
        <v>0.89080000000000004</v>
      </c>
      <c r="X92" s="14" cm="1">
        <f t="array" ref="X92">_xll.BDH("PH US Equity","CUR_RATIO","FQ2 2024","FQ2 2024","Currency=USD","Period=FQ","BEST_FPERIOD_OVERRIDE=FQ","FILING_STATUS=MR","Sort=A","Dates=H","DateFormat=P","Fill=—","Direction=H","UseDPDF=Y")</f>
        <v>0.89770000000000005</v>
      </c>
      <c r="Y92" s="14" cm="1">
        <f t="array" ref="Y92">_xll.BDH("PH US Equity","CUR_RATIO","FQ3 2024","FQ3 2024","Currency=USD","Period=FQ","BEST_FPERIOD_OVERRIDE=FQ","FILING_STATUS=MR","Sort=A","Dates=H","DateFormat=P","Fill=—","Direction=H","UseDPDF=Y")</f>
        <v>0.86839999999999995</v>
      </c>
      <c r="Z92" s="14" cm="1">
        <f t="array" ref="Z92">_xll.BDH("PH US Equity","CUR_RATIO","FQ4 2024","FQ4 2024","Currency=USD","Period=FQ","BEST_FPERIOD_OVERRIDE=FQ","FILING_STATUS=MR","Sort=A","Dates=H","DateFormat=P","Fill=—","Direction=H","UseDPDF=Y")</f>
        <v>0.92959999999999998</v>
      </c>
      <c r="AA92" s="14" cm="1">
        <f t="array" ref="AA92">_xll.BDH("PH US Equity","CUR_RATIO","FQ1 2025","FQ1 2025","Currency=USD","Period=FQ","BEST_FPERIOD_OVERRIDE=FQ","FILING_STATUS=MR","Sort=A","Dates=H","DateFormat=P","Fill=—","Direction=H","UseDPDF=Y")</f>
        <v>0.95850000000000002</v>
      </c>
      <c r="AB92" s="14" cm="1">
        <f t="array" ref="AB92">_xll.BDH("PH US Equity","CUR_RATIO","FQ2 2025","FQ2 2025","Currency=USD","Period=FQ","BEST_FPERIOD_OVERRIDE=FQ","FILING_STATUS=MR","Sort=A","Dates=H","DateFormat=P","Fill=—","Direction=H","UseDPDF=Y")</f>
        <v>1.0603</v>
      </c>
      <c r="AC92" s="14" cm="1">
        <f t="array" ref="AC92">_xll.BDH("PH US Equity","CUR_RATIO","FQ3 2025","FQ3 2025","Currency=USD","Period=FQ","BEST_FPERIOD_OVERRIDE=FQ","FILING_STATUS=MR","Sort=A","Dates=H","DateFormat=P","Fill=—","Direction=H","UseDPDF=Y")</f>
        <v>1.2071000000000001</v>
      </c>
      <c r="AD92" s="14" cm="1">
        <f t="array" ref="AD92">_xll.BDH("PH US Equity","CUR_RATIO","FQ4 2025","FQ4 2025","Currency=USD","Period=FQ","BEST_FPERIOD_OVERRIDE=FQ","FILING_STATUS=MR","Sort=A","Dates=H","DateFormat=P","Fill=—","Direction=H","UseDPDF=Y")</f>
        <v>1.1943999999999999</v>
      </c>
      <c r="AE92" s="14" cm="1">
        <f t="array" ref="AE92">_xll.BDH("PH US Equity","CUR_RATIO","FQ1 2026","FQ1 2026","Currency=USD","Period=FQ","BEST_FPERIOD_OVERRIDE=FQ","FILING_STATUS=MR","Sort=A","Dates=H","DateFormat=P","Fill=—","Direction=H","UseDPDF=Y")</f>
        <v>1.0661</v>
      </c>
      <c r="AF92" s="14" cm="1">
        <f t="array" ref="AF92">_xll.BDH("PH US Equity","CUR_RATIO","FQ2 2026","FQ2 2026","Currency=USD","Period=FQ","BEST_FPERIOD_OVERRIDE=FQ","FILING_STATUS=MR","Sort=A","Dates=H","DateFormat=P","Fill=—","Direction=H","UseDPDF=Y")</f>
        <v>1.1819</v>
      </c>
    </row>
    <row r="93" spans="1:32" x14ac:dyDescent="0.25">
      <c r="A93" s="10" t="s">
        <v>228</v>
      </c>
      <c r="B93" s="10" t="s">
        <v>229</v>
      </c>
      <c r="C93" s="14" cm="1">
        <f t="array" ref="C93">_xll.BDH("PH US Equity","CASH_CONVERSION_CYCLE","FQ1 2019","FQ1 2019","Currency=USD","Period=FQ","BEST_FPERIOD_OVERRIDE=FQ","FILING_STATUS=MR","FA_ADJUSTED=GAAP","Sort=A","Dates=H","DateFormat=P","Fill=—","Direction=H","UseDPDF=Y")</f>
        <v>70.834699999999998</v>
      </c>
      <c r="D93" s="14" cm="1">
        <f t="array" ref="D93">_xll.BDH("PH US Equity","CASH_CONVERSION_CYCLE","FQ2 2019","FQ2 2019","Currency=USD","Period=FQ","BEST_FPERIOD_OVERRIDE=FQ","FILING_STATUS=MR","FA_ADJUSTED=GAAP","Sort=A","Dates=H","DateFormat=P","Fill=—","Direction=H","UseDPDF=Y")</f>
        <v>73.444800000000001</v>
      </c>
      <c r="E93" s="14" cm="1">
        <f t="array" ref="E93">_xll.BDH("PH US Equity","CASH_CONVERSION_CYCLE","FQ3 2019","FQ3 2019","Currency=USD","Period=FQ","BEST_FPERIOD_OVERRIDE=FQ","FILING_STATUS=MR","FA_ADJUSTED=GAAP","Sort=A","Dates=H","DateFormat=P","Fill=—","Direction=H","UseDPDF=Y")</f>
        <v>73.528800000000004</v>
      </c>
      <c r="F93" s="14" cm="1">
        <f t="array" ref="F93">_xll.BDH("PH US Equity","CASH_CONVERSION_CYCLE","FQ4 2019","FQ4 2019","Currency=USD","Period=FQ","BEST_FPERIOD_OVERRIDE=FQ","FILING_STATUS=MR","FA_ADJUSTED=GAAP","Sort=A","Dates=H","DateFormat=P","Fill=—","Direction=H","UseDPDF=Y")</f>
        <v>70.659000000000006</v>
      </c>
      <c r="G93" s="14" cm="1">
        <f t="array" ref="G93">_xll.BDH("PH US Equity","CASH_CONVERSION_CYCLE","FQ1 2020","FQ1 2020","Currency=USD","Period=FQ","BEST_FPERIOD_OVERRIDE=FQ","FILING_STATUS=MR","FA_ADJUSTED=GAAP","Sort=A","Dates=H","DateFormat=P","Fill=—","Direction=H","UseDPDF=Y")</f>
        <v>74.590500000000006</v>
      </c>
      <c r="H93" s="14" cm="1">
        <f t="array" ref="H93">_xll.BDH("PH US Equity","CASH_CONVERSION_CYCLE","FQ2 2020","FQ2 2020","Currency=USD","Period=FQ","BEST_FPERIOD_OVERRIDE=FQ","FILING_STATUS=MR","FA_ADJUSTED=GAAP","Sort=A","Dates=H","DateFormat=P","Fill=—","Direction=H","UseDPDF=Y")</f>
        <v>79.904399999999995</v>
      </c>
      <c r="I93" s="14" cm="1">
        <f t="array" ref="I93">_xll.BDH("PH US Equity","CASH_CONVERSION_CYCLE","FQ3 2020","FQ3 2020","Currency=USD","Period=FQ","BEST_FPERIOD_OVERRIDE=FQ","FILING_STATUS=MR","FA_ADJUSTED=GAAP","Sort=A","Dates=H","DateFormat=P","Fill=—","Direction=H","UseDPDF=Y")</f>
        <v>79.495699999999999</v>
      </c>
      <c r="J93" s="14" cm="1">
        <f t="array" ref="J93">_xll.BDH("PH US Equity","CASH_CONVERSION_CYCLE","FQ4 2020","FQ4 2020","Currency=USD","Period=FQ","BEST_FPERIOD_OVERRIDE=FQ","FILING_STATUS=MR","FA_ADJUSTED=GAAP","Sort=A","Dates=H","DateFormat=P","Fill=—","Direction=H","UseDPDF=Y")</f>
        <v>81.7179</v>
      </c>
      <c r="K93" s="14" cm="1">
        <f t="array" ref="K93">_xll.BDH("PH US Equity","CASH_CONVERSION_CYCLE","FQ1 2021","FQ1 2021","Currency=USD","Period=FQ","BEST_FPERIOD_OVERRIDE=FQ","FILING_STATUS=MR","FA_ADJUSTED=GAAP","Sort=A","Dates=H","DateFormat=P","Fill=—","Direction=H","UseDPDF=Y")</f>
        <v>77.476600000000005</v>
      </c>
      <c r="L93" s="14" cm="1">
        <f t="array" ref="L93">_xll.BDH("PH US Equity","CASH_CONVERSION_CYCLE","FQ2 2021","FQ2 2021","Currency=USD","Period=FQ","BEST_FPERIOD_OVERRIDE=FQ","FILING_STATUS=MR","FA_ADJUSTED=GAAP","Sort=A","Dates=H","DateFormat=P","Fill=—","Direction=H","UseDPDF=Y")</f>
        <v>81.371799999999993</v>
      </c>
      <c r="M93" s="14" cm="1">
        <f t="array" ref="M93">_xll.BDH("PH US Equity","CASH_CONVERSION_CYCLE","FQ3 2021","FQ3 2021","Currency=USD","Period=FQ","BEST_FPERIOD_OVERRIDE=FQ","FILING_STATUS=MR","FA_ADJUSTED=GAAP","Sort=A","Dates=H","DateFormat=P","Fill=—","Direction=H","UseDPDF=Y")</f>
        <v>81.9071</v>
      </c>
      <c r="N93" s="14" cm="1">
        <f t="array" ref="N93">_xll.BDH("PH US Equity","CASH_CONVERSION_CYCLE","FQ4 2021","FQ4 2021","Currency=USD","Period=FQ","BEST_FPERIOD_OVERRIDE=FQ","FILING_STATUS=MR","FA_ADJUSTED=GAAP","Sort=A","Dates=H","DateFormat=P","Fill=—","Direction=H","UseDPDF=Y")</f>
        <v>81.449399999999997</v>
      </c>
      <c r="O93" s="14" cm="1">
        <f t="array" ref="O93">_xll.BDH("PH US Equity","CASH_CONVERSION_CYCLE","FQ1 2022","FQ1 2022","Currency=USD","Period=FQ","BEST_FPERIOD_OVERRIDE=FQ","FILING_STATUS=MR","FA_ADJUSTED=GAAP","Sort=A","Dates=H","DateFormat=P","Fill=—","Direction=H","UseDPDF=Y")</f>
        <v>77.761099999999999</v>
      </c>
      <c r="P93" s="14" cm="1">
        <f t="array" ref="P93">_xll.BDH("PH US Equity","CASH_CONVERSION_CYCLE","FQ2 2022","FQ2 2022","Currency=USD","Period=FQ","BEST_FPERIOD_OVERRIDE=FQ","FILING_STATUS=MR","FA_ADJUSTED=GAAP","Sort=A","Dates=H","DateFormat=P","Fill=—","Direction=H","UseDPDF=Y")</f>
        <v>76.387299999999996</v>
      </c>
      <c r="Q93" s="14" cm="1">
        <f t="array" ref="Q93">_xll.BDH("PH US Equity","CASH_CONVERSION_CYCLE","FQ3 2022","FQ3 2022","Currency=USD","Period=FQ","BEST_FPERIOD_OVERRIDE=FQ","FILING_STATUS=MR","FA_ADJUSTED=GAAP","Sort=A","Dates=H","DateFormat=P","Fill=—","Direction=H","UseDPDF=Y")</f>
        <v>84.038300000000007</v>
      </c>
      <c r="R93" s="14" cm="1">
        <f t="array" ref="R93">_xll.BDH("PH US Equity","CASH_CONVERSION_CYCLE","FQ4 2022","FQ4 2022","Currency=USD","Period=FQ","BEST_FPERIOD_OVERRIDE=FQ","FILING_STATUS=MR","FA_ADJUSTED=GAAP","Sort=A","Dates=H","DateFormat=P","Fill=—","Direction=H","UseDPDF=Y")</f>
        <v>78.069299999999998</v>
      </c>
      <c r="S93" s="14" cm="1">
        <f t="array" ref="S93">_xll.BDH("PH US Equity","CASH_CONVERSION_CYCLE","FQ1 2023","FQ1 2023","Currency=USD","Period=FQ","BEST_FPERIOD_OVERRIDE=FQ","FILING_STATUS=MR","FA_ADJUSTED=GAAP","Sort=A","Dates=H","DateFormat=P","Fill=—","Direction=H","UseDPDF=Y")</f>
        <v>93.769499999999994</v>
      </c>
      <c r="T93" s="14" cm="1">
        <f t="array" ref="T93">_xll.BDH("PH US Equity","CASH_CONVERSION_CYCLE","FQ2 2023","FQ2 2023","Currency=USD","Period=FQ","BEST_FPERIOD_OVERRIDE=FQ","FILING_STATUS=MR","FA_ADJUSTED=GAAP","Sort=A","Dates=H","DateFormat=P","Fill=—","Direction=H","UseDPDF=Y")</f>
        <v>88.057400000000001</v>
      </c>
      <c r="U93" s="14" cm="1">
        <f t="array" ref="U93">_xll.BDH("PH US Equity","CASH_CONVERSION_CYCLE","FQ3 2023","FQ3 2023","Currency=USD","Period=FQ","BEST_FPERIOD_OVERRIDE=FQ","FILING_STATUS=MR","FA_ADJUSTED=GAAP","Sort=A","Dates=H","DateFormat=P","Fill=—","Direction=H","UseDPDF=Y")</f>
        <v>92.114699999999999</v>
      </c>
      <c r="V93" s="14" cm="1">
        <f t="array" ref="V93">_xll.BDH("PH US Equity","CASH_CONVERSION_CYCLE","FQ4 2023","FQ4 2023","Currency=USD","Period=FQ","BEST_FPERIOD_OVERRIDE=FQ","FILING_STATUS=MR","FA_ADJUSTED=GAAP","Sort=A","Dates=H","DateFormat=P","Fill=—","Direction=H","UseDPDF=Y")</f>
        <v>79.828400000000002</v>
      </c>
      <c r="W93" s="14" cm="1">
        <f t="array" ref="W93">_xll.BDH("PH US Equity","CASH_CONVERSION_CYCLE","FQ1 2024","FQ1 2024","Currency=USD","Period=FQ","BEST_FPERIOD_OVERRIDE=FQ","FILING_STATUS=MR","FA_ADJUSTED=GAAP","Sort=A","Dates=H","DateFormat=P","Fill=—","Direction=H","UseDPDF=Y")</f>
        <v>85.341899999999995</v>
      </c>
      <c r="X93" s="14" cm="1">
        <f t="array" ref="X93">_xll.BDH("PH US Equity","CASH_CONVERSION_CYCLE","FQ2 2024","FQ2 2024","Currency=USD","Period=FQ","BEST_FPERIOD_OVERRIDE=FQ","FILING_STATUS=MR","FA_ADJUSTED=GAAP","Sort=A","Dates=H","DateFormat=P","Fill=—","Direction=H","UseDPDF=Y")</f>
        <v>86.007900000000006</v>
      </c>
      <c r="Y93" s="14" cm="1">
        <f t="array" ref="Y93">_xll.BDH("PH US Equity","CASH_CONVERSION_CYCLE","FQ3 2024","FQ3 2024","Currency=USD","Period=FQ","BEST_FPERIOD_OVERRIDE=FQ","FILING_STATUS=MR","FA_ADJUSTED=GAAP","Sort=A","Dates=H","DateFormat=P","Fill=—","Direction=H","UseDPDF=Y")</f>
        <v>87.590900000000005</v>
      </c>
      <c r="Z93" s="14" cm="1">
        <f t="array" ref="Z93">_xll.BDH("PH US Equity","CASH_CONVERSION_CYCLE","FQ4 2024","FQ4 2024","Currency=USD","Period=FQ","BEST_FPERIOD_OVERRIDE=FQ","FILING_STATUS=MR","FA_ADJUSTED=GAAP","Sort=A","Dates=H","DateFormat=P","Fill=—","Direction=H","UseDPDF=Y")</f>
        <v>81.150499999999994</v>
      </c>
      <c r="AA93" s="14" cm="1">
        <f t="array" ref="AA93">_xll.BDH("PH US Equity","CASH_CONVERSION_CYCLE","FQ1 2025","FQ1 2025","Currency=USD","Period=FQ","BEST_FPERIOD_OVERRIDE=FQ","FILING_STATUS=MR","FA_ADJUSTED=GAAP","Sort=A","Dates=H","DateFormat=P","Fill=—","Direction=H","UseDPDF=Y")</f>
        <v>82.154399999999995</v>
      </c>
      <c r="AB93" s="14" cm="1">
        <f t="array" ref="AB93">_xll.BDH("PH US Equity","CASH_CONVERSION_CYCLE","FQ2 2025","FQ2 2025","Currency=USD","Period=FQ","BEST_FPERIOD_OVERRIDE=FQ","FILING_STATUS=MR","FA_ADJUSTED=GAAP","Sort=A","Dates=H","DateFormat=P","Fill=—","Direction=H","UseDPDF=Y")</f>
        <v>81.500100000000003</v>
      </c>
      <c r="AC93" s="14" cm="1">
        <f t="array" ref="AC93">_xll.BDH("PH US Equity","CASH_CONVERSION_CYCLE","FQ3 2025","FQ3 2025","Currency=USD","Period=FQ","BEST_FPERIOD_OVERRIDE=FQ","FILING_STATUS=MR","FA_ADJUSTED=GAAP","Sort=A","Dates=H","DateFormat=P","Fill=—","Direction=H","UseDPDF=Y")</f>
        <v>84.662300000000002</v>
      </c>
      <c r="AD93" s="14" cm="1">
        <f t="array" ref="AD93">_xll.BDH("PH US Equity","CASH_CONVERSION_CYCLE","FQ4 2025","FQ4 2025","Currency=USD","Period=FQ","BEST_FPERIOD_OVERRIDE=FQ","FILING_STATUS=MR","FA_ADJUSTED=GAAP","Sort=A","Dates=H","DateFormat=P","Fill=—","Direction=H","UseDPDF=Y")</f>
        <v>81.179900000000004</v>
      </c>
      <c r="AE93" s="14" cm="1">
        <f t="array" ref="AE93">_xll.BDH("PH US Equity","CASH_CONVERSION_CYCLE","FQ1 2026","FQ1 2026","Currency=USD","Period=FQ","BEST_FPERIOD_OVERRIDE=FQ","FILING_STATUS=MR","FA_ADJUSTED=GAAP","Sort=A","Dates=H","DateFormat=P","Fill=—","Direction=H","UseDPDF=Y")</f>
        <v>84.528700000000001</v>
      </c>
      <c r="AF93" s="14" cm="1">
        <f t="array" ref="AF93">_xll.BDH("PH US Equity","CASH_CONVERSION_CYCLE","FQ2 2026","FQ2 2026","Currency=USD","Period=FQ","BEST_FPERIOD_OVERRIDE=FQ","FILING_STATUS=MR","FA_ADJUSTED=GAAP","Sort=A","Dates=H","DateFormat=P","Fill=—","Direction=H","UseDPDF=Y")</f>
        <v>83.1203</v>
      </c>
    </row>
    <row r="94" spans="1:32" x14ac:dyDescent="0.25">
      <c r="A94" s="10" t="s">
        <v>230</v>
      </c>
      <c r="B94" s="10" t="s">
        <v>231</v>
      </c>
      <c r="C94" s="13" cm="1">
        <f t="array" ref="C94">_xll.BDH("PH US Equity","BS_CASH_HELD_OVERSEAS","FQ1 2019","FQ1 2019","Currency=USD","Period=FQ","BEST_FPERIOD_OVERRIDE=FQ","FILING_STATUS=MR","SCALING_FORMAT=MLN","Sort=A","Dates=H","DateFormat=P","Fill=—","Direction=H","UseDPDF=Y")</f>
        <v>938</v>
      </c>
      <c r="D94" s="13" cm="1">
        <f t="array" ref="D94">_xll.BDH("PH US Equity","BS_CASH_HELD_OVERSEAS","FQ2 2019","FQ2 2019","Currency=USD","Period=FQ","BEST_FPERIOD_OVERRIDE=FQ","FILING_STATUS=MR","SCALING_FORMAT=MLN","Sort=A","Dates=H","DateFormat=P","Fill=—","Direction=H","UseDPDF=Y")</f>
        <v>994</v>
      </c>
      <c r="E94" s="13" cm="1">
        <f t="array" ref="E94">_xll.BDH("PH US Equity","BS_CASH_HELD_OVERSEAS","FQ3 2019","FQ3 2019","Currency=USD","Period=FQ","BEST_FPERIOD_OVERRIDE=FQ","FILING_STATUS=MR","SCALING_FORMAT=MLN","Sort=A","Dates=H","DateFormat=P","Fill=—","Direction=H","UseDPDF=Y")</f>
        <v>1108</v>
      </c>
      <c r="F94" s="13" cm="1">
        <f t="array" ref="F94">_xll.BDH("PH US Equity","BS_CASH_HELD_OVERSEAS","FQ4 2019","FQ4 2019","Currency=USD","Period=FQ","BEST_FPERIOD_OVERRIDE=FQ","FILING_STATUS=MR","SCALING_FORMAT=MLN","Sort=A","Dates=H","DateFormat=P","Fill=—","Direction=H","UseDPDF=Y")</f>
        <v>975</v>
      </c>
      <c r="G94" s="13" cm="1">
        <f t="array" ref="G94">_xll.BDH("PH US Equity","BS_CASH_HELD_OVERSEAS","FQ1 2020","FQ1 2020","Currency=USD","Period=FQ","BEST_FPERIOD_OVERRIDE=FQ","FILING_STATUS=MR","SCALING_FORMAT=MLN","Sort=A","Dates=H","DateFormat=P","Fill=—","Direction=H","UseDPDF=Y")</f>
        <v>938</v>
      </c>
      <c r="H94" s="13" cm="1">
        <f t="array" ref="H94">_xll.BDH("PH US Equity","BS_CASH_HELD_OVERSEAS","FQ2 2020","FQ2 2020","Currency=USD","Period=FQ","BEST_FPERIOD_OVERRIDE=FQ","FILING_STATUS=MR","SCALING_FORMAT=MLN","Sort=A","Dates=H","DateFormat=P","Fill=—","Direction=H","UseDPDF=Y")</f>
        <v>1022</v>
      </c>
      <c r="I94" s="13" cm="1">
        <f t="array" ref="I94">_xll.BDH("PH US Equity","BS_CASH_HELD_OVERSEAS","FQ3 2020","FQ3 2020","Currency=USD","Period=FQ","BEST_FPERIOD_OVERRIDE=FQ","FILING_STATUS=MR","SCALING_FORMAT=MLN","Sort=A","Dates=H","DateFormat=P","Fill=—","Direction=H","UseDPDF=Y")</f>
        <v>697</v>
      </c>
      <c r="J94" s="13" cm="1">
        <f t="array" ref="J94">_xll.BDH("PH US Equity","BS_CASH_HELD_OVERSEAS","FQ4 2020","FQ4 2020","Currency=USD","Period=FQ","BEST_FPERIOD_OVERRIDE=FQ","FILING_STATUS=MR","SCALING_FORMAT=MLN","Sort=A","Dates=H","DateFormat=P","Fill=—","Direction=H","UseDPDF=Y")</f>
        <v>726</v>
      </c>
      <c r="K94" s="13" cm="1">
        <f t="array" ref="K94">_xll.BDH("PH US Equity","BS_CASH_HELD_OVERSEAS","FQ1 2021","FQ1 2021","Currency=USD","Period=FQ","BEST_FPERIOD_OVERRIDE=FQ","FILING_STATUS=MR","SCALING_FORMAT=MLN","Sort=A","Dates=H","DateFormat=P","Fill=—","Direction=H","UseDPDF=Y")</f>
        <v>720</v>
      </c>
      <c r="L94" s="13" cm="1">
        <f t="array" ref="L94">_xll.BDH("PH US Equity","BS_CASH_HELD_OVERSEAS","FQ2 2021","FQ2 2021","Currency=USD","Period=FQ","BEST_FPERIOD_OVERRIDE=FQ","FILING_STATUS=MR","SCALING_FORMAT=MLN","Sort=A","Dates=H","DateFormat=P","Fill=—","Direction=H","UseDPDF=Y")</f>
        <v>548</v>
      </c>
      <c r="M94" s="13" cm="1">
        <f t="array" ref="M94">_xll.BDH("PH US Equity","BS_CASH_HELD_OVERSEAS","FQ3 2021","FQ3 2021","Currency=USD","Period=FQ","BEST_FPERIOD_OVERRIDE=FQ","FILING_STATUS=MR","SCALING_FORMAT=MLN","Sort=A","Dates=H","DateFormat=P","Fill=—","Direction=H","UseDPDF=Y")</f>
        <v>467</v>
      </c>
      <c r="N94" s="13" cm="1">
        <f t="array" ref="N94">_xll.BDH("PH US Equity","BS_CASH_HELD_OVERSEAS","FQ4 2021","FQ4 2021","Currency=USD","Period=FQ","BEST_FPERIOD_OVERRIDE=FQ","FILING_STATUS=MR","SCALING_FORMAT=MLN","Sort=A","Dates=H","DateFormat=P","Fill=—","Direction=H","UseDPDF=Y")</f>
        <v>467</v>
      </c>
      <c r="O94" s="13" cm="1">
        <f t="array" ref="O94">_xll.BDH("PH US Equity","BS_CASH_HELD_OVERSEAS","FQ1 2022","FQ1 2022","Currency=USD","Period=FQ","BEST_FPERIOD_OVERRIDE=FQ","FILING_STATUS=MR","SCALING_FORMAT=MLN","Sort=A","Dates=H","DateFormat=P","Fill=—","Direction=H","UseDPDF=Y")</f>
        <v>413</v>
      </c>
      <c r="P94" s="13" cm="1">
        <f t="array" ref="P94">_xll.BDH("PH US Equity","BS_CASH_HELD_OVERSEAS","FQ2 2022","FQ2 2022","Currency=USD","Period=FQ","BEST_FPERIOD_OVERRIDE=FQ","FILING_STATUS=MR","SCALING_FORMAT=MLN","Sort=A","Dates=H","DateFormat=P","Fill=—","Direction=H","UseDPDF=Y")</f>
        <v>449</v>
      </c>
      <c r="Q94" s="13" cm="1">
        <f t="array" ref="Q94">_xll.BDH("PH US Equity","BS_CASH_HELD_OVERSEAS","FQ3 2022","FQ3 2022","Currency=USD","Period=FQ","BEST_FPERIOD_OVERRIDE=FQ","FILING_STATUS=MR","SCALING_FORMAT=MLN","Sort=A","Dates=H","DateFormat=P","Fill=—","Direction=H","UseDPDF=Y")</f>
        <v>435</v>
      </c>
      <c r="R94" s="13" cm="1">
        <f t="array" ref="R94">_xll.BDH("PH US Equity","BS_CASH_HELD_OVERSEAS","FQ4 2022","FQ4 2022","Currency=USD","Period=FQ","BEST_FPERIOD_OVERRIDE=FQ","FILING_STATUS=MR","SCALING_FORMAT=MLN","Sort=A","Dates=H","DateFormat=P","Fill=—","Direction=H","UseDPDF=Y")</f>
        <v>465</v>
      </c>
      <c r="S94" s="13" cm="1">
        <f t="array" ref="S94">_xll.BDH("PH US Equity","BS_CASH_HELD_OVERSEAS","FQ1 2023","FQ1 2023","Currency=USD","Period=FQ","BEST_FPERIOD_OVERRIDE=FQ","FILING_STATUS=MR","SCALING_FORMAT=MLN","Sort=A","Dates=H","DateFormat=P","Fill=—","Direction=H","UseDPDF=Y")</f>
        <v>428</v>
      </c>
      <c r="T94" s="13" cm="1">
        <f t="array" ref="T94">_xll.BDH("PH US Equity","BS_CASH_HELD_OVERSEAS","FQ2 2023","FQ2 2023","Currency=USD","Period=FQ","BEST_FPERIOD_OVERRIDE=FQ","FILING_STATUS=MR","SCALING_FORMAT=MLN","Sort=A","Dates=H","DateFormat=P","Fill=—","Direction=H","UseDPDF=Y")</f>
        <v>487</v>
      </c>
      <c r="U94" s="13" cm="1">
        <f t="array" ref="U94">_xll.BDH("PH US Equity","BS_CASH_HELD_OVERSEAS","FQ3 2023","FQ3 2023","Currency=USD","Period=FQ","BEST_FPERIOD_OVERRIDE=FQ","FILING_STATUS=MR","SCALING_FORMAT=MLN","Sort=A","Dates=H","DateFormat=P","Fill=—","Direction=H","UseDPDF=Y")</f>
        <v>500</v>
      </c>
      <c r="V94" s="13" cm="1">
        <f t="array" ref="V94">_xll.BDH("PH US Equity","BS_CASH_HELD_OVERSEAS","FQ4 2023","FQ4 2023","Currency=USD","Period=FQ","BEST_FPERIOD_OVERRIDE=FQ","FILING_STATUS=MR","SCALING_FORMAT=MLN","Sort=A","Dates=H","DateFormat=P","Fill=—","Direction=H","UseDPDF=Y")</f>
        <v>422</v>
      </c>
      <c r="W94" s="13" cm="1">
        <f t="array" ref="W94">_xll.BDH("PH US Equity","BS_CASH_HELD_OVERSEAS","FQ1 2024","FQ1 2024","Currency=USD","Period=FQ","BEST_FPERIOD_OVERRIDE=FQ","FILING_STATUS=MR","SCALING_FORMAT=MLN","Sort=A","Dates=H","DateFormat=P","Fill=—","Direction=H","UseDPDF=Y")</f>
        <v>404</v>
      </c>
      <c r="X94" s="13" cm="1">
        <f t="array" ref="X94">_xll.BDH("PH US Equity","BS_CASH_HELD_OVERSEAS","FQ2 2024","FQ2 2024","Currency=USD","Period=FQ","BEST_FPERIOD_OVERRIDE=FQ","FILING_STATUS=MR","SCALING_FORMAT=MLN","Sort=A","Dates=H","DateFormat=P","Fill=—","Direction=H","UseDPDF=Y")</f>
        <v>327</v>
      </c>
      <c r="Y94" s="13" cm="1">
        <f t="array" ref="Y94">_xll.BDH("PH US Equity","BS_CASH_HELD_OVERSEAS","FQ3 2024","FQ3 2024","Currency=USD","Period=FQ","BEST_FPERIOD_OVERRIDE=FQ","FILING_STATUS=MR","SCALING_FORMAT=MLN","Sort=A","Dates=H","DateFormat=P","Fill=—","Direction=H","UseDPDF=Y")</f>
        <v>331</v>
      </c>
      <c r="Z94" s="13" cm="1">
        <f t="array" ref="Z94">_xll.BDH("PH US Equity","BS_CASH_HELD_OVERSEAS","FQ4 2024","FQ4 2024","Currency=USD","Period=FQ","BEST_FPERIOD_OVERRIDE=FQ","FILING_STATUS=MR","SCALING_FORMAT=MLN","Sort=A","Dates=H","DateFormat=P","Fill=—","Direction=H","UseDPDF=Y")</f>
        <v>311</v>
      </c>
      <c r="AA94" s="13" cm="1">
        <f t="array" ref="AA94">_xll.BDH("PH US Equity","BS_CASH_HELD_OVERSEAS","FQ1 2025","FQ1 2025","Currency=USD","Period=FQ","BEST_FPERIOD_OVERRIDE=FQ","FILING_STATUS=MR","SCALING_FORMAT=MLN","Sort=A","Dates=H","DateFormat=P","Fill=—","Direction=H","UseDPDF=Y")</f>
        <v>327</v>
      </c>
      <c r="AB94" s="13" cm="1">
        <f t="array" ref="AB94">_xll.BDH("PH US Equity","BS_CASH_HELD_OVERSEAS","FQ2 2025","FQ2 2025","Currency=USD","Period=FQ","BEST_FPERIOD_OVERRIDE=FQ","FILING_STATUS=MR","SCALING_FORMAT=MLN","Sort=A","Dates=H","DateFormat=P","Fill=—","Direction=H","UseDPDF=Y")</f>
        <v>300</v>
      </c>
      <c r="AC94" s="13" cm="1">
        <f t="array" ref="AC94">_xll.BDH("PH US Equity","BS_CASH_HELD_OVERSEAS","FQ3 2025","FQ3 2025","Currency=USD","Period=FQ","BEST_FPERIOD_OVERRIDE=FQ","FILING_STATUS=MR","SCALING_FORMAT=MLN","Sort=A","Dates=H","DateFormat=P","Fill=—","Direction=H","UseDPDF=Y")</f>
        <v>329</v>
      </c>
      <c r="AD94" s="13" cm="1">
        <f t="array" ref="AD94">_xll.BDH("PH US Equity","BS_CASH_HELD_OVERSEAS","FQ4 2025","FQ4 2025","Currency=USD","Period=FQ","BEST_FPERIOD_OVERRIDE=FQ","FILING_STATUS=MR","SCALING_FORMAT=MLN","Sort=A","Dates=H","DateFormat=P","Fill=—","Direction=H","UseDPDF=Y")</f>
        <v>344</v>
      </c>
      <c r="AE94" s="13" cm="1">
        <f t="array" ref="AE94">_xll.BDH("PH US Equity","BS_CASH_HELD_OVERSEAS","FQ1 2026","FQ1 2026","Currency=USD","Period=FQ","BEST_FPERIOD_OVERRIDE=FQ","FILING_STATUS=MR","SCALING_FORMAT=MLN","Sort=A","Dates=H","DateFormat=P","Fill=—","Direction=H","UseDPDF=Y")</f>
        <v>384</v>
      </c>
      <c r="AF94" s="13" cm="1">
        <f t="array" ref="AF94">_xll.BDH("PH US Equity","BS_CASH_HELD_OVERSEAS","FQ2 2026","FQ2 2026","Currency=USD","Period=FQ","BEST_FPERIOD_OVERRIDE=FQ","FILING_STATUS=MR","SCALING_FORMAT=MLN","Sort=A","Dates=H","DateFormat=P","Fill=—","Direction=H","UseDPDF=Y")</f>
        <v>371</v>
      </c>
    </row>
    <row r="95" spans="1:32" x14ac:dyDescent="0.25">
      <c r="A95" s="10" t="s">
        <v>232</v>
      </c>
      <c r="B95" s="10" t="s">
        <v>233</v>
      </c>
      <c r="C95" s="14" t="str" cm="1">
        <f t="array" ref="C95">_xll.BDH("PH US Equity","NUM_OF_EMPLOYEES","FQ1 2019","FQ1 2019","Currency=USD","Period=FQ","BEST_FPERIOD_OVERRIDE=FQ","FILING_STATUS=MR","Sort=A","Dates=H","DateFormat=P","Fill=—","Direction=H","UseDPDF=Y")</f>
        <v>—</v>
      </c>
      <c r="D95" s="14" t="str" cm="1">
        <f t="array" ref="D95">_xll.BDH("PH US Equity","NUM_OF_EMPLOYEES","FQ2 2019","FQ2 2019","Currency=USD","Period=FQ","BEST_FPERIOD_OVERRIDE=FQ","FILING_STATUS=MR","Sort=A","Dates=H","DateFormat=P","Fill=—","Direction=H","UseDPDF=Y")</f>
        <v>—</v>
      </c>
      <c r="E95" s="14" t="str" cm="1">
        <f t="array" ref="E95">_xll.BDH("PH US Equity","NUM_OF_EMPLOYEES","FQ3 2019","FQ3 2019","Currency=USD","Period=FQ","BEST_FPERIOD_OVERRIDE=FQ","FILING_STATUS=MR","Sort=A","Dates=H","DateFormat=P","Fill=—","Direction=H","UseDPDF=Y")</f>
        <v>—</v>
      </c>
      <c r="F95" s="14" cm="1">
        <f t="array" ref="F95">_xll.BDH("PH US Equity","NUM_OF_EMPLOYEES","FQ4 2019","FQ4 2019","Currency=USD","Period=FQ","BEST_FPERIOD_OVERRIDE=FQ","FILING_STATUS=MR","Sort=A","Dates=H","DateFormat=P","Fill=—","Direction=H","UseDPDF=Y")</f>
        <v>55610</v>
      </c>
      <c r="G95" s="14" t="str" cm="1">
        <f t="array" ref="G95">_xll.BDH("PH US Equity","NUM_OF_EMPLOYEES","FQ1 2020","FQ1 2020","Currency=USD","Period=FQ","BEST_FPERIOD_OVERRIDE=FQ","FILING_STATUS=MR","Sort=A","Dates=H","DateFormat=P","Fill=—","Direction=H","UseDPDF=Y")</f>
        <v>—</v>
      </c>
      <c r="H95" s="14" t="str" cm="1">
        <f t="array" ref="H95">_xll.BDH("PH US Equity","NUM_OF_EMPLOYEES","FQ2 2020","FQ2 2020","Currency=USD","Period=FQ","BEST_FPERIOD_OVERRIDE=FQ","FILING_STATUS=MR","Sort=A","Dates=H","DateFormat=P","Fill=—","Direction=H","UseDPDF=Y")</f>
        <v>—</v>
      </c>
      <c r="I95" s="14" t="str" cm="1">
        <f t="array" ref="I95">_xll.BDH("PH US Equity","NUM_OF_EMPLOYEES","FQ3 2020","FQ3 2020","Currency=USD","Period=FQ","BEST_FPERIOD_OVERRIDE=FQ","FILING_STATUS=MR","Sort=A","Dates=H","DateFormat=P","Fill=—","Direction=H","UseDPDF=Y")</f>
        <v>—</v>
      </c>
      <c r="J95" s="14" cm="1">
        <f t="array" ref="J95">_xll.BDH("PH US Equity","NUM_OF_EMPLOYEES","FQ4 2020","FQ4 2020","Currency=USD","Period=FQ","BEST_FPERIOD_OVERRIDE=FQ","FILING_STATUS=MR","Sort=A","Dates=H","DateFormat=P","Fill=—","Direction=H","UseDPDF=Y")</f>
        <v>50520</v>
      </c>
      <c r="K95" s="14" t="str" cm="1">
        <f t="array" ref="K95">_xll.BDH("PH US Equity","NUM_OF_EMPLOYEES","FQ1 2021","FQ1 2021","Currency=USD","Period=FQ","BEST_FPERIOD_OVERRIDE=FQ","FILING_STATUS=MR","Sort=A","Dates=H","DateFormat=P","Fill=—","Direction=H","UseDPDF=Y")</f>
        <v>—</v>
      </c>
      <c r="L95" s="14" t="str" cm="1">
        <f t="array" ref="L95">_xll.BDH("PH US Equity","NUM_OF_EMPLOYEES","FQ2 2021","FQ2 2021","Currency=USD","Period=FQ","BEST_FPERIOD_OVERRIDE=FQ","FILING_STATUS=MR","Sort=A","Dates=H","DateFormat=P","Fill=—","Direction=H","UseDPDF=Y")</f>
        <v>—</v>
      </c>
      <c r="M95" s="14" t="str" cm="1">
        <f t="array" ref="M95">_xll.BDH("PH US Equity","NUM_OF_EMPLOYEES","FQ3 2021","FQ3 2021","Currency=USD","Period=FQ","BEST_FPERIOD_OVERRIDE=FQ","FILING_STATUS=MR","Sort=A","Dates=H","DateFormat=P","Fill=—","Direction=H","UseDPDF=Y")</f>
        <v>—</v>
      </c>
      <c r="N95" s="14" cm="1">
        <f t="array" ref="N95">_xll.BDH("PH US Equity","NUM_OF_EMPLOYEES","FQ4 2021","FQ4 2021","Currency=USD","Period=FQ","BEST_FPERIOD_OVERRIDE=FQ","FILING_STATUS=MR","Sort=A","Dates=H","DateFormat=P","Fill=—","Direction=H","UseDPDF=Y")</f>
        <v>54640</v>
      </c>
      <c r="O95" s="14" t="str" cm="1">
        <f t="array" ref="O95">_xll.BDH("PH US Equity","NUM_OF_EMPLOYEES","FQ1 2022","FQ1 2022","Currency=USD","Period=FQ","BEST_FPERIOD_OVERRIDE=FQ","FILING_STATUS=MR","Sort=A","Dates=H","DateFormat=P","Fill=—","Direction=H","UseDPDF=Y")</f>
        <v>—</v>
      </c>
      <c r="P95" s="14" t="str" cm="1">
        <f t="array" ref="P95">_xll.BDH("PH US Equity","NUM_OF_EMPLOYEES","FQ2 2022","FQ2 2022","Currency=USD","Period=FQ","BEST_FPERIOD_OVERRIDE=FQ","FILING_STATUS=MR","Sort=A","Dates=H","DateFormat=P","Fill=—","Direction=H","UseDPDF=Y")</f>
        <v>—</v>
      </c>
      <c r="Q95" s="14" t="str" cm="1">
        <f t="array" ref="Q95">_xll.BDH("PH US Equity","NUM_OF_EMPLOYEES","FQ3 2022","FQ3 2022","Currency=USD","Period=FQ","BEST_FPERIOD_OVERRIDE=FQ","FILING_STATUS=MR","Sort=A","Dates=H","DateFormat=P","Fill=—","Direction=H","UseDPDF=Y")</f>
        <v>—</v>
      </c>
      <c r="R95" s="14" cm="1">
        <f t="array" ref="R95">_xll.BDH("PH US Equity","NUM_OF_EMPLOYEES","FQ4 2022","FQ4 2022","Currency=USD","Period=FQ","BEST_FPERIOD_OVERRIDE=FQ","FILING_STATUS=MR","Sort=A","Dates=H","DateFormat=P","Fill=—","Direction=H","UseDPDF=Y")</f>
        <v>55090</v>
      </c>
      <c r="S95" s="14" t="str" cm="1">
        <f t="array" ref="S95">_xll.BDH("PH US Equity","NUM_OF_EMPLOYEES","FQ1 2023","FQ1 2023","Currency=USD","Period=FQ","BEST_FPERIOD_OVERRIDE=FQ","FILING_STATUS=MR","Sort=A","Dates=H","DateFormat=P","Fill=—","Direction=H","UseDPDF=Y")</f>
        <v>—</v>
      </c>
      <c r="T95" s="14" t="str" cm="1">
        <f t="array" ref="T95">_xll.BDH("PH US Equity","NUM_OF_EMPLOYEES","FQ2 2023","FQ2 2023","Currency=USD","Period=FQ","BEST_FPERIOD_OVERRIDE=FQ","FILING_STATUS=MR","Sort=A","Dates=H","DateFormat=P","Fill=—","Direction=H","UseDPDF=Y")</f>
        <v>—</v>
      </c>
      <c r="U95" s="14" t="str" cm="1">
        <f t="array" ref="U95">_xll.BDH("PH US Equity","NUM_OF_EMPLOYEES","FQ3 2023","FQ3 2023","Currency=USD","Period=FQ","BEST_FPERIOD_OVERRIDE=FQ","FILING_STATUS=MR","Sort=A","Dates=H","DateFormat=P","Fill=—","Direction=H","UseDPDF=Y")</f>
        <v>—</v>
      </c>
      <c r="V95" s="14" cm="1">
        <f t="array" ref="V95">_xll.BDH("PH US Equity","NUM_OF_EMPLOYEES","FQ4 2023","FQ4 2023","Currency=USD","Period=FQ","BEST_FPERIOD_OVERRIDE=FQ","FILING_STATUS=MR","Sort=A","Dates=H","DateFormat=P","Fill=—","Direction=H","UseDPDF=Y")</f>
        <v>62730</v>
      </c>
      <c r="W95" s="14" t="str" cm="1">
        <f t="array" ref="W95">_xll.BDH("PH US Equity","NUM_OF_EMPLOYEES","FQ1 2024","FQ1 2024","Currency=USD","Period=FQ","BEST_FPERIOD_OVERRIDE=FQ","FILING_STATUS=MR","Sort=A","Dates=H","DateFormat=P","Fill=—","Direction=H","UseDPDF=Y")</f>
        <v>—</v>
      </c>
      <c r="X95" s="14" t="str" cm="1">
        <f t="array" ref="X95">_xll.BDH("PH US Equity","NUM_OF_EMPLOYEES","FQ2 2024","FQ2 2024","Currency=USD","Period=FQ","BEST_FPERIOD_OVERRIDE=FQ","FILING_STATUS=MR","Sort=A","Dates=H","DateFormat=P","Fill=—","Direction=H","UseDPDF=Y")</f>
        <v>—</v>
      </c>
      <c r="Y95" s="14" t="str" cm="1">
        <f t="array" ref="Y95">_xll.BDH("PH US Equity","NUM_OF_EMPLOYEES","FQ3 2024","FQ3 2024","Currency=USD","Period=FQ","BEST_FPERIOD_OVERRIDE=FQ","FILING_STATUS=MR","Sort=A","Dates=H","DateFormat=P","Fill=—","Direction=H","UseDPDF=Y")</f>
        <v>—</v>
      </c>
      <c r="Z95" s="14" cm="1">
        <f t="array" ref="Z95">_xll.BDH("PH US Equity","NUM_OF_EMPLOYEES","FQ4 2024","FQ4 2024","Currency=USD","Period=FQ","BEST_FPERIOD_OVERRIDE=FQ","FILING_STATUS=MR","Sort=A","Dates=H","DateFormat=P","Fill=—","Direction=H","UseDPDF=Y")</f>
        <v>61120</v>
      </c>
      <c r="AA95" s="14" t="str" cm="1">
        <f t="array" ref="AA95">_xll.BDH("PH US Equity","NUM_OF_EMPLOYEES","FQ1 2025","FQ1 2025","Currency=USD","Period=FQ","BEST_FPERIOD_OVERRIDE=FQ","FILING_STATUS=MR","Sort=A","Dates=H","DateFormat=P","Fill=—","Direction=H","UseDPDF=Y")</f>
        <v>—</v>
      </c>
      <c r="AB95" s="14" t="str" cm="1">
        <f t="array" ref="AB95">_xll.BDH("PH US Equity","NUM_OF_EMPLOYEES","FQ2 2025","FQ2 2025","Currency=USD","Period=FQ","BEST_FPERIOD_OVERRIDE=FQ","FILING_STATUS=MR","Sort=A","Dates=H","DateFormat=P","Fill=—","Direction=H","UseDPDF=Y")</f>
        <v>—</v>
      </c>
      <c r="AC95" s="14" t="str" cm="1">
        <f t="array" ref="AC95">_xll.BDH("PH US Equity","NUM_OF_EMPLOYEES","FQ3 2025","FQ3 2025","Currency=USD","Period=FQ","BEST_FPERIOD_OVERRIDE=FQ","FILING_STATUS=MR","Sort=A","Dates=H","DateFormat=P","Fill=—","Direction=H","UseDPDF=Y")</f>
        <v>—</v>
      </c>
      <c r="AD95" s="14" cm="1">
        <f t="array" ref="AD95">_xll.BDH("PH US Equity","NUM_OF_EMPLOYEES","FQ4 2025","FQ4 2025","Currency=USD","Period=FQ","BEST_FPERIOD_OVERRIDE=FQ","FILING_STATUS=MR","Sort=A","Dates=H","DateFormat=P","Fill=—","Direction=H","UseDPDF=Y")</f>
        <v>57950</v>
      </c>
      <c r="AE95" s="14" t="str" cm="1">
        <f t="array" ref="AE95">_xll.BDH("PH US Equity","NUM_OF_EMPLOYEES","FQ1 2026","FQ1 2026","Currency=USD","Period=FQ","BEST_FPERIOD_OVERRIDE=FQ","FILING_STATUS=MR","Sort=A","Dates=H","DateFormat=P","Fill=—","Direction=H","UseDPDF=Y")</f>
        <v>—</v>
      </c>
      <c r="AF95" s="14" t="str" cm="1">
        <f t="array" ref="AF95">_xll.BDH("PH US Equity","NUM_OF_EMPLOYEES","FQ2 2026","FQ2 2026","Currency=USD","Period=FQ","BEST_FPERIOD_OVERRIDE=FQ","FILING_STATUS=MR","Sort=A","Dates=H","DateFormat=P","Fill=—","Direction=H","UseDPDF=Y")</f>
        <v>—</v>
      </c>
    </row>
    <row r="96" spans="1:32" x14ac:dyDescent="0.25">
      <c r="A96" s="7" t="s">
        <v>234</v>
      </c>
      <c r="B96" s="7"/>
      <c r="C96" s="7" t="s">
        <v>1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2026-02-19T03:32:41Z</dcterms:modified>
</cp:coreProperties>
</file>