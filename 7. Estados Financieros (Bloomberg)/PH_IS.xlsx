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03518131\Desktop\Bloomberg\Mariann\FA Excel\"/>
    </mc:Choice>
  </mc:AlternateContent>
  <xr:revisionPtr revIDLastSave="0" documentId="8_{4753A3E6-C6EC-4A4B-B2C8-BBA220A2E12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BBG Adjusted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49" i="2" l="1" a="1"/>
  <c r="S42" i="2" a="1"/>
  <c r="I54" i="2" a="1"/>
  <c r="K9" i="2" a="1"/>
  <c r="K17" i="2" a="1"/>
  <c r="K13" i="2" a="1"/>
  <c r="K42" i="2" a="1"/>
  <c r="W18" i="2" a="1"/>
  <c r="W13" i="2" a="1"/>
  <c r="W62" i="2" a="1"/>
  <c r="V54" i="2" a="1"/>
  <c r="W38" i="2" a="1"/>
  <c r="G39" i="2" a="1"/>
  <c r="O42" i="2" a="1"/>
  <c r="C42" i="2" a="1"/>
  <c r="AA37" i="2" a="1"/>
  <c r="C48" i="2" a="1"/>
  <c r="G49" i="2" a="1"/>
  <c r="O12" i="2" a="1"/>
  <c r="O19" i="2" a="1"/>
  <c r="O13" i="2" a="1"/>
  <c r="AA9" i="2" a="1"/>
  <c r="AA10" i="2" a="1"/>
  <c r="AA16" i="2" a="1"/>
  <c r="S39" i="2" a="1"/>
  <c r="I49" i="2" a="1"/>
  <c r="K15" i="2" a="1"/>
  <c r="K39" i="2" a="1"/>
  <c r="W12" i="2" a="1"/>
  <c r="W37" i="2" a="1"/>
  <c r="O31" i="2" a="1"/>
  <c r="AA39" i="2" a="1"/>
  <c r="O18" i="2" a="1"/>
  <c r="AA60" i="2" a="1"/>
  <c r="K12" i="2" a="1"/>
  <c r="W39" i="2" a="1"/>
  <c r="C31" i="2" a="1"/>
  <c r="AA18" i="2" a="1"/>
  <c r="K8" i="2" a="1"/>
  <c r="W15" i="2" a="1"/>
  <c r="C37" i="2" a="1"/>
  <c r="O11" i="2" a="1"/>
  <c r="K19" i="2" a="1"/>
  <c r="W9" i="2" a="1"/>
  <c r="O38" i="2" a="1"/>
  <c r="O14" i="2" a="1"/>
  <c r="K10" i="2" a="1"/>
  <c r="W60" i="2" a="1"/>
  <c r="AA31" i="2" a="1"/>
  <c r="AA44" i="2" a="1"/>
  <c r="S54" i="2" a="1"/>
  <c r="J54" i="2" a="1"/>
  <c r="W49" i="2" a="1"/>
  <c r="O63" i="2" a="1"/>
  <c r="AA17" i="2" a="1"/>
  <c r="L54" i="2" a="1"/>
  <c r="W11" i="2" a="1"/>
  <c r="O8" i="2" a="1"/>
  <c r="K44" i="2" a="1"/>
  <c r="G38" i="2" a="1"/>
  <c r="O7" i="2" a="1"/>
  <c r="S38" i="2" a="1"/>
  <c r="W7" i="2" a="1"/>
  <c r="G54" i="2" a="1"/>
  <c r="W6" i="2" a="1"/>
  <c r="AA19" i="2" a="1"/>
  <c r="W63" i="2" a="1"/>
  <c r="O32" i="2" a="1"/>
  <c r="O16" i="2" a="1"/>
  <c r="K11" i="2" a="1"/>
  <c r="W54" i="2" a="1"/>
  <c r="O6" i="2" a="1"/>
  <c r="K6" i="2" a="1"/>
  <c r="C38" i="2" a="1"/>
  <c r="AA14" i="2" a="1"/>
  <c r="U49" i="2" a="1"/>
  <c r="G31" i="2" a="1"/>
  <c r="O17" i="2" a="1"/>
  <c r="K32" i="2" a="1"/>
  <c r="G42" i="2" a="1"/>
  <c r="O60" i="2" a="1"/>
  <c r="S32" i="2" a="1"/>
  <c r="W31" i="2" a="1"/>
  <c r="C51" i="2" a="1"/>
  <c r="AA15" i="2" a="1"/>
  <c r="K38" i="2" a="1"/>
  <c r="W42" i="2" a="1"/>
  <c r="C55" i="2" a="1"/>
  <c r="AA7" i="2" a="1"/>
  <c r="K31" i="2" a="1"/>
  <c r="O39" i="2" a="1"/>
  <c r="O9" i="2" a="1"/>
  <c r="L49" i="2" a="1"/>
  <c r="S31" i="2" a="1"/>
  <c r="K16" i="2" a="1"/>
  <c r="W14" i="2" a="1"/>
  <c r="C56" i="2" a="1"/>
  <c r="AA13" i="2" a="1"/>
  <c r="K37" i="2" a="1"/>
  <c r="W17" i="2" a="1"/>
  <c r="AA42" i="2" a="1"/>
  <c r="AA12" i="2" a="1"/>
  <c r="K54" i="2" a="1"/>
  <c r="W16" i="2" a="1"/>
  <c r="C50" i="2" a="1"/>
  <c r="K60" i="2" a="1"/>
  <c r="C32" i="2" a="1"/>
  <c r="AA62" i="2" a="1"/>
  <c r="O44" i="2" a="1"/>
  <c r="C53" i="2" a="1"/>
  <c r="G37" i="2" a="1"/>
  <c r="AA63" i="2" a="1"/>
  <c r="K49" i="2" a="1"/>
  <c r="U54" i="2" a="1"/>
  <c r="W44" i="2" a="1"/>
  <c r="X54" i="2" a="1"/>
  <c r="K7" i="2" a="1"/>
  <c r="K18" i="2" a="1"/>
  <c r="W10" i="2" a="1"/>
  <c r="V49" i="2" a="1"/>
  <c r="G32" i="2" a="1"/>
  <c r="C39" i="2" a="1"/>
  <c r="C68" i="2" a="1"/>
  <c r="O10" i="2" a="1"/>
  <c r="O62" i="2" a="1"/>
  <c r="AA6" i="2" a="1"/>
  <c r="K62" i="2" a="1"/>
  <c r="W8" i="2" a="1"/>
  <c r="AA32" i="2" a="1"/>
  <c r="S49" i="2" a="1"/>
  <c r="K63" i="2" a="1"/>
  <c r="J49" i="2" a="1"/>
  <c r="O37" i="2" a="1"/>
  <c r="AA11" i="2" a="1"/>
  <c r="S37" i="2" a="1"/>
  <c r="W19" i="2" a="1"/>
  <c r="AA38" i="2" a="1"/>
  <c r="AA8" i="2" a="1"/>
  <c r="K14" i="2" a="1"/>
  <c r="W32" i="2" a="1"/>
  <c r="O15" i="2" a="1"/>
  <c r="C14" i="2" a="1"/>
  <c r="C13" i="2" a="1"/>
  <c r="C8" i="2" a="1"/>
  <c r="S18" i="2" a="1"/>
  <c r="S15" i="2" a="1"/>
  <c r="S11" i="2" a="1"/>
  <c r="AA68" i="2" a="1"/>
  <c r="AA48" i="2" a="1"/>
  <c r="O56" i="2" a="1"/>
  <c r="K46" i="2" a="1"/>
  <c r="K21" i="2" a="1"/>
  <c r="K45" i="2" a="1"/>
  <c r="K48" i="2" a="1"/>
  <c r="K55" i="2" a="1"/>
  <c r="G60" i="2" a="1"/>
  <c r="G13" i="2" a="1"/>
  <c r="G10" i="2" a="1"/>
  <c r="O36" i="2" a="1"/>
  <c r="O28" i="2" a="1"/>
  <c r="O24" i="2" a="1"/>
  <c r="O69" i="2" a="1"/>
  <c r="S27" i="2" a="1"/>
  <c r="S28" i="2" a="1"/>
  <c r="S26" i="2" a="1"/>
  <c r="S23" i="2" a="1"/>
  <c r="W56" i="2" a="1"/>
  <c r="S65" i="2" a="1"/>
  <c r="AA61" i="2" a="1"/>
  <c r="G67" i="2" a="1"/>
  <c r="G56" i="2" a="1"/>
  <c r="K66" i="2" a="1"/>
  <c r="C36" i="2" a="1"/>
  <c r="C45" i="2" a="1"/>
  <c r="C30" i="2" a="1"/>
  <c r="AA34" i="2" a="1"/>
  <c r="AA29" i="2" a="1"/>
  <c r="AA28" i="2" a="1"/>
  <c r="AA35" i="2" a="1"/>
  <c r="W65" i="2" a="1"/>
  <c r="O65" i="2" a="1"/>
  <c r="S53" i="2" a="1"/>
  <c r="S50" i="2" a="1"/>
  <c r="W45" i="2" a="1"/>
  <c r="W28" i="2" a="1"/>
  <c r="W41" i="2" a="1"/>
  <c r="D39" i="2" a="1"/>
  <c r="X37" i="2" a="1"/>
  <c r="G23" i="2" a="1"/>
  <c r="G25" i="2" a="1"/>
  <c r="G27" i="2" a="1"/>
  <c r="G30" i="2" a="1"/>
  <c r="L14" i="2" a="1"/>
  <c r="L12" i="2" a="1"/>
  <c r="L16" i="2" a="1"/>
  <c r="L31" i="2" a="1"/>
  <c r="T37" i="2" a="1"/>
  <c r="H39" i="2" a="1"/>
  <c r="T60" i="2" a="1"/>
  <c r="T8" i="2" a="1"/>
  <c r="T16" i="2" a="1"/>
  <c r="X60" i="2" a="1"/>
  <c r="X9" i="2" a="1"/>
  <c r="X12" i="2" a="1"/>
  <c r="X14" i="2" a="1"/>
  <c r="D53" i="2" a="1"/>
  <c r="D23" i="2" a="1"/>
  <c r="D30" i="2" a="1"/>
  <c r="D34" i="2" a="1"/>
  <c r="D26" i="2" a="1"/>
  <c r="P32" i="2" a="1"/>
  <c r="W69" i="2" a="1"/>
  <c r="G69" i="2" a="1"/>
  <c r="G26" i="2" a="1"/>
  <c r="L11" i="2" a="1"/>
  <c r="T38" i="2" a="1"/>
  <c r="T17" i="2" a="1"/>
  <c r="X11" i="2" a="1"/>
  <c r="D48" i="2" a="1"/>
  <c r="D41" i="2" a="1"/>
  <c r="AB16" i="2" a="1"/>
  <c r="C41" i="2" a="1"/>
  <c r="C34" i="2" a="1"/>
  <c r="AA71" i="2" a="1"/>
  <c r="W70" i="2" a="1"/>
  <c r="D31" i="2" a="1"/>
  <c r="G45" i="2" a="1"/>
  <c r="L63" i="2" a="1"/>
  <c r="L38" i="2" a="1"/>
  <c r="T62" i="2" a="1"/>
  <c r="X16" i="2" a="1"/>
  <c r="D40" i="2" a="1"/>
  <c r="D21" i="2" a="1"/>
  <c r="X39" i="2" a="1"/>
  <c r="L60" i="2" a="1"/>
  <c r="W40" i="2" a="1"/>
  <c r="L39" i="2" a="1"/>
  <c r="X6" i="2" a="1"/>
  <c r="D45" i="2" a="1"/>
  <c r="K61" i="2" a="1"/>
  <c r="C67" i="2" a="1"/>
  <c r="X38" i="2" a="1"/>
  <c r="L19" i="2" a="1"/>
  <c r="X8" i="2" a="1"/>
  <c r="D27" i="2" a="1"/>
  <c r="G41" i="2" a="1"/>
  <c r="C63" i="2" a="1"/>
  <c r="C44" i="2" a="1"/>
  <c r="C6" i="2" a="1"/>
  <c r="S8" i="2" a="1"/>
  <c r="S17" i="2" a="1"/>
  <c r="S6" i="2" a="1"/>
  <c r="AA51" i="2" a="1"/>
  <c r="O50" i="2" a="1"/>
  <c r="O48" i="2" a="1"/>
  <c r="K34" i="2" a="1"/>
  <c r="K30" i="2" a="1"/>
  <c r="K29" i="2" a="1"/>
  <c r="K50" i="2" a="1"/>
  <c r="G14" i="2" a="1"/>
  <c r="G16" i="2" a="1"/>
  <c r="G63" i="2" a="1"/>
  <c r="AA49" i="2" a="1"/>
  <c r="O40" i="2" a="1"/>
  <c r="O21" i="2" a="1"/>
  <c r="O26" i="2" a="1"/>
  <c r="O29" i="2" a="1"/>
  <c r="S36" i="2" a="1"/>
  <c r="S20" i="2" a="1"/>
  <c r="S70" i="2" a="1"/>
  <c r="W53" i="2" a="1"/>
  <c r="W68" i="2" a="1"/>
  <c r="S66" i="2" a="1"/>
  <c r="AA66" i="2" a="1"/>
  <c r="G55" i="2" a="1"/>
  <c r="G53" i="2" a="1"/>
  <c r="C70" i="2" a="1"/>
  <c r="C28" i="2" a="1"/>
  <c r="C46" i="2" a="1"/>
  <c r="C24" i="2" a="1"/>
  <c r="AA45" i="2" a="1"/>
  <c r="AA69" i="2" a="1"/>
  <c r="AA22" i="2" a="1"/>
  <c r="AA27" i="2" a="1"/>
  <c r="W67" i="2" a="1"/>
  <c r="C65" i="2" a="1"/>
  <c r="S48" i="2" a="1"/>
  <c r="W26" i="2" a="1"/>
  <c r="W24" i="2" a="1"/>
  <c r="X32" i="2" a="1"/>
  <c r="G22" i="2" a="1"/>
  <c r="L62" i="2" a="1"/>
  <c r="T14" i="2" a="1"/>
  <c r="AB39" i="2" a="1"/>
  <c r="D28" i="2" a="1"/>
  <c r="G50" i="2" a="1"/>
  <c r="O64" i="2" a="1"/>
  <c r="W33" i="2" a="1"/>
  <c r="G71" i="2" a="1"/>
  <c r="T11" i="2" a="1"/>
  <c r="D56" i="2" a="1"/>
  <c r="P31" i="2" a="1"/>
  <c r="G28" i="2" a="1"/>
  <c r="O23" i="2" a="1"/>
  <c r="G61" i="2" a="1"/>
  <c r="AA41" i="2" a="1"/>
  <c r="W30" i="2" a="1"/>
  <c r="H37" i="2" a="1"/>
  <c r="AB14" i="2" a="1"/>
  <c r="C60" i="2" a="1"/>
  <c r="C15" i="2" a="1"/>
  <c r="C11" i="2" a="1"/>
  <c r="S19" i="2" a="1"/>
  <c r="S62" i="2" a="1"/>
  <c r="S12" i="2" a="1"/>
  <c r="AA53" i="2" a="1"/>
  <c r="O53" i="2" a="1"/>
  <c r="K24" i="2" a="1"/>
  <c r="K70" i="2" a="1"/>
  <c r="K20" i="2" a="1"/>
  <c r="K36" i="2" a="1"/>
  <c r="K68" i="2" a="1"/>
  <c r="G8" i="2" a="1"/>
  <c r="G19" i="2" a="1"/>
  <c r="G7" i="2" a="1"/>
  <c r="AA54" i="2" a="1"/>
  <c r="O27" i="2" a="1"/>
  <c r="O30" i="2" a="1"/>
  <c r="O71" i="2" a="1"/>
  <c r="S22" i="2" a="1"/>
  <c r="S24" i="2" a="1"/>
  <c r="S46" i="2" a="1"/>
  <c r="W55" i="2" a="1"/>
  <c r="O54" i="2" a="1"/>
  <c r="C35" i="2" a="1"/>
  <c r="AA25" i="2" a="1"/>
  <c r="G33" i="2" a="1"/>
  <c r="T15" i="2" a="1"/>
  <c r="W51" i="2" a="1"/>
  <c r="C23" i="2" a="1"/>
  <c r="C26" i="2" a="1"/>
  <c r="AA20" i="2" a="1"/>
  <c r="W61" i="2" a="1"/>
  <c r="C61" i="2" a="1"/>
  <c r="W22" i="2" a="1"/>
  <c r="W71" i="2" a="1"/>
  <c r="L18" i="2" a="1"/>
  <c r="C10" i="2" a="1"/>
  <c r="C7" i="2" a="1"/>
  <c r="C12" i="2" a="1"/>
  <c r="S44" i="2" a="1"/>
  <c r="S7" i="2" a="1"/>
  <c r="S16" i="2" a="1"/>
  <c r="AA50" i="2" a="1"/>
  <c r="O55" i="2" a="1"/>
  <c r="K25" i="2" a="1"/>
  <c r="K41" i="2" a="1"/>
  <c r="K22" i="2" a="1"/>
  <c r="K26" i="2" a="1"/>
  <c r="K56" i="2" a="1"/>
  <c r="G17" i="2" a="1"/>
  <c r="G44" i="2" a="1"/>
  <c r="G62" i="2" a="1"/>
  <c r="C49" i="2" a="1"/>
  <c r="O41" i="2" a="1"/>
  <c r="O70" i="2" a="1"/>
  <c r="O20" i="2" a="1"/>
  <c r="S40" i="2" a="1"/>
  <c r="S35" i="2" a="1"/>
  <c r="S69" i="2" a="1"/>
  <c r="S34" i="2" a="1"/>
  <c r="O49" i="2" a="1"/>
  <c r="AA64" i="2" a="1"/>
  <c r="G65" i="2" a="1"/>
  <c r="G68" i="2" a="1"/>
  <c r="K67" i="2" a="1"/>
  <c r="C20" i="2" a="1"/>
  <c r="C40" i="2" a="1"/>
  <c r="AA70" i="2" a="1"/>
  <c r="AA21" i="2" a="1"/>
  <c r="O61" i="2" a="1"/>
  <c r="S68" i="2" a="1"/>
  <c r="W29" i="2" a="1"/>
  <c r="W36" i="2" a="1"/>
  <c r="G46" i="2" a="1"/>
  <c r="S41" i="2" a="1"/>
  <c r="G48" i="2" a="1"/>
  <c r="C25" i="2" a="1"/>
  <c r="C29" i="2" a="1"/>
  <c r="AA33" i="2" a="1"/>
  <c r="W66" i="2" a="1"/>
  <c r="O66" i="2" a="1"/>
  <c r="S55" i="2" a="1"/>
  <c r="W46" i="2" a="1"/>
  <c r="W35" i="2" a="1"/>
  <c r="C62" i="2" a="1"/>
  <c r="C16" i="2" a="1"/>
  <c r="C17" i="2" a="1"/>
  <c r="S63" i="2" a="1"/>
  <c r="S10" i="2" a="1"/>
  <c r="S14" i="2" a="1"/>
  <c r="AA55" i="2" a="1"/>
  <c r="O51" i="2" a="1"/>
  <c r="K28" i="2" a="1"/>
  <c r="K23" i="2" a="1"/>
  <c r="K35" i="2" a="1"/>
  <c r="K40" i="2" a="1"/>
  <c r="K51" i="2" a="1"/>
  <c r="G18" i="2" a="1"/>
  <c r="G15" i="2" a="1"/>
  <c r="G6" i="2" a="1"/>
  <c r="C54" i="2" a="1"/>
  <c r="O46" i="2" a="1"/>
  <c r="O33" i="2" a="1"/>
  <c r="O25" i="2" a="1"/>
  <c r="S71" i="2" a="1"/>
  <c r="S33" i="2" a="1"/>
  <c r="S45" i="2" a="1"/>
  <c r="W50" i="2" a="1"/>
  <c r="S67" i="2" a="1"/>
  <c r="AA67" i="2" a="1"/>
  <c r="G66" i="2" a="1"/>
  <c r="K64" i="2" a="1"/>
  <c r="C22" i="2" a="1"/>
  <c r="C33" i="2" a="1"/>
  <c r="AA24" i="2" a="1"/>
  <c r="AA26" i="2" a="1"/>
  <c r="C64" i="2" a="1"/>
  <c r="W20" i="2" a="1"/>
  <c r="W23" i="2" a="1"/>
  <c r="D32" i="2" a="1"/>
  <c r="AA65" i="2" a="1"/>
  <c r="C69" i="2" a="1"/>
  <c r="AA23" i="2" a="1"/>
  <c r="W64" i="2" a="1"/>
  <c r="C66" i="2" a="1"/>
  <c r="W25" i="2" a="1"/>
  <c r="W27" i="2" a="1"/>
  <c r="X31" i="2" a="1"/>
  <c r="G24" i="2" a="1"/>
  <c r="L9" i="2" a="1"/>
  <c r="C9" i="2" a="1"/>
  <c r="C19" i="2" a="1"/>
  <c r="C18" i="2" a="1"/>
  <c r="S60" i="2" a="1"/>
  <c r="S13" i="2" a="1"/>
  <c r="S9" i="2" a="1"/>
  <c r="AA56" i="2" a="1"/>
  <c r="O68" i="2" a="1"/>
  <c r="K33" i="2" a="1"/>
  <c r="K71" i="2" a="1"/>
  <c r="K27" i="2" a="1"/>
  <c r="K69" i="2" a="1"/>
  <c r="K53" i="2" a="1"/>
  <c r="G9" i="2" a="1"/>
  <c r="G12" i="2" a="1"/>
  <c r="G11" i="2" a="1"/>
  <c r="O45" i="2" a="1"/>
  <c r="O34" i="2" a="1"/>
  <c r="O35" i="2" a="1"/>
  <c r="O22" i="2" a="1"/>
  <c r="S21" i="2" a="1"/>
  <c r="S25" i="2" a="1"/>
  <c r="S29" i="2" a="1"/>
  <c r="S30" i="2" a="1"/>
  <c r="W48" i="2" a="1"/>
  <c r="S61" i="2" a="1"/>
  <c r="G64" i="2" a="1"/>
  <c r="G51" i="2" a="1"/>
  <c r="K65" i="2" a="1"/>
  <c r="C71" i="2" a="1"/>
  <c r="C21" i="2" a="1"/>
  <c r="AA46" i="2" a="1"/>
  <c r="AA40" i="2" a="1"/>
  <c r="AA30" i="2" a="1"/>
  <c r="O67" i="2" a="1"/>
  <c r="S51" i="2" a="1"/>
  <c r="W34" i="2" a="1"/>
  <c r="D42" i="2" a="1"/>
  <c r="G20" i="2" a="1"/>
  <c r="G35" i="2" a="1"/>
  <c r="G29" i="2" a="1"/>
  <c r="AB7" i="2" a="1"/>
  <c r="D38" i="2" a="1"/>
  <c r="G40" i="2" a="1"/>
  <c r="L17" i="2" a="1"/>
  <c r="H42" i="2" a="1"/>
  <c r="T6" i="2" a="1"/>
  <c r="X7" i="2" a="1"/>
  <c r="D33" i="2" a="1"/>
  <c r="P38" i="2" a="1"/>
  <c r="S64" i="2" a="1"/>
  <c r="C27" i="2" a="1"/>
  <c r="AA36" i="2" a="1"/>
  <c r="S56" i="2" a="1"/>
  <c r="W21" i="2" a="1"/>
  <c r="G36" i="2" a="1"/>
  <c r="L6" i="2" a="1"/>
  <c r="T32" i="2" a="1"/>
  <c r="X44" i="2" a="1"/>
  <c r="AB38" i="2" a="1"/>
  <c r="D29" i="2" a="1"/>
  <c r="D37" i="2" a="1"/>
  <c r="L10" i="2" a="1"/>
  <c r="X42" i="2" a="1"/>
  <c r="H54" i="2" a="1"/>
  <c r="T13" i="2" a="1"/>
  <c r="X19" i="2" a="1"/>
  <c r="D20" i="2" a="1"/>
  <c r="AB15" i="2" a="1"/>
  <c r="G70" i="2" a="1"/>
  <c r="H49" i="2" a="1"/>
  <c r="T19" i="2" a="1"/>
  <c r="AB37" i="2" a="1"/>
  <c r="D36" i="2" a="1"/>
  <c r="G21" i="2" a="1"/>
  <c r="T31" i="2" a="1"/>
  <c r="T12" i="2" a="1"/>
  <c r="AB32" i="2" a="1"/>
  <c r="T42" i="2" a="1"/>
  <c r="AB42" i="2" a="1"/>
  <c r="L44" i="2" a="1"/>
  <c r="T10" i="2" a="1"/>
  <c r="D22" i="2" a="1"/>
  <c r="H32" i="2" a="1"/>
  <c r="D51" i="2" a="1"/>
  <c r="L15" i="2" a="1"/>
  <c r="X18" i="2" a="1"/>
  <c r="D35" i="2" a="1"/>
  <c r="L7" i="2" a="1"/>
  <c r="D68" i="2" a="1"/>
  <c r="L13" i="2" a="1"/>
  <c r="X63" i="2" a="1"/>
  <c r="D55" i="2" a="1"/>
  <c r="T44" i="2" a="1"/>
  <c r="X15" i="2" a="1"/>
  <c r="P39" i="2" a="1"/>
  <c r="L32" i="2" a="1"/>
  <c r="X10" i="2" a="1"/>
  <c r="D25" i="2" a="1"/>
  <c r="L42" i="2" a="1"/>
  <c r="T9" i="2" a="1"/>
  <c r="X62" i="2" a="1"/>
  <c r="D69" i="2" a="1"/>
  <c r="T54" i="2" a="1"/>
  <c r="D46" i="2" a="1"/>
  <c r="G34" i="2" a="1"/>
  <c r="T63" i="2" a="1"/>
  <c r="D70" i="2" a="1"/>
  <c r="T39" i="2" a="1"/>
  <c r="AB31" i="2" a="1"/>
  <c r="L8" i="2" a="1"/>
  <c r="X13" i="2" a="1"/>
  <c r="D71" i="2" a="1"/>
  <c r="H31" i="2" a="1"/>
  <c r="D50" i="2" a="1"/>
  <c r="H38" i="2" a="1"/>
  <c r="X17" i="2" a="1"/>
  <c r="P42" i="2" a="1"/>
  <c r="T18" i="2" a="1"/>
  <c r="P37" i="2" a="1"/>
  <c r="L37" i="2" a="1"/>
  <c r="D24" i="2" a="1"/>
  <c r="T7" i="2" a="1"/>
  <c r="T49" i="2" a="1"/>
  <c r="AB11" i="2" a="1"/>
  <c r="AB19" i="2" a="1"/>
  <c r="AB13" i="2" a="1"/>
  <c r="L55" i="2" a="1"/>
  <c r="P68" i="2" a="1"/>
  <c r="D19" i="2" a="1"/>
  <c r="D60" i="2" a="1"/>
  <c r="D44" i="2" a="1"/>
  <c r="X48" i="2" a="1"/>
  <c r="X68" i="2" a="1"/>
  <c r="P60" i="2" a="1"/>
  <c r="P17" i="2" a="1"/>
  <c r="P12" i="2" a="1"/>
  <c r="AB56" i="2" a="1"/>
  <c r="H62" i="2" a="1"/>
  <c r="H15" i="2" a="1"/>
  <c r="H9" i="2" a="1"/>
  <c r="L64" i="2" a="1"/>
  <c r="P49" i="2" a="1"/>
  <c r="H67" i="2" a="1"/>
  <c r="L25" i="2" a="1"/>
  <c r="L20" i="2" a="1"/>
  <c r="L69" i="2" a="1"/>
  <c r="L29" i="2" a="1"/>
  <c r="AB34" i="2" a="1"/>
  <c r="AB25" i="2" a="1"/>
  <c r="AB23" i="2" a="1"/>
  <c r="AC33" i="2" a="1"/>
  <c r="AC24" i="2" a="1"/>
  <c r="AC45" i="2" a="1"/>
  <c r="AC30" i="2" a="1"/>
  <c r="P71" i="2" a="1"/>
  <c r="P35" i="2" a="1"/>
  <c r="P23" i="2" a="1"/>
  <c r="P25" i="2" a="1"/>
  <c r="T34" i="2" a="1"/>
  <c r="T71" i="2" a="1"/>
  <c r="T28" i="2" a="1"/>
  <c r="X69" i="2" a="1"/>
  <c r="X34" i="2" a="1"/>
  <c r="X33" i="2" a="1"/>
  <c r="X29" i="2" a="1"/>
  <c r="T65" i="2" a="1"/>
  <c r="H69" i="2" a="1"/>
  <c r="H26" i="2" a="1"/>
  <c r="H24" i="2" a="1"/>
  <c r="H51" i="2" a="1"/>
  <c r="H48" i="2" a="1"/>
  <c r="T53" i="2" a="1"/>
  <c r="T48" i="2" a="1"/>
  <c r="P61" i="2" a="1"/>
  <c r="I42" i="2" a="1"/>
  <c r="Q42" i="2" a="1"/>
  <c r="I60" i="2" a="1"/>
  <c r="I18" i="2" a="1"/>
  <c r="I15" i="2" a="1"/>
  <c r="E31" i="2" a="1"/>
  <c r="U17" i="2" a="1"/>
  <c r="U8" i="2" a="1"/>
  <c r="U15" i="2" a="1"/>
  <c r="I51" i="2" a="1"/>
  <c r="AC31" i="2" a="1"/>
  <c r="E19" i="2" a="1"/>
  <c r="E15" i="2" a="1"/>
  <c r="E10" i="2" a="1"/>
  <c r="AC23" i="2" a="1"/>
  <c r="T70" i="2" a="1"/>
  <c r="X20" i="2" a="1"/>
  <c r="H33" i="2" a="1"/>
  <c r="X65" i="2" a="1"/>
  <c r="I44" i="2" a="1"/>
  <c r="U16" i="2" a="1"/>
  <c r="AC38" i="2" a="1"/>
  <c r="H63" i="2" a="1"/>
  <c r="AC21" i="2" a="1"/>
  <c r="T21" i="2" a="1"/>
  <c r="H71" i="2" a="1"/>
  <c r="P65" i="2" a="1"/>
  <c r="U6" i="2" a="1"/>
  <c r="D65" i="2" a="1"/>
  <c r="P34" i="2" a="1"/>
  <c r="H46" i="2" a="1"/>
  <c r="Q39" i="2" a="1"/>
  <c r="AC37" i="2" a="1"/>
  <c r="P33" i="2" a="1"/>
  <c r="AC69" i="2" a="1"/>
  <c r="T20" i="2" a="1"/>
  <c r="X24" i="2" a="1"/>
  <c r="H41" i="2" a="1"/>
  <c r="AB66" i="2" a="1"/>
  <c r="I31" i="2" a="1"/>
  <c r="I13" i="2" a="1"/>
  <c r="I55" i="2" a="1"/>
  <c r="E44" i="2" a="1"/>
  <c r="L67" i="2" a="1"/>
  <c r="P21" i="2" a="1"/>
  <c r="X41" i="2" a="1"/>
  <c r="X67" i="2" a="1"/>
  <c r="U60" i="2" a="1"/>
  <c r="E60" i="2" a="1"/>
  <c r="L33" i="2" a="1"/>
  <c r="P28" i="2" a="1"/>
  <c r="X30" i="2" a="1"/>
  <c r="P67" i="2" a="1"/>
  <c r="U32" i="2" a="1"/>
  <c r="P70" i="2" a="1"/>
  <c r="AB8" i="2" a="1"/>
  <c r="AB62" i="2" a="1"/>
  <c r="AB18" i="2" a="1"/>
  <c r="L48" i="2" a="1"/>
  <c r="P50" i="2" a="1"/>
  <c r="D63" i="2" a="1"/>
  <c r="D15" i="2" a="1"/>
  <c r="D17" i="2" a="1"/>
  <c r="X53" i="2" a="1"/>
  <c r="P11" i="2" a="1"/>
  <c r="P7" i="2" a="1"/>
  <c r="P10" i="2" a="1"/>
  <c r="D54" i="2" a="1"/>
  <c r="AB55" i="2" a="1"/>
  <c r="H7" i="2" a="1"/>
  <c r="H17" i="2" a="1"/>
  <c r="H44" i="2" a="1"/>
  <c r="L61" i="2" a="1"/>
  <c r="D61" i="2" a="1"/>
  <c r="H66" i="2" a="1"/>
  <c r="L36" i="2" a="1"/>
  <c r="L22" i="2" a="1"/>
  <c r="L40" i="2" a="1"/>
  <c r="AB40" i="2" a="1"/>
  <c r="AB71" i="2" a="1"/>
  <c r="AB20" i="2" a="1"/>
  <c r="AB45" i="2" a="1"/>
  <c r="AC26" i="2" a="1"/>
  <c r="P26" i="2" a="1"/>
  <c r="P29" i="2" a="1"/>
  <c r="P69" i="2" a="1"/>
  <c r="T36" i="2" a="1"/>
  <c r="X23" i="2" a="1"/>
  <c r="X26" i="2" a="1"/>
  <c r="H21" i="2" a="1"/>
  <c r="T51" i="2" a="1"/>
  <c r="Q38" i="2" a="1"/>
  <c r="E37" i="2" a="1"/>
  <c r="U9" i="2" a="1"/>
  <c r="E13" i="2" a="1"/>
  <c r="D66" i="2" a="1"/>
  <c r="AC20" i="2" a="1"/>
  <c r="X21" i="2" a="1"/>
  <c r="H68" i="2" a="1"/>
  <c r="I12" i="2" a="1"/>
  <c r="E18" i="2" a="1"/>
  <c r="L70" i="2" a="1"/>
  <c r="P36" i="2" a="1"/>
  <c r="T67" i="2" a="1"/>
  <c r="I32" i="2" a="1"/>
  <c r="I48" i="2" a="1"/>
  <c r="P45" i="2" a="1"/>
  <c r="P14" i="2" a="1"/>
  <c r="L21" i="2" a="1"/>
  <c r="AB30" i="2" a="1"/>
  <c r="AC36" i="2" a="1"/>
  <c r="P40" i="2" a="1"/>
  <c r="T22" i="2" a="1"/>
  <c r="X27" i="2" a="1"/>
  <c r="H35" i="2" a="1"/>
  <c r="AB67" i="2" a="1"/>
  <c r="Q37" i="2" a="1"/>
  <c r="I11" i="2" a="1"/>
  <c r="I56" i="2" a="1"/>
  <c r="U42" i="2" a="1"/>
  <c r="H11" i="2" a="1"/>
  <c r="L27" i="2" a="1"/>
  <c r="AB33" i="2" a="1"/>
  <c r="AC46" i="2" a="1"/>
  <c r="P41" i="2" a="1"/>
  <c r="T23" i="2" a="1"/>
  <c r="X71" i="2" a="1"/>
  <c r="H28" i="2" a="1"/>
  <c r="X66" i="2" a="1"/>
  <c r="I8" i="2" a="1"/>
  <c r="E32" i="2" a="1"/>
  <c r="U13" i="2" a="1"/>
  <c r="E8" i="2" a="1"/>
  <c r="AB24" i="2" a="1"/>
  <c r="T45" i="2" a="1"/>
  <c r="AB44" i="2" a="1"/>
  <c r="AB17" i="2" a="1"/>
  <c r="L56" i="2" a="1"/>
  <c r="L68" i="2" a="1"/>
  <c r="P48" i="2" a="1"/>
  <c r="D6" i="2" a="1"/>
  <c r="D10" i="2" a="1"/>
  <c r="D13" i="2" a="1"/>
  <c r="X56" i="2" a="1"/>
  <c r="P15" i="2" a="1"/>
  <c r="P63" i="2" a="1"/>
  <c r="D49" i="2" a="1"/>
  <c r="AB68" i="2" a="1"/>
  <c r="H60" i="2" a="1"/>
  <c r="H61" i="2" a="1"/>
  <c r="L24" i="2" a="1"/>
  <c r="L30" i="2" a="1"/>
  <c r="AB35" i="2" a="1"/>
  <c r="AB70" i="2" a="1"/>
  <c r="AC40" i="2" a="1"/>
  <c r="P46" i="2" a="1"/>
  <c r="T41" i="2" a="1"/>
  <c r="X22" i="2" a="1"/>
  <c r="H25" i="2" a="1"/>
  <c r="T56" i="2" a="1"/>
  <c r="I62" i="2" a="1"/>
  <c r="E42" i="2" a="1"/>
  <c r="U31" i="2" a="1"/>
  <c r="E16" i="2" a="1"/>
  <c r="H18" i="2" a="1"/>
  <c r="AB27" i="2" a="1"/>
  <c r="AB21" i="2" a="1"/>
  <c r="AC70" i="2" a="1"/>
  <c r="T25" i="2" a="1"/>
  <c r="T24" i="2" a="1"/>
  <c r="X70" i="2" a="1"/>
  <c r="H56" i="2" a="1"/>
  <c r="T68" i="2" a="1"/>
  <c r="I17" i="2" a="1"/>
  <c r="U10" i="2" a="1"/>
  <c r="U12" i="2" a="1"/>
  <c r="E9" i="2" a="1"/>
  <c r="AB26" i="2" a="1"/>
  <c r="T30" i="2" a="1"/>
  <c r="X40" i="2" a="1"/>
  <c r="AB53" i="2" a="1"/>
  <c r="H27" i="2" a="1"/>
  <c r="AB60" i="2" a="1"/>
  <c r="AB12" i="2" a="1"/>
  <c r="L51" i="2" a="1"/>
  <c r="P51" i="2" a="1"/>
  <c r="P53" i="2" a="1"/>
  <c r="D7" i="2" a="1"/>
  <c r="D12" i="2" a="1"/>
  <c r="D18" i="2" a="1"/>
  <c r="X55" i="2" a="1"/>
  <c r="P44" i="2" a="1"/>
  <c r="P13" i="2" a="1"/>
  <c r="P18" i="2" a="1"/>
  <c r="AB50" i="2" a="1"/>
  <c r="H12" i="2" a="1"/>
  <c r="L41" i="2" a="1"/>
  <c r="AB29" i="2" a="1"/>
  <c r="T33" i="2" a="1"/>
  <c r="AB61" i="2" a="1"/>
  <c r="E12" i="2" a="1"/>
  <c r="AB48" i="2" a="1"/>
  <c r="L35" i="2" a="1"/>
  <c r="L28" i="2" a="1"/>
  <c r="AB28" i="2" a="1"/>
  <c r="AC34" i="2" a="1"/>
  <c r="T27" i="2" a="1"/>
  <c r="AB6" i="2" a="1"/>
  <c r="AB10" i="2" a="1"/>
  <c r="L50" i="2" a="1"/>
  <c r="P56" i="2" a="1"/>
  <c r="D8" i="2" a="1"/>
  <c r="D9" i="2" a="1"/>
  <c r="D11" i="2" a="1"/>
  <c r="AB49" i="2" a="1"/>
  <c r="X50" i="2" a="1"/>
  <c r="P8" i="2" a="1"/>
  <c r="P6" i="2" a="1"/>
  <c r="P16" i="2" a="1"/>
  <c r="H19" i="2" a="1"/>
  <c r="H10" i="2" a="1"/>
  <c r="H6" i="2" a="1"/>
  <c r="L66" i="2" a="1"/>
  <c r="P54" i="2" a="1"/>
  <c r="H64" i="2" a="1"/>
  <c r="L46" i="2" a="1"/>
  <c r="L23" i="2" a="1"/>
  <c r="AB41" i="2" a="1"/>
  <c r="AC29" i="2" a="1"/>
  <c r="T40" i="2" a="1"/>
  <c r="H16" i="2" a="1"/>
  <c r="L34" i="2" a="1"/>
  <c r="L45" i="2" a="1"/>
  <c r="AB36" i="2" a="1"/>
  <c r="AC22" i="2" a="1"/>
  <c r="AC28" i="2" a="1"/>
  <c r="P27" i="2" a="1"/>
  <c r="AB63" i="2" a="1"/>
  <c r="AB9" i="2" a="1"/>
  <c r="L53" i="2" a="1"/>
  <c r="P55" i="2" a="1"/>
  <c r="D14" i="2" a="1"/>
  <c r="D16" i="2" a="1"/>
  <c r="D62" i="2" a="1"/>
  <c r="AB54" i="2" a="1"/>
  <c r="X51" i="2" a="1"/>
  <c r="P62" i="2" a="1"/>
  <c r="P19" i="2" a="1"/>
  <c r="P9" i="2" a="1"/>
  <c r="AB51" i="2" a="1"/>
  <c r="H14" i="2" a="1"/>
  <c r="H8" i="2" a="1"/>
  <c r="L65" i="2" a="1"/>
  <c r="D67" i="2" a="1"/>
  <c r="H65" i="2" a="1"/>
  <c r="L26" i="2" a="1"/>
  <c r="L71" i="2" a="1"/>
  <c r="AB46" i="2" a="1"/>
  <c r="AB69" i="2" a="1"/>
  <c r="AC27" i="2" a="1"/>
  <c r="AC25" i="2" a="1"/>
  <c r="AC32" i="2" a="1"/>
  <c r="AC35" i="2" a="1"/>
  <c r="T35" i="2" a="1"/>
  <c r="T61" i="2" a="1"/>
  <c r="H55" i="2" a="1"/>
  <c r="P66" i="2" a="1"/>
  <c r="I6" i="2" a="1"/>
  <c r="U14" i="2" a="1"/>
  <c r="U38" i="2" a="1"/>
  <c r="E6" i="2" a="1"/>
  <c r="H13" i="2" a="1"/>
  <c r="AB22" i="2" a="1"/>
  <c r="T26" i="2" a="1"/>
  <c r="H20" i="2" a="1"/>
  <c r="I39" i="2" a="1"/>
  <c r="U63" i="2" a="1"/>
  <c r="D64" i="2" a="1"/>
  <c r="AC41" i="2" a="1"/>
  <c r="H30" i="2" a="1"/>
  <c r="I16" i="2" a="1"/>
  <c r="AC71" i="2" a="1"/>
  <c r="P24" i="2" a="1"/>
  <c r="X35" i="2" a="1"/>
  <c r="H53" i="2" a="1"/>
  <c r="I19" i="2" a="1"/>
  <c r="U44" i="2" a="1"/>
  <c r="E11" i="2" a="1"/>
  <c r="P20" i="2" a="1"/>
  <c r="T64" i="2" a="1"/>
  <c r="AB65" i="2" a="1"/>
  <c r="I9" i="2" a="1"/>
  <c r="U18" i="2" a="1"/>
  <c r="E62" i="2" a="1"/>
  <c r="P22" i="2" a="1"/>
  <c r="T66" i="2" a="1"/>
  <c r="AB64" i="2" a="1"/>
  <c r="I7" i="2" a="1"/>
  <c r="I50" i="2" a="1"/>
  <c r="E7" i="2" a="1"/>
  <c r="H23" i="2" a="1"/>
  <c r="I10" i="2" a="1"/>
  <c r="T46" i="2" a="1"/>
  <c r="T50" i="2" a="1"/>
  <c r="H34" i="2" a="1"/>
  <c r="I63" i="2" a="1"/>
  <c r="H22" i="2" a="1"/>
  <c r="AC42" i="2" a="1"/>
  <c r="E38" i="2" a="1"/>
  <c r="H40" i="2" a="1"/>
  <c r="E14" i="2" a="1"/>
  <c r="I53" i="2" a="1"/>
  <c r="T69" i="2" a="1"/>
  <c r="H45" i="2" a="1"/>
  <c r="U62" i="2" a="1"/>
  <c r="U39" i="2" a="1"/>
  <c r="I37" i="2" a="1"/>
  <c r="H36" i="2" a="1"/>
  <c r="U7" i="2" a="1"/>
  <c r="I14" i="2" a="1"/>
  <c r="X61" i="2" a="1"/>
  <c r="E39" i="2" a="1"/>
  <c r="P64" i="2" a="1"/>
  <c r="I38" i="2" a="1"/>
  <c r="U11" i="2" a="1"/>
  <c r="X28" i="2" a="1"/>
  <c r="E63" i="2" a="1"/>
  <c r="X25" i="2" a="1"/>
  <c r="H70" i="2" a="1"/>
  <c r="X45" i="2" a="1"/>
  <c r="H50" i="2" a="1"/>
  <c r="Q32" i="2" a="1"/>
  <c r="U19" i="2" a="1"/>
  <c r="E17" i="2" a="1"/>
  <c r="P30" i="2" a="1"/>
  <c r="T55" i="2" a="1"/>
  <c r="I68" i="2" a="1"/>
  <c r="H29" i="2" a="1"/>
  <c r="T29" i="2" a="1"/>
  <c r="X64" i="2" a="1"/>
  <c r="AC39" i="2" a="1"/>
  <c r="X36" i="2" a="1"/>
  <c r="U37" i="2" a="1"/>
  <c r="X46" i="2" a="1"/>
  <c r="Q31" i="2" a="1"/>
  <c r="M39" i="2" a="1"/>
  <c r="M53" i="2" a="1"/>
  <c r="M50" i="2" a="1"/>
  <c r="AC49" i="2" a="1"/>
  <c r="Y31" i="2" a="1"/>
  <c r="Y55" i="2" a="1"/>
  <c r="U48" i="2" a="1"/>
  <c r="Y49" i="2" a="1"/>
  <c r="Y19" i="2" a="1"/>
  <c r="Y11" i="2" a="1"/>
  <c r="Y10" i="2" a="1"/>
  <c r="U29" i="2" a="1"/>
  <c r="U71" i="2" a="1"/>
  <c r="U46" i="2" a="1"/>
  <c r="M6" i="2" a="1"/>
  <c r="M19" i="2" a="1"/>
  <c r="M11" i="2" a="1"/>
  <c r="M70" i="2" a="1"/>
  <c r="M24" i="2" a="1"/>
  <c r="M35" i="2" a="1"/>
  <c r="M20" i="2" a="1"/>
  <c r="AC12" i="2" a="1"/>
  <c r="AC63" i="2" a="1"/>
  <c r="AC7" i="2" a="1"/>
  <c r="I45" i="2" a="1"/>
  <c r="I34" i="2" a="1"/>
  <c r="I20" i="2" a="1"/>
  <c r="I28" i="2" a="1"/>
  <c r="Q61" i="2" a="1"/>
  <c r="Q14" i="2" a="1"/>
  <c r="Q9" i="2" a="1"/>
  <c r="Q15" i="2" a="1"/>
  <c r="Y34" i="2" a="1"/>
  <c r="Y40" i="2" a="1"/>
  <c r="Y36" i="2" a="1"/>
  <c r="Q28" i="2" a="1"/>
  <c r="Q46" i="2" a="1"/>
  <c r="Q23" i="2" a="1"/>
  <c r="Q26" i="2" a="1"/>
  <c r="E61" i="2" a="1"/>
  <c r="M64" i="2" a="1"/>
  <c r="E70" i="2" a="1"/>
  <c r="E21" i="2" a="1"/>
  <c r="E71" i="2" a="1"/>
  <c r="V14" i="2" a="1"/>
  <c r="V44" i="2" a="1"/>
  <c r="V12" i="2" a="1"/>
  <c r="Y61" i="2" a="1"/>
  <c r="AC61" i="2" a="1"/>
  <c r="E51" i="2" a="1"/>
  <c r="I61" i="2" a="1"/>
  <c r="AC56" i="2" a="1"/>
  <c r="Q68" i="2" a="1"/>
  <c r="U61" i="2" a="1"/>
  <c r="J6" i="2" a="1"/>
  <c r="F42" i="2" a="1"/>
  <c r="N55" i="2" a="1"/>
  <c r="I64" i="2" a="1"/>
  <c r="Q51" i="2" a="1"/>
  <c r="J14" i="2" a="1"/>
  <c r="J11" i="2" a="1"/>
  <c r="J39" i="2" a="1"/>
  <c r="V31" i="2" a="1"/>
  <c r="J7" i="2" a="1"/>
  <c r="N53" i="2" a="1"/>
  <c r="M38" i="2" a="1"/>
  <c r="M48" i="2" a="1"/>
  <c r="Q49" i="2" a="1"/>
  <c r="Y42" i="2" a="1"/>
  <c r="Y48" i="2" a="1"/>
  <c r="Y68" i="2" a="1"/>
  <c r="U56" i="2" a="1"/>
  <c r="Y17" i="2" a="1"/>
  <c r="Y16" i="2" a="1"/>
  <c r="Y13" i="2" a="1"/>
  <c r="U20" i="2" a="1"/>
  <c r="U30" i="2" a="1"/>
  <c r="U36" i="2" a="1"/>
  <c r="U34" i="2" a="1"/>
  <c r="M62" i="2" a="1"/>
  <c r="M13" i="2" a="1"/>
  <c r="M16" i="2" a="1"/>
  <c r="M27" i="2" a="1"/>
  <c r="M33" i="2" a="1"/>
  <c r="M21" i="2" a="1"/>
  <c r="M29" i="2" a="1"/>
  <c r="AC44" i="2" a="1"/>
  <c r="AC10" i="2" a="1"/>
  <c r="AC17" i="2" a="1"/>
  <c r="I40" i="2" a="1"/>
  <c r="I69" i="2" a="1"/>
  <c r="I26" i="2" a="1"/>
  <c r="I33" i="2" a="1"/>
  <c r="Q65" i="2" a="1"/>
  <c r="Q60" i="2" a="1"/>
  <c r="Q19" i="2" a="1"/>
  <c r="Q7" i="2" a="1"/>
  <c r="Y22" i="2" a="1"/>
  <c r="Y70" i="2" a="1"/>
  <c r="Y45" i="2" a="1"/>
  <c r="Q40" i="2" a="1"/>
  <c r="Q34" i="2" a="1"/>
  <c r="Q35" i="2" a="1"/>
  <c r="Q20" i="2" a="1"/>
  <c r="E64" i="2" a="1"/>
  <c r="M65" i="2" a="1"/>
  <c r="E45" i="2" a="1"/>
  <c r="E40" i="2" a="1"/>
  <c r="E46" i="2" a="1"/>
  <c r="V16" i="2" a="1"/>
  <c r="V6" i="2" a="1"/>
  <c r="V60" i="2" a="1"/>
  <c r="Y64" i="2" a="1"/>
  <c r="AC64" i="2" a="1"/>
  <c r="E50" i="2" a="1"/>
  <c r="R38" i="2" a="1"/>
  <c r="AC50" i="2" a="1"/>
  <c r="U66" i="2" a="1"/>
  <c r="J18" i="2" a="1"/>
  <c r="F39" i="2" a="1"/>
  <c r="N51" i="2" a="1"/>
  <c r="AD38" i="2" a="1"/>
  <c r="Z38" i="2" a="1"/>
  <c r="J32" i="2" a="1"/>
  <c r="E34" i="2" a="1"/>
  <c r="V9" i="2" a="1"/>
  <c r="AC65" i="2" a="1"/>
  <c r="I65" i="2" a="1"/>
  <c r="R31" i="2" a="1"/>
  <c r="Q56" i="2" a="1"/>
  <c r="J12" i="2" a="1"/>
  <c r="F38" i="2" a="1"/>
  <c r="M37" i="2" a="1"/>
  <c r="M55" i="2" a="1"/>
  <c r="Q54" i="2" a="1"/>
  <c r="Y37" i="2" a="1"/>
  <c r="Y50" i="2" a="1"/>
  <c r="E49" i="2" a="1"/>
  <c r="U53" i="2" a="1"/>
  <c r="Y60" i="2" a="1"/>
  <c r="Y7" i="2" a="1"/>
  <c r="Y8" i="2" a="1"/>
  <c r="U40" i="2" a="1"/>
  <c r="U41" i="2" a="1"/>
  <c r="U25" i="2" a="1"/>
  <c r="U27" i="2" a="1"/>
  <c r="M15" i="2" a="1"/>
  <c r="M9" i="2" a="1"/>
  <c r="M12" i="2" a="1"/>
  <c r="M40" i="2" a="1"/>
  <c r="M25" i="2" a="1"/>
  <c r="M45" i="2" a="1"/>
  <c r="M69" i="2" a="1"/>
  <c r="AC18" i="2" a="1"/>
  <c r="AC62" i="2" a="1"/>
  <c r="AC60" i="2" a="1"/>
  <c r="I30" i="2" a="1"/>
  <c r="I36" i="2" a="1"/>
  <c r="I71" i="2" a="1"/>
  <c r="I29" i="2" a="1"/>
  <c r="Q10" i="2" a="1"/>
  <c r="Q63" i="2" a="1"/>
  <c r="Q44" i="2" a="1"/>
  <c r="Y28" i="2" a="1"/>
  <c r="Y25" i="2" a="1"/>
  <c r="Y23" i="2" a="1"/>
  <c r="Y29" i="2" a="1"/>
  <c r="Q36" i="2" a="1"/>
  <c r="Q45" i="2" a="1"/>
  <c r="Q33" i="2" a="1"/>
  <c r="Q70" i="2" a="1"/>
  <c r="E67" i="2" a="1"/>
  <c r="E25" i="2" a="1"/>
  <c r="E24" i="2" a="1"/>
  <c r="E26" i="2" a="1"/>
  <c r="V13" i="2" a="1"/>
  <c r="V19" i="2" a="1"/>
  <c r="Y67" i="2" a="1"/>
  <c r="E53" i="2" a="1"/>
  <c r="AC48" i="2" a="1"/>
  <c r="U65" i="2" a="1"/>
  <c r="J63" i="2" a="1"/>
  <c r="V18" i="2" a="1"/>
  <c r="I67" i="2" a="1"/>
  <c r="AC53" i="2" a="1"/>
  <c r="U64" i="2" a="1"/>
  <c r="J44" i="2" a="1"/>
  <c r="J31" i="2" a="1"/>
  <c r="N56" i="2" a="1"/>
  <c r="M32" i="2" a="1"/>
  <c r="M51" i="2" a="1"/>
  <c r="F49" i="2" a="1"/>
  <c r="Y39" i="2" a="1"/>
  <c r="Y51" i="2" a="1"/>
  <c r="E54" i="2" a="1"/>
  <c r="U55" i="2" a="1"/>
  <c r="Y9" i="2" a="1"/>
  <c r="Y63" i="2" a="1"/>
  <c r="Y15" i="2" a="1"/>
  <c r="U35" i="2" a="1"/>
  <c r="U69" i="2" a="1"/>
  <c r="U28" i="2" a="1"/>
  <c r="U33" i="2" a="1"/>
  <c r="M60" i="2" a="1"/>
  <c r="M14" i="2" a="1"/>
  <c r="M7" i="2" a="1"/>
  <c r="M46" i="2" a="1"/>
  <c r="M23" i="2" a="1"/>
  <c r="M28" i="2" a="1"/>
  <c r="AC8" i="2" a="1"/>
  <c r="AC15" i="2" a="1"/>
  <c r="AC13" i="2" a="1"/>
  <c r="M54" i="2" a="1"/>
  <c r="I70" i="2" a="1"/>
  <c r="I23" i="2" a="1"/>
  <c r="I35" i="2" a="1"/>
  <c r="Q66" i="2" a="1"/>
  <c r="Q17" i="2" a="1"/>
  <c r="Q12" i="2" a="1"/>
  <c r="Q13" i="2" a="1"/>
  <c r="Y30" i="2" a="1"/>
  <c r="Y33" i="2" a="1"/>
  <c r="Y21" i="2" a="1"/>
  <c r="Y26" i="2" a="1"/>
  <c r="Q22" i="2" a="1"/>
  <c r="Q30" i="2" a="1"/>
  <c r="Q27" i="2" a="1"/>
  <c r="Q69" i="2" a="1"/>
  <c r="M61" i="2" a="1"/>
  <c r="E33" i="2" a="1"/>
  <c r="E30" i="2" a="1"/>
  <c r="E29" i="2" a="1"/>
  <c r="E69" i="2" a="1"/>
  <c r="V62" i="2" a="1"/>
  <c r="V17" i="2" a="1"/>
  <c r="Y66" i="2" a="1"/>
  <c r="AC67" i="2" a="1"/>
  <c r="E48" i="2" a="1"/>
  <c r="R42" i="2" a="1"/>
  <c r="Q53" i="2" a="1"/>
  <c r="J19" i="2" a="1"/>
  <c r="J8" i="2" a="1"/>
  <c r="F37" i="2" a="1"/>
  <c r="AD32" i="2" a="1"/>
  <c r="M31" i="2" a="1"/>
  <c r="M56" i="2" a="1"/>
  <c r="F54" i="2" a="1"/>
  <c r="Y38" i="2" a="1"/>
  <c r="Y53" i="2" a="1"/>
  <c r="U51" i="2" a="1"/>
  <c r="U68" i="2" a="1"/>
  <c r="Y6" i="2" a="1"/>
  <c r="Y12" i="2" a="1"/>
  <c r="Y62" i="2" a="1"/>
  <c r="U70" i="2" a="1"/>
  <c r="U21" i="2" a="1"/>
  <c r="U24" i="2" a="1"/>
  <c r="U22" i="2" a="1"/>
  <c r="M8" i="2" a="1"/>
  <c r="M10" i="2" a="1"/>
  <c r="M63" i="2" a="1"/>
  <c r="M34" i="2" a="1"/>
  <c r="M22" i="2" a="1"/>
  <c r="M26" i="2" a="1"/>
  <c r="AC19" i="2" a="1"/>
  <c r="AC6" i="2" a="1"/>
  <c r="AC11" i="2" a="1"/>
  <c r="M49" i="2" a="1"/>
  <c r="I24" i="2" a="1"/>
  <c r="I41" i="2" a="1"/>
  <c r="I21" i="2" a="1"/>
  <c r="Q67" i="2" a="1"/>
  <c r="Q18" i="2" a="1"/>
  <c r="Q6" i="2" a="1"/>
  <c r="Q16" i="2" a="1"/>
  <c r="Y20" i="2" a="1"/>
  <c r="Y27" i="2" a="1"/>
  <c r="Y69" i="2" a="1"/>
  <c r="Y41" i="2" a="1"/>
  <c r="Q21" i="2" a="1"/>
  <c r="Q71" i="2" a="1"/>
  <c r="Q29" i="2" a="1"/>
  <c r="E66" i="2" a="1"/>
  <c r="M66" i="2" a="1"/>
  <c r="E28" i="2" a="1"/>
  <c r="E23" i="2" a="1"/>
  <c r="E27" i="2" a="1"/>
  <c r="E36" i="2" a="1"/>
  <c r="V15" i="2" a="1"/>
  <c r="V11" i="2" a="1"/>
  <c r="V8" i="2" a="1"/>
  <c r="Y65" i="2" a="1"/>
  <c r="E55" i="2" a="1"/>
  <c r="E68" i="2" a="1"/>
  <c r="R37" i="2" a="1"/>
  <c r="AC68" i="2" a="1"/>
  <c r="AC55" i="2" a="1"/>
  <c r="Q50" i="2" a="1"/>
  <c r="U67" i="2" a="1"/>
  <c r="J13" i="2" a="1"/>
  <c r="J60" i="2" a="1"/>
  <c r="J62" i="2" a="1"/>
  <c r="F31" i="2" a="1"/>
  <c r="J37" i="2" a="1"/>
  <c r="N50" i="2" a="1"/>
  <c r="V39" i="2" a="1"/>
  <c r="Z31" i="2" a="1"/>
  <c r="M42" i="2" a="1"/>
  <c r="M68" i="2" a="1"/>
  <c r="AC54" i="2" a="1"/>
  <c r="Y32" i="2" a="1"/>
  <c r="Y56" i="2" a="1"/>
  <c r="U50" i="2" a="1"/>
  <c r="Y54" i="2" a="1"/>
  <c r="Y44" i="2" a="1"/>
  <c r="Y14" i="2" a="1"/>
  <c r="Y18" i="2" a="1"/>
  <c r="U45" i="2" a="1"/>
  <c r="U26" i="2" a="1"/>
  <c r="U23" i="2" a="1"/>
  <c r="M17" i="2" a="1"/>
  <c r="M44" i="2" a="1"/>
  <c r="M18" i="2" a="1"/>
  <c r="M71" i="2" a="1"/>
  <c r="M36" i="2" a="1"/>
  <c r="M41" i="2" a="1"/>
  <c r="M30" i="2" a="1"/>
  <c r="AC14" i="2" a="1"/>
  <c r="AC9" i="2" a="1"/>
  <c r="AC16" i="2" a="1"/>
  <c r="I27" i="2" a="1"/>
  <c r="I46" i="2" a="1"/>
  <c r="I22" i="2" a="1"/>
  <c r="I25" i="2" a="1"/>
  <c r="Q64" i="2" a="1"/>
  <c r="Q8" i="2" a="1"/>
  <c r="Q11" i="2" a="1"/>
  <c r="Q62" i="2" a="1"/>
  <c r="Y46" i="2" a="1"/>
  <c r="Y71" i="2" a="1"/>
  <c r="Y24" i="2" a="1"/>
  <c r="Y35" i="2" a="1"/>
  <c r="Q41" i="2" a="1"/>
  <c r="Q25" i="2" a="1"/>
  <c r="Q24" i="2" a="1"/>
  <c r="E65" i="2" a="1"/>
  <c r="M67" i="2" a="1"/>
  <c r="E35" i="2" a="1"/>
  <c r="E22" i="2" a="1"/>
  <c r="E41" i="2" a="1"/>
  <c r="E20" i="2" a="1"/>
  <c r="V7" i="2" a="1"/>
  <c r="V63" i="2" a="1"/>
  <c r="V10" i="2" a="1"/>
  <c r="AC66" i="2" a="1"/>
  <c r="E56" i="2" a="1"/>
  <c r="I66" i="2" a="1"/>
  <c r="R32" i="2" a="1"/>
  <c r="AC51" i="2" a="1"/>
  <c r="Q55" i="2" a="1"/>
  <c r="Q48" i="2" a="1"/>
  <c r="R39" i="2" a="1"/>
  <c r="J10" i="2" a="1"/>
  <c r="J9" i="2" a="1"/>
  <c r="J38" i="2" a="1"/>
  <c r="AD37" i="2" a="1"/>
  <c r="Z39" i="2" a="1"/>
  <c r="J15" i="2" a="1"/>
  <c r="N48" i="2" a="1"/>
  <c r="Z32" i="2" a="1"/>
  <c r="V37" i="2" a="1"/>
  <c r="V32" i="2" a="1"/>
  <c r="J42" i="2" a="1"/>
  <c r="Z37" i="2" a="1"/>
  <c r="AD39" i="2" a="1"/>
  <c r="J17" i="2" a="1"/>
  <c r="AD42" i="2" a="1"/>
  <c r="Z42" i="2" a="1"/>
  <c r="J16" i="2" a="1"/>
  <c r="AD31" i="2" a="1"/>
  <c r="F32" i="2" a="1"/>
  <c r="V42" i="2" a="1"/>
  <c r="V38" i="2" a="1"/>
  <c r="N68" i="2" a="1"/>
  <c r="N54" i="2" a="1"/>
  <c r="AD22" i="2" a="1"/>
  <c r="AD35" i="2" a="1"/>
  <c r="N24" i="2" a="1"/>
  <c r="AD20" i="2" a="1"/>
  <c r="V41" i="2" a="1"/>
  <c r="V70" i="2" a="1"/>
  <c r="V28" i="2" a="1"/>
  <c r="N33" i="2" a="1"/>
  <c r="N40" i="2" a="1"/>
  <c r="Z24" i="2" a="1"/>
  <c r="R30" i="2" a="1"/>
  <c r="N20" i="2" a="1"/>
  <c r="N46" i="2" a="1"/>
  <c r="F23" i="2" a="1"/>
  <c r="F36" i="2" a="1"/>
  <c r="V25" i="2" a="1"/>
  <c r="R45" i="2" a="1"/>
  <c r="R25" i="2" a="1"/>
  <c r="Z46" i="2" a="1"/>
  <c r="Z69" i="2" a="1"/>
  <c r="F20" i="2" a="1"/>
  <c r="Z70" i="2" a="1"/>
  <c r="F62" i="2" a="1"/>
  <c r="F17" i="2" a="1"/>
  <c r="AD9" i="2" a="1"/>
  <c r="Z36" i="2" a="1"/>
  <c r="Z71" i="2" a="1"/>
  <c r="Z29" i="2" a="1"/>
  <c r="F51" i="2" a="1"/>
  <c r="J46" i="2" a="1"/>
  <c r="J24" i="2" a="1"/>
  <c r="J30" i="2" a="1"/>
  <c r="Z62" i="2" a="1"/>
  <c r="J29" i="2" a="1"/>
  <c r="N16" i="2" a="1"/>
  <c r="N18" i="2" a="1"/>
  <c r="Z7" i="2" a="1"/>
  <c r="Z16" i="2" a="1"/>
  <c r="N62" i="2" a="1"/>
  <c r="J68" i="2" a="1"/>
  <c r="R14" i="2" a="1"/>
  <c r="R11" i="2" a="1"/>
  <c r="R16" i="2" a="1"/>
  <c r="J61" i="2" a="1"/>
  <c r="F65" i="2" a="1"/>
  <c r="V61" i="2" a="1"/>
  <c r="V64" i="2" a="1"/>
  <c r="Z48" i="2" a="1"/>
  <c r="N39" i="2" a="1"/>
  <c r="R51" i="2" a="1"/>
  <c r="R53" i="2" a="1"/>
  <c r="R67" i="2" a="1"/>
  <c r="Z49" i="2" a="1"/>
  <c r="R49" i="2" a="1"/>
  <c r="Z64" i="2" a="1"/>
  <c r="Z12" i="2" a="1"/>
  <c r="N14" i="2" a="1"/>
  <c r="R13" i="2" a="1"/>
  <c r="AD48" i="2" a="1"/>
  <c r="Z51" i="2" a="1"/>
  <c r="AD66" i="2" a="1"/>
  <c r="V40" i="2" a="1"/>
  <c r="N26" i="2" a="1"/>
  <c r="F35" i="2" a="1"/>
  <c r="F15" i="2" a="1"/>
  <c r="J23" i="2" a="1"/>
  <c r="Z9" i="2" a="1"/>
  <c r="J67" i="2" a="1"/>
  <c r="AD61" i="2" a="1"/>
  <c r="J45" i="2" a="1"/>
  <c r="F61" i="2" a="1"/>
  <c r="R68" i="2" a="1"/>
  <c r="R54" i="2" a="1"/>
  <c r="AD33" i="2" a="1"/>
  <c r="R71" i="2" a="1"/>
  <c r="F70" i="2" a="1"/>
  <c r="Z15" i="2" a="1"/>
  <c r="J50" i="2" a="1"/>
  <c r="N49" i="2" a="1"/>
  <c r="AD71" i="2" a="1"/>
  <c r="AD21" i="2" a="1"/>
  <c r="AD25" i="2" a="1"/>
  <c r="AD36" i="2" a="1"/>
  <c r="AD40" i="2" a="1"/>
  <c r="V20" i="2" a="1"/>
  <c r="V22" i="2" a="1"/>
  <c r="N25" i="2" a="1"/>
  <c r="N71" i="2" a="1"/>
  <c r="R36" i="2" a="1"/>
  <c r="N21" i="2" a="1"/>
  <c r="R23" i="2" a="1"/>
  <c r="N34" i="2" a="1"/>
  <c r="N41" i="2" a="1"/>
  <c r="R33" i="2" a="1"/>
  <c r="F27" i="2" a="1"/>
  <c r="F28" i="2" a="1"/>
  <c r="Z23" i="2" a="1"/>
  <c r="Z34" i="2" a="1"/>
  <c r="F63" i="2" a="1"/>
  <c r="Z41" i="2" a="1"/>
  <c r="F40" i="2" a="1"/>
  <c r="AD17" i="2" a="1"/>
  <c r="AD6" i="2" a="1"/>
  <c r="F12" i="2" a="1"/>
  <c r="F10" i="2" a="1"/>
  <c r="Z20" i="2" a="1"/>
  <c r="AD63" i="2" a="1"/>
  <c r="AD7" i="2" a="1"/>
  <c r="J34" i="2" a="1"/>
  <c r="Z6" i="2" a="1"/>
  <c r="J27" i="2" a="1"/>
  <c r="N19" i="2" a="1"/>
  <c r="Z19" i="2" a="1"/>
  <c r="Z60" i="2" a="1"/>
  <c r="J71" i="2" a="1"/>
  <c r="N8" i="2" a="1"/>
  <c r="N63" i="2" a="1"/>
  <c r="J55" i="2" a="1"/>
  <c r="R60" i="2" a="1"/>
  <c r="R10" i="2" a="1"/>
  <c r="R44" i="2" a="1"/>
  <c r="R62" i="2" a="1"/>
  <c r="AD56" i="2" a="1"/>
  <c r="AD50" i="2" a="1"/>
  <c r="V65" i="2" a="1"/>
  <c r="V67" i="2" a="1"/>
  <c r="V50" i="2" a="1"/>
  <c r="N32" i="2" a="1"/>
  <c r="R55" i="2" a="1"/>
  <c r="R56" i="2" a="1"/>
  <c r="R65" i="2" a="1"/>
  <c r="AD64" i="2" a="1"/>
  <c r="AD49" i="2" a="1"/>
  <c r="AD54" i="2" a="1"/>
  <c r="Z18" i="2" a="1"/>
  <c r="J53" i="2" a="1"/>
  <c r="R12" i="2" a="1"/>
  <c r="V66" i="2" a="1"/>
  <c r="V53" i="2" a="1"/>
  <c r="N61" i="2" a="1"/>
  <c r="V69" i="2" a="1"/>
  <c r="N36" i="2" a="1"/>
  <c r="N70" i="2" a="1"/>
  <c r="F30" i="2" a="1"/>
  <c r="AD8" i="2" a="1"/>
  <c r="N11" i="2" a="1"/>
  <c r="V51" i="2" a="1"/>
  <c r="Z13" i="2" a="1"/>
  <c r="N31" i="2" a="1"/>
  <c r="V33" i="2" a="1"/>
  <c r="Z35" i="2" a="1"/>
  <c r="R7" i="2" a="1"/>
  <c r="N37" i="2" a="1"/>
  <c r="AD69" i="2" a="1"/>
  <c r="AD24" i="2" a="1"/>
  <c r="AD27" i="2" a="1"/>
  <c r="AD30" i="2" a="1"/>
  <c r="V36" i="2" a="1"/>
  <c r="V21" i="2" a="1"/>
  <c r="V24" i="2" a="1"/>
  <c r="V23" i="2" a="1"/>
  <c r="F68" i="2" a="1"/>
  <c r="F55" i="2" a="1"/>
  <c r="N23" i="2" a="1"/>
  <c r="R20" i="2" a="1"/>
  <c r="N29" i="2" a="1"/>
  <c r="R35" i="2" a="1"/>
  <c r="F25" i="2" a="1"/>
  <c r="R70" i="2" a="1"/>
  <c r="F41" i="2" a="1"/>
  <c r="F29" i="2" a="1"/>
  <c r="F16" i="2" a="1"/>
  <c r="F71" i="2" a="1"/>
  <c r="Z22" i="2" a="1"/>
  <c r="F11" i="2" a="1"/>
  <c r="F69" i="2" a="1"/>
  <c r="AD11" i="2" a="1"/>
  <c r="Z33" i="2" a="1"/>
  <c r="F44" i="2" a="1"/>
  <c r="AD14" i="2" a="1"/>
  <c r="F8" i="2" a="1"/>
  <c r="F50" i="2" a="1"/>
  <c r="AD62" i="2" a="1"/>
  <c r="J70" i="2" a="1"/>
  <c r="J36" i="2" a="1"/>
  <c r="J35" i="2" a="1"/>
  <c r="N13" i="2" a="1"/>
  <c r="J56" i="2" a="1"/>
  <c r="J66" i="2" a="1"/>
  <c r="Z68" i="2" a="1"/>
  <c r="Z54" i="2" a="1"/>
  <c r="AD70" i="2" a="1"/>
  <c r="R34" i="2" a="1"/>
  <c r="AD60" i="2" a="1"/>
  <c r="J69" i="2" a="1"/>
  <c r="R17" i="2" a="1"/>
  <c r="Z55" i="2" a="1"/>
  <c r="R64" i="2" a="1"/>
  <c r="AD65" i="2" a="1"/>
  <c r="Z66" i="2" a="1"/>
  <c r="N67" i="2" a="1"/>
  <c r="AD26" i="2" a="1"/>
  <c r="R21" i="2" a="1"/>
  <c r="F34" i="2" a="1"/>
  <c r="AD16" i="2" a="1"/>
  <c r="N60" i="2" a="1"/>
  <c r="R8" i="2" a="1"/>
  <c r="N65" i="2" a="1"/>
  <c r="AD41" i="2" a="1"/>
  <c r="AD29" i="2" a="1"/>
  <c r="V35" i="2" a="1"/>
  <c r="V46" i="2" a="1"/>
  <c r="AD46" i="2" a="1"/>
  <c r="AD28" i="2" a="1"/>
  <c r="V45" i="2" a="1"/>
  <c r="V27" i="2" a="1"/>
  <c r="F53" i="2" a="1"/>
  <c r="F56" i="2" a="1"/>
  <c r="AD15" i="2" a="1"/>
  <c r="N28" i="2" a="1"/>
  <c r="R24" i="2" a="1"/>
  <c r="N22" i="2" a="1"/>
  <c r="R22" i="2" a="1"/>
  <c r="F21" i="2" a="1"/>
  <c r="R69" i="2" a="1"/>
  <c r="V29" i="2" a="1"/>
  <c r="F33" i="2" a="1"/>
  <c r="Z27" i="2" a="1"/>
  <c r="F18" i="2" a="1"/>
  <c r="F19" i="2" a="1"/>
  <c r="F9" i="2" a="1"/>
  <c r="F7" i="2" a="1"/>
  <c r="Z40" i="2" a="1"/>
  <c r="Z30" i="2" a="1"/>
  <c r="Z21" i="2" a="1"/>
  <c r="AD13" i="2" a="1"/>
  <c r="AD10" i="2" a="1"/>
  <c r="Z44" i="2" a="1"/>
  <c r="J20" i="2" a="1"/>
  <c r="Z14" i="2" a="1"/>
  <c r="N44" i="2" a="1"/>
  <c r="N6" i="2" a="1"/>
  <c r="J22" i="2" a="1"/>
  <c r="N15" i="2" a="1"/>
  <c r="Z8" i="2" a="1"/>
  <c r="Z63" i="2" a="1"/>
  <c r="Z10" i="2" a="1"/>
  <c r="J48" i="2" a="1"/>
  <c r="R15" i="2" a="1"/>
  <c r="R19" i="2" a="1"/>
  <c r="R6" i="2" a="1"/>
  <c r="J65" i="2" a="1"/>
  <c r="AD55" i="2" a="1"/>
  <c r="AD68" i="2" a="1"/>
  <c r="F64" i="2" a="1"/>
  <c r="Z56" i="2" a="1"/>
  <c r="V48" i="2" a="1"/>
  <c r="R48" i="2" a="1"/>
  <c r="R50" i="2" a="1"/>
  <c r="R66" i="2" a="1"/>
  <c r="Z61" i="2" a="1"/>
  <c r="N69" i="2" a="1"/>
  <c r="F45" i="2" a="1"/>
  <c r="N17" i="2" a="1"/>
  <c r="Z65" i="2" a="1"/>
  <c r="R41" i="2" a="1"/>
  <c r="AD44" i="2" a="1"/>
  <c r="N10" i="2" a="1"/>
  <c r="F66" i="2" a="1"/>
  <c r="N38" i="2" a="1"/>
  <c r="AD45" i="2" a="1"/>
  <c r="AD23" i="2" a="1"/>
  <c r="N35" i="2" a="1"/>
  <c r="V34" i="2" a="1"/>
  <c r="AD34" i="2" a="1"/>
  <c r="V30" i="2" a="1"/>
  <c r="V71" i="2" a="1"/>
  <c r="R27" i="2" a="1"/>
  <c r="F48" i="2" a="1"/>
  <c r="N30" i="2" a="1"/>
  <c r="R40" i="2" a="1"/>
  <c r="N27" i="2" a="1"/>
  <c r="R29" i="2" a="1"/>
  <c r="R26" i="2" a="1"/>
  <c r="F22" i="2" a="1"/>
  <c r="R46" i="2" a="1"/>
  <c r="V26" i="2" a="1"/>
  <c r="F46" i="2" a="1"/>
  <c r="F24" i="2" a="1"/>
  <c r="F26" i="2" a="1"/>
  <c r="Z28" i="2" a="1"/>
  <c r="Z25" i="2" a="1"/>
  <c r="Z45" i="2" a="1"/>
  <c r="Z26" i="2" a="1"/>
  <c r="F14" i="2" a="1"/>
  <c r="F60" i="2" a="1"/>
  <c r="F13" i="2" a="1"/>
  <c r="AD18" i="2" a="1"/>
  <c r="AD19" i="2" a="1"/>
  <c r="J21" i="2" a="1"/>
  <c r="J26" i="2" a="1"/>
  <c r="J33" i="2" a="1"/>
  <c r="J28" i="2" a="1"/>
  <c r="J25" i="2" a="1"/>
  <c r="J41" i="2" a="1"/>
  <c r="Z11" i="2" a="1"/>
  <c r="N12" i="2" a="1"/>
  <c r="N7" i="2" a="1"/>
  <c r="N9" i="2" a="1"/>
  <c r="J51" i="2" a="1"/>
  <c r="R9" i="2" a="1"/>
  <c r="R63" i="2" a="1"/>
  <c r="R18" i="2" a="1"/>
  <c r="J64" i="2" a="1"/>
  <c r="AD51" i="2" a="1"/>
  <c r="F67" i="2" a="1"/>
  <c r="Z53" i="2" a="1"/>
  <c r="Z50" i="2" a="1"/>
  <c r="V68" i="2" a="1"/>
  <c r="V55" i="2" a="1"/>
  <c r="N42" i="2" a="1"/>
  <c r="R61" i="2" a="1"/>
  <c r="AD67" i="2" a="1"/>
  <c r="Z67" i="2" a="1"/>
  <c r="N66" i="2" a="1"/>
  <c r="N45" i="2" a="1"/>
  <c r="R28" i="2" a="1"/>
  <c r="F6" i="2" a="1"/>
  <c r="AD12" i="2" a="1"/>
  <c r="J40" i="2" a="1"/>
  <c r="Z17" i="2" a="1"/>
  <c r="AD53" i="2" a="1"/>
  <c r="V56" i="2" a="1"/>
  <c r="N64" i="2" a="1"/>
  <c r="O15" i="2" l="1"/>
  <c r="W32" i="2"/>
  <c r="K14" i="2"/>
  <c r="AA8" i="2"/>
  <c r="AA38" i="2"/>
  <c r="W19" i="2"/>
  <c r="S37" i="2"/>
  <c r="AA11" i="2"/>
  <c r="O37" i="2"/>
  <c r="J49" i="2"/>
  <c r="K63" i="2"/>
  <c r="S49" i="2"/>
  <c r="AA32" i="2"/>
  <c r="W8" i="2"/>
  <c r="K62" i="2"/>
  <c r="AA6" i="2"/>
  <c r="O62" i="2"/>
  <c r="O10" i="2"/>
  <c r="C68" i="2"/>
  <c r="C39" i="2"/>
  <c r="G32" i="2"/>
  <c r="V49" i="2"/>
  <c r="W10" i="2"/>
  <c r="K18" i="2"/>
  <c r="K7" i="2"/>
  <c r="X54" i="2"/>
  <c r="W44" i="2"/>
  <c r="U54" i="2"/>
  <c r="K49" i="2"/>
  <c r="AA63" i="2"/>
  <c r="G37" i="2"/>
  <c r="C53" i="2"/>
  <c r="O44" i="2"/>
  <c r="AA62" i="2"/>
  <c r="C32" i="2"/>
  <c r="K60" i="2"/>
  <c r="C50" i="2"/>
  <c r="W16" i="2"/>
  <c r="K54" i="2"/>
  <c r="AA12" i="2"/>
  <c r="AA42" i="2"/>
  <c r="W17" i="2"/>
  <c r="K37" i="2"/>
  <c r="AA13" i="2"/>
  <c r="C56" i="2"/>
  <c r="W14" i="2"/>
  <c r="K16" i="2"/>
  <c r="S31" i="2"/>
  <c r="L49" i="2"/>
  <c r="O9" i="2"/>
  <c r="O39" i="2"/>
  <c r="K31" i="2"/>
  <c r="AA7" i="2"/>
  <c r="C55" i="2"/>
  <c r="W42" i="2"/>
  <c r="K38" i="2"/>
  <c r="AA15" i="2"/>
  <c r="C51" i="2"/>
  <c r="W31" i="2"/>
  <c r="S32" i="2"/>
  <c r="O60" i="2"/>
  <c r="G42" i="2"/>
  <c r="K32" i="2"/>
  <c r="O17" i="2"/>
  <c r="G31" i="2"/>
  <c r="U49" i="2"/>
  <c r="AA14" i="2"/>
  <c r="C38" i="2"/>
  <c r="K6" i="2"/>
  <c r="O6" i="2"/>
  <c r="W54" i="2"/>
  <c r="K11" i="2"/>
  <c r="O16" i="2"/>
  <c r="O32" i="2"/>
  <c r="W63" i="2"/>
  <c r="AA19" i="2"/>
  <c r="W6" i="2"/>
  <c r="G54" i="2"/>
  <c r="W7" i="2"/>
  <c r="S38" i="2"/>
  <c r="O7" i="2"/>
  <c r="G38" i="2"/>
  <c r="K44" i="2"/>
  <c r="O8" i="2"/>
  <c r="W11" i="2"/>
  <c r="L54" i="2"/>
  <c r="AA17" i="2"/>
  <c r="O63" i="2"/>
  <c r="W49" i="2"/>
  <c r="J54" i="2"/>
  <c r="S54" i="2"/>
  <c r="AA44" i="2"/>
  <c r="AA31" i="2"/>
  <c r="W60" i="2"/>
  <c r="K10" i="2"/>
  <c r="O14" i="2"/>
  <c r="O38" i="2"/>
  <c r="W9" i="2"/>
  <c r="K19" i="2"/>
  <c r="O11" i="2"/>
  <c r="C37" i="2"/>
  <c r="W15" i="2"/>
  <c r="K8" i="2"/>
  <c r="AA18" i="2"/>
  <c r="C31" i="2"/>
  <c r="W39" i="2"/>
  <c r="K12" i="2"/>
  <c r="AA60" i="2"/>
  <c r="O18" i="2"/>
  <c r="AA39" i="2"/>
  <c r="O31" i="2"/>
  <c r="W37" i="2"/>
  <c r="W12" i="2"/>
  <c r="K39" i="2"/>
  <c r="K15" i="2"/>
  <c r="I49" i="2"/>
  <c r="S39" i="2"/>
  <c r="AA16" i="2"/>
  <c r="AA10" i="2"/>
  <c r="AA9" i="2"/>
  <c r="O13" i="2"/>
  <c r="O19" i="2"/>
  <c r="O12" i="2"/>
  <c r="G49" i="2"/>
  <c r="C48" i="2"/>
  <c r="AA37" i="2"/>
  <c r="C42" i="2"/>
  <c r="O42" i="2"/>
  <c r="G39" i="2"/>
  <c r="W38" i="2"/>
  <c r="V54" i="2"/>
  <c r="W62" i="2"/>
  <c r="W13" i="2"/>
  <c r="W18" i="2"/>
  <c r="K42" i="2"/>
  <c r="K13" i="2"/>
  <c r="K17" i="2"/>
  <c r="K9" i="2"/>
  <c r="I54" i="2"/>
  <c r="S42" i="2"/>
  <c r="X49" i="2"/>
  <c r="T49" i="2"/>
  <c r="T7" i="2"/>
  <c r="D24" i="2"/>
  <c r="L37" i="2"/>
  <c r="P37" i="2"/>
  <c r="T18" i="2"/>
  <c r="P42" i="2"/>
  <c r="X17" i="2"/>
  <c r="H38" i="2"/>
  <c r="D50" i="2"/>
  <c r="H31" i="2"/>
  <c r="D71" i="2"/>
  <c r="X13" i="2"/>
  <c r="L8" i="2"/>
  <c r="AB31" i="2"/>
  <c r="T39" i="2"/>
  <c r="D70" i="2"/>
  <c r="T63" i="2"/>
  <c r="G34" i="2"/>
  <c r="D46" i="2"/>
  <c r="T54" i="2"/>
  <c r="D69" i="2"/>
  <c r="X62" i="2"/>
  <c r="T9" i="2"/>
  <c r="L42" i="2"/>
  <c r="D25" i="2"/>
  <c r="X10" i="2"/>
  <c r="L32" i="2"/>
  <c r="P39" i="2"/>
  <c r="X15" i="2"/>
  <c r="T44" i="2"/>
  <c r="D55" i="2"/>
  <c r="X63" i="2"/>
  <c r="L13" i="2"/>
  <c r="D68" i="2"/>
  <c r="L7" i="2"/>
  <c r="D35" i="2"/>
  <c r="X18" i="2"/>
  <c r="L15" i="2"/>
  <c r="D51" i="2"/>
  <c r="H32" i="2"/>
  <c r="D22" i="2"/>
  <c r="T10" i="2"/>
  <c r="L44" i="2"/>
  <c r="AB42" i="2"/>
  <c r="T42" i="2"/>
  <c r="AB32" i="2"/>
  <c r="T12" i="2"/>
  <c r="T31" i="2"/>
  <c r="G21" i="2"/>
  <c r="D36" i="2"/>
  <c r="AB37" i="2"/>
  <c r="T19" i="2"/>
  <c r="H49" i="2"/>
  <c r="G70" i="2"/>
  <c r="AB15" i="2"/>
  <c r="D20" i="2"/>
  <c r="X19" i="2"/>
  <c r="T13" i="2"/>
  <c r="H54" i="2"/>
  <c r="X42" i="2"/>
  <c r="L10" i="2"/>
  <c r="D37" i="2"/>
  <c r="D29" i="2"/>
  <c r="AB38" i="2"/>
  <c r="X44" i="2"/>
  <c r="T32" i="2"/>
  <c r="L6" i="2"/>
  <c r="G36" i="2"/>
  <c r="W21" i="2"/>
  <c r="S56" i="2"/>
  <c r="AA36" i="2"/>
  <c r="C27" i="2"/>
  <c r="S64" i="2"/>
  <c r="P38" i="2"/>
  <c r="D33" i="2"/>
  <c r="X7" i="2"/>
  <c r="T6" i="2"/>
  <c r="H42" i="2"/>
  <c r="L17" i="2"/>
  <c r="G40" i="2"/>
  <c r="D38" i="2"/>
  <c r="AB7" i="2"/>
  <c r="G29" i="2"/>
  <c r="G35" i="2"/>
  <c r="G20" i="2"/>
  <c r="D42" i="2"/>
  <c r="W34" i="2"/>
  <c r="S51" i="2"/>
  <c r="O67" i="2"/>
  <c r="AA30" i="2"/>
  <c r="AA40" i="2"/>
  <c r="AA46" i="2"/>
  <c r="C21" i="2"/>
  <c r="C71" i="2"/>
  <c r="K65" i="2"/>
  <c r="G51" i="2"/>
  <c r="G64" i="2"/>
  <c r="S61" i="2"/>
  <c r="W48" i="2"/>
  <c r="S30" i="2"/>
  <c r="S29" i="2"/>
  <c r="S25" i="2"/>
  <c r="S21" i="2"/>
  <c r="O22" i="2"/>
  <c r="O35" i="2"/>
  <c r="O34" i="2"/>
  <c r="O45" i="2"/>
  <c r="G11" i="2"/>
  <c r="G12" i="2"/>
  <c r="G9" i="2"/>
  <c r="K53" i="2"/>
  <c r="K69" i="2"/>
  <c r="K27" i="2"/>
  <c r="K71" i="2"/>
  <c r="K33" i="2"/>
  <c r="O68" i="2"/>
  <c r="AA56" i="2"/>
  <c r="S9" i="2"/>
  <c r="S13" i="2"/>
  <c r="S60" i="2"/>
  <c r="C18" i="2"/>
  <c r="C19" i="2"/>
  <c r="C9" i="2"/>
  <c r="L9" i="2"/>
  <c r="G24" i="2"/>
  <c r="X31" i="2"/>
  <c r="W27" i="2"/>
  <c r="W25" i="2"/>
  <c r="C66" i="2"/>
  <c r="W64" i="2"/>
  <c r="AA23" i="2"/>
  <c r="C69" i="2"/>
  <c r="AA65" i="2"/>
  <c r="D32" i="2"/>
  <c r="W23" i="2"/>
  <c r="W20" i="2"/>
  <c r="C64" i="2"/>
  <c r="AA26" i="2"/>
  <c r="AA24" i="2"/>
  <c r="C33" i="2"/>
  <c r="C22" i="2"/>
  <c r="K64" i="2"/>
  <c r="G66" i="2"/>
  <c r="AA67" i="2"/>
  <c r="S67" i="2"/>
  <c r="W50" i="2"/>
  <c r="S45" i="2"/>
  <c r="S33" i="2"/>
  <c r="S71" i="2"/>
  <c r="O25" i="2"/>
  <c r="O33" i="2"/>
  <c r="O46" i="2"/>
  <c r="C54" i="2"/>
  <c r="G6" i="2"/>
  <c r="G15" i="2"/>
  <c r="G18" i="2"/>
  <c r="K51" i="2"/>
  <c r="K40" i="2"/>
  <c r="K35" i="2"/>
  <c r="K23" i="2"/>
  <c r="K28" i="2"/>
  <c r="O51" i="2"/>
  <c r="AA55" i="2"/>
  <c r="S14" i="2"/>
  <c r="S10" i="2"/>
  <c r="S63" i="2"/>
  <c r="C17" i="2"/>
  <c r="C16" i="2"/>
  <c r="C62" i="2"/>
  <c r="W35" i="2"/>
  <c r="W46" i="2"/>
  <c r="S55" i="2"/>
  <c r="O66" i="2"/>
  <c r="W66" i="2"/>
  <c r="AA33" i="2"/>
  <c r="C29" i="2"/>
  <c r="C25" i="2"/>
  <c r="G48" i="2"/>
  <c r="S41" i="2"/>
  <c r="G46" i="2"/>
  <c r="W36" i="2"/>
  <c r="W29" i="2"/>
  <c r="S68" i="2"/>
  <c r="O61" i="2"/>
  <c r="AA21" i="2"/>
  <c r="AA70" i="2"/>
  <c r="C40" i="2"/>
  <c r="C20" i="2"/>
  <c r="K67" i="2"/>
  <c r="G68" i="2"/>
  <c r="G65" i="2"/>
  <c r="AA64" i="2"/>
  <c r="O49" i="2"/>
  <c r="S34" i="2"/>
  <c r="S69" i="2"/>
  <c r="S35" i="2"/>
  <c r="S40" i="2"/>
  <c r="O20" i="2"/>
  <c r="O70" i="2"/>
  <c r="O41" i="2"/>
  <c r="C49" i="2"/>
  <c r="G62" i="2"/>
  <c r="G44" i="2"/>
  <c r="G17" i="2"/>
  <c r="K56" i="2"/>
  <c r="K26" i="2"/>
  <c r="K22" i="2"/>
  <c r="K41" i="2"/>
  <c r="K25" i="2"/>
  <c r="O55" i="2"/>
  <c r="AA50" i="2"/>
  <c r="S16" i="2"/>
  <c r="S7" i="2"/>
  <c r="S44" i="2"/>
  <c r="C12" i="2"/>
  <c r="C7" i="2"/>
  <c r="C10" i="2"/>
  <c r="L18" i="2"/>
  <c r="W71" i="2"/>
  <c r="W22" i="2"/>
  <c r="C61" i="2"/>
  <c r="W61" i="2"/>
  <c r="AA20" i="2"/>
  <c r="C26" i="2"/>
  <c r="C23" i="2"/>
  <c r="W51" i="2"/>
  <c r="T15" i="2"/>
  <c r="G33" i="2"/>
  <c r="AA25" i="2"/>
  <c r="C35" i="2"/>
  <c r="O54" i="2"/>
  <c r="W55" i="2"/>
  <c r="S46" i="2"/>
  <c r="S24" i="2"/>
  <c r="S22" i="2"/>
  <c r="O71" i="2"/>
  <c r="O30" i="2"/>
  <c r="O27" i="2"/>
  <c r="AA54" i="2"/>
  <c r="G7" i="2"/>
  <c r="G19" i="2"/>
  <c r="G8" i="2"/>
  <c r="K68" i="2"/>
  <c r="K36" i="2"/>
  <c r="K20" i="2"/>
  <c r="K70" i="2"/>
  <c r="K24" i="2"/>
  <c r="O53" i="2"/>
  <c r="AA53" i="2"/>
  <c r="S12" i="2"/>
  <c r="S62" i="2"/>
  <c r="S19" i="2"/>
  <c r="C11" i="2"/>
  <c r="C15" i="2"/>
  <c r="C60" i="2"/>
  <c r="AB14" i="2"/>
  <c r="H37" i="2"/>
  <c r="W30" i="2"/>
  <c r="AA41" i="2"/>
  <c r="G61" i="2"/>
  <c r="O23" i="2"/>
  <c r="G28" i="2"/>
  <c r="P31" i="2"/>
  <c r="D56" i="2"/>
  <c r="T11" i="2"/>
  <c r="G71" i="2"/>
  <c r="W33" i="2"/>
  <c r="O64" i="2"/>
  <c r="G50" i="2"/>
  <c r="D28" i="2"/>
  <c r="AB39" i="2"/>
  <c r="T14" i="2"/>
  <c r="L62" i="2"/>
  <c r="G22" i="2"/>
  <c r="X32" i="2"/>
  <c r="W24" i="2"/>
  <c r="W26" i="2"/>
  <c r="S48" i="2"/>
  <c r="C65" i="2"/>
  <c r="W67" i="2"/>
  <c r="AA27" i="2"/>
  <c r="AA22" i="2"/>
  <c r="AA69" i="2"/>
  <c r="AA45" i="2"/>
  <c r="C24" i="2"/>
  <c r="C46" i="2"/>
  <c r="C28" i="2"/>
  <c r="C70" i="2"/>
  <c r="G53" i="2"/>
  <c r="G55" i="2"/>
  <c r="AA66" i="2"/>
  <c r="S66" i="2"/>
  <c r="W68" i="2"/>
  <c r="W53" i="2"/>
  <c r="S70" i="2"/>
  <c r="S20" i="2"/>
  <c r="S36" i="2"/>
  <c r="O29" i="2"/>
  <c r="O26" i="2"/>
  <c r="O21" i="2"/>
  <c r="O40" i="2"/>
  <c r="AA49" i="2"/>
  <c r="G63" i="2"/>
  <c r="G16" i="2"/>
  <c r="G14" i="2"/>
  <c r="K50" i="2"/>
  <c r="K29" i="2"/>
  <c r="K30" i="2"/>
  <c r="K34" i="2"/>
  <c r="O48" i="2"/>
  <c r="O50" i="2"/>
  <c r="AA51" i="2"/>
  <c r="S6" i="2"/>
  <c r="S17" i="2"/>
  <c r="S8" i="2"/>
  <c r="C6" i="2"/>
  <c r="C44" i="2"/>
  <c r="C63" i="2"/>
  <c r="G41" i="2"/>
  <c r="D27" i="2"/>
  <c r="X8" i="2"/>
  <c r="L19" i="2"/>
  <c r="X38" i="2"/>
  <c r="C67" i="2"/>
  <c r="K61" i="2"/>
  <c r="D45" i="2"/>
  <c r="X6" i="2"/>
  <c r="L39" i="2"/>
  <c r="W40" i="2"/>
  <c r="L60" i="2"/>
  <c r="X39" i="2"/>
  <c r="D21" i="2"/>
  <c r="D40" i="2"/>
  <c r="X16" i="2"/>
  <c r="T62" i="2"/>
  <c r="L38" i="2"/>
  <c r="L63" i="2"/>
  <c r="G45" i="2"/>
  <c r="D31" i="2"/>
  <c r="W70" i="2"/>
  <c r="AA71" i="2"/>
  <c r="C34" i="2"/>
  <c r="C41" i="2"/>
  <c r="AB16" i="2"/>
  <c r="D41" i="2"/>
  <c r="D48" i="2"/>
  <c r="X11" i="2"/>
  <c r="T17" i="2"/>
  <c r="T38" i="2"/>
  <c r="L11" i="2"/>
  <c r="G26" i="2"/>
  <c r="G69" i="2"/>
  <c r="W69" i="2"/>
  <c r="P32" i="2"/>
  <c r="D26" i="2"/>
  <c r="D34" i="2"/>
  <c r="D30" i="2"/>
  <c r="D23" i="2"/>
  <c r="D53" i="2"/>
  <c r="X14" i="2"/>
  <c r="X12" i="2"/>
  <c r="X9" i="2"/>
  <c r="X60" i="2"/>
  <c r="T16" i="2"/>
  <c r="T8" i="2"/>
  <c r="T60" i="2"/>
  <c r="H39" i="2"/>
  <c r="T37" i="2"/>
  <c r="L31" i="2"/>
  <c r="L16" i="2"/>
  <c r="L12" i="2"/>
  <c r="L14" i="2"/>
  <c r="G30" i="2"/>
  <c r="G27" i="2"/>
  <c r="G25" i="2"/>
  <c r="G23" i="2"/>
  <c r="X37" i="2"/>
  <c r="D39" i="2"/>
  <c r="W41" i="2"/>
  <c r="W28" i="2"/>
  <c r="W45" i="2"/>
  <c r="S50" i="2"/>
  <c r="S53" i="2"/>
  <c r="O65" i="2"/>
  <c r="W65" i="2"/>
  <c r="AA35" i="2"/>
  <c r="AA28" i="2"/>
  <c r="AA29" i="2"/>
  <c r="AA34" i="2"/>
  <c r="C30" i="2"/>
  <c r="C45" i="2"/>
  <c r="C36" i="2"/>
  <c r="K66" i="2"/>
  <c r="G56" i="2"/>
  <c r="G67" i="2"/>
  <c r="AA61" i="2"/>
  <c r="S65" i="2"/>
  <c r="W56" i="2"/>
  <c r="S23" i="2"/>
  <c r="S26" i="2"/>
  <c r="S28" i="2"/>
  <c r="S27" i="2"/>
  <c r="O69" i="2"/>
  <c r="O24" i="2"/>
  <c r="O28" i="2"/>
  <c r="O36" i="2"/>
  <c r="G10" i="2"/>
  <c r="G13" i="2"/>
  <c r="G60" i="2"/>
  <c r="K55" i="2"/>
  <c r="K48" i="2"/>
  <c r="K45" i="2"/>
  <c r="K21" i="2"/>
  <c r="K46" i="2"/>
  <c r="O56" i="2"/>
  <c r="AA48" i="2"/>
  <c r="AA68" i="2"/>
  <c r="S11" i="2"/>
  <c r="S15" i="2"/>
  <c r="S18" i="2"/>
  <c r="C8" i="2"/>
  <c r="C13" i="2"/>
  <c r="C14" i="2"/>
  <c r="Q31" i="2"/>
  <c r="X46" i="2"/>
  <c r="U37" i="2"/>
  <c r="X36" i="2"/>
  <c r="AC39" i="2"/>
  <c r="X64" i="2"/>
  <c r="T29" i="2"/>
  <c r="H29" i="2"/>
  <c r="I68" i="2"/>
  <c r="T55" i="2"/>
  <c r="P30" i="2"/>
  <c r="E17" i="2"/>
  <c r="U19" i="2"/>
  <c r="Q32" i="2"/>
  <c r="H50" i="2"/>
  <c r="X45" i="2"/>
  <c r="H70" i="2"/>
  <c r="X25" i="2"/>
  <c r="E63" i="2"/>
  <c r="X28" i="2"/>
  <c r="U11" i="2"/>
  <c r="I38" i="2"/>
  <c r="P64" i="2"/>
  <c r="E39" i="2"/>
  <c r="X61" i="2"/>
  <c r="I14" i="2"/>
  <c r="U7" i="2"/>
  <c r="H36" i="2"/>
  <c r="I37" i="2"/>
  <c r="U39" i="2"/>
  <c r="U62" i="2"/>
  <c r="H45" i="2"/>
  <c r="T69" i="2"/>
  <c r="I53" i="2"/>
  <c r="E14" i="2"/>
  <c r="H40" i="2"/>
  <c r="E38" i="2"/>
  <c r="AC42" i="2"/>
  <c r="H22" i="2"/>
  <c r="I63" i="2"/>
  <c r="H34" i="2"/>
  <c r="T50" i="2"/>
  <c r="T46" i="2"/>
  <c r="I10" i="2"/>
  <c r="H23" i="2"/>
  <c r="E7" i="2"/>
  <c r="I50" i="2"/>
  <c r="I7" i="2"/>
  <c r="AB64" i="2"/>
  <c r="T66" i="2"/>
  <c r="P22" i="2"/>
  <c r="E62" i="2"/>
  <c r="U18" i="2"/>
  <c r="I9" i="2"/>
  <c r="AB65" i="2"/>
  <c r="T64" i="2"/>
  <c r="P20" i="2"/>
  <c r="E11" i="2"/>
  <c r="U44" i="2"/>
  <c r="I19" i="2"/>
  <c r="H53" i="2"/>
  <c r="X35" i="2"/>
  <c r="P24" i="2"/>
  <c r="AC71" i="2"/>
  <c r="I16" i="2"/>
  <c r="H30" i="2"/>
  <c r="AC41" i="2"/>
  <c r="D64" i="2"/>
  <c r="U63" i="2"/>
  <c r="I39" i="2"/>
  <c r="H20" i="2"/>
  <c r="T26" i="2"/>
  <c r="AB22" i="2"/>
  <c r="H13" i="2"/>
  <c r="E6" i="2"/>
  <c r="U38" i="2"/>
  <c r="U14" i="2"/>
  <c r="I6" i="2"/>
  <c r="P66" i="2"/>
  <c r="H55" i="2"/>
  <c r="T61" i="2"/>
  <c r="T35" i="2"/>
  <c r="AC35" i="2"/>
  <c r="AC32" i="2"/>
  <c r="AC25" i="2"/>
  <c r="AC27" i="2"/>
  <c r="AB69" i="2"/>
  <c r="AB46" i="2"/>
  <c r="L71" i="2"/>
  <c r="L26" i="2"/>
  <c r="H65" i="2"/>
  <c r="D67" i="2"/>
  <c r="L65" i="2"/>
  <c r="H8" i="2"/>
  <c r="H14" i="2"/>
  <c r="AB51" i="2"/>
  <c r="P9" i="2"/>
  <c r="P19" i="2"/>
  <c r="P62" i="2"/>
  <c r="X51" i="2"/>
  <c r="AB54" i="2"/>
  <c r="D62" i="2"/>
  <c r="D16" i="2"/>
  <c r="D14" i="2"/>
  <c r="P55" i="2"/>
  <c r="L53" i="2"/>
  <c r="AB9" i="2"/>
  <c r="AB63" i="2"/>
  <c r="P27" i="2"/>
  <c r="AC28" i="2"/>
  <c r="AC22" i="2"/>
  <c r="AB36" i="2"/>
  <c r="L45" i="2"/>
  <c r="L34" i="2"/>
  <c r="H16" i="2"/>
  <c r="T40" i="2"/>
  <c r="AC29" i="2"/>
  <c r="AB41" i="2"/>
  <c r="L23" i="2"/>
  <c r="L46" i="2"/>
  <c r="H64" i="2"/>
  <c r="P54" i="2"/>
  <c r="L66" i="2"/>
  <c r="H6" i="2"/>
  <c r="H10" i="2"/>
  <c r="H19" i="2"/>
  <c r="P16" i="2"/>
  <c r="P6" i="2"/>
  <c r="P8" i="2"/>
  <c r="X50" i="2"/>
  <c r="AB49" i="2"/>
  <c r="D11" i="2"/>
  <c r="D9" i="2"/>
  <c r="D8" i="2"/>
  <c r="P56" i="2"/>
  <c r="L50" i="2"/>
  <c r="AB10" i="2"/>
  <c r="AB6" i="2"/>
  <c r="T27" i="2"/>
  <c r="AC34" i="2"/>
  <c r="AB28" i="2"/>
  <c r="L28" i="2"/>
  <c r="L35" i="2"/>
  <c r="AB48" i="2"/>
  <c r="E12" i="2"/>
  <c r="AB61" i="2"/>
  <c r="T33" i="2"/>
  <c r="AB29" i="2"/>
  <c r="L41" i="2"/>
  <c r="H12" i="2"/>
  <c r="AB50" i="2"/>
  <c r="P18" i="2"/>
  <c r="P13" i="2"/>
  <c r="P44" i="2"/>
  <c r="X55" i="2"/>
  <c r="D18" i="2"/>
  <c r="D12" i="2"/>
  <c r="D7" i="2"/>
  <c r="P53" i="2"/>
  <c r="P51" i="2"/>
  <c r="L51" i="2"/>
  <c r="AB12" i="2"/>
  <c r="AB60" i="2"/>
  <c r="H27" i="2"/>
  <c r="AB53" i="2"/>
  <c r="X40" i="2"/>
  <c r="T30" i="2"/>
  <c r="AB26" i="2"/>
  <c r="E9" i="2"/>
  <c r="U12" i="2"/>
  <c r="U10" i="2"/>
  <c r="I17" i="2"/>
  <c r="T68" i="2"/>
  <c r="H56" i="2"/>
  <c r="X70" i="2"/>
  <c r="T24" i="2"/>
  <c r="T25" i="2"/>
  <c r="AC70" i="2"/>
  <c r="AB21" i="2"/>
  <c r="AB27" i="2"/>
  <c r="H18" i="2"/>
  <c r="E16" i="2"/>
  <c r="U31" i="2"/>
  <c r="E42" i="2"/>
  <c r="I62" i="2"/>
  <c r="T56" i="2"/>
  <c r="H25" i="2"/>
  <c r="X22" i="2"/>
  <c r="T41" i="2"/>
  <c r="P46" i="2"/>
  <c r="AC40" i="2"/>
  <c r="AB70" i="2"/>
  <c r="AB35" i="2"/>
  <c r="L30" i="2"/>
  <c r="L24" i="2"/>
  <c r="H61" i="2"/>
  <c r="H60" i="2"/>
  <c r="AB68" i="2"/>
  <c r="D49" i="2"/>
  <c r="P63" i="2"/>
  <c r="P15" i="2"/>
  <c r="X56" i="2"/>
  <c r="D13" i="2"/>
  <c r="D10" i="2"/>
  <c r="D6" i="2"/>
  <c r="P48" i="2"/>
  <c r="L68" i="2"/>
  <c r="L56" i="2"/>
  <c r="AB17" i="2"/>
  <c r="AB44" i="2"/>
  <c r="T45" i="2"/>
  <c r="AB24" i="2"/>
  <c r="E8" i="2"/>
  <c r="U13" i="2"/>
  <c r="E32" i="2"/>
  <c r="I8" i="2"/>
  <c r="X66" i="2"/>
  <c r="H28" i="2"/>
  <c r="X71" i="2"/>
  <c r="T23" i="2"/>
  <c r="P41" i="2"/>
  <c r="AC46" i="2"/>
  <c r="AB33" i="2"/>
  <c r="L27" i="2"/>
  <c r="H11" i="2"/>
  <c r="U42" i="2"/>
  <c r="I56" i="2"/>
  <c r="I11" i="2"/>
  <c r="Q37" i="2"/>
  <c r="AB67" i="2"/>
  <c r="H35" i="2"/>
  <c r="X27" i="2"/>
  <c r="T22" i="2"/>
  <c r="P40" i="2"/>
  <c r="AC36" i="2"/>
  <c r="AB30" i="2"/>
  <c r="L21" i="2"/>
  <c r="P14" i="2"/>
  <c r="P45" i="2"/>
  <c r="I48" i="2"/>
  <c r="I32" i="2"/>
  <c r="T67" i="2"/>
  <c r="P36" i="2"/>
  <c r="L70" i="2"/>
  <c r="E18" i="2"/>
  <c r="I12" i="2"/>
  <c r="H68" i="2"/>
  <c r="X21" i="2"/>
  <c r="AC20" i="2"/>
  <c r="D66" i="2"/>
  <c r="E13" i="2"/>
  <c r="U9" i="2"/>
  <c r="E37" i="2"/>
  <c r="Q38" i="2"/>
  <c r="T51" i="2"/>
  <c r="H21" i="2"/>
  <c r="X26" i="2"/>
  <c r="X23" i="2"/>
  <c r="T36" i="2"/>
  <c r="P69" i="2"/>
  <c r="P29" i="2"/>
  <c r="P26" i="2"/>
  <c r="AC26" i="2"/>
  <c r="AB45" i="2"/>
  <c r="AB20" i="2"/>
  <c r="AB71" i="2"/>
  <c r="AB40" i="2"/>
  <c r="L40" i="2"/>
  <c r="L22" i="2"/>
  <c r="L36" i="2"/>
  <c r="H66" i="2"/>
  <c r="D61" i="2"/>
  <c r="L61" i="2"/>
  <c r="H44" i="2"/>
  <c r="H17" i="2"/>
  <c r="H7" i="2"/>
  <c r="AB55" i="2"/>
  <c r="D54" i="2"/>
  <c r="P10" i="2"/>
  <c r="P7" i="2"/>
  <c r="P11" i="2"/>
  <c r="X53" i="2"/>
  <c r="D17" i="2"/>
  <c r="D15" i="2"/>
  <c r="D63" i="2"/>
  <c r="P50" i="2"/>
  <c r="L48" i="2"/>
  <c r="AB18" i="2"/>
  <c r="AB62" i="2"/>
  <c r="AB8" i="2"/>
  <c r="P70" i="2"/>
  <c r="U32" i="2"/>
  <c r="P67" i="2"/>
  <c r="X30" i="2"/>
  <c r="P28" i="2"/>
  <c r="L33" i="2"/>
  <c r="E60" i="2"/>
  <c r="U60" i="2"/>
  <c r="X67" i="2"/>
  <c r="X41" i="2"/>
  <c r="P21" i="2"/>
  <c r="L67" i="2"/>
  <c r="E44" i="2"/>
  <c r="I55" i="2"/>
  <c r="I13" i="2"/>
  <c r="I31" i="2"/>
  <c r="AB66" i="2"/>
  <c r="H41" i="2"/>
  <c r="X24" i="2"/>
  <c r="T20" i="2"/>
  <c r="AC69" i="2"/>
  <c r="P33" i="2"/>
  <c r="AC37" i="2"/>
  <c r="Q39" i="2"/>
  <c r="H46" i="2"/>
  <c r="P34" i="2"/>
  <c r="D65" i="2"/>
  <c r="U6" i="2"/>
  <c r="P65" i="2"/>
  <c r="H71" i="2"/>
  <c r="T21" i="2"/>
  <c r="AC21" i="2"/>
  <c r="H63" i="2"/>
  <c r="AC38" i="2"/>
  <c r="U16" i="2"/>
  <c r="I44" i="2"/>
  <c r="X65" i="2"/>
  <c r="H33" i="2"/>
  <c r="X20" i="2"/>
  <c r="T70" i="2"/>
  <c r="AC23" i="2"/>
  <c r="E10" i="2"/>
  <c r="E15" i="2"/>
  <c r="E19" i="2"/>
  <c r="AC31" i="2"/>
  <c r="I51" i="2"/>
  <c r="U15" i="2"/>
  <c r="U8" i="2"/>
  <c r="U17" i="2"/>
  <c r="E31" i="2"/>
  <c r="I15" i="2"/>
  <c r="I18" i="2"/>
  <c r="I60" i="2"/>
  <c r="Q42" i="2"/>
  <c r="I42" i="2"/>
  <c r="P61" i="2"/>
  <c r="T48" i="2"/>
  <c r="T53" i="2"/>
  <c r="H48" i="2"/>
  <c r="H51" i="2"/>
  <c r="H24" i="2"/>
  <c r="H26" i="2"/>
  <c r="H69" i="2"/>
  <c r="T65" i="2"/>
  <c r="X29" i="2"/>
  <c r="X33" i="2"/>
  <c r="X34" i="2"/>
  <c r="X69" i="2"/>
  <c r="T28" i="2"/>
  <c r="T71" i="2"/>
  <c r="T34" i="2"/>
  <c r="P25" i="2"/>
  <c r="P23" i="2"/>
  <c r="P35" i="2"/>
  <c r="P71" i="2"/>
  <c r="AC30" i="2"/>
  <c r="AC45" i="2"/>
  <c r="AC24" i="2"/>
  <c r="AC33" i="2"/>
  <c r="AB23" i="2"/>
  <c r="AB25" i="2"/>
  <c r="AB34" i="2"/>
  <c r="L29" i="2"/>
  <c r="L69" i="2"/>
  <c r="L20" i="2"/>
  <c r="L25" i="2"/>
  <c r="H67" i="2"/>
  <c r="P49" i="2"/>
  <c r="L64" i="2"/>
  <c r="H9" i="2"/>
  <c r="H15" i="2"/>
  <c r="H62" i="2"/>
  <c r="AB56" i="2"/>
  <c r="P12" i="2"/>
  <c r="P17" i="2"/>
  <c r="P60" i="2"/>
  <c r="X68" i="2"/>
  <c r="X48" i="2"/>
  <c r="D44" i="2"/>
  <c r="D60" i="2"/>
  <c r="D19" i="2"/>
  <c r="P68" i="2"/>
  <c r="L55" i="2"/>
  <c r="AB13" i="2"/>
  <c r="AB19" i="2"/>
  <c r="AB11" i="2"/>
  <c r="N68" i="2"/>
  <c r="V38" i="2"/>
  <c r="V42" i="2"/>
  <c r="F32" i="2"/>
  <c r="AD31" i="2"/>
  <c r="J16" i="2"/>
  <c r="Z42" i="2"/>
  <c r="AD42" i="2"/>
  <c r="J17" i="2"/>
  <c r="AD39" i="2"/>
  <c r="Z37" i="2"/>
  <c r="J42" i="2"/>
  <c r="V32" i="2"/>
  <c r="V37" i="2"/>
  <c r="Z32" i="2"/>
  <c r="N48" i="2"/>
  <c r="J15" i="2"/>
  <c r="Z39" i="2"/>
  <c r="AD37" i="2"/>
  <c r="J38" i="2"/>
  <c r="J9" i="2"/>
  <c r="J10" i="2"/>
  <c r="R39" i="2"/>
  <c r="Q48" i="2"/>
  <c r="Q55" i="2"/>
  <c r="AC51" i="2"/>
  <c r="R32" i="2"/>
  <c r="I66" i="2"/>
  <c r="E56" i="2"/>
  <c r="AC66" i="2"/>
  <c r="V10" i="2"/>
  <c r="V63" i="2"/>
  <c r="V7" i="2"/>
  <c r="E20" i="2"/>
  <c r="E41" i="2"/>
  <c r="E22" i="2"/>
  <c r="E35" i="2"/>
  <c r="M67" i="2"/>
  <c r="E65" i="2"/>
  <c r="Q24" i="2"/>
  <c r="Q25" i="2"/>
  <c r="Q41" i="2"/>
  <c r="Y35" i="2"/>
  <c r="Y24" i="2"/>
  <c r="Y71" i="2"/>
  <c r="Y46" i="2"/>
  <c r="Q62" i="2"/>
  <c r="Q11" i="2"/>
  <c r="Q8" i="2"/>
  <c r="Q64" i="2"/>
  <c r="I25" i="2"/>
  <c r="I22" i="2"/>
  <c r="I46" i="2"/>
  <c r="I27" i="2"/>
  <c r="AC16" i="2"/>
  <c r="AC9" i="2"/>
  <c r="AC14" i="2"/>
  <c r="M30" i="2"/>
  <c r="M41" i="2"/>
  <c r="M36" i="2"/>
  <c r="M71" i="2"/>
  <c r="M18" i="2"/>
  <c r="M44" i="2"/>
  <c r="M17" i="2"/>
  <c r="U23" i="2"/>
  <c r="U26" i="2"/>
  <c r="U45" i="2"/>
  <c r="Y18" i="2"/>
  <c r="Y14" i="2"/>
  <c r="Y44" i="2"/>
  <c r="Y54" i="2"/>
  <c r="U50" i="2"/>
  <c r="Y56" i="2"/>
  <c r="Y32" i="2"/>
  <c r="AC54" i="2"/>
  <c r="M68" i="2"/>
  <c r="M42" i="2"/>
  <c r="Z31" i="2"/>
  <c r="V39" i="2"/>
  <c r="N50" i="2"/>
  <c r="J37" i="2"/>
  <c r="F31" i="2"/>
  <c r="J62" i="2"/>
  <c r="J60" i="2"/>
  <c r="J13" i="2"/>
  <c r="U67" i="2"/>
  <c r="Q50" i="2"/>
  <c r="AC55" i="2"/>
  <c r="AC68" i="2"/>
  <c r="R37" i="2"/>
  <c r="E68" i="2"/>
  <c r="E55" i="2"/>
  <c r="Y65" i="2"/>
  <c r="V8" i="2"/>
  <c r="V11" i="2"/>
  <c r="V15" i="2"/>
  <c r="E36" i="2"/>
  <c r="E27" i="2"/>
  <c r="E23" i="2"/>
  <c r="E28" i="2"/>
  <c r="M66" i="2"/>
  <c r="E66" i="2"/>
  <c r="Q29" i="2"/>
  <c r="Q71" i="2"/>
  <c r="Q21" i="2"/>
  <c r="Y41" i="2"/>
  <c r="Y69" i="2"/>
  <c r="Y27" i="2"/>
  <c r="Y20" i="2"/>
  <c r="Q16" i="2"/>
  <c r="Q6" i="2"/>
  <c r="Q18" i="2"/>
  <c r="Q67" i="2"/>
  <c r="I21" i="2"/>
  <c r="I41" i="2"/>
  <c r="I24" i="2"/>
  <c r="M49" i="2"/>
  <c r="AC11" i="2"/>
  <c r="AC6" i="2"/>
  <c r="AC19" i="2"/>
  <c r="M26" i="2"/>
  <c r="M22" i="2"/>
  <c r="M34" i="2"/>
  <c r="M63" i="2"/>
  <c r="M10" i="2"/>
  <c r="M8" i="2"/>
  <c r="U22" i="2"/>
  <c r="U24" i="2"/>
  <c r="U21" i="2"/>
  <c r="U70" i="2"/>
  <c r="Y62" i="2"/>
  <c r="Y12" i="2"/>
  <c r="Y6" i="2"/>
  <c r="U68" i="2"/>
  <c r="U51" i="2"/>
  <c r="Y53" i="2"/>
  <c r="Y38" i="2"/>
  <c r="F54" i="2"/>
  <c r="M56" i="2"/>
  <c r="M31" i="2"/>
  <c r="AD32" i="2"/>
  <c r="F37" i="2"/>
  <c r="J8" i="2"/>
  <c r="J19" i="2"/>
  <c r="Q53" i="2"/>
  <c r="R42" i="2"/>
  <c r="E48" i="2"/>
  <c r="AC67" i="2"/>
  <c r="Y66" i="2"/>
  <c r="V17" i="2"/>
  <c r="V62" i="2"/>
  <c r="E69" i="2"/>
  <c r="E29" i="2"/>
  <c r="E30" i="2"/>
  <c r="E33" i="2"/>
  <c r="M61" i="2"/>
  <c r="Q69" i="2"/>
  <c r="Q27" i="2"/>
  <c r="Q30" i="2"/>
  <c r="Q22" i="2"/>
  <c r="Y26" i="2"/>
  <c r="Y21" i="2"/>
  <c r="Y33" i="2"/>
  <c r="Y30" i="2"/>
  <c r="Q13" i="2"/>
  <c r="Q12" i="2"/>
  <c r="Q17" i="2"/>
  <c r="Q66" i="2"/>
  <c r="I35" i="2"/>
  <c r="I23" i="2"/>
  <c r="I70" i="2"/>
  <c r="M54" i="2"/>
  <c r="AC13" i="2"/>
  <c r="AC15" i="2"/>
  <c r="AC8" i="2"/>
  <c r="M28" i="2"/>
  <c r="M23" i="2"/>
  <c r="M46" i="2"/>
  <c r="M7" i="2"/>
  <c r="M14" i="2"/>
  <c r="M60" i="2"/>
  <c r="U33" i="2"/>
  <c r="U28" i="2"/>
  <c r="U69" i="2"/>
  <c r="U35" i="2"/>
  <c r="Y15" i="2"/>
  <c r="Y63" i="2"/>
  <c r="Y9" i="2"/>
  <c r="U55" i="2"/>
  <c r="E54" i="2"/>
  <c r="Y51" i="2"/>
  <c r="Y39" i="2"/>
  <c r="F49" i="2"/>
  <c r="M51" i="2"/>
  <c r="M32" i="2"/>
  <c r="N56" i="2"/>
  <c r="J31" i="2"/>
  <c r="J44" i="2"/>
  <c r="U64" i="2"/>
  <c r="AC53" i="2"/>
  <c r="I67" i="2"/>
  <c r="V18" i="2"/>
  <c r="J63" i="2"/>
  <c r="U65" i="2"/>
  <c r="AC48" i="2"/>
  <c r="E53" i="2"/>
  <c r="Y67" i="2"/>
  <c r="V19" i="2"/>
  <c r="V13" i="2"/>
  <c r="E26" i="2"/>
  <c r="E24" i="2"/>
  <c r="E25" i="2"/>
  <c r="E67" i="2"/>
  <c r="Q70" i="2"/>
  <c r="Q33" i="2"/>
  <c r="Q45" i="2"/>
  <c r="Q36" i="2"/>
  <c r="Y29" i="2"/>
  <c r="Y23" i="2"/>
  <c r="Y25" i="2"/>
  <c r="Y28" i="2"/>
  <c r="Q44" i="2"/>
  <c r="Q63" i="2"/>
  <c r="Q10" i="2"/>
  <c r="I29" i="2"/>
  <c r="I71" i="2"/>
  <c r="I36" i="2"/>
  <c r="I30" i="2"/>
  <c r="AC60" i="2"/>
  <c r="AC62" i="2"/>
  <c r="AC18" i="2"/>
  <c r="M69" i="2"/>
  <c r="M45" i="2"/>
  <c r="M25" i="2"/>
  <c r="M40" i="2"/>
  <c r="M12" i="2"/>
  <c r="M9" i="2"/>
  <c r="M15" i="2"/>
  <c r="U27" i="2"/>
  <c r="U25" i="2"/>
  <c r="U41" i="2"/>
  <c r="U40" i="2"/>
  <c r="Y8" i="2"/>
  <c r="Y7" i="2"/>
  <c r="Y60" i="2"/>
  <c r="U53" i="2"/>
  <c r="E49" i="2"/>
  <c r="Y50" i="2"/>
  <c r="Y37" i="2"/>
  <c r="Q54" i="2"/>
  <c r="M55" i="2"/>
  <c r="M37" i="2"/>
  <c r="F38" i="2"/>
  <c r="J12" i="2"/>
  <c r="Q56" i="2"/>
  <c r="R31" i="2"/>
  <c r="I65" i="2"/>
  <c r="AC65" i="2"/>
  <c r="V9" i="2"/>
  <c r="E34" i="2"/>
  <c r="J32" i="2"/>
  <c r="Z38" i="2"/>
  <c r="AD38" i="2"/>
  <c r="N51" i="2"/>
  <c r="F39" i="2"/>
  <c r="J18" i="2"/>
  <c r="U66" i="2"/>
  <c r="AC50" i="2"/>
  <c r="R38" i="2"/>
  <c r="E50" i="2"/>
  <c r="AC64" i="2"/>
  <c r="Y64" i="2"/>
  <c r="V60" i="2"/>
  <c r="V6" i="2"/>
  <c r="V16" i="2"/>
  <c r="E46" i="2"/>
  <c r="E40" i="2"/>
  <c r="E45" i="2"/>
  <c r="M65" i="2"/>
  <c r="E64" i="2"/>
  <c r="Q20" i="2"/>
  <c r="Q35" i="2"/>
  <c r="Q34" i="2"/>
  <c r="Q40" i="2"/>
  <c r="Y45" i="2"/>
  <c r="Y70" i="2"/>
  <c r="Y22" i="2"/>
  <c r="Q7" i="2"/>
  <c r="Q19" i="2"/>
  <c r="Q60" i="2"/>
  <c r="Q65" i="2"/>
  <c r="I33" i="2"/>
  <c r="I26" i="2"/>
  <c r="I69" i="2"/>
  <c r="I40" i="2"/>
  <c r="AC17" i="2"/>
  <c r="AC10" i="2"/>
  <c r="AC44" i="2"/>
  <c r="M29" i="2"/>
  <c r="M21" i="2"/>
  <c r="M33" i="2"/>
  <c r="M27" i="2"/>
  <c r="M16" i="2"/>
  <c r="M13" i="2"/>
  <c r="M62" i="2"/>
  <c r="U34" i="2"/>
  <c r="U36" i="2"/>
  <c r="U30" i="2"/>
  <c r="U20" i="2"/>
  <c r="Y13" i="2"/>
  <c r="Y16" i="2"/>
  <c r="Y17" i="2"/>
  <c r="U56" i="2"/>
  <c r="Y68" i="2"/>
  <c r="Y48" i="2"/>
  <c r="Y42" i="2"/>
  <c r="Q49" i="2"/>
  <c r="M48" i="2"/>
  <c r="M38" i="2"/>
  <c r="N53" i="2"/>
  <c r="J7" i="2"/>
  <c r="V31" i="2"/>
  <c r="J39" i="2"/>
  <c r="J11" i="2"/>
  <c r="J14" i="2"/>
  <c r="Q51" i="2"/>
  <c r="I64" i="2"/>
  <c r="N55" i="2"/>
  <c r="F42" i="2"/>
  <c r="J6" i="2"/>
  <c r="U61" i="2"/>
  <c r="Q68" i="2"/>
  <c r="AC56" i="2"/>
  <c r="I61" i="2"/>
  <c r="E51" i="2"/>
  <c r="AC61" i="2"/>
  <c r="Y61" i="2"/>
  <c r="V12" i="2"/>
  <c r="V44" i="2"/>
  <c r="V14" i="2"/>
  <c r="E71" i="2"/>
  <c r="E21" i="2"/>
  <c r="E70" i="2"/>
  <c r="M64" i="2"/>
  <c r="E61" i="2"/>
  <c r="Q26" i="2"/>
  <c r="Q23" i="2"/>
  <c r="Q46" i="2"/>
  <c r="Q28" i="2"/>
  <c r="Y36" i="2"/>
  <c r="Y40" i="2"/>
  <c r="Y34" i="2"/>
  <c r="Q15" i="2"/>
  <c r="Q9" i="2"/>
  <c r="Q14" i="2"/>
  <c r="Q61" i="2"/>
  <c r="I28" i="2"/>
  <c r="I20" i="2"/>
  <c r="I34" i="2"/>
  <c r="I45" i="2"/>
  <c r="AC7" i="2"/>
  <c r="AC63" i="2"/>
  <c r="AC12" i="2"/>
  <c r="M20" i="2"/>
  <c r="M35" i="2"/>
  <c r="M24" i="2"/>
  <c r="M70" i="2"/>
  <c r="M11" i="2"/>
  <c r="M19" i="2"/>
  <c r="M6" i="2"/>
  <c r="U46" i="2"/>
  <c r="U71" i="2"/>
  <c r="U29" i="2"/>
  <c r="Y10" i="2"/>
  <c r="Y11" i="2"/>
  <c r="Y19" i="2"/>
  <c r="Y49" i="2"/>
  <c r="U48" i="2"/>
  <c r="Y55" i="2"/>
  <c r="Y31" i="2"/>
  <c r="AC49" i="2"/>
  <c r="M50" i="2"/>
  <c r="M53" i="2"/>
  <c r="M39" i="2"/>
  <c r="N64" i="2"/>
  <c r="V56" i="2"/>
  <c r="AD53" i="2"/>
  <c r="Z17" i="2"/>
  <c r="J40" i="2"/>
  <c r="AD12" i="2"/>
  <c r="F6" i="2"/>
  <c r="R28" i="2"/>
  <c r="N45" i="2"/>
  <c r="N66" i="2"/>
  <c r="Z67" i="2"/>
  <c r="AD67" i="2"/>
  <c r="R61" i="2"/>
  <c r="N42" i="2"/>
  <c r="V55" i="2"/>
  <c r="V68" i="2"/>
  <c r="Z50" i="2"/>
  <c r="Z53" i="2"/>
  <c r="F67" i="2"/>
  <c r="AD51" i="2"/>
  <c r="J64" i="2"/>
  <c r="R18" i="2"/>
  <c r="R63" i="2"/>
  <c r="R9" i="2"/>
  <c r="J51" i="2"/>
  <c r="N9" i="2"/>
  <c r="N7" i="2"/>
  <c r="N12" i="2"/>
  <c r="Z11" i="2"/>
  <c r="J41" i="2"/>
  <c r="J25" i="2"/>
  <c r="J28" i="2"/>
  <c r="J33" i="2"/>
  <c r="J26" i="2"/>
  <c r="J21" i="2"/>
  <c r="AD19" i="2"/>
  <c r="AD18" i="2"/>
  <c r="F13" i="2"/>
  <c r="F60" i="2"/>
  <c r="F14" i="2"/>
  <c r="Z26" i="2"/>
  <c r="Z45" i="2"/>
  <c r="Z25" i="2"/>
  <c r="Z28" i="2"/>
  <c r="F26" i="2"/>
  <c r="F24" i="2"/>
  <c r="F46" i="2"/>
  <c r="V26" i="2"/>
  <c r="R46" i="2"/>
  <c r="F22" i="2"/>
  <c r="R26" i="2"/>
  <c r="R29" i="2"/>
  <c r="N27" i="2"/>
  <c r="R40" i="2"/>
  <c r="N30" i="2"/>
  <c r="F48" i="2"/>
  <c r="R27" i="2"/>
  <c r="V71" i="2"/>
  <c r="V30" i="2"/>
  <c r="AD34" i="2"/>
  <c r="V34" i="2"/>
  <c r="N35" i="2"/>
  <c r="AD23" i="2"/>
  <c r="AD45" i="2"/>
  <c r="N38" i="2"/>
  <c r="F66" i="2"/>
  <c r="N10" i="2"/>
  <c r="AD44" i="2"/>
  <c r="R41" i="2"/>
  <c r="Z65" i="2"/>
  <c r="N17" i="2"/>
  <c r="F45" i="2"/>
  <c r="N69" i="2"/>
  <c r="Z61" i="2"/>
  <c r="R66" i="2"/>
  <c r="R50" i="2"/>
  <c r="R48" i="2"/>
  <c r="V48" i="2"/>
  <c r="Z56" i="2"/>
  <c r="F64" i="2"/>
  <c r="AD68" i="2"/>
  <c r="AD55" i="2"/>
  <c r="J65" i="2"/>
  <c r="R6" i="2"/>
  <c r="R19" i="2"/>
  <c r="R15" i="2"/>
  <c r="J48" i="2"/>
  <c r="Z10" i="2"/>
  <c r="Z63" i="2"/>
  <c r="Z8" i="2"/>
  <c r="N15" i="2"/>
  <c r="J22" i="2"/>
  <c r="N6" i="2"/>
  <c r="N44" i="2"/>
  <c r="Z14" i="2"/>
  <c r="J20" i="2"/>
  <c r="Z44" i="2"/>
  <c r="AD10" i="2"/>
  <c r="AD13" i="2"/>
  <c r="Z21" i="2"/>
  <c r="Z30" i="2"/>
  <c r="Z40" i="2"/>
  <c r="F7" i="2"/>
  <c r="F9" i="2"/>
  <c r="F19" i="2"/>
  <c r="F18" i="2"/>
  <c r="Z27" i="2"/>
  <c r="F33" i="2"/>
  <c r="V29" i="2"/>
  <c r="R69" i="2"/>
  <c r="F21" i="2"/>
  <c r="R22" i="2"/>
  <c r="N22" i="2"/>
  <c r="R24" i="2"/>
  <c r="N28" i="2"/>
  <c r="AD15" i="2"/>
  <c r="F56" i="2"/>
  <c r="F53" i="2"/>
  <c r="V27" i="2"/>
  <c r="V45" i="2"/>
  <c r="AD28" i="2"/>
  <c r="AD46" i="2"/>
  <c r="V46" i="2"/>
  <c r="V35" i="2"/>
  <c r="AD29" i="2"/>
  <c r="AD41" i="2"/>
  <c r="N65" i="2"/>
  <c r="R8" i="2"/>
  <c r="N60" i="2"/>
  <c r="AD16" i="2"/>
  <c r="F34" i="2"/>
  <c r="R21" i="2"/>
  <c r="AD26" i="2"/>
  <c r="N67" i="2"/>
  <c r="Z66" i="2"/>
  <c r="AD65" i="2"/>
  <c r="R64" i="2"/>
  <c r="Z55" i="2"/>
  <c r="R17" i="2"/>
  <c r="J69" i="2"/>
  <c r="AD60" i="2"/>
  <c r="R34" i="2"/>
  <c r="AD70" i="2"/>
  <c r="Z54" i="2"/>
  <c r="Z68" i="2"/>
  <c r="J66" i="2"/>
  <c r="J56" i="2"/>
  <c r="N13" i="2"/>
  <c r="J35" i="2"/>
  <c r="J36" i="2"/>
  <c r="J70" i="2"/>
  <c r="AD62" i="2"/>
  <c r="F50" i="2"/>
  <c r="F8" i="2"/>
  <c r="AD14" i="2"/>
  <c r="F44" i="2"/>
  <c r="Z33" i="2"/>
  <c r="AD11" i="2"/>
  <c r="F69" i="2"/>
  <c r="F11" i="2"/>
  <c r="Z22" i="2"/>
  <c r="F71" i="2"/>
  <c r="F16" i="2"/>
  <c r="F29" i="2"/>
  <c r="F41" i="2"/>
  <c r="R70" i="2"/>
  <c r="F25" i="2"/>
  <c r="R35" i="2"/>
  <c r="N29" i="2"/>
  <c r="R20" i="2"/>
  <c r="N23" i="2"/>
  <c r="F55" i="2"/>
  <c r="F68" i="2"/>
  <c r="V23" i="2"/>
  <c r="V24" i="2"/>
  <c r="V21" i="2"/>
  <c r="V36" i="2"/>
  <c r="AD30" i="2"/>
  <c r="AD27" i="2"/>
  <c r="AD24" i="2"/>
  <c r="AD69" i="2"/>
  <c r="N37" i="2"/>
  <c r="R7" i="2"/>
  <c r="Z35" i="2"/>
  <c r="V33" i="2"/>
  <c r="N31" i="2"/>
  <c r="Z13" i="2"/>
  <c r="V51" i="2"/>
  <c r="N11" i="2"/>
  <c r="AD8" i="2"/>
  <c r="F30" i="2"/>
  <c r="N70" i="2"/>
  <c r="N36" i="2"/>
  <c r="V69" i="2"/>
  <c r="N61" i="2"/>
  <c r="V53" i="2"/>
  <c r="V66" i="2"/>
  <c r="R12" i="2"/>
  <c r="J53" i="2"/>
  <c r="Z18" i="2"/>
  <c r="AD54" i="2"/>
  <c r="AD49" i="2"/>
  <c r="AD64" i="2"/>
  <c r="R65" i="2"/>
  <c r="R56" i="2"/>
  <c r="R55" i="2"/>
  <c r="N32" i="2"/>
  <c r="V50" i="2"/>
  <c r="V67" i="2"/>
  <c r="V65" i="2"/>
  <c r="AD50" i="2"/>
  <c r="AD56" i="2"/>
  <c r="R62" i="2"/>
  <c r="R44" i="2"/>
  <c r="R10" i="2"/>
  <c r="R60" i="2"/>
  <c r="J55" i="2"/>
  <c r="N63" i="2"/>
  <c r="N8" i="2"/>
  <c r="J71" i="2"/>
  <c r="Z60" i="2"/>
  <c r="Z19" i="2"/>
  <c r="N19" i="2"/>
  <c r="J27" i="2"/>
  <c r="Z6" i="2"/>
  <c r="J34" i="2"/>
  <c r="AD7" i="2"/>
  <c r="AD63" i="2"/>
  <c r="Z20" i="2"/>
  <c r="F10" i="2"/>
  <c r="F12" i="2"/>
  <c r="AD6" i="2"/>
  <c r="AD17" i="2"/>
  <c r="F40" i="2"/>
  <c r="Z41" i="2"/>
  <c r="F63" i="2"/>
  <c r="Z34" i="2"/>
  <c r="Z23" i="2"/>
  <c r="F28" i="2"/>
  <c r="F27" i="2"/>
  <c r="R33" i="2"/>
  <c r="N41" i="2"/>
  <c r="N34" i="2"/>
  <c r="R23" i="2"/>
  <c r="N21" i="2"/>
  <c r="R36" i="2"/>
  <c r="N71" i="2"/>
  <c r="N25" i="2"/>
  <c r="V22" i="2"/>
  <c r="V20" i="2"/>
  <c r="AD40" i="2"/>
  <c r="AD36" i="2"/>
  <c r="AD25" i="2"/>
  <c r="AD21" i="2"/>
  <c r="AD71" i="2"/>
  <c r="N49" i="2"/>
  <c r="J50" i="2"/>
  <c r="Z15" i="2"/>
  <c r="F70" i="2"/>
  <c r="R71" i="2"/>
  <c r="AD33" i="2"/>
  <c r="R54" i="2"/>
  <c r="R68" i="2"/>
  <c r="F61" i="2"/>
  <c r="J45" i="2"/>
  <c r="AD61" i="2"/>
  <c r="J67" i="2"/>
  <c r="Z9" i="2"/>
  <c r="J23" i="2"/>
  <c r="F15" i="2"/>
  <c r="F35" i="2"/>
  <c r="N26" i="2"/>
  <c r="V40" i="2"/>
  <c r="AD66" i="2"/>
  <c r="Z51" i="2"/>
  <c r="AD48" i="2"/>
  <c r="R13" i="2"/>
  <c r="N14" i="2"/>
  <c r="Z12" i="2"/>
  <c r="Z64" i="2"/>
  <c r="R49" i="2"/>
  <c r="Z49" i="2"/>
  <c r="R67" i="2"/>
  <c r="R53" i="2"/>
  <c r="R51" i="2"/>
  <c r="N39" i="2"/>
  <c r="Z48" i="2"/>
  <c r="V64" i="2"/>
  <c r="V61" i="2"/>
  <c r="F65" i="2"/>
  <c r="J61" i="2"/>
  <c r="R16" i="2"/>
  <c r="R11" i="2"/>
  <c r="R14" i="2"/>
  <c r="J68" i="2"/>
  <c r="N62" i="2"/>
  <c r="Z16" i="2"/>
  <c r="Z7" i="2"/>
  <c r="N18" i="2"/>
  <c r="N16" i="2"/>
  <c r="J29" i="2"/>
  <c r="Z62" i="2"/>
  <c r="J30" i="2"/>
  <c r="J24" i="2"/>
  <c r="J46" i="2"/>
  <c r="F51" i="2"/>
  <c r="Z29" i="2"/>
  <c r="Z71" i="2"/>
  <c r="Z36" i="2"/>
  <c r="AD9" i="2"/>
  <c r="F17" i="2"/>
  <c r="F62" i="2"/>
  <c r="Z70" i="2"/>
  <c r="F20" i="2"/>
  <c r="Z69" i="2"/>
  <c r="Z46" i="2"/>
  <c r="R25" i="2"/>
  <c r="R45" i="2"/>
  <c r="V25" i="2"/>
  <c r="F36" i="2"/>
  <c r="F23" i="2"/>
  <c r="N46" i="2"/>
  <c r="N20" i="2"/>
  <c r="R30" i="2"/>
  <c r="Z24" i="2"/>
  <c r="N40" i="2"/>
  <c r="N33" i="2"/>
  <c r="V28" i="2"/>
  <c r="V70" i="2"/>
  <c r="V41" i="2"/>
  <c r="AD20" i="2"/>
  <c r="N24" i="2"/>
  <c r="AD35" i="2"/>
  <c r="AD22" i="2"/>
  <c r="N54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<sst xmlns="http://schemas.openxmlformats.org/spreadsheetml/2006/main" count="216" uniqueCount="183">
  <si>
    <t>Revenue</t>
  </si>
  <si>
    <t>Gross Profit</t>
  </si>
  <si>
    <t>Reference Items</t>
  </si>
  <si>
    <t>Right click to show data transparency (not supported for all values)</t>
  </si>
  <si>
    <t>Parker-Hannifin Corp (PH US) - BBG Adjusted</t>
  </si>
  <si>
    <t>In Millions of USD except Per Share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</si>
  <si>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</si>
  <si>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</si>
  <si>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</si>
  <si>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</si>
  <si>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</si>
  <si>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</si>
  <si>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</si>
  <si>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</si>
  <si>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</si>
  <si>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</si>
  <si>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</si>
  <si>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</si>
  <si>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</si>
  <si>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</si>
  <si>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</si>
  <si>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</si>
  <si>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</si>
  <si>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</si>
  <si>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</si>
  <si>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</si>
  <si>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</si>
  <si>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</si>
  <si>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</si>
  <si>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</si>
  <si>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</si>
  <si>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Q4 2025</t>
  </si>
  <si>
    <t>Q1 2026</t>
  </si>
  <si>
    <t>Q2 2026</t>
  </si>
  <si>
    <t>Q3 2026 Est</t>
  </si>
  <si>
    <t>Q4 2026 Est</t>
  </si>
  <si>
    <t>3 Months Ending</t>
  </si>
  <si>
    <t>03/31/2019</t>
  </si>
  <si>
    <t>06/30/2019</t>
  </si>
  <si>
    <t>09/30/2019</t>
  </si>
  <si>
    <t>12/31/2019</t>
  </si>
  <si>
    <t>03/31/2020</t>
  </si>
  <si>
    <t>06/30/2020</t>
  </si>
  <si>
    <t>09/30/2020</t>
  </si>
  <si>
    <t>12/31/2020</t>
  </si>
  <si>
    <t>03/31/2021</t>
  </si>
  <si>
    <t>06/30/2021</t>
  </si>
  <si>
    <t>09/30/2021</t>
  </si>
  <si>
    <t>12/31/2021</t>
  </si>
  <si>
    <t>03/31/2022</t>
  </si>
  <si>
    <t>06/30/2022</t>
  </si>
  <si>
    <t>09/30/2022</t>
  </si>
  <si>
    <t>12/31/2022</t>
  </si>
  <si>
    <t>03/31/2023</t>
  </si>
  <si>
    <t>06/30/2023</t>
  </si>
  <si>
    <t>09/30/2023</t>
  </si>
  <si>
    <t>12/31/2023</t>
  </si>
  <si>
    <t>03/31/2024</t>
  </si>
  <si>
    <t>06/30/2024</t>
  </si>
  <si>
    <t>09/30/2024</t>
  </si>
  <si>
    <t>12/31/2024</t>
  </si>
  <si>
    <t>03/31/2025</t>
  </si>
  <si>
    <t>06/30/2025</t>
  </si>
  <si>
    <t>09/30/2025</t>
  </si>
  <si>
    <t>12/31/2025</t>
  </si>
  <si>
    <t>03/31/2026</t>
  </si>
  <si>
    <t>06/30/2026</t>
  </si>
  <si>
    <t>SALES_REV_TURN</t>
  </si>
  <si>
    <t xml:space="preserve">    + Sales &amp; Services Revenue</t>
  </si>
  <si>
    <t>IS_SALES_AND_SERVICES_REVENUES</t>
  </si>
  <si>
    <t xml:space="preserve">  - Cost of Revenue</t>
  </si>
  <si>
    <t>IS_COGS_TO_FE_AND_PP_AND_G</t>
  </si>
  <si>
    <t xml:space="preserve">    + Cost of Goods &amp; Services</t>
  </si>
  <si>
    <t>IS_COG_AND_SERVICES_SOLD</t>
  </si>
  <si>
    <t>GROSS_PROFIT</t>
  </si>
  <si>
    <t xml:space="preserve">  + Other Operating Income</t>
  </si>
  <si>
    <t>IS_OTHER_OPER_INC</t>
  </si>
  <si>
    <t xml:space="preserve">  - Operating Expenses</t>
  </si>
  <si>
    <t>IS_OPERATING_EXPN</t>
  </si>
  <si>
    <t xml:space="preserve">    + Selling, General &amp; Admin</t>
  </si>
  <si>
    <t>IS_SGA_EXPENSE</t>
  </si>
  <si>
    <t xml:space="preserve">    + Other Operating Expense</t>
  </si>
  <si>
    <t>IS_OTHER_OPERATING_EXPENSES</t>
  </si>
  <si>
    <t>Operating Income (Loss)</t>
  </si>
  <si>
    <t>IS_OPER_INC</t>
  </si>
  <si>
    <t xml:space="preserve">  - Non-Operating (Income) Loss</t>
  </si>
  <si>
    <t>IS_NONOP_INCOME_LOSS</t>
  </si>
  <si>
    <t xml:space="preserve">    + Interest Expense</t>
  </si>
  <si>
    <t>IS_INT_EXPENSE</t>
  </si>
  <si>
    <t xml:space="preserve">    + Other Non-Op (Income) Loss</t>
  </si>
  <si>
    <t>IS_OTHER_NON_OPERATING_INC_LOSS</t>
  </si>
  <si>
    <t>Pretax Income (Loss), Adjusted</t>
  </si>
  <si>
    <t>PRETAX_INC</t>
  </si>
  <si>
    <t xml:space="preserve">  - Abnormal Losses (Gains)</t>
  </si>
  <si>
    <t>IS_ABNORMAL_ITEM</t>
  </si>
  <si>
    <t xml:space="preserve">    + Merger/Acquisition Expense</t>
  </si>
  <si>
    <t>IS_MERGER_ACQUISITION_EXPENSE</t>
  </si>
  <si>
    <t xml:space="preserve">    + Abnormal Derivatives</t>
  </si>
  <si>
    <t>IS_DERIVATIVES_HEDGING</t>
  </si>
  <si>
    <t xml:space="preserve">    + Disposal of Assets</t>
  </si>
  <si>
    <t>IS_GAIN_LOSS_DISPOSAL_ASSETS</t>
  </si>
  <si>
    <t xml:space="preserve">    + Early Extinguishment of Debt</t>
  </si>
  <si>
    <t>IS_G_L_ON_EXT_DBT_OR_SETTLE_DBT</t>
  </si>
  <si>
    <t xml:space="preserve">    + Gain/Loss on Sale/Acquisition of Business</t>
  </si>
  <si>
    <t>IS_SALE_OF_BUSINESS</t>
  </si>
  <si>
    <t xml:space="preserve">    + Legal Settlement</t>
  </si>
  <si>
    <t>IS_LEGAL_LITIGATION_SETTLEMENT</t>
  </si>
  <si>
    <t xml:space="preserve">    + Restructuring</t>
  </si>
  <si>
    <t>IS_RESTRUCTURING_EXPENSES</t>
  </si>
  <si>
    <t xml:space="preserve">    + Sale of Investments</t>
  </si>
  <si>
    <t>IS_GAIN_LOSS_ON_INVESTMENTS</t>
  </si>
  <si>
    <t xml:space="preserve">    + Unrealized Investments</t>
  </si>
  <si>
    <t>IS_UNREALIZED_INVESTMENTS</t>
  </si>
  <si>
    <t xml:space="preserve">    + Other Abnormal Items</t>
  </si>
  <si>
    <t>IS_OTHER_ONE_TIME_ITEMS</t>
  </si>
  <si>
    <t>Pretax Income (Loss), GAAP</t>
  </si>
  <si>
    <t xml:space="preserve">  - Income Tax Expense (Benefit)</t>
  </si>
  <si>
    <t>IS_INC_TAX_EXP</t>
  </si>
  <si>
    <t>Income (Loss) from Cont Ops</t>
  </si>
  <si>
    <t>IS_INC_BEF_XO_ITEM</t>
  </si>
  <si>
    <t xml:space="preserve">  - Net Extraordinary Losses (Gains)</t>
  </si>
  <si>
    <t>XO_GL_NET_OF_TAX</t>
  </si>
  <si>
    <t xml:space="preserve">    + Discontinued Operations</t>
  </si>
  <si>
    <t>IS_DISCONTINUED_OPERATIONS</t>
  </si>
  <si>
    <t xml:space="preserve">    + XO &amp; Accounting Changes</t>
  </si>
  <si>
    <t>EXTRAORD_ITEMS_ACCOUNTING_CHANGS</t>
  </si>
  <si>
    <t>Income (Loss) Incl. MI</t>
  </si>
  <si>
    <t>NI_INCLUDING_MINORITY_INT_RATIO</t>
  </si>
  <si>
    <t xml:space="preserve">  - Minority Interest</t>
  </si>
  <si>
    <t>MIN_NONCONTROL_INTEREST_CREDITS</t>
  </si>
  <si>
    <t>Net Income, GAAP</t>
  </si>
  <si>
    <t>NET_INCOME</t>
  </si>
  <si>
    <t xml:space="preserve">  - Preferred Dividends</t>
  </si>
  <si>
    <t>IS_TOT_CASH_PFD_DVD</t>
  </si>
  <si>
    <t xml:space="preserve">  - Other Adjustments</t>
  </si>
  <si>
    <t>OTHER_ADJUSTMENTS</t>
  </si>
  <si>
    <t>Net Income Avail to Common, GAAP</t>
  </si>
  <si>
    <t>EARN_FOR_COMMON</t>
  </si>
  <si>
    <t>Net Income Avail to Common, Adj</t>
  </si>
  <si>
    <t xml:space="preserve">  Net Abnormal Losses (Gains)</t>
  </si>
  <si>
    <t>IS_NET_ABNORMAL_ITEMS</t>
  </si>
  <si>
    <t xml:space="preserve">  Net Extraordinary Losses (Gains)</t>
  </si>
  <si>
    <t>Basic Weighted Avg Shares</t>
  </si>
  <si>
    <t>IS_AVG_NUM_SH_FOR_EPS</t>
  </si>
  <si>
    <t>Basic EPS, GAAP</t>
  </si>
  <si>
    <t>IS_EPS</t>
  </si>
  <si>
    <t>Basic EPS from Cont Ops, GAAP</t>
  </si>
  <si>
    <t>IS_EARN_BEF_XO_ITEMS_PER_SH</t>
  </si>
  <si>
    <t>Basic EPS from Cont Ops, Adjusted</t>
  </si>
  <si>
    <t>IS_BASIC_EPS_CONT_OPS</t>
  </si>
  <si>
    <t>Diluted Weighted Avg Shares</t>
  </si>
  <si>
    <t>IS_SH_FOR_DILUTED_EPS</t>
  </si>
  <si>
    <t>Diluted EPS, GAAP</t>
  </si>
  <si>
    <t>IS_DILUTED_EPS</t>
  </si>
  <si>
    <t>Diluted EPS from Cont Ops, GAAP</t>
  </si>
  <si>
    <t>IS_DIL_EPS_BEF_XO</t>
  </si>
  <si>
    <t>Diluted EPS from Cont Ops, Adjusted</t>
  </si>
  <si>
    <t>IS_DIL_EPS_CONT_OPS</t>
  </si>
  <si>
    <t>Accounting Standard</t>
  </si>
  <si>
    <t>ACCOUNTING_STANDARD</t>
  </si>
  <si>
    <t>US GAAP</t>
  </si>
  <si>
    <t>EBITDA</t>
  </si>
  <si>
    <t>EBITDA Margin (T12M)</t>
  </si>
  <si>
    <t>EBITDA_MARGIN</t>
  </si>
  <si>
    <t>EBITA</t>
  </si>
  <si>
    <t>EBIT</t>
  </si>
  <si>
    <t>Gross Margin</t>
  </si>
  <si>
    <t>GROSS_MARGIN</t>
  </si>
  <si>
    <t>Operating Margin</t>
  </si>
  <si>
    <t>OPER_MARGIN</t>
  </si>
  <si>
    <t>Profit Margin</t>
  </si>
  <si>
    <t>PROF_MARGIN</t>
  </si>
  <si>
    <t>Sales per Employee</t>
  </si>
  <si>
    <t>ACTUAL_SALES_PER_EMPL</t>
  </si>
  <si>
    <t>Dividends per Share</t>
  </si>
  <si>
    <t>EQY_DPS</t>
  </si>
  <si>
    <t>Total Cash Common Dividends</t>
  </si>
  <si>
    <t>IS_TOT_CASH_COM_DVD</t>
  </si>
  <si>
    <t>Depreciation Expense</t>
  </si>
  <si>
    <t>IS_DEPR_EXP</t>
  </si>
  <si>
    <t>Rental Expense</t>
  </si>
  <si>
    <t>BS_CURR_RENTAL_EXPENSE</t>
  </si>
  <si>
    <t>Source: Bloomberg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</si>
</sst>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#,##0.0"/>
  </numFmts>
  <fonts count="29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9"/>
      <name val="Calibri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b/>
      <sz val="16"/>
      <color indexed="9"/>
      <name val="Arial"/>
      <family val="2"/>
    </font>
    <font>
      <sz val="10"/>
      <name val="Calibri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i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60">
    <xf numFmtId="0" fontId="0" fillId="0" borderId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0" fontId="28" fillId="12" borderId="0" applyNumberFormat="0" applyBorder="0" applyAlignment="0" applyProtection="0"/>
    <xf numFmtId="0" fontId="28" fillId="16" borderId="0" applyNumberFormat="0" applyBorder="0" applyAlignment="0" applyProtection="0"/>
    <xf numFmtId="0" fontId="28" fillId="20" borderId="0" applyNumberFormat="0" applyBorder="0" applyAlignment="0" applyProtection="0"/>
    <xf numFmtId="0" fontId="28" fillId="24" borderId="0" applyNumberFormat="0" applyBorder="0" applyAlignment="0" applyProtection="0"/>
    <xf numFmtId="0" fontId="28" fillId="28" borderId="0" applyNumberFormat="0" applyBorder="0" applyAlignment="0" applyProtection="0"/>
    <xf numFmtId="0" fontId="28" fillId="32" borderId="0" applyNumberFormat="0" applyBorder="0" applyAlignment="0" applyProtection="0"/>
    <xf numFmtId="0" fontId="28" fillId="9" borderId="0" applyNumberFormat="0" applyBorder="0" applyAlignment="0" applyProtection="0"/>
    <xf numFmtId="0" fontId="28" fillId="13" borderId="0" applyNumberFormat="0" applyBorder="0" applyAlignment="0" applyProtection="0"/>
    <xf numFmtId="0" fontId="28" fillId="17" borderId="0" applyNumberFormat="0" applyBorder="0" applyAlignment="0" applyProtection="0"/>
    <xf numFmtId="0" fontId="28" fillId="21" borderId="0" applyNumberFormat="0" applyBorder="0" applyAlignment="0" applyProtection="0"/>
    <xf numFmtId="0" fontId="28" fillId="25" borderId="0" applyNumberFormat="0" applyBorder="0" applyAlignment="0" applyProtection="0"/>
    <xf numFmtId="0" fontId="28" fillId="29" borderId="0" applyNumberFormat="0" applyBorder="0" applyAlignment="0" applyProtection="0"/>
    <xf numFmtId="0" fontId="18" fillId="3" borderId="0" applyNumberFormat="0" applyBorder="0" applyAlignment="0" applyProtection="0"/>
    <xf numFmtId="0" fontId="2" fillId="33" borderId="0"/>
    <xf numFmtId="0" fontId="22" fillId="6" borderId="9" applyNumberFormat="0" applyAlignment="0" applyProtection="0"/>
    <xf numFmtId="0" fontId="24" fillId="7" borderId="12" applyNumberFormat="0" applyAlignment="0" applyProtection="0"/>
    <xf numFmtId="0" fontId="26" fillId="0" borderId="0" applyNumberFormat="0" applyFill="0" applyBorder="0" applyAlignment="0" applyProtection="0"/>
    <xf numFmtId="0" fontId="7" fillId="33" borderId="1">
      <alignment horizontal="right"/>
    </xf>
    <xf numFmtId="0" fontId="6" fillId="34" borderId="0" applyNumberFormat="0" applyBorder="0" applyProtection="0">
      <alignment horizontal="center"/>
    </xf>
    <xf numFmtId="0" fontId="7" fillId="33" borderId="3">
      <alignment horizontal="right"/>
    </xf>
    <xf numFmtId="0" fontId="7" fillId="33" borderId="3">
      <alignment horizontal="left"/>
    </xf>
    <xf numFmtId="0" fontId="11" fillId="35" borderId="4" applyNumberFormat="0" applyAlignment="0" applyProtection="0"/>
    <xf numFmtId="0" fontId="8" fillId="34" borderId="5"/>
    <xf numFmtId="0" fontId="10" fillId="34" borderId="5"/>
    <xf numFmtId="0" fontId="9" fillId="34" borderId="5"/>
    <xf numFmtId="0" fontId="17" fillId="2" borderId="0" applyNumberFormat="0" applyBorder="0" applyAlignment="0" applyProtection="0"/>
    <xf numFmtId="0" fontId="14" fillId="0" borderId="6" applyNumberFormat="0" applyFill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6" fillId="0" borderId="0" applyNumberFormat="0" applyFill="0" applyBorder="0" applyAlignment="0" applyProtection="0"/>
    <xf numFmtId="0" fontId="20" fillId="5" borderId="9" applyNumberFormat="0" applyAlignment="0" applyProtection="0"/>
    <xf numFmtId="0" fontId="23" fillId="0" borderId="11" applyNumberFormat="0" applyFill="0" applyAlignment="0" applyProtection="0"/>
    <xf numFmtId="0" fontId="19" fillId="4" borderId="0" applyNumberFormat="0" applyBorder="0" applyAlignment="0" applyProtection="0"/>
    <xf numFmtId="0" fontId="12" fillId="8" borderId="13" applyNumberFormat="0" applyFont="0" applyAlignment="0" applyProtection="0"/>
    <xf numFmtId="0" fontId="21" fillId="6" borderId="10" applyNumberFormat="0" applyAlignment="0" applyProtection="0"/>
    <xf numFmtId="0" fontId="13" fillId="0" borderId="0" applyNumberFormat="0" applyFill="0" applyBorder="0" applyAlignment="0" applyProtection="0"/>
    <xf numFmtId="0" fontId="27" fillId="0" borderId="14" applyNumberFormat="0" applyFill="0" applyAlignment="0" applyProtection="0"/>
    <xf numFmtId="0" fontId="25" fillId="0" borderId="0" applyNumberFormat="0" applyFill="0" applyBorder="0" applyAlignment="0" applyProtection="0"/>
    <xf numFmtId="0" fontId="5" fillId="33" borderId="15" applyNumberFormat="0" applyProtection="0">
      <alignment horizontal="left" vertical="center" readingOrder="1"/>
    </xf>
    <xf numFmtId="0" fontId="7" fillId="33" borderId="1">
      <alignment horizontal="left"/>
    </xf>
    <xf numFmtId="3" fontId="1" fillId="34" borderId="2">
      <alignment horizontal="right"/>
    </xf>
    <xf numFmtId="171" fontId="1" fillId="34" borderId="2">
      <alignment horizontal="right"/>
    </xf>
    <xf numFmtId="4" fontId="1" fillId="34" borderId="2">
      <alignment horizontal="right"/>
    </xf>
    <xf numFmtId="3" fontId="8" fillId="34" borderId="2">
      <alignment horizontal="right"/>
    </xf>
    <xf numFmtId="171" fontId="8" fillId="34" borderId="2">
      <alignment horizontal="right"/>
    </xf>
    <xf numFmtId="4" fontId="8" fillId="34" borderId="2">
      <alignment horizontal="right"/>
    </xf>
    <xf numFmtId="171" fontId="11" fillId="34" borderId="2">
      <alignment horizontal="right"/>
    </xf>
  </cellStyleXfs>
  <cellXfs count="19">
    <xf numFmtId="0" fontId="0" fillId="0" borderId="0" xfId="0"/>
    <xf numFmtId="0" fontId="2" fillId="33" borderId="0" xfId="26" applyNumberFormat="1" applyFont="1" applyFill="1" applyBorder="1" applyAlignment="1" applyProtection="1"/>
    <xf numFmtId="0" fontId="6" fillId="34" borderId="0" xfId="31" applyFont="1" applyFill="1" applyAlignment="1">
      <alignment horizontal="center"/>
    </xf>
    <xf numFmtId="0" fontId="7" fillId="33" borderId="3" xfId="33" applyNumberFormat="1" applyFont="1" applyFill="1" applyBorder="1" applyAlignment="1" applyProtection="1">
      <alignment horizontal="left"/>
    </xf>
    <xf numFmtId="0" fontId="7" fillId="33" borderId="3" xfId="32" applyNumberFormat="1" applyFont="1" applyFill="1" applyBorder="1" applyAlignment="1" applyProtection="1">
      <alignment horizontal="right"/>
    </xf>
    <xf numFmtId="0" fontId="7" fillId="33" borderId="1" xfId="30" applyNumberFormat="1" applyFont="1" applyFill="1" applyBorder="1" applyAlignment="1" applyProtection="1">
      <alignment horizontal="right"/>
    </xf>
    <xf numFmtId="0" fontId="8" fillId="34" borderId="5" xfId="35" applyNumberFormat="1" applyFont="1" applyFill="1" applyBorder="1" applyAlignment="1" applyProtection="1"/>
    <xf numFmtId="0" fontId="11" fillId="35" borderId="4" xfId="34" applyFont="1" applyFill="1" applyBorder="1"/>
    <xf numFmtId="0" fontId="5" fillId="33" borderId="15" xfId="51" applyFont="1" applyFill="1" applyBorder="1" applyAlignment="1">
      <alignment horizontal="left" vertical="center" readingOrder="1"/>
    </xf>
    <xf numFmtId="0" fontId="7" fillId="33" borderId="1" xfId="52">
      <alignment horizontal="left"/>
    </xf>
    <xf numFmtId="0" fontId="3" fillId="34" borderId="5" xfId="37" applyNumberFormat="1" applyFont="1" applyFill="1" applyBorder="1" applyAlignment="1" applyProtection="1"/>
    <xf numFmtId="0" fontId="4" fillId="34" borderId="5" xfId="36" applyNumberFormat="1" applyFont="1" applyFill="1" applyBorder="1" applyAlignment="1" applyProtection="1"/>
    <xf numFmtId="3" fontId="1" fillId="34" borderId="2" xfId="53" applyNumberFormat="1" applyFont="1" applyFill="1" applyBorder="1" applyAlignment="1" applyProtection="1">
      <alignment horizontal="right"/>
    </xf>
    <xf numFmtId="171" fontId="1" fillId="34" borderId="2" xfId="54" applyNumberFormat="1" applyFont="1" applyFill="1" applyBorder="1" applyAlignment="1" applyProtection="1">
      <alignment horizontal="right"/>
    </xf>
    <xf numFmtId="4" fontId="1" fillId="34" borderId="2" xfId="55" applyNumberFormat="1" applyFont="1" applyFill="1" applyBorder="1" applyAlignment="1" applyProtection="1">
      <alignment horizontal="right"/>
    </xf>
    <xf numFmtId="3" fontId="8" fillId="34" borderId="2" xfId="56" applyNumberFormat="1" applyFont="1" applyFill="1" applyBorder="1" applyAlignment="1" applyProtection="1">
      <alignment horizontal="right"/>
    </xf>
    <xf numFmtId="171" fontId="8" fillId="34" borderId="2" xfId="57" applyNumberFormat="1" applyFont="1" applyFill="1" applyBorder="1" applyAlignment="1" applyProtection="1">
      <alignment horizontal="right"/>
    </xf>
    <xf numFmtId="4" fontId="8" fillId="34" borderId="2" xfId="58" applyNumberFormat="1" applyFont="1" applyFill="1" applyBorder="1" applyAlignment="1" applyProtection="1">
      <alignment horizontal="right"/>
    </xf>
    <xf numFmtId="171" fontId="11" fillId="34" borderId="2" xfId="59" applyNumberFormat="1" applyFont="1" applyFill="1" applyBorder="1" applyAlignment="1" applyProtection="1">
      <alignment horizontal="right"/>
    </xf>
  </cellXfs>
  <cellStyles count="60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title_header_row_left" xfId="51" xr:uid="{00000000-0005-0000-0000-00001A000000}"/>
    <cellStyle name="Calculation" xfId="27" builtinId="22" customBuiltin="1"/>
    <cellStyle name="Check Cell" xfId="28" builtinId="23" customBuiltin="1"/>
    <cellStyle name="Explanatory Text" xfId="29" builtinId="53" customBuiltin="1"/>
    <cellStyle name="fa_column_header_bottom" xfId="30" xr:uid="{00000000-0005-0000-0000-00001E000000}"/>
    <cellStyle name="fa_column_header_bottom_left" xfId="52" xr:uid="{00000000-0005-0000-0000-00001F000000}"/>
    <cellStyle name="fa_column_header_empty" xfId="31" xr:uid="{00000000-0005-0000-0000-000020000000}"/>
    <cellStyle name="fa_column_header_top" xfId="32" xr:uid="{00000000-0005-0000-0000-000021000000}"/>
    <cellStyle name="fa_column_header_top_left" xfId="33" xr:uid="{00000000-0005-0000-0000-000022000000}"/>
    <cellStyle name="fa_data_bold_0_grouped" xfId="56" xr:uid="{00000000-0005-0000-0000-000023000000}"/>
    <cellStyle name="fa_data_bold_1_grouped" xfId="57" xr:uid="{00000000-0005-0000-0000-000024000000}"/>
    <cellStyle name="fa_data_bold_2_grouped" xfId="58" xr:uid="{00000000-0005-0000-0000-000025000000}"/>
    <cellStyle name="fa_data_italic_1_grouped" xfId="59" xr:uid="{00000000-0005-0000-0000-000026000000}"/>
    <cellStyle name="fa_data_standard_0_grouped" xfId="53" xr:uid="{00000000-0005-0000-0000-000027000000}"/>
    <cellStyle name="fa_data_standard_1_grouped" xfId="54" xr:uid="{00000000-0005-0000-0000-000028000000}"/>
    <cellStyle name="fa_data_standard_2_grouped" xfId="55" xr:uid="{00000000-0005-0000-0000-000029000000}"/>
    <cellStyle name="fa_footer_italic" xfId="34" xr:uid="{00000000-0005-0000-0000-00002A000000}"/>
    <cellStyle name="fa_row_header_bold" xfId="35" xr:uid="{00000000-0005-0000-0000-00002B000000}"/>
    <cellStyle name="fa_row_header_italic" xfId="36" xr:uid="{00000000-0005-0000-0000-00002C000000}"/>
    <cellStyle name="fa_row_header_standard" xfId="37" xr:uid="{00000000-0005-0000-0000-00002D000000}"/>
    <cellStyle name="Good" xfId="38" builtinId="26" customBuiltin="1"/>
    <cellStyle name="Heading 1" xfId="39" builtinId="16" customBuiltin="1"/>
    <cellStyle name="Heading 2" xfId="40" builtinId="17" customBuiltin="1"/>
    <cellStyle name="Heading 3" xfId="41" builtinId="18" customBuiltin="1"/>
    <cellStyle name="Heading 4" xfId="42" builtinId="19" customBuiltin="1"/>
    <cellStyle name="Input" xfId="43" builtinId="20" customBuiltin="1"/>
    <cellStyle name="Linked Cell" xfId="44" builtinId="24" customBuiltin="1"/>
    <cellStyle name="Neutral" xfId="45" builtinId="28" customBuiltin="1"/>
    <cellStyle name="Normal" xfId="0" builtinId="0"/>
    <cellStyle name="Note" xfId="46" builtinId="10" customBuiltin="1"/>
    <cellStyle name="Output" xfId="47" builtinId="21" customBuiltin="1"/>
    <cellStyle name="Title" xfId="48" builtinId="15" customBuiltin="1"/>
    <cellStyle name="Total" xfId="49" builtinId="25" customBuiltin="1"/>
    <cellStyle name="Warning Text" xfId="50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BDH|11733370970479446654</stp>
        <tr r="O17" s="2"/>
      </tp>
      <tp t="s">
        <v>#N/A N/A</v>
        <stp/>
        <stp>BDH|13177475243821697830</stp>
        <tr r="Q6" s="2"/>
      </tp>
      <tp t="s">
        <v>#N/A N/A</v>
        <stp/>
        <stp>BDH|11552340526112413835</stp>
        <tr r="H55" s="2"/>
      </tp>
      <tp t="s">
        <v>#N/A N/A</v>
        <stp/>
        <stp>BDH|18383238416289068861</stp>
        <tr r="R36" s="2"/>
      </tp>
      <tp t="s">
        <v>#N/A N/A</v>
        <stp/>
        <stp>BDH|15893505299844494758</stp>
        <tr r="E19" s="2"/>
      </tp>
      <tp t="s">
        <v>#N/A N/A</v>
        <stp/>
        <stp>BDH|14091271009055483990</stp>
        <tr r="P24" s="2"/>
      </tp>
      <tp t="s">
        <v>#N/A N/A</v>
        <stp/>
        <stp>BDH|10080824441786576047</stp>
        <tr r="Y12" s="2"/>
      </tp>
      <tp t="s">
        <v>#N/A N/A</v>
        <stp/>
        <stp>BDH|11749029522728325160</stp>
        <tr r="J33" s="2"/>
      </tp>
      <tp t="s">
        <v>#N/A N/A</v>
        <stp/>
        <stp>BDH|16378608220870867892</stp>
        <tr r="Z22" s="2"/>
      </tp>
      <tp t="s">
        <v>#N/A N/A</v>
        <stp/>
        <stp>BDH|11980199067079017529</stp>
        <tr r="V44" s="2"/>
      </tp>
      <tp t="s">
        <v>#N/A N/A</v>
        <stp/>
        <stp>BDH|12489304136701555923</stp>
        <tr r="C68" s="2"/>
      </tp>
      <tp t="s">
        <v>#N/A N/A</v>
        <stp/>
        <stp>BDH|14687806635994205143</stp>
        <tr r="G50" s="2"/>
      </tp>
      <tp t="s">
        <v>#N/A N/A</v>
        <stp/>
        <stp>BDH|17192020853598397071</stp>
        <tr r="AC22" s="2"/>
      </tp>
      <tp t="s">
        <v>#N/A N/A</v>
        <stp/>
        <stp>BDH|14558873557903136035</stp>
        <tr r="Z15" s="2"/>
      </tp>
      <tp t="s">
        <v>#N/A N/A</v>
        <stp/>
        <stp>BDH|17684108771238516351</stp>
        <tr r="L35" s="2"/>
      </tp>
      <tp t="s">
        <v>#N/A N/A</v>
        <stp/>
        <stp>BDH|14869894246964467652</stp>
        <tr r="D69" s="2"/>
      </tp>
      <tp t="s">
        <v>#N/A N/A</v>
        <stp/>
        <stp>BDH|16087580107779347057</stp>
        <tr r="E55" s="2"/>
      </tp>
      <tp t="s">
        <v>#N/A N/A</v>
        <stp/>
        <stp>BDH|15082240078463021959</stp>
        <tr r="E39" s="2"/>
      </tp>
      <tp t="s">
        <v>#N/A N/A</v>
        <stp/>
        <stp>BDH|12669817553031943440</stp>
        <tr r="H31" s="2"/>
      </tp>
      <tp t="s">
        <v>#N/A N/A</v>
        <stp/>
        <stp>BDH|14762483958728811779</stp>
        <tr r="O36" s="2"/>
      </tp>
      <tp t="s">
        <v>#N/A N/A</v>
        <stp/>
        <stp>BDH|15371099428754256982</stp>
        <tr r="G16" s="2"/>
      </tp>
      <tp t="s">
        <v>#N/A N/A</v>
        <stp/>
        <stp>BDH|13439826330752924073</stp>
        <tr r="AD24" s="2"/>
      </tp>
      <tp t="s">
        <v>#N/A N/A</v>
        <stp/>
        <stp>BDH|11982885439299449949</stp>
        <tr r="S22" s="2"/>
      </tp>
      <tp t="s">
        <v>#N/A N/A</v>
        <stp/>
        <stp>BDH|14670962967759883843</stp>
        <tr r="N45" s="2"/>
      </tp>
      <tp t="s">
        <v>#N/A N/A</v>
        <stp/>
        <stp>BDH|16480288964829356103</stp>
        <tr r="X23" s="2"/>
      </tp>
      <tp t="s">
        <v>#N/A N/A</v>
        <stp/>
        <stp>BDH|13718901269562233478</stp>
        <tr r="R9" s="2"/>
      </tp>
      <tp t="s">
        <v>#N/A N/A</v>
        <stp/>
        <stp>BDH|17145683853208895699</stp>
        <tr r="X69" s="2"/>
      </tp>
      <tp t="s">
        <v>#N/A N/A</v>
        <stp/>
        <stp>BDH|15309719729898125216</stp>
        <tr r="T33" s="2"/>
      </tp>
      <tp t="s">
        <v>#N/A N/A</v>
        <stp/>
        <stp>BDH|12279378098504216651</stp>
        <tr r="N51" s="2"/>
      </tp>
      <tp t="s">
        <v>#N/A N/A</v>
        <stp/>
        <stp>BDH|17057684075369151564</stp>
        <tr r="Q8" s="2"/>
      </tp>
      <tp t="s">
        <v>#N/A N/A</v>
        <stp/>
        <stp>BDH|17235819059289119919</stp>
        <tr r="S71" s="2"/>
      </tp>
      <tp t="s">
        <v>#N/A N/A</v>
        <stp/>
        <stp>BDH|10361497880082554453</stp>
        <tr r="AA54" s="2"/>
      </tp>
      <tp t="s">
        <v>#N/A N/A</v>
        <stp/>
        <stp>BDH|18339634416962253798</stp>
        <tr r="I27" s="2"/>
      </tp>
      <tp t="s">
        <v>#N/A N/A</v>
        <stp/>
        <stp>BDH|10802911713645276757</stp>
        <tr r="AA71" s="2"/>
      </tp>
      <tp t="s">
        <v>#N/A N/A</v>
        <stp/>
        <stp>BDH|10431513602419166699</stp>
        <tr r="AB49" s="2"/>
      </tp>
      <tp t="s">
        <v>#N/A N/A</v>
        <stp/>
        <stp>BDH|13614976643870540487</stp>
        <tr r="Y9" s="2"/>
      </tp>
      <tp t="s">
        <v>#N/A N/A</v>
        <stp/>
        <stp>BDH|16592118032759004794</stp>
        <tr r="U40" s="2"/>
      </tp>
      <tp t="s">
        <v>#N/A N/A</v>
        <stp/>
        <stp>BDH|13619446899426339270</stp>
        <tr r="AA64" s="2"/>
      </tp>
      <tp t="s">
        <v>#N/A N/A</v>
        <stp/>
        <stp>BDH|11814864005625183640</stp>
        <tr r="Q53" s="2"/>
      </tp>
      <tp t="s">
        <v>#N/A N/A</v>
        <stp/>
        <stp>BDH|14737509546098706789</stp>
        <tr r="J53" s="2"/>
      </tp>
      <tp t="s">
        <v>#N/A N/A</v>
        <stp/>
        <stp>BDH|11728199718819873204</stp>
        <tr r="R13" s="2"/>
      </tp>
      <tp t="s">
        <v>#N/A N/A</v>
        <stp/>
        <stp>BDH|14998472076239789411</stp>
        <tr r="AC66" s="2"/>
      </tp>
      <tp t="s">
        <v>#N/A N/A</v>
        <stp/>
        <stp>BDH|18258556696367920967</stp>
        <tr r="N39" s="2"/>
      </tp>
      <tp t="s">
        <v>#N/A N/A</v>
        <stp/>
        <stp>BDH|16278790007098245307</stp>
        <tr r="G9" s="2"/>
      </tp>
      <tp t="s">
        <v>#N/A N/A</v>
        <stp/>
        <stp>BDH|15015175084942616543</stp>
        <tr r="H69" s="2"/>
      </tp>
      <tp t="s">
        <v>#N/A N/A</v>
        <stp/>
        <stp>BDH|17465331292653753525</stp>
        <tr r="Q40" s="2"/>
      </tp>
      <tp t="s">
        <v>#N/A N/A</v>
        <stp/>
        <stp>BDH|14431544091114672770</stp>
        <tr r="AD6" s="2"/>
      </tp>
      <tp t="s">
        <v>#N/A N/A</v>
        <stp/>
        <stp>BDH|10386912675940403535</stp>
        <tr r="AD9" s="2"/>
      </tp>
      <tp t="s">
        <v>#N/A N/A</v>
        <stp/>
        <stp>BDH|15896949420190626598</stp>
        <tr r="AA44" s="2"/>
      </tp>
      <tp t="s">
        <v>#N/A N/A</v>
        <stp/>
        <stp>BDH|13557730687241250604</stp>
        <tr r="I66" s="2"/>
      </tp>
      <tp t="s">
        <v>#N/A N/A</v>
        <stp/>
        <stp>BDH|13295751555402691873</stp>
        <tr r="C36" s="2"/>
      </tp>
      <tp t="s">
        <v>#N/A N/A</v>
        <stp/>
        <stp>BDH|16693920321126820095</stp>
        <tr r="D63" s="2"/>
      </tp>
      <tp t="s">
        <v>#N/A N/A</v>
        <stp/>
        <stp>BDH|10978437343418870350</stp>
        <tr r="K44" s="2"/>
      </tp>
      <tp t="s">
        <v>#N/A N/A</v>
        <stp/>
        <stp>BDH|12087071748159901410</stp>
        <tr r="U70" s="2"/>
      </tp>
      <tp t="s">
        <v>#N/A N/A</v>
        <stp/>
        <stp>BDH|11358332836732890896</stp>
        <tr r="Q71" s="2"/>
      </tp>
      <tp t="s">
        <v>#N/A N/A</v>
        <stp/>
        <stp>BDH|18231368240755755153</stp>
        <tr r="I19" s="2"/>
      </tp>
      <tp t="s">
        <v>#N/A N/A</v>
        <stp/>
        <stp>BDH|15703976693139005754</stp>
        <tr r="P21" s="2"/>
      </tp>
      <tp t="s">
        <v>#N/A N/A</v>
        <stp/>
        <stp>BDH|18189065819937959514</stp>
        <tr r="L51" s="2"/>
      </tp>
      <tp t="s">
        <v>#N/A N/A</v>
        <stp/>
        <stp>BDH|16725919209280552437</stp>
        <tr r="H23" s="2"/>
      </tp>
      <tp t="s">
        <v>#N/A N/A</v>
        <stp/>
        <stp>BDH|16355689320801638847</stp>
        <tr r="S21" s="2"/>
      </tp>
      <tp t="s">
        <v>#N/A N/A</v>
        <stp/>
        <stp>BDH|10383973905007156586</stp>
        <tr r="L20" s="2"/>
      </tp>
      <tp t="s">
        <v>#N/A N/A</v>
        <stp/>
        <stp>BDH|15082868468886245673</stp>
        <tr r="M66" s="2"/>
      </tp>
      <tp t="s">
        <v>#N/A N/A</v>
        <stp/>
        <stp>BDH|10284752678828575314</stp>
        <tr r="Q61" s="2"/>
      </tp>
      <tp t="s">
        <v>#N/A N/A</v>
        <stp/>
        <stp>BDH|13984961162356333158</stp>
        <tr r="T60" s="2"/>
      </tp>
      <tp t="s">
        <v>#N/A N/A</v>
        <stp/>
        <stp>BDH|14793356288044981081</stp>
        <tr r="V21" s="2"/>
      </tp>
      <tp t="s">
        <v>#N/A N/A</v>
        <stp/>
        <stp>BDH|10066846517494071699</stp>
        <tr r="F41" s="2"/>
      </tp>
      <tp t="s">
        <v>#N/A N/A</v>
        <stp/>
        <stp>BDH|14286480151466557840</stp>
        <tr r="F42" s="2"/>
      </tp>
      <tp t="s">
        <v>#N/A N/A</v>
        <stp/>
        <stp>BDH|10652772652429829012</stp>
        <tr r="F56" s="2"/>
      </tp>
      <tp t="s">
        <v>#N/A N/A</v>
        <stp/>
        <stp>BDH|16664470446799843455</stp>
        <tr r="J21" s="2"/>
      </tp>
      <tp t="s">
        <v>#N/A N/A</v>
        <stp/>
        <stp>BDH|14127164281090937652</stp>
        <tr r="P41" s="2"/>
      </tp>
      <tp t="s">
        <v>#N/A N/A</v>
        <stp/>
        <stp>BDH|16343953826297910133</stp>
        <tr r="H29" s="2"/>
      </tp>
      <tp t="s">
        <v>#N/A N/A</v>
        <stp/>
        <stp>BDH|16223421715181149999</stp>
        <tr r="V34" s="2"/>
        <tr r="V46" s="2"/>
      </tp>
      <tp t="s">
        <v>#N/A N/A</v>
        <stp/>
        <stp>BDH|17792410771717347895</stp>
        <tr r="G17" s="2"/>
      </tp>
      <tp t="s">
        <v>#N/A N/A</v>
        <stp/>
        <stp>BDH|15058528298207475527</stp>
        <tr r="AB46" s="2"/>
        <tr r="AB34" s="2"/>
      </tp>
      <tp t="s">
        <v>#N/A N/A</v>
        <stp/>
        <stp>BDH|16584924238830727749</stp>
        <tr r="C62" s="2"/>
      </tp>
      <tp t="s">
        <v>#N/A N/A</v>
        <stp/>
        <stp>BDH|18176625953961810147</stp>
        <tr r="Q10" s="2"/>
      </tp>
      <tp t="s">
        <v>#N/A N/A</v>
        <stp/>
        <stp>BDH|10348827079285639127</stp>
        <tr r="AC42" s="2"/>
      </tp>
      <tp t="s">
        <v>#N/A N/A</v>
        <stp/>
        <stp>BDH|13493880050136350303</stp>
        <tr r="O41" s="2"/>
      </tp>
      <tp t="s">
        <v>#N/A N/A</v>
        <stp/>
        <stp>BDH|10215017091262529084</stp>
        <tr r="L31" s="2"/>
      </tp>
      <tp t="s">
        <v>#N/A N/A</v>
        <stp/>
        <stp>BDH|12691048989494528513</stp>
        <tr r="H64" s="2"/>
      </tp>
      <tp t="s">
        <v>#N/A N/A</v>
        <stp/>
        <stp>BDH|10527930288939066300</stp>
        <tr r="M22" s="2"/>
      </tp>
      <tp t="s">
        <v>#N/A N/A</v>
        <stp/>
        <stp>BDH|14177746847366585963</stp>
        <tr r="R61" s="2"/>
      </tp>
      <tp t="s">
        <v>#N/A N/A</v>
        <stp/>
        <stp>BDH|17296835113773336515</stp>
        <tr r="AC19" s="2"/>
      </tp>
      <tp t="s">
        <v>#N/A N/A</v>
        <stp/>
        <stp>BDH|18117424752337638674</stp>
        <tr r="T53" s="2"/>
      </tp>
      <tp t="s">
        <v>#N/A N/A</v>
        <stp/>
        <stp>BDH|18403227183439225370</stp>
        <tr r="K24" s="2"/>
      </tp>
      <tp t="s">
        <v>#N/A N/A</v>
        <stp/>
        <stp>BDH|10659809004186713658</stp>
        <tr r="I9" s="2"/>
      </tp>
      <tp t="s">
        <v>#N/A N/A</v>
        <stp/>
        <stp>BDH|12366371034578132220</stp>
        <tr r="F19" s="2"/>
      </tp>
      <tp t="s">
        <v>#N/A N/A</v>
        <stp/>
        <stp>BDH|18178478752681017062</stp>
        <tr r="S39" s="2"/>
      </tp>
      <tp t="s">
        <v>#N/A N/A</v>
        <stp/>
        <stp>BDH|17855972278597281673</stp>
        <tr r="G8" s="2"/>
      </tp>
      <tp t="s">
        <v>#N/A N/A</v>
        <stp/>
        <stp>BDH|11667309246469745756</stp>
        <tr r="S61" s="2"/>
      </tp>
      <tp t="s">
        <v>#N/A N/A</v>
        <stp/>
        <stp>BDH|16831219584162666690</stp>
        <tr r="V13" s="2"/>
      </tp>
      <tp t="s">
        <v>#N/A N/A</v>
        <stp/>
        <stp>BDH|13525011547756957983</stp>
        <tr r="AB15" s="2"/>
      </tp>
      <tp t="s">
        <v>#N/A N/A</v>
        <stp/>
        <stp>BDH|12397957770917714332</stp>
        <tr r="AC14" s="2"/>
      </tp>
      <tp t="s">
        <v>#N/A N/A</v>
        <stp/>
        <stp>BDH|17812816547920834349</stp>
        <tr r="H30" s="2"/>
      </tp>
      <tp t="s">
        <v>#N/A N/A</v>
        <stp/>
        <stp>BDH|15054834038406741098</stp>
        <tr r="AD33" s="2"/>
      </tp>
      <tp t="s">
        <v>#N/A N/A</v>
        <stp/>
        <stp>BDH|13311922336708356912</stp>
        <tr r="E51" s="2"/>
      </tp>
      <tp t="s">
        <v>#N/A N/A</v>
        <stp/>
        <stp>BDH|15677730439011804815</stp>
        <tr r="F16" s="2"/>
      </tp>
      <tp t="s">
        <v>#N/A N/A</v>
        <stp/>
        <stp>BDH|16357836514765488259</stp>
        <tr r="N44" s="2"/>
      </tp>
      <tp t="s">
        <v>#N/A N/A</v>
        <stp/>
        <stp>BDH|14590731553728505645</stp>
        <tr r="Q34" s="2"/>
        <tr r="Q46" s="2"/>
      </tp>
      <tp t="s">
        <v>#N/A N/A</v>
        <stp/>
        <stp>BDH|15672883758020687045</stp>
        <tr r="I40" s="2"/>
      </tp>
      <tp t="s">
        <v>#N/A N/A</v>
        <stp/>
        <stp>BDH|12717172734340346838</stp>
        <tr r="E63" s="2"/>
      </tp>
      <tp t="s">
        <v>#N/A N/A</v>
        <stp/>
        <stp>BDH|18163535510390000461</stp>
        <tr r="AA49" s="2"/>
      </tp>
      <tp t="s">
        <v>#N/A N/A</v>
        <stp/>
        <stp>BDH|14194359900399204627</stp>
        <tr r="E9" s="2"/>
      </tp>
      <tp t="s">
        <v>#N/A N/A</v>
        <stp/>
        <stp>BDH|14072969177430275244</stp>
        <tr r="I70" s="2"/>
      </tp>
      <tp t="s">
        <v>#N/A N/A</v>
        <stp/>
        <stp>BDH|16115325071138391260</stp>
        <tr r="Z37" s="2"/>
      </tp>
      <tp t="s">
        <v>#N/A N/A</v>
        <stp/>
        <stp>BDH|11239080957025034948</stp>
        <tr r="K30" s="2"/>
      </tp>
      <tp t="s">
        <v>#N/A N/A</v>
        <stp/>
        <stp>BDH|13935866176713733762</stp>
        <tr r="AB66" s="2"/>
      </tp>
      <tp t="s">
        <v>#N/A N/A</v>
        <stp/>
        <stp>BDH|17955839234316757229</stp>
        <tr r="Y28" s="2"/>
      </tp>
      <tp t="s">
        <v>#N/A N/A</v>
        <stp/>
        <stp>BDH|18107582027405384274</stp>
        <tr r="AD66" s="2"/>
      </tp>
      <tp t="s">
        <v>#N/A N/A</v>
        <stp/>
        <stp>BDH|13799587636959344406</stp>
        <tr r="F18" s="2"/>
      </tp>
      <tp t="s">
        <v>#N/A N/A</v>
        <stp/>
        <stp>BDH|15785194046541467914</stp>
        <tr r="N24" s="2"/>
      </tp>
      <tp t="s">
        <v>#N/A N/A</v>
        <stp/>
        <stp>BDH|11410957163465798381</stp>
        <tr r="G61" s="2"/>
      </tp>
      <tp t="s">
        <v>#N/A N/A</v>
        <stp/>
        <stp>BDH|16872416591150085350</stp>
        <tr r="V51" s="2"/>
      </tp>
      <tp t="s">
        <v>#N/A N/A</v>
        <stp/>
        <stp>BDH|11915581996051837438</stp>
        <tr r="H21" s="2"/>
      </tp>
      <tp t="s">
        <v>#N/A N/A</v>
        <stp/>
        <stp>BDH|11868265226329491004</stp>
        <tr r="AA24" s="2"/>
      </tp>
      <tp t="s">
        <v>#N/A N/A</v>
        <stp/>
        <stp>BDH|14626015394814445182</stp>
        <tr r="F38" s="2"/>
      </tp>
      <tp t="s">
        <v>#N/A N/A</v>
        <stp/>
        <stp>BDH|14615821966066785546</stp>
        <tr r="W10" s="2"/>
      </tp>
      <tp t="s">
        <v>#N/A N/A</v>
        <stp/>
        <stp>BDH|16572978404694113270</stp>
        <tr r="O49" s="2"/>
      </tp>
      <tp t="s">
        <v>#N/A N/A</v>
        <stp/>
        <stp>BDH|14114308556192086978</stp>
        <tr r="J20" s="2"/>
      </tp>
      <tp t="s">
        <v>#N/A N/A</v>
        <stp/>
        <stp>BDH|10620311912188261375</stp>
        <tr r="O18" s="2"/>
      </tp>
      <tp t="s">
        <v>#N/A N/A</v>
        <stp/>
        <stp>BDH|14441957340362456251</stp>
        <tr r="L39" s="2"/>
      </tp>
      <tp t="s">
        <v>#N/A N/A</v>
        <stp/>
        <stp>BDH|14138402127239697236</stp>
        <tr r="H65" s="2"/>
      </tp>
      <tp t="s">
        <v>#N/A N/A</v>
        <stp/>
        <stp>BDH|13129783080843822630</stp>
        <tr r="F55" s="2"/>
      </tp>
      <tp t="s">
        <v>#N/A N/A</v>
        <stp/>
        <stp>BDH|11984267000053437992</stp>
        <tr r="O28" s="2"/>
      </tp>
      <tp t="s">
        <v>#N/A N/A</v>
        <stp/>
        <stp>BDH|14614428676519747775</stp>
        <tr r="Q22" s="2"/>
      </tp>
      <tp t="s">
        <v>#N/A N/A</v>
        <stp/>
        <stp>BDH|14123980430423253491</stp>
        <tr r="T51" s="2"/>
      </tp>
      <tp t="s">
        <v>#N/A N/A</v>
        <stp/>
        <stp>BDH|16488204786424801188</stp>
        <tr r="F54" s="2"/>
      </tp>
      <tp t="s">
        <v>#N/A N/A</v>
        <stp/>
        <stp>BDH|10557112222819340301</stp>
        <tr r="U8" s="2"/>
      </tp>
      <tp t="s">
        <v>#N/A N/A</v>
        <stp/>
        <stp>BDH|17015826754151502269</stp>
        <tr r="Y46" s="2"/>
        <tr r="Y34" s="2"/>
      </tp>
      <tp t="s">
        <v>#N/A N/A</v>
        <stp/>
        <stp>BDH|12760476687365481266</stp>
        <tr r="W34" s="2"/>
        <tr r="W46" s="2"/>
      </tp>
      <tp t="s">
        <v>#N/A N/A</v>
        <stp/>
        <stp>BDH|14392931884275478941</stp>
        <tr r="O27" s="2"/>
      </tp>
      <tp t="s">
        <v>#N/A N/A</v>
        <stp/>
        <stp>BDH|10211719730444060978</stp>
        <tr r="S35" s="2"/>
      </tp>
      <tp t="s">
        <v>#N/A N/A</v>
        <stp/>
        <stp>BDH|12396489082036792191</stp>
        <tr r="M44" s="2"/>
      </tp>
      <tp t="s">
        <v>#N/A N/A</v>
        <stp/>
        <stp>BDH|11393326582123111051</stp>
        <tr r="Q64" s="2"/>
      </tp>
      <tp t="s">
        <v>#N/A N/A</v>
        <stp/>
        <stp>BDH|12724955599009487288</stp>
        <tr r="K71" s="2"/>
      </tp>
      <tp t="s">
        <v>#N/A N/A</v>
        <stp/>
        <stp>BDH|18101041930454307611</stp>
        <tr r="P15" s="2"/>
      </tp>
      <tp t="s">
        <v>#N/A N/A</v>
        <stp/>
        <stp>BDH|18437757421925058163</stp>
        <tr r="L32" s="2"/>
      </tp>
      <tp t="s">
        <v>#N/A N/A</v>
        <stp/>
        <stp>BDH|12491690538678778647</stp>
        <tr r="Q42" s="2"/>
      </tp>
      <tp t="s">
        <v>#N/A N/A</v>
        <stp/>
        <stp>BDH|15922508158718308443</stp>
        <tr r="V40" s="2"/>
      </tp>
      <tp t="s">
        <v>#N/A N/A</v>
        <stp/>
        <stp>BDH|15925483956379945483</stp>
        <tr r="AA70" s="2"/>
      </tp>
      <tp t="s">
        <v>#N/A N/A</v>
        <stp/>
        <stp>BDH|10440333617433645802</stp>
        <tr r="L34" s="2"/>
        <tr r="L46" s="2"/>
      </tp>
      <tp t="s">
        <v>#N/A N/A</v>
        <stp/>
        <stp>BDH|12984455697051744758</stp>
        <tr r="M36" s="2"/>
      </tp>
      <tp t="s">
        <v>#N/A N/A</v>
        <stp/>
        <stp>BDH|18443882860189765626</stp>
        <tr r="T26" s="2"/>
      </tp>
      <tp t="s">
        <v>#N/A N/A</v>
        <stp/>
        <stp>BDH|14035233909297658845</stp>
        <tr r="J24" s="2"/>
      </tp>
      <tp t="s">
        <v>#N/A N/A</v>
        <stp/>
        <stp>BDH|10511687795543775570</stp>
        <tr r="I41" s="2"/>
      </tp>
      <tp t="s">
        <v>#N/A N/A</v>
        <stp/>
        <stp>BDH|17593009839335001871</stp>
        <tr r="Q18" s="2"/>
      </tp>
      <tp t="s">
        <v>#N/A N/A</v>
        <stp/>
        <stp>BDH|14482957135183948400</stp>
        <tr r="I44" s="2"/>
      </tp>
      <tp t="s">
        <v>#N/A N/A</v>
        <stp/>
        <stp>BDH|11331937823832968174</stp>
        <tr r="AC39" s="2"/>
      </tp>
      <tp t="s">
        <v>#N/A N/A</v>
        <stp/>
        <stp>BDH|13692252999545706414</stp>
        <tr r="U32" s="2"/>
      </tp>
      <tp t="s">
        <v>#N/A N/A</v>
        <stp/>
        <stp>BDH|17324314439549554726</stp>
        <tr r="C67" s="2"/>
      </tp>
      <tp t="s">
        <v>#N/A N/A</v>
        <stp/>
        <stp>BDH|16152877276790934050</stp>
        <tr r="P44" s="2"/>
      </tp>
      <tp t="s">
        <v>#N/A N/A</v>
        <stp/>
        <stp>BDH|17311946207684663395</stp>
        <tr r="Q36" s="2"/>
      </tp>
      <tp t="s">
        <v>#N/A N/A</v>
        <stp/>
        <stp>BDH|16087994104317363118</stp>
        <tr r="Q21" s="2"/>
      </tp>
      <tp t="s">
        <v>#N/A N/A</v>
        <stp/>
        <stp>BDH|10147398081954488629</stp>
        <tr r="AB36" s="2"/>
      </tp>
      <tp t="s">
        <v>#N/A N/A</v>
        <stp/>
        <stp>BDH|15076936432891646064</stp>
        <tr r="F48" s="2"/>
      </tp>
      <tp t="s">
        <v>#N/A N/A</v>
        <stp/>
        <stp>BDH|14246823727923228344</stp>
        <tr r="J26" s="2"/>
      </tp>
      <tp t="s">
        <v>#N/A N/A</v>
        <stp/>
        <stp>BDH|10374865402022479429</stp>
        <tr r="W53" s="2"/>
      </tp>
      <tp t="s">
        <v>#N/A N/A</v>
        <stp/>
        <stp>BDH|10558753331763189919</stp>
        <tr r="J27" s="2"/>
      </tp>
      <tp t="s">
        <v>#N/A N/A</v>
        <stp/>
        <stp>BDH|14191962006625383630</stp>
        <tr r="T11" s="2"/>
      </tp>
      <tp t="s">
        <v>#N/A N/A</v>
        <stp/>
        <stp>BDH|17030738474329606011</stp>
        <tr r="AA46" s="2"/>
        <tr r="AA34" s="2"/>
      </tp>
      <tp t="s">
        <v>#N/A N/A</v>
        <stp/>
        <stp>BDH|13953044552901818976</stp>
        <tr r="AA51" s="2"/>
      </tp>
      <tp t="s">
        <v>#N/A N/A</v>
        <stp/>
        <stp>BDH|10031657942704468831</stp>
        <tr r="G21" s="2"/>
      </tp>
      <tp t="s">
        <v>#N/A N/A</v>
        <stp/>
        <stp>BDH|10477979773015348505</stp>
        <tr r="Q25" s="2"/>
      </tp>
      <tp t="s">
        <v>#N/A N/A</v>
        <stp/>
        <stp>BDH|13574914432622505504</stp>
        <tr r="M39" s="2"/>
      </tp>
      <tp t="s">
        <v>#N/A N/A</v>
        <stp/>
        <stp>BDH|15074581584044646282</stp>
        <tr r="V36" s="2"/>
      </tp>
      <tp t="s">
        <v>#N/A N/A</v>
        <stp/>
        <stp>BDH|11388831363101365029</stp>
        <tr r="N25" s="2"/>
      </tp>
      <tp t="s">
        <v>#N/A N/A</v>
        <stp/>
        <stp>BDH|13464636127241029826</stp>
        <tr r="I46" s="2"/>
        <tr r="I34" s="2"/>
      </tp>
      <tp t="s">
        <v>#N/A N/A</v>
        <stp/>
        <stp>BDH|14155974332824627470</stp>
        <tr r="F61" s="2"/>
      </tp>
      <tp t="s">
        <v>#N/A N/A</v>
        <stp/>
        <stp>BDH|12514743506312775948</stp>
        <tr r="J45" s="2"/>
      </tp>
      <tp t="s">
        <v>#N/A N/A</v>
        <stp/>
        <stp>BDH|17569234261084670955</stp>
        <tr r="S40" s="2"/>
      </tp>
      <tp t="s">
        <v>#N/A N/A</v>
        <stp/>
        <stp>BDH|12120127186235810091</stp>
        <tr r="I23" s="2"/>
      </tp>
      <tp t="s">
        <v>#N/A N/A</v>
        <stp/>
        <stp>BDH|11408925980347242907</stp>
        <tr r="Z61" s="2"/>
      </tp>
      <tp t="s">
        <v>#N/A N/A</v>
        <stp/>
        <stp>BDH|18389020342544759631</stp>
        <tr r="Q28" s="2"/>
      </tp>
      <tp t="s">
        <v>#N/A N/A</v>
        <stp/>
        <stp>BDH|12122041310444297903</stp>
        <tr r="T32" s="2"/>
      </tp>
      <tp t="s">
        <v>#N/A N/A</v>
        <stp/>
        <stp>BDH|12916805375175599603</stp>
        <tr r="C35" s="2"/>
      </tp>
      <tp t="s">
        <v>#N/A N/A</v>
        <stp/>
        <stp>BDH|11162890040541420249</stp>
        <tr r="M55" s="2"/>
      </tp>
      <tp t="s">
        <v>#N/A N/A</v>
        <stp/>
        <stp>BDH|13143388774710746923</stp>
        <tr r="X25" s="2"/>
      </tp>
      <tp t="s">
        <v>#N/A N/A</v>
        <stp/>
        <stp>BDH|15040246845939303496</stp>
        <tr r="AC44" s="2"/>
      </tp>
      <tp t="s">
        <v>#N/A N/A</v>
        <stp/>
        <stp>BDH|17348664438085662905</stp>
        <tr r="E33" s="2"/>
      </tp>
      <tp t="s">
        <v>#N/A N/A</v>
        <stp/>
        <stp>BDH|17518857693829920177</stp>
        <tr r="W39" s="2"/>
      </tp>
      <tp t="s">
        <v>#N/A N/A</v>
        <stp/>
        <stp>BDH|14024130990333813169</stp>
        <tr r="O42" s="2"/>
      </tp>
      <tp t="s">
        <v>#N/A N/A</v>
        <stp/>
        <stp>BDH|10986338037559337736</stp>
        <tr r="Z41" s="2"/>
      </tp>
      <tp t="s">
        <v>#N/A N/A</v>
        <stp/>
        <stp>BDH|13752853910314678092</stp>
        <tr r="Q60" s="2"/>
      </tp>
      <tp t="s">
        <v>#N/A N/A</v>
        <stp/>
        <stp>BDH|12822057881524205036</stp>
        <tr r="G13" s="2"/>
      </tp>
      <tp t="s">
        <v>#N/A N/A</v>
        <stp/>
        <stp>BDH|14807048361345744979</stp>
        <tr r="U20" s="2"/>
      </tp>
      <tp t="s">
        <v>#N/A N/A</v>
        <stp/>
        <stp>BDH|13180013912489820564</stp>
        <tr r="X60" s="2"/>
      </tp>
      <tp t="s">
        <v>#N/A N/A</v>
        <stp/>
        <stp>BDH|12388609890451824274</stp>
        <tr r="U51" s="2"/>
      </tp>
      <tp t="s">
        <v>#N/A N/A</v>
        <stp/>
        <stp>BDH|17204842511808890801</stp>
        <tr r="R30" s="2"/>
      </tp>
      <tp t="s">
        <v>#N/A N/A</v>
        <stp/>
        <stp>BDH|14028915351844860269</stp>
        <tr r="S44" s="2"/>
      </tp>
      <tp t="s">
        <v>#N/A N/A</v>
        <stp/>
        <stp>BDH|16670998909111609113</stp>
        <tr r="U62" s="2"/>
      </tp>
      <tp t="s">
        <v>#N/A N/A</v>
        <stp/>
        <stp>BDH|17057702623964143938</stp>
        <tr r="F68" s="2"/>
      </tp>
      <tp t="s">
        <v>#N/A N/A</v>
        <stp/>
        <stp>BDH|10975989524416198256</stp>
        <tr r="AD65" s="2"/>
      </tp>
      <tp t="s">
        <v>#N/A N/A</v>
        <stp/>
        <stp>BDH|12165709591494709772</stp>
        <tr r="E30" s="2"/>
      </tp>
      <tp t="s">
        <v>#N/A N/A</v>
        <stp/>
        <stp>BDH|17256143273438764628</stp>
        <tr r="AB7" s="2"/>
      </tp>
      <tp t="s">
        <v>#N/A N/A</v>
        <stp/>
        <stp>BDH|10699831150076183447</stp>
        <tr r="M37" s="2"/>
      </tp>
      <tp t="s">
        <v>#N/A N/A</v>
        <stp/>
        <stp>BDH|17137093887282707286</stp>
        <tr r="O45" s="2"/>
      </tp>
      <tp t="s">
        <v>#N/A N/A</v>
        <stp/>
        <stp>BDH|11861540482516565588</stp>
        <tr r="Q67" s="2"/>
      </tp>
      <tp t="s">
        <v>#N/A N/A</v>
        <stp/>
        <stp>BDH|14349864533932010254</stp>
        <tr r="G12" s="2"/>
      </tp>
      <tp t="s">
        <v>#N/A N/A</v>
        <stp/>
        <stp>BDH|18204871426725933890</stp>
        <tr r="H19" s="2"/>
      </tp>
      <tp t="s">
        <v>#N/A N/A</v>
        <stp/>
        <stp>BDH|11455863522283699748</stp>
        <tr r="D46" s="2"/>
        <tr r="D34" s="2"/>
      </tp>
      <tp t="s">
        <v>#N/A N/A</v>
        <stp/>
        <stp>BDH|17195739331458240449</stp>
        <tr r="AA11" s="2"/>
      </tp>
      <tp t="s">
        <v>#N/A N/A</v>
        <stp/>
        <stp>BDH|10114363314938029561</stp>
        <tr r="Q11" s="2"/>
      </tp>
      <tp t="s">
        <v>#N/A N/A</v>
        <stp/>
        <stp>BDH|12173261279258288094</stp>
        <tr r="S36" s="2"/>
      </tp>
      <tp t="s">
        <v>#N/A N/A</v>
        <stp/>
        <stp>BDH|10253820419441825741</stp>
        <tr r="X63" s="2"/>
      </tp>
      <tp t="s">
        <v>#N/A N/A</v>
        <stp/>
        <stp>BDH|16175652763838137139</stp>
        <tr r="C49" s="2"/>
      </tp>
      <tp t="s">
        <v>#N/A N/A</v>
        <stp/>
        <stp>BDH|13976974142582931314</stp>
        <tr r="K41" s="2"/>
      </tp>
      <tp t="s">
        <v>#N/A N/A</v>
        <stp/>
        <stp>BDH|14488303541079698542</stp>
        <tr r="F15" s="2"/>
      </tp>
      <tp t="s">
        <v>#N/A N/A</v>
        <stp/>
        <stp>BDH|17502759093836313070</stp>
        <tr r="G33" s="2"/>
      </tp>
      <tp t="s">
        <v>#N/A N/A</v>
        <stp/>
        <stp>BDH|17534959724055312613</stp>
        <tr r="R40" s="2"/>
      </tp>
      <tp t="s">
        <v>#N/A N/A</v>
        <stp/>
        <stp>BDH|18226536757473952490</stp>
        <tr r="V14" s="2"/>
      </tp>
      <tp t="s">
        <v>#N/A N/A</v>
        <stp/>
        <stp>BDH|15539292603058734019</stp>
        <tr r="P68" s="2"/>
      </tp>
      <tp t="s">
        <v>#N/A N/A</v>
        <stp/>
        <stp>BDH|17681803655130306597</stp>
        <tr r="C63" s="2"/>
      </tp>
      <tp t="s">
        <v>#N/A N/A</v>
        <stp/>
        <stp>BDH|14360085584132167178</stp>
        <tr r="E16" s="2"/>
      </tp>
      <tp t="s">
        <v>#N/A N/A</v>
        <stp/>
        <stp>BDH|11915302183470626571</stp>
        <tr r="D16" s="2"/>
      </tp>
      <tp t="s">
        <v>#N/A N/A</v>
        <stp/>
        <stp>BDH|17633334626179005099</stp>
        <tr r="G23" s="2"/>
      </tp>
      <tp t="s">
        <v>#N/A N/A</v>
        <stp/>
        <stp>BDH|10730047174728808055</stp>
        <tr r="O30" s="2"/>
      </tp>
      <tp t="s">
        <v>#N/A N/A</v>
        <stp/>
        <stp>BDH|15786992275235678106</stp>
        <tr r="Q17" s="2"/>
      </tp>
      <tp t="s">
        <v>#N/A N/A</v>
        <stp/>
        <stp>BDH|17705912978810795640</stp>
        <tr r="K63" s="2"/>
      </tp>
      <tp t="s">
        <v>#N/A N/A</v>
        <stp/>
        <stp>BDH|13294315713099472785</stp>
        <tr r="AA15" s="2"/>
      </tp>
      <tp t="s">
        <v>#N/A N/A</v>
        <stp/>
        <stp>BDH|12857068968663133882</stp>
        <tr r="P39" s="2"/>
      </tp>
      <tp t="s">
        <v>#N/A N/A</v>
        <stp/>
        <stp>BDH|16135971730967143480</stp>
        <tr r="M15" s="2"/>
      </tp>
      <tp t="s">
        <v>#N/A N/A</v>
        <stp/>
        <stp>BDH|11422482760354484876</stp>
        <tr r="AD56" s="2"/>
      </tp>
      <tp t="s">
        <v>#N/A N/A</v>
        <stp/>
        <stp>BDH|16203710587873309588</stp>
        <tr r="U66" s="2"/>
      </tp>
      <tp t="s">
        <v>#N/A N/A</v>
        <stp/>
        <stp>BDH|14510134025688853041</stp>
        <tr r="K9" s="2"/>
      </tp>
      <tp t="s">
        <v>#N/A N/A</v>
        <stp/>
        <stp>BDH|11167920145615809609</stp>
        <tr r="C25" s="2"/>
      </tp>
      <tp t="s">
        <v>#N/A N/A</v>
        <stp/>
        <stp>BDH|14945978454063362472</stp>
        <tr r="O66" s="2"/>
      </tp>
      <tp t="s">
        <v>#N/A N/A</v>
        <stp/>
        <stp>BDH|14504961777867307291</stp>
        <tr r="D67" s="2"/>
      </tp>
      <tp t="s">
        <v>#N/A N/A</v>
        <stp/>
        <stp>BDH|17928916233812585000</stp>
        <tr r="AB67" s="2"/>
      </tp>
      <tp t="s">
        <v>#N/A N/A</v>
        <stp/>
        <stp>BDH|13076334586056725238</stp>
        <tr r="J6" s="2"/>
      </tp>
      <tp t="s">
        <v>#N/A N/A</v>
        <stp/>
        <stp>BDH|13404231976398093203</stp>
        <tr r="T31" s="2"/>
      </tp>
      <tp t="s">
        <v>#N/A N/A</v>
        <stp/>
        <stp>BDH|16106717470839267336</stp>
        <tr r="V62" s="2"/>
      </tp>
      <tp t="s">
        <v>#N/A N/A</v>
        <stp/>
        <stp>BDH|16708262963146396805</stp>
        <tr r="AD41" s="2"/>
      </tp>
      <tp t="s">
        <v>#N/A N/A</v>
        <stp/>
        <stp>BDH|17149956562770277454</stp>
        <tr r="P61" s="2"/>
      </tp>
      <tp t="s">
        <v>#N/A N/A</v>
        <stp/>
        <stp>BDH|13593505591120510316</stp>
        <tr r="N69" s="2"/>
      </tp>
      <tp t="s">
        <v>#N/A N/A</v>
        <stp/>
        <stp>BDH|16588632540320237848</stp>
        <tr r="AC69" s="2"/>
      </tp>
      <tp t="s">
        <v>#N/A N/A</v>
        <stp/>
        <stp>BDH|11258278881581096646</stp>
        <tr r="R19" s="2"/>
      </tp>
      <tp t="s">
        <v>#N/A N/A</v>
        <stp/>
        <stp>BDH|17217135543518140631</stp>
        <tr r="J10" s="2"/>
      </tp>
      <tp t="s">
        <v>#N/A N/A</v>
        <stp/>
        <stp>BDH|11190928501830256430</stp>
        <tr r="C54" s="2"/>
      </tp>
      <tp t="s">
        <v>#N/A N/A</v>
        <stp/>
        <stp>BDH|10241481826588966262</stp>
        <tr r="AA10" s="2"/>
      </tp>
      <tp t="s">
        <v>#N/A N/A</v>
        <stp/>
        <stp>BDH|16030671723409046763</stp>
        <tr r="P8" s="2"/>
      </tp>
      <tp t="s">
        <v>#N/A N/A</v>
        <stp/>
        <stp>BDH|12683362061958136326</stp>
        <tr r="V41" s="2"/>
      </tp>
      <tp t="s">
        <v>#N/A N/A</v>
        <stp/>
        <stp>BDH|13092782834912980907</stp>
        <tr r="W15" s="2"/>
      </tp>
      <tp t="s">
        <v>#N/A N/A</v>
        <stp/>
        <stp>BDH|16784586251962838836</stp>
        <tr r="Y22" s="2"/>
      </tp>
      <tp t="s">
        <v>#N/A N/A</v>
        <stp/>
        <stp>BDH|16371571717219387759</stp>
        <tr r="D42" s="2"/>
      </tp>
      <tp t="s">
        <v>#N/A N/A</v>
        <stp/>
        <stp>BDH|12853312409348793529</stp>
        <tr r="E35" s="2"/>
      </tp>
      <tp t="s">
        <v>#N/A N/A</v>
        <stp/>
        <stp>BDH|16762261054935340820</stp>
        <tr r="AD11" s="2"/>
      </tp>
      <tp t="s">
        <v>#N/A N/A</v>
        <stp/>
        <stp>BDH|14777922186470291956</stp>
        <tr r="C71" s="2"/>
      </tp>
      <tp t="s">
        <v>#N/A N/A</v>
        <stp/>
        <stp>BDH|17319367333878551376</stp>
        <tr r="L44" s="2"/>
      </tp>
      <tp t="s">
        <v>#N/A N/A</v>
        <stp/>
        <stp>BDH|15550259403773143862</stp>
        <tr r="G70" s="2"/>
      </tp>
      <tp t="s">
        <v>#N/A N/A</v>
        <stp/>
        <stp>BDH|13563625320409027236</stp>
        <tr r="AD71" s="2"/>
      </tp>
      <tp t="s">
        <v>#N/A N/A</v>
        <stp/>
        <stp>BDH|11636225810626228820</stp>
        <tr r="AC18" s="2"/>
      </tp>
      <tp t="s">
        <v>#N/A N/A</v>
        <stp/>
        <stp>BDH|15734841862205400211</stp>
        <tr r="L50" s="2"/>
      </tp>
      <tp t="s">
        <v>#N/A N/A</v>
        <stp/>
        <stp>BDH|14463384238561648957</stp>
        <tr r="C38" s="2"/>
      </tp>
      <tp t="s">
        <v>#N/A N/A</v>
        <stp/>
        <stp>BDH|18418965791563190740</stp>
        <tr r="P28" s="2"/>
      </tp>
      <tp t="s">
        <v>#N/A N/A</v>
        <stp/>
        <stp>BDH|14583840886640183808</stp>
        <tr r="F53" s="2"/>
      </tp>
      <tp t="s">
        <v>#N/A N/A</v>
        <stp/>
        <stp>BDH|16528412286771059740</stp>
        <tr r="F65" s="2"/>
      </tp>
      <tp t="s">
        <v>#N/A N/A</v>
        <stp/>
        <stp>BDH|13424381640090004859</stp>
        <tr r="AB41" s="2"/>
      </tp>
      <tp t="s">
        <v>#N/A N/A</v>
        <stp/>
        <stp>BDH|10537238094675936221</stp>
        <tr r="AC6" s="2"/>
      </tp>
      <tp t="s">
        <v>#N/A N/A</v>
        <stp/>
        <stp>BDH|16305055507142995813</stp>
        <tr r="Y42" s="2"/>
      </tp>
      <tp t="s">
        <v>#N/A N/A</v>
        <stp/>
        <stp>BDH|11907532082479828998</stp>
        <tr r="P62" s="2"/>
      </tp>
      <tp t="s">
        <v>#N/A N/A</v>
        <stp/>
        <stp>BDH|10936337886982090558</stp>
        <tr r="H67" s="2"/>
      </tp>
      <tp t="s">
        <v>#N/A N/A</v>
        <stp/>
        <stp>BDH|13180903073446214788</stp>
        <tr r="I62" s="2"/>
      </tp>
      <tp t="s">
        <v>#N/A N/A</v>
        <stp/>
        <stp>BDH|16895896575397934264</stp>
        <tr r="AD17" s="2"/>
      </tp>
      <tp t="s">
        <v>#N/A N/A</v>
        <stp/>
        <stp>BDH|16746575687871205684</stp>
        <tr r="U42" s="2"/>
      </tp>
      <tp t="s">
        <v>#N/A N/A</v>
        <stp/>
        <stp>BDH|17055884354615359323</stp>
        <tr r="V61" s="2"/>
      </tp>
      <tp t="s">
        <v>#N/A N/A</v>
        <stp/>
        <stp>BDH|15741195574059072670</stp>
        <tr r="K61" s="2"/>
      </tp>
      <tp t="s">
        <v>#N/A N/A</v>
        <stp/>
        <stp>BDH|10332470623069210384</stp>
        <tr r="U41" s="2"/>
      </tp>
      <tp t="s">
        <v>#N/A N/A</v>
        <stp/>
        <stp>BDH|16445958159642534412</stp>
        <tr r="R15" s="2"/>
      </tp>
      <tp t="s">
        <v>#N/A N/A</v>
        <stp/>
        <stp>BDH|11132794632198066168</stp>
        <tr r="H51" s="2"/>
      </tp>
      <tp t="s">
        <v>#N/A N/A</v>
        <stp/>
        <stp>BDH|13018486644548163718</stp>
        <tr r="S8" s="2"/>
      </tp>
      <tp t="s">
        <v>#N/A N/A</v>
        <stp/>
        <stp>BDH|10309184384736146325</stp>
        <tr r="W8" s="2"/>
      </tp>
      <tp t="s">
        <v>#N/A N/A</v>
        <stp/>
        <stp>BDH|14707094436229257266</stp>
        <tr r="G68" s="2"/>
      </tp>
      <tp t="s">
        <v>#N/A N/A</v>
        <stp/>
        <stp>BDH|11935485488986083767</stp>
        <tr r="O53" s="2"/>
      </tp>
      <tp t="s">
        <v>#N/A N/A</v>
        <stp/>
        <stp>BDH|13411875826722096646</stp>
        <tr r="Y27" s="2"/>
      </tp>
      <tp t="s">
        <v>#N/A N/A</v>
        <stp/>
        <stp>BDH|18389344374454058521</stp>
        <tr r="X65" s="2"/>
      </tp>
      <tp t="s">
        <v>#N/A N/A</v>
        <stp/>
        <stp>BDH|10307729320101474948</stp>
        <tr r="AD16" s="2"/>
      </tp>
      <tp t="s">
        <v>#N/A N/A</v>
        <stp/>
        <stp>BDH|11340319991285272313</stp>
        <tr r="G22" s="2"/>
      </tp>
      <tp t="s">
        <v>#N/A N/A</v>
        <stp/>
        <stp>BDH|13282836271848238927</stp>
        <tr r="D9" s="2"/>
      </tp>
      <tp t="s">
        <v>#N/A N/A</v>
        <stp/>
        <stp>BDH|11049112996436242254</stp>
        <tr r="U69" s="2"/>
      </tp>
      <tp t="s">
        <v>#N/A N/A</v>
        <stp/>
        <stp>BDH|12383974452435052668</stp>
        <tr r="I56" s="2"/>
      </tp>
      <tp t="s">
        <v>#N/A N/A</v>
        <stp/>
        <stp>BDH|14285046366578562758</stp>
        <tr r="J17" s="2"/>
      </tp>
      <tp t="s">
        <v>#N/A N/A</v>
        <stp/>
        <stp>BDH|10252016881827080212</stp>
        <tr r="M51" s="2"/>
      </tp>
      <tp t="s">
        <v>#N/A N/A</v>
        <stp/>
        <stp>BDH|17007308093160817088</stp>
        <tr r="X67" s="2"/>
      </tp>
      <tp t="s">
        <v>#N/A N/A</v>
        <stp/>
        <stp>BDH|10895803998404588860</stp>
        <tr r="G28" s="2"/>
      </tp>
      <tp t="s">
        <v>#N/A N/A</v>
        <stp/>
        <stp>BDH|16637845437524472421</stp>
        <tr r="AC31" s="2"/>
      </tp>
      <tp t="s">
        <v>#N/A N/A</v>
        <stp/>
        <stp>BDH|11656294981485893346</stp>
        <tr r="Z53" s="2"/>
      </tp>
      <tp t="s">
        <v>#N/A N/A</v>
        <stp/>
        <stp>BDH|13939010122429023584</stp>
        <tr r="G35" s="2"/>
      </tp>
      <tp t="s">
        <v>#N/A N/A</v>
        <stp/>
        <stp>BDH|10112924761123113115</stp>
        <tr r="N26" s="2"/>
      </tp>
      <tp t="s">
        <v>#N/A N/A</v>
        <stp/>
        <stp>BDH|15859099598684961550</stp>
        <tr r="L9" s="2"/>
      </tp>
      <tp t="s">
        <v>#N/A N/A</v>
        <stp/>
        <stp>BDH|18250590236693934017</stp>
        <tr r="H20" s="2"/>
      </tp>
      <tp t="s">
        <v>#N/A N/A</v>
        <stp/>
        <stp>BDH|10539829121641774657</stp>
        <tr r="T54" s="2"/>
      </tp>
      <tp t="s">
        <v>#N/A N/A</v>
        <stp/>
        <stp>BDH|12654196259122993982</stp>
        <tr r="J65" s="2"/>
      </tp>
      <tp t="s">
        <v>#N/A N/A</v>
        <stp/>
        <stp>BDH|16348451791236877088</stp>
        <tr r="U17" s="2"/>
      </tp>
      <tp t="s">
        <v>#N/A N/A</v>
        <stp/>
        <stp>BDH|17443443663548427008</stp>
        <tr r="P27" s="2"/>
      </tp>
      <tp t="s">
        <v>#N/A N/A</v>
        <stp/>
        <stp>BDH|17136964234139790930</stp>
        <tr r="Y20" s="2"/>
      </tp>
      <tp t="s">
        <v>#N/A N/A</v>
        <stp/>
        <stp>BDH|11586415182058170809</stp>
        <tr r="AA69" s="2"/>
      </tp>
      <tp t="s">
        <v>#N/A N/A</v>
        <stp/>
        <stp>BDH|12377632127223645871</stp>
        <tr r="U10" s="2"/>
      </tp>
      <tp t="s">
        <v>#N/A N/A</v>
        <stp/>
        <stp>BDH|18258556515877694627</stp>
        <tr r="AB40" s="2"/>
      </tp>
      <tp t="s">
        <v>#N/A N/A</v>
        <stp/>
        <stp>BDH|14407787139205694858</stp>
        <tr r="X13" s="2"/>
      </tp>
      <tp t="s">
        <v>#N/A N/A</v>
        <stp/>
        <stp>BDH|10259285583794440349</stp>
        <tr r="J51" s="2"/>
      </tp>
      <tp t="s">
        <v>#N/A N/A</v>
        <stp/>
        <stp>BDH|11646888680729426531</stp>
        <tr r="J63" s="2"/>
      </tp>
      <tp t="s">
        <v>#N/A N/A</v>
        <stp/>
        <stp>BDH|16255836410810910217</stp>
        <tr r="M62" s="2"/>
      </tp>
      <tp t="s">
        <v>#N/A N/A</v>
        <stp/>
        <stp>BDH|14344088590793387306</stp>
        <tr r="L63" s="2"/>
      </tp>
      <tp t="s">
        <v>#N/A N/A</v>
        <stp/>
        <stp>BDH|11318410398888331921</stp>
        <tr r="W13" s="2"/>
      </tp>
      <tp t="s">
        <v>#N/A N/A</v>
        <stp/>
        <stp>BDH|16558964350732006580</stp>
        <tr r="J14" s="2"/>
      </tp>
      <tp t="s">
        <v>#N/A N/A</v>
        <stp/>
        <stp>BDH|11606948486775897872</stp>
        <tr r="Y19" s="2"/>
      </tp>
      <tp t="s">
        <v>#N/A N/A</v>
        <stp/>
        <stp>BDH|10599344098276542160</stp>
        <tr r="T49" s="2"/>
      </tp>
      <tp t="s">
        <v>#N/A N/A</v>
        <stp/>
        <stp>BDH|14526895916636757679</stp>
        <tr r="J70" s="2"/>
      </tp>
      <tp t="s">
        <v>#N/A N/A</v>
        <stp/>
        <stp>BDH|11506546633073886903</stp>
        <tr r="Y23" s="2"/>
      </tp>
      <tp t="s">
        <v>#N/A N/A</v>
        <stp/>
        <stp>BDH|17947802650110164722</stp>
        <tr r="C14" s="2"/>
      </tp>
      <tp t="s">
        <v>#N/A N/A</v>
        <stp/>
        <stp>BDH|12141740919180361952</stp>
        <tr r="E15" s="2"/>
      </tp>
      <tp t="s">
        <v>#N/A N/A</v>
        <stp/>
        <stp>BDH|18353130743284762492</stp>
        <tr r="U61" s="2"/>
      </tp>
      <tp t="s">
        <v>#N/A N/A</v>
        <stp/>
        <stp>BDH|17668438280356949032</stp>
        <tr r="C41" s="2"/>
      </tp>
      <tp t="s">
        <v>#N/A N/A</v>
        <stp/>
        <stp>BDH|10060887981908467522</stp>
        <tr r="F35" s="2"/>
      </tp>
      <tp t="s">
        <v>#N/A N/A</v>
        <stp/>
        <stp>BDH|16910905840482426423</stp>
        <tr r="L36" s="2"/>
      </tp>
      <tp t="s">
        <v>#N/A N/A</v>
        <stp/>
        <stp>BDH|13596882727970355466</stp>
        <tr r="AC49" s="2"/>
      </tp>
      <tp t="s">
        <v>#N/A N/A</v>
        <stp/>
        <stp>BDH|15641770275009315192</stp>
        <tr r="T20" s="2"/>
      </tp>
      <tp t="s">
        <v>#N/A N/A</v>
        <stp/>
        <stp>BDH|12559282833747419944</stp>
        <tr r="W44" s="2"/>
      </tp>
      <tp t="s">
        <v>#N/A N/A</v>
        <stp/>
        <stp>BDH|15986074448623460034</stp>
        <tr r="P26" s="2"/>
      </tp>
      <tp t="s">
        <v>#N/A N/A</v>
        <stp/>
        <stp>BDH|15245488716684463693</stp>
        <tr r="D39" s="2"/>
      </tp>
      <tp t="s">
        <v>#N/A N/A</v>
        <stp/>
        <stp>BDH|14198974295711324714</stp>
        <tr r="R66" s="2"/>
      </tp>
      <tp t="s">
        <v>#N/A N/A</v>
        <stp/>
        <stp>BDH|15760052251450239202</stp>
        <tr r="AB28" s="2"/>
      </tp>
      <tp t="s">
        <v>#N/A N/A</v>
        <stp/>
        <stp>BDH|10467779872813871184</stp>
        <tr r="Z44" s="2"/>
      </tp>
      <tp t="s">
        <v>#N/A N/A</v>
        <stp/>
        <stp>BDH|18068230485550737004</stp>
        <tr r="K25" s="2"/>
      </tp>
      <tp t="s">
        <v>#N/A N/A</v>
        <stp/>
        <stp>BDH|14928217524395841349</stp>
        <tr r="P32" s="2"/>
      </tp>
      <tp t="s">
        <v>#N/A N/A</v>
        <stp/>
        <stp>BDH|14203311607787444208</stp>
        <tr r="I65" s="2"/>
      </tp>
      <tp t="s">
        <v>#N/A N/A</v>
        <stp/>
        <stp>BDH|18445459202129354703</stp>
        <tr r="F63" s="2"/>
      </tp>
      <tp t="s">
        <v>#N/A N/A</v>
        <stp/>
        <stp>BDH|11193510221511864597</stp>
        <tr r="K38" s="2"/>
      </tp>
      <tp t="s">
        <v>#N/A N/A</v>
        <stp/>
        <stp>BDH|10156673996534699966</stp>
        <tr r="V49" s="2"/>
      </tp>
      <tp t="s">
        <v>#N/A N/A</v>
        <stp/>
        <stp>BDH|15824012270409928901</stp>
        <tr r="M71" s="2"/>
      </tp>
      <tp t="s">
        <v>#N/A N/A</v>
        <stp/>
        <stp>BDH|13411040441186874390</stp>
        <tr r="U35" s="2"/>
      </tp>
      <tp t="s">
        <v>#N/A N/A</v>
        <stp/>
        <stp>BDH|11503027063085683029</stp>
        <tr r="P35" s="2"/>
      </tp>
      <tp t="s">
        <v>#N/A N/A</v>
        <stp/>
        <stp>BDH|16686317744261726267</stp>
        <tr r="I60" s="2"/>
      </tp>
      <tp t="s">
        <v>#N/A N/A</v>
        <stp/>
        <stp>BDH|17831328388029499741</stp>
        <tr r="K28" s="2"/>
      </tp>
      <tp t="s">
        <v>#N/A N/A</v>
        <stp/>
        <stp>BDH|17108534148657138391</stp>
        <tr r="J12" s="2"/>
      </tp>
      <tp t="s">
        <v>#N/A N/A</v>
        <stp/>
        <stp>BDH|13440628375777182704</stp>
        <tr r="N68" s="2"/>
      </tp>
      <tp t="s">
        <v>#N/A N/A</v>
        <stp/>
        <stp>BDH|12486254451065788225</stp>
        <tr r="E24" s="2"/>
      </tp>
      <tp t="s">
        <v>#N/A N/A</v>
        <stp/>
        <stp>BDH|16052866278442209991</stp>
        <tr r="S19" s="2"/>
      </tp>
      <tp t="s">
        <v>#N/A N/A</v>
        <stp/>
        <stp>BDH|15235324270865334677</stp>
        <tr r="L24" s="2"/>
      </tp>
      <tp t="s">
        <v>#N/A N/A</v>
        <stp/>
        <stp>BDH|11042492653093682182</stp>
        <tr r="AB8" s="2"/>
      </tp>
      <tp t="s">
        <v>#N/A N/A</v>
        <stp/>
        <stp>BDH|16828882607898309409</stp>
        <tr r="K33" s="2"/>
      </tp>
      <tp t="s">
        <v>#N/A N/A</v>
        <stp/>
        <stp>BDH|10240343737667628532</stp>
        <tr r="X49" s="2"/>
      </tp>
      <tp t="s">
        <v>#N/A N/A</v>
        <stp/>
        <stp>BDH|18013333204938565156</stp>
        <tr r="C70" s="2"/>
      </tp>
      <tp t="s">
        <v>#N/A N/A</v>
        <stp/>
        <stp>BDH|12570234962713652750</stp>
        <tr r="E70" s="2"/>
      </tp>
      <tp t="s">
        <v>#N/A N/A</v>
        <stp/>
        <stp>BDH|15608085327955811069</stp>
        <tr r="D49" s="2"/>
      </tp>
      <tp t="s">
        <v>#N/A N/A</v>
        <stp/>
        <stp>BDH|12406502845933125262</stp>
        <tr r="F11" s="2"/>
      </tp>
      <tp t="s">
        <v>#N/A N/A</v>
        <stp/>
        <stp>BDH|14599512930215043524</stp>
        <tr r="H63" s="2"/>
      </tp>
      <tp t="s">
        <v>#N/A N/A</v>
        <stp/>
        <stp>BDH|12246639050977526424</stp>
        <tr r="X24" s="2"/>
      </tp>
      <tp t="s">
        <v>#N/A N/A</v>
        <stp/>
        <stp>BDH|17236292870304507478</stp>
        <tr r="M6" s="2"/>
      </tp>
      <tp t="s">
        <v>#N/A N/A</v>
        <stp/>
        <stp>BDH|11810452174220399030</stp>
        <tr r="U45" s="2"/>
      </tp>
      <tp t="s">
        <v>#N/A N/A</v>
        <stp/>
        <stp>BDH|15915772565857653142</stp>
        <tr r="P67" s="2"/>
      </tp>
      <tp t="s">
        <v>#N/A N/A</v>
        <stp/>
        <stp>BDH|16244684751554359316</stp>
        <tr r="D40" s="2"/>
      </tp>
      <tp t="s">
        <v>#N/A N/A</v>
        <stp/>
        <stp>BDH|12599185156623443774</stp>
        <tr r="D53" s="2"/>
      </tp>
      <tp t="s">
        <v>#N/A N/A</v>
        <stp/>
        <stp>BDH|12205328225715471496</stp>
        <tr r="M48" s="2"/>
      </tp>
      <tp t="s">
        <v>#N/A N/A</v>
        <stp/>
        <stp>BDH|11208380431180158327</stp>
        <tr r="R29" s="2"/>
      </tp>
      <tp t="s">
        <v>#N/A N/A</v>
        <stp/>
        <stp>BDH|14358472171972909749</stp>
        <tr r="L61" s="2"/>
      </tp>
      <tp t="s">
        <v>#N/A N/A</v>
        <stp/>
        <stp>BDH|11643886662744439937</stp>
        <tr r="U30" s="2"/>
      </tp>
      <tp t="s">
        <v>#N/A N/A</v>
        <stp/>
        <stp>BDH|14536605458597061262</stp>
        <tr r="T66" s="2"/>
      </tp>
      <tp t="s">
        <v>#N/A N/A</v>
        <stp/>
        <stp>BDH|15882266925837574054</stp>
        <tr r="D51" s="2"/>
      </tp>
      <tp t="s">
        <v>#N/A N/A</v>
        <stp/>
        <stp>BDH|16948159374454657659</stp>
        <tr r="D33" s="2"/>
      </tp>
      <tp t="s">
        <v>#N/A N/A</v>
        <stp/>
        <stp>BDH|11744066480432271984</stp>
        <tr r="T7" s="2"/>
      </tp>
      <tp t="s">
        <v>#N/A N/A</v>
        <stp/>
        <stp>BDH|18322387506138156174</stp>
        <tr r="P51" s="2"/>
      </tp>
      <tp t="s">
        <v>#N/A N/A</v>
        <stp/>
        <stp>BDH|15958023120085791062</stp>
        <tr r="Q41" s="2"/>
      </tp>
      <tp t="s">
        <v>#N/A N/A</v>
        <stp/>
        <stp>BDH|13002007313603886363</stp>
        <tr r="AA7" s="2"/>
      </tp>
      <tp t="s">
        <v>#N/A N/A</v>
        <stp/>
        <stp>BDH|13979513025030560651</stp>
        <tr r="Z49" s="2"/>
      </tp>
      <tp t="s">
        <v>#N/A N/A</v>
        <stp/>
        <stp>BDH|11118644267777975467</stp>
        <tr r="V48" s="2"/>
      </tp>
      <tp t="s">
        <v>#N/A N/A</v>
        <stp/>
        <stp>BDH|13643155445482261694</stp>
        <tr r="U50" s="2"/>
      </tp>
      <tp t="s">
        <v>#N/A N/A</v>
        <stp/>
        <stp>BDH|14441865877500885908</stp>
        <tr r="Q55" s="2"/>
      </tp>
      <tp t="s">
        <v>#N/A N/A</v>
        <stp/>
        <stp>BDH|15709901729244796856</stp>
        <tr r="R51" s="2"/>
      </tp>
      <tp t="s">
        <v>#N/A N/A</v>
        <stp/>
        <stp>BDH|11734259334644020690</stp>
        <tr r="Y70" s="2"/>
      </tp>
      <tp t="s">
        <v>#N/A N/A</v>
        <stp/>
        <stp>BDH|13783484111623557742</stp>
        <tr r="Y39" s="2"/>
      </tp>
      <tp t="s">
        <v>#N/A N/A</v>
        <stp/>
        <stp>BDH|11359560755306913567</stp>
        <tr r="S60" s="2"/>
      </tp>
      <tp t="s">
        <v>#N/A N/A</v>
        <stp/>
        <stp>BDH|13517637877176881674</stp>
        <tr r="AA18" s="2"/>
      </tp>
      <tp t="s">
        <v>#N/A N/A</v>
        <stp/>
        <stp>BDH|16695596361115407245</stp>
        <tr r="Q51" s="2"/>
      </tp>
      <tp t="s">
        <v>#N/A N/A</v>
        <stp/>
        <stp>BDH|17341424063067482087</stp>
        <tr r="Q31" s="2"/>
      </tp>
      <tp t="s">
        <v>#N/A N/A</v>
        <stp/>
        <stp>BDH|11286797089959487583</stp>
        <tr r="X17" s="2"/>
      </tp>
      <tp t="s">
        <v>#N/A N/A</v>
        <stp/>
        <stp>BDH|15723744499759468001</stp>
        <tr r="D24" s="2"/>
      </tp>
      <tp t="s">
        <v>#N/A N/A</v>
        <stp/>
        <stp>BDH|17528321051236046580</stp>
        <tr r="F22" s="2"/>
      </tp>
      <tp t="s">
        <v>#N/A N/A</v>
        <stp/>
        <stp>BDH|14831831525818619594</stp>
        <tr r="E56" s="2"/>
      </tp>
      <tp t="s">
        <v>#N/A N/A</v>
        <stp/>
        <stp>BDH|14897398700567605364</stp>
        <tr r="H41" s="2"/>
      </tp>
      <tp t="s">
        <v>#N/A N/A</v>
        <stp/>
        <stp>BDH|14576946855312055950</stp>
        <tr r="W14" s="2"/>
      </tp>
      <tp t="s">
        <v>#N/A N/A</v>
        <stp/>
        <stp>BDH|10459601352180204053</stp>
        <tr r="Z25" s="2"/>
      </tp>
      <tp t="s">
        <v>#N/A N/A</v>
        <stp/>
        <stp>BDH|13612490278525388642</stp>
        <tr r="D56" s="2"/>
      </tp>
      <tp t="s">
        <v>#N/A N/A</v>
        <stp/>
        <stp>BDH|13952830684975803561</stp>
        <tr r="AD22" s="2"/>
      </tp>
      <tp t="s">
        <v>#N/A N/A</v>
        <stp/>
        <stp>BDH|17447877417589332471</stp>
        <tr r="G18" s="2"/>
      </tp>
      <tp t="s">
        <v>#N/A N/A</v>
        <stp/>
        <stp>BDH|10540031165857215224</stp>
        <tr r="K49" s="2"/>
      </tp>
      <tp t="s">
        <v>#N/A N/A</v>
        <stp/>
        <stp>BDH|17853129687218817568</stp>
        <tr r="Y61" s="2"/>
      </tp>
      <tp t="s">
        <v>#N/A N/A</v>
        <stp/>
        <stp>BDH|17812349260865934467</stp>
        <tr r="AA38" s="2"/>
      </tp>
      <tp t="s">
        <v>#N/A N/A</v>
        <stp/>
        <stp>BDH|17379319641841340221</stp>
        <tr r="P66" s="2"/>
      </tp>
      <tp t="s">
        <v>#N/A N/A</v>
        <stp/>
        <stp>BDH|13907239725047297787</stp>
        <tr r="X66" s="2"/>
      </tp>
      <tp t="s">
        <v>#N/A N/A</v>
        <stp/>
        <stp>BDH|14681252926426865193</stp>
        <tr r="H34" s="2"/>
        <tr r="H46" s="2"/>
      </tp>
      <tp t="s">
        <v>#N/A N/A</v>
        <stp/>
        <stp>BDH|10153677413565888195</stp>
        <tr r="J8" s="2"/>
      </tp>
      <tp t="s">
        <v>#N/A N/A</v>
        <stp/>
        <stp>BDH|17293032683005253944</stp>
        <tr r="M17" s="2"/>
      </tp>
      <tp t="s">
        <v>#N/A N/A</v>
        <stp/>
        <stp>BDH|10124168724047708705</stp>
        <tr r="AC9" s="2"/>
      </tp>
      <tp t="s">
        <v>#N/A N/A</v>
        <stp/>
        <stp>BDH|15856689217134159527</stp>
        <tr r="C50" s="2"/>
      </tp>
      <tp t="s">
        <v>#N/A N/A</v>
        <stp/>
        <stp>BDH|16167277191148060639</stp>
        <tr r="I45" s="2"/>
      </tp>
      <tp t="s">
        <v>#N/A N/A</v>
        <stp/>
        <stp>BDH|16985483222945147668</stp>
        <tr r="L26" s="2"/>
      </tp>
      <tp t="s">
        <v>#N/A N/A</v>
        <stp/>
        <stp>BDH|14696142411310039777</stp>
        <tr r="T45" s="2"/>
      </tp>
      <tp t="s">
        <v>#N/A N/A</v>
        <stp/>
        <stp>BDH|12117185932667898479</stp>
        <tr r="X22" s="2"/>
      </tp>
      <tp t="s">
        <v>#N/A N/A</v>
        <stp/>
        <stp>BDH|11973281145557322330</stp>
        <tr r="O67" s="2"/>
      </tp>
      <tp t="s">
        <v>#N/A N/A</v>
        <stp/>
        <stp>BDH|14843486712930635209</stp>
        <tr r="L64" s="2"/>
      </tp>
      <tp t="s">
        <v>#N/A N/A</v>
        <stp/>
        <stp>BDH|14329025752695529723</stp>
        <tr r="C13" s="2"/>
      </tp>
      <tp t="s">
        <v>#N/A N/A</v>
        <stp/>
        <stp>BDH|10443109626080091059</stp>
        <tr r="E50" s="2"/>
      </tp>
      <tp t="s">
        <v>#N/A N/A</v>
        <stp/>
        <stp>BDH|10801960238550013913</stp>
        <tr r="AC37" s="2"/>
      </tp>
      <tp t="s">
        <v>#N/A N/A</v>
        <stp/>
        <stp>BDH|14484441667184960181</stp>
        <tr r="M27" s="2"/>
      </tp>
      <tp t="s">
        <v>#N/A N/A</v>
        <stp/>
        <stp>BDH|17848281652424676724</stp>
        <tr r="S54" s="2"/>
      </tp>
      <tp t="s">
        <v>#N/A N/A</v>
        <stp/>
        <stp>BDH|10293177304436285452</stp>
        <tr r="AB48" s="2"/>
      </tp>
      <tp t="s">
        <v>#N/A N/A</v>
        <stp/>
        <stp>BDH|17050058534967130062</stp>
        <tr r="G69" s="2"/>
      </tp>
      <tp t="s">
        <v>#N/A N/A</v>
        <stp/>
        <stp>BDH|13172226940722817429</stp>
        <tr r="K51" s="2"/>
      </tp>
      <tp t="s">
        <v>#N/A N/A</v>
        <stp/>
        <stp>BDH|13741025048111552512</stp>
        <tr r="X31" s="2"/>
      </tp>
      <tp t="s">
        <v>#N/A N/A</v>
        <stp/>
        <stp>BDH|12126288867434164170</stp>
        <tr r="Q68" s="2"/>
      </tp>
      <tp t="s">
        <v>#N/A N/A</v>
        <stp/>
        <stp>BDH|12441370784789932361</stp>
        <tr r="K21" s="2"/>
      </tp>
      <tp t="s">
        <v>#N/A N/A</v>
        <stp/>
        <stp>BDH|11136240817838908905</stp>
        <tr r="Z64" s="2"/>
      </tp>
      <tp t="s">
        <v>#N/A N/A</v>
        <stp/>
        <stp>BDH|11920202200600526078</stp>
        <tr r="U11" s="2"/>
      </tp>
      <tp t="s">
        <v>#N/A N/A</v>
        <stp/>
        <stp>BDH|15988468423640210055</stp>
        <tr r="J19" s="2"/>
      </tp>
      <tp t="s">
        <v>#N/A N/A</v>
        <stp/>
        <stp>BDH|10117883690945195728</stp>
        <tr r="Z13" s="2"/>
      </tp>
      <tp t="s">
        <v>#N/A N/A</v>
        <stp/>
        <stp>BDH|12971700282849225734</stp>
        <tr r="W9" s="2"/>
      </tp>
      <tp t="s">
        <v>#N/A N/A</v>
        <stp/>
        <stp>BDH|15340652819170134148</stp>
        <tr r="P50" s="2"/>
      </tp>
      <tp t="s">
        <v>#N/A N/A</v>
        <stp/>
        <stp>BDH|14629893495151319732</stp>
        <tr r="K70" s="2"/>
      </tp>
      <tp t="s">
        <v>#N/A N/A</v>
        <stp/>
        <stp>BDH|11182583752903009110</stp>
        <tr r="X71" s="2"/>
      </tp>
      <tp t="s">
        <v>#N/A N/A</v>
        <stp/>
        <stp>BDH|17124283501056120032</stp>
        <tr r="H32" s="2"/>
      </tp>
      <tp t="s">
        <v>#N/A N/A</v>
        <stp/>
        <stp>BDH|10252458002166134180</stp>
        <tr r="G48" s="2"/>
      </tp>
      <tp t="s">
        <v>#N/A N/A</v>
        <stp/>
        <stp>BDH|15561549649995524219</stp>
        <tr r="J40" s="2"/>
      </tp>
      <tp t="s">
        <v>#N/A N/A</v>
        <stp/>
        <stp>BDH|12192741148975190705</stp>
        <tr r="Q30" s="2"/>
      </tp>
      <tp t="s">
        <v>#N/A N/A</v>
        <stp/>
        <stp>BDH|13224638370306901744</stp>
        <tr r="R54" s="2"/>
      </tp>
      <tp t="s">
        <v>#N/A N/A</v>
        <stp/>
        <stp>BDH|11065376064843985465</stp>
        <tr r="G36" s="2"/>
      </tp>
      <tp t="s">
        <v>#N/A N/A</v>
        <stp/>
        <stp>BDH|14486082032380716460</stp>
        <tr r="Z27" s="2"/>
      </tp>
      <tp t="s">
        <v>#N/A N/A</v>
        <stp/>
        <stp>BDH|13332122529743305045</stp>
        <tr r="K48" s="2"/>
      </tp>
      <tp t="s">
        <v>#N/A N/A</v>
        <stp/>
        <stp>BDH|16262470493588826017</stp>
        <tr r="P42" s="2"/>
      </tp>
      <tp t="s">
        <v>#N/A N/A</v>
        <stp/>
        <stp>BDH|14206831483582594589</stp>
        <tr r="W30" s="2"/>
      </tp>
      <tp t="s">
        <v>#N/A N/A</v>
        <stp/>
        <stp>BDH|14323237308850294541</stp>
        <tr r="M40" s="2"/>
      </tp>
      <tp t="s">
        <v>#N/A N/A</v>
        <stp/>
        <stp>BDH|16483151088136964915</stp>
        <tr r="R28" s="2"/>
      </tp>
      <tp t="s">
        <v>#N/A N/A</v>
        <stp/>
        <stp>BDH|18349962307290271111</stp>
        <tr r="L41" s="2"/>
      </tp>
      <tp t="s">
        <v>#N/A N/A</v>
        <stp/>
        <stp>BDH|15538634410351230348</stp>
        <tr r="AC12" s="2"/>
      </tp>
      <tp t="s">
        <v>#N/A N/A</v>
        <stp/>
        <stp>BDH|14283356640417369441</stp>
        <tr r="F23" s="2"/>
      </tp>
      <tp t="s">
        <v>#N/A N/A</v>
        <stp/>
        <stp>BDH|12810215038464837792</stp>
        <tr r="T44" s="2"/>
      </tp>
      <tp t="s">
        <v>#N/A N/A</v>
        <stp/>
        <stp>BDH|10668652603364925292</stp>
        <tr r="E31" s="2"/>
      </tp>
      <tp t="s">
        <v>#N/A N/A</v>
        <stp/>
        <stp>BDH|17218776126213986194</stp>
        <tr r="AA67" s="2"/>
      </tp>
      <tp t="s">
        <v>#N/A N/A</v>
        <stp/>
        <stp>BDH|12526684638593751419</stp>
        <tr r="AD29" s="2"/>
      </tp>
      <tp t="s">
        <v>#N/A N/A</v>
        <stp/>
        <stp>BDH|16416762146106146368</stp>
        <tr r="AD45" s="2"/>
      </tp>
      <tp t="s">
        <v>#N/A N/A</v>
        <stp/>
        <stp>BDH|15033812776163344978</stp>
        <tr r="K34" s="2"/>
        <tr r="K46" s="2"/>
      </tp>
      <tp t="s">
        <v>#N/A N/A</v>
        <stp/>
        <stp>BDH|10553207410662337153</stp>
        <tr r="C53" s="2"/>
      </tp>
      <tp t="s">
        <v>#N/A N/A</v>
        <stp/>
        <stp>BDH|12386407006195552323</stp>
        <tr r="Y16" s="2"/>
      </tp>
      <tp t="s">
        <v>#N/A N/A</v>
        <stp/>
        <stp>BDH|15725775245684565229</stp>
        <tr r="W20" s="2"/>
      </tp>
      <tp t="s">
        <v>#N/A N/A</v>
        <stp/>
        <stp>BDH|12054475034891711469</stp>
        <tr r="AD38" s="2"/>
      </tp>
      <tp t="s">
        <v>#N/A N/A</v>
        <stp/>
        <stp>BDH|17663019405537885087</stp>
        <tr r="S18" s="2"/>
      </tp>
      <tp t="s">
        <v>#N/A N/A</v>
        <stp/>
        <stp>BDH|13864246824733512081</stp>
        <tr r="J23" s="2"/>
      </tp>
      <tp t="s">
        <v>#N/A N/A</v>
        <stp/>
        <stp>BDH|17058226783019712436</stp>
        <tr r="H54" s="2"/>
      </tp>
      <tp t="s">
        <v>#N/A N/A</v>
        <stp/>
        <stp>BDH|13434639454774209456</stp>
        <tr r="K23" s="2"/>
      </tp>
      <tp t="s">
        <v>#N/A N/A</v>
        <stp/>
        <stp>BDH|18066739820115251854</stp>
        <tr r="D8" s="2"/>
      </tp>
      <tp t="s">
        <v>#N/A N/A</v>
        <stp/>
        <stp>BDH|12635412490938791742</stp>
        <tr r="H26" s="2"/>
      </tp>
      <tp t="s">
        <v>#N/A N/A</v>
        <stp/>
        <stp>BDH|15722435753065269113</stp>
        <tr r="W25" s="2"/>
      </tp>
      <tp t="s">
        <v>#N/A N/A</v>
        <stp/>
        <stp>BDH|13445662659029586992</stp>
        <tr r="R7" s="2"/>
      </tp>
      <tp t="s">
        <v>#N/A N/A</v>
        <stp/>
        <stp>BDH|13503801408142331996</stp>
        <tr r="Y33" s="2"/>
      </tp>
      <tp t="s">
        <v>#N/A N/A</v>
        <stp/>
        <stp>BDH|14833267758771829288</stp>
        <tr r="C22" s="2"/>
      </tp>
      <tp t="s">
        <v>#N/A N/A</v>
        <stp/>
        <stp>BDH|16617328204266608307</stp>
        <tr r="Y60" s="2"/>
      </tp>
      <tp t="s">
        <v>#N/A N/A</v>
        <stp/>
        <stp>BDH|10709686012880885734</stp>
        <tr r="F36" s="2"/>
      </tp>
      <tp t="s">
        <v>#N/A N/A</v>
        <stp/>
        <stp>BDH|17938839670919554197</stp>
        <tr r="AB35" s="2"/>
      </tp>
      <tp t="s">
        <v>#N/A N/A</v>
        <stp/>
        <stp>BDH|13652273880698549125</stp>
        <tr r="H22" s="2"/>
      </tp>
      <tp t="s">
        <v>#N/A N/A</v>
        <stp/>
        <stp>BDH|13492522498776546930</stp>
        <tr r="E14" s="2"/>
      </tp>
      <tp t="s">
        <v>#N/A N/A</v>
        <stp/>
        <stp>BDH|17119499264014472100</stp>
        <tr r="G41" s="2"/>
      </tp>
      <tp t="s">
        <v>#N/A N/A</v>
        <stp/>
        <stp>BDH|15011625837599573987</stp>
        <tr r="D25" s="2"/>
      </tp>
      <tp t="s">
        <v>#N/A N/A</v>
        <stp/>
        <stp>BDH|14153717658343525555</stp>
        <tr r="D6" s="2"/>
      </tp>
      <tp t="s">
        <v>#N/A N/A</v>
        <stp/>
        <stp>BDH|16098195030567044319</stp>
        <tr r="C9" s="2"/>
      </tp>
      <tp t="s">
        <v>#N/A N/A</v>
        <stp/>
        <stp>BDH|12048684715291306466</stp>
        <tr r="N64" s="2"/>
      </tp>
      <tp t="s">
        <v>#N/A N/A</v>
        <stp/>
        <stp>BDH|17262338895174950963</stp>
        <tr r="H62" s="2"/>
      </tp>
      <tp t="s">
        <v>#N/A N/A</v>
        <stp/>
        <stp>BDH|12281054143276807067</stp>
        <tr r="AC24" s="2"/>
      </tp>
      <tp t="s">
        <v>#N/A N/A</v>
        <stp/>
        <stp>BDH|13914675768302937153</stp>
        <tr r="R67" s="2"/>
      </tp>
      <tp t="s">
        <v>#N/A N/A</v>
        <stp/>
        <stp>BDH|11463163404992355292</stp>
        <tr r="O34" s="2"/>
        <tr r="O46" s="2"/>
      </tp>
      <tp t="s">
        <v>#N/A N/A</v>
        <stp/>
        <stp>BDH|15099927282265427181</stp>
        <tr r="J55" s="2"/>
      </tp>
      <tp t="s">
        <v>#N/A N/A</v>
        <stp/>
        <stp>BDH|13044883104693354834</stp>
        <tr r="W29" s="2"/>
      </tp>
      <tp t="s">
        <v>#N/A N/A</v>
        <stp/>
        <stp>BDH|10867213561361740537</stp>
        <tr r="AD61" s="2"/>
      </tp>
      <tp t="s">
        <v>#N/A N/A</v>
        <stp/>
        <stp>BDH|14101407104948987830</stp>
        <tr r="AA9" s="2"/>
      </tp>
      <tp t="s">
        <v>#N/A N/A</v>
        <stp/>
        <stp>BDH|10477904563568125791</stp>
        <tr r="T41" s="2"/>
      </tp>
      <tp t="s">
        <v>#N/A N/A</v>
        <stp/>
        <stp>BDH|10919408647839865993</stp>
        <tr r="N42" s="2"/>
      </tp>
      <tp t="s">
        <v>#N/A N/A</v>
        <stp/>
        <stp>BDH|14084945722506809907</stp>
        <tr r="H71" s="2"/>
      </tp>
      <tp t="s">
        <v>#N/A N/A</v>
        <stp/>
        <stp>BDH|12802676321402590459</stp>
        <tr r="G25" s="2"/>
      </tp>
      <tp t="s">
        <v>#N/A N/A</v>
        <stp/>
        <stp>BDH|18053907770486018116</stp>
        <tr r="R60" s="2"/>
      </tp>
      <tp t="s">
        <v>#N/A N/A</v>
        <stp/>
        <stp>BDH|17049120579418953835</stp>
        <tr r="O54" s="2"/>
      </tp>
      <tp t="s">
        <v>#N/A N/A</v>
        <stp/>
        <stp>BDH|10937685844092404102</stp>
        <tr r="AD35" s="2"/>
      </tp>
      <tp t="s">
        <v>#N/A N/A</v>
        <stp/>
        <stp>BDH|10215863655568598447</stp>
        <tr r="W6" s="2"/>
      </tp>
      <tp t="s">
        <v>#N/A N/A</v>
        <stp/>
        <stp>BDH|14254083365063876078</stp>
        <tr r="AA29" s="2"/>
      </tp>
      <tp t="s">
        <v>#N/A N/A</v>
        <stp/>
        <stp>BDH|10275662530220084440</stp>
        <tr r="Y21" s="2"/>
      </tp>
      <tp t="s">
        <v>#N/A N/A</v>
        <stp/>
        <stp>BDH|10740530266635397717</stp>
        <tr r="M23" s="2"/>
      </tp>
      <tp t="s">
        <v>#N/A N/A</v>
        <stp/>
        <stp>BDH|11686468286059795518</stp>
        <tr r="U29" s="2"/>
      </tp>
      <tp t="s">
        <v>#N/A N/A</v>
        <stp/>
        <stp>BDH|11366042613555714430</stp>
        <tr r="X32" s="2"/>
      </tp>
      <tp t="s">
        <v>#N/A N/A</v>
        <stp/>
        <stp>BDH|18326385018733362828</stp>
        <tr r="J15" s="2"/>
      </tp>
      <tp t="s">
        <v>#N/A N/A</v>
        <stp/>
        <stp>BDH|16742155462214213400</stp>
        <tr r="T67" s="2"/>
      </tp>
      <tp t="s">
        <v>#N/A N/A</v>
        <stp/>
        <stp>BDH|15637223779568890979</stp>
        <tr r="W55" s="2"/>
      </tp>
      <tp t="s">
        <v>#N/A N/A</v>
        <stp/>
        <stp>BDH|15766670411670489303</stp>
        <tr r="C32" s="2"/>
      </tp>
      <tp t="s">
        <v>#N/A N/A</v>
        <stp/>
        <stp>BDH|11889203029627768732</stp>
        <tr r="AC26" s="2"/>
      </tp>
      <tp t="s">
        <v>#N/A N/A</v>
        <stp/>
        <stp>BDH|18036323526321413951</stp>
        <tr r="G14" s="2"/>
      </tp>
      <tp t="s">
        <v>#N/A N/A</v>
        <stp/>
        <stp>BDH|12508429963556353729</stp>
        <tr r="M33" s="2"/>
      </tp>
      <tp t="s">
        <v>#N/A N/A</v>
        <stp/>
        <stp>BDH|12495219865370264767</stp>
        <tr r="AD67" s="2"/>
      </tp>
      <tp t="s">
        <v>#N/A N/A</v>
        <stp/>
        <stp>BDH|10634475021150327775</stp>
        <tr r="Y67" s="2"/>
      </tp>
      <tp t="s">
        <v>#N/A N/A</v>
        <stp/>
        <stp>BDH|15264568046106315359</stp>
        <tr r="E28" s="2"/>
      </tp>
      <tp t="s">
        <v>#N/A N/A</v>
        <stp/>
        <stp>BDH|13065206133162077170</stp>
        <tr r="Z39" s="2"/>
      </tp>
      <tp t="s">
        <v>#N/A N/A</v>
        <stp/>
        <stp>BDH|14350841355199048158</stp>
        <tr r="AA40" s="2"/>
      </tp>
      <tp t="s">
        <v>#N/A N/A</v>
        <stp/>
        <stp>BDH|13340603401017338362</stp>
        <tr r="L49" s="2"/>
      </tp>
      <tp t="s">
        <v>#N/A N/A</v>
        <stp/>
        <stp>BDH|12185426711707796124</stp>
        <tr r="AB11" s="2"/>
      </tp>
      <tp t="s">
        <v>#N/A N/A</v>
        <stp/>
        <stp>BDH|16989627647030221587</stp>
        <tr r="Z6" s="2"/>
      </tp>
      <tp t="s">
        <v>#N/A N/A</v>
        <stp/>
        <stp>BDH|11901080514440998157</stp>
        <tr r="X44" s="2"/>
      </tp>
      <tp t="s">
        <v>#N/A N/A</v>
        <stp/>
        <stp>BDH|13978311135867263567</stp>
        <tr r="N6" s="2"/>
      </tp>
      <tp t="s">
        <v>#N/A N/A</v>
        <stp/>
        <stp>BDH|15165593940076918389</stp>
        <tr r="O8" s="2"/>
      </tp>
      <tp t="s">
        <v>#N/A N/A</v>
        <stp/>
        <stp>BDH|13425724225621951639</stp>
        <tr r="N17" s="2"/>
      </tp>
      <tp t="s">
        <v>#N/A N/A</v>
        <stp/>
        <stp>BDH|13410038260852730693</stp>
        <tr r="K68" s="2"/>
      </tp>
      <tp t="s">
        <v>#N/A N/A</v>
        <stp/>
        <stp>BDH|10798059129560700349</stp>
        <tr r="E53" s="2"/>
      </tp>
      <tp t="s">
        <v>#N/A N/A</v>
        <stp/>
        <stp>BDH|11201699728624301083</stp>
        <tr r="AA50" s="2"/>
      </tp>
      <tp t="s">
        <v>#N/A N/A</v>
        <stp/>
        <stp>BDH|15308325509586392103</stp>
        <tr r="W45" s="2"/>
      </tp>
      <tp t="s">
        <v>#N/A N/A</v>
        <stp/>
        <stp>BDH|12371781731662889596</stp>
        <tr r="P11" s="2"/>
      </tp>
      <tp t="s">
        <v>#N/A N/A</v>
        <stp/>
        <stp>BDH|15116043912650869541</stp>
        <tr r="G55" s="2"/>
      </tp>
      <tp t="s">
        <v>#N/A N/A</v>
        <stp/>
        <stp>BDH|10058138238005172618</stp>
        <tr r="K7" s="2"/>
      </tp>
      <tp t="s">
        <v>#N/A N/A</v>
        <stp/>
        <stp>BDH|14495359878522035339</stp>
        <tr r="J13" s="2"/>
      </tp>
      <tp t="s">
        <v>#N/A N/A</v>
        <stp/>
        <stp>BDH|18019307766995592999</stp>
        <tr r="O10" s="2"/>
      </tp>
      <tp t="s">
        <v>#N/A N/A</v>
        <stp/>
        <stp>BDH|13190964278059292507</stp>
        <tr r="L53" s="2"/>
      </tp>
      <tp t="s">
        <v>#N/A N/A</v>
        <stp/>
        <stp>BDH|16555646770736539088</stp>
        <tr r="X36" s="2"/>
      </tp>
      <tp t="s">
        <v>#N/A N/A</v>
        <stp/>
        <stp>BDH|17091318352661918165</stp>
        <tr r="Y30" s="2"/>
      </tp>
      <tp t="s">
        <v>#N/A N/A</v>
        <stp/>
        <stp>BDH|13295756418304407040</stp>
        <tr r="D61" s="2"/>
      </tp>
      <tp t="s">
        <v>#N/A N/A</v>
        <stp/>
        <stp>BDH|10416623058245620771</stp>
        <tr r="Y63" s="2"/>
      </tp>
      <tp t="s">
        <v>#N/A N/A</v>
        <stp/>
        <stp>BDH|13173385400698736915</stp>
        <tr r="M34" s="2"/>
        <tr r="M46" s="2"/>
      </tp>
      <tp t="s">
        <v>#N/A N/A</v>
        <stp/>
        <stp>BDH|11642342859370066644</stp>
        <tr r="N33" s="2"/>
      </tp>
      <tp t="s">
        <v>#N/A N/A</v>
        <stp/>
        <stp>BDH|12838909070089672418</stp>
        <tr r="Y44" s="2"/>
      </tp>
      <tp t="s">
        <v>#N/A N/A</v>
        <stp/>
        <stp>BDH|11141676212064322384</stp>
        <tr r="W61" s="2"/>
      </tp>
      <tp t="s">
        <v>#N/A N/A</v>
        <stp/>
        <stp>BDH|16617895260640227939</stp>
        <tr r="V35" s="2"/>
      </tp>
      <tp t="s">
        <v>#N/A N/A</v>
        <stp/>
        <stp>BDH|10066842538885437895</stp>
        <tr r="T13" s="2"/>
      </tp>
      <tp t="s">
        <v>#N/A N/A</v>
        <stp/>
        <stp>BDH|10122659917855583472</stp>
        <tr r="Z70" s="2"/>
      </tp>
      <tp t="s">
        <v>#N/A N/A</v>
        <stp/>
        <stp>BDH|12063188729265776279</stp>
        <tr r="U48" s="2"/>
      </tp>
      <tp t="s">
        <v>#N/A N/A</v>
        <stp/>
        <stp>BDH|14090709411090763477</stp>
        <tr r="AB14" s="2"/>
      </tp>
      <tp t="s">
        <v>#N/A N/A</v>
        <stp/>
        <stp>BDH|17468077079106855031</stp>
        <tr r="L42" s="2"/>
      </tp>
      <tp t="s">
        <v>#N/A N/A</v>
        <stp/>
        <stp>BDH|16054501342987751652</stp>
        <tr r="AA41" s="2"/>
      </tp>
      <tp t="s">
        <v>#N/A N/A</v>
        <stp/>
        <stp>BDH|17102385546766837079</stp>
        <tr r="I51" s="2"/>
      </tp>
      <tp t="s">
        <v>#N/A N/A</v>
        <stp/>
        <stp>BDH|16035445042038686800</stp>
        <tr r="X21" s="2"/>
      </tp>
      <tp t="s">
        <v>#N/A N/A</v>
        <stp/>
        <stp>BDH|11536534126887110726</stp>
        <tr r="Z14" s="2"/>
      </tp>
      <tp t="s">
        <v>#N/A N/A</v>
        <stp/>
        <stp>BDH|11704196824214846018</stp>
        <tr r="Q37" s="2"/>
      </tp>
      <tp t="s">
        <v>#N/A N/A</v>
        <stp/>
        <stp>BDH|14600857690886717572</stp>
        <tr r="E13" s="2"/>
      </tp>
      <tp t="s">
        <v>#N/A N/A</v>
        <stp/>
        <stp>BDH|14199315012704655479</stp>
        <tr r="AB71" s="2"/>
      </tp>
      <tp t="s">
        <v>#N/A N/A</v>
        <stp/>
        <stp>BDH|16004601827635509113</stp>
        <tr r="T64" s="2"/>
      </tp>
      <tp t="s">
        <v>#N/A N/A</v>
        <stp/>
        <stp>BDH|17423244540950152732</stp>
        <tr r="AD60" s="2"/>
      </tp>
      <tp t="s">
        <v>#N/A N/A</v>
        <stp/>
        <stp>BDH|17190021343200102534</stp>
        <tr r="I50" s="2"/>
      </tp>
      <tp t="s">
        <v>#N/A N/A</v>
        <stp/>
        <stp>BDH|17608357211554415740</stp>
        <tr r="S53" s="2"/>
      </tp>
      <tp t="s">
        <v>#N/A N/A</v>
        <stp/>
        <stp>BDH|17647075257675755131</stp>
        <tr r="Y17" s="2"/>
      </tp>
      <tp t="s">
        <v>#N/A N/A</v>
        <stp/>
        <stp>BDH|14804686952710461145</stp>
        <tr r="E49" s="2"/>
      </tp>
      <tp t="s">
        <v>#N/A N/A</v>
        <stp/>
        <stp>BDH|16043927018251035983</stp>
        <tr r="F25" s="2"/>
      </tp>
      <tp t="s">
        <v>#N/A N/A</v>
        <stp/>
        <stp>BDH|13692149401191830592</stp>
        <tr r="D45" s="2"/>
      </tp>
      <tp t="s">
        <v>#N/A N/A</v>
        <stp/>
        <stp>BDH|12088851556249465020</stp>
        <tr r="C7" s="2"/>
      </tp>
      <tp t="s">
        <v>#N/A N/A</v>
        <stp/>
        <stp>BDH|17534272584622185922</stp>
        <tr r="AA68" s="2"/>
      </tp>
      <tp t="s">
        <v>#N/A N/A</v>
        <stp/>
        <stp>BDH|17937049411462033290</stp>
        <tr r="G20" s="2"/>
      </tp>
      <tp t="s">
        <v>#N/A N/A</v>
        <stp/>
        <stp>BDH|13175891468672717922</stp>
        <tr r="N16" s="2"/>
      </tp>
      <tp t="s">
        <v>#N/A N/A</v>
        <stp/>
        <stp>BDH|15644214622653174016</stp>
        <tr r="O63" s="2"/>
      </tp>
      <tp t="s">
        <v>#N/A N/A</v>
        <stp/>
        <stp>BDH|13770323928962820609</stp>
        <tr r="Z67" s="2"/>
      </tp>
      <tp t="s">
        <v>#N/A N/A</v>
        <stp/>
        <stp>BDH|11663445570626040268</stp>
        <tr r="U7" s="2"/>
      </tp>
      <tp t="s">
        <v>#N/A N/A</v>
        <stp/>
        <stp>BDH|16691803984999430922</stp>
        <tr r="T18" s="2"/>
      </tp>
      <tp t="s">
        <v>#N/A N/A</v>
        <stp/>
        <stp>BDH|13692442759177793384</stp>
        <tr r="AB70" s="2"/>
      </tp>
      <tp t="s">
        <v>#N/A N/A</v>
        <stp/>
        <stp>BDH|16560623916287358059</stp>
        <tr r="Y25" s="2"/>
      </tp>
      <tp t="s">
        <v>#N/A N/A</v>
        <stp/>
        <stp>BDH|14869573015755423399</stp>
        <tr r="J48" s="2"/>
      </tp>
      <tp t="s">
        <v>#N/A N/A</v>
        <stp/>
        <stp>BDH|17212703658172495195</stp>
        <tr r="D65" s="2"/>
      </tp>
      <tp t="s">
        <v>#N/A N/A</v>
        <stp/>
        <stp>BDH|10197063168579920912</stp>
        <tr r="AB29" s="2"/>
      </tp>
      <tp t="s">
        <v>#N/A N/A</v>
        <stp/>
        <stp>BDH|16817313044985376292</stp>
        <tr r="P71" s="2"/>
      </tp>
      <tp t="s">
        <v>#N/A N/A</v>
        <stp/>
        <stp>BDH|10958875698997492056</stp>
        <tr r="V31" s="2"/>
      </tp>
      <tp t="s">
        <v>#N/A N/A</v>
        <stp/>
        <stp>BDH|11919684693549026157</stp>
        <tr r="M24" s="2"/>
      </tp>
      <tp t="s">
        <v>#N/A N/A</v>
        <stp/>
        <stp>BDH|16595494063322820016</stp>
        <tr r="Z69" s="2"/>
      </tp>
      <tp t="s">
        <v>#N/A N/A</v>
        <stp/>
        <stp>BDH|14043726057150595066</stp>
        <tr r="L65" s="2"/>
      </tp>
      <tp t="s">
        <v>#N/A N/A</v>
        <stp/>
        <stp>BDH|12137600647325916392</stp>
        <tr r="Q12" s="2"/>
      </tp>
      <tp t="s">
        <v>#N/A N/A</v>
        <stp/>
        <stp>BDH|15405450180148552727</stp>
        <tr r="U16" s="2"/>
      </tp>
      <tp t="s">
        <v>#N/A N/A</v>
        <stp/>
        <stp>BDH|11523122218980516732</stp>
        <tr r="S63" s="2"/>
      </tp>
      <tp t="s">
        <v>#N/A N/A</v>
        <stp/>
        <stp>BDH|15587154529996271628</stp>
        <tr r="X70" s="2"/>
      </tp>
      <tp t="s">
        <v>#N/A N/A</v>
        <stp/>
        <stp>BDH|12758198814554250015</stp>
        <tr r="E45" s="2"/>
      </tp>
      <tp t="s">
        <v>#N/A N/A</v>
        <stp/>
        <stp>BDH|14036642612846670399</stp>
        <tr r="AC38" s="2"/>
      </tp>
      <tp t="s">
        <v>#N/A N/A</v>
        <stp/>
        <stp>BDH|13416744838446614775</stp>
        <tr r="I69" s="2"/>
      </tp>
      <tp t="s">
        <v>#N/A N/A</v>
        <stp/>
        <stp>BDH|12516856644961815947</stp>
        <tr r="V50" s="2"/>
      </tp>
      <tp t="s">
        <v>#N/A N/A</v>
        <stp/>
        <stp>BDH|12536216338811451404</stp>
        <tr r="J18" s="2"/>
      </tp>
      <tp t="s">
        <v>#N/A N/A</v>
        <stp/>
        <stp>BDH|14594209553651871460</stp>
        <tr r="M70" s="2"/>
      </tp>
      <tp t="s">
        <v>#N/A N/A</v>
        <stp/>
        <stp>BDH|14465972865304629984</stp>
        <tr r="N19" s="2"/>
      </tp>
      <tp t="s">
        <v>#N/A N/A</v>
        <stp/>
        <stp>BDH|11291235414445785199</stp>
        <tr r="C28" s="2"/>
      </tp>
      <tp t="s">
        <v>#N/A N/A</v>
        <stp/>
        <stp>BDH|16451355781813228892</stp>
        <tr r="AA45" s="2"/>
      </tp>
      <tp t="s">
        <v>#N/A N/A</v>
        <stp/>
        <stp>BDH|13092096745850184167</stp>
        <tr r="U60" s="2"/>
      </tp>
      <tp t="s">
        <v>#N/A N/A</v>
        <stp/>
        <stp>BDH|16073469860563548180</stp>
        <tr r="V15" s="2"/>
      </tp>
      <tp t="s">
        <v>#N/A N/A</v>
        <stp/>
        <stp>BDH|14951845302382624822</stp>
        <tr r="T14" s="2"/>
      </tp>
      <tp t="s">
        <v>#N/A N/A</v>
        <stp/>
        <stp>BDH|12961571320673471013</stp>
        <tr r="Y71" s="2"/>
      </tp>
      <tp t="s">
        <v>#N/A N/A</v>
        <stp/>
        <stp>BDH|17172790943394114610</stp>
        <tr r="R32" s="2"/>
      </tp>
      <tp t="s">
        <v>#N/A N/A</v>
        <stp/>
        <stp>BDH|14806679110403714623</stp>
        <tr r="R23" s="2"/>
      </tp>
      <tp t="s">
        <v>#N/A N/A</v>
        <stp/>
        <stp>BDH|13250409162144290388</stp>
        <tr r="S49" s="2"/>
      </tp>
      <tp t="s">
        <v>#N/A N/A</v>
        <stp/>
        <stp>BDH|13871692633570031080</stp>
        <tr r="C48" s="2"/>
      </tp>
      <tp t="s">
        <v>#N/A N/A</v>
        <stp/>
        <stp>BDH|13599609820173804272</stp>
        <tr r="Q66" s="2"/>
      </tp>
      <tp t="s">
        <v>#N/A N/A</v>
        <stp/>
        <stp>BDH|11023092873364544455</stp>
        <tr r="W28" s="2"/>
      </tp>
      <tp t="s">
        <v>#N/A N/A</v>
        <stp/>
        <stp>BDH|11222244929556707122</stp>
        <tr r="O12" s="2"/>
      </tp>
      <tp t="s">
        <v>#N/A N/A</v>
        <stp/>
        <stp>BDH|15903715327952331410</stp>
        <tr r="C20" s="2"/>
      </tp>
      <tp t="s">
        <v>#N/A N/A</v>
        <stp/>
        <stp>BDH|17096530424196270081</stp>
        <tr r="K50" s="2"/>
      </tp>
      <tp t="s">
        <v>#N/A N/A</v>
        <stp/>
        <stp>BDH|12840467604532154260</stp>
        <tr r="AA31" s="2"/>
      </tp>
      <tp t="s">
        <v>#N/A N/A</v>
        <stp/>
        <stp>BDH|12678731828180316134</stp>
        <tr r="I61" s="2"/>
      </tp>
      <tp t="s">
        <v>#N/A N/A</v>
        <stp/>
        <stp>BDH|13823111132635355257</stp>
        <tr r="N60" s="2"/>
      </tp>
      <tp t="s">
        <v>#N/A N/A</v>
        <stp/>
        <stp>BDH|10337650661216308088</stp>
        <tr r="F9" s="2"/>
      </tp>
      <tp t="s">
        <v>#N/A N/A</v>
        <stp/>
        <stp>BDH|10187270864035860761</stp>
        <tr r="C42" s="2"/>
      </tp>
      <tp t="s">
        <v>#N/A N/A</v>
        <stp/>
        <stp>BDH|16913305772251788537</stp>
        <tr r="C60" s="2"/>
      </tp>
      <tp t="s">
        <v>#N/A N/A</v>
        <stp/>
        <stp>BDH|15255183453425710210</stp>
        <tr r="AC54" s="2"/>
      </tp>
      <tp t="s">
        <v>#N/A N/A</v>
        <stp/>
        <stp>BDH|12307420815212813331</stp>
        <tr r="C15" s="2"/>
      </tp>
      <tp t="s">
        <v>#N/A N/A</v>
        <stp/>
        <stp>BDH|10324708324870129397</stp>
        <tr r="P60" s="2"/>
      </tp>
      <tp t="s">
        <v>#N/A N/A</v>
        <stp/>
        <stp>BDH|14811593161585988468</stp>
        <tr r="H42" s="2"/>
      </tp>
      <tp t="s">
        <v>#N/A N/A</v>
        <stp/>
        <stp>BDH|16523172506229967822</stp>
        <tr r="L66" s="2"/>
      </tp>
      <tp t="s">
        <v>#N/A N/A</v>
        <stp/>
        <stp>BDH|11376737954146348380</stp>
        <tr r="E23" s="2"/>
      </tp>
      <tp t="s">
        <v>#N/A N/A</v>
        <stp/>
        <stp>BDH|12931584818607686716</stp>
        <tr r="AC15" s="2"/>
      </tp>
      <tp t="s">
        <v>#N/A N/A</v>
        <stp/>
        <stp>BDH|10256889196577619047</stp>
        <tr r="J64" s="2"/>
      </tp>
      <tp t="s">
        <v>#N/A N/A</v>
        <stp/>
        <stp>BDH|10686990488982914503</stp>
        <tr r="Q39" s="2"/>
      </tp>
      <tp t="s">
        <v>#N/A N/A</v>
        <stp/>
        <stp>BDH|11284870926885972840</stp>
        <tr r="S15" s="2"/>
      </tp>
      <tp t="s">
        <v>#N/A N/A</v>
        <stp/>
        <stp>BDH|12828367733937136329</stp>
        <tr r="T46" s="2"/>
        <tr r="T34" s="2"/>
      </tp>
      <tp t="s">
        <v>#N/A N/A</v>
        <stp/>
        <stp>BDH|13651634435121268034</stp>
        <tr r="AD12" s="2"/>
      </tp>
      <tp t="s">
        <v>#N/A N/A</v>
        <stp/>
        <stp>BDH|12832157080399901550</stp>
        <tr r="K56" s="2"/>
      </tp>
      <tp t="s">
        <v>#N/A N/A</v>
        <stp/>
        <stp>BDH|12185750915213999089</stp>
        <tr r="R10" s="2"/>
      </tp>
      <tp t="s">
        <v>#N/A N/A</v>
        <stp/>
        <stp>BDH|14170787219060409541</stp>
        <tr r="I49" s="2"/>
      </tp>
      <tp t="s">
        <v>#N/A N/A</v>
        <stp/>
        <stp>BDH|14601649797829324563</stp>
        <tr r="M60" s="2"/>
      </tp>
      <tp t="s">
        <v>#N/A N/A</v>
        <stp/>
        <stp>BDH|10313512956190650727</stp>
        <tr r="F27" s="2"/>
      </tp>
      <tp t="s">
        <v>#N/A N/A</v>
        <stp/>
        <stp>BDH|17187669106311872791</stp>
        <tr r="D14" s="2"/>
      </tp>
      <tp t="s">
        <v>#N/A N/A</v>
        <stp/>
        <stp>BDH|16668770510796392112</stp>
        <tr r="K54" s="2"/>
      </tp>
      <tp t="s">
        <v>#N/A N/A</v>
        <stp/>
        <stp>BDH|14288274904358031920</stp>
        <tr r="D7" s="2"/>
      </tp>
      <tp t="s">
        <v>#N/A N/A</v>
        <stp/>
        <stp>BDH|15138309447245244078</stp>
        <tr r="Z28" s="2"/>
      </tp>
      <tp t="s">
        <v>#N/A N/A</v>
        <stp/>
        <stp>BDH|13729025439396647183</stp>
        <tr r="AA6" s="2"/>
      </tp>
      <tp t="s">
        <v>#N/A N/A</v>
        <stp/>
        <stp>BDH|16731377913813472021</stp>
        <tr r="F32" s="2"/>
      </tp>
      <tp t="s">
        <v>#N/A N/A</v>
        <stp/>
        <stp>BDH|17166845981007498750</stp>
        <tr r="P37" s="2"/>
      </tp>
      <tp t="s">
        <v>#N/A N/A</v>
        <stp/>
        <stp>BDH|12782810710828239411</stp>
        <tr r="I36" s="2"/>
      </tp>
      <tp t="s">
        <v>#N/A N/A</v>
        <stp/>
        <stp>BDH|11995026123243568795</stp>
        <tr r="I8" s="2"/>
      </tp>
      <tp t="s">
        <v>#N/A N/A</v>
        <stp/>
        <stp>BDH|13108505720155553602</stp>
        <tr r="AD23" s="2"/>
      </tp>
      <tp t="s">
        <v>#N/A N/A</v>
        <stp/>
        <stp>BDH|13092210660008667838</stp>
        <tr r="E37" s="2"/>
      </tp>
      <tp t="s">
        <v>#N/A N/A</v>
        <stp/>
        <stp>BDH|14975085461136670323</stp>
        <tr r="G15" s="2"/>
      </tp>
      <tp t="s">
        <v>#N/A N/A</v>
        <stp/>
        <stp>BDH|18433239200925600861</stp>
        <tr r="E25" s="2"/>
      </tp>
      <tp t="s">
        <v>#N/A N/A</v>
        <stp/>
        <stp>BDH|15165672323483579572</stp>
        <tr r="I55" s="2"/>
      </tp>
      <tp t="s">
        <v>#N/A N/A</v>
        <stp/>
        <stp>BDH|17300077165622442436</stp>
        <tr r="AB50" s="2"/>
      </tp>
      <tp t="s">
        <v>#N/A N/A</v>
        <stp/>
        <stp>BDH|13827590546450464553</stp>
        <tr r="T56" s="2"/>
      </tp>
      <tp t="s">
        <v>#N/A N/A</v>
        <stp/>
        <stp>BDH|18253032886655041211</stp>
        <tr r="W18" s="2"/>
      </tp>
      <tp t="s">
        <v>#N/A N/A</v>
        <stp/>
        <stp>BDH|16796344785763944962</stp>
        <tr r="R21" s="2"/>
      </tp>
      <tp t="s">
        <v>#N/A N/A</v>
        <stp/>
        <stp>BDH|12469798763621595523</stp>
        <tr r="N37" s="2"/>
      </tp>
      <tp t="s">
        <v>#N/A N/A</v>
        <stp/>
        <stp>BDH|15451557227380702580</stp>
        <tr r="L62" s="2"/>
      </tp>
      <tp t="s">
        <v>#N/A N/A</v>
        <stp/>
        <stp>BDH|11593607508318315867</stp>
        <tr r="Y7" s="2"/>
      </tp>
      <tp t="s">
        <v>#N/A N/A</v>
        <stp/>
        <stp>BDH|15871508964300186152</stp>
        <tr r="H7" s="2"/>
      </tp>
      <tp t="s">
        <v>#N/A N/A</v>
        <stp/>
        <stp>BDH|11212411777804863177</stp>
        <tr r="J30" s="2"/>
      </tp>
      <tp t="s">
        <v>#N/A N/A</v>
        <stp/>
        <stp>BDH|12208209312662205492</stp>
        <tr r="S48" s="2"/>
      </tp>
      <tp t="s">
        <v>#N/A N/A</v>
        <stp/>
        <stp>BDH|15433534201457452092</stp>
        <tr r="T38" s="2"/>
      </tp>
      <tp t="s">
        <v>#N/A N/A</v>
        <stp/>
        <stp>BDH|13286554909839573818</stp>
        <tr r="AC71" s="2"/>
      </tp>
      <tp t="s">
        <v>#N/A N/A</v>
        <stp/>
        <stp>BDH|13253678061580915472</stp>
        <tr r="AC68" s="2"/>
      </tp>
      <tp t="s">
        <v>#N/A N/A</v>
        <stp/>
        <stp>BDH|13104157498038394433</stp>
        <tr r="D27" s="2"/>
      </tp>
      <tp t="s">
        <v>#N/A N/A</v>
        <stp/>
        <stp>BDH|13282069668832909095</stp>
        <tr r="Y48" s="2"/>
      </tp>
      <tp t="s">
        <v>#N/A N/A</v>
        <stp/>
        <stp>BDH|12278074521122828506</stp>
        <tr r="R14" s="2"/>
      </tp>
      <tp t="s">
        <v>#N/A N/A</v>
        <stp/>
        <stp>BDH|17760190411285845587</stp>
        <tr r="AC8" s="2"/>
      </tp>
      <tp t="s">
        <v>#N/A N/A</v>
        <stp/>
        <stp>BDH|14918442601566055121</stp>
        <tr r="I48" s="2"/>
      </tp>
      <tp t="s">
        <v>#N/A N/A</v>
        <stp/>
        <stp>BDH|12630775453770056439</stp>
        <tr r="C44" s="2"/>
      </tp>
      <tp t="s">
        <v>#N/A N/A</v>
        <stp/>
        <stp>BDH|15276194339064268713</stp>
        <tr r="K14" s="2"/>
      </tp>
      <tp t="s">
        <v>#N/A N/A</v>
        <stp/>
        <stp>BDH|12432131150805572722</stp>
        <tr r="K53" s="2"/>
      </tp>
      <tp t="s">
        <v>#N/A N/A</v>
        <stp/>
        <stp>BDH|14350460913387332258</stp>
        <tr r="Y37" s="2"/>
      </tp>
      <tp t="s">
        <v>#N/A N/A</v>
        <stp/>
        <stp>BDH|10552573163446557142</stp>
        <tr r="X56" s="2"/>
      </tp>
      <tp t="s">
        <v>#N/A N/A</v>
        <stp/>
        <stp>BDH|14989839290986172780</stp>
        <tr r="I30" s="2"/>
      </tp>
      <tp t="s">
        <v>#N/A N/A</v>
        <stp/>
        <stp>BDH|11859453621361981263</stp>
        <tr r="K67" s="2"/>
      </tp>
      <tp t="s">
        <v>#N/A N/A</v>
        <stp/>
        <stp>BDH|12101895526089931543</stp>
        <tr r="C65" s="2"/>
      </tp>
      <tp t="s">
        <v>#N/A N/A</v>
        <stp/>
        <stp>BDH|11621785250254447394</stp>
        <tr r="X18" s="2"/>
      </tp>
      <tp t="s">
        <v>#N/A N/A</v>
        <stp/>
        <stp>BDH|15695701364908894883</stp>
        <tr r="AB16" s="2"/>
      </tp>
      <tp t="s">
        <v>#N/A N/A</v>
        <stp/>
        <stp>BDH|17015358020934739609</stp>
        <tr r="Z34" s="2"/>
        <tr r="Z46" s="2"/>
      </tp>
      <tp t="s">
        <v>#N/A N/A</v>
        <stp/>
        <stp>BDH|14556459564371558337</stp>
        <tr r="O40" s="2"/>
      </tp>
      <tp t="s">
        <v>#N/A N/A</v>
        <stp/>
        <stp>BDH|15035175365640326635</stp>
        <tr r="W40" s="2"/>
      </tp>
      <tp t="s">
        <v>#N/A N/A</v>
        <stp/>
        <stp>BDH|16234835961515766928</stp>
        <tr r="W66" s="2"/>
      </tp>
      <tp t="s">
        <v>#N/A N/A</v>
        <stp/>
        <stp>BDH|16942285480660586819</stp>
        <tr r="L38" s="2"/>
      </tp>
      <tp t="s">
        <v>#N/A N/A</v>
        <stp/>
        <stp>BDH|18022420796311932084</stp>
        <tr r="K16" s="2"/>
      </tp>
      <tp t="s">
        <v>#N/A N/A</v>
        <stp/>
        <stp>BDH|17136937584533317121</stp>
        <tr r="D19" s="2"/>
      </tp>
      <tp t="s">
        <v>#N/A N/A</v>
        <stp/>
        <stp>BDH|18259817439755912259</stp>
        <tr r="Y64" s="2"/>
      </tp>
      <tp t="s">
        <v>#N/A N/A</v>
        <stp/>
        <stp>BDH|18375398036528220461</stp>
        <tr r="P56" s="2"/>
      </tp>
      <tp t="s">
        <v>#N/A N/A</v>
        <stp/>
        <stp>BDH|15668104166800868600</stp>
        <tr r="O50" s="2"/>
      </tp>
      <tp t="s">
        <v>#N/A N/A</v>
        <stp/>
        <stp>BDH|14707704038972076643</stp>
        <tr r="K32" s="2"/>
      </tp>
      <tp t="s">
        <v>#N/A N/A</v>
        <stp/>
        <stp>BDH|12285874387057091193</stp>
        <tr r="J42" s="2"/>
      </tp>
      <tp t="s">
        <v>#N/A N/A</v>
        <stp/>
        <stp>BDH|17148334510206091783</stp>
        <tr r="O31" s="2"/>
      </tp>
      <tp t="s">
        <v>#N/A N/A</v>
        <stp/>
        <stp>BDH|13244524357961964640</stp>
        <tr r="G44" s="2"/>
      </tp>
      <tp t="s">
        <v>#N/A N/A</v>
        <stp/>
        <stp>BDH|15055504391359312482</stp>
        <tr r="Y49" s="2"/>
      </tp>
      <tp t="s">
        <v>#N/A N/A</v>
        <stp/>
        <stp>BDH|12065693364972848481</stp>
        <tr r="AA39" s="2"/>
      </tp>
      <tp t="s">
        <v>#N/A N/A</v>
        <stp/>
        <stp>BDH|15015663397716993855</stp>
        <tr r="V69" s="2"/>
      </tp>
      <tp t="s">
        <v>#N/A N/A</v>
        <stp/>
        <stp>BDH|11629720420046162689</stp>
        <tr r="O7" s="2"/>
      </tp>
      <tp t="s">
        <v>#N/A N/A</v>
        <stp/>
        <stp>BDH|15003263526860811157</stp>
        <tr r="D54" s="2"/>
      </tp>
      <tp t="s">
        <v>#N/A N/A</v>
        <stp/>
        <stp>BDH|18025763536389423193</stp>
        <tr r="X37" s="2"/>
      </tp>
      <tp t="s">
        <v>#N/A N/A</v>
        <stp/>
        <stp>BDH|12178712905909097880</stp>
        <tr r="N61" s="2"/>
      </tp>
      <tp t="s">
        <v>#N/A N/A</v>
        <stp/>
        <stp>BDH|11777616828792175325</stp>
        <tr r="M25" s="2"/>
      </tp>
      <tp t="s">
        <v>#N/A N/A</v>
        <stp/>
        <stp>BDH|14498313029346518756</stp>
        <tr r="J34" s="2"/>
        <tr r="J46" s="2"/>
      </tp>
      <tp t="s">
        <v>#N/A N/A</v>
        <stp/>
        <stp>BDH|14182364908553420079</stp>
        <tr r="M8" s="2"/>
      </tp>
      <tp t="s">
        <v>#N/A N/A</v>
        <stp/>
        <stp>BDH|17121137978374271144</stp>
        <tr r="R20" s="2"/>
      </tp>
      <tp t="s">
        <v>#N/A N/A</v>
        <stp/>
        <stp>BDH|17638194406666500404</stp>
        <tr r="N35" s="2"/>
      </tp>
      <tp t="s">
        <v>#N/A N/A</v>
        <stp/>
        <stp>BDH|14110842612951911811</stp>
        <tr r="AC21" s="2"/>
      </tp>
      <tp t="s">
        <v>#N/A N/A</v>
        <stp/>
        <stp>BDH|11498677303540650397</stp>
        <tr r="L25" s="2"/>
      </tp>
      <tp t="s">
        <v>#N/A N/A</v>
        <stp/>
        <stp>BDH|12343527531243988360</stp>
        <tr r="U54" s="2"/>
      </tp>
      <tp t="s">
        <v>#N/A N/A</v>
        <stp/>
        <stp>BDH|13035238662874982778</stp>
        <tr r="AC27" s="2"/>
      </tp>
      <tp t="s">
        <v>#N/A N/A</v>
        <stp/>
        <stp>BDH|16756184370982865689</stp>
        <tr r="C10" s="2"/>
      </tp>
      <tp t="s">
        <v>#N/A N/A</v>
        <stp/>
        <stp>BDH|17338397211447772633</stp>
        <tr r="F6" s="2"/>
      </tp>
      <tp t="s">
        <v>#N/A N/A</v>
        <stp/>
        <stp>BDH|11770598972936323117</stp>
        <tr r="Q38" s="2"/>
      </tp>
      <tp t="s">
        <v>#N/A N/A</v>
        <stp/>
        <stp>BDH|18026717293463464185</stp>
        <tr r="N32" s="2"/>
      </tp>
      <tp t="s">
        <v>#N/A N/A</v>
        <stp/>
        <stp>BDH|12801947242349974369</stp>
        <tr r="Y40" s="2"/>
      </tp>
      <tp t="s">
        <v>#N/A N/A</v>
        <stp/>
        <stp>BDH|11226683138488299915</stp>
        <tr r="R63" s="2"/>
      </tp>
      <tp t="s">
        <v>#N/A N/A</v>
        <stp/>
        <stp>BDH|12963136927036500296</stp>
        <tr r="P45" s="2"/>
      </tp>
      <tp t="s">
        <v>#N/A N/A</v>
        <stp/>
        <stp>BDH|10486311572412177361</stp>
        <tr r="F21" s="2"/>
      </tp>
      <tp t="s">
        <v>#N/A N/A</v>
        <stp/>
        <stp>BDH|12561026667961910093</stp>
        <tr r="AA53" s="2"/>
      </tp>
      <tp t="s">
        <v>#N/A N/A</v>
        <stp/>
        <stp>BDH|13656418721919456929</stp>
        <tr r="I24" s="2"/>
      </tp>
      <tp t="s">
        <v>#N/A N/A</v>
        <stp/>
        <stp>BDH|11795863884241441512</stp>
        <tr r="D36" s="2"/>
      </tp>
      <tp t="s">
        <v>#N/A N/A</v>
        <stp/>
        <stp>BDH|12164018670064260413</stp>
        <tr r="D50" s="2"/>
      </tp>
      <tp t="s">
        <v>#N/A N/A</v>
        <stp/>
        <stp>BDH|17541193838736205653</stp>
        <tr r="W26" s="2"/>
      </tp>
      <tp t="s">
        <v>#N/A N/A</v>
        <stp/>
        <stp>BDH|12373602864155475205</stp>
        <tr r="L70" s="2"/>
      </tp>
      <tp t="s">
        <v>#N/A N/A</v>
        <stp/>
        <stp>BDH|12819823688614660377</stp>
        <tr r="T36" s="2"/>
      </tp>
      <tp t="s">
        <v>#N/A N/A</v>
        <stp/>
        <stp>BDH|18289052037436127836</stp>
        <tr r="H39" s="2"/>
      </tp>
      <tp t="s">
        <v>#N/A N/A</v>
        <stp/>
        <stp>BDH|16847082925169063876</stp>
        <tr r="O64" s="2"/>
      </tp>
      <tp t="s">
        <v>#N/A N/A</v>
        <stp/>
        <stp>BDH|15436028713490119115</stp>
        <tr r="D48" s="2"/>
      </tp>
      <tp t="s">
        <v>#N/A N/A</v>
        <stp/>
        <stp>BDH|10871536130807828466</stp>
        <tr r="X48" s="2"/>
      </tp>
      <tp t="s">
        <v>#N/A N/A</v>
        <stp/>
        <stp>BDH|11219931793057447338</stp>
        <tr r="M19" s="2"/>
      </tp>
      <tp t="s">
        <v>#N/A N/A</v>
        <stp/>
        <stp>BDH|12277447100735304605</stp>
        <tr r="X11" s="2"/>
      </tp>
      <tp t="s">
        <v>#N/A N/A</v>
        <stp/>
        <stp>BDH|17340259442824261034</stp>
        <tr r="P70" s="2"/>
      </tp>
      <tp t="s">
        <v>#N/A N/A</v>
        <stp/>
        <stp>BDH|15620992832782900810</stp>
        <tr r="V37" s="2"/>
      </tp>
      <tp t="s">
        <v>#N/A N/A</v>
        <stp/>
        <stp>BDH|17905762011431216591</stp>
        <tr r="AB27" s="2"/>
      </tp>
      <tp t="s">
        <v>#N/A N/A</v>
        <stp/>
        <stp>BDH|13604521940252467546</stp>
        <tr r="J66" s="2"/>
      </tp>
      <tp t="s">
        <v>#N/A N/A</v>
        <stp/>
        <stp>BDH|12573752881779776126</stp>
        <tr r="X46" s="2"/>
        <tr r="X34" s="2"/>
      </tp>
      <tp t="s">
        <v>#N/A N/A</v>
        <stp/>
        <stp>BDH|11270807250741080854</stp>
        <tr r="V30" s="2"/>
      </tp>
      <tp t="s">
        <v>#N/A N/A</v>
        <stp/>
        <stp>BDH|17588755143675675437</stp>
        <tr r="D23" s="2"/>
      </tp>
      <tp t="s">
        <v>#N/A N/A</v>
        <stp/>
        <stp>BDH|17930972081681880211</stp>
        <tr r="V16" s="2"/>
      </tp>
      <tp t="s">
        <v>#N/A N/A</v>
        <stp/>
        <stp>BDH|15822951816679566183</stp>
        <tr r="W22" s="2"/>
      </tp>
      <tp t="s">
        <v>#N/A N/A</v>
        <stp/>
        <stp>BDH|17814641911456556318</stp>
        <tr r="H16" s="2"/>
      </tp>
      <tp t="s">
        <v>#N/A N/A</v>
        <stp/>
        <stp>BDH|15997161111414711402</stp>
        <tr r="G60" s="2"/>
      </tp>
      <tp t="s">
        <v>#N/A N/A</v>
        <stp/>
        <stp>BDH|13028387466432767109</stp>
        <tr r="Q45" s="2"/>
      </tp>
      <tp t="s">
        <v>#N/A N/A</v>
        <stp/>
        <stp>BDH|16618125937307888623</stp>
        <tr r="W70" s="2"/>
      </tp>
      <tp t="s">
        <v>#N/A N/A</v>
        <stp/>
        <stp>BDH|14412563562507091584</stp>
        <tr r="Q14" s="2"/>
      </tp>
      <tp t="s">
        <v>#N/A N/A</v>
        <stp/>
        <stp>BDH|14439477086569567488</stp>
        <tr r="D30" s="2"/>
      </tp>
      <tp t="s">
        <v>#N/A N/A</v>
        <stp/>
        <stp>BDH|16949461014095005309</stp>
        <tr r="AC33" s="2"/>
      </tp>
      <tp t="s">
        <v>#N/A N/A</v>
        <stp/>
        <stp>BDH|12516896371031237948</stp>
        <tr r="Y6" s="2"/>
      </tp>
      <tp t="s">
        <v>#N/A N/A</v>
        <stp/>
        <stp>BDH|16905668356746754643</stp>
        <tr r="T37" s="2"/>
      </tp>
      <tp t="s">
        <v>#N/A N/A</v>
        <stp/>
        <stp>BDH|17739769268620293317</stp>
        <tr r="R48" s="2"/>
      </tp>
      <tp t="s">
        <v>#N/A N/A</v>
        <stp/>
        <stp>BDH|13035620522100817221</stp>
        <tr r="S67" s="2"/>
      </tp>
      <tp t="s">
        <v>#N/A N/A</v>
        <stp/>
        <stp>BDH|13722055206725999306</stp>
        <tr r="AC70" s="2"/>
      </tp>
      <tp t="s">
        <v>#N/A N/A</v>
        <stp/>
        <stp>BDH|11402478661770786687</stp>
        <tr r="M38" s="2"/>
      </tp>
      <tp t="s">
        <v>#N/A N/A</v>
        <stp/>
        <stp>BDH|16498379510633942269</stp>
        <tr r="AA37" s="2"/>
      </tp>
      <tp t="s">
        <v>#N/A N/A</v>
        <stp/>
        <stp>BDH|11344747253397180192</stp>
        <tr r="T9" s="2"/>
      </tp>
      <tp t="s">
        <v>#N/A N/A</v>
        <stp/>
        <stp>BDH|13378057285309826779</stp>
        <tr r="W51" s="2"/>
      </tp>
      <tp t="s">
        <v>#N/A N/A</v>
        <stp/>
        <stp>BDH|16494200175603893559</stp>
        <tr r="AA14" s="2"/>
      </tp>
      <tp t="s">
        <v>#N/A N/A</v>
        <stp/>
        <stp>BDH|10949856064828217365</stp>
        <tr r="D28" s="2"/>
      </tp>
      <tp t="s">
        <v>#N/A N/A</v>
        <stp/>
        <stp>BDH|14688024059677588343</stp>
        <tr r="K37" s="2"/>
      </tp>
      <tp t="s">
        <v>#N/A N/A</v>
        <stp/>
        <stp>BDH|12282159672395061494</stp>
        <tr r="V7" s="2"/>
      </tp>
      <tp t="s">
        <v>#N/A N/A</v>
        <stp/>
        <stp>BDH|11682874572653997864</stp>
        <tr r="C23" s="2"/>
      </tp>
      <tp t="s">
        <v>#N/A N/A</v>
        <stp/>
        <stp>BDH|12306741498758384130</stp>
        <tr r="H12" s="2"/>
      </tp>
      <tp t="s">
        <v>#N/A N/A</v>
        <stp/>
        <stp>BDH|11401907890691258591</stp>
        <tr r="Y50" s="2"/>
      </tp>
      <tp t="s">
        <v>#N/A N/A</v>
        <stp/>
        <stp>BDH|12516761652594821162</stp>
        <tr r="R24" s="2"/>
      </tp>
      <tp t="s">
        <v>#N/A N/A</v>
        <stp/>
        <stp>BDH|14650482801963522646</stp>
        <tr r="L14" s="2"/>
      </tp>
      <tp t="s">
        <v>#N/A N/A</v>
        <stp/>
        <stp>BDH|12963334278930984359</stp>
        <tr r="D20" s="2"/>
      </tp>
      <tp t="s">
        <v>#N/A N/A</v>
        <stp/>
        <stp>BDH|16614266120921838264</stp>
        <tr r="L18" s="2"/>
      </tp>
      <tp t="s">
        <v>#N/A N/A</v>
        <stp/>
        <stp>BDH|10285274112905889315</stp>
        <tr r="K64" s="2"/>
      </tp>
      <tp t="s">
        <v>#N/A N/A</v>
        <stp/>
        <stp>BDH|17863237469365842348</stp>
        <tr r="Z23" s="2"/>
      </tp>
      <tp t="s">
        <v>#N/A N/A</v>
        <stp/>
        <stp>BDH|13339015702063685582</stp>
        <tr r="Q63" s="2"/>
      </tp>
      <tp t="s">
        <v>#N/A N/A</v>
        <stp/>
        <stp>BDH|15638005448725859184</stp>
        <tr r="S27" s="2"/>
      </tp>
    </main>
    <main first="bofaddin.rtdserver">
      <tp t="s">
        <v>#N/A N/A</v>
        <stp/>
        <stp>BDH|5331912837660816377</stp>
        <tr r="W12" s="2"/>
      </tp>
      <tp t="s">
        <v>#N/A N/A</v>
        <stp/>
        <stp>BDH|8337482903684013426</stp>
        <tr r="S64" s="2"/>
      </tp>
      <tp t="s">
        <v>#N/A N/A</v>
        <stp/>
        <stp>BDH|3550980073160529115</stp>
        <tr r="AD8" s="2"/>
      </tp>
      <tp t="s">
        <v>#N/A N/A</v>
        <stp/>
        <stp>BDH|6548321998531469115</stp>
        <tr r="AD51" s="2"/>
      </tp>
      <tp t="s">
        <v>#N/A N/A</v>
        <stp/>
        <stp>BDH|7038194454209070678</stp>
        <tr r="AC11" s="2"/>
      </tp>
      <tp t="s">
        <v>#N/A N/A</v>
        <stp/>
        <stp>BDH|6949013618868253385</stp>
        <tr r="Z54" s="2"/>
      </tp>
      <tp t="s">
        <v>#N/A N/A</v>
        <stp/>
        <stp>BDH|4262929810696386682</stp>
        <tr r="G29" s="2"/>
      </tp>
      <tp t="s">
        <v>#N/A N/A</v>
        <stp/>
        <stp>BDH|1395282117388634612</stp>
        <tr r="X42" s="2"/>
      </tp>
      <tp t="s">
        <v>#N/A N/A</v>
        <stp/>
        <stp>BDH|2846206636677726816</stp>
        <tr r="I15" s="2"/>
      </tp>
      <tp t="s">
        <v>#N/A N/A</v>
        <stp/>
        <stp>BDH|9449687995488826290</stp>
        <tr r="R26" s="2"/>
      </tp>
      <tp t="s">
        <v>#N/A N/A</v>
        <stp/>
        <stp>BDH|1974563898873928264</stp>
        <tr r="L6" s="2"/>
      </tp>
      <tp t="s">
        <v>#N/A N/A</v>
        <stp/>
        <stp>BDH|9217480850582101626</stp>
        <tr r="AA33" s="2"/>
      </tp>
      <tp t="s">
        <v>#N/A N/A</v>
        <stp/>
        <stp>BDH|6417885057434018323</stp>
        <tr r="N63" s="2"/>
      </tp>
      <tp t="s">
        <v>#N/A N/A</v>
        <stp/>
        <stp>BDH|6212207681114372498</stp>
        <tr r="D70" s="2"/>
      </tp>
      <tp t="s">
        <v>#N/A N/A</v>
        <stp/>
        <stp>BDH|1650940435364983376</stp>
        <tr r="Z35" s="2"/>
      </tp>
      <tp t="s">
        <v>#N/A N/A</v>
        <stp/>
        <stp>BDH|4790870010321825013</stp>
        <tr r="Z56" s="2"/>
      </tp>
      <tp t="s">
        <v>#N/A N/A</v>
        <stp/>
        <stp>BDH|8162996745651358878</stp>
        <tr r="Z26" s="2"/>
      </tp>
      <tp t="s">
        <v>#N/A N/A</v>
        <stp/>
        <stp>BDH|6644346817009324185</stp>
        <tr r="U28" s="2"/>
      </tp>
      <tp t="s">
        <v>#N/A N/A</v>
        <stp/>
        <stp>BDH|1407023259770322821</stp>
        <tr r="K55" s="2"/>
      </tp>
      <tp t="s">
        <v>#N/A N/A</v>
        <stp/>
        <stp>BDH|1999080918944378841</stp>
        <tr r="R45" s="2"/>
      </tp>
      <tp t="s">
        <v>#N/A N/A</v>
        <stp/>
        <stp>BDH|7422783405198553430</stp>
        <tr r="Q33" s="2"/>
      </tp>
      <tp t="s">
        <v>#N/A N/A</v>
        <stp/>
        <stp>BDH|7936570045089715334</stp>
        <tr r="T25" s="2"/>
      </tp>
      <tp t="s">
        <v>#N/A N/A</v>
        <stp/>
        <stp>BDH|1264907140534737494</stp>
        <tr r="AB68" s="2"/>
      </tp>
      <tp t="s">
        <v>#N/A N/A</v>
        <stp/>
        <stp>BDH|7564742488500209472</stp>
        <tr r="H17" s="2"/>
      </tp>
      <tp t="s">
        <v>#N/A N/A</v>
        <stp/>
        <stp>BDH|4570842737812227183</stp>
        <tr r="U55" s="2"/>
      </tp>
      <tp t="s">
        <v>#N/A N/A</v>
        <stp/>
        <stp>BDH|3864225480575072072</stp>
        <tr r="F26" s="2"/>
      </tp>
      <tp t="s">
        <v>#N/A N/A</v>
        <stp/>
        <stp>BDH|4282636283026905068</stp>
        <tr r="N28" s="2"/>
      </tp>
      <tp t="s">
        <v>#N/A N/A</v>
        <stp/>
        <stp>BDH|4191228669128118467</stp>
        <tr r="C12" s="2"/>
      </tp>
      <tp t="s">
        <v>#N/A N/A</v>
        <stp/>
        <stp>BDH|6426188487142186187</stp>
        <tr r="K31" s="2"/>
      </tp>
      <tp t="s">
        <v>#N/A N/A</v>
        <stp/>
        <stp>BDH|9353039384149734415</stp>
        <tr r="O6" s="2"/>
      </tp>
      <tp t="s">
        <v>#N/A N/A</v>
        <stp/>
        <stp>BDH|3427976360308600878</stp>
        <tr r="O69" s="2"/>
      </tp>
      <tp t="s">
        <v>#N/A N/A</v>
        <stp/>
        <stp>BDH|9254059654127017713</stp>
        <tr r="AA20" s="2"/>
      </tp>
      <tp t="s">
        <v>#N/A N/A</v>
        <stp/>
        <stp>BDH|9105737277104419120</stp>
        <tr r="K8" s="2"/>
      </tp>
      <tp t="s">
        <v>#N/A N/A</v>
        <stp/>
        <stp>BDH|8851347117265187391</stp>
        <tr r="S17" s="2"/>
      </tp>
      <tp t="s">
        <v>#N/A N/A</v>
        <stp/>
        <stp>BDH|8453216254420465353</stp>
        <tr r="AD18" s="2"/>
      </tp>
      <tp t="s">
        <v>#N/A N/A</v>
        <stp/>
        <stp>BDH|1776605774219239516</stp>
        <tr r="G67" s="2"/>
      </tp>
      <tp t="s">
        <v>#N/A N/A</v>
        <stp/>
        <stp>BDH|3740520086041768344</stp>
        <tr r="E29" s="2"/>
      </tp>
      <tp t="s">
        <v>#N/A N/A</v>
        <stp/>
        <stp>BDH|6165792678612885881</stp>
        <tr r="F14" s="2"/>
      </tp>
      <tp t="s">
        <v>#N/A N/A</v>
        <stp/>
        <stp>BDH|6301369534232629868</stp>
        <tr r="M26" s="2"/>
      </tp>
      <tp t="s">
        <v>#N/A N/A</v>
        <stp/>
        <stp>BDH|8942258764097840718</stp>
        <tr r="T30" s="2"/>
      </tp>
      <tp t="s">
        <v>#N/A N/A</v>
        <stp/>
        <stp>BDH|9299436411739307958</stp>
        <tr r="X26" s="2"/>
      </tp>
      <tp t="s">
        <v>#N/A N/A</v>
        <stp/>
        <stp>BDH|5391779592900456749</stp>
        <tr r="L8" s="2"/>
      </tp>
      <tp t="s">
        <v>#N/A N/A</v>
        <stp/>
        <stp>BDH|6178539085272518546</stp>
        <tr r="X35" s="2"/>
      </tp>
      <tp t="s">
        <v>#N/A N/A</v>
        <stp/>
        <stp>BDH|6369218017239365005</stp>
        <tr r="P38" s="2"/>
      </tp>
      <tp t="s">
        <v>#N/A N/A</v>
        <stp/>
        <stp>BDH|7151498188012688514</stp>
        <tr r="M16" s="2"/>
      </tp>
      <tp t="s">
        <v>#N/A N/A</v>
        <stp/>
        <stp>BDH|4071658586950086649</stp>
        <tr r="M12" s="2"/>
      </tp>
      <tp t="s">
        <v>#N/A N/A</v>
        <stp/>
        <stp>BDH|2162118997233280528</stp>
        <tr r="P54" s="2"/>
      </tp>
      <tp t="s">
        <v>#N/A N/A</v>
        <stp/>
        <stp>BDH|4990249587021593387</stp>
        <tr r="V28" s="2"/>
      </tp>
      <tp t="s">
        <v>#N/A N/A</v>
        <stp/>
        <stp>BDH|8021614343366004064</stp>
        <tr r="AA22" s="2"/>
      </tp>
      <tp t="s">
        <v>#N/A N/A</v>
        <stp/>
        <stp>BDH|5155966513362473345</stp>
        <tr r="P17" s="2"/>
      </tp>
      <tp t="s">
        <v>#N/A N/A</v>
        <stp/>
        <stp>BDH|3601631572107346901</stp>
        <tr r="V25" s="2"/>
      </tp>
      <tp t="s">
        <v>#N/A N/A</v>
        <stp/>
        <stp>BDH|5710855771430117667</stp>
        <tr r="N31" s="2"/>
      </tp>
      <tp t="s">
        <v>#N/A N/A</v>
        <stp/>
        <stp>BDH|8642030014443303670</stp>
        <tr r="O14" s="2"/>
      </tp>
      <tp t="s">
        <v>#N/A N/A</v>
        <stp/>
        <stp>BDH|5844530089710264457</stp>
        <tr r="T23" s="2"/>
      </tp>
      <tp t="s">
        <v>#N/A N/A</v>
        <stp/>
        <stp>BDH|3553224896226422203</stp>
        <tr r="N56" s="2"/>
      </tp>
      <tp t="s">
        <v>#N/A N/A</v>
        <stp/>
        <stp>BDH|8405797849272386526</stp>
        <tr r="M41" s="2"/>
      </tp>
      <tp t="s">
        <v>#N/A N/A</v>
        <stp/>
        <stp>BDH|2322845621334513068</stp>
        <tr r="S16" s="2"/>
      </tp>
      <tp t="s">
        <v>#N/A N/A</v>
        <stp/>
        <stp>BDH|6611095968945048924</stp>
        <tr r="F62" s="2"/>
      </tp>
      <tp t="s">
        <v>#N/A N/A</v>
        <stp/>
        <stp>BDH|92992723052859894</stp>
        <tr r="H11" s="2"/>
      </tp>
      <tp t="s">
        <v>#N/A N/A</v>
        <stp/>
        <stp>BDH|2053548275728985526</stp>
        <tr r="Z21" s="2"/>
      </tp>
      <tp t="s">
        <v>#N/A N/A</v>
        <stp/>
        <stp>BDH|8066012868871567265</stp>
        <tr r="AC28" s="2"/>
      </tp>
      <tp t="s">
        <v>#N/A N/A</v>
        <stp/>
        <stp>BDH|8156179609933235778</stp>
        <tr r="R33" s="2"/>
      </tp>
      <tp t="s">
        <v>#N/A N/A</v>
        <stp/>
        <stp>BDH|7962203685033552326</stp>
        <tr r="AC35" s="2"/>
      </tp>
      <tp t="s">
        <v>#N/A N/A</v>
        <stp/>
        <stp>BDH|9100553198888564025</stp>
        <tr r="G27" s="2"/>
      </tp>
      <tp t="s">
        <v>#N/A N/A</v>
        <stp/>
        <stp>BDH|5579563889636256303</stp>
        <tr r="J68" s="2"/>
      </tp>
      <tp t="s">
        <v>#N/A N/A</v>
        <stp/>
        <stp>BDH|8834791754250543780</stp>
        <tr r="Y32" s="2"/>
      </tp>
      <tp t="s">
        <v>#N/A N/A</v>
        <stp/>
        <stp>BDH|7239775842890952961</stp>
        <tr r="Z11" s="2"/>
      </tp>
      <tp t="s">
        <v>#N/A N/A</v>
        <stp/>
        <stp>BDH|7323239907019621195</stp>
        <tr r="H24" s="2"/>
      </tp>
      <tp t="s">
        <v>#N/A N/A</v>
        <stp/>
        <stp>BDH|4934540089804901055</stp>
        <tr r="I54" s="2"/>
      </tp>
      <tp t="s">
        <v>#N/A N/A</v>
        <stp/>
        <stp>BDH|9226011840585398581</stp>
        <tr r="Q35" s="2"/>
      </tp>
      <tp t="s">
        <v>#N/A N/A</v>
        <stp/>
        <stp>BDH|4445023298078562820</stp>
        <tr r="P53" s="2"/>
      </tp>
      <tp t="s">
        <v>#N/A N/A</v>
        <stp/>
        <stp>BDH|8108140921251500786</stp>
        <tr r="W64" s="2"/>
      </tp>
      <tp t="s">
        <v>#N/A N/A</v>
        <stp/>
        <stp>BDH|7599345245968442596</stp>
        <tr r="F67" s="2"/>
      </tp>
      <tp t="s">
        <v>#N/A N/A</v>
        <stp/>
        <stp>BDH|6853872234501313162</stp>
        <tr r="C64" s="2"/>
      </tp>
      <tp t="s">
        <v>#N/A N/A</v>
        <stp/>
        <stp>BDH|4228461923917117888</stp>
        <tr r="F60" s="2"/>
      </tp>
      <tp t="s">
        <v>#N/A N/A</v>
        <stp/>
        <stp>BDH|9954327650143532107</stp>
        <tr r="R64" s="2"/>
      </tp>
      <tp t="s">
        <v>#N/A N/A</v>
        <stp/>
        <stp>BDH|5822689582362987440</stp>
        <tr r="N23" s="2"/>
      </tp>
      <tp t="s">
        <v>#N/A N/A</v>
        <stp/>
        <stp>BDH|8322412058564514004</stp>
        <tr r="O21" s="2"/>
      </tp>
      <tp t="s">
        <v>#N/A N/A</v>
        <stp/>
        <stp>BDH|7575699753181770878</stp>
        <tr r="T29" s="2"/>
      </tp>
      <tp t="s">
        <v>#N/A N/A</v>
        <stp/>
        <stp>BDH|9437435855173824653</stp>
        <tr r="AD14" s="2"/>
      </tp>
      <tp t="s">
        <v>#N/A N/A</v>
        <stp/>
        <stp>BDH|9132579713802317298</stp>
        <tr r="N18" s="2"/>
      </tp>
      <tp t="s">
        <v>#N/A N/A</v>
        <stp/>
        <stp>BDH|2055948639087415260</stp>
        <tr r="E71" s="2"/>
      </tp>
      <tp t="s">
        <v>#N/A N/A</v>
        <stp/>
        <stp>BDH|7221600708069484528</stp>
        <tr r="W23" s="2"/>
      </tp>
      <tp t="s">
        <v>#N/A N/A</v>
        <stp/>
        <stp>BDH|9935105019296896258</stp>
        <tr r="C45" s="2"/>
      </tp>
      <tp t="s">
        <v>#N/A N/A</v>
        <stp/>
        <stp>BDH|8946771127916682620</stp>
        <tr r="V70" s="2"/>
      </tp>
      <tp t="s">
        <v>#N/A N/A</v>
        <stp/>
        <stp>BDH|5878944910127746760</stp>
        <tr r="X61" s="2"/>
      </tp>
      <tp t="s">
        <v>#N/A N/A</v>
        <stp/>
        <stp>BDH|4210080696863893362</stp>
        <tr r="AA26" s="2"/>
      </tp>
      <tp t="s">
        <v>#N/A N/A</v>
        <stp/>
        <stp>BDH|8807999434138187765</stp>
        <tr r="E22" s="2"/>
      </tp>
      <tp t="s">
        <v>#N/A N/A</v>
        <stp/>
        <stp>BDH|9047251904045376305</stp>
        <tr r="Y66" s="2"/>
      </tp>
      <tp t="s">
        <v>#N/A N/A</v>
        <stp/>
        <stp>BDH|5587298347538162688</stp>
        <tr r="L71" s="2"/>
      </tp>
      <tp t="s">
        <v>#N/A N/A</v>
        <stp/>
        <stp>BDH|5780804294059797044</stp>
        <tr r="M54" s="2"/>
      </tp>
      <tp t="s">
        <v>#N/A N/A</v>
        <stp/>
        <stp>BDH|7420305635422872886</stp>
        <tr r="R37" s="2"/>
      </tp>
      <tp t="s">
        <v>#N/A N/A</v>
        <stp/>
        <stp>BDH|4167334225221403925</stp>
        <tr r="AC25" s="2"/>
      </tp>
      <tp t="s">
        <v>#N/A N/A</v>
        <stp/>
        <stp>BDH|8251187440676949628</stp>
        <tr r="M53" s="2"/>
      </tp>
      <tp t="s">
        <v>#N/A N/A</v>
        <stp/>
        <stp>BDH|4685881438443228154</stp>
        <tr r="H25" s="2"/>
      </tp>
      <tp t="s">
        <v>#N/A N/A</v>
        <stp/>
        <stp>BDH|5558318172725751902</stp>
        <tr r="O60" s="2"/>
      </tp>
      <tp t="s">
        <v>#N/A N/A</v>
        <stp/>
        <stp>BDH|3881432239401281867</stp>
        <tr r="V54" s="2"/>
      </tp>
      <tp t="s">
        <v>#N/A N/A</v>
        <stp/>
        <stp>BDH|3757900976303432334</stp>
        <tr r="D17" s="2"/>
      </tp>
      <tp t="s">
        <v>#N/A N/A</v>
        <stp/>
        <stp>BDH|8628556671264402307</stp>
        <tr r="X41" s="2"/>
      </tp>
      <tp t="s">
        <v>#N/A N/A</v>
        <stp/>
        <stp>BDH|4173474316565315950</stp>
        <tr r="E60" s="2"/>
      </tp>
      <tp t="s">
        <v>#N/A N/A</v>
        <stp/>
        <stp>BDH|4868279729849625062</stp>
        <tr r="S38" s="2"/>
      </tp>
      <tp t="s">
        <v>#N/A N/A</v>
        <stp/>
        <stp>BDH|1789984033201205788</stp>
        <tr r="H37" s="2"/>
      </tp>
      <tp t="s">
        <v>#N/A N/A</v>
        <stp/>
        <stp>BDH|6956021255808947614</stp>
        <tr r="Y53" s="2"/>
      </tp>
      <tp t="s">
        <v>#N/A N/A</v>
        <stp/>
        <stp>BDH|9757473873617272079</stp>
        <tr r="P29" s="2"/>
      </tp>
      <tp t="s">
        <v>#N/A N/A</v>
        <stp/>
        <stp>BDH|8009701177931534456</stp>
        <tr r="T19" s="2"/>
      </tp>
      <tp t="s">
        <v>#N/A N/A</v>
        <stp/>
        <stp>BDH|2666390633687980824</stp>
        <tr r="H61" s="2"/>
      </tp>
      <tp t="s">
        <v>#N/A N/A</v>
        <stp/>
        <stp>BDH|3193180293526940047</stp>
        <tr r="K66" s="2"/>
      </tp>
      <tp t="s">
        <v>#N/A N/A</v>
        <stp/>
        <stp>BDH|8438968025478537652</stp>
        <tr r="Y65" s="2"/>
      </tp>
      <tp t="s">
        <v>#N/A N/A</v>
        <stp/>
        <stp>BDH|4140523823579160754</stp>
        <tr r="N20" s="2"/>
      </tp>
      <tp t="s">
        <v>#N/A N/A</v>
        <stp/>
        <stp>BDH|1466345997073544562</stp>
        <tr r="U37" s="2"/>
      </tp>
      <tp t="s">
        <v>#N/A N/A</v>
        <stp/>
        <stp>BDH|3273806041641101374</stp>
        <tr r="S51" s="2"/>
      </tp>
      <tp t="s">
        <v>#N/A N/A</v>
        <stp/>
        <stp>BDH|5060881731247931451</stp>
        <tr r="F71" s="2"/>
      </tp>
      <tp t="s">
        <v>#N/A N/A</v>
        <stp/>
        <stp>BDH|8029203877811398116</stp>
        <tr r="O70" s="2"/>
      </tp>
      <tp t="s">
        <v>#N/A N/A</v>
        <stp/>
        <stp>BDH|1047463097043232194</stp>
        <tr r="M63" s="2"/>
      </tp>
      <tp t="s">
        <v>#N/A N/A</v>
        <stp/>
        <stp>BDH|6320657029768349465</stp>
        <tr r="L21" s="2"/>
      </tp>
      <tp t="s">
        <v>#N/A N/A</v>
        <stp/>
        <stp>BDH|8991172071125790526</stp>
        <tr r="Z45" s="2"/>
      </tp>
      <tp t="s">
        <v>#N/A N/A</v>
        <stp/>
        <stp>BDH|9678637180559920074</stp>
        <tr r="K20" s="2"/>
      </tp>
      <tp t="s">
        <v>#N/A N/A</v>
        <stp/>
        <stp>BDH|9609082719510871667</stp>
        <tr r="U65" s="2"/>
      </tp>
      <tp t="s">
        <v>#N/A N/A</v>
        <stp/>
        <stp>BDH|8897027663639734972</stp>
        <tr r="S31" s="2"/>
      </tp>
      <tp t="s">
        <v>#N/A N/A</v>
        <stp/>
        <stp>BDH|8895528707955557612</stp>
        <tr r="E42" s="2"/>
      </tp>
      <tp t="s">
        <v>#N/A N/A</v>
        <stp/>
        <stp>BDH|8070287871126390555</stp>
        <tr r="S65" s="2"/>
      </tp>
      <tp t="s">
        <v>#N/A N/A</v>
        <stp/>
        <stp>BDH|9036084232281086550</stp>
        <tr r="Y11" s="2"/>
      </tp>
      <tp t="s">
        <v>#N/A N/A</v>
        <stp/>
        <stp>BDH|2299153383105930024</stp>
        <tr r="X6" s="2"/>
      </tp>
      <tp t="s">
        <v>#N/A N/A</v>
        <stp/>
        <stp>BDH|9105767132830935333</stp>
        <tr r="AA63" s="2"/>
      </tp>
      <tp t="s">
        <v>#N/A N/A</v>
        <stp/>
        <stp>BDH|6272790146563321827</stp>
        <tr r="N36" s="2"/>
      </tp>
      <tp t="s">
        <v>#N/A N/A</v>
        <stp/>
        <stp>BDH|9889246232161507778</stp>
        <tr r="V68" s="2"/>
      </tp>
      <tp t="s">
        <v>#N/A N/A</v>
        <stp/>
        <stp>BDH|1128969122960090492</stp>
        <tr r="AA48" s="2"/>
      </tp>
      <tp t="s">
        <v>#N/A N/A</v>
        <stp/>
        <stp>BDH|4176598271121729927</stp>
        <tr r="F24" s="2"/>
      </tp>
      <tp t="s">
        <v>#N/A N/A</v>
        <stp/>
        <stp>BDH|1431751108969075151</stp>
        <tr r="V17" s="2"/>
      </tp>
      <tp t="s">
        <v>#N/A N/A</v>
        <stp/>
        <stp>BDH|7886331743168486614</stp>
        <tr r="L60" s="2"/>
      </tp>
      <tp t="s">
        <v>#N/A N/A</v>
        <stp/>
        <stp>BDH|3724438384286208708</stp>
        <tr r="V27" s="2"/>
      </tp>
      <tp t="s">
        <v>#N/A N/A</v>
        <stp/>
        <stp>BDH|9834811508138506767</stp>
        <tr r="D15" s="2"/>
      </tp>
      <tp t="s">
        <v>#N/A N/A</v>
        <stp/>
        <stp>BDH|5558954307316348460</stp>
        <tr r="T71" s="2"/>
      </tp>
      <tp t="s">
        <v>#N/A N/A</v>
        <stp/>
        <stp>BDH|1604922756130986393</stp>
        <tr r="J11" s="2"/>
      </tp>
      <tp t="s">
        <v>#N/A N/A</v>
        <stp/>
        <stp>BDH|1897643283134953543</stp>
        <tr r="AA62" s="2"/>
      </tp>
      <tp t="s">
        <v>#N/A N/A</v>
        <stp/>
        <stp>BDH|6522258107909113355</stp>
        <tr r="AC20" s="2"/>
      </tp>
      <tp t="s">
        <v>#N/A N/A</v>
        <stp/>
        <stp>BDH|6881796897672667409</stp>
        <tr r="U25" s="2"/>
      </tp>
      <tp t="s">
        <v>#N/A N/A</v>
        <stp/>
        <stp>BDH|9218152577397613671</stp>
        <tr r="AB54" s="2"/>
      </tp>
      <tp t="s">
        <v>#N/A N/A</v>
        <stp/>
        <stp>BDH|6657937352484640001</stp>
        <tr r="P48" s="2"/>
      </tp>
      <tp t="s">
        <v>#N/A N/A</v>
        <stp/>
        <stp>BDH|4374434598355991201</stp>
        <tr r="Z7" s="2"/>
      </tp>
      <tp t="s">
        <v>#N/A N/A</v>
        <stp/>
        <stp>BDH|5206211154439794514</stp>
        <tr r="V23" s="2"/>
      </tp>
      <tp t="s">
        <v>#N/A N/A</v>
        <stp/>
        <stp>BDH|6777415945009096126</stp>
        <tr r="G45" s="2"/>
      </tp>
      <tp t="s">
        <v>#N/A N/A</v>
        <stp/>
        <stp>BDH|3625834963992671116</stp>
        <tr r="AC65" s="2"/>
      </tp>
      <tp t="s">
        <v>#N/A N/A</v>
        <stp/>
        <stp>BDH|3271957276722241151</stp>
        <tr r="AB61" s="2"/>
      </tp>
      <tp t="s">
        <v>#N/A N/A</v>
        <stp/>
        <stp>BDH|2995892868800613287</stp>
        <tr r="W33" s="2"/>
      </tp>
      <tp t="s">
        <v>#N/A N/A</v>
        <stp/>
        <stp>BDH|6869895101685630502</stp>
        <tr r="J50" s="2"/>
      </tp>
      <tp t="s">
        <v>#N/A N/A</v>
        <stp/>
        <stp>BDH|1945202182486814357</stp>
        <tr r="S30" s="2"/>
      </tp>
      <tp t="s">
        <v>#N/A N/A</v>
        <stp/>
        <stp>BDH|4780019781242833098</stp>
        <tr r="J67" s="2"/>
      </tp>
      <tp t="s">
        <v>#N/A N/A</v>
        <stp/>
        <stp>BDH|6656242589846410492</stp>
        <tr r="R70" s="2"/>
      </tp>
      <tp t="s">
        <v>#N/A N/A</v>
        <stp/>
        <stp>BDH|4232834536310905197</stp>
        <tr r="I31" s="2"/>
      </tp>
      <tp t="s">
        <v>#N/A N/A</v>
        <stp/>
        <stp>BDH|9821592577047133206</stp>
        <tr r="X53" s="2"/>
      </tp>
      <tp t="s">
        <v>#N/A N/A</v>
        <stp/>
        <stp>BDH|8980574415884513690</stp>
        <tr r="G51" s="2"/>
      </tp>
      <tp t="s">
        <v>#N/A N/A</v>
        <stp/>
        <stp>BDH|4674745347888296106</stp>
        <tr r="E6" s="2"/>
      </tp>
      <tp t="s">
        <v>#N/A N/A</v>
        <stp/>
        <stp>BDH|2238910857426863686</stp>
        <tr r="X68" s="2"/>
      </tp>
      <tp t="s">
        <v>#N/A N/A</v>
        <stp/>
        <stp>BDH|1242251890917024330</stp>
        <tr r="X12" s="2"/>
      </tp>
      <tp t="s">
        <v>#N/A N/A</v>
        <stp/>
        <stp>BDH|3544850550466145645</stp>
        <tr r="S68" s="2"/>
      </tp>
      <tp t="s">
        <v>#N/A N/A</v>
        <stp/>
        <stp>BDH|4830004756078307787</stp>
        <tr r="W27" s="2"/>
      </tp>
      <tp t="s">
        <v>#N/A N/A</v>
        <stp/>
        <stp>BDH|4765312232128454253</stp>
        <tr r="Q50" s="2"/>
      </tp>
      <tp t="s">
        <v>#N/A N/A</v>
        <stp/>
        <stp>BDH|5738746361279409332</stp>
        <tr r="I12" s="2"/>
      </tp>
      <tp t="s">
        <v>#N/A N/A</v>
        <stp/>
        <stp>BDH|1665237948209885002</stp>
        <tr r="AB12" s="2"/>
      </tp>
      <tp t="s">
        <v>#N/A N/A</v>
        <stp/>
        <stp>BDH|6342964604920463107</stp>
        <tr r="W65" s="2"/>
      </tp>
      <tp t="s">
        <v>#N/A N/A</v>
        <stp/>
        <stp>BDH|77652335385416306</stp>
        <tr r="O71" s="2"/>
      </tp>
      <tp t="s">
        <v>#N/A N/A</v>
        <stp/>
        <stp>BDH|6814989281371929929</stp>
        <tr r="X8" s="2"/>
      </tp>
      <tp t="s">
        <v>#N/A N/A</v>
        <stp/>
        <stp>BDH|9265785847533635617</stp>
        <tr r="D12" s="2"/>
      </tp>
      <tp t="s">
        <v>#N/A N/A</v>
        <stp/>
        <stp>BDH|4784815618065260762</stp>
        <tr r="R39" s="2"/>
      </tp>
      <tp t="s">
        <v>#N/A N/A</v>
        <stp/>
        <stp>BDH|5507876247487969179</stp>
        <tr r="F46" s="2"/>
        <tr r="F34" s="2"/>
      </tp>
      <tp t="s">
        <v>#N/A N/A</v>
        <stp/>
        <stp>BDH|7508884053640309556</stp>
        <tr r="N14" s="2"/>
      </tp>
      <tp t="s">
        <v>#N/A N/A</v>
        <stp/>
        <stp>BDH|5300808447741815741</stp>
        <tr r="AD27" s="2"/>
      </tp>
      <tp t="s">
        <v>#N/A N/A</v>
        <stp/>
        <stp>BDH|4862566242289561302</stp>
        <tr r="M65" s="2"/>
      </tp>
      <tp t="s">
        <v>#N/A N/A</v>
        <stp/>
        <stp>BDH|3259325524095991840</stp>
        <tr r="I13" s="2"/>
      </tp>
      <tp t="s">
        <v>#N/A N/A</v>
        <stp/>
        <stp>BDH|6918109574809488605</stp>
        <tr r="O33" s="2"/>
      </tp>
      <tp t="s">
        <v>#N/A N/A</v>
        <stp/>
        <stp>BDH|7401887163416908084</stp>
        <tr r="X64" s="2"/>
      </tp>
      <tp t="s">
        <v>#N/A N/A</v>
        <stp/>
        <stp>BDH|4525030284161988252</stp>
        <tr r="O23" s="2"/>
      </tp>
      <tp t="s">
        <v>#N/A N/A</v>
        <stp/>
        <stp>BDH|8916144712344852399</stp>
        <tr r="E44" s="2"/>
      </tp>
      <tp t="s">
        <v>#N/A N/A</v>
        <stp/>
        <stp>BDH|9090267904075979148</stp>
        <tr r="U6" s="2"/>
      </tp>
      <tp t="s">
        <v>#N/A N/A</v>
        <stp/>
        <stp>BDH|4776930501637246585</stp>
        <tr r="D44" s="2"/>
      </tp>
      <tp t="s">
        <v>#N/A N/A</v>
        <stp/>
        <stp>BDH|4132785707028970484</stp>
        <tr r="H13" s="2"/>
      </tp>
      <tp t="s">
        <v>#N/A N/A</v>
        <stp/>
        <stp>BDH|6815979130140928392</stp>
        <tr r="Z51" s="2"/>
      </tp>
      <tp t="s">
        <v>#N/A N/A</v>
        <stp/>
        <stp>BDH|5679822956907562085</stp>
        <tr r="Q16" s="2"/>
      </tp>
      <tp t="s">
        <v>#N/A N/A</v>
        <stp/>
        <stp>BDH|8257669887911754881</stp>
        <tr r="I71" s="2"/>
      </tp>
      <tp t="s">
        <v>#N/A N/A</v>
        <stp/>
        <stp>BDH|8033229708722342759</stp>
        <tr r="S42" s="2"/>
      </tp>
      <tp t="s">
        <v>#N/A N/A</v>
        <stp/>
        <stp>BDH|4287129399670237371</stp>
        <tr r="F30" s="2"/>
      </tp>
      <tp t="s">
        <v>#N/A N/A</v>
        <stp/>
        <stp>BDH|7997489887351235585</stp>
        <tr r="H45" s="2"/>
      </tp>
      <tp t="s">
        <v>#N/A N/A</v>
        <stp/>
        <stp>BDH|9775398204077752216</stp>
        <tr r="X38" s="2"/>
      </tp>
      <tp t="s">
        <v>#N/A N/A</v>
        <stp/>
        <stp>BDH|8142771568413087527</stp>
        <tr r="I18" s="2"/>
      </tp>
      <tp t="s">
        <v>#N/A N/A</v>
        <stp/>
        <stp>BDH|8317546425346933662</stp>
        <tr r="Q49" s="2"/>
      </tp>
      <tp t="s">
        <v>#N/A N/A</v>
        <stp/>
        <stp>BDH|2566268225229305485</stp>
        <tr r="K18" s="2"/>
      </tp>
      <tp t="s">
        <v>#N/A N/A</v>
        <stp/>
        <stp>BDH|7394233350529554684</stp>
        <tr r="U53" s="2"/>
      </tp>
      <tp t="s">
        <v>#N/A N/A</v>
        <stp/>
        <stp>BDH|4399896830024176499</stp>
        <tr r="R6" s="2"/>
      </tp>
      <tp t="s">
        <v>#N/A N/A</v>
        <stp/>
        <stp>BDH|6918384187395777732</stp>
        <tr r="S10" s="2"/>
      </tp>
      <tp t="s">
        <v>#N/A N/A</v>
        <stp/>
        <stp>BDH|9659473015046167572</stp>
        <tr r="L56" s="2"/>
      </tp>
      <tp t="s">
        <v>#N/A N/A</v>
        <stp/>
        <stp>BDH|5351523542428254332</stp>
        <tr r="W7" s="2"/>
      </tp>
      <tp t="s">
        <v>#N/A N/A</v>
        <stp/>
        <stp>BDH|3164649152096472911</stp>
        <tr r="F13" s="2"/>
      </tp>
      <tp t="s">
        <v>#N/A N/A</v>
        <stp/>
        <stp>BDH|5094913764242062766</stp>
        <tr r="V32" s="2"/>
      </tp>
      <tp t="s">
        <v>#N/A N/A</v>
        <stp/>
        <stp>BDH|2894337938349561457</stp>
        <tr r="AC30" s="2"/>
      </tp>
      <tp t="s">
        <v>#N/A N/A</v>
        <stp/>
        <stp>BDH|7142333961869849485</stp>
        <tr r="T40" s="2"/>
      </tp>
      <tp t="s">
        <v>#N/A N/A</v>
        <stp/>
        <stp>BDH|6253692271911978931</stp>
        <tr r="F17" s="2"/>
      </tp>
      <tp t="s">
        <v>#N/A N/A</v>
        <stp/>
        <stp>BDH|4785193697667822415</stp>
        <tr r="O11" s="2"/>
      </tp>
      <tp t="s">
        <v>#N/A N/A</v>
        <stp/>
        <stp>BDH|5230600552709485043</stp>
        <tr r="I67" s="2"/>
      </tp>
      <tp t="s">
        <v>#N/A N/A</v>
        <stp/>
        <stp>BDH|1688936034347140318</stp>
        <tr r="AA35" s="2"/>
      </tp>
      <tp t="s">
        <v>#N/A N/A</v>
        <stp/>
        <stp>BDH|6724725698674852342</stp>
        <tr r="S24" s="2"/>
      </tp>
      <tp t="s">
        <v>#N/A N/A</v>
        <stp/>
        <stp>BDH|9910505578997518351</stp>
        <tr r="H35" s="2"/>
      </tp>
      <tp t="s">
        <v>#N/A N/A</v>
        <stp/>
        <stp>BDH|1856044689643310507</stp>
        <tr r="AA56" s="2"/>
      </tp>
      <tp t="s">
        <v>#N/A N/A</v>
        <stp/>
        <stp>BDH|6241956800936512649</stp>
        <tr r="G11" s="2"/>
      </tp>
      <tp t="s">
        <v>#N/A N/A</v>
        <stp/>
        <stp>BDH|1830547036409945156</stp>
        <tr r="AA16" s="2"/>
      </tp>
      <tp t="s">
        <v>#N/A N/A</v>
        <stp/>
        <stp>BDH|3243552181244240522</stp>
        <tr r="AC23" s="2"/>
      </tp>
      <tp t="s">
        <v>#N/A N/A</v>
        <stp/>
        <stp>BDH|6917313860729636584</stp>
        <tr r="U38" s="2"/>
      </tp>
      <tp t="s">
        <v>#N/A N/A</v>
        <stp/>
        <stp>BDH|2729378883961333765</stp>
        <tr r="I21" s="2"/>
      </tp>
      <tp t="s">
        <v>#N/A N/A</v>
        <stp/>
        <stp>BDH|6687965955477256214</stp>
        <tr r="P22" s="2"/>
      </tp>
      <tp t="s">
        <v>#N/A N/A</v>
        <stp/>
        <stp>BDH|4551053092267773522</stp>
        <tr r="T12" s="2"/>
      </tp>
      <tp t="s">
        <v>#N/A N/A</v>
        <stp/>
        <stp>BDH|8072708666965983386</stp>
        <tr r="P55" s="2"/>
      </tp>
      <tp t="s">
        <v>#N/A N/A</v>
        <stp/>
        <stp>BDH|5137264178389084687</stp>
        <tr r="J16" s="2"/>
      </tp>
      <tp t="s">
        <v>#N/A N/A</v>
        <stp/>
        <stp>BDH|9912314420477886074</stp>
        <tr r="D38" s="2"/>
      </tp>
      <tp t="s">
        <v>#N/A N/A</v>
        <stp/>
        <stp>BDH|8425620306084058546</stp>
        <tr r="X39" s="2"/>
      </tp>
      <tp t="s">
        <v>#N/A N/A</v>
        <stp/>
        <stp>BDH|5842991517630166234</stp>
        <tr r="W24" s="2"/>
      </tp>
      <tp t="s">
        <v>#N/A N/A</v>
        <stp/>
        <stp>BDH|5213859463302197612</stp>
        <tr r="V22" s="2"/>
      </tp>
      <tp t="s">
        <v>#N/A N/A</v>
        <stp/>
        <stp>BDH|9744454068552612682</stp>
        <tr r="P7" s="2"/>
      </tp>
      <tp t="s">
        <v>#N/A N/A</v>
        <stp/>
        <stp>BDH|2001389442668808270</stp>
        <tr r="P12" s="2"/>
      </tp>
      <tp t="s">
        <v>#N/A N/A</v>
        <stp/>
        <stp>BDH|1953662093076041063</stp>
        <tr r="AA8" s="2"/>
      </tp>
      <tp t="s">
        <v>#N/A N/A</v>
        <stp/>
        <stp>BDH|4524586794271154124</stp>
        <tr r="P9" s="2"/>
      </tp>
      <tp t="s">
        <v>#N/A N/A</v>
        <stp/>
        <stp>BDH|8021014478723441473</stp>
        <tr r="U31" s="2"/>
      </tp>
      <tp t="s">
        <v>#N/A N/A</v>
        <stp/>
        <stp>BDH|4318418802748283080</stp>
        <tr r="X62" s="2"/>
      </tp>
      <tp t="s">
        <v>#N/A N/A</v>
        <stp/>
        <stp>BDH|7996186916106913949</stp>
        <tr r="P14" s="2"/>
      </tp>
      <tp t="s">
        <v>#N/A N/A</v>
        <stp/>
        <stp>BDH|3219008421529027096</stp>
        <tr r="T62" s="2"/>
      </tp>
      <tp t="s">
        <v>#N/A N/A</v>
        <stp/>
        <stp>BDH|6944855995976244912</stp>
        <tr r="S20" s="2"/>
      </tp>
      <tp t="s">
        <v>#N/A N/A</v>
        <stp/>
        <stp>BDH|7506009047389968233</stp>
        <tr r="L28" s="2"/>
      </tp>
      <tp t="s">
        <v>#N/A N/A</v>
        <stp/>
        <stp>BDH|4851436597918167953</stp>
        <tr r="K19" s="2"/>
      </tp>
      <tp t="s">
        <v>#N/A N/A</v>
        <stp/>
        <stp>BDH|5168780214129670224</stp>
        <tr r="U12" s="2"/>
      </tp>
      <tp t="s">
        <v>#N/A N/A</v>
        <stp/>
        <stp>BDH|8544782445305209632</stp>
        <tr r="E21" s="2"/>
      </tp>
      <tp t="s">
        <v>#N/A N/A</v>
        <stp/>
        <stp>BDH|4574846307382609699</stp>
        <tr r="G64" s="2"/>
      </tp>
      <tp t="s">
        <v>#N/A N/A</v>
        <stp/>
        <stp>BDH|9583237822743898223</stp>
        <tr r="AD70" s="2"/>
      </tp>
      <tp t="s">
        <v>#N/A N/A</v>
        <stp/>
        <stp>BDH|8037029001256458695</stp>
        <tr r="Z33" s="2"/>
      </tp>
      <tp t="s">
        <v>#N/A N/A</v>
        <stp/>
        <stp>BDH|8622129075354611292</stp>
        <tr r="K35" s="2"/>
      </tp>
      <tp t="s">
        <v>#N/A N/A</v>
        <stp/>
        <stp>BDH|6679841169941235164</stp>
        <tr r="Q29" s="2"/>
      </tp>
      <tp t="s">
        <v>#N/A N/A</v>
        <stp/>
        <stp>BDH|7549744088774130455</stp>
        <tr r="W62" s="2"/>
      </tp>
      <tp t="s">
        <v>#N/A N/A</v>
        <stp/>
        <stp>BDH|3779174120411894958</stp>
        <tr r="D13" s="2"/>
      </tp>
      <tp t="s">
        <v>#N/A N/A</v>
        <stp/>
        <stp>BDH|5380641146047454881</stp>
        <tr r="S32" s="2"/>
      </tp>
      <tp t="s">
        <v>#N/A N/A</v>
        <stp/>
        <stp>BDH|5005556548474795877</stp>
        <tr r="W31" s="2"/>
      </tp>
      <tp t="s">
        <v>#N/A N/A</v>
        <stp/>
        <stp>BDH|2733736317405564947</stp>
        <tr r="D68" s="2"/>
      </tp>
      <tp t="s">
        <v>#N/A N/A</v>
        <stp/>
        <stp>BDH|5366037211859566569</stp>
        <tr r="F33" s="2"/>
      </tp>
      <tp t="s">
        <v>#N/A N/A</v>
        <stp/>
        <stp>BDH|6801975561682599391</stp>
        <tr r="E26" s="2"/>
      </tp>
      <tp t="s">
        <v>#N/A N/A</v>
        <stp/>
        <stp>BDH|5598895253503939347</stp>
        <tr r="F12" s="2"/>
      </tp>
      <tp t="s">
        <v>#N/A N/A</v>
        <stp/>
        <stp>BDH|4845145674839252380</stp>
        <tr r="C24" s="2"/>
      </tp>
      <tp t="s">
        <v>#N/A N/A</v>
        <stp/>
        <stp>BDH|9138120764280019641</stp>
        <tr r="P46" s="2"/>
        <tr r="P34" s="2"/>
      </tp>
      <tp t="s">
        <v>#N/A N/A</v>
        <stp/>
        <stp>BDH|2862005944149526793</stp>
        <tr r="AC53" s="2"/>
      </tp>
      <tp t="s">
        <v>#N/A N/A</v>
        <stp/>
        <stp>BDH|5957867436613035595</stp>
        <tr r="W41" s="2"/>
      </tp>
      <tp t="s">
        <v>#N/A N/A</v>
        <stp/>
        <stp>BDH|1473972381628438062</stp>
        <tr r="N62" s="2"/>
      </tp>
      <tp t="s">
        <v>#N/A N/A</v>
        <stp/>
        <stp>BDH|6261077536644749947</stp>
        <tr r="N55" s="2"/>
      </tp>
      <tp t="s">
        <v>#N/A N/A</v>
        <stp/>
        <stp>BDH|4698726598674852645</stp>
        <tr r="J9" s="2"/>
      </tp>
      <tp t="s">
        <v>#N/A N/A</v>
        <stp/>
        <stp>BDH|2574384736982918839</stp>
        <tr r="Z63" s="2"/>
      </tp>
      <tp t="s">
        <v>#N/A N/A</v>
        <stp/>
        <stp>BDH|5390407281806191728</stp>
        <tr r="AB53" s="2"/>
      </tp>
      <tp t="s">
        <v>#N/A N/A</v>
        <stp/>
        <stp>BDH|4391844523301496719</stp>
        <tr r="G30" s="2"/>
      </tp>
      <tp t="s">
        <v>#N/A N/A</v>
        <stp/>
        <stp>BDH|7494219727028764737</stp>
        <tr r="T70" s="2"/>
      </tp>
      <tp t="s">
        <v>#N/A N/A</v>
        <stp/>
        <stp>BDH|3769052890094730637</stp>
        <tr r="F45" s="2"/>
      </tp>
      <tp t="s">
        <v>#N/A N/A</v>
        <stp/>
        <stp>BDH|8761242854816695165</stp>
        <tr r="I7" s="2"/>
      </tp>
      <tp t="s">
        <v>#N/A N/A</v>
        <stp/>
        <stp>BDH|4755908875586581431</stp>
        <tr r="S6" s="2"/>
      </tp>
      <tp t="s">
        <v>#N/A N/A</v>
        <stp/>
        <stp>BDH|7751727590446314737</stp>
        <tr r="V53" s="2"/>
      </tp>
      <tp t="s">
        <v>#N/A N/A</v>
        <stp/>
        <stp>BDH|2452836903013318121</stp>
        <tr r="AC67" s="2"/>
      </tp>
      <tp t="s">
        <v>#N/A N/A</v>
        <stp/>
        <stp>BDH|8031229746253613574</stp>
        <tr r="S25" s="2"/>
      </tp>
      <tp t="s">
        <v>#N/A N/A</v>
        <stp/>
        <stp>BDH|6668972512694938311</stp>
        <tr r="N11" s="2"/>
      </tp>
      <tp t="s">
        <v>#N/A N/A</v>
        <stp/>
        <stp>BDH|4758882262622022150</stp>
        <tr r="H70" s="2"/>
      </tp>
      <tp t="s">
        <v>#N/A N/A</v>
        <stp/>
        <stp>BDH|8310092540156437368</stp>
        <tr r="C40" s="2"/>
      </tp>
      <tp t="s">
        <v>#N/A N/A</v>
        <stp/>
        <stp>BDH|5495825751447910667</stp>
        <tr r="F49" s="2"/>
      </tp>
      <tp t="s">
        <v>#N/A N/A</v>
        <stp/>
        <stp>BDH|3677646749049010124</stp>
        <tr r="I26" s="2"/>
      </tp>
      <tp t="s">
        <v>#N/A N/A</v>
        <stp/>
        <stp>BDH|8648592425027332101</stp>
        <tr r="G63" s="2"/>
      </tp>
      <tp t="s">
        <v>#N/A N/A</v>
        <stp/>
        <stp>BDH|2716365038272004973</stp>
        <tr r="U19" s="2"/>
      </tp>
      <tp t="s">
        <v>#N/A N/A</v>
        <stp/>
        <stp>BDH|3710603659079357032</stp>
        <tr r="Z31" s="2"/>
      </tp>
      <tp t="s">
        <v>#N/A N/A</v>
        <stp/>
        <stp>BDH|8692022719887648753</stp>
        <tr r="E18" s="2"/>
      </tp>
      <tp t="s">
        <v>#N/A N/A</v>
        <stp/>
        <stp>BDH|6120308389964072062</stp>
        <tr r="C31" s="2"/>
      </tp>
      <tp t="s">
        <v>#N/A N/A</v>
        <stp/>
        <stp>BDH|8922574820824525255</stp>
        <tr r="AA42" s="2"/>
      </tp>
      <tp t="s">
        <v>#N/A N/A</v>
        <stp/>
        <stp>BDH|4446080409285940836</stp>
        <tr r="C61" s="2"/>
      </tp>
      <tp t="s">
        <v>#N/A N/A</v>
        <stp/>
        <stp>BDH|2790888314563068177</stp>
        <tr r="K42" s="2"/>
      </tp>
      <tp t="s">
        <v>#N/A N/A</v>
        <stp/>
        <stp>BDH|9091769643143890007</stp>
        <tr r="N40" s="2"/>
      </tp>
      <tp t="s">
        <v>#N/A N/A</v>
        <stp/>
        <stp>BDH|2496025890783172155</stp>
        <tr r="AB39" s="2"/>
      </tp>
      <tp t="s">
        <v>#N/A N/A</v>
        <stp/>
        <stp>BDH|1725967775935507334</stp>
        <tr r="U68" s="2"/>
      </tp>
      <tp t="s">
        <v>#N/A N/A</v>
        <stp/>
        <stp>BDH|6693096098961268761</stp>
        <tr r="E17" s="2"/>
      </tp>
      <tp t="s">
        <v>#N/A N/A</v>
        <stp/>
        <stp>BDH|4693958536720149771</stp>
        <tr r="X40" s="2"/>
      </tp>
      <tp t="s">
        <v>#N/A N/A</v>
        <stp/>
        <stp>BDH|5701376225875043863</stp>
        <tr r="C19" s="2"/>
      </tp>
      <tp t="s">
        <v>#N/A N/A</v>
        <stp/>
        <stp>BDH|4681281802797651897</stp>
        <tr r="D71" s="2"/>
      </tp>
      <tp t="s">
        <v>#N/A N/A</v>
        <stp/>
        <stp>BDH|9978414779541615248</stp>
        <tr r="Q56" s="2"/>
      </tp>
      <tp t="s">
        <v>#N/A N/A</v>
        <stp/>
        <stp>BDH|5223966420485111253</stp>
        <tr r="AD53" s="2"/>
      </tp>
      <tp t="s">
        <v>#N/A N/A</v>
        <stp/>
        <stp>BDH|5128095993450942521</stp>
        <tr r="R49" s="2"/>
      </tp>
      <tp t="s">
        <v>#N/A N/A</v>
        <stp/>
        <stp>BDH|4543331254029550279</stp>
        <tr r="N21" s="2"/>
      </tp>
      <tp t="s">
        <v>#N/A N/A</v>
        <stp/>
        <stp>BDH|8394621493379651745</stp>
        <tr r="I68" s="2"/>
      </tp>
      <tp t="s">
        <v>#N/A N/A</v>
        <stp/>
        <stp>BDH|6971313679709284236</stp>
        <tr r="K45" s="2"/>
      </tp>
      <tp t="s">
        <v>#N/A N/A</v>
        <stp/>
        <stp>BDH|5401109254681949994</stp>
        <tr r="AC32" s="2"/>
      </tp>
      <tp t="s">
        <v>#N/A N/A</v>
        <stp/>
        <stp>BDH|8320168511936203770</stp>
        <tr r="H50" s="2"/>
      </tp>
      <tp t="s">
        <v>#N/A N/A</v>
        <stp/>
        <stp>BDH|9529931063136286963</stp>
        <tr r="H10" s="2"/>
      </tp>
      <tp t="s">
        <v>#N/A N/A</v>
        <stp/>
        <stp>BDH|4272076831139392761</stp>
        <tr r="AB24" s="2"/>
      </tp>
      <tp t="s">
        <v>#N/A N/A</v>
        <stp/>
        <stp>BDH|6260502227330620856</stp>
        <tr r="I38" s="2"/>
      </tp>
      <tp t="s">
        <v>#N/A N/A</v>
        <stp/>
        <stp>BDH|8935746092256138982</stp>
        <tr r="AB63" s="2"/>
      </tp>
      <tp t="s">
        <v>#N/A N/A</v>
        <stp/>
        <stp>BDH|4899254227184548990</stp>
        <tr r="G31" s="2"/>
      </tp>
      <tp t="s">
        <v>#N/A N/A</v>
        <stp/>
        <stp>BDH|6627787993757802639</stp>
        <tr r="F50" s="2"/>
      </tp>
      <tp t="s">
        <v>#N/A N/A</v>
        <stp/>
        <stp>BDH|6688421224478303153</stp>
        <tr r="L69" s="2"/>
      </tp>
      <tp t="s">
        <v>#N/A N/A</v>
        <stp/>
        <stp>BDH|9102727001565102241</stp>
        <tr r="AB21" s="2"/>
      </tp>
      <tp t="s">
        <v>#N/A N/A</v>
        <stp/>
        <stp>BDH|9373629740693225148</stp>
        <tr r="AC34" s="2"/>
        <tr r="AC46" s="2"/>
      </tp>
      <tp t="s">
        <v>#N/A N/A</v>
        <stp/>
        <stp>BDH|5754381599301884793</stp>
        <tr r="E10" s="2"/>
      </tp>
      <tp t="s">
        <v>#N/A N/A</v>
        <stp/>
        <stp>BDH|5601438593809437866</stp>
        <tr r="L27" s="2"/>
      </tp>
      <tp t="s">
        <v>#N/A N/A</v>
        <stp/>
        <stp>BDH|4177915478203539095</stp>
        <tr r="AC64" s="2"/>
      </tp>
      <tp t="s">
        <v>#N/A N/A</v>
        <stp/>
        <stp>BDH|1026000060457781935</stp>
        <tr r="AD26" s="2"/>
      </tp>
      <tp t="s">
        <v>#N/A N/A</v>
        <stp/>
        <stp>BDH|1120952945096631326</stp>
        <tr r="AB30" s="2"/>
      </tp>
      <tp t="s">
        <v>#N/A N/A</v>
        <stp/>
        <stp>BDH|1807560548799199029</stp>
        <tr r="V26" s="2"/>
      </tp>
      <tp t="s">
        <v>#N/A N/A</v>
        <stp/>
        <stp>BDH|2275179122050008827</stp>
        <tr r="U67" s="2"/>
      </tp>
      <tp t="s">
        <v>#N/A N/A</v>
        <stp/>
        <stp>BDH|1115278918809011141</stp>
        <tr r="T35" s="2"/>
      </tp>
      <tp t="s">
        <v>#N/A N/A</v>
        <stp/>
        <stp>BDH|9320087370225344120</stp>
        <tr r="R17" s="2"/>
      </tp>
      <tp t="s">
        <v>#N/A N/A</v>
        <stp/>
        <stp>BDH|4005242637689125685</stp>
        <tr r="N29" s="2"/>
      </tp>
      <tp t="s">
        <v>#N/A N/A</v>
        <stp/>
        <stp>BDH|8979895751837821830</stp>
        <tr r="V19" s="2"/>
      </tp>
      <tp t="s">
        <v>#N/A N/A</v>
        <stp/>
        <stp>BDH|7275442671508885652</stp>
        <tr r="AA13" s="2"/>
      </tp>
      <tp t="s">
        <v>#N/A N/A</v>
        <stp/>
        <stp>BDH|8921931486417518438</stp>
        <tr r="G65" s="2"/>
      </tp>
      <tp t="s">
        <v>#N/A N/A</v>
        <stp/>
        <stp>BDH|4783432480772880078</stp>
        <tr r="L12" s="2"/>
      </tp>
      <tp t="s">
        <v>#N/A N/A</v>
        <stp/>
        <stp>BDH|6217310206209860655</stp>
        <tr r="C27" s="2"/>
      </tp>
      <tp t="s">
        <v>#N/A N/A</v>
        <stp/>
        <stp>BDH|5033763629063028979</stp>
        <tr r="M67" s="2"/>
      </tp>
      <tp t="s">
        <v>#N/A N/A</v>
        <stp/>
        <stp>BDH|1372495922885118808</stp>
        <tr r="H38" s="2"/>
      </tp>
      <tp t="s">
        <v>#N/A N/A</v>
        <stp/>
        <stp>BDH|4963250833446205949</stp>
        <tr r="N13" s="2"/>
      </tp>
      <tp t="s">
        <v>#N/A N/A</v>
        <stp/>
        <stp>BDH|4018882536080403545</stp>
        <tr r="I17" s="2"/>
      </tp>
      <tp t="s">
        <v>#N/A N/A</v>
        <stp/>
        <stp>BDH|8227150301921044287</stp>
        <tr r="P20" s="2"/>
      </tp>
      <tp t="s">
        <v>#N/A N/A</v>
        <stp/>
        <stp>BDH|1582511170850843937</stp>
        <tr r="V9" s="2"/>
      </tp>
      <tp t="s">
        <v>#N/A N/A</v>
        <stp/>
        <stp>BDH|8724377599799641100</stp>
        <tr r="AB56" s="2"/>
      </tp>
      <tp t="s">
        <v>#N/A N/A</v>
        <stp/>
        <stp>BDH|6165738135260295887</stp>
        <tr r="AB17" s="2"/>
      </tp>
      <tp t="s">
        <v>#N/A N/A</v>
        <stp/>
        <stp>BDH|3917829621422412135</stp>
        <tr r="J22" s="2"/>
      </tp>
      <tp t="s">
        <v>#N/A N/A</v>
        <stp/>
        <stp>BDH|6351692555949100632</stp>
        <tr r="G66" s="2"/>
      </tp>
      <tp t="s">
        <v>#N/A N/A</v>
        <stp/>
        <stp>BDH|1627752105879903524</stp>
        <tr r="K69" s="2"/>
      </tp>
      <tp t="s">
        <v>#N/A N/A</v>
        <stp/>
        <stp>BDH|5090571587482952045</stp>
        <tr r="K11" s="2"/>
      </tp>
      <tp t="s">
        <v>#N/A N/A</v>
        <stp/>
        <stp>BDH|8694270674787053078</stp>
        <tr r="Q9" s="2"/>
      </tp>
      <tp t="s">
        <v>#N/A N/A</v>
        <stp/>
        <stp>BDH|2588569391666060207</stp>
        <tr r="AD50" s="2"/>
      </tp>
      <tp t="s">
        <v>#N/A N/A</v>
        <stp/>
        <stp>BDH|4086387640111831825</stp>
        <tr r="M20" s="2"/>
      </tp>
      <tp t="s">
        <v>#N/A N/A</v>
        <stp/>
        <stp>BDH|2309442707168319401</stp>
        <tr r="W35" s="2"/>
      </tp>
      <tp t="s">
        <v>#N/A N/A</v>
        <stp/>
        <stp>BDH|6532877664455758727</stp>
        <tr r="C46" s="2"/>
        <tr r="C34" s="2"/>
      </tp>
      <tp t="s">
        <v>#N/A N/A</v>
        <stp/>
        <stp>BDH|4107304367178658332</stp>
        <tr r="W63" s="2"/>
      </tp>
      <tp t="s">
        <v>#N/A N/A</v>
        <stp/>
        <stp>BDH|8417712014313929783</stp>
        <tr r="L54" s="2"/>
      </tp>
      <tp t="s">
        <v>#N/A N/A</v>
        <stp/>
        <stp>BDH|4101257458979837049</stp>
        <tr r="Y41" s="2"/>
      </tp>
      <tp t="s">
        <v>#N/A N/A</v>
        <stp/>
        <stp>BDH|1535190812388747390</stp>
        <tr r="X19" s="2"/>
      </tp>
      <tp t="s">
        <v>#N/A N/A</v>
        <stp/>
        <stp>BDH|4136206340699420158</stp>
        <tr r="V64" s="2"/>
      </tp>
      <tp t="s">
        <v>#N/A N/A</v>
        <stp/>
        <stp>BDH|4190700421499901297</stp>
        <tr r="G10" s="2"/>
      </tp>
      <tp t="s">
        <v>#N/A N/A</v>
        <stp/>
        <stp>BDH|7728963422237166133</stp>
        <tr r="C21" s="2"/>
      </tp>
      <tp t="s">
        <v>#N/A N/A</v>
        <stp/>
        <stp>BDH|6799219186930929682</stp>
        <tr r="W49" s="2"/>
      </tp>
      <tp t="s">
        <v>#N/A N/A</v>
        <stp/>
        <stp>BDH|3376495998450577468</stp>
        <tr r="H28" s="2"/>
      </tp>
      <tp t="s">
        <v>#N/A N/A</v>
        <stp/>
        <stp>BDH|9276520810513588439</stp>
        <tr r="Z18" s="2"/>
      </tp>
      <tp t="s">
        <v>#N/A N/A</v>
        <stp/>
        <stp>BDH|3680879459254737098</stp>
        <tr r="F37" s="2"/>
      </tp>
      <tp t="s">
        <v>#N/A N/A</v>
        <stp/>
        <stp>BDH|9174510902443047552</stp>
        <tr r="V6" s="2"/>
      </tp>
      <tp t="s">
        <v>#N/A N/A</v>
        <stp/>
        <stp>BDH|1750305789396134688</stp>
        <tr r="M69" s="2"/>
      </tp>
      <tp t="s">
        <v>#N/A N/A</v>
        <stp/>
        <stp>BDH|8571141892632497838</stp>
        <tr r="U71" s="2"/>
      </tp>
      <tp t="s">
        <v>#N/A N/A</v>
        <stp/>
        <stp>BDH|8517103357993486522</stp>
        <tr r="U56" s="2"/>
      </tp>
      <tp t="s">
        <v>#N/A N/A</v>
        <stp/>
        <stp>BDH|9016177737442572310</stp>
        <tr r="AC10" s="2"/>
      </tp>
      <tp t="s">
        <v>#N/A N/A</v>
        <stp/>
        <stp>BDH|6650111170192583868</stp>
        <tr r="V71" s="2"/>
      </tp>
      <tp t="s">
        <v>#N/A N/A</v>
        <stp/>
        <stp>BDH|7662419032262578842</stp>
        <tr r="V66" s="2"/>
      </tp>
      <tp t="s">
        <v>#N/A N/A</v>
        <stp/>
        <stp>BDH|7629971465594134619</stp>
        <tr r="AC56" s="2"/>
      </tp>
      <tp t="s">
        <v>#N/A N/A</v>
        <stp/>
        <stp>BDH|2194054135152144946</stp>
        <tr r="Z42" s="2"/>
      </tp>
      <tp t="s">
        <v>#N/A N/A</v>
        <stp/>
        <stp>BDH|7316941948845319587</stp>
        <tr r="N7" s="2"/>
      </tp>
      <tp t="s">
        <v>#N/A N/A</v>
        <stp/>
        <stp>BDH|8349103226549602866</stp>
        <tr r="M61" s="2"/>
      </tp>
      <tp t="s">
        <v>#N/A N/A</v>
        <stp/>
        <stp>BDH|8868562892128061767</stp>
        <tr r="H15" s="2"/>
      </tp>
      <tp t="s">
        <v>#N/A N/A</v>
        <stp/>
        <stp>BDH|2185141752409852453</stp>
        <tr r="J7" s="2"/>
      </tp>
      <tp t="s">
        <v>#N/A N/A</v>
        <stp/>
        <stp>BDH|2083283860434241918</stp>
        <tr r="O29" s="2"/>
      </tp>
      <tp t="s">
        <v>#N/A N/A</v>
        <stp/>
        <stp>BDH|1136665998837130259</stp>
        <tr r="N50" s="2"/>
      </tp>
      <tp t="s">
        <v>#N/A N/A</v>
        <stp/>
        <stp>BDH|4213235987361819466</stp>
        <tr r="H60" s="2"/>
      </tp>
      <tp t="s">
        <v>#N/A N/A</v>
        <stp/>
        <stp>BDH|8219561364671038182</stp>
        <tr r="V42" s="2"/>
      </tp>
      <tp t="s">
        <v>#N/A N/A</v>
        <stp/>
        <stp>BDH|7891044696723739651</stp>
        <tr r="Z60" s="2"/>
      </tp>
      <tp t="s">
        <v>#N/A N/A</v>
        <stp/>
        <stp>BDH|7242580463066265938</stp>
        <tr r="X55" s="2"/>
      </tp>
      <tp t="s">
        <v>#N/A N/A</v>
        <stp/>
        <stp>BDH|8134396310556499746</stp>
        <tr r="AD55" s="2"/>
      </tp>
      <tp t="s">
        <v>#N/A N/A</v>
        <stp/>
        <stp>BDH|5586848812893285481</stp>
        <tr r="R11" s="2"/>
      </tp>
      <tp t="s">
        <v>#N/A N/A</v>
        <stp/>
        <stp>BDH|7573235731918724599</stp>
        <tr r="Q24" s="2"/>
      </tp>
      <tp t="s">
        <v>#N/A N/A</v>
        <stp/>
        <stp>BDH|7679861577262726194</stp>
        <tr r="V63" s="2"/>
      </tp>
      <tp t="s">
        <v>#N/A N/A</v>
        <stp/>
        <stp>BDH|2013896120752704176</stp>
        <tr r="I11" s="2"/>
      </tp>
      <tp t="s">
        <v>#N/A N/A</v>
        <stp/>
        <stp>BDH|6735894451491195171</stp>
        <tr r="S13" s="2"/>
      </tp>
      <tp t="s">
        <v>#N/A N/A</v>
        <stp/>
        <stp>BDH|1442585732134375849</stp>
        <tr r="AC36" s="2"/>
      </tp>
      <tp t="s">
        <v>#N/A N/A</v>
        <stp/>
        <stp>BDH|9083212387868039080</stp>
        <tr r="R44" s="2"/>
      </tp>
      <tp t="s">
        <v>#N/A N/A</v>
        <stp/>
        <stp>BDH|1956825745010000603</stp>
        <tr r="Z20" s="2"/>
      </tp>
      <tp t="s">
        <v>#N/A N/A</v>
        <stp/>
        <stp>BDH|1564325059965895996</stp>
        <tr r="C37" s="2"/>
      </tp>
      <tp t="s">
        <v>#N/A N/A</v>
        <stp/>
        <stp>BDH|8849142094843643816</stp>
        <tr r="X45" s="2"/>
      </tp>
      <tp t="s">
        <v>#N/A N/A</v>
        <stp/>
        <stp>BDH|6351487302251169841</stp>
        <tr r="U23" s="2"/>
      </tp>
      <tp t="s">
        <v>#N/A N/A</v>
        <stp/>
        <stp>BDH|8986741368273073191</stp>
        <tr r="W42" s="2"/>
      </tp>
      <tp t="s">
        <v>#N/A N/A</v>
        <stp/>
        <stp>BDH|6471390841473648969</stp>
        <tr r="T6" s="2"/>
      </tp>
      <tp t="s">
        <v>#N/A N/A</v>
        <stp/>
        <stp>BDH|3560991367715425223</stp>
        <tr r="X16" s="2"/>
      </tp>
      <tp t="s">
        <v>#N/A N/A</v>
        <stp/>
        <stp>BDH|3011915919663109346</stp>
        <tr r="Y18" s="2"/>
      </tp>
      <tp t="s">
        <v>#N/A N/A</v>
        <stp/>
        <stp>BDH|9155110527080951137</stp>
        <tr r="Z62" s="2"/>
      </tp>
      <tp t="s">
        <v>#N/A N/A</v>
        <stp/>
        <stp>BDH|2011704970119970048</stp>
        <tr r="AD32" s="2"/>
      </tp>
      <tp t="s">
        <v>#N/A N/A</v>
        <stp/>
        <stp>BDH|6147064438068294603</stp>
        <tr r="U14" s="2"/>
      </tp>
      <tp t="s">
        <v>#N/A N/A</v>
        <stp/>
        <stp>BDH|6920509283265891501</stp>
        <tr r="J28" s="2"/>
      </tp>
      <tp t="s">
        <v>#N/A N/A</v>
        <stp/>
        <stp>BDH|5666208629278585687</stp>
        <tr r="C8" s="2"/>
      </tp>
      <tp t="s">
        <v>#N/A N/A</v>
        <stp/>
        <stp>BDH|5236585979125158900</stp>
        <tr r="E66" s="2"/>
      </tp>
      <tp t="s">
        <v>#N/A N/A</v>
        <stp/>
        <stp>BDH|1493040227218349068</stp>
        <tr r="N10" s="2"/>
      </tp>
      <tp t="s">
        <v>#N/A N/A</v>
        <stp/>
        <stp>BDH|9463552327743697627</stp>
        <tr r="X33" s="2"/>
      </tp>
      <tp t="s">
        <v>#N/A N/A</v>
        <stp/>
        <stp>BDH|8456372240332177612</stp>
        <tr r="AD39" s="2"/>
      </tp>
      <tp t="s">
        <v>#N/A N/A</v>
        <stp/>
        <stp>BDH|1661831466805259124</stp>
        <tr r="R31" s="2"/>
      </tp>
      <tp t="s">
        <v>#N/A N/A</v>
        <stp/>
        <stp>BDH|2173164193095735438</stp>
        <tr r="C11" s="2"/>
      </tp>
      <tp t="s">
        <v>#N/A N/A</v>
        <stp/>
        <stp>BDH|6964126695807948276</stp>
        <tr r="P40" s="2"/>
      </tp>
      <tp t="s">
        <v>#N/A N/A</v>
        <stp/>
        <stp>BDH|3275013363417898984</stp>
        <tr r="G32" s="2"/>
      </tp>
      <tp t="s">
        <v>#N/A N/A</v>
        <stp/>
        <stp>BDH|6813597102400716858</stp>
        <tr r="AB62" s="2"/>
      </tp>
      <tp t="s">
        <v>#N/A N/A</v>
        <stp/>
        <stp>BDH|5015998369255640475</stp>
        <tr r="M10" s="2"/>
      </tp>
      <tp t="s">
        <v>#N/A N/A</v>
        <stp/>
        <stp>BDH|3797931456851194524</stp>
        <tr r="N70" s="2"/>
      </tp>
      <tp t="s">
        <v>#N/A N/A</v>
        <stp/>
        <stp>BDH|9242621412930428572</stp>
        <tr r="W69" s="2"/>
      </tp>
      <tp t="s">
        <v>#N/A N/A</v>
        <stp/>
        <stp>BDH|9024207560932159405</stp>
        <tr r="G6" s="2"/>
      </tp>
      <tp t="s">
        <v>#N/A N/A</v>
        <stp/>
        <stp>BDH|7218040682370696448</stp>
        <tr r="AD37" s="2"/>
      </tp>
      <tp t="s">
        <v>#N/A N/A</v>
        <stp/>
        <stp>BDH|8416129728232140291</stp>
        <tr r="M32" s="2"/>
      </tp>
      <tp t="s">
        <v>#N/A N/A</v>
        <stp/>
        <stp>BDH|5937164206959633689</stp>
        <tr r="T61" s="2"/>
      </tp>
      <tp t="s">
        <v>#N/A N/A</v>
        <stp/>
        <stp>BDH|4962655722452052999</stp>
        <tr r="Z32" s="2"/>
      </tp>
      <tp t="s">
        <v>#N/A N/A</v>
        <stp/>
        <stp>BDH|9499092925319823976</stp>
        <tr r="L22" s="2"/>
      </tp>
      <tp t="s">
        <v>#N/A N/A</v>
        <stp/>
        <stp>BDH|8745352202706242661</stp>
        <tr r="D64" s="2"/>
      </tp>
      <tp t="s">
        <v>#N/A N/A</v>
        <stp/>
        <stp>BDH|6695571056844672951</stp>
        <tr r="AC17" s="2"/>
      </tp>
      <tp t="s">
        <v>#N/A N/A</v>
        <stp/>
        <stp>BDH|5296011572819473019</stp>
        <tr r="AC16" s="2"/>
      </tp>
      <tp t="s">
        <v>#N/A N/A</v>
        <stp/>
        <stp>BDH|6367334305241824077</stp>
        <tr r="AB37" s="2"/>
      </tp>
      <tp t="s">
        <v>#N/A N/A</v>
        <stp/>
        <stp>BDH|6801280984928613086</stp>
        <tr r="L30" s="2"/>
      </tp>
      <tp t="s">
        <v>#N/A N/A</v>
        <stp/>
        <stp>BDH|2755095693147421822</stp>
        <tr r="L10" s="2"/>
      </tp>
      <tp t="s">
        <v>#N/A N/A</v>
        <stp/>
        <stp>BDH|5388548031116858152</stp>
        <tr r="L67" s="2"/>
      </tp>
      <tp t="s">
        <v>#N/A N/A</v>
        <stp/>
        <stp>BDH|1219791462270200420</stp>
        <tr r="Q15" s="2"/>
      </tp>
      <tp t="s">
        <v>#N/A N/A</v>
        <stp/>
        <stp>BDH|4545005514415890404</stp>
        <tr r="L33" s="2"/>
      </tp>
      <tp t="s">
        <v>#N/A N/A</v>
        <stp/>
        <stp>BDH|8602592666229893682</stp>
        <tr r="AD64" s="2"/>
      </tp>
      <tp t="s">
        <v>#N/A N/A</v>
        <stp/>
        <stp>BDH|4127608313471309684</stp>
        <tr r="N67" s="2"/>
      </tp>
      <tp t="s">
        <v>#N/A N/A</v>
        <stp/>
        <stp>BDH|8926870920874915298</stp>
        <tr r="AC63" s="2"/>
      </tp>
      <tp t="s">
        <v>#N/A N/A</v>
        <stp/>
        <stp>BDH|8882738138248857055</stp>
        <tr r="I20" s="2"/>
      </tp>
      <tp t="s">
        <v>#N/A N/A</v>
        <stp/>
        <stp>BDH|1086173348171257122</stp>
        <tr r="W37" s="2"/>
      </tp>
      <tp t="s">
        <v>#N/A N/A</v>
        <stp/>
        <stp>BDH|2713635849606978286</stp>
        <tr r="L48" s="2"/>
      </tp>
      <tp t="s">
        <v>#N/A N/A</v>
        <stp/>
        <stp>BDH|3588648468284121348</stp>
        <tr r="R27" s="2"/>
      </tp>
      <tp t="s">
        <v>#N/A N/A</v>
        <stp/>
        <stp>BDH|5078125444335880132</stp>
        <tr r="O62" s="2"/>
      </tp>
      <tp t="s">
        <v>#N/A N/A</v>
        <stp/>
        <stp>BDH|9296961620394880218</stp>
        <tr r="N15" s="2"/>
      </tp>
      <tp t="s">
        <v>#N/A N/A</v>
        <stp/>
        <stp>BDH|4370768601192644509</stp>
        <tr r="Z38" s="2"/>
      </tp>
      <tp t="s">
        <v>#N/A N/A</v>
        <stp/>
        <stp>BDH|9158857797068082411</stp>
        <tr r="AD13" s="2"/>
      </tp>
      <tp t="s">
        <v>#N/A N/A</v>
        <stp/>
        <stp>BDH|6310829198631236291</stp>
        <tr r="K36" s="2"/>
      </tp>
      <tp t="s">
        <v>#N/A N/A</v>
        <stp/>
        <stp>BDH|3180112547361205375</stp>
        <tr r="E64" s="2"/>
      </tp>
      <tp t="s">
        <v>#N/A N/A</v>
        <stp/>
        <stp>BDH|5734745095168242777</stp>
        <tr r="I10" s="2"/>
      </tp>
      <tp t="s">
        <v>#N/A N/A</v>
        <stp/>
        <stp>BDH|4103338924205488416</stp>
        <tr r="R46" s="2"/>
        <tr r="R34" s="2"/>
      </tp>
      <tp t="s">
        <v>#N/A N/A</v>
        <stp/>
        <stp>BDH|2632090568976774630</stp>
        <tr r="L45" s="2"/>
      </tp>
      <tp t="s">
        <v>#N/A N/A</v>
        <stp/>
        <stp>BDH|9263317799553349480</stp>
        <tr r="T42" s="2"/>
      </tp>
      <tp t="s">
        <v>#N/A N/A</v>
        <stp/>
        <stp>BDH|8666122957229772154</stp>
        <tr r="H27" s="2"/>
      </tp>
      <tp t="s">
        <v>#N/A N/A</v>
        <stp/>
        <stp>BDH|6492725220865305243</stp>
        <tr r="AD48" s="2"/>
      </tp>
      <tp t="s">
        <v>#N/A N/A</v>
        <stp/>
        <stp>BDH|2444642083821045924</stp>
        <tr r="R69" s="2"/>
      </tp>
      <tp t="s">
        <v>#N/A N/A</v>
        <stp/>
        <stp>BDH|7859006256672967417</stp>
        <tr r="R55" s="2"/>
      </tp>
      <tp t="s">
        <v>#N/A N/A</v>
        <stp/>
        <stp>BDH|1011828172999320354</stp>
        <tr r="R65" s="2"/>
      </tp>
      <tp t="s">
        <v>#N/A N/A</v>
        <stp/>
        <stp>BDH|2984233742311674182</stp>
        <tr r="AB64" s="2"/>
      </tp>
      <tp t="s">
        <v>#N/A N/A</v>
        <stp/>
        <stp>BDH|1945562190681150888</stp>
        <tr r="U9" s="2"/>
      </tp>
      <tp t="s">
        <v>#N/A N/A</v>
        <stp/>
        <stp>BDH|9583303481627425178</stp>
        <tr r="E65" s="2"/>
      </tp>
      <tp t="s">
        <v>#N/A N/A</v>
        <stp/>
        <stp>BDH|6522767829203499499</stp>
        <tr r="J69" s="2"/>
      </tp>
      <tp t="s">
        <v>#N/A N/A</v>
        <stp/>
        <stp>BDH|4583485344597629782</stp>
        <tr r="K26" s="2"/>
      </tp>
      <tp t="s">
        <v>#N/A N/A</v>
        <stp/>
        <stp>BDH|6834205441915833160</stp>
        <tr r="Z8" s="2"/>
      </tp>
      <tp t="s">
        <v>#N/A N/A</v>
        <stp/>
        <stp>BDH|1341780260642838670</stp>
        <tr r="AA27" s="2"/>
      </tp>
      <tp t="s">
        <v>#N/A N/A</v>
        <stp/>
        <stp>BDH|4460131351192322615</stp>
        <tr r="G34" s="2"/>
        <tr r="G46" s="2"/>
      </tp>
      <tp t="s">
        <v>#N/A N/A</v>
        <stp/>
        <stp>BDH|4621224999509102281</stp>
        <tr r="E61" s="2"/>
      </tp>
      <tp t="s">
        <v>#N/A N/A</v>
        <stp/>
        <stp>BDH|4672812189954315496</stp>
        <tr r="Y29" s="2"/>
      </tp>
      <tp t="s">
        <v>#N/A N/A</v>
        <stp/>
        <stp>BDH|1665259422350693538</stp>
        <tr r="P65" s="2"/>
      </tp>
      <tp t="s">
        <v>#N/A N/A</v>
        <stp/>
        <stp>BDH|6981313478212444418</stp>
        <tr r="M28" s="2"/>
      </tp>
      <tp t="s">
        <v>#N/A N/A</v>
        <stp/>
        <stp>BDH|8690692398092192136</stp>
        <tr r="G49" s="2"/>
      </tp>
      <tp t="s">
        <v>#N/A N/A</v>
        <stp/>
        <stp>BDH|1939006538111829637</stp>
        <tr r="E34" s="2"/>
        <tr r="E46" s="2"/>
      </tp>
      <tp t="s">
        <v>#N/A N/A</v>
        <stp/>
        <stp>BDH|7538694822626257065</stp>
        <tr r="Y51" s="2"/>
      </tp>
      <tp t="s">
        <v>#N/A N/A</v>
        <stp/>
        <stp>BDH|3945011142015224727</stp>
        <tr r="S70" s="2"/>
      </tp>
      <tp t="s">
        <v>#N/A N/A</v>
        <stp/>
        <stp>BDH|3273146041024494791</stp>
        <tr r="Q32" s="2"/>
      </tp>
      <tp t="s">
        <v>#N/A N/A</v>
        <stp/>
        <stp>BDH|2368471519847407532</stp>
        <tr r="T10" s="2"/>
      </tp>
      <tp t="s">
        <v>#N/A N/A</v>
        <stp/>
        <stp>BDH|9207890530824285323</stp>
        <tr r="AA28" s="2"/>
      </tp>
      <tp t="s">
        <v>#N/A N/A</v>
        <stp/>
        <stp>BDH|4346360149431313742</stp>
        <tr r="N27" s="2"/>
      </tp>
      <tp t="s">
        <v>#N/A N/A</v>
        <stp/>
        <stp>BDH|6704541168809124913</stp>
        <tr r="AA61" s="2"/>
      </tp>
      <tp t="s">
        <v>#N/A N/A</v>
        <stp/>
        <stp>BDH|9792974724497590091</stp>
        <tr r="AC40" s="2"/>
      </tp>
      <tp t="s">
        <v>#N/A N/A</v>
        <stp/>
        <stp>BDH|8669209428258645501</stp>
        <tr r="AB65" s="2"/>
      </tp>
      <tp t="s">
        <v>#N/A N/A</v>
        <stp/>
        <stp>BDH|1624489267430965684</stp>
        <tr r="W56" s="2"/>
      </tp>
      <tp t="s">
        <v>#N/A N/A</v>
        <stp/>
        <stp>BDH|2060707641272051687</stp>
        <tr r="I32" s="2"/>
      </tp>
      <tp t="s">
        <v>#N/A N/A</v>
        <stp/>
        <stp>BDH|4519605862293833265</stp>
        <tr r="O20" s="2"/>
      </tp>
      <tp t="s">
        <v>#N/A N/A</v>
        <stp/>
        <stp>BDH|4467537344673937333</stp>
        <tr r="N9" s="2"/>
      </tp>
      <tp t="s">
        <v>#N/A N/A</v>
        <stp/>
        <stp>BDH|7759664846704714490</stp>
        <tr r="F29" s="2"/>
      </tp>
      <tp t="s">
        <v>#N/A N/A</v>
        <stp/>
        <stp>BDH|8800896578842424047</stp>
        <tr r="M31" s="2"/>
      </tp>
      <tp t="s">
        <v>#N/A N/A</v>
        <stp/>
        <stp>BDH|8317094297094027032</stp>
        <tr r="F28" s="2"/>
      </tp>
      <tp t="s">
        <v>#N/A N/A</v>
        <stp/>
        <stp>BDH|5532309775261987579</stp>
        <tr r="C6" s="2"/>
      </tp>
      <tp t="s">
        <v>#N/A N/A</v>
        <stp/>
        <stp>BDH|2090596717942658175</stp>
        <tr r="O25" s="2"/>
      </tp>
      <tp t="s">
        <v>#N/A N/A</v>
        <stp/>
        <stp>BDH|3021828949759039345</stp>
        <tr r="P25" s="2"/>
      </tp>
      <tp t="s">
        <v>#N/A N/A</v>
        <stp/>
        <stp>BDH|6348230708880055148</stp>
        <tr r="X54" s="2"/>
      </tp>
      <tp t="s">
        <v>#N/A N/A</v>
        <stp/>
        <stp>BDH|2114040435440828444</stp>
        <tr r="O56" s="2"/>
      </tp>
      <tp t="s">
        <v>#N/A N/A</v>
        <stp/>
        <stp>BDH|3773911750038306294</stp>
        <tr r="X15" s="2"/>
      </tp>
      <tp t="s">
        <v>#N/A N/A</v>
        <stp/>
        <stp>BDH|5891329241450182768</stp>
        <tr r="S69" s="2"/>
      </tp>
      <tp t="s">
        <v>#N/A N/A</v>
        <stp/>
        <stp>BDH|2384484526122874392</stp>
        <tr r="V39" s="2"/>
      </tp>
      <tp t="s">
        <v>#N/A N/A</v>
        <stp/>
        <stp>BDH|8528106628186058818</stp>
        <tr r="I64" s="2"/>
      </tp>
      <tp t="s">
        <v>#N/A N/A</v>
        <stp/>
        <stp>BDH|8186967023664964215</stp>
        <tr r="H14" s="2"/>
      </tp>
      <tp t="s">
        <v>#N/A N/A</v>
        <stp/>
        <stp>BDH|3315687348497789386</stp>
        <tr r="G26" s="2"/>
      </tp>
      <tp t="s">
        <v>#N/A N/A</v>
        <stp/>
        <stp>BDH|2410019308151922690</stp>
        <tr r="W11" s="2"/>
      </tp>
      <tp t="s">
        <v>#N/A N/A</v>
        <stp/>
        <stp>BDH|3858646740021094516</stp>
        <tr r="H9" s="2"/>
      </tp>
      <tp t="s">
        <v>#N/A N/A</v>
        <stp/>
        <stp>BDH|3656258545786734639</stp>
        <tr r="N34" s="2"/>
        <tr r="N46" s="2"/>
      </tp>
      <tp t="s">
        <v>#N/A N/A</v>
        <stp/>
        <stp>BDH|8767261903966187916</stp>
        <tr r="X9" s="2"/>
      </tp>
      <tp t="s">
        <v>#N/A N/A</v>
        <stp/>
        <stp>BDH|1493424151423143648</stp>
        <tr r="Z68" s="2"/>
      </tp>
      <tp t="s">
        <v>#N/A N/A</v>
        <stp/>
        <stp>BDH|8801446096397124793</stp>
        <tr r="AC45" s="2"/>
      </tp>
      <tp t="s">
        <v>#N/A N/A</v>
        <stp/>
        <stp>BDH|7883172122210748180</stp>
        <tr r="V56" s="2"/>
      </tp>
      <tp t="s">
        <v>#N/A N/A</v>
        <stp/>
        <stp>BDH|7926516763677968610</stp>
        <tr r="V18" s="2"/>
      </tp>
      <tp t="s">
        <v>#N/A N/A</v>
        <stp/>
        <stp>BDH|5010889825093924975</stp>
        <tr r="O26" s="2"/>
      </tp>
      <tp t="s">
        <v>#N/A N/A</v>
        <stp/>
        <stp>BDH|1149238608365292386</stp>
        <tr r="M7" s="2"/>
      </tp>
      <tp t="s">
        <v>#N/A N/A</v>
        <stp/>
        <stp>BDH|6406709034872439540</stp>
        <tr r="F7" s="2"/>
      </tp>
      <tp t="s">
        <v>#N/A N/A</v>
        <stp/>
        <stp>BDH|6224524614386101157</stp>
        <tr r="U49" s="2"/>
      </tp>
      <tp t="s">
        <v>#N/A N/A</v>
        <stp/>
        <stp>BDH|7988995832599078129</stp>
        <tr r="Q13" s="2"/>
      </tp>
      <tp t="s">
        <v>#N/A N/A</v>
        <stp/>
        <stp>BDH|3254565344944654363</stp>
        <tr r="U34" s="2"/>
        <tr r="U46" s="2"/>
      </tp>
      <tp t="s">
        <v>#N/A N/A</v>
        <stp/>
        <stp>BDH|9313972232880239659</stp>
        <tr r="I42" s="2"/>
      </tp>
      <tp t="s">
        <v>#N/A N/A</v>
        <stp/>
        <stp>BDH|4808020818627431772</stp>
        <tr r="K29" s="2"/>
      </tp>
      <tp t="s">
        <v>#N/A N/A</v>
        <stp/>
        <stp>BDH|8538900742236794615</stp>
        <tr r="R71" s="2"/>
      </tp>
      <tp t="s">
        <v>#N/A N/A</v>
        <stp/>
        <stp>BDH|9376789712473820904</stp>
        <tr r="U26" s="2"/>
      </tp>
      <tp t="s">
        <v>#N/A N/A</v>
        <stp/>
        <stp>BDH|9451849253299083829</stp>
        <tr r="G24" s="2"/>
      </tp>
      <tp t="s">
        <v>#N/A N/A</v>
        <stp/>
        <stp>BDH|5542426721722756470</stp>
        <tr r="AA12" s="2"/>
      </tp>
      <tp t="s">
        <v>#N/A N/A</v>
        <stp/>
        <stp>BDH|6250538522367392362</stp>
        <tr r="AC41" s="2"/>
      </tp>
      <tp t="s">
        <v>#N/A N/A</v>
        <stp/>
        <stp>BDH|5728329300667482470</stp>
        <tr r="I35" s="2"/>
      </tp>
      <tp t="s">
        <v>#N/A N/A</v>
        <stp/>
        <stp>BDH|2247754314154123549</stp>
        <tr r="E67" s="2"/>
      </tp>
      <tp t="s">
        <v>#N/A N/A</v>
        <stp/>
        <stp>BDH|7087409036637549259</stp>
        <tr r="U36" s="2"/>
      </tp>
      <tp t="s">
        <v>#N/A N/A</v>
        <stp/>
        <stp>BDH|2685328668541890323</stp>
        <tr r="C30" s="2"/>
      </tp>
      <tp t="s">
        <v>#N/A N/A</v>
        <stp/>
        <stp>BDH|2033536945342995491</stp>
        <tr r="Q62" s="2"/>
      </tp>
      <tp t="s">
        <v>#N/A N/A</v>
        <stp/>
        <stp>BDH|7420418009472886432</stp>
        <tr r="AA25" s="2"/>
      </tp>
      <tp t="s">
        <v>#N/A N/A</v>
        <stp/>
        <stp>BDH|2339481572296626284</stp>
        <tr r="I25" s="2"/>
      </tp>
      <tp t="s">
        <v>#N/A N/A</v>
        <stp/>
        <stp>BDH|6002614071247523514</stp>
        <tr r="AA66" s="2"/>
      </tp>
      <tp t="s">
        <v>#N/A N/A</v>
        <stp/>
        <stp>BDH|1857196123380582738</stp>
        <tr r="F69" s="2"/>
      </tp>
      <tp t="s">
        <v>#N/A N/A</v>
        <stp/>
        <stp>BDH|4118114542542554637</stp>
        <tr r="T21" s="2"/>
      </tp>
      <tp t="s">
        <v>#N/A N/A</v>
        <stp/>
        <stp>BDH|3784337705581097456</stp>
        <tr r="AD42" s="2"/>
      </tp>
      <tp t="s">
        <v>#N/A N/A</v>
        <stp/>
        <stp>BDH|7704349474801688755</stp>
        <tr r="G38" s="2"/>
      </tp>
      <tp t="s">
        <v>#N/A N/A</v>
        <stp/>
        <stp>BDH|6175459942742597161</stp>
        <tr r="AC51" s="2"/>
      </tp>
      <tp t="s">
        <v>#N/A N/A</v>
        <stp/>
        <stp>BDH|6941163444550912674</stp>
        <tr r="AC7" s="2"/>
      </tp>
      <tp t="s">
        <v>#N/A N/A</v>
        <stp/>
        <stp>BDH|4092188017895922432</stp>
        <tr r="Q48" s="2"/>
      </tp>
      <tp t="s">
        <v>#N/A N/A</v>
        <stp/>
        <stp>BDH|9717363695860928683</stp>
        <tr r="X28" s="2"/>
      </tp>
      <tp t="s">
        <v>#N/A N/A</v>
        <stp/>
        <stp>BDH|14437630109692654</stp>
        <tr r="R25" s="2"/>
      </tp>
      <tp t="s">
        <v>#N/A N/A</v>
        <stp/>
        <stp>BDH|9596387052021774829</stp>
        <tr r="C16" s="2"/>
      </tp>
      <tp t="s">
        <v>#N/A N/A</v>
        <stp/>
        <stp>BDH|7771422189365442820</stp>
        <tr r="AB19" s="2"/>
      </tp>
      <tp t="s">
        <v>#N/A N/A</v>
        <stp/>
        <stp>BDH|1808128978263158288</stp>
        <tr r="L7" s="2"/>
      </tp>
      <tp t="s">
        <v>#N/A N/A</v>
        <stp/>
        <stp>BDH|8901805746940422206</stp>
        <tr r="P6" s="2"/>
      </tp>
      <tp t="s">
        <v>#N/A N/A</v>
        <stp/>
        <stp>BDH|7806073790930439839</stp>
        <tr r="V24" s="2"/>
      </tp>
      <tp t="s">
        <v>#N/A N/A</v>
        <stp/>
        <stp>BDH|2886477556553887690</stp>
        <tr r="K13" s="2"/>
      </tp>
      <tp t="s">
        <v>#N/A N/A</v>
        <stp/>
        <stp>BDH|2363910794923935774</stp>
        <tr r="N22" s="2"/>
      </tp>
      <tp t="s">
        <v>#N/A N/A</v>
        <stp/>
        <stp>BDH|3375580625047744503</stp>
        <tr r="P30" s="2"/>
      </tp>
      <tp t="s">
        <v>#N/A N/A</v>
        <stp/>
        <stp>BDH|8898221659038310190</stp>
        <tr r="P19" s="2"/>
      </tp>
      <tp t="s">
        <v>#N/A N/A</v>
        <stp/>
        <stp>BDH|3736591031864139774</stp>
        <tr r="F40" s="2"/>
      </tp>
      <tp t="s">
        <v>#N/A N/A</v>
        <stp/>
        <stp>BDH|9304112095543999470</stp>
        <tr r="M13" s="2"/>
      </tp>
      <tp t="s">
        <v>#N/A N/A</v>
        <stp/>
        <stp>BDH|7305021629547203444</stp>
        <tr r="R50" s="2"/>
      </tp>
      <tp t="s">
        <v>#N/A N/A</v>
        <stp/>
        <stp>BDH|1304148416130839779</stp>
        <tr r="W68" s="2"/>
      </tp>
      <tp t="s">
        <v>#N/A N/A</v>
        <stp/>
        <stp>BDH|8332845178628621977</stp>
        <tr r="N8" s="2"/>
      </tp>
      <tp t="s">
        <v>#N/A N/A</v>
        <stp/>
        <stp>BDH|6090971216631914964</stp>
        <tr r="C33" s="2"/>
      </tp>
      <tp t="s">
        <v>#N/A N/A</v>
        <stp/>
        <stp>BDH|8710401988642782061</stp>
        <tr r="R22" s="2"/>
      </tp>
      <tp t="s">
        <v>#N/A N/A</v>
        <stp/>
        <stp>BDH|4066850898832110135</stp>
        <tr r="F20" s="2"/>
      </tp>
      <tp t="s">
        <v>#N/A N/A</v>
        <stp/>
        <stp>BDH|6700065541096496291</stp>
        <tr r="T16" s="2"/>
      </tp>
      <tp t="s">
        <v>#N/A N/A</v>
        <stp/>
        <stp>BDH|1206381889314911880</stp>
        <tr r="M49" s="2"/>
      </tp>
      <tp t="s">
        <v>#N/A N/A</v>
        <stp/>
        <stp>BDH|3819166748782218264</stp>
        <tr r="P16" s="2"/>
      </tp>
      <tp t="s">
        <v>#N/A N/A</v>
        <stp/>
        <stp>BDH|2435127065055659676</stp>
        <tr r="AD36" s="2"/>
      </tp>
      <tp t="s">
        <v>#N/A N/A</v>
        <stp/>
        <stp>BDH|1211167676508032908</stp>
        <tr r="R8" s="2"/>
      </tp>
      <tp t="s">
        <v>#N/A N/A</v>
        <stp/>
        <stp>BDH|3186480933663172196</stp>
        <tr r="F10" s="2"/>
      </tp>
      <tp t="s">
        <v>#N/A N/A</v>
        <stp/>
        <stp>BDH|1215655470044164252</stp>
        <tr r="T48" s="2"/>
      </tp>
      <tp t="s">
        <v>#N/A N/A</v>
        <stp/>
        <stp>BDH|1000958288536809065</stp>
        <tr r="T55" s="2"/>
      </tp>
      <tp t="s">
        <v>#N/A N/A</v>
        <stp/>
        <stp>BDH|5512760720607200129</stp>
        <tr r="R12" s="2"/>
      </tp>
      <tp t="s">
        <v>#N/A N/A</v>
        <stp/>
        <stp>BDH|1200701871044630352</stp>
        <tr r="T22" s="2"/>
      </tp>
      <tp t="s">
        <v>#N/A N/A</v>
        <stp/>
        <stp>BDH|9265711682879599945</stp>
        <tr r="W19" s="2"/>
      </tp>
      <tp t="s">
        <v>#N/A N/A</v>
        <stp/>
        <stp>BDH|5215410407655770232</stp>
        <tr r="K15" s="2"/>
      </tp>
      <tp t="s">
        <v>#N/A N/A</v>
        <stp/>
        <stp>BDH|9373112975188519129</stp>
        <tr r="R41" s="2"/>
      </tp>
      <tp t="s">
        <v>#N/A N/A</v>
        <stp/>
        <stp>BDH|6776056012393888299</stp>
        <tr r="T8" s="2"/>
      </tp>
      <tp t="s">
        <v>#N/A N/A</v>
        <stp/>
        <stp>BDH|8669209986075651178</stp>
        <tr r="O16" s="2"/>
      </tp>
      <tp t="s">
        <v>#N/A N/A</v>
        <stp/>
        <stp>BDH|6849701210592847413</stp>
        <tr r="O19" s="2"/>
      </tp>
      <tp t="s">
        <v>#N/A N/A</v>
        <stp/>
        <stp>BDH|2836290552660219302</stp>
        <tr r="AD7" s="2"/>
      </tp>
      <tp t="s">
        <v>#N/A N/A</v>
        <stp/>
        <stp>BDH|2439198519565737126</stp>
        <tr r="AD20" s="2"/>
      </tp>
      <tp t="s">
        <v>#N/A N/A</v>
        <stp/>
        <stp>BDH|2363753506124900789</stp>
        <tr r="H53" s="2"/>
      </tp>
      <tp t="s">
        <v>#N/A N/A</v>
        <stp/>
        <stp>BDH|4113342059402496693</stp>
        <tr r="S26" s="2"/>
      </tp>
      <tp t="s">
        <v>#N/A N/A</v>
        <stp/>
        <stp>BDH|1184447975843617778</stp>
        <tr r="J49" s="2"/>
      </tp>
      <tp t="s">
        <v>#N/A N/A</v>
        <stp/>
        <stp>BDH|3307471472337702178</stp>
        <tr r="F51" s="2"/>
      </tp>
      <tp t="s">
        <v>#N/A N/A</v>
        <stp/>
        <stp>BDH|9840285313308287477</stp>
        <tr r="AB60" s="2"/>
      </tp>
      <tp t="s">
        <v>#N/A N/A</v>
        <stp/>
        <stp>BDH|6117641451960772353</stp>
        <tr r="AA55" s="2"/>
      </tp>
      <tp t="s">
        <v>#N/A N/A</v>
        <stp/>
        <stp>BDH|7970069221186134591</stp>
        <tr r="K27" s="2"/>
      </tp>
      <tp t="s">
        <v>#N/A N/A</v>
        <stp/>
        <stp>BDH|4522816394633379044</stp>
        <tr r="J25" s="2"/>
      </tp>
      <tp t="s">
        <v>#N/A N/A</v>
        <stp/>
        <stp>BDH|1017016420160562500</stp>
        <tr r="AB31" s="2"/>
      </tp>
      <tp t="s">
        <v>#N/A N/A</v>
        <stp/>
        <stp>BDH|7964013473211901773</stp>
        <tr r="P69" s="2"/>
      </tp>
      <tp t="s">
        <v>#N/A N/A</v>
        <stp/>
        <stp>BDH|4243862474278301497</stp>
        <tr r="D22" s="2"/>
      </tp>
      <tp t="s">
        <v>#N/A N/A</v>
        <stp/>
        <stp>BDH|8238904019854182308</stp>
        <tr r="H56" s="2"/>
      </tp>
      <tp t="s">
        <v>#N/A N/A</v>
        <stp/>
        <stp>BDH|1692899158102846944</stp>
        <tr r="U22" s="2"/>
      </tp>
      <tp t="s">
        <v>#N/A N/A</v>
        <stp/>
        <stp>BDH|1770319908422457713</stp>
        <tr r="G54" s="2"/>
      </tp>
      <tp t="s">
        <v>#N/A N/A</v>
        <stp/>
        <stp>BDH|9504482008252860857</stp>
        <tr r="W17" s="2"/>
      </tp>
      <tp t="s">
        <v>#N/A N/A</v>
        <stp/>
        <stp>BDH|3050476746791850515</stp>
        <tr r="Q54" s="2"/>
      </tp>
      <tp t="s">
        <v>#N/A N/A</v>
        <stp/>
        <stp>BDH|2026168044701278182</stp>
        <tr r="E54" s="2"/>
      </tp>
      <tp t="s">
        <v>#N/A N/A</v>
        <stp/>
        <stp>BDH|4157298656013772717</stp>
        <tr r="F44" s="2"/>
      </tp>
      <tp t="s">
        <v>#N/A N/A</v>
        <stp/>
        <stp>BDH|3841675179057639294</stp>
        <tr r="X51" s="2"/>
      </tp>
      <tp t="s">
        <v>#N/A N/A</v>
        <stp/>
        <stp>BDH|8756348324706709895</stp>
        <tr r="Q27" s="2"/>
      </tp>
      <tp t="s">
        <v>#N/A N/A</v>
        <stp/>
        <stp>BDH|4025617130246953067</stp>
        <tr r="V55" s="2"/>
      </tp>
      <tp t="s">
        <v>#N/A N/A</v>
        <stp/>
        <stp>BDH|8124178387762716485</stp>
        <tr r="AA23" s="2"/>
      </tp>
      <tp t="s">
        <v>#N/A N/A</v>
        <stp/>
        <stp>BDH|3707352240845429687</stp>
        <tr r="N53" s="2"/>
      </tp>
      <tp t="s">
        <v>#N/A N/A</v>
        <stp/>
        <stp>BDH|6666658955332126081</stp>
        <tr r="H18" s="2"/>
      </tp>
      <tp t="s">
        <v>#N/A N/A</v>
        <stp/>
        <stp>BDH|9541430819349009233</stp>
        <tr r="Y24" s="2"/>
      </tp>
      <tp t="s">
        <v>#N/A N/A</v>
        <stp/>
        <stp>BDH|7484033744561704588</stp>
        <tr r="AC13" s="2"/>
      </tp>
      <tp t="s">
        <v>#N/A N/A</v>
        <stp/>
        <stp>BDH|6714897563979528641</stp>
        <tr r="T39" s="2"/>
      </tp>
      <tp t="s">
        <v>#N/A N/A</v>
        <stp/>
        <stp>BDH|3636501886729023026</stp>
        <tr r="AC50" s="2"/>
      </tp>
      <tp t="s">
        <v>#N/A N/A</v>
        <stp/>
        <stp>BDH|1519607208028633895</stp>
        <tr r="AC55" s="2"/>
      </tp>
      <tp t="s">
        <v>#N/A N/A</v>
        <stp/>
        <stp>BDH|4177570449144970651</stp>
        <tr r="O22" s="2"/>
      </tp>
      <tp t="s">
        <v>#N/A N/A</v>
        <stp/>
        <stp>BDH|3542702196598613265</stp>
        <tr r="E27" s="2"/>
      </tp>
      <tp t="s">
        <v>#N/A N/A</v>
        <stp/>
        <stp>BDH|5645067116314461725</stp>
        <tr r="D31" s="2"/>
      </tp>
      <tp t="s">
        <v>#N/A N/A</v>
        <stp/>
        <stp>BDH|6588179402475603560</stp>
        <tr r="I6" s="2"/>
      </tp>
      <tp t="s">
        <v>#N/A N/A</v>
        <stp/>
        <stp>BDH|5490746697084741804</stp>
        <tr r="AB23" s="2"/>
      </tp>
      <tp t="s">
        <v>#N/A N/A</v>
        <stp/>
        <stp>BDH|3747340761971057039</stp>
        <tr r="H44" s="2"/>
      </tp>
      <tp t="s">
        <v>#N/A N/A</v>
        <stp/>
        <stp>BDH|6242785444532845071</stp>
        <tr r="D10" s="2"/>
      </tp>
      <tp t="s">
        <v>#N/A N/A</v>
        <stp/>
        <stp>BDH|7216350797013197901</stp>
        <tr r="M35" s="2"/>
      </tp>
      <tp t="s">
        <v>#N/A N/A</v>
        <stp/>
        <stp>BDH|2589519602996112663</stp>
        <tr r="Z48" s="2"/>
      </tp>
      <tp t="s">
        <v>#N/A N/A</v>
        <stp/>
        <stp>BDH|1225410646114203210</stp>
        <tr r="T69" s="2"/>
      </tp>
      <tp t="s">
        <v>#N/A N/A</v>
        <stp/>
        <stp>BDH|4475304119524363582</stp>
        <tr r="K60" s="2"/>
      </tp>
      <tp t="s">
        <v>#N/A N/A</v>
        <stp/>
        <stp>BDH|9866786707111570844</stp>
        <tr r="Y14" s="2"/>
      </tp>
      <tp t="s">
        <v>#N/A N/A</v>
        <stp/>
        <stp>BDH|6099523757839364806</stp>
        <tr r="N38" s="2"/>
      </tp>
      <tp t="s">
        <v>#N/A N/A</v>
        <stp/>
        <stp>BDH|1031173961465870485</stp>
        <tr r="AB33" s="2"/>
      </tp>
      <tp t="s">
        <v>#N/A N/A</v>
        <stp/>
        <stp>BDH|7038702711543230546</stp>
        <tr r="C56" s="2"/>
      </tp>
      <tp t="s">
        <v>#N/A N/A</v>
        <stp/>
        <stp>BDH|7293999690128531897</stp>
        <tr r="J31" s="2"/>
      </tp>
      <tp t="s">
        <v>#N/A N/A</v>
        <stp/>
        <stp>BDH|1689519163195010035</stp>
        <tr r="N65" s="2"/>
      </tp>
      <tp t="s">
        <v>#N/A N/A</v>
        <stp/>
        <stp>BDH|7495192069956569160</stp>
        <tr r="Y45" s="2"/>
      </tp>
      <tp t="s">
        <v>#N/A N/A</v>
        <stp/>
        <stp>BDH|5687721554291327140</stp>
        <tr r="S33" s="2"/>
      </tp>
      <tp t="s">
        <v>#N/A N/A</v>
        <stp/>
        <stp>BDH|8620813000731390635</stp>
        <tr r="Y36" s="2"/>
      </tp>
      <tp t="s">
        <v>#N/A N/A</v>
        <stp/>
        <stp>BDH|3785491731695126692</stp>
        <tr r="T63" s="2"/>
      </tp>
      <tp t="s">
        <v>#N/A N/A</v>
        <stp/>
        <stp>BDH|5028971492641779365</stp>
        <tr r="G40" s="2"/>
      </tp>
      <tp t="s">
        <v>#N/A N/A</v>
        <stp/>
        <stp>BDH|9770132270240752879</stp>
        <tr r="R35" s="2"/>
      </tp>
      <tp t="s">
        <v>#N/A N/A</v>
        <stp/>
        <stp>BDH|7962387468873964645</stp>
        <tr r="Z40" s="2"/>
      </tp>
      <tp t="s">
        <v>#N/A N/A</v>
        <stp/>
        <stp>BDH|7166426259121932064</stp>
        <tr r="H8" s="2"/>
      </tp>
      <tp t="s">
        <v>#N/A N/A</v>
        <stp/>
        <stp>BDH|9841971976443841343</stp>
        <tr r="Y69" s="2"/>
      </tp>
      <tp t="s">
        <v>#N/A N/A</v>
        <stp/>
        <stp>BDH|2268474559393207042</stp>
        <tr r="M29" s="2"/>
      </tp>
      <tp t="s">
        <v>#N/A N/A</v>
        <stp/>
        <stp>BDH|3873631871697304537</stp>
        <tr r="T50" s="2"/>
      </tp>
      <tp t="s">
        <v>#N/A N/A</v>
        <stp/>
        <stp>BDH|7992278194568441446</stp>
        <tr r="H33" s="2"/>
      </tp>
      <tp t="s">
        <v>#N/A N/A</v>
        <stp/>
        <stp>BDH|5078625361191093493</stp>
        <tr r="S37" s="2"/>
      </tp>
      <tp t="s">
        <v>#N/A N/A</v>
        <stp/>
        <stp>BDH|5749245675575539580</stp>
        <tr r="AD54" s="2"/>
      </tp>
      <tp t="s">
        <v>#N/A N/A</v>
        <stp/>
        <stp>BDH|2886172990268633221</stp>
        <tr r="Y55" s="2"/>
      </tp>
      <tp t="s">
        <v>#N/A N/A</v>
        <stp/>
        <stp>BDH|1435778218430854787</stp>
        <tr r="U13" s="2"/>
      </tp>
      <tp t="s">
        <v>#N/A N/A</v>
        <stp/>
        <stp>BDH|7735624217876912602</stp>
        <tr r="J39" s="2"/>
      </tp>
      <tp t="s">
        <v>#N/A N/A</v>
        <stp/>
        <stp>BDH|5036950890494974142</stp>
        <tr r="W67" s="2"/>
      </tp>
      <tp t="s">
        <v>#N/A N/A</v>
        <stp/>
        <stp>BDH|2397201305998653882</stp>
        <tr r="I53" s="2"/>
      </tp>
      <tp t="s">
        <v>#N/A N/A</v>
        <stp/>
        <stp>BDH|5049101042694998428</stp>
        <tr r="AA21" s="2"/>
      </tp>
      <tp t="s">
        <v>#N/A N/A</v>
        <stp/>
        <stp>BDH|6737479569384623014</stp>
        <tr r="E32" s="2"/>
      </tp>
      <tp t="s">
        <v>#N/A N/A</v>
        <stp/>
        <stp>BDH|8953740212877707963</stp>
        <tr r="P33" s="2"/>
      </tp>
      <tp t="s">
        <v>#N/A N/A</v>
        <stp/>
        <stp>BDH|4723580427944013774</stp>
        <tr r="AD69" s="2"/>
      </tp>
      <tp t="s">
        <v>#N/A N/A</v>
        <stp/>
        <stp>BDH|6323858458342289900</stp>
        <tr r="O24" s="2"/>
      </tp>
      <tp t="s">
        <v>#N/A N/A</v>
        <stp/>
        <stp>BDH|4798205628793306708</stp>
        <tr r="G56" s="2"/>
      </tp>
      <tp t="s">
        <v>#N/A N/A</v>
        <stp/>
        <stp>BDH|2535141180662990940</stp>
        <tr r="I28" s="2"/>
      </tp>
      <tp t="s">
        <v>#N/A N/A</v>
        <stp/>
        <stp>BDH|5001372938486602346</stp>
        <tr r="E11" s="2"/>
      </tp>
      <tp t="s">
        <v>#N/A N/A</v>
        <stp/>
        <stp>BDH|1609275077643938723</stp>
        <tr r="M68" s="2"/>
      </tp>
      <tp t="s">
        <v>#N/A N/A</v>
        <stp/>
        <stp>BDH|2154512705222997511</stp>
        <tr r="W16" s="2"/>
      </tp>
      <tp t="s">
        <v>#N/A N/A</v>
        <stp/>
        <stp>BDH|4477182944575488417</stp>
        <tr r="J29" s="2"/>
      </tp>
      <tp t="s">
        <v>#N/A N/A</v>
        <stp/>
        <stp>BDH|7432024635464074016</stp>
        <tr r="O51" s="2"/>
      </tp>
      <tp t="s">
        <v>#N/A N/A</v>
        <stp/>
        <stp>BDH|6308525093128440242</stp>
        <tr r="N30" s="2"/>
      </tp>
      <tp t="s">
        <v>#N/A N/A</v>
        <stp/>
        <stp>BDH|4767627727622809281</stp>
        <tr r="I14" s="2"/>
      </tp>
      <tp t="s">
        <v>#N/A N/A</v>
        <stp/>
        <stp>BDH|7327405714160792225</stp>
        <tr r="S28" s="2"/>
      </tp>
      <tp t="s">
        <v>#N/A N/A</v>
        <stp/>
        <stp>BDH|3729463897169089756</stp>
        <tr r="O9" s="2"/>
      </tp>
      <tp t="s">
        <v>#N/A N/A</v>
        <stp/>
        <stp>BDH|8087400115254627939</stp>
        <tr r="S7" s="2"/>
      </tp>
      <tp t="s">
        <v>#N/A N/A</v>
        <stp/>
        <stp>BDH|4491569012181869187</stp>
        <tr r="AC48" s="2"/>
      </tp>
      <tp t="s">
        <v>#N/A N/A</v>
        <stp/>
        <stp>BDH|6945655859067627222</stp>
        <tr r="Z17" s="2"/>
      </tp>
      <tp t="s">
        <v>#N/A N/A</v>
        <stp/>
        <stp>BDH|4188149780338528510</stp>
        <tr r="AA30" s="2"/>
      </tp>
      <tp t="s">
        <v>#N/A N/A</v>
        <stp/>
        <stp>BDH|6230565723846796715</stp>
        <tr r="E38" s="2"/>
      </tp>
      <tp t="s">
        <v>#N/A N/A</v>
        <stp/>
        <stp>BDH|7069929930589692455</stp>
        <tr r="Y38" s="2"/>
      </tp>
      <tp t="s">
        <v>#N/A N/A</v>
        <stp/>
        <stp>BDH|9801462079539793311</stp>
        <tr r="S41" s="2"/>
      </tp>
      <tp t="s">
        <v>#N/A N/A</v>
        <stp/>
        <stp>BDH|8067753875978230047</stp>
        <tr r="N49" s="2"/>
      </tp>
      <tp t="s">
        <v>#N/A N/A</v>
        <stp/>
        <stp>BDH|2451146675621496577</stp>
        <tr r="E41" s="2"/>
      </tp>
      <tp t="s">
        <v>#N/A N/A</v>
        <stp/>
        <stp>BDH|8574911402674288522</stp>
        <tr r="C39" s="2"/>
      </tp>
      <tp t="s">
        <v>#N/A N/A</v>
        <stp/>
        <stp>BDH|7650537300856627457</stp>
        <tr r="AC62" s="2"/>
      </tp>
      <tp t="s">
        <v>#N/A N/A</v>
        <stp/>
        <stp>BDH|1022442342330885199</stp>
        <tr r="R16" s="2"/>
      </tp>
      <tp t="s">
        <v>#N/A N/A</v>
        <stp/>
        <stp>BDH|2689908551646660853</stp>
        <tr r="D32" s="2"/>
      </tp>
      <tp t="s">
        <v>#N/A N/A</v>
        <stp/>
        <stp>BDH|8767418504385736916</stp>
        <tr r="T65" s="2"/>
      </tp>
      <tp t="s">
        <v>#N/A N/A</v>
        <stp/>
        <stp>BDH|1149562399364854931</stp>
        <tr r="AB45" s="2"/>
      </tp>
      <tp t="s">
        <v>#N/A N/A</v>
        <stp/>
        <stp>BDH|4249238116766063128</stp>
        <tr r="M30" s="2"/>
      </tp>
      <tp t="s">
        <v>#N/A N/A</v>
        <stp/>
        <stp>BDH|6749421905437176540</stp>
        <tr r="S56" s="2"/>
      </tp>
      <tp t="s">
        <v>#N/A N/A</v>
        <stp/>
        <stp>BDH|2325502456712064009</stp>
        <tr r="U27" s="2"/>
      </tp>
      <tp t="s">
        <v>#N/A N/A</v>
        <stp/>
        <stp>BDH|3896516628071669524</stp>
        <tr r="P18" s="2"/>
      </tp>
      <tp t="s">
        <v>#N/A N/A</v>
        <stp/>
        <stp>BDH|52539593911155004</stp>
        <tr r="AA17" s="2"/>
      </tp>
      <tp t="s">
        <v>#N/A N/A</v>
        <stp/>
        <stp>BDH|4122523512237276691</stp>
        <tr r="G19" s="2"/>
      </tp>
      <tp t="s">
        <v>#N/A N/A</v>
        <stp/>
        <stp>BDH|3413486245852536065</stp>
        <tr r="Y62" s="2"/>
      </tp>
      <tp t="s">
        <v>#N/A N/A</v>
        <stp/>
        <stp>BDH|3709621158363372248</stp>
        <tr r="AD19" s="2"/>
      </tp>
      <tp t="s">
        <v>#N/A N/A</v>
        <stp/>
        <stp>BDH|5056633959231432654</stp>
        <tr r="D62" s="2"/>
      </tp>
      <tp t="s">
        <v>#N/A N/A</v>
        <stp/>
        <stp>BDH|1743697573279303857</stp>
        <tr r="J61" s="2"/>
      </tp>
      <tp t="s">
        <v>#N/A N/A</v>
        <stp/>
        <stp>BDH|7717043399249191602</stp>
        <tr r="O39" s="2"/>
      </tp>
      <tp t="s">
        <v>#N/A N/A</v>
        <stp/>
        <stp>BDH|6408478605646807551</stp>
        <tr r="Y8" s="2"/>
      </tp>
      <tp t="s">
        <v>#N/A N/A</v>
        <stp/>
        <stp>BDH|2425779238793453447</stp>
        <tr r="Y54" s="2"/>
      </tp>
      <tp t="s">
        <v>#N/A N/A</v>
        <stp/>
        <stp>BDH|4854634424428102966</stp>
        <tr r="J60" s="2"/>
      </tp>
      <tp t="s">
        <v>#N/A N/A</v>
        <stp/>
        <stp>BDH|1060487551313837296</stp>
        <tr r="AD28" s="2"/>
      </tp>
      <tp t="s">
        <v>#N/A N/A</v>
        <stp/>
        <stp>BDH|5957345989739920653</stp>
        <tr r="F66" s="2"/>
      </tp>
      <tp t="s">
        <v>#N/A N/A</v>
        <stp/>
        <stp>BDH|3500000907612295096</stp>
        <tr r="O13" s="2"/>
      </tp>
      <tp t="s">
        <v>#N/A N/A</v>
        <stp/>
        <stp>BDH|2498522030714753187</stp>
        <tr r="H40" s="2"/>
      </tp>
      <tp t="s">
        <v>#N/A N/A</v>
        <stp/>
        <stp>BDH|6823243871183408175</stp>
        <tr r="D60" s="2"/>
      </tp>
      <tp t="s">
        <v>#N/A N/A</v>
        <stp/>
        <stp>BDH|7047391920530512725</stp>
        <tr r="Q19" s="2"/>
      </tp>
      <tp t="s">
        <v>#N/A N/A</v>
        <stp/>
        <stp>BDH|4140399529911916573</stp>
        <tr r="X50" s="2"/>
      </tp>
      <tp t="s">
        <v>#N/A N/A</v>
        <stp/>
        <stp>BDH|6134303070162440194</stp>
        <tr r="F39" s="2"/>
      </tp>
      <tp t="s">
        <v>#N/A N/A</v>
        <stp/>
        <stp>BDH|2666347209372151264</stp>
        <tr r="C26" s="2"/>
      </tp>
      <tp t="s">
        <v>#N/A N/A</v>
        <stp/>
        <stp>BDH|7428840990890425780</stp>
        <tr r="T68" s="2"/>
      </tp>
      <tp t="s">
        <v>#N/A N/A</v>
        <stp/>
        <stp>BDH|9574441168832072852</stp>
        <tr r="D29" s="2"/>
      </tp>
      <tp t="s">
        <v>#N/A N/A</v>
        <stp/>
        <stp>BDH|8180881803817164665</stp>
        <tr r="J38" s="2"/>
      </tp>
      <tp t="s">
        <v>#N/A N/A</v>
        <stp/>
        <stp>BDH|3019496697779245612</stp>
        <tr r="R18" s="2"/>
      </tp>
      <tp t="s">
        <v>#N/A N/A</v>
        <stp/>
        <stp>BDH|7851069921942443667</stp>
        <tr r="V11" s="2"/>
      </tp>
      <tp t="s">
        <v>#N/A N/A</v>
        <stp/>
        <stp>BDH|6413288757196701612</stp>
        <tr r="J37" s="2"/>
      </tp>
      <tp t="s">
        <v>#N/A N/A</v>
        <stp/>
        <stp>BDH|2660907080726550417</stp>
        <tr r="V60" s="2"/>
      </tp>
      <tp t="s">
        <v>#N/A N/A</v>
        <stp/>
        <stp>BDH|1176444484014155820</stp>
        <tr r="D26" s="2"/>
      </tp>
      <tp t="s">
        <v>#N/A N/A</v>
        <stp/>
        <stp>BDH|8770461983842168710</stp>
        <tr r="N12" s="2"/>
      </tp>
      <tp t="s">
        <v>#N/A N/A</v>
        <stp/>
        <stp>BDH|7760724774325528369</stp>
        <tr r="O55" s="2"/>
      </tp>
      <tp t="s">
        <v>#N/A N/A</v>
        <stp/>
        <stp>BDH|8774900894138839185</stp>
        <tr r="Z12" s="2"/>
      </tp>
      <tp t="s">
        <v>#N/A N/A</v>
        <stp/>
        <stp>BDH|7834933795642548482</stp>
        <tr r="V20" s="2"/>
      </tp>
      <tp t="s">
        <v>#N/A N/A</v>
        <stp/>
        <stp>BDH|6681973892821348634</stp>
        <tr r="C69" s="2"/>
      </tp>
      <tp t="s">
        <v>#N/A N/A</v>
        <stp/>
        <stp>BDH|9754676856478113345</stp>
        <tr r="M9" s="2"/>
      </tp>
      <tp t="s">
        <v>#N/A N/A</v>
        <stp/>
        <stp>BDH|9716863401966288611</stp>
        <tr r="AB25" s="2"/>
      </tp>
      <tp t="s">
        <v>#N/A N/A</v>
        <stp/>
        <stp>BDH|1303083303667806739</stp>
        <tr r="L13" s="2"/>
      </tp>
      <tp t="s">
        <v>#N/A N/A</v>
        <stp/>
        <stp>BDH|5263819113985584862</stp>
        <tr r="M56" s="2"/>
      </tp>
      <tp t="s">
        <v>#N/A N/A</v>
        <stp/>
        <stp>BDH|1670005625747421548</stp>
        <tr r="U63" s="2"/>
      </tp>
      <tp t="s">
        <v>#N/A N/A</v>
        <stp/>
        <stp>BDH|9334918916729256957</stp>
        <tr r="K62" s="2"/>
      </tp>
      <tp t="s">
        <v>#N/A N/A</v>
        <stp/>
        <stp>BDH|7448424986953995995</stp>
        <tr r="W71" s="2"/>
      </tp>
      <tp t="s">
        <v>#N/A N/A</v>
        <stp/>
        <stp>BDH|7958674521676664494</stp>
        <tr r="AA60" s="2"/>
      </tp>
      <tp t="s">
        <v>#N/A N/A</v>
        <stp/>
        <stp>BDH|4226304271709226817</stp>
        <tr r="L23" s="2"/>
      </tp>
      <tp t="s">
        <v>#N/A N/A</v>
        <stp/>
        <stp>BDH|9129441297010363512</stp>
        <tr r="E48" s="2"/>
      </tp>
      <tp t="s">
        <v>#N/A N/A</v>
        <stp/>
        <stp>BDH|4479786400780988258</stp>
        <tr r="U24" s="2"/>
      </tp>
      <tp t="s">
        <v>#N/A N/A</v>
        <stp/>
        <stp>BDH|5453006547532798247</stp>
        <tr r="Q20" s="2"/>
      </tp>
      <tp t="s">
        <v>#N/A N/A</v>
        <stp/>
        <stp>BDH|8970798240493475940</stp>
        <tr r="AB32" s="2"/>
      </tp>
      <tp t="s">
        <v>#N/A N/A</v>
        <stp/>
        <stp>BDH|4296673482162318945</stp>
        <tr r="Q65" s="2"/>
      </tp>
      <tp t="s">
        <v>#N/A N/A</v>
        <stp/>
        <stp>BDH|9296972784180786972</stp>
        <tr r="I22" s="2"/>
      </tp>
      <tp t="s">
        <v>#N/A N/A</v>
        <stp/>
        <stp>BDH|3405265557165669028</stp>
        <tr r="E8" s="2"/>
      </tp>
      <tp t="s">
        <v>#N/A N/A</v>
        <stp/>
        <stp>BDH|5247279440622789040</stp>
        <tr r="AC60" s="2"/>
      </tp>
      <tp t="s">
        <v>#N/A N/A</v>
        <stp/>
        <stp>BDH|1041601636794310136</stp>
        <tr r="V29" s="2"/>
      </tp>
      <tp t="s">
        <v>#N/A N/A</v>
        <stp/>
        <stp>BDH|4839580400631726113</stp>
        <tr r="Y13" s="2"/>
      </tp>
      <tp t="s">
        <v>#N/A N/A</v>
        <stp/>
        <stp>BDH|9220716892575399343</stp>
        <tr r="G62" s="2"/>
      </tp>
      <tp t="s">
        <v>#N/A N/A</v>
        <stp/>
        <stp>BDH|7882269746350927056</stp>
        <tr r="AB55" s="2"/>
      </tp>
      <tp t="s">
        <v>#N/A N/A</v>
        <stp/>
        <stp>BDH|4054529808334791490</stp>
        <tr r="S12" s="2"/>
      </tp>
      <tp t="s">
        <v>#N/A N/A</v>
        <stp/>
        <stp>BDH|6167709930560709320</stp>
        <tr r="V12" s="2"/>
      </tp>
      <tp t="s">
        <v>#N/A N/A</v>
        <stp/>
        <stp>BDH|4590248969733818257</stp>
        <tr r="L15" s="2"/>
      </tp>
      <tp t="s">
        <v>#N/A N/A</v>
        <stp/>
        <stp>BDH|6360322163484210654</stp>
        <tr r="O35" s="2"/>
      </tp>
      <tp t="s">
        <v>#N/A N/A</v>
        <stp/>
        <stp>BDH|3659128109249598925</stp>
        <tr r="H68" s="2"/>
      </tp>
      <tp t="s">
        <v>#N/A N/A</v>
        <stp/>
        <stp>BDH|2228815649359584559</stp>
        <tr r="R38" s="2"/>
      </tp>
      <tp t="s">
        <v>#N/A N/A</v>
        <stp/>
        <stp>BDH|9471986265634727041</stp>
        <tr r="Z55" s="2"/>
      </tp>
      <tp t="s">
        <v>#N/A N/A</v>
        <stp/>
        <stp>BDH|9866307194682226342</stp>
        <tr r="D66" s="2"/>
      </tp>
      <tp t="s">
        <v>#N/A N/A</v>
        <stp/>
        <stp>BDH|4459494064236799240</stp>
        <tr r="S29" s="2"/>
      </tp>
      <tp t="s">
        <v>#N/A N/A</v>
        <stp/>
        <stp>BDH|9627442882462808528</stp>
        <tr r="S62" s="2"/>
      </tp>
      <tp t="s">
        <v>#N/A N/A</v>
        <stp/>
        <stp>BDH|3209012248311888488</stp>
        <tr r="AD30" s="2"/>
      </tp>
      <tp t="s">
        <v>#N/A N/A</v>
        <stp/>
        <stp>BDH|9651836789032276955</stp>
        <tr r="L37" s="2"/>
      </tp>
      <tp t="s">
        <v>#N/A N/A</v>
        <stp/>
        <stp>BDH|4044487320800010038</stp>
        <tr r="K40" s="2"/>
      </tp>
      <tp t="s">
        <v>#N/A N/A</v>
        <stp/>
        <stp>BDH|7393682780378551354</stp>
        <tr r="AA65" s="2"/>
      </tp>
      <tp t="s">
        <v>#N/A N/A</v>
        <stp/>
        <stp>BDH|3287188304140192040</stp>
        <tr r="W36" s="2"/>
      </tp>
      <tp t="s">
        <v>#N/A N/A</v>
        <stp/>
        <stp>BDH|1176445606650982717</stp>
        <tr r="AD68" s="2"/>
      </tp>
      <tp t="s">
        <v>#N/A N/A</v>
        <stp/>
        <stp>BDH|5463403564957374280</stp>
        <tr r="X10" s="2"/>
      </tp>
      <tp t="s">
        <v>#N/A N/A</v>
        <stp/>
        <stp>BDH|2367049610235943456</stp>
        <tr r="O65" s="2"/>
      </tp>
      <tp t="s">
        <v>#N/A N/A</v>
        <stp/>
        <stp>BDH|7583245867173455297</stp>
        <tr r="K17" s="2"/>
      </tp>
      <tp t="s">
        <v>#N/A N/A</v>
        <stp/>
        <stp>BDH|8534643025738941652</stp>
        <tr r="M45" s="2"/>
      </tp>
      <tp t="s">
        <v>#N/A N/A</v>
        <stp/>
        <stp>BDH|9133711152229859025</stp>
        <tr r="P13" s="2"/>
      </tp>
      <tp t="s">
        <v>#N/A N/A</v>
        <stp/>
        <stp>BDH|7936050128014588394</stp>
        <tr r="E40" s="2"/>
      </tp>
      <tp t="s">
        <v>#N/A N/A</v>
        <stp/>
        <stp>BDH|2487986239682508886</stp>
        <tr r="K39" s="2"/>
      </tp>
      <tp t="s">
        <v>#N/A N/A</v>
        <stp/>
        <stp>BDH|2765505290004762893</stp>
        <tr r="Y26" s="2"/>
      </tp>
      <tp t="s">
        <v>#N/A N/A</v>
        <stp/>
        <stp>BDH|2171413715262598797</stp>
        <tr r="U15" s="2"/>
      </tp>
      <tp t="s">
        <v>#N/A N/A</v>
        <stp/>
        <stp>BDH|3736777067603688385</stp>
        <tr r="F64" s="2"/>
      </tp>
      <tp t="s">
        <v>#N/A N/A</v>
        <stp/>
        <stp>BDH|2477528381135985807</stp>
        <tr r="Q44" s="2"/>
      </tp>
      <tp t="s">
        <v>#N/A N/A</v>
        <stp/>
        <stp>BDH|9618497088455819210</stp>
        <tr r="W48" s="2"/>
      </tp>
      <tp t="s">
        <v>#N/A N/A</v>
        <stp/>
        <stp>BDH|6904132080549404402</stp>
        <tr r="M21" s="2"/>
      </tp>
      <tp t="s">
        <v>#N/A N/A</v>
        <stp/>
        <stp>BDH|2230068878682016528</stp>
        <tr r="U44" s="2"/>
      </tp>
      <tp t="s">
        <v>#N/A N/A</v>
        <stp/>
        <stp>BDH|4793577109631306241</stp>
        <tr r="AD15" s="2"/>
      </tp>
      <tp t="s">
        <v>#N/A N/A</v>
        <stp/>
        <stp>BDH|5685286833192735445</stp>
        <tr r="R68" s="2"/>
      </tp>
      <tp t="s">
        <v>#N/A N/A</v>
        <stp/>
        <stp>BDH|4253673759823511674</stp>
        <tr r="C51" s="2"/>
      </tp>
      <tp t="s">
        <v>#N/A N/A</v>
        <stp/>
        <stp>BDH|9369008578115024957</stp>
        <tr r="T15" s="2"/>
      </tp>
      <tp t="s">
        <v>#N/A N/A</v>
        <stp/>
        <stp>BDH|6283342575409506982</stp>
        <tr r="D11" s="2"/>
      </tp>
      <tp t="s">
        <v>#N/A N/A</v>
        <stp/>
        <stp>BDH|6234239425557844338</stp>
        <tr r="T17" s="2"/>
      </tp>
      <tp t="s">
        <v>#N/A N/A</v>
        <stp/>
        <stp>BDH|8740478572030533984</stp>
        <tr r="X7" s="2"/>
      </tp>
      <tp t="s">
        <v>#N/A N/A</v>
        <stp/>
        <stp>BDH|4449161452336578495</stp>
        <tr r="AD25" s="2"/>
      </tp>
      <tp t="s">
        <v>#N/A N/A</v>
        <stp/>
        <stp>BDH|7637695298968250289</stp>
        <tr r="P36" s="2"/>
      </tp>
      <tp t="s">
        <v>#N/A N/A</v>
        <stp/>
        <stp>BDH|3329369406930200233</stp>
        <tr r="Y15" s="2"/>
      </tp>
      <tp t="s">
        <v>#N/A N/A</v>
        <stp/>
        <stp>BDH|7739797686462294880</stp>
        <tr r="Z30" s="2"/>
      </tp>
      <tp t="s">
        <v>#N/A N/A</v>
        <stp/>
        <stp>BDH|8996675657168848137</stp>
        <tr r="U64" s="2"/>
      </tp>
      <tp t="s">
        <v>#N/A N/A</v>
        <stp/>
        <stp>BDH|6744853917544136970</stp>
        <tr r="AD21" s="2"/>
      </tp>
      <tp t="s">
        <v>#N/A N/A</v>
        <stp/>
        <stp>BDH|7151125068982996012</stp>
        <tr r="W32" s="2"/>
      </tp>
      <tp t="s">
        <v>#N/A N/A</v>
        <stp/>
        <stp>BDH|1508269312742486261</stp>
        <tr r="O48" s="2"/>
      </tp>
      <tp t="s">
        <v>#N/A N/A</v>
        <stp/>
        <stp>BDH|6477304700211279650</stp>
        <tr r="O68" s="2"/>
      </tp>
      <tp t="s">
        <v>#N/A N/A</v>
        <stp/>
        <stp>BDH|1653596940831572395</stp>
        <tr r="AD40" s="2"/>
      </tp>
      <tp t="s">
        <v>#N/A N/A</v>
        <stp/>
        <stp>BDH|7358037057682285267</stp>
        <tr r="O15" s="2"/>
      </tp>
      <tp t="s">
        <v>#N/A N/A</v>
        <stp/>
        <stp>BDH|7613631268403414690</stp>
        <tr r="X30" s="2"/>
      </tp>
      <tp t="s">
        <v>#N/A N/A</v>
        <stp/>
        <stp>BDH|8156950527801499065</stp>
        <tr r="V65" s="2"/>
      </tp>
      <tp t="s">
        <v>#N/A N/A</v>
        <stp/>
        <stp>BDH|5893887367499092069</stp>
        <tr r="Z9" s="2"/>
      </tp>
      <tp t="s">
        <v>#N/A N/A</v>
        <stp/>
        <stp>BDH|7441180128821463714</stp>
        <tr r="P23" s="2"/>
      </tp>
      <tp t="s">
        <v>#N/A N/A</v>
        <stp/>
        <stp>BDH|8906842383662079887</stp>
        <tr r="AB22" s="2"/>
      </tp>
      <tp t="s">
        <v>#N/A N/A</v>
        <stp/>
        <stp>BDH|8270317505921631862</stp>
        <tr r="M18" s="2"/>
      </tp>
      <tp t="s">
        <v>#N/A N/A</v>
        <stp/>
        <stp>BDH|5326666466284594302</stp>
        <tr r="K65" s="2"/>
      </tp>
      <tp t="s">
        <v>#N/A N/A</v>
        <stp/>
        <stp>BDH|1987951397926831540</stp>
        <tr r="AD34" s="2"/>
        <tr r="AD46" s="2"/>
      </tp>
      <tp t="s">
        <v>#N/A N/A</v>
        <stp/>
        <stp>BDH|5348065137613649738</stp>
        <tr r="K12" s="2"/>
      </tp>
      <tp t="s">
        <v>#N/A N/A</v>
        <stp/>
        <stp>BDH|1676538801294055234</stp>
        <tr r="I37" s="2"/>
      </tp>
      <tp t="s">
        <v>#N/A N/A</v>
        <stp/>
        <stp>BDH|1679774913172071765</stp>
        <tr r="C55" s="2"/>
      </tp>
      <tp t="s">
        <v>#N/A N/A</v>
        <stp/>
        <stp>BDH|5352624652457217354</stp>
        <tr r="V33" s="2"/>
      </tp>
      <tp t="s">
        <v>#N/A N/A</v>
        <stp/>
        <stp>BDH|5253388739213781404</stp>
        <tr r="J54" s="2"/>
      </tp>
      <tp t="s">
        <v>#N/A N/A</v>
        <stp/>
        <stp>BDH|2495409475632061158</stp>
        <tr r="W50" s="2"/>
      </tp>
      <tp t="s">
        <v>#N/A N/A</v>
        <stp/>
        <stp>BDH|1226149652601545656</stp>
        <tr r="O32" s="2"/>
      </tp>
      <tp t="s">
        <v>#N/A N/A</v>
        <stp/>
        <stp>BDH|1275042821175531479</stp>
        <tr r="AD31" s="2"/>
      </tp>
      <tp t="s">
        <v>#N/A N/A</v>
        <stp/>
        <stp>BDH|53442597601554300</stp>
        <tr r="E7" s="2"/>
      </tp>
      <tp t="s">
        <v>#N/A N/A</v>
        <stp/>
        <stp>BDH|5963904050623432972</stp>
        <tr r="AB51" s="2"/>
      </tp>
      <tp t="s">
        <v>#N/A N/A</v>
        <stp/>
        <stp>BDH|9141931232689285984</stp>
        <tr r="K22" s="2"/>
      </tp>
      <tp t="s">
        <v>#N/A N/A</v>
        <stp/>
        <stp>BDH|7251566553216815240</stp>
        <tr r="V45" s="2"/>
      </tp>
      <tp t="s">
        <v>#N/A N/A</v>
        <stp/>
        <stp>BDH|8930036081233622065</stp>
        <tr r="P63" s="2"/>
      </tp>
      <tp t="s">
        <v>#N/A N/A</v>
        <stp/>
        <stp>BDH|2880394627866565685</stp>
        <tr r="G42" s="2"/>
      </tp>
      <tp t="s">
        <v>#N/A N/A</v>
        <stp/>
        <stp>BDH|8257932409017085539</stp>
        <tr r="E12" s="2"/>
      </tp>
      <tp t="s">
        <v>#N/A N/A</v>
        <stp/>
        <stp>BDH|1912872001688180256</stp>
        <tr r="H36" s="2"/>
      </tp>
      <tp t="s">
        <v>#N/A N/A</v>
        <stp/>
        <stp>BDH|7419127269135309645</stp>
        <tr r="P10" s="2"/>
      </tp>
      <tp t="s">
        <v>#N/A N/A</v>
        <stp/>
        <stp>BDH|7177783020984813595</stp>
        <tr r="H6" s="2"/>
      </tp>
      <tp t="s">
        <v>#N/A N/A</v>
        <stp/>
        <stp>BDH|3784423752692882364</stp>
        <tr r="O44" s="2"/>
      </tp>
      <tp t="s">
        <v>#N/A N/A</v>
        <stp/>
        <stp>BDH|9151363135258993224</stp>
        <tr r="Z19" s="2"/>
      </tp>
      <tp t="s">
        <v>#N/A N/A</v>
        <stp/>
        <stp>BDH|5121274180374160892</stp>
        <tr r="AC29" s="2"/>
      </tp>
      <tp t="s">
        <v>#N/A N/A</v>
        <stp/>
        <stp>BDH|4707783661480552659</stp>
        <tr r="D37" s="2"/>
      </tp>
      <tp t="s">
        <v>#N/A N/A</v>
        <stp/>
        <stp>BDH|4068714077943997403</stp>
        <tr r="G39" s="2"/>
      </tp>
      <tp t="s">
        <v>#N/A N/A</v>
        <stp/>
        <stp>BDH|9554161456466395895</stp>
        <tr r="Q23" s="2"/>
      </tp>
      <tp t="s">
        <v>#N/A N/A</v>
        <stp/>
        <stp>BDH|1997240570447194004</stp>
        <tr r="Z65" s="2"/>
      </tp>
      <tp t="s">
        <v>#N/A N/A</v>
        <stp/>
        <stp>BDH|9152050791432043196</stp>
        <tr r="AB6" s="2"/>
      </tp>
      <tp t="s">
        <v>#N/A N/A</v>
        <stp/>
        <stp>BDH|8502979541251847779</stp>
        <tr r="M14" s="2"/>
      </tp>
      <tp t="s">
        <v>#N/A N/A</v>
        <stp/>
        <stp>BDH|1762316600748340995</stp>
        <tr r="AB42" s="2"/>
      </tp>
      <tp t="s">
        <v>#N/A N/A</v>
        <stp/>
        <stp>BDH|5980024002473702523</stp>
        <tr r="AD10" s="2"/>
      </tp>
      <tp t="s">
        <v>#N/A N/A</v>
        <stp/>
        <stp>BDH|3871914949304890943</stp>
        <tr r="Y56" s="2"/>
      </tp>
      <tp t="s">
        <v>#N/A N/A</v>
        <stp/>
        <stp>BDH|7884421614056019724</stp>
        <tr r="W38" s="2"/>
      </tp>
      <tp t="s">
        <v>#N/A N/A</v>
        <stp/>
        <stp>BDH|6780190523803005505</stp>
        <tr r="N71" s="2"/>
      </tp>
      <tp t="s">
        <v>#N/A N/A</v>
        <stp/>
        <stp>BDH|7108468701177008748</stp>
        <tr r="G7" s="2"/>
      </tp>
      <tp t="s">
        <v>#N/A N/A</v>
        <stp/>
        <stp>BDH|7632504385400729964</stp>
        <tr r="K10" s="2"/>
      </tp>
      <tp t="s">
        <v>#N/A N/A</v>
        <stp/>
        <stp>BDH|4196557866754630060</stp>
        <tr r="AB38" s="2"/>
      </tp>
      <tp t="s">
        <v>#N/A N/A</v>
        <stp/>
        <stp>BDH|1639678546999047940</stp>
        <tr r="X29" s="2"/>
      </tp>
      <tp t="s">
        <v>#N/A N/A</v>
        <stp/>
        <stp>BDH|9437881801996649482</stp>
        <tr r="H66" s="2"/>
      </tp>
      <tp t="s">
        <v>#N/A N/A</v>
        <stp/>
        <stp>BDH|7642511474677047137</stp>
        <tr r="J32" s="2"/>
      </tp>
      <tp t="s">
        <v>#N/A N/A</v>
        <stp/>
        <stp>BDH|9197019123399164125</stp>
        <tr r="AB20" s="2"/>
      </tp>
      <tp t="s">
        <v>#N/A N/A</v>
        <stp/>
        <stp>BDH|9005881348043567554</stp>
        <tr r="S66" s="2"/>
      </tp>
      <tp t="s">
        <v>#N/A N/A</v>
        <stp/>
        <stp>BDH|8020737031967463866</stp>
        <tr r="AD63" s="2"/>
      </tp>
      <tp t="s">
        <v>#N/A N/A</v>
        <stp/>
        <stp>BDH|1928699575294077748</stp>
        <tr r="Z71" s="2"/>
      </tp>
      <tp t="s">
        <v>#N/A N/A</v>
        <stp/>
        <stp>BDH|8023143576495466879</stp>
        <tr r="K6" s="2"/>
      </tp>
      <tp t="s">
        <v>#N/A N/A</v>
        <stp/>
        <stp>BDH|4500561744771096762</stp>
        <tr r="AC61" s="2"/>
      </tp>
      <tp t="s">
        <v>#N/A N/A</v>
        <stp/>
        <stp>BDH|1834393624305568618</stp>
        <tr r="J41" s="2"/>
      </tp>
      <tp t="s">
        <v>#N/A N/A</v>
        <stp/>
        <stp>BDH|2289092450842973638</stp>
        <tr r="O38" s="2"/>
      </tp>
      <tp t="s">
        <v>#N/A N/A</v>
        <stp/>
        <stp>BDH|6451139553152305362</stp>
        <tr r="S11" s="2"/>
      </tp>
      <tp t="s">
        <v>#N/A N/A</v>
        <stp/>
        <stp>BDH|8192824743547185071</stp>
        <tr r="AB69" s="2"/>
      </tp>
      <tp t="s">
        <v>#N/A N/A</v>
        <stp/>
        <stp>BDH|1522485770621367086</stp>
        <tr r="J44" s="2"/>
      </tp>
      <tp t="s">
        <v>#N/A N/A</v>
        <stp/>
        <stp>BDH|1947778304952450781</stp>
        <tr r="S55" s="2"/>
      </tp>
      <tp t="s">
        <v>#N/A N/A</v>
        <stp/>
        <stp>BDH|4808369573691987227</stp>
        <tr r="L55" s="2"/>
      </tp>
      <tp t="s">
        <v>#N/A N/A</v>
        <stp/>
        <stp>BDH|7166827857519111030</stp>
        <tr r="Z36" s="2"/>
      </tp>
      <tp t="s">
        <v>#N/A N/A</v>
        <stp/>
        <stp>BDH|5579362955300161017</stp>
        <tr r="M11" s="2"/>
      </tp>
      <tp t="s">
        <v>#N/A N/A</v>
        <stp/>
        <stp>BDH|3279010821893267165</stp>
        <tr r="Q26" s="2"/>
      </tp>
      <tp t="s">
        <v>#N/A N/A</v>
        <stp/>
        <stp>BDH|9291221034672335912</stp>
        <tr r="AD44" s="2"/>
      </tp>
      <tp t="s">
        <v>#N/A N/A</v>
        <stp/>
        <stp>BDH|4280529664480336401</stp>
        <tr r="Z50" s="2"/>
      </tp>
      <tp t="s">
        <v>#N/A N/A</v>
        <stp/>
        <stp>BDH|2063907415770826992</stp>
        <tr r="U33" s="2"/>
      </tp>
      <tp t="s">
        <v>#N/A N/A</v>
        <stp/>
        <stp>BDH|9482344080857781630</stp>
        <tr r="AB44" s="2"/>
      </tp>
      <tp t="s">
        <v>#N/A N/A</v>
        <stp/>
        <stp>BDH|9449763676889686377</stp>
        <tr r="U21" s="2"/>
      </tp>
      <tp t="s">
        <v>#N/A N/A</v>
        <stp/>
        <stp>BDH|7857960188883535669</stp>
        <tr r="W21" s="2"/>
      </tp>
      <tp t="s">
        <v>#N/A N/A</v>
        <stp/>
        <stp>BDH|1023661830894254317</stp>
        <tr r="N66" s="2"/>
      </tp>
      <tp t="s">
        <v>#N/A N/A</v>
        <stp/>
        <stp>BDH|9281524378409492198</stp>
        <tr r="I39" s="2"/>
      </tp>
      <tp t="s">
        <v>#N/A N/A</v>
        <stp/>
        <stp>BDH|7249215700892243446</stp>
        <tr r="M42" s="2"/>
      </tp>
      <tp t="s">
        <v>#N/A N/A</v>
        <stp/>
        <stp>BDH|119308504060123680</stp>
        <tr r="E20" s="2"/>
      </tp>
      <tp t="s">
        <v>#N/A N/A</v>
        <stp/>
        <stp>BDH|824292322004667137</stp>
        <tr r="X20" s="2"/>
      </tp>
      <tp t="s">
        <v>#N/A N/A</v>
        <stp/>
        <stp>BDH|251363214640080776</stp>
        <tr r="Y10" s="2"/>
      </tp>
      <tp t="s">
        <v>#N/A N/A</v>
        <stp/>
        <stp>BDH|670323708084928277</stp>
        <tr r="AB10" s="2"/>
      </tp>
      <tp t="s">
        <v>#N/A N/A</v>
        <stp/>
        <stp>BDH|112236820842818788</stp>
        <tr r="AD62" s="2"/>
      </tp>
      <tp t="s">
        <v>#N/A N/A</v>
        <stp/>
        <stp>BDH|448194583468754552</stp>
        <tr r="AA19" s="2"/>
      </tp>
      <tp t="s">
        <v>#N/A N/A</v>
        <stp/>
        <stp>BDH|637046656277875612</stp>
        <tr r="F70" s="2"/>
      </tp>
      <tp t="s">
        <v>#N/A N/A</v>
        <stp/>
        <stp>BDH|209080179441164277</stp>
        <tr r="L19" s="2"/>
      </tp>
      <tp t="s">
        <v>#N/A N/A</v>
        <stp/>
        <stp>BDH|147498341040847474</stp>
        <tr r="I63" s="2"/>
      </tp>
      <tp t="s">
        <v>#N/A N/A</v>
        <stp/>
        <stp>BDH|163388858316641467</stp>
        <tr r="S14" s="2"/>
      </tp>
      <tp t="s">
        <v>#N/A N/A</v>
        <stp/>
        <stp>BDH|118842040281448937</stp>
        <tr r="Z24" s="2"/>
      </tp>
      <tp t="s">
        <v>#N/A N/A</v>
        <stp/>
        <stp>BDH|822180143311315385</stp>
        <tr r="H49" s="2"/>
      </tp>
      <tp t="s">
        <v>#N/A N/A</v>
        <stp/>
        <stp>BDH|231035569744605573</stp>
        <tr r="AB9" s="2"/>
      </tp>
      <tp t="s">
        <v>#N/A N/A</v>
        <stp/>
        <stp>BDH|232621262326764102</stp>
        <tr r="F31" s="2"/>
      </tp>
      <tp t="s">
        <v>#N/A N/A</v>
        <stp/>
        <stp>BDH|197324103575462120</stp>
        <tr r="S45" s="2"/>
      </tp>
      <tp t="s">
        <v>#N/A N/A</v>
        <stp/>
        <stp>BDH|848391700587069315</stp>
        <tr r="F8" s="2"/>
      </tp>
      <tp t="s">
        <v>#N/A N/A</v>
        <stp/>
        <stp>BDH|586161127990666434</stp>
        <tr r="T27" s="2"/>
      </tp>
      <tp t="s">
        <v>#N/A N/A</v>
        <stp/>
        <stp>BDH|123799041197049251</stp>
        <tr r="AA32" s="2"/>
      </tp>
      <tp t="s">
        <v>#N/A N/A</v>
        <stp/>
        <stp>BDH|293720776252948427</stp>
        <tr r="E62" s="2"/>
      </tp>
      <tp t="s">
        <v>#N/A N/A</v>
        <stp/>
        <stp>BDH|282693867626286079</stp>
        <tr r="Y31" s="2"/>
      </tp>
      <tp t="s">
        <v>#N/A N/A</v>
        <stp/>
        <stp>BDH|307589023789280837</stp>
        <tr r="G53" s="2"/>
      </tp>
      <tp t="s">
        <v>#N/A N/A</v>
        <stp/>
        <stp>BDH|373874285543207587</stp>
        <tr r="L40" s="2"/>
      </tp>
      <tp t="s">
        <v>#N/A N/A</v>
        <stp/>
        <stp>BDH|993076138262605748</stp>
        <tr r="G37" s="2"/>
      </tp>
      <tp t="s">
        <v>#N/A N/A</v>
        <stp/>
        <stp>BDH|603833706868464622</stp>
        <tr r="G71" s="2"/>
      </tp>
      <tp t="s">
        <v>#N/A N/A</v>
        <stp/>
        <stp>BDH|296372968765977618</stp>
        <tr r="J62" s="2"/>
      </tp>
      <tp t="s">
        <v>#N/A N/A</v>
        <stp/>
        <stp>BDH|497575134177018717</stp>
        <tr r="R42" s="2"/>
      </tp>
      <tp t="s">
        <v>#N/A N/A</v>
        <stp/>
        <stp>BDH|116889452684027849</stp>
        <tr r="L68" s="2"/>
      </tp>
      <tp t="s">
        <v>#N/A N/A</v>
        <stp/>
        <stp>BDH|956878720032119942</stp>
        <tr r="P64" s="2"/>
      </tp>
      <tp t="s">
        <v>#N/A N/A</v>
        <stp/>
        <stp>BDH|839710378094547500</stp>
        <tr r="N41" s="2"/>
      </tp>
      <tp t="s">
        <v>#N/A N/A</v>
        <stp/>
        <stp>BDH|232810769117220896</stp>
        <tr r="AB26" s="2"/>
      </tp>
      <tp t="s">
        <v>#N/A N/A</v>
        <stp/>
        <stp>BDH|551654278750827029</stp>
        <tr r="S50" s="2"/>
      </tp>
      <tp t="s">
        <v>#N/A N/A</v>
        <stp/>
        <stp>BDH|946203320615282499</stp>
        <tr r="I33" s="2"/>
      </tp>
      <tp t="s">
        <v>#N/A N/A</v>
        <stp/>
        <stp>BDH|685473141059471876</stp>
        <tr r="C29" s="2"/>
      </tp>
      <tp t="s">
        <v>#N/A N/A</v>
        <stp/>
        <stp>BDH|270519758514733418</stp>
        <tr r="J71" s="2"/>
      </tp>
      <tp t="s">
        <v>#N/A N/A</v>
        <stp/>
        <stp>BDH|700160546237157285</stp>
        <tr r="S34" s="2"/>
        <tr r="S46" s="2"/>
      </tp>
      <tp t="s">
        <v>#N/A N/A</v>
        <stp/>
        <stp>BDH|633988152719079575</stp>
        <tr r="Y68" s="2"/>
      </tp>
      <tp t="s">
        <v>#N/A N/A</v>
        <stp/>
        <stp>BDH|142693832176116305</stp>
        <tr r="O61" s="2"/>
      </tp>
      <tp t="s">
        <v>#N/A N/A</v>
        <stp/>
        <stp>BDH|827334776385639106</stp>
        <tr r="E69" s="2"/>
      </tp>
      <tp t="s">
        <v>#N/A N/A</v>
        <stp/>
        <stp>BDH|352599461387605469</stp>
        <tr r="W54" s="2"/>
      </tp>
      <tp t="s">
        <v>#N/A N/A</v>
        <stp/>
        <stp>BDH|230859613260257924</stp>
        <tr r="S23" s="2"/>
      </tp>
      <tp t="s">
        <v>#N/A N/A</v>
        <stp/>
        <stp>BDH|327538346799368807</stp>
        <tr r="L29" s="2"/>
      </tp>
      <tp t="s">
        <v>#N/A N/A</v>
        <stp/>
        <stp>BDH|340874182609617901</stp>
        <tr r="J36" s="2"/>
      </tp>
      <tp t="s">
        <v>#N/A N/A</v>
        <stp/>
        <stp>BDH|672784326657911202</stp>
        <tr r="R56" s="2"/>
      </tp>
      <tp t="s">
        <v>#N/A N/A</v>
        <stp/>
        <stp>BDH|720633159502973172</stp>
        <tr r="I16" s="2"/>
      </tp>
      <tp t="s">
        <v>#N/A N/A</v>
        <stp/>
        <stp>BDH|218329588180204871</stp>
        <tr r="P31" s="2"/>
      </tp>
      <tp t="s">
        <v>#N/A N/A</v>
        <stp/>
        <stp>BDH|900363863132605428</stp>
        <tr r="V10" s="2"/>
      </tp>
      <tp t="s">
        <v>#N/A N/A</v>
        <stp/>
        <stp>BDH|699713451613951257</stp>
        <tr r="T28" s="2"/>
      </tp>
      <tp t="s">
        <v>#N/A N/A</v>
        <stp/>
        <stp>BDH|155196328578021853</stp>
        <tr r="V67" s="2"/>
      </tp>
      <tp t="s">
        <v>#N/A N/A</v>
        <stp/>
        <stp>BDH|110354529875871692</stp>
        <tr r="Q7" s="2"/>
      </tp>
      <tp t="s">
        <v>#N/A N/A</v>
        <stp/>
        <stp>BDH|446201481068396059</stp>
        <tr r="Q69" s="2"/>
      </tp>
      <tp t="s">
        <v>#N/A N/A</v>
        <stp/>
        <stp>BDH|879924657557337613</stp>
        <tr r="AD49" s="2"/>
      </tp>
      <tp t="s">
        <v>#N/A N/A</v>
        <stp/>
        <stp>BDH|241758760268770493</stp>
        <tr r="V38" s="2"/>
      </tp>
      <tp t="s">
        <v>#N/A N/A</v>
        <stp/>
        <stp>BDH|991334800967923994</stp>
        <tr r="D18" s="2"/>
      </tp>
      <tp t="s">
        <v>#N/A N/A</v>
        <stp/>
        <stp>BDH|125541512118404187</stp>
        <tr r="O37" s="2"/>
      </tp>
      <tp t="s">
        <v>#N/A N/A</v>
        <stp/>
        <stp>BDH|705077311544580824</stp>
        <tr r="D55" s="2"/>
      </tp>
      <tp t="s">
        <v>#N/A N/A</v>
        <stp/>
        <stp>BDH|640028231527125934</stp>
        <tr r="AA36" s="2"/>
      </tp>
      <tp t="s">
        <v>#N/A N/A</v>
        <stp/>
        <stp>BDH|427566971016246910</stp>
        <tr r="E36" s="2"/>
      </tp>
      <tp t="s">
        <v>#N/A N/A</v>
        <stp/>
        <stp>BDH|259674211883241895</stp>
        <tr r="L17" s="2"/>
      </tp>
      <tp t="s">
        <v>#N/A N/A</v>
        <stp/>
        <stp>BDH|466619395917386461</stp>
        <tr r="R62" s="2"/>
      </tp>
      <tp t="s">
        <v>#N/A N/A</v>
        <stp/>
        <stp>BDH|777473022453214976</stp>
        <tr r="D21" s="2"/>
      </tp>
      <tp t="s">
        <v>#N/A N/A</v>
        <stp/>
        <stp>BDH|411975855050354026</stp>
        <tr r="W60" s="2"/>
      </tp>
      <tp t="s">
        <v>#N/A N/A</v>
        <stp/>
        <stp>BDH|682857663942682076</stp>
        <tr r="Y35" s="2"/>
      </tp>
      <tp t="s">
        <v>#N/A N/A</v>
        <stp/>
        <stp>BDH|194009291590020533</stp>
        <tr r="D35" s="2"/>
      </tp>
      <tp t="s">
        <v>#N/A N/A</v>
        <stp/>
        <stp>BDH|126615515900004889</stp>
        <tr r="J35" s="2"/>
      </tp>
      <tp t="s">
        <v>#N/A N/A</v>
        <stp/>
        <stp>BDH|623843126610841559</stp>
        <tr r="Z66" s="2"/>
      </tp>
      <tp t="s">
        <v>#N/A N/A</v>
        <stp/>
        <stp>BDH|846406080770064335</stp>
        <tr r="D41" s="2"/>
      </tp>
      <tp t="s">
        <v>#N/A N/A</v>
        <stp/>
        <stp>BDH|189527393016481544</stp>
        <tr r="J56" s="2"/>
      </tp>
      <tp t="s">
        <v>#N/A N/A</v>
        <stp/>
        <stp>BDH|679281150871698987</stp>
        <tr r="U39" s="2"/>
      </tp>
      <tp t="s">
        <v>#N/A N/A</v>
        <stp/>
        <stp>BDH|553010599377209019</stp>
        <tr r="V8" s="2"/>
      </tp>
      <tp t="s">
        <v>#N/A N/A</v>
        <stp/>
        <stp>BDH|875260688817142333</stp>
        <tr r="Q70" s="2"/>
      </tp>
      <tp t="s">
        <v>#N/A N/A</v>
        <stp/>
        <stp>BDH|211466162474744873</stp>
        <tr r="X27" s="2"/>
      </tp>
      <tp t="s">
        <v>#N/A N/A</v>
        <stp/>
        <stp>BDH|743311860673707819</stp>
        <tr r="Z16" s="2"/>
      </tp>
      <tp t="s">
        <v>#N/A N/A</v>
        <stp/>
        <stp>BDH|193765362897422814</stp>
        <tr r="AB13" s="2"/>
      </tp>
      <tp t="s">
        <v>#N/A N/A</v>
        <stp/>
        <stp>BDH|156325755918920757</stp>
        <tr r="Z29" s="2"/>
      </tp>
      <tp t="s">
        <v>#N/A N/A</v>
        <stp/>
        <stp>BDH|265851758765159140</stp>
        <tr r="M50" s="2"/>
      </tp>
      <tp t="s">
        <v>#N/A N/A</v>
        <stp/>
        <stp>BDH|884906668371211763</stp>
        <tr r="C17" s="2"/>
      </tp>
      <tp t="s">
        <v>#N/A N/A</v>
        <stp/>
        <stp>BDH|237640963161278835</stp>
        <tr r="I29" s="2"/>
      </tp>
      <tp t="s">
        <v>#N/A N/A</v>
        <stp/>
        <stp>BDH|270236412553200908</stp>
        <tr r="C66" s="2"/>
      </tp>
      <tp t="s">
        <v>#N/A N/A</v>
        <stp/>
        <stp>BDH|690632600467420837</stp>
        <tr r="R53" s="2"/>
      </tp>
      <tp t="s">
        <v>#N/A N/A</v>
        <stp/>
        <stp>BDH|455028093094179505</stp>
        <tr r="E68" s="2"/>
      </tp>
      <tp t="s">
        <v>#N/A N/A</v>
        <stp/>
        <stp>BDH|994785367590245912</stp>
        <tr r="L16" s="2"/>
      </tp>
      <tp t="s">
        <v>#N/A N/A</v>
        <stp/>
        <stp>BDH|308216597834483774</stp>
        <tr r="N48" s="2"/>
      </tp>
      <tp t="s">
        <v>#N/A N/A</v>
        <stp/>
        <stp>BDH|366904679545588039</stp>
        <tr r="H48" s="2"/>
      </tp>
      <tp t="s">
        <v>#N/A N/A</v>
        <stp/>
        <stp>BDH|105020939378164068</stp>
        <tr r="AB18" s="2"/>
      </tp>
      <tp t="s">
        <v>#N/A N/A</v>
        <stp/>
        <stp>BDH|345015692677829572</stp>
        <tr r="U18" s="2"/>
      </tp>
      <tp t="s">
        <v>#N/A N/A</v>
        <stp/>
        <stp>BDH|587335833522950939</stp>
        <tr r="T24" s="2"/>
      </tp>
      <tp t="s">
        <v>#N/A N/A</v>
        <stp/>
        <stp>BDH|166174884814830600</stp>
        <tr r="Z10" s="2"/>
      </tp>
      <tp t="s">
        <v>#N/A N/A</v>
        <stp/>
        <stp>BDH|222803666817970294</stp>
        <tr r="X14" s="2"/>
      </tp>
      <tp t="s">
        <v>#N/A N/A</v>
        <stp/>
        <stp>BDH|905231888663936341</stp>
        <tr r="P49" s="2"/>
      </tp>
      <tp t="s">
        <v>#N/A N/A</v>
        <stp/>
        <stp>BDH|340580749369352280</stp>
        <tr r="C18" s="2"/>
      </tp>
      <tp t="s">
        <v>#N/A N/A</v>
        <stp/>
        <stp>BDH|525174802073624828</stp>
        <tr r="N54" s="2"/>
      </tp>
      <tp t="s">
        <v>#N/A N/A</v>
        <stp/>
        <stp>BDH|235144696811744315</stp>
        <tr r="M64" s="2"/>
      </tp>
      <tp t="s">
        <v>#N/A N/A</v>
        <stp/>
        <stp>BDH|421761712259157569</stp>
        <tr r="S9" s="2"/>
      </tp>
      <tp t="s">
        <v>#N/A N/A</v>
        <stp/>
        <stp>BDH|949991900135585674</stp>
        <tr r="L11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72"/>
  <sheetViews>
    <sheetView tabSelected="1" workbookViewId="0"/>
  </sheetViews>
  <sheetFormatPr defaultRowHeight="15" x14ac:dyDescent="0.25"/>
  <cols>
    <col min="1" max="1" width="35.140625" customWidth="1"/>
    <col min="2" max="2" width="0" hidden="1" customWidth="1"/>
    <col min="3" max="32" width="11.85546875" customWidth="1"/>
  </cols>
  <sheetData>
    <row r="1" spans="1:3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20.25" x14ac:dyDescent="0.25">
      <c r="A2" s="8" t="s">
        <v>4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</row>
    <row r="3" spans="1:32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x14ac:dyDescent="0.25">
      <c r="A4" s="3" t="s">
        <v>5</v>
      </c>
      <c r="B4" s="3"/>
      <c r="C4" s="4" t="s">
        <v>6</v>
      </c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  <c r="I4" s="4" t="s">
        <v>12</v>
      </c>
      <c r="J4" s="4" t="s">
        <v>13</v>
      </c>
      <c r="K4" s="4" t="s">
        <v>14</v>
      </c>
      <c r="L4" s="4" t="s">
        <v>15</v>
      </c>
      <c r="M4" s="4" t="s">
        <v>16</v>
      </c>
      <c r="N4" s="4" t="s">
        <v>17</v>
      </c>
      <c r="O4" s="4" t="s">
        <v>18</v>
      </c>
      <c r="P4" s="4" t="s">
        <v>19</v>
      </c>
      <c r="Q4" s="4" t="s">
        <v>20</v>
      </c>
      <c r="R4" s="4" t="s">
        <v>21</v>
      </c>
      <c r="S4" s="4" t="s">
        <v>22</v>
      </c>
      <c r="T4" s="4" t="s">
        <v>23</v>
      </c>
      <c r="U4" s="4" t="s">
        <v>24</v>
      </c>
      <c r="V4" s="4" t="s">
        <v>25</v>
      </c>
      <c r="W4" s="4" t="s">
        <v>26</v>
      </c>
      <c r="X4" s="4" t="s">
        <v>27</v>
      </c>
      <c r="Y4" s="4" t="s">
        <v>28</v>
      </c>
      <c r="Z4" s="4" t="s">
        <v>29</v>
      </c>
      <c r="AA4" s="4" t="s">
        <v>30</v>
      </c>
      <c r="AB4" s="4" t="s">
        <v>31</v>
      </c>
      <c r="AC4" s="4" t="s">
        <v>32</v>
      </c>
      <c r="AD4" s="4" t="s">
        <v>33</v>
      </c>
      <c r="AE4" s="4" t="s">
        <v>34</v>
      </c>
      <c r="AF4" s="4" t="s">
        <v>35</v>
      </c>
    </row>
    <row r="5" spans="1:32" x14ac:dyDescent="0.25">
      <c r="A5" s="9" t="s">
        <v>36</v>
      </c>
      <c r="B5" s="9"/>
      <c r="C5" s="5" t="s">
        <v>37</v>
      </c>
      <c r="D5" s="5" t="s">
        <v>38</v>
      </c>
      <c r="E5" s="5" t="s">
        <v>39</v>
      </c>
      <c r="F5" s="5" t="s">
        <v>40</v>
      </c>
      <c r="G5" s="5" t="s">
        <v>41</v>
      </c>
      <c r="H5" s="5" t="s">
        <v>42</v>
      </c>
      <c r="I5" s="5" t="s">
        <v>43</v>
      </c>
      <c r="J5" s="5" t="s">
        <v>44</v>
      </c>
      <c r="K5" s="5" t="s">
        <v>45</v>
      </c>
      <c r="L5" s="5" t="s">
        <v>46</v>
      </c>
      <c r="M5" s="5" t="s">
        <v>47</v>
      </c>
      <c r="N5" s="5" t="s">
        <v>48</v>
      </c>
      <c r="O5" s="5" t="s">
        <v>49</v>
      </c>
      <c r="P5" s="5" t="s">
        <v>50</v>
      </c>
      <c r="Q5" s="5" t="s">
        <v>51</v>
      </c>
      <c r="R5" s="5" t="s">
        <v>52</v>
      </c>
      <c r="S5" s="5" t="s">
        <v>53</v>
      </c>
      <c r="T5" s="5" t="s">
        <v>54</v>
      </c>
      <c r="U5" s="5" t="s">
        <v>55</v>
      </c>
      <c r="V5" s="5" t="s">
        <v>56</v>
      </c>
      <c r="W5" s="5" t="s">
        <v>57</v>
      </c>
      <c r="X5" s="5" t="s">
        <v>58</v>
      </c>
      <c r="Y5" s="5" t="s">
        <v>59</v>
      </c>
      <c r="Z5" s="5" t="s">
        <v>60</v>
      </c>
      <c r="AA5" s="5" t="s">
        <v>61</v>
      </c>
      <c r="AB5" s="5" t="s">
        <v>62</v>
      </c>
      <c r="AC5" s="5" t="s">
        <v>63</v>
      </c>
      <c r="AD5" s="5" t="s">
        <v>64</v>
      </c>
      <c r="AE5" s="5" t="s">
        <v>65</v>
      </c>
      <c r="AF5" s="5" t="s">
        <v>66</v>
      </c>
    </row>
    <row r="6" spans="1:32" x14ac:dyDescent="0.25">
      <c r="A6" s="6" t="s">
        <v>0</v>
      </c>
      <c r="B6" s="6" t="s">
        <v>67</v>
      </c>
      <c r="C6" s="16" cm="1">
        <f t="array" ref="C6">_xll.BDH("PH US Equity","SALES_REV_TURN","FQ3 2019","FQ3 2019","Currency=USD","Period=FQ","BEST_FPERIOD_OVERRIDE=FQ","FILING_STATUS=MR","SCALING_FORMAT=MLN","FA_ADJUSTED=Adjusted","Sort=A","Dates=H","DateFormat=P","Fill=—","Direction=H","UseDPDF=Y")</f>
        <v>3687.518</v>
      </c>
      <c r="D6" s="16" cm="1">
        <f t="array" ref="D6">_xll.BDH("PH US Equity","SALES_REV_TURN","FQ4 2019","FQ4 2019","Currency=USD","Period=FQ","BEST_FPERIOD_OVERRIDE=FQ","FILING_STATUS=MR","SCALING_FORMAT=MLN","FA_ADJUSTED=Adjusted","Sort=A","Dates=H","DateFormat=P","Fill=—","Direction=H","UseDPDF=Y")</f>
        <v>3681.4670000000001</v>
      </c>
      <c r="E6" s="16" cm="1">
        <f t="array" ref="E6">_xll.BDH("PH US Equity","SALES_REV_TURN","FQ1 2020","FQ1 2020","Currency=USD","Period=FQ","BEST_FPERIOD_OVERRIDE=FQ","FILING_STATUS=MR","SCALING_FORMAT=MLN","FA_ADJUSTED=Adjusted","Sort=A","Dates=H","DateFormat=P","Fill=—","Direction=H","UseDPDF=Y")</f>
        <v>3334.511</v>
      </c>
      <c r="F6" s="16" cm="1">
        <f t="array" ref="F6">_xll.BDH("PH US Equity","SALES_REV_TURN","FQ2 2020","FQ2 2020","Currency=USD","Period=FQ","BEST_FPERIOD_OVERRIDE=FQ","FILING_STATUS=MR","SCALING_FORMAT=MLN","FA_ADJUSTED=Adjusted","Sort=A","Dates=H","DateFormat=P","Fill=—","Direction=H","UseDPDF=Y")</f>
        <v>3497.9740000000002</v>
      </c>
      <c r="G6" s="16" cm="1">
        <f t="array" ref="G6">_xll.BDH("PH US Equity","SALES_REV_TURN","FQ3 2020","FQ3 2020","Currency=USD","Period=FQ","BEST_FPERIOD_OVERRIDE=FQ","FILING_STATUS=MR","SCALING_FORMAT=MLN","FA_ADJUSTED=Adjusted","Sort=A","Dates=H","DateFormat=P","Fill=—","Direction=H","UseDPDF=Y")</f>
        <v>3702.4319999999998</v>
      </c>
      <c r="H6" s="16" cm="1">
        <f t="array" ref="H6">_xll.BDH("PH US Equity","SALES_REV_TURN","FQ4 2020","FQ4 2020","Currency=USD","Period=FQ","BEST_FPERIOD_OVERRIDE=FQ","FILING_STATUS=MR","SCALING_FORMAT=MLN","FA_ADJUSTED=Adjusted","Sort=A","Dates=H","DateFormat=P","Fill=—","Direction=H","UseDPDF=Y")</f>
        <v>3160.6030000000001</v>
      </c>
      <c r="I6" s="16" cm="1">
        <f t="array" ref="I6">_xll.BDH("PH US Equity","SALES_REV_TURN","FQ1 2021","FQ1 2021","Currency=USD","Period=FQ","BEST_FPERIOD_OVERRIDE=FQ","FILING_STATUS=MR","SCALING_FORMAT=MLN","FA_ADJUSTED=Adjusted","Sort=A","Dates=H","DateFormat=P","Fill=—","Direction=H","UseDPDF=Y")</f>
        <v>3230.54</v>
      </c>
      <c r="J6" s="16" cm="1">
        <f t="array" ref="J6">_xll.BDH("PH US Equity","SALES_REV_TURN","FQ2 2021","FQ2 2021","Currency=USD","Period=FQ","BEST_FPERIOD_OVERRIDE=FQ","FILING_STATUS=MR","SCALING_FORMAT=MLN","FA_ADJUSTED=Adjusted","Sort=A","Dates=H","DateFormat=P","Fill=—","Direction=H","UseDPDF=Y")</f>
        <v>3411.9050000000002</v>
      </c>
      <c r="K6" s="16" cm="1">
        <f t="array" ref="K6">_xll.BDH("PH US Equity","SALES_REV_TURN","FQ3 2021","FQ3 2021","Currency=USD","Period=FQ","BEST_FPERIOD_OVERRIDE=FQ","FILING_STATUS=MR","SCALING_FORMAT=MLN","FA_ADJUSTED=Adjusted","Sort=A","Dates=H","DateFormat=P","Fill=—","Direction=H","UseDPDF=Y")</f>
        <v>3746.326</v>
      </c>
      <c r="L6" s="16" cm="1">
        <f t="array" ref="L6">_xll.BDH("PH US Equity","SALES_REV_TURN","FQ4 2021","FQ4 2021","Currency=USD","Period=FQ","BEST_FPERIOD_OVERRIDE=FQ","FILING_STATUS=MR","SCALING_FORMAT=MLN","FA_ADJUSTED=Adjusted","Sort=A","Dates=H","DateFormat=P","Fill=—","Direction=H","UseDPDF=Y")</f>
        <v>3958.8690000000001</v>
      </c>
      <c r="M6" s="16" cm="1">
        <f t="array" ref="M6">_xll.BDH("PH US Equity","SALES_REV_TURN","FQ1 2022","FQ1 2022","Currency=USD","Period=FQ","BEST_FPERIOD_OVERRIDE=FQ","FILING_STATUS=MR","SCALING_FORMAT=MLN","FA_ADJUSTED=Adjusted","Sort=A","Dates=H","DateFormat=P","Fill=—","Direction=H","UseDPDF=Y")</f>
        <v>3762.8090000000002</v>
      </c>
      <c r="N6" s="16" cm="1">
        <f t="array" ref="N6">_xll.BDH("PH US Equity","SALES_REV_TURN","FQ2 2022","FQ2 2022","Currency=USD","Period=FQ","BEST_FPERIOD_OVERRIDE=FQ","FILING_STATUS=MR","SCALING_FORMAT=MLN","FA_ADJUSTED=Adjusted","Sort=A","Dates=H","DateFormat=P","Fill=—","Direction=H","UseDPDF=Y")</f>
        <v>3824.58</v>
      </c>
      <c r="O6" s="16" cm="1">
        <f t="array" ref="O6">_xll.BDH("PH US Equity","SALES_REV_TURN","FQ3 2022","FQ3 2022","Currency=USD","Period=FQ","BEST_FPERIOD_OVERRIDE=FQ","FILING_STATUS=MR","SCALING_FORMAT=MLN","FA_ADJUSTED=Adjusted","Sort=A","Dates=H","DateFormat=P","Fill=—","Direction=H","UseDPDF=Y")</f>
        <v>4086.3870000000002</v>
      </c>
      <c r="P6" s="16" cm="1">
        <f t="array" ref="P6">_xll.BDH("PH US Equity","SALES_REV_TURN","FQ4 2022","FQ4 2022","Currency=USD","Period=FQ","BEST_FPERIOD_OVERRIDE=FQ","FILING_STATUS=MR","SCALING_FORMAT=MLN","FA_ADJUSTED=Adjusted","Sort=A","Dates=H","DateFormat=P","Fill=—","Direction=H","UseDPDF=Y")</f>
        <v>4187.8320000000003</v>
      </c>
      <c r="Q6" s="16" cm="1">
        <f t="array" ref="Q6">_xll.BDH("PH US Equity","SALES_REV_TURN","FQ1 2023","FQ1 2023","Currency=USD","Period=FQ","BEST_FPERIOD_OVERRIDE=FQ","FILING_STATUS=MR","SCALING_FORMAT=MLN","FA_ADJUSTED=Adjusted","Sort=A","Dates=H","DateFormat=P","Fill=—","Direction=H","UseDPDF=Y")</f>
        <v>4232.7749999999996</v>
      </c>
      <c r="R6" s="16" cm="1">
        <f t="array" ref="R6">_xll.BDH("PH US Equity","SALES_REV_TURN","FQ2 2023","FQ2 2023","Currency=USD","Period=FQ","BEST_FPERIOD_OVERRIDE=FQ","FILING_STATUS=MR","SCALING_FORMAT=MLN","FA_ADJUSTED=Adjusted","Sort=A","Dates=H","DateFormat=P","Fill=—","Direction=H","UseDPDF=Y")</f>
        <v>4674.8109999999997</v>
      </c>
      <c r="S6" s="16" cm="1">
        <f t="array" ref="S6">_xll.BDH("PH US Equity","SALES_REV_TURN","FQ3 2023","FQ3 2023","Currency=USD","Period=FQ","BEST_FPERIOD_OVERRIDE=FQ","FILING_STATUS=MR","SCALING_FORMAT=MLN","FA_ADJUSTED=Adjusted","Sort=A","Dates=H","DateFormat=P","Fill=—","Direction=H","UseDPDF=Y")</f>
        <v>5061.665</v>
      </c>
      <c r="T6" s="16" cm="1">
        <f t="array" ref="T6">_xll.BDH("PH US Equity","SALES_REV_TURN","FQ4 2023","FQ4 2023","Currency=USD","Period=FQ","BEST_FPERIOD_OVERRIDE=FQ","FILING_STATUS=MR","SCALING_FORMAT=MLN","FA_ADJUSTED=Adjusted","Sort=A","Dates=H","DateFormat=P","Fill=—","Direction=H","UseDPDF=Y")</f>
        <v>5095.9430000000002</v>
      </c>
      <c r="U6" s="16" cm="1">
        <f t="array" ref="U6">_xll.BDH("PH US Equity","SALES_REV_TURN","FQ1 2024","FQ1 2024","Currency=USD","Period=FQ","BEST_FPERIOD_OVERRIDE=FQ","FILING_STATUS=MR","SCALING_FORMAT=MLN","FA_ADJUSTED=Adjusted","Sort=A","Dates=H","DateFormat=P","Fill=—","Direction=H","UseDPDF=Y")</f>
        <v>4847.4880000000003</v>
      </c>
      <c r="V6" s="16" cm="1">
        <f t="array" ref="V6">_xll.BDH("PH US Equity","SALES_REV_TURN","FQ2 2024","FQ2 2024","Currency=USD","Period=FQ","BEST_FPERIOD_OVERRIDE=FQ","FILING_STATUS=MR","SCALING_FORMAT=MLN","FA_ADJUSTED=Adjusted","Sort=A","Dates=H","DateFormat=P","Fill=—","Direction=H","UseDPDF=Y")</f>
        <v>4820.9470000000001</v>
      </c>
      <c r="W6" s="16" cm="1">
        <f t="array" ref="W6">_xll.BDH("PH US Equity","SALES_REV_TURN","FQ3 2024","FQ3 2024","Currency=USD","Period=FQ","BEST_FPERIOD_OVERRIDE=FQ","FILING_STATUS=MR","SCALING_FORMAT=MLN","FA_ADJUSTED=Adjusted","Sort=A","Dates=H","DateFormat=P","Fill=—","Direction=H","UseDPDF=Y")</f>
        <v>5074.3559999999998</v>
      </c>
      <c r="X6" s="16" cm="1">
        <f t="array" ref="X6">_xll.BDH("PH US Equity","SALES_REV_TURN","FQ4 2024","FQ4 2024","Currency=USD","Period=FQ","BEST_FPERIOD_OVERRIDE=FQ","FILING_STATUS=MR","SCALING_FORMAT=MLN","FA_ADJUSTED=Adjusted","Sort=A","Dates=H","DateFormat=P","Fill=—","Direction=H","UseDPDF=Y")</f>
        <v>5186.8149999999996</v>
      </c>
      <c r="Y6" s="16" cm="1">
        <f t="array" ref="Y6">_xll.BDH("PH US Equity","SALES_REV_TURN","FQ1 2025","FQ1 2025","Currency=USD","Period=FQ","BEST_FPERIOD_OVERRIDE=FQ","FILING_STATUS=MR","SCALING_FORMAT=MLN","FA_ADJUSTED=Adjusted","Sort=A","Dates=H","DateFormat=P","Fill=—","Direction=H","UseDPDF=Y")</f>
        <v>4903.9840000000004</v>
      </c>
      <c r="Z6" s="16" cm="1">
        <f t="array" ref="Z6">_xll.BDH("PH US Equity","SALES_REV_TURN","FQ2 2025","FQ2 2025","Currency=USD","Period=FQ","BEST_FPERIOD_OVERRIDE=FQ","FILING_STATUS=MR","SCALING_FORMAT=MLN","FA_ADJUSTED=Adjusted","Sort=A","Dates=H","DateFormat=P","Fill=—","Direction=H","UseDPDF=Y")</f>
        <v>4742.5929999999998</v>
      </c>
      <c r="AA6" s="16" cm="1">
        <f t="array" ref="AA6">_xll.BDH("PH US Equity","SALES_REV_TURN","FQ3 2025","FQ3 2025","Currency=USD","Period=FQ","BEST_FPERIOD_OVERRIDE=FQ","FILING_STATUS=MR","SCALING_FORMAT=MLN","FA_ADJUSTED=Adjusted","Sort=A","Dates=H","DateFormat=P","Fill=—","Direction=H","UseDPDF=Y")</f>
        <v>4960.3490000000002</v>
      </c>
      <c r="AB6" s="16" cm="1">
        <f t="array" ref="AB6">_xll.BDH("PH US Equity","SALES_REV_TURN","FQ4 2025","FQ4 2025","Currency=USD","Period=FQ","BEST_FPERIOD_OVERRIDE=FQ","FILING_STATUS=MR","SCALING_FORMAT=MLN","FA_ADJUSTED=Adjusted","Sort=A","Dates=H","DateFormat=P","Fill=—","Direction=H","UseDPDF=Y")</f>
        <v>5243</v>
      </c>
      <c r="AC6" s="16" cm="1">
        <f t="array" ref="AC6">_xll.BDH("PH US Equity","SALES_REV_TURN","FQ1 2026","FQ1 2026","Currency=USD","Period=FQ","BEST_FPERIOD_OVERRIDE=FQ","FILING_STATUS=MR","SCALING_FORMAT=MLN","FA_ADJUSTED=Adjusted","Sort=A","Dates=H","DateFormat=P","Fill=—","Direction=H","UseDPDF=Y")</f>
        <v>5084</v>
      </c>
      <c r="AD6" s="16" cm="1">
        <f t="array" ref="AD6">_xll.BDH("PH US Equity","SALES_REV_TURN","FQ2 2026","FQ2 2026","Currency=USD","Period=FQ","BEST_FPERIOD_OVERRIDE=FQ","FILING_STATUS=MR","SCALING_FORMAT=MLN","FA_ADJUSTED=Adjusted","Sort=A","Dates=H","DateFormat=P","Fill=—","Direction=H","UseDPDF=Y")</f>
        <v>5174</v>
      </c>
      <c r="AE6" s="16">
        <v>5401.35</v>
      </c>
      <c r="AF6" s="16">
        <v>5630.9</v>
      </c>
    </row>
    <row r="7" spans="1:32" x14ac:dyDescent="0.25">
      <c r="A7" s="10" t="s">
        <v>68</v>
      </c>
      <c r="B7" s="10" t="s">
        <v>69</v>
      </c>
      <c r="C7" s="13" cm="1">
        <f t="array" ref="C7">_xll.BDH("PH US Equity","IS_SALES_AND_SERVICES_REVENUES","FQ3 2019","FQ3 2019","Currency=USD","Period=FQ","BEST_FPERIOD_OVERRIDE=FQ","FILING_STATUS=MR","SCALING_FORMAT=MLN","FA_ADJUSTED=Adjusted","Sort=A","Dates=H","DateFormat=P","Fill=—","Direction=H","UseDPDF=Y")</f>
        <v>3687.518</v>
      </c>
      <c r="D7" s="13" cm="1">
        <f t="array" ref="D7">_xll.BDH("PH US Equity","IS_SALES_AND_SERVICES_REVENUES","FQ4 2019","FQ4 2019","Currency=USD","Period=FQ","BEST_FPERIOD_OVERRIDE=FQ","FILING_STATUS=MR","SCALING_FORMAT=MLN","FA_ADJUSTED=Adjusted","Sort=A","Dates=H","DateFormat=P","Fill=—","Direction=H","UseDPDF=Y")</f>
        <v>3681.4670000000001</v>
      </c>
      <c r="E7" s="13" cm="1">
        <f t="array" ref="E7">_xll.BDH("PH US Equity","IS_SALES_AND_SERVICES_REVENUES","FQ1 2020","FQ1 2020","Currency=USD","Period=FQ","BEST_FPERIOD_OVERRIDE=FQ","FILING_STATUS=MR","SCALING_FORMAT=MLN","FA_ADJUSTED=Adjusted","Sort=A","Dates=H","DateFormat=P","Fill=—","Direction=H","UseDPDF=Y")</f>
        <v>3334.511</v>
      </c>
      <c r="F7" s="13" cm="1">
        <f t="array" ref="F7">_xll.BDH("PH US Equity","IS_SALES_AND_SERVICES_REVENUES","FQ2 2020","FQ2 2020","Currency=USD","Period=FQ","BEST_FPERIOD_OVERRIDE=FQ","FILING_STATUS=MR","SCALING_FORMAT=MLN","FA_ADJUSTED=Adjusted","Sort=A","Dates=H","DateFormat=P","Fill=—","Direction=H","UseDPDF=Y")</f>
        <v>3497.9740000000002</v>
      </c>
      <c r="G7" s="13" cm="1">
        <f t="array" ref="G7">_xll.BDH("PH US Equity","IS_SALES_AND_SERVICES_REVENUES","FQ3 2020","FQ3 2020","Currency=USD","Period=FQ","BEST_FPERIOD_OVERRIDE=FQ","FILING_STATUS=MR","SCALING_FORMAT=MLN","FA_ADJUSTED=Adjusted","Sort=A","Dates=H","DateFormat=P","Fill=—","Direction=H","UseDPDF=Y")</f>
        <v>3702.4319999999998</v>
      </c>
      <c r="H7" s="13" cm="1">
        <f t="array" ref="H7">_xll.BDH("PH US Equity","IS_SALES_AND_SERVICES_REVENUES","FQ4 2020","FQ4 2020","Currency=USD","Period=FQ","BEST_FPERIOD_OVERRIDE=FQ","FILING_STATUS=MR","SCALING_FORMAT=MLN","FA_ADJUSTED=Adjusted","Sort=A","Dates=H","DateFormat=P","Fill=—","Direction=H","UseDPDF=Y")</f>
        <v>3160.6030000000001</v>
      </c>
      <c r="I7" s="13" cm="1">
        <f t="array" ref="I7">_xll.BDH("PH US Equity","IS_SALES_AND_SERVICES_REVENUES","FQ1 2021","FQ1 2021","Currency=USD","Period=FQ","BEST_FPERIOD_OVERRIDE=FQ","FILING_STATUS=MR","SCALING_FORMAT=MLN","FA_ADJUSTED=Adjusted","Sort=A","Dates=H","DateFormat=P","Fill=—","Direction=H","UseDPDF=Y")</f>
        <v>3230.54</v>
      </c>
      <c r="J7" s="13" cm="1">
        <f t="array" ref="J7">_xll.BDH("PH US Equity","IS_SALES_AND_SERVICES_REVENUES","FQ2 2021","FQ2 2021","Currency=USD","Period=FQ","BEST_FPERIOD_OVERRIDE=FQ","FILING_STATUS=MR","SCALING_FORMAT=MLN","FA_ADJUSTED=Adjusted","Sort=A","Dates=H","DateFormat=P","Fill=—","Direction=H","UseDPDF=Y")</f>
        <v>3411.9050000000002</v>
      </c>
      <c r="K7" s="13" cm="1">
        <f t="array" ref="K7">_xll.BDH("PH US Equity","IS_SALES_AND_SERVICES_REVENUES","FQ3 2021","FQ3 2021","Currency=USD","Period=FQ","BEST_FPERIOD_OVERRIDE=FQ","FILING_STATUS=MR","SCALING_FORMAT=MLN","FA_ADJUSTED=Adjusted","Sort=A","Dates=H","DateFormat=P","Fill=—","Direction=H","UseDPDF=Y")</f>
        <v>3746.326</v>
      </c>
      <c r="L7" s="13" cm="1">
        <f t="array" ref="L7">_xll.BDH("PH US Equity","IS_SALES_AND_SERVICES_REVENUES","FQ4 2021","FQ4 2021","Currency=USD","Period=FQ","BEST_FPERIOD_OVERRIDE=FQ","FILING_STATUS=MR","SCALING_FORMAT=MLN","FA_ADJUSTED=Adjusted","Sort=A","Dates=H","DateFormat=P","Fill=—","Direction=H","UseDPDF=Y")</f>
        <v>3958.8690000000001</v>
      </c>
      <c r="M7" s="13" cm="1">
        <f t="array" ref="M7">_xll.BDH("PH US Equity","IS_SALES_AND_SERVICES_REVENUES","FQ1 2022","FQ1 2022","Currency=USD","Period=FQ","BEST_FPERIOD_OVERRIDE=FQ","FILING_STATUS=MR","SCALING_FORMAT=MLN","FA_ADJUSTED=Adjusted","Sort=A","Dates=H","DateFormat=P","Fill=—","Direction=H","UseDPDF=Y")</f>
        <v>3762.8090000000002</v>
      </c>
      <c r="N7" s="13" cm="1">
        <f t="array" ref="N7">_xll.BDH("PH US Equity","IS_SALES_AND_SERVICES_REVENUES","FQ2 2022","FQ2 2022","Currency=USD","Period=FQ","BEST_FPERIOD_OVERRIDE=FQ","FILING_STATUS=MR","SCALING_FORMAT=MLN","FA_ADJUSTED=Adjusted","Sort=A","Dates=H","DateFormat=P","Fill=—","Direction=H","UseDPDF=Y")</f>
        <v>3824.58</v>
      </c>
      <c r="O7" s="13" cm="1">
        <f t="array" ref="O7">_xll.BDH("PH US Equity","IS_SALES_AND_SERVICES_REVENUES","FQ3 2022","FQ3 2022","Currency=USD","Period=FQ","BEST_FPERIOD_OVERRIDE=FQ","FILING_STATUS=MR","SCALING_FORMAT=MLN","FA_ADJUSTED=Adjusted","Sort=A","Dates=H","DateFormat=P","Fill=—","Direction=H","UseDPDF=Y")</f>
        <v>4086.3870000000002</v>
      </c>
      <c r="P7" s="13" cm="1">
        <f t="array" ref="P7">_xll.BDH("PH US Equity","IS_SALES_AND_SERVICES_REVENUES","FQ4 2022","FQ4 2022","Currency=USD","Period=FQ","BEST_FPERIOD_OVERRIDE=FQ","FILING_STATUS=MR","SCALING_FORMAT=MLN","FA_ADJUSTED=Adjusted","Sort=A","Dates=H","DateFormat=P","Fill=—","Direction=H","UseDPDF=Y")</f>
        <v>4187.8320000000003</v>
      </c>
      <c r="Q7" s="13" cm="1">
        <f t="array" ref="Q7">_xll.BDH("PH US Equity","IS_SALES_AND_SERVICES_REVENUES","FQ1 2023","FQ1 2023","Currency=USD","Period=FQ","BEST_FPERIOD_OVERRIDE=FQ","FILING_STATUS=MR","SCALING_FORMAT=MLN","FA_ADJUSTED=Adjusted","Sort=A","Dates=H","DateFormat=P","Fill=—","Direction=H","UseDPDF=Y")</f>
        <v>4232.7749999999996</v>
      </c>
      <c r="R7" s="13" cm="1">
        <f t="array" ref="R7">_xll.BDH("PH US Equity","IS_SALES_AND_SERVICES_REVENUES","FQ2 2023","FQ2 2023","Currency=USD","Period=FQ","BEST_FPERIOD_OVERRIDE=FQ","FILING_STATUS=MR","SCALING_FORMAT=MLN","FA_ADJUSTED=Adjusted","Sort=A","Dates=H","DateFormat=P","Fill=—","Direction=H","UseDPDF=Y")</f>
        <v>4674.8109999999997</v>
      </c>
      <c r="S7" s="13" cm="1">
        <f t="array" ref="S7">_xll.BDH("PH US Equity","IS_SALES_AND_SERVICES_REVENUES","FQ3 2023","FQ3 2023","Currency=USD","Period=FQ","BEST_FPERIOD_OVERRIDE=FQ","FILING_STATUS=MR","SCALING_FORMAT=MLN","FA_ADJUSTED=Adjusted","Sort=A","Dates=H","DateFormat=P","Fill=—","Direction=H","UseDPDF=Y")</f>
        <v>5061.665</v>
      </c>
      <c r="T7" s="13" cm="1">
        <f t="array" ref="T7">_xll.BDH("PH US Equity","IS_SALES_AND_SERVICES_REVENUES","FQ4 2023","FQ4 2023","Currency=USD","Period=FQ","BEST_FPERIOD_OVERRIDE=FQ","FILING_STATUS=MR","SCALING_FORMAT=MLN","FA_ADJUSTED=Adjusted","Sort=A","Dates=H","DateFormat=P","Fill=—","Direction=H","UseDPDF=Y")</f>
        <v>5095.9430000000002</v>
      </c>
      <c r="U7" s="13" cm="1">
        <f t="array" ref="U7">_xll.BDH("PH US Equity","IS_SALES_AND_SERVICES_REVENUES","FQ1 2024","FQ1 2024","Currency=USD","Period=FQ","BEST_FPERIOD_OVERRIDE=FQ","FILING_STATUS=MR","SCALING_FORMAT=MLN","FA_ADJUSTED=Adjusted","Sort=A","Dates=H","DateFormat=P","Fill=—","Direction=H","UseDPDF=Y")</f>
        <v>4847.4880000000003</v>
      </c>
      <c r="V7" s="13" cm="1">
        <f t="array" ref="V7">_xll.BDH("PH US Equity","IS_SALES_AND_SERVICES_REVENUES","FQ2 2024","FQ2 2024","Currency=USD","Period=FQ","BEST_FPERIOD_OVERRIDE=FQ","FILING_STATUS=MR","SCALING_FORMAT=MLN","FA_ADJUSTED=Adjusted","Sort=A","Dates=H","DateFormat=P","Fill=—","Direction=H","UseDPDF=Y")</f>
        <v>4820.9470000000001</v>
      </c>
      <c r="W7" s="13" cm="1">
        <f t="array" ref="W7">_xll.BDH("PH US Equity","IS_SALES_AND_SERVICES_REVENUES","FQ3 2024","FQ3 2024","Currency=USD","Period=FQ","BEST_FPERIOD_OVERRIDE=FQ","FILING_STATUS=MR","SCALING_FORMAT=MLN","FA_ADJUSTED=Adjusted","Sort=A","Dates=H","DateFormat=P","Fill=—","Direction=H","UseDPDF=Y")</f>
        <v>5074.3559999999998</v>
      </c>
      <c r="X7" s="13" cm="1">
        <f t="array" ref="X7">_xll.BDH("PH US Equity","IS_SALES_AND_SERVICES_REVENUES","FQ4 2024","FQ4 2024","Currency=USD","Period=FQ","BEST_FPERIOD_OVERRIDE=FQ","FILING_STATUS=MR","SCALING_FORMAT=MLN","FA_ADJUSTED=Adjusted","Sort=A","Dates=H","DateFormat=P","Fill=—","Direction=H","UseDPDF=Y")</f>
        <v>5186.8149999999996</v>
      </c>
      <c r="Y7" s="13" cm="1">
        <f t="array" ref="Y7">_xll.BDH("PH US Equity","IS_SALES_AND_SERVICES_REVENUES","FQ1 2025","FQ1 2025","Currency=USD","Period=FQ","BEST_FPERIOD_OVERRIDE=FQ","FILING_STATUS=MR","SCALING_FORMAT=MLN","FA_ADJUSTED=Adjusted","Sort=A","Dates=H","DateFormat=P","Fill=—","Direction=H","UseDPDF=Y")</f>
        <v>4903.9840000000004</v>
      </c>
      <c r="Z7" s="13" cm="1">
        <f t="array" ref="Z7">_xll.BDH("PH US Equity","IS_SALES_AND_SERVICES_REVENUES","FQ2 2025","FQ2 2025","Currency=USD","Period=FQ","BEST_FPERIOD_OVERRIDE=FQ","FILING_STATUS=MR","SCALING_FORMAT=MLN","FA_ADJUSTED=Adjusted","Sort=A","Dates=H","DateFormat=P","Fill=—","Direction=H","UseDPDF=Y")</f>
        <v>4742.5929999999998</v>
      </c>
      <c r="AA7" s="13" cm="1">
        <f t="array" ref="AA7">_xll.BDH("PH US Equity","IS_SALES_AND_SERVICES_REVENUES","FQ3 2025","FQ3 2025","Currency=USD","Period=FQ","BEST_FPERIOD_OVERRIDE=FQ","FILING_STATUS=MR","SCALING_FORMAT=MLN","FA_ADJUSTED=Adjusted","Sort=A","Dates=H","DateFormat=P","Fill=—","Direction=H","UseDPDF=Y")</f>
        <v>4960.3490000000002</v>
      </c>
      <c r="AB7" s="13" cm="1">
        <f t="array" ref="AB7">_xll.BDH("PH US Equity","IS_SALES_AND_SERVICES_REVENUES","FQ4 2025","FQ4 2025","Currency=USD","Period=FQ","BEST_FPERIOD_OVERRIDE=FQ","FILING_STATUS=MR","SCALING_FORMAT=MLN","FA_ADJUSTED=Adjusted","Sort=A","Dates=H","DateFormat=P","Fill=—","Direction=H","UseDPDF=Y")</f>
        <v>5243</v>
      </c>
      <c r="AC7" s="13" cm="1">
        <f t="array" ref="AC7">_xll.BDH("PH US Equity","IS_SALES_AND_SERVICES_REVENUES","FQ1 2026","FQ1 2026","Currency=USD","Period=FQ","BEST_FPERIOD_OVERRIDE=FQ","FILING_STATUS=MR","SCALING_FORMAT=MLN","FA_ADJUSTED=Adjusted","Sort=A","Dates=H","DateFormat=P","Fill=—","Direction=H","UseDPDF=Y")</f>
        <v>5084</v>
      </c>
      <c r="AD7" s="13" cm="1">
        <f t="array" ref="AD7">_xll.BDH("PH US Equity","IS_SALES_AND_SERVICES_REVENUES","FQ2 2026","FQ2 2026","Currency=USD","Period=FQ","BEST_FPERIOD_OVERRIDE=FQ","FILING_STATUS=MR","SCALING_FORMAT=MLN","FA_ADJUSTED=Adjusted","Sort=A","Dates=H","DateFormat=P","Fill=—","Direction=H","UseDPDF=Y")</f>
        <v>5174</v>
      </c>
      <c r="AE7" s="13"/>
      <c r="AF7" s="13"/>
    </row>
    <row r="8" spans="1:32" x14ac:dyDescent="0.25">
      <c r="A8" s="10" t="s">
        <v>70</v>
      </c>
      <c r="B8" s="10" t="s">
        <v>71</v>
      </c>
      <c r="C8" s="13" cm="1">
        <f t="array" ref="C8">_xll.BDH("PH US Equity","IS_COGS_TO_FE_AND_PP_AND_G","FQ3 2019","FQ3 2019","Currency=USD","Period=FQ","BEST_FPERIOD_OVERRIDE=FQ","FILING_STATUS=MR","SCALING_FORMAT=MLN","FA_ADJUSTED=Adjusted","Sort=A","Dates=H","DateFormat=P","Fill=—","Direction=H","UseDPDF=Y")</f>
        <v>2763.94</v>
      </c>
      <c r="D8" s="13" cm="1">
        <f t="array" ref="D8">_xll.BDH("PH US Equity","IS_COGS_TO_FE_AND_PP_AND_G","FQ4 2019","FQ4 2019","Currency=USD","Period=FQ","BEST_FPERIOD_OVERRIDE=FQ","FILING_STATUS=MR","SCALING_FORMAT=MLN","FA_ADJUSTED=Adjusted","Sort=A","Dates=H","DateFormat=P","Fill=—","Direction=H","UseDPDF=Y")</f>
        <v>2718.654</v>
      </c>
      <c r="E8" s="13" cm="1">
        <f t="array" ref="E8">_xll.BDH("PH US Equity","IS_COGS_TO_FE_AND_PP_AND_G","FQ1 2020","FQ1 2020","Currency=USD","Period=FQ","BEST_FPERIOD_OVERRIDE=FQ","FILING_STATUS=MR","SCALING_FORMAT=MLN","FA_ADJUSTED=Adjusted","Sort=A","Dates=H","DateFormat=P","Fill=—","Direction=H","UseDPDF=Y")</f>
        <v>2473.877</v>
      </c>
      <c r="F8" s="13" cm="1">
        <f t="array" ref="F8">_xll.BDH("PH US Equity","IS_COGS_TO_FE_AND_PP_AND_G","FQ2 2020","FQ2 2020","Currency=USD","Period=FQ","BEST_FPERIOD_OVERRIDE=FQ","FILING_STATUS=MR","SCALING_FORMAT=MLN","FA_ADJUSTED=Adjusted","Sort=A","Dates=H","DateFormat=P","Fill=—","Direction=H","UseDPDF=Y")</f>
        <v>2625.5680000000002</v>
      </c>
      <c r="G8" s="13" cm="1">
        <f t="array" ref="G8">_xll.BDH("PH US Equity","IS_COGS_TO_FE_AND_PP_AND_G","FQ3 2020","FQ3 2020","Currency=USD","Period=FQ","BEST_FPERIOD_OVERRIDE=FQ","FILING_STATUS=MR","SCALING_FORMAT=MLN","FA_ADJUSTED=Adjusted","Sort=A","Dates=H","DateFormat=P","Fill=—","Direction=H","UseDPDF=Y")</f>
        <v>2738.0329999999999</v>
      </c>
      <c r="H8" s="13" cm="1">
        <f t="array" ref="H8">_xll.BDH("PH US Equity","IS_COGS_TO_FE_AND_PP_AND_G","FQ4 2020","FQ4 2020","Currency=USD","Period=FQ","BEST_FPERIOD_OVERRIDE=FQ","FILING_STATUS=MR","SCALING_FORMAT=MLN","FA_ADJUSTED=Adjusted","Sort=A","Dates=H","DateFormat=P","Fill=—","Direction=H","UseDPDF=Y")</f>
        <v>2327.6410000000001</v>
      </c>
      <c r="I8" s="13" cm="1">
        <f t="array" ref="I8">_xll.BDH("PH US Equity","IS_COGS_TO_FE_AND_PP_AND_G","FQ1 2021","FQ1 2021","Currency=USD","Period=FQ","BEST_FPERIOD_OVERRIDE=FQ","FILING_STATUS=MR","SCALING_FORMAT=MLN","FA_ADJUSTED=Adjusted","Sort=A","Dates=H","DateFormat=P","Fill=—","Direction=H","UseDPDF=Y")</f>
        <v>2373.9679999999998</v>
      </c>
      <c r="J8" s="13" cm="1">
        <f t="array" ref="J8">_xll.BDH("PH US Equity","IS_COGS_TO_FE_AND_PP_AND_G","FQ2 2021","FQ2 2021","Currency=USD","Period=FQ","BEST_FPERIOD_OVERRIDE=FQ","FILING_STATUS=MR","SCALING_FORMAT=MLN","FA_ADJUSTED=Adjusted","Sort=A","Dates=H","DateFormat=P","Fill=—","Direction=H","UseDPDF=Y")</f>
        <v>2503.982</v>
      </c>
      <c r="K8" s="13" cm="1">
        <f t="array" ref="K8">_xll.BDH("PH US Equity","IS_COGS_TO_FE_AND_PP_AND_G","FQ3 2021","FQ3 2021","Currency=USD","Period=FQ","BEST_FPERIOD_OVERRIDE=FQ","FILING_STATUS=MR","SCALING_FORMAT=MLN","FA_ADJUSTED=Adjusted","Sort=A","Dates=H","DateFormat=P","Fill=—","Direction=H","UseDPDF=Y")</f>
        <v>2709.3040000000001</v>
      </c>
      <c r="L8" s="13" cm="1">
        <f t="array" ref="L8">_xll.BDH("PH US Equity","IS_COGS_TO_FE_AND_PP_AND_G","FQ4 2021","FQ4 2021","Currency=USD","Period=FQ","BEST_FPERIOD_OVERRIDE=FQ","FILING_STATUS=MR","SCALING_FORMAT=MLN","FA_ADJUSTED=Adjusted","Sort=A","Dates=H","DateFormat=P","Fill=—","Direction=H","UseDPDF=Y")</f>
        <v>2827.4989999999998</v>
      </c>
      <c r="M8" s="13" cm="1">
        <f t="array" ref="M8">_xll.BDH("PH US Equity","IS_COGS_TO_FE_AND_PP_AND_G","FQ1 2022","FQ1 2022","Currency=USD","Period=FQ","BEST_FPERIOD_OVERRIDE=FQ","FILING_STATUS=MR","SCALING_FORMAT=MLN","FA_ADJUSTED=Adjusted","Sort=A","Dates=H","DateFormat=P","Fill=—","Direction=H","UseDPDF=Y")</f>
        <v>2504.13</v>
      </c>
      <c r="N8" s="13" cm="1">
        <f t="array" ref="N8">_xll.BDH("PH US Equity","IS_COGS_TO_FE_AND_PP_AND_G","FQ2 2022","FQ2 2022","Currency=USD","Period=FQ","BEST_FPERIOD_OVERRIDE=FQ","FILING_STATUS=MR","SCALING_FORMAT=MLN","FA_ADJUSTED=Adjusted","Sort=A","Dates=H","DateFormat=P","Fill=—","Direction=H","UseDPDF=Y")</f>
        <v>2565.8850000000002</v>
      </c>
      <c r="O8" s="13" cm="1">
        <f t="array" ref="O8">_xll.BDH("PH US Equity","IS_COGS_TO_FE_AND_PP_AND_G","FQ3 2022","FQ3 2022","Currency=USD","Period=FQ","BEST_FPERIOD_OVERRIDE=FQ","FILING_STATUS=MR","SCALING_FORMAT=MLN","FA_ADJUSTED=Adjusted","Sort=A","Dates=H","DateFormat=P","Fill=—","Direction=H","UseDPDF=Y")</f>
        <v>2916.5149999999999</v>
      </c>
      <c r="P8" s="13" cm="1">
        <f t="array" ref="P8">_xll.BDH("PH US Equity","IS_COGS_TO_FE_AND_PP_AND_G","FQ4 2022","FQ4 2022","Currency=USD","Period=FQ","BEST_FPERIOD_OVERRIDE=FQ","FILING_STATUS=MR","SCALING_FORMAT=MLN","FA_ADJUSTED=Adjusted","Sort=A","Dates=H","DateFormat=P","Fill=—","Direction=H","UseDPDF=Y")</f>
        <v>2753.2640000000001</v>
      </c>
      <c r="Q8" s="13" cm="1">
        <f t="array" ref="Q8">_xll.BDH("PH US Equity","IS_COGS_TO_FE_AND_PP_AND_G","FQ1 2023","FQ1 2023","Currency=USD","Period=FQ","BEST_FPERIOD_OVERRIDE=FQ","FILING_STATUS=MR","SCALING_FORMAT=MLN","FA_ADJUSTED=Adjusted","Sort=A","Dates=H","DateFormat=P","Fill=—","Direction=H","UseDPDF=Y")</f>
        <v>2792.33</v>
      </c>
      <c r="R8" s="13" cm="1">
        <f t="array" ref="R8">_xll.BDH("PH US Equity","IS_COGS_TO_FE_AND_PP_AND_G","FQ2 2023","FQ2 2023","Currency=USD","Period=FQ","BEST_FPERIOD_OVERRIDE=FQ","FILING_STATUS=MR","SCALING_FORMAT=MLN","FA_ADJUSTED=Adjusted","Sort=A","Dates=H","DateFormat=P","Fill=—","Direction=H","UseDPDF=Y")</f>
        <v>3233.598</v>
      </c>
      <c r="S8" s="13" cm="1">
        <f t="array" ref="S8">_xll.BDH("PH US Equity","IS_COGS_TO_FE_AND_PP_AND_G","FQ3 2023","FQ3 2023","Currency=USD","Period=FQ","BEST_FPERIOD_OVERRIDE=FQ","FILING_STATUS=MR","SCALING_FORMAT=MLN","FA_ADJUSTED=Adjusted","Sort=A","Dates=H","DateFormat=P","Fill=—","Direction=H","UseDPDF=Y")</f>
        <v>3335.7310000000002</v>
      </c>
      <c r="T8" s="13" cm="1">
        <f t="array" ref="T8">_xll.BDH("PH US Equity","IS_COGS_TO_FE_AND_PP_AND_G","FQ4 2023","FQ4 2023","Currency=USD","Period=FQ","BEST_FPERIOD_OVERRIDE=FQ","FILING_STATUS=MR","SCALING_FORMAT=MLN","FA_ADJUSTED=Adjusted","Sort=A","Dates=H","DateFormat=P","Fill=—","Direction=H","UseDPDF=Y")</f>
        <v>3252.4160000000002</v>
      </c>
      <c r="U8" s="13" cm="1">
        <f t="array" ref="U8">_xll.BDH("PH US Equity","IS_COGS_TO_FE_AND_PP_AND_G","FQ1 2024","FQ1 2024","Currency=USD","Period=FQ","BEST_FPERIOD_OVERRIDE=FQ","FILING_STATUS=MR","SCALING_FORMAT=MLN","FA_ADJUSTED=Adjusted","Sort=A","Dates=H","DateFormat=P","Fill=—","Direction=H","UseDPDF=Y")</f>
        <v>3097.3490000000002</v>
      </c>
      <c r="V8" s="13" cm="1">
        <f t="array" ref="V8">_xll.BDH("PH US Equity","IS_COGS_TO_FE_AND_PP_AND_G","FQ2 2024","FQ2 2024","Currency=USD","Period=FQ","BEST_FPERIOD_OVERRIDE=FQ","FILING_STATUS=MR","SCALING_FORMAT=MLN","FA_ADJUSTED=Adjusted","Sort=A","Dates=H","DateFormat=P","Fill=—","Direction=H","UseDPDF=Y")</f>
        <v>3093.4949999999999</v>
      </c>
      <c r="W8" s="13" cm="1">
        <f t="array" ref="W8">_xll.BDH("PH US Equity","IS_COGS_TO_FE_AND_PP_AND_G","FQ3 2024","FQ3 2024","Currency=USD","Period=FQ","BEST_FPERIOD_OVERRIDE=FQ","FILING_STATUS=MR","SCALING_FORMAT=MLN","FA_ADJUSTED=Adjusted","Sort=A","Dates=H","DateFormat=P","Fill=—","Direction=H","UseDPDF=Y")</f>
        <v>3276.636</v>
      </c>
      <c r="X8" s="13" cm="1">
        <f t="array" ref="X8">_xll.BDH("PH US Equity","IS_COGS_TO_FE_AND_PP_AND_G","FQ4 2024","FQ4 2024","Currency=USD","Period=FQ","BEST_FPERIOD_OVERRIDE=FQ","FILING_STATUS=MR","SCALING_FORMAT=MLN","FA_ADJUSTED=Adjusted","Sort=A","Dates=H","DateFormat=P","Fill=—","Direction=H","UseDPDF=Y")</f>
        <v>3310.348</v>
      </c>
      <c r="Y8" s="13" cm="1">
        <f t="array" ref="Y8">_xll.BDH("PH US Equity","IS_COGS_TO_FE_AND_PP_AND_G","FQ1 2025","FQ1 2025","Currency=USD","Period=FQ","BEST_FPERIOD_OVERRIDE=FQ","FILING_STATUS=MR","SCALING_FORMAT=MLN","FA_ADJUSTED=Adjusted","Sort=A","Dates=H","DateFormat=P","Fill=—","Direction=H","UseDPDF=Y")</f>
        <v>3097.7190000000001</v>
      </c>
      <c r="Z8" s="13" cm="1">
        <f t="array" ref="Z8">_xll.BDH("PH US Equity","IS_COGS_TO_FE_AND_PP_AND_G","FQ2 2025","FQ2 2025","Currency=USD","Period=FQ","BEST_FPERIOD_OVERRIDE=FQ","FILING_STATUS=MR","SCALING_FORMAT=MLN","FA_ADJUSTED=Adjusted","Sort=A","Dates=H","DateFormat=P","Fill=—","Direction=H","UseDPDF=Y")</f>
        <v>3011.4850000000001</v>
      </c>
      <c r="AA8" s="13" cm="1">
        <f t="array" ref="AA8">_xll.BDH("PH US Equity","IS_COGS_TO_FE_AND_PP_AND_G","FQ3 2025","FQ3 2025","Currency=USD","Period=FQ","BEST_FPERIOD_OVERRIDE=FQ","FILING_STATUS=MR","SCALING_FORMAT=MLN","FA_ADJUSTED=Adjusted","Sort=A","Dates=H","DateFormat=P","Fill=—","Direction=H","UseDPDF=Y")</f>
        <v>3124.9989999999998</v>
      </c>
      <c r="AB8" s="13" cm="1">
        <f t="array" ref="AB8">_xll.BDH("PH US Equity","IS_COGS_TO_FE_AND_PP_AND_G","FQ4 2025","FQ4 2025","Currency=USD","Period=FQ","BEST_FPERIOD_OVERRIDE=FQ","FILING_STATUS=MR","SCALING_FORMAT=MLN","FA_ADJUSTED=Adjusted","Sort=A","Dates=H","DateFormat=P","Fill=—","Direction=H","UseDPDF=Y")</f>
        <v>3275</v>
      </c>
      <c r="AC8" s="13" cm="1">
        <f t="array" ref="AC8">_xll.BDH("PH US Equity","IS_COGS_TO_FE_AND_PP_AND_G","FQ1 2026","FQ1 2026","Currency=USD","Period=FQ","BEST_FPERIOD_OVERRIDE=FQ","FILING_STATUS=MR","SCALING_FORMAT=MLN","FA_ADJUSTED=Adjusted","Sort=A","Dates=H","DateFormat=P","Fill=—","Direction=H","UseDPDF=Y")</f>
        <v>3177</v>
      </c>
      <c r="AD8" s="13" cm="1">
        <f t="array" ref="AD8">_xll.BDH("PH US Equity","IS_COGS_TO_FE_AND_PP_AND_G","FQ2 2026","FQ2 2026","Currency=USD","Period=FQ","BEST_FPERIOD_OVERRIDE=FQ","FILING_STATUS=MR","SCALING_FORMAT=MLN","FA_ADJUSTED=Adjusted","Sort=A","Dates=H","DateFormat=P","Fill=—","Direction=H","UseDPDF=Y")</f>
        <v>3228</v>
      </c>
      <c r="AE8" s="13"/>
      <c r="AF8" s="13"/>
    </row>
    <row r="9" spans="1:32" x14ac:dyDescent="0.25">
      <c r="A9" s="10" t="s">
        <v>72</v>
      </c>
      <c r="B9" s="10" t="s">
        <v>73</v>
      </c>
      <c r="C9" s="13" cm="1">
        <f t="array" ref="C9">_xll.BDH("PH US Equity","IS_COG_AND_SERVICES_SOLD","FQ3 2019","FQ3 2019","Currency=USD","Period=FQ","BEST_FPERIOD_OVERRIDE=FQ","FILING_STATUS=MR","SCALING_FORMAT=MLN","FA_ADJUSTED=Adjusted","Sort=A","Dates=H","DateFormat=P","Fill=—","Direction=H","UseDPDF=Y")</f>
        <v>2763.94</v>
      </c>
      <c r="D9" s="13" cm="1">
        <f t="array" ref="D9">_xll.BDH("PH US Equity","IS_COG_AND_SERVICES_SOLD","FQ4 2019","FQ4 2019","Currency=USD","Period=FQ","BEST_FPERIOD_OVERRIDE=FQ","FILING_STATUS=MR","SCALING_FORMAT=MLN","FA_ADJUSTED=Adjusted","Sort=A","Dates=H","DateFormat=P","Fill=—","Direction=H","UseDPDF=Y")</f>
        <v>2718.654</v>
      </c>
      <c r="E9" s="13" cm="1">
        <f t="array" ref="E9">_xll.BDH("PH US Equity","IS_COG_AND_SERVICES_SOLD","FQ1 2020","FQ1 2020","Currency=USD","Period=FQ","BEST_FPERIOD_OVERRIDE=FQ","FILING_STATUS=MR","SCALING_FORMAT=MLN","FA_ADJUSTED=Adjusted","Sort=A","Dates=H","DateFormat=P","Fill=—","Direction=H","UseDPDF=Y")</f>
        <v>2473.877</v>
      </c>
      <c r="F9" s="13" cm="1">
        <f t="array" ref="F9">_xll.BDH("PH US Equity","IS_COG_AND_SERVICES_SOLD","FQ2 2020","FQ2 2020","Currency=USD","Period=FQ","BEST_FPERIOD_OVERRIDE=FQ","FILING_STATUS=MR","SCALING_FORMAT=MLN","FA_ADJUSTED=Adjusted","Sort=A","Dates=H","DateFormat=P","Fill=—","Direction=H","UseDPDF=Y")</f>
        <v>2625.5680000000002</v>
      </c>
      <c r="G9" s="13" cm="1">
        <f t="array" ref="G9">_xll.BDH("PH US Equity","IS_COG_AND_SERVICES_SOLD","FQ3 2020","FQ3 2020","Currency=USD","Period=FQ","BEST_FPERIOD_OVERRIDE=FQ","FILING_STATUS=MR","SCALING_FORMAT=MLN","FA_ADJUSTED=Adjusted","Sort=A","Dates=H","DateFormat=P","Fill=—","Direction=H","UseDPDF=Y")</f>
        <v>2738.0329999999999</v>
      </c>
      <c r="H9" s="13" cm="1">
        <f t="array" ref="H9">_xll.BDH("PH US Equity","IS_COG_AND_SERVICES_SOLD","FQ4 2020","FQ4 2020","Currency=USD","Period=FQ","BEST_FPERIOD_OVERRIDE=FQ","FILING_STATUS=MR","SCALING_FORMAT=MLN","FA_ADJUSTED=Adjusted","Sort=A","Dates=H","DateFormat=P","Fill=—","Direction=H","UseDPDF=Y")</f>
        <v>2327.6410000000001</v>
      </c>
      <c r="I9" s="13" cm="1">
        <f t="array" ref="I9">_xll.BDH("PH US Equity","IS_COG_AND_SERVICES_SOLD","FQ1 2021","FQ1 2021","Currency=USD","Period=FQ","BEST_FPERIOD_OVERRIDE=FQ","FILING_STATUS=MR","SCALING_FORMAT=MLN","FA_ADJUSTED=Adjusted","Sort=A","Dates=H","DateFormat=P","Fill=—","Direction=H","UseDPDF=Y")</f>
        <v>2373.9679999999998</v>
      </c>
      <c r="J9" s="13" cm="1">
        <f t="array" ref="J9">_xll.BDH("PH US Equity","IS_COG_AND_SERVICES_SOLD","FQ2 2021","FQ2 2021","Currency=USD","Period=FQ","BEST_FPERIOD_OVERRIDE=FQ","FILING_STATUS=MR","SCALING_FORMAT=MLN","FA_ADJUSTED=Adjusted","Sort=A","Dates=H","DateFormat=P","Fill=—","Direction=H","UseDPDF=Y")</f>
        <v>2503.982</v>
      </c>
      <c r="K9" s="13" cm="1">
        <f t="array" ref="K9">_xll.BDH("PH US Equity","IS_COG_AND_SERVICES_SOLD","FQ3 2021","FQ3 2021","Currency=USD","Period=FQ","BEST_FPERIOD_OVERRIDE=FQ","FILING_STATUS=MR","SCALING_FORMAT=MLN","FA_ADJUSTED=Adjusted","Sort=A","Dates=H","DateFormat=P","Fill=—","Direction=H","UseDPDF=Y")</f>
        <v>2709.3040000000001</v>
      </c>
      <c r="L9" s="13" cm="1">
        <f t="array" ref="L9">_xll.BDH("PH US Equity","IS_COG_AND_SERVICES_SOLD","FQ4 2021","FQ4 2021","Currency=USD","Period=FQ","BEST_FPERIOD_OVERRIDE=FQ","FILING_STATUS=MR","SCALING_FORMAT=MLN","FA_ADJUSTED=Adjusted","Sort=A","Dates=H","DateFormat=P","Fill=—","Direction=H","UseDPDF=Y")</f>
        <v>2827.4989999999998</v>
      </c>
      <c r="M9" s="13" cm="1">
        <f t="array" ref="M9">_xll.BDH("PH US Equity","IS_COG_AND_SERVICES_SOLD","FQ1 2022","FQ1 2022","Currency=USD","Period=FQ","BEST_FPERIOD_OVERRIDE=FQ","FILING_STATUS=MR","SCALING_FORMAT=MLN","FA_ADJUSTED=Adjusted","Sort=A","Dates=H","DateFormat=P","Fill=—","Direction=H","UseDPDF=Y")</f>
        <v>2504.13</v>
      </c>
      <c r="N9" s="13" cm="1">
        <f t="array" ref="N9">_xll.BDH("PH US Equity","IS_COG_AND_SERVICES_SOLD","FQ2 2022","FQ2 2022","Currency=USD","Period=FQ","BEST_FPERIOD_OVERRIDE=FQ","FILING_STATUS=MR","SCALING_FORMAT=MLN","FA_ADJUSTED=Adjusted","Sort=A","Dates=H","DateFormat=P","Fill=—","Direction=H","UseDPDF=Y")</f>
        <v>2565.8850000000002</v>
      </c>
      <c r="O9" s="13" cm="1">
        <f t="array" ref="O9">_xll.BDH("PH US Equity","IS_COG_AND_SERVICES_SOLD","FQ3 2022","FQ3 2022","Currency=USD","Period=FQ","BEST_FPERIOD_OVERRIDE=FQ","FILING_STATUS=MR","SCALING_FORMAT=MLN","FA_ADJUSTED=Adjusted","Sort=A","Dates=H","DateFormat=P","Fill=—","Direction=H","UseDPDF=Y")</f>
        <v>2916.5149999999999</v>
      </c>
      <c r="P9" s="13" cm="1">
        <f t="array" ref="P9">_xll.BDH("PH US Equity","IS_COG_AND_SERVICES_SOLD","FQ4 2022","FQ4 2022","Currency=USD","Period=FQ","BEST_FPERIOD_OVERRIDE=FQ","FILING_STATUS=MR","SCALING_FORMAT=MLN","FA_ADJUSTED=Adjusted","Sort=A","Dates=H","DateFormat=P","Fill=—","Direction=H","UseDPDF=Y")</f>
        <v>2753.2640000000001</v>
      </c>
      <c r="Q9" s="13" cm="1">
        <f t="array" ref="Q9">_xll.BDH("PH US Equity","IS_COG_AND_SERVICES_SOLD","FQ1 2023","FQ1 2023","Currency=USD","Period=FQ","BEST_FPERIOD_OVERRIDE=FQ","FILING_STATUS=MR","SCALING_FORMAT=MLN","FA_ADJUSTED=Adjusted","Sort=A","Dates=H","DateFormat=P","Fill=—","Direction=H","UseDPDF=Y")</f>
        <v>2792.33</v>
      </c>
      <c r="R9" s="13" cm="1">
        <f t="array" ref="R9">_xll.BDH("PH US Equity","IS_COG_AND_SERVICES_SOLD","FQ2 2023","FQ2 2023","Currency=USD","Period=FQ","BEST_FPERIOD_OVERRIDE=FQ","FILING_STATUS=MR","SCALING_FORMAT=MLN","FA_ADJUSTED=Adjusted","Sort=A","Dates=H","DateFormat=P","Fill=—","Direction=H","UseDPDF=Y")</f>
        <v>3233.598</v>
      </c>
      <c r="S9" s="13" cm="1">
        <f t="array" ref="S9">_xll.BDH("PH US Equity","IS_COG_AND_SERVICES_SOLD","FQ3 2023","FQ3 2023","Currency=USD","Period=FQ","BEST_FPERIOD_OVERRIDE=FQ","FILING_STATUS=MR","SCALING_FORMAT=MLN","FA_ADJUSTED=Adjusted","Sort=A","Dates=H","DateFormat=P","Fill=—","Direction=H","UseDPDF=Y")</f>
        <v>3335.7310000000002</v>
      </c>
      <c r="T9" s="13" cm="1">
        <f t="array" ref="T9">_xll.BDH("PH US Equity","IS_COG_AND_SERVICES_SOLD","FQ4 2023","FQ4 2023","Currency=USD","Period=FQ","BEST_FPERIOD_OVERRIDE=FQ","FILING_STATUS=MR","SCALING_FORMAT=MLN","FA_ADJUSTED=Adjusted","Sort=A","Dates=H","DateFormat=P","Fill=—","Direction=H","UseDPDF=Y")</f>
        <v>3252.4160000000002</v>
      </c>
      <c r="U9" s="13" cm="1">
        <f t="array" ref="U9">_xll.BDH("PH US Equity","IS_COG_AND_SERVICES_SOLD","FQ1 2024","FQ1 2024","Currency=USD","Period=FQ","BEST_FPERIOD_OVERRIDE=FQ","FILING_STATUS=MR","SCALING_FORMAT=MLN","FA_ADJUSTED=Adjusted","Sort=A","Dates=H","DateFormat=P","Fill=—","Direction=H","UseDPDF=Y")</f>
        <v>3097.3490000000002</v>
      </c>
      <c r="V9" s="13" cm="1">
        <f t="array" ref="V9">_xll.BDH("PH US Equity","IS_COG_AND_SERVICES_SOLD","FQ2 2024","FQ2 2024","Currency=USD","Period=FQ","BEST_FPERIOD_OVERRIDE=FQ","FILING_STATUS=MR","SCALING_FORMAT=MLN","FA_ADJUSTED=Adjusted","Sort=A","Dates=H","DateFormat=P","Fill=—","Direction=H","UseDPDF=Y")</f>
        <v>3093.4949999999999</v>
      </c>
      <c r="W9" s="13" cm="1">
        <f t="array" ref="W9">_xll.BDH("PH US Equity","IS_COG_AND_SERVICES_SOLD","FQ3 2024","FQ3 2024","Currency=USD","Period=FQ","BEST_FPERIOD_OVERRIDE=FQ","FILING_STATUS=MR","SCALING_FORMAT=MLN","FA_ADJUSTED=Adjusted","Sort=A","Dates=H","DateFormat=P","Fill=—","Direction=H","UseDPDF=Y")</f>
        <v>3276.636</v>
      </c>
      <c r="X9" s="13" cm="1">
        <f t="array" ref="X9">_xll.BDH("PH US Equity","IS_COG_AND_SERVICES_SOLD","FQ4 2024","FQ4 2024","Currency=USD","Period=FQ","BEST_FPERIOD_OVERRIDE=FQ","FILING_STATUS=MR","SCALING_FORMAT=MLN","FA_ADJUSTED=Adjusted","Sort=A","Dates=H","DateFormat=P","Fill=—","Direction=H","UseDPDF=Y")</f>
        <v>3310.348</v>
      </c>
      <c r="Y9" s="13" cm="1">
        <f t="array" ref="Y9">_xll.BDH("PH US Equity","IS_COG_AND_SERVICES_SOLD","FQ1 2025","FQ1 2025","Currency=USD","Period=FQ","BEST_FPERIOD_OVERRIDE=FQ","FILING_STATUS=MR","SCALING_FORMAT=MLN","FA_ADJUSTED=Adjusted","Sort=A","Dates=H","DateFormat=P","Fill=—","Direction=H","UseDPDF=Y")</f>
        <v>3097.7190000000001</v>
      </c>
      <c r="Z9" s="13" cm="1">
        <f t="array" ref="Z9">_xll.BDH("PH US Equity","IS_COG_AND_SERVICES_SOLD","FQ2 2025","FQ2 2025","Currency=USD","Period=FQ","BEST_FPERIOD_OVERRIDE=FQ","FILING_STATUS=MR","SCALING_FORMAT=MLN","FA_ADJUSTED=Adjusted","Sort=A","Dates=H","DateFormat=P","Fill=—","Direction=H","UseDPDF=Y")</f>
        <v>3011.4850000000001</v>
      </c>
      <c r="AA9" s="13" cm="1">
        <f t="array" ref="AA9">_xll.BDH("PH US Equity","IS_COG_AND_SERVICES_SOLD","FQ3 2025","FQ3 2025","Currency=USD","Period=FQ","BEST_FPERIOD_OVERRIDE=FQ","FILING_STATUS=MR","SCALING_FORMAT=MLN","FA_ADJUSTED=Adjusted","Sort=A","Dates=H","DateFormat=P","Fill=—","Direction=H","UseDPDF=Y")</f>
        <v>3124.9989999999998</v>
      </c>
      <c r="AB9" s="13" cm="1">
        <f t="array" ref="AB9">_xll.BDH("PH US Equity","IS_COG_AND_SERVICES_SOLD","FQ4 2025","FQ4 2025","Currency=USD","Period=FQ","BEST_FPERIOD_OVERRIDE=FQ","FILING_STATUS=MR","SCALING_FORMAT=MLN","FA_ADJUSTED=Adjusted","Sort=A","Dates=H","DateFormat=P","Fill=—","Direction=H","UseDPDF=Y")</f>
        <v>3275</v>
      </c>
      <c r="AC9" s="13" cm="1">
        <f t="array" ref="AC9">_xll.BDH("PH US Equity","IS_COG_AND_SERVICES_SOLD","FQ1 2026","FQ1 2026","Currency=USD","Period=FQ","BEST_FPERIOD_OVERRIDE=FQ","FILING_STATUS=MR","SCALING_FORMAT=MLN","FA_ADJUSTED=Adjusted","Sort=A","Dates=H","DateFormat=P","Fill=—","Direction=H","UseDPDF=Y")</f>
        <v>3177</v>
      </c>
      <c r="AD9" s="13" cm="1">
        <f t="array" ref="AD9">_xll.BDH("PH US Equity","IS_COG_AND_SERVICES_SOLD","FQ2 2026","FQ2 2026","Currency=USD","Period=FQ","BEST_FPERIOD_OVERRIDE=FQ","FILING_STATUS=MR","SCALING_FORMAT=MLN","FA_ADJUSTED=Adjusted","Sort=A","Dates=H","DateFormat=P","Fill=—","Direction=H","UseDPDF=Y")</f>
        <v>3228</v>
      </c>
      <c r="AE9" s="13"/>
      <c r="AF9" s="13"/>
    </row>
    <row r="10" spans="1:32" x14ac:dyDescent="0.25">
      <c r="A10" s="6" t="s">
        <v>1</v>
      </c>
      <c r="B10" s="6" t="s">
        <v>74</v>
      </c>
      <c r="C10" s="16" cm="1">
        <f t="array" ref="C10">_xll.BDH("PH US Equity","GROSS_PROFIT","FQ3 2019","FQ3 2019","Currency=USD","Period=FQ","BEST_FPERIOD_OVERRIDE=FQ","FILING_STATUS=MR","SCALING_FORMAT=MLN","FA_ADJUSTED=Adjusted","Sort=A","Dates=H","DateFormat=P","Fill=—","Direction=H","UseDPDF=Y")</f>
        <v>923.57799999999997</v>
      </c>
      <c r="D10" s="16" cm="1">
        <f t="array" ref="D10">_xll.BDH("PH US Equity","GROSS_PROFIT","FQ4 2019","FQ4 2019","Currency=USD","Period=FQ","BEST_FPERIOD_OVERRIDE=FQ","FILING_STATUS=MR","SCALING_FORMAT=MLN","FA_ADJUSTED=Adjusted","Sort=A","Dates=H","DateFormat=P","Fill=—","Direction=H","UseDPDF=Y")</f>
        <v>962.81299999999999</v>
      </c>
      <c r="E10" s="16" cm="1">
        <f t="array" ref="E10">_xll.BDH("PH US Equity","GROSS_PROFIT","FQ1 2020","FQ1 2020","Currency=USD","Period=FQ","BEST_FPERIOD_OVERRIDE=FQ","FILING_STATUS=MR","SCALING_FORMAT=MLN","FA_ADJUSTED=Adjusted","Sort=A","Dates=H","DateFormat=P","Fill=—","Direction=H","UseDPDF=Y")</f>
        <v>860.63400000000001</v>
      </c>
      <c r="F10" s="16" cm="1">
        <f t="array" ref="F10">_xll.BDH("PH US Equity","GROSS_PROFIT","FQ2 2020","FQ2 2020","Currency=USD","Period=FQ","BEST_FPERIOD_OVERRIDE=FQ","FILING_STATUS=MR","SCALING_FORMAT=MLN","FA_ADJUSTED=Adjusted","Sort=A","Dates=H","DateFormat=P","Fill=—","Direction=H","UseDPDF=Y")</f>
        <v>872.40599999999995</v>
      </c>
      <c r="G10" s="16" cm="1">
        <f t="array" ref="G10">_xll.BDH("PH US Equity","GROSS_PROFIT","FQ3 2020","FQ3 2020","Currency=USD","Period=FQ","BEST_FPERIOD_OVERRIDE=FQ","FILING_STATUS=MR","SCALING_FORMAT=MLN","FA_ADJUSTED=Adjusted","Sort=A","Dates=H","DateFormat=P","Fill=—","Direction=H","UseDPDF=Y")</f>
        <v>964.399</v>
      </c>
      <c r="H10" s="16" cm="1">
        <f t="array" ref="H10">_xll.BDH("PH US Equity","GROSS_PROFIT","FQ4 2020","FQ4 2020","Currency=USD","Period=FQ","BEST_FPERIOD_OVERRIDE=FQ","FILING_STATUS=MR","SCALING_FORMAT=MLN","FA_ADJUSTED=Adjusted","Sort=A","Dates=H","DateFormat=P","Fill=—","Direction=H","UseDPDF=Y")</f>
        <v>832.96199999999999</v>
      </c>
      <c r="I10" s="16" cm="1">
        <f t="array" ref="I10">_xll.BDH("PH US Equity","GROSS_PROFIT","FQ1 2021","FQ1 2021","Currency=USD","Period=FQ","BEST_FPERIOD_OVERRIDE=FQ","FILING_STATUS=MR","SCALING_FORMAT=MLN","FA_ADJUSTED=Adjusted","Sort=A","Dates=H","DateFormat=P","Fill=—","Direction=H","UseDPDF=Y")</f>
        <v>856.572</v>
      </c>
      <c r="J10" s="16" cm="1">
        <f t="array" ref="J10">_xll.BDH("PH US Equity","GROSS_PROFIT","FQ2 2021","FQ2 2021","Currency=USD","Period=FQ","BEST_FPERIOD_OVERRIDE=FQ","FILING_STATUS=MR","SCALING_FORMAT=MLN","FA_ADJUSTED=Adjusted","Sort=A","Dates=H","DateFormat=P","Fill=—","Direction=H","UseDPDF=Y")</f>
        <v>907.923</v>
      </c>
      <c r="K10" s="16" cm="1">
        <f t="array" ref="K10">_xll.BDH("PH US Equity","GROSS_PROFIT","FQ3 2021","FQ3 2021","Currency=USD","Period=FQ","BEST_FPERIOD_OVERRIDE=FQ","FILING_STATUS=MR","SCALING_FORMAT=MLN","FA_ADJUSTED=Adjusted","Sort=A","Dates=H","DateFormat=P","Fill=—","Direction=H","UseDPDF=Y")</f>
        <v>1037.0219999999999</v>
      </c>
      <c r="L10" s="16" cm="1">
        <f t="array" ref="L10">_xll.BDH("PH US Equity","GROSS_PROFIT","FQ4 2021","FQ4 2021","Currency=USD","Period=FQ","BEST_FPERIOD_OVERRIDE=FQ","FILING_STATUS=MR","SCALING_FORMAT=MLN","FA_ADJUSTED=Adjusted","Sort=A","Dates=H","DateFormat=P","Fill=—","Direction=H","UseDPDF=Y")</f>
        <v>1131.3699999999999</v>
      </c>
      <c r="M10" s="16" cm="1">
        <f t="array" ref="M10">_xll.BDH("PH US Equity","GROSS_PROFIT","FQ1 2022","FQ1 2022","Currency=USD","Period=FQ","BEST_FPERIOD_OVERRIDE=FQ","FILING_STATUS=MR","SCALING_FORMAT=MLN","FA_ADJUSTED=Adjusted","Sort=A","Dates=H","DateFormat=P","Fill=—","Direction=H","UseDPDF=Y")</f>
        <v>1258.6790000000001</v>
      </c>
      <c r="N10" s="16" cm="1">
        <f t="array" ref="N10">_xll.BDH("PH US Equity","GROSS_PROFIT","FQ2 2022","FQ2 2022","Currency=USD","Period=FQ","BEST_FPERIOD_OVERRIDE=FQ","FILING_STATUS=MR","SCALING_FORMAT=MLN","FA_ADJUSTED=Adjusted","Sort=A","Dates=H","DateFormat=P","Fill=—","Direction=H","UseDPDF=Y")</f>
        <v>1258.6949999999999</v>
      </c>
      <c r="O10" s="16" cm="1">
        <f t="array" ref="O10">_xll.BDH("PH US Equity","GROSS_PROFIT","FQ3 2022","FQ3 2022","Currency=USD","Period=FQ","BEST_FPERIOD_OVERRIDE=FQ","FILING_STATUS=MR","SCALING_FORMAT=MLN","FA_ADJUSTED=Adjusted","Sort=A","Dates=H","DateFormat=P","Fill=—","Direction=H","UseDPDF=Y")</f>
        <v>1169.8720000000001</v>
      </c>
      <c r="P10" s="16" cm="1">
        <f t="array" ref="P10">_xll.BDH("PH US Equity","GROSS_PROFIT","FQ4 2022","FQ4 2022","Currency=USD","Period=FQ","BEST_FPERIOD_OVERRIDE=FQ","FILING_STATUS=MR","SCALING_FORMAT=MLN","FA_ADJUSTED=Adjusted","Sort=A","Dates=H","DateFormat=P","Fill=—","Direction=H","UseDPDF=Y")</f>
        <v>1434.568</v>
      </c>
      <c r="Q10" s="16" cm="1">
        <f t="array" ref="Q10">_xll.BDH("PH US Equity","GROSS_PROFIT","FQ1 2023","FQ1 2023","Currency=USD","Period=FQ","BEST_FPERIOD_OVERRIDE=FQ","FILING_STATUS=MR","SCALING_FORMAT=MLN","FA_ADJUSTED=Adjusted","Sort=A","Dates=H","DateFormat=P","Fill=—","Direction=H","UseDPDF=Y")</f>
        <v>1440.4449999999999</v>
      </c>
      <c r="R10" s="16" cm="1">
        <f t="array" ref="R10">_xll.BDH("PH US Equity","GROSS_PROFIT","FQ2 2023","FQ2 2023","Currency=USD","Period=FQ","BEST_FPERIOD_OVERRIDE=FQ","FILING_STATUS=MR","SCALING_FORMAT=MLN","FA_ADJUSTED=Adjusted","Sort=A","Dates=H","DateFormat=P","Fill=—","Direction=H","UseDPDF=Y")</f>
        <v>1441.213</v>
      </c>
      <c r="S10" s="16" cm="1">
        <f t="array" ref="S10">_xll.BDH("PH US Equity","GROSS_PROFIT","FQ3 2023","FQ3 2023","Currency=USD","Period=FQ","BEST_FPERIOD_OVERRIDE=FQ","FILING_STATUS=MR","SCALING_FORMAT=MLN","FA_ADJUSTED=Adjusted","Sort=A","Dates=H","DateFormat=P","Fill=—","Direction=H","UseDPDF=Y")</f>
        <v>1725.934</v>
      </c>
      <c r="T10" s="16" cm="1">
        <f t="array" ref="T10">_xll.BDH("PH US Equity","GROSS_PROFIT","FQ4 2023","FQ4 2023","Currency=USD","Period=FQ","BEST_FPERIOD_OVERRIDE=FQ","FILING_STATUS=MR","SCALING_FORMAT=MLN","FA_ADJUSTED=Adjusted","Sort=A","Dates=H","DateFormat=P","Fill=—","Direction=H","UseDPDF=Y")</f>
        <v>1843.527</v>
      </c>
      <c r="U10" s="16" cm="1">
        <f t="array" ref="U10">_xll.BDH("PH US Equity","GROSS_PROFIT","FQ1 2024","FQ1 2024","Currency=USD","Period=FQ","BEST_FPERIOD_OVERRIDE=FQ","FILING_STATUS=MR","SCALING_FORMAT=MLN","FA_ADJUSTED=Adjusted","Sort=A","Dates=H","DateFormat=P","Fill=—","Direction=H","UseDPDF=Y")</f>
        <v>1750.1389999999999</v>
      </c>
      <c r="V10" s="16" cm="1">
        <f t="array" ref="V10">_xll.BDH("PH US Equity","GROSS_PROFIT","FQ2 2024","FQ2 2024","Currency=USD","Period=FQ","BEST_FPERIOD_OVERRIDE=FQ","FILING_STATUS=MR","SCALING_FORMAT=MLN","FA_ADJUSTED=Adjusted","Sort=A","Dates=H","DateFormat=P","Fill=—","Direction=H","UseDPDF=Y")</f>
        <v>1727.452</v>
      </c>
      <c r="W10" s="16" cm="1">
        <f t="array" ref="W10">_xll.BDH("PH US Equity","GROSS_PROFIT","FQ3 2024","FQ3 2024","Currency=USD","Period=FQ","BEST_FPERIOD_OVERRIDE=FQ","FILING_STATUS=MR","SCALING_FORMAT=MLN","FA_ADJUSTED=Adjusted","Sort=A","Dates=H","DateFormat=P","Fill=—","Direction=H","UseDPDF=Y")</f>
        <v>1797.72</v>
      </c>
      <c r="X10" s="16" cm="1">
        <f t="array" ref="X10">_xll.BDH("PH US Equity","GROSS_PROFIT","FQ4 2024","FQ4 2024","Currency=USD","Period=FQ","BEST_FPERIOD_OVERRIDE=FQ","FILING_STATUS=MR","SCALING_FORMAT=MLN","FA_ADJUSTED=Adjusted","Sort=A","Dates=H","DateFormat=P","Fill=—","Direction=H","UseDPDF=Y")</f>
        <v>1876.4670000000001</v>
      </c>
      <c r="Y10" s="16" cm="1">
        <f t="array" ref="Y10">_xll.BDH("PH US Equity","GROSS_PROFIT","FQ1 2025","FQ1 2025","Currency=USD","Period=FQ","BEST_FPERIOD_OVERRIDE=FQ","FILING_STATUS=MR","SCALING_FORMAT=MLN","FA_ADJUSTED=Adjusted","Sort=A","Dates=H","DateFormat=P","Fill=—","Direction=H","UseDPDF=Y")</f>
        <v>1806.2650000000001</v>
      </c>
      <c r="Z10" s="16" cm="1">
        <f t="array" ref="Z10">_xll.BDH("PH US Equity","GROSS_PROFIT","FQ2 2025","FQ2 2025","Currency=USD","Period=FQ","BEST_FPERIOD_OVERRIDE=FQ","FILING_STATUS=MR","SCALING_FORMAT=MLN","FA_ADJUSTED=Adjusted","Sort=A","Dates=H","DateFormat=P","Fill=—","Direction=H","UseDPDF=Y")</f>
        <v>1731.1079999999999</v>
      </c>
      <c r="AA10" s="16" cm="1">
        <f t="array" ref="AA10">_xll.BDH("PH US Equity","GROSS_PROFIT","FQ3 2025","FQ3 2025","Currency=USD","Period=FQ","BEST_FPERIOD_OVERRIDE=FQ","FILING_STATUS=MR","SCALING_FORMAT=MLN","FA_ADJUSTED=Adjusted","Sort=A","Dates=H","DateFormat=P","Fill=—","Direction=H","UseDPDF=Y")</f>
        <v>1835.35</v>
      </c>
      <c r="AB10" s="16" cm="1">
        <f t="array" ref="AB10">_xll.BDH("PH US Equity","GROSS_PROFIT","FQ4 2025","FQ4 2025","Currency=USD","Period=FQ","BEST_FPERIOD_OVERRIDE=FQ","FILING_STATUS=MR","SCALING_FORMAT=MLN","FA_ADJUSTED=Adjusted","Sort=A","Dates=H","DateFormat=P","Fill=—","Direction=H","UseDPDF=Y")</f>
        <v>1968</v>
      </c>
      <c r="AC10" s="16" cm="1">
        <f t="array" ref="AC10">_xll.BDH("PH US Equity","GROSS_PROFIT","FQ1 2026","FQ1 2026","Currency=USD","Period=FQ","BEST_FPERIOD_OVERRIDE=FQ","FILING_STATUS=MR","SCALING_FORMAT=MLN","FA_ADJUSTED=Adjusted","Sort=A","Dates=H","DateFormat=P","Fill=—","Direction=H","UseDPDF=Y")</f>
        <v>1907</v>
      </c>
      <c r="AD10" s="16" cm="1">
        <f t="array" ref="AD10">_xll.BDH("PH US Equity","GROSS_PROFIT","FQ2 2026","FQ2 2026","Currency=USD","Period=FQ","BEST_FPERIOD_OVERRIDE=FQ","FILING_STATUS=MR","SCALING_FORMAT=MLN","FA_ADJUSTED=Adjusted","Sort=A","Dates=H","DateFormat=P","Fill=—","Direction=H","UseDPDF=Y")</f>
        <v>1946</v>
      </c>
      <c r="AE10" s="16">
        <v>2033.608275</v>
      </c>
      <c r="AF10" s="16">
        <v>2152.5241430000001</v>
      </c>
    </row>
    <row r="11" spans="1:32" x14ac:dyDescent="0.25">
      <c r="A11" s="10" t="s">
        <v>75</v>
      </c>
      <c r="B11" s="10" t="s">
        <v>76</v>
      </c>
      <c r="C11" s="13" cm="1">
        <f t="array" ref="C11">_xll.BDH("PH US Equity","IS_OTHER_OPER_INC","FQ3 2019","FQ3 2019","Currency=USD","Period=FQ","BEST_FPERIOD_OVERRIDE=FQ","FILING_STATUS=MR","SCALING_FORMAT=MLN","FA_ADJUSTED=Adjusted","Sort=A","Dates=H","DateFormat=P","Fill=—","Direction=H","UseDPDF=Y")</f>
        <v>0</v>
      </c>
      <c r="D11" s="13" cm="1">
        <f t="array" ref="D11">_xll.BDH("PH US Equity","IS_OTHER_OPER_INC","FQ4 2019","FQ4 2019","Currency=USD","Period=FQ","BEST_FPERIOD_OVERRIDE=FQ","FILING_STATUS=MR","SCALING_FORMAT=MLN","FA_ADJUSTED=Adjusted","Sort=A","Dates=H","DateFormat=P","Fill=—","Direction=H","UseDPDF=Y")</f>
        <v>0</v>
      </c>
      <c r="E11" s="13" cm="1">
        <f t="array" ref="E11">_xll.BDH("PH US Equity","IS_OTHER_OPER_INC","FQ1 2020","FQ1 2020","Currency=USD","Period=FQ","BEST_FPERIOD_OVERRIDE=FQ","FILING_STATUS=MR","SCALING_FORMAT=MLN","FA_ADJUSTED=Adjusted","Sort=A","Dates=H","DateFormat=P","Fill=—","Direction=H","UseDPDF=Y")</f>
        <v>0</v>
      </c>
      <c r="F11" s="13" cm="1">
        <f t="array" ref="F11">_xll.BDH("PH US Equity","IS_OTHER_OPER_INC","FQ2 2020","FQ2 2020","Currency=USD","Period=FQ","BEST_FPERIOD_OVERRIDE=FQ","FILING_STATUS=MR","SCALING_FORMAT=MLN","FA_ADJUSTED=Adjusted","Sort=A","Dates=H","DateFormat=P","Fill=—","Direction=H","UseDPDF=Y")</f>
        <v>0</v>
      </c>
      <c r="G11" s="13" cm="1">
        <f t="array" ref="G11">_xll.BDH("PH US Equity","IS_OTHER_OPER_INC","FQ3 2020","FQ3 2020","Currency=USD","Period=FQ","BEST_FPERIOD_OVERRIDE=FQ","FILING_STATUS=MR","SCALING_FORMAT=MLN","FA_ADJUSTED=Adjusted","Sort=A","Dates=H","DateFormat=P","Fill=—","Direction=H","UseDPDF=Y")</f>
        <v>0</v>
      </c>
      <c r="H11" s="13" cm="1">
        <f t="array" ref="H11">_xll.BDH("PH US Equity","IS_OTHER_OPER_INC","FQ4 2020","FQ4 2020","Currency=USD","Period=FQ","BEST_FPERIOD_OVERRIDE=FQ","FILING_STATUS=MR","SCALING_FORMAT=MLN","FA_ADJUSTED=Adjusted","Sort=A","Dates=H","DateFormat=P","Fill=—","Direction=H","UseDPDF=Y")</f>
        <v>0</v>
      </c>
      <c r="I11" s="13" cm="1">
        <f t="array" ref="I11">_xll.BDH("PH US Equity","IS_OTHER_OPER_INC","FQ1 2021","FQ1 2021","Currency=USD","Period=FQ","BEST_FPERIOD_OVERRIDE=FQ","FILING_STATUS=MR","SCALING_FORMAT=MLN","FA_ADJUSTED=Adjusted","Sort=A","Dates=H","DateFormat=P","Fill=—","Direction=H","UseDPDF=Y")</f>
        <v>0</v>
      </c>
      <c r="J11" s="13" cm="1">
        <f t="array" ref="J11">_xll.BDH("PH US Equity","IS_OTHER_OPER_INC","FQ2 2021","FQ2 2021","Currency=USD","Period=FQ","BEST_FPERIOD_OVERRIDE=FQ","FILING_STATUS=MR","SCALING_FORMAT=MLN","FA_ADJUSTED=Adjusted","Sort=A","Dates=H","DateFormat=P","Fill=—","Direction=H","UseDPDF=Y")</f>
        <v>0</v>
      </c>
      <c r="K11" s="13" cm="1">
        <f t="array" ref="K11">_xll.BDH("PH US Equity","IS_OTHER_OPER_INC","FQ3 2021","FQ3 2021","Currency=USD","Period=FQ","BEST_FPERIOD_OVERRIDE=FQ","FILING_STATUS=MR","SCALING_FORMAT=MLN","FA_ADJUSTED=Adjusted","Sort=A","Dates=H","DateFormat=P","Fill=—","Direction=H","UseDPDF=Y")</f>
        <v>0</v>
      </c>
      <c r="L11" s="13" cm="1">
        <f t="array" ref="L11">_xll.BDH("PH US Equity","IS_OTHER_OPER_INC","FQ4 2021","FQ4 2021","Currency=USD","Period=FQ","BEST_FPERIOD_OVERRIDE=FQ","FILING_STATUS=MR","SCALING_FORMAT=MLN","FA_ADJUSTED=Adjusted","Sort=A","Dates=H","DateFormat=P","Fill=—","Direction=H","UseDPDF=Y")</f>
        <v>0</v>
      </c>
      <c r="M11" s="13" cm="1">
        <f t="array" ref="M11">_xll.BDH("PH US Equity","IS_OTHER_OPER_INC","FQ1 2022","FQ1 2022","Currency=USD","Period=FQ","BEST_FPERIOD_OVERRIDE=FQ","FILING_STATUS=MR","SCALING_FORMAT=MLN","FA_ADJUSTED=Adjusted","Sort=A","Dates=H","DateFormat=P","Fill=—","Direction=H","UseDPDF=Y")</f>
        <v>0</v>
      </c>
      <c r="N11" s="13" cm="1">
        <f t="array" ref="N11">_xll.BDH("PH US Equity","IS_OTHER_OPER_INC","FQ2 2022","FQ2 2022","Currency=USD","Period=FQ","BEST_FPERIOD_OVERRIDE=FQ","FILING_STATUS=MR","SCALING_FORMAT=MLN","FA_ADJUSTED=Adjusted","Sort=A","Dates=H","DateFormat=P","Fill=—","Direction=H","UseDPDF=Y")</f>
        <v>0</v>
      </c>
      <c r="O11" s="13" cm="1">
        <f t="array" ref="O11">_xll.BDH("PH US Equity","IS_OTHER_OPER_INC","FQ3 2022","FQ3 2022","Currency=USD","Period=FQ","BEST_FPERIOD_OVERRIDE=FQ","FILING_STATUS=MR","SCALING_FORMAT=MLN","FA_ADJUSTED=Adjusted","Sort=A","Dates=H","DateFormat=P","Fill=—","Direction=H","UseDPDF=Y")</f>
        <v>0</v>
      </c>
      <c r="P11" s="13" cm="1">
        <f t="array" ref="P11">_xll.BDH("PH US Equity","IS_OTHER_OPER_INC","FQ4 2022","FQ4 2022","Currency=USD","Period=FQ","BEST_FPERIOD_OVERRIDE=FQ","FILING_STATUS=MR","SCALING_FORMAT=MLN","FA_ADJUSTED=Adjusted","Sort=A","Dates=H","DateFormat=P","Fill=—","Direction=H","UseDPDF=Y")</f>
        <v>0</v>
      </c>
      <c r="Q11" s="13" cm="1">
        <f t="array" ref="Q11">_xll.BDH("PH US Equity","IS_OTHER_OPER_INC","FQ1 2023","FQ1 2023","Currency=USD","Period=FQ","BEST_FPERIOD_OVERRIDE=FQ","FILING_STATUS=MR","SCALING_FORMAT=MLN","FA_ADJUSTED=Adjusted","Sort=A","Dates=H","DateFormat=P","Fill=—","Direction=H","UseDPDF=Y")</f>
        <v>0</v>
      </c>
      <c r="R11" s="13" cm="1">
        <f t="array" ref="R11">_xll.BDH("PH US Equity","IS_OTHER_OPER_INC","FQ2 2023","FQ2 2023","Currency=USD","Period=FQ","BEST_FPERIOD_OVERRIDE=FQ","FILING_STATUS=MR","SCALING_FORMAT=MLN","FA_ADJUSTED=Adjusted","Sort=A","Dates=H","DateFormat=P","Fill=—","Direction=H","UseDPDF=Y")</f>
        <v>0</v>
      </c>
      <c r="S11" s="13" cm="1">
        <f t="array" ref="S11">_xll.BDH("PH US Equity","IS_OTHER_OPER_INC","FQ3 2023","FQ3 2023","Currency=USD","Period=FQ","BEST_FPERIOD_OVERRIDE=FQ","FILING_STATUS=MR","SCALING_FORMAT=MLN","FA_ADJUSTED=Adjusted","Sort=A","Dates=H","DateFormat=P","Fill=—","Direction=H","UseDPDF=Y")</f>
        <v>0</v>
      </c>
      <c r="T11" s="13" cm="1">
        <f t="array" ref="T11">_xll.BDH("PH US Equity","IS_OTHER_OPER_INC","FQ4 2023","FQ4 2023","Currency=USD","Period=FQ","BEST_FPERIOD_OVERRIDE=FQ","FILING_STATUS=MR","SCALING_FORMAT=MLN","FA_ADJUSTED=Adjusted","Sort=A","Dates=H","DateFormat=P","Fill=—","Direction=H","UseDPDF=Y")</f>
        <v>0</v>
      </c>
      <c r="U11" s="13" cm="1">
        <f t="array" ref="U11">_xll.BDH("PH US Equity","IS_OTHER_OPER_INC","FQ1 2024","FQ1 2024","Currency=USD","Period=FQ","BEST_FPERIOD_OVERRIDE=FQ","FILING_STATUS=MR","SCALING_FORMAT=MLN","FA_ADJUSTED=Adjusted","Sort=A","Dates=H","DateFormat=P","Fill=—","Direction=H","UseDPDF=Y")</f>
        <v>0</v>
      </c>
      <c r="V11" s="13" cm="1">
        <f t="array" ref="V11">_xll.BDH("PH US Equity","IS_OTHER_OPER_INC","FQ2 2024","FQ2 2024","Currency=USD","Period=FQ","BEST_FPERIOD_OVERRIDE=FQ","FILING_STATUS=MR","SCALING_FORMAT=MLN","FA_ADJUSTED=Adjusted","Sort=A","Dates=H","DateFormat=P","Fill=—","Direction=H","UseDPDF=Y")</f>
        <v>0</v>
      </c>
      <c r="W11" s="13" cm="1">
        <f t="array" ref="W11">_xll.BDH("PH US Equity","IS_OTHER_OPER_INC","FQ3 2024","FQ3 2024","Currency=USD","Period=FQ","BEST_FPERIOD_OVERRIDE=FQ","FILING_STATUS=MR","SCALING_FORMAT=MLN","FA_ADJUSTED=Adjusted","Sort=A","Dates=H","DateFormat=P","Fill=—","Direction=H","UseDPDF=Y")</f>
        <v>0</v>
      </c>
      <c r="X11" s="13" cm="1">
        <f t="array" ref="X11">_xll.BDH("PH US Equity","IS_OTHER_OPER_INC","FQ4 2024","FQ4 2024","Currency=USD","Period=FQ","BEST_FPERIOD_OVERRIDE=FQ","FILING_STATUS=MR","SCALING_FORMAT=MLN","FA_ADJUSTED=Adjusted","Sort=A","Dates=H","DateFormat=P","Fill=—","Direction=H","UseDPDF=Y")</f>
        <v>0</v>
      </c>
      <c r="Y11" s="13" cm="1">
        <f t="array" ref="Y11">_xll.BDH("PH US Equity","IS_OTHER_OPER_INC","FQ1 2025","FQ1 2025","Currency=USD","Period=FQ","BEST_FPERIOD_OVERRIDE=FQ","FILING_STATUS=MR","SCALING_FORMAT=MLN","FA_ADJUSTED=Adjusted","Sort=A","Dates=H","DateFormat=P","Fill=—","Direction=H","UseDPDF=Y")</f>
        <v>0</v>
      </c>
      <c r="Z11" s="13" cm="1">
        <f t="array" ref="Z11">_xll.BDH("PH US Equity","IS_OTHER_OPER_INC","FQ2 2025","FQ2 2025","Currency=USD","Period=FQ","BEST_FPERIOD_OVERRIDE=FQ","FILING_STATUS=MR","SCALING_FORMAT=MLN","FA_ADJUSTED=Adjusted","Sort=A","Dates=H","DateFormat=P","Fill=—","Direction=H","UseDPDF=Y")</f>
        <v>0</v>
      </c>
      <c r="AA11" s="13" cm="1">
        <f t="array" ref="AA11">_xll.BDH("PH US Equity","IS_OTHER_OPER_INC","FQ3 2025","FQ3 2025","Currency=USD","Period=FQ","BEST_FPERIOD_OVERRIDE=FQ","FILING_STATUS=MR","SCALING_FORMAT=MLN","FA_ADJUSTED=Adjusted","Sort=A","Dates=H","DateFormat=P","Fill=—","Direction=H","UseDPDF=Y")</f>
        <v>0</v>
      </c>
      <c r="AB11" s="13" cm="1">
        <f t="array" ref="AB11">_xll.BDH("PH US Equity","IS_OTHER_OPER_INC","FQ4 2025","FQ4 2025","Currency=USD","Period=FQ","BEST_FPERIOD_OVERRIDE=FQ","FILING_STATUS=MR","SCALING_FORMAT=MLN","FA_ADJUSTED=Adjusted","Sort=A","Dates=H","DateFormat=P","Fill=—","Direction=H","UseDPDF=Y")</f>
        <v>0</v>
      </c>
      <c r="AC11" s="13" cm="1">
        <f t="array" ref="AC11">_xll.BDH("PH US Equity","IS_OTHER_OPER_INC","FQ1 2026","FQ1 2026","Currency=USD","Period=FQ","BEST_FPERIOD_OVERRIDE=FQ","FILING_STATUS=MR","SCALING_FORMAT=MLN","FA_ADJUSTED=Adjusted","Sort=A","Dates=H","DateFormat=P","Fill=—","Direction=H","UseDPDF=Y")</f>
        <v>0</v>
      </c>
      <c r="AD11" s="13" cm="1">
        <f t="array" ref="AD11">_xll.BDH("PH US Equity","IS_OTHER_OPER_INC","FQ2 2026","FQ2 2026","Currency=USD","Period=FQ","BEST_FPERIOD_OVERRIDE=FQ","FILING_STATUS=MR","SCALING_FORMAT=MLN","FA_ADJUSTED=Adjusted","Sort=A","Dates=H","DateFormat=P","Fill=—","Direction=H","UseDPDF=Y")</f>
        <v>0</v>
      </c>
      <c r="AE11" s="13"/>
      <c r="AF11" s="13"/>
    </row>
    <row r="12" spans="1:32" x14ac:dyDescent="0.25">
      <c r="A12" s="10" t="s">
        <v>77</v>
      </c>
      <c r="B12" s="10" t="s">
        <v>78</v>
      </c>
      <c r="C12" s="13" cm="1">
        <f t="array" ref="C12">_xll.BDH("PH US Equity","IS_OPERATING_EXPN","FQ3 2019","FQ3 2019","Currency=USD","Period=FQ","BEST_FPERIOD_OVERRIDE=FQ","FILING_STATUS=MR","SCALING_FORMAT=MLN","FA_ADJUSTED=Adjusted","Sort=A","Dates=H","DateFormat=P","Fill=—","Direction=H","UseDPDF=Y")</f>
        <v>358.505</v>
      </c>
      <c r="D12" s="13" cm="1">
        <f t="array" ref="D12">_xll.BDH("PH US Equity","IS_OPERATING_EXPN","FQ4 2019","FQ4 2019","Currency=USD","Period=FQ","BEST_FPERIOD_OVERRIDE=FQ","FILING_STATUS=MR","SCALING_FORMAT=MLN","FA_ADJUSTED=Adjusted","Sort=A","Dates=H","DateFormat=P","Fill=—","Direction=H","UseDPDF=Y")</f>
        <v>382.53300000000002</v>
      </c>
      <c r="E12" s="13" cm="1">
        <f t="array" ref="E12">_xll.BDH("PH US Equity","IS_OPERATING_EXPN","FQ1 2020","FQ1 2020","Currency=USD","Period=FQ","BEST_FPERIOD_OVERRIDE=FQ","FILING_STATUS=MR","SCALING_FORMAT=MLN","FA_ADJUSTED=Adjusted","Sort=A","Dates=H","DateFormat=P","Fill=—","Direction=H","UseDPDF=Y")</f>
        <v>389.13600000000002</v>
      </c>
      <c r="F12" s="13" cm="1">
        <f t="array" ref="F12">_xll.BDH("PH US Equity","IS_OPERATING_EXPN","FQ2 2020","FQ2 2020","Currency=USD","Period=FQ","BEST_FPERIOD_OVERRIDE=FQ","FILING_STATUS=MR","SCALING_FORMAT=MLN","FA_ADJUSTED=Adjusted","Sort=A","Dates=H","DateFormat=P","Fill=—","Direction=H","UseDPDF=Y")</f>
        <v>377.01</v>
      </c>
      <c r="G12" s="13" cm="1">
        <f t="array" ref="G12">_xll.BDH("PH US Equity","IS_OPERATING_EXPN","FQ3 2020","FQ3 2020","Currency=USD","Period=FQ","BEST_FPERIOD_OVERRIDE=FQ","FILING_STATUS=MR","SCALING_FORMAT=MLN","FA_ADJUSTED=Adjusted","Sort=A","Dates=H","DateFormat=P","Fill=—","Direction=H","UseDPDF=Y")</f>
        <v>402.36700000000002</v>
      </c>
      <c r="H12" s="13" cm="1">
        <f t="array" ref="H12">_xll.BDH("PH US Equity","IS_OPERATING_EXPN","FQ4 2020","FQ4 2020","Currency=USD","Period=FQ","BEST_FPERIOD_OVERRIDE=FQ","FILING_STATUS=MR","SCALING_FORMAT=MLN","FA_ADJUSTED=Adjusted","Sort=A","Dates=H","DateFormat=P","Fill=—","Direction=H","UseDPDF=Y")</f>
        <v>332.79700000000003</v>
      </c>
      <c r="I12" s="13" cm="1">
        <f t="array" ref="I12">_xll.BDH("PH US Equity","IS_OPERATING_EXPN","FQ1 2021","FQ1 2021","Currency=USD","Period=FQ","BEST_FPERIOD_OVERRIDE=FQ","FILING_STATUS=MR","SCALING_FORMAT=MLN","FA_ADJUSTED=Adjusted","Sort=A","Dates=H","DateFormat=P","Fill=—","Direction=H","UseDPDF=Y")</f>
        <v>363.74599999999998</v>
      </c>
      <c r="J12" s="13" cm="1">
        <f t="array" ref="J12">_xll.BDH("PH US Equity","IS_OPERATING_EXPN","FQ2 2021","FQ2 2021","Currency=USD","Period=FQ","BEST_FPERIOD_OVERRIDE=FQ","FILING_STATUS=MR","SCALING_FORMAT=MLN","FA_ADJUSTED=Adjusted","Sort=A","Dates=H","DateFormat=P","Fill=—","Direction=H","UseDPDF=Y")</f>
        <v>551.35599999999999</v>
      </c>
      <c r="K12" s="13" cm="1">
        <f t="array" ref="K12">_xll.BDH("PH US Equity","IS_OPERATING_EXPN","FQ3 2021","FQ3 2021","Currency=USD","Period=FQ","BEST_FPERIOD_OVERRIDE=FQ","FILING_STATUS=MR","SCALING_FORMAT=MLN","FA_ADJUSTED=Adjusted","Sort=A","Dates=H","DateFormat=P","Fill=—","Direction=H","UseDPDF=Y")</f>
        <v>382.05500000000001</v>
      </c>
      <c r="L12" s="13" cm="1">
        <f t="array" ref="L12">_xll.BDH("PH US Equity","IS_OPERATING_EXPN","FQ4 2021","FQ4 2021","Currency=USD","Period=FQ","BEST_FPERIOD_OVERRIDE=FQ","FILING_STATUS=MR","SCALING_FORMAT=MLN","FA_ADJUSTED=Adjusted","Sort=A","Dates=H","DateFormat=P","Fill=—","Direction=H","UseDPDF=Y")</f>
        <v>406.625</v>
      </c>
      <c r="M12" s="13" cm="1">
        <f t="array" ref="M12">_xll.BDH("PH US Equity","IS_OPERATING_EXPN","FQ1 2022","FQ1 2022","Currency=USD","Period=FQ","BEST_FPERIOD_OVERRIDE=FQ","FILING_STATUS=MR","SCALING_FORMAT=MLN","FA_ADJUSTED=Adjusted","Sort=A","Dates=H","DateFormat=P","Fill=—","Direction=H","UseDPDF=Y")</f>
        <v>611.01900000000001</v>
      </c>
      <c r="N12" s="13" cm="1">
        <f t="array" ref="N12">_xll.BDH("PH US Equity","IS_OPERATING_EXPN","FQ2 2022","FQ2 2022","Currency=USD","Period=FQ","BEST_FPERIOD_OVERRIDE=FQ","FILING_STATUS=MR","SCALING_FORMAT=MLN","FA_ADJUSTED=Adjusted","Sort=A","Dates=H","DateFormat=P","Fill=—","Direction=H","UseDPDF=Y")</f>
        <v>435.03100000000001</v>
      </c>
      <c r="O12" s="13" cm="1">
        <f t="array" ref="O12">_xll.BDH("PH US Equity","IS_OPERATING_EXPN","FQ3 2022","FQ3 2022","Currency=USD","Period=FQ","BEST_FPERIOD_OVERRIDE=FQ","FILING_STATUS=MR","SCALING_FORMAT=MLN","FA_ADJUSTED=Adjusted","Sort=A","Dates=H","DateFormat=P","Fill=—","Direction=H","UseDPDF=Y")</f>
        <v>395.61200000000002</v>
      </c>
      <c r="P12" s="13" cm="1">
        <f t="array" ref="P12">_xll.BDH("PH US Equity","IS_OPERATING_EXPN","FQ4 2022","FQ4 2022","Currency=USD","Period=FQ","BEST_FPERIOD_OVERRIDE=FQ","FILING_STATUS=MR","SCALING_FORMAT=MLN","FA_ADJUSTED=Adjusted","Sort=A","Dates=H","DateFormat=P","Fill=—","Direction=H","UseDPDF=Y")</f>
        <v>31.954999999999998</v>
      </c>
      <c r="Q12" s="13" cm="1">
        <f t="array" ref="Q12">_xll.BDH("PH US Equity","IS_OPERATING_EXPN","FQ1 2023","FQ1 2023","Currency=USD","Period=FQ","BEST_FPERIOD_OVERRIDE=FQ","FILING_STATUS=MR","SCALING_FORMAT=MLN","FA_ADJUSTED=Adjusted","Sort=A","Dates=H","DateFormat=P","Fill=—","Direction=H","UseDPDF=Y")</f>
        <v>718.79700000000003</v>
      </c>
      <c r="R12" s="13" cm="1">
        <f t="array" ref="R12">_xll.BDH("PH US Equity","IS_OPERATING_EXPN","FQ2 2023","FQ2 2023","Currency=USD","Period=FQ","BEST_FPERIOD_OVERRIDE=FQ","FILING_STATUS=MR","SCALING_FORMAT=MLN","FA_ADJUSTED=Adjusted","Sort=A","Dates=H","DateFormat=P","Fill=—","Direction=H","UseDPDF=Y")</f>
        <v>814.34040000000005</v>
      </c>
      <c r="S12" s="13" cm="1">
        <f t="array" ref="S12">_xll.BDH("PH US Equity","IS_OPERATING_EXPN","FQ3 2023","FQ3 2023","Currency=USD","Period=FQ","BEST_FPERIOD_OVERRIDE=FQ","FILING_STATUS=MR","SCALING_FORMAT=MLN","FA_ADJUSTED=Adjusted","Sort=A","Dates=H","DateFormat=P","Fill=—","Direction=H","UseDPDF=Y")</f>
        <v>809.52800000000002</v>
      </c>
      <c r="T12" s="13" cm="1">
        <f t="array" ref="T12">_xll.BDH("PH US Equity","IS_OPERATING_EXPN","FQ4 2023","FQ4 2023","Currency=USD","Period=FQ","BEST_FPERIOD_OVERRIDE=FQ","FILING_STATUS=MR","SCALING_FORMAT=MLN","FA_ADJUSTED=Adjusted","Sort=A","Dates=H","DateFormat=P","Fill=—","Direction=H","UseDPDF=Y")</f>
        <v>807.37300000000005</v>
      </c>
      <c r="U12" s="13" cm="1">
        <f t="array" ref="U12">_xll.BDH("PH US Equity","IS_OPERATING_EXPN","FQ1 2024","FQ1 2024","Currency=USD","Period=FQ","BEST_FPERIOD_OVERRIDE=FQ","FILING_STATUS=MR","SCALING_FORMAT=MLN","FA_ADJUSTED=Adjusted","Sort=A","Dates=H","DateFormat=P","Fill=—","Direction=H","UseDPDF=Y")</f>
        <v>866.12</v>
      </c>
      <c r="V12" s="13" cm="1">
        <f t="array" ref="V12">_xll.BDH("PH US Equity","IS_OPERATING_EXPN","FQ2 2024","FQ2 2024","Currency=USD","Period=FQ","BEST_FPERIOD_OVERRIDE=FQ","FILING_STATUS=MR","SCALING_FORMAT=MLN","FA_ADJUSTED=Adjusted","Sort=A","Dates=H","DateFormat=P","Fill=—","Direction=H","UseDPDF=Y")</f>
        <v>799.52800000000002</v>
      </c>
      <c r="W12" s="13" cm="1">
        <f t="array" ref="W12">_xll.BDH("PH US Equity","IS_OPERATING_EXPN","FQ3 2024","FQ3 2024","Currency=USD","Period=FQ","BEST_FPERIOD_OVERRIDE=FQ","FILING_STATUS=MR","SCALING_FORMAT=MLN","FA_ADJUSTED=Adjusted","Sort=A","Dates=H","DateFormat=P","Fill=—","Direction=H","UseDPDF=Y")</f>
        <v>794.58</v>
      </c>
      <c r="X12" s="13" cm="1">
        <f t="array" ref="X12">_xll.BDH("PH US Equity","IS_OPERATING_EXPN","FQ4 2024","FQ4 2024","Currency=USD","Period=FQ","BEST_FPERIOD_OVERRIDE=FQ","FILING_STATUS=MR","SCALING_FORMAT=MLN","FA_ADJUSTED=Adjusted","Sort=A","Dates=H","DateFormat=P","Fill=—","Direction=H","UseDPDF=Y")</f>
        <v>798.49199999999996</v>
      </c>
      <c r="Y12" s="13" cm="1">
        <f t="array" ref="Y12">_xll.BDH("PH US Equity","IS_OPERATING_EXPN","FQ1 2025","FQ1 2025","Currency=USD","Period=FQ","BEST_FPERIOD_OVERRIDE=FQ","FILING_STATUS=MR","SCALING_FORMAT=MLN","FA_ADJUSTED=Adjusted","Sort=A","Dates=H","DateFormat=P","Fill=—","Direction=H","UseDPDF=Y")</f>
        <v>841.60699999999997</v>
      </c>
      <c r="Z12" s="13" cm="1">
        <f t="array" ref="Z12">_xll.BDH("PH US Equity","IS_OPERATING_EXPN","FQ2 2025","FQ2 2025","Currency=USD","Period=FQ","BEST_FPERIOD_OVERRIDE=FQ","FILING_STATUS=MR","SCALING_FORMAT=MLN","FA_ADJUSTED=Adjusted","Sort=A","Dates=H","DateFormat=P","Fill=—","Direction=H","UseDPDF=Y")</f>
        <v>1013.718</v>
      </c>
      <c r="AA12" s="13" cm="1">
        <f t="array" ref="AA12">_xll.BDH("PH US Equity","IS_OPERATING_EXPN","FQ3 2025","FQ3 2025","Currency=USD","Period=FQ","BEST_FPERIOD_OVERRIDE=FQ","FILING_STATUS=MR","SCALING_FORMAT=MLN","FA_ADJUSTED=Adjusted","Sort=A","Dates=H","DateFormat=P","Fill=—","Direction=H","UseDPDF=Y")</f>
        <v>767.31200000000001</v>
      </c>
      <c r="AB12" s="13" cm="1">
        <f t="array" ref="AB12">_xll.BDH("PH US Equity","IS_OPERATING_EXPN","FQ4 2025","FQ4 2025","Currency=USD","Period=FQ","BEST_FPERIOD_OVERRIDE=FQ","FILING_STATUS=MR","SCALING_FORMAT=MLN","FA_ADJUSTED=Adjusted","Sort=A","Dates=H","DateFormat=P","Fill=—","Direction=H","UseDPDF=Y")</f>
        <v>846</v>
      </c>
      <c r="AC12" s="13" cm="1">
        <f t="array" ref="AC12">_xll.BDH("PH US Equity","IS_OPERATING_EXPN","FQ1 2026","FQ1 2026","Currency=USD","Period=FQ","BEST_FPERIOD_OVERRIDE=FQ","FILING_STATUS=MR","SCALING_FORMAT=MLN","FA_ADJUSTED=Adjusted","Sort=A","Dates=H","DateFormat=P","Fill=—","Direction=H","UseDPDF=Y")</f>
        <v>851</v>
      </c>
      <c r="AD12" s="13" cm="1">
        <f t="array" ref="AD12">_xll.BDH("PH US Equity","IS_OPERATING_EXPN","FQ2 2026","FQ2 2026","Currency=USD","Period=FQ","BEST_FPERIOD_OVERRIDE=FQ","FILING_STATUS=MR","SCALING_FORMAT=MLN","FA_ADJUSTED=Adjusted","Sort=A","Dates=H","DateFormat=P","Fill=—","Direction=H","UseDPDF=Y")</f>
        <v>832</v>
      </c>
      <c r="AE12" s="13"/>
      <c r="AF12" s="13"/>
    </row>
    <row r="13" spans="1:32" x14ac:dyDescent="0.25">
      <c r="A13" s="10" t="s">
        <v>79</v>
      </c>
      <c r="B13" s="10" t="s">
        <v>80</v>
      </c>
      <c r="C13" s="13" cm="1">
        <f t="array" ref="C13">_xll.BDH("PH US Equity","IS_SGA_EXPENSE","FQ3 2019","FQ3 2019","Currency=USD","Period=FQ","BEST_FPERIOD_OVERRIDE=FQ","FILING_STATUS=MR","SCALING_FORMAT=MLN","FA_ADJUSTED=Adjusted","Sort=A","Dates=H","DateFormat=P","Fill=—","Direction=H","UseDPDF=Y")</f>
        <v>359.07</v>
      </c>
      <c r="D13" s="13" cm="1">
        <f t="array" ref="D13">_xll.BDH("PH US Equity","IS_SGA_EXPENSE","FQ4 2019","FQ4 2019","Currency=USD","Period=FQ","BEST_FPERIOD_OVERRIDE=FQ","FILING_STATUS=MR","SCALING_FORMAT=MLN","FA_ADJUSTED=Adjusted","Sort=A","Dates=H","DateFormat=P","Fill=—","Direction=H","UseDPDF=Y")</f>
        <v>370.834</v>
      </c>
      <c r="E13" s="13" cm="1">
        <f t="array" ref="E13">_xll.BDH("PH US Equity","IS_SGA_EXPENSE","FQ1 2020","FQ1 2020","Currency=USD","Period=FQ","BEST_FPERIOD_OVERRIDE=FQ","FILING_STATUS=MR","SCALING_FORMAT=MLN","FA_ADJUSTED=Adjusted","Sort=A","Dates=H","DateFormat=P","Fill=—","Direction=H","UseDPDF=Y")</f>
        <v>378.86200000000002</v>
      </c>
      <c r="F13" s="13" cm="1">
        <f t="array" ref="F13">_xll.BDH("PH US Equity","IS_SGA_EXPENSE","FQ2 2020","FQ2 2020","Currency=USD","Period=FQ","BEST_FPERIOD_OVERRIDE=FQ","FILING_STATUS=MR","SCALING_FORMAT=MLN","FA_ADJUSTED=Adjusted","Sort=A","Dates=H","DateFormat=P","Fill=—","Direction=H","UseDPDF=Y")</f>
        <v>382.80099999999999</v>
      </c>
      <c r="G13" s="13" cm="1">
        <f t="array" ref="G13">_xll.BDH("PH US Equity","IS_SGA_EXPENSE","FQ3 2020","FQ3 2020","Currency=USD","Period=FQ","BEST_FPERIOD_OVERRIDE=FQ","FILING_STATUS=MR","SCALING_FORMAT=MLN","FA_ADJUSTED=Adjusted","Sort=A","Dates=H","DateFormat=P","Fill=—","Direction=H","UseDPDF=Y")</f>
        <v>401.70100000000002</v>
      </c>
      <c r="H13" s="13" cm="1">
        <f t="array" ref="H13">_xll.BDH("PH US Equity","IS_SGA_EXPENSE","FQ4 2020","FQ4 2020","Currency=USD","Period=FQ","BEST_FPERIOD_OVERRIDE=FQ","FILING_STATUS=MR","SCALING_FORMAT=MLN","FA_ADJUSTED=Adjusted","Sort=A","Dates=H","DateFormat=P","Fill=—","Direction=H","UseDPDF=Y")</f>
        <v>336.14100000000002</v>
      </c>
      <c r="I13" s="13" cm="1">
        <f t="array" ref="I13">_xll.BDH("PH US Equity","IS_SGA_EXPENSE","FQ1 2021","FQ1 2021","Currency=USD","Period=FQ","BEST_FPERIOD_OVERRIDE=FQ","FILING_STATUS=MR","SCALING_FORMAT=MLN","FA_ADJUSTED=Adjusted","Sort=A","Dates=H","DateFormat=P","Fill=—","Direction=H","UseDPDF=Y")</f>
        <v>363.24799999999999</v>
      </c>
      <c r="J13" s="13" cm="1">
        <f t="array" ref="J13">_xll.BDH("PH US Equity","IS_SGA_EXPENSE","FQ2 2021","FQ2 2021","Currency=USD","Period=FQ","BEST_FPERIOD_OVERRIDE=FQ","FILING_STATUS=MR","SCALING_FORMAT=MLN","FA_ADJUSTED=Adjusted","Sort=A","Dates=H","DateFormat=P","Fill=—","Direction=H","UseDPDF=Y")</f>
        <v>351.988</v>
      </c>
      <c r="K13" s="13" cm="1">
        <f t="array" ref="K13">_xll.BDH("PH US Equity","IS_SGA_EXPENSE","FQ3 2021","FQ3 2021","Currency=USD","Period=FQ","BEST_FPERIOD_OVERRIDE=FQ","FILING_STATUS=MR","SCALING_FORMAT=MLN","FA_ADJUSTED=Adjusted","Sort=A","Dates=H","DateFormat=P","Fill=—","Direction=H","UseDPDF=Y")</f>
        <v>382.05599999999998</v>
      </c>
      <c r="L13" s="13" cm="1">
        <f t="array" ref="L13">_xll.BDH("PH US Equity","IS_SGA_EXPENSE","FQ4 2021","FQ4 2021","Currency=USD","Period=FQ","BEST_FPERIOD_OVERRIDE=FQ","FILING_STATUS=MR","SCALING_FORMAT=MLN","FA_ADJUSTED=Adjusted","Sort=A","Dates=H","DateFormat=P","Fill=—","Direction=H","UseDPDF=Y")</f>
        <v>405.74200000000002</v>
      </c>
      <c r="M13" s="13" cm="1">
        <f t="array" ref="M13">_xll.BDH("PH US Equity","IS_SGA_EXPENSE","FQ1 2022","FQ1 2022","Currency=USD","Period=FQ","BEST_FPERIOD_OVERRIDE=FQ","FILING_STATUS=MR","SCALING_FORMAT=MLN","FA_ADJUSTED=Adjusted","Sort=A","Dates=H","DateFormat=P","Fill=—","Direction=H","UseDPDF=Y")</f>
        <v>609.78700000000003</v>
      </c>
      <c r="N13" s="13" cm="1">
        <f t="array" ref="N13">_xll.BDH("PH US Equity","IS_SGA_EXPENSE","FQ2 2022","FQ2 2022","Currency=USD","Period=FQ","BEST_FPERIOD_OVERRIDE=FQ","FILING_STATUS=MR","SCALING_FORMAT=MLN","FA_ADJUSTED=Adjusted","Sort=A","Dates=H","DateFormat=P","Fill=—","Direction=H","UseDPDF=Y")</f>
        <v>574.49900000000002</v>
      </c>
      <c r="O13" s="13" cm="1">
        <f t="array" ref="O13">_xll.BDH("PH US Equity","IS_SGA_EXPENSE","FQ3 2022","FQ3 2022","Currency=USD","Period=FQ","BEST_FPERIOD_OVERRIDE=FQ","FILING_STATUS=MR","SCALING_FORMAT=MLN","FA_ADJUSTED=Adjusted","Sort=A","Dates=H","DateFormat=P","Fill=—","Direction=H","UseDPDF=Y")</f>
        <v>397.92700000000002</v>
      </c>
      <c r="P13" s="13" cm="1">
        <f t="array" ref="P13">_xll.BDH("PH US Equity","IS_SGA_EXPENSE","FQ4 2022","FQ4 2022","Currency=USD","Period=FQ","BEST_FPERIOD_OVERRIDE=FQ","FILING_STATUS=MR","SCALING_FORMAT=MLN","FA_ADJUSTED=Adjusted","Sort=A","Dates=H","DateFormat=P","Fill=—","Direction=H","UseDPDF=Y")</f>
        <v>635.29499999999996</v>
      </c>
      <c r="Q13" s="13" cm="1">
        <f t="array" ref="Q13">_xll.BDH("PH US Equity","IS_SGA_EXPENSE","FQ1 2023","FQ1 2023","Currency=USD","Period=FQ","BEST_FPERIOD_OVERRIDE=FQ","FILING_STATUS=MR","SCALING_FORMAT=MLN","FA_ADJUSTED=Adjusted","Sort=A","Dates=H","DateFormat=P","Fill=—","Direction=H","UseDPDF=Y")</f>
        <v>605.94200000000001</v>
      </c>
      <c r="R13" s="13" cm="1">
        <f t="array" ref="R13">_xll.BDH("PH US Equity","IS_SGA_EXPENSE","FQ2 2023","FQ2 2023","Currency=USD","Period=FQ","BEST_FPERIOD_OVERRIDE=FQ","FILING_STATUS=MR","SCALING_FORMAT=MLN","FA_ADJUSTED=Adjusted","Sort=A","Dates=H","DateFormat=P","Fill=—","Direction=H","UseDPDF=Y")</f>
        <v>808.83600000000001</v>
      </c>
      <c r="S13" s="13" cm="1">
        <f t="array" ref="S13">_xll.BDH("PH US Equity","IS_SGA_EXPENSE","FQ3 2023","FQ3 2023","Currency=USD","Period=FQ","BEST_FPERIOD_OVERRIDE=FQ","FILING_STATUS=MR","SCALING_FORMAT=MLN","FA_ADJUSTED=Adjusted","Sort=A","Dates=H","DateFormat=P","Fill=—","Direction=H","UseDPDF=Y")</f>
        <v>863.88599999999997</v>
      </c>
      <c r="T13" s="13" cm="1">
        <f t="array" ref="T13">_xll.BDH("PH US Equity","IS_SGA_EXPENSE","FQ4 2023","FQ4 2023","Currency=USD","Period=FQ","BEST_FPERIOD_OVERRIDE=FQ","FILING_STATUS=MR","SCALING_FORMAT=MLN","FA_ADJUSTED=Adjusted","Sort=A","Dates=H","DateFormat=P","Fill=—","Direction=H","UseDPDF=Y")</f>
        <v>814.61800000000005</v>
      </c>
      <c r="U13" s="13" cm="1">
        <f t="array" ref="U13">_xll.BDH("PH US Equity","IS_SGA_EXPENSE","FQ1 2024","FQ1 2024","Currency=USD","Period=FQ","BEST_FPERIOD_OVERRIDE=FQ","FILING_STATUS=MR","SCALING_FORMAT=MLN","FA_ADJUSTED=Adjusted","Sort=A","Dates=H","DateFormat=P","Fill=—","Direction=H","UseDPDF=Y")</f>
        <v>866.70699999999999</v>
      </c>
      <c r="V13" s="13" cm="1">
        <f t="array" ref="V13">_xll.BDH("PH US Equity","IS_SGA_EXPENSE","FQ2 2024","FQ2 2024","Currency=USD","Period=FQ","BEST_FPERIOD_OVERRIDE=FQ","FILING_STATUS=MR","SCALING_FORMAT=MLN","FA_ADJUSTED=Adjusted","Sort=A","Dates=H","DateFormat=P","Fill=—","Direction=H","UseDPDF=Y")</f>
        <v>802.10699999999997</v>
      </c>
      <c r="W13" s="13" cm="1">
        <f t="array" ref="W13">_xll.BDH("PH US Equity","IS_SGA_EXPENSE","FQ3 2024","FQ3 2024","Currency=USD","Period=FQ","BEST_FPERIOD_OVERRIDE=FQ","FILING_STATUS=MR","SCALING_FORMAT=MLN","FA_ADJUSTED=Adjusted","Sort=A","Dates=H","DateFormat=P","Fill=—","Direction=H","UseDPDF=Y")</f>
        <v>812.41</v>
      </c>
      <c r="X13" s="13" cm="1">
        <f t="array" ref="X13">_xll.BDH("PH US Equity","IS_SGA_EXPENSE","FQ4 2024","FQ4 2024","Currency=USD","Period=FQ","BEST_FPERIOD_OVERRIDE=FQ","FILING_STATUS=MR","SCALING_FORMAT=MLN","FA_ADJUSTED=Adjusted","Sort=A","Dates=H","DateFormat=P","Fill=—","Direction=H","UseDPDF=Y")</f>
        <v>805.05799999999999</v>
      </c>
      <c r="Y13" s="13" cm="1">
        <f t="array" ref="Y13">_xll.BDH("PH US Equity","IS_SGA_EXPENSE","FQ1 2025","FQ1 2025","Currency=USD","Period=FQ","BEST_FPERIOD_OVERRIDE=FQ","FILING_STATUS=MR","SCALING_FORMAT=MLN","FA_ADJUSTED=Adjusted","Sort=A","Dates=H","DateFormat=P","Fill=—","Direction=H","UseDPDF=Y")</f>
        <v>848.78899999999999</v>
      </c>
      <c r="Z13" s="13" cm="1">
        <f t="array" ref="Z13">_xll.BDH("PH US Equity","IS_SGA_EXPENSE","FQ2 2025","FQ2 2025","Currency=USD","Period=FQ","BEST_FPERIOD_OVERRIDE=FQ","FILING_STATUS=MR","SCALING_FORMAT=MLN","FA_ADJUSTED=Adjusted","Sort=A","Dates=H","DateFormat=P","Fill=—","Direction=H","UseDPDF=Y")</f>
        <v>765.96799999999996</v>
      </c>
      <c r="AA13" s="13" cm="1">
        <f t="array" ref="AA13">_xll.BDH("PH US Equity","IS_SGA_EXPENSE","FQ3 2025","FQ3 2025","Currency=USD","Period=FQ","BEST_FPERIOD_OVERRIDE=FQ","FILING_STATUS=MR","SCALING_FORMAT=MLN","FA_ADJUSTED=Adjusted","Sort=A","Dates=H","DateFormat=P","Fill=—","Direction=H","UseDPDF=Y")</f>
        <v>773.59699999999998</v>
      </c>
      <c r="AB13" s="13" cm="1">
        <f t="array" ref="AB13">_xll.BDH("PH US Equity","IS_SGA_EXPENSE","FQ4 2025","FQ4 2025","Currency=USD","Period=FQ","BEST_FPERIOD_OVERRIDE=FQ","FILING_STATUS=MR","SCALING_FORMAT=MLN","FA_ADJUSTED=Adjusted","Sort=A","Dates=H","DateFormat=P","Fill=—","Direction=H","UseDPDF=Y")</f>
        <v>832</v>
      </c>
      <c r="AC13" s="13" cm="1">
        <f t="array" ref="AC13">_xll.BDH("PH US Equity","IS_SGA_EXPENSE","FQ1 2026","FQ1 2026","Currency=USD","Period=FQ","BEST_FPERIOD_OVERRIDE=FQ","FILING_STATUS=MR","SCALING_FORMAT=MLN","FA_ADJUSTED=Adjusted","Sort=A","Dates=H","DateFormat=P","Fill=—","Direction=H","UseDPDF=Y")</f>
        <v>873</v>
      </c>
      <c r="AD13" s="13" cm="1">
        <f t="array" ref="AD13">_xll.BDH("PH US Equity","IS_SGA_EXPENSE","FQ2 2026","FQ2 2026","Currency=USD","Period=FQ","BEST_FPERIOD_OVERRIDE=FQ","FILING_STATUS=MR","SCALING_FORMAT=MLN","FA_ADJUSTED=Adjusted","Sort=A","Dates=H","DateFormat=P","Fill=—","Direction=H","UseDPDF=Y")</f>
        <v>825</v>
      </c>
      <c r="AE13" s="13"/>
      <c r="AF13" s="13"/>
    </row>
    <row r="14" spans="1:32" x14ac:dyDescent="0.25">
      <c r="A14" s="10" t="s">
        <v>81</v>
      </c>
      <c r="B14" s="10" t="s">
        <v>82</v>
      </c>
      <c r="C14" s="13" cm="1">
        <f t="array" ref="C14">_xll.BDH("PH US Equity","IS_OTHER_OPERATING_EXPENSES","FQ3 2019","FQ3 2019","Currency=USD","Period=FQ","BEST_FPERIOD_OVERRIDE=FQ","FILING_STATUS=MR","SCALING_FORMAT=MLN","FA_ADJUSTED=Adjusted","Sort=A","Dates=H","DateFormat=P","Fill=—","Direction=H","UseDPDF=Y")</f>
        <v>-0.56499999999999995</v>
      </c>
      <c r="D14" s="13" cm="1">
        <f t="array" ref="D14">_xll.BDH("PH US Equity","IS_OTHER_OPERATING_EXPENSES","FQ4 2019","FQ4 2019","Currency=USD","Period=FQ","BEST_FPERIOD_OVERRIDE=FQ","FILING_STATUS=MR","SCALING_FORMAT=MLN","FA_ADJUSTED=Adjusted","Sort=A","Dates=H","DateFormat=P","Fill=—","Direction=H","UseDPDF=Y")</f>
        <v>11.699</v>
      </c>
      <c r="E14" s="13" cm="1">
        <f t="array" ref="E14">_xll.BDH("PH US Equity","IS_OTHER_OPERATING_EXPENSES","FQ1 2020","FQ1 2020","Currency=USD","Period=FQ","BEST_FPERIOD_OVERRIDE=FQ","FILING_STATUS=MR","SCALING_FORMAT=MLN","FA_ADJUSTED=Adjusted","Sort=A","Dates=H","DateFormat=P","Fill=—","Direction=H","UseDPDF=Y")</f>
        <v>10.273999999999999</v>
      </c>
      <c r="F14" s="13" cm="1">
        <f t="array" ref="F14">_xll.BDH("PH US Equity","IS_OTHER_OPERATING_EXPENSES","FQ2 2020","FQ2 2020","Currency=USD","Period=FQ","BEST_FPERIOD_OVERRIDE=FQ","FILING_STATUS=MR","SCALING_FORMAT=MLN","FA_ADJUSTED=Adjusted","Sort=A","Dates=H","DateFormat=P","Fill=—","Direction=H","UseDPDF=Y")</f>
        <v>-5.7910000000000004</v>
      </c>
      <c r="G14" s="13" cm="1">
        <f t="array" ref="G14">_xll.BDH("PH US Equity","IS_OTHER_OPERATING_EXPENSES","FQ3 2020","FQ3 2020","Currency=USD","Period=FQ","BEST_FPERIOD_OVERRIDE=FQ","FILING_STATUS=MR","SCALING_FORMAT=MLN","FA_ADJUSTED=Adjusted","Sort=A","Dates=H","DateFormat=P","Fill=—","Direction=H","UseDPDF=Y")</f>
        <v>0.66600000000000004</v>
      </c>
      <c r="H14" s="13" cm="1">
        <f t="array" ref="H14">_xll.BDH("PH US Equity","IS_OTHER_OPERATING_EXPENSES","FQ4 2020","FQ4 2020","Currency=USD","Period=FQ","BEST_FPERIOD_OVERRIDE=FQ","FILING_STATUS=MR","SCALING_FORMAT=MLN","FA_ADJUSTED=Adjusted","Sort=A","Dates=H","DateFormat=P","Fill=—","Direction=H","UseDPDF=Y")</f>
        <v>-3.3439999999999999</v>
      </c>
      <c r="I14" s="13" cm="1">
        <f t="array" ref="I14">_xll.BDH("PH US Equity","IS_OTHER_OPERATING_EXPENSES","FQ1 2021","FQ1 2021","Currency=USD","Period=FQ","BEST_FPERIOD_OVERRIDE=FQ","FILING_STATUS=MR","SCALING_FORMAT=MLN","FA_ADJUSTED=Adjusted","Sort=A","Dates=H","DateFormat=P","Fill=—","Direction=H","UseDPDF=Y")</f>
        <v>0.498</v>
      </c>
      <c r="J14" s="13" cm="1">
        <f t="array" ref="J14">_xll.BDH("PH US Equity","IS_OTHER_OPERATING_EXPENSES","FQ2 2021","FQ2 2021","Currency=USD","Period=FQ","BEST_FPERIOD_OVERRIDE=FQ","FILING_STATUS=MR","SCALING_FORMAT=MLN","FA_ADJUSTED=Adjusted","Sort=A","Dates=H","DateFormat=P","Fill=—","Direction=H","UseDPDF=Y")</f>
        <v>199.36799999999999</v>
      </c>
      <c r="K14" s="13" cm="1">
        <f t="array" ref="K14">_xll.BDH("PH US Equity","IS_OTHER_OPERATING_EXPENSES","FQ3 2021","FQ3 2021","Currency=USD","Period=FQ","BEST_FPERIOD_OVERRIDE=FQ","FILING_STATUS=MR","SCALING_FORMAT=MLN","FA_ADJUSTED=Adjusted","Sort=A","Dates=H","DateFormat=P","Fill=—","Direction=H","UseDPDF=Y")</f>
        <v>-1E-3</v>
      </c>
      <c r="L14" s="13" cm="1">
        <f t="array" ref="L14">_xll.BDH("PH US Equity","IS_OTHER_OPERATING_EXPENSES","FQ4 2021","FQ4 2021","Currency=USD","Period=FQ","BEST_FPERIOD_OVERRIDE=FQ","FILING_STATUS=MR","SCALING_FORMAT=MLN","FA_ADJUSTED=Adjusted","Sort=A","Dates=H","DateFormat=P","Fill=—","Direction=H","UseDPDF=Y")</f>
        <v>0.88300000000000001</v>
      </c>
      <c r="M14" s="13" cm="1">
        <f t="array" ref="M14">_xll.BDH("PH US Equity","IS_OTHER_OPERATING_EXPENSES","FQ1 2022","FQ1 2022","Currency=USD","Period=FQ","BEST_FPERIOD_OVERRIDE=FQ","FILING_STATUS=MR","SCALING_FORMAT=MLN","FA_ADJUSTED=Adjusted","Sort=A","Dates=H","DateFormat=P","Fill=—","Direction=H","UseDPDF=Y")</f>
        <v>1.232</v>
      </c>
      <c r="N14" s="13" cm="1">
        <f t="array" ref="N14">_xll.BDH("PH US Equity","IS_OTHER_OPERATING_EXPENSES","FQ2 2022","FQ2 2022","Currency=USD","Period=FQ","BEST_FPERIOD_OVERRIDE=FQ","FILING_STATUS=MR","SCALING_FORMAT=MLN","FA_ADJUSTED=Adjusted","Sort=A","Dates=H","DateFormat=P","Fill=—","Direction=H","UseDPDF=Y")</f>
        <v>-139.46799999999999</v>
      </c>
      <c r="O14" s="13" cm="1">
        <f t="array" ref="O14">_xll.BDH("PH US Equity","IS_OTHER_OPERATING_EXPENSES","FQ3 2022","FQ3 2022","Currency=USD","Period=FQ","BEST_FPERIOD_OVERRIDE=FQ","FILING_STATUS=MR","SCALING_FORMAT=MLN","FA_ADJUSTED=Adjusted","Sort=A","Dates=H","DateFormat=P","Fill=—","Direction=H","UseDPDF=Y")</f>
        <v>-2.3149999999999999</v>
      </c>
      <c r="P14" s="13" cm="1">
        <f t="array" ref="P14">_xll.BDH("PH US Equity","IS_OTHER_OPERATING_EXPENSES","FQ4 2022","FQ4 2022","Currency=USD","Period=FQ","BEST_FPERIOD_OVERRIDE=FQ","FILING_STATUS=MR","SCALING_FORMAT=MLN","FA_ADJUSTED=Adjusted","Sort=A","Dates=H","DateFormat=P","Fill=—","Direction=H","UseDPDF=Y")</f>
        <v>-603.34</v>
      </c>
      <c r="Q14" s="13" cm="1">
        <f t="array" ref="Q14">_xll.BDH("PH US Equity","IS_OTHER_OPERATING_EXPENSES","FQ1 2023","FQ1 2023","Currency=USD","Period=FQ","BEST_FPERIOD_OVERRIDE=FQ","FILING_STATUS=MR","SCALING_FORMAT=MLN","FA_ADJUSTED=Adjusted","Sort=A","Dates=H","DateFormat=P","Fill=—","Direction=H","UseDPDF=Y")</f>
        <v>112.855</v>
      </c>
      <c r="R14" s="13" cm="1">
        <f t="array" ref="R14">_xll.BDH("PH US Equity","IS_OTHER_OPERATING_EXPENSES","FQ2 2023","FQ2 2023","Currency=USD","Period=FQ","BEST_FPERIOD_OVERRIDE=FQ","FILING_STATUS=MR","SCALING_FORMAT=MLN","FA_ADJUSTED=Adjusted","Sort=A","Dates=H","DateFormat=P","Fill=—","Direction=H","UseDPDF=Y")</f>
        <v>5.5044000000000004</v>
      </c>
      <c r="S14" s="13" cm="1">
        <f t="array" ref="S14">_xll.BDH("PH US Equity","IS_OTHER_OPERATING_EXPENSES","FQ3 2023","FQ3 2023","Currency=USD","Period=FQ","BEST_FPERIOD_OVERRIDE=FQ","FILING_STATUS=MR","SCALING_FORMAT=MLN","FA_ADJUSTED=Adjusted","Sort=A","Dates=H","DateFormat=P","Fill=—","Direction=H","UseDPDF=Y")</f>
        <v>-54.357999999999997</v>
      </c>
      <c r="T14" s="13" cm="1">
        <f t="array" ref="T14">_xll.BDH("PH US Equity","IS_OTHER_OPERATING_EXPENSES","FQ4 2023","FQ4 2023","Currency=USD","Period=FQ","BEST_FPERIOD_OVERRIDE=FQ","FILING_STATUS=MR","SCALING_FORMAT=MLN","FA_ADJUSTED=Adjusted","Sort=A","Dates=H","DateFormat=P","Fill=—","Direction=H","UseDPDF=Y")</f>
        <v>-7.2450000000000001</v>
      </c>
      <c r="U14" s="13" cm="1">
        <f t="array" ref="U14">_xll.BDH("PH US Equity","IS_OTHER_OPERATING_EXPENSES","FQ1 2024","FQ1 2024","Currency=USD","Period=FQ","BEST_FPERIOD_OVERRIDE=FQ","FILING_STATUS=MR","SCALING_FORMAT=MLN","FA_ADJUSTED=Adjusted","Sort=A","Dates=H","DateFormat=P","Fill=—","Direction=H","UseDPDF=Y")</f>
        <v>-0.58699999999999997</v>
      </c>
      <c r="V14" s="13" cm="1">
        <f t="array" ref="V14">_xll.BDH("PH US Equity","IS_OTHER_OPERATING_EXPENSES","FQ2 2024","FQ2 2024","Currency=USD","Period=FQ","BEST_FPERIOD_OVERRIDE=FQ","FILING_STATUS=MR","SCALING_FORMAT=MLN","FA_ADJUSTED=Adjusted","Sort=A","Dates=H","DateFormat=P","Fill=—","Direction=H","UseDPDF=Y")</f>
        <v>-2.5790000000000002</v>
      </c>
      <c r="W14" s="13" cm="1">
        <f t="array" ref="W14">_xll.BDH("PH US Equity","IS_OTHER_OPERATING_EXPENSES","FQ3 2024","FQ3 2024","Currency=USD","Period=FQ","BEST_FPERIOD_OVERRIDE=FQ","FILING_STATUS=MR","SCALING_FORMAT=MLN","FA_ADJUSTED=Adjusted","Sort=A","Dates=H","DateFormat=P","Fill=—","Direction=H","UseDPDF=Y")</f>
        <v>-17.829999999999998</v>
      </c>
      <c r="X14" s="13" cm="1">
        <f t="array" ref="X14">_xll.BDH("PH US Equity","IS_OTHER_OPERATING_EXPENSES","FQ4 2024","FQ4 2024","Currency=USD","Period=FQ","BEST_FPERIOD_OVERRIDE=FQ","FILING_STATUS=MR","SCALING_FORMAT=MLN","FA_ADJUSTED=Adjusted","Sort=A","Dates=H","DateFormat=P","Fill=—","Direction=H","UseDPDF=Y")</f>
        <v>-6.5659999999999998</v>
      </c>
      <c r="Y14" s="13" cm="1">
        <f t="array" ref="Y14">_xll.BDH("PH US Equity","IS_OTHER_OPERATING_EXPENSES","FQ1 2025","FQ1 2025","Currency=USD","Period=FQ","BEST_FPERIOD_OVERRIDE=FQ","FILING_STATUS=MR","SCALING_FORMAT=MLN","FA_ADJUSTED=Adjusted","Sort=A","Dates=H","DateFormat=P","Fill=—","Direction=H","UseDPDF=Y")</f>
        <v>-7.1820000000000004</v>
      </c>
      <c r="Z14" s="13" cm="1">
        <f t="array" ref="Z14">_xll.BDH("PH US Equity","IS_OTHER_OPERATING_EXPENSES","FQ2 2025","FQ2 2025","Currency=USD","Period=FQ","BEST_FPERIOD_OVERRIDE=FQ","FILING_STATUS=MR","SCALING_FORMAT=MLN","FA_ADJUSTED=Adjusted","Sort=A","Dates=H","DateFormat=P","Fill=—","Direction=H","UseDPDF=Y")</f>
        <v>247.75</v>
      </c>
      <c r="AA14" s="13" cm="1">
        <f t="array" ref="AA14">_xll.BDH("PH US Equity","IS_OTHER_OPERATING_EXPENSES","FQ3 2025","FQ3 2025","Currency=USD","Period=FQ","BEST_FPERIOD_OVERRIDE=FQ","FILING_STATUS=MR","SCALING_FORMAT=MLN","FA_ADJUSTED=Adjusted","Sort=A","Dates=H","DateFormat=P","Fill=—","Direction=H","UseDPDF=Y")</f>
        <v>-6.2850000000000001</v>
      </c>
      <c r="AB14" s="13" cm="1">
        <f t="array" ref="AB14">_xll.BDH("PH US Equity","IS_OTHER_OPERATING_EXPENSES","FQ4 2025","FQ4 2025","Currency=USD","Period=FQ","BEST_FPERIOD_OVERRIDE=FQ","FILING_STATUS=MR","SCALING_FORMAT=MLN","FA_ADJUSTED=Adjusted","Sort=A","Dates=H","DateFormat=P","Fill=—","Direction=H","UseDPDF=Y")</f>
        <v>14</v>
      </c>
      <c r="AC14" s="13" cm="1">
        <f t="array" ref="AC14">_xll.BDH("PH US Equity","IS_OTHER_OPERATING_EXPENSES","FQ1 2026","FQ1 2026","Currency=USD","Period=FQ","BEST_FPERIOD_OVERRIDE=FQ","FILING_STATUS=MR","SCALING_FORMAT=MLN","FA_ADJUSTED=Adjusted","Sort=A","Dates=H","DateFormat=P","Fill=—","Direction=H","UseDPDF=Y")</f>
        <v>-22</v>
      </c>
      <c r="AD14" s="13" cm="1">
        <f t="array" ref="AD14">_xll.BDH("PH US Equity","IS_OTHER_OPERATING_EXPENSES","FQ2 2026","FQ2 2026","Currency=USD","Period=FQ","BEST_FPERIOD_OVERRIDE=FQ","FILING_STATUS=MR","SCALING_FORMAT=MLN","FA_ADJUSTED=Adjusted","Sort=A","Dates=H","DateFormat=P","Fill=—","Direction=H","UseDPDF=Y")</f>
        <v>7</v>
      </c>
      <c r="AE14" s="13"/>
      <c r="AF14" s="13"/>
    </row>
    <row r="15" spans="1:32" x14ac:dyDescent="0.25">
      <c r="A15" s="6" t="s">
        <v>83</v>
      </c>
      <c r="B15" s="6" t="s">
        <v>84</v>
      </c>
      <c r="C15" s="16" cm="1">
        <f t="array" ref="C15">_xll.BDH("PH US Equity","IS_OPER_INC","FQ3 2019","FQ3 2019","Currency=USD","Period=FQ","BEST_FPERIOD_OVERRIDE=FQ","FILING_STATUS=MR","SCALING_FORMAT=MLN","FA_ADJUSTED=Adjusted","Sort=A","Dates=H","DateFormat=P","Fill=—","Direction=H","UseDPDF=Y")</f>
        <v>565.07299999999998</v>
      </c>
      <c r="D15" s="16" cm="1">
        <f t="array" ref="D15">_xll.BDH("PH US Equity","IS_OPER_INC","FQ4 2019","FQ4 2019","Currency=USD","Period=FQ","BEST_FPERIOD_OVERRIDE=FQ","FILING_STATUS=MR","SCALING_FORMAT=MLN","FA_ADJUSTED=Adjusted","Sort=A","Dates=H","DateFormat=P","Fill=—","Direction=H","UseDPDF=Y")</f>
        <v>580.28</v>
      </c>
      <c r="E15" s="16" cm="1">
        <f t="array" ref="E15">_xll.BDH("PH US Equity","IS_OPER_INC","FQ1 2020","FQ1 2020","Currency=USD","Period=FQ","BEST_FPERIOD_OVERRIDE=FQ","FILING_STATUS=MR","SCALING_FORMAT=MLN","FA_ADJUSTED=Adjusted","Sort=A","Dates=H","DateFormat=P","Fill=—","Direction=H","UseDPDF=Y")</f>
        <v>471.49799999999999</v>
      </c>
      <c r="F15" s="16" cm="1">
        <f t="array" ref="F15">_xll.BDH("PH US Equity","IS_OPER_INC","FQ2 2020","FQ2 2020","Currency=USD","Period=FQ","BEST_FPERIOD_OVERRIDE=FQ","FILING_STATUS=MR","SCALING_FORMAT=MLN","FA_ADJUSTED=Adjusted","Sort=A","Dates=H","DateFormat=P","Fill=—","Direction=H","UseDPDF=Y")</f>
        <v>495.39600000000002</v>
      </c>
      <c r="G15" s="16" cm="1">
        <f t="array" ref="G15">_xll.BDH("PH US Equity","IS_OPER_INC","FQ3 2020","FQ3 2020","Currency=USD","Period=FQ","BEST_FPERIOD_OVERRIDE=FQ","FILING_STATUS=MR","SCALING_FORMAT=MLN","FA_ADJUSTED=Adjusted","Sort=A","Dates=H","DateFormat=P","Fill=—","Direction=H","UseDPDF=Y")</f>
        <v>562.03200000000004</v>
      </c>
      <c r="H15" s="16" cm="1">
        <f t="array" ref="H15">_xll.BDH("PH US Equity","IS_OPER_INC","FQ4 2020","FQ4 2020","Currency=USD","Period=FQ","BEST_FPERIOD_OVERRIDE=FQ","FILING_STATUS=MR","SCALING_FORMAT=MLN","FA_ADJUSTED=Adjusted","Sort=A","Dates=H","DateFormat=P","Fill=—","Direction=H","UseDPDF=Y")</f>
        <v>500.16500000000002</v>
      </c>
      <c r="I15" s="16" cm="1">
        <f t="array" ref="I15">_xll.BDH("PH US Equity","IS_OPER_INC","FQ1 2021","FQ1 2021","Currency=USD","Period=FQ","BEST_FPERIOD_OVERRIDE=FQ","FILING_STATUS=MR","SCALING_FORMAT=MLN","FA_ADJUSTED=Adjusted","Sort=A","Dates=H","DateFormat=P","Fill=—","Direction=H","UseDPDF=Y")</f>
        <v>492.82600000000002</v>
      </c>
      <c r="J15" s="16" cm="1">
        <f t="array" ref="J15">_xll.BDH("PH US Equity","IS_OPER_INC","FQ2 2021","FQ2 2021","Currency=USD","Period=FQ","BEST_FPERIOD_OVERRIDE=FQ","FILING_STATUS=MR","SCALING_FORMAT=MLN","FA_ADJUSTED=Adjusted","Sort=A","Dates=H","DateFormat=P","Fill=—","Direction=H","UseDPDF=Y")</f>
        <v>356.56700000000001</v>
      </c>
      <c r="K15" s="16" cm="1">
        <f t="array" ref="K15">_xll.BDH("PH US Equity","IS_OPER_INC","FQ3 2021","FQ3 2021","Currency=USD","Period=FQ","BEST_FPERIOD_OVERRIDE=FQ","FILING_STATUS=MR","SCALING_FORMAT=MLN","FA_ADJUSTED=Adjusted","Sort=A","Dates=H","DateFormat=P","Fill=—","Direction=H","UseDPDF=Y")</f>
        <v>654.96699999999998</v>
      </c>
      <c r="L15" s="16" cm="1">
        <f t="array" ref="L15">_xll.BDH("PH US Equity","IS_OPER_INC","FQ4 2021","FQ4 2021","Currency=USD","Period=FQ","BEST_FPERIOD_OVERRIDE=FQ","FILING_STATUS=MR","SCALING_FORMAT=MLN","FA_ADJUSTED=Adjusted","Sort=A","Dates=H","DateFormat=P","Fill=—","Direction=H","UseDPDF=Y")</f>
        <v>724.745</v>
      </c>
      <c r="M15" s="16" cm="1">
        <f t="array" ref="M15">_xll.BDH("PH US Equity","IS_OPER_INC","FQ1 2022","FQ1 2022","Currency=USD","Period=FQ","BEST_FPERIOD_OVERRIDE=FQ","FILING_STATUS=MR","SCALING_FORMAT=MLN","FA_ADJUSTED=Adjusted","Sort=A","Dates=H","DateFormat=P","Fill=—","Direction=H","UseDPDF=Y")</f>
        <v>647.66</v>
      </c>
      <c r="N15" s="16" cm="1">
        <f t="array" ref="N15">_xll.BDH("PH US Equity","IS_OPER_INC","FQ2 2022","FQ2 2022","Currency=USD","Period=FQ","BEST_FPERIOD_OVERRIDE=FQ","FILING_STATUS=MR","SCALING_FORMAT=MLN","FA_ADJUSTED=Adjusted","Sort=A","Dates=H","DateFormat=P","Fill=—","Direction=H","UseDPDF=Y")</f>
        <v>823.66399999999999</v>
      </c>
      <c r="O15" s="16" cm="1">
        <f t="array" ref="O15">_xll.BDH("PH US Equity","IS_OPER_INC","FQ3 2022","FQ3 2022","Currency=USD","Period=FQ","BEST_FPERIOD_OVERRIDE=FQ","FILING_STATUS=MR","SCALING_FORMAT=MLN","FA_ADJUSTED=Adjusted","Sort=A","Dates=H","DateFormat=P","Fill=—","Direction=H","UseDPDF=Y")</f>
        <v>774.26</v>
      </c>
      <c r="P15" s="16" cm="1">
        <f t="array" ref="P15">_xll.BDH("PH US Equity","IS_OPER_INC","FQ4 2022","FQ4 2022","Currency=USD","Period=FQ","BEST_FPERIOD_OVERRIDE=FQ","FILING_STATUS=MR","SCALING_FORMAT=MLN","FA_ADJUSTED=Adjusted","Sort=A","Dates=H","DateFormat=P","Fill=—","Direction=H","UseDPDF=Y")</f>
        <v>1402.6130000000001</v>
      </c>
      <c r="Q15" s="16" cm="1">
        <f t="array" ref="Q15">_xll.BDH("PH US Equity","IS_OPER_INC","FQ1 2023","FQ1 2023","Currency=USD","Period=FQ","BEST_FPERIOD_OVERRIDE=FQ","FILING_STATUS=MR","SCALING_FORMAT=MLN","FA_ADJUSTED=Adjusted","Sort=A","Dates=H","DateFormat=P","Fill=—","Direction=H","UseDPDF=Y")</f>
        <v>721.64800000000002</v>
      </c>
      <c r="R15" s="16" cm="1">
        <f t="array" ref="R15">_xll.BDH("PH US Equity","IS_OPER_INC","FQ2 2023","FQ2 2023","Currency=USD","Period=FQ","BEST_FPERIOD_OVERRIDE=FQ","FILING_STATUS=MR","SCALING_FORMAT=MLN","FA_ADJUSTED=Adjusted","Sort=A","Dates=H","DateFormat=P","Fill=—","Direction=H","UseDPDF=Y")</f>
        <v>626.87260000000003</v>
      </c>
      <c r="S15" s="16" cm="1">
        <f t="array" ref="S15">_xll.BDH("PH US Equity","IS_OPER_INC","FQ3 2023","FQ3 2023","Currency=USD","Period=FQ","BEST_FPERIOD_OVERRIDE=FQ","FILING_STATUS=MR","SCALING_FORMAT=MLN","FA_ADJUSTED=Adjusted","Sort=A","Dates=H","DateFormat=P","Fill=—","Direction=H","UseDPDF=Y")</f>
        <v>916.40599999999995</v>
      </c>
      <c r="T15" s="16" cm="1">
        <f t="array" ref="T15">_xll.BDH("PH US Equity","IS_OPER_INC","FQ4 2023","FQ4 2023","Currency=USD","Period=FQ","BEST_FPERIOD_OVERRIDE=FQ","FILING_STATUS=MR","SCALING_FORMAT=MLN","FA_ADJUSTED=Adjusted","Sort=A","Dates=H","DateFormat=P","Fill=—","Direction=H","UseDPDF=Y")</f>
        <v>1036.154</v>
      </c>
      <c r="U15" s="16" cm="1">
        <f t="array" ref="U15">_xll.BDH("PH US Equity","IS_OPER_INC","FQ1 2024","FQ1 2024","Currency=USD","Period=FQ","BEST_FPERIOD_OVERRIDE=FQ","FILING_STATUS=MR","SCALING_FORMAT=MLN","FA_ADJUSTED=Adjusted","Sort=A","Dates=H","DateFormat=P","Fill=—","Direction=H","UseDPDF=Y")</f>
        <v>884.01900000000001</v>
      </c>
      <c r="V15" s="16" cm="1">
        <f t="array" ref="V15">_xll.BDH("PH US Equity","IS_OPER_INC","FQ2 2024","FQ2 2024","Currency=USD","Period=FQ","BEST_FPERIOD_OVERRIDE=FQ","FILING_STATUS=MR","SCALING_FORMAT=MLN","FA_ADJUSTED=Adjusted","Sort=A","Dates=H","DateFormat=P","Fill=—","Direction=H","UseDPDF=Y")</f>
        <v>927.92399999999998</v>
      </c>
      <c r="W15" s="16" cm="1">
        <f t="array" ref="W15">_xll.BDH("PH US Equity","IS_OPER_INC","FQ3 2024","FQ3 2024","Currency=USD","Period=FQ","BEST_FPERIOD_OVERRIDE=FQ","FILING_STATUS=MR","SCALING_FORMAT=MLN","FA_ADJUSTED=Adjusted","Sort=A","Dates=H","DateFormat=P","Fill=—","Direction=H","UseDPDF=Y")</f>
        <v>1003.14</v>
      </c>
      <c r="X15" s="16" cm="1">
        <f t="array" ref="X15">_xll.BDH("PH US Equity","IS_OPER_INC","FQ4 2024","FQ4 2024","Currency=USD","Period=FQ","BEST_FPERIOD_OVERRIDE=FQ","FILING_STATUS=MR","SCALING_FORMAT=MLN","FA_ADJUSTED=Adjusted","Sort=A","Dates=H","DateFormat=P","Fill=—","Direction=H","UseDPDF=Y")</f>
        <v>1077.9749999999999</v>
      </c>
      <c r="Y15" s="16" cm="1">
        <f t="array" ref="Y15">_xll.BDH("PH US Equity","IS_OPER_INC","FQ1 2025","FQ1 2025","Currency=USD","Period=FQ","BEST_FPERIOD_OVERRIDE=FQ","FILING_STATUS=MR","SCALING_FORMAT=MLN","FA_ADJUSTED=Adjusted","Sort=A","Dates=H","DateFormat=P","Fill=—","Direction=H","UseDPDF=Y")</f>
        <v>964.65800000000002</v>
      </c>
      <c r="Z15" s="16" cm="1">
        <f t="array" ref="Z15">_xll.BDH("PH US Equity","IS_OPER_INC","FQ2 2025","FQ2 2025","Currency=USD","Period=FQ","BEST_FPERIOD_OVERRIDE=FQ","FILING_STATUS=MR","SCALING_FORMAT=MLN","FA_ADJUSTED=Adjusted","Sort=A","Dates=H","DateFormat=P","Fill=—","Direction=H","UseDPDF=Y")</f>
        <v>717.39</v>
      </c>
      <c r="AA15" s="16" cm="1">
        <f t="array" ref="AA15">_xll.BDH("PH US Equity","IS_OPER_INC","FQ3 2025","FQ3 2025","Currency=USD","Period=FQ","BEST_FPERIOD_OVERRIDE=FQ","FILING_STATUS=MR","SCALING_FORMAT=MLN","FA_ADJUSTED=Adjusted","Sort=A","Dates=H","DateFormat=P","Fill=—","Direction=H","UseDPDF=Y")</f>
        <v>1068.038</v>
      </c>
      <c r="AB15" s="16" cm="1">
        <f t="array" ref="AB15">_xll.BDH("PH US Equity","IS_OPER_INC","FQ4 2025","FQ4 2025","Currency=USD","Period=FQ","BEST_FPERIOD_OVERRIDE=FQ","FILING_STATUS=MR","SCALING_FORMAT=MLN","FA_ADJUSTED=Adjusted","Sort=A","Dates=H","DateFormat=P","Fill=—","Direction=H","UseDPDF=Y")</f>
        <v>1122</v>
      </c>
      <c r="AC15" s="16" cm="1">
        <f t="array" ref="AC15">_xll.BDH("PH US Equity","IS_OPER_INC","FQ1 2026","FQ1 2026","Currency=USD","Period=FQ","BEST_FPERIOD_OVERRIDE=FQ","FILING_STATUS=MR","SCALING_FORMAT=MLN","FA_ADJUSTED=Adjusted","Sort=A","Dates=H","DateFormat=P","Fill=—","Direction=H","UseDPDF=Y")</f>
        <v>1056</v>
      </c>
      <c r="AD15" s="16" cm="1">
        <f t="array" ref="AD15">_xll.BDH("PH US Equity","IS_OPER_INC","FQ2 2026","FQ2 2026","Currency=USD","Period=FQ","BEST_FPERIOD_OVERRIDE=FQ","FILING_STATUS=MR","SCALING_FORMAT=MLN","FA_ADJUSTED=Adjusted","Sort=A","Dates=H","DateFormat=P","Fill=—","Direction=H","UseDPDF=Y")</f>
        <v>1114</v>
      </c>
      <c r="AE15" s="16">
        <v>1357.9166666666699</v>
      </c>
      <c r="AF15" s="16">
        <v>1399.375</v>
      </c>
    </row>
    <row r="16" spans="1:32" x14ac:dyDescent="0.25">
      <c r="A16" s="10" t="s">
        <v>85</v>
      </c>
      <c r="B16" s="10" t="s">
        <v>86</v>
      </c>
      <c r="C16" s="13" cm="1">
        <f t="array" ref="C16">_xll.BDH("PH US Equity","IS_NONOP_INCOME_LOSS","FQ3 2019","FQ3 2019","Currency=USD","Period=FQ","BEST_FPERIOD_OVERRIDE=FQ","FILING_STATUS=MR","SCALING_FORMAT=MLN","FA_ADJUSTED=Adjusted","Sort=A","Dates=H","DateFormat=P","Fill=—","Direction=H","UseDPDF=Y")</f>
        <v>32.884999999999998</v>
      </c>
      <c r="D16" s="13" cm="1">
        <f t="array" ref="D16">_xll.BDH("PH US Equity","IS_NONOP_INCOME_LOSS","FQ4 2019","FQ4 2019","Currency=USD","Period=FQ","BEST_FPERIOD_OVERRIDE=FQ","FILING_STATUS=MR","SCALING_FORMAT=MLN","FA_ADJUSTED=Adjusted","Sort=A","Dates=H","DateFormat=P","Fill=—","Direction=H","UseDPDF=Y")</f>
        <v>46.545999999999999</v>
      </c>
      <c r="E16" s="13" cm="1">
        <f t="array" ref="E16">_xll.BDH("PH US Equity","IS_NONOP_INCOME_LOSS","FQ1 2020","FQ1 2020","Currency=USD","Period=FQ","BEST_FPERIOD_OVERRIDE=FQ","FILING_STATUS=MR","SCALING_FORMAT=MLN","FA_ADJUSTED=Adjusted","Sort=A","Dates=H","DateFormat=P","Fill=—","Direction=H","UseDPDF=Y")</f>
        <v>22.731999999999999</v>
      </c>
      <c r="F16" s="13" cm="1">
        <f t="array" ref="F16">_xll.BDH("PH US Equity","IS_NONOP_INCOME_LOSS","FQ2 2020","FQ2 2020","Currency=USD","Period=FQ","BEST_FPERIOD_OVERRIDE=FQ","FILING_STATUS=MR","SCALING_FORMAT=MLN","FA_ADJUSTED=Adjusted","Sort=A","Dates=H","DateFormat=P","Fill=—","Direction=H","UseDPDF=Y")</f>
        <v>72.863</v>
      </c>
      <c r="G16" s="13" cm="1">
        <f t="array" ref="G16">_xll.BDH("PH US Equity","IS_NONOP_INCOME_LOSS","FQ3 2020","FQ3 2020","Currency=USD","Period=FQ","BEST_FPERIOD_OVERRIDE=FQ","FILING_STATUS=MR","SCALING_FORMAT=MLN","FA_ADJUSTED=Adjusted","Sort=A","Dates=H","DateFormat=P","Fill=—","Direction=H","UseDPDF=Y")</f>
        <v>65.718999999999994</v>
      </c>
      <c r="H16" s="13" cm="1">
        <f t="array" ref="H16">_xll.BDH("PH US Equity","IS_NONOP_INCOME_LOSS","FQ4 2020","FQ4 2020","Currency=USD","Period=FQ","BEST_FPERIOD_OVERRIDE=FQ","FILING_STATUS=MR","SCALING_FORMAT=MLN","FA_ADJUSTED=Adjusted","Sort=A","Dates=H","DateFormat=P","Fill=—","Direction=H","UseDPDF=Y")</f>
        <v>81.179000000000002</v>
      </c>
      <c r="I16" s="13" cm="1">
        <f t="array" ref="I16">_xll.BDH("PH US Equity","IS_NONOP_INCOME_LOSS","FQ1 2021","FQ1 2021","Currency=USD","Period=FQ","BEST_FPERIOD_OVERRIDE=FQ","FILING_STATUS=MR","SCALING_FORMAT=MLN","FA_ADJUSTED=Adjusted","Sort=A","Dates=H","DateFormat=P","Fill=—","Direction=H","UseDPDF=Y")</f>
        <v>61.811999999999998</v>
      </c>
      <c r="J16" s="13" cm="1">
        <f t="array" ref="J16">_xll.BDH("PH US Equity","IS_NONOP_INCOME_LOSS","FQ2 2021","FQ2 2021","Currency=USD","Period=FQ","BEST_FPERIOD_OVERRIDE=FQ","FILING_STATUS=MR","SCALING_FORMAT=MLN","FA_ADJUSTED=Adjusted","Sort=A","Dates=H","DateFormat=P","Fill=—","Direction=H","UseDPDF=Y")</f>
        <v>-30.292000000000002</v>
      </c>
      <c r="K16" s="13" cm="1">
        <f t="array" ref="K16">_xll.BDH("PH US Equity","IS_NONOP_INCOME_LOSS","FQ3 2021","FQ3 2021","Currency=USD","Period=FQ","BEST_FPERIOD_OVERRIDE=FQ","FILING_STATUS=MR","SCALING_FORMAT=MLN","FA_ADJUSTED=Adjusted","Sort=A","Dates=H","DateFormat=P","Fill=—","Direction=H","UseDPDF=Y")</f>
        <v>47.37</v>
      </c>
      <c r="L16" s="13" cm="1">
        <f t="array" ref="L16">_xll.BDH("PH US Equity","IS_NONOP_INCOME_LOSS","FQ4 2021","FQ4 2021","Currency=USD","Period=FQ","BEST_FPERIOD_OVERRIDE=FQ","FILING_STATUS=MR","SCALING_FORMAT=MLN","FA_ADJUSTED=Adjusted","Sort=A","Dates=H","DateFormat=P","Fill=—","Direction=H","UseDPDF=Y")</f>
        <v>65.677999999999997</v>
      </c>
      <c r="M16" s="13" cm="1">
        <f t="array" ref="M16">_xll.BDH("PH US Equity","IS_NONOP_INCOME_LOSS","FQ1 2022","FQ1 2022","Currency=USD","Period=FQ","BEST_FPERIOD_OVERRIDE=FQ","FILING_STATUS=MR","SCALING_FORMAT=MLN","FA_ADJUSTED=Adjusted","Sort=A","Dates=H","DateFormat=P","Fill=—","Direction=H","UseDPDF=Y")</f>
        <v>20.128</v>
      </c>
      <c r="N16" s="13" cm="1">
        <f t="array" ref="N16">_xll.BDH("PH US Equity","IS_NONOP_INCOME_LOSS","FQ2 2022","FQ2 2022","Currency=USD","Period=FQ","BEST_FPERIOD_OVERRIDE=FQ","FILING_STATUS=MR","SCALING_FORMAT=MLN","FA_ADJUSTED=Adjusted","Sort=A","Dates=H","DateFormat=P","Fill=—","Direction=H","UseDPDF=Y")</f>
        <v>177.58</v>
      </c>
      <c r="O16" s="13" cm="1">
        <f t="array" ref="O16">_xll.BDH("PH US Equity","IS_NONOP_INCOME_LOSS","FQ3 2022","FQ3 2022","Currency=USD","Period=FQ","BEST_FPERIOD_OVERRIDE=FQ","FILING_STATUS=MR","SCALING_FORMAT=MLN","FA_ADJUSTED=Adjusted","Sort=A","Dates=H","DateFormat=P","Fill=—","Direction=H","UseDPDF=Y")</f>
        <v>56.209000000000003</v>
      </c>
      <c r="P16" s="13" cm="1">
        <f t="array" ref="P16">_xll.BDH("PH US Equity","IS_NONOP_INCOME_LOSS","FQ4 2022","FQ4 2022","Currency=USD","Period=FQ","BEST_FPERIOD_OVERRIDE=FQ","FILING_STATUS=MR","SCALING_FORMAT=MLN","FA_ADJUSTED=Adjusted","Sort=A","Dates=H","DateFormat=P","Fill=—","Direction=H","UseDPDF=Y")</f>
        <v>647.87300000000005</v>
      </c>
      <c r="Q16" s="13" cm="1">
        <f t="array" ref="Q16">_xll.BDH("PH US Equity","IS_NONOP_INCOME_LOSS","FQ1 2023","FQ1 2023","Currency=USD","Period=FQ","BEST_FPERIOD_OVERRIDE=FQ","FILING_STATUS=MR","SCALING_FORMAT=MLN","FA_ADJUSTED=Adjusted","Sort=A","Dates=H","DateFormat=P","Fill=—","Direction=H","UseDPDF=Y")</f>
        <v>32.735999999999997</v>
      </c>
      <c r="R16" s="13" cm="1">
        <f t="array" ref="R16">_xll.BDH("PH US Equity","IS_NONOP_INCOME_LOSS","FQ2 2023","FQ2 2023","Currency=USD","Period=FQ","BEST_FPERIOD_OVERRIDE=FQ","FILING_STATUS=MR","SCALING_FORMAT=MLN","FA_ADJUSTED=Adjusted","Sort=A","Dates=H","DateFormat=P","Fill=—","Direction=H","UseDPDF=Y")</f>
        <v>113.89100000000001</v>
      </c>
      <c r="S16" s="13" cm="1">
        <f t="array" ref="S16">_xll.BDH("PH US Equity","IS_NONOP_INCOME_LOSS","FQ3 2023","FQ3 2023","Currency=USD","Period=FQ","BEST_FPERIOD_OVERRIDE=FQ","FILING_STATUS=MR","SCALING_FORMAT=MLN","FA_ADJUSTED=Adjusted","Sort=A","Dates=H","DateFormat=P","Fill=—","Direction=H","UseDPDF=Y")</f>
        <v>97.575999999999993</v>
      </c>
      <c r="T16" s="13" cm="1">
        <f t="array" ref="T16">_xll.BDH("PH US Equity","IS_NONOP_INCOME_LOSS","FQ4 2023","FQ4 2023","Currency=USD","Period=FQ","BEST_FPERIOD_OVERRIDE=FQ","FILING_STATUS=MR","SCALING_FORMAT=MLN","FA_ADJUSTED=Adjusted","Sort=A","Dates=H","DateFormat=P","Fill=—","Direction=H","UseDPDF=Y")</f>
        <v>95.391999999999996</v>
      </c>
      <c r="U16" s="13" cm="1">
        <f t="array" ref="U16">_xll.BDH("PH US Equity","IS_NONOP_INCOME_LOSS","FQ1 2024","FQ1 2024","Currency=USD","Period=FQ","BEST_FPERIOD_OVERRIDE=FQ","FILING_STATUS=MR","SCALING_FORMAT=MLN","FA_ADJUSTED=Adjusted","Sort=A","Dates=H","DateFormat=P","Fill=—","Direction=H","UseDPDF=Y")</f>
        <v>56.012999999999998</v>
      </c>
      <c r="V16" s="13" cm="1">
        <f t="array" ref="V16">_xll.BDH("PH US Equity","IS_NONOP_INCOME_LOSS","FQ2 2024","FQ2 2024","Currency=USD","Period=FQ","BEST_FPERIOD_OVERRIDE=FQ","FILING_STATUS=MR","SCALING_FORMAT=MLN","FA_ADJUSTED=Adjusted","Sort=A","Dates=H","DateFormat=P","Fill=—","Direction=H","UseDPDF=Y")</f>
        <v>44.095999999999997</v>
      </c>
      <c r="W16" s="13" cm="1">
        <f t="array" ref="W16">_xll.BDH("PH US Equity","IS_NONOP_INCOME_LOSS","FQ3 2024","FQ3 2024","Currency=USD","Period=FQ","BEST_FPERIOD_OVERRIDE=FQ","FILING_STATUS=MR","SCALING_FORMAT=MLN","FA_ADJUSTED=Adjusted","Sort=A","Dates=H","DateFormat=P","Fill=—","Direction=H","UseDPDF=Y")</f>
        <v>59.456000000000003</v>
      </c>
      <c r="X16" s="13" cm="1">
        <f t="array" ref="X16">_xll.BDH("PH US Equity","IS_NONOP_INCOME_LOSS","FQ4 2024","FQ4 2024","Currency=USD","Period=FQ","BEST_FPERIOD_OVERRIDE=FQ","FILING_STATUS=MR","SCALING_FORMAT=MLN","FA_ADJUSTED=Adjusted","Sort=A","Dates=H","DateFormat=P","Fill=—","Direction=H","UseDPDF=Y")</f>
        <v>62.805999999999997</v>
      </c>
      <c r="Y16" s="13" cm="1">
        <f t="array" ref="Y16">_xll.BDH("PH US Equity","IS_NONOP_INCOME_LOSS","FQ1 2025","FQ1 2025","Currency=USD","Period=FQ","BEST_FPERIOD_OVERRIDE=FQ","FILING_STATUS=MR","SCALING_FORMAT=MLN","FA_ADJUSTED=Adjusted","Sort=A","Dates=H","DateFormat=P","Fill=—","Direction=H","UseDPDF=Y")</f>
        <v>82.29</v>
      </c>
      <c r="Z16" s="13" cm="1">
        <f t="array" ref="Z16">_xll.BDH("PH US Equity","IS_NONOP_INCOME_LOSS","FQ2 2025","FQ2 2025","Currency=USD","Period=FQ","BEST_FPERIOD_OVERRIDE=FQ","FILING_STATUS=MR","SCALING_FORMAT=MLN","FA_ADJUSTED=Adjusted","Sort=A","Dates=H","DateFormat=P","Fill=—","Direction=H","UseDPDF=Y")</f>
        <v>-227.91399999999999</v>
      </c>
      <c r="AA16" s="13" cm="1">
        <f t="array" ref="AA16">_xll.BDH("PH US Equity","IS_NONOP_INCOME_LOSS","FQ3 2025","FQ3 2025","Currency=USD","Period=FQ","BEST_FPERIOD_OVERRIDE=FQ","FILING_STATUS=MR","SCALING_FORMAT=MLN","FA_ADJUSTED=Adjusted","Sort=A","Dates=H","DateFormat=P","Fill=—","Direction=H","UseDPDF=Y")</f>
        <v>51.228999999999999</v>
      </c>
      <c r="AB16" s="13" cm="1">
        <f t="array" ref="AB16">_xll.BDH("PH US Equity","IS_NONOP_INCOME_LOSS","FQ4 2025","FQ4 2025","Currency=USD","Period=FQ","BEST_FPERIOD_OVERRIDE=FQ","FILING_STATUS=MR","SCALING_FORMAT=MLN","FA_ADJUSTED=Adjusted","Sort=A","Dates=H","DateFormat=P","Fill=—","Direction=H","UseDPDF=Y")</f>
        <v>48</v>
      </c>
      <c r="AC16" s="13" cm="1">
        <f t="array" ref="AC16">_xll.BDH("PH US Equity","IS_NONOP_INCOME_LOSS","FQ1 2026","FQ1 2026","Currency=USD","Period=FQ","BEST_FPERIOD_OVERRIDE=FQ","FILING_STATUS=MR","SCALING_FORMAT=MLN","FA_ADJUSTED=Adjusted","Sort=A","Dates=H","DateFormat=P","Fill=—","Direction=H","UseDPDF=Y")</f>
        <v>-6</v>
      </c>
      <c r="AD16" s="13" cm="1">
        <f t="array" ref="AD16">_xll.BDH("PH US Equity","IS_NONOP_INCOME_LOSS","FQ2 2026","FQ2 2026","Currency=USD","Period=FQ","BEST_FPERIOD_OVERRIDE=FQ","FILING_STATUS=MR","SCALING_FORMAT=MLN","FA_ADJUSTED=Adjusted","Sort=A","Dates=H","DateFormat=P","Fill=—","Direction=H","UseDPDF=Y")</f>
        <v>30</v>
      </c>
      <c r="AE16" s="13"/>
      <c r="AF16" s="13"/>
    </row>
    <row r="17" spans="1:32" x14ac:dyDescent="0.25">
      <c r="A17" s="11" t="s">
        <v>87</v>
      </c>
      <c r="B17" s="11" t="s">
        <v>88</v>
      </c>
      <c r="C17" s="18" cm="1">
        <f t="array" ref="C17">_xll.BDH("PH US Equity","IS_INT_EXPENSE","FQ3 2019","FQ3 2019","Currency=USD","Period=FQ","BEST_FPERIOD_OVERRIDE=FQ","FILING_STATUS=MR","SCALING_FORMAT=MLN","FA_ADJUSTED=Adjusted","Sort=A","Dates=H","DateFormat=P","Fill=—","Direction=H","UseDPDF=Y")</f>
        <v>48.209000000000003</v>
      </c>
      <c r="D17" s="18" cm="1">
        <f t="array" ref="D17">_xll.BDH("PH US Equity","IS_INT_EXPENSE","FQ4 2019","FQ4 2019","Currency=USD","Period=FQ","BEST_FPERIOD_OVERRIDE=FQ","FILING_STATUS=MR","SCALING_FORMAT=MLN","FA_ADJUSTED=Adjusted","Sort=A","Dates=H","DateFormat=P","Fill=—","Direction=H","UseDPDF=Y")</f>
        <v>50.072000000000003</v>
      </c>
      <c r="E17" s="18" cm="1">
        <f t="array" ref="E17">_xll.BDH("PH US Equity","IS_INT_EXPENSE","FQ1 2020","FQ1 2020","Currency=USD","Period=FQ","BEST_FPERIOD_OVERRIDE=FQ","FILING_STATUS=MR","SCALING_FORMAT=MLN","FA_ADJUSTED=Adjusted","Sort=A","Dates=H","DateFormat=P","Fill=—","Direction=H","UseDPDF=Y")</f>
        <v>69.956000000000003</v>
      </c>
      <c r="F17" s="18" cm="1">
        <f t="array" ref="F17">_xll.BDH("PH US Equity","IS_INT_EXPENSE","FQ2 2020","FQ2 2020","Currency=USD","Period=FQ","BEST_FPERIOD_OVERRIDE=FQ","FILING_STATUS=MR","SCALING_FORMAT=MLN","FA_ADJUSTED=Adjusted","Sort=A","Dates=H","DateFormat=P","Fill=—","Direction=H","UseDPDF=Y")</f>
        <v>82.891000000000005</v>
      </c>
      <c r="G17" s="18" cm="1">
        <f t="array" ref="G17">_xll.BDH("PH US Equity","IS_INT_EXPENSE","FQ3 2020","FQ3 2020","Currency=USD","Period=FQ","BEST_FPERIOD_OVERRIDE=FQ","FILING_STATUS=MR","SCALING_FORMAT=MLN","FA_ADJUSTED=Adjusted","Sort=A","Dates=H","DateFormat=P","Fill=—","Direction=H","UseDPDF=Y")</f>
        <v>80.765000000000001</v>
      </c>
      <c r="H17" s="18" cm="1">
        <f t="array" ref="H17">_xll.BDH("PH US Equity","IS_INT_EXPENSE","FQ4 2020","FQ4 2020","Currency=USD","Period=FQ","BEST_FPERIOD_OVERRIDE=FQ","FILING_STATUS=MR","SCALING_FORMAT=MLN","FA_ADJUSTED=Adjusted","Sort=A","Dates=H","DateFormat=P","Fill=—","Direction=H","UseDPDF=Y")</f>
        <v>74.549000000000007</v>
      </c>
      <c r="I17" s="18" cm="1">
        <f t="array" ref="I17">_xll.BDH("PH US Equity","IS_INT_EXPENSE","FQ1 2021","FQ1 2021","Currency=USD","Period=FQ","BEST_FPERIOD_OVERRIDE=FQ","FILING_STATUS=MR","SCALING_FORMAT=MLN","FA_ADJUSTED=Adjusted","Sort=A","Dates=H","DateFormat=P","Fill=—","Direction=H","UseDPDF=Y")</f>
        <v>65.957999999999998</v>
      </c>
      <c r="J17" s="18" cm="1">
        <f t="array" ref="J17">_xll.BDH("PH US Equity","IS_INT_EXPENSE","FQ2 2021","FQ2 2021","Currency=USD","Period=FQ","BEST_FPERIOD_OVERRIDE=FQ","FILING_STATUS=MR","SCALING_FORMAT=MLN","FA_ADJUSTED=Adjusted","Sort=A","Dates=H","DateFormat=P","Fill=—","Direction=H","UseDPDF=Y")</f>
        <v>62.99</v>
      </c>
      <c r="K17" s="18" cm="1">
        <f t="array" ref="K17">_xll.BDH("PH US Equity","IS_INT_EXPENSE","FQ3 2021","FQ3 2021","Currency=USD","Period=FQ","BEST_FPERIOD_OVERRIDE=FQ","FILING_STATUS=MR","SCALING_FORMAT=MLN","FA_ADJUSTED=Adjusted","Sort=A","Dates=H","DateFormat=P","Fill=—","Direction=H","UseDPDF=Y")</f>
        <v>60.83</v>
      </c>
      <c r="L17" s="18" cm="1">
        <f t="array" ref="L17">_xll.BDH("PH US Equity","IS_INT_EXPENSE","FQ4 2021","FQ4 2021","Currency=USD","Period=FQ","BEST_FPERIOD_OVERRIDE=FQ","FILING_STATUS=MR","SCALING_FORMAT=MLN","FA_ADJUSTED=Adjusted","Sort=A","Dates=H","DateFormat=P","Fill=—","Direction=H","UseDPDF=Y")</f>
        <v>60.258000000000003</v>
      </c>
      <c r="M17" s="18" cm="1">
        <f t="array" ref="M17">_xll.BDH("PH US Equity","IS_INT_EXPENSE","FQ1 2022","FQ1 2022","Currency=USD","Period=FQ","BEST_FPERIOD_OVERRIDE=FQ","FILING_STATUS=MR","SCALING_FORMAT=MLN","FA_ADJUSTED=Adjusted","Sort=A","Dates=H","DateFormat=P","Fill=—","Direction=H","UseDPDF=Y")</f>
        <v>59.35</v>
      </c>
      <c r="N17" s="18" cm="1">
        <f t="array" ref="N17">_xll.BDH("PH US Equity","IS_INT_EXPENSE","FQ2 2022","FQ2 2022","Currency=USD","Period=FQ","BEST_FPERIOD_OVERRIDE=FQ","FILING_STATUS=MR","SCALING_FORMAT=MLN","FA_ADJUSTED=Adjusted","Sort=A","Dates=H","DateFormat=P","Fill=—","Direction=H","UseDPDF=Y")</f>
        <v>61.36</v>
      </c>
      <c r="O17" s="18" cm="1">
        <f t="array" ref="O17">_xll.BDH("PH US Equity","IS_INT_EXPENSE","FQ3 2022","FQ3 2022","Currency=USD","Period=FQ","BEST_FPERIOD_OVERRIDE=FQ","FILING_STATUS=MR","SCALING_FORMAT=MLN","FA_ADJUSTED=Adjusted","Sort=A","Dates=H","DateFormat=P","Fill=—","Direction=H","UseDPDF=Y")</f>
        <v>63.271999999999998</v>
      </c>
      <c r="P17" s="18" cm="1">
        <f t="array" ref="P17">_xll.BDH("PH US Equity","IS_INT_EXPENSE","FQ4 2022","FQ4 2022","Currency=USD","Period=FQ","BEST_FPERIOD_OVERRIDE=FQ","FILING_STATUS=MR","SCALING_FORMAT=MLN","FA_ADJUSTED=Adjusted","Sort=A","Dates=H","DateFormat=P","Fill=—","Direction=H","UseDPDF=Y")</f>
        <v>71.27</v>
      </c>
      <c r="Q17" s="18" cm="1">
        <f t="array" ref="Q17">_xll.BDH("PH US Equity","IS_INT_EXPENSE","FQ1 2023","FQ1 2023","Currency=USD","Period=FQ","BEST_FPERIOD_OVERRIDE=FQ","FILING_STATUS=MR","SCALING_FORMAT=MLN","FA_ADJUSTED=Adjusted","Sort=A","Dates=H","DateFormat=P","Fill=—","Direction=H","UseDPDF=Y")</f>
        <v>117.794</v>
      </c>
      <c r="R17" s="18" cm="1">
        <f t="array" ref="R17">_xll.BDH("PH US Equity","IS_INT_EXPENSE","FQ2 2023","FQ2 2023","Currency=USD","Period=FQ","BEST_FPERIOD_OVERRIDE=FQ","FILING_STATUS=MR","SCALING_FORMAT=MLN","FA_ADJUSTED=Adjusted","Sort=A","Dates=H","DateFormat=P","Fill=—","Direction=H","UseDPDF=Y")</f>
        <v>146.93100000000001</v>
      </c>
      <c r="S17" s="18" cm="1">
        <f t="array" ref="S17">_xll.BDH("PH US Equity","IS_INT_EXPENSE","FQ3 2023","FQ3 2023","Currency=USD","Period=FQ","BEST_FPERIOD_OVERRIDE=FQ","FILING_STATUS=MR","SCALING_FORMAT=MLN","FA_ADJUSTED=Adjusted","Sort=A","Dates=H","DateFormat=P","Fill=—","Direction=H","UseDPDF=Y")</f>
        <v>151.99299999999999</v>
      </c>
      <c r="T17" s="18" cm="1">
        <f t="array" ref="T17">_xll.BDH("PH US Equity","IS_INT_EXPENSE","FQ4 2023","FQ4 2023","Currency=USD","Period=FQ","BEST_FPERIOD_OVERRIDE=FQ","FILING_STATUS=MR","SCALING_FORMAT=MLN","FA_ADJUSTED=Adjusted","Sort=A","Dates=H","DateFormat=P","Fill=—","Direction=H","UseDPDF=Y")</f>
        <v>157.17599999999999</v>
      </c>
      <c r="U17" s="18" cm="1">
        <f t="array" ref="U17">_xll.BDH("PH US Equity","IS_INT_EXPENSE","FQ1 2024","FQ1 2024","Currency=USD","Period=FQ","BEST_FPERIOD_OVERRIDE=FQ","FILING_STATUS=MR","SCALING_FORMAT=MLN","FA_ADJUSTED=Adjusted","Sort=A","Dates=H","DateFormat=P","Fill=—","Direction=H","UseDPDF=Y")</f>
        <v>134.46799999999999</v>
      </c>
      <c r="V17" s="18" cm="1">
        <f t="array" ref="V17">_xll.BDH("PH US Equity","IS_INT_EXPENSE","FQ2 2024","FQ2 2024","Currency=USD","Period=FQ","BEST_FPERIOD_OVERRIDE=FQ","FILING_STATUS=MR","SCALING_FORMAT=MLN","FA_ADJUSTED=Adjusted","Sort=A","Dates=H","DateFormat=P","Fill=—","Direction=H","UseDPDF=Y")</f>
        <v>129.029</v>
      </c>
      <c r="W17" s="18" cm="1">
        <f t="array" ref="W17">_xll.BDH("PH US Equity","IS_INT_EXPENSE","FQ3 2024","FQ3 2024","Currency=USD","Period=FQ","BEST_FPERIOD_OVERRIDE=FQ","FILING_STATUS=MR","SCALING_FORMAT=MLN","FA_ADJUSTED=Adjusted","Sort=A","Dates=H","DateFormat=P","Fill=—","Direction=H","UseDPDF=Y")</f>
        <v>123.732</v>
      </c>
      <c r="X17" s="18" cm="1">
        <f t="array" ref="X17">_xll.BDH("PH US Equity","IS_INT_EXPENSE","FQ4 2024","FQ4 2024","Currency=USD","Period=FQ","BEST_FPERIOD_OVERRIDE=FQ","FILING_STATUS=MR","SCALING_FORMAT=MLN","FA_ADJUSTED=Adjusted","Sort=A","Dates=H","DateFormat=P","Fill=—","Direction=H","UseDPDF=Y")</f>
        <v>119.26600000000001</v>
      </c>
      <c r="Y17" s="18" cm="1">
        <f t="array" ref="Y17">_xll.BDH("PH US Equity","IS_INT_EXPENSE","FQ1 2025","FQ1 2025","Currency=USD","Period=FQ","BEST_FPERIOD_OVERRIDE=FQ","FILING_STATUS=MR","SCALING_FORMAT=MLN","FA_ADJUSTED=Adjusted","Sort=A","Dates=H","DateFormat=P","Fill=—","Direction=H","UseDPDF=Y")</f>
        <v>113.09099999999999</v>
      </c>
      <c r="Z17" s="18" cm="1">
        <f t="array" ref="Z17">_xll.BDH("PH US Equity","IS_INT_EXPENSE","FQ2 2025","FQ2 2025","Currency=USD","Period=FQ","BEST_FPERIOD_OVERRIDE=FQ","FILING_STATUS=MR","SCALING_FORMAT=MLN","FA_ADJUSTED=Adjusted","Sort=A","Dates=H","DateFormat=P","Fill=—","Direction=H","UseDPDF=Y")</f>
        <v>100.80200000000001</v>
      </c>
      <c r="AA17" s="18" cm="1">
        <f t="array" ref="AA17">_xll.BDH("PH US Equity","IS_INT_EXPENSE","FQ3 2025","FQ3 2025","Currency=USD","Period=FQ","BEST_FPERIOD_OVERRIDE=FQ","FILING_STATUS=MR","SCALING_FORMAT=MLN","FA_ADJUSTED=Adjusted","Sort=A","Dates=H","DateFormat=P","Fill=—","Direction=H","UseDPDF=Y")</f>
        <v>95.941999999999993</v>
      </c>
      <c r="AB17" s="18" cm="1">
        <f t="array" ref="AB17">_xll.BDH("PH US Equity","IS_INT_EXPENSE","FQ4 2025","FQ4 2025","Currency=USD","Period=FQ","BEST_FPERIOD_OVERRIDE=FQ","FILING_STATUS=MR","SCALING_FORMAT=MLN","FA_ADJUSTED=Adjusted","Sort=A","Dates=H","DateFormat=P","Fill=—","Direction=H","UseDPDF=Y")</f>
        <v>99</v>
      </c>
      <c r="AC17" s="18" cm="1">
        <f t="array" ref="AC17">_xll.BDH("PH US Equity","IS_INT_EXPENSE","FQ1 2026","FQ1 2026","Currency=USD","Period=FQ","BEST_FPERIOD_OVERRIDE=FQ","FILING_STATUS=MR","SCALING_FORMAT=MLN","FA_ADJUSTED=Adjusted","Sort=A","Dates=H","DateFormat=P","Fill=—","Direction=H","UseDPDF=Y")</f>
        <v>101</v>
      </c>
      <c r="AD17" s="18" cm="1">
        <f t="array" ref="AD17">_xll.BDH("PH US Equity","IS_INT_EXPENSE","FQ2 2026","FQ2 2026","Currency=USD","Period=FQ","BEST_FPERIOD_OVERRIDE=FQ","FILING_STATUS=MR","SCALING_FORMAT=MLN","FA_ADJUSTED=Adjusted","Sort=A","Dates=H","DateFormat=P","Fill=—","Direction=H","UseDPDF=Y")</f>
        <v>106</v>
      </c>
      <c r="AE17" s="18"/>
      <c r="AF17" s="18"/>
    </row>
    <row r="18" spans="1:32" x14ac:dyDescent="0.25">
      <c r="A18" s="10" t="s">
        <v>89</v>
      </c>
      <c r="B18" s="10" t="s">
        <v>90</v>
      </c>
      <c r="C18" s="13" cm="1">
        <f t="array" ref="C18">_xll.BDH("PH US Equity","IS_OTHER_NON_OPERATING_INC_LOSS","FQ3 2019","FQ3 2019","Currency=USD","Period=FQ","BEST_FPERIOD_OVERRIDE=FQ","FILING_STATUS=MR","SCALING_FORMAT=MLN","FA_ADJUSTED=Adjusted","Sort=A","Dates=H","DateFormat=P","Fill=—","Direction=H","UseDPDF=Y")</f>
        <v>-15.324</v>
      </c>
      <c r="D18" s="13" cm="1">
        <f t="array" ref="D18">_xll.BDH("PH US Equity","IS_OTHER_NON_OPERATING_INC_LOSS","FQ4 2019","FQ4 2019","Currency=USD","Period=FQ","BEST_FPERIOD_OVERRIDE=FQ","FILING_STATUS=MR","SCALING_FORMAT=MLN","FA_ADJUSTED=Adjusted","Sort=A","Dates=H","DateFormat=P","Fill=—","Direction=H","UseDPDF=Y")</f>
        <v>-3.5259999999999998</v>
      </c>
      <c r="E18" s="13" cm="1">
        <f t="array" ref="E18">_xll.BDH("PH US Equity","IS_OTHER_NON_OPERATING_INC_LOSS","FQ1 2020","FQ1 2020","Currency=USD","Period=FQ","BEST_FPERIOD_OVERRIDE=FQ","FILING_STATUS=MR","SCALING_FORMAT=MLN","FA_ADJUSTED=Adjusted","Sort=A","Dates=H","DateFormat=P","Fill=—","Direction=H","UseDPDF=Y")</f>
        <v>-47.223999999999997</v>
      </c>
      <c r="F18" s="13" cm="1">
        <f t="array" ref="F18">_xll.BDH("PH US Equity","IS_OTHER_NON_OPERATING_INC_LOSS","FQ2 2020","FQ2 2020","Currency=USD","Period=FQ","BEST_FPERIOD_OVERRIDE=FQ","FILING_STATUS=MR","SCALING_FORMAT=MLN","FA_ADJUSTED=Adjusted","Sort=A","Dates=H","DateFormat=P","Fill=—","Direction=H","UseDPDF=Y")</f>
        <v>-10.028</v>
      </c>
      <c r="G18" s="13" cm="1">
        <f t="array" ref="G18">_xll.BDH("PH US Equity","IS_OTHER_NON_OPERATING_INC_LOSS","FQ3 2020","FQ3 2020","Currency=USD","Period=FQ","BEST_FPERIOD_OVERRIDE=FQ","FILING_STATUS=MR","SCALING_FORMAT=MLN","FA_ADJUSTED=Adjusted","Sort=A","Dates=H","DateFormat=P","Fill=—","Direction=H","UseDPDF=Y")</f>
        <v>-15.045999999999999</v>
      </c>
      <c r="H18" s="13" cm="1">
        <f t="array" ref="H18">_xll.BDH("PH US Equity","IS_OTHER_NON_OPERATING_INC_LOSS","FQ4 2020","FQ4 2020","Currency=USD","Period=FQ","BEST_FPERIOD_OVERRIDE=FQ","FILING_STATUS=MR","SCALING_FORMAT=MLN","FA_ADJUSTED=Adjusted","Sort=A","Dates=H","DateFormat=P","Fill=—","Direction=H","UseDPDF=Y")</f>
        <v>6.63</v>
      </c>
      <c r="I18" s="13" cm="1">
        <f t="array" ref="I18">_xll.BDH("PH US Equity","IS_OTHER_NON_OPERATING_INC_LOSS","FQ1 2021","FQ1 2021","Currency=USD","Period=FQ","BEST_FPERIOD_OVERRIDE=FQ","FILING_STATUS=MR","SCALING_FORMAT=MLN","FA_ADJUSTED=Adjusted","Sort=A","Dates=H","DateFormat=P","Fill=—","Direction=H","UseDPDF=Y")</f>
        <v>-4.1459999999999999</v>
      </c>
      <c r="J18" s="13" cm="1">
        <f t="array" ref="J18">_xll.BDH("PH US Equity","IS_OTHER_NON_OPERATING_INC_LOSS","FQ2 2021","FQ2 2021","Currency=USD","Period=FQ","BEST_FPERIOD_OVERRIDE=FQ","FILING_STATUS=MR","SCALING_FORMAT=MLN","FA_ADJUSTED=Adjusted","Sort=A","Dates=H","DateFormat=P","Fill=—","Direction=H","UseDPDF=Y")</f>
        <v>-93.281999999999996</v>
      </c>
      <c r="K18" s="13" cm="1">
        <f t="array" ref="K18">_xll.BDH("PH US Equity","IS_OTHER_NON_OPERATING_INC_LOSS","FQ3 2021","FQ3 2021","Currency=USD","Period=FQ","BEST_FPERIOD_OVERRIDE=FQ","FILING_STATUS=MR","SCALING_FORMAT=MLN","FA_ADJUSTED=Adjusted","Sort=A","Dates=H","DateFormat=P","Fill=—","Direction=H","UseDPDF=Y")</f>
        <v>-13.46</v>
      </c>
      <c r="L18" s="13" cm="1">
        <f t="array" ref="L18">_xll.BDH("PH US Equity","IS_OTHER_NON_OPERATING_INC_LOSS","FQ4 2021","FQ4 2021","Currency=USD","Period=FQ","BEST_FPERIOD_OVERRIDE=FQ","FILING_STATUS=MR","SCALING_FORMAT=MLN","FA_ADJUSTED=Adjusted","Sort=A","Dates=H","DateFormat=P","Fill=—","Direction=H","UseDPDF=Y")</f>
        <v>5.42</v>
      </c>
      <c r="M18" s="13" cm="1">
        <f t="array" ref="M18">_xll.BDH("PH US Equity","IS_OTHER_NON_OPERATING_INC_LOSS","FQ1 2022","FQ1 2022","Currency=USD","Period=FQ","BEST_FPERIOD_OVERRIDE=FQ","FILING_STATUS=MR","SCALING_FORMAT=MLN","FA_ADJUSTED=Adjusted","Sort=A","Dates=H","DateFormat=P","Fill=—","Direction=H","UseDPDF=Y")</f>
        <v>-39.222000000000001</v>
      </c>
      <c r="N18" s="13" cm="1">
        <f t="array" ref="N18">_xll.BDH("PH US Equity","IS_OTHER_NON_OPERATING_INC_LOSS","FQ2 2022","FQ2 2022","Currency=USD","Period=FQ","BEST_FPERIOD_OVERRIDE=FQ","FILING_STATUS=MR","SCALING_FORMAT=MLN","FA_ADJUSTED=Adjusted","Sort=A","Dates=H","DateFormat=P","Fill=—","Direction=H","UseDPDF=Y")</f>
        <v>116.22</v>
      </c>
      <c r="O18" s="13" cm="1">
        <f t="array" ref="O18">_xll.BDH("PH US Equity","IS_OTHER_NON_OPERATING_INC_LOSS","FQ3 2022","FQ3 2022","Currency=USD","Period=FQ","BEST_FPERIOD_OVERRIDE=FQ","FILING_STATUS=MR","SCALING_FORMAT=MLN","FA_ADJUSTED=Adjusted","Sort=A","Dates=H","DateFormat=P","Fill=—","Direction=H","UseDPDF=Y")</f>
        <v>-7.0629999999999997</v>
      </c>
      <c r="P18" s="13" cm="1">
        <f t="array" ref="P18">_xll.BDH("PH US Equity","IS_OTHER_NON_OPERATING_INC_LOSS","FQ4 2022","FQ4 2022","Currency=USD","Period=FQ","BEST_FPERIOD_OVERRIDE=FQ","FILING_STATUS=MR","SCALING_FORMAT=MLN","FA_ADJUSTED=Adjusted","Sort=A","Dates=H","DateFormat=P","Fill=—","Direction=H","UseDPDF=Y")</f>
        <v>576.60299999999995</v>
      </c>
      <c r="Q18" s="13" cm="1">
        <f t="array" ref="Q18">_xll.BDH("PH US Equity","IS_OTHER_NON_OPERATING_INC_LOSS","FQ1 2023","FQ1 2023","Currency=USD","Period=FQ","BEST_FPERIOD_OVERRIDE=FQ","FILING_STATUS=MR","SCALING_FORMAT=MLN","FA_ADJUSTED=Adjusted","Sort=A","Dates=H","DateFormat=P","Fill=—","Direction=H","UseDPDF=Y")</f>
        <v>-85.058000000000007</v>
      </c>
      <c r="R18" s="13" cm="1">
        <f t="array" ref="R18">_xll.BDH("PH US Equity","IS_OTHER_NON_OPERATING_INC_LOSS","FQ2 2023","FQ2 2023","Currency=USD","Period=FQ","BEST_FPERIOD_OVERRIDE=FQ","FILING_STATUS=MR","SCALING_FORMAT=MLN","FA_ADJUSTED=Adjusted","Sort=A","Dates=H","DateFormat=P","Fill=—","Direction=H","UseDPDF=Y")</f>
        <v>-33.04</v>
      </c>
      <c r="S18" s="13" cm="1">
        <f t="array" ref="S18">_xll.BDH("PH US Equity","IS_OTHER_NON_OPERATING_INC_LOSS","FQ3 2023","FQ3 2023","Currency=USD","Period=FQ","BEST_FPERIOD_OVERRIDE=FQ","FILING_STATUS=MR","SCALING_FORMAT=MLN","FA_ADJUSTED=Adjusted","Sort=A","Dates=H","DateFormat=P","Fill=—","Direction=H","UseDPDF=Y")</f>
        <v>-54.417000000000002</v>
      </c>
      <c r="T18" s="13" cm="1">
        <f t="array" ref="T18">_xll.BDH("PH US Equity","IS_OTHER_NON_OPERATING_INC_LOSS","FQ4 2023","FQ4 2023","Currency=USD","Period=FQ","BEST_FPERIOD_OVERRIDE=FQ","FILING_STATUS=MR","SCALING_FORMAT=MLN","FA_ADJUSTED=Adjusted","Sort=A","Dates=H","DateFormat=P","Fill=—","Direction=H","UseDPDF=Y")</f>
        <v>-61.783999999999999</v>
      </c>
      <c r="U18" s="13" cm="1">
        <f t="array" ref="U18">_xll.BDH("PH US Equity","IS_OTHER_NON_OPERATING_INC_LOSS","FQ1 2024","FQ1 2024","Currency=USD","Period=FQ","BEST_FPERIOD_OVERRIDE=FQ","FILING_STATUS=MR","SCALING_FORMAT=MLN","FA_ADJUSTED=Adjusted","Sort=A","Dates=H","DateFormat=P","Fill=—","Direction=H","UseDPDF=Y")</f>
        <v>-78.454999999999998</v>
      </c>
      <c r="V18" s="13" cm="1">
        <f t="array" ref="V18">_xll.BDH("PH US Equity","IS_OTHER_NON_OPERATING_INC_LOSS","FQ2 2024","FQ2 2024","Currency=USD","Period=FQ","BEST_FPERIOD_OVERRIDE=FQ","FILING_STATUS=MR","SCALING_FORMAT=MLN","FA_ADJUSTED=Adjusted","Sort=A","Dates=H","DateFormat=P","Fill=—","Direction=H","UseDPDF=Y")</f>
        <v>-84.933000000000007</v>
      </c>
      <c r="W18" s="13" cm="1">
        <f t="array" ref="W18">_xll.BDH("PH US Equity","IS_OTHER_NON_OPERATING_INC_LOSS","FQ3 2024","FQ3 2024","Currency=USD","Period=FQ","BEST_FPERIOD_OVERRIDE=FQ","FILING_STATUS=MR","SCALING_FORMAT=MLN","FA_ADJUSTED=Adjusted","Sort=A","Dates=H","DateFormat=P","Fill=—","Direction=H","UseDPDF=Y")</f>
        <v>-64.275999999999996</v>
      </c>
      <c r="X18" s="13" cm="1">
        <f t="array" ref="X18">_xll.BDH("PH US Equity","IS_OTHER_NON_OPERATING_INC_LOSS","FQ4 2024","FQ4 2024","Currency=USD","Period=FQ","BEST_FPERIOD_OVERRIDE=FQ","FILING_STATUS=MR","SCALING_FORMAT=MLN","FA_ADJUSTED=Adjusted","Sort=A","Dates=H","DateFormat=P","Fill=—","Direction=H","UseDPDF=Y")</f>
        <v>-56.46</v>
      </c>
      <c r="Y18" s="13" cm="1">
        <f t="array" ref="Y18">_xll.BDH("PH US Equity","IS_OTHER_NON_OPERATING_INC_LOSS","FQ1 2025","FQ1 2025","Currency=USD","Period=FQ","BEST_FPERIOD_OVERRIDE=FQ","FILING_STATUS=MR","SCALING_FORMAT=MLN","FA_ADJUSTED=Adjusted","Sort=A","Dates=H","DateFormat=P","Fill=—","Direction=H","UseDPDF=Y")</f>
        <v>-30.800999999999998</v>
      </c>
      <c r="Z18" s="13" cm="1">
        <f t="array" ref="Z18">_xll.BDH("PH US Equity","IS_OTHER_NON_OPERATING_INC_LOSS","FQ2 2025","FQ2 2025","Currency=USD","Period=FQ","BEST_FPERIOD_OVERRIDE=FQ","FILING_STATUS=MR","SCALING_FORMAT=MLN","FA_ADJUSTED=Adjusted","Sort=A","Dates=H","DateFormat=P","Fill=—","Direction=H","UseDPDF=Y")</f>
        <v>-328.71600000000001</v>
      </c>
      <c r="AA18" s="13" cm="1">
        <f t="array" ref="AA18">_xll.BDH("PH US Equity","IS_OTHER_NON_OPERATING_INC_LOSS","FQ3 2025","FQ3 2025","Currency=USD","Period=FQ","BEST_FPERIOD_OVERRIDE=FQ","FILING_STATUS=MR","SCALING_FORMAT=MLN","FA_ADJUSTED=Adjusted","Sort=A","Dates=H","DateFormat=P","Fill=—","Direction=H","UseDPDF=Y")</f>
        <v>-44.713000000000001</v>
      </c>
      <c r="AB18" s="13" cm="1">
        <f t="array" ref="AB18">_xll.BDH("PH US Equity","IS_OTHER_NON_OPERATING_INC_LOSS","FQ4 2025","FQ4 2025","Currency=USD","Period=FQ","BEST_FPERIOD_OVERRIDE=FQ","FILING_STATUS=MR","SCALING_FORMAT=MLN","FA_ADJUSTED=Adjusted","Sort=A","Dates=H","DateFormat=P","Fill=—","Direction=H","UseDPDF=Y")</f>
        <v>-51</v>
      </c>
      <c r="AC18" s="13" cm="1">
        <f t="array" ref="AC18">_xll.BDH("PH US Equity","IS_OTHER_NON_OPERATING_INC_LOSS","FQ1 2026","FQ1 2026","Currency=USD","Period=FQ","BEST_FPERIOD_OVERRIDE=FQ","FILING_STATUS=MR","SCALING_FORMAT=MLN","FA_ADJUSTED=Adjusted","Sort=A","Dates=H","DateFormat=P","Fill=—","Direction=H","UseDPDF=Y")</f>
        <v>-107</v>
      </c>
      <c r="AD18" s="13" cm="1">
        <f t="array" ref="AD18">_xll.BDH("PH US Equity","IS_OTHER_NON_OPERATING_INC_LOSS","FQ2 2026","FQ2 2026","Currency=USD","Period=FQ","BEST_FPERIOD_OVERRIDE=FQ","FILING_STATUS=MR","SCALING_FORMAT=MLN","FA_ADJUSTED=Adjusted","Sort=A","Dates=H","DateFormat=P","Fill=—","Direction=H","UseDPDF=Y")</f>
        <v>-76</v>
      </c>
      <c r="AE18" s="13"/>
      <c r="AF18" s="13"/>
    </row>
    <row r="19" spans="1:32" x14ac:dyDescent="0.25">
      <c r="A19" s="6" t="s">
        <v>91</v>
      </c>
      <c r="B19" s="6" t="s">
        <v>92</v>
      </c>
      <c r="C19" s="16" cm="1">
        <f t="array" ref="C19">_xll.BDH("PH US Equity","PRETAX_INC","FQ3 2019","FQ3 2019","Currency=USD","Period=FQ","BEST_FPERIOD_OVERRIDE=FQ","FILING_STATUS=MR","SCALING_FORMAT=MLN","FA_ADJUSTED=Adjusted","Sort=A","Dates=H","DateFormat=P","Fill=—","Direction=H","UseDPDF=Y")</f>
        <v>532.18799999999999</v>
      </c>
      <c r="D19" s="16" cm="1">
        <f t="array" ref="D19">_xll.BDH("PH US Equity","PRETAX_INC","FQ4 2019","FQ4 2019","Currency=USD","Period=FQ","BEST_FPERIOD_OVERRIDE=FQ","FILING_STATUS=MR","SCALING_FORMAT=MLN","FA_ADJUSTED=Adjusted","Sort=A","Dates=H","DateFormat=P","Fill=—","Direction=H","UseDPDF=Y")</f>
        <v>533.73400000000004</v>
      </c>
      <c r="E19" s="16" cm="1">
        <f t="array" ref="E19">_xll.BDH("PH US Equity","PRETAX_INC","FQ1 2020","FQ1 2020","Currency=USD","Period=FQ","BEST_FPERIOD_OVERRIDE=FQ","FILING_STATUS=MR","SCALING_FORMAT=MLN","FA_ADJUSTED=Adjusted","Sort=A","Dates=H","DateFormat=P","Fill=—","Direction=H","UseDPDF=Y")</f>
        <v>448.76600000000002</v>
      </c>
      <c r="F19" s="16" cm="1">
        <f t="array" ref="F19">_xll.BDH("PH US Equity","PRETAX_INC","FQ2 2020","FQ2 2020","Currency=USD","Period=FQ","BEST_FPERIOD_OVERRIDE=FQ","FILING_STATUS=MR","SCALING_FORMAT=MLN","FA_ADJUSTED=Adjusted","Sort=A","Dates=H","DateFormat=P","Fill=—","Direction=H","UseDPDF=Y")</f>
        <v>422.53300000000002</v>
      </c>
      <c r="G19" s="16" cm="1">
        <f t="array" ref="G19">_xll.BDH("PH US Equity","PRETAX_INC","FQ3 2020","FQ3 2020","Currency=USD","Period=FQ","BEST_FPERIOD_OVERRIDE=FQ","FILING_STATUS=MR","SCALING_FORMAT=MLN","FA_ADJUSTED=Adjusted","Sort=A","Dates=H","DateFormat=P","Fill=—","Direction=H","UseDPDF=Y")</f>
        <v>496.31299999999999</v>
      </c>
      <c r="H19" s="16" cm="1">
        <f t="array" ref="H19">_xll.BDH("PH US Equity","PRETAX_INC","FQ4 2020","FQ4 2020","Currency=USD","Period=FQ","BEST_FPERIOD_OVERRIDE=FQ","FILING_STATUS=MR","SCALING_FORMAT=MLN","FA_ADJUSTED=Adjusted","Sort=A","Dates=H","DateFormat=P","Fill=—","Direction=H","UseDPDF=Y")</f>
        <v>418.98599999999999</v>
      </c>
      <c r="I19" s="16" cm="1">
        <f t="array" ref="I19">_xll.BDH("PH US Equity","PRETAX_INC","FQ1 2021","FQ1 2021","Currency=USD","Period=FQ","BEST_FPERIOD_OVERRIDE=FQ","FILING_STATUS=MR","SCALING_FORMAT=MLN","FA_ADJUSTED=Adjusted","Sort=A","Dates=H","DateFormat=P","Fill=—","Direction=H","UseDPDF=Y")</f>
        <v>431.01400000000001</v>
      </c>
      <c r="J19" s="16" cm="1">
        <f t="array" ref="J19">_xll.BDH("PH US Equity","PRETAX_INC","FQ2 2021","FQ2 2021","Currency=USD","Period=FQ","BEST_FPERIOD_OVERRIDE=FQ","FILING_STATUS=MR","SCALING_FORMAT=MLN","FA_ADJUSTED=Adjusted","Sort=A","Dates=H","DateFormat=P","Fill=—","Direction=H","UseDPDF=Y")</f>
        <v>386.85899999999998</v>
      </c>
      <c r="K19" s="16" cm="1">
        <f t="array" ref="K19">_xll.BDH("PH US Equity","PRETAX_INC","FQ3 2021","FQ3 2021","Currency=USD","Period=FQ","BEST_FPERIOD_OVERRIDE=FQ","FILING_STATUS=MR","SCALING_FORMAT=MLN","FA_ADJUSTED=Adjusted","Sort=A","Dates=H","DateFormat=P","Fill=—","Direction=H","UseDPDF=Y")</f>
        <v>607.59699999999998</v>
      </c>
      <c r="L19" s="16" cm="1">
        <f t="array" ref="L19">_xll.BDH("PH US Equity","PRETAX_INC","FQ4 2021","FQ4 2021","Currency=USD","Period=FQ","BEST_FPERIOD_OVERRIDE=FQ","FILING_STATUS=MR","SCALING_FORMAT=MLN","FA_ADJUSTED=Adjusted","Sort=A","Dates=H","DateFormat=P","Fill=—","Direction=H","UseDPDF=Y")</f>
        <v>659.06700000000001</v>
      </c>
      <c r="M19" s="16" cm="1">
        <f t="array" ref="M19">_xll.BDH("PH US Equity","PRETAX_INC","FQ1 2022","FQ1 2022","Currency=USD","Period=FQ","BEST_FPERIOD_OVERRIDE=FQ","FILING_STATUS=MR","SCALING_FORMAT=MLN","FA_ADJUSTED=Adjusted","Sort=A","Dates=H","DateFormat=P","Fill=—","Direction=H","UseDPDF=Y")</f>
        <v>627.53200000000004</v>
      </c>
      <c r="N19" s="16" cm="1">
        <f t="array" ref="N19">_xll.BDH("PH US Equity","PRETAX_INC","FQ2 2022","FQ2 2022","Currency=USD","Period=FQ","BEST_FPERIOD_OVERRIDE=FQ","FILING_STATUS=MR","SCALING_FORMAT=MLN","FA_ADJUSTED=Adjusted","Sort=A","Dates=H","DateFormat=P","Fill=—","Direction=H","UseDPDF=Y")</f>
        <v>646.08399999999995</v>
      </c>
      <c r="O19" s="16" cm="1">
        <f t="array" ref="O19">_xll.BDH("PH US Equity","PRETAX_INC","FQ3 2022","FQ3 2022","Currency=USD","Period=FQ","BEST_FPERIOD_OVERRIDE=FQ","FILING_STATUS=MR","SCALING_FORMAT=MLN","FA_ADJUSTED=Adjusted","Sort=A","Dates=H","DateFormat=P","Fill=—","Direction=H","UseDPDF=Y")</f>
        <v>718.05100000000004</v>
      </c>
      <c r="P19" s="16" cm="1">
        <f t="array" ref="P19">_xll.BDH("PH US Equity","PRETAX_INC","FQ4 2022","FQ4 2022","Currency=USD","Period=FQ","BEST_FPERIOD_OVERRIDE=FQ","FILING_STATUS=MR","SCALING_FORMAT=MLN","FA_ADJUSTED=Adjusted","Sort=A","Dates=H","DateFormat=P","Fill=—","Direction=H","UseDPDF=Y")</f>
        <v>754.74</v>
      </c>
      <c r="Q19" s="16" cm="1">
        <f t="array" ref="Q19">_xll.BDH("PH US Equity","PRETAX_INC","FQ1 2023","FQ1 2023","Currency=USD","Period=FQ","BEST_FPERIOD_OVERRIDE=FQ","FILING_STATUS=MR","SCALING_FORMAT=MLN","FA_ADJUSTED=Adjusted","Sort=A","Dates=H","DateFormat=P","Fill=—","Direction=H","UseDPDF=Y")</f>
        <v>688.91200000000003</v>
      </c>
      <c r="R19" s="16" cm="1">
        <f t="array" ref="R19">_xll.BDH("PH US Equity","PRETAX_INC","FQ2 2023","FQ2 2023","Currency=USD","Period=FQ","BEST_FPERIOD_OVERRIDE=FQ","FILING_STATUS=MR","SCALING_FORMAT=MLN","FA_ADJUSTED=Adjusted","Sort=A","Dates=H","DateFormat=P","Fill=—","Direction=H","UseDPDF=Y")</f>
        <v>512.98159999999996</v>
      </c>
      <c r="S19" s="16" cm="1">
        <f t="array" ref="S19">_xll.BDH("PH US Equity","PRETAX_INC","FQ3 2023","FQ3 2023","Currency=USD","Period=FQ","BEST_FPERIOD_OVERRIDE=FQ","FILING_STATUS=MR","SCALING_FORMAT=MLN","FA_ADJUSTED=Adjusted","Sort=A","Dates=H","DateFormat=P","Fill=—","Direction=H","UseDPDF=Y")</f>
        <v>818.83</v>
      </c>
      <c r="T19" s="16" cm="1">
        <f t="array" ref="T19">_xll.BDH("PH US Equity","PRETAX_INC","FQ4 2023","FQ4 2023","Currency=USD","Period=FQ","BEST_FPERIOD_OVERRIDE=FQ","FILING_STATUS=MR","SCALING_FORMAT=MLN","FA_ADJUSTED=Adjusted","Sort=A","Dates=H","DateFormat=P","Fill=—","Direction=H","UseDPDF=Y")</f>
        <v>940.76199999999994</v>
      </c>
      <c r="U19" s="16" cm="1">
        <f t="array" ref="U19">_xll.BDH("PH US Equity","PRETAX_INC","FQ1 2024","FQ1 2024","Currency=USD","Period=FQ","BEST_FPERIOD_OVERRIDE=FQ","FILING_STATUS=MR","SCALING_FORMAT=MLN","FA_ADJUSTED=Adjusted","Sort=A","Dates=H","DateFormat=P","Fill=—","Direction=H","UseDPDF=Y")</f>
        <v>828.00599999999997</v>
      </c>
      <c r="V19" s="16" cm="1">
        <f t="array" ref="V19">_xll.BDH("PH US Equity","PRETAX_INC","FQ2 2024","FQ2 2024","Currency=USD","Period=FQ","BEST_FPERIOD_OVERRIDE=FQ","FILING_STATUS=MR","SCALING_FORMAT=MLN","FA_ADJUSTED=Adjusted","Sort=A","Dates=H","DateFormat=P","Fill=—","Direction=H","UseDPDF=Y")</f>
        <v>883.82799999999997</v>
      </c>
      <c r="W19" s="16" cm="1">
        <f t="array" ref="W19">_xll.BDH("PH US Equity","PRETAX_INC","FQ3 2024","FQ3 2024","Currency=USD","Period=FQ","BEST_FPERIOD_OVERRIDE=FQ","FILING_STATUS=MR","SCALING_FORMAT=MLN","FA_ADJUSTED=Adjusted","Sort=A","Dates=H","DateFormat=P","Fill=—","Direction=H","UseDPDF=Y")</f>
        <v>943.68399999999997</v>
      </c>
      <c r="X19" s="16" cm="1">
        <f t="array" ref="X19">_xll.BDH("PH US Equity","PRETAX_INC","FQ4 2024","FQ4 2024","Currency=USD","Period=FQ","BEST_FPERIOD_OVERRIDE=FQ","FILING_STATUS=MR","SCALING_FORMAT=MLN","FA_ADJUSTED=Adjusted","Sort=A","Dates=H","DateFormat=P","Fill=—","Direction=H","UseDPDF=Y")</f>
        <v>1015.169</v>
      </c>
      <c r="Y19" s="16" cm="1">
        <f t="array" ref="Y19">_xll.BDH("PH US Equity","PRETAX_INC","FQ1 2025","FQ1 2025","Currency=USD","Period=FQ","BEST_FPERIOD_OVERRIDE=FQ","FILING_STATUS=MR","SCALING_FORMAT=MLN","FA_ADJUSTED=Adjusted","Sort=A","Dates=H","DateFormat=P","Fill=—","Direction=H","UseDPDF=Y")</f>
        <v>882.36800000000005</v>
      </c>
      <c r="Z19" s="16" cm="1">
        <f t="array" ref="Z19">_xll.BDH("PH US Equity","PRETAX_INC","FQ2 2025","FQ2 2025","Currency=USD","Period=FQ","BEST_FPERIOD_OVERRIDE=FQ","FILING_STATUS=MR","SCALING_FORMAT=MLN","FA_ADJUSTED=Adjusted","Sort=A","Dates=H","DateFormat=P","Fill=—","Direction=H","UseDPDF=Y")</f>
        <v>945.30399999999997</v>
      </c>
      <c r="AA19" s="16" cm="1">
        <f t="array" ref="AA19">_xll.BDH("PH US Equity","PRETAX_INC","FQ3 2025","FQ3 2025","Currency=USD","Period=FQ","BEST_FPERIOD_OVERRIDE=FQ","FILING_STATUS=MR","SCALING_FORMAT=MLN","FA_ADJUSTED=Adjusted","Sort=A","Dates=H","DateFormat=P","Fill=—","Direction=H","UseDPDF=Y")</f>
        <v>1016.809</v>
      </c>
      <c r="AB19" s="16" cm="1">
        <f t="array" ref="AB19">_xll.BDH("PH US Equity","PRETAX_INC","FQ4 2025","FQ4 2025","Currency=USD","Period=FQ","BEST_FPERIOD_OVERRIDE=FQ","FILING_STATUS=MR","SCALING_FORMAT=MLN","FA_ADJUSTED=Adjusted","Sort=A","Dates=H","DateFormat=P","Fill=—","Direction=H","UseDPDF=Y")</f>
        <v>1074</v>
      </c>
      <c r="AC19" s="16" cm="1">
        <f t="array" ref="AC19">_xll.BDH("PH US Equity","PRETAX_INC","FQ1 2026","FQ1 2026","Currency=USD","Period=FQ","BEST_FPERIOD_OVERRIDE=FQ","FILING_STATUS=MR","SCALING_FORMAT=MLN","FA_ADJUSTED=Adjusted","Sort=A","Dates=H","DateFormat=P","Fill=—","Direction=H","UseDPDF=Y")</f>
        <v>1062</v>
      </c>
      <c r="AD19" s="16" cm="1">
        <f t="array" ref="AD19">_xll.BDH("PH US Equity","PRETAX_INC","FQ2 2026","FQ2 2026","Currency=USD","Period=FQ","BEST_FPERIOD_OVERRIDE=FQ","FILING_STATUS=MR","SCALING_FORMAT=MLN","FA_ADJUSTED=Adjusted","Sort=A","Dates=H","DateFormat=P","Fill=—","Direction=H","UseDPDF=Y")</f>
        <v>1084</v>
      </c>
      <c r="AE19" s="16">
        <v>1263</v>
      </c>
      <c r="AF19" s="16">
        <v>1333.5</v>
      </c>
    </row>
    <row r="20" spans="1:32" x14ac:dyDescent="0.25">
      <c r="A20" s="10" t="s">
        <v>93</v>
      </c>
      <c r="B20" s="10" t="s">
        <v>94</v>
      </c>
      <c r="C20" s="13" cm="1">
        <f t="array" ref="C20">_xll.BDH("PH US Equity","IS_ABNORMAL_ITEM","FQ3 2019","FQ3 2019","Currency=USD","Period=FQ","BEST_FPERIOD_OVERRIDE=FQ","FILING_STATUS=MR","SCALING_FORMAT=MLN","Sort=A","Dates=H","DateFormat=P","Fill=—","Direction=H","UseDPDF=Y")</f>
        <v>2.988</v>
      </c>
      <c r="D20" s="13" cm="1">
        <f t="array" ref="D20">_xll.BDH("PH US Equity","IS_ABNORMAL_ITEM","FQ4 2019","FQ4 2019","Currency=USD","Period=FQ","BEST_FPERIOD_OVERRIDE=FQ","FILING_STATUS=MR","SCALING_FORMAT=MLN","Sort=A","Dates=H","DateFormat=P","Fill=—","Direction=H","UseDPDF=Y")</f>
        <v>20.385999999999999</v>
      </c>
      <c r="E20" s="13" cm="1">
        <f t="array" ref="E20">_xll.BDH("PH US Equity","IS_ABNORMAL_ITEM","FQ1 2020","FQ1 2020","Currency=USD","Period=FQ","BEST_FPERIOD_OVERRIDE=FQ","FILING_STATUS=MR","SCALING_FORMAT=MLN","Sort=A","Dates=H","DateFormat=P","Fill=—","Direction=H","UseDPDF=Y")</f>
        <v>15.61</v>
      </c>
      <c r="F20" s="13" cm="1">
        <f t="array" ref="F20">_xll.BDH("PH US Equity","IS_ABNORMAL_ITEM","FQ2 2020","FQ2 2020","Currency=USD","Period=FQ","BEST_FPERIOD_OVERRIDE=FQ","FILING_STATUS=MR","SCALING_FORMAT=MLN","Sort=A","Dates=H","DateFormat=P","Fill=—","Direction=H","UseDPDF=Y")</f>
        <v>167.78700000000001</v>
      </c>
      <c r="G20" s="13" cm="1">
        <f t="array" ref="G20">_xll.BDH("PH US Equity","IS_ABNORMAL_ITEM","FQ3 2020","FQ3 2020","Currency=USD","Period=FQ","BEST_FPERIOD_OVERRIDE=FQ","FILING_STATUS=MR","SCALING_FORMAT=MLN","Sort=A","Dates=H","DateFormat=P","Fill=—","Direction=H","UseDPDF=Y")</f>
        <v>42.155999999999999</v>
      </c>
      <c r="H20" s="13" cm="1">
        <f t="array" ref="H20">_xll.BDH("PH US Equity","IS_ABNORMAL_ITEM","FQ4 2020","FQ4 2020","Currency=USD","Period=FQ","BEST_FPERIOD_OVERRIDE=FQ","FILING_STATUS=MR","SCALING_FORMAT=MLN","Sort=A","Dates=H","DateFormat=P","Fill=—","Direction=H","UseDPDF=Y")</f>
        <v>56.63</v>
      </c>
      <c r="I20" s="13" cm="1">
        <f t="array" ref="I20">_xll.BDH("PH US Equity","IS_ABNORMAL_ITEM","FQ1 2021","FQ1 2021","Currency=USD","Period=FQ","BEST_FPERIOD_OVERRIDE=FQ","FILING_STATUS=MR","SCALING_FORMAT=MLN","Sort=A","Dates=H","DateFormat=P","Fill=—","Direction=H","UseDPDF=Y")</f>
        <v>17.84</v>
      </c>
      <c r="J20" s="13" cm="1">
        <f t="array" ref="J20">_xll.BDH("PH US Equity","IS_ABNORMAL_ITEM","FQ2 2021","FQ2 2021","Currency=USD","Period=FQ","BEST_FPERIOD_OVERRIDE=FQ","FILING_STATUS=MR","SCALING_FORMAT=MLN","Sort=A","Dates=H","DateFormat=P","Fill=—","Direction=H","UseDPDF=Y")</f>
        <v>-191.03299999999999</v>
      </c>
      <c r="K20" s="13" cm="1">
        <f t="array" ref="K20">_xll.BDH("PH US Equity","IS_ABNORMAL_ITEM","FQ3 2021","FQ3 2021","Currency=USD","Period=FQ","BEST_FPERIOD_OVERRIDE=FQ","FILING_STATUS=MR","SCALING_FORMAT=MLN","Sort=A","Dates=H","DateFormat=P","Fill=—","Direction=H","UseDPDF=Y")</f>
        <v>8.2569999999999997</v>
      </c>
      <c r="L20" s="13" cm="1">
        <f t="array" ref="L20">_xll.BDH("PH US Equity","IS_ABNORMAL_ITEM","FQ4 2021","FQ4 2021","Currency=USD","Period=FQ","BEST_FPERIOD_OVERRIDE=FQ","FILING_STATUS=MR","SCALING_FORMAT=MLN","Sort=A","Dates=H","DateFormat=P","Fill=—","Direction=H","UseDPDF=Y")</f>
        <v>2.516</v>
      </c>
      <c r="M20" s="13" cm="1">
        <f t="array" ref="M20">_xll.BDH("PH US Equity","IS_ABNORMAL_ITEM","FQ1 2022","FQ1 2022","Currency=USD","Period=FQ","BEST_FPERIOD_OVERRIDE=FQ","FILING_STATUS=MR","SCALING_FORMAT=MLN","Sort=A","Dates=H","DateFormat=P","Fill=—","Direction=H","UseDPDF=Y")</f>
        <v>55.786999999999999</v>
      </c>
      <c r="N20" s="13" cm="1">
        <f t="array" ref="N20">_xll.BDH("PH US Equity","IS_ABNORMAL_ITEM","FQ2 2022","FQ2 2022","Currency=USD","Period=FQ","BEST_FPERIOD_OVERRIDE=FQ","FILING_STATUS=MR","SCALING_FORMAT=MLN","Sort=A","Dates=H","DateFormat=P","Fill=—","Direction=H","UseDPDF=Y")</f>
        <v>155.76</v>
      </c>
      <c r="O20" s="13" cm="1">
        <f t="array" ref="O20">_xll.BDH("PH US Equity","IS_ABNORMAL_ITEM","FQ3 2022","FQ3 2022","Currency=USD","Period=FQ","BEST_FPERIOD_OVERRIDE=FQ","FILING_STATUS=MR","SCALING_FORMAT=MLN","Sort=A","Dates=H","DateFormat=P","Fill=—","Direction=H","UseDPDF=Y")</f>
        <v>284.06200000000001</v>
      </c>
      <c r="P20" s="13" cm="1">
        <f t="array" ref="P20">_xll.BDH("PH US Equity","IS_ABNORMAL_ITEM","FQ4 2022","FQ4 2022","Currency=USD","Period=FQ","BEST_FPERIOD_OVERRIDE=FQ","FILING_STATUS=MR","SCALING_FORMAT=MLN","Sort=A","Dates=H","DateFormat=P","Fill=—","Direction=H","UseDPDF=Y")</f>
        <v>636.572</v>
      </c>
      <c r="Q20" s="13" cm="1">
        <f t="array" ref="Q20">_xll.BDH("PH US Equity","IS_ABNORMAL_ITEM","FQ1 2023","FQ1 2023","Currency=USD","Period=FQ","BEST_FPERIOD_OVERRIDE=FQ","FILING_STATUS=MR","SCALING_FORMAT=MLN","Sort=A","Dates=H","DateFormat=P","Fill=—","Direction=H","UseDPDF=Y")</f>
        <v>185.56700000000001</v>
      </c>
      <c r="R20" s="13" cm="1">
        <f t="array" ref="R20">_xll.BDH("PH US Equity","IS_ABNORMAL_ITEM","FQ2 2023","FQ2 2023","Currency=USD","Period=FQ","BEST_FPERIOD_OVERRIDE=FQ","FILING_STATUS=MR","SCALING_FORMAT=MLN","Sort=A","Dates=H","DateFormat=P","Fill=—","Direction=H","UseDPDF=Y")</f>
        <v>-3.7614000000000001</v>
      </c>
      <c r="S20" s="13" cm="1">
        <f t="array" ref="S20">_xll.BDH("PH US Equity","IS_ABNORMAL_ITEM","FQ3 2023","FQ3 2023","Currency=USD","Period=FQ","BEST_FPERIOD_OVERRIDE=FQ","FILING_STATUS=MR","SCALING_FORMAT=MLN","Sort=A","Dates=H","DateFormat=P","Fill=—","Direction=H","UseDPDF=Y")</f>
        <v>62.448999999999998</v>
      </c>
      <c r="T20" s="13" cm="1">
        <f t="array" ref="T20">_xll.BDH("PH US Equity","IS_ABNORMAL_ITEM","FQ4 2023","FQ4 2023","Currency=USD","Period=FQ","BEST_FPERIOD_OVERRIDE=FQ","FILING_STATUS=MR","SCALING_FORMAT=MLN","Sort=A","Dates=H","DateFormat=P","Fill=—","Direction=H","UseDPDF=Y")</f>
        <v>37.567</v>
      </c>
      <c r="U20" s="13" cm="1">
        <f t="array" ref="U20">_xll.BDH("PH US Equity","IS_ABNORMAL_ITEM","FQ1 2024","FQ1 2024","Currency=USD","Period=FQ","BEST_FPERIOD_OVERRIDE=FQ","FILING_STATUS=MR","SCALING_FORMAT=MLN","Sort=A","Dates=H","DateFormat=P","Fill=—","Direction=H","UseDPDF=Y")</f>
        <v>7.5709999999999997</v>
      </c>
      <c r="V20" s="13" cm="1">
        <f t="array" ref="V20">_xll.BDH("PH US Equity","IS_ABNORMAL_ITEM","FQ2 2024","FQ2 2024","Currency=USD","Period=FQ","BEST_FPERIOD_OVERRIDE=FQ","FILING_STATUS=MR","SCALING_FORMAT=MLN","Sort=A","Dates=H","DateFormat=P","Fill=—","Direction=H","UseDPDF=Y")</f>
        <v>15.663</v>
      </c>
      <c r="W20" s="13" cm="1">
        <f t="array" ref="W20">_xll.BDH("PH US Equity","IS_ABNORMAL_ITEM","FQ3 2024","FQ3 2024","Currency=USD","Period=FQ","BEST_FPERIOD_OVERRIDE=FQ","FILING_STATUS=MR","SCALING_FORMAT=MLN","Sort=A","Dates=H","DateFormat=P","Fill=—","Direction=H","UseDPDF=Y")</f>
        <v>23.640999999999998</v>
      </c>
      <c r="X20" s="13" cm="1">
        <f t="array" ref="X20">_xll.BDH("PH US Equity","IS_ABNORMAL_ITEM","FQ4 2024","FQ4 2024","Currency=USD","Period=FQ","BEST_FPERIOD_OVERRIDE=FQ","FILING_STATUS=MR","SCALING_FORMAT=MLN","Sort=A","Dates=H","DateFormat=P","Fill=—","Direction=H","UseDPDF=Y")</f>
        <v>29.209</v>
      </c>
      <c r="Y20" s="13" cm="1">
        <f t="array" ref="Y20">_xll.BDH("PH US Equity","IS_ABNORMAL_ITEM","FQ1 2025","FQ1 2025","Currency=USD","Period=FQ","BEST_FPERIOD_OVERRIDE=FQ","FILING_STATUS=MR","SCALING_FORMAT=MLN","Sort=A","Dates=H","DateFormat=P","Fill=—","Direction=H","UseDPDF=Y")</f>
        <v>7.1820000000000004</v>
      </c>
      <c r="Z20" s="13" cm="1">
        <f t="array" ref="Z20">_xll.BDH("PH US Equity","IS_ABNORMAL_ITEM","FQ2 2025","FQ2 2025","Currency=USD","Period=FQ","BEST_FPERIOD_OVERRIDE=FQ","FILING_STATUS=MR","SCALING_FORMAT=MLN","Sort=A","Dates=H","DateFormat=P","Fill=—","Direction=H","UseDPDF=Y")</f>
        <v>-220.553</v>
      </c>
      <c r="AA20" s="13" cm="1">
        <f t="array" ref="AA20">_xll.BDH("PH US Equity","IS_ABNORMAL_ITEM","FQ3 2025","FQ3 2025","Currency=USD","Period=FQ","BEST_FPERIOD_OVERRIDE=FQ","FILING_STATUS=MR","SCALING_FORMAT=MLN","Sort=A","Dates=H","DateFormat=P","Fill=—","Direction=H","UseDPDF=Y")</f>
        <v>21.995000000000001</v>
      </c>
      <c r="AB20" s="13" cm="1">
        <f t="array" ref="AB20">_xll.BDH("PH US Equity","IS_ABNORMAL_ITEM","FQ4 2025","FQ4 2025","Currency=USD","Period=FQ","BEST_FPERIOD_OVERRIDE=FQ","FILING_STATUS=MR","SCALING_FORMAT=MLN","Sort=A","Dates=H","DateFormat=P","Fill=—","Direction=H","UseDPDF=Y")</f>
        <v>3</v>
      </c>
      <c r="AC20" s="13" cm="1">
        <f t="array" ref="AC20">_xll.BDH("PH US Equity","IS_ABNORMAL_ITEM","FQ1 2026","FQ1 2026","Currency=USD","Period=FQ","BEST_FPERIOD_OVERRIDE=FQ","FILING_STATUS=MR","SCALING_FORMAT=MLN","Sort=A","Dates=H","DateFormat=P","Fill=—","Direction=H","UseDPDF=Y")</f>
        <v>22</v>
      </c>
      <c r="AD20" s="13" cm="1">
        <f t="array" ref="AD20">_xll.BDH("PH US Equity","IS_ABNORMAL_ITEM","FQ2 2026","FQ2 2026","Currency=USD","Period=FQ","BEST_FPERIOD_OVERRIDE=FQ","FILING_STATUS=MR","SCALING_FORMAT=MLN","Sort=A","Dates=H","DateFormat=P","Fill=—","Direction=H","UseDPDF=Y")</f>
        <v>20</v>
      </c>
      <c r="AE20" s="13"/>
      <c r="AF20" s="13"/>
    </row>
    <row r="21" spans="1:32" x14ac:dyDescent="0.25">
      <c r="A21" s="10" t="s">
        <v>95</v>
      </c>
      <c r="B21" s="10" t="s">
        <v>96</v>
      </c>
      <c r="C21" s="13" t="str" cm="1">
        <f t="array" ref="C21">_xll.BDH("PH US Equity","IS_MERGER_ACQUISITION_EXPENSE","FQ3 2019","FQ3 2019","Currency=USD","Period=FQ","BEST_FPERIOD_OVERRIDE=FQ","FILING_STATUS=MR","SCALING_FORMAT=MLN","Sort=A","Dates=H","DateFormat=P","Fill=—","Direction=H","UseDPDF=Y")</f>
        <v>—</v>
      </c>
      <c r="D21" s="13" cm="1">
        <f t="array" ref="D21">_xll.BDH("PH US Equity","IS_MERGER_ACQUISITION_EXPENSE","FQ4 2019","FQ4 2019","Currency=USD","Period=FQ","BEST_FPERIOD_OVERRIDE=FQ","FILING_STATUS=MR","SCALING_FORMAT=MLN","Sort=A","Dates=H","DateFormat=P","Fill=—","Direction=H","UseDPDF=Y")</f>
        <v>17.161999999999999</v>
      </c>
      <c r="E21" s="13" cm="1">
        <f t="array" ref="E21">_xll.BDH("PH US Equity","IS_MERGER_ACQUISITION_EXPENSE","FQ1 2020","FQ1 2020","Currency=USD","Period=FQ","BEST_FPERIOD_OVERRIDE=FQ","FILING_STATUS=MR","SCALING_FORMAT=MLN","Sort=A","Dates=H","DateFormat=P","Fill=—","Direction=H","UseDPDF=Y")</f>
        <v>17.449000000000002</v>
      </c>
      <c r="F21" s="13" cm="1">
        <f t="array" ref="F21">_xll.BDH("PH US Equity","IS_MERGER_ACQUISITION_EXPENSE","FQ2 2020","FQ2 2020","Currency=USD","Period=FQ","BEST_FPERIOD_OVERRIDE=FQ","FILING_STATUS=MR","SCALING_FORMAT=MLN","Sort=A","Dates=H","DateFormat=P","Fill=—","Direction=H","UseDPDF=Y")</f>
        <v>148.46700000000001</v>
      </c>
      <c r="G21" s="13" cm="1">
        <f t="array" ref="G21">_xll.BDH("PH US Equity","IS_MERGER_ACQUISITION_EXPENSE","FQ3 2020","FQ3 2020","Currency=USD","Period=FQ","BEST_FPERIOD_OVERRIDE=FQ","FILING_STATUS=MR","SCALING_FORMAT=MLN","Sort=A","Dates=H","DateFormat=P","Fill=—","Direction=H","UseDPDF=Y")</f>
        <v>18.164999999999999</v>
      </c>
      <c r="H21" s="13" cm="1">
        <f t="array" ref="H21">_xll.BDH("PH US Equity","IS_MERGER_ACQUISITION_EXPENSE","FQ4 2020","FQ4 2020","Currency=USD","Period=FQ","BEST_FPERIOD_OVERRIDE=FQ","FILING_STATUS=MR","SCALING_FORMAT=MLN","Sort=A","Dates=H","DateFormat=P","Fill=—","Direction=H","UseDPDF=Y")</f>
        <v>6.9409999999999998</v>
      </c>
      <c r="I21" s="13" t="str" cm="1">
        <f t="array" ref="I21">_xll.BDH("PH US Equity","IS_MERGER_ACQUISITION_EXPENSE","FQ1 2021","FQ1 2021","Currency=USD","Period=FQ","BEST_FPERIOD_OVERRIDE=FQ","FILING_STATUS=MR","SCALING_FORMAT=MLN","Sort=A","Dates=H","DateFormat=P","Fill=—","Direction=H","UseDPDF=Y")</f>
        <v>—</v>
      </c>
      <c r="J21" s="13" t="str" cm="1">
        <f t="array" ref="J21">_xll.BDH("PH US Equity","IS_MERGER_ACQUISITION_EXPENSE","FQ2 2021","FQ2 2021","Currency=USD","Period=FQ","BEST_FPERIOD_OVERRIDE=FQ","FILING_STATUS=MR","SCALING_FORMAT=MLN","Sort=A","Dates=H","DateFormat=P","Fill=—","Direction=H","UseDPDF=Y")</f>
        <v>—</v>
      </c>
      <c r="K21" s="13" t="str" cm="1">
        <f t="array" ref="K21">_xll.BDH("PH US Equity","IS_MERGER_ACQUISITION_EXPENSE","FQ3 2021","FQ3 2021","Currency=USD","Period=FQ","BEST_FPERIOD_OVERRIDE=FQ","FILING_STATUS=MR","SCALING_FORMAT=MLN","Sort=A","Dates=H","DateFormat=P","Fill=—","Direction=H","UseDPDF=Y")</f>
        <v>—</v>
      </c>
      <c r="L21" s="13" cm="1">
        <f t="array" ref="L21">_xll.BDH("PH US Equity","IS_MERGER_ACQUISITION_EXPENSE","FQ4 2021","FQ4 2021","Currency=USD","Period=FQ","BEST_FPERIOD_OVERRIDE=FQ","FILING_STATUS=MR","SCALING_FORMAT=MLN","Sort=A","Dates=H","DateFormat=P","Fill=—","Direction=H","UseDPDF=Y")</f>
        <v>3.5489999999999999</v>
      </c>
      <c r="M21" s="13" cm="1">
        <f t="array" ref="M21">_xll.BDH("PH US Equity","IS_MERGER_ACQUISITION_EXPENSE","FQ1 2022","FQ1 2022","Currency=USD","Period=FQ","BEST_FPERIOD_OVERRIDE=FQ","FILING_STATUS=MR","SCALING_FORMAT=MLN","Sort=A","Dates=H","DateFormat=P","Fill=—","Direction=H","UseDPDF=Y")</f>
        <v>52.198999999999998</v>
      </c>
      <c r="N21" s="13" cm="1">
        <f t="array" ref="N21">_xll.BDH("PH US Equity","IS_MERGER_ACQUISITION_EXPENSE","FQ2 2022","FQ2 2022","Currency=USD","Period=FQ","BEST_FPERIOD_OVERRIDE=FQ","FILING_STATUS=MR","SCALING_FORMAT=MLN","Sort=A","Dates=H","DateFormat=P","Fill=—","Direction=H","UseDPDF=Y")</f>
        <v>19.141999999999999</v>
      </c>
      <c r="O21" s="13" cm="1">
        <f t="array" ref="O21">_xll.BDH("PH US Equity","IS_MERGER_ACQUISITION_EXPENSE","FQ3 2022","FQ3 2022","Currency=USD","Period=FQ","BEST_FPERIOD_OVERRIDE=FQ","FILING_STATUS=MR","SCALING_FORMAT=MLN","Sort=A","Dates=H","DateFormat=P","Fill=—","Direction=H","UseDPDF=Y")</f>
        <v>12.724</v>
      </c>
      <c r="P21" s="13" cm="1">
        <f t="array" ref="P21">_xll.BDH("PH US Equity","IS_MERGER_ACQUISITION_EXPENSE","FQ4 2022","FQ4 2022","Currency=USD","Period=FQ","BEST_FPERIOD_OVERRIDE=FQ","FILING_STATUS=MR","SCALING_FORMAT=MLN","Sort=A","Dates=H","DateFormat=P","Fill=—","Direction=H","UseDPDF=Y")</f>
        <v>10.654999999999999</v>
      </c>
      <c r="Q21" s="13" cm="1">
        <f t="array" ref="Q21">_xll.BDH("PH US Equity","IS_MERGER_ACQUISITION_EXPENSE","FQ1 2023","FQ1 2023","Currency=USD","Period=FQ","BEST_FPERIOD_OVERRIDE=FQ","FILING_STATUS=MR","SCALING_FORMAT=MLN","Sort=A","Dates=H","DateFormat=P","Fill=—","Direction=H","UseDPDF=Y")</f>
        <v>172.249</v>
      </c>
      <c r="R21" s="13" cm="1">
        <f t="array" ref="R21">_xll.BDH("PH US Equity","IS_MERGER_ACQUISITION_EXPENSE","FQ2 2023","FQ2 2023","Currency=USD","Period=FQ","BEST_FPERIOD_OVERRIDE=FQ","FILING_STATUS=MR","SCALING_FORMAT=MLN","Sort=A","Dates=H","DateFormat=P","Fill=—","Direction=H","UseDPDF=Y")</f>
        <v>5.1360000000000001</v>
      </c>
      <c r="S21" s="13" cm="1">
        <f t="array" ref="S21">_xll.BDH("PH US Equity","IS_MERGER_ACQUISITION_EXPENSE","FQ3 2023","FQ3 2023","Currency=USD","Period=FQ","BEST_FPERIOD_OVERRIDE=FQ","FILING_STATUS=MR","SCALING_FORMAT=MLN","Sort=A","Dates=H","DateFormat=P","Fill=—","Direction=H","UseDPDF=Y")</f>
        <v>32.542999999999999</v>
      </c>
      <c r="T21" s="13" cm="1">
        <f t="array" ref="T21">_xll.BDH("PH US Equity","IS_MERGER_ACQUISITION_EXPENSE","FQ4 2023","FQ4 2023","Currency=USD","Period=FQ","BEST_FPERIOD_OVERRIDE=FQ","FILING_STATUS=MR","SCALING_FORMAT=MLN","Sort=A","Dates=H","DateFormat=P","Fill=—","Direction=H","UseDPDF=Y")</f>
        <v>18.786000000000001</v>
      </c>
      <c r="U21" s="13" cm="1">
        <f t="array" ref="U21">_xll.BDH("PH US Equity","IS_MERGER_ACQUISITION_EXPENSE","FQ1 2024","FQ1 2024","Currency=USD","Period=FQ","BEST_FPERIOD_OVERRIDE=FQ","FILING_STATUS=MR","SCALING_FORMAT=MLN","Sort=A","Dates=H","DateFormat=P","Fill=—","Direction=H","UseDPDF=Y")</f>
        <v>6.4059999999999997</v>
      </c>
      <c r="V21" s="13" cm="1">
        <f t="array" ref="V21">_xll.BDH("PH US Equity","IS_MERGER_ACQUISITION_EXPENSE","FQ2 2024","FQ2 2024","Currency=USD","Period=FQ","BEST_FPERIOD_OVERRIDE=FQ","FILING_STATUS=MR","SCALING_FORMAT=MLN","Sort=A","Dates=H","DateFormat=P","Fill=—","Direction=H","UseDPDF=Y")</f>
        <v>10.013999999999999</v>
      </c>
      <c r="W21" s="13" cm="1">
        <f t="array" ref="W21">_xll.BDH("PH US Equity","IS_MERGER_ACQUISITION_EXPENSE","FQ3 2024","FQ3 2024","Currency=USD","Period=FQ","BEST_FPERIOD_OVERRIDE=FQ","FILING_STATUS=MR","SCALING_FORMAT=MLN","Sort=A","Dates=H","DateFormat=P","Fill=—","Direction=H","UseDPDF=Y")</f>
        <v>13.256</v>
      </c>
      <c r="X21" s="13" cm="1">
        <f t="array" ref="X21">_xll.BDH("PH US Equity","IS_MERGER_ACQUISITION_EXPENSE","FQ4 2024","FQ4 2024","Currency=USD","Period=FQ","BEST_FPERIOD_OVERRIDE=FQ","FILING_STATUS=MR","SCALING_FORMAT=MLN","Sort=A","Dates=H","DateFormat=P","Fill=—","Direction=H","UseDPDF=Y")</f>
        <v>8.5969999999999995</v>
      </c>
      <c r="Y21" s="13" cm="1">
        <f t="array" ref="Y21">_xll.BDH("PH US Equity","IS_MERGER_ACQUISITION_EXPENSE","FQ1 2025","FQ1 2025","Currency=USD","Period=FQ","BEST_FPERIOD_OVERRIDE=FQ","FILING_STATUS=MR","SCALING_FORMAT=MLN","Sort=A","Dates=H","DateFormat=P","Fill=—","Direction=H","UseDPDF=Y")</f>
        <v>6.4109999999999996</v>
      </c>
      <c r="Z21" s="13" cm="1">
        <f t="array" ref="Z21">_xll.BDH("PH US Equity","IS_MERGER_ACQUISITION_EXPENSE","FQ2 2025","FQ2 2025","Currency=USD","Period=FQ","BEST_FPERIOD_OVERRIDE=FQ","FILING_STATUS=MR","SCALING_FORMAT=MLN","Sort=A","Dates=H","DateFormat=P","Fill=—","Direction=H","UseDPDF=Y")</f>
        <v>6.8929999999999998</v>
      </c>
      <c r="AA21" s="13" cm="1">
        <f t="array" ref="AA21">_xll.BDH("PH US Equity","IS_MERGER_ACQUISITION_EXPENSE","FQ3 2025","FQ3 2025","Currency=USD","Period=FQ","BEST_FPERIOD_OVERRIDE=FQ","FILING_STATUS=MR","SCALING_FORMAT=MLN","Sort=A","Dates=H","DateFormat=P","Fill=—","Direction=H","UseDPDF=Y")</f>
        <v>5.4470000000000001</v>
      </c>
      <c r="AB21" s="13" cm="1">
        <f t="array" ref="AB21">_xll.BDH("PH US Equity","IS_MERGER_ACQUISITION_EXPENSE","FQ4 2025","FQ4 2025","Currency=USD","Period=FQ","BEST_FPERIOD_OVERRIDE=FQ","FILING_STATUS=MR","SCALING_FORMAT=MLN","Sort=A","Dates=H","DateFormat=P","Fill=—","Direction=H","UseDPDF=Y")</f>
        <v>3</v>
      </c>
      <c r="AC21" s="13" cm="1">
        <f t="array" ref="AC21">_xll.BDH("PH US Equity","IS_MERGER_ACQUISITION_EXPENSE","FQ1 2026","FQ1 2026","Currency=USD","Period=FQ","BEST_FPERIOD_OVERRIDE=FQ","FILING_STATUS=MR","SCALING_FORMAT=MLN","Sort=A","Dates=H","DateFormat=P","Fill=—","Direction=H","UseDPDF=Y")</f>
        <v>6</v>
      </c>
      <c r="AD21" s="13" cm="1">
        <f t="array" ref="AD21">_xll.BDH("PH US Equity","IS_MERGER_ACQUISITION_EXPENSE","FQ2 2026","FQ2 2026","Currency=USD","Period=FQ","BEST_FPERIOD_OVERRIDE=FQ","FILING_STATUS=MR","SCALING_FORMAT=MLN","Sort=A","Dates=H","DateFormat=P","Fill=—","Direction=H","UseDPDF=Y")</f>
        <v>15</v>
      </c>
      <c r="AE21" s="13"/>
      <c r="AF21" s="13"/>
    </row>
    <row r="22" spans="1:32" x14ac:dyDescent="0.25">
      <c r="A22" s="10" t="s">
        <v>97</v>
      </c>
      <c r="B22" s="10" t="s">
        <v>98</v>
      </c>
      <c r="C22" s="13" t="str" cm="1">
        <f t="array" ref="C22">_xll.BDH("PH US Equity","IS_DERIVATIVES_HEDGING","FQ3 2019","FQ3 2019","Currency=USD","Period=FQ","BEST_FPERIOD_OVERRIDE=FQ","FILING_STATUS=MR","SCALING_FORMAT=MLN","Sort=A","Dates=H","DateFormat=P","Fill=—","Direction=H","UseDPDF=Y")</f>
        <v>—</v>
      </c>
      <c r="D22" s="13" t="str" cm="1">
        <f t="array" ref="D22">_xll.BDH("PH US Equity","IS_DERIVATIVES_HEDGING","FQ4 2019","FQ4 2019","Currency=USD","Period=FQ","BEST_FPERIOD_OVERRIDE=FQ","FILING_STATUS=MR","SCALING_FORMAT=MLN","Sort=A","Dates=H","DateFormat=P","Fill=—","Direction=H","UseDPDF=Y")</f>
        <v>—</v>
      </c>
      <c r="E22" s="13" t="str" cm="1">
        <f t="array" ref="E22">_xll.BDH("PH US Equity","IS_DERIVATIVES_HEDGING","FQ1 2020","FQ1 2020","Currency=USD","Period=FQ","BEST_FPERIOD_OVERRIDE=FQ","FILING_STATUS=MR","SCALING_FORMAT=MLN","Sort=A","Dates=H","DateFormat=P","Fill=—","Direction=H","UseDPDF=Y")</f>
        <v>—</v>
      </c>
      <c r="F22" s="13" t="str" cm="1">
        <f t="array" ref="F22">_xll.BDH("PH US Equity","IS_DERIVATIVES_HEDGING","FQ2 2020","FQ2 2020","Currency=USD","Period=FQ","BEST_FPERIOD_OVERRIDE=FQ","FILING_STATUS=MR","SCALING_FORMAT=MLN","Sort=A","Dates=H","DateFormat=P","Fill=—","Direction=H","UseDPDF=Y")</f>
        <v>—</v>
      </c>
      <c r="G22" s="13" t="str" cm="1">
        <f t="array" ref="G22">_xll.BDH("PH US Equity","IS_DERIVATIVES_HEDGING","FQ3 2020","FQ3 2020","Currency=USD","Period=FQ","BEST_FPERIOD_OVERRIDE=FQ","FILING_STATUS=MR","SCALING_FORMAT=MLN","Sort=A","Dates=H","DateFormat=P","Fill=—","Direction=H","UseDPDF=Y")</f>
        <v>—</v>
      </c>
      <c r="H22" s="13" t="str" cm="1">
        <f t="array" ref="H22">_xll.BDH("PH US Equity","IS_DERIVATIVES_HEDGING","FQ4 2020","FQ4 2020","Currency=USD","Period=FQ","BEST_FPERIOD_OVERRIDE=FQ","FILING_STATUS=MR","SCALING_FORMAT=MLN","Sort=A","Dates=H","DateFormat=P","Fill=—","Direction=H","UseDPDF=Y")</f>
        <v>—</v>
      </c>
      <c r="I22" s="13" t="str" cm="1">
        <f t="array" ref="I22">_xll.BDH("PH US Equity","IS_DERIVATIVES_HEDGING","FQ1 2021","FQ1 2021","Currency=USD","Period=FQ","BEST_FPERIOD_OVERRIDE=FQ","FILING_STATUS=MR","SCALING_FORMAT=MLN","Sort=A","Dates=H","DateFormat=P","Fill=—","Direction=H","UseDPDF=Y")</f>
        <v>—</v>
      </c>
      <c r="J22" s="13" t="str" cm="1">
        <f t="array" ref="J22">_xll.BDH("PH US Equity","IS_DERIVATIVES_HEDGING","FQ2 2021","FQ2 2021","Currency=USD","Period=FQ","BEST_FPERIOD_OVERRIDE=FQ","FILING_STATUS=MR","SCALING_FORMAT=MLN","Sort=A","Dates=H","DateFormat=P","Fill=—","Direction=H","UseDPDF=Y")</f>
        <v>—</v>
      </c>
      <c r="K22" s="13" t="str" cm="1">
        <f t="array" ref="K22">_xll.BDH("PH US Equity","IS_DERIVATIVES_HEDGING","FQ3 2021","FQ3 2021","Currency=USD","Period=FQ","BEST_FPERIOD_OVERRIDE=FQ","FILING_STATUS=MR","SCALING_FORMAT=MLN","Sort=A","Dates=H","DateFormat=P","Fill=—","Direction=H","UseDPDF=Y")</f>
        <v>—</v>
      </c>
      <c r="L22" s="13" t="str" cm="1">
        <f t="array" ref="L22">_xll.BDH("PH US Equity","IS_DERIVATIVES_HEDGING","FQ4 2021","FQ4 2021","Currency=USD","Period=FQ","BEST_FPERIOD_OVERRIDE=FQ","FILING_STATUS=MR","SCALING_FORMAT=MLN","Sort=A","Dates=H","DateFormat=P","Fill=—","Direction=H","UseDPDF=Y")</f>
        <v>—</v>
      </c>
      <c r="M22" s="13" t="str" cm="1">
        <f t="array" ref="M22">_xll.BDH("PH US Equity","IS_DERIVATIVES_HEDGING","FQ1 2022","FQ1 2022","Currency=USD","Period=FQ","BEST_FPERIOD_OVERRIDE=FQ","FILING_STATUS=MR","SCALING_FORMAT=MLN","Sort=A","Dates=H","DateFormat=P","Fill=—","Direction=H","UseDPDF=Y")</f>
        <v>—</v>
      </c>
      <c r="N22" s="13" cm="1">
        <f t="array" ref="N22">_xll.BDH("PH US Equity","IS_DERIVATIVES_HEDGING","FQ2 2022","FQ2 2022","Currency=USD","Period=FQ","BEST_FPERIOD_OVERRIDE=FQ","FILING_STATUS=MR","SCALING_FORMAT=MLN","Sort=A","Dates=H","DateFormat=P","Fill=—","Direction=H","UseDPDF=Y")</f>
        <v>149.38200000000001</v>
      </c>
      <c r="O22" s="13" cm="1">
        <f t="array" ref="O22">_xll.BDH("PH US Equity","IS_DERIVATIVES_HEDGING","FQ3 2022","FQ3 2022","Currency=USD","Period=FQ","BEST_FPERIOD_OVERRIDE=FQ","FILING_STATUS=MR","SCALING_FORMAT=MLN","Sort=A","Dates=H","DateFormat=P","Fill=—","Direction=H","UseDPDF=Y")</f>
        <v>246.983</v>
      </c>
      <c r="P22" s="13" cm="1">
        <f t="array" ref="P22">_xll.BDH("PH US Equity","IS_DERIVATIVES_HEDGING","FQ4 2022","FQ4 2022","Currency=USD","Period=FQ","BEST_FPERIOD_OVERRIDE=FQ","FILING_STATUS=MR","SCALING_FORMAT=MLN","Sort=A","Dates=H","DateFormat=P","Fill=—","Direction=H","UseDPDF=Y")</f>
        <v>619.06100000000004</v>
      </c>
      <c r="Q22" s="13" cm="1">
        <f t="array" ref="Q22">_xll.BDH("PH US Equity","IS_DERIVATIVES_HEDGING","FQ1 2023","FQ1 2023","Currency=USD","Period=FQ","BEST_FPERIOD_OVERRIDE=FQ","FILING_STATUS=MR","SCALING_FORMAT=MLN","Sort=A","Dates=H","DateFormat=P","Fill=—","Direction=H","UseDPDF=Y")</f>
        <v>389.99200000000002</v>
      </c>
      <c r="R22" s="13" t="str" cm="1">
        <f t="array" ref="R22">_xll.BDH("PH US Equity","IS_DERIVATIVES_HEDGING","FQ2 2023","FQ2 2023","Currency=USD","Period=FQ","BEST_FPERIOD_OVERRIDE=FQ","FILING_STATUS=MR","SCALING_FORMAT=MLN","Sort=A","Dates=H","DateFormat=P","Fill=—","Direction=H","UseDPDF=Y")</f>
        <v>—</v>
      </c>
      <c r="S22" s="13" t="str" cm="1">
        <f t="array" ref="S22">_xll.BDH("PH US Equity","IS_DERIVATIVES_HEDGING","FQ3 2023","FQ3 2023","Currency=USD","Period=FQ","BEST_FPERIOD_OVERRIDE=FQ","FILING_STATUS=MR","SCALING_FORMAT=MLN","Sort=A","Dates=H","DateFormat=P","Fill=—","Direction=H","UseDPDF=Y")</f>
        <v>—</v>
      </c>
      <c r="T22" s="13" t="str" cm="1">
        <f t="array" ref="T22">_xll.BDH("PH US Equity","IS_DERIVATIVES_HEDGING","FQ4 2023","FQ4 2023","Currency=USD","Period=FQ","BEST_FPERIOD_OVERRIDE=FQ","FILING_STATUS=MR","SCALING_FORMAT=MLN","Sort=A","Dates=H","DateFormat=P","Fill=—","Direction=H","UseDPDF=Y")</f>
        <v>—</v>
      </c>
      <c r="U22" s="13" t="str" cm="1">
        <f t="array" ref="U22">_xll.BDH("PH US Equity","IS_DERIVATIVES_HEDGING","FQ1 2024","FQ1 2024","Currency=USD","Period=FQ","BEST_FPERIOD_OVERRIDE=FQ","FILING_STATUS=MR","SCALING_FORMAT=MLN","Sort=A","Dates=H","DateFormat=P","Fill=—","Direction=H","UseDPDF=Y")</f>
        <v>—</v>
      </c>
      <c r="V22" s="13" t="str" cm="1">
        <f t="array" ref="V22">_xll.BDH("PH US Equity","IS_DERIVATIVES_HEDGING","FQ2 2024","FQ2 2024","Currency=USD","Period=FQ","BEST_FPERIOD_OVERRIDE=FQ","FILING_STATUS=MR","SCALING_FORMAT=MLN","Sort=A","Dates=H","DateFormat=P","Fill=—","Direction=H","UseDPDF=Y")</f>
        <v>—</v>
      </c>
      <c r="W22" s="13" t="str" cm="1">
        <f t="array" ref="W22">_xll.BDH("PH US Equity","IS_DERIVATIVES_HEDGING","FQ3 2024","FQ3 2024","Currency=USD","Period=FQ","BEST_FPERIOD_OVERRIDE=FQ","FILING_STATUS=MR","SCALING_FORMAT=MLN","Sort=A","Dates=H","DateFormat=P","Fill=—","Direction=H","UseDPDF=Y")</f>
        <v>—</v>
      </c>
      <c r="X22" s="13" t="str" cm="1">
        <f t="array" ref="X22">_xll.BDH("PH US Equity","IS_DERIVATIVES_HEDGING","FQ4 2024","FQ4 2024","Currency=USD","Period=FQ","BEST_FPERIOD_OVERRIDE=FQ","FILING_STATUS=MR","SCALING_FORMAT=MLN","Sort=A","Dates=H","DateFormat=P","Fill=—","Direction=H","UseDPDF=Y")</f>
        <v>—</v>
      </c>
      <c r="Y22" s="13" t="str" cm="1">
        <f t="array" ref="Y22">_xll.BDH("PH US Equity","IS_DERIVATIVES_HEDGING","FQ1 2025","FQ1 2025","Currency=USD","Period=FQ","BEST_FPERIOD_OVERRIDE=FQ","FILING_STATUS=MR","SCALING_FORMAT=MLN","Sort=A","Dates=H","DateFormat=P","Fill=—","Direction=H","UseDPDF=Y")</f>
        <v>—</v>
      </c>
      <c r="Z22" s="13" t="str" cm="1">
        <f t="array" ref="Z22">_xll.BDH("PH US Equity","IS_DERIVATIVES_HEDGING","FQ2 2025","FQ2 2025","Currency=USD","Period=FQ","BEST_FPERIOD_OVERRIDE=FQ","FILING_STATUS=MR","SCALING_FORMAT=MLN","Sort=A","Dates=H","DateFormat=P","Fill=—","Direction=H","UseDPDF=Y")</f>
        <v>—</v>
      </c>
      <c r="AA22" s="13" t="str" cm="1">
        <f t="array" ref="AA22">_xll.BDH("PH US Equity","IS_DERIVATIVES_HEDGING","FQ3 2025","FQ3 2025","Currency=USD","Period=FQ","BEST_FPERIOD_OVERRIDE=FQ","FILING_STATUS=MR","SCALING_FORMAT=MLN","Sort=A","Dates=H","DateFormat=P","Fill=—","Direction=H","UseDPDF=Y")</f>
        <v>—</v>
      </c>
      <c r="AB22" s="13" t="str" cm="1">
        <f t="array" ref="AB22">_xll.BDH("PH US Equity","IS_DERIVATIVES_HEDGING","FQ4 2025","FQ4 2025","Currency=USD","Period=FQ","BEST_FPERIOD_OVERRIDE=FQ","FILING_STATUS=MR","SCALING_FORMAT=MLN","Sort=A","Dates=H","DateFormat=P","Fill=—","Direction=H","UseDPDF=Y")</f>
        <v>—</v>
      </c>
      <c r="AC22" s="13" t="str" cm="1">
        <f t="array" ref="AC22">_xll.BDH("PH US Equity","IS_DERIVATIVES_HEDGING","FQ1 2026","FQ1 2026","Currency=USD","Period=FQ","BEST_FPERIOD_OVERRIDE=FQ","FILING_STATUS=MR","SCALING_FORMAT=MLN","Sort=A","Dates=H","DateFormat=P","Fill=—","Direction=H","UseDPDF=Y")</f>
        <v>—</v>
      </c>
      <c r="AD22" s="13" t="str" cm="1">
        <f t="array" ref="AD22">_xll.BDH("PH US Equity","IS_DERIVATIVES_HEDGING","FQ2 2026","FQ2 2026","Currency=USD","Period=FQ","BEST_FPERIOD_OVERRIDE=FQ","FILING_STATUS=MR","SCALING_FORMAT=MLN","Sort=A","Dates=H","DateFormat=P","Fill=—","Direction=H","UseDPDF=Y")</f>
        <v>—</v>
      </c>
      <c r="AE22" s="13"/>
      <c r="AF22" s="13"/>
    </row>
    <row r="23" spans="1:32" x14ac:dyDescent="0.25">
      <c r="A23" s="10" t="s">
        <v>99</v>
      </c>
      <c r="B23" s="10" t="s">
        <v>100</v>
      </c>
      <c r="C23" s="13" cm="1">
        <f t="array" ref="C23">_xll.BDH("PH US Equity","IS_GAIN_LOSS_DISPOSAL_ASSETS","FQ3 2019","FQ3 2019","Currency=USD","Period=FQ","BEST_FPERIOD_OVERRIDE=FQ","FILING_STATUS=MR","SCALING_FORMAT=MLN","Sort=A","Dates=H","DateFormat=P","Fill=—","Direction=H","UseDPDF=Y")</f>
        <v>0.56499999999999995</v>
      </c>
      <c r="D23" s="13" cm="1">
        <f t="array" ref="D23">_xll.BDH("PH US Equity","IS_GAIN_LOSS_DISPOSAL_ASSETS","FQ4 2019","FQ4 2019","Currency=USD","Period=FQ","BEST_FPERIOD_OVERRIDE=FQ","FILING_STATUS=MR","SCALING_FORMAT=MLN","Sort=A","Dates=H","DateFormat=P","Fill=—","Direction=H","UseDPDF=Y")</f>
        <v>1.0980000000000001</v>
      </c>
      <c r="E23" s="13" cm="1">
        <f t="array" ref="E23">_xll.BDH("PH US Equity","IS_GAIN_LOSS_DISPOSAL_ASSETS","FQ1 2020","FQ1 2020","Currency=USD","Period=FQ","BEST_FPERIOD_OVERRIDE=FQ","FILING_STATUS=MR","SCALING_FORMAT=MLN","Sort=A","Dates=H","DateFormat=P","Fill=—","Direction=H","UseDPDF=Y")</f>
        <v>-10.269</v>
      </c>
      <c r="F23" s="13" cm="1">
        <f t="array" ref="F23">_xll.BDH("PH US Equity","IS_GAIN_LOSS_DISPOSAL_ASSETS","FQ2 2020","FQ2 2020","Currency=USD","Period=FQ","BEST_FPERIOD_OVERRIDE=FQ","FILING_STATUS=MR","SCALING_FORMAT=MLN","Sort=A","Dates=H","DateFormat=P","Fill=—","Direction=H","UseDPDF=Y")</f>
        <v>5.7910000000000004</v>
      </c>
      <c r="G23" s="13" cm="1">
        <f t="array" ref="G23">_xll.BDH("PH US Equity","IS_GAIN_LOSS_DISPOSAL_ASSETS","FQ3 2020","FQ3 2020","Currency=USD","Period=FQ","BEST_FPERIOD_OVERRIDE=FQ","FILING_STATUS=MR","SCALING_FORMAT=MLN","Sort=A","Dates=H","DateFormat=P","Fill=—","Direction=H","UseDPDF=Y")</f>
        <v>-0.71599999999999997</v>
      </c>
      <c r="H23" s="13" cm="1">
        <f t="array" ref="H23">_xll.BDH("PH US Equity","IS_GAIN_LOSS_DISPOSAL_ASSETS","FQ4 2020","FQ4 2020","Currency=USD","Period=FQ","BEST_FPERIOD_OVERRIDE=FQ","FILING_STATUS=MR","SCALING_FORMAT=MLN","Sort=A","Dates=H","DateFormat=P","Fill=—","Direction=H","UseDPDF=Y")</f>
        <v>3.3439999999999999</v>
      </c>
      <c r="I23" s="13" cm="1">
        <f t="array" ref="I23">_xll.BDH("PH US Equity","IS_GAIN_LOSS_DISPOSAL_ASSETS","FQ1 2021","FQ1 2021","Currency=USD","Period=FQ","BEST_FPERIOD_OVERRIDE=FQ","FILING_STATUS=MR","SCALING_FORMAT=MLN","Sort=A","Dates=H","DateFormat=P","Fill=—","Direction=H","UseDPDF=Y")</f>
        <v>-0.498</v>
      </c>
      <c r="J23" s="13" cm="1">
        <f t="array" ref="J23">_xll.BDH("PH US Equity","IS_GAIN_LOSS_DISPOSAL_ASSETS","FQ2 2021","FQ2 2021","Currency=USD","Period=FQ","BEST_FPERIOD_OVERRIDE=FQ","FILING_STATUS=MR","SCALING_FORMAT=MLN","Sort=A","Dates=H","DateFormat=P","Fill=—","Direction=H","UseDPDF=Y")</f>
        <v>-202.96</v>
      </c>
      <c r="K23" s="13" t="str" cm="1">
        <f t="array" ref="K23">_xll.BDH("PH US Equity","IS_GAIN_LOSS_DISPOSAL_ASSETS","FQ3 2021","FQ3 2021","Currency=USD","Period=FQ","BEST_FPERIOD_OVERRIDE=FQ","FILING_STATUS=MR","SCALING_FORMAT=MLN","Sort=A","Dates=H","DateFormat=P","Fill=—","Direction=H","UseDPDF=Y")</f>
        <v>—</v>
      </c>
      <c r="L23" s="13" cm="1">
        <f t="array" ref="L23">_xll.BDH("PH US Equity","IS_GAIN_LOSS_DISPOSAL_ASSETS","FQ4 2021","FQ4 2021","Currency=USD","Period=FQ","BEST_FPERIOD_OVERRIDE=FQ","FILING_STATUS=MR","SCALING_FORMAT=MLN","Sort=A","Dates=H","DateFormat=P","Fill=—","Direction=H","UseDPDF=Y")</f>
        <v>-0.88300000000000001</v>
      </c>
      <c r="M23" s="13" cm="1">
        <f t="array" ref="M23">_xll.BDH("PH US Equity","IS_GAIN_LOSS_DISPOSAL_ASSETS","FQ1 2022","FQ1 2022","Currency=USD","Period=FQ","BEST_FPERIOD_OVERRIDE=FQ","FILING_STATUS=MR","SCALING_FORMAT=MLN","Sort=A","Dates=H","DateFormat=P","Fill=—","Direction=H","UseDPDF=Y")</f>
        <v>-0.03</v>
      </c>
      <c r="N23" s="13" cm="1">
        <f t="array" ref="N23">_xll.BDH("PH US Equity","IS_GAIN_LOSS_DISPOSAL_ASSETS","FQ2 2022","FQ2 2022","Currency=USD","Period=FQ","BEST_FPERIOD_OVERRIDE=FQ","FILING_STATUS=MR","SCALING_FORMAT=MLN","Sort=A","Dates=H","DateFormat=P","Fill=—","Direction=H","UseDPDF=Y")</f>
        <v>-7.85</v>
      </c>
      <c r="O23" s="13" cm="1">
        <f t="array" ref="O23">_xll.BDH("PH US Equity","IS_GAIN_LOSS_DISPOSAL_ASSETS","FQ3 2022","FQ3 2022","Currency=USD","Period=FQ","BEST_FPERIOD_OVERRIDE=FQ","FILING_STATUS=MR","SCALING_FORMAT=MLN","Sort=A","Dates=H","DateFormat=P","Fill=—","Direction=H","UseDPDF=Y")</f>
        <v>1.0980000000000001</v>
      </c>
      <c r="P23" s="13" t="str" cm="1">
        <f t="array" ref="P23">_xll.BDH("PH US Equity","IS_GAIN_LOSS_DISPOSAL_ASSETS","FQ4 2022","FQ4 2022","Currency=USD","Period=FQ","BEST_FPERIOD_OVERRIDE=FQ","FILING_STATUS=MR","SCALING_FORMAT=MLN","Sort=A","Dates=H","DateFormat=P","Fill=—","Direction=H","UseDPDF=Y")</f>
        <v>—</v>
      </c>
      <c r="Q23" s="13" cm="1">
        <f t="array" ref="Q23">_xll.BDH("PH US Equity","IS_GAIN_LOSS_DISPOSAL_ASSETS","FQ1 2023","FQ1 2023","Currency=USD","Period=FQ","BEST_FPERIOD_OVERRIDE=FQ","FILING_STATUS=MR","SCALING_FORMAT=MLN","Sort=A","Dates=H","DateFormat=P","Fill=—","Direction=H","UseDPDF=Y")</f>
        <v>-4.2869999999999999</v>
      </c>
      <c r="R23" s="13" cm="1">
        <f t="array" ref="R23">_xll.BDH("PH US Equity","IS_GAIN_LOSS_DISPOSAL_ASSETS","FQ2 2023","FQ2 2023","Currency=USD","Period=FQ","BEST_FPERIOD_OVERRIDE=FQ","FILING_STATUS=MR","SCALING_FORMAT=MLN","Sort=A","Dates=H","DateFormat=P","Fill=—","Direction=H","UseDPDF=Y")</f>
        <v>-1.736</v>
      </c>
      <c r="S23" s="13" cm="1">
        <f t="array" ref="S23">_xll.BDH("PH US Equity","IS_GAIN_LOSS_DISPOSAL_ASSETS","FQ3 2023","FQ3 2023","Currency=USD","Period=FQ","BEST_FPERIOD_OVERRIDE=FQ","FILING_STATUS=MR","SCALING_FORMAT=MLN","Sort=A","Dates=H","DateFormat=P","Fill=—","Direction=H","UseDPDF=Y")</f>
        <v>1.2809999999999999</v>
      </c>
      <c r="T23" s="13" t="str" cm="1">
        <f t="array" ref="T23">_xll.BDH("PH US Equity","IS_GAIN_LOSS_DISPOSAL_ASSETS","FQ4 2023","FQ4 2023","Currency=USD","Period=FQ","BEST_FPERIOD_OVERRIDE=FQ","FILING_STATUS=MR","SCALING_FORMAT=MLN","Sort=A","Dates=H","DateFormat=P","Fill=—","Direction=H","UseDPDF=Y")</f>
        <v>—</v>
      </c>
      <c r="U23" s="13" cm="1">
        <f t="array" ref="U23">_xll.BDH("PH US Equity","IS_GAIN_LOSS_DISPOSAL_ASSETS","FQ1 2024","FQ1 2024","Currency=USD","Period=FQ","BEST_FPERIOD_OVERRIDE=FQ","FILING_STATUS=MR","SCALING_FORMAT=MLN","Sort=A","Dates=H","DateFormat=P","Fill=—","Direction=H","UseDPDF=Y")</f>
        <v>1.333</v>
      </c>
      <c r="V23" s="13" cm="1">
        <f t="array" ref="V23">_xll.BDH("PH US Equity","IS_GAIN_LOSS_DISPOSAL_ASSETS","FQ2 2024","FQ2 2024","Currency=USD","Period=FQ","BEST_FPERIOD_OVERRIDE=FQ","FILING_STATUS=MR","SCALING_FORMAT=MLN","Sort=A","Dates=H","DateFormat=P","Fill=—","Direction=H","UseDPDF=Y")</f>
        <v>3.7639999999999998</v>
      </c>
      <c r="W23" s="13" cm="1">
        <f t="array" ref="W23">_xll.BDH("PH US Equity","IS_GAIN_LOSS_DISPOSAL_ASSETS","FQ3 2024","FQ3 2024","Currency=USD","Period=FQ","BEST_FPERIOD_OVERRIDE=FQ","FILING_STATUS=MR","SCALING_FORMAT=MLN","Sort=A","Dates=H","DateFormat=P","Fill=—","Direction=H","UseDPDF=Y")</f>
        <v>0.75</v>
      </c>
      <c r="X23" s="13" cm="1">
        <f t="array" ref="X23">_xll.BDH("PH US Equity","IS_GAIN_LOSS_DISPOSAL_ASSETS","FQ4 2024","FQ4 2024","Currency=USD","Period=FQ","BEST_FPERIOD_OVERRIDE=FQ","FILING_STATUS=MR","SCALING_FORMAT=MLN","Sort=A","Dates=H","DateFormat=P","Fill=—","Direction=H","UseDPDF=Y")</f>
        <v>6.5350000000000001</v>
      </c>
      <c r="Y23" s="13" cm="1">
        <f t="array" ref="Y23">_xll.BDH("PH US Equity","IS_GAIN_LOSS_DISPOSAL_ASSETS","FQ1 2025","FQ1 2025","Currency=USD","Period=FQ","BEST_FPERIOD_OVERRIDE=FQ","FILING_STATUS=MR","SCALING_FORMAT=MLN","Sort=A","Dates=H","DateFormat=P","Fill=—","Direction=H","UseDPDF=Y")</f>
        <v>-8.4220000000000006</v>
      </c>
      <c r="Z23" s="13" cm="1">
        <f t="array" ref="Z23">_xll.BDH("PH US Equity","IS_GAIN_LOSS_DISPOSAL_ASSETS","FQ2 2025","FQ2 2025","Currency=USD","Period=FQ","BEST_FPERIOD_OVERRIDE=FQ","FILING_STATUS=MR","SCALING_FORMAT=MLN","Sort=A","Dates=H","DateFormat=P","Fill=—","Direction=H","UseDPDF=Y")</f>
        <v>1.4470000000000001</v>
      </c>
      <c r="AA23" s="13" cm="1">
        <f t="array" ref="AA23">_xll.BDH("PH US Equity","IS_GAIN_LOSS_DISPOSAL_ASSETS","FQ3 2025","FQ3 2025","Currency=USD","Period=FQ","BEST_FPERIOD_OVERRIDE=FQ","FILING_STATUS=MR","SCALING_FORMAT=MLN","Sort=A","Dates=H","DateFormat=P","Fill=—","Direction=H","UseDPDF=Y")</f>
        <v>-1.556</v>
      </c>
      <c r="AB23" s="13" cm="1">
        <f t="array" ref="AB23">_xll.BDH("PH US Equity","IS_GAIN_LOSS_DISPOSAL_ASSETS","FQ4 2025","FQ4 2025","Currency=USD","Period=FQ","BEST_FPERIOD_OVERRIDE=FQ","FILING_STATUS=MR","SCALING_FORMAT=MLN","Sort=A","Dates=H","DateFormat=P","Fill=—","Direction=H","UseDPDF=Y")</f>
        <v>-14</v>
      </c>
      <c r="AC23" s="13" cm="1">
        <f t="array" ref="AC23">_xll.BDH("PH US Equity","IS_GAIN_LOSS_DISPOSAL_ASSETS","FQ1 2026","FQ1 2026","Currency=USD","Period=FQ","BEST_FPERIOD_OVERRIDE=FQ","FILING_STATUS=MR","SCALING_FORMAT=MLN","Sort=A","Dates=H","DateFormat=P","Fill=—","Direction=H","UseDPDF=Y")</f>
        <v>1</v>
      </c>
      <c r="AD23" s="13" cm="1">
        <f t="array" ref="AD23">_xll.BDH("PH US Equity","IS_GAIN_LOSS_DISPOSAL_ASSETS","FQ2 2026","FQ2 2026","Currency=USD","Period=FQ","BEST_FPERIOD_OVERRIDE=FQ","FILING_STATUS=MR","SCALING_FORMAT=MLN","Sort=A","Dates=H","DateFormat=P","Fill=—","Direction=H","UseDPDF=Y")</f>
        <v>-7</v>
      </c>
      <c r="AE23" s="13"/>
      <c r="AF23" s="13"/>
    </row>
    <row r="24" spans="1:32" x14ac:dyDescent="0.25">
      <c r="A24" s="10" t="s">
        <v>101</v>
      </c>
      <c r="B24" s="10" t="s">
        <v>102</v>
      </c>
      <c r="C24" s="13" t="str" cm="1">
        <f t="array" ref="C24">_xll.BDH("PH US Equity","IS_G_L_ON_EXT_DBT_OR_SETTLE_DBT","FQ3 2019","FQ3 2019","Currency=USD","Period=FQ","BEST_FPERIOD_OVERRIDE=FQ","FILING_STATUS=MR","SCALING_FORMAT=MLN","Sort=A","Dates=H","DateFormat=P","Fill=—","Direction=H","UseDPDF=Y")</f>
        <v>—</v>
      </c>
      <c r="D24" s="13" t="str" cm="1">
        <f t="array" ref="D24">_xll.BDH("PH US Equity","IS_G_L_ON_EXT_DBT_OR_SETTLE_DBT","FQ4 2019","FQ4 2019","Currency=USD","Period=FQ","BEST_FPERIOD_OVERRIDE=FQ","FILING_STATUS=MR","SCALING_FORMAT=MLN","Sort=A","Dates=H","DateFormat=P","Fill=—","Direction=H","UseDPDF=Y")</f>
        <v>—</v>
      </c>
      <c r="E24" s="13" t="str" cm="1">
        <f t="array" ref="E24">_xll.BDH("PH US Equity","IS_G_L_ON_EXT_DBT_OR_SETTLE_DBT","FQ1 2020","FQ1 2020","Currency=USD","Period=FQ","BEST_FPERIOD_OVERRIDE=FQ","FILING_STATUS=MR","SCALING_FORMAT=MLN","Sort=A","Dates=H","DateFormat=P","Fill=—","Direction=H","UseDPDF=Y")</f>
        <v>—</v>
      </c>
      <c r="F24" s="13" t="str" cm="1">
        <f t="array" ref="F24">_xll.BDH("PH US Equity","IS_G_L_ON_EXT_DBT_OR_SETTLE_DBT","FQ2 2020","FQ2 2020","Currency=USD","Period=FQ","BEST_FPERIOD_OVERRIDE=FQ","FILING_STATUS=MR","SCALING_FORMAT=MLN","Sort=A","Dates=H","DateFormat=P","Fill=—","Direction=H","UseDPDF=Y")</f>
        <v>—</v>
      </c>
      <c r="G24" s="13" t="str" cm="1">
        <f t="array" ref="G24">_xll.BDH("PH US Equity","IS_G_L_ON_EXT_DBT_OR_SETTLE_DBT","FQ3 2020","FQ3 2020","Currency=USD","Period=FQ","BEST_FPERIOD_OVERRIDE=FQ","FILING_STATUS=MR","SCALING_FORMAT=MLN","Sort=A","Dates=H","DateFormat=P","Fill=—","Direction=H","UseDPDF=Y")</f>
        <v>—</v>
      </c>
      <c r="H24" s="13" t="str" cm="1">
        <f t="array" ref="H24">_xll.BDH("PH US Equity","IS_G_L_ON_EXT_DBT_OR_SETTLE_DBT","FQ4 2020","FQ4 2020","Currency=USD","Period=FQ","BEST_FPERIOD_OVERRIDE=FQ","FILING_STATUS=MR","SCALING_FORMAT=MLN","Sort=A","Dates=H","DateFormat=P","Fill=—","Direction=H","UseDPDF=Y")</f>
        <v>—</v>
      </c>
      <c r="I24" s="13" t="str" cm="1">
        <f t="array" ref="I24">_xll.BDH("PH US Equity","IS_G_L_ON_EXT_DBT_OR_SETTLE_DBT","FQ1 2021","FQ1 2021","Currency=USD","Period=FQ","BEST_FPERIOD_OVERRIDE=FQ","FILING_STATUS=MR","SCALING_FORMAT=MLN","Sort=A","Dates=H","DateFormat=P","Fill=—","Direction=H","UseDPDF=Y")</f>
        <v>—</v>
      </c>
      <c r="J24" s="13" t="str" cm="1">
        <f t="array" ref="J24">_xll.BDH("PH US Equity","IS_G_L_ON_EXT_DBT_OR_SETTLE_DBT","FQ2 2021","FQ2 2021","Currency=USD","Period=FQ","BEST_FPERIOD_OVERRIDE=FQ","FILING_STATUS=MR","SCALING_FORMAT=MLN","Sort=A","Dates=H","DateFormat=P","Fill=—","Direction=H","UseDPDF=Y")</f>
        <v>—</v>
      </c>
      <c r="K24" s="13" t="str" cm="1">
        <f t="array" ref="K24">_xll.BDH("PH US Equity","IS_G_L_ON_EXT_DBT_OR_SETTLE_DBT","FQ3 2021","FQ3 2021","Currency=USD","Period=FQ","BEST_FPERIOD_OVERRIDE=FQ","FILING_STATUS=MR","SCALING_FORMAT=MLN","Sort=A","Dates=H","DateFormat=P","Fill=—","Direction=H","UseDPDF=Y")</f>
        <v>—</v>
      </c>
      <c r="L24" s="13" t="str" cm="1">
        <f t="array" ref="L24">_xll.BDH("PH US Equity","IS_G_L_ON_EXT_DBT_OR_SETTLE_DBT","FQ4 2021","FQ4 2021","Currency=USD","Period=FQ","BEST_FPERIOD_OVERRIDE=FQ","FILING_STATUS=MR","SCALING_FORMAT=MLN","Sort=A","Dates=H","DateFormat=P","Fill=—","Direction=H","UseDPDF=Y")</f>
        <v>—</v>
      </c>
      <c r="M24" s="13" t="str" cm="1">
        <f t="array" ref="M24">_xll.BDH("PH US Equity","IS_G_L_ON_EXT_DBT_OR_SETTLE_DBT","FQ1 2022","FQ1 2022","Currency=USD","Period=FQ","BEST_FPERIOD_OVERRIDE=FQ","FILING_STATUS=MR","SCALING_FORMAT=MLN","Sort=A","Dates=H","DateFormat=P","Fill=—","Direction=H","UseDPDF=Y")</f>
        <v>—</v>
      </c>
      <c r="N24" s="13" t="str" cm="1">
        <f t="array" ref="N24">_xll.BDH("PH US Equity","IS_G_L_ON_EXT_DBT_OR_SETTLE_DBT","FQ2 2022","FQ2 2022","Currency=USD","Period=FQ","BEST_FPERIOD_OVERRIDE=FQ","FILING_STATUS=MR","SCALING_FORMAT=MLN","Sort=A","Dates=H","DateFormat=P","Fill=—","Direction=H","UseDPDF=Y")</f>
        <v>—</v>
      </c>
      <c r="O24" s="13" t="str" cm="1">
        <f t="array" ref="O24">_xll.BDH("PH US Equity","IS_G_L_ON_EXT_DBT_OR_SETTLE_DBT","FQ3 2022","FQ3 2022","Currency=USD","Period=FQ","BEST_FPERIOD_OVERRIDE=FQ","FILING_STATUS=MR","SCALING_FORMAT=MLN","Sort=A","Dates=H","DateFormat=P","Fill=—","Direction=H","UseDPDF=Y")</f>
        <v>—</v>
      </c>
      <c r="P24" s="13" t="str" cm="1">
        <f t="array" ref="P24">_xll.BDH("PH US Equity","IS_G_L_ON_EXT_DBT_OR_SETTLE_DBT","FQ4 2022","FQ4 2022","Currency=USD","Period=FQ","BEST_FPERIOD_OVERRIDE=FQ","FILING_STATUS=MR","SCALING_FORMAT=MLN","Sort=A","Dates=H","DateFormat=P","Fill=—","Direction=H","UseDPDF=Y")</f>
        <v>—</v>
      </c>
      <c r="Q24" s="13" t="str" cm="1">
        <f t="array" ref="Q24">_xll.BDH("PH US Equity","IS_G_L_ON_EXT_DBT_OR_SETTLE_DBT","FQ1 2023","FQ1 2023","Currency=USD","Period=FQ","BEST_FPERIOD_OVERRIDE=FQ","FILING_STATUS=MR","SCALING_FORMAT=MLN","Sort=A","Dates=H","DateFormat=P","Fill=—","Direction=H","UseDPDF=Y")</f>
        <v>—</v>
      </c>
      <c r="R24" s="13" t="str" cm="1">
        <f t="array" ref="R24">_xll.BDH("PH US Equity","IS_G_L_ON_EXT_DBT_OR_SETTLE_DBT","FQ2 2023","FQ2 2023","Currency=USD","Period=FQ","BEST_FPERIOD_OVERRIDE=FQ","FILING_STATUS=MR","SCALING_FORMAT=MLN","Sort=A","Dates=H","DateFormat=P","Fill=—","Direction=H","UseDPDF=Y")</f>
        <v>—</v>
      </c>
      <c r="S24" s="13" t="str" cm="1">
        <f t="array" ref="S24">_xll.BDH("PH US Equity","IS_G_L_ON_EXT_DBT_OR_SETTLE_DBT","FQ3 2023","FQ3 2023","Currency=USD","Period=FQ","BEST_FPERIOD_OVERRIDE=FQ","FILING_STATUS=MR","SCALING_FORMAT=MLN","Sort=A","Dates=H","DateFormat=P","Fill=—","Direction=H","UseDPDF=Y")</f>
        <v>—</v>
      </c>
      <c r="T24" s="13" cm="1">
        <f t="array" ref="T24">_xll.BDH("PH US Equity","IS_G_L_ON_EXT_DBT_OR_SETTLE_DBT","FQ4 2023","FQ4 2023","Currency=USD","Period=FQ","BEST_FPERIOD_OVERRIDE=FQ","FILING_STATUS=MR","SCALING_FORMAT=MLN","Sort=A","Dates=H","DateFormat=P","Fill=—","Direction=H","UseDPDF=Y")</f>
        <v>9.9990000000000006</v>
      </c>
      <c r="U24" s="13" t="str" cm="1">
        <f t="array" ref="U24">_xll.BDH("PH US Equity","IS_G_L_ON_EXT_DBT_OR_SETTLE_DBT","FQ1 2024","FQ1 2024","Currency=USD","Period=FQ","BEST_FPERIOD_OVERRIDE=FQ","FILING_STATUS=MR","SCALING_FORMAT=MLN","Sort=A","Dates=H","DateFormat=P","Fill=—","Direction=H","UseDPDF=Y")</f>
        <v>—</v>
      </c>
      <c r="V24" s="13" t="str" cm="1">
        <f t="array" ref="V24">_xll.BDH("PH US Equity","IS_G_L_ON_EXT_DBT_OR_SETTLE_DBT","FQ2 2024","FQ2 2024","Currency=USD","Period=FQ","BEST_FPERIOD_OVERRIDE=FQ","FILING_STATUS=MR","SCALING_FORMAT=MLN","Sort=A","Dates=H","DateFormat=P","Fill=—","Direction=H","UseDPDF=Y")</f>
        <v>—</v>
      </c>
      <c r="W24" s="13" t="str" cm="1">
        <f t="array" ref="W24">_xll.BDH("PH US Equity","IS_G_L_ON_EXT_DBT_OR_SETTLE_DBT","FQ3 2024","FQ3 2024","Currency=USD","Period=FQ","BEST_FPERIOD_OVERRIDE=FQ","FILING_STATUS=MR","SCALING_FORMAT=MLN","Sort=A","Dates=H","DateFormat=P","Fill=—","Direction=H","UseDPDF=Y")</f>
        <v>—</v>
      </c>
      <c r="X24" s="13" t="str" cm="1">
        <f t="array" ref="X24">_xll.BDH("PH US Equity","IS_G_L_ON_EXT_DBT_OR_SETTLE_DBT","FQ4 2024","FQ4 2024","Currency=USD","Period=FQ","BEST_FPERIOD_OVERRIDE=FQ","FILING_STATUS=MR","SCALING_FORMAT=MLN","Sort=A","Dates=H","DateFormat=P","Fill=—","Direction=H","UseDPDF=Y")</f>
        <v>—</v>
      </c>
      <c r="Y24" s="13" t="str" cm="1">
        <f t="array" ref="Y24">_xll.BDH("PH US Equity","IS_G_L_ON_EXT_DBT_OR_SETTLE_DBT","FQ1 2025","FQ1 2025","Currency=USD","Period=FQ","BEST_FPERIOD_OVERRIDE=FQ","FILING_STATUS=MR","SCALING_FORMAT=MLN","Sort=A","Dates=H","DateFormat=P","Fill=—","Direction=H","UseDPDF=Y")</f>
        <v>—</v>
      </c>
      <c r="Z24" s="13" t="str" cm="1">
        <f t="array" ref="Z24">_xll.BDH("PH US Equity","IS_G_L_ON_EXT_DBT_OR_SETTLE_DBT","FQ2 2025","FQ2 2025","Currency=USD","Period=FQ","BEST_FPERIOD_OVERRIDE=FQ","FILING_STATUS=MR","SCALING_FORMAT=MLN","Sort=A","Dates=H","DateFormat=P","Fill=—","Direction=H","UseDPDF=Y")</f>
        <v>—</v>
      </c>
      <c r="AA24" s="13" t="str" cm="1">
        <f t="array" ref="AA24">_xll.BDH("PH US Equity","IS_G_L_ON_EXT_DBT_OR_SETTLE_DBT","FQ3 2025","FQ3 2025","Currency=USD","Period=FQ","BEST_FPERIOD_OVERRIDE=FQ","FILING_STATUS=MR","SCALING_FORMAT=MLN","Sort=A","Dates=H","DateFormat=P","Fill=—","Direction=H","UseDPDF=Y")</f>
        <v>—</v>
      </c>
      <c r="AB24" s="13" t="str" cm="1">
        <f t="array" ref="AB24">_xll.BDH("PH US Equity","IS_G_L_ON_EXT_DBT_OR_SETTLE_DBT","FQ4 2025","FQ4 2025","Currency=USD","Period=FQ","BEST_FPERIOD_OVERRIDE=FQ","FILING_STATUS=MR","SCALING_FORMAT=MLN","Sort=A","Dates=H","DateFormat=P","Fill=—","Direction=H","UseDPDF=Y")</f>
        <v>—</v>
      </c>
      <c r="AC24" s="13" t="str" cm="1">
        <f t="array" ref="AC24">_xll.BDH("PH US Equity","IS_G_L_ON_EXT_DBT_OR_SETTLE_DBT","FQ1 2026","FQ1 2026","Currency=USD","Period=FQ","BEST_FPERIOD_OVERRIDE=FQ","FILING_STATUS=MR","SCALING_FORMAT=MLN","Sort=A","Dates=H","DateFormat=P","Fill=—","Direction=H","UseDPDF=Y")</f>
        <v>—</v>
      </c>
      <c r="AD24" s="13" t="str" cm="1">
        <f t="array" ref="AD24">_xll.BDH("PH US Equity","IS_G_L_ON_EXT_DBT_OR_SETTLE_DBT","FQ2 2026","FQ2 2026","Currency=USD","Period=FQ","BEST_FPERIOD_OVERRIDE=FQ","FILING_STATUS=MR","SCALING_FORMAT=MLN","Sort=A","Dates=H","DateFormat=P","Fill=—","Direction=H","UseDPDF=Y")</f>
        <v>—</v>
      </c>
      <c r="AE24" s="13"/>
      <c r="AF24" s="13"/>
    </row>
    <row r="25" spans="1:32" x14ac:dyDescent="0.25">
      <c r="A25" s="10" t="s">
        <v>103</v>
      </c>
      <c r="B25" s="10" t="s">
        <v>104</v>
      </c>
      <c r="C25" s="13" t="str" cm="1">
        <f t="array" ref="C25">_xll.BDH("PH US Equity","IS_SALE_OF_BUSINESS","FQ3 2019","FQ3 2019","Currency=USD","Period=FQ","BEST_FPERIOD_OVERRIDE=FQ","FILING_STATUS=MR","SCALING_FORMAT=MLN","Sort=A","Dates=H","DateFormat=P","Fill=—","Direction=H","UseDPDF=Y")</f>
        <v>—</v>
      </c>
      <c r="D25" s="13" cm="1">
        <f t="array" ref="D25">_xll.BDH("PH US Equity","IS_SALE_OF_BUSINESS","FQ4 2019","FQ4 2019","Currency=USD","Period=FQ","BEST_FPERIOD_OVERRIDE=FQ","FILING_STATUS=MR","SCALING_FORMAT=MLN","Sort=A","Dates=H","DateFormat=P","Fill=—","Direction=H","UseDPDF=Y")</f>
        <v>5.2309999999999999</v>
      </c>
      <c r="E25" s="13" t="str" cm="1">
        <f t="array" ref="E25">_xll.BDH("PH US Equity","IS_SALE_OF_BUSINESS","FQ1 2020","FQ1 2020","Currency=USD","Period=FQ","BEST_FPERIOD_OVERRIDE=FQ","FILING_STATUS=MR","SCALING_FORMAT=MLN","Sort=A","Dates=H","DateFormat=P","Fill=—","Direction=H","UseDPDF=Y")</f>
        <v>—</v>
      </c>
      <c r="F25" s="13" t="str" cm="1">
        <f t="array" ref="F25">_xll.BDH("PH US Equity","IS_SALE_OF_BUSINESS","FQ2 2020","FQ2 2020","Currency=USD","Period=FQ","BEST_FPERIOD_OVERRIDE=FQ","FILING_STATUS=MR","SCALING_FORMAT=MLN","Sort=A","Dates=H","DateFormat=P","Fill=—","Direction=H","UseDPDF=Y")</f>
        <v>—</v>
      </c>
      <c r="G25" s="13" t="str" cm="1">
        <f t="array" ref="G25">_xll.BDH("PH US Equity","IS_SALE_OF_BUSINESS","FQ3 2020","FQ3 2020","Currency=USD","Period=FQ","BEST_FPERIOD_OVERRIDE=FQ","FILING_STATUS=MR","SCALING_FORMAT=MLN","Sort=A","Dates=H","DateFormat=P","Fill=—","Direction=H","UseDPDF=Y")</f>
        <v>—</v>
      </c>
      <c r="H25" s="13" t="str" cm="1">
        <f t="array" ref="H25">_xll.BDH("PH US Equity","IS_SALE_OF_BUSINESS","FQ4 2020","FQ4 2020","Currency=USD","Period=FQ","BEST_FPERIOD_OVERRIDE=FQ","FILING_STATUS=MR","SCALING_FORMAT=MLN","Sort=A","Dates=H","DateFormat=P","Fill=—","Direction=H","UseDPDF=Y")</f>
        <v>—</v>
      </c>
      <c r="I25" s="13" t="str" cm="1">
        <f t="array" ref="I25">_xll.BDH("PH US Equity","IS_SALE_OF_BUSINESS","FQ1 2021","FQ1 2021","Currency=USD","Period=FQ","BEST_FPERIOD_OVERRIDE=FQ","FILING_STATUS=MR","SCALING_FORMAT=MLN","Sort=A","Dates=H","DateFormat=P","Fill=—","Direction=H","UseDPDF=Y")</f>
        <v>—</v>
      </c>
      <c r="J25" s="13" t="str" cm="1">
        <f t="array" ref="J25">_xll.BDH("PH US Equity","IS_SALE_OF_BUSINESS","FQ2 2021","FQ2 2021","Currency=USD","Period=FQ","BEST_FPERIOD_OVERRIDE=FQ","FILING_STATUS=MR","SCALING_FORMAT=MLN","Sort=A","Dates=H","DateFormat=P","Fill=—","Direction=H","UseDPDF=Y")</f>
        <v>—</v>
      </c>
      <c r="K25" s="13" t="str" cm="1">
        <f t="array" ref="K25">_xll.BDH("PH US Equity","IS_SALE_OF_BUSINESS","FQ3 2021","FQ3 2021","Currency=USD","Period=FQ","BEST_FPERIOD_OVERRIDE=FQ","FILING_STATUS=MR","SCALING_FORMAT=MLN","Sort=A","Dates=H","DateFormat=P","Fill=—","Direction=H","UseDPDF=Y")</f>
        <v>—</v>
      </c>
      <c r="L25" s="13" t="str" cm="1">
        <f t="array" ref="L25">_xll.BDH("PH US Equity","IS_SALE_OF_BUSINESS","FQ4 2021","FQ4 2021","Currency=USD","Period=FQ","BEST_FPERIOD_OVERRIDE=FQ","FILING_STATUS=MR","SCALING_FORMAT=MLN","Sort=A","Dates=H","DateFormat=P","Fill=—","Direction=H","UseDPDF=Y")</f>
        <v>—</v>
      </c>
      <c r="M25" s="13" t="str" cm="1">
        <f t="array" ref="M25">_xll.BDH("PH US Equity","IS_SALE_OF_BUSINESS","FQ1 2022","FQ1 2022","Currency=USD","Period=FQ","BEST_FPERIOD_OVERRIDE=FQ","FILING_STATUS=MR","SCALING_FORMAT=MLN","Sort=A","Dates=H","DateFormat=P","Fill=—","Direction=H","UseDPDF=Y")</f>
        <v>—</v>
      </c>
      <c r="N25" s="13" cm="1">
        <f t="array" ref="N25">_xll.BDH("PH US Equity","IS_SALE_OF_BUSINESS","FQ2 2022","FQ2 2022","Currency=USD","Period=FQ","BEST_FPERIOD_OVERRIDE=FQ","FILING_STATUS=MR","SCALING_FORMAT=MLN","Sort=A","Dates=H","DateFormat=P","Fill=—","Direction=H","UseDPDF=Y")</f>
        <v>-1.52</v>
      </c>
      <c r="O25" s="13" cm="1">
        <f t="array" ref="O25">_xll.BDH("PH US Equity","IS_SALE_OF_BUSINESS","FQ3 2022","FQ3 2022","Currency=USD","Period=FQ","BEST_FPERIOD_OVERRIDE=FQ","FILING_STATUS=MR","SCALING_FORMAT=MLN","Sort=A","Dates=H","DateFormat=P","Fill=—","Direction=H","UseDPDF=Y")</f>
        <v>4.8000000000000001E-2</v>
      </c>
      <c r="P25" s="13" t="str" cm="1">
        <f t="array" ref="P25">_xll.BDH("PH US Equity","IS_SALE_OF_BUSINESS","FQ4 2022","FQ4 2022","Currency=USD","Period=FQ","BEST_FPERIOD_OVERRIDE=FQ","FILING_STATUS=MR","SCALING_FORMAT=MLN","Sort=A","Dates=H","DateFormat=P","Fill=—","Direction=H","UseDPDF=Y")</f>
        <v>—</v>
      </c>
      <c r="Q25" s="13" cm="1">
        <f t="array" ref="Q25">_xll.BDH("PH US Equity","IS_SALE_OF_BUSINESS","FQ1 2023","FQ1 2023","Currency=USD","Period=FQ","BEST_FPERIOD_OVERRIDE=FQ","FILING_STATUS=MR","SCALING_FORMAT=MLN","Sort=A","Dates=H","DateFormat=P","Fill=—","Direction=H","UseDPDF=Y")</f>
        <v>-372.93</v>
      </c>
      <c r="R25" s="13" cm="1">
        <f t="array" ref="R25">_xll.BDH("PH US Equity","IS_SALE_OF_BUSINESS","FQ2 2023","FQ2 2023","Currency=USD","Period=FQ","BEST_FPERIOD_OVERRIDE=FQ","FILING_STATUS=MR","SCALING_FORMAT=MLN","Sort=A","Dates=H","DateFormat=P","Fill=—","Direction=H","UseDPDF=Y")</f>
        <v>-4.9383999999999997</v>
      </c>
      <c r="S25" s="13" cm="1">
        <f t="array" ref="S25">_xll.BDH("PH US Equity","IS_SALE_OF_BUSINESS","FQ3 2023","FQ3 2023","Currency=USD","Period=FQ","BEST_FPERIOD_OVERRIDE=FQ","FILING_STATUS=MR","SCALING_FORMAT=MLN","Sort=A","Dates=H","DateFormat=P","Fill=—","Direction=H","UseDPDF=Y")</f>
        <v>21.832999999999998</v>
      </c>
      <c r="T25" s="13" t="str" cm="1">
        <f t="array" ref="T25">_xll.BDH("PH US Equity","IS_SALE_OF_BUSINESS","FQ4 2023","FQ4 2023","Currency=USD","Period=FQ","BEST_FPERIOD_OVERRIDE=FQ","FILING_STATUS=MR","SCALING_FORMAT=MLN","Sort=A","Dates=H","DateFormat=P","Fill=—","Direction=H","UseDPDF=Y")</f>
        <v>—</v>
      </c>
      <c r="U25" s="13" cm="1">
        <f t="array" ref="U25">_xll.BDH("PH US Equity","IS_SALE_OF_BUSINESS","FQ1 2024","FQ1 2024","Currency=USD","Period=FQ","BEST_FPERIOD_OVERRIDE=FQ","FILING_STATUS=MR","SCALING_FORMAT=MLN","Sort=A","Dates=H","DateFormat=P","Fill=—","Direction=H","UseDPDF=Y")</f>
        <v>-13.26</v>
      </c>
      <c r="V25" s="13" cm="1">
        <f t="array" ref="V25">_xll.BDH("PH US Equity","IS_SALE_OF_BUSINESS","FQ2 2024","FQ2 2024","Currency=USD","Period=FQ","BEST_FPERIOD_OVERRIDE=FQ","FILING_STATUS=MR","SCALING_FORMAT=MLN","Sort=A","Dates=H","DateFormat=P","Fill=—","Direction=H","UseDPDF=Y")</f>
        <v>-12.391</v>
      </c>
      <c r="W25" s="13" cm="1">
        <f t="array" ref="W25">_xll.BDH("PH US Equity","IS_SALE_OF_BUSINESS","FQ3 2024","FQ3 2024","Currency=USD","Period=FQ","BEST_FPERIOD_OVERRIDE=FQ","FILING_STATUS=MR","SCALING_FORMAT=MLN","Sort=A","Dates=H","DateFormat=P","Fill=—","Direction=H","UseDPDF=Y")</f>
        <v>2.2970000000000002</v>
      </c>
      <c r="X25" s="13" cm="1">
        <f t="array" ref="X25">_xll.BDH("PH US Equity","IS_SALE_OF_BUSINESS","FQ4 2024","FQ4 2024","Currency=USD","Period=FQ","BEST_FPERIOD_OVERRIDE=FQ","FILING_STATUS=MR","SCALING_FORMAT=MLN","Sort=A","Dates=H","DateFormat=P","Fill=—","Direction=H","UseDPDF=Y")</f>
        <v>-0.312</v>
      </c>
      <c r="Y25" s="13" cm="1">
        <f t="array" ref="Y25">_xll.BDH("PH US Equity","IS_SALE_OF_BUSINESS","FQ1 2025","FQ1 2025","Currency=USD","Period=FQ","BEST_FPERIOD_OVERRIDE=FQ","FILING_STATUS=MR","SCALING_FORMAT=MLN","Sort=A","Dates=H","DateFormat=P","Fill=—","Direction=H","UseDPDF=Y")</f>
        <v>-0.313</v>
      </c>
      <c r="Z25" s="13" cm="1">
        <f t="array" ref="Z25">_xll.BDH("PH US Equity","IS_SALE_OF_BUSINESS","FQ2 2025","FQ2 2025","Currency=USD","Period=FQ","BEST_FPERIOD_OVERRIDE=FQ","FILING_STATUS=MR","SCALING_FORMAT=MLN","Sort=A","Dates=H","DateFormat=P","Fill=—","Direction=H","UseDPDF=Y")</f>
        <v>-249.74799999999999</v>
      </c>
      <c r="AA25" s="13" t="str" cm="1">
        <f t="array" ref="AA25">_xll.BDH("PH US Equity","IS_SALE_OF_BUSINESS","FQ3 2025","FQ3 2025","Currency=USD","Period=FQ","BEST_FPERIOD_OVERRIDE=FQ","FILING_STATUS=MR","SCALING_FORMAT=MLN","Sort=A","Dates=H","DateFormat=P","Fill=—","Direction=H","UseDPDF=Y")</f>
        <v>—</v>
      </c>
      <c r="AB25" s="13" cm="1">
        <f t="array" ref="AB25">_xll.BDH("PH US Equity","IS_SALE_OF_BUSINESS","FQ4 2025","FQ4 2025","Currency=USD","Period=FQ","BEST_FPERIOD_OVERRIDE=FQ","FILING_STATUS=MR","SCALING_FORMAT=MLN","Sort=A","Dates=H","DateFormat=P","Fill=—","Direction=H","UseDPDF=Y")</f>
        <v>-2</v>
      </c>
      <c r="AC25" s="13" t="str" cm="1">
        <f t="array" ref="AC25">_xll.BDH("PH US Equity","IS_SALE_OF_BUSINESS","FQ1 2026","FQ1 2026","Currency=USD","Period=FQ","BEST_FPERIOD_OVERRIDE=FQ","FILING_STATUS=MR","SCALING_FORMAT=MLN","Sort=A","Dates=H","DateFormat=P","Fill=—","Direction=H","UseDPDF=Y")</f>
        <v>—</v>
      </c>
      <c r="AD25" s="13" cm="1">
        <f t="array" ref="AD25">_xll.BDH("PH US Equity","IS_SALE_OF_BUSINESS","FQ2 2026","FQ2 2026","Currency=USD","Period=FQ","BEST_FPERIOD_OVERRIDE=FQ","FILING_STATUS=MR","SCALING_FORMAT=MLN","Sort=A","Dates=H","DateFormat=P","Fill=—","Direction=H","UseDPDF=Y")</f>
        <v>-1</v>
      </c>
      <c r="AE25" s="13"/>
      <c r="AF25" s="13"/>
    </row>
    <row r="26" spans="1:32" x14ac:dyDescent="0.25">
      <c r="A26" s="10" t="s">
        <v>105</v>
      </c>
      <c r="B26" s="10" t="s">
        <v>106</v>
      </c>
      <c r="C26" s="13" t="str" cm="1">
        <f t="array" ref="C26">_xll.BDH("PH US Equity","IS_LEGAL_LITIGATION_SETTLEMENT","FQ3 2019","FQ3 2019","Currency=USD","Period=FQ","BEST_FPERIOD_OVERRIDE=FQ","FILING_STATUS=MR","SCALING_FORMAT=MLN","Sort=A","Dates=H","DateFormat=P","Fill=—","Direction=H","UseDPDF=Y")</f>
        <v>—</v>
      </c>
      <c r="D26" s="13" t="str" cm="1">
        <f t="array" ref="D26">_xll.BDH("PH US Equity","IS_LEGAL_LITIGATION_SETTLEMENT","FQ4 2019","FQ4 2019","Currency=USD","Period=FQ","BEST_FPERIOD_OVERRIDE=FQ","FILING_STATUS=MR","SCALING_FORMAT=MLN","Sort=A","Dates=H","DateFormat=P","Fill=—","Direction=H","UseDPDF=Y")</f>
        <v>—</v>
      </c>
      <c r="E26" s="13" t="str" cm="1">
        <f t="array" ref="E26">_xll.BDH("PH US Equity","IS_LEGAL_LITIGATION_SETTLEMENT","FQ1 2020","FQ1 2020","Currency=USD","Period=FQ","BEST_FPERIOD_OVERRIDE=FQ","FILING_STATUS=MR","SCALING_FORMAT=MLN","Sort=A","Dates=H","DateFormat=P","Fill=—","Direction=H","UseDPDF=Y")</f>
        <v>—</v>
      </c>
      <c r="F26" s="13" t="str" cm="1">
        <f t="array" ref="F26">_xll.BDH("PH US Equity","IS_LEGAL_LITIGATION_SETTLEMENT","FQ2 2020","FQ2 2020","Currency=USD","Period=FQ","BEST_FPERIOD_OVERRIDE=FQ","FILING_STATUS=MR","SCALING_FORMAT=MLN","Sort=A","Dates=H","DateFormat=P","Fill=—","Direction=H","UseDPDF=Y")</f>
        <v>—</v>
      </c>
      <c r="G26" s="13" t="str" cm="1">
        <f t="array" ref="G26">_xll.BDH("PH US Equity","IS_LEGAL_LITIGATION_SETTLEMENT","FQ3 2020","FQ3 2020","Currency=USD","Period=FQ","BEST_FPERIOD_OVERRIDE=FQ","FILING_STATUS=MR","SCALING_FORMAT=MLN","Sort=A","Dates=H","DateFormat=P","Fill=—","Direction=H","UseDPDF=Y")</f>
        <v>—</v>
      </c>
      <c r="H26" s="13" t="str" cm="1">
        <f t="array" ref="H26">_xll.BDH("PH US Equity","IS_LEGAL_LITIGATION_SETTLEMENT","FQ4 2020","FQ4 2020","Currency=USD","Period=FQ","BEST_FPERIOD_OVERRIDE=FQ","FILING_STATUS=MR","SCALING_FORMAT=MLN","Sort=A","Dates=H","DateFormat=P","Fill=—","Direction=H","UseDPDF=Y")</f>
        <v>—</v>
      </c>
      <c r="I26" s="13" t="str" cm="1">
        <f t="array" ref="I26">_xll.BDH("PH US Equity","IS_LEGAL_LITIGATION_SETTLEMENT","FQ1 2021","FQ1 2021","Currency=USD","Period=FQ","BEST_FPERIOD_OVERRIDE=FQ","FILING_STATUS=MR","SCALING_FORMAT=MLN","Sort=A","Dates=H","DateFormat=P","Fill=—","Direction=H","UseDPDF=Y")</f>
        <v>—</v>
      </c>
      <c r="J26" s="13" t="str" cm="1">
        <f t="array" ref="J26">_xll.BDH("PH US Equity","IS_LEGAL_LITIGATION_SETTLEMENT","FQ2 2021","FQ2 2021","Currency=USD","Period=FQ","BEST_FPERIOD_OVERRIDE=FQ","FILING_STATUS=MR","SCALING_FORMAT=MLN","Sort=A","Dates=H","DateFormat=P","Fill=—","Direction=H","UseDPDF=Y")</f>
        <v>—</v>
      </c>
      <c r="K26" s="13" t="str" cm="1">
        <f t="array" ref="K26">_xll.BDH("PH US Equity","IS_LEGAL_LITIGATION_SETTLEMENT","FQ3 2021","FQ3 2021","Currency=USD","Period=FQ","BEST_FPERIOD_OVERRIDE=FQ","FILING_STATUS=MR","SCALING_FORMAT=MLN","Sort=A","Dates=H","DateFormat=P","Fill=—","Direction=H","UseDPDF=Y")</f>
        <v>—</v>
      </c>
      <c r="L26" s="13" t="str" cm="1">
        <f t="array" ref="L26">_xll.BDH("PH US Equity","IS_LEGAL_LITIGATION_SETTLEMENT","FQ4 2021","FQ4 2021","Currency=USD","Period=FQ","BEST_FPERIOD_OVERRIDE=FQ","FILING_STATUS=MR","SCALING_FORMAT=MLN","Sort=A","Dates=H","DateFormat=P","Fill=—","Direction=H","UseDPDF=Y")</f>
        <v>—</v>
      </c>
      <c r="M26" s="13" t="str" cm="1">
        <f t="array" ref="M26">_xll.BDH("PH US Equity","IS_LEGAL_LITIGATION_SETTLEMENT","FQ1 2022","FQ1 2022","Currency=USD","Period=FQ","BEST_FPERIOD_OVERRIDE=FQ","FILING_STATUS=MR","SCALING_FORMAT=MLN","Sort=A","Dates=H","DateFormat=P","Fill=—","Direction=H","UseDPDF=Y")</f>
        <v>—</v>
      </c>
      <c r="N26" s="13" t="str" cm="1">
        <f t="array" ref="N26">_xll.BDH("PH US Equity","IS_LEGAL_LITIGATION_SETTLEMENT","FQ2 2022","FQ2 2022","Currency=USD","Period=FQ","BEST_FPERIOD_OVERRIDE=FQ","FILING_STATUS=MR","SCALING_FORMAT=MLN","Sort=A","Dates=H","DateFormat=P","Fill=—","Direction=H","UseDPDF=Y")</f>
        <v>—</v>
      </c>
      <c r="O26" s="13" t="str" cm="1">
        <f t="array" ref="O26">_xll.BDH("PH US Equity","IS_LEGAL_LITIGATION_SETTLEMENT","FQ3 2022","FQ3 2022","Currency=USD","Period=FQ","BEST_FPERIOD_OVERRIDE=FQ","FILING_STATUS=MR","SCALING_FORMAT=MLN","Sort=A","Dates=H","DateFormat=P","Fill=—","Direction=H","UseDPDF=Y")</f>
        <v>—</v>
      </c>
      <c r="P26" s="13" cm="1">
        <f t="array" ref="P26">_xll.BDH("PH US Equity","IS_LEGAL_LITIGATION_SETTLEMENT","FQ4 2022","FQ4 2022","Currency=USD","Period=FQ","BEST_FPERIOD_OVERRIDE=FQ","FILING_STATUS=MR","SCALING_FORMAT=MLN","Sort=A","Dates=H","DateFormat=P","Fill=—","Direction=H","UseDPDF=Y")</f>
        <v>1.0069999999999999</v>
      </c>
      <c r="Q26" s="13" t="str" cm="1">
        <f t="array" ref="Q26">_xll.BDH("PH US Equity","IS_LEGAL_LITIGATION_SETTLEMENT","FQ1 2023","FQ1 2023","Currency=USD","Period=FQ","BEST_FPERIOD_OVERRIDE=FQ","FILING_STATUS=MR","SCALING_FORMAT=MLN","Sort=A","Dates=H","DateFormat=P","Fill=—","Direction=H","UseDPDF=Y")</f>
        <v>—</v>
      </c>
      <c r="R26" s="13" t="str" cm="1">
        <f t="array" ref="R26">_xll.BDH("PH US Equity","IS_LEGAL_LITIGATION_SETTLEMENT","FQ2 2023","FQ2 2023","Currency=USD","Period=FQ","BEST_FPERIOD_OVERRIDE=FQ","FILING_STATUS=MR","SCALING_FORMAT=MLN","Sort=A","Dates=H","DateFormat=P","Fill=—","Direction=H","UseDPDF=Y")</f>
        <v>—</v>
      </c>
      <c r="S26" s="13" t="str" cm="1">
        <f t="array" ref="S26">_xll.BDH("PH US Equity","IS_LEGAL_LITIGATION_SETTLEMENT","FQ3 2023","FQ3 2023","Currency=USD","Period=FQ","BEST_FPERIOD_OVERRIDE=FQ","FILING_STATUS=MR","SCALING_FORMAT=MLN","Sort=A","Dates=H","DateFormat=P","Fill=—","Direction=H","UseDPDF=Y")</f>
        <v>—</v>
      </c>
      <c r="T26" s="13" t="str" cm="1">
        <f t="array" ref="T26">_xll.BDH("PH US Equity","IS_LEGAL_LITIGATION_SETTLEMENT","FQ4 2023","FQ4 2023","Currency=USD","Period=FQ","BEST_FPERIOD_OVERRIDE=FQ","FILING_STATUS=MR","SCALING_FORMAT=MLN","Sort=A","Dates=H","DateFormat=P","Fill=—","Direction=H","UseDPDF=Y")</f>
        <v>—</v>
      </c>
      <c r="U26" s="13" t="str" cm="1">
        <f t="array" ref="U26">_xll.BDH("PH US Equity","IS_LEGAL_LITIGATION_SETTLEMENT","FQ1 2024","FQ1 2024","Currency=USD","Period=FQ","BEST_FPERIOD_OVERRIDE=FQ","FILING_STATUS=MR","SCALING_FORMAT=MLN","Sort=A","Dates=H","DateFormat=P","Fill=—","Direction=H","UseDPDF=Y")</f>
        <v>—</v>
      </c>
      <c r="V26" s="13" t="str" cm="1">
        <f t="array" ref="V26">_xll.BDH("PH US Equity","IS_LEGAL_LITIGATION_SETTLEMENT","FQ2 2024","FQ2 2024","Currency=USD","Period=FQ","BEST_FPERIOD_OVERRIDE=FQ","FILING_STATUS=MR","SCALING_FORMAT=MLN","Sort=A","Dates=H","DateFormat=P","Fill=—","Direction=H","UseDPDF=Y")</f>
        <v>—</v>
      </c>
      <c r="W26" s="13" t="str" cm="1">
        <f t="array" ref="W26">_xll.BDH("PH US Equity","IS_LEGAL_LITIGATION_SETTLEMENT","FQ3 2024","FQ3 2024","Currency=USD","Period=FQ","BEST_FPERIOD_OVERRIDE=FQ","FILING_STATUS=MR","SCALING_FORMAT=MLN","Sort=A","Dates=H","DateFormat=P","Fill=—","Direction=H","UseDPDF=Y")</f>
        <v>—</v>
      </c>
      <c r="X26" s="13" t="str" cm="1">
        <f t="array" ref="X26">_xll.BDH("PH US Equity","IS_LEGAL_LITIGATION_SETTLEMENT","FQ4 2024","FQ4 2024","Currency=USD","Period=FQ","BEST_FPERIOD_OVERRIDE=FQ","FILING_STATUS=MR","SCALING_FORMAT=MLN","Sort=A","Dates=H","DateFormat=P","Fill=—","Direction=H","UseDPDF=Y")</f>
        <v>—</v>
      </c>
      <c r="Y26" s="13" t="str" cm="1">
        <f t="array" ref="Y26">_xll.BDH("PH US Equity","IS_LEGAL_LITIGATION_SETTLEMENT","FQ1 2025","FQ1 2025","Currency=USD","Period=FQ","BEST_FPERIOD_OVERRIDE=FQ","FILING_STATUS=MR","SCALING_FORMAT=MLN","Sort=A","Dates=H","DateFormat=P","Fill=—","Direction=H","UseDPDF=Y")</f>
        <v>—</v>
      </c>
      <c r="Z26" s="13" t="str" cm="1">
        <f t="array" ref="Z26">_xll.BDH("PH US Equity","IS_LEGAL_LITIGATION_SETTLEMENT","FQ2 2025","FQ2 2025","Currency=USD","Period=FQ","BEST_FPERIOD_OVERRIDE=FQ","FILING_STATUS=MR","SCALING_FORMAT=MLN","Sort=A","Dates=H","DateFormat=P","Fill=—","Direction=H","UseDPDF=Y")</f>
        <v>—</v>
      </c>
      <c r="AA26" s="13" t="str" cm="1">
        <f t="array" ref="AA26">_xll.BDH("PH US Equity","IS_LEGAL_LITIGATION_SETTLEMENT","FQ3 2025","FQ3 2025","Currency=USD","Period=FQ","BEST_FPERIOD_OVERRIDE=FQ","FILING_STATUS=MR","SCALING_FORMAT=MLN","Sort=A","Dates=H","DateFormat=P","Fill=—","Direction=H","UseDPDF=Y")</f>
        <v>—</v>
      </c>
      <c r="AB26" s="13" t="str" cm="1">
        <f t="array" ref="AB26">_xll.BDH("PH US Equity","IS_LEGAL_LITIGATION_SETTLEMENT","FQ4 2025","FQ4 2025","Currency=USD","Period=FQ","BEST_FPERIOD_OVERRIDE=FQ","FILING_STATUS=MR","SCALING_FORMAT=MLN","Sort=A","Dates=H","DateFormat=P","Fill=—","Direction=H","UseDPDF=Y")</f>
        <v>—</v>
      </c>
      <c r="AC26" s="13" t="str" cm="1">
        <f t="array" ref="AC26">_xll.BDH("PH US Equity","IS_LEGAL_LITIGATION_SETTLEMENT","FQ1 2026","FQ1 2026","Currency=USD","Period=FQ","BEST_FPERIOD_OVERRIDE=FQ","FILING_STATUS=MR","SCALING_FORMAT=MLN","Sort=A","Dates=H","DateFormat=P","Fill=—","Direction=H","UseDPDF=Y")</f>
        <v>—</v>
      </c>
      <c r="AD26" s="13" t="str" cm="1">
        <f t="array" ref="AD26">_xll.BDH("PH US Equity","IS_LEGAL_LITIGATION_SETTLEMENT","FQ2 2026","FQ2 2026","Currency=USD","Period=FQ","BEST_FPERIOD_OVERRIDE=FQ","FILING_STATUS=MR","SCALING_FORMAT=MLN","Sort=A","Dates=H","DateFormat=P","Fill=—","Direction=H","UseDPDF=Y")</f>
        <v>—</v>
      </c>
      <c r="AE26" s="13"/>
      <c r="AF26" s="13"/>
    </row>
    <row r="27" spans="1:32" x14ac:dyDescent="0.25">
      <c r="A27" s="10" t="s">
        <v>107</v>
      </c>
      <c r="B27" s="10" t="s">
        <v>108</v>
      </c>
      <c r="C27" s="13" cm="1">
        <f t="array" ref="C27">_xll.BDH("PH US Equity","IS_RESTRUCTURING_EXPENSES","FQ3 2019","FQ3 2019","Currency=USD","Period=FQ","BEST_FPERIOD_OVERRIDE=FQ","FILING_STATUS=MR","SCALING_FORMAT=MLN","Sort=A","Dates=H","DateFormat=P","Fill=—","Direction=H","UseDPDF=Y")</f>
        <v>4.3659999999999997</v>
      </c>
      <c r="D27" s="13" cm="1">
        <f t="array" ref="D27">_xll.BDH("PH US Equity","IS_RESTRUCTURING_EXPENSES","FQ4 2019","FQ4 2019","Currency=USD","Period=FQ","BEST_FPERIOD_OVERRIDE=FQ","FILING_STATUS=MR","SCALING_FORMAT=MLN","Sort=A","Dates=H","DateFormat=P","Fill=—","Direction=H","UseDPDF=Y")</f>
        <v>6.3929999999999998</v>
      </c>
      <c r="E27" s="13" cm="1">
        <f t="array" ref="E27">_xll.BDH("PH US Equity","IS_RESTRUCTURING_EXPENSES","FQ1 2020","FQ1 2020","Currency=USD","Period=FQ","BEST_FPERIOD_OVERRIDE=FQ","FILING_STATUS=MR","SCALING_FORMAT=MLN","Sort=A","Dates=H","DateFormat=P","Fill=—","Direction=H","UseDPDF=Y")</f>
        <v>8.7270000000000003</v>
      </c>
      <c r="F27" s="13" cm="1">
        <f t="array" ref="F27">_xll.BDH("PH US Equity","IS_RESTRUCTURING_EXPENSES","FQ2 2020","FQ2 2020","Currency=USD","Period=FQ","BEST_FPERIOD_OVERRIDE=FQ","FILING_STATUS=MR","SCALING_FORMAT=MLN","Sort=A","Dates=H","DateFormat=P","Fill=—","Direction=H","UseDPDF=Y")</f>
        <v>17.05</v>
      </c>
      <c r="G27" s="13" cm="1">
        <f t="array" ref="G27">_xll.BDH("PH US Equity","IS_RESTRUCTURING_EXPENSES","FQ3 2020","FQ3 2020","Currency=USD","Period=FQ","BEST_FPERIOD_OVERRIDE=FQ","FILING_STATUS=MR","SCALING_FORMAT=MLN","Sort=A","Dates=H","DateFormat=P","Fill=—","Direction=H","UseDPDF=Y")</f>
        <v>22.303999999999998</v>
      </c>
      <c r="H27" s="13" cm="1">
        <f t="array" ref="H27">_xll.BDH("PH US Equity","IS_RESTRUCTURING_EXPENSES","FQ4 2020","FQ4 2020","Currency=USD","Period=FQ","BEST_FPERIOD_OVERRIDE=FQ","FILING_STATUS=MR","SCALING_FORMAT=MLN","Sort=A","Dates=H","DateFormat=P","Fill=—","Direction=H","UseDPDF=Y")</f>
        <v>47.600999999999999</v>
      </c>
      <c r="I27" s="13" cm="1">
        <f t="array" ref="I27">_xll.BDH("PH US Equity","IS_RESTRUCTURING_EXPENSES","FQ1 2021","FQ1 2021","Currency=USD","Period=FQ","BEST_FPERIOD_OVERRIDE=FQ","FILING_STATUS=MR","SCALING_FORMAT=MLN","Sort=A","Dates=H","DateFormat=P","Fill=—","Direction=H","UseDPDF=Y")</f>
        <v>19.648</v>
      </c>
      <c r="J27" s="13" cm="1">
        <f t="array" ref="J27">_xll.BDH("PH US Equity","IS_RESTRUCTURING_EXPENSES","FQ2 2021","FQ2 2021","Currency=USD","Period=FQ","BEST_FPERIOD_OVERRIDE=FQ","FILING_STATUS=MR","SCALING_FORMAT=MLN","Sort=A","Dates=H","DateFormat=P","Fill=—","Direction=H","UseDPDF=Y")</f>
        <v>22.359000000000002</v>
      </c>
      <c r="K27" s="13" cm="1">
        <f t="array" ref="K27">_xll.BDH("PH US Equity","IS_RESTRUCTURING_EXPENSES","FQ3 2021","FQ3 2021","Currency=USD","Period=FQ","BEST_FPERIOD_OVERRIDE=FQ","FILING_STATUS=MR","SCALING_FORMAT=MLN","Sort=A","Dates=H","DateFormat=P","Fill=—","Direction=H","UseDPDF=Y")</f>
        <v>8.2569999999999997</v>
      </c>
      <c r="L27" s="13" cm="1">
        <f t="array" ref="L27">_xll.BDH("PH US Equity","IS_RESTRUCTURING_EXPENSES","FQ4 2021","FQ4 2021","Currency=USD","Period=FQ","BEST_FPERIOD_OVERRIDE=FQ","FILING_STATUS=MR","SCALING_FORMAT=MLN","Sort=A","Dates=H","DateFormat=P","Fill=—","Direction=H","UseDPDF=Y")</f>
        <v>9.5389999999999997</v>
      </c>
      <c r="M27" s="13" cm="1">
        <f t="array" ref="M27">_xll.BDH("PH US Equity","IS_RESTRUCTURING_EXPENSES","FQ1 2022","FQ1 2022","Currency=USD","Period=FQ","BEST_FPERIOD_OVERRIDE=FQ","FILING_STATUS=MR","SCALING_FORMAT=MLN","Sort=A","Dates=H","DateFormat=P","Fill=—","Direction=H","UseDPDF=Y")</f>
        <v>3.0139999999999998</v>
      </c>
      <c r="N27" s="13" cm="1">
        <f t="array" ref="N27">_xll.BDH("PH US Equity","IS_RESTRUCTURING_EXPENSES","FQ2 2022","FQ2 2022","Currency=USD","Period=FQ","BEST_FPERIOD_OVERRIDE=FQ","FILING_STATUS=MR","SCALING_FORMAT=MLN","Sort=A","Dates=H","DateFormat=P","Fill=—","Direction=H","UseDPDF=Y")</f>
        <v>3.645</v>
      </c>
      <c r="O27" s="13" cm="1">
        <f t="array" ref="O27">_xll.BDH("PH US Equity","IS_RESTRUCTURING_EXPENSES","FQ3 2022","FQ3 2022","Currency=USD","Period=FQ","BEST_FPERIOD_OVERRIDE=FQ","FILING_STATUS=MR","SCALING_FORMAT=MLN","Sort=A","Dates=H","DateFormat=P","Fill=—","Direction=H","UseDPDF=Y")</f>
        <v>3.1520000000000001</v>
      </c>
      <c r="P27" s="13" cm="1">
        <f t="array" ref="P27">_xll.BDH("PH US Equity","IS_RESTRUCTURING_EXPENSES","FQ4 2022","FQ4 2022","Currency=USD","Period=FQ","BEST_FPERIOD_OVERRIDE=FQ","FILING_STATUS=MR","SCALING_FORMAT=MLN","Sort=A","Dates=H","DateFormat=P","Fill=—","Direction=H","UseDPDF=Y")</f>
        <v>4.9459999999999997</v>
      </c>
      <c r="Q27" s="13" cm="1">
        <f t="array" ref="Q27">_xll.BDH("PH US Equity","IS_RESTRUCTURING_EXPENSES","FQ1 2023","FQ1 2023","Currency=USD","Period=FQ","BEST_FPERIOD_OVERRIDE=FQ","FILING_STATUS=MR","SCALING_FORMAT=MLN","Sort=A","Dates=H","DateFormat=P","Fill=—","Direction=H","UseDPDF=Y")</f>
        <v>3.8610000000000002</v>
      </c>
      <c r="R27" s="13" cm="1">
        <f t="array" ref="R27">_xll.BDH("PH US Equity","IS_RESTRUCTURING_EXPENSES","FQ2 2023","FQ2 2023","Currency=USD","Period=FQ","BEST_FPERIOD_OVERRIDE=FQ","FILING_STATUS=MR","SCALING_FORMAT=MLN","Sort=A","Dates=H","DateFormat=P","Fill=—","Direction=H","UseDPDF=Y")</f>
        <v>5.3780000000000001</v>
      </c>
      <c r="S27" s="13" cm="1">
        <f t="array" ref="S27">_xll.BDH("PH US Equity","IS_RESTRUCTURING_EXPENSES","FQ3 2023","FQ3 2023","Currency=USD","Period=FQ","BEST_FPERIOD_OVERRIDE=FQ","FILING_STATUS=MR","SCALING_FORMAT=MLN","Sort=A","Dates=H","DateFormat=P","Fill=—","Direction=H","UseDPDF=Y")</f>
        <v>8.2409999999999997</v>
      </c>
      <c r="T27" s="13" cm="1">
        <f t="array" ref="T27">_xll.BDH("PH US Equity","IS_RESTRUCTURING_EXPENSES","FQ4 2023","FQ4 2023","Currency=USD","Period=FQ","BEST_FPERIOD_OVERRIDE=FQ","FILING_STATUS=MR","SCALING_FORMAT=MLN","Sort=A","Dates=H","DateFormat=P","Fill=—","Direction=H","UseDPDF=Y")</f>
        <v>9.2260000000000009</v>
      </c>
      <c r="U27" s="13" cm="1">
        <f t="array" ref="U27">_xll.BDH("PH US Equity","IS_RESTRUCTURING_EXPENSES","FQ1 2024","FQ1 2024","Currency=USD","Period=FQ","BEST_FPERIOD_OVERRIDE=FQ","FILING_STATUS=MR","SCALING_FORMAT=MLN","Sort=A","Dates=H","DateFormat=P","Fill=—","Direction=H","UseDPDF=Y")</f>
        <v>13.092000000000001</v>
      </c>
      <c r="V27" s="13" cm="1">
        <f t="array" ref="V27">_xll.BDH("PH US Equity","IS_RESTRUCTURING_EXPENSES","FQ2 2024","FQ2 2024","Currency=USD","Period=FQ","BEST_FPERIOD_OVERRIDE=FQ","FILING_STATUS=MR","SCALING_FORMAT=MLN","Sort=A","Dates=H","DateFormat=P","Fill=—","Direction=H","UseDPDF=Y")</f>
        <v>14.353999999999999</v>
      </c>
      <c r="W27" s="13" cm="1">
        <f t="array" ref="W27">_xll.BDH("PH US Equity","IS_RESTRUCTURING_EXPENSES","FQ3 2024","FQ3 2024","Currency=USD","Period=FQ","BEST_FPERIOD_OVERRIDE=FQ","FILING_STATUS=MR","SCALING_FORMAT=MLN","Sort=A","Dates=H","DateFormat=P","Fill=—","Direction=H","UseDPDF=Y")</f>
        <v>8.468</v>
      </c>
      <c r="X27" s="13" cm="1">
        <f t="array" ref="X27">_xll.BDH("PH US Equity","IS_RESTRUCTURING_EXPENSES","FQ4 2024","FQ4 2024","Currency=USD","Period=FQ","BEST_FPERIOD_OVERRIDE=FQ","FILING_STATUS=MR","SCALING_FORMAT=MLN","Sort=A","Dates=H","DateFormat=P","Fill=—","Direction=H","UseDPDF=Y")</f>
        <v>17.542000000000002</v>
      </c>
      <c r="Y27" s="13" cm="1">
        <f t="array" ref="Y27">_xll.BDH("PH US Equity","IS_RESTRUCTURING_EXPENSES","FQ1 2025","FQ1 2025","Currency=USD","Period=FQ","BEST_FPERIOD_OVERRIDE=FQ","FILING_STATUS=MR","SCALING_FORMAT=MLN","Sort=A","Dates=H","DateFormat=P","Fill=—","Direction=H","UseDPDF=Y")</f>
        <v>9.5060000000000002</v>
      </c>
      <c r="Z27" s="13" cm="1">
        <f t="array" ref="Z27">_xll.BDH("PH US Equity","IS_RESTRUCTURING_EXPENSES","FQ2 2025","FQ2 2025","Currency=USD","Period=FQ","BEST_FPERIOD_OVERRIDE=FQ","FILING_STATUS=MR","SCALING_FORMAT=MLN","Sort=A","Dates=H","DateFormat=P","Fill=—","Direction=H","UseDPDF=Y")</f>
        <v>20.855</v>
      </c>
      <c r="AA27" s="13" cm="1">
        <f t="array" ref="AA27">_xll.BDH("PH US Equity","IS_RESTRUCTURING_EXPENSES","FQ3 2025","FQ3 2025","Currency=USD","Period=FQ","BEST_FPERIOD_OVERRIDE=FQ","FILING_STATUS=MR","SCALING_FORMAT=MLN","Sort=A","Dates=H","DateFormat=P","Fill=—","Direction=H","UseDPDF=Y")</f>
        <v>10.379</v>
      </c>
      <c r="AB27" s="13" cm="1">
        <f t="array" ref="AB27">_xll.BDH("PH US Equity","IS_RESTRUCTURING_EXPENSES","FQ4 2025","FQ4 2025","Currency=USD","Period=FQ","BEST_FPERIOD_OVERRIDE=FQ","FILING_STATUS=MR","SCALING_FORMAT=MLN","Sort=A","Dates=H","DateFormat=P","Fill=—","Direction=H","UseDPDF=Y")</f>
        <v>16</v>
      </c>
      <c r="AC27" s="13" cm="1">
        <f t="array" ref="AC27">_xll.BDH("PH US Equity","IS_RESTRUCTURING_EXPENSES","FQ1 2026","FQ1 2026","Currency=USD","Period=FQ","BEST_FPERIOD_OVERRIDE=FQ","FILING_STATUS=MR","SCALING_FORMAT=MLN","Sort=A","Dates=H","DateFormat=P","Fill=—","Direction=H","UseDPDF=Y")</f>
        <v>15</v>
      </c>
      <c r="AD27" s="13" cm="1">
        <f t="array" ref="AD27">_xll.BDH("PH US Equity","IS_RESTRUCTURING_EXPENSES","FQ2 2026","FQ2 2026","Currency=USD","Period=FQ","BEST_FPERIOD_OVERRIDE=FQ","FILING_STATUS=MR","SCALING_FORMAT=MLN","Sort=A","Dates=H","DateFormat=P","Fill=—","Direction=H","UseDPDF=Y")</f>
        <v>13</v>
      </c>
      <c r="AE27" s="13"/>
      <c r="AF27" s="13"/>
    </row>
    <row r="28" spans="1:32" x14ac:dyDescent="0.25">
      <c r="A28" s="10" t="s">
        <v>109</v>
      </c>
      <c r="B28" s="10" t="s">
        <v>110</v>
      </c>
      <c r="C28" s="13" cm="1">
        <f t="array" ref="C28">_xll.BDH("PH US Equity","IS_GAIN_LOSS_ON_INVESTMENTS","FQ3 2019","FQ3 2019","Currency=USD","Period=FQ","BEST_FPERIOD_OVERRIDE=FQ","FILING_STATUS=MR","SCALING_FORMAT=MLN","Sort=A","Dates=H","DateFormat=P","Fill=—","Direction=H","UseDPDF=Y")</f>
        <v>-2.1760000000000002</v>
      </c>
      <c r="D28" s="13" cm="1">
        <f t="array" ref="D28">_xll.BDH("PH US Equity","IS_GAIN_LOSS_ON_INVESTMENTS","FQ4 2019","FQ4 2019","Currency=USD","Period=FQ","BEST_FPERIOD_OVERRIDE=FQ","FILING_STATUS=MR","SCALING_FORMAT=MLN","Sort=A","Dates=H","DateFormat=P","Fill=—","Direction=H","UseDPDF=Y")</f>
        <v>-9.4979999999999993</v>
      </c>
      <c r="E28" s="13" cm="1">
        <f t="array" ref="E28">_xll.BDH("PH US Equity","IS_GAIN_LOSS_ON_INVESTMENTS","FQ1 2020","FQ1 2020","Currency=USD","Period=FQ","BEST_FPERIOD_OVERRIDE=FQ","FILING_STATUS=MR","SCALING_FORMAT=MLN","Sort=A","Dates=H","DateFormat=P","Fill=—","Direction=H","UseDPDF=Y")</f>
        <v>-0.29699999999999999</v>
      </c>
      <c r="F28" s="13" cm="1">
        <f t="array" ref="F28">_xll.BDH("PH US Equity","IS_GAIN_LOSS_ON_INVESTMENTS","FQ2 2020","FQ2 2020","Currency=USD","Period=FQ","BEST_FPERIOD_OVERRIDE=FQ","FILING_STATUS=MR","SCALING_FORMAT=MLN","Sort=A","Dates=H","DateFormat=P","Fill=—","Direction=H","UseDPDF=Y")</f>
        <v>-3.5209999999999999</v>
      </c>
      <c r="G28" s="13" cm="1">
        <f t="array" ref="G28">_xll.BDH("PH US Equity","IS_GAIN_LOSS_ON_INVESTMENTS","FQ3 2020","FQ3 2020","Currency=USD","Period=FQ","BEST_FPERIOD_OVERRIDE=FQ","FILING_STATUS=MR","SCALING_FORMAT=MLN","Sort=A","Dates=H","DateFormat=P","Fill=—","Direction=H","UseDPDF=Y")</f>
        <v>2.403</v>
      </c>
      <c r="H28" s="13" cm="1">
        <f t="array" ref="H28">_xll.BDH("PH US Equity","IS_GAIN_LOSS_ON_INVESTMENTS","FQ4 2020","FQ4 2020","Currency=USD","Period=FQ","BEST_FPERIOD_OVERRIDE=FQ","FILING_STATUS=MR","SCALING_FORMAT=MLN","Sort=A","Dates=H","DateFormat=P","Fill=—","Direction=H","UseDPDF=Y")</f>
        <v>-1.256</v>
      </c>
      <c r="I28" s="13" cm="1">
        <f t="array" ref="I28">_xll.BDH("PH US Equity","IS_GAIN_LOSS_ON_INVESTMENTS","FQ1 2021","FQ1 2021","Currency=USD","Period=FQ","BEST_FPERIOD_OVERRIDE=FQ","FILING_STATUS=MR","SCALING_FORMAT=MLN","Sort=A","Dates=H","DateFormat=P","Fill=—","Direction=H","UseDPDF=Y")</f>
        <v>-1.31</v>
      </c>
      <c r="J28" s="13" cm="1">
        <f t="array" ref="J28">_xll.BDH("PH US Equity","IS_GAIN_LOSS_ON_INVESTMENTS","FQ2 2021","FQ2 2021","Currency=USD","Period=FQ","BEST_FPERIOD_OVERRIDE=FQ","FILING_STATUS=MR","SCALING_FORMAT=MLN","Sort=A","Dates=H","DateFormat=P","Fill=—","Direction=H","UseDPDF=Y")</f>
        <v>-10.432</v>
      </c>
      <c r="K28" s="13" t="str" cm="1">
        <f t="array" ref="K28">_xll.BDH("PH US Equity","IS_GAIN_LOSS_ON_INVESTMENTS","FQ3 2021","FQ3 2021","Currency=USD","Period=FQ","BEST_FPERIOD_OVERRIDE=FQ","FILING_STATUS=MR","SCALING_FORMAT=MLN","Sort=A","Dates=H","DateFormat=P","Fill=—","Direction=H","UseDPDF=Y")</f>
        <v>—</v>
      </c>
      <c r="L28" s="13" cm="1">
        <f t="array" ref="L28">_xll.BDH("PH US Equity","IS_GAIN_LOSS_ON_INVESTMENTS","FQ4 2021","FQ4 2021","Currency=USD","Period=FQ","BEST_FPERIOD_OVERRIDE=FQ","FILING_STATUS=MR","SCALING_FORMAT=MLN","Sort=A","Dates=H","DateFormat=P","Fill=—","Direction=H","UseDPDF=Y")</f>
        <v>-9.6890000000000001</v>
      </c>
      <c r="M28" s="13" cm="1">
        <f t="array" ref="M28">_xll.BDH("PH US Equity","IS_GAIN_LOSS_ON_INVESTMENTS","FQ1 2022","FQ1 2022","Currency=USD","Period=FQ","BEST_FPERIOD_OVERRIDE=FQ","FILING_STATUS=MR","SCALING_FORMAT=MLN","Sort=A","Dates=H","DateFormat=P","Fill=—","Direction=H","UseDPDF=Y")</f>
        <v>0.60399999999999998</v>
      </c>
      <c r="N28" s="13" cm="1">
        <f t="array" ref="N28">_xll.BDH("PH US Equity","IS_GAIN_LOSS_ON_INVESTMENTS","FQ2 2022","FQ2 2022","Currency=USD","Period=FQ","BEST_FPERIOD_OVERRIDE=FQ","FILING_STATUS=MR","SCALING_FORMAT=MLN","Sort=A","Dates=H","DateFormat=P","Fill=—","Direction=H","UseDPDF=Y")</f>
        <v>-7.0389999999999997</v>
      </c>
      <c r="O28" s="13" t="str" cm="1">
        <f t="array" ref="O28">_xll.BDH("PH US Equity","IS_GAIN_LOSS_ON_INVESTMENTS","FQ3 2022","FQ3 2022","Currency=USD","Period=FQ","BEST_FPERIOD_OVERRIDE=FQ","FILING_STATUS=MR","SCALING_FORMAT=MLN","Sort=A","Dates=H","DateFormat=P","Fill=—","Direction=H","UseDPDF=Y")</f>
        <v>—</v>
      </c>
      <c r="P28" s="13" cm="1">
        <f t="array" ref="P28">_xll.BDH("PH US Equity","IS_GAIN_LOSS_ON_INVESTMENTS","FQ4 2022","FQ4 2022","Currency=USD","Period=FQ","BEST_FPERIOD_OVERRIDE=FQ","FILING_STATUS=MR","SCALING_FORMAT=MLN","Sort=A","Dates=H","DateFormat=P","Fill=—","Direction=H","UseDPDF=Y")</f>
        <v>0.90300000000000002</v>
      </c>
      <c r="Q28" s="13" cm="1">
        <f t="array" ref="Q28">_xll.BDH("PH US Equity","IS_GAIN_LOSS_ON_INVESTMENTS","FQ1 2023","FQ1 2023","Currency=USD","Period=FQ","BEST_FPERIOD_OVERRIDE=FQ","FILING_STATUS=MR","SCALING_FORMAT=MLN","Sort=A","Dates=H","DateFormat=P","Fill=—","Direction=H","UseDPDF=Y")</f>
        <v>-3.3180000000000001</v>
      </c>
      <c r="R28" s="13" cm="1">
        <f t="array" ref="R28">_xll.BDH("PH US Equity","IS_GAIN_LOSS_ON_INVESTMENTS","FQ2 2023","FQ2 2023","Currency=USD","Period=FQ","BEST_FPERIOD_OVERRIDE=FQ","FILING_STATUS=MR","SCALING_FORMAT=MLN","Sort=A","Dates=H","DateFormat=P","Fill=—","Direction=H","UseDPDF=Y")</f>
        <v>-7.601</v>
      </c>
      <c r="S28" s="13" cm="1">
        <f t="array" ref="S28">_xll.BDH("PH US Equity","IS_GAIN_LOSS_ON_INVESTMENTS","FQ3 2023","FQ3 2023","Currency=USD","Period=FQ","BEST_FPERIOD_OVERRIDE=FQ","FILING_STATUS=MR","SCALING_FORMAT=MLN","Sort=A","Dates=H","DateFormat=P","Fill=—","Direction=H","UseDPDF=Y")</f>
        <v>-1.4490000000000001</v>
      </c>
      <c r="T28" s="13" cm="1">
        <f t="array" ref="T28">_xll.BDH("PH US Equity","IS_GAIN_LOSS_ON_INVESTMENTS","FQ4 2023","FQ4 2023","Currency=USD","Period=FQ","BEST_FPERIOD_OVERRIDE=FQ","FILING_STATUS=MR","SCALING_FORMAT=MLN","Sort=A","Dates=H","DateFormat=P","Fill=—","Direction=H","UseDPDF=Y")</f>
        <v>-0.44400000000000001</v>
      </c>
      <c r="U28" s="13" t="str" cm="1">
        <f t="array" ref="U28">_xll.BDH("PH US Equity","IS_GAIN_LOSS_ON_INVESTMENTS","FQ1 2024","FQ1 2024","Currency=USD","Period=FQ","BEST_FPERIOD_OVERRIDE=FQ","FILING_STATUS=MR","SCALING_FORMAT=MLN","Sort=A","Dates=H","DateFormat=P","Fill=—","Direction=H","UseDPDF=Y")</f>
        <v>—</v>
      </c>
      <c r="V28" s="13" cm="1">
        <f t="array" ref="V28">_xll.BDH("PH US Equity","IS_GAIN_LOSS_ON_INVESTMENTS","FQ2 2024","FQ2 2024","Currency=USD","Period=FQ","BEST_FPERIOD_OVERRIDE=FQ","FILING_STATUS=MR","SCALING_FORMAT=MLN","Sort=A","Dates=H","DateFormat=P","Fill=—","Direction=H","UseDPDF=Y")</f>
        <v>-7.8E-2</v>
      </c>
      <c r="W28" s="13" cm="1">
        <f t="array" ref="W28">_xll.BDH("PH US Equity","IS_GAIN_LOSS_ON_INVESTMENTS","FQ3 2024","FQ3 2024","Currency=USD","Period=FQ","BEST_FPERIOD_OVERRIDE=FQ","FILING_STATUS=MR","SCALING_FORMAT=MLN","Sort=A","Dates=H","DateFormat=P","Fill=—","Direction=H","UseDPDF=Y")</f>
        <v>-1.1299999999999999</v>
      </c>
      <c r="X28" s="13" cm="1">
        <f t="array" ref="X28">_xll.BDH("PH US Equity","IS_GAIN_LOSS_ON_INVESTMENTS","FQ4 2024","FQ4 2024","Currency=USD","Period=FQ","BEST_FPERIOD_OVERRIDE=FQ","FILING_STATUS=MR","SCALING_FORMAT=MLN","Sort=A","Dates=H","DateFormat=P","Fill=—","Direction=H","UseDPDF=Y")</f>
        <v>-3.153</v>
      </c>
      <c r="Y28" s="13" t="str" cm="1">
        <f t="array" ref="Y28">_xll.BDH("PH US Equity","IS_GAIN_LOSS_ON_INVESTMENTS","FQ1 2025","FQ1 2025","Currency=USD","Period=FQ","BEST_FPERIOD_OVERRIDE=FQ","FILING_STATUS=MR","SCALING_FORMAT=MLN","Sort=A","Dates=H","DateFormat=P","Fill=—","Direction=H","UseDPDF=Y")</f>
        <v>—</v>
      </c>
      <c r="Z28" s="13" t="str" cm="1">
        <f t="array" ref="Z28">_xll.BDH("PH US Equity","IS_GAIN_LOSS_ON_INVESTMENTS","FQ2 2025","FQ2 2025","Currency=USD","Period=FQ","BEST_FPERIOD_OVERRIDE=FQ","FILING_STATUS=MR","SCALING_FORMAT=MLN","Sort=A","Dates=H","DateFormat=P","Fill=—","Direction=H","UseDPDF=Y")</f>
        <v>—</v>
      </c>
      <c r="AA28" s="13" t="str" cm="1">
        <f t="array" ref="AA28">_xll.BDH("PH US Equity","IS_GAIN_LOSS_ON_INVESTMENTS","FQ3 2025","FQ3 2025","Currency=USD","Period=FQ","BEST_FPERIOD_OVERRIDE=FQ","FILING_STATUS=MR","SCALING_FORMAT=MLN","Sort=A","Dates=H","DateFormat=P","Fill=—","Direction=H","UseDPDF=Y")</f>
        <v>—</v>
      </c>
      <c r="AB28" s="13" t="str" cm="1">
        <f t="array" ref="AB28">_xll.BDH("PH US Equity","IS_GAIN_LOSS_ON_INVESTMENTS","FQ4 2025","FQ4 2025","Currency=USD","Period=FQ","BEST_FPERIOD_OVERRIDE=FQ","FILING_STATUS=MR","SCALING_FORMAT=MLN","Sort=A","Dates=H","DateFormat=P","Fill=—","Direction=H","UseDPDF=Y")</f>
        <v>—</v>
      </c>
      <c r="AC28" s="13" t="str" cm="1">
        <f t="array" ref="AC28">_xll.BDH("PH US Equity","IS_GAIN_LOSS_ON_INVESTMENTS","FQ1 2026","FQ1 2026","Currency=USD","Period=FQ","BEST_FPERIOD_OVERRIDE=FQ","FILING_STATUS=MR","SCALING_FORMAT=MLN","Sort=A","Dates=H","DateFormat=P","Fill=—","Direction=H","UseDPDF=Y")</f>
        <v>—</v>
      </c>
      <c r="AD28" s="13" t="str" cm="1">
        <f t="array" ref="AD28">_xll.BDH("PH US Equity","IS_GAIN_LOSS_ON_INVESTMENTS","FQ2 2026","FQ2 2026","Currency=USD","Period=FQ","BEST_FPERIOD_OVERRIDE=FQ","FILING_STATUS=MR","SCALING_FORMAT=MLN","Sort=A","Dates=H","DateFormat=P","Fill=—","Direction=H","UseDPDF=Y")</f>
        <v>—</v>
      </c>
      <c r="AE28" s="13"/>
      <c r="AF28" s="13"/>
    </row>
    <row r="29" spans="1:32" x14ac:dyDescent="0.25">
      <c r="A29" s="10" t="s">
        <v>111</v>
      </c>
      <c r="B29" s="10" t="s">
        <v>112</v>
      </c>
      <c r="C29" s="13" t="str" cm="1">
        <f t="array" ref="C29">_xll.BDH("PH US Equity","IS_UNREALIZED_INVESTMENTS","FQ3 2019","FQ3 2019","Currency=USD","Period=FQ","BEST_FPERIOD_OVERRIDE=FQ","FILING_STATUS=MR","SCALING_FORMAT=MLN","Sort=A","Dates=H","DateFormat=P","Fill=—","Direction=H","UseDPDF=Y")</f>
        <v>—</v>
      </c>
      <c r="D29" s="13" t="str" cm="1">
        <f t="array" ref="D29">_xll.BDH("PH US Equity","IS_UNREALIZED_INVESTMENTS","FQ4 2019","FQ4 2019","Currency=USD","Period=FQ","BEST_FPERIOD_OVERRIDE=FQ","FILING_STATUS=MR","SCALING_FORMAT=MLN","Sort=A","Dates=H","DateFormat=P","Fill=—","Direction=H","UseDPDF=Y")</f>
        <v>—</v>
      </c>
      <c r="E29" s="13" t="str" cm="1">
        <f t="array" ref="E29">_xll.BDH("PH US Equity","IS_UNREALIZED_INVESTMENTS","FQ1 2020","FQ1 2020","Currency=USD","Period=FQ","BEST_FPERIOD_OVERRIDE=FQ","FILING_STATUS=MR","SCALING_FORMAT=MLN","Sort=A","Dates=H","DateFormat=P","Fill=—","Direction=H","UseDPDF=Y")</f>
        <v>—</v>
      </c>
      <c r="F29" s="13" t="str" cm="1">
        <f t="array" ref="F29">_xll.BDH("PH US Equity","IS_UNREALIZED_INVESTMENTS","FQ2 2020","FQ2 2020","Currency=USD","Period=FQ","BEST_FPERIOD_OVERRIDE=FQ","FILING_STATUS=MR","SCALING_FORMAT=MLN","Sort=A","Dates=H","DateFormat=P","Fill=—","Direction=H","UseDPDF=Y")</f>
        <v>—</v>
      </c>
      <c r="G29" s="13" t="str" cm="1">
        <f t="array" ref="G29">_xll.BDH("PH US Equity","IS_UNREALIZED_INVESTMENTS","FQ3 2020","FQ3 2020","Currency=USD","Period=FQ","BEST_FPERIOD_OVERRIDE=FQ","FILING_STATUS=MR","SCALING_FORMAT=MLN","Sort=A","Dates=H","DateFormat=P","Fill=—","Direction=H","UseDPDF=Y")</f>
        <v>—</v>
      </c>
      <c r="H29" s="13" t="str" cm="1">
        <f t="array" ref="H29">_xll.BDH("PH US Equity","IS_UNREALIZED_INVESTMENTS","FQ4 2020","FQ4 2020","Currency=USD","Period=FQ","BEST_FPERIOD_OVERRIDE=FQ","FILING_STATUS=MR","SCALING_FORMAT=MLN","Sort=A","Dates=H","DateFormat=P","Fill=—","Direction=H","UseDPDF=Y")</f>
        <v>—</v>
      </c>
      <c r="I29" s="13" t="str" cm="1">
        <f t="array" ref="I29">_xll.BDH("PH US Equity","IS_UNREALIZED_INVESTMENTS","FQ1 2021","FQ1 2021","Currency=USD","Period=FQ","BEST_FPERIOD_OVERRIDE=FQ","FILING_STATUS=MR","SCALING_FORMAT=MLN","Sort=A","Dates=H","DateFormat=P","Fill=—","Direction=H","UseDPDF=Y")</f>
        <v>—</v>
      </c>
      <c r="J29" s="13" t="str" cm="1">
        <f t="array" ref="J29">_xll.BDH("PH US Equity","IS_UNREALIZED_INVESTMENTS","FQ2 2021","FQ2 2021","Currency=USD","Period=FQ","BEST_FPERIOD_OVERRIDE=FQ","FILING_STATUS=MR","SCALING_FORMAT=MLN","Sort=A","Dates=H","DateFormat=P","Fill=—","Direction=H","UseDPDF=Y")</f>
        <v>—</v>
      </c>
      <c r="K29" s="13" t="str" cm="1">
        <f t="array" ref="K29">_xll.BDH("PH US Equity","IS_UNREALIZED_INVESTMENTS","FQ3 2021","FQ3 2021","Currency=USD","Period=FQ","BEST_FPERIOD_OVERRIDE=FQ","FILING_STATUS=MR","SCALING_FORMAT=MLN","Sort=A","Dates=H","DateFormat=P","Fill=—","Direction=H","UseDPDF=Y")</f>
        <v>—</v>
      </c>
      <c r="L29" s="13" t="str" cm="1">
        <f t="array" ref="L29">_xll.BDH("PH US Equity","IS_UNREALIZED_INVESTMENTS","FQ4 2021","FQ4 2021","Currency=USD","Period=FQ","BEST_FPERIOD_OVERRIDE=FQ","FILING_STATUS=MR","SCALING_FORMAT=MLN","Sort=A","Dates=H","DateFormat=P","Fill=—","Direction=H","UseDPDF=Y")</f>
        <v>—</v>
      </c>
      <c r="M29" s="13" t="str" cm="1">
        <f t="array" ref="M29">_xll.BDH("PH US Equity","IS_UNREALIZED_INVESTMENTS","FQ1 2022","FQ1 2022","Currency=USD","Period=FQ","BEST_FPERIOD_OVERRIDE=FQ","FILING_STATUS=MR","SCALING_FORMAT=MLN","Sort=A","Dates=H","DateFormat=P","Fill=—","Direction=H","UseDPDF=Y")</f>
        <v>—</v>
      </c>
      <c r="N29" s="13" t="str" cm="1">
        <f t="array" ref="N29">_xll.BDH("PH US Equity","IS_UNREALIZED_INVESTMENTS","FQ2 2022","FQ2 2022","Currency=USD","Period=FQ","BEST_FPERIOD_OVERRIDE=FQ","FILING_STATUS=MR","SCALING_FORMAT=MLN","Sort=A","Dates=H","DateFormat=P","Fill=—","Direction=H","UseDPDF=Y")</f>
        <v>—</v>
      </c>
      <c r="O29" s="13" t="str" cm="1">
        <f t="array" ref="O29">_xll.BDH("PH US Equity","IS_UNREALIZED_INVESTMENTS","FQ3 2022","FQ3 2022","Currency=USD","Period=FQ","BEST_FPERIOD_OVERRIDE=FQ","FILING_STATUS=MR","SCALING_FORMAT=MLN","Sort=A","Dates=H","DateFormat=P","Fill=—","Direction=H","UseDPDF=Y")</f>
        <v>—</v>
      </c>
      <c r="P29" s="13" t="str" cm="1">
        <f t="array" ref="P29">_xll.BDH("PH US Equity","IS_UNREALIZED_INVESTMENTS","FQ4 2022","FQ4 2022","Currency=USD","Period=FQ","BEST_FPERIOD_OVERRIDE=FQ","FILING_STATUS=MR","SCALING_FORMAT=MLN","Sort=A","Dates=H","DateFormat=P","Fill=—","Direction=H","UseDPDF=Y")</f>
        <v>—</v>
      </c>
      <c r="Q29" s="13" t="str" cm="1">
        <f t="array" ref="Q29">_xll.BDH("PH US Equity","IS_UNREALIZED_INVESTMENTS","FQ1 2023","FQ1 2023","Currency=USD","Period=FQ","BEST_FPERIOD_OVERRIDE=FQ","FILING_STATUS=MR","SCALING_FORMAT=MLN","Sort=A","Dates=H","DateFormat=P","Fill=—","Direction=H","UseDPDF=Y")</f>
        <v>—</v>
      </c>
      <c r="R29" s="13" t="str" cm="1">
        <f t="array" ref="R29">_xll.BDH("PH US Equity","IS_UNREALIZED_INVESTMENTS","FQ2 2023","FQ2 2023","Currency=USD","Period=FQ","BEST_FPERIOD_OVERRIDE=FQ","FILING_STATUS=MR","SCALING_FORMAT=MLN","Sort=A","Dates=H","DateFormat=P","Fill=—","Direction=H","UseDPDF=Y")</f>
        <v>—</v>
      </c>
      <c r="S29" s="13" t="str" cm="1">
        <f t="array" ref="S29">_xll.BDH("PH US Equity","IS_UNREALIZED_INVESTMENTS","FQ3 2023","FQ3 2023","Currency=USD","Period=FQ","BEST_FPERIOD_OVERRIDE=FQ","FILING_STATUS=MR","SCALING_FORMAT=MLN","Sort=A","Dates=H","DateFormat=P","Fill=—","Direction=H","UseDPDF=Y")</f>
        <v>—</v>
      </c>
      <c r="T29" s="13" t="str" cm="1">
        <f t="array" ref="T29">_xll.BDH("PH US Equity","IS_UNREALIZED_INVESTMENTS","FQ4 2023","FQ4 2023","Currency=USD","Period=FQ","BEST_FPERIOD_OVERRIDE=FQ","FILING_STATUS=MR","SCALING_FORMAT=MLN","Sort=A","Dates=H","DateFormat=P","Fill=—","Direction=H","UseDPDF=Y")</f>
        <v>—</v>
      </c>
      <c r="U29" s="13" t="str" cm="1">
        <f t="array" ref="U29">_xll.BDH("PH US Equity","IS_UNREALIZED_INVESTMENTS","FQ1 2024","FQ1 2024","Currency=USD","Period=FQ","BEST_FPERIOD_OVERRIDE=FQ","FILING_STATUS=MR","SCALING_FORMAT=MLN","Sort=A","Dates=H","DateFormat=P","Fill=—","Direction=H","UseDPDF=Y")</f>
        <v>—</v>
      </c>
      <c r="V29" s="13" t="str" cm="1">
        <f t="array" ref="V29">_xll.BDH("PH US Equity","IS_UNREALIZED_INVESTMENTS","FQ2 2024","FQ2 2024","Currency=USD","Period=FQ","BEST_FPERIOD_OVERRIDE=FQ","FILING_STATUS=MR","SCALING_FORMAT=MLN","Sort=A","Dates=H","DateFormat=P","Fill=—","Direction=H","UseDPDF=Y")</f>
        <v>—</v>
      </c>
      <c r="W29" s="13" t="str" cm="1">
        <f t="array" ref="W29">_xll.BDH("PH US Equity","IS_UNREALIZED_INVESTMENTS","FQ3 2024","FQ3 2024","Currency=USD","Period=FQ","BEST_FPERIOD_OVERRIDE=FQ","FILING_STATUS=MR","SCALING_FORMAT=MLN","Sort=A","Dates=H","DateFormat=P","Fill=—","Direction=H","UseDPDF=Y")</f>
        <v>—</v>
      </c>
      <c r="X29" s="13" t="str" cm="1">
        <f t="array" ref="X29">_xll.BDH("PH US Equity","IS_UNREALIZED_INVESTMENTS","FQ4 2024","FQ4 2024","Currency=USD","Period=FQ","BEST_FPERIOD_OVERRIDE=FQ","FILING_STATUS=MR","SCALING_FORMAT=MLN","Sort=A","Dates=H","DateFormat=P","Fill=—","Direction=H","UseDPDF=Y")</f>
        <v>—</v>
      </c>
      <c r="Y29" s="13" t="str" cm="1">
        <f t="array" ref="Y29">_xll.BDH("PH US Equity","IS_UNREALIZED_INVESTMENTS","FQ1 2025","FQ1 2025","Currency=USD","Period=FQ","BEST_FPERIOD_OVERRIDE=FQ","FILING_STATUS=MR","SCALING_FORMAT=MLN","Sort=A","Dates=H","DateFormat=P","Fill=—","Direction=H","UseDPDF=Y")</f>
        <v>—</v>
      </c>
      <c r="Z29" s="13" t="str" cm="1">
        <f t="array" ref="Z29">_xll.BDH("PH US Equity","IS_UNREALIZED_INVESTMENTS","FQ2 2025","FQ2 2025","Currency=USD","Period=FQ","BEST_FPERIOD_OVERRIDE=FQ","FILING_STATUS=MR","SCALING_FORMAT=MLN","Sort=A","Dates=H","DateFormat=P","Fill=—","Direction=H","UseDPDF=Y")</f>
        <v>—</v>
      </c>
      <c r="AA29" s="13" t="str" cm="1">
        <f t="array" ref="AA29">_xll.BDH("PH US Equity","IS_UNREALIZED_INVESTMENTS","FQ3 2025","FQ3 2025","Currency=USD","Period=FQ","BEST_FPERIOD_OVERRIDE=FQ","FILING_STATUS=MR","SCALING_FORMAT=MLN","Sort=A","Dates=H","DateFormat=P","Fill=—","Direction=H","UseDPDF=Y")</f>
        <v>—</v>
      </c>
      <c r="AB29" s="13" t="str" cm="1">
        <f t="array" ref="AB29">_xll.BDH("PH US Equity","IS_UNREALIZED_INVESTMENTS","FQ4 2025","FQ4 2025","Currency=USD","Period=FQ","BEST_FPERIOD_OVERRIDE=FQ","FILING_STATUS=MR","SCALING_FORMAT=MLN","Sort=A","Dates=H","DateFormat=P","Fill=—","Direction=H","UseDPDF=Y")</f>
        <v>—</v>
      </c>
      <c r="AC29" s="13" t="str" cm="1">
        <f t="array" ref="AC29">_xll.BDH("PH US Equity","IS_UNREALIZED_INVESTMENTS","FQ1 2026","FQ1 2026","Currency=USD","Period=FQ","BEST_FPERIOD_OVERRIDE=FQ","FILING_STATUS=MR","SCALING_FORMAT=MLN","Sort=A","Dates=H","DateFormat=P","Fill=—","Direction=H","UseDPDF=Y")</f>
        <v>—</v>
      </c>
      <c r="AD29" s="13" t="str" cm="1">
        <f t="array" ref="AD29">_xll.BDH("PH US Equity","IS_UNREALIZED_INVESTMENTS","FQ2 2026","FQ2 2026","Currency=USD","Period=FQ","BEST_FPERIOD_OVERRIDE=FQ","FILING_STATUS=MR","SCALING_FORMAT=MLN","Sort=A","Dates=H","DateFormat=P","Fill=—","Direction=H","UseDPDF=Y")</f>
        <v>—</v>
      </c>
      <c r="AE29" s="13"/>
      <c r="AF29" s="13"/>
    </row>
    <row r="30" spans="1:32" x14ac:dyDescent="0.25">
      <c r="A30" s="10" t="s">
        <v>113</v>
      </c>
      <c r="B30" s="10" t="s">
        <v>114</v>
      </c>
      <c r="C30" s="13" cm="1">
        <f t="array" ref="C30">_xll.BDH("PH US Equity","IS_OTHER_ONE_TIME_ITEMS","FQ3 2019","FQ3 2019","Currency=USD","Period=FQ","BEST_FPERIOD_OVERRIDE=FQ","FILING_STATUS=MR","SCALING_FORMAT=MLN","Sort=A","Dates=H","DateFormat=P","Fill=—","Direction=H","UseDPDF=Y")</f>
        <v>0.23300000000000001</v>
      </c>
      <c r="D30" s="13" cm="1">
        <f t="array" ref="D30">_xll.BDH("PH US Equity","IS_OTHER_ONE_TIME_ITEMS","FQ4 2019","FQ4 2019","Currency=USD","Period=FQ","BEST_FPERIOD_OVERRIDE=FQ","FILING_STATUS=MR","SCALING_FORMAT=MLN","Sort=A","Dates=H","DateFormat=P","Fill=—","Direction=H","UseDPDF=Y")</f>
        <v>0.92800000000000005</v>
      </c>
      <c r="E30" s="13" t="str" cm="1">
        <f t="array" ref="E30">_xll.BDH("PH US Equity","IS_OTHER_ONE_TIME_ITEMS","FQ1 2020","FQ1 2020","Currency=USD","Period=FQ","BEST_FPERIOD_OVERRIDE=FQ","FILING_STATUS=MR","SCALING_FORMAT=MLN","Sort=A","Dates=H","DateFormat=P","Fill=—","Direction=H","UseDPDF=Y")</f>
        <v>—</v>
      </c>
      <c r="F30" s="13" t="str" cm="1">
        <f t="array" ref="F30">_xll.BDH("PH US Equity","IS_OTHER_ONE_TIME_ITEMS","FQ2 2020","FQ2 2020","Currency=USD","Period=FQ","BEST_FPERIOD_OVERRIDE=FQ","FILING_STATUS=MR","SCALING_FORMAT=MLN","Sort=A","Dates=H","DateFormat=P","Fill=—","Direction=H","UseDPDF=Y")</f>
        <v>—</v>
      </c>
      <c r="G30" s="13" t="str" cm="1">
        <f t="array" ref="G30">_xll.BDH("PH US Equity","IS_OTHER_ONE_TIME_ITEMS","FQ3 2020","FQ3 2020","Currency=USD","Period=FQ","BEST_FPERIOD_OVERRIDE=FQ","FILING_STATUS=MR","SCALING_FORMAT=MLN","Sort=A","Dates=H","DateFormat=P","Fill=—","Direction=H","UseDPDF=Y")</f>
        <v>—</v>
      </c>
      <c r="H30" s="13" t="str" cm="1">
        <f t="array" ref="H30">_xll.BDH("PH US Equity","IS_OTHER_ONE_TIME_ITEMS","FQ4 2020","FQ4 2020","Currency=USD","Period=FQ","BEST_FPERIOD_OVERRIDE=FQ","FILING_STATUS=MR","SCALING_FORMAT=MLN","Sort=A","Dates=H","DateFormat=P","Fill=—","Direction=H","UseDPDF=Y")</f>
        <v>—</v>
      </c>
      <c r="I30" s="13" t="str" cm="1">
        <f t="array" ref="I30">_xll.BDH("PH US Equity","IS_OTHER_ONE_TIME_ITEMS","FQ1 2021","FQ1 2021","Currency=USD","Period=FQ","BEST_FPERIOD_OVERRIDE=FQ","FILING_STATUS=MR","SCALING_FORMAT=MLN","Sort=A","Dates=H","DateFormat=P","Fill=—","Direction=H","UseDPDF=Y")</f>
        <v>—</v>
      </c>
      <c r="J30" s="13" t="str" cm="1">
        <f t="array" ref="J30">_xll.BDH("PH US Equity","IS_OTHER_ONE_TIME_ITEMS","FQ2 2021","FQ2 2021","Currency=USD","Period=FQ","BEST_FPERIOD_OVERRIDE=FQ","FILING_STATUS=MR","SCALING_FORMAT=MLN","Sort=A","Dates=H","DateFormat=P","Fill=—","Direction=H","UseDPDF=Y")</f>
        <v>—</v>
      </c>
      <c r="K30" s="13" t="str" cm="1">
        <f t="array" ref="K30">_xll.BDH("PH US Equity","IS_OTHER_ONE_TIME_ITEMS","FQ3 2021","FQ3 2021","Currency=USD","Period=FQ","BEST_FPERIOD_OVERRIDE=FQ","FILING_STATUS=MR","SCALING_FORMAT=MLN","Sort=A","Dates=H","DateFormat=P","Fill=—","Direction=H","UseDPDF=Y")</f>
        <v>—</v>
      </c>
      <c r="L30" s="13" t="str" cm="1">
        <f t="array" ref="L30">_xll.BDH("PH US Equity","IS_OTHER_ONE_TIME_ITEMS","FQ4 2021","FQ4 2021","Currency=USD","Period=FQ","BEST_FPERIOD_OVERRIDE=FQ","FILING_STATUS=MR","SCALING_FORMAT=MLN","Sort=A","Dates=H","DateFormat=P","Fill=—","Direction=H","UseDPDF=Y")</f>
        <v>—</v>
      </c>
      <c r="M30" s="13" t="str" cm="1">
        <f t="array" ref="M30">_xll.BDH("PH US Equity","IS_OTHER_ONE_TIME_ITEMS","FQ1 2022","FQ1 2022","Currency=USD","Period=FQ","BEST_FPERIOD_OVERRIDE=FQ","FILING_STATUS=MR","SCALING_FORMAT=MLN","Sort=A","Dates=H","DateFormat=P","Fill=—","Direction=H","UseDPDF=Y")</f>
        <v>—</v>
      </c>
      <c r="N30" s="13" t="str" cm="1">
        <f t="array" ref="N30">_xll.BDH("PH US Equity","IS_OTHER_ONE_TIME_ITEMS","FQ2 2022","FQ2 2022","Currency=USD","Period=FQ","BEST_FPERIOD_OVERRIDE=FQ","FILING_STATUS=MR","SCALING_FORMAT=MLN","Sort=A","Dates=H","DateFormat=P","Fill=—","Direction=H","UseDPDF=Y")</f>
        <v>—</v>
      </c>
      <c r="O30" s="13" cm="1">
        <f t="array" ref="O30">_xll.BDH("PH US Equity","IS_OTHER_ONE_TIME_ITEMS","FQ3 2022","FQ3 2022","Currency=USD","Period=FQ","BEST_FPERIOD_OVERRIDE=FQ","FILING_STATUS=MR","SCALING_FORMAT=MLN","Sort=A","Dates=H","DateFormat=P","Fill=—","Direction=H","UseDPDF=Y")</f>
        <v>20.056999999999999</v>
      </c>
      <c r="P30" s="13" t="str" cm="1">
        <f t="array" ref="P30">_xll.BDH("PH US Equity","IS_OTHER_ONE_TIME_ITEMS","FQ4 2022","FQ4 2022","Currency=USD","Period=FQ","BEST_FPERIOD_OVERRIDE=FQ","FILING_STATUS=MR","SCALING_FORMAT=MLN","Sort=A","Dates=H","DateFormat=P","Fill=—","Direction=H","UseDPDF=Y")</f>
        <v>—</v>
      </c>
      <c r="Q30" s="13" t="str" cm="1">
        <f t="array" ref="Q30">_xll.BDH("PH US Equity","IS_OTHER_ONE_TIME_ITEMS","FQ1 2023","FQ1 2023","Currency=USD","Period=FQ","BEST_FPERIOD_OVERRIDE=FQ","FILING_STATUS=MR","SCALING_FORMAT=MLN","Sort=A","Dates=H","DateFormat=P","Fill=—","Direction=H","UseDPDF=Y")</f>
        <v>—</v>
      </c>
      <c r="R30" s="13" t="str" cm="1">
        <f t="array" ref="R30">_xll.BDH("PH US Equity","IS_OTHER_ONE_TIME_ITEMS","FQ2 2023","FQ2 2023","Currency=USD","Period=FQ","BEST_FPERIOD_OVERRIDE=FQ","FILING_STATUS=MR","SCALING_FORMAT=MLN","Sort=A","Dates=H","DateFormat=P","Fill=—","Direction=H","UseDPDF=Y")</f>
        <v>—</v>
      </c>
      <c r="S30" s="13" t="str" cm="1">
        <f t="array" ref="S30">_xll.BDH("PH US Equity","IS_OTHER_ONE_TIME_ITEMS","FQ3 2023","FQ3 2023","Currency=USD","Period=FQ","BEST_FPERIOD_OVERRIDE=FQ","FILING_STATUS=MR","SCALING_FORMAT=MLN","Sort=A","Dates=H","DateFormat=P","Fill=—","Direction=H","UseDPDF=Y")</f>
        <v>—</v>
      </c>
      <c r="T30" s="13" t="str" cm="1">
        <f t="array" ref="T30">_xll.BDH("PH US Equity","IS_OTHER_ONE_TIME_ITEMS","FQ4 2023","FQ4 2023","Currency=USD","Period=FQ","BEST_FPERIOD_OVERRIDE=FQ","FILING_STATUS=MR","SCALING_FORMAT=MLN","Sort=A","Dates=H","DateFormat=P","Fill=—","Direction=H","UseDPDF=Y")</f>
        <v>—</v>
      </c>
      <c r="U30" s="13" t="str" cm="1">
        <f t="array" ref="U30">_xll.BDH("PH US Equity","IS_OTHER_ONE_TIME_ITEMS","FQ1 2024","FQ1 2024","Currency=USD","Period=FQ","BEST_FPERIOD_OVERRIDE=FQ","FILING_STATUS=MR","SCALING_FORMAT=MLN","Sort=A","Dates=H","DateFormat=P","Fill=—","Direction=H","UseDPDF=Y")</f>
        <v>—</v>
      </c>
      <c r="V30" s="13" t="str" cm="1">
        <f t="array" ref="V30">_xll.BDH("PH US Equity","IS_OTHER_ONE_TIME_ITEMS","FQ2 2024","FQ2 2024","Currency=USD","Period=FQ","BEST_FPERIOD_OVERRIDE=FQ","FILING_STATUS=MR","SCALING_FORMAT=MLN","Sort=A","Dates=H","DateFormat=P","Fill=—","Direction=H","UseDPDF=Y")</f>
        <v>—</v>
      </c>
      <c r="W30" s="13" t="str" cm="1">
        <f t="array" ref="W30">_xll.BDH("PH US Equity","IS_OTHER_ONE_TIME_ITEMS","FQ3 2024","FQ3 2024","Currency=USD","Period=FQ","BEST_FPERIOD_OVERRIDE=FQ","FILING_STATUS=MR","SCALING_FORMAT=MLN","Sort=A","Dates=H","DateFormat=P","Fill=—","Direction=H","UseDPDF=Y")</f>
        <v>—</v>
      </c>
      <c r="X30" s="13" t="str" cm="1">
        <f t="array" ref="X30">_xll.BDH("PH US Equity","IS_OTHER_ONE_TIME_ITEMS","FQ4 2024","FQ4 2024","Currency=USD","Period=FQ","BEST_FPERIOD_OVERRIDE=FQ","FILING_STATUS=MR","SCALING_FORMAT=MLN","Sort=A","Dates=H","DateFormat=P","Fill=—","Direction=H","UseDPDF=Y")</f>
        <v>—</v>
      </c>
      <c r="Y30" s="13" t="str" cm="1">
        <f t="array" ref="Y30">_xll.BDH("PH US Equity","IS_OTHER_ONE_TIME_ITEMS","FQ1 2025","FQ1 2025","Currency=USD","Period=FQ","BEST_FPERIOD_OVERRIDE=FQ","FILING_STATUS=MR","SCALING_FORMAT=MLN","Sort=A","Dates=H","DateFormat=P","Fill=—","Direction=H","UseDPDF=Y")</f>
        <v>—</v>
      </c>
      <c r="Z30" s="13" t="str" cm="1">
        <f t="array" ref="Z30">_xll.BDH("PH US Equity","IS_OTHER_ONE_TIME_ITEMS","FQ2 2025","FQ2 2025","Currency=USD","Period=FQ","BEST_FPERIOD_OVERRIDE=FQ","FILING_STATUS=MR","SCALING_FORMAT=MLN","Sort=A","Dates=H","DateFormat=P","Fill=—","Direction=H","UseDPDF=Y")</f>
        <v>—</v>
      </c>
      <c r="AA30" s="13" cm="1">
        <f t="array" ref="AA30">_xll.BDH("PH US Equity","IS_OTHER_ONE_TIME_ITEMS","FQ3 2025","FQ3 2025","Currency=USD","Period=FQ","BEST_FPERIOD_OVERRIDE=FQ","FILING_STATUS=MR","SCALING_FORMAT=MLN","Sort=A","Dates=H","DateFormat=P","Fill=—","Direction=H","UseDPDF=Y")</f>
        <v>7.7249999999999996</v>
      </c>
      <c r="AB30" s="13" t="str" cm="1">
        <f t="array" ref="AB30">_xll.BDH("PH US Equity","IS_OTHER_ONE_TIME_ITEMS","FQ4 2025","FQ4 2025","Currency=USD","Period=FQ","BEST_FPERIOD_OVERRIDE=FQ","FILING_STATUS=MR","SCALING_FORMAT=MLN","Sort=A","Dates=H","DateFormat=P","Fill=—","Direction=H","UseDPDF=Y")</f>
        <v>—</v>
      </c>
      <c r="AC30" s="13" t="str" cm="1">
        <f t="array" ref="AC30">_xll.BDH("PH US Equity","IS_OTHER_ONE_TIME_ITEMS","FQ1 2026","FQ1 2026","Currency=USD","Period=FQ","BEST_FPERIOD_OVERRIDE=FQ","FILING_STATUS=MR","SCALING_FORMAT=MLN","Sort=A","Dates=H","DateFormat=P","Fill=—","Direction=H","UseDPDF=Y")</f>
        <v>—</v>
      </c>
      <c r="AD30" s="13" t="str" cm="1">
        <f t="array" ref="AD30">_xll.BDH("PH US Equity","IS_OTHER_ONE_TIME_ITEMS","FQ2 2026","FQ2 2026","Currency=USD","Period=FQ","BEST_FPERIOD_OVERRIDE=FQ","FILING_STATUS=MR","SCALING_FORMAT=MLN","Sort=A","Dates=H","DateFormat=P","Fill=—","Direction=H","UseDPDF=Y")</f>
        <v>—</v>
      </c>
      <c r="AE30" s="13"/>
      <c r="AF30" s="13"/>
    </row>
    <row r="31" spans="1:32" x14ac:dyDescent="0.25">
      <c r="A31" s="6" t="s">
        <v>115</v>
      </c>
      <c r="B31" s="6" t="s">
        <v>92</v>
      </c>
      <c r="C31" s="16" cm="1">
        <f t="array" ref="C31">_xll.BDH("PH US Equity","PRETAX_INC","FQ3 2019","FQ3 2019","Currency=USD","Period=FQ","BEST_FPERIOD_OVERRIDE=FQ","FILING_STATUS=MR","SCALING_FORMAT=MLN","FA_ADJUSTED=GAAP","Sort=A","Dates=H","DateFormat=P","Fill=—","Direction=H","UseDPDF=Y")</f>
        <v>529.20000000000005</v>
      </c>
      <c r="D31" s="16" cm="1">
        <f t="array" ref="D31">_xll.BDH("PH US Equity","PRETAX_INC","FQ4 2019","FQ4 2019","Currency=USD","Period=FQ","BEST_FPERIOD_OVERRIDE=FQ","FILING_STATUS=MR","SCALING_FORMAT=MLN","FA_ADJUSTED=GAAP","Sort=A","Dates=H","DateFormat=P","Fill=—","Direction=H","UseDPDF=Y")</f>
        <v>513.34799999999996</v>
      </c>
      <c r="E31" s="16" cm="1">
        <f t="array" ref="E31">_xll.BDH("PH US Equity","PRETAX_INC","FQ1 2020","FQ1 2020","Currency=USD","Period=FQ","BEST_FPERIOD_OVERRIDE=FQ","FILING_STATUS=MR","SCALING_FORMAT=MLN","FA_ADJUSTED=GAAP","Sort=A","Dates=H","DateFormat=P","Fill=—","Direction=H","UseDPDF=Y")</f>
        <v>433.15600000000001</v>
      </c>
      <c r="F31" s="16" cm="1">
        <f t="array" ref="F31">_xll.BDH("PH US Equity","PRETAX_INC","FQ2 2020","FQ2 2020","Currency=USD","Period=FQ","BEST_FPERIOD_OVERRIDE=FQ","FILING_STATUS=MR","SCALING_FORMAT=MLN","FA_ADJUSTED=GAAP","Sort=A","Dates=H","DateFormat=P","Fill=—","Direction=H","UseDPDF=Y")</f>
        <v>254.74600000000001</v>
      </c>
      <c r="G31" s="16" cm="1">
        <f t="array" ref="G31">_xll.BDH("PH US Equity","PRETAX_INC","FQ3 2020","FQ3 2020","Currency=USD","Period=FQ","BEST_FPERIOD_OVERRIDE=FQ","FILING_STATUS=MR","SCALING_FORMAT=MLN","FA_ADJUSTED=GAAP","Sort=A","Dates=H","DateFormat=P","Fill=—","Direction=H","UseDPDF=Y")</f>
        <v>454.15699999999998</v>
      </c>
      <c r="H31" s="16" cm="1">
        <f t="array" ref="H31">_xll.BDH("PH US Equity","PRETAX_INC","FQ4 2020","FQ4 2020","Currency=USD","Period=FQ","BEST_FPERIOD_OVERRIDE=FQ","FILING_STATUS=MR","SCALING_FORMAT=MLN","FA_ADJUSTED=GAAP","Sort=A","Dates=H","DateFormat=P","Fill=—","Direction=H","UseDPDF=Y")</f>
        <v>362.35599999999999</v>
      </c>
      <c r="I31" s="16" cm="1">
        <f t="array" ref="I31">_xll.BDH("PH US Equity","PRETAX_INC","FQ1 2021","FQ1 2021","Currency=USD","Period=FQ","BEST_FPERIOD_OVERRIDE=FQ","FILING_STATUS=MR","SCALING_FORMAT=MLN","FA_ADJUSTED=GAAP","Sort=A","Dates=H","DateFormat=P","Fill=—","Direction=H","UseDPDF=Y")</f>
        <v>413.17399999999998</v>
      </c>
      <c r="J31" s="16" cm="1">
        <f t="array" ref="J31">_xll.BDH("PH US Equity","PRETAX_INC","FQ2 2021","FQ2 2021","Currency=USD","Period=FQ","BEST_FPERIOD_OVERRIDE=FQ","FILING_STATUS=MR","SCALING_FORMAT=MLN","FA_ADJUSTED=GAAP","Sort=A","Dates=H","DateFormat=P","Fill=—","Direction=H","UseDPDF=Y")</f>
        <v>577.89200000000005</v>
      </c>
      <c r="K31" s="16" cm="1">
        <f t="array" ref="K31">_xll.BDH("PH US Equity","PRETAX_INC","FQ3 2021","FQ3 2021","Currency=USD","Period=FQ","BEST_FPERIOD_OVERRIDE=FQ","FILING_STATUS=MR","SCALING_FORMAT=MLN","FA_ADJUSTED=GAAP","Sort=A","Dates=H","DateFormat=P","Fill=—","Direction=H","UseDPDF=Y")</f>
        <v>599.34</v>
      </c>
      <c r="L31" s="16" cm="1">
        <f t="array" ref="L31">_xll.BDH("PH US Equity","PRETAX_INC","FQ4 2021","FQ4 2021","Currency=USD","Period=FQ","BEST_FPERIOD_OVERRIDE=FQ","FILING_STATUS=MR","SCALING_FORMAT=MLN","FA_ADJUSTED=GAAP","Sort=A","Dates=H","DateFormat=P","Fill=—","Direction=H","UseDPDF=Y")</f>
        <v>656.55100000000004</v>
      </c>
      <c r="M31" s="16" cm="1">
        <f t="array" ref="M31">_xll.BDH("PH US Equity","PRETAX_INC","FQ1 2022","FQ1 2022","Currency=USD","Period=FQ","BEST_FPERIOD_OVERRIDE=FQ","FILING_STATUS=MR","SCALING_FORMAT=MLN","FA_ADJUSTED=GAAP","Sort=A","Dates=H","DateFormat=P","Fill=—","Direction=H","UseDPDF=Y")</f>
        <v>571.745</v>
      </c>
      <c r="N31" s="16" cm="1">
        <f t="array" ref="N31">_xll.BDH("PH US Equity","PRETAX_INC","FQ2 2022","FQ2 2022","Currency=USD","Period=FQ","BEST_FPERIOD_OVERRIDE=FQ","FILING_STATUS=MR","SCALING_FORMAT=MLN","FA_ADJUSTED=GAAP","Sort=A","Dates=H","DateFormat=P","Fill=—","Direction=H","UseDPDF=Y")</f>
        <v>490.32400000000001</v>
      </c>
      <c r="O31" s="16" cm="1">
        <f t="array" ref="O31">_xll.BDH("PH US Equity","PRETAX_INC","FQ3 2022","FQ3 2022","Currency=USD","Period=FQ","BEST_FPERIOD_OVERRIDE=FQ","FILING_STATUS=MR","SCALING_FORMAT=MLN","FA_ADJUSTED=GAAP","Sort=A","Dates=H","DateFormat=P","Fill=—","Direction=H","UseDPDF=Y")</f>
        <v>433.98899999999998</v>
      </c>
      <c r="P31" s="16" cm="1">
        <f t="array" ref="P31">_xll.BDH("PH US Equity","PRETAX_INC","FQ4 2022","FQ4 2022","Currency=USD","Period=FQ","BEST_FPERIOD_OVERRIDE=FQ","FILING_STATUS=MR","SCALING_FORMAT=MLN","FA_ADJUSTED=GAAP","Sort=A","Dates=H","DateFormat=P","Fill=—","Direction=H","UseDPDF=Y")</f>
        <v>118.16800000000001</v>
      </c>
      <c r="Q31" s="16" cm="1">
        <f t="array" ref="Q31">_xll.BDH("PH US Equity","PRETAX_INC","FQ1 2023","FQ1 2023","Currency=USD","Period=FQ","BEST_FPERIOD_OVERRIDE=FQ","FILING_STATUS=MR","SCALING_FORMAT=MLN","FA_ADJUSTED=GAAP","Sort=A","Dates=H","DateFormat=P","Fill=—","Direction=H","UseDPDF=Y")</f>
        <v>503.34500000000003</v>
      </c>
      <c r="R31" s="16" cm="1">
        <f t="array" ref="R31">_xll.BDH("PH US Equity","PRETAX_INC","FQ2 2023","FQ2 2023","Currency=USD","Period=FQ","BEST_FPERIOD_OVERRIDE=FQ","FILING_STATUS=MR","SCALING_FORMAT=MLN","FA_ADJUSTED=GAAP","Sort=A","Dates=H","DateFormat=P","Fill=—","Direction=H","UseDPDF=Y")</f>
        <v>516.74300000000005</v>
      </c>
      <c r="S31" s="16" cm="1">
        <f t="array" ref="S31">_xll.BDH("PH US Equity","PRETAX_INC","FQ3 2023","FQ3 2023","Currency=USD","Period=FQ","BEST_FPERIOD_OVERRIDE=FQ","FILING_STATUS=MR","SCALING_FORMAT=MLN","FA_ADJUSTED=GAAP","Sort=A","Dates=H","DateFormat=P","Fill=—","Direction=H","UseDPDF=Y")</f>
        <v>756.38099999999997</v>
      </c>
      <c r="T31" s="16" cm="1">
        <f t="array" ref="T31">_xll.BDH("PH US Equity","PRETAX_INC","FQ4 2023","FQ4 2023","Currency=USD","Period=FQ","BEST_FPERIOD_OVERRIDE=FQ","FILING_STATUS=MR","SCALING_FORMAT=MLN","FA_ADJUSTED=GAAP","Sort=A","Dates=H","DateFormat=P","Fill=—","Direction=H","UseDPDF=Y")</f>
        <v>903.19500000000005</v>
      </c>
      <c r="U31" s="16" cm="1">
        <f t="array" ref="U31">_xll.BDH("PH US Equity","PRETAX_INC","FQ1 2024","FQ1 2024","Currency=USD","Period=FQ","BEST_FPERIOD_OVERRIDE=FQ","FILING_STATUS=MR","SCALING_FORMAT=MLN","FA_ADJUSTED=GAAP","Sort=A","Dates=H","DateFormat=P","Fill=—","Direction=H","UseDPDF=Y")</f>
        <v>820.43499999999995</v>
      </c>
      <c r="V31" s="16" cm="1">
        <f t="array" ref="V31">_xll.BDH("PH US Equity","PRETAX_INC","FQ2 2024","FQ2 2024","Currency=USD","Period=FQ","BEST_FPERIOD_OVERRIDE=FQ","FILING_STATUS=MR","SCALING_FORMAT=MLN","FA_ADJUSTED=GAAP","Sort=A","Dates=H","DateFormat=P","Fill=—","Direction=H","UseDPDF=Y")</f>
        <v>868.16499999999996</v>
      </c>
      <c r="W31" s="16" cm="1">
        <f t="array" ref="W31">_xll.BDH("PH US Equity","PRETAX_INC","FQ3 2024","FQ3 2024","Currency=USD","Period=FQ","BEST_FPERIOD_OVERRIDE=FQ","FILING_STATUS=MR","SCALING_FORMAT=MLN","FA_ADJUSTED=GAAP","Sort=A","Dates=H","DateFormat=P","Fill=—","Direction=H","UseDPDF=Y")</f>
        <v>920.04300000000001</v>
      </c>
      <c r="X31" s="16" cm="1">
        <f t="array" ref="X31">_xll.BDH("PH US Equity","PRETAX_INC","FQ4 2024","FQ4 2024","Currency=USD","Period=FQ","BEST_FPERIOD_OVERRIDE=FQ","FILING_STATUS=MR","SCALING_FORMAT=MLN","FA_ADJUSTED=GAAP","Sort=A","Dates=H","DateFormat=P","Fill=—","Direction=H","UseDPDF=Y")</f>
        <v>985.96</v>
      </c>
      <c r="Y31" s="16" cm="1">
        <f t="array" ref="Y31">_xll.BDH("PH US Equity","PRETAX_INC","FQ1 2025","FQ1 2025","Currency=USD","Period=FQ","BEST_FPERIOD_OVERRIDE=FQ","FILING_STATUS=MR","SCALING_FORMAT=MLN","FA_ADJUSTED=GAAP","Sort=A","Dates=H","DateFormat=P","Fill=—","Direction=H","UseDPDF=Y")</f>
        <v>875.18600000000004</v>
      </c>
      <c r="Z31" s="16" cm="1">
        <f t="array" ref="Z31">_xll.BDH("PH US Equity","PRETAX_INC","FQ2 2025","FQ2 2025","Currency=USD","Period=FQ","BEST_FPERIOD_OVERRIDE=FQ","FILING_STATUS=MR","SCALING_FORMAT=MLN","FA_ADJUSTED=GAAP","Sort=A","Dates=H","DateFormat=P","Fill=—","Direction=H","UseDPDF=Y")</f>
        <v>1165.857</v>
      </c>
      <c r="AA31" s="16" cm="1">
        <f t="array" ref="AA31">_xll.BDH("PH US Equity","PRETAX_INC","FQ3 2025","FQ3 2025","Currency=USD","Period=FQ","BEST_FPERIOD_OVERRIDE=FQ","FILING_STATUS=MR","SCALING_FORMAT=MLN","FA_ADJUSTED=GAAP","Sort=A","Dates=H","DateFormat=P","Fill=—","Direction=H","UseDPDF=Y")</f>
        <v>994.81399999999996</v>
      </c>
      <c r="AB31" s="16" cm="1">
        <f t="array" ref="AB31">_xll.BDH("PH US Equity","PRETAX_INC","FQ4 2025","FQ4 2025","Currency=USD","Period=FQ","BEST_FPERIOD_OVERRIDE=FQ","FILING_STATUS=MR","SCALING_FORMAT=MLN","FA_ADJUSTED=GAAP","Sort=A","Dates=H","DateFormat=P","Fill=—","Direction=H","UseDPDF=Y")</f>
        <v>1071</v>
      </c>
      <c r="AC31" s="16" cm="1">
        <f t="array" ref="AC31">_xll.BDH("PH US Equity","PRETAX_INC","FQ1 2026","FQ1 2026","Currency=USD","Period=FQ","BEST_FPERIOD_OVERRIDE=FQ","FILING_STATUS=MR","SCALING_FORMAT=MLN","FA_ADJUSTED=GAAP","Sort=A","Dates=H","DateFormat=P","Fill=—","Direction=H","UseDPDF=Y")</f>
        <v>1040</v>
      </c>
      <c r="AD31" s="16" cm="1">
        <f t="array" ref="AD31">_xll.BDH("PH US Equity","PRETAX_INC","FQ2 2026","FQ2 2026","Currency=USD","Period=FQ","BEST_FPERIOD_OVERRIDE=FQ","FILING_STATUS=MR","SCALING_FORMAT=MLN","FA_ADJUSTED=GAAP","Sort=A","Dates=H","DateFormat=P","Fill=—","Direction=H","UseDPDF=Y")</f>
        <v>1064</v>
      </c>
      <c r="AE31" s="16">
        <v>1263</v>
      </c>
      <c r="AF31" s="16">
        <v>1333.5</v>
      </c>
    </row>
    <row r="32" spans="1:32" x14ac:dyDescent="0.25">
      <c r="A32" s="10" t="s">
        <v>116</v>
      </c>
      <c r="B32" s="10" t="s">
        <v>117</v>
      </c>
      <c r="C32" s="13" cm="1">
        <f t="array" ref="C32">_xll.BDH("PH US Equity","IS_INC_TAX_EXP","FQ3 2019","FQ3 2019","Currency=USD","Period=FQ","BEST_FPERIOD_OVERRIDE=FQ","FILING_STATUS=MR","SCALING_FORMAT=MLN","FA_ADJUSTED=GAAP","Sort=A","Dates=H","DateFormat=P","Fill=—","Direction=H","UseDPDF=Y")</f>
        <v>117.819</v>
      </c>
      <c r="D32" s="13" cm="1">
        <f t="array" ref="D32">_xll.BDH("PH US Equity","IS_INC_TAX_EXP","FQ4 2019","FQ4 2019","Currency=USD","Period=FQ","BEST_FPERIOD_OVERRIDE=FQ","FILING_STATUS=MR","SCALING_FORMAT=MLN","FA_ADJUSTED=GAAP","Sort=A","Dates=H","DateFormat=P","Fill=—","Direction=H","UseDPDF=Y")</f>
        <v>99.61</v>
      </c>
      <c r="E32" s="13" cm="1">
        <f t="array" ref="E32">_xll.BDH("PH US Equity","IS_INC_TAX_EXP","FQ1 2020","FQ1 2020","Currency=USD","Period=FQ","BEST_FPERIOD_OVERRIDE=FQ","FILING_STATUS=MR","SCALING_FORMAT=MLN","FA_ADJUSTED=GAAP","Sort=A","Dates=H","DateFormat=P","Fill=—","Direction=H","UseDPDF=Y")</f>
        <v>94.114999999999995</v>
      </c>
      <c r="F32" s="13" cm="1">
        <f t="array" ref="F32">_xll.BDH("PH US Equity","IS_INC_TAX_EXP","FQ2 2020","FQ2 2020","Currency=USD","Period=FQ","BEST_FPERIOD_OVERRIDE=FQ","FILING_STATUS=MR","SCALING_FORMAT=MLN","FA_ADJUSTED=GAAP","Sort=A","Dates=H","DateFormat=P","Fill=—","Direction=H","UseDPDF=Y")</f>
        <v>50.148000000000003</v>
      </c>
      <c r="G32" s="13" cm="1">
        <f t="array" ref="G32">_xll.BDH("PH US Equity","IS_INC_TAX_EXP","FQ3 2020","FQ3 2020","Currency=USD","Period=FQ","BEST_FPERIOD_OVERRIDE=FQ","FILING_STATUS=MR","SCALING_FORMAT=MLN","FA_ADJUSTED=GAAP","Sort=A","Dates=H","DateFormat=P","Fill=—","Direction=H","UseDPDF=Y")</f>
        <v>86.787999999999997</v>
      </c>
      <c r="H32" s="13" cm="1">
        <f t="array" ref="H32">_xll.BDH("PH US Equity","IS_INC_TAX_EXP","FQ4 2020","FQ4 2020","Currency=USD","Period=FQ","BEST_FPERIOD_OVERRIDE=FQ","FILING_STATUS=MR","SCALING_FORMAT=MLN","FA_ADJUSTED=GAAP","Sort=A","Dates=H","DateFormat=P","Fill=—","Direction=H","UseDPDF=Y")</f>
        <v>72.879000000000005</v>
      </c>
      <c r="I32" s="13" cm="1">
        <f t="array" ref="I32">_xll.BDH("PH US Equity","IS_INC_TAX_EXP","FQ1 2021","FQ1 2021","Currency=USD","Period=FQ","BEST_FPERIOD_OVERRIDE=FQ","FILING_STATUS=MR","SCALING_FORMAT=MLN","FA_ADJUSTED=GAAP","Sort=A","Dates=H","DateFormat=P","Fill=—","Direction=H","UseDPDF=Y")</f>
        <v>93.063000000000002</v>
      </c>
      <c r="J32" s="13" cm="1">
        <f t="array" ref="J32">_xll.BDH("PH US Equity","IS_INC_TAX_EXP","FQ2 2021","FQ2 2021","Currency=USD","Period=FQ","BEST_FPERIOD_OVERRIDE=FQ","FILING_STATUS=MR","SCALING_FORMAT=MLN","FA_ADJUSTED=GAAP","Sort=A","Dates=H","DateFormat=P","Fill=—","Direction=H","UseDPDF=Y")</f>
        <v>129.35</v>
      </c>
      <c r="K32" s="13" cm="1">
        <f t="array" ref="K32">_xll.BDH("PH US Equity","IS_INC_TAX_EXP","FQ3 2021","FQ3 2021","Currency=USD","Period=FQ","BEST_FPERIOD_OVERRIDE=FQ","FILING_STATUS=MR","SCALING_FORMAT=MLN","FA_ADJUSTED=GAAP","Sort=A","Dates=H","DateFormat=P","Fill=—","Direction=H","UseDPDF=Y")</f>
        <v>126.101</v>
      </c>
      <c r="L32" s="13" cm="1">
        <f t="array" ref="L32">_xll.BDH("PH US Equity","IS_INC_TAX_EXP","FQ4 2021","FQ4 2021","Currency=USD","Period=FQ","BEST_FPERIOD_OVERRIDE=FQ","FILING_STATUS=MR","SCALING_FORMAT=MLN","FA_ADJUSTED=GAAP","Sort=A","Dates=H","DateFormat=P","Fill=—","Direction=H","UseDPDF=Y")</f>
        <v>151.58199999999999</v>
      </c>
      <c r="M32" s="13" cm="1">
        <f t="array" ref="M32">_xll.BDH("PH US Equity","IS_INC_TAX_EXP","FQ1 2022","FQ1 2022","Currency=USD","Period=FQ","BEST_FPERIOD_OVERRIDE=FQ","FILING_STATUS=MR","SCALING_FORMAT=MLN","FA_ADJUSTED=GAAP","Sort=A","Dates=H","DateFormat=P","Fill=—","Direction=H","UseDPDF=Y")</f>
        <v>120.282</v>
      </c>
      <c r="N32" s="13" cm="1">
        <f t="array" ref="N32">_xll.BDH("PH US Equity","IS_INC_TAX_EXP","FQ2 2022","FQ2 2022","Currency=USD","Period=FQ","BEST_FPERIOD_OVERRIDE=FQ","FILING_STATUS=MR","SCALING_FORMAT=MLN","FA_ADJUSTED=GAAP","Sort=A","Dates=H","DateFormat=P","Fill=—","Direction=H","UseDPDF=Y")</f>
        <v>102.595</v>
      </c>
      <c r="O32" s="13" cm="1">
        <f t="array" ref="O32">_xll.BDH("PH US Equity","IS_INC_TAX_EXP","FQ3 2022","FQ3 2022","Currency=USD","Period=FQ","BEST_FPERIOD_OVERRIDE=FQ","FILING_STATUS=MR","SCALING_FORMAT=MLN","FA_ADJUSTED=GAAP","Sort=A","Dates=H","DateFormat=P","Fill=—","Direction=H","UseDPDF=Y")</f>
        <v>85.900999999999996</v>
      </c>
      <c r="P32" s="13" cm="1">
        <f t="array" ref="P32">_xll.BDH("PH US Equity","IS_INC_TAX_EXP","FQ4 2022","FQ4 2022","Currency=USD","Period=FQ","BEST_FPERIOD_OVERRIDE=FQ","FILING_STATUS=MR","SCALING_FORMAT=MLN","FA_ADJUSTED=GAAP","Sort=A","Dates=H","DateFormat=P","Fill=—","Direction=H","UseDPDF=Y")</f>
        <v>-10.738</v>
      </c>
      <c r="Q32" s="13" cm="1">
        <f t="array" ref="Q32">_xll.BDH("PH US Equity","IS_INC_TAX_EXP","FQ1 2023","FQ1 2023","Currency=USD","Period=FQ","BEST_FPERIOD_OVERRIDE=FQ","FILING_STATUS=MR","SCALING_FORMAT=MLN","FA_ADJUSTED=GAAP","Sort=A","Dates=H","DateFormat=P","Fill=—","Direction=H","UseDPDF=Y")</f>
        <v>115.30800000000001</v>
      </c>
      <c r="R32" s="13" cm="1">
        <f t="array" ref="R32">_xll.BDH("PH US Equity","IS_INC_TAX_EXP","FQ2 2023","FQ2 2023","Currency=USD","Period=FQ","BEST_FPERIOD_OVERRIDE=FQ","FILING_STATUS=MR","SCALING_FORMAT=MLN","FA_ADJUSTED=GAAP","Sort=A","Dates=H","DateFormat=P","Fill=—","Direction=H","UseDPDF=Y")</f>
        <v>121.282</v>
      </c>
      <c r="S32" s="13" cm="1">
        <f t="array" ref="S32">_xll.BDH("PH US Equity","IS_INC_TAX_EXP","FQ3 2023","FQ3 2023","Currency=USD","Period=FQ","BEST_FPERIOD_OVERRIDE=FQ","FILING_STATUS=MR","SCALING_FORMAT=MLN","FA_ADJUSTED=GAAP","Sort=A","Dates=H","DateFormat=P","Fill=—","Direction=H","UseDPDF=Y")</f>
        <v>165.42099999999999</v>
      </c>
      <c r="T32" s="13" cm="1">
        <f t="array" ref="T32">_xll.BDH("PH US Equity","IS_INC_TAX_EXP","FQ4 2023","FQ4 2023","Currency=USD","Period=FQ","BEST_FPERIOD_OVERRIDE=FQ","FILING_STATUS=MR","SCALING_FORMAT=MLN","FA_ADJUSTED=GAAP","Sort=A","Dates=H","DateFormat=P","Fill=—","Direction=H","UseDPDF=Y")</f>
        <v>194.11699999999999</v>
      </c>
      <c r="U32" s="13" cm="1">
        <f t="array" ref="U32">_xll.BDH("PH US Equity","IS_INC_TAX_EXP","FQ1 2024","FQ1 2024","Currency=USD","Period=FQ","BEST_FPERIOD_OVERRIDE=FQ","FILING_STATUS=MR","SCALING_FORMAT=MLN","FA_ADJUSTED=GAAP","Sort=A","Dates=H","DateFormat=P","Fill=—","Direction=H","UseDPDF=Y")</f>
        <v>169.363</v>
      </c>
      <c r="V32" s="13" cm="1">
        <f t="array" ref="V32">_xll.BDH("PH US Equity","IS_INC_TAX_EXP","FQ2 2024","FQ2 2024","Currency=USD","Period=FQ","BEST_FPERIOD_OVERRIDE=FQ","FILING_STATUS=MR","SCALING_FORMAT=MLN","FA_ADJUSTED=GAAP","Sort=A","Dates=H","DateFormat=P","Fill=—","Direction=H","UseDPDF=Y")</f>
        <v>186.108</v>
      </c>
      <c r="W32" s="13" cm="1">
        <f t="array" ref="W32">_xll.BDH("PH US Equity","IS_INC_TAX_EXP","FQ3 2024","FQ3 2024","Currency=USD","Period=FQ","BEST_FPERIOD_OVERRIDE=FQ","FILING_STATUS=MR","SCALING_FORMAT=MLN","FA_ADJUSTED=GAAP","Sort=A","Dates=H","DateFormat=P","Fill=—","Direction=H","UseDPDF=Y")</f>
        <v>193.309</v>
      </c>
      <c r="X32" s="13" cm="1">
        <f t="array" ref="X32">_xll.BDH("PH US Equity","IS_INC_TAX_EXP","FQ4 2024","FQ4 2024","Currency=USD","Period=FQ","BEST_FPERIOD_OVERRIDE=FQ","FILING_STATUS=MR","SCALING_FORMAT=MLN","FA_ADJUSTED=GAAP","Sort=A","Dates=H","DateFormat=P","Fill=—","Direction=H","UseDPDF=Y")</f>
        <v>200.887</v>
      </c>
      <c r="Y32" s="13" cm="1">
        <f t="array" ref="Y32">_xll.BDH("PH US Equity","IS_INC_TAX_EXP","FQ1 2025","FQ1 2025","Currency=USD","Period=FQ","BEST_FPERIOD_OVERRIDE=FQ","FILING_STATUS=MR","SCALING_FORMAT=MLN","FA_ADJUSTED=GAAP","Sort=A","Dates=H","DateFormat=P","Fill=—","Direction=H","UseDPDF=Y")</f>
        <v>176.65799999999999</v>
      </c>
      <c r="Z32" s="13" cm="1">
        <f t="array" ref="Z32">_xll.BDH("PH US Equity","IS_INC_TAX_EXP","FQ2 2025","FQ2 2025","Currency=USD","Period=FQ","BEST_FPERIOD_OVERRIDE=FQ","FILING_STATUS=MR","SCALING_FORMAT=MLN","FA_ADJUSTED=GAAP","Sort=A","Dates=H","DateFormat=P","Fill=—","Direction=H","UseDPDF=Y")</f>
        <v>217.208</v>
      </c>
      <c r="AA32" s="13" cm="1">
        <f t="array" ref="AA32">_xll.BDH("PH US Equity","IS_INC_TAX_EXP","FQ3 2025","FQ3 2025","Currency=USD","Period=FQ","BEST_FPERIOD_OVERRIDE=FQ","FILING_STATUS=MR","SCALING_FORMAT=MLN","FA_ADJUSTED=GAAP","Sort=A","Dates=H","DateFormat=P","Fill=—","Direction=H","UseDPDF=Y")</f>
        <v>33.628</v>
      </c>
      <c r="AB32" s="13" cm="1">
        <f t="array" ref="AB32">_xll.BDH("PH US Equity","IS_INC_TAX_EXP","FQ4 2025","FQ4 2025","Currency=USD","Period=FQ","BEST_FPERIOD_OVERRIDE=FQ","FILING_STATUS=MR","SCALING_FORMAT=MLN","FA_ADJUSTED=GAAP","Sort=A","Dates=H","DateFormat=P","Fill=—","Direction=H","UseDPDF=Y")</f>
        <v>148</v>
      </c>
      <c r="AC32" s="13" cm="1">
        <f t="array" ref="AC32">_xll.BDH("PH US Equity","IS_INC_TAX_EXP","FQ1 2026","FQ1 2026","Currency=USD","Period=FQ","BEST_FPERIOD_OVERRIDE=FQ","FILING_STATUS=MR","SCALING_FORMAT=MLN","FA_ADJUSTED=GAAP","Sort=A","Dates=H","DateFormat=P","Fill=—","Direction=H","UseDPDF=Y")</f>
        <v>232</v>
      </c>
      <c r="AD32" s="13" cm="1">
        <f t="array" ref="AD32">_xll.BDH("PH US Equity","IS_INC_TAX_EXP","FQ2 2026","FQ2 2026","Currency=USD","Period=FQ","BEST_FPERIOD_OVERRIDE=FQ","FILING_STATUS=MR","SCALING_FORMAT=MLN","FA_ADJUSTED=GAAP","Sort=A","Dates=H","DateFormat=P","Fill=—","Direction=H","UseDPDF=Y")</f>
        <v>219</v>
      </c>
      <c r="AE32" s="13"/>
      <c r="AF32" s="13"/>
    </row>
    <row r="33" spans="1:32" x14ac:dyDescent="0.25">
      <c r="A33" s="6" t="s">
        <v>118</v>
      </c>
      <c r="B33" s="6" t="s">
        <v>119</v>
      </c>
      <c r="C33" s="16" cm="1">
        <f t="array" ref="C33">_xll.BDH("PH US Equity","IS_INC_BEF_XO_ITEM","FQ3 2019","FQ3 2019","Currency=USD","Period=FQ","BEST_FPERIOD_OVERRIDE=FQ","FILING_STATUS=MR","SCALING_FORMAT=MLN","Sort=A","Dates=H","DateFormat=P","Fill=—","Direction=H","UseDPDF=Y")</f>
        <v>411.38099999999997</v>
      </c>
      <c r="D33" s="16" cm="1">
        <f t="array" ref="D33">_xll.BDH("PH US Equity","IS_INC_BEF_XO_ITEM","FQ4 2019","FQ4 2019","Currency=USD","Period=FQ","BEST_FPERIOD_OVERRIDE=FQ","FILING_STATUS=MR","SCALING_FORMAT=MLN","Sort=A","Dates=H","DateFormat=P","Fill=—","Direction=H","UseDPDF=Y")</f>
        <v>413.738</v>
      </c>
      <c r="E33" s="16" cm="1">
        <f t="array" ref="E33">_xll.BDH("PH US Equity","IS_INC_BEF_XO_ITEM","FQ1 2020","FQ1 2020","Currency=USD","Period=FQ","BEST_FPERIOD_OVERRIDE=FQ","FILING_STATUS=MR","SCALING_FORMAT=MLN","Sort=A","Dates=H","DateFormat=P","Fill=—","Direction=H","UseDPDF=Y")</f>
        <v>339.041</v>
      </c>
      <c r="F33" s="16" cm="1">
        <f t="array" ref="F33">_xll.BDH("PH US Equity","IS_INC_BEF_XO_ITEM","FQ2 2020","FQ2 2020","Currency=USD","Period=FQ","BEST_FPERIOD_OVERRIDE=FQ","FILING_STATUS=MR","SCALING_FORMAT=MLN","Sort=A","Dates=H","DateFormat=P","Fill=—","Direction=H","UseDPDF=Y")</f>
        <v>204.59800000000001</v>
      </c>
      <c r="G33" s="16" cm="1">
        <f t="array" ref="G33">_xll.BDH("PH US Equity","IS_INC_BEF_XO_ITEM","FQ3 2020","FQ3 2020","Currency=USD","Period=FQ","BEST_FPERIOD_OVERRIDE=FQ","FILING_STATUS=MR","SCALING_FORMAT=MLN","Sort=A","Dates=H","DateFormat=P","Fill=—","Direction=H","UseDPDF=Y")</f>
        <v>367.36900000000003</v>
      </c>
      <c r="H33" s="16" cm="1">
        <f t="array" ref="H33">_xll.BDH("PH US Equity","IS_INC_BEF_XO_ITEM","FQ4 2020","FQ4 2020","Currency=USD","Period=FQ","BEST_FPERIOD_OVERRIDE=FQ","FILING_STATUS=MR","SCALING_FORMAT=MLN","Sort=A","Dates=H","DateFormat=P","Fill=—","Direction=H","UseDPDF=Y")</f>
        <v>289.47699999999998</v>
      </c>
      <c r="I33" s="16" cm="1">
        <f t="array" ref="I33">_xll.BDH("PH US Equity","IS_INC_BEF_XO_ITEM","FQ1 2021","FQ1 2021","Currency=USD","Period=FQ","BEST_FPERIOD_OVERRIDE=FQ","FILING_STATUS=MR","SCALING_FORMAT=MLN","Sort=A","Dates=H","DateFormat=P","Fill=—","Direction=H","UseDPDF=Y")</f>
        <v>320.11099999999999</v>
      </c>
      <c r="J33" s="16" cm="1">
        <f t="array" ref="J33">_xll.BDH("PH US Equity","IS_INC_BEF_XO_ITEM","FQ2 2021","FQ2 2021","Currency=USD","Period=FQ","BEST_FPERIOD_OVERRIDE=FQ","FILING_STATUS=MR","SCALING_FORMAT=MLN","Sort=A","Dates=H","DateFormat=P","Fill=—","Direction=H","UseDPDF=Y")</f>
        <v>448.54199999999997</v>
      </c>
      <c r="K33" s="16" cm="1">
        <f t="array" ref="K33">_xll.BDH("PH US Equity","IS_INC_BEF_XO_ITEM","FQ3 2021","FQ3 2021","Currency=USD","Period=FQ","BEST_FPERIOD_OVERRIDE=FQ","FILING_STATUS=MR","SCALING_FORMAT=MLN","Sort=A","Dates=H","DateFormat=P","Fill=—","Direction=H","UseDPDF=Y")</f>
        <v>473.23899999999998</v>
      </c>
      <c r="L33" s="16" cm="1">
        <f t="array" ref="L33">_xll.BDH("PH US Equity","IS_INC_BEF_XO_ITEM","FQ4 2021","FQ4 2021","Currency=USD","Period=FQ","BEST_FPERIOD_OVERRIDE=FQ","FILING_STATUS=MR","SCALING_FORMAT=MLN","Sort=A","Dates=H","DateFormat=P","Fill=—","Direction=H","UseDPDF=Y")</f>
        <v>504.96899999999999</v>
      </c>
      <c r="M33" s="16" cm="1">
        <f t="array" ref="M33">_xll.BDH("PH US Equity","IS_INC_BEF_XO_ITEM","FQ1 2022","FQ1 2022","Currency=USD","Period=FQ","BEST_FPERIOD_OVERRIDE=FQ","FILING_STATUS=MR","SCALING_FORMAT=MLN","Sort=A","Dates=H","DateFormat=P","Fill=—","Direction=H","UseDPDF=Y")</f>
        <v>451.46300000000002</v>
      </c>
      <c r="N33" s="16" cm="1">
        <f t="array" ref="N33">_xll.BDH("PH US Equity","IS_INC_BEF_XO_ITEM","FQ2 2022","FQ2 2022","Currency=USD","Period=FQ","BEST_FPERIOD_OVERRIDE=FQ","FILING_STATUS=MR","SCALING_FORMAT=MLN","Sort=A","Dates=H","DateFormat=P","Fill=—","Direction=H","UseDPDF=Y")</f>
        <v>387.72899999999998</v>
      </c>
      <c r="O33" s="16" cm="1">
        <f t="array" ref="O33">_xll.BDH("PH US Equity","IS_INC_BEF_XO_ITEM","FQ3 2022","FQ3 2022","Currency=USD","Period=FQ","BEST_FPERIOD_OVERRIDE=FQ","FILING_STATUS=MR","SCALING_FORMAT=MLN","Sort=A","Dates=H","DateFormat=P","Fill=—","Direction=H","UseDPDF=Y")</f>
        <v>348.08800000000002</v>
      </c>
      <c r="P33" s="16" cm="1">
        <f t="array" ref="P33">_xll.BDH("PH US Equity","IS_INC_BEF_XO_ITEM","FQ4 2022","FQ4 2022","Currency=USD","Period=FQ","BEST_FPERIOD_OVERRIDE=FQ","FILING_STATUS=MR","SCALING_FORMAT=MLN","Sort=A","Dates=H","DateFormat=P","Fill=—","Direction=H","UseDPDF=Y")</f>
        <v>128.90600000000001</v>
      </c>
      <c r="Q33" s="16" cm="1">
        <f t="array" ref="Q33">_xll.BDH("PH US Equity","IS_INC_BEF_XO_ITEM","FQ1 2023","FQ1 2023","Currency=USD","Period=FQ","BEST_FPERIOD_OVERRIDE=FQ","FILING_STATUS=MR","SCALING_FORMAT=MLN","Sort=A","Dates=H","DateFormat=P","Fill=—","Direction=H","UseDPDF=Y")</f>
        <v>388.03699999999998</v>
      </c>
      <c r="R33" s="16" cm="1">
        <f t="array" ref="R33">_xll.BDH("PH US Equity","IS_INC_BEF_XO_ITEM","FQ2 2023","FQ2 2023","Currency=USD","Period=FQ","BEST_FPERIOD_OVERRIDE=FQ","FILING_STATUS=MR","SCALING_FORMAT=MLN","Sort=A","Dates=H","DateFormat=P","Fill=—","Direction=H","UseDPDF=Y")</f>
        <v>395.46100000000001</v>
      </c>
      <c r="S33" s="16" cm="1">
        <f t="array" ref="S33">_xll.BDH("PH US Equity","IS_INC_BEF_XO_ITEM","FQ3 2023","FQ3 2023","Currency=USD","Period=FQ","BEST_FPERIOD_OVERRIDE=FQ","FILING_STATUS=MR","SCALING_FORMAT=MLN","Sort=A","Dates=H","DateFormat=P","Fill=—","Direction=H","UseDPDF=Y")</f>
        <v>590.96</v>
      </c>
      <c r="T33" s="16" cm="1">
        <f t="array" ref="T33">_xll.BDH("PH US Equity","IS_INC_BEF_XO_ITEM","FQ4 2023","FQ4 2023","Currency=USD","Period=FQ","BEST_FPERIOD_OVERRIDE=FQ","FILING_STATUS=MR","SCALING_FORMAT=MLN","Sort=A","Dates=H","DateFormat=P","Fill=—","Direction=H","UseDPDF=Y")</f>
        <v>709.07799999999997</v>
      </c>
      <c r="U33" s="16" cm="1">
        <f t="array" ref="U33">_xll.BDH("PH US Equity","IS_INC_BEF_XO_ITEM","FQ1 2024","FQ1 2024","Currency=USD","Period=FQ","BEST_FPERIOD_OVERRIDE=FQ","FILING_STATUS=MR","SCALING_FORMAT=MLN","Sort=A","Dates=H","DateFormat=P","Fill=—","Direction=H","UseDPDF=Y")</f>
        <v>651.072</v>
      </c>
      <c r="V33" s="16" cm="1">
        <f t="array" ref="V33">_xll.BDH("PH US Equity","IS_INC_BEF_XO_ITEM","FQ2 2024","FQ2 2024","Currency=USD","Period=FQ","BEST_FPERIOD_OVERRIDE=FQ","FILING_STATUS=MR","SCALING_FORMAT=MLN","Sort=A","Dates=H","DateFormat=P","Fill=—","Direction=H","UseDPDF=Y")</f>
        <v>682.05700000000002</v>
      </c>
      <c r="W33" s="16" cm="1">
        <f t="array" ref="W33">_xll.BDH("PH US Equity","IS_INC_BEF_XO_ITEM","FQ3 2024","FQ3 2024","Currency=USD","Period=FQ","BEST_FPERIOD_OVERRIDE=FQ","FILING_STATUS=MR","SCALING_FORMAT=MLN","Sort=A","Dates=H","DateFormat=P","Fill=—","Direction=H","UseDPDF=Y")</f>
        <v>726.73400000000004</v>
      </c>
      <c r="X33" s="16" cm="1">
        <f t="array" ref="X33">_xll.BDH("PH US Equity","IS_INC_BEF_XO_ITEM","FQ4 2024","FQ4 2024","Currency=USD","Period=FQ","BEST_FPERIOD_OVERRIDE=FQ","FILING_STATUS=MR","SCALING_FORMAT=MLN","Sort=A","Dates=H","DateFormat=P","Fill=—","Direction=H","UseDPDF=Y")</f>
        <v>785.07299999999998</v>
      </c>
      <c r="Y33" s="16" cm="1">
        <f t="array" ref="Y33">_xll.BDH("PH US Equity","IS_INC_BEF_XO_ITEM","FQ1 2025","FQ1 2025","Currency=USD","Period=FQ","BEST_FPERIOD_OVERRIDE=FQ","FILING_STATUS=MR","SCALING_FORMAT=MLN","Sort=A","Dates=H","DateFormat=P","Fill=—","Direction=H","UseDPDF=Y")</f>
        <v>698.52800000000002</v>
      </c>
      <c r="Z33" s="16" cm="1">
        <f t="array" ref="Z33">_xll.BDH("PH US Equity","IS_INC_BEF_XO_ITEM","FQ2 2025","FQ2 2025","Currency=USD","Period=FQ","BEST_FPERIOD_OVERRIDE=FQ","FILING_STATUS=MR","SCALING_FORMAT=MLN","Sort=A","Dates=H","DateFormat=P","Fill=—","Direction=H","UseDPDF=Y")</f>
        <v>948.649</v>
      </c>
      <c r="AA33" s="16" cm="1">
        <f t="array" ref="AA33">_xll.BDH("PH US Equity","IS_INC_BEF_XO_ITEM","FQ3 2025","FQ3 2025","Currency=USD","Period=FQ","BEST_FPERIOD_OVERRIDE=FQ","FILING_STATUS=MR","SCALING_FORMAT=MLN","Sort=A","Dates=H","DateFormat=P","Fill=—","Direction=H","UseDPDF=Y")</f>
        <v>961.18600000000004</v>
      </c>
      <c r="AB33" s="16" cm="1">
        <f t="array" ref="AB33">_xll.BDH("PH US Equity","IS_INC_BEF_XO_ITEM","FQ4 2025","FQ4 2025","Currency=USD","Period=FQ","BEST_FPERIOD_OVERRIDE=FQ","FILING_STATUS=MR","SCALING_FORMAT=MLN","Sort=A","Dates=H","DateFormat=P","Fill=—","Direction=H","UseDPDF=Y")</f>
        <v>923</v>
      </c>
      <c r="AC33" s="16" cm="1">
        <f t="array" ref="AC33">_xll.BDH("PH US Equity","IS_INC_BEF_XO_ITEM","FQ1 2026","FQ1 2026","Currency=USD","Period=FQ","BEST_FPERIOD_OVERRIDE=FQ","FILING_STATUS=MR","SCALING_FORMAT=MLN","Sort=A","Dates=H","DateFormat=P","Fill=—","Direction=H","UseDPDF=Y")</f>
        <v>808</v>
      </c>
      <c r="AD33" s="16" cm="1">
        <f t="array" ref="AD33">_xll.BDH("PH US Equity","IS_INC_BEF_XO_ITEM","FQ2 2026","FQ2 2026","Currency=USD","Period=FQ","BEST_FPERIOD_OVERRIDE=FQ","FILING_STATUS=MR","SCALING_FORMAT=MLN","Sort=A","Dates=H","DateFormat=P","Fill=—","Direction=H","UseDPDF=Y")</f>
        <v>845</v>
      </c>
      <c r="AE33" s="16">
        <v>865.70600000000002</v>
      </c>
      <c r="AF33" s="16">
        <v>926.471</v>
      </c>
    </row>
    <row r="34" spans="1:32" x14ac:dyDescent="0.25">
      <c r="A34" s="10" t="s">
        <v>120</v>
      </c>
      <c r="B34" s="10" t="s">
        <v>121</v>
      </c>
      <c r="C34" s="13" cm="1">
        <f t="array" ref="C34">_xll.BDH("PH US Equity","XO_GL_NET_OF_TAX","FQ3 2019","FQ3 2019","Currency=USD","Period=FQ","BEST_FPERIOD_OVERRIDE=FQ","FILING_STATUS=MR","SCALING_FORMAT=MLN","Sort=A","Dates=H","DateFormat=P","Fill=—","Direction=H","UseDPDF=Y")</f>
        <v>0</v>
      </c>
      <c r="D34" s="13" cm="1">
        <f t="array" ref="D34">_xll.BDH("PH US Equity","XO_GL_NET_OF_TAX","FQ4 2019","FQ4 2019","Currency=USD","Period=FQ","BEST_FPERIOD_OVERRIDE=FQ","FILING_STATUS=MR","SCALING_FORMAT=MLN","Sort=A","Dates=H","DateFormat=P","Fill=—","Direction=H","UseDPDF=Y")</f>
        <v>0</v>
      </c>
      <c r="E34" s="13" cm="1">
        <f t="array" ref="E34">_xll.BDH("PH US Equity","XO_GL_NET_OF_TAX","FQ1 2020","FQ1 2020","Currency=USD","Period=FQ","BEST_FPERIOD_OVERRIDE=FQ","FILING_STATUS=MR","SCALING_FORMAT=MLN","Sort=A","Dates=H","DateFormat=P","Fill=—","Direction=H","UseDPDF=Y")</f>
        <v>0</v>
      </c>
      <c r="F34" s="13" cm="1">
        <f t="array" ref="F34">_xll.BDH("PH US Equity","XO_GL_NET_OF_TAX","FQ2 2020","FQ2 2020","Currency=USD","Period=FQ","BEST_FPERIOD_OVERRIDE=FQ","FILING_STATUS=MR","SCALING_FORMAT=MLN","Sort=A","Dates=H","DateFormat=P","Fill=—","Direction=H","UseDPDF=Y")</f>
        <v>0</v>
      </c>
      <c r="G34" s="13" cm="1">
        <f t="array" ref="G34">_xll.BDH("PH US Equity","XO_GL_NET_OF_TAX","FQ3 2020","FQ3 2020","Currency=USD","Period=FQ","BEST_FPERIOD_OVERRIDE=FQ","FILING_STATUS=MR","SCALING_FORMAT=MLN","Sort=A","Dates=H","DateFormat=P","Fill=—","Direction=H","UseDPDF=Y")</f>
        <v>0</v>
      </c>
      <c r="H34" s="13" cm="1">
        <f t="array" ref="H34">_xll.BDH("PH US Equity","XO_GL_NET_OF_TAX","FQ4 2020","FQ4 2020","Currency=USD","Period=FQ","BEST_FPERIOD_OVERRIDE=FQ","FILING_STATUS=MR","SCALING_FORMAT=MLN","Sort=A","Dates=H","DateFormat=P","Fill=—","Direction=H","UseDPDF=Y")</f>
        <v>0</v>
      </c>
      <c r="I34" s="13" cm="1">
        <f t="array" ref="I34">_xll.BDH("PH US Equity","XO_GL_NET_OF_TAX","FQ1 2021","FQ1 2021","Currency=USD","Period=FQ","BEST_FPERIOD_OVERRIDE=FQ","FILING_STATUS=MR","SCALING_FORMAT=MLN","Sort=A","Dates=H","DateFormat=P","Fill=—","Direction=H","UseDPDF=Y")</f>
        <v>0</v>
      </c>
      <c r="J34" s="13" cm="1">
        <f t="array" ref="J34">_xll.BDH("PH US Equity","XO_GL_NET_OF_TAX","FQ2 2021","FQ2 2021","Currency=USD","Period=FQ","BEST_FPERIOD_OVERRIDE=FQ","FILING_STATUS=MR","SCALING_FORMAT=MLN","Sort=A","Dates=H","DateFormat=P","Fill=—","Direction=H","UseDPDF=Y")</f>
        <v>0</v>
      </c>
      <c r="K34" s="13" cm="1">
        <f t="array" ref="K34">_xll.BDH("PH US Equity","XO_GL_NET_OF_TAX","FQ3 2021","FQ3 2021","Currency=USD","Period=FQ","BEST_FPERIOD_OVERRIDE=FQ","FILING_STATUS=MR","SCALING_FORMAT=MLN","Sort=A","Dates=H","DateFormat=P","Fill=—","Direction=H","UseDPDF=Y")</f>
        <v>0</v>
      </c>
      <c r="L34" s="13" cm="1">
        <f t="array" ref="L34">_xll.BDH("PH US Equity","XO_GL_NET_OF_TAX","FQ4 2021","FQ4 2021","Currency=USD","Period=FQ","BEST_FPERIOD_OVERRIDE=FQ","FILING_STATUS=MR","SCALING_FORMAT=MLN","Sort=A","Dates=H","DateFormat=P","Fill=—","Direction=H","UseDPDF=Y")</f>
        <v>0</v>
      </c>
      <c r="M34" s="13" cm="1">
        <f t="array" ref="M34">_xll.BDH("PH US Equity","XO_GL_NET_OF_TAX","FQ1 2022","FQ1 2022","Currency=USD","Period=FQ","BEST_FPERIOD_OVERRIDE=FQ","FILING_STATUS=MR","SCALING_FORMAT=MLN","Sort=A","Dates=H","DateFormat=P","Fill=—","Direction=H","UseDPDF=Y")</f>
        <v>0</v>
      </c>
      <c r="N34" s="13" cm="1">
        <f t="array" ref="N34">_xll.BDH("PH US Equity","XO_GL_NET_OF_TAX","FQ2 2022","FQ2 2022","Currency=USD","Period=FQ","BEST_FPERIOD_OVERRIDE=FQ","FILING_STATUS=MR","SCALING_FORMAT=MLN","Sort=A","Dates=H","DateFormat=P","Fill=—","Direction=H","UseDPDF=Y")</f>
        <v>0</v>
      </c>
      <c r="O34" s="13" cm="1">
        <f t="array" ref="O34">_xll.BDH("PH US Equity","XO_GL_NET_OF_TAX","FQ3 2022","FQ3 2022","Currency=USD","Period=FQ","BEST_FPERIOD_OVERRIDE=FQ","FILING_STATUS=MR","SCALING_FORMAT=MLN","Sort=A","Dates=H","DateFormat=P","Fill=—","Direction=H","UseDPDF=Y")</f>
        <v>0</v>
      </c>
      <c r="P34" s="13" cm="1">
        <f t="array" ref="P34">_xll.BDH("PH US Equity","XO_GL_NET_OF_TAX","FQ4 2022","FQ4 2022","Currency=USD","Period=FQ","BEST_FPERIOD_OVERRIDE=FQ","FILING_STATUS=MR","SCALING_FORMAT=MLN","Sort=A","Dates=H","DateFormat=P","Fill=—","Direction=H","UseDPDF=Y")</f>
        <v>0</v>
      </c>
      <c r="Q34" s="13" cm="1">
        <f t="array" ref="Q34">_xll.BDH("PH US Equity","XO_GL_NET_OF_TAX","FQ1 2023","FQ1 2023","Currency=USD","Period=FQ","BEST_FPERIOD_OVERRIDE=FQ","FILING_STATUS=MR","SCALING_FORMAT=MLN","Sort=A","Dates=H","DateFormat=P","Fill=—","Direction=H","UseDPDF=Y")</f>
        <v>0</v>
      </c>
      <c r="R34" s="13" cm="1">
        <f t="array" ref="R34">_xll.BDH("PH US Equity","XO_GL_NET_OF_TAX","FQ2 2023","FQ2 2023","Currency=USD","Period=FQ","BEST_FPERIOD_OVERRIDE=FQ","FILING_STATUS=MR","SCALING_FORMAT=MLN","Sort=A","Dates=H","DateFormat=P","Fill=—","Direction=H","UseDPDF=Y")</f>
        <v>0</v>
      </c>
      <c r="S34" s="13" cm="1">
        <f t="array" ref="S34">_xll.BDH("PH US Equity","XO_GL_NET_OF_TAX","FQ3 2023","FQ3 2023","Currency=USD","Period=FQ","BEST_FPERIOD_OVERRIDE=FQ","FILING_STATUS=MR","SCALING_FORMAT=MLN","Sort=A","Dates=H","DateFormat=P","Fill=—","Direction=H","UseDPDF=Y")</f>
        <v>0</v>
      </c>
      <c r="T34" s="13" cm="1">
        <f t="array" ref="T34">_xll.BDH("PH US Equity","XO_GL_NET_OF_TAX","FQ4 2023","FQ4 2023","Currency=USD","Period=FQ","BEST_FPERIOD_OVERRIDE=FQ","FILING_STATUS=MR","SCALING_FORMAT=MLN","Sort=A","Dates=H","DateFormat=P","Fill=—","Direction=H","UseDPDF=Y")</f>
        <v>0</v>
      </c>
      <c r="U34" s="13" cm="1">
        <f t="array" ref="U34">_xll.BDH("PH US Equity","XO_GL_NET_OF_TAX","FQ1 2024","FQ1 2024","Currency=USD","Period=FQ","BEST_FPERIOD_OVERRIDE=FQ","FILING_STATUS=MR","SCALING_FORMAT=MLN","Sort=A","Dates=H","DateFormat=P","Fill=—","Direction=H","UseDPDF=Y")</f>
        <v>0</v>
      </c>
      <c r="V34" s="13" cm="1">
        <f t="array" ref="V34">_xll.BDH("PH US Equity","XO_GL_NET_OF_TAX","FQ2 2024","FQ2 2024","Currency=USD","Period=FQ","BEST_FPERIOD_OVERRIDE=FQ","FILING_STATUS=MR","SCALING_FORMAT=MLN","Sort=A","Dates=H","DateFormat=P","Fill=—","Direction=H","UseDPDF=Y")</f>
        <v>0</v>
      </c>
      <c r="W34" s="13" cm="1">
        <f t="array" ref="W34">_xll.BDH("PH US Equity","XO_GL_NET_OF_TAX","FQ3 2024","FQ3 2024","Currency=USD","Period=FQ","BEST_FPERIOD_OVERRIDE=FQ","FILING_STATUS=MR","SCALING_FORMAT=MLN","Sort=A","Dates=H","DateFormat=P","Fill=—","Direction=H","UseDPDF=Y")</f>
        <v>0</v>
      </c>
      <c r="X34" s="13" cm="1">
        <f t="array" ref="X34">_xll.BDH("PH US Equity","XO_GL_NET_OF_TAX","FQ4 2024","FQ4 2024","Currency=USD","Period=FQ","BEST_FPERIOD_OVERRIDE=FQ","FILING_STATUS=MR","SCALING_FORMAT=MLN","Sort=A","Dates=H","DateFormat=P","Fill=—","Direction=H","UseDPDF=Y")</f>
        <v>0</v>
      </c>
      <c r="Y34" s="13" cm="1">
        <f t="array" ref="Y34">_xll.BDH("PH US Equity","XO_GL_NET_OF_TAX","FQ1 2025","FQ1 2025","Currency=USD","Period=FQ","BEST_FPERIOD_OVERRIDE=FQ","FILING_STATUS=MR","SCALING_FORMAT=MLN","Sort=A","Dates=H","DateFormat=P","Fill=—","Direction=H","UseDPDF=Y")</f>
        <v>0</v>
      </c>
      <c r="Z34" s="13" cm="1">
        <f t="array" ref="Z34">_xll.BDH("PH US Equity","XO_GL_NET_OF_TAX","FQ2 2025","FQ2 2025","Currency=USD","Period=FQ","BEST_FPERIOD_OVERRIDE=FQ","FILING_STATUS=MR","SCALING_FORMAT=MLN","Sort=A","Dates=H","DateFormat=P","Fill=—","Direction=H","UseDPDF=Y")</f>
        <v>0</v>
      </c>
      <c r="AA34" s="13" cm="1">
        <f t="array" ref="AA34">_xll.BDH("PH US Equity","XO_GL_NET_OF_TAX","FQ3 2025","FQ3 2025","Currency=USD","Period=FQ","BEST_FPERIOD_OVERRIDE=FQ","FILING_STATUS=MR","SCALING_FORMAT=MLN","Sort=A","Dates=H","DateFormat=P","Fill=—","Direction=H","UseDPDF=Y")</f>
        <v>0</v>
      </c>
      <c r="AB34" s="13" cm="1">
        <f t="array" ref="AB34">_xll.BDH("PH US Equity","XO_GL_NET_OF_TAX","FQ4 2025","FQ4 2025","Currency=USD","Period=FQ","BEST_FPERIOD_OVERRIDE=FQ","FILING_STATUS=MR","SCALING_FORMAT=MLN","Sort=A","Dates=H","DateFormat=P","Fill=—","Direction=H","UseDPDF=Y")</f>
        <v>0</v>
      </c>
      <c r="AC34" s="13" cm="1">
        <f t="array" ref="AC34">_xll.BDH("PH US Equity","XO_GL_NET_OF_TAX","FQ1 2026","FQ1 2026","Currency=USD","Period=FQ","BEST_FPERIOD_OVERRIDE=FQ","FILING_STATUS=MR","SCALING_FORMAT=MLN","Sort=A","Dates=H","DateFormat=P","Fill=—","Direction=H","UseDPDF=Y")</f>
        <v>0</v>
      </c>
      <c r="AD34" s="13" cm="1">
        <f t="array" ref="AD34">_xll.BDH("PH US Equity","XO_GL_NET_OF_TAX","FQ2 2026","FQ2 2026","Currency=USD","Period=FQ","BEST_FPERIOD_OVERRIDE=FQ","FILING_STATUS=MR","SCALING_FORMAT=MLN","Sort=A","Dates=H","DateFormat=P","Fill=—","Direction=H","UseDPDF=Y")</f>
        <v>0</v>
      </c>
      <c r="AE34" s="13"/>
      <c r="AF34" s="13"/>
    </row>
    <row r="35" spans="1:32" x14ac:dyDescent="0.25">
      <c r="A35" s="10" t="s">
        <v>122</v>
      </c>
      <c r="B35" s="10" t="s">
        <v>123</v>
      </c>
      <c r="C35" s="13" cm="1">
        <f t="array" ref="C35">_xll.BDH("PH US Equity","IS_DISCONTINUED_OPERATIONS","FQ3 2019","FQ3 2019","Currency=USD","Period=FQ","BEST_FPERIOD_OVERRIDE=FQ","FILING_STATUS=MR","SCALING_FORMAT=MLN","Sort=A","Dates=H","DateFormat=P","Fill=—","Direction=H","UseDPDF=Y")</f>
        <v>0</v>
      </c>
      <c r="D35" s="13" cm="1">
        <f t="array" ref="D35">_xll.BDH("PH US Equity","IS_DISCONTINUED_OPERATIONS","FQ4 2019","FQ4 2019","Currency=USD","Period=FQ","BEST_FPERIOD_OVERRIDE=FQ","FILING_STATUS=MR","SCALING_FORMAT=MLN","Sort=A","Dates=H","DateFormat=P","Fill=—","Direction=H","UseDPDF=Y")</f>
        <v>0</v>
      </c>
      <c r="E35" s="13" cm="1">
        <f t="array" ref="E35">_xll.BDH("PH US Equity","IS_DISCONTINUED_OPERATIONS","FQ1 2020","FQ1 2020","Currency=USD","Period=FQ","BEST_FPERIOD_OVERRIDE=FQ","FILING_STATUS=MR","SCALING_FORMAT=MLN","Sort=A","Dates=H","DateFormat=P","Fill=—","Direction=H","UseDPDF=Y")</f>
        <v>0</v>
      </c>
      <c r="F35" s="13" cm="1">
        <f t="array" ref="F35">_xll.BDH("PH US Equity","IS_DISCONTINUED_OPERATIONS","FQ2 2020","FQ2 2020","Currency=USD","Period=FQ","BEST_FPERIOD_OVERRIDE=FQ","FILING_STATUS=MR","SCALING_FORMAT=MLN","Sort=A","Dates=H","DateFormat=P","Fill=—","Direction=H","UseDPDF=Y")</f>
        <v>0</v>
      </c>
      <c r="G35" s="13" cm="1">
        <f t="array" ref="G35">_xll.BDH("PH US Equity","IS_DISCONTINUED_OPERATIONS","FQ3 2020","FQ3 2020","Currency=USD","Period=FQ","BEST_FPERIOD_OVERRIDE=FQ","FILING_STATUS=MR","SCALING_FORMAT=MLN","Sort=A","Dates=H","DateFormat=P","Fill=—","Direction=H","UseDPDF=Y")</f>
        <v>0</v>
      </c>
      <c r="H35" s="13" cm="1">
        <f t="array" ref="H35">_xll.BDH("PH US Equity","IS_DISCONTINUED_OPERATIONS","FQ4 2020","FQ4 2020","Currency=USD","Period=FQ","BEST_FPERIOD_OVERRIDE=FQ","FILING_STATUS=MR","SCALING_FORMAT=MLN","Sort=A","Dates=H","DateFormat=P","Fill=—","Direction=H","UseDPDF=Y")</f>
        <v>0</v>
      </c>
      <c r="I35" s="13" cm="1">
        <f t="array" ref="I35">_xll.BDH("PH US Equity","IS_DISCONTINUED_OPERATIONS","FQ1 2021","FQ1 2021","Currency=USD","Period=FQ","BEST_FPERIOD_OVERRIDE=FQ","FILING_STATUS=MR","SCALING_FORMAT=MLN","Sort=A","Dates=H","DateFormat=P","Fill=—","Direction=H","UseDPDF=Y")</f>
        <v>0</v>
      </c>
      <c r="J35" s="13" cm="1">
        <f t="array" ref="J35">_xll.BDH("PH US Equity","IS_DISCONTINUED_OPERATIONS","FQ2 2021","FQ2 2021","Currency=USD","Period=FQ","BEST_FPERIOD_OVERRIDE=FQ","FILING_STATUS=MR","SCALING_FORMAT=MLN","Sort=A","Dates=H","DateFormat=P","Fill=—","Direction=H","UseDPDF=Y")</f>
        <v>0</v>
      </c>
      <c r="K35" s="13" cm="1">
        <f t="array" ref="K35">_xll.BDH("PH US Equity","IS_DISCONTINUED_OPERATIONS","FQ3 2021","FQ3 2021","Currency=USD","Period=FQ","BEST_FPERIOD_OVERRIDE=FQ","FILING_STATUS=MR","SCALING_FORMAT=MLN","Sort=A","Dates=H","DateFormat=P","Fill=—","Direction=H","UseDPDF=Y")</f>
        <v>0</v>
      </c>
      <c r="L35" s="13" cm="1">
        <f t="array" ref="L35">_xll.BDH("PH US Equity","IS_DISCONTINUED_OPERATIONS","FQ4 2021","FQ4 2021","Currency=USD","Period=FQ","BEST_FPERIOD_OVERRIDE=FQ","FILING_STATUS=MR","SCALING_FORMAT=MLN","Sort=A","Dates=H","DateFormat=P","Fill=—","Direction=H","UseDPDF=Y")</f>
        <v>0</v>
      </c>
      <c r="M35" s="13" cm="1">
        <f t="array" ref="M35">_xll.BDH("PH US Equity","IS_DISCONTINUED_OPERATIONS","FQ1 2022","FQ1 2022","Currency=USD","Period=FQ","BEST_FPERIOD_OVERRIDE=FQ","FILING_STATUS=MR","SCALING_FORMAT=MLN","Sort=A","Dates=H","DateFormat=P","Fill=—","Direction=H","UseDPDF=Y")</f>
        <v>0</v>
      </c>
      <c r="N35" s="13" cm="1">
        <f t="array" ref="N35">_xll.BDH("PH US Equity","IS_DISCONTINUED_OPERATIONS","FQ2 2022","FQ2 2022","Currency=USD","Period=FQ","BEST_FPERIOD_OVERRIDE=FQ","FILING_STATUS=MR","SCALING_FORMAT=MLN","Sort=A","Dates=H","DateFormat=P","Fill=—","Direction=H","UseDPDF=Y")</f>
        <v>0</v>
      </c>
      <c r="O35" s="13" cm="1">
        <f t="array" ref="O35">_xll.BDH("PH US Equity","IS_DISCONTINUED_OPERATIONS","FQ3 2022","FQ3 2022","Currency=USD","Period=FQ","BEST_FPERIOD_OVERRIDE=FQ","FILING_STATUS=MR","SCALING_FORMAT=MLN","Sort=A","Dates=H","DateFormat=P","Fill=—","Direction=H","UseDPDF=Y")</f>
        <v>0</v>
      </c>
      <c r="P35" s="13" cm="1">
        <f t="array" ref="P35">_xll.BDH("PH US Equity","IS_DISCONTINUED_OPERATIONS","FQ4 2022","FQ4 2022","Currency=USD","Period=FQ","BEST_FPERIOD_OVERRIDE=FQ","FILING_STATUS=MR","SCALING_FORMAT=MLN","Sort=A","Dates=H","DateFormat=P","Fill=—","Direction=H","UseDPDF=Y")</f>
        <v>0</v>
      </c>
      <c r="Q35" s="13" cm="1">
        <f t="array" ref="Q35">_xll.BDH("PH US Equity","IS_DISCONTINUED_OPERATIONS","FQ1 2023","FQ1 2023","Currency=USD","Period=FQ","BEST_FPERIOD_OVERRIDE=FQ","FILING_STATUS=MR","SCALING_FORMAT=MLN","Sort=A","Dates=H","DateFormat=P","Fill=—","Direction=H","UseDPDF=Y")</f>
        <v>0</v>
      </c>
      <c r="R35" s="13" cm="1">
        <f t="array" ref="R35">_xll.BDH("PH US Equity","IS_DISCONTINUED_OPERATIONS","FQ2 2023","FQ2 2023","Currency=USD","Period=FQ","BEST_FPERIOD_OVERRIDE=FQ","FILING_STATUS=MR","SCALING_FORMAT=MLN","Sort=A","Dates=H","DateFormat=P","Fill=—","Direction=H","UseDPDF=Y")</f>
        <v>0</v>
      </c>
      <c r="S35" s="13" cm="1">
        <f t="array" ref="S35">_xll.BDH("PH US Equity","IS_DISCONTINUED_OPERATIONS","FQ3 2023","FQ3 2023","Currency=USD","Period=FQ","BEST_FPERIOD_OVERRIDE=FQ","FILING_STATUS=MR","SCALING_FORMAT=MLN","Sort=A","Dates=H","DateFormat=P","Fill=—","Direction=H","UseDPDF=Y")</f>
        <v>0</v>
      </c>
      <c r="T35" s="13" cm="1">
        <f t="array" ref="T35">_xll.BDH("PH US Equity","IS_DISCONTINUED_OPERATIONS","FQ4 2023","FQ4 2023","Currency=USD","Period=FQ","BEST_FPERIOD_OVERRIDE=FQ","FILING_STATUS=MR","SCALING_FORMAT=MLN","Sort=A","Dates=H","DateFormat=P","Fill=—","Direction=H","UseDPDF=Y")</f>
        <v>0</v>
      </c>
      <c r="U35" s="13" cm="1">
        <f t="array" ref="U35">_xll.BDH("PH US Equity","IS_DISCONTINUED_OPERATIONS","FQ1 2024","FQ1 2024","Currency=USD","Period=FQ","BEST_FPERIOD_OVERRIDE=FQ","FILING_STATUS=MR","SCALING_FORMAT=MLN","Sort=A","Dates=H","DateFormat=P","Fill=—","Direction=H","UseDPDF=Y")</f>
        <v>0</v>
      </c>
      <c r="V35" s="13" cm="1">
        <f t="array" ref="V35">_xll.BDH("PH US Equity","IS_DISCONTINUED_OPERATIONS","FQ2 2024","FQ2 2024","Currency=USD","Period=FQ","BEST_FPERIOD_OVERRIDE=FQ","FILING_STATUS=MR","SCALING_FORMAT=MLN","Sort=A","Dates=H","DateFormat=P","Fill=—","Direction=H","UseDPDF=Y")</f>
        <v>0</v>
      </c>
      <c r="W35" s="13" cm="1">
        <f t="array" ref="W35">_xll.BDH("PH US Equity","IS_DISCONTINUED_OPERATIONS","FQ3 2024","FQ3 2024","Currency=USD","Period=FQ","BEST_FPERIOD_OVERRIDE=FQ","FILING_STATUS=MR","SCALING_FORMAT=MLN","Sort=A","Dates=H","DateFormat=P","Fill=—","Direction=H","UseDPDF=Y")</f>
        <v>0</v>
      </c>
      <c r="X35" s="13" cm="1">
        <f t="array" ref="X35">_xll.BDH("PH US Equity","IS_DISCONTINUED_OPERATIONS","FQ4 2024","FQ4 2024","Currency=USD","Period=FQ","BEST_FPERIOD_OVERRIDE=FQ","FILING_STATUS=MR","SCALING_FORMAT=MLN","Sort=A","Dates=H","DateFormat=P","Fill=—","Direction=H","UseDPDF=Y")</f>
        <v>0</v>
      </c>
      <c r="Y35" s="13" cm="1">
        <f t="array" ref="Y35">_xll.BDH("PH US Equity","IS_DISCONTINUED_OPERATIONS","FQ1 2025","FQ1 2025","Currency=USD","Period=FQ","BEST_FPERIOD_OVERRIDE=FQ","FILING_STATUS=MR","SCALING_FORMAT=MLN","Sort=A","Dates=H","DateFormat=P","Fill=—","Direction=H","UseDPDF=Y")</f>
        <v>0</v>
      </c>
      <c r="Z35" s="13" cm="1">
        <f t="array" ref="Z35">_xll.BDH("PH US Equity","IS_DISCONTINUED_OPERATIONS","FQ2 2025","FQ2 2025","Currency=USD","Period=FQ","BEST_FPERIOD_OVERRIDE=FQ","FILING_STATUS=MR","SCALING_FORMAT=MLN","Sort=A","Dates=H","DateFormat=P","Fill=—","Direction=H","UseDPDF=Y")</f>
        <v>0</v>
      </c>
      <c r="AA35" s="13" cm="1">
        <f t="array" ref="AA35">_xll.BDH("PH US Equity","IS_DISCONTINUED_OPERATIONS","FQ3 2025","FQ3 2025","Currency=USD","Period=FQ","BEST_FPERIOD_OVERRIDE=FQ","FILING_STATUS=MR","SCALING_FORMAT=MLN","Sort=A","Dates=H","DateFormat=P","Fill=—","Direction=H","UseDPDF=Y")</f>
        <v>0</v>
      </c>
      <c r="AB35" s="13" cm="1">
        <f t="array" ref="AB35">_xll.BDH("PH US Equity","IS_DISCONTINUED_OPERATIONS","FQ4 2025","FQ4 2025","Currency=USD","Period=FQ","BEST_FPERIOD_OVERRIDE=FQ","FILING_STATUS=MR","SCALING_FORMAT=MLN","Sort=A","Dates=H","DateFormat=P","Fill=—","Direction=H","UseDPDF=Y")</f>
        <v>0</v>
      </c>
      <c r="AC35" s="13" cm="1">
        <f t="array" ref="AC35">_xll.BDH("PH US Equity","IS_DISCONTINUED_OPERATIONS","FQ1 2026","FQ1 2026","Currency=USD","Period=FQ","BEST_FPERIOD_OVERRIDE=FQ","FILING_STATUS=MR","SCALING_FORMAT=MLN","Sort=A","Dates=H","DateFormat=P","Fill=—","Direction=H","UseDPDF=Y")</f>
        <v>0</v>
      </c>
      <c r="AD35" s="13" cm="1">
        <f t="array" ref="AD35">_xll.BDH("PH US Equity","IS_DISCONTINUED_OPERATIONS","FQ2 2026","FQ2 2026","Currency=USD","Period=FQ","BEST_FPERIOD_OVERRIDE=FQ","FILING_STATUS=MR","SCALING_FORMAT=MLN","Sort=A","Dates=H","DateFormat=P","Fill=—","Direction=H","UseDPDF=Y")</f>
        <v>0</v>
      </c>
      <c r="AE35" s="13"/>
      <c r="AF35" s="13"/>
    </row>
    <row r="36" spans="1:32" x14ac:dyDescent="0.25">
      <c r="A36" s="10" t="s">
        <v>124</v>
      </c>
      <c r="B36" s="10" t="s">
        <v>125</v>
      </c>
      <c r="C36" s="13" cm="1">
        <f t="array" ref="C36">_xll.BDH("PH US Equity","EXTRAORD_ITEMS_ACCOUNTING_CHANGS","FQ3 2019","FQ3 2019","Currency=USD","Period=FQ","BEST_FPERIOD_OVERRIDE=FQ","FILING_STATUS=MR","SCALING_FORMAT=MLN","Sort=A","Dates=H","DateFormat=P","Fill=—","Direction=H","UseDPDF=Y")</f>
        <v>0</v>
      </c>
      <c r="D36" s="13" cm="1">
        <f t="array" ref="D36">_xll.BDH("PH US Equity","EXTRAORD_ITEMS_ACCOUNTING_CHANGS","FQ4 2019","FQ4 2019","Currency=USD","Period=FQ","BEST_FPERIOD_OVERRIDE=FQ","FILING_STATUS=MR","SCALING_FORMAT=MLN","Sort=A","Dates=H","DateFormat=P","Fill=—","Direction=H","UseDPDF=Y")</f>
        <v>0</v>
      </c>
      <c r="E36" s="13" cm="1">
        <f t="array" ref="E36">_xll.BDH("PH US Equity","EXTRAORD_ITEMS_ACCOUNTING_CHANGS","FQ1 2020","FQ1 2020","Currency=USD","Period=FQ","BEST_FPERIOD_OVERRIDE=FQ","FILING_STATUS=MR","SCALING_FORMAT=MLN","Sort=A","Dates=H","DateFormat=P","Fill=—","Direction=H","UseDPDF=Y")</f>
        <v>0</v>
      </c>
      <c r="F36" s="13" cm="1">
        <f t="array" ref="F36">_xll.BDH("PH US Equity","EXTRAORD_ITEMS_ACCOUNTING_CHANGS","FQ2 2020","FQ2 2020","Currency=USD","Period=FQ","BEST_FPERIOD_OVERRIDE=FQ","FILING_STATUS=MR","SCALING_FORMAT=MLN","Sort=A","Dates=H","DateFormat=P","Fill=—","Direction=H","UseDPDF=Y")</f>
        <v>0</v>
      </c>
      <c r="G36" s="13" cm="1">
        <f t="array" ref="G36">_xll.BDH("PH US Equity","EXTRAORD_ITEMS_ACCOUNTING_CHANGS","FQ3 2020","FQ3 2020","Currency=USD","Period=FQ","BEST_FPERIOD_OVERRIDE=FQ","FILING_STATUS=MR","SCALING_FORMAT=MLN","Sort=A","Dates=H","DateFormat=P","Fill=—","Direction=H","UseDPDF=Y")</f>
        <v>0</v>
      </c>
      <c r="H36" s="13" cm="1">
        <f t="array" ref="H36">_xll.BDH("PH US Equity","EXTRAORD_ITEMS_ACCOUNTING_CHANGS","FQ4 2020","FQ4 2020","Currency=USD","Period=FQ","BEST_FPERIOD_OVERRIDE=FQ","FILING_STATUS=MR","SCALING_FORMAT=MLN","Sort=A","Dates=H","DateFormat=P","Fill=—","Direction=H","UseDPDF=Y")</f>
        <v>0</v>
      </c>
      <c r="I36" s="13" cm="1">
        <f t="array" ref="I36">_xll.BDH("PH US Equity","EXTRAORD_ITEMS_ACCOUNTING_CHANGS","FQ1 2021","FQ1 2021","Currency=USD","Period=FQ","BEST_FPERIOD_OVERRIDE=FQ","FILING_STATUS=MR","SCALING_FORMAT=MLN","Sort=A","Dates=H","DateFormat=P","Fill=—","Direction=H","UseDPDF=Y")</f>
        <v>0</v>
      </c>
      <c r="J36" s="13" cm="1">
        <f t="array" ref="J36">_xll.BDH("PH US Equity","EXTRAORD_ITEMS_ACCOUNTING_CHANGS","FQ2 2021","FQ2 2021","Currency=USD","Period=FQ","BEST_FPERIOD_OVERRIDE=FQ","FILING_STATUS=MR","SCALING_FORMAT=MLN","Sort=A","Dates=H","DateFormat=P","Fill=—","Direction=H","UseDPDF=Y")</f>
        <v>0</v>
      </c>
      <c r="K36" s="13" cm="1">
        <f t="array" ref="K36">_xll.BDH("PH US Equity","EXTRAORD_ITEMS_ACCOUNTING_CHANGS","FQ3 2021","FQ3 2021","Currency=USD","Period=FQ","BEST_FPERIOD_OVERRIDE=FQ","FILING_STATUS=MR","SCALING_FORMAT=MLN","Sort=A","Dates=H","DateFormat=P","Fill=—","Direction=H","UseDPDF=Y")</f>
        <v>0</v>
      </c>
      <c r="L36" s="13" cm="1">
        <f t="array" ref="L36">_xll.BDH("PH US Equity","EXTRAORD_ITEMS_ACCOUNTING_CHANGS","FQ4 2021","FQ4 2021","Currency=USD","Period=FQ","BEST_FPERIOD_OVERRIDE=FQ","FILING_STATUS=MR","SCALING_FORMAT=MLN","Sort=A","Dates=H","DateFormat=P","Fill=—","Direction=H","UseDPDF=Y")</f>
        <v>0</v>
      </c>
      <c r="M36" s="13" cm="1">
        <f t="array" ref="M36">_xll.BDH("PH US Equity","EXTRAORD_ITEMS_ACCOUNTING_CHANGS","FQ1 2022","FQ1 2022","Currency=USD","Period=FQ","BEST_FPERIOD_OVERRIDE=FQ","FILING_STATUS=MR","SCALING_FORMAT=MLN","Sort=A","Dates=H","DateFormat=P","Fill=—","Direction=H","UseDPDF=Y")</f>
        <v>0</v>
      </c>
      <c r="N36" s="13" cm="1">
        <f t="array" ref="N36">_xll.BDH("PH US Equity","EXTRAORD_ITEMS_ACCOUNTING_CHANGS","FQ2 2022","FQ2 2022","Currency=USD","Period=FQ","BEST_FPERIOD_OVERRIDE=FQ","FILING_STATUS=MR","SCALING_FORMAT=MLN","Sort=A","Dates=H","DateFormat=P","Fill=—","Direction=H","UseDPDF=Y")</f>
        <v>0</v>
      </c>
      <c r="O36" s="13" cm="1">
        <f t="array" ref="O36">_xll.BDH("PH US Equity","EXTRAORD_ITEMS_ACCOUNTING_CHANGS","FQ3 2022","FQ3 2022","Currency=USD","Period=FQ","BEST_FPERIOD_OVERRIDE=FQ","FILING_STATUS=MR","SCALING_FORMAT=MLN","Sort=A","Dates=H","DateFormat=P","Fill=—","Direction=H","UseDPDF=Y")</f>
        <v>0</v>
      </c>
      <c r="P36" s="13" cm="1">
        <f t="array" ref="P36">_xll.BDH("PH US Equity","EXTRAORD_ITEMS_ACCOUNTING_CHANGS","FQ4 2022","FQ4 2022","Currency=USD","Period=FQ","BEST_FPERIOD_OVERRIDE=FQ","FILING_STATUS=MR","SCALING_FORMAT=MLN","Sort=A","Dates=H","DateFormat=P","Fill=—","Direction=H","UseDPDF=Y")</f>
        <v>0</v>
      </c>
      <c r="Q36" s="13" cm="1">
        <f t="array" ref="Q36">_xll.BDH("PH US Equity","EXTRAORD_ITEMS_ACCOUNTING_CHANGS","FQ1 2023","FQ1 2023","Currency=USD","Period=FQ","BEST_FPERIOD_OVERRIDE=FQ","FILING_STATUS=MR","SCALING_FORMAT=MLN","Sort=A","Dates=H","DateFormat=P","Fill=—","Direction=H","UseDPDF=Y")</f>
        <v>0</v>
      </c>
      <c r="R36" s="13" cm="1">
        <f t="array" ref="R36">_xll.BDH("PH US Equity","EXTRAORD_ITEMS_ACCOUNTING_CHANGS","FQ2 2023","FQ2 2023","Currency=USD","Period=FQ","BEST_FPERIOD_OVERRIDE=FQ","FILING_STATUS=MR","SCALING_FORMAT=MLN","Sort=A","Dates=H","DateFormat=P","Fill=—","Direction=H","UseDPDF=Y")</f>
        <v>0</v>
      </c>
      <c r="S36" s="13" cm="1">
        <f t="array" ref="S36">_xll.BDH("PH US Equity","EXTRAORD_ITEMS_ACCOUNTING_CHANGS","FQ3 2023","FQ3 2023","Currency=USD","Period=FQ","BEST_FPERIOD_OVERRIDE=FQ","FILING_STATUS=MR","SCALING_FORMAT=MLN","Sort=A","Dates=H","DateFormat=P","Fill=—","Direction=H","UseDPDF=Y")</f>
        <v>0</v>
      </c>
      <c r="T36" s="13" cm="1">
        <f t="array" ref="T36">_xll.BDH("PH US Equity","EXTRAORD_ITEMS_ACCOUNTING_CHANGS","FQ4 2023","FQ4 2023","Currency=USD","Period=FQ","BEST_FPERIOD_OVERRIDE=FQ","FILING_STATUS=MR","SCALING_FORMAT=MLN","Sort=A","Dates=H","DateFormat=P","Fill=—","Direction=H","UseDPDF=Y")</f>
        <v>0</v>
      </c>
      <c r="U36" s="13" cm="1">
        <f t="array" ref="U36">_xll.BDH("PH US Equity","EXTRAORD_ITEMS_ACCOUNTING_CHANGS","FQ1 2024","FQ1 2024","Currency=USD","Period=FQ","BEST_FPERIOD_OVERRIDE=FQ","FILING_STATUS=MR","SCALING_FORMAT=MLN","Sort=A","Dates=H","DateFormat=P","Fill=—","Direction=H","UseDPDF=Y")</f>
        <v>0</v>
      </c>
      <c r="V36" s="13" cm="1">
        <f t="array" ref="V36">_xll.BDH("PH US Equity","EXTRAORD_ITEMS_ACCOUNTING_CHANGS","FQ2 2024","FQ2 2024","Currency=USD","Period=FQ","BEST_FPERIOD_OVERRIDE=FQ","FILING_STATUS=MR","SCALING_FORMAT=MLN","Sort=A","Dates=H","DateFormat=P","Fill=—","Direction=H","UseDPDF=Y")</f>
        <v>0</v>
      </c>
      <c r="W36" s="13" cm="1">
        <f t="array" ref="W36">_xll.BDH("PH US Equity","EXTRAORD_ITEMS_ACCOUNTING_CHANGS","FQ3 2024","FQ3 2024","Currency=USD","Period=FQ","BEST_FPERIOD_OVERRIDE=FQ","FILING_STATUS=MR","SCALING_FORMAT=MLN","Sort=A","Dates=H","DateFormat=P","Fill=—","Direction=H","UseDPDF=Y")</f>
        <v>0</v>
      </c>
      <c r="X36" s="13" cm="1">
        <f t="array" ref="X36">_xll.BDH("PH US Equity","EXTRAORD_ITEMS_ACCOUNTING_CHANGS","FQ4 2024","FQ4 2024","Currency=USD","Period=FQ","BEST_FPERIOD_OVERRIDE=FQ","FILING_STATUS=MR","SCALING_FORMAT=MLN","Sort=A","Dates=H","DateFormat=P","Fill=—","Direction=H","UseDPDF=Y")</f>
        <v>0</v>
      </c>
      <c r="Y36" s="13" cm="1">
        <f t="array" ref="Y36">_xll.BDH("PH US Equity","EXTRAORD_ITEMS_ACCOUNTING_CHANGS","FQ1 2025","FQ1 2025","Currency=USD","Period=FQ","BEST_FPERIOD_OVERRIDE=FQ","FILING_STATUS=MR","SCALING_FORMAT=MLN","Sort=A","Dates=H","DateFormat=P","Fill=—","Direction=H","UseDPDF=Y")</f>
        <v>0</v>
      </c>
      <c r="Z36" s="13" cm="1">
        <f t="array" ref="Z36">_xll.BDH("PH US Equity","EXTRAORD_ITEMS_ACCOUNTING_CHANGS","FQ2 2025","FQ2 2025","Currency=USD","Period=FQ","BEST_FPERIOD_OVERRIDE=FQ","FILING_STATUS=MR","SCALING_FORMAT=MLN","Sort=A","Dates=H","DateFormat=P","Fill=—","Direction=H","UseDPDF=Y")</f>
        <v>0</v>
      </c>
      <c r="AA36" s="13" cm="1">
        <f t="array" ref="AA36">_xll.BDH("PH US Equity","EXTRAORD_ITEMS_ACCOUNTING_CHANGS","FQ3 2025","FQ3 2025","Currency=USD","Period=FQ","BEST_FPERIOD_OVERRIDE=FQ","FILING_STATUS=MR","SCALING_FORMAT=MLN","Sort=A","Dates=H","DateFormat=P","Fill=—","Direction=H","UseDPDF=Y")</f>
        <v>0</v>
      </c>
      <c r="AB36" s="13" cm="1">
        <f t="array" ref="AB36">_xll.BDH("PH US Equity","EXTRAORD_ITEMS_ACCOUNTING_CHANGS","FQ4 2025","FQ4 2025","Currency=USD","Period=FQ","BEST_FPERIOD_OVERRIDE=FQ","FILING_STATUS=MR","SCALING_FORMAT=MLN","Sort=A","Dates=H","DateFormat=P","Fill=—","Direction=H","UseDPDF=Y")</f>
        <v>0</v>
      </c>
      <c r="AC36" s="13" cm="1">
        <f t="array" ref="AC36">_xll.BDH("PH US Equity","EXTRAORD_ITEMS_ACCOUNTING_CHANGS","FQ1 2026","FQ1 2026","Currency=USD","Period=FQ","BEST_FPERIOD_OVERRIDE=FQ","FILING_STATUS=MR","SCALING_FORMAT=MLN","Sort=A","Dates=H","DateFormat=P","Fill=—","Direction=H","UseDPDF=Y")</f>
        <v>0</v>
      </c>
      <c r="AD36" s="13" cm="1">
        <f t="array" ref="AD36">_xll.BDH("PH US Equity","EXTRAORD_ITEMS_ACCOUNTING_CHANGS","FQ2 2026","FQ2 2026","Currency=USD","Period=FQ","BEST_FPERIOD_OVERRIDE=FQ","FILING_STATUS=MR","SCALING_FORMAT=MLN","Sort=A","Dates=H","DateFormat=P","Fill=—","Direction=H","UseDPDF=Y")</f>
        <v>0</v>
      </c>
      <c r="AE36" s="13"/>
      <c r="AF36" s="13"/>
    </row>
    <row r="37" spans="1:32" x14ac:dyDescent="0.25">
      <c r="A37" s="6" t="s">
        <v>126</v>
      </c>
      <c r="B37" s="6" t="s">
        <v>127</v>
      </c>
      <c r="C37" s="16" cm="1">
        <f t="array" ref="C37">_xll.BDH("PH US Equity","NI_INCLUDING_MINORITY_INT_RATIO","FQ3 2019","FQ3 2019","Currency=USD","Period=FQ","BEST_FPERIOD_OVERRIDE=FQ","FILING_STATUS=MR","SCALING_FORMAT=MLN","FA_ADJUSTED=GAAP","Sort=A","Dates=H","DateFormat=P","Fill=—","Direction=H","UseDPDF=Y")</f>
        <v>411.38099999999997</v>
      </c>
      <c r="D37" s="16" cm="1">
        <f t="array" ref="D37">_xll.BDH("PH US Equity","NI_INCLUDING_MINORITY_INT_RATIO","FQ4 2019","FQ4 2019","Currency=USD","Period=FQ","BEST_FPERIOD_OVERRIDE=FQ","FILING_STATUS=MR","SCALING_FORMAT=MLN","FA_ADJUSTED=GAAP","Sort=A","Dates=H","DateFormat=P","Fill=—","Direction=H","UseDPDF=Y")</f>
        <v>413.738</v>
      </c>
      <c r="E37" s="16" cm="1">
        <f t="array" ref="E37">_xll.BDH("PH US Equity","NI_INCLUDING_MINORITY_INT_RATIO","FQ1 2020","FQ1 2020","Currency=USD","Period=FQ","BEST_FPERIOD_OVERRIDE=FQ","FILING_STATUS=MR","SCALING_FORMAT=MLN","FA_ADJUSTED=GAAP","Sort=A","Dates=H","DateFormat=P","Fill=—","Direction=H","UseDPDF=Y")</f>
        <v>339.041</v>
      </c>
      <c r="F37" s="16" cm="1">
        <f t="array" ref="F37">_xll.BDH("PH US Equity","NI_INCLUDING_MINORITY_INT_RATIO","FQ2 2020","FQ2 2020","Currency=USD","Period=FQ","BEST_FPERIOD_OVERRIDE=FQ","FILING_STATUS=MR","SCALING_FORMAT=MLN","FA_ADJUSTED=GAAP","Sort=A","Dates=H","DateFormat=P","Fill=—","Direction=H","UseDPDF=Y")</f>
        <v>204.59800000000001</v>
      </c>
      <c r="G37" s="16" cm="1">
        <f t="array" ref="G37">_xll.BDH("PH US Equity","NI_INCLUDING_MINORITY_INT_RATIO","FQ3 2020","FQ3 2020","Currency=USD","Period=FQ","BEST_FPERIOD_OVERRIDE=FQ","FILING_STATUS=MR","SCALING_FORMAT=MLN","FA_ADJUSTED=GAAP","Sort=A","Dates=H","DateFormat=P","Fill=—","Direction=H","UseDPDF=Y")</f>
        <v>367.36900000000003</v>
      </c>
      <c r="H37" s="16" cm="1">
        <f t="array" ref="H37">_xll.BDH("PH US Equity","NI_INCLUDING_MINORITY_INT_RATIO","FQ4 2020","FQ4 2020","Currency=USD","Period=FQ","BEST_FPERIOD_OVERRIDE=FQ","FILING_STATUS=MR","SCALING_FORMAT=MLN","FA_ADJUSTED=GAAP","Sort=A","Dates=H","DateFormat=P","Fill=—","Direction=H","UseDPDF=Y")</f>
        <v>289.47699999999998</v>
      </c>
      <c r="I37" s="16" cm="1">
        <f t="array" ref="I37">_xll.BDH("PH US Equity","NI_INCLUDING_MINORITY_INT_RATIO","FQ1 2021","FQ1 2021","Currency=USD","Period=FQ","BEST_FPERIOD_OVERRIDE=FQ","FILING_STATUS=MR","SCALING_FORMAT=MLN","FA_ADJUSTED=GAAP","Sort=A","Dates=H","DateFormat=P","Fill=—","Direction=H","UseDPDF=Y")</f>
        <v>320.11099999999999</v>
      </c>
      <c r="J37" s="16" cm="1">
        <f t="array" ref="J37">_xll.BDH("PH US Equity","NI_INCLUDING_MINORITY_INT_RATIO","FQ2 2021","FQ2 2021","Currency=USD","Period=FQ","BEST_FPERIOD_OVERRIDE=FQ","FILING_STATUS=MR","SCALING_FORMAT=MLN","FA_ADJUSTED=GAAP","Sort=A","Dates=H","DateFormat=P","Fill=—","Direction=H","UseDPDF=Y")</f>
        <v>448.54199999999997</v>
      </c>
      <c r="K37" s="16" cm="1">
        <f t="array" ref="K37">_xll.BDH("PH US Equity","NI_INCLUDING_MINORITY_INT_RATIO","FQ3 2021","FQ3 2021","Currency=USD","Period=FQ","BEST_FPERIOD_OVERRIDE=FQ","FILING_STATUS=MR","SCALING_FORMAT=MLN","FA_ADJUSTED=GAAP","Sort=A","Dates=H","DateFormat=P","Fill=—","Direction=H","UseDPDF=Y")</f>
        <v>473.23899999999998</v>
      </c>
      <c r="L37" s="16" cm="1">
        <f t="array" ref="L37">_xll.BDH("PH US Equity","NI_INCLUDING_MINORITY_INT_RATIO","FQ4 2021","FQ4 2021","Currency=USD","Period=FQ","BEST_FPERIOD_OVERRIDE=FQ","FILING_STATUS=MR","SCALING_FORMAT=MLN","FA_ADJUSTED=GAAP","Sort=A","Dates=H","DateFormat=P","Fill=—","Direction=H","UseDPDF=Y")</f>
        <v>504.96899999999999</v>
      </c>
      <c r="M37" s="16" cm="1">
        <f t="array" ref="M37">_xll.BDH("PH US Equity","NI_INCLUDING_MINORITY_INT_RATIO","FQ1 2022","FQ1 2022","Currency=USD","Period=FQ","BEST_FPERIOD_OVERRIDE=FQ","FILING_STATUS=MR","SCALING_FORMAT=MLN","FA_ADJUSTED=GAAP","Sort=A","Dates=H","DateFormat=P","Fill=—","Direction=H","UseDPDF=Y")</f>
        <v>451.46300000000002</v>
      </c>
      <c r="N37" s="16" cm="1">
        <f t="array" ref="N37">_xll.BDH("PH US Equity","NI_INCLUDING_MINORITY_INT_RATIO","FQ2 2022","FQ2 2022","Currency=USD","Period=FQ","BEST_FPERIOD_OVERRIDE=FQ","FILING_STATUS=MR","SCALING_FORMAT=MLN","FA_ADJUSTED=GAAP","Sort=A","Dates=H","DateFormat=P","Fill=—","Direction=H","UseDPDF=Y")</f>
        <v>387.72899999999998</v>
      </c>
      <c r="O37" s="16" cm="1">
        <f t="array" ref="O37">_xll.BDH("PH US Equity","NI_INCLUDING_MINORITY_INT_RATIO","FQ3 2022","FQ3 2022","Currency=USD","Period=FQ","BEST_FPERIOD_OVERRIDE=FQ","FILING_STATUS=MR","SCALING_FORMAT=MLN","FA_ADJUSTED=GAAP","Sort=A","Dates=H","DateFormat=P","Fill=—","Direction=H","UseDPDF=Y")</f>
        <v>348.08800000000002</v>
      </c>
      <c r="P37" s="16" cm="1">
        <f t="array" ref="P37">_xll.BDH("PH US Equity","NI_INCLUDING_MINORITY_INT_RATIO","FQ4 2022","FQ4 2022","Currency=USD","Period=FQ","BEST_FPERIOD_OVERRIDE=FQ","FILING_STATUS=MR","SCALING_FORMAT=MLN","FA_ADJUSTED=GAAP","Sort=A","Dates=H","DateFormat=P","Fill=—","Direction=H","UseDPDF=Y")</f>
        <v>128.90600000000001</v>
      </c>
      <c r="Q37" s="16" cm="1">
        <f t="array" ref="Q37">_xll.BDH("PH US Equity","NI_INCLUDING_MINORITY_INT_RATIO","FQ1 2023","FQ1 2023","Currency=USD","Period=FQ","BEST_FPERIOD_OVERRIDE=FQ","FILING_STATUS=MR","SCALING_FORMAT=MLN","FA_ADJUSTED=GAAP","Sort=A","Dates=H","DateFormat=P","Fill=—","Direction=H","UseDPDF=Y")</f>
        <v>388.03699999999998</v>
      </c>
      <c r="R37" s="16" cm="1">
        <f t="array" ref="R37">_xll.BDH("PH US Equity","NI_INCLUDING_MINORITY_INT_RATIO","FQ2 2023","FQ2 2023","Currency=USD","Period=FQ","BEST_FPERIOD_OVERRIDE=FQ","FILING_STATUS=MR","SCALING_FORMAT=MLN","FA_ADJUSTED=GAAP","Sort=A","Dates=H","DateFormat=P","Fill=—","Direction=H","UseDPDF=Y")</f>
        <v>395.46100000000001</v>
      </c>
      <c r="S37" s="16" cm="1">
        <f t="array" ref="S37">_xll.BDH("PH US Equity","NI_INCLUDING_MINORITY_INT_RATIO","FQ3 2023","FQ3 2023","Currency=USD","Period=FQ","BEST_FPERIOD_OVERRIDE=FQ","FILING_STATUS=MR","SCALING_FORMAT=MLN","FA_ADJUSTED=GAAP","Sort=A","Dates=H","DateFormat=P","Fill=—","Direction=H","UseDPDF=Y")</f>
        <v>590.96</v>
      </c>
      <c r="T37" s="16" cm="1">
        <f t="array" ref="T37">_xll.BDH("PH US Equity","NI_INCLUDING_MINORITY_INT_RATIO","FQ4 2023","FQ4 2023","Currency=USD","Period=FQ","BEST_FPERIOD_OVERRIDE=FQ","FILING_STATUS=MR","SCALING_FORMAT=MLN","FA_ADJUSTED=GAAP","Sort=A","Dates=H","DateFormat=P","Fill=—","Direction=H","UseDPDF=Y")</f>
        <v>709.07799999999997</v>
      </c>
      <c r="U37" s="16" cm="1">
        <f t="array" ref="U37">_xll.BDH("PH US Equity","NI_INCLUDING_MINORITY_INT_RATIO","FQ1 2024","FQ1 2024","Currency=USD","Period=FQ","BEST_FPERIOD_OVERRIDE=FQ","FILING_STATUS=MR","SCALING_FORMAT=MLN","FA_ADJUSTED=GAAP","Sort=A","Dates=H","DateFormat=P","Fill=—","Direction=H","UseDPDF=Y")</f>
        <v>651.072</v>
      </c>
      <c r="V37" s="16" cm="1">
        <f t="array" ref="V37">_xll.BDH("PH US Equity","NI_INCLUDING_MINORITY_INT_RATIO","FQ2 2024","FQ2 2024","Currency=USD","Period=FQ","BEST_FPERIOD_OVERRIDE=FQ","FILING_STATUS=MR","SCALING_FORMAT=MLN","FA_ADJUSTED=GAAP","Sort=A","Dates=H","DateFormat=P","Fill=—","Direction=H","UseDPDF=Y")</f>
        <v>682.05700000000002</v>
      </c>
      <c r="W37" s="16" cm="1">
        <f t="array" ref="W37">_xll.BDH("PH US Equity","NI_INCLUDING_MINORITY_INT_RATIO","FQ3 2024","FQ3 2024","Currency=USD","Period=FQ","BEST_FPERIOD_OVERRIDE=FQ","FILING_STATUS=MR","SCALING_FORMAT=MLN","FA_ADJUSTED=GAAP","Sort=A","Dates=H","DateFormat=P","Fill=—","Direction=H","UseDPDF=Y")</f>
        <v>726.73400000000004</v>
      </c>
      <c r="X37" s="16" cm="1">
        <f t="array" ref="X37">_xll.BDH("PH US Equity","NI_INCLUDING_MINORITY_INT_RATIO","FQ4 2024","FQ4 2024","Currency=USD","Period=FQ","BEST_FPERIOD_OVERRIDE=FQ","FILING_STATUS=MR","SCALING_FORMAT=MLN","FA_ADJUSTED=GAAP","Sort=A","Dates=H","DateFormat=P","Fill=—","Direction=H","UseDPDF=Y")</f>
        <v>785.07299999999998</v>
      </c>
      <c r="Y37" s="16" cm="1">
        <f t="array" ref="Y37">_xll.BDH("PH US Equity","NI_INCLUDING_MINORITY_INT_RATIO","FQ1 2025","FQ1 2025","Currency=USD","Period=FQ","BEST_FPERIOD_OVERRIDE=FQ","FILING_STATUS=MR","SCALING_FORMAT=MLN","FA_ADJUSTED=GAAP","Sort=A","Dates=H","DateFormat=P","Fill=—","Direction=H","UseDPDF=Y")</f>
        <v>698.52800000000002</v>
      </c>
      <c r="Z37" s="16" cm="1">
        <f t="array" ref="Z37">_xll.BDH("PH US Equity","NI_INCLUDING_MINORITY_INT_RATIO","FQ2 2025","FQ2 2025","Currency=USD","Period=FQ","BEST_FPERIOD_OVERRIDE=FQ","FILING_STATUS=MR","SCALING_FORMAT=MLN","FA_ADJUSTED=GAAP","Sort=A","Dates=H","DateFormat=P","Fill=—","Direction=H","UseDPDF=Y")</f>
        <v>948.649</v>
      </c>
      <c r="AA37" s="16" cm="1">
        <f t="array" ref="AA37">_xll.BDH("PH US Equity","NI_INCLUDING_MINORITY_INT_RATIO","FQ3 2025","FQ3 2025","Currency=USD","Period=FQ","BEST_FPERIOD_OVERRIDE=FQ","FILING_STATUS=MR","SCALING_FORMAT=MLN","FA_ADJUSTED=GAAP","Sort=A","Dates=H","DateFormat=P","Fill=—","Direction=H","UseDPDF=Y")</f>
        <v>961.18600000000004</v>
      </c>
      <c r="AB37" s="16" cm="1">
        <f t="array" ref="AB37">_xll.BDH("PH US Equity","NI_INCLUDING_MINORITY_INT_RATIO","FQ4 2025","FQ4 2025","Currency=USD","Period=FQ","BEST_FPERIOD_OVERRIDE=FQ","FILING_STATUS=MR","SCALING_FORMAT=MLN","FA_ADJUSTED=GAAP","Sort=A","Dates=H","DateFormat=P","Fill=—","Direction=H","UseDPDF=Y")</f>
        <v>923</v>
      </c>
      <c r="AC37" s="16" cm="1">
        <f t="array" ref="AC37">_xll.BDH("PH US Equity","NI_INCLUDING_MINORITY_INT_RATIO","FQ1 2026","FQ1 2026","Currency=USD","Period=FQ","BEST_FPERIOD_OVERRIDE=FQ","FILING_STATUS=MR","SCALING_FORMAT=MLN","FA_ADJUSTED=GAAP","Sort=A","Dates=H","DateFormat=P","Fill=—","Direction=H","UseDPDF=Y")</f>
        <v>808</v>
      </c>
      <c r="AD37" s="16" cm="1">
        <f t="array" ref="AD37">_xll.BDH("PH US Equity","NI_INCLUDING_MINORITY_INT_RATIO","FQ2 2026","FQ2 2026","Currency=USD","Period=FQ","BEST_FPERIOD_OVERRIDE=FQ","FILING_STATUS=MR","SCALING_FORMAT=MLN","FA_ADJUSTED=GAAP","Sort=A","Dates=H","DateFormat=P","Fill=—","Direction=H","UseDPDF=Y")</f>
        <v>845</v>
      </c>
      <c r="AE37" s="16"/>
      <c r="AF37" s="16"/>
    </row>
    <row r="38" spans="1:32" x14ac:dyDescent="0.25">
      <c r="A38" s="10" t="s">
        <v>128</v>
      </c>
      <c r="B38" s="10" t="s">
        <v>129</v>
      </c>
      <c r="C38" s="13" cm="1">
        <f t="array" ref="C38">_xll.BDH("PH US Equity","MIN_NONCONTROL_INTEREST_CREDITS","FQ3 2019","FQ3 2019","Currency=USD","Period=FQ","BEST_FPERIOD_OVERRIDE=FQ","FILING_STATUS=MR","SCALING_FORMAT=MLN","FA_ADJUSTED=GAAP","Sort=A","Dates=H","DateFormat=P","Fill=—","Direction=H","UseDPDF=Y")</f>
        <v>0.13300000000000001</v>
      </c>
      <c r="D38" s="13" cm="1">
        <f t="array" ref="D38">_xll.BDH("PH US Equity","MIN_NONCONTROL_INTEREST_CREDITS","FQ4 2019","FQ4 2019","Currency=USD","Period=FQ","BEST_FPERIOD_OVERRIDE=FQ","FILING_STATUS=MR","SCALING_FORMAT=MLN","FA_ADJUSTED=GAAP","Sort=A","Dates=H","DateFormat=P","Fill=—","Direction=H","UseDPDF=Y")</f>
        <v>7.0000000000000007E-2</v>
      </c>
      <c r="E38" s="13" cm="1">
        <f t="array" ref="E38">_xll.BDH("PH US Equity","MIN_NONCONTROL_INTEREST_CREDITS","FQ1 2020","FQ1 2020","Currency=USD","Period=FQ","BEST_FPERIOD_OVERRIDE=FQ","FILING_STATUS=MR","SCALING_FORMAT=MLN","FA_ADJUSTED=GAAP","Sort=A","Dates=H","DateFormat=P","Fill=—","Direction=H","UseDPDF=Y")</f>
        <v>0.14299999999999999</v>
      </c>
      <c r="F38" s="13" cm="1">
        <f t="array" ref="F38">_xll.BDH("PH US Equity","MIN_NONCONTROL_INTEREST_CREDITS","FQ2 2020","FQ2 2020","Currency=USD","Period=FQ","BEST_FPERIOD_OVERRIDE=FQ","FILING_STATUS=MR","SCALING_FORMAT=MLN","FA_ADJUSTED=GAAP","Sort=A","Dates=H","DateFormat=P","Fill=—","Direction=H","UseDPDF=Y")</f>
        <v>0.124</v>
      </c>
      <c r="G38" s="13" cm="1">
        <f t="array" ref="G38">_xll.BDH("PH US Equity","MIN_NONCONTROL_INTEREST_CREDITS","FQ3 2020","FQ3 2020","Currency=USD","Period=FQ","BEST_FPERIOD_OVERRIDE=FQ","FILING_STATUS=MR","SCALING_FORMAT=MLN","FA_ADJUSTED=GAAP","Sort=A","Dates=H","DateFormat=P","Fill=—","Direction=H","UseDPDF=Y")</f>
        <v>0.11600000000000001</v>
      </c>
      <c r="H38" s="13" cm="1">
        <f t="array" ref="H38">_xll.BDH("PH US Equity","MIN_NONCONTROL_INTEREST_CREDITS","FQ4 2020","FQ4 2020","Currency=USD","Period=FQ","BEST_FPERIOD_OVERRIDE=FQ","FILING_STATUS=MR","SCALING_FORMAT=MLN","FA_ADJUSTED=GAAP","Sort=A","Dates=H","DateFormat=P","Fill=—","Direction=H","UseDPDF=Y")</f>
        <v>-2.1000000000000001E-2</v>
      </c>
      <c r="I38" s="13" cm="1">
        <f t="array" ref="I38">_xll.BDH("PH US Equity","MIN_NONCONTROL_INTEREST_CREDITS","FQ1 2021","FQ1 2021","Currency=USD","Period=FQ","BEST_FPERIOD_OVERRIDE=FQ","FILING_STATUS=MR","SCALING_FORMAT=MLN","FA_ADJUSTED=GAAP","Sort=A","Dates=H","DateFormat=P","Fill=—","Direction=H","UseDPDF=Y")</f>
        <v>0.308</v>
      </c>
      <c r="J38" s="13" cm="1">
        <f t="array" ref="J38">_xll.BDH("PH US Equity","MIN_NONCONTROL_INTEREST_CREDITS","FQ2 2021","FQ2 2021","Currency=USD","Period=FQ","BEST_FPERIOD_OVERRIDE=FQ","FILING_STATUS=MR","SCALING_FORMAT=MLN","FA_ADJUSTED=GAAP","Sort=A","Dates=H","DateFormat=P","Fill=—","Direction=H","UseDPDF=Y")</f>
        <v>0.191</v>
      </c>
      <c r="K38" s="13" cm="1">
        <f t="array" ref="K38">_xll.BDH("PH US Equity","MIN_NONCONTROL_INTEREST_CREDITS","FQ3 2021","FQ3 2021","Currency=USD","Period=FQ","BEST_FPERIOD_OVERRIDE=FQ","FILING_STATUS=MR","SCALING_FORMAT=MLN","FA_ADJUSTED=GAAP","Sort=A","Dates=H","DateFormat=P","Fill=—","Direction=H","UseDPDF=Y")</f>
        <v>8.5999999999999993E-2</v>
      </c>
      <c r="L38" s="13" cm="1">
        <f t="array" ref="L38">_xll.BDH("PH US Equity","MIN_NONCONTROL_INTEREST_CREDITS","FQ4 2021","FQ4 2021","Currency=USD","Period=FQ","BEST_FPERIOD_OVERRIDE=FQ","FILING_STATUS=MR","SCALING_FORMAT=MLN","FA_ADJUSTED=GAAP","Sort=A","Dates=H","DateFormat=P","Fill=—","Direction=H","UseDPDF=Y")</f>
        <v>0.17599999999999999</v>
      </c>
      <c r="M38" s="13" cm="1">
        <f t="array" ref="M38">_xll.BDH("PH US Equity","MIN_NONCONTROL_INTEREST_CREDITS","FQ1 2022","FQ1 2022","Currency=USD","Period=FQ","BEST_FPERIOD_OVERRIDE=FQ","FILING_STATUS=MR","SCALING_FORMAT=MLN","FA_ADJUSTED=GAAP","Sort=A","Dates=H","DateFormat=P","Fill=—","Direction=H","UseDPDF=Y")</f>
        <v>0.30599999999999999</v>
      </c>
      <c r="N38" s="13" cm="1">
        <f t="array" ref="N38">_xll.BDH("PH US Equity","MIN_NONCONTROL_INTEREST_CREDITS","FQ2 2022","FQ2 2022","Currency=USD","Period=FQ","BEST_FPERIOD_OVERRIDE=FQ","FILING_STATUS=MR","SCALING_FORMAT=MLN","FA_ADJUSTED=GAAP","Sort=A","Dates=H","DateFormat=P","Fill=—","Direction=H","UseDPDF=Y")</f>
        <v>0.129</v>
      </c>
      <c r="O38" s="13" cm="1">
        <f t="array" ref="O38">_xll.BDH("PH US Equity","MIN_NONCONTROL_INTEREST_CREDITS","FQ3 2022","FQ3 2022","Currency=USD","Period=FQ","BEST_FPERIOD_OVERRIDE=FQ","FILING_STATUS=MR","SCALING_FORMAT=MLN","FA_ADJUSTED=GAAP","Sort=A","Dates=H","DateFormat=P","Fill=—","Direction=H","UseDPDF=Y")</f>
        <v>7.0999999999999994E-2</v>
      </c>
      <c r="P38" s="13" cm="1">
        <f t="array" ref="P38">_xll.BDH("PH US Equity","MIN_NONCONTROL_INTEREST_CREDITS","FQ4 2022","FQ4 2022","Currency=USD","Period=FQ","BEST_FPERIOD_OVERRIDE=FQ","FILING_STATUS=MR","SCALING_FORMAT=MLN","FA_ADJUSTED=GAAP","Sort=A","Dates=H","DateFormat=P","Fill=—","Direction=H","UseDPDF=Y")</f>
        <v>7.4999999999999997E-2</v>
      </c>
      <c r="Q38" s="13" cm="1">
        <f t="array" ref="Q38">_xll.BDH("PH US Equity","MIN_NONCONTROL_INTEREST_CREDITS","FQ1 2023","FQ1 2023","Currency=USD","Period=FQ","BEST_FPERIOD_OVERRIDE=FQ","FILING_STATUS=MR","SCALING_FORMAT=MLN","FA_ADJUSTED=GAAP","Sort=A","Dates=H","DateFormat=P","Fill=—","Direction=H","UseDPDF=Y")</f>
        <v>0.183</v>
      </c>
      <c r="R38" s="13" cm="1">
        <f t="array" ref="R38">_xll.BDH("PH US Equity","MIN_NONCONTROL_INTEREST_CREDITS","FQ2 2023","FQ2 2023","Currency=USD","Period=FQ","BEST_FPERIOD_OVERRIDE=FQ","FILING_STATUS=MR","SCALING_FORMAT=MLN","FA_ADJUSTED=GAAP","Sort=A","Dates=H","DateFormat=P","Fill=—","Direction=H","UseDPDF=Y")</f>
        <v>0.224</v>
      </c>
      <c r="S38" s="13" cm="1">
        <f t="array" ref="S38">_xll.BDH("PH US Equity","MIN_NONCONTROL_INTEREST_CREDITS","FQ3 2023","FQ3 2023","Currency=USD","Period=FQ","BEST_FPERIOD_OVERRIDE=FQ","FILING_STATUS=MR","SCALING_FORMAT=MLN","FA_ADJUSTED=GAAP","Sort=A","Dates=H","DateFormat=P","Fill=—","Direction=H","UseDPDF=Y")</f>
        <v>7.0999999999999994E-2</v>
      </c>
      <c r="T38" s="13" cm="1">
        <f t="array" ref="T38">_xll.BDH("PH US Equity","MIN_NONCONTROL_INTEREST_CREDITS","FQ4 2023","FQ4 2023","Currency=USD","Period=FQ","BEST_FPERIOD_OVERRIDE=FQ","FILING_STATUS=MR","SCALING_FORMAT=MLN","FA_ADJUSTED=GAAP","Sort=A","Dates=H","DateFormat=P","Fill=—","Direction=H","UseDPDF=Y")</f>
        <v>0.122</v>
      </c>
      <c r="U38" s="13" cm="1">
        <f t="array" ref="U38">_xll.BDH("PH US Equity","MIN_NONCONTROL_INTEREST_CREDITS","FQ1 2024","FQ1 2024","Currency=USD","Period=FQ","BEST_FPERIOD_OVERRIDE=FQ","FILING_STATUS=MR","SCALING_FORMAT=MLN","FA_ADJUSTED=GAAP","Sort=A","Dates=H","DateFormat=P","Fill=—","Direction=H","UseDPDF=Y")</f>
        <v>0.245</v>
      </c>
      <c r="V38" s="13" cm="1">
        <f t="array" ref="V38">_xll.BDH("PH US Equity","MIN_NONCONTROL_INTEREST_CREDITS","FQ2 2024","FQ2 2024","Currency=USD","Period=FQ","BEST_FPERIOD_OVERRIDE=FQ","FILING_STATUS=MR","SCALING_FORMAT=MLN","FA_ADJUSTED=GAAP","Sort=A","Dates=H","DateFormat=P","Fill=—","Direction=H","UseDPDF=Y")</f>
        <v>0.20599999999999999</v>
      </c>
      <c r="W38" s="13" cm="1">
        <f t="array" ref="W38">_xll.BDH("PH US Equity","MIN_NONCONTROL_INTEREST_CREDITS","FQ3 2024","FQ3 2024","Currency=USD","Period=FQ","BEST_FPERIOD_OVERRIDE=FQ","FILING_STATUS=MR","SCALING_FORMAT=MLN","FA_ADJUSTED=GAAP","Sort=A","Dates=H","DateFormat=P","Fill=—","Direction=H","UseDPDF=Y")</f>
        <v>0.16</v>
      </c>
      <c r="X38" s="13" cm="1">
        <f t="array" ref="X38">_xll.BDH("PH US Equity","MIN_NONCONTROL_INTEREST_CREDITS","FQ4 2024","FQ4 2024","Currency=USD","Period=FQ","BEST_FPERIOD_OVERRIDE=FQ","FILING_STATUS=MR","SCALING_FORMAT=MLN","FA_ADJUSTED=GAAP","Sort=A","Dates=H","DateFormat=P","Fill=—","Direction=H","UseDPDF=Y")</f>
        <v>0.11</v>
      </c>
      <c r="Y38" s="13" cm="1">
        <f t="array" ref="Y38">_xll.BDH("PH US Equity","MIN_NONCONTROL_INTEREST_CREDITS","FQ1 2025","FQ1 2025","Currency=USD","Period=FQ","BEST_FPERIOD_OVERRIDE=FQ","FILING_STATUS=MR","SCALING_FORMAT=MLN","FA_ADJUSTED=GAAP","Sort=A","Dates=H","DateFormat=P","Fill=—","Direction=H","UseDPDF=Y")</f>
        <v>0.108</v>
      </c>
      <c r="Z38" s="13" cm="1">
        <f t="array" ref="Z38">_xll.BDH("PH US Equity","MIN_NONCONTROL_INTEREST_CREDITS","FQ2 2025","FQ2 2025","Currency=USD","Period=FQ","BEST_FPERIOD_OVERRIDE=FQ","FILING_STATUS=MR","SCALING_FORMAT=MLN","FA_ADJUSTED=GAAP","Sort=A","Dates=H","DateFormat=P","Fill=—","Direction=H","UseDPDF=Y")</f>
        <v>0.107</v>
      </c>
      <c r="AA38" s="13" cm="1">
        <f t="array" ref="AA38">_xll.BDH("PH US Equity","MIN_NONCONTROL_INTEREST_CREDITS","FQ3 2025","FQ3 2025","Currency=USD","Period=FQ","BEST_FPERIOD_OVERRIDE=FQ","FILING_STATUS=MR","SCALING_FORMAT=MLN","FA_ADJUSTED=GAAP","Sort=A","Dates=H","DateFormat=P","Fill=—","Direction=H","UseDPDF=Y")</f>
        <v>0.32</v>
      </c>
      <c r="AB38" s="13" cm="1">
        <f t="array" ref="AB38">_xll.BDH("PH US Equity","MIN_NONCONTROL_INTEREST_CREDITS","FQ4 2025","FQ4 2025","Currency=USD","Period=FQ","BEST_FPERIOD_OVERRIDE=FQ","FILING_STATUS=MR","SCALING_FORMAT=MLN","FA_ADJUSTED=GAAP","Sort=A","Dates=H","DateFormat=P","Fill=—","Direction=H","UseDPDF=Y")</f>
        <v>0</v>
      </c>
      <c r="AC38" s="13" t="str" cm="1">
        <f t="array" ref="AC38">_xll.BDH("PH US Equity","MIN_NONCONTROL_INTEREST_CREDITS","FQ1 2026","FQ1 2026","Currency=USD","Period=FQ","BEST_FPERIOD_OVERRIDE=FQ","FILING_STATUS=MR","SCALING_FORMAT=MLN","FA_ADJUSTED=GAAP","Sort=A","Dates=H","DateFormat=P","Fill=—","Direction=H","UseDPDF=Y")</f>
        <v>—</v>
      </c>
      <c r="AD38" s="13" t="str" cm="1">
        <f t="array" ref="AD38">_xll.BDH("PH US Equity","MIN_NONCONTROL_INTEREST_CREDITS","FQ2 2026","FQ2 2026","Currency=USD","Period=FQ","BEST_FPERIOD_OVERRIDE=FQ","FILING_STATUS=MR","SCALING_FORMAT=MLN","FA_ADJUSTED=GAAP","Sort=A","Dates=H","DateFormat=P","Fill=—","Direction=H","UseDPDF=Y")</f>
        <v>—</v>
      </c>
      <c r="AE38" s="13"/>
      <c r="AF38" s="13"/>
    </row>
    <row r="39" spans="1:32" x14ac:dyDescent="0.25">
      <c r="A39" s="6" t="s">
        <v>130</v>
      </c>
      <c r="B39" s="6" t="s">
        <v>131</v>
      </c>
      <c r="C39" s="16" cm="1">
        <f t="array" ref="C39">_xll.BDH("PH US Equity","NET_INCOME","FQ3 2019","FQ3 2019","Currency=USD","Period=FQ","BEST_FPERIOD_OVERRIDE=FQ","FILING_STATUS=MR","SCALING_FORMAT=MLN","FA_ADJUSTED=GAAP","Sort=A","Dates=H","DateFormat=P","Fill=—","Direction=H","UseDPDF=Y")</f>
        <v>411.24799999999999</v>
      </c>
      <c r="D39" s="16" cm="1">
        <f t="array" ref="D39">_xll.BDH("PH US Equity","NET_INCOME","FQ4 2019","FQ4 2019","Currency=USD","Period=FQ","BEST_FPERIOD_OVERRIDE=FQ","FILING_STATUS=MR","SCALING_FORMAT=MLN","FA_ADJUSTED=GAAP","Sort=A","Dates=H","DateFormat=P","Fill=—","Direction=H","UseDPDF=Y")</f>
        <v>413.66800000000001</v>
      </c>
      <c r="E39" s="16" cm="1">
        <f t="array" ref="E39">_xll.BDH("PH US Equity","NET_INCOME","FQ1 2020","FQ1 2020","Currency=USD","Period=FQ","BEST_FPERIOD_OVERRIDE=FQ","FILING_STATUS=MR","SCALING_FORMAT=MLN","FA_ADJUSTED=GAAP","Sort=A","Dates=H","DateFormat=P","Fill=—","Direction=H","UseDPDF=Y")</f>
        <v>338.89800000000002</v>
      </c>
      <c r="F39" s="16" cm="1">
        <f t="array" ref="F39">_xll.BDH("PH US Equity","NET_INCOME","FQ2 2020","FQ2 2020","Currency=USD","Period=FQ","BEST_FPERIOD_OVERRIDE=FQ","FILING_STATUS=MR","SCALING_FORMAT=MLN","FA_ADJUSTED=GAAP","Sort=A","Dates=H","DateFormat=P","Fill=—","Direction=H","UseDPDF=Y")</f>
        <v>204.47399999999999</v>
      </c>
      <c r="G39" s="16" cm="1">
        <f t="array" ref="G39">_xll.BDH("PH US Equity","NET_INCOME","FQ3 2020","FQ3 2020","Currency=USD","Period=FQ","BEST_FPERIOD_OVERRIDE=FQ","FILING_STATUS=MR","SCALING_FORMAT=MLN","FA_ADJUSTED=GAAP","Sort=A","Dates=H","DateFormat=P","Fill=—","Direction=H","UseDPDF=Y")</f>
        <v>367.25299999999999</v>
      </c>
      <c r="H39" s="16" cm="1">
        <f t="array" ref="H39">_xll.BDH("PH US Equity","NET_INCOME","FQ4 2020","FQ4 2020","Currency=USD","Period=FQ","BEST_FPERIOD_OVERRIDE=FQ","FILING_STATUS=MR","SCALING_FORMAT=MLN","FA_ADJUSTED=GAAP","Sort=A","Dates=H","DateFormat=P","Fill=—","Direction=H","UseDPDF=Y")</f>
        <v>289.49799999999999</v>
      </c>
      <c r="I39" s="16" cm="1">
        <f t="array" ref="I39">_xll.BDH("PH US Equity","NET_INCOME","FQ1 2021","FQ1 2021","Currency=USD","Period=FQ","BEST_FPERIOD_OVERRIDE=FQ","FILING_STATUS=MR","SCALING_FORMAT=MLN","FA_ADJUSTED=GAAP","Sort=A","Dates=H","DateFormat=P","Fill=—","Direction=H","UseDPDF=Y")</f>
        <v>319.803</v>
      </c>
      <c r="J39" s="16" cm="1">
        <f t="array" ref="J39">_xll.BDH("PH US Equity","NET_INCOME","FQ2 2021","FQ2 2021","Currency=USD","Period=FQ","BEST_FPERIOD_OVERRIDE=FQ","FILING_STATUS=MR","SCALING_FORMAT=MLN","FA_ADJUSTED=GAAP","Sort=A","Dates=H","DateFormat=P","Fill=—","Direction=H","UseDPDF=Y")</f>
        <v>448.351</v>
      </c>
      <c r="K39" s="16" cm="1">
        <f t="array" ref="K39">_xll.BDH("PH US Equity","NET_INCOME","FQ3 2021","FQ3 2021","Currency=USD","Period=FQ","BEST_FPERIOD_OVERRIDE=FQ","FILING_STATUS=MR","SCALING_FORMAT=MLN","FA_ADJUSTED=GAAP","Sort=A","Dates=H","DateFormat=P","Fill=—","Direction=H","UseDPDF=Y")</f>
        <v>473.15300000000002</v>
      </c>
      <c r="L39" s="16" cm="1">
        <f t="array" ref="L39">_xll.BDH("PH US Equity","NET_INCOME","FQ4 2021","FQ4 2021","Currency=USD","Period=FQ","BEST_FPERIOD_OVERRIDE=FQ","FILING_STATUS=MR","SCALING_FORMAT=MLN","FA_ADJUSTED=GAAP","Sort=A","Dates=H","DateFormat=P","Fill=—","Direction=H","UseDPDF=Y")</f>
        <v>504.79300000000001</v>
      </c>
      <c r="M39" s="16" cm="1">
        <f t="array" ref="M39">_xll.BDH("PH US Equity","NET_INCOME","FQ1 2022","FQ1 2022","Currency=USD","Period=FQ","BEST_FPERIOD_OVERRIDE=FQ","FILING_STATUS=MR","SCALING_FORMAT=MLN","FA_ADJUSTED=GAAP","Sort=A","Dates=H","DateFormat=P","Fill=—","Direction=H","UseDPDF=Y")</f>
        <v>451.15699999999998</v>
      </c>
      <c r="N39" s="16" cm="1">
        <f t="array" ref="N39">_xll.BDH("PH US Equity","NET_INCOME","FQ2 2022","FQ2 2022","Currency=USD","Period=FQ","BEST_FPERIOD_OVERRIDE=FQ","FILING_STATUS=MR","SCALING_FORMAT=MLN","FA_ADJUSTED=GAAP","Sort=A","Dates=H","DateFormat=P","Fill=—","Direction=H","UseDPDF=Y")</f>
        <v>387.6</v>
      </c>
      <c r="O39" s="16" cm="1">
        <f t="array" ref="O39">_xll.BDH("PH US Equity","NET_INCOME","FQ3 2022","FQ3 2022","Currency=USD","Period=FQ","BEST_FPERIOD_OVERRIDE=FQ","FILING_STATUS=MR","SCALING_FORMAT=MLN","FA_ADJUSTED=GAAP","Sort=A","Dates=H","DateFormat=P","Fill=—","Direction=H","UseDPDF=Y")</f>
        <v>348.017</v>
      </c>
      <c r="P39" s="16" cm="1">
        <f t="array" ref="P39">_xll.BDH("PH US Equity","NET_INCOME","FQ4 2022","FQ4 2022","Currency=USD","Period=FQ","BEST_FPERIOD_OVERRIDE=FQ","FILING_STATUS=MR","SCALING_FORMAT=MLN","FA_ADJUSTED=GAAP","Sort=A","Dates=H","DateFormat=P","Fill=—","Direction=H","UseDPDF=Y")</f>
        <v>128.83099999999999</v>
      </c>
      <c r="Q39" s="16" cm="1">
        <f t="array" ref="Q39">_xll.BDH("PH US Equity","NET_INCOME","FQ1 2023","FQ1 2023","Currency=USD","Period=FQ","BEST_FPERIOD_OVERRIDE=FQ","FILING_STATUS=MR","SCALING_FORMAT=MLN","FA_ADJUSTED=GAAP","Sort=A","Dates=H","DateFormat=P","Fill=—","Direction=H","UseDPDF=Y")</f>
        <v>387.85399999999998</v>
      </c>
      <c r="R39" s="16" cm="1">
        <f t="array" ref="R39">_xll.BDH("PH US Equity","NET_INCOME","FQ2 2023","FQ2 2023","Currency=USD","Period=FQ","BEST_FPERIOD_OVERRIDE=FQ","FILING_STATUS=MR","SCALING_FORMAT=MLN","FA_ADJUSTED=GAAP","Sort=A","Dates=H","DateFormat=P","Fill=—","Direction=H","UseDPDF=Y")</f>
        <v>395.23700000000002</v>
      </c>
      <c r="S39" s="16" cm="1">
        <f t="array" ref="S39">_xll.BDH("PH US Equity","NET_INCOME","FQ3 2023","FQ3 2023","Currency=USD","Period=FQ","BEST_FPERIOD_OVERRIDE=FQ","FILING_STATUS=MR","SCALING_FORMAT=MLN","FA_ADJUSTED=GAAP","Sort=A","Dates=H","DateFormat=P","Fill=—","Direction=H","UseDPDF=Y")</f>
        <v>590.88900000000001</v>
      </c>
      <c r="T39" s="16" cm="1">
        <f t="array" ref="T39">_xll.BDH("PH US Equity","NET_INCOME","FQ4 2023","FQ4 2023","Currency=USD","Period=FQ","BEST_FPERIOD_OVERRIDE=FQ","FILING_STATUS=MR","SCALING_FORMAT=MLN","FA_ADJUSTED=GAAP","Sort=A","Dates=H","DateFormat=P","Fill=—","Direction=H","UseDPDF=Y")</f>
        <v>708.95600000000002</v>
      </c>
      <c r="U39" s="16" cm="1">
        <f t="array" ref="U39">_xll.BDH("PH US Equity","NET_INCOME","FQ1 2024","FQ1 2024","Currency=USD","Period=FQ","BEST_FPERIOD_OVERRIDE=FQ","FILING_STATUS=MR","SCALING_FORMAT=MLN","FA_ADJUSTED=GAAP","Sort=A","Dates=H","DateFormat=P","Fill=—","Direction=H","UseDPDF=Y")</f>
        <v>650.827</v>
      </c>
      <c r="V39" s="16" cm="1">
        <f t="array" ref="V39">_xll.BDH("PH US Equity","NET_INCOME","FQ2 2024","FQ2 2024","Currency=USD","Period=FQ","BEST_FPERIOD_OVERRIDE=FQ","FILING_STATUS=MR","SCALING_FORMAT=MLN","FA_ADJUSTED=GAAP","Sort=A","Dates=H","DateFormat=P","Fill=—","Direction=H","UseDPDF=Y")</f>
        <v>681.851</v>
      </c>
      <c r="W39" s="16" cm="1">
        <f t="array" ref="W39">_xll.BDH("PH US Equity","NET_INCOME","FQ3 2024","FQ3 2024","Currency=USD","Period=FQ","BEST_FPERIOD_OVERRIDE=FQ","FILING_STATUS=MR","SCALING_FORMAT=MLN","FA_ADJUSTED=GAAP","Sort=A","Dates=H","DateFormat=P","Fill=—","Direction=H","UseDPDF=Y")</f>
        <v>726.57399999999996</v>
      </c>
      <c r="X39" s="16" cm="1">
        <f t="array" ref="X39">_xll.BDH("PH US Equity","NET_INCOME","FQ4 2024","FQ4 2024","Currency=USD","Period=FQ","BEST_FPERIOD_OVERRIDE=FQ","FILING_STATUS=MR","SCALING_FORMAT=MLN","FA_ADJUSTED=GAAP","Sort=A","Dates=H","DateFormat=P","Fill=—","Direction=H","UseDPDF=Y")</f>
        <v>784.96299999999997</v>
      </c>
      <c r="Y39" s="16" cm="1">
        <f t="array" ref="Y39">_xll.BDH("PH US Equity","NET_INCOME","FQ1 2025","FQ1 2025","Currency=USD","Period=FQ","BEST_FPERIOD_OVERRIDE=FQ","FILING_STATUS=MR","SCALING_FORMAT=MLN","FA_ADJUSTED=GAAP","Sort=A","Dates=H","DateFormat=P","Fill=—","Direction=H","UseDPDF=Y")</f>
        <v>698.42</v>
      </c>
      <c r="Z39" s="16" cm="1">
        <f t="array" ref="Z39">_xll.BDH("PH US Equity","NET_INCOME","FQ2 2025","FQ2 2025","Currency=USD","Period=FQ","BEST_FPERIOD_OVERRIDE=FQ","FILING_STATUS=MR","SCALING_FORMAT=MLN","FA_ADJUSTED=GAAP","Sort=A","Dates=H","DateFormat=P","Fill=—","Direction=H","UseDPDF=Y")</f>
        <v>948.54200000000003</v>
      </c>
      <c r="AA39" s="16" cm="1">
        <f t="array" ref="AA39">_xll.BDH("PH US Equity","NET_INCOME","FQ3 2025","FQ3 2025","Currency=USD","Period=FQ","BEST_FPERIOD_OVERRIDE=FQ","FILING_STATUS=MR","SCALING_FORMAT=MLN","FA_ADJUSTED=GAAP","Sort=A","Dates=H","DateFormat=P","Fill=—","Direction=H","UseDPDF=Y")</f>
        <v>960.86599999999999</v>
      </c>
      <c r="AB39" s="16" cm="1">
        <f t="array" ref="AB39">_xll.BDH("PH US Equity","NET_INCOME","FQ4 2025","FQ4 2025","Currency=USD","Period=FQ","BEST_FPERIOD_OVERRIDE=FQ","FILING_STATUS=MR","SCALING_FORMAT=MLN","FA_ADJUSTED=GAAP","Sort=A","Dates=H","DateFormat=P","Fill=—","Direction=H","UseDPDF=Y")</f>
        <v>923</v>
      </c>
      <c r="AC39" s="16" cm="1">
        <f t="array" ref="AC39">_xll.BDH("PH US Equity","NET_INCOME","FQ1 2026","FQ1 2026","Currency=USD","Period=FQ","BEST_FPERIOD_OVERRIDE=FQ","FILING_STATUS=MR","SCALING_FORMAT=MLN","FA_ADJUSTED=GAAP","Sort=A","Dates=H","DateFormat=P","Fill=—","Direction=H","UseDPDF=Y")</f>
        <v>808</v>
      </c>
      <c r="AD39" s="16" cm="1">
        <f t="array" ref="AD39">_xll.BDH("PH US Equity","NET_INCOME","FQ2 2026","FQ2 2026","Currency=USD","Period=FQ","BEST_FPERIOD_OVERRIDE=FQ","FILING_STATUS=MR","SCALING_FORMAT=MLN","FA_ADJUSTED=GAAP","Sort=A","Dates=H","DateFormat=P","Fill=—","Direction=H","UseDPDF=Y")</f>
        <v>845</v>
      </c>
      <c r="AE39" s="16">
        <v>865.70600000000002</v>
      </c>
      <c r="AF39" s="16">
        <v>926.471</v>
      </c>
    </row>
    <row r="40" spans="1:32" x14ac:dyDescent="0.25">
      <c r="A40" s="10" t="s">
        <v>132</v>
      </c>
      <c r="B40" s="10" t="s">
        <v>133</v>
      </c>
      <c r="C40" s="13" cm="1">
        <f t="array" ref="C40">_xll.BDH("PH US Equity","IS_TOT_CASH_PFD_DVD","FQ3 2019","FQ3 2019","Currency=USD","Period=FQ","BEST_FPERIOD_OVERRIDE=FQ","FILING_STATUS=MR","SCALING_FORMAT=MLN","Sort=A","Dates=H","DateFormat=P","Fill=—","Direction=H","UseDPDF=Y")</f>
        <v>0</v>
      </c>
      <c r="D40" s="13" cm="1">
        <f t="array" ref="D40">_xll.BDH("PH US Equity","IS_TOT_CASH_PFD_DVD","FQ4 2019","FQ4 2019","Currency=USD","Period=FQ","BEST_FPERIOD_OVERRIDE=FQ","FILING_STATUS=MR","SCALING_FORMAT=MLN","Sort=A","Dates=H","DateFormat=P","Fill=—","Direction=H","UseDPDF=Y")</f>
        <v>0</v>
      </c>
      <c r="E40" s="13" cm="1">
        <f t="array" ref="E40">_xll.BDH("PH US Equity","IS_TOT_CASH_PFD_DVD","FQ1 2020","FQ1 2020","Currency=USD","Period=FQ","BEST_FPERIOD_OVERRIDE=FQ","FILING_STATUS=MR","SCALING_FORMAT=MLN","Sort=A","Dates=H","DateFormat=P","Fill=—","Direction=H","UseDPDF=Y")</f>
        <v>0</v>
      </c>
      <c r="F40" s="13" cm="1">
        <f t="array" ref="F40">_xll.BDH("PH US Equity","IS_TOT_CASH_PFD_DVD","FQ2 2020","FQ2 2020","Currency=USD","Period=FQ","BEST_FPERIOD_OVERRIDE=FQ","FILING_STATUS=MR","SCALING_FORMAT=MLN","Sort=A","Dates=H","DateFormat=P","Fill=—","Direction=H","UseDPDF=Y")</f>
        <v>0</v>
      </c>
      <c r="G40" s="13" cm="1">
        <f t="array" ref="G40">_xll.BDH("PH US Equity","IS_TOT_CASH_PFD_DVD","FQ3 2020","FQ3 2020","Currency=USD","Period=FQ","BEST_FPERIOD_OVERRIDE=FQ","FILING_STATUS=MR","SCALING_FORMAT=MLN","Sort=A","Dates=H","DateFormat=P","Fill=—","Direction=H","UseDPDF=Y")</f>
        <v>0</v>
      </c>
      <c r="H40" s="13" cm="1">
        <f t="array" ref="H40">_xll.BDH("PH US Equity","IS_TOT_CASH_PFD_DVD","FQ4 2020","FQ4 2020","Currency=USD","Period=FQ","BEST_FPERIOD_OVERRIDE=FQ","FILING_STATUS=MR","SCALING_FORMAT=MLN","Sort=A","Dates=H","DateFormat=P","Fill=—","Direction=H","UseDPDF=Y")</f>
        <v>0</v>
      </c>
      <c r="I40" s="13" cm="1">
        <f t="array" ref="I40">_xll.BDH("PH US Equity","IS_TOT_CASH_PFD_DVD","FQ1 2021","FQ1 2021","Currency=USD","Period=FQ","BEST_FPERIOD_OVERRIDE=FQ","FILING_STATUS=MR","SCALING_FORMAT=MLN","Sort=A","Dates=H","DateFormat=P","Fill=—","Direction=H","UseDPDF=Y")</f>
        <v>0</v>
      </c>
      <c r="J40" s="13" cm="1">
        <f t="array" ref="J40">_xll.BDH("PH US Equity","IS_TOT_CASH_PFD_DVD","FQ2 2021","FQ2 2021","Currency=USD","Period=FQ","BEST_FPERIOD_OVERRIDE=FQ","FILING_STATUS=MR","SCALING_FORMAT=MLN","Sort=A","Dates=H","DateFormat=P","Fill=—","Direction=H","UseDPDF=Y")</f>
        <v>0</v>
      </c>
      <c r="K40" s="13" cm="1">
        <f t="array" ref="K40">_xll.BDH("PH US Equity","IS_TOT_CASH_PFD_DVD","FQ3 2021","FQ3 2021","Currency=USD","Period=FQ","BEST_FPERIOD_OVERRIDE=FQ","FILING_STATUS=MR","SCALING_FORMAT=MLN","Sort=A","Dates=H","DateFormat=P","Fill=—","Direction=H","UseDPDF=Y")</f>
        <v>0</v>
      </c>
      <c r="L40" s="13" cm="1">
        <f t="array" ref="L40">_xll.BDH("PH US Equity","IS_TOT_CASH_PFD_DVD","FQ4 2021","FQ4 2021","Currency=USD","Period=FQ","BEST_FPERIOD_OVERRIDE=FQ","FILING_STATUS=MR","SCALING_FORMAT=MLN","Sort=A","Dates=H","DateFormat=P","Fill=—","Direction=H","UseDPDF=Y")</f>
        <v>0</v>
      </c>
      <c r="M40" s="13" cm="1">
        <f t="array" ref="M40">_xll.BDH("PH US Equity","IS_TOT_CASH_PFD_DVD","FQ1 2022","FQ1 2022","Currency=USD","Period=FQ","BEST_FPERIOD_OVERRIDE=FQ","FILING_STATUS=MR","SCALING_FORMAT=MLN","Sort=A","Dates=H","DateFormat=P","Fill=—","Direction=H","UseDPDF=Y")</f>
        <v>0</v>
      </c>
      <c r="N40" s="13" cm="1">
        <f t="array" ref="N40">_xll.BDH("PH US Equity","IS_TOT_CASH_PFD_DVD","FQ2 2022","FQ2 2022","Currency=USD","Period=FQ","BEST_FPERIOD_OVERRIDE=FQ","FILING_STATUS=MR","SCALING_FORMAT=MLN","Sort=A","Dates=H","DateFormat=P","Fill=—","Direction=H","UseDPDF=Y")</f>
        <v>0</v>
      </c>
      <c r="O40" s="13" cm="1">
        <f t="array" ref="O40">_xll.BDH("PH US Equity","IS_TOT_CASH_PFD_DVD","FQ3 2022","FQ3 2022","Currency=USD","Period=FQ","BEST_FPERIOD_OVERRIDE=FQ","FILING_STATUS=MR","SCALING_FORMAT=MLN","Sort=A","Dates=H","DateFormat=P","Fill=—","Direction=H","UseDPDF=Y")</f>
        <v>0</v>
      </c>
      <c r="P40" s="13" cm="1">
        <f t="array" ref="P40">_xll.BDH("PH US Equity","IS_TOT_CASH_PFD_DVD","FQ4 2022","FQ4 2022","Currency=USD","Period=FQ","BEST_FPERIOD_OVERRIDE=FQ","FILING_STATUS=MR","SCALING_FORMAT=MLN","Sort=A","Dates=H","DateFormat=P","Fill=—","Direction=H","UseDPDF=Y")</f>
        <v>0</v>
      </c>
      <c r="Q40" s="13" cm="1">
        <f t="array" ref="Q40">_xll.BDH("PH US Equity","IS_TOT_CASH_PFD_DVD","FQ1 2023","FQ1 2023","Currency=USD","Period=FQ","BEST_FPERIOD_OVERRIDE=FQ","FILING_STATUS=MR","SCALING_FORMAT=MLN","Sort=A","Dates=H","DateFormat=P","Fill=—","Direction=H","UseDPDF=Y")</f>
        <v>0</v>
      </c>
      <c r="R40" s="13" cm="1">
        <f t="array" ref="R40">_xll.BDH("PH US Equity","IS_TOT_CASH_PFD_DVD","FQ2 2023","FQ2 2023","Currency=USD","Period=FQ","BEST_FPERIOD_OVERRIDE=FQ","FILING_STATUS=MR","SCALING_FORMAT=MLN","Sort=A","Dates=H","DateFormat=P","Fill=—","Direction=H","UseDPDF=Y")</f>
        <v>0</v>
      </c>
      <c r="S40" s="13" cm="1">
        <f t="array" ref="S40">_xll.BDH("PH US Equity","IS_TOT_CASH_PFD_DVD","FQ3 2023","FQ3 2023","Currency=USD","Period=FQ","BEST_FPERIOD_OVERRIDE=FQ","FILING_STATUS=MR","SCALING_FORMAT=MLN","Sort=A","Dates=H","DateFormat=P","Fill=—","Direction=H","UseDPDF=Y")</f>
        <v>0</v>
      </c>
      <c r="T40" s="13" cm="1">
        <f t="array" ref="T40">_xll.BDH("PH US Equity","IS_TOT_CASH_PFD_DVD","FQ4 2023","FQ4 2023","Currency=USD","Period=FQ","BEST_FPERIOD_OVERRIDE=FQ","FILING_STATUS=MR","SCALING_FORMAT=MLN","Sort=A","Dates=H","DateFormat=P","Fill=—","Direction=H","UseDPDF=Y")</f>
        <v>0</v>
      </c>
      <c r="U40" s="13" cm="1">
        <f t="array" ref="U40">_xll.BDH("PH US Equity","IS_TOT_CASH_PFD_DVD","FQ1 2024","FQ1 2024","Currency=USD","Period=FQ","BEST_FPERIOD_OVERRIDE=FQ","FILING_STATUS=MR","SCALING_FORMAT=MLN","Sort=A","Dates=H","DateFormat=P","Fill=—","Direction=H","UseDPDF=Y")</f>
        <v>0</v>
      </c>
      <c r="V40" s="13" cm="1">
        <f t="array" ref="V40">_xll.BDH("PH US Equity","IS_TOT_CASH_PFD_DVD","FQ2 2024","FQ2 2024","Currency=USD","Period=FQ","BEST_FPERIOD_OVERRIDE=FQ","FILING_STATUS=MR","SCALING_FORMAT=MLN","Sort=A","Dates=H","DateFormat=P","Fill=—","Direction=H","UseDPDF=Y")</f>
        <v>0</v>
      </c>
      <c r="W40" s="13" cm="1">
        <f t="array" ref="W40">_xll.BDH("PH US Equity","IS_TOT_CASH_PFD_DVD","FQ3 2024","FQ3 2024","Currency=USD","Period=FQ","BEST_FPERIOD_OVERRIDE=FQ","FILING_STATUS=MR","SCALING_FORMAT=MLN","Sort=A","Dates=H","DateFormat=P","Fill=—","Direction=H","UseDPDF=Y")</f>
        <v>0</v>
      </c>
      <c r="X40" s="13" cm="1">
        <f t="array" ref="X40">_xll.BDH("PH US Equity","IS_TOT_CASH_PFD_DVD","FQ4 2024","FQ4 2024","Currency=USD","Period=FQ","BEST_FPERIOD_OVERRIDE=FQ","FILING_STATUS=MR","SCALING_FORMAT=MLN","Sort=A","Dates=H","DateFormat=P","Fill=—","Direction=H","UseDPDF=Y")</f>
        <v>0</v>
      </c>
      <c r="Y40" s="13" cm="1">
        <f t="array" ref="Y40">_xll.BDH("PH US Equity","IS_TOT_CASH_PFD_DVD","FQ1 2025","FQ1 2025","Currency=USD","Period=FQ","BEST_FPERIOD_OVERRIDE=FQ","FILING_STATUS=MR","SCALING_FORMAT=MLN","Sort=A","Dates=H","DateFormat=P","Fill=—","Direction=H","UseDPDF=Y")</f>
        <v>0</v>
      </c>
      <c r="Z40" s="13" cm="1">
        <f t="array" ref="Z40">_xll.BDH("PH US Equity","IS_TOT_CASH_PFD_DVD","FQ2 2025","FQ2 2025","Currency=USD","Period=FQ","BEST_FPERIOD_OVERRIDE=FQ","FILING_STATUS=MR","SCALING_FORMAT=MLN","Sort=A","Dates=H","DateFormat=P","Fill=—","Direction=H","UseDPDF=Y")</f>
        <v>0</v>
      </c>
      <c r="AA40" s="13" cm="1">
        <f t="array" ref="AA40">_xll.BDH("PH US Equity","IS_TOT_CASH_PFD_DVD","FQ3 2025","FQ3 2025","Currency=USD","Period=FQ","BEST_FPERIOD_OVERRIDE=FQ","FILING_STATUS=MR","SCALING_FORMAT=MLN","Sort=A","Dates=H","DateFormat=P","Fill=—","Direction=H","UseDPDF=Y")</f>
        <v>0</v>
      </c>
      <c r="AB40" s="13" cm="1">
        <f t="array" ref="AB40">_xll.BDH("PH US Equity","IS_TOT_CASH_PFD_DVD","FQ4 2025","FQ4 2025","Currency=USD","Period=FQ","BEST_FPERIOD_OVERRIDE=FQ","FILING_STATUS=MR","SCALING_FORMAT=MLN","Sort=A","Dates=H","DateFormat=P","Fill=—","Direction=H","UseDPDF=Y")</f>
        <v>0</v>
      </c>
      <c r="AC40" s="13" cm="1">
        <f t="array" ref="AC40">_xll.BDH("PH US Equity","IS_TOT_CASH_PFD_DVD","FQ1 2026","FQ1 2026","Currency=USD","Period=FQ","BEST_FPERIOD_OVERRIDE=FQ","FILING_STATUS=MR","SCALING_FORMAT=MLN","Sort=A","Dates=H","DateFormat=P","Fill=—","Direction=H","UseDPDF=Y")</f>
        <v>0</v>
      </c>
      <c r="AD40" s="13" cm="1">
        <f t="array" ref="AD40">_xll.BDH("PH US Equity","IS_TOT_CASH_PFD_DVD","FQ2 2026","FQ2 2026","Currency=USD","Period=FQ","BEST_FPERIOD_OVERRIDE=FQ","FILING_STATUS=MR","SCALING_FORMAT=MLN","Sort=A","Dates=H","DateFormat=P","Fill=—","Direction=H","UseDPDF=Y")</f>
        <v>0</v>
      </c>
      <c r="AE40" s="13"/>
      <c r="AF40" s="13"/>
    </row>
    <row r="41" spans="1:32" x14ac:dyDescent="0.25">
      <c r="A41" s="10" t="s">
        <v>134</v>
      </c>
      <c r="B41" s="10" t="s">
        <v>135</v>
      </c>
      <c r="C41" s="13" cm="1">
        <f t="array" ref="C41">_xll.BDH("PH US Equity","OTHER_ADJUSTMENTS","FQ3 2019","FQ3 2019","Currency=USD","Period=FQ","BEST_FPERIOD_OVERRIDE=FQ","FILING_STATUS=MR","SCALING_FORMAT=MLN","Sort=A","Dates=H","DateFormat=P","Fill=—","Direction=H","UseDPDF=Y")</f>
        <v>0</v>
      </c>
      <c r="D41" s="13" cm="1">
        <f t="array" ref="D41">_xll.BDH("PH US Equity","OTHER_ADJUSTMENTS","FQ4 2019","FQ4 2019","Currency=USD","Period=FQ","BEST_FPERIOD_OVERRIDE=FQ","FILING_STATUS=MR","SCALING_FORMAT=MLN","Sort=A","Dates=H","DateFormat=P","Fill=—","Direction=H","UseDPDF=Y")</f>
        <v>0</v>
      </c>
      <c r="E41" s="13" cm="1">
        <f t="array" ref="E41">_xll.BDH("PH US Equity","OTHER_ADJUSTMENTS","FQ1 2020","FQ1 2020","Currency=USD","Period=FQ","BEST_FPERIOD_OVERRIDE=FQ","FILING_STATUS=MR","SCALING_FORMAT=MLN","Sort=A","Dates=H","DateFormat=P","Fill=—","Direction=H","UseDPDF=Y")</f>
        <v>0</v>
      </c>
      <c r="F41" s="13" cm="1">
        <f t="array" ref="F41">_xll.BDH("PH US Equity","OTHER_ADJUSTMENTS","FQ2 2020","FQ2 2020","Currency=USD","Period=FQ","BEST_FPERIOD_OVERRIDE=FQ","FILING_STATUS=MR","SCALING_FORMAT=MLN","Sort=A","Dates=H","DateFormat=P","Fill=—","Direction=H","UseDPDF=Y")</f>
        <v>0</v>
      </c>
      <c r="G41" s="13" cm="1">
        <f t="array" ref="G41">_xll.BDH("PH US Equity","OTHER_ADJUSTMENTS","FQ3 2020","FQ3 2020","Currency=USD","Period=FQ","BEST_FPERIOD_OVERRIDE=FQ","FILING_STATUS=MR","SCALING_FORMAT=MLN","Sort=A","Dates=H","DateFormat=P","Fill=—","Direction=H","UseDPDF=Y")</f>
        <v>0</v>
      </c>
      <c r="H41" s="13" cm="1">
        <f t="array" ref="H41">_xll.BDH("PH US Equity","OTHER_ADJUSTMENTS","FQ4 2020","FQ4 2020","Currency=USD","Period=FQ","BEST_FPERIOD_OVERRIDE=FQ","FILING_STATUS=MR","SCALING_FORMAT=MLN","Sort=A","Dates=H","DateFormat=P","Fill=—","Direction=H","UseDPDF=Y")</f>
        <v>0</v>
      </c>
      <c r="I41" s="13" cm="1">
        <f t="array" ref="I41">_xll.BDH("PH US Equity","OTHER_ADJUSTMENTS","FQ1 2021","FQ1 2021","Currency=USD","Period=FQ","BEST_FPERIOD_OVERRIDE=FQ","FILING_STATUS=MR","SCALING_FORMAT=MLN","Sort=A","Dates=H","DateFormat=P","Fill=—","Direction=H","UseDPDF=Y")</f>
        <v>0</v>
      </c>
      <c r="J41" s="13" cm="1">
        <f t="array" ref="J41">_xll.BDH("PH US Equity","OTHER_ADJUSTMENTS","FQ2 2021","FQ2 2021","Currency=USD","Period=FQ","BEST_FPERIOD_OVERRIDE=FQ","FILING_STATUS=MR","SCALING_FORMAT=MLN","Sort=A","Dates=H","DateFormat=P","Fill=—","Direction=H","UseDPDF=Y")</f>
        <v>0</v>
      </c>
      <c r="K41" s="13" cm="1">
        <f t="array" ref="K41">_xll.BDH("PH US Equity","OTHER_ADJUSTMENTS","FQ3 2021","FQ3 2021","Currency=USD","Period=FQ","BEST_FPERIOD_OVERRIDE=FQ","FILING_STATUS=MR","SCALING_FORMAT=MLN","Sort=A","Dates=H","DateFormat=P","Fill=—","Direction=H","UseDPDF=Y")</f>
        <v>0</v>
      </c>
      <c r="L41" s="13" cm="1">
        <f t="array" ref="L41">_xll.BDH("PH US Equity","OTHER_ADJUSTMENTS","FQ4 2021","FQ4 2021","Currency=USD","Period=FQ","BEST_FPERIOD_OVERRIDE=FQ","FILING_STATUS=MR","SCALING_FORMAT=MLN","Sort=A","Dates=H","DateFormat=P","Fill=—","Direction=H","UseDPDF=Y")</f>
        <v>0</v>
      </c>
      <c r="M41" s="13" cm="1">
        <f t="array" ref="M41">_xll.BDH("PH US Equity","OTHER_ADJUSTMENTS","FQ1 2022","FQ1 2022","Currency=USD","Period=FQ","BEST_FPERIOD_OVERRIDE=FQ","FILING_STATUS=MR","SCALING_FORMAT=MLN","Sort=A","Dates=H","DateFormat=P","Fill=—","Direction=H","UseDPDF=Y")</f>
        <v>0</v>
      </c>
      <c r="N41" s="13" cm="1">
        <f t="array" ref="N41">_xll.BDH("PH US Equity","OTHER_ADJUSTMENTS","FQ2 2022","FQ2 2022","Currency=USD","Period=FQ","BEST_FPERIOD_OVERRIDE=FQ","FILING_STATUS=MR","SCALING_FORMAT=MLN","Sort=A","Dates=H","DateFormat=P","Fill=—","Direction=H","UseDPDF=Y")</f>
        <v>0</v>
      </c>
      <c r="O41" s="13" cm="1">
        <f t="array" ref="O41">_xll.BDH("PH US Equity","OTHER_ADJUSTMENTS","FQ3 2022","FQ3 2022","Currency=USD","Period=FQ","BEST_FPERIOD_OVERRIDE=FQ","FILING_STATUS=MR","SCALING_FORMAT=MLN","Sort=A","Dates=H","DateFormat=P","Fill=—","Direction=H","UseDPDF=Y")</f>
        <v>0</v>
      </c>
      <c r="P41" s="13" cm="1">
        <f t="array" ref="P41">_xll.BDH("PH US Equity","OTHER_ADJUSTMENTS","FQ4 2022","FQ4 2022","Currency=USD","Period=FQ","BEST_FPERIOD_OVERRIDE=FQ","FILING_STATUS=MR","SCALING_FORMAT=MLN","Sort=A","Dates=H","DateFormat=P","Fill=—","Direction=H","UseDPDF=Y")</f>
        <v>0</v>
      </c>
      <c r="Q41" s="13" cm="1">
        <f t="array" ref="Q41">_xll.BDH("PH US Equity","OTHER_ADJUSTMENTS","FQ1 2023","FQ1 2023","Currency=USD","Period=FQ","BEST_FPERIOD_OVERRIDE=FQ","FILING_STATUS=MR","SCALING_FORMAT=MLN","Sort=A","Dates=H","DateFormat=P","Fill=—","Direction=H","UseDPDF=Y")</f>
        <v>0</v>
      </c>
      <c r="R41" s="13" cm="1">
        <f t="array" ref="R41">_xll.BDH("PH US Equity","OTHER_ADJUSTMENTS","FQ2 2023","FQ2 2023","Currency=USD","Period=FQ","BEST_FPERIOD_OVERRIDE=FQ","FILING_STATUS=MR","SCALING_FORMAT=MLN","Sort=A","Dates=H","DateFormat=P","Fill=—","Direction=H","UseDPDF=Y")</f>
        <v>0</v>
      </c>
      <c r="S41" s="13" cm="1">
        <f t="array" ref="S41">_xll.BDH("PH US Equity","OTHER_ADJUSTMENTS","FQ3 2023","FQ3 2023","Currency=USD","Period=FQ","BEST_FPERIOD_OVERRIDE=FQ","FILING_STATUS=MR","SCALING_FORMAT=MLN","Sort=A","Dates=H","DateFormat=P","Fill=—","Direction=H","UseDPDF=Y")</f>
        <v>0</v>
      </c>
      <c r="T41" s="13" cm="1">
        <f t="array" ref="T41">_xll.BDH("PH US Equity","OTHER_ADJUSTMENTS","FQ4 2023","FQ4 2023","Currency=USD","Period=FQ","BEST_FPERIOD_OVERRIDE=FQ","FILING_STATUS=MR","SCALING_FORMAT=MLN","Sort=A","Dates=H","DateFormat=P","Fill=—","Direction=H","UseDPDF=Y")</f>
        <v>0</v>
      </c>
      <c r="U41" s="13" cm="1">
        <f t="array" ref="U41">_xll.BDH("PH US Equity","OTHER_ADJUSTMENTS","FQ1 2024","FQ1 2024","Currency=USD","Period=FQ","BEST_FPERIOD_OVERRIDE=FQ","FILING_STATUS=MR","SCALING_FORMAT=MLN","Sort=A","Dates=H","DateFormat=P","Fill=—","Direction=H","UseDPDF=Y")</f>
        <v>0</v>
      </c>
      <c r="V41" s="13" cm="1">
        <f t="array" ref="V41">_xll.BDH("PH US Equity","OTHER_ADJUSTMENTS","FQ2 2024","FQ2 2024","Currency=USD","Period=FQ","BEST_FPERIOD_OVERRIDE=FQ","FILING_STATUS=MR","SCALING_FORMAT=MLN","Sort=A","Dates=H","DateFormat=P","Fill=—","Direction=H","UseDPDF=Y")</f>
        <v>0</v>
      </c>
      <c r="W41" s="13" cm="1">
        <f t="array" ref="W41">_xll.BDH("PH US Equity","OTHER_ADJUSTMENTS","FQ3 2024","FQ3 2024","Currency=USD","Period=FQ","BEST_FPERIOD_OVERRIDE=FQ","FILING_STATUS=MR","SCALING_FORMAT=MLN","Sort=A","Dates=H","DateFormat=P","Fill=—","Direction=H","UseDPDF=Y")</f>
        <v>0</v>
      </c>
      <c r="X41" s="13" cm="1">
        <f t="array" ref="X41">_xll.BDH("PH US Equity","OTHER_ADJUSTMENTS","FQ4 2024","FQ4 2024","Currency=USD","Period=FQ","BEST_FPERIOD_OVERRIDE=FQ","FILING_STATUS=MR","SCALING_FORMAT=MLN","Sort=A","Dates=H","DateFormat=P","Fill=—","Direction=H","UseDPDF=Y")</f>
        <v>0</v>
      </c>
      <c r="Y41" s="13" cm="1">
        <f t="array" ref="Y41">_xll.BDH("PH US Equity","OTHER_ADJUSTMENTS","FQ1 2025","FQ1 2025","Currency=USD","Period=FQ","BEST_FPERIOD_OVERRIDE=FQ","FILING_STATUS=MR","SCALING_FORMAT=MLN","Sort=A","Dates=H","DateFormat=P","Fill=—","Direction=H","UseDPDF=Y")</f>
        <v>0</v>
      </c>
      <c r="Z41" s="13" cm="1">
        <f t="array" ref="Z41">_xll.BDH("PH US Equity","OTHER_ADJUSTMENTS","FQ2 2025","FQ2 2025","Currency=USD","Period=FQ","BEST_FPERIOD_OVERRIDE=FQ","FILING_STATUS=MR","SCALING_FORMAT=MLN","Sort=A","Dates=H","DateFormat=P","Fill=—","Direction=H","UseDPDF=Y")</f>
        <v>0</v>
      </c>
      <c r="AA41" s="13" cm="1">
        <f t="array" ref="AA41">_xll.BDH("PH US Equity","OTHER_ADJUSTMENTS","FQ3 2025","FQ3 2025","Currency=USD","Period=FQ","BEST_FPERIOD_OVERRIDE=FQ","FILING_STATUS=MR","SCALING_FORMAT=MLN","Sort=A","Dates=H","DateFormat=P","Fill=—","Direction=H","UseDPDF=Y")</f>
        <v>0</v>
      </c>
      <c r="AB41" s="13" cm="1">
        <f t="array" ref="AB41">_xll.BDH("PH US Equity","OTHER_ADJUSTMENTS","FQ4 2025","FQ4 2025","Currency=USD","Period=FQ","BEST_FPERIOD_OVERRIDE=FQ","FILING_STATUS=MR","SCALING_FORMAT=MLN","Sort=A","Dates=H","DateFormat=P","Fill=—","Direction=H","UseDPDF=Y")</f>
        <v>0</v>
      </c>
      <c r="AC41" s="13" cm="1">
        <f t="array" ref="AC41">_xll.BDH("PH US Equity","OTHER_ADJUSTMENTS","FQ1 2026","FQ1 2026","Currency=USD","Period=FQ","BEST_FPERIOD_OVERRIDE=FQ","FILING_STATUS=MR","SCALING_FORMAT=MLN","Sort=A","Dates=H","DateFormat=P","Fill=—","Direction=H","UseDPDF=Y")</f>
        <v>0</v>
      </c>
      <c r="AD41" s="13" cm="1">
        <f t="array" ref="AD41">_xll.BDH("PH US Equity","OTHER_ADJUSTMENTS","FQ2 2026","FQ2 2026","Currency=USD","Period=FQ","BEST_FPERIOD_OVERRIDE=FQ","FILING_STATUS=MR","SCALING_FORMAT=MLN","Sort=A","Dates=H","DateFormat=P","Fill=—","Direction=H","UseDPDF=Y")</f>
        <v>0</v>
      </c>
      <c r="AE41" s="13"/>
      <c r="AF41" s="13"/>
    </row>
    <row r="42" spans="1:32" x14ac:dyDescent="0.25">
      <c r="A42" s="6" t="s">
        <v>136</v>
      </c>
      <c r="B42" s="6" t="s">
        <v>137</v>
      </c>
      <c r="C42" s="16" cm="1">
        <f t="array" ref="C42">_xll.BDH("PH US Equity","EARN_FOR_COMMON","FQ3 2019","FQ3 2019","Currency=USD","Period=FQ","BEST_FPERIOD_OVERRIDE=FQ","FILING_STATUS=MR","SCALING_FORMAT=MLN","FA_ADJUSTED=GAAP","Sort=A","Dates=H","DateFormat=P","Fill=—","Direction=H","UseDPDF=Y")</f>
        <v>411.24799999999999</v>
      </c>
      <c r="D42" s="16" cm="1">
        <f t="array" ref="D42">_xll.BDH("PH US Equity","EARN_FOR_COMMON","FQ4 2019","FQ4 2019","Currency=USD","Period=FQ","BEST_FPERIOD_OVERRIDE=FQ","FILING_STATUS=MR","SCALING_FORMAT=MLN","FA_ADJUSTED=GAAP","Sort=A","Dates=H","DateFormat=P","Fill=—","Direction=H","UseDPDF=Y")</f>
        <v>413.66800000000001</v>
      </c>
      <c r="E42" s="16" cm="1">
        <f t="array" ref="E42">_xll.BDH("PH US Equity","EARN_FOR_COMMON","FQ1 2020","FQ1 2020","Currency=USD","Period=FQ","BEST_FPERIOD_OVERRIDE=FQ","FILING_STATUS=MR","SCALING_FORMAT=MLN","FA_ADJUSTED=GAAP","Sort=A","Dates=H","DateFormat=P","Fill=—","Direction=H","UseDPDF=Y")</f>
        <v>338.89800000000002</v>
      </c>
      <c r="F42" s="16" cm="1">
        <f t="array" ref="F42">_xll.BDH("PH US Equity","EARN_FOR_COMMON","FQ2 2020","FQ2 2020","Currency=USD","Period=FQ","BEST_FPERIOD_OVERRIDE=FQ","FILING_STATUS=MR","SCALING_FORMAT=MLN","FA_ADJUSTED=GAAP","Sort=A","Dates=H","DateFormat=P","Fill=—","Direction=H","UseDPDF=Y")</f>
        <v>204.47399999999999</v>
      </c>
      <c r="G42" s="16" cm="1">
        <f t="array" ref="G42">_xll.BDH("PH US Equity","EARN_FOR_COMMON","FQ3 2020","FQ3 2020","Currency=USD","Period=FQ","BEST_FPERIOD_OVERRIDE=FQ","FILING_STATUS=MR","SCALING_FORMAT=MLN","FA_ADJUSTED=GAAP","Sort=A","Dates=H","DateFormat=P","Fill=—","Direction=H","UseDPDF=Y")</f>
        <v>367.25299999999999</v>
      </c>
      <c r="H42" s="16" cm="1">
        <f t="array" ref="H42">_xll.BDH("PH US Equity","EARN_FOR_COMMON","FQ4 2020","FQ4 2020","Currency=USD","Period=FQ","BEST_FPERIOD_OVERRIDE=FQ","FILING_STATUS=MR","SCALING_FORMAT=MLN","FA_ADJUSTED=GAAP","Sort=A","Dates=H","DateFormat=P","Fill=—","Direction=H","UseDPDF=Y")</f>
        <v>289.49799999999999</v>
      </c>
      <c r="I42" s="16" cm="1">
        <f t="array" ref="I42">_xll.BDH("PH US Equity","EARN_FOR_COMMON","FQ1 2021","FQ1 2021","Currency=USD","Period=FQ","BEST_FPERIOD_OVERRIDE=FQ","FILING_STATUS=MR","SCALING_FORMAT=MLN","FA_ADJUSTED=GAAP","Sort=A","Dates=H","DateFormat=P","Fill=—","Direction=H","UseDPDF=Y")</f>
        <v>319.803</v>
      </c>
      <c r="J42" s="16" cm="1">
        <f t="array" ref="J42">_xll.BDH("PH US Equity","EARN_FOR_COMMON","FQ2 2021","FQ2 2021","Currency=USD","Period=FQ","BEST_FPERIOD_OVERRIDE=FQ","FILING_STATUS=MR","SCALING_FORMAT=MLN","FA_ADJUSTED=GAAP","Sort=A","Dates=H","DateFormat=P","Fill=—","Direction=H","UseDPDF=Y")</f>
        <v>448.351</v>
      </c>
      <c r="K42" s="16" cm="1">
        <f t="array" ref="K42">_xll.BDH("PH US Equity","EARN_FOR_COMMON","FQ3 2021","FQ3 2021","Currency=USD","Period=FQ","BEST_FPERIOD_OVERRIDE=FQ","FILING_STATUS=MR","SCALING_FORMAT=MLN","FA_ADJUSTED=GAAP","Sort=A","Dates=H","DateFormat=P","Fill=—","Direction=H","UseDPDF=Y")</f>
        <v>473.15300000000002</v>
      </c>
      <c r="L42" s="16" cm="1">
        <f t="array" ref="L42">_xll.BDH("PH US Equity","EARN_FOR_COMMON","FQ4 2021","FQ4 2021","Currency=USD","Period=FQ","BEST_FPERIOD_OVERRIDE=FQ","FILING_STATUS=MR","SCALING_FORMAT=MLN","FA_ADJUSTED=GAAP","Sort=A","Dates=H","DateFormat=P","Fill=—","Direction=H","UseDPDF=Y")</f>
        <v>504.79300000000001</v>
      </c>
      <c r="M42" s="16" cm="1">
        <f t="array" ref="M42">_xll.BDH("PH US Equity","EARN_FOR_COMMON","FQ1 2022","FQ1 2022","Currency=USD","Period=FQ","BEST_FPERIOD_OVERRIDE=FQ","FILING_STATUS=MR","SCALING_FORMAT=MLN","FA_ADJUSTED=GAAP","Sort=A","Dates=H","DateFormat=P","Fill=—","Direction=H","UseDPDF=Y")</f>
        <v>451.15699999999998</v>
      </c>
      <c r="N42" s="16" cm="1">
        <f t="array" ref="N42">_xll.BDH("PH US Equity","EARN_FOR_COMMON","FQ2 2022","FQ2 2022","Currency=USD","Period=FQ","BEST_FPERIOD_OVERRIDE=FQ","FILING_STATUS=MR","SCALING_FORMAT=MLN","FA_ADJUSTED=GAAP","Sort=A","Dates=H","DateFormat=P","Fill=—","Direction=H","UseDPDF=Y")</f>
        <v>387.6</v>
      </c>
      <c r="O42" s="16" cm="1">
        <f t="array" ref="O42">_xll.BDH("PH US Equity","EARN_FOR_COMMON","FQ3 2022","FQ3 2022","Currency=USD","Period=FQ","BEST_FPERIOD_OVERRIDE=FQ","FILING_STATUS=MR","SCALING_FORMAT=MLN","FA_ADJUSTED=GAAP","Sort=A","Dates=H","DateFormat=P","Fill=—","Direction=H","UseDPDF=Y")</f>
        <v>348.017</v>
      </c>
      <c r="P42" s="16" cm="1">
        <f t="array" ref="P42">_xll.BDH("PH US Equity","EARN_FOR_COMMON","FQ4 2022","FQ4 2022","Currency=USD","Period=FQ","BEST_FPERIOD_OVERRIDE=FQ","FILING_STATUS=MR","SCALING_FORMAT=MLN","FA_ADJUSTED=GAAP","Sort=A","Dates=H","DateFormat=P","Fill=—","Direction=H","UseDPDF=Y")</f>
        <v>128.83099999999999</v>
      </c>
      <c r="Q42" s="16" cm="1">
        <f t="array" ref="Q42">_xll.BDH("PH US Equity","EARN_FOR_COMMON","FQ1 2023","FQ1 2023","Currency=USD","Period=FQ","BEST_FPERIOD_OVERRIDE=FQ","FILING_STATUS=MR","SCALING_FORMAT=MLN","FA_ADJUSTED=GAAP","Sort=A","Dates=H","DateFormat=P","Fill=—","Direction=H","UseDPDF=Y")</f>
        <v>387.85399999999998</v>
      </c>
      <c r="R42" s="16" cm="1">
        <f t="array" ref="R42">_xll.BDH("PH US Equity","EARN_FOR_COMMON","FQ2 2023","FQ2 2023","Currency=USD","Period=FQ","BEST_FPERIOD_OVERRIDE=FQ","FILING_STATUS=MR","SCALING_FORMAT=MLN","FA_ADJUSTED=GAAP","Sort=A","Dates=H","DateFormat=P","Fill=—","Direction=H","UseDPDF=Y")</f>
        <v>395.23700000000002</v>
      </c>
      <c r="S42" s="16" cm="1">
        <f t="array" ref="S42">_xll.BDH("PH US Equity","EARN_FOR_COMMON","FQ3 2023","FQ3 2023","Currency=USD","Period=FQ","BEST_FPERIOD_OVERRIDE=FQ","FILING_STATUS=MR","SCALING_FORMAT=MLN","FA_ADJUSTED=GAAP","Sort=A","Dates=H","DateFormat=P","Fill=—","Direction=H","UseDPDF=Y")</f>
        <v>590.88900000000001</v>
      </c>
      <c r="T42" s="16" cm="1">
        <f t="array" ref="T42">_xll.BDH("PH US Equity","EARN_FOR_COMMON","FQ4 2023","FQ4 2023","Currency=USD","Period=FQ","BEST_FPERIOD_OVERRIDE=FQ","FILING_STATUS=MR","SCALING_FORMAT=MLN","FA_ADJUSTED=GAAP","Sort=A","Dates=H","DateFormat=P","Fill=—","Direction=H","UseDPDF=Y")</f>
        <v>708.95600000000002</v>
      </c>
      <c r="U42" s="16" cm="1">
        <f t="array" ref="U42">_xll.BDH("PH US Equity","EARN_FOR_COMMON","FQ1 2024","FQ1 2024","Currency=USD","Period=FQ","BEST_FPERIOD_OVERRIDE=FQ","FILING_STATUS=MR","SCALING_FORMAT=MLN","FA_ADJUSTED=GAAP","Sort=A","Dates=H","DateFormat=P","Fill=—","Direction=H","UseDPDF=Y")</f>
        <v>650.827</v>
      </c>
      <c r="V42" s="16" cm="1">
        <f t="array" ref="V42">_xll.BDH("PH US Equity","EARN_FOR_COMMON","FQ2 2024","FQ2 2024","Currency=USD","Period=FQ","BEST_FPERIOD_OVERRIDE=FQ","FILING_STATUS=MR","SCALING_FORMAT=MLN","FA_ADJUSTED=GAAP","Sort=A","Dates=H","DateFormat=P","Fill=—","Direction=H","UseDPDF=Y")</f>
        <v>681.851</v>
      </c>
      <c r="W42" s="16" cm="1">
        <f t="array" ref="W42">_xll.BDH("PH US Equity","EARN_FOR_COMMON","FQ3 2024","FQ3 2024","Currency=USD","Period=FQ","BEST_FPERIOD_OVERRIDE=FQ","FILING_STATUS=MR","SCALING_FORMAT=MLN","FA_ADJUSTED=GAAP","Sort=A","Dates=H","DateFormat=P","Fill=—","Direction=H","UseDPDF=Y")</f>
        <v>726.57399999999996</v>
      </c>
      <c r="X42" s="16" cm="1">
        <f t="array" ref="X42">_xll.BDH("PH US Equity","EARN_FOR_COMMON","FQ4 2024","FQ4 2024","Currency=USD","Period=FQ","BEST_FPERIOD_OVERRIDE=FQ","FILING_STATUS=MR","SCALING_FORMAT=MLN","FA_ADJUSTED=GAAP","Sort=A","Dates=H","DateFormat=P","Fill=—","Direction=H","UseDPDF=Y")</f>
        <v>784.96299999999997</v>
      </c>
      <c r="Y42" s="16" cm="1">
        <f t="array" ref="Y42">_xll.BDH("PH US Equity","EARN_FOR_COMMON","FQ1 2025","FQ1 2025","Currency=USD","Period=FQ","BEST_FPERIOD_OVERRIDE=FQ","FILING_STATUS=MR","SCALING_FORMAT=MLN","FA_ADJUSTED=GAAP","Sort=A","Dates=H","DateFormat=P","Fill=—","Direction=H","UseDPDF=Y")</f>
        <v>698.42</v>
      </c>
      <c r="Z42" s="16" cm="1">
        <f t="array" ref="Z42">_xll.BDH("PH US Equity","EARN_FOR_COMMON","FQ2 2025","FQ2 2025","Currency=USD","Period=FQ","BEST_FPERIOD_OVERRIDE=FQ","FILING_STATUS=MR","SCALING_FORMAT=MLN","FA_ADJUSTED=GAAP","Sort=A","Dates=H","DateFormat=P","Fill=—","Direction=H","UseDPDF=Y")</f>
        <v>948.54200000000003</v>
      </c>
      <c r="AA42" s="16" cm="1">
        <f t="array" ref="AA42">_xll.BDH("PH US Equity","EARN_FOR_COMMON","FQ3 2025","FQ3 2025","Currency=USD","Period=FQ","BEST_FPERIOD_OVERRIDE=FQ","FILING_STATUS=MR","SCALING_FORMAT=MLN","FA_ADJUSTED=GAAP","Sort=A","Dates=H","DateFormat=P","Fill=—","Direction=H","UseDPDF=Y")</f>
        <v>960.86599999999999</v>
      </c>
      <c r="AB42" s="16" cm="1">
        <f t="array" ref="AB42">_xll.BDH("PH US Equity","EARN_FOR_COMMON","FQ4 2025","FQ4 2025","Currency=USD","Period=FQ","BEST_FPERIOD_OVERRIDE=FQ","FILING_STATUS=MR","SCALING_FORMAT=MLN","FA_ADJUSTED=GAAP","Sort=A","Dates=H","DateFormat=P","Fill=—","Direction=H","UseDPDF=Y")</f>
        <v>923</v>
      </c>
      <c r="AC42" s="16" cm="1">
        <f t="array" ref="AC42">_xll.BDH("PH US Equity","EARN_FOR_COMMON","FQ1 2026","FQ1 2026","Currency=USD","Period=FQ","BEST_FPERIOD_OVERRIDE=FQ","FILING_STATUS=MR","SCALING_FORMAT=MLN","FA_ADJUSTED=GAAP","Sort=A","Dates=H","DateFormat=P","Fill=—","Direction=H","UseDPDF=Y")</f>
        <v>808</v>
      </c>
      <c r="AD42" s="16" cm="1">
        <f t="array" ref="AD42">_xll.BDH("PH US Equity","EARN_FOR_COMMON","FQ2 2026","FQ2 2026","Currency=USD","Period=FQ","BEST_FPERIOD_OVERRIDE=FQ","FILING_STATUS=MR","SCALING_FORMAT=MLN","FA_ADJUSTED=GAAP","Sort=A","Dates=H","DateFormat=P","Fill=—","Direction=H","UseDPDF=Y")</f>
        <v>845</v>
      </c>
      <c r="AE42" s="16">
        <v>865.70600000000002</v>
      </c>
      <c r="AF42" s="16">
        <v>926.471</v>
      </c>
    </row>
    <row r="43" spans="1:32" x14ac:dyDescent="0.25">
      <c r="A43" s="6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</row>
    <row r="44" spans="1:32" x14ac:dyDescent="0.25">
      <c r="A44" s="6" t="s">
        <v>138</v>
      </c>
      <c r="B44" s="6" t="s">
        <v>137</v>
      </c>
      <c r="C44" s="16" cm="1">
        <f t="array" ref="C44">_xll.BDH("PH US Equity","EARN_FOR_COMMON","FQ3 2019","FQ3 2019","Currency=USD","Period=FQ","BEST_FPERIOD_OVERRIDE=FQ","FILING_STATUS=MR","SCALING_FORMAT=MLN","FA_ADJUSTED=Adjusted","Sort=A","Dates=H","DateFormat=P","Fill=—","Direction=H","UseDPDF=Y")</f>
        <v>413.49329999999998</v>
      </c>
      <c r="D44" s="16" cm="1">
        <f t="array" ref="D44">_xll.BDH("PH US Equity","EARN_FOR_COMMON","FQ4 2019","FQ4 2019","Currency=USD","Period=FQ","BEST_FPERIOD_OVERRIDE=FQ","FILING_STATUS=MR","SCALING_FORMAT=MLN","FA_ADJUSTED=Adjusted","Sort=A","Dates=H","DateFormat=P","Fill=—","Direction=H","UseDPDF=Y")</f>
        <v>429.97949999999997</v>
      </c>
      <c r="E44" s="16" cm="1">
        <f t="array" ref="E44">_xll.BDH("PH US Equity","EARN_FOR_COMMON","FQ1 2020","FQ1 2020","Currency=USD","Period=FQ","BEST_FPERIOD_OVERRIDE=FQ","FILING_STATUS=MR","SCALING_FORMAT=MLN","FA_ADJUSTED=Adjusted","Sort=A","Dates=H","DateFormat=P","Fill=—","Direction=H","UseDPDF=Y")</f>
        <v>350.63189999999997</v>
      </c>
      <c r="F44" s="16" cm="1">
        <f t="array" ref="F44">_xll.BDH("PH US Equity","EARN_FOR_COMMON","FQ2 2020","FQ2 2020","Currency=USD","Period=FQ","BEST_FPERIOD_OVERRIDE=FQ","FILING_STATUS=MR","SCALING_FORMAT=MLN","FA_ADJUSTED=Adjusted","Sort=A","Dates=H","DateFormat=P","Fill=—","Direction=H","UseDPDF=Y")</f>
        <v>333.3843</v>
      </c>
      <c r="G44" s="16" cm="1">
        <f t="array" ref="G44">_xll.BDH("PH US Equity","EARN_FOR_COMMON","FQ3 2020","FQ3 2020","Currency=USD","Period=FQ","BEST_FPERIOD_OVERRIDE=FQ","FILING_STATUS=MR","SCALING_FORMAT=MLN","FA_ADJUSTED=Adjusted","Sort=A","Dates=H","DateFormat=P","Fill=—","Direction=H","UseDPDF=Y")</f>
        <v>380.58229999999998</v>
      </c>
      <c r="H44" s="16" cm="1">
        <f t="array" ref="H44">_xll.BDH("PH US Equity","EARN_FOR_COMMON","FQ4 2020","FQ4 2020","Currency=USD","Period=FQ","BEST_FPERIOD_OVERRIDE=FQ","FILING_STATUS=MR","SCALING_FORMAT=MLN","FA_ADJUSTED=Adjusted","Sort=A","Dates=H","DateFormat=P","Fill=—","Direction=H","UseDPDF=Y")</f>
        <v>326.94150000000002</v>
      </c>
      <c r="I44" s="16" cm="1">
        <f t="array" ref="I44">_xll.BDH("PH US Equity","EARN_FOR_COMMON","FQ1 2021","FQ1 2021","Currency=USD","Period=FQ","BEST_FPERIOD_OVERRIDE=FQ","FILING_STATUS=MR","SCALING_FORMAT=MLN","FA_ADJUSTED=Adjusted","Sort=A","Dates=H","DateFormat=P","Fill=—","Direction=H","UseDPDF=Y")</f>
        <v>333.50470000000001</v>
      </c>
      <c r="J44" s="16" cm="1">
        <f t="array" ref="J44">_xll.BDH("PH US Equity","EARN_FOR_COMMON","FQ2 2021","FQ2 2021","Currency=USD","Period=FQ","BEST_FPERIOD_OVERRIDE=FQ","FILING_STATUS=MR","SCALING_FORMAT=MLN","FA_ADJUSTED=Adjusted","Sort=A","Dates=H","DateFormat=P","Fill=—","Direction=H","UseDPDF=Y")</f>
        <v>380.91370000000001</v>
      </c>
      <c r="K44" s="16" cm="1">
        <f t="array" ref="K44">_xll.BDH("PH US Equity","EARN_FOR_COMMON","FQ3 2021","FQ3 2021","Currency=USD","Period=FQ","BEST_FPERIOD_OVERRIDE=FQ","FILING_STATUS=MR","SCALING_FORMAT=MLN","FA_ADJUSTED=Adjusted","Sort=A","Dates=H","DateFormat=P","Fill=—","Direction=H","UseDPDF=Y")</f>
        <v>479.49430000000001</v>
      </c>
      <c r="L44" s="16" cm="1">
        <f t="array" ref="L44">_xll.BDH("PH US Equity","EARN_FOR_COMMON","FQ4 2021","FQ4 2021","Currency=USD","Period=FQ","BEST_FPERIOD_OVERRIDE=FQ","FILING_STATUS=MR","SCALING_FORMAT=MLN","FA_ADJUSTED=Adjusted","Sort=A","Dates=H","DateFormat=P","Fill=—","Direction=H","UseDPDF=Y")</f>
        <v>506.41410000000002</v>
      </c>
      <c r="M44" s="16" cm="1">
        <f t="array" ref="M44">_xll.BDH("PH US Equity","EARN_FOR_COMMON","FQ1 2022","FQ1 2022","Currency=USD","Period=FQ","BEST_FPERIOD_OVERRIDE=FQ","FILING_STATUS=MR","SCALING_FORMAT=MLN","FA_ADJUSTED=Adjusted","Sort=A","Dates=H","DateFormat=P","Fill=—","Direction=H","UseDPDF=Y")</f>
        <v>494.13049999999998</v>
      </c>
      <c r="N44" s="16" cm="1">
        <f t="array" ref="N44">_xll.BDH("PH US Equity","EARN_FOR_COMMON","FQ2 2022","FQ2 2022","Currency=USD","Period=FQ","BEST_FPERIOD_OVERRIDE=FQ","FILING_STATUS=MR","SCALING_FORMAT=MLN","FA_ADJUSTED=Adjusted","Sort=A","Dates=H","DateFormat=P","Fill=—","Direction=H","UseDPDF=Y")</f>
        <v>508.34789999999998</v>
      </c>
      <c r="O44" s="16" cm="1">
        <f t="array" ref="O44">_xll.BDH("PH US Equity","EARN_FOR_COMMON","FQ3 2022","FQ3 2022","Currency=USD","Period=FQ","BEST_FPERIOD_OVERRIDE=FQ","FILING_STATUS=MR","SCALING_FORMAT=MLN","FA_ADJUSTED=Adjusted","Sort=A","Dates=H","DateFormat=P","Fill=—","Direction=H","UseDPDF=Y")</f>
        <v>570.27430000000004</v>
      </c>
      <c r="P44" s="16" cm="1">
        <f t="array" ref="P44">_xll.BDH("PH US Equity","EARN_FOR_COMMON","FQ4 2022","FQ4 2022","Currency=USD","Period=FQ","BEST_FPERIOD_OVERRIDE=FQ","FILING_STATUS=MR","SCALING_FORMAT=MLN","FA_ADJUSTED=Adjusted","Sort=A","Dates=H","DateFormat=P","Fill=—","Direction=H","UseDPDF=Y")</f>
        <v>613.25289999999995</v>
      </c>
      <c r="Q44" s="16" cm="1">
        <f t="array" ref="Q44">_xll.BDH("PH US Equity","EARN_FOR_COMMON","FQ1 2023","FQ1 2023","Currency=USD","Period=FQ","BEST_FPERIOD_OVERRIDE=FQ","FILING_STATUS=MR","SCALING_FORMAT=MLN","FA_ADJUSTED=Adjusted","Sort=A","Dates=H","DateFormat=P","Fill=—","Direction=H","UseDPDF=Y")</f>
        <v>529.13610000000006</v>
      </c>
      <c r="R44" s="16" cm="1">
        <f t="array" ref="R44">_xll.BDH("PH US Equity","EARN_FOR_COMMON","FQ2 2023","FQ2 2023","Currency=USD","Period=FQ","BEST_FPERIOD_OVERRIDE=FQ","FILING_STATUS=MR","SCALING_FORMAT=MLN","FA_ADJUSTED=Adjusted","Sort=A","Dates=H","DateFormat=P","Fill=—","Direction=H","UseDPDF=Y")</f>
        <v>422.95740000000001</v>
      </c>
      <c r="S44" s="16" cm="1">
        <f t="array" ref="S44">_xll.BDH("PH US Equity","EARN_FOR_COMMON","FQ3 2023","FQ3 2023","Currency=USD","Period=FQ","BEST_FPERIOD_OVERRIDE=FQ","FILING_STATUS=MR","SCALING_FORMAT=MLN","FA_ADJUSTED=Adjusted","Sort=A","Dates=H","DateFormat=P","Fill=—","Direction=H","UseDPDF=Y")</f>
        <v>641.57129999999995</v>
      </c>
      <c r="T44" s="16" cm="1">
        <f t="array" ref="T44">_xll.BDH("PH US Equity","EARN_FOR_COMMON","FQ4 2023","FQ4 2023","Currency=USD","Period=FQ","BEST_FPERIOD_OVERRIDE=FQ","FILING_STATUS=MR","SCALING_FORMAT=MLN","FA_ADJUSTED=Adjusted","Sort=A","Dates=H","DateFormat=P","Fill=—","Direction=H","UseDPDF=Y")</f>
        <v>739.42319999999995</v>
      </c>
      <c r="U44" s="16" cm="1">
        <f t="array" ref="U44">_xll.BDH("PH US Equity","EARN_FOR_COMMON","FQ1 2024","FQ1 2024","Currency=USD","Period=FQ","BEST_FPERIOD_OVERRIDE=FQ","FILING_STATUS=MR","SCALING_FORMAT=MLN","FA_ADJUSTED=Adjusted","Sort=A","Dates=H","DateFormat=P","Fill=—","Direction=H","UseDPDF=Y")</f>
        <v>659.23850000000004</v>
      </c>
      <c r="V44" s="16" cm="1">
        <f t="array" ref="V44">_xll.BDH("PH US Equity","EARN_FOR_COMMON","FQ2 2024","FQ2 2024","Currency=USD","Period=FQ","BEST_FPERIOD_OVERRIDE=FQ","FILING_STATUS=MR","SCALING_FORMAT=MLN","FA_ADJUSTED=Adjusted","Sort=A","Dates=H","DateFormat=P","Fill=—","Direction=H","UseDPDF=Y")</f>
        <v>697.12019999999995</v>
      </c>
      <c r="W44" s="16" cm="1">
        <f t="array" ref="W44">_xll.BDH("PH US Equity","EARN_FOR_COMMON","FQ3 2024","FQ3 2024","Currency=USD","Period=FQ","BEST_FPERIOD_OVERRIDE=FQ","FILING_STATUS=MR","SCALING_FORMAT=MLN","FA_ADJUSTED=Adjusted","Sort=A","Dates=H","DateFormat=P","Fill=—","Direction=H","UseDPDF=Y")</f>
        <v>744.64260000000002</v>
      </c>
      <c r="X44" s="16" cm="1">
        <f t="array" ref="X44">_xll.BDH("PH US Equity","EARN_FOR_COMMON","FQ4 2024","FQ4 2024","Currency=USD","Period=FQ","BEST_FPERIOD_OVERRIDE=FQ","FILING_STATUS=MR","SCALING_FORMAT=MLN","FA_ADJUSTED=Adjusted","Sort=A","Dates=H","DateFormat=P","Fill=—","Direction=H","UseDPDF=Y")</f>
        <v>780.23829999999998</v>
      </c>
      <c r="Y44" s="16" cm="1">
        <f t="array" ref="Y44">_xll.BDH("PH US Equity","EARN_FOR_COMMON","FQ1 2025","FQ1 2025","Currency=USD","Period=FQ","BEST_FPERIOD_OVERRIDE=FQ","FILING_STATUS=MR","SCALING_FORMAT=MLN","FA_ADJUSTED=Adjusted","Sort=A","Dates=H","DateFormat=P","Fill=—","Direction=H","UseDPDF=Y")</f>
        <v>696.6318</v>
      </c>
      <c r="Z44" s="16" cm="1">
        <f t="array" ref="Z44">_xll.BDH("PH US Equity","EARN_FOR_COMMON","FQ2 2025","FQ2 2025","Currency=USD","Period=FQ","BEST_FPERIOD_OVERRIDE=FQ","FILING_STATUS=MR","SCALING_FORMAT=MLN","FA_ADJUSTED=Adjusted","Sort=A","Dates=H","DateFormat=P","Fill=—","Direction=H","UseDPDF=Y")</f>
        <v>748.01710000000003</v>
      </c>
      <c r="AA44" s="16" cm="1">
        <f t="array" ref="AA44">_xll.BDH("PH US Equity","EARN_FOR_COMMON","FQ3 2025","FQ3 2025","Currency=USD","Period=FQ","BEST_FPERIOD_OVERRIDE=FQ","FILING_STATUS=MR","SCALING_FORMAT=MLN","FA_ADJUSTED=Adjusted","Sort=A","Dates=H","DateFormat=P","Fill=—","Direction=H","UseDPDF=Y")</f>
        <v>797.92179999999996</v>
      </c>
      <c r="AB44" s="16" cm="1">
        <f t="array" ref="AB44">_xll.BDH("PH US Equity","EARN_FOR_COMMON","FQ4 2025","FQ4 2025","Currency=USD","Period=FQ","BEST_FPERIOD_OVERRIDE=FQ","FILING_STATUS=MR","SCALING_FORMAT=MLN","FA_ADJUSTED=Adjusted","Sort=A","Dates=H","DateFormat=P","Fill=—","Direction=H","UseDPDF=Y")</f>
        <v>924.79899999999998</v>
      </c>
      <c r="AC44" s="16" cm="1">
        <f t="array" ref="AC44">_xll.BDH("PH US Equity","EARN_FOR_COMMON","FQ1 2026","FQ1 2026","Currency=USD","Period=FQ","BEST_FPERIOD_OVERRIDE=FQ","FILING_STATUS=MR","SCALING_FORMAT=MLN","FA_ADJUSTED=Adjusted","Sort=A","Dates=H","DateFormat=P","Fill=—","Direction=H","UseDPDF=Y")</f>
        <v>826.30769999999995</v>
      </c>
      <c r="AD44" s="16" cm="1">
        <f t="array" ref="AD44">_xll.BDH("PH US Equity","EARN_FOR_COMMON","FQ2 2026","FQ2 2026","Currency=USD","Period=FQ","BEST_FPERIOD_OVERRIDE=FQ","FILING_STATUS=MR","SCALING_FORMAT=MLN","FA_ADJUSTED=Adjusted","Sort=A","Dates=H","DateFormat=P","Fill=—","Direction=H","UseDPDF=Y")</f>
        <v>860.15729999999996</v>
      </c>
      <c r="AE44" s="16">
        <v>987.15800000000002</v>
      </c>
      <c r="AF44" s="16">
        <v>1046.579</v>
      </c>
    </row>
    <row r="45" spans="1:32" x14ac:dyDescent="0.25">
      <c r="A45" s="10" t="s">
        <v>139</v>
      </c>
      <c r="B45" s="10" t="s">
        <v>140</v>
      </c>
      <c r="C45" s="13" cm="1">
        <f t="array" ref="C45">_xll.BDH("PH US Equity","IS_NET_ABNORMAL_ITEMS","FQ3 2019","FQ3 2019","Currency=USD","Period=FQ","BEST_FPERIOD_OVERRIDE=FQ","FILING_STATUS=MR","SCALING_FORMAT=MLN","Sort=A","Dates=H","DateFormat=P","Fill=—","Direction=H","UseDPDF=Y")</f>
        <v>2.2452999999999999</v>
      </c>
      <c r="D45" s="13" cm="1">
        <f t="array" ref="D45">_xll.BDH("PH US Equity","IS_NET_ABNORMAL_ITEMS","FQ4 2019","FQ4 2019","Currency=USD","Period=FQ","BEST_FPERIOD_OVERRIDE=FQ","FILING_STATUS=MR","SCALING_FORMAT=MLN","Sort=A","Dates=H","DateFormat=P","Fill=—","Direction=H","UseDPDF=Y")</f>
        <v>16.311499999999999</v>
      </c>
      <c r="E45" s="13" cm="1">
        <f t="array" ref="E45">_xll.BDH("PH US Equity","IS_NET_ABNORMAL_ITEMS","FQ1 2020","FQ1 2020","Currency=USD","Period=FQ","BEST_FPERIOD_OVERRIDE=FQ","FILING_STATUS=MR","SCALING_FORMAT=MLN","Sort=A","Dates=H","DateFormat=P","Fill=—","Direction=H","UseDPDF=Y")</f>
        <v>11.7339</v>
      </c>
      <c r="F45" s="13" cm="1">
        <f t="array" ref="F45">_xll.BDH("PH US Equity","IS_NET_ABNORMAL_ITEMS","FQ2 2020","FQ2 2020","Currency=USD","Period=FQ","BEST_FPERIOD_OVERRIDE=FQ","FILING_STATUS=MR","SCALING_FORMAT=MLN","Sort=A","Dates=H","DateFormat=P","Fill=—","Direction=H","UseDPDF=Y")</f>
        <v>128.91030000000001</v>
      </c>
      <c r="G45" s="13" cm="1">
        <f t="array" ref="G45">_xll.BDH("PH US Equity","IS_NET_ABNORMAL_ITEMS","FQ3 2020","FQ3 2020","Currency=USD","Period=FQ","BEST_FPERIOD_OVERRIDE=FQ","FILING_STATUS=MR","SCALING_FORMAT=MLN","Sort=A","Dates=H","DateFormat=P","Fill=—","Direction=H","UseDPDF=Y")</f>
        <v>13.3293</v>
      </c>
      <c r="H45" s="13" cm="1">
        <f t="array" ref="H45">_xll.BDH("PH US Equity","IS_NET_ABNORMAL_ITEMS","FQ4 2020","FQ4 2020","Currency=USD","Period=FQ","BEST_FPERIOD_OVERRIDE=FQ","FILING_STATUS=MR","SCALING_FORMAT=MLN","Sort=A","Dates=H","DateFormat=P","Fill=—","Direction=H","UseDPDF=Y")</f>
        <v>37.4435</v>
      </c>
      <c r="I45" s="13" cm="1">
        <f t="array" ref="I45">_xll.BDH("PH US Equity","IS_NET_ABNORMAL_ITEMS","FQ1 2021","FQ1 2021","Currency=USD","Period=FQ","BEST_FPERIOD_OVERRIDE=FQ","FILING_STATUS=MR","SCALING_FORMAT=MLN","Sort=A","Dates=H","DateFormat=P","Fill=—","Direction=H","UseDPDF=Y")</f>
        <v>13.701700000000001</v>
      </c>
      <c r="J45" s="13" cm="1">
        <f t="array" ref="J45">_xll.BDH("PH US Equity","IS_NET_ABNORMAL_ITEMS","FQ2 2021","FQ2 2021","Currency=USD","Period=FQ","BEST_FPERIOD_OVERRIDE=FQ","FILING_STATUS=MR","SCALING_FORMAT=MLN","Sort=A","Dates=H","DateFormat=P","Fill=—","Direction=H","UseDPDF=Y")</f>
        <v>-67.437299999999993</v>
      </c>
      <c r="K45" s="13" cm="1">
        <f t="array" ref="K45">_xll.BDH("PH US Equity","IS_NET_ABNORMAL_ITEMS","FQ3 2021","FQ3 2021","Currency=USD","Period=FQ","BEST_FPERIOD_OVERRIDE=FQ","FILING_STATUS=MR","SCALING_FORMAT=MLN","Sort=A","Dates=H","DateFormat=P","Fill=—","Direction=H","UseDPDF=Y")</f>
        <v>6.3413000000000004</v>
      </c>
      <c r="L45" s="13" cm="1">
        <f t="array" ref="L45">_xll.BDH("PH US Equity","IS_NET_ABNORMAL_ITEMS","FQ4 2021","FQ4 2021","Currency=USD","Period=FQ","BEST_FPERIOD_OVERRIDE=FQ","FILING_STATUS=MR","SCALING_FORMAT=MLN","Sort=A","Dates=H","DateFormat=P","Fill=—","Direction=H","UseDPDF=Y")</f>
        <v>1.6211</v>
      </c>
      <c r="M45" s="13" cm="1">
        <f t="array" ref="M45">_xll.BDH("PH US Equity","IS_NET_ABNORMAL_ITEMS","FQ1 2022","FQ1 2022","Currency=USD","Period=FQ","BEST_FPERIOD_OVERRIDE=FQ","FILING_STATUS=MR","SCALING_FORMAT=MLN","Sort=A","Dates=H","DateFormat=P","Fill=—","Direction=H","UseDPDF=Y")</f>
        <v>42.973500000000001</v>
      </c>
      <c r="N45" s="13" cm="1">
        <f t="array" ref="N45">_xll.BDH("PH US Equity","IS_NET_ABNORMAL_ITEMS","FQ2 2022","FQ2 2022","Currency=USD","Period=FQ","BEST_FPERIOD_OVERRIDE=FQ","FILING_STATUS=MR","SCALING_FORMAT=MLN","Sort=A","Dates=H","DateFormat=P","Fill=—","Direction=H","UseDPDF=Y")</f>
        <v>120.7479</v>
      </c>
      <c r="O45" s="13" cm="1">
        <f t="array" ref="O45">_xll.BDH("PH US Equity","IS_NET_ABNORMAL_ITEMS","FQ3 2022","FQ3 2022","Currency=USD","Period=FQ","BEST_FPERIOD_OVERRIDE=FQ","FILING_STATUS=MR","SCALING_FORMAT=MLN","Sort=A","Dates=H","DateFormat=P","Fill=—","Direction=H","UseDPDF=Y")</f>
        <v>222.25729999999999</v>
      </c>
      <c r="P45" s="13" cm="1">
        <f t="array" ref="P45">_xll.BDH("PH US Equity","IS_NET_ABNORMAL_ITEMS","FQ4 2022","FQ4 2022","Currency=USD","Period=FQ","BEST_FPERIOD_OVERRIDE=FQ","FILING_STATUS=MR","SCALING_FORMAT=MLN","Sort=A","Dates=H","DateFormat=P","Fill=—","Direction=H","UseDPDF=Y")</f>
        <v>484.42189999999999</v>
      </c>
      <c r="Q45" s="13" cm="1">
        <f t="array" ref="Q45">_xll.BDH("PH US Equity","IS_NET_ABNORMAL_ITEMS","FQ1 2023","FQ1 2023","Currency=USD","Period=FQ","BEST_FPERIOD_OVERRIDE=FQ","FILING_STATUS=MR","SCALING_FORMAT=MLN","Sort=A","Dates=H","DateFormat=P","Fill=—","Direction=H","UseDPDF=Y")</f>
        <v>141.28210000000001</v>
      </c>
      <c r="R45" s="13" cm="1">
        <f t="array" ref="R45">_xll.BDH("PH US Equity","IS_NET_ABNORMAL_ITEMS","FQ2 2023","FQ2 2023","Currency=USD","Period=FQ","BEST_FPERIOD_OVERRIDE=FQ","FILING_STATUS=MR","SCALING_FORMAT=MLN","Sort=A","Dates=H","DateFormat=P","Fill=—","Direction=H","UseDPDF=Y")</f>
        <v>27.720400000000001</v>
      </c>
      <c r="S45" s="13" cm="1">
        <f t="array" ref="S45">_xll.BDH("PH US Equity","IS_NET_ABNORMAL_ITEMS","FQ3 2023","FQ3 2023","Currency=USD","Period=FQ","BEST_FPERIOD_OVERRIDE=FQ","FILING_STATUS=MR","SCALING_FORMAT=MLN","Sort=A","Dates=H","DateFormat=P","Fill=—","Direction=H","UseDPDF=Y")</f>
        <v>50.682299999999998</v>
      </c>
      <c r="T45" s="13" cm="1">
        <f t="array" ref="T45">_xll.BDH("PH US Equity","IS_NET_ABNORMAL_ITEMS","FQ4 2023","FQ4 2023","Currency=USD","Period=FQ","BEST_FPERIOD_OVERRIDE=FQ","FILING_STATUS=MR","SCALING_FORMAT=MLN","Sort=A","Dates=H","DateFormat=P","Fill=—","Direction=H","UseDPDF=Y")</f>
        <v>30.467199999999998</v>
      </c>
      <c r="U45" s="13" cm="1">
        <f t="array" ref="U45">_xll.BDH("PH US Equity","IS_NET_ABNORMAL_ITEMS","FQ1 2024","FQ1 2024","Currency=USD","Period=FQ","BEST_FPERIOD_OVERRIDE=FQ","FILING_STATUS=MR","SCALING_FORMAT=MLN","Sort=A","Dates=H","DateFormat=P","Fill=—","Direction=H","UseDPDF=Y")</f>
        <v>8.4115000000000002</v>
      </c>
      <c r="V45" s="13" cm="1">
        <f t="array" ref="V45">_xll.BDH("PH US Equity","IS_NET_ABNORMAL_ITEMS","FQ2 2024","FQ2 2024","Currency=USD","Period=FQ","BEST_FPERIOD_OVERRIDE=FQ","FILING_STATUS=MR","SCALING_FORMAT=MLN","Sort=A","Dates=H","DateFormat=P","Fill=—","Direction=H","UseDPDF=Y")</f>
        <v>15.2692</v>
      </c>
      <c r="W45" s="13" cm="1">
        <f t="array" ref="W45">_xll.BDH("PH US Equity","IS_NET_ABNORMAL_ITEMS","FQ3 2024","FQ3 2024","Currency=USD","Period=FQ","BEST_FPERIOD_OVERRIDE=FQ","FILING_STATUS=MR","SCALING_FORMAT=MLN","Sort=A","Dates=H","DateFormat=P","Fill=—","Direction=H","UseDPDF=Y")</f>
        <v>18.0686</v>
      </c>
      <c r="X45" s="13" cm="1">
        <f t="array" ref="X45">_xll.BDH("PH US Equity","IS_NET_ABNORMAL_ITEMS","FQ4 2024","FQ4 2024","Currency=USD","Period=FQ","BEST_FPERIOD_OVERRIDE=FQ","FILING_STATUS=MR","SCALING_FORMAT=MLN","Sort=A","Dates=H","DateFormat=P","Fill=—","Direction=H","UseDPDF=Y")</f>
        <v>-4.7247000000000003</v>
      </c>
      <c r="Y45" s="13" cm="1">
        <f t="array" ref="Y45">_xll.BDH("PH US Equity","IS_NET_ABNORMAL_ITEMS","FQ1 2025","FQ1 2025","Currency=USD","Period=FQ","BEST_FPERIOD_OVERRIDE=FQ","FILING_STATUS=MR","SCALING_FORMAT=MLN","Sort=A","Dates=H","DateFormat=P","Fill=—","Direction=H","UseDPDF=Y")</f>
        <v>-1.7882</v>
      </c>
      <c r="Z45" s="13" cm="1">
        <f t="array" ref="Z45">_xll.BDH("PH US Equity","IS_NET_ABNORMAL_ITEMS","FQ2 2025","FQ2 2025","Currency=USD","Period=FQ","BEST_FPERIOD_OVERRIDE=FQ","FILING_STATUS=MR","SCALING_FORMAT=MLN","Sort=A","Dates=H","DateFormat=P","Fill=—","Direction=H","UseDPDF=Y")</f>
        <v>-200.5249</v>
      </c>
      <c r="AA45" s="13" cm="1">
        <f t="array" ref="AA45">_xll.BDH("PH US Equity","IS_NET_ABNORMAL_ITEMS","FQ3 2025","FQ3 2025","Currency=USD","Period=FQ","BEST_FPERIOD_OVERRIDE=FQ","FILING_STATUS=MR","SCALING_FORMAT=MLN","Sort=A","Dates=H","DateFormat=P","Fill=—","Direction=H","UseDPDF=Y")</f>
        <v>-162.9442</v>
      </c>
      <c r="AB45" s="13" cm="1">
        <f t="array" ref="AB45">_xll.BDH("PH US Equity","IS_NET_ABNORMAL_ITEMS","FQ4 2025","FQ4 2025","Currency=USD","Period=FQ","BEST_FPERIOD_OVERRIDE=FQ","FILING_STATUS=MR","SCALING_FORMAT=MLN","Sort=A","Dates=H","DateFormat=P","Fill=—","Direction=H","UseDPDF=Y")</f>
        <v>1.7989999999999999</v>
      </c>
      <c r="AC45" s="13" cm="1">
        <f t="array" ref="AC45">_xll.BDH("PH US Equity","IS_NET_ABNORMAL_ITEMS","FQ1 2026","FQ1 2026","Currency=USD","Period=FQ","BEST_FPERIOD_OVERRIDE=FQ","FILING_STATUS=MR","SCALING_FORMAT=MLN","Sort=A","Dates=H","DateFormat=P","Fill=—","Direction=H","UseDPDF=Y")</f>
        <v>18.307700000000001</v>
      </c>
      <c r="AD45" s="13" cm="1">
        <f t="array" ref="AD45">_xll.BDH("PH US Equity","IS_NET_ABNORMAL_ITEMS","FQ2 2026","FQ2 2026","Currency=USD","Period=FQ","BEST_FPERIOD_OVERRIDE=FQ","FILING_STATUS=MR","SCALING_FORMAT=MLN","Sort=A","Dates=H","DateFormat=P","Fill=—","Direction=H","UseDPDF=Y")</f>
        <v>15.157299999999999</v>
      </c>
      <c r="AE45" s="13"/>
      <c r="AF45" s="13"/>
    </row>
    <row r="46" spans="1:32" x14ac:dyDescent="0.25">
      <c r="A46" s="10" t="s">
        <v>141</v>
      </c>
      <c r="B46" s="10" t="s">
        <v>121</v>
      </c>
      <c r="C46" s="13" cm="1">
        <f t="array" ref="C46">_xll.BDH("PH US Equity","XO_GL_NET_OF_TAX","FQ3 2019","FQ3 2019","Currency=USD","Period=FQ","BEST_FPERIOD_OVERRIDE=FQ","FILING_STATUS=MR","SCALING_FORMAT=MLN","Sort=A","Dates=H","DateFormat=P","Fill=—","Direction=H","UseDPDF=Y")</f>
        <v>0</v>
      </c>
      <c r="D46" s="13" cm="1">
        <f t="array" ref="D46">_xll.BDH("PH US Equity","XO_GL_NET_OF_TAX","FQ4 2019","FQ4 2019","Currency=USD","Period=FQ","BEST_FPERIOD_OVERRIDE=FQ","FILING_STATUS=MR","SCALING_FORMAT=MLN","Sort=A","Dates=H","DateFormat=P","Fill=—","Direction=H","UseDPDF=Y")</f>
        <v>0</v>
      </c>
      <c r="E46" s="13" cm="1">
        <f t="array" ref="E46">_xll.BDH("PH US Equity","XO_GL_NET_OF_TAX","FQ1 2020","FQ1 2020","Currency=USD","Period=FQ","BEST_FPERIOD_OVERRIDE=FQ","FILING_STATUS=MR","SCALING_FORMAT=MLN","Sort=A","Dates=H","DateFormat=P","Fill=—","Direction=H","UseDPDF=Y")</f>
        <v>0</v>
      </c>
      <c r="F46" s="13" cm="1">
        <f t="array" ref="F46">_xll.BDH("PH US Equity","XO_GL_NET_OF_TAX","FQ2 2020","FQ2 2020","Currency=USD","Period=FQ","BEST_FPERIOD_OVERRIDE=FQ","FILING_STATUS=MR","SCALING_FORMAT=MLN","Sort=A","Dates=H","DateFormat=P","Fill=—","Direction=H","UseDPDF=Y")</f>
        <v>0</v>
      </c>
      <c r="G46" s="13" cm="1">
        <f t="array" ref="G46">_xll.BDH("PH US Equity","XO_GL_NET_OF_TAX","FQ3 2020","FQ3 2020","Currency=USD","Period=FQ","BEST_FPERIOD_OVERRIDE=FQ","FILING_STATUS=MR","SCALING_FORMAT=MLN","Sort=A","Dates=H","DateFormat=P","Fill=—","Direction=H","UseDPDF=Y")</f>
        <v>0</v>
      </c>
      <c r="H46" s="13" cm="1">
        <f t="array" ref="H46">_xll.BDH("PH US Equity","XO_GL_NET_OF_TAX","FQ4 2020","FQ4 2020","Currency=USD","Period=FQ","BEST_FPERIOD_OVERRIDE=FQ","FILING_STATUS=MR","SCALING_FORMAT=MLN","Sort=A","Dates=H","DateFormat=P","Fill=—","Direction=H","UseDPDF=Y")</f>
        <v>0</v>
      </c>
      <c r="I46" s="13" cm="1">
        <f t="array" ref="I46">_xll.BDH("PH US Equity","XO_GL_NET_OF_TAX","FQ1 2021","FQ1 2021","Currency=USD","Period=FQ","BEST_FPERIOD_OVERRIDE=FQ","FILING_STATUS=MR","SCALING_FORMAT=MLN","Sort=A","Dates=H","DateFormat=P","Fill=—","Direction=H","UseDPDF=Y")</f>
        <v>0</v>
      </c>
      <c r="J46" s="13" cm="1">
        <f t="array" ref="J46">_xll.BDH("PH US Equity","XO_GL_NET_OF_TAX","FQ2 2021","FQ2 2021","Currency=USD","Period=FQ","BEST_FPERIOD_OVERRIDE=FQ","FILING_STATUS=MR","SCALING_FORMAT=MLN","Sort=A","Dates=H","DateFormat=P","Fill=—","Direction=H","UseDPDF=Y")</f>
        <v>0</v>
      </c>
      <c r="K46" s="13" cm="1">
        <f t="array" ref="K46">_xll.BDH("PH US Equity","XO_GL_NET_OF_TAX","FQ3 2021","FQ3 2021","Currency=USD","Period=FQ","BEST_FPERIOD_OVERRIDE=FQ","FILING_STATUS=MR","SCALING_FORMAT=MLN","Sort=A","Dates=H","DateFormat=P","Fill=—","Direction=H","UseDPDF=Y")</f>
        <v>0</v>
      </c>
      <c r="L46" s="13" cm="1">
        <f t="array" ref="L46">_xll.BDH("PH US Equity","XO_GL_NET_OF_TAX","FQ4 2021","FQ4 2021","Currency=USD","Period=FQ","BEST_FPERIOD_OVERRIDE=FQ","FILING_STATUS=MR","SCALING_FORMAT=MLN","Sort=A","Dates=H","DateFormat=P","Fill=—","Direction=H","UseDPDF=Y")</f>
        <v>0</v>
      </c>
      <c r="M46" s="13" cm="1">
        <f t="array" ref="M46">_xll.BDH("PH US Equity","XO_GL_NET_OF_TAX","FQ1 2022","FQ1 2022","Currency=USD","Period=FQ","BEST_FPERIOD_OVERRIDE=FQ","FILING_STATUS=MR","SCALING_FORMAT=MLN","Sort=A","Dates=H","DateFormat=P","Fill=—","Direction=H","UseDPDF=Y")</f>
        <v>0</v>
      </c>
      <c r="N46" s="13" cm="1">
        <f t="array" ref="N46">_xll.BDH("PH US Equity","XO_GL_NET_OF_TAX","FQ2 2022","FQ2 2022","Currency=USD","Period=FQ","BEST_FPERIOD_OVERRIDE=FQ","FILING_STATUS=MR","SCALING_FORMAT=MLN","Sort=A","Dates=H","DateFormat=P","Fill=—","Direction=H","UseDPDF=Y")</f>
        <v>0</v>
      </c>
      <c r="O46" s="13" cm="1">
        <f t="array" ref="O46">_xll.BDH("PH US Equity","XO_GL_NET_OF_TAX","FQ3 2022","FQ3 2022","Currency=USD","Period=FQ","BEST_FPERIOD_OVERRIDE=FQ","FILING_STATUS=MR","SCALING_FORMAT=MLN","Sort=A","Dates=H","DateFormat=P","Fill=—","Direction=H","UseDPDF=Y")</f>
        <v>0</v>
      </c>
      <c r="P46" s="13" cm="1">
        <f t="array" ref="P46">_xll.BDH("PH US Equity","XO_GL_NET_OF_TAX","FQ4 2022","FQ4 2022","Currency=USD","Period=FQ","BEST_FPERIOD_OVERRIDE=FQ","FILING_STATUS=MR","SCALING_FORMAT=MLN","Sort=A","Dates=H","DateFormat=P","Fill=—","Direction=H","UseDPDF=Y")</f>
        <v>0</v>
      </c>
      <c r="Q46" s="13" cm="1">
        <f t="array" ref="Q46">_xll.BDH("PH US Equity","XO_GL_NET_OF_TAX","FQ1 2023","FQ1 2023","Currency=USD","Period=FQ","BEST_FPERIOD_OVERRIDE=FQ","FILING_STATUS=MR","SCALING_FORMAT=MLN","Sort=A","Dates=H","DateFormat=P","Fill=—","Direction=H","UseDPDF=Y")</f>
        <v>0</v>
      </c>
      <c r="R46" s="13" cm="1">
        <f t="array" ref="R46">_xll.BDH("PH US Equity","XO_GL_NET_OF_TAX","FQ2 2023","FQ2 2023","Currency=USD","Period=FQ","BEST_FPERIOD_OVERRIDE=FQ","FILING_STATUS=MR","SCALING_FORMAT=MLN","Sort=A","Dates=H","DateFormat=P","Fill=—","Direction=H","UseDPDF=Y")</f>
        <v>0</v>
      </c>
      <c r="S46" s="13" cm="1">
        <f t="array" ref="S46">_xll.BDH("PH US Equity","XO_GL_NET_OF_TAX","FQ3 2023","FQ3 2023","Currency=USD","Period=FQ","BEST_FPERIOD_OVERRIDE=FQ","FILING_STATUS=MR","SCALING_FORMAT=MLN","Sort=A","Dates=H","DateFormat=P","Fill=—","Direction=H","UseDPDF=Y")</f>
        <v>0</v>
      </c>
      <c r="T46" s="13" cm="1">
        <f t="array" ref="T46">_xll.BDH("PH US Equity","XO_GL_NET_OF_TAX","FQ4 2023","FQ4 2023","Currency=USD","Period=FQ","BEST_FPERIOD_OVERRIDE=FQ","FILING_STATUS=MR","SCALING_FORMAT=MLN","Sort=A","Dates=H","DateFormat=P","Fill=—","Direction=H","UseDPDF=Y")</f>
        <v>0</v>
      </c>
      <c r="U46" s="13" cm="1">
        <f t="array" ref="U46">_xll.BDH("PH US Equity","XO_GL_NET_OF_TAX","FQ1 2024","FQ1 2024","Currency=USD","Period=FQ","BEST_FPERIOD_OVERRIDE=FQ","FILING_STATUS=MR","SCALING_FORMAT=MLN","Sort=A","Dates=H","DateFormat=P","Fill=—","Direction=H","UseDPDF=Y")</f>
        <v>0</v>
      </c>
      <c r="V46" s="13" cm="1">
        <f t="array" ref="V46">_xll.BDH("PH US Equity","XO_GL_NET_OF_TAX","FQ2 2024","FQ2 2024","Currency=USD","Period=FQ","BEST_FPERIOD_OVERRIDE=FQ","FILING_STATUS=MR","SCALING_FORMAT=MLN","Sort=A","Dates=H","DateFormat=P","Fill=—","Direction=H","UseDPDF=Y")</f>
        <v>0</v>
      </c>
      <c r="W46" s="13" cm="1">
        <f t="array" ref="W46">_xll.BDH("PH US Equity","XO_GL_NET_OF_TAX","FQ3 2024","FQ3 2024","Currency=USD","Period=FQ","BEST_FPERIOD_OVERRIDE=FQ","FILING_STATUS=MR","SCALING_FORMAT=MLN","Sort=A","Dates=H","DateFormat=P","Fill=—","Direction=H","UseDPDF=Y")</f>
        <v>0</v>
      </c>
      <c r="X46" s="13" cm="1">
        <f t="array" ref="X46">_xll.BDH("PH US Equity","XO_GL_NET_OF_TAX","FQ4 2024","FQ4 2024","Currency=USD","Period=FQ","BEST_FPERIOD_OVERRIDE=FQ","FILING_STATUS=MR","SCALING_FORMAT=MLN","Sort=A","Dates=H","DateFormat=P","Fill=—","Direction=H","UseDPDF=Y")</f>
        <v>0</v>
      </c>
      <c r="Y46" s="13" cm="1">
        <f t="array" ref="Y46">_xll.BDH("PH US Equity","XO_GL_NET_OF_TAX","FQ1 2025","FQ1 2025","Currency=USD","Period=FQ","BEST_FPERIOD_OVERRIDE=FQ","FILING_STATUS=MR","SCALING_FORMAT=MLN","Sort=A","Dates=H","DateFormat=P","Fill=—","Direction=H","UseDPDF=Y")</f>
        <v>0</v>
      </c>
      <c r="Z46" s="13" cm="1">
        <f t="array" ref="Z46">_xll.BDH("PH US Equity","XO_GL_NET_OF_TAX","FQ2 2025","FQ2 2025","Currency=USD","Period=FQ","BEST_FPERIOD_OVERRIDE=FQ","FILING_STATUS=MR","SCALING_FORMAT=MLN","Sort=A","Dates=H","DateFormat=P","Fill=—","Direction=H","UseDPDF=Y")</f>
        <v>0</v>
      </c>
      <c r="AA46" s="13" cm="1">
        <f t="array" ref="AA46">_xll.BDH("PH US Equity","XO_GL_NET_OF_TAX","FQ3 2025","FQ3 2025","Currency=USD","Period=FQ","BEST_FPERIOD_OVERRIDE=FQ","FILING_STATUS=MR","SCALING_FORMAT=MLN","Sort=A","Dates=H","DateFormat=P","Fill=—","Direction=H","UseDPDF=Y")</f>
        <v>0</v>
      </c>
      <c r="AB46" s="13" cm="1">
        <f t="array" ref="AB46">_xll.BDH("PH US Equity","XO_GL_NET_OF_TAX","FQ4 2025","FQ4 2025","Currency=USD","Period=FQ","BEST_FPERIOD_OVERRIDE=FQ","FILING_STATUS=MR","SCALING_FORMAT=MLN","Sort=A","Dates=H","DateFormat=P","Fill=—","Direction=H","UseDPDF=Y")</f>
        <v>0</v>
      </c>
      <c r="AC46" s="13" cm="1">
        <f t="array" ref="AC46">_xll.BDH("PH US Equity","XO_GL_NET_OF_TAX","FQ1 2026","FQ1 2026","Currency=USD","Period=FQ","BEST_FPERIOD_OVERRIDE=FQ","FILING_STATUS=MR","SCALING_FORMAT=MLN","Sort=A","Dates=H","DateFormat=P","Fill=—","Direction=H","UseDPDF=Y")</f>
        <v>0</v>
      </c>
      <c r="AD46" s="13" cm="1">
        <f t="array" ref="AD46">_xll.BDH("PH US Equity","XO_GL_NET_OF_TAX","FQ2 2026","FQ2 2026","Currency=USD","Period=FQ","BEST_FPERIOD_OVERRIDE=FQ","FILING_STATUS=MR","SCALING_FORMAT=MLN","Sort=A","Dates=H","DateFormat=P","Fill=—","Direction=H","UseDPDF=Y")</f>
        <v>0</v>
      </c>
      <c r="AE46" s="13"/>
      <c r="AF46" s="13"/>
    </row>
    <row r="47" spans="1:32" x14ac:dyDescent="0.25">
      <c r="A47" s="6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</row>
    <row r="48" spans="1:32" x14ac:dyDescent="0.25">
      <c r="A48" s="10" t="s">
        <v>142</v>
      </c>
      <c r="B48" s="10" t="s">
        <v>143</v>
      </c>
      <c r="C48" s="13" cm="1">
        <f t="array" ref="C48">_xll.BDH("PH US Equity","IS_AVG_NUM_SH_FOR_EPS","FQ3 2019","FQ3 2019","Currency=USD","Period=FQ","BEST_FPERIOD_OVERRIDE=FQ","FILING_STATUS=MR","Sort=A","Dates=H","DateFormat=P","Fill=—","Direction=H","UseDPDF=Y")</f>
        <v>128.70609999999999</v>
      </c>
      <c r="D48" s="13" cm="1">
        <f t="array" ref="D48">_xll.BDH("PH US Equity","IS_AVG_NUM_SH_FOR_EPS","FQ4 2019","FQ4 2019","Currency=USD","Period=FQ","BEST_FPERIOD_OVERRIDE=FQ","FILING_STATUS=MR","Sort=A","Dates=H","DateFormat=P","Fill=—","Direction=H","UseDPDF=Y")</f>
        <v>128.5615</v>
      </c>
      <c r="E48" s="13" cm="1">
        <f t="array" ref="E48">_xll.BDH("PH US Equity","IS_AVG_NUM_SH_FOR_EPS","FQ1 2020","FQ1 2020","Currency=USD","Period=FQ","BEST_FPERIOD_OVERRIDE=FQ","FILING_STATUS=MR","Sort=A","Dates=H","DateFormat=P","Fill=—","Direction=H","UseDPDF=Y")</f>
        <v>128.464</v>
      </c>
      <c r="F48" s="13" cm="1">
        <f t="array" ref="F48">_xll.BDH("PH US Equity","IS_AVG_NUM_SH_FOR_EPS","FQ2 2020","FQ2 2020","Currency=USD","Period=FQ","BEST_FPERIOD_OVERRIDE=FQ","FILING_STATUS=MR","Sort=A","Dates=H","DateFormat=P","Fill=—","Direction=H","UseDPDF=Y")</f>
        <v>128.39689999999999</v>
      </c>
      <c r="G48" s="13" cm="1">
        <f t="array" ref="G48">_xll.BDH("PH US Equity","IS_AVG_NUM_SH_FOR_EPS","FQ3 2020","FQ3 2020","Currency=USD","Period=FQ","BEST_FPERIOD_OVERRIDE=FQ","FILING_STATUS=MR","Sort=A","Dates=H","DateFormat=P","Fill=—","Direction=H","UseDPDF=Y")</f>
        <v>128.28970000000001</v>
      </c>
      <c r="H48" s="13" cm="1">
        <f t="array" ref="H48">_xll.BDH("PH US Equity","IS_AVG_NUM_SH_FOR_EPS","FQ4 2020","FQ4 2020","Currency=USD","Period=FQ","BEST_FPERIOD_OVERRIDE=FQ","FILING_STATUS=MR","Sort=A","Dates=H","DateFormat=P","Fill=—","Direction=H","UseDPDF=Y")</f>
        <v>128.52330000000001</v>
      </c>
      <c r="I48" s="13" cm="1">
        <f t="array" ref="I48">_xll.BDH("PH US Equity","IS_AVG_NUM_SH_FOR_EPS","FQ1 2021","FQ1 2021","Currency=USD","Period=FQ","BEST_FPERIOD_OVERRIDE=FQ","FILING_STATUS=MR","Sort=A","Dates=H","DateFormat=P","Fill=—","Direction=H","UseDPDF=Y")</f>
        <v>128.70769999999999</v>
      </c>
      <c r="J48" s="13" cm="1">
        <f t="array" ref="J48">_xll.BDH("PH US Equity","IS_AVG_NUM_SH_FOR_EPS","FQ2 2021","FQ2 2021","Currency=USD","Period=FQ","BEST_FPERIOD_OVERRIDE=FQ","FILING_STATUS=MR","Sort=A","Dates=H","DateFormat=P","Fill=—","Direction=H","UseDPDF=Y")</f>
        <v>129.0138</v>
      </c>
      <c r="K48" s="13" cm="1">
        <f t="array" ref="K48">_xll.BDH("PH US Equity","IS_AVG_NUM_SH_FOR_EPS","FQ3 2021","FQ3 2021","Currency=USD","Period=FQ","BEST_FPERIOD_OVERRIDE=FQ","FILING_STATUS=MR","Sort=A","Dates=H","DateFormat=P","Fill=—","Direction=H","UseDPDF=Y")</f>
        <v>129.0856</v>
      </c>
      <c r="L48" s="13" cm="1">
        <f t="array" ref="L48">_xll.BDH("PH US Equity","IS_AVG_NUM_SH_FOR_EPS","FQ4 2021","FQ4 2021","Currency=USD","Period=FQ","BEST_FPERIOD_OVERRIDE=FQ","FILING_STATUS=MR","Sort=A","Dates=H","DateFormat=P","Fill=—","Direction=H","UseDPDF=Y")</f>
        <v>129.19239999999999</v>
      </c>
      <c r="M48" s="13" cm="1">
        <f t="array" ref="M48">_xll.BDH("PH US Equity","IS_AVG_NUM_SH_FOR_EPS","FQ1 2022","FQ1 2022","Currency=USD","Period=FQ","BEST_FPERIOD_OVERRIDE=FQ","FILING_STATUS=MR","Sort=A","Dates=H","DateFormat=P","Fill=—","Direction=H","UseDPDF=Y")</f>
        <v>128.72669999999999</v>
      </c>
      <c r="N48" s="13" cm="1">
        <f t="array" ref="N48">_xll.BDH("PH US Equity","IS_AVG_NUM_SH_FOR_EPS","FQ2 2022","FQ2 2022","Currency=USD","Period=FQ","BEST_FPERIOD_OVERRIDE=FQ","FILING_STATUS=MR","Sort=A","Dates=H","DateFormat=P","Fill=—","Direction=H","UseDPDF=Y")</f>
        <v>128.49369999999999</v>
      </c>
      <c r="O48" s="13" cm="1">
        <f t="array" ref="O48">_xll.BDH("PH US Equity","IS_AVG_NUM_SH_FOR_EPS","FQ3 2022","FQ3 2022","Currency=USD","Period=FQ","BEST_FPERIOD_OVERRIDE=FQ","FILING_STATUS=MR","Sort=A","Dates=H","DateFormat=P","Fill=—","Direction=H","UseDPDF=Y")</f>
        <v>128.42670000000001</v>
      </c>
      <c r="P48" s="13" cm="1">
        <f t="array" ref="P48">_xll.BDH("PH US Equity","IS_AVG_NUM_SH_FOR_EPS","FQ4 2022","FQ4 2022","Currency=USD","Period=FQ","BEST_FPERIOD_OVERRIDE=FQ","FILING_STATUS=MR","Sort=A","Dates=H","DateFormat=P","Fill=—","Direction=H","UseDPDF=Y")</f>
        <v>128.5104</v>
      </c>
      <c r="Q48" s="13" cm="1">
        <f t="array" ref="Q48">_xll.BDH("PH US Equity","IS_AVG_NUM_SH_FOR_EPS","FQ1 2023","FQ1 2023","Currency=USD","Period=FQ","BEST_FPERIOD_OVERRIDE=FQ","FILING_STATUS=MR","Sort=A","Dates=H","DateFormat=P","Fill=—","Direction=H","UseDPDF=Y")</f>
        <v>128.42500000000001</v>
      </c>
      <c r="R48" s="13" cm="1">
        <f t="array" ref="R48">_xll.BDH("PH US Equity","IS_AVG_NUM_SH_FOR_EPS","FQ2 2023","FQ2 2023","Currency=USD","Period=FQ","BEST_FPERIOD_OVERRIDE=FQ","FILING_STATUS=MR","Sort=A","Dates=H","DateFormat=P","Fill=—","Direction=H","UseDPDF=Y")</f>
        <v>128.3133</v>
      </c>
      <c r="S48" s="13" cm="1">
        <f t="array" ref="S48">_xll.BDH("PH US Equity","IS_AVG_NUM_SH_FOR_EPS","FQ3 2023","FQ3 2023","Currency=USD","Period=FQ","BEST_FPERIOD_OVERRIDE=FQ","FILING_STATUS=MR","Sort=A","Dates=H","DateFormat=P","Fill=—","Direction=H","UseDPDF=Y")</f>
        <v>128.29300000000001</v>
      </c>
      <c r="T48" s="13" cm="1">
        <f t="array" ref="T48">_xll.BDH("PH US Equity","IS_AVG_NUM_SH_FOR_EPS","FQ4 2023","FQ4 2023","Currency=USD","Period=FQ","BEST_FPERIOD_OVERRIDE=FQ","FILING_STATUS=MR","Sort=A","Dates=H","DateFormat=P","Fill=—","Direction=H","UseDPDF=Y")</f>
        <v>128.44</v>
      </c>
      <c r="U48" s="13" cm="1">
        <f t="array" ref="U48">_xll.BDH("PH US Equity","IS_AVG_NUM_SH_FOR_EPS","FQ1 2024","FQ1 2024","Currency=USD","Period=FQ","BEST_FPERIOD_OVERRIDE=FQ","FILING_STATUS=MR","Sort=A","Dates=H","DateFormat=P","Fill=—","Direction=H","UseDPDF=Y")</f>
        <v>128.4726</v>
      </c>
      <c r="V48" s="13" cm="1">
        <f t="array" ref="V48">_xll.BDH("PH US Equity","IS_AVG_NUM_SH_FOR_EPS","FQ2 2024","FQ2 2024","Currency=USD","Period=FQ","BEST_FPERIOD_OVERRIDE=FQ","FILING_STATUS=MR","Sort=A","Dates=H","DateFormat=P","Fill=—","Direction=H","UseDPDF=Y")</f>
        <v>128.42619999999999</v>
      </c>
      <c r="W48" s="13" cm="1">
        <f t="array" ref="W48">_xll.BDH("PH US Equity","IS_AVG_NUM_SH_FOR_EPS","FQ3 2024","FQ3 2024","Currency=USD","Period=FQ","BEST_FPERIOD_OVERRIDE=FQ","FILING_STATUS=MR","Sort=A","Dates=H","DateFormat=P","Fill=—","Direction=H","UseDPDF=Y")</f>
        <v>128.50280000000001</v>
      </c>
      <c r="X48" s="13" cm="1">
        <f t="array" ref="X48">_xll.BDH("PH US Equity","IS_AVG_NUM_SH_FOR_EPS","FQ4 2024","FQ4 2024","Currency=USD","Period=FQ","BEST_FPERIOD_OVERRIDE=FQ","FILING_STATUS=MR","Sort=A","Dates=H","DateFormat=P","Fill=—","Direction=H","UseDPDF=Y")</f>
        <v>128.62780000000001</v>
      </c>
      <c r="Y48" s="13" cm="1">
        <f t="array" ref="Y48">_xll.BDH("PH US Equity","IS_AVG_NUM_SH_FOR_EPS","FQ1 2025","FQ1 2025","Currency=USD","Period=FQ","BEST_FPERIOD_OVERRIDE=FQ","FILING_STATUS=MR","Sort=A","Dates=H","DateFormat=P","Fill=—","Direction=H","UseDPDF=Y")</f>
        <v>128.66309999999999</v>
      </c>
      <c r="Z48" s="13" cm="1">
        <f t="array" ref="Z48">_xll.BDH("PH US Equity","IS_AVG_NUM_SH_FOR_EPS","FQ2 2025","FQ2 2025","Currency=USD","Period=FQ","BEST_FPERIOD_OVERRIDE=FQ","FILING_STATUS=MR","Sort=A","Dates=H","DateFormat=P","Fill=—","Direction=H","UseDPDF=Y")</f>
        <v>128.75280000000001</v>
      </c>
      <c r="AA48" s="13" cm="1">
        <f t="array" ref="AA48">_xll.BDH("PH US Equity","IS_AVG_NUM_SH_FOR_EPS","FQ3 2025","FQ3 2025","Currency=USD","Period=FQ","BEST_FPERIOD_OVERRIDE=FQ","FILING_STATUS=MR","Sort=A","Dates=H","DateFormat=P","Fill=—","Direction=H","UseDPDF=Y")</f>
        <v>128.4426</v>
      </c>
      <c r="AB48" s="13" cm="1">
        <f t="array" ref="AB48">_xll.BDH("PH US Equity","IS_AVG_NUM_SH_FOR_EPS","FQ4 2025","FQ4 2025","Currency=USD","Period=FQ","BEST_FPERIOD_OVERRIDE=FQ","FILING_STATUS=MR","Sort=A","Dates=H","DateFormat=P","Fill=—","Direction=H","UseDPDF=Y")</f>
        <v>127.2</v>
      </c>
      <c r="AC48" s="13" cm="1">
        <f t="array" ref="AC48">_xll.BDH("PH US Equity","IS_AVG_NUM_SH_FOR_EPS","FQ1 2026","FQ1 2026","Currency=USD","Period=FQ","BEST_FPERIOD_OVERRIDE=FQ","FILING_STATUS=MR","Sort=A","Dates=H","DateFormat=P","Fill=—","Direction=H","UseDPDF=Y")</f>
        <v>126.5</v>
      </c>
      <c r="AD48" s="13" cm="1">
        <f t="array" ref="AD48">_xll.BDH("PH US Equity","IS_AVG_NUM_SH_FOR_EPS","FQ2 2026","FQ2 2026","Currency=USD","Period=FQ","BEST_FPERIOD_OVERRIDE=FQ","FILING_STATUS=MR","Sort=A","Dates=H","DateFormat=P","Fill=—","Direction=H","UseDPDF=Y")</f>
        <v>126.2</v>
      </c>
      <c r="AE48" s="13"/>
      <c r="AF48" s="13"/>
    </row>
    <row r="49" spans="1:32" x14ac:dyDescent="0.25">
      <c r="A49" s="6" t="s">
        <v>144</v>
      </c>
      <c r="B49" s="6" t="s">
        <v>145</v>
      </c>
      <c r="C49" s="17" cm="1">
        <f t="array" ref="C49">_xll.BDH("PH US Equity","IS_EPS","FQ3 2019","FQ3 2019","Currency=USD","Period=FQ","BEST_FPERIOD_OVERRIDE=FQ","FILING_STATUS=MR","FA_ADJUSTED=GAAP","Sort=A","Dates=H","DateFormat=P","Fill=—","Direction=H","UseDPDF=Y")</f>
        <v>3.2</v>
      </c>
      <c r="D49" s="17" cm="1">
        <f t="array" ref="D49">_xll.BDH("PH US Equity","IS_EPS","FQ4 2019","FQ4 2019","Currency=USD","Period=FQ","BEST_FPERIOD_OVERRIDE=FQ","FILING_STATUS=MR","FA_ADJUSTED=GAAP","Sort=A","Dates=H","DateFormat=P","Fill=—","Direction=H","UseDPDF=Y")</f>
        <v>3.22</v>
      </c>
      <c r="E49" s="17" cm="1">
        <f t="array" ref="E49">_xll.BDH("PH US Equity","IS_EPS","FQ1 2020","FQ1 2020","Currency=USD","Period=FQ","BEST_FPERIOD_OVERRIDE=FQ","FILING_STATUS=MR","FA_ADJUSTED=GAAP","Sort=A","Dates=H","DateFormat=P","Fill=—","Direction=H","UseDPDF=Y")</f>
        <v>2.64</v>
      </c>
      <c r="F49" s="17" cm="1">
        <f t="array" ref="F49">_xll.BDH("PH US Equity","IS_EPS","FQ2 2020","FQ2 2020","Currency=USD","Period=FQ","BEST_FPERIOD_OVERRIDE=FQ","FILING_STATUS=MR","FA_ADJUSTED=GAAP","Sort=A","Dates=H","DateFormat=P","Fill=—","Direction=H","UseDPDF=Y")</f>
        <v>1.59</v>
      </c>
      <c r="G49" s="17" cm="1">
        <f t="array" ref="G49">_xll.BDH("PH US Equity","IS_EPS","FQ3 2020","FQ3 2020","Currency=USD","Period=FQ","BEST_FPERIOD_OVERRIDE=FQ","FILING_STATUS=MR","FA_ADJUSTED=GAAP","Sort=A","Dates=H","DateFormat=P","Fill=—","Direction=H","UseDPDF=Y")</f>
        <v>2.86</v>
      </c>
      <c r="H49" s="17" cm="1">
        <f t="array" ref="H49">_xll.BDH("PH US Equity","IS_EPS","FQ4 2020","FQ4 2020","Currency=USD","Period=FQ","BEST_FPERIOD_OVERRIDE=FQ","FILING_STATUS=MR","FA_ADJUSTED=GAAP","Sort=A","Dates=H","DateFormat=P","Fill=—","Direction=H","UseDPDF=Y")</f>
        <v>2.25</v>
      </c>
      <c r="I49" s="17" cm="1">
        <f t="array" ref="I49">_xll.BDH("PH US Equity","IS_EPS","FQ1 2021","FQ1 2021","Currency=USD","Period=FQ","BEST_FPERIOD_OVERRIDE=FQ","FILING_STATUS=MR","FA_ADJUSTED=GAAP","Sort=A","Dates=H","DateFormat=P","Fill=—","Direction=H","UseDPDF=Y")</f>
        <v>2.48</v>
      </c>
      <c r="J49" s="17" cm="1">
        <f t="array" ref="J49">_xll.BDH("PH US Equity","IS_EPS","FQ2 2021","FQ2 2021","Currency=USD","Period=FQ","BEST_FPERIOD_OVERRIDE=FQ","FILING_STATUS=MR","FA_ADJUSTED=GAAP","Sort=A","Dates=H","DateFormat=P","Fill=—","Direction=H","UseDPDF=Y")</f>
        <v>3.48</v>
      </c>
      <c r="K49" s="17" cm="1">
        <f t="array" ref="K49">_xll.BDH("PH US Equity","IS_EPS","FQ3 2021","FQ3 2021","Currency=USD","Period=FQ","BEST_FPERIOD_OVERRIDE=FQ","FILING_STATUS=MR","FA_ADJUSTED=GAAP","Sort=A","Dates=H","DateFormat=P","Fill=—","Direction=H","UseDPDF=Y")</f>
        <v>3.67</v>
      </c>
      <c r="L49" s="17" cm="1">
        <f t="array" ref="L49">_xll.BDH("PH US Equity","IS_EPS","FQ4 2021","FQ4 2021","Currency=USD","Period=FQ","BEST_FPERIOD_OVERRIDE=FQ","FILING_STATUS=MR","FA_ADJUSTED=GAAP","Sort=A","Dates=H","DateFormat=P","Fill=—","Direction=H","UseDPDF=Y")</f>
        <v>3.91</v>
      </c>
      <c r="M49" s="17" cm="1">
        <f t="array" ref="M49">_xll.BDH("PH US Equity","IS_EPS","FQ1 2022","FQ1 2022","Currency=USD","Period=FQ","BEST_FPERIOD_OVERRIDE=FQ","FILING_STATUS=MR","FA_ADJUSTED=GAAP","Sort=A","Dates=H","DateFormat=P","Fill=—","Direction=H","UseDPDF=Y")</f>
        <v>3.5</v>
      </c>
      <c r="N49" s="17" cm="1">
        <f t="array" ref="N49">_xll.BDH("PH US Equity","IS_EPS","FQ2 2022","FQ2 2022","Currency=USD","Period=FQ","BEST_FPERIOD_OVERRIDE=FQ","FILING_STATUS=MR","FA_ADJUSTED=GAAP","Sort=A","Dates=H","DateFormat=P","Fill=—","Direction=H","UseDPDF=Y")</f>
        <v>3.02</v>
      </c>
      <c r="O49" s="17" cm="1">
        <f t="array" ref="O49">_xll.BDH("PH US Equity","IS_EPS","FQ3 2022","FQ3 2022","Currency=USD","Period=FQ","BEST_FPERIOD_OVERRIDE=FQ","FILING_STATUS=MR","FA_ADJUSTED=GAAP","Sort=A","Dates=H","DateFormat=P","Fill=—","Direction=H","UseDPDF=Y")</f>
        <v>2.71</v>
      </c>
      <c r="P49" s="17" cm="1">
        <f t="array" ref="P49">_xll.BDH("PH US Equity","IS_EPS","FQ4 2022","FQ4 2022","Currency=USD","Period=FQ","BEST_FPERIOD_OVERRIDE=FQ","FILING_STATUS=MR","FA_ADJUSTED=GAAP","Sort=A","Dates=H","DateFormat=P","Fill=—","Direction=H","UseDPDF=Y")</f>
        <v>1</v>
      </c>
      <c r="Q49" s="17" cm="1">
        <f t="array" ref="Q49">_xll.BDH("PH US Equity","IS_EPS","FQ1 2023","FQ1 2023","Currency=USD","Period=FQ","BEST_FPERIOD_OVERRIDE=FQ","FILING_STATUS=MR","FA_ADJUSTED=GAAP","Sort=A","Dates=H","DateFormat=P","Fill=—","Direction=H","UseDPDF=Y")</f>
        <v>3.02</v>
      </c>
      <c r="R49" s="17" cm="1">
        <f t="array" ref="R49">_xll.BDH("PH US Equity","IS_EPS","FQ2 2023","FQ2 2023","Currency=USD","Period=FQ","BEST_FPERIOD_OVERRIDE=FQ","FILING_STATUS=MR","FA_ADJUSTED=GAAP","Sort=A","Dates=H","DateFormat=P","Fill=—","Direction=H","UseDPDF=Y")</f>
        <v>3.08</v>
      </c>
      <c r="S49" s="17" cm="1">
        <f t="array" ref="S49">_xll.BDH("PH US Equity","IS_EPS","FQ3 2023","FQ3 2023","Currency=USD","Period=FQ","BEST_FPERIOD_OVERRIDE=FQ","FILING_STATUS=MR","FA_ADJUSTED=GAAP","Sort=A","Dates=H","DateFormat=P","Fill=—","Direction=H","UseDPDF=Y")</f>
        <v>4.6100000000000003</v>
      </c>
      <c r="T49" s="17" cm="1">
        <f t="array" ref="T49">_xll.BDH("PH US Equity","IS_EPS","FQ4 2023","FQ4 2023","Currency=USD","Period=FQ","BEST_FPERIOD_OVERRIDE=FQ","FILING_STATUS=MR","FA_ADJUSTED=GAAP","Sort=A","Dates=H","DateFormat=P","Fill=—","Direction=H","UseDPDF=Y")</f>
        <v>5.52</v>
      </c>
      <c r="U49" s="17" cm="1">
        <f t="array" ref="U49">_xll.BDH("PH US Equity","IS_EPS","FQ1 2024","FQ1 2024","Currency=USD","Period=FQ","BEST_FPERIOD_OVERRIDE=FQ","FILING_STATUS=MR","FA_ADJUSTED=GAAP","Sort=A","Dates=H","DateFormat=P","Fill=—","Direction=H","UseDPDF=Y")</f>
        <v>5.07</v>
      </c>
      <c r="V49" s="17" cm="1">
        <f t="array" ref="V49">_xll.BDH("PH US Equity","IS_EPS","FQ2 2024","FQ2 2024","Currency=USD","Period=FQ","BEST_FPERIOD_OVERRIDE=FQ","FILING_STATUS=MR","FA_ADJUSTED=GAAP","Sort=A","Dates=H","DateFormat=P","Fill=—","Direction=H","UseDPDF=Y")</f>
        <v>5.31</v>
      </c>
      <c r="W49" s="17" cm="1">
        <f t="array" ref="W49">_xll.BDH("PH US Equity","IS_EPS","FQ3 2024","FQ3 2024","Currency=USD","Period=FQ","BEST_FPERIOD_OVERRIDE=FQ","FILING_STATUS=MR","FA_ADJUSTED=GAAP","Sort=A","Dates=H","DateFormat=P","Fill=—","Direction=H","UseDPDF=Y")</f>
        <v>5.65</v>
      </c>
      <c r="X49" s="17" cm="1">
        <f t="array" ref="X49">_xll.BDH("PH US Equity","IS_EPS","FQ4 2024","FQ4 2024","Currency=USD","Period=FQ","BEST_FPERIOD_OVERRIDE=FQ","FILING_STATUS=MR","FA_ADJUSTED=GAAP","Sort=A","Dates=H","DateFormat=P","Fill=—","Direction=H","UseDPDF=Y")</f>
        <v>6.1</v>
      </c>
      <c r="Y49" s="17" cm="1">
        <f t="array" ref="Y49">_xll.BDH("PH US Equity","IS_EPS","FQ1 2025","FQ1 2025","Currency=USD","Period=FQ","BEST_FPERIOD_OVERRIDE=FQ","FILING_STATUS=MR","FA_ADJUSTED=GAAP","Sort=A","Dates=H","DateFormat=P","Fill=—","Direction=H","UseDPDF=Y")</f>
        <v>5.43</v>
      </c>
      <c r="Z49" s="17" cm="1">
        <f t="array" ref="Z49">_xll.BDH("PH US Equity","IS_EPS","FQ2 2025","FQ2 2025","Currency=USD","Period=FQ","BEST_FPERIOD_OVERRIDE=FQ","FILING_STATUS=MR","FA_ADJUSTED=GAAP","Sort=A","Dates=H","DateFormat=P","Fill=—","Direction=H","UseDPDF=Y")</f>
        <v>7.37</v>
      </c>
      <c r="AA49" s="17" cm="1">
        <f t="array" ref="AA49">_xll.BDH("PH US Equity","IS_EPS","FQ3 2025","FQ3 2025","Currency=USD","Period=FQ","BEST_FPERIOD_OVERRIDE=FQ","FILING_STATUS=MR","FA_ADJUSTED=GAAP","Sort=A","Dates=H","DateFormat=P","Fill=—","Direction=H","UseDPDF=Y")</f>
        <v>7.48</v>
      </c>
      <c r="AB49" s="17" cm="1">
        <f t="array" ref="AB49">_xll.BDH("PH US Equity","IS_EPS","FQ4 2025","FQ4 2025","Currency=USD","Period=FQ","BEST_FPERIOD_OVERRIDE=FQ","FILING_STATUS=MR","FA_ADJUSTED=GAAP","Sort=A","Dates=H","DateFormat=P","Fill=—","Direction=H","UseDPDF=Y")</f>
        <v>7.25</v>
      </c>
      <c r="AC49" s="17" cm="1">
        <f t="array" ref="AC49">_xll.BDH("PH US Equity","IS_EPS","FQ1 2026","FQ1 2026","Currency=USD","Period=FQ","BEST_FPERIOD_OVERRIDE=FQ","FILING_STATUS=MR","FA_ADJUSTED=GAAP","Sort=A","Dates=H","DateFormat=P","Fill=—","Direction=H","UseDPDF=Y")</f>
        <v>6.39</v>
      </c>
      <c r="AD49" s="17" cm="1">
        <f t="array" ref="AD49">_xll.BDH("PH US Equity","IS_EPS","FQ2 2026","FQ2 2026","Currency=USD","Period=FQ","BEST_FPERIOD_OVERRIDE=FQ","FILING_STATUS=MR","FA_ADJUSTED=GAAP","Sort=A","Dates=H","DateFormat=P","Fill=—","Direction=H","UseDPDF=Y")</f>
        <v>6.69</v>
      </c>
      <c r="AE49" s="17">
        <v>6.7649999999999997</v>
      </c>
      <c r="AF49" s="17">
        <v>7.2679999999999998</v>
      </c>
    </row>
    <row r="50" spans="1:32" x14ac:dyDescent="0.25">
      <c r="A50" s="6" t="s">
        <v>146</v>
      </c>
      <c r="B50" s="6" t="s">
        <v>147</v>
      </c>
      <c r="C50" s="17" cm="1">
        <f t="array" ref="C50">_xll.BDH("PH US Equity","IS_EARN_BEF_XO_ITEMS_PER_SH","FQ3 2019","FQ3 2019","Currency=USD","Period=FQ","BEST_FPERIOD_OVERRIDE=FQ","FILING_STATUS=MR","Sort=A","Dates=H","DateFormat=P","Fill=—","Direction=H","UseDPDF=Y")</f>
        <v>3.2</v>
      </c>
      <c r="D50" s="17" cm="1">
        <f t="array" ref="D50">_xll.BDH("PH US Equity","IS_EARN_BEF_XO_ITEMS_PER_SH","FQ4 2019","FQ4 2019","Currency=USD","Period=FQ","BEST_FPERIOD_OVERRIDE=FQ","FILING_STATUS=MR","Sort=A","Dates=H","DateFormat=P","Fill=—","Direction=H","UseDPDF=Y")</f>
        <v>3.22</v>
      </c>
      <c r="E50" s="17" cm="1">
        <f t="array" ref="E50">_xll.BDH("PH US Equity","IS_EARN_BEF_XO_ITEMS_PER_SH","FQ1 2020","FQ1 2020","Currency=USD","Period=FQ","BEST_FPERIOD_OVERRIDE=FQ","FILING_STATUS=MR","Sort=A","Dates=H","DateFormat=P","Fill=—","Direction=H","UseDPDF=Y")</f>
        <v>2.64</v>
      </c>
      <c r="F50" s="17" cm="1">
        <f t="array" ref="F50">_xll.BDH("PH US Equity","IS_EARN_BEF_XO_ITEMS_PER_SH","FQ2 2020","FQ2 2020","Currency=USD","Period=FQ","BEST_FPERIOD_OVERRIDE=FQ","FILING_STATUS=MR","Sort=A","Dates=H","DateFormat=P","Fill=—","Direction=H","UseDPDF=Y")</f>
        <v>1.59</v>
      </c>
      <c r="G50" s="17" cm="1">
        <f t="array" ref="G50">_xll.BDH("PH US Equity","IS_EARN_BEF_XO_ITEMS_PER_SH","FQ3 2020","FQ3 2020","Currency=USD","Period=FQ","BEST_FPERIOD_OVERRIDE=FQ","FILING_STATUS=MR","Sort=A","Dates=H","DateFormat=P","Fill=—","Direction=H","UseDPDF=Y")</f>
        <v>2.86</v>
      </c>
      <c r="H50" s="17" cm="1">
        <f t="array" ref="H50">_xll.BDH("PH US Equity","IS_EARN_BEF_XO_ITEMS_PER_SH","FQ4 2020","FQ4 2020","Currency=USD","Period=FQ","BEST_FPERIOD_OVERRIDE=FQ","FILING_STATUS=MR","Sort=A","Dates=H","DateFormat=P","Fill=—","Direction=H","UseDPDF=Y")</f>
        <v>2.25</v>
      </c>
      <c r="I50" s="17" cm="1">
        <f t="array" ref="I50">_xll.BDH("PH US Equity","IS_EARN_BEF_XO_ITEMS_PER_SH","FQ1 2021","FQ1 2021","Currency=USD","Period=FQ","BEST_FPERIOD_OVERRIDE=FQ","FILING_STATUS=MR","Sort=A","Dates=H","DateFormat=P","Fill=—","Direction=H","UseDPDF=Y")</f>
        <v>2.48</v>
      </c>
      <c r="J50" s="17" cm="1">
        <f t="array" ref="J50">_xll.BDH("PH US Equity","IS_EARN_BEF_XO_ITEMS_PER_SH","FQ2 2021","FQ2 2021","Currency=USD","Period=FQ","BEST_FPERIOD_OVERRIDE=FQ","FILING_STATUS=MR","Sort=A","Dates=H","DateFormat=P","Fill=—","Direction=H","UseDPDF=Y")</f>
        <v>3.48</v>
      </c>
      <c r="K50" s="17" cm="1">
        <f t="array" ref="K50">_xll.BDH("PH US Equity","IS_EARN_BEF_XO_ITEMS_PER_SH","FQ3 2021","FQ3 2021","Currency=USD","Period=FQ","BEST_FPERIOD_OVERRIDE=FQ","FILING_STATUS=MR","Sort=A","Dates=H","DateFormat=P","Fill=—","Direction=H","UseDPDF=Y")</f>
        <v>3.67</v>
      </c>
      <c r="L50" s="17" cm="1">
        <f t="array" ref="L50">_xll.BDH("PH US Equity","IS_EARN_BEF_XO_ITEMS_PER_SH","FQ4 2021","FQ4 2021","Currency=USD","Period=FQ","BEST_FPERIOD_OVERRIDE=FQ","FILING_STATUS=MR","Sort=A","Dates=H","DateFormat=P","Fill=—","Direction=H","UseDPDF=Y")</f>
        <v>3.91</v>
      </c>
      <c r="M50" s="17" cm="1">
        <f t="array" ref="M50">_xll.BDH("PH US Equity","IS_EARN_BEF_XO_ITEMS_PER_SH","FQ1 2022","FQ1 2022","Currency=USD","Period=FQ","BEST_FPERIOD_OVERRIDE=FQ","FILING_STATUS=MR","Sort=A","Dates=H","DateFormat=P","Fill=—","Direction=H","UseDPDF=Y")</f>
        <v>3.5</v>
      </c>
      <c r="N50" s="17" cm="1">
        <f t="array" ref="N50">_xll.BDH("PH US Equity","IS_EARN_BEF_XO_ITEMS_PER_SH","FQ2 2022","FQ2 2022","Currency=USD","Period=FQ","BEST_FPERIOD_OVERRIDE=FQ","FILING_STATUS=MR","Sort=A","Dates=H","DateFormat=P","Fill=—","Direction=H","UseDPDF=Y")</f>
        <v>3.02</v>
      </c>
      <c r="O50" s="17" cm="1">
        <f t="array" ref="O50">_xll.BDH("PH US Equity","IS_EARN_BEF_XO_ITEMS_PER_SH","FQ3 2022","FQ3 2022","Currency=USD","Period=FQ","BEST_FPERIOD_OVERRIDE=FQ","FILING_STATUS=MR","Sort=A","Dates=H","DateFormat=P","Fill=—","Direction=H","UseDPDF=Y")</f>
        <v>2.71</v>
      </c>
      <c r="P50" s="17" cm="1">
        <f t="array" ref="P50">_xll.BDH("PH US Equity","IS_EARN_BEF_XO_ITEMS_PER_SH","FQ4 2022","FQ4 2022","Currency=USD","Period=FQ","BEST_FPERIOD_OVERRIDE=FQ","FILING_STATUS=MR","Sort=A","Dates=H","DateFormat=P","Fill=—","Direction=H","UseDPDF=Y")</f>
        <v>1</v>
      </c>
      <c r="Q50" s="17" cm="1">
        <f t="array" ref="Q50">_xll.BDH("PH US Equity","IS_EARN_BEF_XO_ITEMS_PER_SH","FQ1 2023","FQ1 2023","Currency=USD","Period=FQ","BEST_FPERIOD_OVERRIDE=FQ","FILING_STATUS=MR","Sort=A","Dates=H","DateFormat=P","Fill=—","Direction=H","UseDPDF=Y")</f>
        <v>3.02</v>
      </c>
      <c r="R50" s="17" cm="1">
        <f t="array" ref="R50">_xll.BDH("PH US Equity","IS_EARN_BEF_XO_ITEMS_PER_SH","FQ2 2023","FQ2 2023","Currency=USD","Period=FQ","BEST_FPERIOD_OVERRIDE=FQ","FILING_STATUS=MR","Sort=A","Dates=H","DateFormat=P","Fill=—","Direction=H","UseDPDF=Y")</f>
        <v>3.08</v>
      </c>
      <c r="S50" s="17" cm="1">
        <f t="array" ref="S50">_xll.BDH("PH US Equity","IS_EARN_BEF_XO_ITEMS_PER_SH","FQ3 2023","FQ3 2023","Currency=USD","Period=FQ","BEST_FPERIOD_OVERRIDE=FQ","FILING_STATUS=MR","Sort=A","Dates=H","DateFormat=P","Fill=—","Direction=H","UseDPDF=Y")</f>
        <v>4.6100000000000003</v>
      </c>
      <c r="T50" s="17" cm="1">
        <f t="array" ref="T50">_xll.BDH("PH US Equity","IS_EARN_BEF_XO_ITEMS_PER_SH","FQ4 2023","FQ4 2023","Currency=USD","Period=FQ","BEST_FPERIOD_OVERRIDE=FQ","FILING_STATUS=MR","Sort=A","Dates=H","DateFormat=P","Fill=—","Direction=H","UseDPDF=Y")</f>
        <v>5.52</v>
      </c>
      <c r="U50" s="17" cm="1">
        <f t="array" ref="U50">_xll.BDH("PH US Equity","IS_EARN_BEF_XO_ITEMS_PER_SH","FQ1 2024","FQ1 2024","Currency=USD","Period=FQ","BEST_FPERIOD_OVERRIDE=FQ","FILING_STATUS=MR","Sort=A","Dates=H","DateFormat=P","Fill=—","Direction=H","UseDPDF=Y")</f>
        <v>5.07</v>
      </c>
      <c r="V50" s="17" cm="1">
        <f t="array" ref="V50">_xll.BDH("PH US Equity","IS_EARN_BEF_XO_ITEMS_PER_SH","FQ2 2024","FQ2 2024","Currency=USD","Period=FQ","BEST_FPERIOD_OVERRIDE=FQ","FILING_STATUS=MR","Sort=A","Dates=H","DateFormat=P","Fill=—","Direction=H","UseDPDF=Y")</f>
        <v>5.31</v>
      </c>
      <c r="W50" s="17" cm="1">
        <f t="array" ref="W50">_xll.BDH("PH US Equity","IS_EARN_BEF_XO_ITEMS_PER_SH","FQ3 2024","FQ3 2024","Currency=USD","Period=FQ","BEST_FPERIOD_OVERRIDE=FQ","FILING_STATUS=MR","Sort=A","Dates=H","DateFormat=P","Fill=—","Direction=H","UseDPDF=Y")</f>
        <v>5.65</v>
      </c>
      <c r="X50" s="17" cm="1">
        <f t="array" ref="X50">_xll.BDH("PH US Equity","IS_EARN_BEF_XO_ITEMS_PER_SH","FQ4 2024","FQ4 2024","Currency=USD","Period=FQ","BEST_FPERIOD_OVERRIDE=FQ","FILING_STATUS=MR","Sort=A","Dates=H","DateFormat=P","Fill=—","Direction=H","UseDPDF=Y")</f>
        <v>6.1</v>
      </c>
      <c r="Y50" s="17" cm="1">
        <f t="array" ref="Y50">_xll.BDH("PH US Equity","IS_EARN_BEF_XO_ITEMS_PER_SH","FQ1 2025","FQ1 2025","Currency=USD","Period=FQ","BEST_FPERIOD_OVERRIDE=FQ","FILING_STATUS=MR","Sort=A","Dates=H","DateFormat=P","Fill=—","Direction=H","UseDPDF=Y")</f>
        <v>5.43</v>
      </c>
      <c r="Z50" s="17" cm="1">
        <f t="array" ref="Z50">_xll.BDH("PH US Equity","IS_EARN_BEF_XO_ITEMS_PER_SH","FQ2 2025","FQ2 2025","Currency=USD","Period=FQ","BEST_FPERIOD_OVERRIDE=FQ","FILING_STATUS=MR","Sort=A","Dates=H","DateFormat=P","Fill=—","Direction=H","UseDPDF=Y")</f>
        <v>7.37</v>
      </c>
      <c r="AA50" s="17" cm="1">
        <f t="array" ref="AA50">_xll.BDH("PH US Equity","IS_EARN_BEF_XO_ITEMS_PER_SH","FQ3 2025","FQ3 2025","Currency=USD","Period=FQ","BEST_FPERIOD_OVERRIDE=FQ","FILING_STATUS=MR","Sort=A","Dates=H","DateFormat=P","Fill=—","Direction=H","UseDPDF=Y")</f>
        <v>7.48</v>
      </c>
      <c r="AB50" s="17" cm="1">
        <f t="array" ref="AB50">_xll.BDH("PH US Equity","IS_EARN_BEF_XO_ITEMS_PER_SH","FQ4 2025","FQ4 2025","Currency=USD","Period=FQ","BEST_FPERIOD_OVERRIDE=FQ","FILING_STATUS=MR","Sort=A","Dates=H","DateFormat=P","Fill=—","Direction=H","UseDPDF=Y")</f>
        <v>7.25</v>
      </c>
      <c r="AC50" s="17" cm="1">
        <f t="array" ref="AC50">_xll.BDH("PH US Equity","IS_EARN_BEF_XO_ITEMS_PER_SH","FQ1 2026","FQ1 2026","Currency=USD","Period=FQ","BEST_FPERIOD_OVERRIDE=FQ","FILING_STATUS=MR","Sort=A","Dates=H","DateFormat=P","Fill=—","Direction=H","UseDPDF=Y")</f>
        <v>6.39</v>
      </c>
      <c r="AD50" s="17" cm="1">
        <f t="array" ref="AD50">_xll.BDH("PH US Equity","IS_EARN_BEF_XO_ITEMS_PER_SH","FQ2 2026","FQ2 2026","Currency=USD","Period=FQ","BEST_FPERIOD_OVERRIDE=FQ","FILING_STATUS=MR","Sort=A","Dates=H","DateFormat=P","Fill=—","Direction=H","UseDPDF=Y")</f>
        <v>6.69</v>
      </c>
      <c r="AE50" s="17">
        <v>6.7649999999999997</v>
      </c>
      <c r="AF50" s="17">
        <v>7.2679999999999998</v>
      </c>
    </row>
    <row r="51" spans="1:32" x14ac:dyDescent="0.25">
      <c r="A51" s="6" t="s">
        <v>148</v>
      </c>
      <c r="B51" s="6" t="s">
        <v>149</v>
      </c>
      <c r="C51" s="17" cm="1">
        <f t="array" ref="C51">_xll.BDH("PH US Equity","IS_BASIC_EPS_CONT_OPS","FQ3 2019","FQ3 2019","Currency=USD","Period=FQ","BEST_FPERIOD_OVERRIDE=FQ","FILING_STATUS=MR","Sort=A","Dates=H","DateFormat=P","Fill=—","Direction=H","UseDPDF=Y")</f>
        <v>3.2126999999999999</v>
      </c>
      <c r="D51" s="17" cm="1">
        <f t="array" ref="D51">_xll.BDH("PH US Equity","IS_BASIC_EPS_CONT_OPS","FQ4 2019","FQ4 2019","Currency=USD","Period=FQ","BEST_FPERIOD_OVERRIDE=FQ","FILING_STATUS=MR","Sort=A","Dates=H","DateFormat=P","Fill=—","Direction=H","UseDPDF=Y")</f>
        <v>3.3445</v>
      </c>
      <c r="E51" s="17" cm="1">
        <f t="array" ref="E51">_xll.BDH("PH US Equity","IS_BASIC_EPS_CONT_OPS","FQ1 2020","FQ1 2020","Currency=USD","Period=FQ","BEST_FPERIOD_OVERRIDE=FQ","FILING_STATUS=MR","Sort=A","Dates=H","DateFormat=P","Fill=—","Direction=H","UseDPDF=Y")</f>
        <v>2.7294</v>
      </c>
      <c r="F51" s="17" cm="1">
        <f t="array" ref="F51">_xll.BDH("PH US Equity","IS_BASIC_EPS_CONT_OPS","FQ2 2020","FQ2 2020","Currency=USD","Period=FQ","BEST_FPERIOD_OVERRIDE=FQ","FILING_STATUS=MR","Sort=A","Dates=H","DateFormat=P","Fill=—","Direction=H","UseDPDF=Y")</f>
        <v>2.5964999999999998</v>
      </c>
      <c r="G51" s="17" cm="1">
        <f t="array" ref="G51">_xll.BDH("PH US Equity","IS_BASIC_EPS_CONT_OPS","FQ3 2020","FQ3 2020","Currency=USD","Period=FQ","BEST_FPERIOD_OVERRIDE=FQ","FILING_STATUS=MR","Sort=A","Dates=H","DateFormat=P","Fill=—","Direction=H","UseDPDF=Y")</f>
        <v>2.9666000000000001</v>
      </c>
      <c r="H51" s="17" cm="1">
        <f t="array" ref="H51">_xll.BDH("PH US Equity","IS_BASIC_EPS_CONT_OPS","FQ4 2020","FQ4 2020","Currency=USD","Period=FQ","BEST_FPERIOD_OVERRIDE=FQ","FILING_STATUS=MR","Sort=A","Dates=H","DateFormat=P","Fill=—","Direction=H","UseDPDF=Y")</f>
        <v>2.5438000000000001</v>
      </c>
      <c r="I51" s="17" cm="1">
        <f t="array" ref="I51">_xll.BDH("PH US Equity","IS_BASIC_EPS_CONT_OPS","FQ1 2021","FQ1 2021","Currency=USD","Period=FQ","BEST_FPERIOD_OVERRIDE=FQ","FILING_STATUS=MR","Sort=A","Dates=H","DateFormat=P","Fill=—","Direction=H","UseDPDF=Y")</f>
        <v>2.5912000000000002</v>
      </c>
      <c r="J51" s="17" cm="1">
        <f t="array" ref="J51">_xll.BDH("PH US Equity","IS_BASIC_EPS_CONT_OPS","FQ2 2021","FQ2 2021","Currency=USD","Period=FQ","BEST_FPERIOD_OVERRIDE=FQ","FILING_STATUS=MR","Sort=A","Dates=H","DateFormat=P","Fill=—","Direction=H","UseDPDF=Y")</f>
        <v>2.9525000000000001</v>
      </c>
      <c r="K51" s="17" cm="1">
        <f t="array" ref="K51">_xll.BDH("PH US Equity","IS_BASIC_EPS_CONT_OPS","FQ3 2021","FQ3 2021","Currency=USD","Period=FQ","BEST_FPERIOD_OVERRIDE=FQ","FILING_STATUS=MR","Sort=A","Dates=H","DateFormat=P","Fill=—","Direction=H","UseDPDF=Y")</f>
        <v>3.7145000000000001</v>
      </c>
      <c r="L51" s="17" cm="1">
        <f t="array" ref="L51">_xll.BDH("PH US Equity","IS_BASIC_EPS_CONT_OPS","FQ4 2021","FQ4 2021","Currency=USD","Period=FQ","BEST_FPERIOD_OVERRIDE=FQ","FILING_STATUS=MR","Sort=A","Dates=H","DateFormat=P","Fill=—","Direction=H","UseDPDF=Y")</f>
        <v>3.9198</v>
      </c>
      <c r="M51" s="17" cm="1">
        <f t="array" ref="M51">_xll.BDH("PH US Equity","IS_BASIC_EPS_CONT_OPS","FQ1 2022","FQ1 2022","Currency=USD","Period=FQ","BEST_FPERIOD_OVERRIDE=FQ","FILING_STATUS=MR","Sort=A","Dates=H","DateFormat=P","Fill=—","Direction=H","UseDPDF=Y")</f>
        <v>3.8386</v>
      </c>
      <c r="N51" s="17" cm="1">
        <f t="array" ref="N51">_xll.BDH("PH US Equity","IS_BASIC_EPS_CONT_OPS","FQ2 2022","FQ2 2022","Currency=USD","Period=FQ","BEST_FPERIOD_OVERRIDE=FQ","FILING_STATUS=MR","Sort=A","Dates=H","DateFormat=P","Fill=—","Direction=H","UseDPDF=Y")</f>
        <v>3.9561999999999999</v>
      </c>
      <c r="O51" s="17" cm="1">
        <f t="array" ref="O51">_xll.BDH("PH US Equity","IS_BASIC_EPS_CONT_OPS","FQ3 2022","FQ3 2022","Currency=USD","Period=FQ","BEST_FPERIOD_OVERRIDE=FQ","FILING_STATUS=MR","Sort=A","Dates=H","DateFormat=P","Fill=—","Direction=H","UseDPDF=Y")</f>
        <v>4.4405000000000001</v>
      </c>
      <c r="P51" s="17" cm="1">
        <f t="array" ref="P51">_xll.BDH("PH US Equity","IS_BASIC_EPS_CONT_OPS","FQ4 2022","FQ4 2022","Currency=USD","Period=FQ","BEST_FPERIOD_OVERRIDE=FQ","FILING_STATUS=MR","Sort=A","Dates=H","DateFormat=P","Fill=—","Direction=H","UseDPDF=Y")</f>
        <v>4.7720000000000002</v>
      </c>
      <c r="Q51" s="17" cm="1">
        <f t="array" ref="Q51">_xll.BDH("PH US Equity","IS_BASIC_EPS_CONT_OPS","FQ1 2023","FQ1 2023","Currency=USD","Period=FQ","BEST_FPERIOD_OVERRIDE=FQ","FILING_STATUS=MR","Sort=A","Dates=H","DateFormat=P","Fill=—","Direction=H","UseDPDF=Y")</f>
        <v>4.1201999999999996</v>
      </c>
      <c r="R51" s="17" cm="1">
        <f t="array" ref="R51">_xll.BDH("PH US Equity","IS_BASIC_EPS_CONT_OPS","FQ2 2023","FQ2 2023","Currency=USD","Period=FQ","BEST_FPERIOD_OVERRIDE=FQ","FILING_STATUS=MR","Sort=A","Dates=H","DateFormat=P","Fill=—","Direction=H","UseDPDF=Y")</f>
        <v>3.2963</v>
      </c>
      <c r="S51" s="17" cm="1">
        <f t="array" ref="S51">_xll.BDH("PH US Equity","IS_BASIC_EPS_CONT_OPS","FQ3 2023","FQ3 2023","Currency=USD","Period=FQ","BEST_FPERIOD_OVERRIDE=FQ","FILING_STATUS=MR","Sort=A","Dates=H","DateFormat=P","Fill=—","Direction=H","UseDPDF=Y")</f>
        <v>5.0007999999999999</v>
      </c>
      <c r="T51" s="17" cm="1">
        <f t="array" ref="T51">_xll.BDH("PH US Equity","IS_BASIC_EPS_CONT_OPS","FQ4 2023","FQ4 2023","Currency=USD","Period=FQ","BEST_FPERIOD_OVERRIDE=FQ","FILING_STATUS=MR","Sort=A","Dates=H","DateFormat=P","Fill=—","Direction=H","UseDPDF=Y")</f>
        <v>5.7569999999999997</v>
      </c>
      <c r="U51" s="17" cm="1">
        <f t="array" ref="U51">_xll.BDH("PH US Equity","IS_BASIC_EPS_CONT_OPS","FQ1 2024","FQ1 2024","Currency=USD","Period=FQ","BEST_FPERIOD_OVERRIDE=FQ","FILING_STATUS=MR","Sort=A","Dates=H","DateFormat=P","Fill=—","Direction=H","UseDPDF=Y")</f>
        <v>5.1314000000000002</v>
      </c>
      <c r="V51" s="17" cm="1">
        <f t="array" ref="V51">_xll.BDH("PH US Equity","IS_BASIC_EPS_CONT_OPS","FQ2 2024","FQ2 2024","Currency=USD","Period=FQ","BEST_FPERIOD_OVERRIDE=FQ","FILING_STATUS=MR","Sort=A","Dates=H","DateFormat=P","Fill=—","Direction=H","UseDPDF=Y")</f>
        <v>5.4282000000000004</v>
      </c>
      <c r="W51" s="17" cm="1">
        <f t="array" ref="W51">_xll.BDH("PH US Equity","IS_BASIC_EPS_CONT_OPS","FQ3 2024","FQ3 2024","Currency=USD","Period=FQ","BEST_FPERIOD_OVERRIDE=FQ","FILING_STATUS=MR","Sort=A","Dates=H","DateFormat=P","Fill=—","Direction=H","UseDPDF=Y")</f>
        <v>5.7948000000000004</v>
      </c>
      <c r="X51" s="17" cm="1">
        <f t="array" ref="X51">_xll.BDH("PH US Equity","IS_BASIC_EPS_CONT_OPS","FQ4 2024","FQ4 2024","Currency=USD","Period=FQ","BEST_FPERIOD_OVERRIDE=FQ","FILING_STATUS=MR","Sort=A","Dates=H","DateFormat=P","Fill=—","Direction=H","UseDPDF=Y")</f>
        <v>6.0659000000000001</v>
      </c>
      <c r="Y51" s="17" cm="1">
        <f t="array" ref="Y51">_xll.BDH("PH US Equity","IS_BASIC_EPS_CONT_OPS","FQ1 2025","FQ1 2025","Currency=USD","Period=FQ","BEST_FPERIOD_OVERRIDE=FQ","FILING_STATUS=MR","Sort=A","Dates=H","DateFormat=P","Fill=—","Direction=H","UseDPDF=Y")</f>
        <v>5.4143999999999997</v>
      </c>
      <c r="Z51" s="17" cm="1">
        <f t="array" ref="Z51">_xll.BDH("PH US Equity","IS_BASIC_EPS_CONT_OPS","FQ2 2025","FQ2 2025","Currency=USD","Period=FQ","BEST_FPERIOD_OVERRIDE=FQ","FILING_STATUS=MR","Sort=A","Dates=H","DateFormat=P","Fill=—","Direction=H","UseDPDF=Y")</f>
        <v>5.8097000000000003</v>
      </c>
      <c r="AA51" s="17" cm="1">
        <f t="array" ref="AA51">_xll.BDH("PH US Equity","IS_BASIC_EPS_CONT_OPS","FQ3 2025","FQ3 2025","Currency=USD","Period=FQ","BEST_FPERIOD_OVERRIDE=FQ","FILING_STATUS=MR","Sort=A","Dates=H","DateFormat=P","Fill=—","Direction=H","UseDPDF=Y")</f>
        <v>6.2122999999999999</v>
      </c>
      <c r="AB51" s="17" cm="1">
        <f t="array" ref="AB51">_xll.BDH("PH US Equity","IS_BASIC_EPS_CONT_OPS","FQ4 2025","FQ4 2025","Currency=USD","Period=FQ","BEST_FPERIOD_OVERRIDE=FQ","FILING_STATUS=MR","Sort=A","Dates=H","DateFormat=P","Fill=—","Direction=H","UseDPDF=Y")</f>
        <v>7.2704000000000004</v>
      </c>
      <c r="AC51" s="17" cm="1">
        <f t="array" ref="AC51">_xll.BDH("PH US Equity","IS_BASIC_EPS_CONT_OPS","FQ1 2026","FQ1 2026","Currency=USD","Period=FQ","BEST_FPERIOD_OVERRIDE=FQ","FILING_STATUS=MR","Sort=A","Dates=H","DateFormat=P","Fill=—","Direction=H","UseDPDF=Y")</f>
        <v>6.5320999999999998</v>
      </c>
      <c r="AD51" s="17" cm="1">
        <f t="array" ref="AD51">_xll.BDH("PH US Equity","IS_BASIC_EPS_CONT_OPS","FQ2 2026","FQ2 2026","Currency=USD","Period=FQ","BEST_FPERIOD_OVERRIDE=FQ","FILING_STATUS=MR","Sort=A","Dates=H","DateFormat=P","Fill=—","Direction=H","UseDPDF=Y")</f>
        <v>6.8158000000000003</v>
      </c>
      <c r="AE51" s="17">
        <v>7.7759999999999998</v>
      </c>
      <c r="AF51" s="17">
        <v>8.2639999999999993</v>
      </c>
    </row>
    <row r="52" spans="1:32" x14ac:dyDescent="0.25">
      <c r="A52" s="6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</row>
    <row r="53" spans="1:32" x14ac:dyDescent="0.25">
      <c r="A53" s="10" t="s">
        <v>150</v>
      </c>
      <c r="B53" s="10" t="s">
        <v>151</v>
      </c>
      <c r="C53" s="13" cm="1">
        <f t="array" ref="C53">_xll.BDH("PH US Equity","IS_SH_FOR_DILUTED_EPS","FQ3 2019","FQ3 2019","Currency=USD","Period=FQ","BEST_FPERIOD_OVERRIDE=FQ","FILING_STATUS=MR","Sort=A","Dates=H","DateFormat=P","Fill=—","Direction=H","UseDPDF=Y")</f>
        <v>130.88499999999999</v>
      </c>
      <c r="D53" s="13" cm="1">
        <f t="array" ref="D53">_xll.BDH("PH US Equity","IS_SH_FOR_DILUTED_EPS","FQ4 2019","FQ4 2019","Currency=USD","Period=FQ","BEST_FPERIOD_OVERRIDE=FQ","FILING_STATUS=MR","Sort=A","Dates=H","DateFormat=P","Fill=—","Direction=H","UseDPDF=Y")</f>
        <v>130.46019999999999</v>
      </c>
      <c r="E53" s="13" cm="1">
        <f t="array" ref="E53">_xll.BDH("PH US Equity","IS_SH_FOR_DILUTED_EPS","FQ1 2020","FQ1 2020","Currency=USD","Period=FQ","BEST_FPERIOD_OVERRIDE=FQ","FILING_STATUS=MR","Sort=A","Dates=H","DateFormat=P","Fill=—","Direction=H","UseDPDF=Y")</f>
        <v>130.1301</v>
      </c>
      <c r="F53" s="13" cm="1">
        <f t="array" ref="F53">_xll.BDH("PH US Equity","IS_SH_FOR_DILUTED_EPS","FQ2 2020","FQ2 2020","Currency=USD","Period=FQ","BEST_FPERIOD_OVERRIDE=FQ","FILING_STATUS=MR","Sort=A","Dates=H","DateFormat=P","Fill=—","Direction=H","UseDPDF=Y")</f>
        <v>130.49539999999999</v>
      </c>
      <c r="G53" s="13" cm="1">
        <f t="array" ref="G53">_xll.BDH("PH US Equity","IS_SH_FOR_DILUTED_EPS","FQ3 2020","FQ3 2020","Currency=USD","Period=FQ","BEST_FPERIOD_OVERRIDE=FQ","FILING_STATUS=MR","Sort=A","Dates=H","DateFormat=P","Fill=—","Direction=H","UseDPDF=Y")</f>
        <v>129.7465</v>
      </c>
      <c r="H53" s="13" cm="1">
        <f t="array" ref="H53">_xll.BDH("PH US Equity","IS_SH_FOR_DILUTED_EPS","FQ4 2020","FQ4 2020","Currency=USD","Period=FQ","BEST_FPERIOD_OVERRIDE=FQ","FILING_STATUS=MR","Sort=A","Dates=H","DateFormat=P","Fill=—","Direction=H","UseDPDF=Y")</f>
        <v>129.99299999999999</v>
      </c>
      <c r="I53" s="13" cm="1">
        <f t="array" ref="I53">_xll.BDH("PH US Equity","IS_SH_FOR_DILUTED_EPS","FQ1 2021","FQ1 2021","Currency=USD","Period=FQ","BEST_FPERIOD_OVERRIDE=FQ","FILING_STATUS=MR","Sort=A","Dates=H","DateFormat=P","Fill=—","Direction=H","UseDPDF=Y")</f>
        <v>130.29419999999999</v>
      </c>
      <c r="J53" s="13" cm="1">
        <f t="array" ref="J53">_xll.BDH("PH US Equity","IS_SH_FOR_DILUTED_EPS","FQ2 2021","FQ2 2021","Currency=USD","Period=FQ","BEST_FPERIOD_OVERRIDE=FQ","FILING_STATUS=MR","Sort=A","Dates=H","DateFormat=P","Fill=—","Direction=H","UseDPDF=Y")</f>
        <v>130.58170000000001</v>
      </c>
      <c r="K53" s="13" cm="1">
        <f t="array" ref="K53">_xll.BDH("PH US Equity","IS_SH_FOR_DILUTED_EPS","FQ3 2021","FQ3 2021","Currency=USD","Period=FQ","BEST_FPERIOD_OVERRIDE=FQ","FILING_STATUS=MR","Sort=A","Dates=H","DateFormat=P","Fill=—","Direction=H","UseDPDF=Y")</f>
        <v>131.37790000000001</v>
      </c>
      <c r="L53" s="13" cm="1">
        <f t="array" ref="L53">_xll.BDH("PH US Equity","IS_SH_FOR_DILUTED_EPS","FQ4 2021","FQ4 2021","Currency=USD","Period=FQ","BEST_FPERIOD_OVERRIDE=FQ","FILING_STATUS=MR","Sort=A","Dates=H","DateFormat=P","Fill=—","Direction=H","UseDPDF=Y")</f>
        <v>131.55420000000001</v>
      </c>
      <c r="M53" s="13" cm="1">
        <f t="array" ref="M53">_xll.BDH("PH US Equity","IS_SH_FOR_DILUTED_EPS","FQ1 2022","FQ1 2022","Currency=USD","Period=FQ","BEST_FPERIOD_OVERRIDE=FQ","FILING_STATUS=MR","Sort=A","Dates=H","DateFormat=P","Fill=—","Direction=H","UseDPDF=Y")</f>
        <v>130.828</v>
      </c>
      <c r="N53" s="13" cm="1">
        <f t="array" ref="N53">_xll.BDH("PH US Equity","IS_SH_FOR_DILUTED_EPS","FQ2 2022","FQ2 2022","Currency=USD","Period=FQ","BEST_FPERIOD_OVERRIDE=FQ","FILING_STATUS=MR","Sort=A","Dates=H","DateFormat=P","Fill=—","Direction=H","UseDPDF=Y")</f>
        <v>130.58170000000001</v>
      </c>
      <c r="O53" s="13" cm="1">
        <f t="array" ref="O53">_xll.BDH("PH US Equity","IS_SH_FOR_DILUTED_EPS","FQ3 2022","FQ3 2022","Currency=USD","Period=FQ","BEST_FPERIOD_OVERRIDE=FQ","FILING_STATUS=MR","Sort=A","Dates=H","DateFormat=P","Fill=—","Direction=H","UseDPDF=Y")</f>
        <v>130.34360000000001</v>
      </c>
      <c r="P53" s="13" cm="1">
        <f t="array" ref="P53">_xll.BDH("PH US Equity","IS_SH_FOR_DILUTED_EPS","FQ4 2022","FQ4 2022","Currency=USD","Period=FQ","BEST_FPERIOD_OVERRIDE=FQ","FILING_STATUS=MR","Sort=A","Dates=H","DateFormat=P","Fill=—","Direction=H","UseDPDF=Y")</f>
        <v>130.17269999999999</v>
      </c>
      <c r="Q53" s="13" cm="1">
        <f t="array" ref="Q53">_xll.BDH("PH US Equity","IS_SH_FOR_DILUTED_EPS","FQ1 2023","FQ1 2023","Currency=USD","Period=FQ","BEST_FPERIOD_OVERRIDE=FQ","FILING_STATUS=MR","Sort=A","Dates=H","DateFormat=P","Fill=—","Direction=H","UseDPDF=Y")</f>
        <v>129.94239999999999</v>
      </c>
      <c r="R53" s="13" cm="1">
        <f t="array" ref="R53">_xll.BDH("PH US Equity","IS_SH_FOR_DILUTED_EPS","FQ2 2023","FQ2 2023","Currency=USD","Period=FQ","BEST_FPERIOD_OVERRIDE=FQ","FILING_STATUS=MR","Sort=A","Dates=H","DateFormat=P","Fill=—","Direction=H","UseDPDF=Y")</f>
        <v>130.04499999999999</v>
      </c>
      <c r="S53" s="13" cm="1">
        <f t="array" ref="S53">_xll.BDH("PH US Equity","IS_SH_FOR_DILUTED_EPS","FQ3 2023","FQ3 2023","Currency=USD","Period=FQ","BEST_FPERIOD_OVERRIDE=FQ","FILING_STATUS=MR","Sort=A","Dates=H","DateFormat=P","Fill=—","Direction=H","UseDPDF=Y")</f>
        <v>130.1515</v>
      </c>
      <c r="T53" s="13" cm="1">
        <f t="array" ref="T53">_xll.BDH("PH US Equity","IS_SH_FOR_DILUTED_EPS","FQ4 2023","FQ4 2023","Currency=USD","Period=FQ","BEST_FPERIOD_OVERRIDE=FQ","FILING_STATUS=MR","Sort=A","Dates=H","DateFormat=P","Fill=—","Direction=H","UseDPDF=Y")</f>
        <v>130.2225</v>
      </c>
      <c r="U53" s="13" cm="1">
        <f t="array" ref="U53">_xll.BDH("PH US Equity","IS_SH_FOR_DILUTED_EPS","FQ1 2024","FQ1 2024","Currency=USD","Period=FQ","BEST_FPERIOD_OVERRIDE=FQ","FILING_STATUS=MR","Sort=A","Dates=H","DateFormat=P","Fill=—","Direction=H","UseDPDF=Y")</f>
        <v>130.36340000000001</v>
      </c>
      <c r="V53" s="13" cm="1">
        <f t="array" ref="V53">_xll.BDH("PH US Equity","IS_SH_FOR_DILUTED_EPS","FQ2 2024","FQ2 2024","Currency=USD","Period=FQ","BEST_FPERIOD_OVERRIDE=FQ","FILING_STATUS=MR","Sort=A","Dates=H","DateFormat=P","Fill=—","Direction=H","UseDPDF=Y")</f>
        <v>130.3674</v>
      </c>
      <c r="W53" s="13" cm="1">
        <f t="array" ref="W53">_xll.BDH("PH US Equity","IS_SH_FOR_DILUTED_EPS","FQ3 2024","FQ3 2024","Currency=USD","Period=FQ","BEST_FPERIOD_OVERRIDE=FQ","FILING_STATUS=MR","Sort=A","Dates=H","DateFormat=P","Fill=—","Direction=H","UseDPDF=Y")</f>
        <v>130.59299999999999</v>
      </c>
      <c r="X53" s="13" cm="1">
        <f t="array" ref="X53">_xll.BDH("PH US Equity","IS_SH_FOR_DILUTED_EPS","FQ4 2024","FQ4 2024","Currency=USD","Period=FQ","BEST_FPERIOD_OVERRIDE=FQ","FILING_STATUS=MR","Sort=A","Dates=H","DateFormat=P","Fill=—","Direction=H","UseDPDF=Y")</f>
        <v>130.6438</v>
      </c>
      <c r="Y53" s="13" cm="1">
        <f t="array" ref="Y53">_xll.BDH("PH US Equity","IS_SH_FOR_DILUTED_EPS","FQ1 2025","FQ1 2025","Currency=USD","Period=FQ","BEST_FPERIOD_OVERRIDE=FQ","FILING_STATUS=MR","Sort=A","Dates=H","DateFormat=P","Fill=—","Direction=H","UseDPDF=Y")</f>
        <v>130.68020000000001</v>
      </c>
      <c r="Z53" s="13" cm="1">
        <f t="array" ref="Z53">_xll.BDH("PH US Equity","IS_SH_FOR_DILUTED_EPS","FQ2 2025","FQ2 2025","Currency=USD","Period=FQ","BEST_FPERIOD_OVERRIDE=FQ","FILING_STATUS=MR","Sort=A","Dates=H","DateFormat=P","Fill=—","Direction=H","UseDPDF=Y")</f>
        <v>130.75880000000001</v>
      </c>
      <c r="AA53" s="13" cm="1">
        <f t="array" ref="AA53">_xll.BDH("PH US Equity","IS_SH_FOR_DILUTED_EPS","FQ3 2025","FQ3 2025","Currency=USD","Period=FQ","BEST_FPERIOD_OVERRIDE=FQ","FILING_STATUS=MR","Sort=A","Dates=H","DateFormat=P","Fill=—","Direction=H","UseDPDF=Y")</f>
        <v>130.32079999999999</v>
      </c>
      <c r="AB53" s="13" cm="1">
        <f t="array" ref="AB53">_xll.BDH("PH US Equity","IS_SH_FOR_DILUTED_EPS","FQ4 2025","FQ4 2025","Currency=USD","Period=FQ","BEST_FPERIOD_OVERRIDE=FQ","FILING_STATUS=MR","Sort=A","Dates=H","DateFormat=P","Fill=—","Direction=H","UseDPDF=Y")</f>
        <v>129</v>
      </c>
      <c r="AC53" s="13" cm="1">
        <f t="array" ref="AC53">_xll.BDH("PH US Equity","IS_SH_FOR_DILUTED_EPS","FQ1 2026","FQ1 2026","Currency=USD","Period=FQ","BEST_FPERIOD_OVERRIDE=FQ","FILING_STATUS=MR","Sort=A","Dates=H","DateFormat=P","Fill=—","Direction=H","UseDPDF=Y")</f>
        <v>128.4</v>
      </c>
      <c r="AD53" s="13" cm="1">
        <f t="array" ref="AD53">_xll.BDH("PH US Equity","IS_SH_FOR_DILUTED_EPS","FQ2 2026","FQ2 2026","Currency=USD","Period=FQ","BEST_FPERIOD_OVERRIDE=FQ","FILING_STATUS=MR","Sort=A","Dates=H","DateFormat=P","Fill=—","Direction=H","UseDPDF=Y")</f>
        <v>128.1</v>
      </c>
      <c r="AE53" s="13"/>
      <c r="AF53" s="13"/>
    </row>
    <row r="54" spans="1:32" x14ac:dyDescent="0.25">
      <c r="A54" s="6" t="s">
        <v>152</v>
      </c>
      <c r="B54" s="6" t="s">
        <v>153</v>
      </c>
      <c r="C54" s="17" cm="1">
        <f t="array" ref="C54">_xll.BDH("PH US Equity","IS_DILUTED_EPS","FQ3 2019","FQ3 2019","Currency=USD","Period=FQ","BEST_FPERIOD_OVERRIDE=FQ","FILING_STATUS=MR","FA_ADJUSTED=GAAP","Sort=A","Dates=H","DateFormat=P","Fill=—","Direction=H","UseDPDF=Y")</f>
        <v>3.14</v>
      </c>
      <c r="D54" s="17" cm="1">
        <f t="array" ref="D54">_xll.BDH("PH US Equity","IS_DILUTED_EPS","FQ4 2019","FQ4 2019","Currency=USD","Period=FQ","BEST_FPERIOD_OVERRIDE=FQ","FILING_STATUS=MR","FA_ADJUSTED=GAAP","Sort=A","Dates=H","DateFormat=P","Fill=—","Direction=H","UseDPDF=Y")</f>
        <v>3.17</v>
      </c>
      <c r="E54" s="17" cm="1">
        <f t="array" ref="E54">_xll.BDH("PH US Equity","IS_DILUTED_EPS","FQ1 2020","FQ1 2020","Currency=USD","Period=FQ","BEST_FPERIOD_OVERRIDE=FQ","FILING_STATUS=MR","FA_ADJUSTED=GAAP","Sort=A","Dates=H","DateFormat=P","Fill=—","Direction=H","UseDPDF=Y")</f>
        <v>2.6</v>
      </c>
      <c r="F54" s="17" cm="1">
        <f t="array" ref="F54">_xll.BDH("PH US Equity","IS_DILUTED_EPS","FQ2 2020","FQ2 2020","Currency=USD","Period=FQ","BEST_FPERIOD_OVERRIDE=FQ","FILING_STATUS=MR","FA_ADJUSTED=GAAP","Sort=A","Dates=H","DateFormat=P","Fill=—","Direction=H","UseDPDF=Y")</f>
        <v>1.57</v>
      </c>
      <c r="G54" s="17" cm="1">
        <f t="array" ref="G54">_xll.BDH("PH US Equity","IS_DILUTED_EPS","FQ3 2020","FQ3 2020","Currency=USD","Period=FQ","BEST_FPERIOD_OVERRIDE=FQ","FILING_STATUS=MR","FA_ADJUSTED=GAAP","Sort=A","Dates=H","DateFormat=P","Fill=—","Direction=H","UseDPDF=Y")</f>
        <v>2.83</v>
      </c>
      <c r="H54" s="17" cm="1">
        <f t="array" ref="H54">_xll.BDH("PH US Equity","IS_DILUTED_EPS","FQ4 2020","FQ4 2020","Currency=USD","Period=FQ","BEST_FPERIOD_OVERRIDE=FQ","FILING_STATUS=MR","FA_ADJUSTED=GAAP","Sort=A","Dates=H","DateFormat=P","Fill=—","Direction=H","UseDPDF=Y")</f>
        <v>2.23</v>
      </c>
      <c r="I54" s="17" cm="1">
        <f t="array" ref="I54">_xll.BDH("PH US Equity","IS_DILUTED_EPS","FQ1 2021","FQ1 2021","Currency=USD","Period=FQ","BEST_FPERIOD_OVERRIDE=FQ","FILING_STATUS=MR","FA_ADJUSTED=GAAP","Sort=A","Dates=H","DateFormat=P","Fill=—","Direction=H","UseDPDF=Y")</f>
        <v>2.4500000000000002</v>
      </c>
      <c r="J54" s="17" cm="1">
        <f t="array" ref="J54">_xll.BDH("PH US Equity","IS_DILUTED_EPS","FQ2 2021","FQ2 2021","Currency=USD","Period=FQ","BEST_FPERIOD_OVERRIDE=FQ","FILING_STATUS=MR","FA_ADJUSTED=GAAP","Sort=A","Dates=H","DateFormat=P","Fill=—","Direction=H","UseDPDF=Y")</f>
        <v>3.42</v>
      </c>
      <c r="K54" s="17" cm="1">
        <f t="array" ref="K54">_xll.BDH("PH US Equity","IS_DILUTED_EPS","FQ3 2021","FQ3 2021","Currency=USD","Period=FQ","BEST_FPERIOD_OVERRIDE=FQ","FILING_STATUS=MR","FA_ADJUSTED=GAAP","Sort=A","Dates=H","DateFormat=P","Fill=—","Direction=H","UseDPDF=Y")</f>
        <v>3.6</v>
      </c>
      <c r="L54" s="17" cm="1">
        <f t="array" ref="L54">_xll.BDH("PH US Equity","IS_DILUTED_EPS","FQ4 2021","FQ4 2021","Currency=USD","Period=FQ","BEST_FPERIOD_OVERRIDE=FQ","FILING_STATUS=MR","FA_ADJUSTED=GAAP","Sort=A","Dates=H","DateFormat=P","Fill=—","Direction=H","UseDPDF=Y")</f>
        <v>3.84</v>
      </c>
      <c r="M54" s="17" cm="1">
        <f t="array" ref="M54">_xll.BDH("PH US Equity","IS_DILUTED_EPS","FQ1 2022","FQ1 2022","Currency=USD","Period=FQ","BEST_FPERIOD_OVERRIDE=FQ","FILING_STATUS=MR","FA_ADJUSTED=GAAP","Sort=A","Dates=H","DateFormat=P","Fill=—","Direction=H","UseDPDF=Y")</f>
        <v>3.45</v>
      </c>
      <c r="N54" s="17" cm="1">
        <f t="array" ref="N54">_xll.BDH("PH US Equity","IS_DILUTED_EPS","FQ2 2022","FQ2 2022","Currency=USD","Period=FQ","BEST_FPERIOD_OVERRIDE=FQ","FILING_STATUS=MR","FA_ADJUSTED=GAAP","Sort=A","Dates=H","DateFormat=P","Fill=—","Direction=H","UseDPDF=Y")</f>
        <v>2.97</v>
      </c>
      <c r="O54" s="17" cm="1">
        <f t="array" ref="O54">_xll.BDH("PH US Equity","IS_DILUTED_EPS","FQ3 2022","FQ3 2022","Currency=USD","Period=FQ","BEST_FPERIOD_OVERRIDE=FQ","FILING_STATUS=MR","FA_ADJUSTED=GAAP","Sort=A","Dates=H","DateFormat=P","Fill=—","Direction=H","UseDPDF=Y")</f>
        <v>2.67</v>
      </c>
      <c r="P54" s="17" cm="1">
        <f t="array" ref="P54">_xll.BDH("PH US Equity","IS_DILUTED_EPS","FQ4 2022","FQ4 2022","Currency=USD","Period=FQ","BEST_FPERIOD_OVERRIDE=FQ","FILING_STATUS=MR","FA_ADJUSTED=GAAP","Sort=A","Dates=H","DateFormat=P","Fill=—","Direction=H","UseDPDF=Y")</f>
        <v>0.99</v>
      </c>
      <c r="Q54" s="17" cm="1">
        <f t="array" ref="Q54">_xll.BDH("PH US Equity","IS_DILUTED_EPS","FQ1 2023","FQ1 2023","Currency=USD","Period=FQ","BEST_FPERIOD_OVERRIDE=FQ","FILING_STATUS=MR","FA_ADJUSTED=GAAP","Sort=A","Dates=H","DateFormat=P","Fill=—","Direction=H","UseDPDF=Y")</f>
        <v>2.98</v>
      </c>
      <c r="R54" s="17" cm="1">
        <f t="array" ref="R54">_xll.BDH("PH US Equity","IS_DILUTED_EPS","FQ2 2023","FQ2 2023","Currency=USD","Period=FQ","BEST_FPERIOD_OVERRIDE=FQ","FILING_STATUS=MR","FA_ADJUSTED=GAAP","Sort=A","Dates=H","DateFormat=P","Fill=—","Direction=H","UseDPDF=Y")</f>
        <v>3.04</v>
      </c>
      <c r="S54" s="17" cm="1">
        <f t="array" ref="S54">_xll.BDH("PH US Equity","IS_DILUTED_EPS","FQ3 2023","FQ3 2023","Currency=USD","Period=FQ","BEST_FPERIOD_OVERRIDE=FQ","FILING_STATUS=MR","FA_ADJUSTED=GAAP","Sort=A","Dates=H","DateFormat=P","Fill=—","Direction=H","UseDPDF=Y")</f>
        <v>4.54</v>
      </c>
      <c r="T54" s="17" cm="1">
        <f t="array" ref="T54">_xll.BDH("PH US Equity","IS_DILUTED_EPS","FQ4 2023","FQ4 2023","Currency=USD","Period=FQ","BEST_FPERIOD_OVERRIDE=FQ","FILING_STATUS=MR","FA_ADJUSTED=GAAP","Sort=A","Dates=H","DateFormat=P","Fill=—","Direction=H","UseDPDF=Y")</f>
        <v>5.44</v>
      </c>
      <c r="U54" s="17" cm="1">
        <f t="array" ref="U54">_xll.BDH("PH US Equity","IS_DILUTED_EPS","FQ1 2024","FQ1 2024","Currency=USD","Period=FQ","BEST_FPERIOD_OVERRIDE=FQ","FILING_STATUS=MR","FA_ADJUSTED=GAAP","Sort=A","Dates=H","DateFormat=P","Fill=—","Direction=H","UseDPDF=Y")</f>
        <v>4.99</v>
      </c>
      <c r="V54" s="17" cm="1">
        <f t="array" ref="V54">_xll.BDH("PH US Equity","IS_DILUTED_EPS","FQ2 2024","FQ2 2024","Currency=USD","Period=FQ","BEST_FPERIOD_OVERRIDE=FQ","FILING_STATUS=MR","FA_ADJUSTED=GAAP","Sort=A","Dates=H","DateFormat=P","Fill=—","Direction=H","UseDPDF=Y")</f>
        <v>5.23</v>
      </c>
      <c r="W54" s="17" cm="1">
        <f t="array" ref="W54">_xll.BDH("PH US Equity","IS_DILUTED_EPS","FQ3 2024","FQ3 2024","Currency=USD","Period=FQ","BEST_FPERIOD_OVERRIDE=FQ","FILING_STATUS=MR","FA_ADJUSTED=GAAP","Sort=A","Dates=H","DateFormat=P","Fill=—","Direction=H","UseDPDF=Y")</f>
        <v>5.56</v>
      </c>
      <c r="X54" s="17" cm="1">
        <f t="array" ref="X54">_xll.BDH("PH US Equity","IS_DILUTED_EPS","FQ4 2024","FQ4 2024","Currency=USD","Period=FQ","BEST_FPERIOD_OVERRIDE=FQ","FILING_STATUS=MR","FA_ADJUSTED=GAAP","Sort=A","Dates=H","DateFormat=P","Fill=—","Direction=H","UseDPDF=Y")</f>
        <v>6.01</v>
      </c>
      <c r="Y54" s="17" cm="1">
        <f t="array" ref="Y54">_xll.BDH("PH US Equity","IS_DILUTED_EPS","FQ1 2025","FQ1 2025","Currency=USD","Period=FQ","BEST_FPERIOD_OVERRIDE=FQ","FILING_STATUS=MR","FA_ADJUSTED=GAAP","Sort=A","Dates=H","DateFormat=P","Fill=—","Direction=H","UseDPDF=Y")</f>
        <v>5.34</v>
      </c>
      <c r="Z54" s="17" cm="1">
        <f t="array" ref="Z54">_xll.BDH("PH US Equity","IS_DILUTED_EPS","FQ2 2025","FQ2 2025","Currency=USD","Period=FQ","BEST_FPERIOD_OVERRIDE=FQ","FILING_STATUS=MR","FA_ADJUSTED=GAAP","Sort=A","Dates=H","DateFormat=P","Fill=—","Direction=H","UseDPDF=Y")</f>
        <v>7.25</v>
      </c>
      <c r="AA54" s="17" cm="1">
        <f t="array" ref="AA54">_xll.BDH("PH US Equity","IS_DILUTED_EPS","FQ3 2025","FQ3 2025","Currency=USD","Period=FQ","BEST_FPERIOD_OVERRIDE=FQ","FILING_STATUS=MR","FA_ADJUSTED=GAAP","Sort=A","Dates=H","DateFormat=P","Fill=—","Direction=H","UseDPDF=Y")</f>
        <v>7.37</v>
      </c>
      <c r="AB54" s="17" cm="1">
        <f t="array" ref="AB54">_xll.BDH("PH US Equity","IS_DILUTED_EPS","FQ4 2025","FQ4 2025","Currency=USD","Period=FQ","BEST_FPERIOD_OVERRIDE=FQ","FILING_STATUS=MR","FA_ADJUSTED=GAAP","Sort=A","Dates=H","DateFormat=P","Fill=—","Direction=H","UseDPDF=Y")</f>
        <v>7.15</v>
      </c>
      <c r="AC54" s="17" cm="1">
        <f t="array" ref="AC54">_xll.BDH("PH US Equity","IS_DILUTED_EPS","FQ1 2026","FQ1 2026","Currency=USD","Period=FQ","BEST_FPERIOD_OVERRIDE=FQ","FILING_STATUS=MR","FA_ADJUSTED=GAAP","Sort=A","Dates=H","DateFormat=P","Fill=—","Direction=H","UseDPDF=Y")</f>
        <v>6.29</v>
      </c>
      <c r="AD54" s="17" cm="1">
        <f t="array" ref="AD54">_xll.BDH("PH US Equity","IS_DILUTED_EPS","FQ2 2026","FQ2 2026","Currency=USD","Period=FQ","BEST_FPERIOD_OVERRIDE=FQ","FILING_STATUS=MR","FA_ADJUSTED=GAAP","Sort=A","Dates=H","DateFormat=P","Fill=—","Direction=H","UseDPDF=Y")</f>
        <v>6.6</v>
      </c>
      <c r="AE54" s="17">
        <v>6.7649999999999997</v>
      </c>
      <c r="AF54" s="17">
        <v>7.2679999999999998</v>
      </c>
    </row>
    <row r="55" spans="1:32" x14ac:dyDescent="0.25">
      <c r="A55" s="6" t="s">
        <v>154</v>
      </c>
      <c r="B55" s="6" t="s">
        <v>155</v>
      </c>
      <c r="C55" s="17" cm="1">
        <f t="array" ref="C55">_xll.BDH("PH US Equity","IS_DIL_EPS_BEF_XO","FQ3 2019","FQ3 2019","Currency=USD","Period=FQ","BEST_FPERIOD_OVERRIDE=FQ","FILING_STATUS=MR","Sort=A","Dates=H","DateFormat=P","Fill=—","Direction=H","UseDPDF=Y")</f>
        <v>3.14</v>
      </c>
      <c r="D55" s="17" cm="1">
        <f t="array" ref="D55">_xll.BDH("PH US Equity","IS_DIL_EPS_BEF_XO","FQ4 2019","FQ4 2019","Currency=USD","Period=FQ","BEST_FPERIOD_OVERRIDE=FQ","FILING_STATUS=MR","Sort=A","Dates=H","DateFormat=P","Fill=—","Direction=H","UseDPDF=Y")</f>
        <v>3.17</v>
      </c>
      <c r="E55" s="17" cm="1">
        <f t="array" ref="E55">_xll.BDH("PH US Equity","IS_DIL_EPS_BEF_XO","FQ1 2020","FQ1 2020","Currency=USD","Period=FQ","BEST_FPERIOD_OVERRIDE=FQ","FILING_STATUS=MR","Sort=A","Dates=H","DateFormat=P","Fill=—","Direction=H","UseDPDF=Y")</f>
        <v>2.6</v>
      </c>
      <c r="F55" s="17" cm="1">
        <f t="array" ref="F55">_xll.BDH("PH US Equity","IS_DIL_EPS_BEF_XO","FQ2 2020","FQ2 2020","Currency=USD","Period=FQ","BEST_FPERIOD_OVERRIDE=FQ","FILING_STATUS=MR","Sort=A","Dates=H","DateFormat=P","Fill=—","Direction=H","UseDPDF=Y")</f>
        <v>1.57</v>
      </c>
      <c r="G55" s="17" cm="1">
        <f t="array" ref="G55">_xll.BDH("PH US Equity","IS_DIL_EPS_BEF_XO","FQ3 2020","FQ3 2020","Currency=USD","Period=FQ","BEST_FPERIOD_OVERRIDE=FQ","FILING_STATUS=MR","Sort=A","Dates=H","DateFormat=P","Fill=—","Direction=H","UseDPDF=Y")</f>
        <v>2.83</v>
      </c>
      <c r="H55" s="17" cm="1">
        <f t="array" ref="H55">_xll.BDH("PH US Equity","IS_DIL_EPS_BEF_XO","FQ4 2020","FQ4 2020","Currency=USD","Period=FQ","BEST_FPERIOD_OVERRIDE=FQ","FILING_STATUS=MR","Sort=A","Dates=H","DateFormat=P","Fill=—","Direction=H","UseDPDF=Y")</f>
        <v>2.23</v>
      </c>
      <c r="I55" s="17" cm="1">
        <f t="array" ref="I55">_xll.BDH("PH US Equity","IS_DIL_EPS_BEF_XO","FQ1 2021","FQ1 2021","Currency=USD","Period=FQ","BEST_FPERIOD_OVERRIDE=FQ","FILING_STATUS=MR","Sort=A","Dates=H","DateFormat=P","Fill=—","Direction=H","UseDPDF=Y")</f>
        <v>2.4500000000000002</v>
      </c>
      <c r="J55" s="17" cm="1">
        <f t="array" ref="J55">_xll.BDH("PH US Equity","IS_DIL_EPS_BEF_XO","FQ2 2021","FQ2 2021","Currency=USD","Period=FQ","BEST_FPERIOD_OVERRIDE=FQ","FILING_STATUS=MR","Sort=A","Dates=H","DateFormat=P","Fill=—","Direction=H","UseDPDF=Y")</f>
        <v>3.42</v>
      </c>
      <c r="K55" s="17" cm="1">
        <f t="array" ref="K55">_xll.BDH("PH US Equity","IS_DIL_EPS_BEF_XO","FQ3 2021","FQ3 2021","Currency=USD","Period=FQ","BEST_FPERIOD_OVERRIDE=FQ","FILING_STATUS=MR","Sort=A","Dates=H","DateFormat=P","Fill=—","Direction=H","UseDPDF=Y")</f>
        <v>3.6</v>
      </c>
      <c r="L55" s="17" cm="1">
        <f t="array" ref="L55">_xll.BDH("PH US Equity","IS_DIL_EPS_BEF_XO","FQ4 2021","FQ4 2021","Currency=USD","Period=FQ","BEST_FPERIOD_OVERRIDE=FQ","FILING_STATUS=MR","Sort=A","Dates=H","DateFormat=P","Fill=—","Direction=H","UseDPDF=Y")</f>
        <v>3.84</v>
      </c>
      <c r="M55" s="17" cm="1">
        <f t="array" ref="M55">_xll.BDH("PH US Equity","IS_DIL_EPS_BEF_XO","FQ1 2022","FQ1 2022","Currency=USD","Period=FQ","BEST_FPERIOD_OVERRIDE=FQ","FILING_STATUS=MR","Sort=A","Dates=H","DateFormat=P","Fill=—","Direction=H","UseDPDF=Y")</f>
        <v>3.45</v>
      </c>
      <c r="N55" s="17" cm="1">
        <f t="array" ref="N55">_xll.BDH("PH US Equity","IS_DIL_EPS_BEF_XO","FQ2 2022","FQ2 2022","Currency=USD","Period=FQ","BEST_FPERIOD_OVERRIDE=FQ","FILING_STATUS=MR","Sort=A","Dates=H","DateFormat=P","Fill=—","Direction=H","UseDPDF=Y")</f>
        <v>2.97</v>
      </c>
      <c r="O55" s="17" cm="1">
        <f t="array" ref="O55">_xll.BDH("PH US Equity","IS_DIL_EPS_BEF_XO","FQ3 2022","FQ3 2022","Currency=USD","Period=FQ","BEST_FPERIOD_OVERRIDE=FQ","FILING_STATUS=MR","Sort=A","Dates=H","DateFormat=P","Fill=—","Direction=H","UseDPDF=Y")</f>
        <v>2.67</v>
      </c>
      <c r="P55" s="17" cm="1">
        <f t="array" ref="P55">_xll.BDH("PH US Equity","IS_DIL_EPS_BEF_XO","FQ4 2022","FQ4 2022","Currency=USD","Period=FQ","BEST_FPERIOD_OVERRIDE=FQ","FILING_STATUS=MR","Sort=A","Dates=H","DateFormat=P","Fill=—","Direction=H","UseDPDF=Y")</f>
        <v>0.99</v>
      </c>
      <c r="Q55" s="17" cm="1">
        <f t="array" ref="Q55">_xll.BDH("PH US Equity","IS_DIL_EPS_BEF_XO","FQ1 2023","FQ1 2023","Currency=USD","Period=FQ","BEST_FPERIOD_OVERRIDE=FQ","FILING_STATUS=MR","Sort=A","Dates=H","DateFormat=P","Fill=—","Direction=H","UseDPDF=Y")</f>
        <v>2.98</v>
      </c>
      <c r="R55" s="17" cm="1">
        <f t="array" ref="R55">_xll.BDH("PH US Equity","IS_DIL_EPS_BEF_XO","FQ2 2023","FQ2 2023","Currency=USD","Period=FQ","BEST_FPERIOD_OVERRIDE=FQ","FILING_STATUS=MR","Sort=A","Dates=H","DateFormat=P","Fill=—","Direction=H","UseDPDF=Y")</f>
        <v>3.04</v>
      </c>
      <c r="S55" s="17" cm="1">
        <f t="array" ref="S55">_xll.BDH("PH US Equity","IS_DIL_EPS_BEF_XO","FQ3 2023","FQ3 2023","Currency=USD","Period=FQ","BEST_FPERIOD_OVERRIDE=FQ","FILING_STATUS=MR","Sort=A","Dates=H","DateFormat=P","Fill=—","Direction=H","UseDPDF=Y")</f>
        <v>4.54</v>
      </c>
      <c r="T55" s="17" cm="1">
        <f t="array" ref="T55">_xll.BDH("PH US Equity","IS_DIL_EPS_BEF_XO","FQ4 2023","FQ4 2023","Currency=USD","Period=FQ","BEST_FPERIOD_OVERRIDE=FQ","FILING_STATUS=MR","Sort=A","Dates=H","DateFormat=P","Fill=—","Direction=H","UseDPDF=Y")</f>
        <v>5.44</v>
      </c>
      <c r="U55" s="17" cm="1">
        <f t="array" ref="U55">_xll.BDH("PH US Equity","IS_DIL_EPS_BEF_XO","FQ1 2024","FQ1 2024","Currency=USD","Period=FQ","BEST_FPERIOD_OVERRIDE=FQ","FILING_STATUS=MR","Sort=A","Dates=H","DateFormat=P","Fill=—","Direction=H","UseDPDF=Y")</f>
        <v>4.99</v>
      </c>
      <c r="V55" s="17" cm="1">
        <f t="array" ref="V55">_xll.BDH("PH US Equity","IS_DIL_EPS_BEF_XO","FQ2 2024","FQ2 2024","Currency=USD","Period=FQ","BEST_FPERIOD_OVERRIDE=FQ","FILING_STATUS=MR","Sort=A","Dates=H","DateFormat=P","Fill=—","Direction=H","UseDPDF=Y")</f>
        <v>5.23</v>
      </c>
      <c r="W55" s="17" cm="1">
        <f t="array" ref="W55">_xll.BDH("PH US Equity","IS_DIL_EPS_BEF_XO","FQ3 2024","FQ3 2024","Currency=USD","Period=FQ","BEST_FPERIOD_OVERRIDE=FQ","FILING_STATUS=MR","Sort=A","Dates=H","DateFormat=P","Fill=—","Direction=H","UseDPDF=Y")</f>
        <v>5.56</v>
      </c>
      <c r="X55" s="17" cm="1">
        <f t="array" ref="X55">_xll.BDH("PH US Equity","IS_DIL_EPS_BEF_XO","FQ4 2024","FQ4 2024","Currency=USD","Period=FQ","BEST_FPERIOD_OVERRIDE=FQ","FILING_STATUS=MR","Sort=A","Dates=H","DateFormat=P","Fill=—","Direction=H","UseDPDF=Y")</f>
        <v>6.01</v>
      </c>
      <c r="Y55" s="17" cm="1">
        <f t="array" ref="Y55">_xll.BDH("PH US Equity","IS_DIL_EPS_BEF_XO","FQ1 2025","FQ1 2025","Currency=USD","Period=FQ","BEST_FPERIOD_OVERRIDE=FQ","FILING_STATUS=MR","Sort=A","Dates=H","DateFormat=P","Fill=—","Direction=H","UseDPDF=Y")</f>
        <v>5.34</v>
      </c>
      <c r="Z55" s="17" cm="1">
        <f t="array" ref="Z55">_xll.BDH("PH US Equity","IS_DIL_EPS_BEF_XO","FQ2 2025","FQ2 2025","Currency=USD","Period=FQ","BEST_FPERIOD_OVERRIDE=FQ","FILING_STATUS=MR","Sort=A","Dates=H","DateFormat=P","Fill=—","Direction=H","UseDPDF=Y")</f>
        <v>7.25</v>
      </c>
      <c r="AA55" s="17" cm="1">
        <f t="array" ref="AA55">_xll.BDH("PH US Equity","IS_DIL_EPS_BEF_XO","FQ3 2025","FQ3 2025","Currency=USD","Period=FQ","BEST_FPERIOD_OVERRIDE=FQ","FILING_STATUS=MR","Sort=A","Dates=H","DateFormat=P","Fill=—","Direction=H","UseDPDF=Y")</f>
        <v>7.37</v>
      </c>
      <c r="AB55" s="17" cm="1">
        <f t="array" ref="AB55">_xll.BDH("PH US Equity","IS_DIL_EPS_BEF_XO","FQ4 2025","FQ4 2025","Currency=USD","Period=FQ","BEST_FPERIOD_OVERRIDE=FQ","FILING_STATUS=MR","Sort=A","Dates=H","DateFormat=P","Fill=—","Direction=H","UseDPDF=Y")</f>
        <v>7.15</v>
      </c>
      <c r="AC55" s="17" cm="1">
        <f t="array" ref="AC55">_xll.BDH("PH US Equity","IS_DIL_EPS_BEF_XO","FQ1 2026","FQ1 2026","Currency=USD","Period=FQ","BEST_FPERIOD_OVERRIDE=FQ","FILING_STATUS=MR","Sort=A","Dates=H","DateFormat=P","Fill=—","Direction=H","UseDPDF=Y")</f>
        <v>6.29</v>
      </c>
      <c r="AD55" s="17" cm="1">
        <f t="array" ref="AD55">_xll.BDH("PH US Equity","IS_DIL_EPS_BEF_XO","FQ2 2026","FQ2 2026","Currency=USD","Period=FQ","BEST_FPERIOD_OVERRIDE=FQ","FILING_STATUS=MR","Sort=A","Dates=H","DateFormat=P","Fill=—","Direction=H","UseDPDF=Y")</f>
        <v>6.6</v>
      </c>
      <c r="AE55" s="17">
        <v>6.7649999999999997</v>
      </c>
      <c r="AF55" s="17">
        <v>7.2679999999999998</v>
      </c>
    </row>
    <row r="56" spans="1:32" x14ac:dyDescent="0.25">
      <c r="A56" s="6" t="s">
        <v>156</v>
      </c>
      <c r="B56" s="6" t="s">
        <v>157</v>
      </c>
      <c r="C56" s="17" cm="1">
        <f t="array" ref="C56">_xll.BDH("PH US Equity","IS_DIL_EPS_CONT_OPS","FQ3 2019","FQ3 2019","Currency=USD","Period=FQ","BEST_FPERIOD_OVERRIDE=FQ","FILING_STATUS=MR","Sort=A","Dates=H","DateFormat=P","Fill=—","Direction=H","UseDPDF=Y")</f>
        <v>3.1572</v>
      </c>
      <c r="D56" s="17" cm="1">
        <f t="array" ref="D56">_xll.BDH("PH US Equity","IS_DIL_EPS_CONT_OPS","FQ4 2019","FQ4 2019","Currency=USD","Period=FQ","BEST_FPERIOD_OVERRIDE=FQ","FILING_STATUS=MR","Sort=A","Dates=H","DateFormat=P","Fill=—","Direction=H","UseDPDF=Y")</f>
        <v>3.2949999999999999</v>
      </c>
      <c r="E56" s="17" cm="1">
        <f t="array" ref="E56">_xll.BDH("PH US Equity","IS_DIL_EPS_CONT_OPS","FQ1 2020","FQ1 2020","Currency=USD","Period=FQ","BEST_FPERIOD_OVERRIDE=FQ","FILING_STATUS=MR","Sort=A","Dates=H","DateFormat=P","Fill=—","Direction=H","UseDPDF=Y")</f>
        <v>2.6901999999999999</v>
      </c>
      <c r="F56" s="17" cm="1">
        <f t="array" ref="F56">_xll.BDH("PH US Equity","IS_DIL_EPS_CONT_OPS","FQ2 2020","FQ2 2020","Currency=USD","Period=FQ","BEST_FPERIOD_OVERRIDE=FQ","FILING_STATUS=MR","Sort=A","Dates=H","DateFormat=P","Fill=—","Direction=H","UseDPDF=Y")</f>
        <v>2.5579000000000001</v>
      </c>
      <c r="G56" s="17" cm="1">
        <f t="array" ref="G56">_xll.BDH("PH US Equity","IS_DIL_EPS_CONT_OPS","FQ3 2020","FQ3 2020","Currency=USD","Period=FQ","BEST_FPERIOD_OVERRIDE=FQ","FILING_STATUS=MR","Sort=A","Dates=H","DateFormat=P","Fill=—","Direction=H","UseDPDF=Y")</f>
        <v>2.9327000000000001</v>
      </c>
      <c r="H56" s="17" cm="1">
        <f t="array" ref="H56">_xll.BDH("PH US Equity","IS_DIL_EPS_CONT_OPS","FQ4 2020","FQ4 2020","Currency=USD","Period=FQ","BEST_FPERIOD_OVERRIDE=FQ","FILING_STATUS=MR","Sort=A","Dates=H","DateFormat=P","Fill=—","Direction=H","UseDPDF=Y")</f>
        <v>2.5179999999999998</v>
      </c>
      <c r="I56" s="17" cm="1">
        <f t="array" ref="I56">_xll.BDH("PH US Equity","IS_DIL_EPS_CONT_OPS","FQ1 2021","FQ1 2021","Currency=USD","Period=FQ","BEST_FPERIOD_OVERRIDE=FQ","FILING_STATUS=MR","Sort=A","Dates=H","DateFormat=P","Fill=—","Direction=H","UseDPDF=Y")</f>
        <v>2.5552000000000001</v>
      </c>
      <c r="J56" s="17" cm="1">
        <f t="array" ref="J56">_xll.BDH("PH US Equity","IS_DIL_EPS_CONT_OPS","FQ2 2021","FQ2 2021","Currency=USD","Period=FQ","BEST_FPERIOD_OVERRIDE=FQ","FILING_STATUS=MR","Sort=A","Dates=H","DateFormat=P","Fill=—","Direction=H","UseDPDF=Y")</f>
        <v>2.9036</v>
      </c>
      <c r="K56" s="17" cm="1">
        <f t="array" ref="K56">_xll.BDH("PH US Equity","IS_DIL_EPS_CONT_OPS","FQ3 2021","FQ3 2021","Currency=USD","Period=FQ","BEST_FPERIOD_OVERRIDE=FQ","FILING_STATUS=MR","Sort=A","Dates=H","DateFormat=P","Fill=—","Direction=H","UseDPDF=Y")</f>
        <v>3.6482999999999999</v>
      </c>
      <c r="L56" s="17" cm="1">
        <f t="array" ref="L56">_xll.BDH("PH US Equity","IS_DIL_EPS_CONT_OPS","FQ4 2021","FQ4 2021","Currency=USD","Period=FQ","BEST_FPERIOD_OVERRIDE=FQ","FILING_STATUS=MR","Sort=A","Dates=H","DateFormat=P","Fill=—","Direction=H","UseDPDF=Y")</f>
        <v>3.8523000000000001</v>
      </c>
      <c r="M56" s="17" cm="1">
        <f t="array" ref="M56">_xll.BDH("PH US Equity","IS_DIL_EPS_CONT_OPS","FQ1 2022","FQ1 2022","Currency=USD","Period=FQ","BEST_FPERIOD_OVERRIDE=FQ","FILING_STATUS=MR","Sort=A","Dates=H","DateFormat=P","Fill=—","Direction=H","UseDPDF=Y")</f>
        <v>3.7785000000000002</v>
      </c>
      <c r="N56" s="17" cm="1">
        <f t="array" ref="N56">_xll.BDH("PH US Equity","IS_DIL_EPS_CONT_OPS","FQ2 2022","FQ2 2022","Currency=USD","Period=FQ","BEST_FPERIOD_OVERRIDE=FQ","FILING_STATUS=MR","Sort=A","Dates=H","DateFormat=P","Fill=—","Direction=H","UseDPDF=Y")</f>
        <v>3.8946999999999998</v>
      </c>
      <c r="O56" s="17" cm="1">
        <f t="array" ref="O56">_xll.BDH("PH US Equity","IS_DIL_EPS_CONT_OPS","FQ3 2022","FQ3 2022","Currency=USD","Period=FQ","BEST_FPERIOD_OVERRIDE=FQ","FILING_STATUS=MR","Sort=A","Dates=H","DateFormat=P","Fill=—","Direction=H","UseDPDF=Y")</f>
        <v>4.3752000000000004</v>
      </c>
      <c r="P56" s="17" cm="1">
        <f t="array" ref="P56">_xll.BDH("PH US Equity","IS_DIL_EPS_CONT_OPS","FQ4 2022","FQ4 2022","Currency=USD","Period=FQ","BEST_FPERIOD_OVERRIDE=FQ","FILING_STATUS=MR","Sort=A","Dates=H","DateFormat=P","Fill=—","Direction=H","UseDPDF=Y")</f>
        <v>4.7114000000000003</v>
      </c>
      <c r="Q56" s="17" cm="1">
        <f t="array" ref="Q56">_xll.BDH("PH US Equity","IS_DIL_EPS_CONT_OPS","FQ1 2023","FQ1 2023","Currency=USD","Period=FQ","BEST_FPERIOD_OVERRIDE=FQ","FILING_STATUS=MR","Sort=A","Dates=H","DateFormat=P","Fill=—","Direction=H","UseDPDF=Y")</f>
        <v>4.0673000000000004</v>
      </c>
      <c r="R56" s="17" cm="1">
        <f t="array" ref="R56">_xll.BDH("PH US Equity","IS_DIL_EPS_CONT_OPS","FQ2 2023","FQ2 2023","Currency=USD","Period=FQ","BEST_FPERIOD_OVERRIDE=FQ","FILING_STATUS=MR","Sort=A","Dates=H","DateFormat=P","Fill=—","Direction=H","UseDPDF=Y")</f>
        <v>3.2532000000000001</v>
      </c>
      <c r="S56" s="17" cm="1">
        <f t="array" ref="S56">_xll.BDH("PH US Equity","IS_DIL_EPS_CONT_OPS","FQ3 2023","FQ3 2023","Currency=USD","Period=FQ","BEST_FPERIOD_OVERRIDE=FQ","FILING_STATUS=MR","Sort=A","Dates=H","DateFormat=P","Fill=—","Direction=H","UseDPDF=Y")</f>
        <v>4.9294000000000002</v>
      </c>
      <c r="T56" s="17" cm="1">
        <f t="array" ref="T56">_xll.BDH("PH US Equity","IS_DIL_EPS_CONT_OPS","FQ4 2023","FQ4 2023","Currency=USD","Period=FQ","BEST_FPERIOD_OVERRIDE=FQ","FILING_STATUS=MR","Sort=A","Dates=H","DateFormat=P","Fill=—","Direction=H","UseDPDF=Y")</f>
        <v>5.6740000000000004</v>
      </c>
      <c r="U56" s="17" cm="1">
        <f t="array" ref="U56">_xll.BDH("PH US Equity","IS_DIL_EPS_CONT_OPS","FQ1 2024","FQ1 2024","Currency=USD","Period=FQ","BEST_FPERIOD_OVERRIDE=FQ","FILING_STATUS=MR","Sort=A","Dates=H","DateFormat=P","Fill=—","Direction=H","UseDPDF=Y")</f>
        <v>5.0545</v>
      </c>
      <c r="V56" s="17" cm="1">
        <f t="array" ref="V56">_xll.BDH("PH US Equity","IS_DIL_EPS_CONT_OPS","FQ2 2024","FQ2 2024","Currency=USD","Period=FQ","BEST_FPERIOD_OVERRIDE=FQ","FILING_STATUS=MR","Sort=A","Dates=H","DateFormat=P","Fill=—","Direction=H","UseDPDF=Y")</f>
        <v>5.3471000000000002</v>
      </c>
      <c r="W56" s="17" cm="1">
        <f t="array" ref="W56">_xll.BDH("PH US Equity","IS_DIL_EPS_CONT_OPS","FQ3 2024","FQ3 2024","Currency=USD","Period=FQ","BEST_FPERIOD_OVERRIDE=FQ","FILING_STATUS=MR","Sort=A","Dates=H","DateFormat=P","Fill=—","Direction=H","UseDPDF=Y")</f>
        <v>5.6984000000000004</v>
      </c>
      <c r="X56" s="17" cm="1">
        <f t="array" ref="X56">_xll.BDH("PH US Equity","IS_DIL_EPS_CONT_OPS","FQ4 2024","FQ4 2024","Currency=USD","Period=FQ","BEST_FPERIOD_OVERRIDE=FQ","FILING_STATUS=MR","Sort=A","Dates=H","DateFormat=P","Fill=—","Direction=H","UseDPDF=Y")</f>
        <v>5.9737999999999998</v>
      </c>
      <c r="Y56" s="17" cm="1">
        <f t="array" ref="Y56">_xll.BDH("PH US Equity","IS_DIL_EPS_CONT_OPS","FQ1 2025","FQ1 2025","Currency=USD","Period=FQ","BEST_FPERIOD_OVERRIDE=FQ","FILING_STATUS=MR","Sort=A","Dates=H","DateFormat=P","Fill=—","Direction=H","UseDPDF=Y")</f>
        <v>5.3262999999999998</v>
      </c>
      <c r="Z56" s="17" cm="1">
        <f t="array" ref="Z56">_xll.BDH("PH US Equity","IS_DIL_EPS_CONT_OPS","FQ2 2025","FQ2 2025","Currency=USD","Period=FQ","BEST_FPERIOD_OVERRIDE=FQ","FILING_STATUS=MR","Sort=A","Dates=H","DateFormat=P","Fill=—","Direction=H","UseDPDF=Y")</f>
        <v>5.7164999999999999</v>
      </c>
      <c r="AA56" s="17" cm="1">
        <f t="array" ref="AA56">_xll.BDH("PH US Equity","IS_DIL_EPS_CONT_OPS","FQ3 2025","FQ3 2025","Currency=USD","Period=FQ","BEST_FPERIOD_OVERRIDE=FQ","FILING_STATUS=MR","Sort=A","Dates=H","DateFormat=P","Fill=—","Direction=H","UseDPDF=Y")</f>
        <v>6.1196999999999999</v>
      </c>
      <c r="AB56" s="17" cm="1">
        <f t="array" ref="AB56">_xll.BDH("PH US Equity","IS_DIL_EPS_CONT_OPS","FQ4 2025","FQ4 2025","Currency=USD","Period=FQ","BEST_FPERIOD_OVERRIDE=FQ","FILING_STATUS=MR","Sort=A","Dates=H","DateFormat=P","Fill=—","Direction=H","UseDPDF=Y")</f>
        <v>7.1638999999999999</v>
      </c>
      <c r="AC56" s="17" cm="1">
        <f t="array" ref="AC56">_xll.BDH("PH US Equity","IS_DIL_EPS_CONT_OPS","FQ1 2026","FQ1 2026","Currency=USD","Period=FQ","BEST_FPERIOD_OVERRIDE=FQ","FILING_STATUS=MR","Sort=A","Dates=H","DateFormat=P","Fill=—","Direction=H","UseDPDF=Y")</f>
        <v>6.4325999999999999</v>
      </c>
      <c r="AD56" s="17" cm="1">
        <f t="array" ref="AD56">_xll.BDH("PH US Equity","IS_DIL_EPS_CONT_OPS","FQ2 2026","FQ2 2026","Currency=USD","Period=FQ","BEST_FPERIOD_OVERRIDE=FQ","FILING_STATUS=MR","Sort=A","Dates=H","DateFormat=P","Fill=—","Direction=H","UseDPDF=Y")</f>
        <v>6.7183000000000002</v>
      </c>
      <c r="AE56" s="17">
        <v>7.7759999999999998</v>
      </c>
      <c r="AF56" s="17">
        <v>8.2639999999999993</v>
      </c>
    </row>
    <row r="57" spans="1:32" x14ac:dyDescent="0.25">
      <c r="A57" s="6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</row>
    <row r="58" spans="1:32" x14ac:dyDescent="0.25">
      <c r="A58" s="6" t="s">
        <v>2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</row>
    <row r="59" spans="1:32" x14ac:dyDescent="0.25">
      <c r="A59" s="10" t="s">
        <v>158</v>
      </c>
      <c r="B59" s="10" t="s">
        <v>159</v>
      </c>
      <c r="C59" s="12" t="s">
        <v>160</v>
      </c>
      <c r="D59" s="12" t="s">
        <v>160</v>
      </c>
      <c r="E59" s="12" t="s">
        <v>160</v>
      </c>
      <c r="F59" s="12" t="s">
        <v>160</v>
      </c>
      <c r="G59" s="12" t="s">
        <v>160</v>
      </c>
      <c r="H59" s="12" t="s">
        <v>160</v>
      </c>
      <c r="I59" s="12" t="s">
        <v>160</v>
      </c>
      <c r="J59" s="12" t="s">
        <v>160</v>
      </c>
      <c r="K59" s="12" t="s">
        <v>160</v>
      </c>
      <c r="L59" s="12" t="s">
        <v>160</v>
      </c>
      <c r="M59" s="12" t="s">
        <v>160</v>
      </c>
      <c r="N59" s="12" t="s">
        <v>160</v>
      </c>
      <c r="O59" s="12" t="s">
        <v>160</v>
      </c>
      <c r="P59" s="12" t="s">
        <v>160</v>
      </c>
      <c r="Q59" s="12" t="s">
        <v>160</v>
      </c>
      <c r="R59" s="12" t="s">
        <v>160</v>
      </c>
      <c r="S59" s="12" t="s">
        <v>160</v>
      </c>
      <c r="T59" s="12" t="s">
        <v>160</v>
      </c>
      <c r="U59" s="12" t="s">
        <v>160</v>
      </c>
      <c r="V59" s="12" t="s">
        <v>160</v>
      </c>
      <c r="W59" s="12" t="s">
        <v>160</v>
      </c>
      <c r="X59" s="12" t="s">
        <v>160</v>
      </c>
      <c r="Y59" s="12" t="s">
        <v>160</v>
      </c>
      <c r="Z59" s="12" t="s">
        <v>160</v>
      </c>
      <c r="AA59" s="12" t="s">
        <v>160</v>
      </c>
      <c r="AB59" s="12" t="s">
        <v>160</v>
      </c>
      <c r="AC59" s="12" t="s">
        <v>160</v>
      </c>
      <c r="AD59" s="12" t="s">
        <v>160</v>
      </c>
      <c r="AE59" s="12"/>
      <c r="AF59" s="12"/>
    </row>
    <row r="60" spans="1:32" x14ac:dyDescent="0.25">
      <c r="A60" s="10" t="s">
        <v>161</v>
      </c>
      <c r="B60" s="10" t="s">
        <v>161</v>
      </c>
      <c r="C60" s="13" cm="1">
        <f t="array" ref="C60">_xll.BDH("PH US Equity","EBITDA","FQ3 2019","FQ3 2019","Currency=USD","Period=FQ","BEST_FPERIOD_OVERRIDE=FQ","FILING_STATUS=MR","SCALING_FORMAT=MLN","FA_ADJUSTED=Adjusted","Sort=A","Dates=H","DateFormat=P","Fill=—","Direction=H","UseDPDF=Y")</f>
        <v>673.33100000000002</v>
      </c>
      <c r="D60" s="13" cm="1">
        <f t="array" ref="D60">_xll.BDH("PH US Equity","EBITDA","FQ4 2019","FQ4 2019","Currency=USD","Period=FQ","BEST_FPERIOD_OVERRIDE=FQ","FILING_STATUS=MR","SCALING_FORMAT=MLN","FA_ADJUSTED=Adjusted","Sort=A","Dates=H","DateFormat=P","Fill=—","Direction=H","UseDPDF=Y")</f>
        <v>685.66800000000001</v>
      </c>
      <c r="E60" s="13" cm="1">
        <f t="array" ref="E60">_xll.BDH("PH US Equity","EBITDA","FQ1 2020","FQ1 2020","Currency=USD","Period=FQ","BEST_FPERIOD_OVERRIDE=FQ","FILING_STATUS=MR","SCALING_FORMAT=MLN","FA_ADJUSTED=Adjusted","Sort=A","Dates=H","DateFormat=P","Fill=—","Direction=H","UseDPDF=Y")</f>
        <v>592.52</v>
      </c>
      <c r="F60" s="13" cm="1">
        <f t="array" ref="F60">_xll.BDH("PH US Equity","EBITDA","FQ2 2020","FQ2 2020","Currency=USD","Period=FQ","BEST_FPERIOD_OVERRIDE=FQ","FILING_STATUS=MR","SCALING_FORMAT=MLN","FA_ADJUSTED=Adjusted","Sort=A","Dates=H","DateFormat=P","Fill=—","Direction=H","UseDPDF=Y")</f>
        <v>652.50400000000002</v>
      </c>
      <c r="G60" s="13" cm="1">
        <f t="array" ref="G60">_xll.BDH("PH US Equity","EBITDA","FQ3 2020","FQ3 2020","Currency=USD","Period=FQ","BEST_FPERIOD_OVERRIDE=FQ","FILING_STATUS=MR","SCALING_FORMAT=MLN","FA_ADJUSTED=Adjusted","Sort=A","Dates=H","DateFormat=P","Fill=—","Direction=H","UseDPDF=Y")</f>
        <v>712.899</v>
      </c>
      <c r="H60" s="13" cm="1">
        <f t="array" ref="H60">_xll.BDH("PH US Equity","EBITDA","FQ4 2020","FQ4 2020","Currency=USD","Period=FQ","BEST_FPERIOD_OVERRIDE=FQ","FILING_STATUS=MR","SCALING_FORMAT=MLN","FA_ADJUSTED=Adjusted","Sort=A","Dates=H","DateFormat=P","Fill=—","Direction=H","UseDPDF=Y")</f>
        <v>658.96600000000001</v>
      </c>
      <c r="I60" s="13" cm="1">
        <f t="array" ref="I60">_xll.BDH("PH US Equity","EBITDA","FQ1 2021","FQ1 2021","Currency=USD","Period=FQ","BEST_FPERIOD_OVERRIDE=FQ","FILING_STATUS=MR","SCALING_FORMAT=MLN","FA_ADJUSTED=Adjusted","Sort=A","Dates=H","DateFormat=P","Fill=—","Direction=H","UseDPDF=Y")</f>
        <v>641.26800000000003</v>
      </c>
      <c r="J60" s="13" cm="1">
        <f t="array" ref="J60">_xll.BDH("PH US Equity","EBITDA","FQ2 2021","FQ2 2021","Currency=USD","Period=FQ","BEST_FPERIOD_OVERRIDE=FQ","FILING_STATUS=MR","SCALING_FORMAT=MLN","FA_ADJUSTED=Adjusted","Sort=A","Dates=H","DateFormat=P","Fill=—","Direction=H","UseDPDF=Y")</f>
        <v>506.38499999999999</v>
      </c>
      <c r="K60" s="13" cm="1">
        <f t="array" ref="K60">_xll.BDH("PH US Equity","EBITDA","FQ3 2021","FQ3 2021","Currency=USD","Period=FQ","BEST_FPERIOD_OVERRIDE=FQ","FILING_STATUS=MR","SCALING_FORMAT=MLN","FA_ADJUSTED=Adjusted","Sort=A","Dates=H","DateFormat=P","Fill=—","Direction=H","UseDPDF=Y")</f>
        <v>805.51499999999999</v>
      </c>
      <c r="L60" s="13" cm="1">
        <f t="array" ref="L60">_xll.BDH("PH US Equity","EBITDA","FQ4 2021","FQ4 2021","Currency=USD","Period=FQ","BEST_FPERIOD_OVERRIDE=FQ","FILING_STATUS=MR","SCALING_FORMAT=MLN","FA_ADJUSTED=Adjusted","Sort=A","Dates=H","DateFormat=P","Fill=—","Direction=H","UseDPDF=Y")</f>
        <v>871.327</v>
      </c>
      <c r="M60" s="13" cm="1">
        <f t="array" ref="M60">_xll.BDH("PH US Equity","EBITDA","FQ1 2022","FQ1 2022","Currency=USD","Period=FQ","BEST_FPERIOD_OVERRIDE=FQ","FILING_STATUS=MR","SCALING_FORMAT=MLN","FA_ADJUSTED=Adjusted","Sort=A","Dates=H","DateFormat=P","Fill=—","Direction=H","UseDPDF=Y")</f>
        <v>793.18200000000002</v>
      </c>
      <c r="N60" s="13" cm="1">
        <f t="array" ref="N60">_xll.BDH("PH US Equity","EBITDA","FQ2 2022","FQ2 2022","Currency=USD","Period=FQ","BEST_FPERIOD_OVERRIDE=FQ","FILING_STATUS=MR","SCALING_FORMAT=MLN","FA_ADJUSTED=Adjusted","Sort=A","Dates=H","DateFormat=P","Fill=—","Direction=H","UseDPDF=Y")</f>
        <v>967.76700000000005</v>
      </c>
      <c r="O60" s="13" cm="1">
        <f t="array" ref="O60">_xll.BDH("PH US Equity","EBITDA","FQ3 2022","FQ3 2022","Currency=USD","Period=FQ","BEST_FPERIOD_OVERRIDE=FQ","FILING_STATUS=MR","SCALING_FORMAT=MLN","FA_ADJUSTED=Adjusted","Sort=A","Dates=H","DateFormat=P","Fill=—","Direction=H","UseDPDF=Y")</f>
        <v>916.95699999999999</v>
      </c>
      <c r="P60" s="13" cm="1">
        <f t="array" ref="P60">_xll.BDH("PH US Equity","EBITDA","FQ4 2022","FQ4 2022","Currency=USD","Period=FQ","BEST_FPERIOD_OVERRIDE=FQ","FILING_STATUS=MR","SCALING_FORMAT=MLN","FA_ADJUSTED=Adjusted","Sort=A","Dates=H","DateFormat=P","Fill=—","Direction=H","UseDPDF=Y")</f>
        <v>1542.0550000000001</v>
      </c>
      <c r="Q60" s="13" cm="1">
        <f t="array" ref="Q60">_xll.BDH("PH US Equity","EBITDA","FQ1 2023","FQ1 2023","Currency=USD","Period=FQ","BEST_FPERIOD_OVERRIDE=FQ","FILING_STATUS=MR","SCALING_FORMAT=MLN","FA_ADJUSTED=Adjusted","Sort=A","Dates=H","DateFormat=P","Fill=—","Direction=H","UseDPDF=Y")</f>
        <v>875.62900000000002</v>
      </c>
      <c r="R60" s="13" cm="1">
        <f t="array" ref="R60">_xll.BDH("PH US Equity","EBITDA","FQ2 2023","FQ2 2023","Currency=USD","Period=FQ","BEST_FPERIOD_OVERRIDE=FQ","FILING_STATUS=MR","SCALING_FORMAT=MLN","FA_ADJUSTED=Adjusted","Sort=A","Dates=H","DateFormat=P","Fill=—","Direction=H","UseDPDF=Y")</f>
        <v>856.61659999999995</v>
      </c>
      <c r="S60" s="13" cm="1">
        <f t="array" ref="S60">_xll.BDH("PH US Equity","EBITDA","FQ3 2023","FQ3 2023","Currency=USD","Period=FQ","BEST_FPERIOD_OVERRIDE=FQ","FILING_STATUS=MR","SCALING_FORMAT=MLN","FA_ADJUSTED=Adjusted","Sort=A","Dates=H","DateFormat=P","Fill=—","Direction=H","UseDPDF=Y")</f>
        <v>1141.7470000000001</v>
      </c>
      <c r="T60" s="13" cm="1">
        <f t="array" ref="T60">_xll.BDH("PH US Equity","EBITDA","FQ4 2023","FQ4 2023","Currency=USD","Period=FQ","BEST_FPERIOD_OVERRIDE=FQ","FILING_STATUS=MR","SCALING_FORMAT=MLN","FA_ADJUSTED=Adjusted","Sort=A","Dates=H","DateFormat=P","Fill=—","Direction=H","UseDPDF=Y")</f>
        <v>1245.2170000000001</v>
      </c>
      <c r="U60" s="13" cm="1">
        <f t="array" ref="U60">_xll.BDH("PH US Equity","EBITDA","FQ1 2024","FQ1 2024","Currency=USD","Period=FQ","BEST_FPERIOD_OVERRIDE=FQ","FILING_STATUS=MR","SCALING_FORMAT=MLN","FA_ADJUSTED=Adjusted","Sort=A","Dates=H","DateFormat=P","Fill=—","Direction=H","UseDPDF=Y")</f>
        <v>1124.4059999999999</v>
      </c>
      <c r="V60" s="13" cm="1">
        <f t="array" ref="V60">_xll.BDH("PH US Equity","EBITDA","FQ2 2024","FQ2 2024","Currency=USD","Period=FQ","BEST_FPERIOD_OVERRIDE=FQ","FILING_STATUS=MR","SCALING_FORMAT=MLN","FA_ADJUSTED=Adjusted","Sort=A","Dates=H","DateFormat=P","Fill=—","Direction=H","UseDPDF=Y")</f>
        <v>1155.702</v>
      </c>
      <c r="W60" s="13" cm="1">
        <f t="array" ref="W60">_xll.BDH("PH US Equity","EBITDA","FQ3 2024","FQ3 2024","Currency=USD","Period=FQ","BEST_FPERIOD_OVERRIDE=FQ","FILING_STATUS=MR","SCALING_FORMAT=MLN","FA_ADJUSTED=Adjusted","Sort=A","Dates=H","DateFormat=P","Fill=—","Direction=H","UseDPDF=Y")</f>
        <v>1231.4380000000001</v>
      </c>
      <c r="X60" s="13" cm="1">
        <f t="array" ref="X60">_xll.BDH("PH US Equity","EBITDA","FQ4 2024","FQ4 2024","Currency=USD","Period=FQ","BEST_FPERIOD_OVERRIDE=FQ","FILING_STATUS=MR","SCALING_FORMAT=MLN","FA_ADJUSTED=Adjusted","Sort=A","Dates=H","DateFormat=P","Fill=—","Direction=H","UseDPDF=Y")</f>
        <v>1308.643</v>
      </c>
      <c r="Y60" s="13" cm="1">
        <f t="array" ref="Y60">_xll.BDH("PH US Equity","EBITDA","FQ1 2025","FQ1 2025","Currency=USD","Period=FQ","BEST_FPERIOD_OVERRIDE=FQ","FILING_STATUS=MR","SCALING_FORMAT=MLN","FA_ADJUSTED=Adjusted","Sort=A","Dates=H","DateFormat=P","Fill=—","Direction=H","UseDPDF=Y")</f>
        <v>1193.704</v>
      </c>
      <c r="Z60" s="13" cm="1">
        <f t="array" ref="Z60">_xll.BDH("PH US Equity","EBITDA","FQ2 2025","FQ2 2025","Currency=USD","Period=FQ","BEST_FPERIOD_OVERRIDE=FQ","FILING_STATUS=MR","SCALING_FORMAT=MLN","FA_ADJUSTED=Adjusted","Sort=A","Dates=H","DateFormat=P","Fill=—","Direction=H","UseDPDF=Y")</f>
        <v>943.21299999999997</v>
      </c>
      <c r="AA60" s="13" cm="1">
        <f t="array" ref="AA60">_xll.BDH("PH US Equity","EBITDA","FQ3 2025","FQ3 2025","Currency=USD","Period=FQ","BEST_FPERIOD_OVERRIDE=FQ","FILING_STATUS=MR","SCALING_FORMAT=MLN","FA_ADJUSTED=Adjusted","Sort=A","Dates=H","DateFormat=P","Fill=—","Direction=H","UseDPDF=Y")</f>
        <v>1290.8340000000001</v>
      </c>
      <c r="AB60" s="13" cm="1">
        <f t="array" ref="AB60">_xll.BDH("PH US Equity","EBITDA","FQ4 2025","FQ4 2025","Currency=USD","Period=FQ","BEST_FPERIOD_OVERRIDE=FQ","FILING_STATUS=MR","SCALING_FORMAT=MLN","FA_ADJUSTED=Adjusted","Sort=A","Dates=H","DateFormat=P","Fill=—","Direction=H","UseDPDF=Y")</f>
        <v>1351.335</v>
      </c>
      <c r="AC60" s="13" cm="1">
        <f t="array" ref="AC60">_xll.BDH("PH US Equity","EBITDA","FQ1 2026","FQ1 2026","Currency=USD","Period=FQ","BEST_FPERIOD_OVERRIDE=FQ","FILING_STATUS=MR","SCALING_FORMAT=MLN","FA_ADJUSTED=Adjusted","Sort=A","Dates=H","DateFormat=P","Fill=—","Direction=H","UseDPDF=Y")</f>
        <v>1288</v>
      </c>
      <c r="AD60" s="13" cm="1">
        <f t="array" ref="AD60">_xll.BDH("PH US Equity","EBITDA","FQ2 2026","FQ2 2026","Currency=USD","Period=FQ","BEST_FPERIOD_OVERRIDE=FQ","FILING_STATUS=MR","SCALING_FORMAT=MLN","FA_ADJUSTED=Adjusted","Sort=A","Dates=H","DateFormat=P","Fill=—","Direction=H","UseDPDF=Y")</f>
        <v>1347</v>
      </c>
      <c r="AE60" s="13">
        <v>1460.9411764705901</v>
      </c>
      <c r="AF60" s="13">
        <v>1543.0588235294099</v>
      </c>
    </row>
    <row r="61" spans="1:32" x14ac:dyDescent="0.25">
      <c r="A61" s="10" t="s">
        <v>162</v>
      </c>
      <c r="B61" s="10" t="s">
        <v>163</v>
      </c>
      <c r="C61" s="14" cm="1">
        <f t="array" ref="C61">_xll.BDH("PH US Equity","EBITDA_MARGIN","FQ3 2019","FQ3 2019","Currency=USD","Period=FQ","BEST_FPERIOD_OVERRIDE=FQ","FILING_STATUS=MR","FA_ADJUSTED=Adjusted","Sort=A","Dates=H","DateFormat=P","Fill=—","Direction=H","UseDPDF=Y")</f>
        <v>18.0578</v>
      </c>
      <c r="D61" s="14" cm="1">
        <f t="array" ref="D61">_xll.BDH("PH US Equity","EBITDA_MARGIN","FQ4 2019","FQ4 2019","Currency=USD","Period=FQ","BEST_FPERIOD_OVERRIDE=FQ","FILING_STATUS=MR","FA_ADJUSTED=Adjusted","Sort=A","Dates=H","DateFormat=P","Fill=—","Direction=H","UseDPDF=Y")</f>
        <v>17.905899999999999</v>
      </c>
      <c r="E61" s="14" cm="1">
        <f t="array" ref="E61">_xll.BDH("PH US Equity","EBITDA_MARGIN","FQ1 2020","FQ1 2020","Currency=USD","Period=FQ","BEST_FPERIOD_OVERRIDE=FQ","FILING_STATUS=MR","FA_ADJUSTED=Adjusted","Sort=A","Dates=H","DateFormat=P","Fill=—","Direction=H","UseDPDF=Y")</f>
        <v>17.962299999999999</v>
      </c>
      <c r="F61" s="14" cm="1">
        <f t="array" ref="F61">_xll.BDH("PH US Equity","EBITDA_MARGIN","FQ2 2020","FQ2 2020","Currency=USD","Period=FQ","BEST_FPERIOD_OVERRIDE=FQ","FILING_STATUS=MR","FA_ADJUSTED=Adjusted","Sort=A","Dates=H","DateFormat=P","Fill=—","Direction=H","UseDPDF=Y")</f>
        <v>18.336300000000001</v>
      </c>
      <c r="G61" s="14" cm="1">
        <f t="array" ref="G61">_xll.BDH("PH US Equity","EBITDA_MARGIN","FQ3 2020","FQ3 2020","Currency=USD","Period=FQ","BEST_FPERIOD_OVERRIDE=FQ","FILING_STATUS=MR","FA_ADJUSTED=Adjusted","Sort=A","Dates=H","DateFormat=P","Fill=—","Direction=H","UseDPDF=Y")</f>
        <v>18.595400000000001</v>
      </c>
      <c r="H61" s="14" cm="1">
        <f t="array" ref="H61">_xll.BDH("PH US Equity","EBITDA_MARGIN","FQ4 2020","FQ4 2020","Currency=USD","Period=FQ","BEST_FPERIOD_OVERRIDE=FQ","FILING_STATUS=MR","FA_ADJUSTED=Adjusted","Sort=A","Dates=H","DateFormat=P","Fill=—","Direction=H","UseDPDF=Y")</f>
        <v>19.107600000000001</v>
      </c>
      <c r="I61" s="14" cm="1">
        <f t="array" ref="I61">_xll.BDH("PH US Equity","EBITDA_MARGIN","FQ1 2021","FQ1 2021","Currency=USD","Period=FQ","BEST_FPERIOD_OVERRIDE=FQ","FILING_STATUS=MR","FA_ADJUSTED=Adjusted","Sort=A","Dates=H","DateFormat=P","Fill=—","Direction=H","UseDPDF=Y")</f>
        <v>19.612500000000001</v>
      </c>
      <c r="J61" s="14" cm="1">
        <f t="array" ref="J61">_xll.BDH("PH US Equity","EBITDA_MARGIN","FQ2 2021","FQ2 2021","Currency=USD","Period=FQ","BEST_FPERIOD_OVERRIDE=FQ","FILING_STATUS=MR","FA_ADJUSTED=Adjusted","Sort=A","Dates=H","DateFormat=P","Fill=—","Direction=H","UseDPDF=Y")</f>
        <v>18.6555</v>
      </c>
      <c r="K61" s="14" cm="1">
        <f t="array" ref="K61">_xll.BDH("PH US Equity","EBITDA_MARGIN","FQ3 2021","FQ3 2021","Currency=USD","Period=FQ","BEST_FPERIOD_OVERRIDE=FQ","FILING_STATUS=MR","FA_ADJUSTED=Adjusted","Sort=A","Dates=H","DateFormat=P","Fill=—","Direction=H","UseDPDF=Y")</f>
        <v>19.278600000000001</v>
      </c>
      <c r="L61" s="14" cm="1">
        <f t="array" ref="L61">_xll.BDH("PH US Equity","EBITDA_MARGIN","FQ4 2021","FQ4 2021","Currency=USD","Period=FQ","BEST_FPERIOD_OVERRIDE=FQ","FILING_STATUS=MR","FA_ADJUSTED=Adjusted","Sort=A","Dates=H","DateFormat=P","Fill=—","Direction=H","UseDPDF=Y")</f>
        <v>19.6861</v>
      </c>
      <c r="M61" s="14" cm="1">
        <f t="array" ref="M61">_xll.BDH("PH US Equity","EBITDA_MARGIN","FQ1 2022","FQ1 2022","Currency=USD","Period=FQ","BEST_FPERIOD_OVERRIDE=FQ","FILING_STATUS=MR","FA_ADJUSTED=Adjusted","Sort=A","Dates=H","DateFormat=P","Fill=—","Direction=H","UseDPDF=Y")</f>
        <v>20.0029</v>
      </c>
      <c r="N61" s="14" cm="1">
        <f t="array" ref="N61">_xll.BDH("PH US Equity","EBITDA_MARGIN","FQ2 2022","FQ2 2022","Currency=USD","Period=FQ","BEST_FPERIOD_OVERRIDE=FQ","FILING_STATUS=MR","FA_ADJUSTED=Adjusted","Sort=A","Dates=H","DateFormat=P","Fill=—","Direction=H","UseDPDF=Y")</f>
        <v>22.4801</v>
      </c>
      <c r="O61" s="14" cm="1">
        <f t="array" ref="O61">_xll.BDH("PH US Equity","EBITDA_MARGIN","FQ3 2022","FQ3 2022","Currency=USD","Period=FQ","BEST_FPERIOD_OVERRIDE=FQ","FILING_STATUS=MR","FA_ADJUSTED=Adjusted","Sort=A","Dates=H","DateFormat=P","Fill=—","Direction=H","UseDPDF=Y")</f>
        <v>22.704000000000001</v>
      </c>
      <c r="P61" s="14" cm="1">
        <f t="array" ref="P61">_xll.BDH("PH US Equity","EBITDA_MARGIN","FQ4 2022","FQ4 2022","Currency=USD","Period=FQ","BEST_FPERIOD_OVERRIDE=FQ","FILING_STATUS=MR","FA_ADJUSTED=Adjusted","Sort=A","Dates=H","DateFormat=P","Fill=—","Direction=H","UseDPDF=Y")</f>
        <v>26.604900000000001</v>
      </c>
      <c r="Q61" s="14" cm="1">
        <f t="array" ref="Q61">_xll.BDH("PH US Equity","EBITDA_MARGIN","FQ1 2023","FQ1 2023","Currency=USD","Period=FQ","BEST_FPERIOD_OVERRIDE=FQ","FILING_STATUS=MR","FA_ADJUSTED=Adjusted","Sort=A","Dates=H","DateFormat=P","Fill=—","Direction=H","UseDPDF=Y")</f>
        <v>26.344100000000001</v>
      </c>
      <c r="R61" s="14" cm="1">
        <f t="array" ref="R61">_xll.BDH("PH US Equity","EBITDA_MARGIN","FQ2 2023","FQ2 2023","Currency=USD","Period=FQ","BEST_FPERIOD_OVERRIDE=FQ","FILING_STATUS=MR","FA_ADJUSTED=Adjusted","Sort=A","Dates=H","DateFormat=P","Fill=—","Direction=H","UseDPDF=Y")</f>
        <v>24.393599999999999</v>
      </c>
      <c r="S61" s="14" cm="1">
        <f t="array" ref="S61">_xll.BDH("PH US Equity","EBITDA_MARGIN","FQ3 2023","FQ3 2023","Currency=USD","Period=FQ","BEST_FPERIOD_OVERRIDE=FQ","FILING_STATUS=MR","FA_ADJUSTED=Adjusted","Sort=A","Dates=H","DateFormat=P","Fill=—","Direction=H","UseDPDF=Y")</f>
        <v>24.321300000000001</v>
      </c>
      <c r="T61" s="14" cm="1">
        <f t="array" ref="T61">_xll.BDH("PH US Equity","EBITDA_MARGIN","FQ4 2023","FQ4 2023","Currency=USD","Period=FQ","BEST_FPERIOD_OVERRIDE=FQ","FILING_STATUS=MR","FA_ADJUSTED=Adjusted","Sort=A","Dates=H","DateFormat=P","Fill=—","Direction=H","UseDPDF=Y")</f>
        <v>21.605899999999998</v>
      </c>
      <c r="U61" s="14" cm="1">
        <f t="array" ref="U61">_xll.BDH("PH US Equity","EBITDA_MARGIN","FQ1 2024","FQ1 2024","Currency=USD","Period=FQ","BEST_FPERIOD_OVERRIDE=FQ","FILING_STATUS=MR","FA_ADJUSTED=Adjusted","Sort=A","Dates=H","DateFormat=P","Fill=—","Direction=H","UseDPDF=Y")</f>
        <v>22.1952</v>
      </c>
      <c r="V61" s="14" cm="1">
        <f t="array" ref="V61">_xll.BDH("PH US Equity","EBITDA_MARGIN","FQ2 2024","FQ2 2024","Currency=USD","Period=FQ","BEST_FPERIOD_OVERRIDE=FQ","FILING_STATUS=MR","FA_ADJUSTED=Adjusted","Sort=A","Dates=H","DateFormat=P","Fill=—","Direction=H","UseDPDF=Y")</f>
        <v>23.540099999999999</v>
      </c>
      <c r="W61" s="14" cm="1">
        <f t="array" ref="W61">_xll.BDH("PH US Equity","EBITDA_MARGIN","FQ3 2024","FQ3 2024","Currency=USD","Period=FQ","BEST_FPERIOD_OVERRIDE=FQ","FILING_STATUS=MR","FA_ADJUSTED=Adjusted","Sort=A","Dates=H","DateFormat=P","Fill=—","Direction=H","UseDPDF=Y")</f>
        <v>23.9771</v>
      </c>
      <c r="X61" s="14" cm="1">
        <f t="array" ref="X61">_xll.BDH("PH US Equity","EBITDA_MARGIN","FQ4 2024","FQ4 2024","Currency=USD","Period=FQ","BEST_FPERIOD_OVERRIDE=FQ","FILING_STATUS=MR","FA_ADJUSTED=Adjusted","Sort=A","Dates=H","DateFormat=P","Fill=—","Direction=H","UseDPDF=Y")</f>
        <v>24.1861</v>
      </c>
      <c r="Y61" s="14" cm="1">
        <f t="array" ref="Y61">_xll.BDH("PH US Equity","EBITDA_MARGIN","FQ1 2025","FQ1 2025","Currency=USD","Period=FQ","BEST_FPERIOD_OVERRIDE=FQ","FILING_STATUS=MR","FA_ADJUSTED=Adjusted","Sort=A","Dates=H","DateFormat=P","Fill=—","Direction=H","UseDPDF=Y")</f>
        <v>24.464400000000001</v>
      </c>
      <c r="Z61" s="14" cm="1">
        <f t="array" ref="Z61">_xll.BDH("PH US Equity","EBITDA_MARGIN","FQ2 2025","FQ2 2025","Currency=USD","Period=FQ","BEST_FPERIOD_OVERRIDE=FQ","FILING_STATUS=MR","FA_ADJUSTED=Adjusted","Sort=A","Dates=H","DateFormat=P","Fill=—","Direction=H","UseDPDF=Y")</f>
        <v>23.493400000000001</v>
      </c>
      <c r="AA61" s="14" cm="1">
        <f t="array" ref="AA61">_xll.BDH("PH US Equity","EBITDA_MARGIN","FQ3 2025","FQ3 2025","Currency=USD","Period=FQ","BEST_FPERIOD_OVERRIDE=FQ","FILING_STATUS=MR","FA_ADJUSTED=Adjusted","Sort=A","Dates=H","DateFormat=P","Fill=—","Direction=H","UseDPDF=Y")</f>
        <v>23.928699999999999</v>
      </c>
      <c r="AB61" s="14" cm="1">
        <f t="array" ref="AB61">_xll.BDH("PH US Equity","EBITDA_MARGIN","FQ4 2025","FQ4 2025","Currency=USD","Period=FQ","BEST_FPERIOD_OVERRIDE=FQ","FILING_STATUS=MR","FA_ADJUSTED=Adjusted","Sort=A","Dates=H","DateFormat=P","Fill=—","Direction=H","UseDPDF=Y")</f>
        <v>24.0761</v>
      </c>
      <c r="AC61" s="14" cm="1">
        <f t="array" ref="AC61">_xll.BDH("PH US Equity","EBITDA_MARGIN","FQ1 2026","FQ1 2026","Currency=USD","Period=FQ","BEST_FPERIOD_OVERRIDE=FQ","FILING_STATUS=MR","FA_ADJUSTED=Adjusted","Sort=A","Dates=H","DateFormat=P","Fill=—","Direction=H","UseDPDF=Y")</f>
        <v>24.330500000000001</v>
      </c>
      <c r="AD61" s="14" cm="1">
        <f t="array" ref="AD61">_xll.BDH("PH US Equity","EBITDA_MARGIN","FQ2 2026","FQ2 2026","Currency=USD","Period=FQ","BEST_FPERIOD_OVERRIDE=FQ","FILING_STATUS=MR","FA_ADJUSTED=Adjusted","Sort=A","Dates=H","DateFormat=P","Fill=—","Direction=H","UseDPDF=Y")</f>
        <v>25.790900000000001</v>
      </c>
      <c r="AE61" s="14">
        <v>27.384281110003101</v>
      </c>
      <c r="AF61" s="14">
        <v>27.512741414382301</v>
      </c>
    </row>
    <row r="62" spans="1:32" x14ac:dyDescent="0.25">
      <c r="A62" s="10" t="s">
        <v>164</v>
      </c>
      <c r="B62" s="10" t="s">
        <v>164</v>
      </c>
      <c r="C62" s="13" cm="1">
        <f t="array" ref="C62">_xll.BDH("PH US Equity","EBITA","FQ3 2019","FQ3 2019","Currency=USD","Period=FQ","BEST_FPERIOD_OVERRIDE=FQ","FILING_STATUS=MR","SCALING_FORMAT=MLN","FA_ADJUSTED=Adjusted","Sort=A","Dates=H","DateFormat=P","Fill=—","Direction=H","UseDPDF=Y")</f>
        <v>617.70000000000005</v>
      </c>
      <c r="D62" s="13" cm="1">
        <f t="array" ref="D62">_xll.BDH("PH US Equity","EBITA","FQ4 2019","FQ4 2019","Currency=USD","Period=FQ","BEST_FPERIOD_OVERRIDE=FQ","FILING_STATUS=MR","SCALING_FORMAT=MLN","FA_ADJUSTED=Adjusted","Sort=A","Dates=H","DateFormat=P","Fill=—","Direction=H","UseDPDF=Y")</f>
        <v>630.62400000000002</v>
      </c>
      <c r="E62" s="13" cm="1">
        <f t="array" ref="E62">_xll.BDH("PH US Equity","EBITA","FQ1 2020","FQ1 2020","Currency=USD","Period=FQ","BEST_FPERIOD_OVERRIDE=FQ","FILING_STATUS=MR","SCALING_FORMAT=MLN","FA_ADJUSTED=Adjusted","Sort=A","Dates=H","DateFormat=P","Fill=—","Direction=H","UseDPDF=Y")</f>
        <v>537.66399999999999</v>
      </c>
      <c r="F62" s="13" cm="1">
        <f t="array" ref="F62">_xll.BDH("PH US Equity","EBITA","FQ2 2020","FQ2 2020","Currency=USD","Period=FQ","BEST_FPERIOD_OVERRIDE=FQ","FILING_STATUS=MR","SCALING_FORMAT=MLN","FA_ADJUSTED=Adjusted","Sort=A","Dates=H","DateFormat=P","Fill=—","Direction=H","UseDPDF=Y")</f>
        <v>587.61900000000003</v>
      </c>
      <c r="G62" s="13" cm="1">
        <f t="array" ref="G62">_xll.BDH("PH US Equity","EBITA","FQ3 2020","FQ3 2020","Currency=USD","Period=FQ","BEST_FPERIOD_OVERRIDE=FQ","FILING_STATUS=MR","SCALING_FORMAT=MLN","FA_ADJUSTED=Adjusted","Sort=A","Dates=H","DateFormat=P","Fill=—","Direction=H","UseDPDF=Y")</f>
        <v>645.58600000000001</v>
      </c>
      <c r="H62" s="13" cm="1">
        <f t="array" ref="H62">_xll.BDH("PH US Equity","EBITA","FQ4 2020","FQ4 2020","Currency=USD","Period=FQ","BEST_FPERIOD_OVERRIDE=FQ","FILING_STATUS=MR","SCALING_FORMAT=MLN","FA_ADJUSTED=Adjusted","Sort=A","Dates=H","DateFormat=P","Fill=—","Direction=H","UseDPDF=Y")</f>
        <v>593.12099999999998</v>
      </c>
      <c r="I62" s="13" cm="1">
        <f t="array" ref="I62">_xll.BDH("PH US Equity","EBITA","FQ1 2021","FQ1 2021","Currency=USD","Period=FQ","BEST_FPERIOD_OVERRIDE=FQ","FILING_STATUS=MR","SCALING_FORMAT=MLN","FA_ADJUSTED=Adjusted","Sort=A","Dates=H","DateFormat=P","Fill=—","Direction=H","UseDPDF=Y")</f>
        <v>574.529</v>
      </c>
      <c r="J62" s="13" cm="1">
        <f t="array" ref="J62">_xll.BDH("PH US Equity","EBITA","FQ2 2021","FQ2 2021","Currency=USD","Period=FQ","BEST_FPERIOD_OVERRIDE=FQ","FILING_STATUS=MR","SCALING_FORMAT=MLN","FA_ADJUSTED=Adjusted","Sort=A","Dates=H","DateFormat=P","Fill=—","Direction=H","UseDPDF=Y")</f>
        <v>437.80399999999997</v>
      </c>
      <c r="K62" s="13" cm="1">
        <f t="array" ref="K62">_xll.BDH("PH US Equity","EBITA","FQ3 2021","FQ3 2021","Currency=USD","Period=FQ","BEST_FPERIOD_OVERRIDE=FQ","FILING_STATUS=MR","SCALING_FORMAT=MLN","FA_ADJUSTED=Adjusted","Sort=A","Dates=H","DateFormat=P","Fill=—","Direction=H","UseDPDF=Y")</f>
        <v>736.22</v>
      </c>
      <c r="L62" s="13" cm="1">
        <f t="array" ref="L62">_xll.BDH("PH US Equity","EBITA","FQ4 2021","FQ4 2021","Currency=USD","Period=FQ","BEST_FPERIOD_OVERRIDE=FQ","FILING_STATUS=MR","SCALING_FORMAT=MLN","FA_ADJUSTED=Adjusted","Sort=A","Dates=H","DateFormat=P","Fill=—","Direction=H","UseDPDF=Y")</f>
        <v>724.745</v>
      </c>
      <c r="M62" s="13" cm="1">
        <f t="array" ref="M62">_xll.BDH("PH US Equity","EBITA","FQ1 2022","FQ1 2022","Currency=USD","Period=FQ","BEST_FPERIOD_OVERRIDE=FQ","FILING_STATUS=MR","SCALING_FORMAT=MLN","FA_ADJUSTED=Adjusted","Sort=A","Dates=H","DateFormat=P","Fill=—","Direction=H","UseDPDF=Y")</f>
        <v>727.43100000000004</v>
      </c>
      <c r="N62" s="13" cm="1">
        <f t="array" ref="N62">_xll.BDH("PH US Equity","EBITA","FQ2 2022","FQ2 2022","Currency=USD","Period=FQ","BEST_FPERIOD_OVERRIDE=FQ","FILING_STATUS=MR","SCALING_FORMAT=MLN","FA_ADJUSTED=Adjusted","Sort=A","Dates=H","DateFormat=P","Fill=—","Direction=H","UseDPDF=Y")</f>
        <v>902.40499999999997</v>
      </c>
      <c r="O62" s="13" cm="1">
        <f t="array" ref="O62">_xll.BDH("PH US Equity","EBITA","FQ3 2022","FQ3 2022","Currency=USD","Period=FQ","BEST_FPERIOD_OVERRIDE=FQ","FILING_STATUS=MR","SCALING_FORMAT=MLN","FA_ADJUSTED=Adjusted","Sort=A","Dates=H","DateFormat=P","Fill=—","Direction=H","UseDPDF=Y")</f>
        <v>853.125</v>
      </c>
      <c r="P62" s="13" cm="1">
        <f t="array" ref="P62">_xll.BDH("PH US Equity","EBITA","FQ4 2022","FQ4 2022","Currency=USD","Period=FQ","BEST_FPERIOD_OVERRIDE=FQ","FILING_STATUS=MR","SCALING_FORMAT=MLN","FA_ADJUSTED=Adjusted","Sort=A","Dates=H","DateFormat=P","Fill=—","Direction=H","UseDPDF=Y")</f>
        <v>1479.6859999999999</v>
      </c>
      <c r="Q62" s="13" cm="1">
        <f t="array" ref="Q62">_xll.BDH("PH US Equity","EBITA","FQ1 2023","FQ1 2023","Currency=USD","Period=FQ","BEST_FPERIOD_OVERRIDE=FQ","FILING_STATUS=MR","SCALING_FORMAT=MLN","FA_ADJUSTED=Adjusted","Sort=A","Dates=H","DateFormat=P","Fill=—","Direction=H","UseDPDF=Y")</f>
        <v>808.66200000000003</v>
      </c>
      <c r="R62" s="13" cm="1">
        <f t="array" ref="R62">_xll.BDH("PH US Equity","EBITA","FQ2 2023","FQ2 2023","Currency=USD","Period=FQ","BEST_FPERIOD_OVERRIDE=FQ","FILING_STATUS=MR","SCALING_FORMAT=MLN","FA_ADJUSTED=Adjusted","Sort=A","Dates=H","DateFormat=P","Fill=—","Direction=H","UseDPDF=Y")</f>
        <v>769.12860000000001</v>
      </c>
      <c r="S62" s="13" cm="1">
        <f t="array" ref="S62">_xll.BDH("PH US Equity","EBITA","FQ3 2023","FQ3 2023","Currency=USD","Period=FQ","BEST_FPERIOD_OVERRIDE=FQ","FILING_STATUS=MR","SCALING_FORMAT=MLN","FA_ADJUSTED=Adjusted","Sort=A","Dates=H","DateFormat=P","Fill=—","Direction=H","UseDPDF=Y")</f>
        <v>1061.5530000000001</v>
      </c>
      <c r="T62" s="13" cm="1">
        <f t="array" ref="T62">_xll.BDH("PH US Equity","EBITA","FQ4 2023","FQ4 2023","Currency=USD","Period=FQ","BEST_FPERIOD_OVERRIDE=FQ","FILING_STATUS=MR","SCALING_FORMAT=MLN","FA_ADJUSTED=Adjusted","Sort=A","Dates=H","DateFormat=P","Fill=—","Direction=H","UseDPDF=Y")</f>
        <v>1162.45</v>
      </c>
      <c r="U62" s="13" cm="1">
        <f t="array" ref="U62">_xll.BDH("PH US Equity","EBITA","FQ1 2024","FQ1 2024","Currency=USD","Period=FQ","BEST_FPERIOD_OVERRIDE=FQ","FILING_STATUS=MR","SCALING_FORMAT=MLN","FA_ADJUSTED=Adjusted","Sort=A","Dates=H","DateFormat=P","Fill=—","Direction=H","UseDPDF=Y")</f>
        <v>1039.539</v>
      </c>
      <c r="V62" s="13" cm="1">
        <f t="array" ref="V62">_xll.BDH("PH US Equity","EBITA","FQ2 2024","FQ2 2024","Currency=USD","Period=FQ","BEST_FPERIOD_OVERRIDE=FQ","FILING_STATUS=MR","SCALING_FORMAT=MLN","FA_ADJUSTED=Adjusted","Sort=A","Dates=H","DateFormat=P","Fill=—","Direction=H","UseDPDF=Y")</f>
        <v>1069.951</v>
      </c>
      <c r="W62" s="13" cm="1">
        <f t="array" ref="W62">_xll.BDH("PH US Equity","EBITA","FQ3 2024","FQ3 2024","Currency=USD","Period=FQ","BEST_FPERIOD_OVERRIDE=FQ","FILING_STATUS=MR","SCALING_FORMAT=MLN","FA_ADJUSTED=Adjusted","Sort=A","Dates=H","DateFormat=P","Fill=—","Direction=H","UseDPDF=Y")</f>
        <v>1144.356</v>
      </c>
      <c r="X62" s="13" cm="1">
        <f t="array" ref="X62">_xll.BDH("PH US Equity","EBITA","FQ4 2024","FQ4 2024","Currency=USD","Period=FQ","BEST_FPERIOD_OVERRIDE=FQ","FILING_STATUS=MR","SCALING_FORMAT=MLN","FA_ADJUSTED=Adjusted","Sort=A","Dates=H","DateFormat=P","Fill=—","Direction=H","UseDPDF=Y")</f>
        <v>1217.2070000000001</v>
      </c>
      <c r="Y62" s="13" cm="1">
        <f t="array" ref="Y62">_xll.BDH("PH US Equity","EBITA","FQ1 2025","FQ1 2025","Currency=USD","Period=FQ","BEST_FPERIOD_OVERRIDE=FQ","FILING_STATUS=MR","SCALING_FORMAT=MLN","FA_ADJUSTED=Adjusted","Sort=A","Dates=H","DateFormat=P","Fill=—","Direction=H","UseDPDF=Y")</f>
        <v>1104.779</v>
      </c>
      <c r="Z62" s="13" cm="1">
        <f t="array" ref="Z62">_xll.BDH("PH US Equity","EBITA","FQ2 2025","FQ2 2025","Currency=USD","Period=FQ","BEST_FPERIOD_OVERRIDE=FQ","FILING_STATUS=MR","SCALING_FORMAT=MLN","FA_ADJUSTED=Adjusted","Sort=A","Dates=H","DateFormat=P","Fill=—","Direction=H","UseDPDF=Y")</f>
        <v>855.51599999999996</v>
      </c>
      <c r="AA62" s="13" cm="1">
        <f t="array" ref="AA62">_xll.BDH("PH US Equity","EBITA","FQ3 2025","FQ3 2025","Currency=USD","Period=FQ","BEST_FPERIOD_OVERRIDE=FQ","FILING_STATUS=MR","SCALING_FORMAT=MLN","FA_ADJUSTED=Adjusted","Sort=A","Dates=H","DateFormat=P","Fill=—","Direction=H","UseDPDF=Y")</f>
        <v>1204.002</v>
      </c>
      <c r="AB62" s="13" cm="1">
        <f t="array" ref="AB62">_xll.BDH("PH US Equity","EBITA","FQ4 2025","FQ4 2025","Currency=USD","Period=FQ","BEST_FPERIOD_OVERRIDE=FQ","FILING_STATUS=MR","SCALING_FORMAT=MLN","FA_ADJUSTED=Adjusted","Sort=A","Dates=H","DateFormat=P","Fill=—","Direction=H","UseDPDF=Y")</f>
        <v>1260.335</v>
      </c>
      <c r="AC62" s="13" cm="1">
        <f t="array" ref="AC62">_xll.BDH("PH US Equity","EBITA","FQ1 2026","FQ1 2026","Currency=USD","Period=FQ","BEST_FPERIOD_OVERRIDE=FQ","FILING_STATUS=MR","SCALING_FORMAT=MLN","FA_ADJUSTED=Adjusted","Sort=A","Dates=H","DateFormat=P","Fill=—","Direction=H","UseDPDF=Y")</f>
        <v>1196</v>
      </c>
      <c r="AD62" s="13" cm="1">
        <f t="array" ref="AD62">_xll.BDH("PH US Equity","EBITA","FQ2 2026","FQ2 2026","Currency=USD","Period=FQ","BEST_FPERIOD_OVERRIDE=FQ","FILING_STATUS=MR","SCALING_FORMAT=MLN","FA_ADJUSTED=Adjusted","Sort=A","Dates=H","DateFormat=P","Fill=—","Direction=H","UseDPDF=Y")</f>
        <v>1318</v>
      </c>
      <c r="AE62" s="13"/>
      <c r="AF62" s="13"/>
    </row>
    <row r="63" spans="1:32" x14ac:dyDescent="0.25">
      <c r="A63" s="10" t="s">
        <v>165</v>
      </c>
      <c r="B63" s="10" t="s">
        <v>165</v>
      </c>
      <c r="C63" s="13" cm="1">
        <f t="array" ref="C63">_xll.BDH("PH US Equity","EBIT","FQ3 2019","FQ3 2019","Currency=USD","Period=FQ","BEST_FPERIOD_OVERRIDE=FQ","FILING_STATUS=MR","SCALING_FORMAT=MLN","FA_ADJUSTED=Adjusted","Sort=A","Dates=H","DateFormat=P","Fill=—","Direction=H","UseDPDF=Y")</f>
        <v>565.07299999999998</v>
      </c>
      <c r="D63" s="13" cm="1">
        <f t="array" ref="D63">_xll.BDH("PH US Equity","EBIT","FQ4 2019","FQ4 2019","Currency=USD","Period=FQ","BEST_FPERIOD_OVERRIDE=FQ","FILING_STATUS=MR","SCALING_FORMAT=MLN","FA_ADJUSTED=Adjusted","Sort=A","Dates=H","DateFormat=P","Fill=—","Direction=H","UseDPDF=Y")</f>
        <v>580.28</v>
      </c>
      <c r="E63" s="13" cm="1">
        <f t="array" ref="E63">_xll.BDH("PH US Equity","EBIT","FQ1 2020","FQ1 2020","Currency=USD","Period=FQ","BEST_FPERIOD_OVERRIDE=FQ","FILING_STATUS=MR","SCALING_FORMAT=MLN","FA_ADJUSTED=Adjusted","Sort=A","Dates=H","DateFormat=P","Fill=—","Direction=H","UseDPDF=Y")</f>
        <v>471.49799999999999</v>
      </c>
      <c r="F63" s="13" cm="1">
        <f t="array" ref="F63">_xll.BDH("PH US Equity","EBIT","FQ2 2020","FQ2 2020","Currency=USD","Period=FQ","BEST_FPERIOD_OVERRIDE=FQ","FILING_STATUS=MR","SCALING_FORMAT=MLN","FA_ADJUSTED=Adjusted","Sort=A","Dates=H","DateFormat=P","Fill=—","Direction=H","UseDPDF=Y")</f>
        <v>495.39600000000002</v>
      </c>
      <c r="G63" s="13" cm="1">
        <f t="array" ref="G63">_xll.BDH("PH US Equity","EBIT","FQ3 2020","FQ3 2020","Currency=USD","Period=FQ","BEST_FPERIOD_OVERRIDE=FQ","FILING_STATUS=MR","SCALING_FORMAT=MLN","FA_ADJUSTED=Adjusted","Sort=A","Dates=H","DateFormat=P","Fill=—","Direction=H","UseDPDF=Y")</f>
        <v>562.03200000000004</v>
      </c>
      <c r="H63" s="13" cm="1">
        <f t="array" ref="H63">_xll.BDH("PH US Equity","EBIT","FQ4 2020","FQ4 2020","Currency=USD","Period=FQ","BEST_FPERIOD_OVERRIDE=FQ","FILING_STATUS=MR","SCALING_FORMAT=MLN","FA_ADJUSTED=Adjusted","Sort=A","Dates=H","DateFormat=P","Fill=—","Direction=H","UseDPDF=Y")</f>
        <v>500.16500000000002</v>
      </c>
      <c r="I63" s="13" cm="1">
        <f t="array" ref="I63">_xll.BDH("PH US Equity","EBIT","FQ1 2021","FQ1 2021","Currency=USD","Period=FQ","BEST_FPERIOD_OVERRIDE=FQ","FILING_STATUS=MR","SCALING_FORMAT=MLN","FA_ADJUSTED=Adjusted","Sort=A","Dates=H","DateFormat=P","Fill=—","Direction=H","UseDPDF=Y")</f>
        <v>492.82600000000002</v>
      </c>
      <c r="J63" s="13" cm="1">
        <f t="array" ref="J63">_xll.BDH("PH US Equity","EBIT","FQ2 2021","FQ2 2021","Currency=USD","Period=FQ","BEST_FPERIOD_OVERRIDE=FQ","FILING_STATUS=MR","SCALING_FORMAT=MLN","FA_ADJUSTED=Adjusted","Sort=A","Dates=H","DateFormat=P","Fill=—","Direction=H","UseDPDF=Y")</f>
        <v>356.56700000000001</v>
      </c>
      <c r="K63" s="13" cm="1">
        <f t="array" ref="K63">_xll.BDH("PH US Equity","EBIT","FQ3 2021","FQ3 2021","Currency=USD","Period=FQ","BEST_FPERIOD_OVERRIDE=FQ","FILING_STATUS=MR","SCALING_FORMAT=MLN","FA_ADJUSTED=Adjusted","Sort=A","Dates=H","DateFormat=P","Fill=—","Direction=H","UseDPDF=Y")</f>
        <v>654.96699999999998</v>
      </c>
      <c r="L63" s="13" cm="1">
        <f t="array" ref="L63">_xll.BDH("PH US Equity","EBIT","FQ4 2021","FQ4 2021","Currency=USD","Period=FQ","BEST_FPERIOD_OVERRIDE=FQ","FILING_STATUS=MR","SCALING_FORMAT=MLN","FA_ADJUSTED=Adjusted","Sort=A","Dates=H","DateFormat=P","Fill=—","Direction=H","UseDPDF=Y")</f>
        <v>724.745</v>
      </c>
      <c r="M63" s="13" cm="1">
        <f t="array" ref="M63">_xll.BDH("PH US Equity","EBIT","FQ1 2022","FQ1 2022","Currency=USD","Period=FQ","BEST_FPERIOD_OVERRIDE=FQ","FILING_STATUS=MR","SCALING_FORMAT=MLN","FA_ADJUSTED=Adjusted","Sort=A","Dates=H","DateFormat=P","Fill=—","Direction=H","UseDPDF=Y")</f>
        <v>647.66</v>
      </c>
      <c r="N63" s="13" cm="1">
        <f t="array" ref="N63">_xll.BDH("PH US Equity","EBIT","FQ2 2022","FQ2 2022","Currency=USD","Period=FQ","BEST_FPERIOD_OVERRIDE=FQ","FILING_STATUS=MR","SCALING_FORMAT=MLN","FA_ADJUSTED=Adjusted","Sort=A","Dates=H","DateFormat=P","Fill=—","Direction=H","UseDPDF=Y")</f>
        <v>823.66399999999999</v>
      </c>
      <c r="O63" s="13" cm="1">
        <f t="array" ref="O63">_xll.BDH("PH US Equity","EBIT","FQ3 2022","FQ3 2022","Currency=USD","Period=FQ","BEST_FPERIOD_OVERRIDE=FQ","FILING_STATUS=MR","SCALING_FORMAT=MLN","FA_ADJUSTED=Adjusted","Sort=A","Dates=H","DateFormat=P","Fill=—","Direction=H","UseDPDF=Y")</f>
        <v>774.26</v>
      </c>
      <c r="P63" s="13" cm="1">
        <f t="array" ref="P63">_xll.BDH("PH US Equity","EBIT","FQ4 2022","FQ4 2022","Currency=USD","Period=FQ","BEST_FPERIOD_OVERRIDE=FQ","FILING_STATUS=MR","SCALING_FORMAT=MLN","FA_ADJUSTED=Adjusted","Sort=A","Dates=H","DateFormat=P","Fill=—","Direction=H","UseDPDF=Y")</f>
        <v>1402.6130000000001</v>
      </c>
      <c r="Q63" s="13" cm="1">
        <f t="array" ref="Q63">_xll.BDH("PH US Equity","EBIT","FQ1 2023","FQ1 2023","Currency=USD","Period=FQ","BEST_FPERIOD_OVERRIDE=FQ","FILING_STATUS=MR","SCALING_FORMAT=MLN","FA_ADJUSTED=Adjusted","Sort=A","Dates=H","DateFormat=P","Fill=—","Direction=H","UseDPDF=Y")</f>
        <v>721.64800000000002</v>
      </c>
      <c r="R63" s="13" cm="1">
        <f t="array" ref="R63">_xll.BDH("PH US Equity","EBIT","FQ2 2023","FQ2 2023","Currency=USD","Period=FQ","BEST_FPERIOD_OVERRIDE=FQ","FILING_STATUS=MR","SCALING_FORMAT=MLN","FA_ADJUSTED=Adjusted","Sort=A","Dates=H","DateFormat=P","Fill=—","Direction=H","UseDPDF=Y")</f>
        <v>626.87260000000003</v>
      </c>
      <c r="S63" s="13" cm="1">
        <f t="array" ref="S63">_xll.BDH("PH US Equity","EBIT","FQ3 2023","FQ3 2023","Currency=USD","Period=FQ","BEST_FPERIOD_OVERRIDE=FQ","FILING_STATUS=MR","SCALING_FORMAT=MLN","FA_ADJUSTED=Adjusted","Sort=A","Dates=H","DateFormat=P","Fill=—","Direction=H","UseDPDF=Y")</f>
        <v>916.40599999999995</v>
      </c>
      <c r="T63" s="13" cm="1">
        <f t="array" ref="T63">_xll.BDH("PH US Equity","EBIT","FQ4 2023","FQ4 2023","Currency=USD","Period=FQ","BEST_FPERIOD_OVERRIDE=FQ","FILING_STATUS=MR","SCALING_FORMAT=MLN","FA_ADJUSTED=Adjusted","Sort=A","Dates=H","DateFormat=P","Fill=—","Direction=H","UseDPDF=Y")</f>
        <v>1036.154</v>
      </c>
      <c r="U63" s="13" cm="1">
        <f t="array" ref="U63">_xll.BDH("PH US Equity","EBIT","FQ1 2024","FQ1 2024","Currency=USD","Period=FQ","BEST_FPERIOD_OVERRIDE=FQ","FILING_STATUS=MR","SCALING_FORMAT=MLN","FA_ADJUSTED=Adjusted","Sort=A","Dates=H","DateFormat=P","Fill=—","Direction=H","UseDPDF=Y")</f>
        <v>884.01900000000001</v>
      </c>
      <c r="V63" s="13" cm="1">
        <f t="array" ref="V63">_xll.BDH("PH US Equity","EBIT","FQ2 2024","FQ2 2024","Currency=USD","Period=FQ","BEST_FPERIOD_OVERRIDE=FQ","FILING_STATUS=MR","SCALING_FORMAT=MLN","FA_ADJUSTED=Adjusted","Sort=A","Dates=H","DateFormat=P","Fill=—","Direction=H","UseDPDF=Y")</f>
        <v>927.92399999999998</v>
      </c>
      <c r="W63" s="13" cm="1">
        <f t="array" ref="W63">_xll.BDH("PH US Equity","EBIT","FQ3 2024","FQ3 2024","Currency=USD","Period=FQ","BEST_FPERIOD_OVERRIDE=FQ","FILING_STATUS=MR","SCALING_FORMAT=MLN","FA_ADJUSTED=Adjusted","Sort=A","Dates=H","DateFormat=P","Fill=—","Direction=H","UseDPDF=Y")</f>
        <v>1003.14</v>
      </c>
      <c r="X63" s="13" cm="1">
        <f t="array" ref="X63">_xll.BDH("PH US Equity","EBIT","FQ4 2024","FQ4 2024","Currency=USD","Period=FQ","BEST_FPERIOD_OVERRIDE=FQ","FILING_STATUS=MR","SCALING_FORMAT=MLN","FA_ADJUSTED=Adjusted","Sort=A","Dates=H","DateFormat=P","Fill=—","Direction=H","UseDPDF=Y")</f>
        <v>1077.9749999999999</v>
      </c>
      <c r="Y63" s="13" cm="1">
        <f t="array" ref="Y63">_xll.BDH("PH US Equity","EBIT","FQ1 2025","FQ1 2025","Currency=USD","Period=FQ","BEST_FPERIOD_OVERRIDE=FQ","FILING_STATUS=MR","SCALING_FORMAT=MLN","FA_ADJUSTED=Adjusted","Sort=A","Dates=H","DateFormat=P","Fill=—","Direction=H","UseDPDF=Y")</f>
        <v>964.65800000000002</v>
      </c>
      <c r="Z63" s="13" cm="1">
        <f t="array" ref="Z63">_xll.BDH("PH US Equity","EBIT","FQ2 2025","FQ2 2025","Currency=USD","Period=FQ","BEST_FPERIOD_OVERRIDE=FQ","FILING_STATUS=MR","SCALING_FORMAT=MLN","FA_ADJUSTED=Adjusted","Sort=A","Dates=H","DateFormat=P","Fill=—","Direction=H","UseDPDF=Y")</f>
        <v>717.39</v>
      </c>
      <c r="AA63" s="13" cm="1">
        <f t="array" ref="AA63">_xll.BDH("PH US Equity","EBIT","FQ3 2025","FQ3 2025","Currency=USD","Period=FQ","BEST_FPERIOD_OVERRIDE=FQ","FILING_STATUS=MR","SCALING_FORMAT=MLN","FA_ADJUSTED=Adjusted","Sort=A","Dates=H","DateFormat=P","Fill=—","Direction=H","UseDPDF=Y")</f>
        <v>1068.038</v>
      </c>
      <c r="AB63" s="13" cm="1">
        <f t="array" ref="AB63">_xll.BDH("PH US Equity","EBIT","FQ4 2025","FQ4 2025","Currency=USD","Period=FQ","BEST_FPERIOD_OVERRIDE=FQ","FILING_STATUS=MR","SCALING_FORMAT=MLN","FA_ADJUSTED=Adjusted","Sort=A","Dates=H","DateFormat=P","Fill=—","Direction=H","UseDPDF=Y")</f>
        <v>1122</v>
      </c>
      <c r="AC63" s="13" cm="1">
        <f t="array" ref="AC63">_xll.BDH("PH US Equity","EBIT","FQ1 2026","FQ1 2026","Currency=USD","Period=FQ","BEST_FPERIOD_OVERRIDE=FQ","FILING_STATUS=MR","SCALING_FORMAT=MLN","FA_ADJUSTED=Adjusted","Sort=A","Dates=H","DateFormat=P","Fill=—","Direction=H","UseDPDF=Y")</f>
        <v>1056</v>
      </c>
      <c r="AD63" s="13" cm="1">
        <f t="array" ref="AD63">_xll.BDH("PH US Equity","EBIT","FQ2 2026","FQ2 2026","Currency=USD","Period=FQ","BEST_FPERIOD_OVERRIDE=FQ","FILING_STATUS=MR","SCALING_FORMAT=MLN","FA_ADJUSTED=Adjusted","Sort=A","Dates=H","DateFormat=P","Fill=—","Direction=H","UseDPDF=Y")</f>
        <v>1114</v>
      </c>
      <c r="AE63" s="13">
        <v>1357.9166666666699</v>
      </c>
      <c r="AF63" s="13">
        <v>1399.375</v>
      </c>
    </row>
    <row r="64" spans="1:32" x14ac:dyDescent="0.25">
      <c r="A64" s="10" t="s">
        <v>166</v>
      </c>
      <c r="B64" s="10" t="s">
        <v>167</v>
      </c>
      <c r="C64" s="14" cm="1">
        <f t="array" ref="C64">_xll.BDH("PH US Equity","GROSS_MARGIN","FQ3 2019","FQ3 2019","Currency=USD","Period=FQ","BEST_FPERIOD_OVERRIDE=FQ","FILING_STATUS=MR","FA_ADJUSTED=Adjusted","Sort=A","Dates=H","DateFormat=P","Fill=—","Direction=H","UseDPDF=Y")</f>
        <v>25.046099999999999</v>
      </c>
      <c r="D64" s="14" cm="1">
        <f t="array" ref="D64">_xll.BDH("PH US Equity","GROSS_MARGIN","FQ4 2019","FQ4 2019","Currency=USD","Period=FQ","BEST_FPERIOD_OVERRIDE=FQ","FILING_STATUS=MR","FA_ADJUSTED=Adjusted","Sort=A","Dates=H","DateFormat=P","Fill=—","Direction=H","UseDPDF=Y")</f>
        <v>26.152999999999999</v>
      </c>
      <c r="E64" s="14" cm="1">
        <f t="array" ref="E64">_xll.BDH("PH US Equity","GROSS_MARGIN","FQ1 2020","FQ1 2020","Currency=USD","Period=FQ","BEST_FPERIOD_OVERRIDE=FQ","FILING_STATUS=MR","FA_ADJUSTED=Adjusted","Sort=A","Dates=H","DateFormat=P","Fill=—","Direction=H","UseDPDF=Y")</f>
        <v>25.809899999999999</v>
      </c>
      <c r="F64" s="14" cm="1">
        <f t="array" ref="F64">_xll.BDH("PH US Equity","GROSS_MARGIN","FQ2 2020","FQ2 2020","Currency=USD","Period=FQ","BEST_FPERIOD_OVERRIDE=FQ","FILING_STATUS=MR","FA_ADJUSTED=Adjusted","Sort=A","Dates=H","DateFormat=P","Fill=—","Direction=H","UseDPDF=Y")</f>
        <v>24.940300000000001</v>
      </c>
      <c r="G64" s="14" cm="1">
        <f t="array" ref="G64">_xll.BDH("PH US Equity","GROSS_MARGIN","FQ3 2020","FQ3 2020","Currency=USD","Period=FQ","BEST_FPERIOD_OVERRIDE=FQ","FILING_STATUS=MR","FA_ADJUSTED=Adjusted","Sort=A","Dates=H","DateFormat=P","Fill=—","Direction=H","UseDPDF=Y")</f>
        <v>26.047699999999999</v>
      </c>
      <c r="H64" s="14" cm="1">
        <f t="array" ref="H64">_xll.BDH("PH US Equity","GROSS_MARGIN","FQ4 2020","FQ4 2020","Currency=USD","Period=FQ","BEST_FPERIOD_OVERRIDE=FQ","FILING_STATUS=MR","FA_ADJUSTED=Adjusted","Sort=A","Dates=H","DateFormat=P","Fill=—","Direction=H","UseDPDF=Y")</f>
        <v>26.354500000000002</v>
      </c>
      <c r="I64" s="14" cm="1">
        <f t="array" ref="I64">_xll.BDH("PH US Equity","GROSS_MARGIN","FQ1 2021","FQ1 2021","Currency=USD","Period=FQ","BEST_FPERIOD_OVERRIDE=FQ","FILING_STATUS=MR","FA_ADJUSTED=Adjusted","Sort=A","Dates=H","DateFormat=P","Fill=—","Direction=H","UseDPDF=Y")</f>
        <v>26.514800000000001</v>
      </c>
      <c r="J64" s="14" cm="1">
        <f t="array" ref="J64">_xll.BDH("PH US Equity","GROSS_MARGIN","FQ2 2021","FQ2 2021","Currency=USD","Period=FQ","BEST_FPERIOD_OVERRIDE=FQ","FILING_STATUS=MR","FA_ADJUSTED=Adjusted","Sort=A","Dates=H","DateFormat=P","Fill=—","Direction=H","UseDPDF=Y")</f>
        <v>26.610399999999998</v>
      </c>
      <c r="K64" s="14" cm="1">
        <f t="array" ref="K64">_xll.BDH("PH US Equity","GROSS_MARGIN","FQ3 2021","FQ3 2021","Currency=USD","Period=FQ","BEST_FPERIOD_OVERRIDE=FQ","FILING_STATUS=MR","FA_ADJUSTED=Adjusted","Sort=A","Dates=H","DateFormat=P","Fill=—","Direction=H","UseDPDF=Y")</f>
        <v>27.681000000000001</v>
      </c>
      <c r="L64" s="14" cm="1">
        <f t="array" ref="L64">_xll.BDH("PH US Equity","GROSS_MARGIN","FQ4 2021","FQ4 2021","Currency=USD","Period=FQ","BEST_FPERIOD_OVERRIDE=FQ","FILING_STATUS=MR","FA_ADJUSTED=Adjusted","Sort=A","Dates=H","DateFormat=P","Fill=—","Direction=H","UseDPDF=Y")</f>
        <v>28.578099999999999</v>
      </c>
      <c r="M64" s="14" cm="1">
        <f t="array" ref="M64">_xll.BDH("PH US Equity","GROSS_MARGIN","FQ1 2022","FQ1 2022","Currency=USD","Period=FQ","BEST_FPERIOD_OVERRIDE=FQ","FILING_STATUS=MR","FA_ADJUSTED=Adjusted","Sort=A","Dates=H","DateFormat=P","Fill=—","Direction=H","UseDPDF=Y")</f>
        <v>33.450499999999998</v>
      </c>
      <c r="N64" s="14" cm="1">
        <f t="array" ref="N64">_xll.BDH("PH US Equity","GROSS_MARGIN","FQ2 2022","FQ2 2022","Currency=USD","Period=FQ","BEST_FPERIOD_OVERRIDE=FQ","FILING_STATUS=MR","FA_ADJUSTED=Adjusted","Sort=A","Dates=H","DateFormat=P","Fill=—","Direction=H","UseDPDF=Y")</f>
        <v>32.910699999999999</v>
      </c>
      <c r="O64" s="14" cm="1">
        <f t="array" ref="O64">_xll.BDH("PH US Equity","GROSS_MARGIN","FQ3 2022","FQ3 2022","Currency=USD","Period=FQ","BEST_FPERIOD_OVERRIDE=FQ","FILING_STATUS=MR","FA_ADJUSTED=Adjusted","Sort=A","Dates=H","DateFormat=P","Fill=—","Direction=H","UseDPDF=Y")</f>
        <v>28.628499999999999</v>
      </c>
      <c r="P64" s="14" cm="1">
        <f t="array" ref="P64">_xll.BDH("PH US Equity","GROSS_MARGIN","FQ4 2022","FQ4 2022","Currency=USD","Period=FQ","BEST_FPERIOD_OVERRIDE=FQ","FILING_STATUS=MR","FA_ADJUSTED=Adjusted","Sort=A","Dates=H","DateFormat=P","Fill=—","Direction=H","UseDPDF=Y")</f>
        <v>34.255600000000001</v>
      </c>
      <c r="Q64" s="14" cm="1">
        <f t="array" ref="Q64">_xll.BDH("PH US Equity","GROSS_MARGIN","FQ1 2023","FQ1 2023","Currency=USD","Period=FQ","BEST_FPERIOD_OVERRIDE=FQ","FILING_STATUS=MR","FA_ADJUSTED=Adjusted","Sort=A","Dates=H","DateFormat=P","Fill=—","Direction=H","UseDPDF=Y")</f>
        <v>34.030700000000003</v>
      </c>
      <c r="R64" s="14" cm="1">
        <f t="array" ref="R64">_xll.BDH("PH US Equity","GROSS_MARGIN","FQ2 2023","FQ2 2023","Currency=USD","Period=FQ","BEST_FPERIOD_OVERRIDE=FQ","FILING_STATUS=MR","FA_ADJUSTED=Adjusted","Sort=A","Dates=H","DateFormat=P","Fill=—","Direction=H","UseDPDF=Y")</f>
        <v>30.8293</v>
      </c>
      <c r="S64" s="14" cm="1">
        <f t="array" ref="S64">_xll.BDH("PH US Equity","GROSS_MARGIN","FQ3 2023","FQ3 2023","Currency=USD","Period=FQ","BEST_FPERIOD_OVERRIDE=FQ","FILING_STATUS=MR","FA_ADJUSTED=Adjusted","Sort=A","Dates=H","DateFormat=P","Fill=—","Direction=H","UseDPDF=Y")</f>
        <v>34.098100000000002</v>
      </c>
      <c r="T64" s="14" cm="1">
        <f t="array" ref="T64">_xll.BDH("PH US Equity","GROSS_MARGIN","FQ4 2023","FQ4 2023","Currency=USD","Period=FQ","BEST_FPERIOD_OVERRIDE=FQ","FILING_STATUS=MR","FA_ADJUSTED=Adjusted","Sort=A","Dates=H","DateFormat=P","Fill=—","Direction=H","UseDPDF=Y")</f>
        <v>36.176400000000001</v>
      </c>
      <c r="U64" s="14" cm="1">
        <f t="array" ref="U64">_xll.BDH("PH US Equity","GROSS_MARGIN","FQ1 2024","FQ1 2024","Currency=USD","Period=FQ","BEST_FPERIOD_OVERRIDE=FQ","FILING_STATUS=MR","FA_ADJUSTED=Adjusted","Sort=A","Dates=H","DateFormat=P","Fill=—","Direction=H","UseDPDF=Y")</f>
        <v>36.103999999999999</v>
      </c>
      <c r="V64" s="14" cm="1">
        <f t="array" ref="V64">_xll.BDH("PH US Equity","GROSS_MARGIN","FQ2 2024","FQ2 2024","Currency=USD","Period=FQ","BEST_FPERIOD_OVERRIDE=FQ","FILING_STATUS=MR","FA_ADJUSTED=Adjusted","Sort=A","Dates=H","DateFormat=P","Fill=—","Direction=H","UseDPDF=Y")</f>
        <v>35.8322</v>
      </c>
      <c r="W64" s="14" cm="1">
        <f t="array" ref="W64">_xll.BDH("PH US Equity","GROSS_MARGIN","FQ3 2024","FQ3 2024","Currency=USD","Period=FQ","BEST_FPERIOD_OVERRIDE=FQ","FILING_STATUS=MR","FA_ADJUSTED=Adjusted","Sort=A","Dates=H","DateFormat=P","Fill=—","Direction=H","UseDPDF=Y")</f>
        <v>35.427500000000002</v>
      </c>
      <c r="X64" s="14" cm="1">
        <f t="array" ref="X64">_xll.BDH("PH US Equity","GROSS_MARGIN","FQ4 2024","FQ4 2024","Currency=USD","Period=FQ","BEST_FPERIOD_OVERRIDE=FQ","FILING_STATUS=MR","FA_ADJUSTED=Adjusted","Sort=A","Dates=H","DateFormat=P","Fill=—","Direction=H","UseDPDF=Y")</f>
        <v>36.177599999999998</v>
      </c>
      <c r="Y64" s="14" cm="1">
        <f t="array" ref="Y64">_xll.BDH("PH US Equity","GROSS_MARGIN","FQ1 2025","FQ1 2025","Currency=USD","Period=FQ","BEST_FPERIOD_OVERRIDE=FQ","FILING_STATUS=MR","FA_ADJUSTED=Adjusted","Sort=A","Dates=H","DateFormat=P","Fill=—","Direction=H","UseDPDF=Y")</f>
        <v>36.832599999999999</v>
      </c>
      <c r="Z64" s="14" cm="1">
        <f t="array" ref="Z64">_xll.BDH("PH US Equity","GROSS_MARGIN","FQ2 2025","FQ2 2025","Currency=USD","Period=FQ","BEST_FPERIOD_OVERRIDE=FQ","FILING_STATUS=MR","FA_ADJUSTED=Adjusted","Sort=A","Dates=H","DateFormat=P","Fill=—","Direction=H","UseDPDF=Y")</f>
        <v>36.501300000000001</v>
      </c>
      <c r="AA64" s="14" cm="1">
        <f t="array" ref="AA64">_xll.BDH("PH US Equity","GROSS_MARGIN","FQ3 2025","FQ3 2025","Currency=USD","Period=FQ","BEST_FPERIOD_OVERRIDE=FQ","FILING_STATUS=MR","FA_ADJUSTED=Adjusted","Sort=A","Dates=H","DateFormat=P","Fill=—","Direction=H","UseDPDF=Y")</f>
        <v>37.000399999999999</v>
      </c>
      <c r="AB64" s="14" cm="1">
        <f t="array" ref="AB64">_xll.BDH("PH US Equity","GROSS_MARGIN","FQ4 2025","FQ4 2025","Currency=USD","Period=FQ","BEST_FPERIOD_OVERRIDE=FQ","FILING_STATUS=MR","FA_ADJUSTED=Adjusted","Sort=A","Dates=H","DateFormat=P","Fill=—","Direction=H","UseDPDF=Y")</f>
        <v>37.535800000000002</v>
      </c>
      <c r="AC64" s="14" cm="1">
        <f t="array" ref="AC64">_xll.BDH("PH US Equity","GROSS_MARGIN","FQ1 2026","FQ1 2026","Currency=USD","Period=FQ","BEST_FPERIOD_OVERRIDE=FQ","FILING_STATUS=MR","FA_ADJUSTED=Adjusted","Sort=A","Dates=H","DateFormat=P","Fill=—","Direction=H","UseDPDF=Y")</f>
        <v>37.509799999999998</v>
      </c>
      <c r="AD64" s="14" cm="1">
        <f t="array" ref="AD64">_xll.BDH("PH US Equity","GROSS_MARGIN","FQ2 2026","FQ2 2026","Currency=USD","Period=FQ","BEST_FPERIOD_OVERRIDE=FQ","FILING_STATUS=MR","FA_ADJUSTED=Adjusted","Sort=A","Dates=H","DateFormat=P","Fill=—","Direction=H","UseDPDF=Y")</f>
        <v>37.6111</v>
      </c>
      <c r="AE64" s="14">
        <v>37.65</v>
      </c>
      <c r="AF64" s="14">
        <v>38.226999999999997</v>
      </c>
    </row>
    <row r="65" spans="1:32" x14ac:dyDescent="0.25">
      <c r="A65" s="10" t="s">
        <v>168</v>
      </c>
      <c r="B65" s="10" t="s">
        <v>169</v>
      </c>
      <c r="C65" s="14" cm="1">
        <f t="array" ref="C65">_xll.BDH("PH US Equity","OPER_MARGIN","FQ3 2019","FQ3 2019","Currency=USD","Period=FQ","BEST_FPERIOD_OVERRIDE=FQ","FILING_STATUS=MR","FA_ADJUSTED=Adjusted","Sort=A","Dates=H","DateFormat=P","Fill=—","Direction=H","UseDPDF=Y")</f>
        <v>15.3239</v>
      </c>
      <c r="D65" s="14" cm="1">
        <f t="array" ref="D65">_xll.BDH("PH US Equity","OPER_MARGIN","FQ4 2019","FQ4 2019","Currency=USD","Period=FQ","BEST_FPERIOD_OVERRIDE=FQ","FILING_STATUS=MR","FA_ADJUSTED=Adjusted","Sort=A","Dates=H","DateFormat=P","Fill=—","Direction=H","UseDPDF=Y")</f>
        <v>15.7622</v>
      </c>
      <c r="E65" s="14" cm="1">
        <f t="array" ref="E65">_xll.BDH("PH US Equity","OPER_MARGIN","FQ1 2020","FQ1 2020","Currency=USD","Period=FQ","BEST_FPERIOD_OVERRIDE=FQ","FILING_STATUS=MR","FA_ADJUSTED=Adjusted","Sort=A","Dates=H","DateFormat=P","Fill=—","Direction=H","UseDPDF=Y")</f>
        <v>14.139900000000001</v>
      </c>
      <c r="F65" s="14" cm="1">
        <f t="array" ref="F65">_xll.BDH("PH US Equity","OPER_MARGIN","FQ2 2020","FQ2 2020","Currency=USD","Period=FQ","BEST_FPERIOD_OVERRIDE=FQ","FILING_STATUS=MR","FA_ADJUSTED=Adjusted","Sort=A","Dates=H","DateFormat=P","Fill=—","Direction=H","UseDPDF=Y")</f>
        <v>14.1624</v>
      </c>
      <c r="G65" s="14" cm="1">
        <f t="array" ref="G65">_xll.BDH("PH US Equity","OPER_MARGIN","FQ3 2020","FQ3 2020","Currency=USD","Period=FQ","BEST_FPERIOD_OVERRIDE=FQ","FILING_STATUS=MR","FA_ADJUSTED=Adjusted","Sort=A","Dates=H","DateFormat=P","Fill=—","Direction=H","UseDPDF=Y")</f>
        <v>15.180099999999999</v>
      </c>
      <c r="H65" s="14" cm="1">
        <f t="array" ref="H65">_xll.BDH("PH US Equity","OPER_MARGIN","FQ4 2020","FQ4 2020","Currency=USD","Period=FQ","BEST_FPERIOD_OVERRIDE=FQ","FILING_STATUS=MR","FA_ADJUSTED=Adjusted","Sort=A","Dates=H","DateFormat=P","Fill=—","Direction=H","UseDPDF=Y")</f>
        <v>15.824999999999999</v>
      </c>
      <c r="I65" s="14" cm="1">
        <f t="array" ref="I65">_xll.BDH("PH US Equity","OPER_MARGIN","FQ1 2021","FQ1 2021","Currency=USD","Period=FQ","BEST_FPERIOD_OVERRIDE=FQ","FILING_STATUS=MR","FA_ADJUSTED=Adjusted","Sort=A","Dates=H","DateFormat=P","Fill=—","Direction=H","UseDPDF=Y")</f>
        <v>15.2552</v>
      </c>
      <c r="J65" s="14" cm="1">
        <f t="array" ref="J65">_xll.BDH("PH US Equity","OPER_MARGIN","FQ2 2021","FQ2 2021","Currency=USD","Period=FQ","BEST_FPERIOD_OVERRIDE=FQ","FILING_STATUS=MR","FA_ADJUSTED=Adjusted","Sort=A","Dates=H","DateFormat=P","Fill=—","Direction=H","UseDPDF=Y")</f>
        <v>10.450699999999999</v>
      </c>
      <c r="K65" s="14" cm="1">
        <f t="array" ref="K65">_xll.BDH("PH US Equity","OPER_MARGIN","FQ3 2021","FQ3 2021","Currency=USD","Period=FQ","BEST_FPERIOD_OVERRIDE=FQ","FILING_STATUS=MR","FA_ADJUSTED=Adjusted","Sort=A","Dates=H","DateFormat=P","Fill=—","Direction=H","UseDPDF=Y")</f>
        <v>17.482900000000001</v>
      </c>
      <c r="L65" s="14" cm="1">
        <f t="array" ref="L65">_xll.BDH("PH US Equity","OPER_MARGIN","FQ4 2021","FQ4 2021","Currency=USD","Period=FQ","BEST_FPERIOD_OVERRIDE=FQ","FILING_STATUS=MR","FA_ADJUSTED=Adjusted","Sort=A","Dates=H","DateFormat=P","Fill=—","Direction=H","UseDPDF=Y")</f>
        <v>18.306899999999999</v>
      </c>
      <c r="M65" s="14" cm="1">
        <f t="array" ref="M65">_xll.BDH("PH US Equity","OPER_MARGIN","FQ1 2022","FQ1 2022","Currency=USD","Period=FQ","BEST_FPERIOD_OVERRIDE=FQ","FILING_STATUS=MR","FA_ADJUSTED=Adjusted","Sort=A","Dates=H","DateFormat=P","Fill=—","Direction=H","UseDPDF=Y")</f>
        <v>17.2121</v>
      </c>
      <c r="N65" s="14" cm="1">
        <f t="array" ref="N65">_xll.BDH("PH US Equity","OPER_MARGIN","FQ2 2022","FQ2 2022","Currency=USD","Period=FQ","BEST_FPERIOD_OVERRIDE=FQ","FILING_STATUS=MR","FA_ADJUSTED=Adjusted","Sort=A","Dates=H","DateFormat=P","Fill=—","Direction=H","UseDPDF=Y")</f>
        <v>21.536100000000001</v>
      </c>
      <c r="O65" s="14" cm="1">
        <f t="array" ref="O65">_xll.BDH("PH US Equity","OPER_MARGIN","FQ3 2022","FQ3 2022","Currency=USD","Period=FQ","BEST_FPERIOD_OVERRIDE=FQ","FILING_STATUS=MR","FA_ADJUSTED=Adjusted","Sort=A","Dates=H","DateFormat=P","Fill=—","Direction=H","UseDPDF=Y")</f>
        <v>18.947299999999998</v>
      </c>
      <c r="P65" s="14" cm="1">
        <f t="array" ref="P65">_xll.BDH("PH US Equity","OPER_MARGIN","FQ4 2022","FQ4 2022","Currency=USD","Period=FQ","BEST_FPERIOD_OVERRIDE=FQ","FILING_STATUS=MR","FA_ADJUSTED=Adjusted","Sort=A","Dates=H","DateFormat=P","Fill=—","Direction=H","UseDPDF=Y")</f>
        <v>33.492600000000003</v>
      </c>
      <c r="Q65" s="14" cm="1">
        <f t="array" ref="Q65">_xll.BDH("PH US Equity","OPER_MARGIN","FQ1 2023","FQ1 2023","Currency=USD","Period=FQ","BEST_FPERIOD_OVERRIDE=FQ","FILING_STATUS=MR","FA_ADJUSTED=Adjusted","Sort=A","Dates=H","DateFormat=P","Fill=—","Direction=H","UseDPDF=Y")</f>
        <v>17.049099999999999</v>
      </c>
      <c r="R65" s="14" cm="1">
        <f t="array" ref="R65">_xll.BDH("PH US Equity","OPER_MARGIN","FQ2 2023","FQ2 2023","Currency=USD","Period=FQ","BEST_FPERIOD_OVERRIDE=FQ","FILING_STATUS=MR","FA_ADJUSTED=Adjusted","Sort=A","Dates=H","DateFormat=P","Fill=—","Direction=H","UseDPDF=Y")</f>
        <v>13.409599999999999</v>
      </c>
      <c r="S65" s="14" cm="1">
        <f t="array" ref="S65">_xll.BDH("PH US Equity","OPER_MARGIN","FQ3 2023","FQ3 2023","Currency=USD","Period=FQ","BEST_FPERIOD_OVERRIDE=FQ","FILING_STATUS=MR","FA_ADJUSTED=Adjusted","Sort=A","Dates=H","DateFormat=P","Fill=—","Direction=H","UseDPDF=Y")</f>
        <v>18.104800000000001</v>
      </c>
      <c r="T65" s="14" cm="1">
        <f t="array" ref="T65">_xll.BDH("PH US Equity","OPER_MARGIN","FQ4 2023","FQ4 2023","Currency=USD","Period=FQ","BEST_FPERIOD_OVERRIDE=FQ","FILING_STATUS=MR","FA_ADJUSTED=Adjusted","Sort=A","Dates=H","DateFormat=P","Fill=—","Direction=H","UseDPDF=Y")</f>
        <v>20.332899999999999</v>
      </c>
      <c r="U65" s="14" cm="1">
        <f t="array" ref="U65">_xll.BDH("PH US Equity","OPER_MARGIN","FQ1 2024","FQ1 2024","Currency=USD","Period=FQ","BEST_FPERIOD_OVERRIDE=FQ","FILING_STATUS=MR","FA_ADJUSTED=Adjusted","Sort=A","Dates=H","DateFormat=P","Fill=—","Direction=H","UseDPDF=Y")</f>
        <v>18.236599999999999</v>
      </c>
      <c r="V65" s="14" cm="1">
        <f t="array" ref="V65">_xll.BDH("PH US Equity","OPER_MARGIN","FQ2 2024","FQ2 2024","Currency=USD","Period=FQ","BEST_FPERIOD_OVERRIDE=FQ","FILING_STATUS=MR","FA_ADJUSTED=Adjusted","Sort=A","Dates=H","DateFormat=P","Fill=—","Direction=H","UseDPDF=Y")</f>
        <v>19.247800000000002</v>
      </c>
      <c r="W65" s="14" cm="1">
        <f t="array" ref="W65">_xll.BDH("PH US Equity","OPER_MARGIN","FQ3 2024","FQ3 2024","Currency=USD","Period=FQ","BEST_FPERIOD_OVERRIDE=FQ","FILING_STATUS=MR","FA_ADJUSTED=Adjusted","Sort=A","Dates=H","DateFormat=P","Fill=—","Direction=H","UseDPDF=Y")</f>
        <v>19.768799999999999</v>
      </c>
      <c r="X65" s="14" cm="1">
        <f t="array" ref="X65">_xll.BDH("PH US Equity","OPER_MARGIN","FQ4 2024","FQ4 2024","Currency=USD","Period=FQ","BEST_FPERIOD_OVERRIDE=FQ","FILING_STATUS=MR","FA_ADJUSTED=Adjusted","Sort=A","Dates=H","DateFormat=P","Fill=—","Direction=H","UseDPDF=Y")</f>
        <v>20.783000000000001</v>
      </c>
      <c r="Y65" s="14" cm="1">
        <f t="array" ref="Y65">_xll.BDH("PH US Equity","OPER_MARGIN","FQ1 2025","FQ1 2025","Currency=USD","Period=FQ","BEST_FPERIOD_OVERRIDE=FQ","FILING_STATUS=MR","FA_ADJUSTED=Adjusted","Sort=A","Dates=H","DateFormat=P","Fill=—","Direction=H","UseDPDF=Y")</f>
        <v>19.6709</v>
      </c>
      <c r="Z65" s="14" cm="1">
        <f t="array" ref="Z65">_xll.BDH("PH US Equity","OPER_MARGIN","FQ2 2025","FQ2 2025","Currency=USD","Period=FQ","BEST_FPERIOD_OVERRIDE=FQ","FILING_STATUS=MR","FA_ADJUSTED=Adjusted","Sort=A","Dates=H","DateFormat=P","Fill=—","Direction=H","UseDPDF=Y")</f>
        <v>15.1265</v>
      </c>
      <c r="AA65" s="14" cm="1">
        <f t="array" ref="AA65">_xll.BDH("PH US Equity","OPER_MARGIN","FQ3 2025","FQ3 2025","Currency=USD","Period=FQ","BEST_FPERIOD_OVERRIDE=FQ","FILING_STATUS=MR","FA_ADJUSTED=Adjusted","Sort=A","Dates=H","DateFormat=P","Fill=—","Direction=H","UseDPDF=Y")</f>
        <v>21.531500000000001</v>
      </c>
      <c r="AB65" s="14" cm="1">
        <f t="array" ref="AB65">_xll.BDH("PH US Equity","OPER_MARGIN","FQ4 2025","FQ4 2025","Currency=USD","Period=FQ","BEST_FPERIOD_OVERRIDE=FQ","FILING_STATUS=MR","FA_ADJUSTED=Adjusted","Sort=A","Dates=H","DateFormat=P","Fill=—","Direction=H","UseDPDF=Y")</f>
        <v>21.4</v>
      </c>
      <c r="AC65" s="14" cm="1">
        <f t="array" ref="AC65">_xll.BDH("PH US Equity","OPER_MARGIN","FQ1 2026","FQ1 2026","Currency=USD","Period=FQ","BEST_FPERIOD_OVERRIDE=FQ","FILING_STATUS=MR","FA_ADJUSTED=Adjusted","Sort=A","Dates=H","DateFormat=P","Fill=—","Direction=H","UseDPDF=Y")</f>
        <v>20.771000000000001</v>
      </c>
      <c r="AD65" s="14" cm="1">
        <f t="array" ref="AD65">_xll.BDH("PH US Equity","OPER_MARGIN","FQ2 2026","FQ2 2026","Currency=USD","Period=FQ","BEST_FPERIOD_OVERRIDE=FQ","FILING_STATUS=MR","FA_ADJUSTED=Adjusted","Sort=A","Dates=H","DateFormat=P","Fill=—","Direction=H","UseDPDF=Y")</f>
        <v>21.5307</v>
      </c>
      <c r="AE65" s="14">
        <v>25.140326029603699</v>
      </c>
      <c r="AF65" s="14">
        <v>24.851711094141301</v>
      </c>
    </row>
    <row r="66" spans="1:32" x14ac:dyDescent="0.25">
      <c r="A66" s="10" t="s">
        <v>170</v>
      </c>
      <c r="B66" s="10" t="s">
        <v>171</v>
      </c>
      <c r="C66" s="14" cm="1">
        <f t="array" ref="C66">_xll.BDH("PH US Equity","PROF_MARGIN","FQ3 2019","FQ3 2019","Currency=USD","Period=FQ","BEST_FPERIOD_OVERRIDE=FQ","FILING_STATUS=MR","FA_ADJUSTED=Adjusted","Sort=A","Dates=H","DateFormat=P","Fill=—","Direction=H","UseDPDF=Y")</f>
        <v>11.2133</v>
      </c>
      <c r="D66" s="14" cm="1">
        <f t="array" ref="D66">_xll.BDH("PH US Equity","PROF_MARGIN","FQ4 2019","FQ4 2019","Currency=USD","Period=FQ","BEST_FPERIOD_OVERRIDE=FQ","FILING_STATUS=MR","FA_ADJUSTED=Adjusted","Sort=A","Dates=H","DateFormat=P","Fill=—","Direction=H","UseDPDF=Y")</f>
        <v>11.679600000000001</v>
      </c>
      <c r="E66" s="14" cm="1">
        <f t="array" ref="E66">_xll.BDH("PH US Equity","PROF_MARGIN","FQ1 2020","FQ1 2020","Currency=USD","Period=FQ","BEST_FPERIOD_OVERRIDE=FQ","FILING_STATUS=MR","FA_ADJUSTED=Adjusted","Sort=A","Dates=H","DateFormat=P","Fill=—","Direction=H","UseDPDF=Y")</f>
        <v>10.5152</v>
      </c>
      <c r="F66" s="14" cm="1">
        <f t="array" ref="F66">_xll.BDH("PH US Equity","PROF_MARGIN","FQ2 2020","FQ2 2020","Currency=USD","Period=FQ","BEST_FPERIOD_OVERRIDE=FQ","FILING_STATUS=MR","FA_ADJUSTED=Adjusted","Sort=A","Dates=H","DateFormat=P","Fill=—","Direction=H","UseDPDF=Y")</f>
        <v>9.5307999999999993</v>
      </c>
      <c r="G66" s="14" cm="1">
        <f t="array" ref="G66">_xll.BDH("PH US Equity","PROF_MARGIN","FQ3 2020","FQ3 2020","Currency=USD","Period=FQ","BEST_FPERIOD_OVERRIDE=FQ","FILING_STATUS=MR","FA_ADJUSTED=Adjusted","Sort=A","Dates=H","DateFormat=P","Fill=—","Direction=H","UseDPDF=Y")</f>
        <v>10.279299999999999</v>
      </c>
      <c r="H66" s="14" cm="1">
        <f t="array" ref="H66">_xll.BDH("PH US Equity","PROF_MARGIN","FQ4 2020","FQ4 2020","Currency=USD","Period=FQ","BEST_FPERIOD_OVERRIDE=FQ","FILING_STATUS=MR","FA_ADJUSTED=Adjusted","Sort=A","Dates=H","DateFormat=P","Fill=—","Direction=H","UseDPDF=Y")</f>
        <v>10.3443</v>
      </c>
      <c r="I66" s="14" cm="1">
        <f t="array" ref="I66">_xll.BDH("PH US Equity","PROF_MARGIN","FQ1 2021","FQ1 2021","Currency=USD","Period=FQ","BEST_FPERIOD_OVERRIDE=FQ","FILING_STATUS=MR","FA_ADJUSTED=Adjusted","Sort=A","Dates=H","DateFormat=P","Fill=—","Direction=H","UseDPDF=Y")</f>
        <v>10.323499999999999</v>
      </c>
      <c r="J66" s="14" cm="1">
        <f t="array" ref="J66">_xll.BDH("PH US Equity","PROF_MARGIN","FQ2 2021","FQ2 2021","Currency=USD","Period=FQ","BEST_FPERIOD_OVERRIDE=FQ","FILING_STATUS=MR","FA_ADJUSTED=Adjusted","Sort=A","Dates=H","DateFormat=P","Fill=—","Direction=H","UseDPDF=Y")</f>
        <v>11.164300000000001</v>
      </c>
      <c r="K66" s="14" cm="1">
        <f t="array" ref="K66">_xll.BDH("PH US Equity","PROF_MARGIN","FQ3 2021","FQ3 2021","Currency=USD","Period=FQ","BEST_FPERIOD_OVERRIDE=FQ","FILING_STATUS=MR","FA_ADJUSTED=Adjusted","Sort=A","Dates=H","DateFormat=P","Fill=—","Direction=H","UseDPDF=Y")</f>
        <v>12.799099999999999</v>
      </c>
      <c r="L66" s="14" cm="1">
        <f t="array" ref="L66">_xll.BDH("PH US Equity","PROF_MARGIN","FQ4 2021","FQ4 2021","Currency=USD","Period=FQ","BEST_FPERIOD_OVERRIDE=FQ","FILING_STATUS=MR","FA_ADJUSTED=Adjusted","Sort=A","Dates=H","DateFormat=P","Fill=—","Direction=H","UseDPDF=Y")</f>
        <v>12.7919</v>
      </c>
      <c r="M66" s="14" cm="1">
        <f t="array" ref="M66">_xll.BDH("PH US Equity","PROF_MARGIN","FQ1 2022","FQ1 2022","Currency=USD","Period=FQ","BEST_FPERIOD_OVERRIDE=FQ","FILING_STATUS=MR","FA_ADJUSTED=Adjusted","Sort=A","Dates=H","DateFormat=P","Fill=—","Direction=H","UseDPDF=Y")</f>
        <v>13.132</v>
      </c>
      <c r="N66" s="14" cm="1">
        <f t="array" ref="N66">_xll.BDH("PH US Equity","PROF_MARGIN","FQ2 2022","FQ2 2022","Currency=USD","Period=FQ","BEST_FPERIOD_OVERRIDE=FQ","FILING_STATUS=MR","FA_ADJUSTED=Adjusted","Sort=A","Dates=H","DateFormat=P","Fill=—","Direction=H","UseDPDF=Y")</f>
        <v>13.291600000000001</v>
      </c>
      <c r="O66" s="14" cm="1">
        <f t="array" ref="O66">_xll.BDH("PH US Equity","PROF_MARGIN","FQ3 2022","FQ3 2022","Currency=USD","Period=FQ","BEST_FPERIOD_OVERRIDE=FQ","FILING_STATUS=MR","FA_ADJUSTED=Adjusted","Sort=A","Dates=H","DateFormat=P","Fill=—","Direction=H","UseDPDF=Y")</f>
        <v>13.955500000000001</v>
      </c>
      <c r="P66" s="14" cm="1">
        <f t="array" ref="P66">_xll.BDH("PH US Equity","PROF_MARGIN","FQ4 2022","FQ4 2022","Currency=USD","Period=FQ","BEST_FPERIOD_OVERRIDE=FQ","FILING_STATUS=MR","FA_ADJUSTED=Adjusted","Sort=A","Dates=H","DateFormat=P","Fill=—","Direction=H","UseDPDF=Y")</f>
        <v>14.643700000000001</v>
      </c>
      <c r="Q66" s="14" cm="1">
        <f t="array" ref="Q66">_xll.BDH("PH US Equity","PROF_MARGIN","FQ1 2023","FQ1 2023","Currency=USD","Period=FQ","BEST_FPERIOD_OVERRIDE=FQ","FILING_STATUS=MR","FA_ADJUSTED=Adjusted","Sort=A","Dates=H","DateFormat=P","Fill=—","Direction=H","UseDPDF=Y")</f>
        <v>12.5009</v>
      </c>
      <c r="R66" s="14" cm="1">
        <f t="array" ref="R66">_xll.BDH("PH US Equity","PROF_MARGIN","FQ2 2023","FQ2 2023","Currency=USD","Period=FQ","BEST_FPERIOD_OVERRIDE=FQ","FILING_STATUS=MR","FA_ADJUSTED=Adjusted","Sort=A","Dates=H","DateFormat=P","Fill=—","Direction=H","UseDPDF=Y")</f>
        <v>9.0475999999999992</v>
      </c>
      <c r="S66" s="14" cm="1">
        <f t="array" ref="S66">_xll.BDH("PH US Equity","PROF_MARGIN","FQ3 2023","FQ3 2023","Currency=USD","Period=FQ","BEST_FPERIOD_OVERRIDE=FQ","FILING_STATUS=MR","FA_ADJUSTED=Adjusted","Sort=A","Dates=H","DateFormat=P","Fill=—","Direction=H","UseDPDF=Y")</f>
        <v>12.6751</v>
      </c>
      <c r="T66" s="14" cm="1">
        <f t="array" ref="T66">_xll.BDH("PH US Equity","PROF_MARGIN","FQ4 2023","FQ4 2023","Currency=USD","Period=FQ","BEST_FPERIOD_OVERRIDE=FQ","FILING_STATUS=MR","FA_ADJUSTED=Adjusted","Sort=A","Dates=H","DateFormat=P","Fill=—","Direction=H","UseDPDF=Y")</f>
        <v>14.51</v>
      </c>
      <c r="U66" s="14" cm="1">
        <f t="array" ref="U66">_xll.BDH("PH US Equity","PROF_MARGIN","FQ1 2024","FQ1 2024","Currency=USD","Period=FQ","BEST_FPERIOD_OVERRIDE=FQ","FILING_STATUS=MR","FA_ADJUSTED=Adjusted","Sort=A","Dates=H","DateFormat=P","Fill=—","Direction=H","UseDPDF=Y")</f>
        <v>13.599600000000001</v>
      </c>
      <c r="V66" s="14" cm="1">
        <f t="array" ref="V66">_xll.BDH("PH US Equity","PROF_MARGIN","FQ2 2024","FQ2 2024","Currency=USD","Period=FQ","BEST_FPERIOD_OVERRIDE=FQ","FILING_STATUS=MR","FA_ADJUSTED=Adjusted","Sort=A","Dates=H","DateFormat=P","Fill=—","Direction=H","UseDPDF=Y")</f>
        <v>14.4602</v>
      </c>
      <c r="W66" s="14" cm="1">
        <f t="array" ref="W66">_xll.BDH("PH US Equity","PROF_MARGIN","FQ3 2024","FQ3 2024","Currency=USD","Period=FQ","BEST_FPERIOD_OVERRIDE=FQ","FILING_STATUS=MR","FA_ADJUSTED=Adjusted","Sort=A","Dates=H","DateFormat=P","Fill=—","Direction=H","UseDPDF=Y")</f>
        <v>14.6746</v>
      </c>
      <c r="X66" s="14" cm="1">
        <f t="array" ref="X66">_xll.BDH("PH US Equity","PROF_MARGIN","FQ4 2024","FQ4 2024","Currency=USD","Period=FQ","BEST_FPERIOD_OVERRIDE=FQ","FILING_STATUS=MR","FA_ADJUSTED=Adjusted","Sort=A","Dates=H","DateFormat=P","Fill=—","Direction=H","UseDPDF=Y")</f>
        <v>15.0427</v>
      </c>
      <c r="Y66" s="14" cm="1">
        <f t="array" ref="Y66">_xll.BDH("PH US Equity","PROF_MARGIN","FQ1 2025","FQ1 2025","Currency=USD","Period=FQ","BEST_FPERIOD_OVERRIDE=FQ","FILING_STATUS=MR","FA_ADJUSTED=Adjusted","Sort=A","Dates=H","DateFormat=P","Fill=—","Direction=H","UseDPDF=Y")</f>
        <v>14.205399999999999</v>
      </c>
      <c r="Z66" s="14" cm="1">
        <f t="array" ref="Z66">_xll.BDH("PH US Equity","PROF_MARGIN","FQ2 2025","FQ2 2025","Currency=USD","Period=FQ","BEST_FPERIOD_OVERRIDE=FQ","FILING_STATUS=MR","FA_ADJUSTED=Adjusted","Sort=A","Dates=H","DateFormat=P","Fill=—","Direction=H","UseDPDF=Y")</f>
        <v>15.7723</v>
      </c>
      <c r="AA66" s="14" cm="1">
        <f t="array" ref="AA66">_xll.BDH("PH US Equity","PROF_MARGIN","FQ3 2025","FQ3 2025","Currency=USD","Period=FQ","BEST_FPERIOD_OVERRIDE=FQ","FILING_STATUS=MR","FA_ADJUSTED=Adjusted","Sort=A","Dates=H","DateFormat=P","Fill=—","Direction=H","UseDPDF=Y")</f>
        <v>16.085999999999999</v>
      </c>
      <c r="AB66" s="14" cm="1">
        <f t="array" ref="AB66">_xll.BDH("PH US Equity","PROF_MARGIN","FQ4 2025","FQ4 2025","Currency=USD","Period=FQ","BEST_FPERIOD_OVERRIDE=FQ","FILING_STATUS=MR","FA_ADJUSTED=Adjusted","Sort=A","Dates=H","DateFormat=P","Fill=—","Direction=H","UseDPDF=Y")</f>
        <v>17.6387</v>
      </c>
      <c r="AC66" s="14" cm="1">
        <f t="array" ref="AC66">_xll.BDH("PH US Equity","PROF_MARGIN","FQ1 2026","FQ1 2026","Currency=USD","Period=FQ","BEST_FPERIOD_OVERRIDE=FQ","FILING_STATUS=MR","FA_ADJUSTED=Adjusted","Sort=A","Dates=H","DateFormat=P","Fill=—","Direction=H","UseDPDF=Y")</f>
        <v>16.2531</v>
      </c>
      <c r="AD66" s="14" cm="1">
        <f t="array" ref="AD66">_xll.BDH("PH US Equity","PROF_MARGIN","FQ2 2026","FQ2 2026","Currency=USD","Period=FQ","BEST_FPERIOD_OVERRIDE=FQ","FILING_STATUS=MR","FA_ADJUSTED=Adjusted","Sort=A","Dates=H","DateFormat=P","Fill=—","Direction=H","UseDPDF=Y")</f>
        <v>16.624600000000001</v>
      </c>
      <c r="AE66" s="14">
        <v>18.2761346700362</v>
      </c>
      <c r="AF66" s="14">
        <v>18.586353868830901</v>
      </c>
    </row>
    <row r="67" spans="1:32" x14ac:dyDescent="0.25">
      <c r="A67" s="10" t="s">
        <v>172</v>
      </c>
      <c r="B67" s="10" t="s">
        <v>173</v>
      </c>
      <c r="C67" s="14" t="str" cm="1">
        <f t="array" ref="C67">_xll.BDH("PH US Equity","ACTUAL_SALES_PER_EMPL","FQ3 2019","FQ3 2019","Currency=USD","Period=FQ","BEST_FPERIOD_OVERRIDE=FQ","FILING_STATUS=MR","FA_ADJUSTED=Adjusted","Sort=A","Dates=H","DateFormat=P","Fill=—","Direction=H","UseDPDF=Y")</f>
        <v>—</v>
      </c>
      <c r="D67" s="14" cm="1">
        <f t="array" ref="D67">_xll.BDH("PH US Equity","ACTUAL_SALES_PER_EMPL","FQ4 2019","FQ4 2019","Currency=USD","Period=FQ","BEST_FPERIOD_OVERRIDE=FQ","FILING_STATUS=MR","FA_ADJUSTED=Adjusted","Sort=A","Dates=H","DateFormat=P","Fill=—","Direction=H","UseDPDF=Y")</f>
        <v>66201.5285</v>
      </c>
      <c r="E67" s="14" t="str" cm="1">
        <f t="array" ref="E67">_xll.BDH("PH US Equity","ACTUAL_SALES_PER_EMPL","FQ1 2020","FQ1 2020","Currency=USD","Period=FQ","BEST_FPERIOD_OVERRIDE=FQ","FILING_STATUS=MR","FA_ADJUSTED=Adjusted","Sort=A","Dates=H","DateFormat=P","Fill=—","Direction=H","UseDPDF=Y")</f>
        <v>—</v>
      </c>
      <c r="F67" s="14" t="str" cm="1">
        <f t="array" ref="F67">_xll.BDH("PH US Equity","ACTUAL_SALES_PER_EMPL","FQ2 2020","FQ2 2020","Currency=USD","Period=FQ","BEST_FPERIOD_OVERRIDE=FQ","FILING_STATUS=MR","FA_ADJUSTED=Adjusted","Sort=A","Dates=H","DateFormat=P","Fill=—","Direction=H","UseDPDF=Y")</f>
        <v>—</v>
      </c>
      <c r="G67" s="14" t="str" cm="1">
        <f t="array" ref="G67">_xll.BDH("PH US Equity","ACTUAL_SALES_PER_EMPL","FQ3 2020","FQ3 2020","Currency=USD","Period=FQ","BEST_FPERIOD_OVERRIDE=FQ","FILING_STATUS=MR","FA_ADJUSTED=Adjusted","Sort=A","Dates=H","DateFormat=P","Fill=—","Direction=H","UseDPDF=Y")</f>
        <v>—</v>
      </c>
      <c r="H67" s="14" cm="1">
        <f t="array" ref="H67">_xll.BDH("PH US Equity","ACTUAL_SALES_PER_EMPL","FQ4 2020","FQ4 2020","Currency=USD","Period=FQ","BEST_FPERIOD_OVERRIDE=FQ","FILING_STATUS=MR","FA_ADJUSTED=Adjusted","Sort=A","Dates=H","DateFormat=P","Fill=—","Direction=H","UseDPDF=Y")</f>
        <v>62561.421199999997</v>
      </c>
      <c r="I67" s="14" t="str" cm="1">
        <f t="array" ref="I67">_xll.BDH("PH US Equity","ACTUAL_SALES_PER_EMPL","FQ1 2021","FQ1 2021","Currency=USD","Period=FQ","BEST_FPERIOD_OVERRIDE=FQ","FILING_STATUS=MR","FA_ADJUSTED=Adjusted","Sort=A","Dates=H","DateFormat=P","Fill=—","Direction=H","UseDPDF=Y")</f>
        <v>—</v>
      </c>
      <c r="J67" s="14" t="str" cm="1">
        <f t="array" ref="J67">_xll.BDH("PH US Equity","ACTUAL_SALES_PER_EMPL","FQ2 2021","FQ2 2021","Currency=USD","Period=FQ","BEST_FPERIOD_OVERRIDE=FQ","FILING_STATUS=MR","FA_ADJUSTED=Adjusted","Sort=A","Dates=H","DateFormat=P","Fill=—","Direction=H","UseDPDF=Y")</f>
        <v>—</v>
      </c>
      <c r="K67" s="14" t="str" cm="1">
        <f t="array" ref="K67">_xll.BDH("PH US Equity","ACTUAL_SALES_PER_EMPL","FQ3 2021","FQ3 2021","Currency=USD","Period=FQ","BEST_FPERIOD_OVERRIDE=FQ","FILING_STATUS=MR","FA_ADJUSTED=Adjusted","Sort=A","Dates=H","DateFormat=P","Fill=—","Direction=H","UseDPDF=Y")</f>
        <v>—</v>
      </c>
      <c r="L67" s="14" cm="1">
        <f t="array" ref="L67">_xll.BDH("PH US Equity","ACTUAL_SALES_PER_EMPL","FQ4 2021","FQ4 2021","Currency=USD","Period=FQ","BEST_FPERIOD_OVERRIDE=FQ","FILING_STATUS=MR","FA_ADJUSTED=Adjusted","Sort=A","Dates=H","DateFormat=P","Fill=—","Direction=H","UseDPDF=Y")</f>
        <v>72453.678599999999</v>
      </c>
      <c r="M67" s="14" t="str" cm="1">
        <f t="array" ref="M67">_xll.BDH("PH US Equity","ACTUAL_SALES_PER_EMPL","FQ1 2022","FQ1 2022","Currency=USD","Period=FQ","BEST_FPERIOD_OVERRIDE=FQ","FILING_STATUS=MR","FA_ADJUSTED=Adjusted","Sort=A","Dates=H","DateFormat=P","Fill=—","Direction=H","UseDPDF=Y")</f>
        <v>—</v>
      </c>
      <c r="N67" s="14" t="str" cm="1">
        <f t="array" ref="N67">_xll.BDH("PH US Equity","ACTUAL_SALES_PER_EMPL","FQ2 2022","FQ2 2022","Currency=USD","Period=FQ","BEST_FPERIOD_OVERRIDE=FQ","FILING_STATUS=MR","FA_ADJUSTED=Adjusted","Sort=A","Dates=H","DateFormat=P","Fill=—","Direction=H","UseDPDF=Y")</f>
        <v>—</v>
      </c>
      <c r="O67" s="14" t="str" cm="1">
        <f t="array" ref="O67">_xll.BDH("PH US Equity","ACTUAL_SALES_PER_EMPL","FQ3 2022","FQ3 2022","Currency=USD","Period=FQ","BEST_FPERIOD_OVERRIDE=FQ","FILING_STATUS=MR","FA_ADJUSTED=Adjusted","Sort=A","Dates=H","DateFormat=P","Fill=—","Direction=H","UseDPDF=Y")</f>
        <v>—</v>
      </c>
      <c r="P67" s="14" cm="1">
        <f t="array" ref="P67">_xll.BDH("PH US Equity","ACTUAL_SALES_PER_EMPL","FQ4 2022","FQ4 2022","Currency=USD","Period=FQ","BEST_FPERIOD_OVERRIDE=FQ","FILING_STATUS=MR","FA_ADJUSTED=Adjusted","Sort=A","Dates=H","DateFormat=P","Fill=—","Direction=H","UseDPDF=Y")</f>
        <v>76018.006899999993</v>
      </c>
      <c r="Q67" s="14" t="str" cm="1">
        <f t="array" ref="Q67">_xll.BDH("PH US Equity","ACTUAL_SALES_PER_EMPL","FQ1 2023","FQ1 2023","Currency=USD","Period=FQ","BEST_FPERIOD_OVERRIDE=FQ","FILING_STATUS=MR","FA_ADJUSTED=Adjusted","Sort=A","Dates=H","DateFormat=P","Fill=—","Direction=H","UseDPDF=Y")</f>
        <v>—</v>
      </c>
      <c r="R67" s="14" t="str" cm="1">
        <f t="array" ref="R67">_xll.BDH("PH US Equity","ACTUAL_SALES_PER_EMPL","FQ2 2023","FQ2 2023","Currency=USD","Period=FQ","BEST_FPERIOD_OVERRIDE=FQ","FILING_STATUS=MR","FA_ADJUSTED=Adjusted","Sort=A","Dates=H","DateFormat=P","Fill=—","Direction=H","UseDPDF=Y")</f>
        <v>—</v>
      </c>
      <c r="S67" s="14" t="str" cm="1">
        <f t="array" ref="S67">_xll.BDH("PH US Equity","ACTUAL_SALES_PER_EMPL","FQ3 2023","FQ3 2023","Currency=USD","Period=FQ","BEST_FPERIOD_OVERRIDE=FQ","FILING_STATUS=MR","FA_ADJUSTED=Adjusted","Sort=A","Dates=H","DateFormat=P","Fill=—","Direction=H","UseDPDF=Y")</f>
        <v>—</v>
      </c>
      <c r="T67" s="14" cm="1">
        <f t="array" ref="T67">_xll.BDH("PH US Equity","ACTUAL_SALES_PER_EMPL","FQ4 2023","FQ4 2023","Currency=USD","Period=FQ","BEST_FPERIOD_OVERRIDE=FQ","FILING_STATUS=MR","FA_ADJUSTED=Adjusted","Sort=A","Dates=H","DateFormat=P","Fill=—","Direction=H","UseDPDF=Y")</f>
        <v>81236.138999999996</v>
      </c>
      <c r="U67" s="14" t="str" cm="1">
        <f t="array" ref="U67">_xll.BDH("PH US Equity","ACTUAL_SALES_PER_EMPL","FQ1 2024","FQ1 2024","Currency=USD","Period=FQ","BEST_FPERIOD_OVERRIDE=FQ","FILING_STATUS=MR","FA_ADJUSTED=Adjusted","Sort=A","Dates=H","DateFormat=P","Fill=—","Direction=H","UseDPDF=Y")</f>
        <v>—</v>
      </c>
      <c r="V67" s="14" t="str" cm="1">
        <f t="array" ref="V67">_xll.BDH("PH US Equity","ACTUAL_SALES_PER_EMPL","FQ2 2024","FQ2 2024","Currency=USD","Period=FQ","BEST_FPERIOD_OVERRIDE=FQ","FILING_STATUS=MR","FA_ADJUSTED=Adjusted","Sort=A","Dates=H","DateFormat=P","Fill=—","Direction=H","UseDPDF=Y")</f>
        <v>—</v>
      </c>
      <c r="W67" s="14" t="str" cm="1">
        <f t="array" ref="W67">_xll.BDH("PH US Equity","ACTUAL_SALES_PER_EMPL","FQ3 2024","FQ3 2024","Currency=USD","Period=FQ","BEST_FPERIOD_OVERRIDE=FQ","FILING_STATUS=MR","FA_ADJUSTED=Adjusted","Sort=A","Dates=H","DateFormat=P","Fill=—","Direction=H","UseDPDF=Y")</f>
        <v>—</v>
      </c>
      <c r="X67" s="14" cm="1">
        <f t="array" ref="X67">_xll.BDH("PH US Equity","ACTUAL_SALES_PER_EMPL","FQ4 2024","FQ4 2024","Currency=USD","Period=FQ","BEST_FPERIOD_OVERRIDE=FQ","FILING_STATUS=MR","FA_ADJUSTED=Adjusted","Sort=A","Dates=H","DateFormat=P","Fill=—","Direction=H","UseDPDF=Y")</f>
        <v>84862.810899999997</v>
      </c>
      <c r="Y67" s="14" t="str" cm="1">
        <f t="array" ref="Y67">_xll.BDH("PH US Equity","ACTUAL_SALES_PER_EMPL","FQ1 2025","FQ1 2025","Currency=USD","Period=FQ","BEST_FPERIOD_OVERRIDE=FQ","FILING_STATUS=MR","FA_ADJUSTED=Adjusted","Sort=A","Dates=H","DateFormat=P","Fill=—","Direction=H","UseDPDF=Y")</f>
        <v>—</v>
      </c>
      <c r="Z67" s="14" t="str" cm="1">
        <f t="array" ref="Z67">_xll.BDH("PH US Equity","ACTUAL_SALES_PER_EMPL","FQ2 2025","FQ2 2025","Currency=USD","Period=FQ","BEST_FPERIOD_OVERRIDE=FQ","FILING_STATUS=MR","FA_ADJUSTED=Adjusted","Sort=A","Dates=H","DateFormat=P","Fill=—","Direction=H","UseDPDF=Y")</f>
        <v>—</v>
      </c>
      <c r="AA67" s="14" t="str" cm="1">
        <f t="array" ref="AA67">_xll.BDH("PH US Equity","ACTUAL_SALES_PER_EMPL","FQ3 2025","FQ3 2025","Currency=USD","Period=FQ","BEST_FPERIOD_OVERRIDE=FQ","FILING_STATUS=MR","FA_ADJUSTED=Adjusted","Sort=A","Dates=H","DateFormat=P","Fill=—","Direction=H","UseDPDF=Y")</f>
        <v>—</v>
      </c>
      <c r="AB67" s="14" cm="1">
        <f t="array" ref="AB67">_xll.BDH("PH US Equity","ACTUAL_SALES_PER_EMPL","FQ4 2025","FQ4 2025","Currency=USD","Period=FQ","BEST_FPERIOD_OVERRIDE=FQ","FILING_STATUS=MR","FA_ADJUSTED=Adjusted","Sort=A","Dates=H","DateFormat=P","Fill=—","Direction=H","UseDPDF=Y")</f>
        <v>90474.547000000006</v>
      </c>
      <c r="AC67" s="14" t="str" cm="1">
        <f t="array" ref="AC67">_xll.BDH("PH US Equity","ACTUAL_SALES_PER_EMPL","FQ1 2026","FQ1 2026","Currency=USD","Period=FQ","BEST_FPERIOD_OVERRIDE=FQ","FILING_STATUS=MR","FA_ADJUSTED=Adjusted","Sort=A","Dates=H","DateFormat=P","Fill=—","Direction=H","UseDPDF=Y")</f>
        <v>—</v>
      </c>
      <c r="AD67" s="14" t="str" cm="1">
        <f t="array" ref="AD67">_xll.BDH("PH US Equity","ACTUAL_SALES_PER_EMPL","FQ2 2026","FQ2 2026","Currency=USD","Period=FQ","BEST_FPERIOD_OVERRIDE=FQ","FILING_STATUS=MR","FA_ADJUSTED=Adjusted","Sort=A","Dates=H","DateFormat=P","Fill=—","Direction=H","UseDPDF=Y")</f>
        <v>—</v>
      </c>
      <c r="AE67" s="14"/>
      <c r="AF67" s="14"/>
    </row>
    <row r="68" spans="1:32" x14ac:dyDescent="0.25">
      <c r="A68" s="10" t="s">
        <v>174</v>
      </c>
      <c r="B68" s="10" t="s">
        <v>175</v>
      </c>
      <c r="C68" s="14" cm="1">
        <f t="array" ref="C68">_xll.BDH("PH US Equity","EQY_DPS","FQ3 2019","FQ3 2019","Currency=USD","Period=FQ","BEST_FPERIOD_OVERRIDE=FQ","FILING_STATUS=MR","Sort=A","Dates=H","DateFormat=P","Fill=—","Direction=H","UseDPDF=Y")</f>
        <v>0.76</v>
      </c>
      <c r="D68" s="14" cm="1">
        <f t="array" ref="D68">_xll.BDH("PH US Equity","EQY_DPS","FQ4 2019","FQ4 2019","Currency=USD","Period=FQ","BEST_FPERIOD_OVERRIDE=FQ","FILING_STATUS=MR","Sort=A","Dates=H","DateFormat=P","Fill=—","Direction=H","UseDPDF=Y")</f>
        <v>0.88</v>
      </c>
      <c r="E68" s="14" cm="1">
        <f t="array" ref="E68">_xll.BDH("PH US Equity","EQY_DPS","FQ1 2020","FQ1 2020","Currency=USD","Period=FQ","BEST_FPERIOD_OVERRIDE=FQ","FILING_STATUS=MR","Sort=A","Dates=H","DateFormat=P","Fill=—","Direction=H","UseDPDF=Y")</f>
        <v>0.88</v>
      </c>
      <c r="F68" s="14" cm="1">
        <f t="array" ref="F68">_xll.BDH("PH US Equity","EQY_DPS","FQ2 2020","FQ2 2020","Currency=USD","Period=FQ","BEST_FPERIOD_OVERRIDE=FQ","FILING_STATUS=MR","Sort=A","Dates=H","DateFormat=P","Fill=—","Direction=H","UseDPDF=Y")</f>
        <v>0.88</v>
      </c>
      <c r="G68" s="14" cm="1">
        <f t="array" ref="G68">_xll.BDH("PH US Equity","EQY_DPS","FQ3 2020","FQ3 2020","Currency=USD","Period=FQ","BEST_FPERIOD_OVERRIDE=FQ","FILING_STATUS=MR","Sort=A","Dates=H","DateFormat=P","Fill=—","Direction=H","UseDPDF=Y")</f>
        <v>0.88</v>
      </c>
      <c r="H68" s="14" cm="1">
        <f t="array" ref="H68">_xll.BDH("PH US Equity","EQY_DPS","FQ4 2020","FQ4 2020","Currency=USD","Period=FQ","BEST_FPERIOD_OVERRIDE=FQ","FILING_STATUS=MR","Sort=A","Dates=H","DateFormat=P","Fill=—","Direction=H","UseDPDF=Y")</f>
        <v>0.88</v>
      </c>
      <c r="I68" s="14" cm="1">
        <f t="array" ref="I68">_xll.BDH("PH US Equity","EQY_DPS","FQ1 2021","FQ1 2021","Currency=USD","Period=FQ","BEST_FPERIOD_OVERRIDE=FQ","FILING_STATUS=MR","Sort=A","Dates=H","DateFormat=P","Fill=—","Direction=H","UseDPDF=Y")</f>
        <v>0.88</v>
      </c>
      <c r="J68" s="14" cm="1">
        <f t="array" ref="J68">_xll.BDH("PH US Equity","EQY_DPS","FQ2 2021","FQ2 2021","Currency=USD","Period=FQ","BEST_FPERIOD_OVERRIDE=FQ","FILING_STATUS=MR","Sort=A","Dates=H","DateFormat=P","Fill=—","Direction=H","UseDPDF=Y")</f>
        <v>0.88</v>
      </c>
      <c r="K68" s="14" cm="1">
        <f t="array" ref="K68">_xll.BDH("PH US Equity","EQY_DPS","FQ3 2021","FQ3 2021","Currency=USD","Period=FQ","BEST_FPERIOD_OVERRIDE=FQ","FILING_STATUS=MR","Sort=A","Dates=H","DateFormat=P","Fill=—","Direction=H","UseDPDF=Y")</f>
        <v>0.88</v>
      </c>
      <c r="L68" s="14" cm="1">
        <f t="array" ref="L68">_xll.BDH("PH US Equity","EQY_DPS","FQ4 2021","FQ4 2021","Currency=USD","Period=FQ","BEST_FPERIOD_OVERRIDE=FQ","FILING_STATUS=MR","Sort=A","Dates=H","DateFormat=P","Fill=—","Direction=H","UseDPDF=Y")</f>
        <v>1.03</v>
      </c>
      <c r="M68" s="14" cm="1">
        <f t="array" ref="M68">_xll.BDH("PH US Equity","EQY_DPS","FQ1 2022","FQ1 2022","Currency=USD","Period=FQ","BEST_FPERIOD_OVERRIDE=FQ","FILING_STATUS=MR","Sort=A","Dates=H","DateFormat=P","Fill=—","Direction=H","UseDPDF=Y")</f>
        <v>1.03</v>
      </c>
      <c r="N68" s="14" cm="1">
        <f t="array" ref="N68">_xll.BDH("PH US Equity","EQY_DPS","FQ2 2022","FQ2 2022","Currency=USD","Period=FQ","BEST_FPERIOD_OVERRIDE=FQ","FILING_STATUS=MR","Sort=A","Dates=H","DateFormat=P","Fill=—","Direction=H","UseDPDF=Y")</f>
        <v>1.03</v>
      </c>
      <c r="O68" s="14" cm="1">
        <f t="array" ref="O68">_xll.BDH("PH US Equity","EQY_DPS","FQ3 2022","FQ3 2022","Currency=USD","Period=FQ","BEST_FPERIOD_OVERRIDE=FQ","FILING_STATUS=MR","Sort=A","Dates=H","DateFormat=P","Fill=—","Direction=H","UseDPDF=Y")</f>
        <v>1.03</v>
      </c>
      <c r="P68" s="14" cm="1">
        <f t="array" ref="P68">_xll.BDH("PH US Equity","EQY_DPS","FQ4 2022","FQ4 2022","Currency=USD","Period=FQ","BEST_FPERIOD_OVERRIDE=FQ","FILING_STATUS=MR","Sort=A","Dates=H","DateFormat=P","Fill=—","Direction=H","UseDPDF=Y")</f>
        <v>1.33</v>
      </c>
      <c r="Q68" s="14" cm="1">
        <f t="array" ref="Q68">_xll.BDH("PH US Equity","EQY_DPS","FQ1 2023","FQ1 2023","Currency=USD","Period=FQ","BEST_FPERIOD_OVERRIDE=FQ","FILING_STATUS=MR","Sort=A","Dates=H","DateFormat=P","Fill=—","Direction=H","UseDPDF=Y")</f>
        <v>1.33</v>
      </c>
      <c r="R68" s="14" cm="1">
        <f t="array" ref="R68">_xll.BDH("PH US Equity","EQY_DPS","FQ2 2023","FQ2 2023","Currency=USD","Period=FQ","BEST_FPERIOD_OVERRIDE=FQ","FILING_STATUS=MR","Sort=A","Dates=H","DateFormat=P","Fill=—","Direction=H","UseDPDF=Y")</f>
        <v>1.33</v>
      </c>
      <c r="S68" s="14" cm="1">
        <f t="array" ref="S68">_xll.BDH("PH US Equity","EQY_DPS","FQ3 2023","FQ3 2023","Currency=USD","Period=FQ","BEST_FPERIOD_OVERRIDE=FQ","FILING_STATUS=MR","Sort=A","Dates=H","DateFormat=P","Fill=—","Direction=H","UseDPDF=Y")</f>
        <v>1.33</v>
      </c>
      <c r="T68" s="14" cm="1">
        <f t="array" ref="T68">_xll.BDH("PH US Equity","EQY_DPS","FQ4 2023","FQ4 2023","Currency=USD","Period=FQ","BEST_FPERIOD_OVERRIDE=FQ","FILING_STATUS=MR","Sort=A","Dates=H","DateFormat=P","Fill=—","Direction=H","UseDPDF=Y")</f>
        <v>1.48</v>
      </c>
      <c r="U68" s="14" cm="1">
        <f t="array" ref="U68">_xll.BDH("PH US Equity","EQY_DPS","FQ1 2024","FQ1 2024","Currency=USD","Period=FQ","BEST_FPERIOD_OVERRIDE=FQ","FILING_STATUS=MR","Sort=A","Dates=H","DateFormat=P","Fill=—","Direction=H","UseDPDF=Y")</f>
        <v>1.48</v>
      </c>
      <c r="V68" s="14" cm="1">
        <f t="array" ref="V68">_xll.BDH("PH US Equity","EQY_DPS","FQ2 2024","FQ2 2024","Currency=USD","Period=FQ","BEST_FPERIOD_OVERRIDE=FQ","FILING_STATUS=MR","Sort=A","Dates=H","DateFormat=P","Fill=—","Direction=H","UseDPDF=Y")</f>
        <v>1.48</v>
      </c>
      <c r="W68" s="14" cm="1">
        <f t="array" ref="W68">_xll.BDH("PH US Equity","EQY_DPS","FQ3 2024","FQ3 2024","Currency=USD","Period=FQ","BEST_FPERIOD_OVERRIDE=FQ","FILING_STATUS=MR","Sort=A","Dates=H","DateFormat=P","Fill=—","Direction=H","UseDPDF=Y")</f>
        <v>1.48</v>
      </c>
      <c r="X68" s="14" cm="1">
        <f t="array" ref="X68">_xll.BDH("PH US Equity","EQY_DPS","FQ4 2024","FQ4 2024","Currency=USD","Period=FQ","BEST_FPERIOD_OVERRIDE=FQ","FILING_STATUS=MR","Sort=A","Dates=H","DateFormat=P","Fill=—","Direction=H","UseDPDF=Y")</f>
        <v>1.63</v>
      </c>
      <c r="Y68" s="14" cm="1">
        <f t="array" ref="Y68">_xll.BDH("PH US Equity","EQY_DPS","FQ1 2025","FQ1 2025","Currency=USD","Period=FQ","BEST_FPERIOD_OVERRIDE=FQ","FILING_STATUS=MR","Sort=A","Dates=H","DateFormat=P","Fill=—","Direction=H","UseDPDF=Y")</f>
        <v>1.63</v>
      </c>
      <c r="Z68" s="14" cm="1">
        <f t="array" ref="Z68">_xll.BDH("PH US Equity","EQY_DPS","FQ2 2025","FQ2 2025","Currency=USD","Period=FQ","BEST_FPERIOD_OVERRIDE=FQ","FILING_STATUS=MR","Sort=A","Dates=H","DateFormat=P","Fill=—","Direction=H","UseDPDF=Y")</f>
        <v>1.63</v>
      </c>
      <c r="AA68" s="14" cm="1">
        <f t="array" ref="AA68">_xll.BDH("PH US Equity","EQY_DPS","FQ3 2025","FQ3 2025","Currency=USD","Period=FQ","BEST_FPERIOD_OVERRIDE=FQ","FILING_STATUS=MR","Sort=A","Dates=H","DateFormat=P","Fill=—","Direction=H","UseDPDF=Y")</f>
        <v>1.63</v>
      </c>
      <c r="AB68" s="14" cm="1">
        <f t="array" ref="AB68">_xll.BDH("PH US Equity","EQY_DPS","FQ4 2025","FQ4 2025","Currency=USD","Period=FQ","BEST_FPERIOD_OVERRIDE=FQ","FILING_STATUS=MR","Sort=A","Dates=H","DateFormat=P","Fill=—","Direction=H","UseDPDF=Y")</f>
        <v>1.8</v>
      </c>
      <c r="AC68" s="14" cm="1">
        <f t="array" ref="AC68">_xll.BDH("PH US Equity","EQY_DPS","FQ1 2026","FQ1 2026","Currency=USD","Period=FQ","BEST_FPERIOD_OVERRIDE=FQ","FILING_STATUS=MR","Sort=A","Dates=H","DateFormat=P","Fill=—","Direction=H","UseDPDF=Y")</f>
        <v>1.8</v>
      </c>
      <c r="AD68" s="14" cm="1">
        <f t="array" ref="AD68">_xll.BDH("PH US Equity","EQY_DPS","FQ2 2026","FQ2 2026","Currency=USD","Period=FQ","BEST_FPERIOD_OVERRIDE=FQ","FILING_STATUS=MR","Sort=A","Dates=H","DateFormat=P","Fill=—","Direction=H","UseDPDF=Y")</f>
        <v>1.8</v>
      </c>
      <c r="AE68" s="14">
        <v>1.786</v>
      </c>
      <c r="AF68" s="14">
        <v>1.8680000000000001</v>
      </c>
    </row>
    <row r="69" spans="1:32" x14ac:dyDescent="0.25">
      <c r="A69" s="10" t="s">
        <v>176</v>
      </c>
      <c r="B69" s="10" t="s">
        <v>177</v>
      </c>
      <c r="C69" s="13" cm="1">
        <f t="array" ref="C69">_xll.BDH("PH US Equity","IS_TOT_CASH_COM_DVD","FQ3 2019","FQ3 2019","Currency=USD","Period=FQ","BEST_FPERIOD_OVERRIDE=FQ","FILING_STATUS=MR","SCALING_FORMAT=MLN","Sort=A","Dates=H","DateFormat=P","Fill=—","Direction=H","UseDPDF=Y")</f>
        <v>98.548000000000002</v>
      </c>
      <c r="D69" s="13" cm="1">
        <f t="array" ref="D69">_xll.BDH("PH US Equity","IS_TOT_CASH_COM_DVD","FQ4 2019","FQ4 2019","Currency=USD","Period=FQ","BEST_FPERIOD_OVERRIDE=FQ","FILING_STATUS=MR","SCALING_FORMAT=MLN","Sort=A","Dates=H","DateFormat=P","Fill=—","Direction=H","UseDPDF=Y")</f>
        <v>113.1341</v>
      </c>
      <c r="E69" s="13" cm="1">
        <f t="array" ref="E69">_xll.BDH("PH US Equity","IS_TOT_CASH_COM_DVD","FQ1 2020","FQ1 2020","Currency=USD","Period=FQ","BEST_FPERIOD_OVERRIDE=FQ","FILING_STATUS=MR","SCALING_FORMAT=MLN","Sort=A","Dates=H","DateFormat=P","Fill=—","Direction=H","UseDPDF=Y")</f>
        <v>113.0483</v>
      </c>
      <c r="F69" s="13" cm="1">
        <f t="array" ref="F69">_xll.BDH("PH US Equity","IS_TOT_CASH_COM_DVD","FQ2 2020","FQ2 2020","Currency=USD","Period=FQ","BEST_FPERIOD_OVERRIDE=FQ","FILING_STATUS=MR","SCALING_FORMAT=MLN","Sort=A","Dates=H","DateFormat=P","Fill=—","Direction=H","UseDPDF=Y")</f>
        <v>113.306</v>
      </c>
      <c r="G69" s="13" cm="1">
        <f t="array" ref="G69">_xll.BDH("PH US Equity","IS_TOT_CASH_COM_DVD","FQ3 2020","FQ3 2020","Currency=USD","Period=FQ","BEST_FPERIOD_OVERRIDE=FQ","FILING_STATUS=MR","SCALING_FORMAT=MLN","Sort=A","Dates=H","DateFormat=P","Fill=—","Direction=H","UseDPDF=Y")</f>
        <v>112.895</v>
      </c>
      <c r="H69" s="13" cm="1">
        <f t="array" ref="H69">_xll.BDH("PH US Equity","IS_TOT_CASH_COM_DVD","FQ4 2020","FQ4 2020","Currency=USD","Period=FQ","BEST_FPERIOD_OVERRIDE=FQ","FILING_STATUS=MR","SCALING_FORMAT=MLN","Sort=A","Dates=H","DateFormat=P","Fill=—","Direction=H","UseDPDF=Y")</f>
        <v>113.547</v>
      </c>
      <c r="I69" s="13" cm="1">
        <f t="array" ref="I69">_xll.BDH("PH US Equity","IS_TOT_CASH_COM_DVD","FQ1 2021","FQ1 2021","Currency=USD","Period=FQ","BEST_FPERIOD_OVERRIDE=FQ","FILING_STATUS=MR","SCALING_FORMAT=MLN","Sort=A","Dates=H","DateFormat=P","Fill=—","Direction=H","UseDPDF=Y")</f>
        <v>113.542</v>
      </c>
      <c r="J69" s="13" cm="1">
        <f t="array" ref="J69">_xll.BDH("PH US Equity","IS_TOT_CASH_COM_DVD","FQ2 2021","FQ2 2021","Currency=USD","Period=FQ","BEST_FPERIOD_OVERRIDE=FQ","FILING_STATUS=MR","SCALING_FORMAT=MLN","Sort=A","Dates=H","DateFormat=P","Fill=—","Direction=H","UseDPDF=Y")</f>
        <v>113.68600000000001</v>
      </c>
      <c r="K69" s="13" cm="1">
        <f t="array" ref="K69">_xll.BDH("PH US Equity","IS_TOT_CASH_COM_DVD","FQ3 2021","FQ3 2021","Currency=USD","Period=FQ","BEST_FPERIOD_OVERRIDE=FQ","FILING_STATUS=MR","SCALING_FORMAT=MLN","Sort=A","Dates=H","DateFormat=P","Fill=—","Direction=H","UseDPDF=Y")</f>
        <v>113.59529999999999</v>
      </c>
      <c r="L69" s="13" cm="1">
        <f t="array" ref="L69">_xll.BDH("PH US Equity","IS_TOT_CASH_COM_DVD","FQ4 2021","FQ4 2021","Currency=USD","Period=FQ","BEST_FPERIOD_OVERRIDE=FQ","FILING_STATUS=MR","SCALING_FORMAT=MLN","Sort=A","Dates=H","DateFormat=P","Fill=—","Direction=H","UseDPDF=Y")</f>
        <v>133.06819999999999</v>
      </c>
      <c r="M69" s="13" cm="1">
        <f t="array" ref="M69">_xll.BDH("PH US Equity","IS_TOT_CASH_COM_DVD","FQ1 2022","FQ1 2022","Currency=USD","Period=FQ","BEST_FPERIOD_OVERRIDE=FQ","FILING_STATUS=MR","SCALING_FORMAT=MLN","Sort=A","Dates=H","DateFormat=P","Fill=—","Direction=H","UseDPDF=Y")</f>
        <v>132.92099999999999</v>
      </c>
      <c r="N69" s="13" cm="1">
        <f t="array" ref="N69">_xll.BDH("PH US Equity","IS_TOT_CASH_COM_DVD","FQ2 2022","FQ2 2022","Currency=USD","Period=FQ","BEST_FPERIOD_OVERRIDE=FQ","FILING_STATUS=MR","SCALING_FORMAT=MLN","Sort=A","Dates=H","DateFormat=P","Fill=—","Direction=H","UseDPDF=Y")</f>
        <v>132.63499999999999</v>
      </c>
      <c r="O69" s="13" cm="1">
        <f t="array" ref="O69">_xll.BDH("PH US Equity","IS_TOT_CASH_COM_DVD","FQ3 2022","FQ3 2022","Currency=USD","Period=FQ","BEST_FPERIOD_OVERRIDE=FQ","FILING_STATUS=MR","SCALING_FORMAT=MLN","Sort=A","Dates=H","DateFormat=P","Fill=—","Direction=H","UseDPDF=Y")</f>
        <v>132.54300000000001</v>
      </c>
      <c r="P69" s="13" cm="1">
        <f t="array" ref="P69">_xll.BDH("PH US Equity","IS_TOT_CASH_COM_DVD","FQ4 2022","FQ4 2022","Currency=USD","Period=FQ","BEST_FPERIOD_OVERRIDE=FQ","FILING_STATUS=MR","SCALING_FORMAT=MLN","Sort=A","Dates=H","DateFormat=P","Fill=—","Direction=H","UseDPDF=Y")</f>
        <v>170.91890000000001</v>
      </c>
      <c r="Q69" s="13" cm="1">
        <f t="array" ref="Q69">_xll.BDH("PH US Equity","IS_TOT_CASH_COM_DVD","FQ1 2023","FQ1 2023","Currency=USD","Period=FQ","BEST_FPERIOD_OVERRIDE=FQ","FILING_STATUS=MR","SCALING_FORMAT=MLN","Sort=A","Dates=H","DateFormat=P","Fill=—","Direction=H","UseDPDF=Y")</f>
        <v>171.17599999999999</v>
      </c>
      <c r="R69" s="13" cm="1">
        <f t="array" ref="R69">_xll.BDH("PH US Equity","IS_TOT_CASH_COM_DVD","FQ2 2023","FQ2 2023","Currency=USD","Period=FQ","BEST_FPERIOD_OVERRIDE=FQ","FILING_STATUS=MR","SCALING_FORMAT=MLN","Sort=A","Dates=H","DateFormat=P","Fill=—","Direction=H","UseDPDF=Y")</f>
        <v>170.6567</v>
      </c>
      <c r="S69" s="13" cm="1">
        <f t="array" ref="S69">_xll.BDH("PH US Equity","IS_TOT_CASH_COM_DVD","FQ3 2023","FQ3 2023","Currency=USD","Period=FQ","BEST_FPERIOD_OVERRIDE=FQ","FILING_STATUS=MR","SCALING_FORMAT=MLN","Sort=A","Dates=H","DateFormat=P","Fill=—","Direction=H","UseDPDF=Y")</f>
        <v>170.62970000000001</v>
      </c>
      <c r="T69" s="13" cm="1">
        <f t="array" ref="T69">_xll.BDH("PH US Equity","IS_TOT_CASH_COM_DVD","FQ4 2023","FQ4 2023","Currency=USD","Period=FQ","BEST_FPERIOD_OVERRIDE=FQ","FILING_STATUS=MR","SCALING_FORMAT=MLN","Sort=A","Dates=H","DateFormat=P","Fill=—","Direction=H","UseDPDF=Y")</f>
        <v>190.09119999999999</v>
      </c>
      <c r="U69" s="13" cm="1">
        <f t="array" ref="U69">_xll.BDH("PH US Equity","IS_TOT_CASH_COM_DVD","FQ1 2024","FQ1 2024","Currency=USD","Period=FQ","BEST_FPERIOD_OVERRIDE=FQ","FILING_STATUS=MR","SCALING_FORMAT=MLN","Sort=A","Dates=H","DateFormat=P","Fill=—","Direction=H","UseDPDF=Y")</f>
        <v>190.13939999999999</v>
      </c>
      <c r="V69" s="13" cm="1">
        <f t="array" ref="V69">_xll.BDH("PH US Equity","IS_TOT_CASH_COM_DVD","FQ2 2024","FQ2 2024","Currency=USD","Period=FQ","BEST_FPERIOD_OVERRIDE=FQ","FILING_STATUS=MR","SCALING_FORMAT=MLN","Sort=A","Dates=H","DateFormat=P","Fill=—","Direction=H","UseDPDF=Y")</f>
        <v>190.07079999999999</v>
      </c>
      <c r="W69" s="13" cm="1">
        <f t="array" ref="W69">_xll.BDH("PH US Equity","IS_TOT_CASH_COM_DVD","FQ3 2024","FQ3 2024","Currency=USD","Period=FQ","BEST_FPERIOD_OVERRIDE=FQ","FILING_STATUS=MR","SCALING_FORMAT=MLN","Sort=A","Dates=H","DateFormat=P","Fill=—","Direction=H","UseDPDF=Y")</f>
        <v>190.1842</v>
      </c>
      <c r="X69" s="13" cm="1">
        <f t="array" ref="X69">_xll.BDH("PH US Equity","IS_TOT_CASH_COM_DVD","FQ4 2024","FQ4 2024","Currency=USD","Period=FQ","BEST_FPERIOD_OVERRIDE=FQ","FILING_STATUS=MR","SCALING_FORMAT=MLN","Sort=A","Dates=H","DateFormat=P","Fill=—","Direction=H","UseDPDF=Y")</f>
        <v>209.66329999999999</v>
      </c>
      <c r="Y69" s="13" cm="1">
        <f t="array" ref="Y69">_xll.BDH("PH US Equity","IS_TOT_CASH_COM_DVD","FQ1 2025","FQ1 2025","Currency=USD","Period=FQ","BEST_FPERIOD_OVERRIDE=FQ","FILING_STATUS=MR","SCALING_FORMAT=MLN","Sort=A","Dates=H","DateFormat=P","Fill=—","Direction=H","UseDPDF=Y")</f>
        <v>209.7208</v>
      </c>
      <c r="Z69" s="13" cm="1">
        <f t="array" ref="Z69">_xll.BDH("PH US Equity","IS_TOT_CASH_COM_DVD","FQ2 2025","FQ2 2025","Currency=USD","Period=FQ","BEST_FPERIOD_OVERRIDE=FQ","FILING_STATUS=MR","SCALING_FORMAT=MLN","Sort=A","Dates=H","DateFormat=P","Fill=—","Direction=H","UseDPDF=Y")</f>
        <v>209.86709999999999</v>
      </c>
      <c r="AA69" s="13" cm="1">
        <f t="array" ref="AA69">_xll.BDH("PH US Equity","IS_TOT_CASH_COM_DVD","FQ3 2025","FQ3 2025","Currency=USD","Period=FQ","BEST_FPERIOD_OVERRIDE=FQ","FILING_STATUS=MR","SCALING_FORMAT=MLN","Sort=A","Dates=H","DateFormat=P","Fill=—","Direction=H","UseDPDF=Y")</f>
        <v>209.36150000000001</v>
      </c>
      <c r="AB69" s="13" cm="1">
        <f t="array" ref="AB69">_xll.BDH("PH US Equity","IS_TOT_CASH_COM_DVD","FQ4 2025","FQ4 2025","Currency=USD","Period=FQ","BEST_FPERIOD_OVERRIDE=FQ","FILING_STATUS=MR","SCALING_FORMAT=MLN","Sort=A","Dates=H","DateFormat=P","Fill=—","Direction=H","UseDPDF=Y")</f>
        <v>228.96</v>
      </c>
      <c r="AC69" s="13" cm="1">
        <f t="array" ref="AC69">_xll.BDH("PH US Equity","IS_TOT_CASH_COM_DVD","FQ1 2026","FQ1 2026","Currency=USD","Period=FQ","BEST_FPERIOD_OVERRIDE=FQ","FILING_STATUS=MR","SCALING_FORMAT=MLN","Sort=A","Dates=H","DateFormat=P","Fill=—","Direction=H","UseDPDF=Y")</f>
        <v>227.7</v>
      </c>
      <c r="AD69" s="13" cm="1">
        <f t="array" ref="AD69">_xll.BDH("PH US Equity","IS_TOT_CASH_COM_DVD","FQ2 2026","FQ2 2026","Currency=USD","Period=FQ","BEST_FPERIOD_OVERRIDE=FQ","FILING_STATUS=MR","SCALING_FORMAT=MLN","Sort=A","Dates=H","DateFormat=P","Fill=—","Direction=H","UseDPDF=Y")</f>
        <v>227.16</v>
      </c>
      <c r="AE69" s="13"/>
      <c r="AF69" s="13"/>
    </row>
    <row r="70" spans="1:32" x14ac:dyDescent="0.25">
      <c r="A70" s="10" t="s">
        <v>178</v>
      </c>
      <c r="B70" s="10" t="s">
        <v>179</v>
      </c>
      <c r="C70" s="13" cm="1">
        <f t="array" ref="C70">_xll.BDH("PH US Equity","IS_DEPR_EXP","FQ3 2019","FQ3 2019","Currency=USD","Period=FQ","BEST_FPERIOD_OVERRIDE=FQ","FILING_STATUS=MR","SCALING_FORMAT=MLN","Sort=A","Dates=H","DateFormat=P","Fill=—","Direction=H","UseDPDF=Y")</f>
        <v>55.631</v>
      </c>
      <c r="D70" s="13" cm="1">
        <f t="array" ref="D70">_xll.BDH("PH US Equity","IS_DEPR_EXP","FQ4 2019","FQ4 2019","Currency=USD","Period=FQ","BEST_FPERIOD_OVERRIDE=FQ","FILING_STATUS=MR","SCALING_FORMAT=MLN","Sort=A","Dates=H","DateFormat=P","Fill=—","Direction=H","UseDPDF=Y")</f>
        <v>55.043999999999997</v>
      </c>
      <c r="E70" s="13" cm="1">
        <f t="array" ref="E70">_xll.BDH("PH US Equity","IS_DEPR_EXP","FQ1 2020","FQ1 2020","Currency=USD","Period=FQ","BEST_FPERIOD_OVERRIDE=FQ","FILING_STATUS=MR","SCALING_FORMAT=MLN","Sort=A","Dates=H","DateFormat=P","Fill=—","Direction=H","UseDPDF=Y")</f>
        <v>54.856000000000002</v>
      </c>
      <c r="F70" s="13" cm="1">
        <f t="array" ref="F70">_xll.BDH("PH US Equity","IS_DEPR_EXP","FQ2 2020","FQ2 2020","Currency=USD","Period=FQ","BEST_FPERIOD_OVERRIDE=FQ","FILING_STATUS=MR","SCALING_FORMAT=MLN","Sort=A","Dates=H","DateFormat=P","Fill=—","Direction=H","UseDPDF=Y")</f>
        <v>64.885000000000005</v>
      </c>
      <c r="G70" s="13" cm="1">
        <f t="array" ref="G70">_xll.BDH("PH US Equity","IS_DEPR_EXP","FQ3 2020","FQ3 2020","Currency=USD","Period=FQ","BEST_FPERIOD_OVERRIDE=FQ","FILING_STATUS=MR","SCALING_FORMAT=MLN","Sort=A","Dates=H","DateFormat=P","Fill=—","Direction=H","UseDPDF=Y")</f>
        <v>67.313000000000002</v>
      </c>
      <c r="H70" s="13" cm="1">
        <f t="array" ref="H70">_xll.BDH("PH US Equity","IS_DEPR_EXP","FQ4 2020","FQ4 2020","Currency=USD","Period=FQ","BEST_FPERIOD_OVERRIDE=FQ","FILING_STATUS=MR","SCALING_FORMAT=MLN","Sort=A","Dates=H","DateFormat=P","Fill=—","Direction=H","UseDPDF=Y")</f>
        <v>65.844999999999999</v>
      </c>
      <c r="I70" s="13" cm="1">
        <f t="array" ref="I70">_xll.BDH("PH US Equity","IS_DEPR_EXP","FQ1 2021","FQ1 2021","Currency=USD","Period=FQ","BEST_FPERIOD_OVERRIDE=FQ","FILING_STATUS=MR","SCALING_FORMAT=MLN","Sort=A","Dates=H","DateFormat=P","Fill=—","Direction=H","UseDPDF=Y")</f>
        <v>66.739000000000004</v>
      </c>
      <c r="J70" s="13" cm="1">
        <f t="array" ref="J70">_xll.BDH("PH US Equity","IS_DEPR_EXP","FQ2 2021","FQ2 2021","Currency=USD","Period=FQ","BEST_FPERIOD_OVERRIDE=FQ","FILING_STATUS=MR","SCALING_FORMAT=MLN","Sort=A","Dates=H","DateFormat=P","Fill=—","Direction=H","UseDPDF=Y")</f>
        <v>68.581000000000003</v>
      </c>
      <c r="K70" s="13" cm="1">
        <f t="array" ref="K70">_xll.BDH("PH US Equity","IS_DEPR_EXP","FQ3 2021","FQ3 2021","Currency=USD","Period=FQ","BEST_FPERIOD_OVERRIDE=FQ","FILING_STATUS=MR","SCALING_FORMAT=MLN","Sort=A","Dates=H","DateFormat=P","Fill=—","Direction=H","UseDPDF=Y")</f>
        <v>69.295000000000002</v>
      </c>
      <c r="L70" s="13" cm="1">
        <f t="array" ref="L70">_xll.BDH("PH US Equity","IS_DEPR_EXP","FQ4 2021","FQ4 2021","Currency=USD","Period=FQ","BEST_FPERIOD_OVERRIDE=FQ","FILING_STATUS=MR","SCALING_FORMAT=MLN","Sort=A","Dates=H","DateFormat=P","Fill=—","Direction=H","UseDPDF=Y")</f>
        <v>146.58199999999999</v>
      </c>
      <c r="M70" s="13" cm="1">
        <f t="array" ref="M70">_xll.BDH("PH US Equity","IS_DEPR_EXP","FQ1 2022","FQ1 2022","Currency=USD","Period=FQ","BEST_FPERIOD_OVERRIDE=FQ","FILING_STATUS=MR","SCALING_FORMAT=MLN","Sort=A","Dates=H","DateFormat=P","Fill=—","Direction=H","UseDPDF=Y")</f>
        <v>65.751000000000005</v>
      </c>
      <c r="N70" s="13" cm="1">
        <f t="array" ref="N70">_xll.BDH("PH US Equity","IS_DEPR_EXP","FQ2 2022","FQ2 2022","Currency=USD","Period=FQ","BEST_FPERIOD_OVERRIDE=FQ","FILING_STATUS=MR","SCALING_FORMAT=MLN","Sort=A","Dates=H","DateFormat=P","Fill=—","Direction=H","UseDPDF=Y")</f>
        <v>65.361999999999995</v>
      </c>
      <c r="O70" s="13" cm="1">
        <f t="array" ref="O70">_xll.BDH("PH US Equity","IS_DEPR_EXP","FQ3 2022","FQ3 2022","Currency=USD","Period=FQ","BEST_FPERIOD_OVERRIDE=FQ","FILING_STATUS=MR","SCALING_FORMAT=MLN","Sort=A","Dates=H","DateFormat=P","Fill=—","Direction=H","UseDPDF=Y")</f>
        <v>63.832000000000001</v>
      </c>
      <c r="P70" s="13" cm="1">
        <f t="array" ref="P70">_xll.BDH("PH US Equity","IS_DEPR_EXP","FQ4 2022","FQ4 2022","Currency=USD","Period=FQ","BEST_FPERIOD_OVERRIDE=FQ","FILING_STATUS=MR","SCALING_FORMAT=MLN","Sort=A","Dates=H","DateFormat=P","Fill=—","Direction=H","UseDPDF=Y")</f>
        <v>62.369</v>
      </c>
      <c r="Q70" s="13" cm="1">
        <f t="array" ref="Q70">_xll.BDH("PH US Equity","IS_DEPR_EXP","FQ1 2023","FQ1 2023","Currency=USD","Period=FQ","BEST_FPERIOD_OVERRIDE=FQ","FILING_STATUS=MR","SCALING_FORMAT=MLN","Sort=A","Dates=H","DateFormat=P","Fill=—","Direction=H","UseDPDF=Y")</f>
        <v>66.966999999999999</v>
      </c>
      <c r="R70" s="13" cm="1">
        <f t="array" ref="R70">_xll.BDH("PH US Equity","IS_DEPR_EXP","FQ2 2023","FQ2 2023","Currency=USD","Period=FQ","BEST_FPERIOD_OVERRIDE=FQ","FILING_STATUS=MR","SCALING_FORMAT=MLN","Sort=A","Dates=H","DateFormat=P","Fill=—","Direction=H","UseDPDF=Y")</f>
        <v>87.488</v>
      </c>
      <c r="S70" s="13" cm="1">
        <f t="array" ref="S70">_xll.BDH("PH US Equity","IS_DEPR_EXP","FQ3 2023","FQ3 2023","Currency=USD","Period=FQ","BEST_FPERIOD_OVERRIDE=FQ","FILING_STATUS=MR","SCALING_FORMAT=MLN","Sort=A","Dates=H","DateFormat=P","Fill=—","Direction=H","UseDPDF=Y")</f>
        <v>80.194000000000003</v>
      </c>
      <c r="T70" s="13" cm="1">
        <f t="array" ref="T70">_xll.BDH("PH US Equity","IS_DEPR_EXP","FQ4 2023","FQ4 2023","Currency=USD","Period=FQ","BEST_FPERIOD_OVERRIDE=FQ","FILING_STATUS=MR","SCALING_FORMAT=MLN","Sort=A","Dates=H","DateFormat=P","Fill=—","Direction=H","UseDPDF=Y")</f>
        <v>82.766999999999996</v>
      </c>
      <c r="U70" s="13" cm="1">
        <f t="array" ref="U70">_xll.BDH("PH US Equity","IS_DEPR_EXP","FQ1 2024","FQ1 2024","Currency=USD","Period=FQ","BEST_FPERIOD_OVERRIDE=FQ","FILING_STATUS=MR","SCALING_FORMAT=MLN","Sort=A","Dates=H","DateFormat=P","Fill=—","Direction=H","UseDPDF=Y")</f>
        <v>84.867000000000004</v>
      </c>
      <c r="V70" s="13" cm="1">
        <f t="array" ref="V70">_xll.BDH("PH US Equity","IS_DEPR_EXP","FQ2 2024","FQ2 2024","Currency=USD","Period=FQ","BEST_FPERIOD_OVERRIDE=FQ","FILING_STATUS=MR","SCALING_FORMAT=MLN","Sort=A","Dates=H","DateFormat=P","Fill=—","Direction=H","UseDPDF=Y")</f>
        <v>85.751000000000005</v>
      </c>
      <c r="W70" s="13" cm="1">
        <f t="array" ref="W70">_xll.BDH("PH US Equity","IS_DEPR_EXP","FQ3 2024","FQ3 2024","Currency=USD","Period=FQ","BEST_FPERIOD_OVERRIDE=FQ","FILING_STATUS=MR","SCALING_FORMAT=MLN","Sort=A","Dates=H","DateFormat=P","Fill=—","Direction=H","UseDPDF=Y")</f>
        <v>87.081999999999994</v>
      </c>
      <c r="X70" s="13" cm="1">
        <f t="array" ref="X70">_xll.BDH("PH US Equity","IS_DEPR_EXP","FQ4 2024","FQ4 2024","Currency=USD","Period=FQ","BEST_FPERIOD_OVERRIDE=FQ","FILING_STATUS=MR","SCALING_FORMAT=MLN","Sort=A","Dates=H","DateFormat=P","Fill=—","Direction=H","UseDPDF=Y")</f>
        <v>91.436000000000007</v>
      </c>
      <c r="Y70" s="13" cm="1">
        <f t="array" ref="Y70">_xll.BDH("PH US Equity","IS_DEPR_EXP","FQ1 2025","FQ1 2025","Currency=USD","Period=FQ","BEST_FPERIOD_OVERRIDE=FQ","FILING_STATUS=MR","SCALING_FORMAT=MLN","Sort=A","Dates=H","DateFormat=P","Fill=—","Direction=H","UseDPDF=Y")</f>
        <v>88.924999999999997</v>
      </c>
      <c r="Z70" s="13" cm="1">
        <f t="array" ref="Z70">_xll.BDH("PH US Equity","IS_DEPR_EXP","FQ2 2025","FQ2 2025","Currency=USD","Period=FQ","BEST_FPERIOD_OVERRIDE=FQ","FILING_STATUS=MR","SCALING_FORMAT=MLN","Sort=A","Dates=H","DateFormat=P","Fill=—","Direction=H","UseDPDF=Y")</f>
        <v>87.697000000000003</v>
      </c>
      <c r="AA70" s="13" cm="1">
        <f t="array" ref="AA70">_xll.BDH("PH US Equity","IS_DEPR_EXP","FQ3 2025","FQ3 2025","Currency=USD","Period=FQ","BEST_FPERIOD_OVERRIDE=FQ","FILING_STATUS=MR","SCALING_FORMAT=MLN","Sort=A","Dates=H","DateFormat=P","Fill=—","Direction=H","UseDPDF=Y")</f>
        <v>86.831999999999994</v>
      </c>
      <c r="AB70" s="13" cm="1">
        <f t="array" ref="AB70">_xll.BDH("PH US Equity","IS_DEPR_EXP","FQ4 2025","FQ4 2025","Currency=USD","Period=FQ","BEST_FPERIOD_OVERRIDE=FQ","FILING_STATUS=MR","SCALING_FORMAT=MLN","Sort=A","Dates=H","DateFormat=P","Fill=—","Direction=H","UseDPDF=Y")</f>
        <v>91</v>
      </c>
      <c r="AC70" s="13" cm="1">
        <f t="array" ref="AC70">_xll.BDH("PH US Equity","IS_DEPR_EXP","FQ1 2026","FQ1 2026","Currency=USD","Period=FQ","BEST_FPERIOD_OVERRIDE=FQ","FILING_STATUS=MR","SCALING_FORMAT=MLN","Sort=A","Dates=H","DateFormat=P","Fill=—","Direction=H","UseDPDF=Y")</f>
        <v>92</v>
      </c>
      <c r="AD70" s="13" cm="1">
        <f t="array" ref="AD70">_xll.BDH("PH US Equity","IS_DEPR_EXP","FQ2 2026","FQ2 2026","Currency=USD","Period=FQ","BEST_FPERIOD_OVERRIDE=FQ","FILING_STATUS=MR","SCALING_FORMAT=MLN","Sort=A","Dates=H","DateFormat=P","Fill=—","Direction=H","UseDPDF=Y")</f>
        <v>29</v>
      </c>
      <c r="AE70" s="13"/>
      <c r="AF70" s="13"/>
    </row>
    <row r="71" spans="1:32" x14ac:dyDescent="0.25">
      <c r="A71" s="10" t="s">
        <v>180</v>
      </c>
      <c r="B71" s="10" t="s">
        <v>181</v>
      </c>
      <c r="C71" s="13" t="str" cm="1">
        <f t="array" ref="C71">_xll.BDH("PH US Equity","BS_CURR_RENTAL_EXPENSE","FQ3 2019","FQ3 2019","Currency=USD","Period=FQ","BEST_FPERIOD_OVERRIDE=FQ","FILING_STATUS=MR","SCALING_FORMAT=MLN","Sort=A","Dates=H","DateFormat=P","Fill=—","Direction=H","UseDPDF=Y")</f>
        <v>—</v>
      </c>
      <c r="D71" s="13" t="str" cm="1">
        <f t="array" ref="D71">_xll.BDH("PH US Equity","BS_CURR_RENTAL_EXPENSE","FQ4 2019","FQ4 2019","Currency=USD","Period=FQ","BEST_FPERIOD_OVERRIDE=FQ","FILING_STATUS=MR","SCALING_FORMAT=MLN","Sort=A","Dates=H","DateFormat=P","Fill=—","Direction=H","UseDPDF=Y")</f>
        <v>—</v>
      </c>
      <c r="E71" s="13" cm="1">
        <f t="array" ref="E71">_xll.BDH("PH US Equity","BS_CURR_RENTAL_EXPENSE","FQ1 2020","FQ1 2020","Currency=USD","Period=FQ","BEST_FPERIOD_OVERRIDE=FQ","FILING_STATUS=MR","SCALING_FORMAT=MLN","Sort=A","Dates=H","DateFormat=P","Fill=—","Direction=H","UseDPDF=Y")</f>
        <v>15.55</v>
      </c>
      <c r="F71" s="13" cm="1">
        <f t="array" ref="F71">_xll.BDH("PH US Equity","BS_CURR_RENTAL_EXPENSE","FQ2 2020","FQ2 2020","Currency=USD","Period=FQ","BEST_FPERIOD_OVERRIDE=FQ","FILING_STATUS=MR","SCALING_FORMAT=MLN","Sort=A","Dates=H","DateFormat=P","Fill=—","Direction=H","UseDPDF=Y")</f>
        <v>16.672999999999998</v>
      </c>
      <c r="G71" s="13" cm="1">
        <f t="array" ref="G71">_xll.BDH("PH US Equity","BS_CURR_RENTAL_EXPENSE","FQ3 2020","FQ3 2020","Currency=USD","Period=FQ","BEST_FPERIOD_OVERRIDE=FQ","FILING_STATUS=MR","SCALING_FORMAT=MLN","Sort=A","Dates=H","DateFormat=P","Fill=—","Direction=H","UseDPDF=Y")</f>
        <v>16.030999999999999</v>
      </c>
      <c r="H71" s="13" cm="1">
        <f t="array" ref="H71">_xll.BDH("PH US Equity","BS_CURR_RENTAL_EXPENSE","FQ4 2020","FQ4 2020","Currency=USD","Period=FQ","BEST_FPERIOD_OVERRIDE=FQ","FILING_STATUS=MR","SCALING_FORMAT=MLN","Sort=A","Dates=H","DateFormat=P","Fill=—","Direction=H","UseDPDF=Y")</f>
        <v>15.686999999999999</v>
      </c>
      <c r="I71" s="13" t="str" cm="1">
        <f t="array" ref="I71">_xll.BDH("PH US Equity","BS_CURR_RENTAL_EXPENSE","FQ1 2021","FQ1 2021","Currency=USD","Period=FQ","BEST_FPERIOD_OVERRIDE=FQ","FILING_STATUS=MR","SCALING_FORMAT=MLN","Sort=A","Dates=H","DateFormat=P","Fill=—","Direction=H","UseDPDF=Y")</f>
        <v>—</v>
      </c>
      <c r="J71" s="13" t="str" cm="1">
        <f t="array" ref="J71">_xll.BDH("PH US Equity","BS_CURR_RENTAL_EXPENSE","FQ2 2021","FQ2 2021","Currency=USD","Period=FQ","BEST_FPERIOD_OVERRIDE=FQ","FILING_STATUS=MR","SCALING_FORMAT=MLN","Sort=A","Dates=H","DateFormat=P","Fill=—","Direction=H","UseDPDF=Y")</f>
        <v>—</v>
      </c>
      <c r="K71" s="13" t="str" cm="1">
        <f t="array" ref="K71">_xll.BDH("PH US Equity","BS_CURR_RENTAL_EXPENSE","FQ3 2021","FQ3 2021","Currency=USD","Period=FQ","BEST_FPERIOD_OVERRIDE=FQ","FILING_STATUS=MR","SCALING_FORMAT=MLN","Sort=A","Dates=H","DateFormat=P","Fill=—","Direction=H","UseDPDF=Y")</f>
        <v>—</v>
      </c>
      <c r="L71" s="13" t="str" cm="1">
        <f t="array" ref="L71">_xll.BDH("PH US Equity","BS_CURR_RENTAL_EXPENSE","FQ4 2021","FQ4 2021","Currency=USD","Period=FQ","BEST_FPERIOD_OVERRIDE=FQ","FILING_STATUS=MR","SCALING_FORMAT=MLN","Sort=A","Dates=H","DateFormat=P","Fill=—","Direction=H","UseDPDF=Y")</f>
        <v>—</v>
      </c>
      <c r="M71" s="13" t="str" cm="1">
        <f t="array" ref="M71">_xll.BDH("PH US Equity","BS_CURR_RENTAL_EXPENSE","FQ1 2022","FQ1 2022","Currency=USD","Period=FQ","BEST_FPERIOD_OVERRIDE=FQ","FILING_STATUS=MR","SCALING_FORMAT=MLN","Sort=A","Dates=H","DateFormat=P","Fill=—","Direction=H","UseDPDF=Y")</f>
        <v>—</v>
      </c>
      <c r="N71" s="13" t="str" cm="1">
        <f t="array" ref="N71">_xll.BDH("PH US Equity","BS_CURR_RENTAL_EXPENSE","FQ2 2022","FQ2 2022","Currency=USD","Period=FQ","BEST_FPERIOD_OVERRIDE=FQ","FILING_STATUS=MR","SCALING_FORMAT=MLN","Sort=A","Dates=H","DateFormat=P","Fill=—","Direction=H","UseDPDF=Y")</f>
        <v>—</v>
      </c>
      <c r="O71" s="13" t="str" cm="1">
        <f t="array" ref="O71">_xll.BDH("PH US Equity","BS_CURR_RENTAL_EXPENSE","FQ3 2022","FQ3 2022","Currency=USD","Period=FQ","BEST_FPERIOD_OVERRIDE=FQ","FILING_STATUS=MR","SCALING_FORMAT=MLN","Sort=A","Dates=H","DateFormat=P","Fill=—","Direction=H","UseDPDF=Y")</f>
        <v>—</v>
      </c>
      <c r="P71" s="13" t="str" cm="1">
        <f t="array" ref="P71">_xll.BDH("PH US Equity","BS_CURR_RENTAL_EXPENSE","FQ4 2022","FQ4 2022","Currency=USD","Period=FQ","BEST_FPERIOD_OVERRIDE=FQ","FILING_STATUS=MR","SCALING_FORMAT=MLN","Sort=A","Dates=H","DateFormat=P","Fill=—","Direction=H","UseDPDF=Y")</f>
        <v>—</v>
      </c>
      <c r="Q71" s="13" t="str" cm="1">
        <f t="array" ref="Q71">_xll.BDH("PH US Equity","BS_CURR_RENTAL_EXPENSE","FQ1 2023","FQ1 2023","Currency=USD","Period=FQ","BEST_FPERIOD_OVERRIDE=FQ","FILING_STATUS=MR","SCALING_FORMAT=MLN","Sort=A","Dates=H","DateFormat=P","Fill=—","Direction=H","UseDPDF=Y")</f>
        <v>—</v>
      </c>
      <c r="R71" s="13" t="str" cm="1">
        <f t="array" ref="R71">_xll.BDH("PH US Equity","BS_CURR_RENTAL_EXPENSE","FQ2 2023","FQ2 2023","Currency=USD","Period=FQ","BEST_FPERIOD_OVERRIDE=FQ","FILING_STATUS=MR","SCALING_FORMAT=MLN","Sort=A","Dates=H","DateFormat=P","Fill=—","Direction=H","UseDPDF=Y")</f>
        <v>—</v>
      </c>
      <c r="S71" s="13" t="str" cm="1">
        <f t="array" ref="S71">_xll.BDH("PH US Equity","BS_CURR_RENTAL_EXPENSE","FQ3 2023","FQ3 2023","Currency=USD","Period=FQ","BEST_FPERIOD_OVERRIDE=FQ","FILING_STATUS=MR","SCALING_FORMAT=MLN","Sort=A","Dates=H","DateFormat=P","Fill=—","Direction=H","UseDPDF=Y")</f>
        <v>—</v>
      </c>
      <c r="T71" s="13" t="str" cm="1">
        <f t="array" ref="T71">_xll.BDH("PH US Equity","BS_CURR_RENTAL_EXPENSE","FQ4 2023","FQ4 2023","Currency=USD","Period=FQ","BEST_FPERIOD_OVERRIDE=FQ","FILING_STATUS=MR","SCALING_FORMAT=MLN","Sort=A","Dates=H","DateFormat=P","Fill=—","Direction=H","UseDPDF=Y")</f>
        <v>—</v>
      </c>
      <c r="U71" s="13" t="str" cm="1">
        <f t="array" ref="U71">_xll.BDH("PH US Equity","BS_CURR_RENTAL_EXPENSE","FQ1 2024","FQ1 2024","Currency=USD","Period=FQ","BEST_FPERIOD_OVERRIDE=FQ","FILING_STATUS=MR","SCALING_FORMAT=MLN","Sort=A","Dates=H","DateFormat=P","Fill=—","Direction=H","UseDPDF=Y")</f>
        <v>—</v>
      </c>
      <c r="V71" s="13" t="str" cm="1">
        <f t="array" ref="V71">_xll.BDH("PH US Equity","BS_CURR_RENTAL_EXPENSE","FQ2 2024","FQ2 2024","Currency=USD","Period=FQ","BEST_FPERIOD_OVERRIDE=FQ","FILING_STATUS=MR","SCALING_FORMAT=MLN","Sort=A","Dates=H","DateFormat=P","Fill=—","Direction=H","UseDPDF=Y")</f>
        <v>—</v>
      </c>
      <c r="W71" s="13" t="str" cm="1">
        <f t="array" ref="W71">_xll.BDH("PH US Equity","BS_CURR_RENTAL_EXPENSE","FQ3 2024","FQ3 2024","Currency=USD","Period=FQ","BEST_FPERIOD_OVERRIDE=FQ","FILING_STATUS=MR","SCALING_FORMAT=MLN","Sort=A","Dates=H","DateFormat=P","Fill=—","Direction=H","UseDPDF=Y")</f>
        <v>—</v>
      </c>
      <c r="X71" s="13" t="str" cm="1">
        <f t="array" ref="X71">_xll.BDH("PH US Equity","BS_CURR_RENTAL_EXPENSE","FQ4 2024","FQ4 2024","Currency=USD","Period=FQ","BEST_FPERIOD_OVERRIDE=FQ","FILING_STATUS=MR","SCALING_FORMAT=MLN","Sort=A","Dates=H","DateFormat=P","Fill=—","Direction=H","UseDPDF=Y")</f>
        <v>—</v>
      </c>
      <c r="Y71" s="13" t="str" cm="1">
        <f t="array" ref="Y71">_xll.BDH("PH US Equity","BS_CURR_RENTAL_EXPENSE","FQ1 2025","FQ1 2025","Currency=USD","Period=FQ","BEST_FPERIOD_OVERRIDE=FQ","FILING_STATUS=MR","SCALING_FORMAT=MLN","Sort=A","Dates=H","DateFormat=P","Fill=—","Direction=H","UseDPDF=Y")</f>
        <v>—</v>
      </c>
      <c r="Z71" s="13" t="str" cm="1">
        <f t="array" ref="Z71">_xll.BDH("PH US Equity","BS_CURR_RENTAL_EXPENSE","FQ2 2025","FQ2 2025","Currency=USD","Period=FQ","BEST_FPERIOD_OVERRIDE=FQ","FILING_STATUS=MR","SCALING_FORMAT=MLN","Sort=A","Dates=H","DateFormat=P","Fill=—","Direction=H","UseDPDF=Y")</f>
        <v>—</v>
      </c>
      <c r="AA71" s="13" t="str" cm="1">
        <f t="array" ref="AA71">_xll.BDH("PH US Equity","BS_CURR_RENTAL_EXPENSE","FQ3 2025","FQ3 2025","Currency=USD","Period=FQ","BEST_FPERIOD_OVERRIDE=FQ","FILING_STATUS=MR","SCALING_FORMAT=MLN","Sort=A","Dates=H","DateFormat=P","Fill=—","Direction=H","UseDPDF=Y")</f>
        <v>—</v>
      </c>
      <c r="AB71" s="13" t="str" cm="1">
        <f t="array" ref="AB71">_xll.BDH("PH US Equity","BS_CURR_RENTAL_EXPENSE","FQ4 2025","FQ4 2025","Currency=USD","Period=FQ","BEST_FPERIOD_OVERRIDE=FQ","FILING_STATUS=MR","SCALING_FORMAT=MLN","Sort=A","Dates=H","DateFormat=P","Fill=—","Direction=H","UseDPDF=Y")</f>
        <v>—</v>
      </c>
      <c r="AC71" s="13" t="str" cm="1">
        <f t="array" ref="AC71">_xll.BDH("PH US Equity","BS_CURR_RENTAL_EXPENSE","FQ1 2026","FQ1 2026","Currency=USD","Period=FQ","BEST_FPERIOD_OVERRIDE=FQ","FILING_STATUS=MR","SCALING_FORMAT=MLN","Sort=A","Dates=H","DateFormat=P","Fill=—","Direction=H","UseDPDF=Y")</f>
        <v>—</v>
      </c>
      <c r="AD71" s="13" t="str" cm="1">
        <f t="array" ref="AD71">_xll.BDH("PH US Equity","BS_CURR_RENTAL_EXPENSE","FQ2 2026","FQ2 2026","Currency=USD","Period=FQ","BEST_FPERIOD_OVERRIDE=FQ","FILING_STATUS=MR","SCALING_FORMAT=MLN","Sort=A","Dates=H","DateFormat=P","Fill=—","Direction=H","UseDPDF=Y")</f>
        <v>—</v>
      </c>
      <c r="AE71" s="13"/>
      <c r="AF71" s="13"/>
    </row>
    <row r="72" spans="1:32" x14ac:dyDescent="0.25">
      <c r="A72" s="7" t="s">
        <v>182</v>
      </c>
      <c r="B72" s="7"/>
      <c r="C72" s="7" t="s">
        <v>3</v>
      </c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BBG Adjusted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Juan Francisco Rodríguez Rodríguez</cp:lastModifiedBy>
  <dcterms:created xsi:type="dcterms:W3CDTF">2013-04-03T15:49:21Z</dcterms:created>
  <dcterms:modified xsi:type="dcterms:W3CDTF">2026-02-19T03:32:15Z</dcterms:modified>
</cp:coreProperties>
</file>