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66105396-FAED-4F39-9553-25B365A47C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lance Sheet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" i="2" l="1" a="1"/>
  <c r="R15" i="2" a="1"/>
  <c r="R27" i="2" a="1"/>
  <c r="L32" i="2" a="1"/>
  <c r="L15" i="2" a="1"/>
  <c r="X16" i="2" a="1"/>
  <c r="X25" i="2" a="1"/>
  <c r="Y28" i="2" a="1"/>
  <c r="Y9" i="2" a="1"/>
  <c r="F10" i="2" a="1"/>
  <c r="F31" i="2" a="1"/>
  <c r="AD17" i="2" a="1"/>
  <c r="AD13" i="2" a="1"/>
  <c r="G11" i="2" a="1"/>
  <c r="G13" i="2" a="1"/>
  <c r="G7" i="2" a="1"/>
  <c r="S10" i="2" a="1"/>
  <c r="S30" i="2" a="1"/>
  <c r="AC23" i="2" a="1"/>
  <c r="AC9" i="2" a="1"/>
  <c r="AE17" i="2" a="1"/>
  <c r="AE20" i="2" a="1"/>
  <c r="M17" i="2" a="1"/>
  <c r="M15" i="2" a="1"/>
  <c r="E14" i="2" a="1"/>
  <c r="E15" i="2" a="1"/>
  <c r="G33" i="2" a="1"/>
  <c r="G17" i="2" a="1"/>
  <c r="G28" i="2" a="1"/>
  <c r="G19" i="2" a="1"/>
  <c r="O23" i="2" a="1"/>
  <c r="O78" i="2" a="1"/>
  <c r="AA19" i="2" a="1"/>
  <c r="AA47" i="2" a="1"/>
  <c r="V8" i="2" a="1"/>
  <c r="V32" i="2" a="1"/>
  <c r="V13" i="2" a="1"/>
  <c r="I22" i="2" a="1"/>
  <c r="I16" i="2" a="1"/>
  <c r="W16" i="2" a="1"/>
  <c r="W34" i="2" a="1"/>
  <c r="K14" i="2" a="1"/>
  <c r="K7" i="2" a="1"/>
  <c r="Q35" i="2" a="1"/>
  <c r="K15" i="2" a="1"/>
  <c r="J7" i="2" a="1"/>
  <c r="J15" i="2" a="1"/>
  <c r="U24" i="2" a="1"/>
  <c r="U52" i="2" a="1"/>
  <c r="U79" i="2" a="1"/>
  <c r="D9" i="2" a="1"/>
  <c r="D7" i="2" a="1"/>
  <c r="H53" i="2" a="1"/>
  <c r="H59" i="2" a="1"/>
  <c r="Y43" i="2" a="1"/>
  <c r="Y20" i="2" a="1"/>
  <c r="Y45" i="2" a="1"/>
  <c r="Y69" i="2" a="1"/>
  <c r="C53" i="2" a="1"/>
  <c r="C29" i="2" a="1"/>
  <c r="P12" i="2" a="1"/>
  <c r="P14" i="2" a="1"/>
  <c r="N28" i="2" a="1"/>
  <c r="N22" i="2" a="1"/>
  <c r="S23" i="2" a="1"/>
  <c r="S22" i="2" a="1"/>
  <c r="S70" i="2" a="1"/>
  <c r="S29" i="2" a="1"/>
  <c r="M19" i="2" a="1"/>
  <c r="M18" i="2" a="1"/>
  <c r="M27" i="2" a="1"/>
  <c r="AB45" i="2" a="1"/>
  <c r="AB12" i="2" a="1"/>
  <c r="AB15" i="2" a="1"/>
  <c r="L55" i="2" a="1"/>
  <c r="R13" i="2" a="1"/>
  <c r="R21" i="2" a="1"/>
  <c r="L20" i="2" a="1"/>
  <c r="L29" i="2" a="1"/>
  <c r="L10" i="2" a="1"/>
  <c r="X9" i="2" a="1"/>
  <c r="X10" i="2" a="1"/>
  <c r="Y19" i="2" a="1"/>
  <c r="Y16" i="2" a="1"/>
  <c r="F22" i="2" a="1"/>
  <c r="F13" i="2" a="1"/>
  <c r="AD23" i="2" a="1"/>
  <c r="AD29" i="2" a="1"/>
  <c r="G15" i="2" a="1"/>
  <c r="G22" i="2" a="1"/>
  <c r="S24" i="2" a="1"/>
  <c r="S12" i="2" a="1"/>
  <c r="S15" i="2" a="1"/>
  <c r="AC13" i="2" a="1"/>
  <c r="AC29" i="2" a="1"/>
  <c r="AE13" i="2" a="1"/>
  <c r="AE14" i="2" a="1"/>
  <c r="R14" i="2" a="1"/>
  <c r="R11" i="2" a="1"/>
  <c r="L8" i="2" a="1"/>
  <c r="L11" i="2" a="1"/>
  <c r="X12" i="2" a="1"/>
  <c r="X28" i="2" a="1"/>
  <c r="X8" i="2" a="1"/>
  <c r="Y11" i="2" a="1"/>
  <c r="Y13" i="2" a="1"/>
  <c r="F25" i="2" a="1"/>
  <c r="F12" i="2" a="1"/>
  <c r="AD10" i="2" a="1"/>
  <c r="AD9" i="2" a="1"/>
  <c r="G25" i="2" a="1"/>
  <c r="G8" i="2" a="1"/>
  <c r="S18" i="2" a="1"/>
  <c r="S14" i="2" a="1"/>
  <c r="AC15" i="2" a="1"/>
  <c r="AC59" i="2" a="1"/>
  <c r="AC17" i="2" a="1"/>
  <c r="R24" i="2" a="1"/>
  <c r="R18" i="2" a="1"/>
  <c r="L23" i="2" a="1"/>
  <c r="L9" i="2" a="1"/>
  <c r="X31" i="2" a="1"/>
  <c r="X14" i="2" a="1"/>
  <c r="Y14" i="2" a="1"/>
  <c r="Y15" i="2" a="1"/>
  <c r="Y12" i="2" a="1"/>
  <c r="F34" i="2" a="1"/>
  <c r="F14" i="2" a="1"/>
  <c r="AD20" i="2" a="1"/>
  <c r="AD14" i="2" a="1"/>
  <c r="G14" i="2" a="1"/>
  <c r="G31" i="2" a="1"/>
  <c r="S21" i="2" a="1"/>
  <c r="S11" i="2" a="1"/>
  <c r="AC7" i="2" a="1"/>
  <c r="AC8" i="2" a="1"/>
  <c r="AE32" i="2" a="1"/>
  <c r="AE8" i="2" a="1"/>
  <c r="AE7" i="2" a="1"/>
  <c r="M32" i="2" a="1"/>
  <c r="M23" i="2" a="1"/>
  <c r="E25" i="2" a="1"/>
  <c r="E10" i="2" a="1"/>
  <c r="G24" i="2" a="1"/>
  <c r="G27" i="2" a="1"/>
  <c r="G44" i="2" a="1"/>
  <c r="G23" i="2" a="1"/>
  <c r="R8" i="2" a="1"/>
  <c r="R16" i="2" a="1"/>
  <c r="L16" i="2" a="1"/>
  <c r="L7" i="2" a="1"/>
  <c r="X34" i="2" a="1"/>
  <c r="X19" i="2" a="1"/>
  <c r="Y25" i="2" a="1"/>
  <c r="Y7" i="2" a="1"/>
  <c r="F9" i="2" a="1"/>
  <c r="F19" i="2" a="1"/>
  <c r="F7" i="2" a="1"/>
  <c r="AD26" i="2" a="1"/>
  <c r="AD32" i="2" a="1"/>
  <c r="G12" i="2" a="1"/>
  <c r="G34" i="2" a="1"/>
  <c r="S13" i="2" a="1"/>
  <c r="S27" i="2" a="1"/>
  <c r="AC12" i="2" a="1"/>
  <c r="AC10" i="2" a="1"/>
  <c r="AE9" i="2" a="1"/>
  <c r="AE29" i="2" a="1"/>
  <c r="M12" i="2" a="1"/>
  <c r="M13" i="2" a="1"/>
  <c r="M7" i="2" a="1"/>
  <c r="E12" i="2" a="1"/>
  <c r="E11" i="2" a="1"/>
  <c r="G42" i="2" a="1"/>
  <c r="G68" i="2" a="1"/>
  <c r="G40" i="2" a="1"/>
  <c r="O37" i="2" a="1"/>
  <c r="O17" i="2" a="1"/>
  <c r="O56" i="2" a="1"/>
  <c r="AA80" i="2" a="1"/>
  <c r="AA45" i="2" a="1"/>
  <c r="V26" i="2" a="1"/>
  <c r="V11" i="2" a="1"/>
  <c r="I44" i="2" a="1"/>
  <c r="I30" i="2" a="1"/>
  <c r="W8" i="2" a="1"/>
  <c r="W11" i="2" a="1"/>
  <c r="K11" i="2" a="1"/>
  <c r="Q13" i="2" a="1"/>
  <c r="K12" i="2" a="1"/>
  <c r="K8" i="2" a="1"/>
  <c r="Q21" i="2" a="1"/>
  <c r="J11" i="2" a="1"/>
  <c r="J12" i="2" a="1"/>
  <c r="U26" i="2" a="1"/>
  <c r="U32" i="2" a="1"/>
  <c r="D11" i="2" a="1"/>
  <c r="D12" i="2" a="1"/>
  <c r="H10" i="2" a="1"/>
  <c r="H12" i="2" a="1"/>
  <c r="Y18" i="2" a="1"/>
  <c r="Y47" i="2" a="1"/>
  <c r="Y10" i="2" a="1"/>
  <c r="Y32" i="2" a="1"/>
  <c r="C56" i="2" a="1"/>
  <c r="C13" i="2" a="1"/>
  <c r="R12" i="2" a="1"/>
  <c r="R30" i="2" a="1"/>
  <c r="L13" i="2" a="1"/>
  <c r="L17" i="2" a="1"/>
  <c r="X22" i="2" a="1"/>
  <c r="X7" i="2" a="1"/>
  <c r="Y49" i="2" a="1"/>
  <c r="Y34" i="2" a="1"/>
  <c r="F28" i="2" a="1"/>
  <c r="F56" i="2" a="1"/>
  <c r="AD11" i="2" a="1"/>
  <c r="AD12" i="2" a="1"/>
  <c r="AD7" i="2" a="1"/>
  <c r="G9" i="2" a="1"/>
  <c r="G10" i="2" a="1"/>
  <c r="S8" i="2" a="1"/>
  <c r="S7" i="2" a="1"/>
  <c r="AC47" i="2" a="1"/>
  <c r="AC11" i="2" a="1"/>
  <c r="AE12" i="2" a="1"/>
  <c r="AE26" i="2" a="1"/>
  <c r="M20" i="2" a="1"/>
  <c r="M8" i="2" a="1"/>
  <c r="E31" i="2" a="1"/>
  <c r="E37" i="2" a="1"/>
  <c r="E8" i="2" a="1"/>
  <c r="G29" i="2" a="1"/>
  <c r="G30" i="2" a="1"/>
  <c r="G18" i="2" a="1"/>
  <c r="O25" i="2" a="1"/>
  <c r="O67" i="2" a="1"/>
  <c r="AA31" i="2" a="1"/>
  <c r="AA33" i="2" a="1"/>
  <c r="AA49" i="2" a="1"/>
  <c r="V7" i="2" a="1"/>
  <c r="V9" i="2" a="1"/>
  <c r="I28" i="2" a="1"/>
  <c r="I40" i="2" a="1"/>
  <c r="W7" i="2" a="1"/>
  <c r="W46" i="2" a="1"/>
  <c r="K26" i="2" a="1"/>
  <c r="K20" i="2" a="1"/>
  <c r="Q14" i="2" a="1"/>
  <c r="K13" i="2" a="1"/>
  <c r="J36" i="2" a="1"/>
  <c r="J13" i="2" a="1"/>
  <c r="J18" i="2" a="1"/>
  <c r="U18" i="2" a="1"/>
  <c r="U51" i="2" a="1"/>
  <c r="D14" i="2" a="1"/>
  <c r="D45" i="2" a="1"/>
  <c r="H14" i="2" a="1"/>
  <c r="H23" i="2" a="1"/>
  <c r="Y35" i="2" a="1"/>
  <c r="Y22" i="2" a="1"/>
  <c r="Y24" i="2" a="1"/>
  <c r="Y23" i="2" a="1"/>
  <c r="C41" i="2" a="1"/>
  <c r="C7" i="2" a="1"/>
  <c r="P9" i="2" a="1"/>
  <c r="P8" i="2" a="1"/>
  <c r="N48" i="2" a="1"/>
  <c r="N54" i="2" a="1"/>
  <c r="S25" i="2" a="1"/>
  <c r="S40" i="2" a="1"/>
  <c r="S16" i="2" a="1"/>
  <c r="S54" i="2" a="1"/>
  <c r="M37" i="2" a="1"/>
  <c r="M35" i="2" a="1"/>
  <c r="M14" i="2" a="1"/>
  <c r="M45" i="2" a="1"/>
  <c r="AB21" i="2" a="1"/>
  <c r="AB8" i="2" a="1"/>
  <c r="L35" i="2" a="1"/>
  <c r="L41" i="2" a="1"/>
  <c r="M29" i="2" a="1"/>
  <c r="E13" i="2" a="1"/>
  <c r="G46" i="2" a="1"/>
  <c r="AA21" i="2" a="1"/>
  <c r="I34" i="2" a="1"/>
  <c r="W28" i="2" a="1"/>
  <c r="J20" i="2" a="1"/>
  <c r="U20" i="2" a="1"/>
  <c r="D35" i="2" a="1"/>
  <c r="C21" i="2" a="1"/>
  <c r="L26" i="2" a="1"/>
  <c r="F8" i="2" a="1"/>
  <c r="F20" i="2" a="1"/>
  <c r="AD15" i="2" a="1"/>
  <c r="AD8" i="2" a="1"/>
  <c r="O31" i="2" a="1"/>
  <c r="W13" i="2" a="1"/>
  <c r="Q10" i="2" a="1"/>
  <c r="K32" i="2" a="1"/>
  <c r="D8" i="2" a="1"/>
  <c r="H27" i="2" a="1"/>
  <c r="Y17" i="2" a="1"/>
  <c r="P19" i="2" a="1"/>
  <c r="N15" i="2" a="1"/>
  <c r="S26" i="2" a="1"/>
  <c r="S46" i="2" a="1"/>
  <c r="M43" i="2" a="1"/>
  <c r="M71" i="2" a="1"/>
  <c r="AB14" i="2" a="1"/>
  <c r="L24" i="2" a="1"/>
  <c r="L44" i="2" a="1"/>
  <c r="F33" i="2" a="1"/>
  <c r="AD53" i="2" a="1"/>
  <c r="R43" i="2" a="1"/>
  <c r="R44" i="2" a="1"/>
  <c r="R35" i="2" a="1"/>
  <c r="T17" i="2" a="1"/>
  <c r="T7" i="2" a="1"/>
  <c r="AF10" i="2" a="1"/>
  <c r="AF27" i="2" a="1"/>
  <c r="AE19" i="2" a="1"/>
  <c r="AE48" i="2" a="1"/>
  <c r="AE10" i="2" a="1"/>
  <c r="AE24" i="2" a="1"/>
  <c r="H24" i="2" a="1"/>
  <c r="H29" i="2" a="1"/>
  <c r="H49" i="2" a="1"/>
  <c r="H57" i="2" a="1"/>
  <c r="O50" i="2" a="1"/>
  <c r="O33" i="2" a="1"/>
  <c r="O55" i="2" a="1"/>
  <c r="X26" i="2" a="1"/>
  <c r="X13" i="2" a="1"/>
  <c r="X20" i="2" a="1"/>
  <c r="X44" i="2" a="1"/>
  <c r="Z46" i="2" a="1"/>
  <c r="Z9" i="2" a="1"/>
  <c r="I11" i="2" a="1"/>
  <c r="I68" i="2" a="1"/>
  <c r="I12" i="2" a="1"/>
  <c r="M10" i="2" a="1"/>
  <c r="G32" i="2" a="1"/>
  <c r="G76" i="2" a="1"/>
  <c r="O21" i="2" a="1"/>
  <c r="V12" i="2" a="1"/>
  <c r="I49" i="2" a="1"/>
  <c r="Q33" i="2" a="1"/>
  <c r="J24" i="2" a="1"/>
  <c r="U30" i="2" a="1"/>
  <c r="Y21" i="2" a="1"/>
  <c r="C23" i="2" a="1"/>
  <c r="I18" i="2" a="1"/>
  <c r="W10" i="2" a="1"/>
  <c r="K9" i="2" a="1"/>
  <c r="U36" i="2" a="1"/>
  <c r="D29" i="2" a="1"/>
  <c r="H33" i="2" a="1"/>
  <c r="P35" i="2" a="1"/>
  <c r="N9" i="2" a="1"/>
  <c r="S33" i="2" a="1"/>
  <c r="M11" i="2" a="1"/>
  <c r="G16" i="2" a="1"/>
  <c r="G20" i="2" a="1"/>
  <c r="AA35" i="2" a="1"/>
  <c r="V10" i="2" a="1"/>
  <c r="Q27" i="2" a="1"/>
  <c r="Q11" i="2" a="1"/>
  <c r="J9" i="2" a="1"/>
  <c r="Y31" i="2" a="1"/>
  <c r="Y29" i="2" a="1"/>
  <c r="C35" i="2" a="1"/>
  <c r="P31" i="2" a="1"/>
  <c r="N34" i="2" a="1"/>
  <c r="S34" i="2" a="1"/>
  <c r="S9" i="2" a="1"/>
  <c r="M30" i="2" a="1"/>
  <c r="M21" i="2" a="1"/>
  <c r="AB9" i="2" a="1"/>
  <c r="L51" i="2" a="1"/>
  <c r="L34" i="2" a="1"/>
  <c r="F57" i="2" a="1"/>
  <c r="AD21" i="2" a="1"/>
  <c r="AE23" i="2" a="1"/>
  <c r="V36" i="2" a="1"/>
  <c r="I51" i="2" a="1"/>
  <c r="W22" i="2" a="1"/>
  <c r="J44" i="2" a="1"/>
  <c r="D41" i="2" a="1"/>
  <c r="H17" i="2" a="1"/>
  <c r="C27" i="2" a="1"/>
  <c r="P7" i="2" a="1"/>
  <c r="N24" i="2" a="1"/>
  <c r="S19" i="2" a="1"/>
  <c r="S17" i="2" a="1"/>
  <c r="M22" i="2" a="1"/>
  <c r="M26" i="2" a="1"/>
  <c r="AB10" i="2" a="1"/>
  <c r="L28" i="2" a="1"/>
  <c r="F42" i="2" a="1"/>
  <c r="F15" i="2" a="1"/>
  <c r="F17" i="2" a="1"/>
  <c r="AD31" i="2" a="1"/>
  <c r="AD42" i="2" a="1"/>
  <c r="R17" i="2" a="1"/>
  <c r="R7" i="2" a="1"/>
  <c r="R22" i="2" a="1"/>
  <c r="R9" i="2" a="1"/>
  <c r="T49" i="2" a="1"/>
  <c r="T25" i="2" a="1"/>
  <c r="AF55" i="2" a="1"/>
  <c r="AF31" i="2" a="1"/>
  <c r="AE21" i="2" a="1"/>
  <c r="AE28" i="2" a="1"/>
  <c r="AE16" i="2" a="1"/>
  <c r="AE27" i="2" a="1"/>
  <c r="E9" i="2" a="1"/>
  <c r="G26" i="2" a="1"/>
  <c r="O43" i="2" a="1"/>
  <c r="AA41" i="2" a="1"/>
  <c r="W14" i="2" a="1"/>
  <c r="Q12" i="2" a="1"/>
  <c r="Q8" i="2" a="1"/>
  <c r="H21" i="2" a="1"/>
  <c r="Y8" i="2" a="1"/>
  <c r="Y41" i="2" a="1"/>
  <c r="L52" i="2" a="1"/>
  <c r="F32" i="2" a="1"/>
  <c r="F47" i="2" a="1"/>
  <c r="AD19" i="2" a="1"/>
  <c r="AD51" i="2" a="1"/>
  <c r="AA27" i="2" a="1"/>
  <c r="V42" i="2" a="1"/>
  <c r="I36" i="2" a="1"/>
  <c r="Q15" i="2" a="1"/>
  <c r="U10" i="2" a="1"/>
  <c r="D10" i="2" a="1"/>
  <c r="Y33" i="2" a="1"/>
  <c r="C17" i="2" a="1"/>
  <c r="P25" i="2" a="1"/>
  <c r="N16" i="2" a="1"/>
  <c r="S28" i="2" a="1"/>
  <c r="S36" i="2" a="1"/>
  <c r="M31" i="2" a="1"/>
  <c r="AB7" i="2" a="1"/>
  <c r="L53" i="2" a="1"/>
  <c r="L27" i="2" a="1"/>
  <c r="L45" i="2" a="1"/>
  <c r="AD18" i="2" a="1"/>
  <c r="R37" i="2" a="1"/>
  <c r="R29" i="2" a="1"/>
  <c r="R40" i="2" a="1"/>
  <c r="R41" i="2" a="1"/>
  <c r="T11" i="2" a="1"/>
  <c r="T14" i="2" a="1"/>
  <c r="AF19" i="2" a="1"/>
  <c r="AF51" i="2" a="1"/>
  <c r="AE42" i="2" a="1"/>
  <c r="AE15" i="2" a="1"/>
  <c r="AE18" i="2" a="1"/>
  <c r="AE68" i="2" a="1"/>
  <c r="H26" i="2" a="1"/>
  <c r="H22" i="2" a="1"/>
  <c r="H11" i="2" a="1"/>
  <c r="O65" i="2" a="1"/>
  <c r="O7" i="2" a="1"/>
  <c r="O57" i="2" a="1"/>
  <c r="O90" i="2" a="1"/>
  <c r="X46" i="2" a="1"/>
  <c r="X17" i="2" a="1"/>
  <c r="X29" i="2" a="1"/>
  <c r="X40" i="2" a="1"/>
  <c r="Z13" i="2" a="1"/>
  <c r="Z26" i="2" a="1"/>
  <c r="I10" i="2" a="1"/>
  <c r="I53" i="2" a="1"/>
  <c r="I13" i="2" a="1"/>
  <c r="T9" i="2" a="1"/>
  <c r="T30" i="2" a="1"/>
  <c r="T16" i="2" a="1"/>
  <c r="T36" i="2" a="1"/>
  <c r="N10" i="2" a="1"/>
  <c r="N14" i="2" a="1"/>
  <c r="N26" i="2" a="1"/>
  <c r="N27" i="2" a="1"/>
  <c r="U78" i="2" a="1"/>
  <c r="U60" i="2" a="1"/>
  <c r="U28" i="2" a="1"/>
  <c r="AE11" i="2" a="1"/>
  <c r="E19" i="2" a="1"/>
  <c r="G36" i="2" a="1"/>
  <c r="O35" i="2" a="1"/>
  <c r="I77" i="2" a="1"/>
  <c r="W12" i="2" a="1"/>
  <c r="Q7" i="2" a="1"/>
  <c r="D23" i="2" a="1"/>
  <c r="H51" i="2" a="1"/>
  <c r="Y26" i="2" a="1"/>
  <c r="L12" i="2" a="1"/>
  <c r="L63" i="2" a="1"/>
  <c r="F41" i="2" a="1"/>
  <c r="F29" i="2" a="1"/>
  <c r="AD33" i="2" a="1"/>
  <c r="AD25" i="2" a="1"/>
  <c r="AD30" i="2" a="1"/>
  <c r="R50" i="2" a="1"/>
  <c r="O19" i="2" a="1"/>
  <c r="AA15" i="2" a="1"/>
  <c r="V46" i="2" a="1"/>
  <c r="K36" i="2" a="1"/>
  <c r="J40" i="2" a="1"/>
  <c r="U54" i="2" a="1"/>
  <c r="Y27" i="2" a="1"/>
  <c r="C45" i="2" a="1"/>
  <c r="P37" i="2" a="1"/>
  <c r="P43" i="2" a="1"/>
  <c r="N18" i="2" a="1"/>
  <c r="S20" i="2" a="1"/>
  <c r="M41" i="2" a="1"/>
  <c r="M24" i="2" a="1"/>
  <c r="AB27" i="2" a="1"/>
  <c r="L22" i="2" a="1"/>
  <c r="F21" i="2" a="1"/>
  <c r="F26" i="2" a="1"/>
  <c r="AD49" i="2" a="1"/>
  <c r="AD41" i="2" a="1"/>
  <c r="R45" i="2" a="1"/>
  <c r="R25" i="2" a="1"/>
  <c r="R19" i="2" a="1"/>
  <c r="T19" i="2" a="1"/>
  <c r="T12" i="2" a="1"/>
  <c r="T10" i="2" a="1"/>
  <c r="AF33" i="2" a="1"/>
  <c r="AF12" i="2" a="1"/>
  <c r="AE22" i="2" a="1"/>
  <c r="AE44" i="2" a="1"/>
  <c r="AE30" i="2" a="1"/>
  <c r="H31" i="2" a="1"/>
  <c r="H16" i="2" a="1"/>
  <c r="P11" i="2" a="1"/>
  <c r="S32" i="2" a="1"/>
  <c r="AB35" i="2" a="1"/>
  <c r="R31" i="2" a="1"/>
  <c r="T23" i="2" a="1"/>
  <c r="AF21" i="2" a="1"/>
  <c r="AE72" i="2" a="1"/>
  <c r="T33" i="2" a="1"/>
  <c r="T42" i="2" a="1"/>
  <c r="N29" i="2" a="1"/>
  <c r="U12" i="2" a="1"/>
  <c r="C47" i="2" a="1"/>
  <c r="C9" i="2" a="1"/>
  <c r="Z23" i="2" a="1"/>
  <c r="Z29" i="2" a="1"/>
  <c r="AF22" i="2" a="1"/>
  <c r="AF18" i="2" a="1"/>
  <c r="L46" i="2" a="1"/>
  <c r="L69" i="2" a="1"/>
  <c r="AD16" i="2" a="1"/>
  <c r="AD40" i="2" a="1"/>
  <c r="X27" i="2" a="1"/>
  <c r="X75" i="2" a="1"/>
  <c r="X58" i="2" a="1"/>
  <c r="Q63" i="2" a="1"/>
  <c r="Q65" i="2" a="1"/>
  <c r="Q29" i="2" a="1"/>
  <c r="Q41" i="2" a="1"/>
  <c r="F69" i="2" a="1"/>
  <c r="F18" i="2" a="1"/>
  <c r="F74" i="2" a="1"/>
  <c r="F44" i="2" a="1"/>
  <c r="V66" i="2" a="1"/>
  <c r="V37" i="2" a="1"/>
  <c r="V64" i="2" a="1"/>
  <c r="AA57" i="2" a="1"/>
  <c r="AA14" i="2" a="1"/>
  <c r="AA13" i="2" a="1"/>
  <c r="AA9" i="2" a="1"/>
  <c r="W58" i="2" a="1"/>
  <c r="W76" i="2" a="1"/>
  <c r="W52" i="2" a="1"/>
  <c r="W18" i="2" a="1"/>
  <c r="R88" i="2" a="1"/>
  <c r="R32" i="2" a="1"/>
  <c r="R54" i="2" a="1"/>
  <c r="E63" i="2" a="1"/>
  <c r="E29" i="2" a="1"/>
  <c r="E43" i="2" a="1"/>
  <c r="E53" i="2" a="1"/>
  <c r="K66" i="2" a="1"/>
  <c r="K76" i="2" a="1"/>
  <c r="K50" i="2" a="1"/>
  <c r="K30" i="2" a="1"/>
  <c r="P45" i="2" a="1"/>
  <c r="P28" i="2" a="1"/>
  <c r="P18" i="2" a="1"/>
  <c r="AA46" i="2" a="1"/>
  <c r="AA98" i="2" a="1"/>
  <c r="AA77" i="2" a="1"/>
  <c r="AA63" i="2" a="1"/>
  <c r="AC55" i="2" a="1"/>
  <c r="O29" i="2" a="1"/>
  <c r="J30" i="2" a="1"/>
  <c r="P10" i="2" a="1"/>
  <c r="M16" i="2" a="1"/>
  <c r="L14" i="2" a="1"/>
  <c r="H19" i="2" a="1"/>
  <c r="H15" i="2" a="1"/>
  <c r="O77" i="2" a="1"/>
  <c r="X18" i="2" a="1"/>
  <c r="X37" i="2" a="1"/>
  <c r="Z30" i="2" a="1"/>
  <c r="I46" i="2" a="1"/>
  <c r="I14" i="2" a="1"/>
  <c r="T28" i="2" a="1"/>
  <c r="N41" i="2" a="1"/>
  <c r="N30" i="2" a="1"/>
  <c r="U62" i="2" a="1"/>
  <c r="C8" i="2" a="1"/>
  <c r="C11" i="2" a="1"/>
  <c r="C15" i="2" a="1"/>
  <c r="Z19" i="2" a="1"/>
  <c r="Z22" i="2" a="1"/>
  <c r="Z41" i="2" a="1"/>
  <c r="AF29" i="2" a="1"/>
  <c r="AF61" i="2" a="1"/>
  <c r="AF30" i="2" a="1"/>
  <c r="L49" i="2" a="1"/>
  <c r="L66" i="2" a="1"/>
  <c r="L57" i="2" a="1"/>
  <c r="AD73" i="2" a="1"/>
  <c r="R28" i="2" a="1"/>
  <c r="X11" i="2" a="1"/>
  <c r="X43" i="2" a="1"/>
  <c r="I20" i="2" a="1"/>
  <c r="I55" i="2" a="1"/>
  <c r="T44" i="2" a="1"/>
  <c r="N8" i="2" a="1"/>
  <c r="N52" i="2" a="1"/>
  <c r="U50" i="2" a="1"/>
  <c r="C10" i="2" a="1"/>
  <c r="Z33" i="2" a="1"/>
  <c r="AD37" i="2" a="1"/>
  <c r="AD47" i="2" a="1"/>
  <c r="AD57" i="2" a="1"/>
  <c r="X74" i="2" a="1"/>
  <c r="X67" i="2" a="1"/>
  <c r="Q59" i="2" a="1"/>
  <c r="Q55" i="2" a="1"/>
  <c r="Q81" i="2" a="1"/>
  <c r="U42" i="2" a="1"/>
  <c r="M28" i="2" a="1"/>
  <c r="L33" i="2" a="1"/>
  <c r="F27" i="2" a="1"/>
  <c r="AD45" i="2" a="1"/>
  <c r="T31" i="2" a="1"/>
  <c r="AF8" i="2" a="1"/>
  <c r="AE31" i="2" a="1"/>
  <c r="H20" i="2" a="1"/>
  <c r="O13" i="2" a="1"/>
  <c r="O45" i="2" a="1"/>
  <c r="Z12" i="2" a="1"/>
  <c r="N17" i="2" a="1"/>
  <c r="U22" i="2" a="1"/>
  <c r="AF24" i="2" a="1"/>
  <c r="X21" i="2" a="1"/>
  <c r="AA25" i="2" a="1"/>
  <c r="N11" i="2" a="1"/>
  <c r="F23" i="2" a="1"/>
  <c r="AD48" i="2" a="1"/>
  <c r="H42" i="2" a="1"/>
  <c r="O54" i="2" a="1"/>
  <c r="O8" i="2" a="1"/>
  <c r="X30" i="2" a="1"/>
  <c r="X42" i="2" a="1"/>
  <c r="Z11" i="2" a="1"/>
  <c r="I32" i="2" a="1"/>
  <c r="I48" i="2" a="1"/>
  <c r="T47" i="2" a="1"/>
  <c r="T34" i="2" a="1"/>
  <c r="N19" i="2" a="1"/>
  <c r="U11" i="2" a="1"/>
  <c r="C43" i="2" a="1"/>
  <c r="C54" i="2" a="1"/>
  <c r="V20" i="2" a="1"/>
  <c r="D17" i="2" a="1"/>
  <c r="N7" i="2" a="1"/>
  <c r="M25" i="2" a="1"/>
  <c r="L40" i="2" a="1"/>
  <c r="F35" i="2" a="1"/>
  <c r="AD27" i="2" a="1"/>
  <c r="R34" i="2" a="1"/>
  <c r="T8" i="2" a="1"/>
  <c r="AE40" i="2" a="1"/>
  <c r="AE33" i="2" a="1"/>
  <c r="T18" i="2" a="1"/>
  <c r="N35" i="2" a="1"/>
  <c r="N37" i="2" a="1"/>
  <c r="U49" i="2" a="1"/>
  <c r="C51" i="2" a="1"/>
  <c r="C64" i="2" a="1"/>
  <c r="C66" i="2" a="1"/>
  <c r="Z34" i="2" a="1"/>
  <c r="Z16" i="2" a="1"/>
  <c r="Z43" i="2" a="1"/>
  <c r="AF13" i="2" a="1"/>
  <c r="AF16" i="2" a="1"/>
  <c r="AF34" i="2" a="1"/>
  <c r="L36" i="2" a="1"/>
  <c r="L48" i="2" a="1"/>
  <c r="AD77" i="2" a="1"/>
  <c r="AD28" i="2" a="1"/>
  <c r="AD62" i="2" a="1"/>
  <c r="X41" i="2" a="1"/>
  <c r="X51" i="2" a="1"/>
  <c r="X47" i="2" a="1"/>
  <c r="X45" i="2" a="1"/>
  <c r="Q23" i="2" a="1"/>
  <c r="Q67" i="2" a="1"/>
  <c r="Q25" i="2" a="1"/>
  <c r="Q37" i="2" a="1"/>
  <c r="F49" i="2" a="1"/>
  <c r="F43" i="2" a="1"/>
  <c r="F62" i="2" a="1"/>
  <c r="V41" i="2" a="1"/>
  <c r="V43" i="2" a="1"/>
  <c r="V52" i="2" a="1"/>
  <c r="V62" i="2" a="1"/>
  <c r="AA11" i="2" a="1"/>
  <c r="M33" i="2" a="1"/>
  <c r="L18" i="2" a="1"/>
  <c r="F51" i="2" a="1"/>
  <c r="AD24" i="2" a="1"/>
  <c r="H18" i="2" a="1"/>
  <c r="O14" i="2" a="1"/>
  <c r="O71" i="2" a="1"/>
  <c r="X36" i="2" a="1"/>
  <c r="X24" i="2" a="1"/>
  <c r="Z7" i="2" a="1"/>
  <c r="I7" i="2" a="1"/>
  <c r="I47" i="2" a="1"/>
  <c r="T22" i="2" a="1"/>
  <c r="T24" i="2" a="1"/>
  <c r="N33" i="2" a="1"/>
  <c r="U56" i="2" a="1"/>
  <c r="C19" i="2" a="1"/>
  <c r="Z15" i="2" a="1"/>
  <c r="AF44" i="2" a="1"/>
  <c r="L59" i="2" a="1"/>
  <c r="M9" i="2" a="1"/>
  <c r="I24" i="2" a="1"/>
  <c r="H8" i="2" a="1"/>
  <c r="N13" i="2" a="1"/>
  <c r="M53" i="2" a="1"/>
  <c r="L21" i="2" a="1"/>
  <c r="F36" i="2" a="1"/>
  <c r="AD43" i="2" a="1"/>
  <c r="R33" i="2" a="1"/>
  <c r="AF15" i="2" a="1"/>
  <c r="AE25" i="2" a="1"/>
  <c r="H34" i="2" a="1"/>
  <c r="I15" i="2" a="1"/>
  <c r="T20" i="2" a="1"/>
  <c r="N21" i="2" a="1"/>
  <c r="N31" i="2" a="1"/>
  <c r="U13" i="2" a="1"/>
  <c r="U44" i="2" a="1"/>
  <c r="U34" i="2" a="1"/>
  <c r="C93" i="2" a="1"/>
  <c r="C69" i="2" a="1"/>
  <c r="Z25" i="2" a="1"/>
  <c r="Z27" i="2" a="1"/>
  <c r="AF32" i="2" a="1"/>
  <c r="L43" i="2" a="1"/>
  <c r="L64" i="2" a="1"/>
  <c r="AD44" i="2" a="1"/>
  <c r="AD22" i="2" a="1"/>
  <c r="AD55" i="2" a="1"/>
  <c r="X60" i="2" a="1"/>
  <c r="X70" i="2" a="1"/>
  <c r="X71" i="2" a="1"/>
  <c r="X62" i="2" a="1"/>
  <c r="Q43" i="2" a="1"/>
  <c r="Q77" i="2" a="1"/>
  <c r="Q53" i="2" a="1"/>
  <c r="Q61" i="2" a="1"/>
  <c r="F54" i="2" a="1"/>
  <c r="F24" i="2" a="1"/>
  <c r="F81" i="2" a="1"/>
  <c r="V48" i="2" a="1"/>
  <c r="V74" i="2" a="1"/>
  <c r="V80" i="2" a="1"/>
  <c r="V68" i="2" a="1"/>
  <c r="AA73" i="2" a="1"/>
  <c r="AA55" i="2" a="1"/>
  <c r="AA7" i="2" a="1"/>
  <c r="AA10" i="2" a="1"/>
  <c r="W62" i="2" a="1"/>
  <c r="W42" i="2" a="1"/>
  <c r="W24" i="2" a="1"/>
  <c r="R36" i="2" a="1"/>
  <c r="R71" i="2" a="1"/>
  <c r="R56" i="2" a="1"/>
  <c r="R57" i="2" a="1"/>
  <c r="E35" i="2" a="1"/>
  <c r="H7" i="2" a="1"/>
  <c r="S42" i="2" a="1"/>
  <c r="F16" i="2" a="1"/>
  <c r="AD61" i="2" a="1"/>
  <c r="H28" i="2" a="1"/>
  <c r="O41" i="2" a="1"/>
  <c r="O10" i="2" a="1"/>
  <c r="X54" i="2" a="1"/>
  <c r="X66" i="2" a="1"/>
  <c r="Z18" i="2" a="1"/>
  <c r="I61" i="2" a="1"/>
  <c r="T27" i="2" a="1"/>
  <c r="N43" i="2" a="1"/>
  <c r="U7" i="2" a="1"/>
  <c r="U74" i="2" a="1"/>
  <c r="C82" i="2" a="1"/>
  <c r="C31" i="2" a="1"/>
  <c r="C37" i="2" a="1"/>
  <c r="Z37" i="2" a="1"/>
  <c r="Z28" i="2" a="1"/>
  <c r="AA97" i="2" a="1"/>
  <c r="AF23" i="2" a="1"/>
  <c r="AF9" i="2" a="1"/>
  <c r="L76" i="2" a="1"/>
  <c r="L73" i="2" a="1"/>
  <c r="L72" i="2" a="1"/>
  <c r="AD59" i="2" a="1"/>
  <c r="AD66" i="2" a="1"/>
  <c r="F11" i="2" a="1"/>
  <c r="O27" i="2" a="1"/>
  <c r="X23" i="2" a="1"/>
  <c r="Z32" i="2" a="1"/>
  <c r="I42" i="2" a="1"/>
  <c r="T32" i="2" a="1"/>
  <c r="T26" i="2" a="1"/>
  <c r="E7" i="2" a="1"/>
  <c r="W9" i="2" a="1"/>
  <c r="M34" i="2" a="1"/>
  <c r="L30" i="2" a="1"/>
  <c r="R48" i="2" a="1"/>
  <c r="R58" i="2" a="1"/>
  <c r="AF14" i="2" a="1"/>
  <c r="AE36" i="2" a="1"/>
  <c r="H25" i="2" a="1"/>
  <c r="H9" i="2" a="1"/>
  <c r="O11" i="2" a="1"/>
  <c r="X32" i="2" a="1"/>
  <c r="I59" i="2" a="1"/>
  <c r="N20" i="2" a="1"/>
  <c r="K10" i="2" a="1"/>
  <c r="Y30" i="2" a="1"/>
  <c r="S60" i="2" a="1"/>
  <c r="AB33" i="2" a="1"/>
  <c r="H47" i="2" a="1"/>
  <c r="H13" i="2" a="1"/>
  <c r="O9" i="2" a="1"/>
  <c r="O48" i="2" a="1"/>
  <c r="X56" i="2" a="1"/>
  <c r="Z20" i="2" a="1"/>
  <c r="Z24" i="2" a="1"/>
  <c r="I26" i="2" a="1"/>
  <c r="I88" i="2" a="1"/>
  <c r="N25" i="2" a="1"/>
  <c r="U14" i="2" a="1"/>
  <c r="U70" i="2" a="1"/>
  <c r="C81" i="2" a="1"/>
  <c r="U97" i="2" a="1"/>
  <c r="Z17" i="2" a="1"/>
  <c r="AF63" i="2" a="1"/>
  <c r="AF36" i="2" a="1"/>
  <c r="L19" i="2" a="1"/>
  <c r="L68" i="2" a="1"/>
  <c r="AD74" i="2" a="1"/>
  <c r="AD60" i="2" a="1"/>
  <c r="AD64" i="2" a="1"/>
  <c r="X35" i="2" a="1"/>
  <c r="X64" i="2" a="1"/>
  <c r="G21" i="2" a="1"/>
  <c r="S31" i="2" a="1"/>
  <c r="AB41" i="2" a="1"/>
  <c r="F46" i="2" a="1"/>
  <c r="AD35" i="2" a="1"/>
  <c r="R23" i="2" a="1"/>
  <c r="T29" i="2" a="1"/>
  <c r="AF25" i="2" a="1"/>
  <c r="AE34" i="2" a="1"/>
  <c r="T15" i="2" a="1"/>
  <c r="T67" i="2" a="1"/>
  <c r="T13" i="2" a="1"/>
  <c r="N12" i="2" a="1"/>
  <c r="N32" i="2" a="1"/>
  <c r="U90" i="2" a="1"/>
  <c r="U40" i="2" a="1"/>
  <c r="U8" i="2" a="1"/>
  <c r="C12" i="2" a="1"/>
  <c r="C14" i="2" a="1"/>
  <c r="Z14" i="2" a="1"/>
  <c r="Z31" i="2" a="1"/>
  <c r="Z35" i="2" a="1"/>
  <c r="AF11" i="2" a="1"/>
  <c r="AF17" i="2" a="1"/>
  <c r="AF26" i="2" a="1"/>
  <c r="L37" i="2" a="1"/>
  <c r="L42" i="2" a="1"/>
  <c r="L61" i="2" a="1"/>
  <c r="AD79" i="2" a="1"/>
  <c r="H32" i="2" a="1"/>
  <c r="Z8" i="2" a="1"/>
  <c r="AF53" i="2" a="1"/>
  <c r="Q71" i="2" a="1"/>
  <c r="Q17" i="2" a="1"/>
  <c r="F58" i="2" a="1"/>
  <c r="F66" i="2" a="1"/>
  <c r="V58" i="2" a="1"/>
  <c r="AA17" i="2" a="1"/>
  <c r="W40" i="2" a="1"/>
  <c r="Q9" i="2" a="1"/>
  <c r="O12" i="2" a="1"/>
  <c r="U9" i="2" a="1"/>
  <c r="Z10" i="2" a="1"/>
  <c r="X78" i="2" a="1"/>
  <c r="Q45" i="2" a="1"/>
  <c r="AA23" i="2" a="1"/>
  <c r="W70" i="2" a="1"/>
  <c r="R47" i="2" a="1"/>
  <c r="E33" i="2" a="1"/>
  <c r="E47" i="2" a="1"/>
  <c r="K80" i="2" a="1"/>
  <c r="K42" i="2" a="1"/>
  <c r="P32" i="2" a="1"/>
  <c r="P41" i="2" a="1"/>
  <c r="P29" i="2" a="1"/>
  <c r="AA67" i="2" a="1"/>
  <c r="AA56" i="2" a="1"/>
  <c r="AC71" i="2" a="1"/>
  <c r="AC43" i="2" a="1"/>
  <c r="AA52" i="2" a="1"/>
  <c r="P21" i="2" a="1"/>
  <c r="AA76" i="2" a="1"/>
  <c r="AC14" i="2" a="1"/>
  <c r="AA74" i="2" a="1"/>
  <c r="AC53" i="2" a="1"/>
  <c r="L25" i="2" a="1"/>
  <c r="E67" i="2" a="1"/>
  <c r="P17" i="2" a="1"/>
  <c r="Q75" i="2" a="1"/>
  <c r="H30" i="2" a="1"/>
  <c r="K48" i="2" a="1"/>
  <c r="AC21" i="2" a="1"/>
  <c r="W32" i="2" a="1"/>
  <c r="AA30" i="2" a="1"/>
  <c r="C33" i="2" a="1"/>
  <c r="O15" i="2" a="1"/>
  <c r="U16" i="2" a="1"/>
  <c r="AD34" i="2" a="1"/>
  <c r="W64" i="2" a="1"/>
  <c r="R46" i="2" a="1"/>
  <c r="R61" i="2" a="1"/>
  <c r="R72" i="2" a="1"/>
  <c r="AC73" i="2" a="1"/>
  <c r="AC57" i="2" a="1"/>
  <c r="AA22" i="2" a="1"/>
  <c r="AA42" i="2" a="1"/>
  <c r="AA28" i="2" a="1"/>
  <c r="E45" i="2" a="1"/>
  <c r="K28" i="2" a="1"/>
  <c r="P30" i="2" a="1"/>
  <c r="AA71" i="2" a="1"/>
  <c r="AA72" i="2" a="1"/>
  <c r="AA44" i="2" a="1"/>
  <c r="AA59" i="2" a="1"/>
  <c r="AF7" i="2" a="1"/>
  <c r="R59" i="2" a="1"/>
  <c r="P13" i="2" a="1"/>
  <c r="AC79" i="2" a="1"/>
  <c r="F67" i="2" a="1"/>
  <c r="V82" i="2" a="1"/>
  <c r="AA26" i="2" a="1"/>
  <c r="R68" i="2" a="1"/>
  <c r="K24" i="2" a="1"/>
  <c r="AA64" i="2" a="1"/>
  <c r="W74" i="2" a="1"/>
  <c r="P15" i="2" a="1"/>
  <c r="X53" i="2" a="1"/>
  <c r="Z66" i="2" a="1"/>
  <c r="AD69" i="2" a="1"/>
  <c r="F70" i="2" a="1"/>
  <c r="F73" i="2" a="1"/>
  <c r="V54" i="2" a="1"/>
  <c r="V56" i="2" a="1"/>
  <c r="AA79" i="2" a="1"/>
  <c r="AA37" i="2" a="1"/>
  <c r="W78" i="2" a="1"/>
  <c r="W36" i="2" a="1"/>
  <c r="E27" i="2" a="1"/>
  <c r="K44" i="2" a="1"/>
  <c r="P36" i="2" a="1"/>
  <c r="AC41" i="2" a="1"/>
  <c r="AA48" i="2" a="1"/>
  <c r="R67" i="2" a="1"/>
  <c r="K40" i="2" a="1"/>
  <c r="AA78" i="2" a="1"/>
  <c r="AA40" i="2" a="1"/>
  <c r="AF20" i="2" a="1"/>
  <c r="V60" i="2" a="1"/>
  <c r="AA69" i="2" a="1"/>
  <c r="P34" i="2" a="1"/>
  <c r="AA81" i="2" a="1"/>
  <c r="E81" i="2" a="1"/>
  <c r="AC69" i="2" a="1"/>
  <c r="Z56" i="2" a="1"/>
  <c r="C25" i="2" a="1"/>
  <c r="AD58" i="2" a="1"/>
  <c r="X15" i="2" a="1"/>
  <c r="Q19" i="2" a="1"/>
  <c r="F37" i="2" a="1"/>
  <c r="F64" i="2" a="1"/>
  <c r="V70" i="2" a="1"/>
  <c r="V50" i="2" a="1"/>
  <c r="AA43" i="2" a="1"/>
  <c r="R20" i="2" a="1"/>
  <c r="R42" i="2" a="1"/>
  <c r="E51" i="2" a="1"/>
  <c r="E65" i="2" a="1"/>
  <c r="K47" i="2" a="1"/>
  <c r="P20" i="2" a="1"/>
  <c r="P40" i="2" a="1"/>
  <c r="AC51" i="2" a="1"/>
  <c r="AA68" i="2" a="1"/>
  <c r="V76" i="2" a="1"/>
  <c r="E55" i="2" a="1"/>
  <c r="K60" i="2" a="1"/>
  <c r="AA88" i="2" a="1"/>
  <c r="X49" i="2" a="1"/>
  <c r="F30" i="2" a="1"/>
  <c r="W56" i="2" a="1"/>
  <c r="Z21" i="2" a="1"/>
  <c r="E49" i="2" a="1"/>
  <c r="P24" i="2" a="1"/>
  <c r="AA36" i="2" a="1"/>
  <c r="R26" i="2" a="1"/>
  <c r="AA93" i="2" a="1"/>
  <c r="F45" i="2" a="1"/>
  <c r="I8" i="2" a="1"/>
  <c r="C73" i="2" a="1"/>
  <c r="L82" i="2" a="1"/>
  <c r="X65" i="2" a="1"/>
  <c r="Q57" i="2" a="1"/>
  <c r="AA29" i="2" a="1"/>
  <c r="W30" i="2" a="1"/>
  <c r="W26" i="2" a="1"/>
  <c r="R77" i="2" a="1"/>
  <c r="E41" i="2" a="1"/>
  <c r="E23" i="2" a="1"/>
  <c r="K64" i="2" a="1"/>
  <c r="K16" i="2" a="1"/>
  <c r="P26" i="2" a="1"/>
  <c r="P23" i="2" a="1"/>
  <c r="P33" i="2" a="1"/>
  <c r="AA75" i="2" a="1"/>
  <c r="AA54" i="2" a="1"/>
  <c r="AC49" i="2" a="1"/>
  <c r="AC77" i="2" a="1"/>
  <c r="AC45" i="2" a="1"/>
  <c r="AA34" i="2" a="1"/>
  <c r="Q31" i="2" a="1"/>
  <c r="AC37" i="2" a="1"/>
  <c r="W54" i="2" a="1"/>
  <c r="K68" i="2" a="1"/>
  <c r="AA89" i="2" a="1"/>
  <c r="AD36" i="2" a="1"/>
  <c r="I9" i="2" a="1"/>
  <c r="L50" i="2" a="1"/>
  <c r="F60" i="2" a="1"/>
  <c r="F53" i="2" a="1"/>
  <c r="V78" i="2" a="1"/>
  <c r="V72" i="2" a="1"/>
  <c r="AA51" i="2" a="1"/>
  <c r="AA8" i="2" a="1"/>
  <c r="R75" i="2" a="1"/>
  <c r="E21" i="2" a="1"/>
  <c r="AC33" i="2" a="1"/>
  <c r="AC31" i="2" a="1"/>
  <c r="AA32" i="2" a="1"/>
  <c r="K72" i="2" a="1"/>
  <c r="P22" i="2" a="1"/>
  <c r="AA82" i="2" a="1"/>
  <c r="X82" i="2" a="1"/>
  <c r="AA24" i="2" a="1"/>
  <c r="AA90" i="2" a="1"/>
  <c r="E79" i="2" a="1"/>
  <c r="AC27" i="2" a="1"/>
  <c r="AC25" i="2" a="1"/>
  <c r="L31" i="2" a="1"/>
  <c r="AD70" i="2" a="1"/>
  <c r="W20" i="2" a="1"/>
  <c r="W60" i="2" a="1"/>
  <c r="R52" i="2" a="1"/>
  <c r="R65" i="2" a="1"/>
  <c r="E17" i="2" a="1"/>
  <c r="E69" i="2" a="1"/>
  <c r="K46" i="2" a="1"/>
  <c r="P16" i="2" a="1"/>
  <c r="AA65" i="2" a="1"/>
  <c r="AA58" i="2" a="1"/>
  <c r="F40" i="2" a="1"/>
  <c r="AA16" i="2" a="1"/>
  <c r="T21" i="2" a="1"/>
  <c r="AF28" i="2" a="1"/>
  <c r="X33" i="2" a="1"/>
  <c r="AA12" i="2" a="1"/>
  <c r="AA66" i="2" a="1"/>
  <c r="W50" i="2" a="1"/>
  <c r="E73" i="2" a="1"/>
  <c r="K62" i="2" a="1"/>
  <c r="K22" i="2" a="1"/>
  <c r="P27" i="2" a="1"/>
  <c r="AA70" i="2" a="1"/>
  <c r="AC19" i="2" a="1"/>
  <c r="AC35" i="2" a="1"/>
  <c r="AA50" i="2" a="1"/>
  <c r="AA20" i="2" a="1"/>
  <c r="AA61" i="2" a="1"/>
  <c r="T40" i="2" a="1"/>
  <c r="F55" i="2" a="1"/>
  <c r="V89" i="2" a="1"/>
  <c r="W44" i="2" a="1"/>
  <c r="K18" i="2" a="1"/>
  <c r="AA62" i="2" a="1"/>
  <c r="AA53" i="2" a="1"/>
  <c r="N23" i="2" a="1"/>
  <c r="R63" i="2" a="1"/>
  <c r="AA60" i="2" a="1"/>
  <c r="K34" i="2" a="1"/>
  <c r="AA18" i="2" a="1"/>
  <c r="V21" i="2" a="1"/>
  <c r="V33" i="2" a="1"/>
  <c r="V28" i="2" a="1"/>
  <c r="V24" i="2" a="1"/>
  <c r="U75" i="2" a="1"/>
  <c r="U82" i="2" a="1"/>
  <c r="U59" i="2" a="1"/>
  <c r="U65" i="2" a="1"/>
  <c r="I96" i="2" a="1"/>
  <c r="C18" i="2" a="1"/>
  <c r="C60" i="2" a="1"/>
  <c r="C49" i="2" a="1"/>
  <c r="C80" i="2" a="1"/>
  <c r="I70" i="2" a="1"/>
  <c r="O73" i="2" a="1"/>
  <c r="O52" i="2" a="1"/>
  <c r="O75" i="2" a="1"/>
  <c r="O80" i="2" a="1"/>
  <c r="O76" i="2" a="1"/>
  <c r="O63" i="2" a="1"/>
  <c r="J46" i="2" a="1"/>
  <c r="J22" i="2" a="1"/>
  <c r="J42" i="2" a="1"/>
  <c r="J32" i="2" a="1"/>
  <c r="D15" i="2" a="1"/>
  <c r="D24" i="2" a="1"/>
  <c r="D30" i="2" a="1"/>
  <c r="AB25" i="2" a="1"/>
  <c r="AB29" i="2" a="1"/>
  <c r="AB43" i="2" a="1"/>
  <c r="AB26" i="2" a="1"/>
  <c r="C22" i="2" a="1"/>
  <c r="C34" i="2" a="1"/>
  <c r="C42" i="2" a="1"/>
  <c r="C28" i="2" a="1"/>
  <c r="I50" i="2" a="1"/>
  <c r="I27" i="2" a="1"/>
  <c r="I75" i="2" a="1"/>
  <c r="I63" i="2" a="1"/>
  <c r="O18" i="2" a="1"/>
  <c r="O26" i="2" a="1"/>
  <c r="O20" i="2" a="1"/>
  <c r="U25" i="2" a="1"/>
  <c r="U15" i="2" a="1"/>
  <c r="U80" i="2" a="1"/>
  <c r="U69" i="2" a="1"/>
  <c r="O94" i="2" a="1"/>
  <c r="C95" i="2" a="1"/>
  <c r="V31" i="2" a="1"/>
  <c r="V16" i="2" a="1"/>
  <c r="V17" i="2" a="1"/>
  <c r="V35" i="2" a="1"/>
  <c r="U68" i="2" a="1"/>
  <c r="U61" i="2" a="1"/>
  <c r="U93" i="2" a="1"/>
  <c r="U88" i="2" a="1"/>
  <c r="C61" i="2" a="1"/>
  <c r="C52" i="2" a="1"/>
  <c r="C62" i="2" a="1"/>
  <c r="C65" i="2" a="1"/>
  <c r="C63" i="2" a="1"/>
  <c r="I69" i="2" a="1"/>
  <c r="I73" i="2" a="1"/>
  <c r="O69" i="2" a="1"/>
  <c r="O66" i="2" a="1"/>
  <c r="I82" i="2" a="1"/>
  <c r="O88" i="2" a="1"/>
  <c r="O53" i="2" a="1"/>
  <c r="J25" i="2" a="1"/>
  <c r="J19" i="2" a="1"/>
  <c r="J35" i="2" a="1"/>
  <c r="J8" i="2" a="1"/>
  <c r="D25" i="2" a="1"/>
  <c r="D19" i="2" a="1"/>
  <c r="D43" i="2" a="1"/>
  <c r="AB31" i="2" a="1"/>
  <c r="AB13" i="2" a="1"/>
  <c r="AB46" i="2" a="1"/>
  <c r="AB32" i="2" a="1"/>
  <c r="C46" i="2" a="1"/>
  <c r="C55" i="2" a="1"/>
  <c r="C48" i="2" a="1"/>
  <c r="C77" i="2" a="1"/>
  <c r="I45" i="2" a="1"/>
  <c r="I71" i="2" a="1"/>
  <c r="I65" i="2" a="1"/>
  <c r="O62" i="2" a="1"/>
  <c r="O46" i="2" a="1"/>
  <c r="O60" i="2" a="1"/>
  <c r="O28" i="2" a="1"/>
  <c r="V14" i="2" a="1"/>
  <c r="V22" i="2" a="1"/>
  <c r="V15" i="2" a="1"/>
  <c r="V30" i="2" a="1"/>
  <c r="U58" i="2" a="1"/>
  <c r="U76" i="2" a="1"/>
  <c r="U72" i="2" a="1"/>
  <c r="I99" i="2" a="1"/>
  <c r="I94" i="2" a="1"/>
  <c r="C79" i="2" a="1"/>
  <c r="C98" i="2" a="1"/>
  <c r="C89" i="2" a="1"/>
  <c r="I98" i="2" a="1"/>
  <c r="I57" i="2" a="1"/>
  <c r="O59" i="2" a="1"/>
  <c r="O64" i="2" a="1"/>
  <c r="I74" i="2" a="1"/>
  <c r="O81" i="2" a="1"/>
  <c r="I89" i="2" a="1"/>
  <c r="O68" i="2" a="1"/>
  <c r="J28" i="2" a="1"/>
  <c r="J10" i="2" a="1"/>
  <c r="J47" i="2" a="1"/>
  <c r="D27" i="2" a="1"/>
  <c r="D13" i="2" a="1"/>
  <c r="D47" i="2" a="1"/>
  <c r="D42" i="2" a="1"/>
  <c r="AB18" i="2" a="1"/>
  <c r="V23" i="2" a="1"/>
  <c r="V19" i="2" a="1"/>
  <c r="V18" i="2" a="1"/>
  <c r="V25" i="2" a="1"/>
  <c r="U67" i="2" a="1"/>
  <c r="U63" i="2" a="1"/>
  <c r="U71" i="2" a="1"/>
  <c r="C16" i="2" a="1"/>
  <c r="C70" i="2" a="1"/>
  <c r="I92" i="2" a="1"/>
  <c r="C58" i="2" a="1"/>
  <c r="C78" i="2" a="1"/>
  <c r="I80" i="2" a="1"/>
  <c r="O72" i="2" a="1"/>
  <c r="I72" i="2" a="1"/>
  <c r="I60" i="2" a="1"/>
  <c r="O16" i="2" a="1"/>
  <c r="O98" i="2" a="1"/>
  <c r="O61" i="2" a="1"/>
  <c r="O93" i="2" a="1"/>
  <c r="J23" i="2" a="1"/>
  <c r="J31" i="2" a="1"/>
  <c r="J34" i="2" a="1"/>
  <c r="D18" i="2" a="1"/>
  <c r="D34" i="2" a="1"/>
  <c r="D28" i="2" a="1"/>
  <c r="D26" i="2" a="1"/>
  <c r="AB37" i="2" a="1"/>
  <c r="AB20" i="2" a="1"/>
  <c r="AB28" i="2" a="1"/>
  <c r="AB36" i="2" a="1"/>
  <c r="C88" i="2" a="1"/>
  <c r="C90" i="2" a="1"/>
  <c r="C32" i="2" a="1"/>
  <c r="I33" i="2" a="1"/>
  <c r="I43" i="2" a="1"/>
  <c r="I21" i="2" a="1"/>
  <c r="I23" i="2" a="1"/>
  <c r="O40" i="2" a="1"/>
  <c r="O24" i="2" a="1"/>
  <c r="O49" i="2" a="1"/>
  <c r="O36" i="2" a="1"/>
  <c r="U66" i="2" a="1"/>
  <c r="U73" i="2" a="1"/>
  <c r="U29" i="2" a="1"/>
  <c r="O92" i="2" a="1"/>
  <c r="O86" i="2" a="1"/>
  <c r="C94" i="2" a="1"/>
  <c r="K45" i="2" a="1"/>
  <c r="K54" i="2" a="1"/>
  <c r="K29" i="2" a="1"/>
  <c r="K25" i="2" a="1"/>
  <c r="P47" i="2" a="1"/>
  <c r="P44" i="2" a="1"/>
  <c r="P75" i="2" a="1"/>
  <c r="P69" i="2" a="1"/>
  <c r="AB59" i="2" a="1"/>
  <c r="AB63" i="2" a="1"/>
  <c r="AB77" i="2" a="1"/>
  <c r="D51" i="2" a="1"/>
  <c r="D57" i="2" a="1"/>
  <c r="D73" i="2" a="1"/>
  <c r="D40" i="2" a="1"/>
  <c r="U95" i="2" a="1"/>
  <c r="J70" i="2" a="1"/>
  <c r="J62" i="2" a="1"/>
  <c r="J58" i="2" a="1"/>
  <c r="J68" i="2" a="1"/>
  <c r="E26" i="2" a="1"/>
  <c r="E40" i="2" a="1"/>
  <c r="E77" i="2" a="1"/>
  <c r="E46" i="2" a="1"/>
  <c r="V45" i="2" a="1"/>
  <c r="V27" i="2" a="1"/>
  <c r="V40" i="2" a="1"/>
  <c r="U37" i="2" a="1"/>
  <c r="U89" i="2" a="1"/>
  <c r="U48" i="2" a="1"/>
  <c r="U81" i="2" a="1"/>
  <c r="I95" i="2" a="1"/>
  <c r="C74" i="2" a="1"/>
  <c r="C71" i="2" a="1"/>
  <c r="C67" i="2" a="1"/>
  <c r="C59" i="2" a="1"/>
  <c r="I62" i="2" a="1"/>
  <c r="I17" i="2" a="1"/>
  <c r="O82" i="2" a="1"/>
  <c r="I93" i="2" a="1"/>
  <c r="I66" i="2" a="1"/>
  <c r="I64" i="2" a="1"/>
  <c r="I25" i="2" a="1"/>
  <c r="J16" i="2" a="1"/>
  <c r="J17" i="2" a="1"/>
  <c r="J21" i="2" a="1"/>
  <c r="J29" i="2" a="1"/>
  <c r="D32" i="2" a="1"/>
  <c r="D33" i="2" a="1"/>
  <c r="D31" i="2" a="1"/>
  <c r="D37" i="2" a="1"/>
  <c r="AB19" i="2" a="1"/>
  <c r="AB24" i="2" a="1"/>
  <c r="AB23" i="2" a="1"/>
  <c r="C36" i="2" a="1"/>
  <c r="C26" i="2" a="1"/>
  <c r="C40" i="2" a="1"/>
  <c r="C24" i="2" a="1"/>
  <c r="V44" i="2" a="1"/>
  <c r="V29" i="2" a="1"/>
  <c r="V34" i="2" a="1"/>
  <c r="U77" i="2" a="1"/>
  <c r="U47" i="2" a="1"/>
  <c r="U98" i="2" a="1"/>
  <c r="U46" i="2" a="1"/>
  <c r="I87" i="2" a="1"/>
  <c r="I86" i="2" a="1"/>
  <c r="I91" i="2" a="1"/>
  <c r="C50" i="2" a="1"/>
  <c r="C75" i="2" a="1"/>
  <c r="I56" i="2" a="1"/>
  <c r="O51" i="2" a="1"/>
  <c r="I81" i="2" a="1"/>
  <c r="I79" i="2" a="1"/>
  <c r="I76" i="2" a="1"/>
  <c r="I58" i="2" a="1"/>
  <c r="O89" i="2" a="1"/>
  <c r="J33" i="2" a="1"/>
  <c r="J14" i="2" a="1"/>
  <c r="J26" i="2" a="1"/>
  <c r="J27" i="2" a="1"/>
  <c r="D16" i="2" a="1"/>
  <c r="D22" i="2" a="1"/>
  <c r="D20" i="2" a="1"/>
  <c r="D21" i="2" a="1"/>
  <c r="AB17" i="2" a="1"/>
  <c r="AB11" i="2" a="1"/>
  <c r="AB30" i="2" a="1"/>
  <c r="C76" i="2" a="1"/>
  <c r="C57" i="2" a="1"/>
  <c r="C44" i="2" a="1"/>
  <c r="C72" i="2" a="1"/>
  <c r="I52" i="2" a="1"/>
  <c r="I37" i="2" a="1"/>
  <c r="I54" i="2" a="1"/>
  <c r="I19" i="2" a="1"/>
  <c r="O42" i="2" a="1"/>
  <c r="O44" i="2" a="1"/>
  <c r="O34" i="2" a="1"/>
  <c r="U45" i="2" a="1"/>
  <c r="U41" i="2" a="1"/>
  <c r="U43" i="2" a="1"/>
  <c r="U23" i="2" a="1"/>
  <c r="O96" i="2" a="1"/>
  <c r="I97" i="2" a="1"/>
  <c r="C86" i="2" a="1"/>
  <c r="K58" i="2" a="1"/>
  <c r="K74" i="2" a="1"/>
  <c r="K37" i="2" a="1"/>
  <c r="K82" i="2" a="1"/>
  <c r="P51" i="2" a="1"/>
  <c r="P49" i="2" a="1"/>
  <c r="P46" i="2" a="1"/>
  <c r="AB42" i="2" a="1"/>
  <c r="AB88" i="2" a="1"/>
  <c r="AB65" i="2" a="1"/>
  <c r="AB53" i="2" a="1"/>
  <c r="D49" i="2" a="1"/>
  <c r="D81" i="2" a="1"/>
  <c r="D77" i="2" a="1"/>
  <c r="D59" i="2" a="1"/>
  <c r="U94" i="2" a="1"/>
  <c r="J60" i="2" a="1"/>
  <c r="J37" i="2" a="1"/>
  <c r="J76" i="2" a="1"/>
  <c r="J48" i="2" a="1"/>
  <c r="E22" i="2" a="1"/>
  <c r="E61" i="2" a="1"/>
  <c r="E36" i="2" a="1"/>
  <c r="AA92" i="2" a="1"/>
  <c r="AA95" i="2" a="1"/>
  <c r="AC34" i="2" a="1"/>
  <c r="AC42" i="2" a="1"/>
  <c r="AC46" i="2" a="1"/>
  <c r="C30" i="2" a="1"/>
  <c r="U31" i="2" a="1"/>
  <c r="C96" i="2" a="1"/>
  <c r="K52" i="2" a="1"/>
  <c r="K31" i="2" a="1"/>
  <c r="P42" i="2" a="1"/>
  <c r="AB55" i="2" a="1"/>
  <c r="D61" i="2" a="1"/>
  <c r="U87" i="2" a="1"/>
  <c r="J74" i="2" a="1"/>
  <c r="E30" i="2" a="1"/>
  <c r="AC30" i="2" a="1"/>
  <c r="AC61" i="2" a="1"/>
  <c r="Q30" i="2" a="1"/>
  <c r="S37" i="2" a="1"/>
  <c r="S35" i="2" a="1"/>
  <c r="S44" i="2" a="1"/>
  <c r="I78" i="2" a="1"/>
  <c r="O58" i="2" a="1"/>
  <c r="U55" i="2" a="1"/>
  <c r="C91" i="2" a="1"/>
  <c r="P73" i="2" a="1"/>
  <c r="P67" i="2" a="1"/>
  <c r="AB69" i="2" a="1"/>
  <c r="AB73" i="2" a="1"/>
  <c r="U91" i="2" a="1"/>
  <c r="J50" i="2" a="1"/>
  <c r="E16" i="2" a="1"/>
  <c r="E42" i="2" a="1"/>
  <c r="AC40" i="2" a="1"/>
  <c r="AC67" i="2" a="1"/>
  <c r="Q32" i="2" a="1"/>
  <c r="Q73" i="2" a="1"/>
  <c r="S61" i="2" a="1"/>
  <c r="AE56" i="2" a="1"/>
  <c r="AE64" i="2" a="1"/>
  <c r="G37" i="2" a="1"/>
  <c r="G47" i="2" a="1"/>
  <c r="G72" i="2" a="1"/>
  <c r="G48" i="2" a="1"/>
  <c r="G52" i="2" a="1"/>
  <c r="W19" i="2" a="1"/>
  <c r="W17" i="2" a="1"/>
  <c r="W66" i="2" a="1"/>
  <c r="W68" i="2" a="1"/>
  <c r="Y51" i="2" a="1"/>
  <c r="Y57" i="2" a="1"/>
  <c r="Y54" i="2" a="1"/>
  <c r="H79" i="2" a="1"/>
  <c r="H71" i="2" a="1"/>
  <c r="Z54" i="2" a="1"/>
  <c r="S50" i="2" a="1"/>
  <c r="Y37" i="2" a="1"/>
  <c r="H69" i="2" a="1"/>
  <c r="C68" i="2" a="1"/>
  <c r="I35" i="2" a="1"/>
  <c r="O74" i="2" a="1"/>
  <c r="U27" i="2" a="1"/>
  <c r="C92" i="2" a="1"/>
  <c r="K27" i="2" a="1"/>
  <c r="P61" i="2" a="1"/>
  <c r="K35" i="2" a="1"/>
  <c r="P53" i="2" a="1"/>
  <c r="P77" i="2" a="1"/>
  <c r="AB61" i="2" a="1"/>
  <c r="D69" i="2" a="1"/>
  <c r="J43" i="2" a="1"/>
  <c r="AB22" i="2" a="1"/>
  <c r="C97" i="2" a="1"/>
  <c r="O79" i="2" a="1"/>
  <c r="U19" i="2" a="1"/>
  <c r="U21" i="2" a="1"/>
  <c r="C99" i="2" a="1"/>
  <c r="K17" i="2" a="1"/>
  <c r="I29" i="2" a="1"/>
  <c r="O32" i="2" a="1"/>
  <c r="U17" i="2" a="1"/>
  <c r="U64" i="2" a="1"/>
  <c r="C87" i="2" a="1"/>
  <c r="K78" i="2" a="1"/>
  <c r="P88" i="2" a="1"/>
  <c r="P65" i="2" a="1"/>
  <c r="AB16" i="2" a="1"/>
  <c r="U35" i="2" a="1"/>
  <c r="O95" i="2" a="1"/>
  <c r="O97" i="2" a="1"/>
  <c r="P63" i="2" a="1"/>
  <c r="P71" i="2" a="1"/>
  <c r="I90" i="2" a="1"/>
  <c r="O30" i="2" a="1"/>
  <c r="K56" i="2" a="1"/>
  <c r="K70" i="2" a="1"/>
  <c r="P57" i="2" a="1"/>
  <c r="AB67" i="2" a="1"/>
  <c r="D36" i="2" a="1"/>
  <c r="AB34" i="2" a="1"/>
  <c r="I31" i="2" a="1"/>
  <c r="O70" i="2" a="1"/>
  <c r="U57" i="2" a="1"/>
  <c r="O87" i="2" a="1"/>
  <c r="K21" i="2" a="1"/>
  <c r="P81" i="2" a="1"/>
  <c r="AB44" i="2" a="1"/>
  <c r="U33" i="2" a="1"/>
  <c r="O99" i="2" a="1"/>
  <c r="K23" i="2" a="1"/>
  <c r="K19" i="2" a="1"/>
  <c r="AB51" i="2" a="1"/>
  <c r="AB71" i="2" a="1"/>
  <c r="D79" i="2" a="1"/>
  <c r="U96" i="2" a="1"/>
  <c r="E34" i="2" a="1"/>
  <c r="E57" i="2" a="1"/>
  <c r="Q49" i="2" a="1"/>
  <c r="Q34" i="2" a="1"/>
  <c r="Q46" i="2" a="1"/>
  <c r="S51" i="2" a="1"/>
  <c r="G58" i="2" a="1"/>
  <c r="AE43" i="2" a="1"/>
  <c r="G66" i="2" a="1"/>
  <c r="AE58" i="2" a="1"/>
  <c r="AE66" i="2" a="1"/>
  <c r="G64" i="2" a="1"/>
  <c r="G51" i="2" a="1"/>
  <c r="W89" i="2" a="1"/>
  <c r="W29" i="2" a="1"/>
  <c r="W31" i="2" a="1"/>
  <c r="Y48" i="2" a="1"/>
  <c r="Y50" i="2" a="1"/>
  <c r="Y44" i="2" a="1"/>
  <c r="Y63" i="2" a="1"/>
  <c r="H40" i="2" a="1"/>
  <c r="H81" i="2" a="1"/>
  <c r="H37" i="2" a="1"/>
  <c r="H55" i="2" a="1"/>
  <c r="Z42" i="2" a="1"/>
  <c r="Z70" i="2" a="1"/>
  <c r="Z74" i="2" a="1"/>
  <c r="AF69" i="2" a="1"/>
  <c r="AF79" i="2" a="1"/>
  <c r="AF88" i="2" a="1"/>
  <c r="AF77" i="2" a="1"/>
  <c r="M47" i="2" a="1"/>
  <c r="M49" i="2" a="1"/>
  <c r="M52" i="2" a="1"/>
  <c r="M46" i="2" a="1"/>
  <c r="N50" i="2" a="1"/>
  <c r="N64" i="2" a="1"/>
  <c r="N76" i="2" a="1"/>
  <c r="N89" i="2" a="1"/>
  <c r="T59" i="2" a="1"/>
  <c r="T79" i="2" a="1"/>
  <c r="T53" i="2" a="1"/>
  <c r="T63" i="2" a="1"/>
  <c r="C20" i="2" a="1"/>
  <c r="I67" i="2" a="1"/>
  <c r="O22" i="2" a="1"/>
  <c r="U53" i="2" a="1"/>
  <c r="O91" i="2" a="1"/>
  <c r="K33" i="2" a="1"/>
  <c r="K43" i="2" a="1"/>
  <c r="P59" i="2" a="1"/>
  <c r="AB75" i="2" a="1"/>
  <c r="D75" i="2" a="1"/>
  <c r="U86" i="2" a="1"/>
  <c r="J78" i="2" a="1"/>
  <c r="E18" i="2" a="1"/>
  <c r="AA86" i="2" a="1"/>
  <c r="P55" i="2" a="1"/>
  <c r="J72" i="2" a="1"/>
  <c r="E90" i="2" a="1"/>
  <c r="AA87" i="2" a="1"/>
  <c r="AC65" i="2" a="1"/>
  <c r="Q28" i="2" a="1"/>
  <c r="S66" i="2" a="1"/>
  <c r="G45" i="2" a="1"/>
  <c r="G41" i="2" a="1"/>
  <c r="AE37" i="2" a="1"/>
  <c r="AE50" i="2" a="1"/>
  <c r="G63" i="2" a="1"/>
  <c r="W23" i="2" a="1"/>
  <c r="Y71" i="2" a="1"/>
  <c r="Y46" i="2" a="1"/>
  <c r="H43" i="2" a="1"/>
  <c r="H36" i="2" a="1"/>
  <c r="Z62" i="2" a="1"/>
  <c r="AF49" i="2" a="1"/>
  <c r="N72" i="2" a="1"/>
  <c r="T71" i="2" a="1"/>
  <c r="AB57" i="2" a="1"/>
  <c r="D65" i="2" a="1"/>
  <c r="J80" i="2" a="1"/>
  <c r="E24" i="2" a="1"/>
  <c r="AA94" i="2" a="1"/>
  <c r="AC18" i="2" a="1"/>
  <c r="Q98" i="2" a="1"/>
  <c r="S74" i="2" a="1"/>
  <c r="AE41" i="2" a="1"/>
  <c r="G70" i="2" a="1"/>
  <c r="W48" i="2" a="1"/>
  <c r="Y59" i="2" a="1"/>
  <c r="H41" i="2" a="1"/>
  <c r="Z72" i="2" a="1"/>
  <c r="Z76" i="2" a="1"/>
  <c r="Z48" i="2" a="1"/>
  <c r="AF57" i="2" a="1"/>
  <c r="AF75" i="2" a="1"/>
  <c r="M54" i="2" a="1"/>
  <c r="M50" i="2" a="1"/>
  <c r="M42" i="2" a="1"/>
  <c r="N78" i="2" a="1"/>
  <c r="N70" i="2" a="1"/>
  <c r="V97" i="2" a="1"/>
  <c r="T43" i="2" a="1"/>
  <c r="T35" i="2" a="1"/>
  <c r="AB49" i="2" a="1"/>
  <c r="D46" i="2" a="1"/>
  <c r="J66" i="2" a="1"/>
  <c r="E44" i="2" a="1"/>
  <c r="AA96" i="2" a="1"/>
  <c r="Q26" i="2" a="1"/>
  <c r="Q16" i="2" a="1"/>
  <c r="S49" i="2" a="1"/>
  <c r="G56" i="2" a="1"/>
  <c r="W35" i="2" a="1"/>
  <c r="Y65" i="2" a="1"/>
  <c r="H35" i="2" a="1"/>
  <c r="AF71" i="2" a="1"/>
  <c r="N58" i="2" a="1"/>
  <c r="T37" i="2" a="1"/>
  <c r="I41" i="2" a="1"/>
  <c r="D63" i="2" a="1"/>
  <c r="J54" i="2" a="1"/>
  <c r="AC24" i="2" a="1"/>
  <c r="AC28" i="2" a="1"/>
  <c r="Q22" i="2" a="1"/>
  <c r="S47" i="2" a="1"/>
  <c r="AE60" i="2" a="1"/>
  <c r="AB47" i="2" a="1"/>
  <c r="O47" i="2" a="1"/>
  <c r="AB79" i="2" a="1"/>
  <c r="AB40" i="2" a="1"/>
  <c r="K41" i="2" a="1"/>
  <c r="AB81" i="2" a="1"/>
  <c r="D53" i="2" a="1"/>
  <c r="D55" i="2" a="1"/>
  <c r="U99" i="2" a="1"/>
  <c r="AC22" i="2" a="1"/>
  <c r="Q24" i="2" a="1"/>
  <c r="Q51" i="2" a="1"/>
  <c r="S72" i="2" a="1"/>
  <c r="AE70" i="2" a="1"/>
  <c r="G54" i="2" a="1"/>
  <c r="AE46" i="2" a="1"/>
  <c r="W27" i="2" a="1"/>
  <c r="W45" i="2" a="1"/>
  <c r="Y75" i="2" a="1"/>
  <c r="H61" i="2" a="1"/>
  <c r="H88" i="2" a="1"/>
  <c r="Z50" i="2" a="1"/>
  <c r="Z64" i="2" a="1"/>
  <c r="AF35" i="2" a="1"/>
  <c r="AF73" i="2" a="1"/>
  <c r="AF67" i="2" a="1"/>
  <c r="M73" i="2" a="1"/>
  <c r="M36" i="2" a="1"/>
  <c r="K97" i="2" a="1"/>
  <c r="N46" i="2" a="1"/>
  <c r="N68" i="2" a="1"/>
  <c r="T65" i="2" a="1"/>
  <c r="T51" i="2" a="1"/>
  <c r="T45" i="2" a="1"/>
  <c r="P79" i="2" a="1"/>
  <c r="D44" i="2" a="1"/>
  <c r="J82" i="2" a="1"/>
  <c r="AA91" i="2" a="1"/>
  <c r="AC63" i="2" a="1"/>
  <c r="Q18" i="2" a="1"/>
  <c r="Q40" i="2" a="1"/>
  <c r="S56" i="2" a="1"/>
  <c r="AE53" i="2" a="1"/>
  <c r="G43" i="2" a="1"/>
  <c r="G50" i="2" a="1"/>
  <c r="W80" i="2" a="1"/>
  <c r="Y61" i="2" a="1"/>
  <c r="H75" i="2" a="1"/>
  <c r="Z78" i="2" a="1"/>
  <c r="M51" i="2" a="1"/>
  <c r="N44" i="2" a="1"/>
  <c r="D71" i="2" a="1"/>
  <c r="J45" i="2" a="1"/>
  <c r="E28" i="2" a="1"/>
  <c r="AA99" i="2" a="1"/>
  <c r="AC20" i="2" a="1"/>
  <c r="Q20" i="2" a="1"/>
  <c r="Q44" i="2" a="1"/>
  <c r="S62" i="2" a="1"/>
  <c r="AE49" i="2" a="1"/>
  <c r="AE47" i="2" a="1"/>
  <c r="W41" i="2" a="1"/>
  <c r="Y40" i="2" a="1"/>
  <c r="H63" i="2" a="1"/>
  <c r="Z82" i="2" a="1"/>
  <c r="Z68" i="2" a="1"/>
  <c r="AF47" i="2" a="1"/>
  <c r="E32" i="2" a="1"/>
  <c r="S48" i="2" a="1"/>
  <c r="AE52" i="2" a="1"/>
  <c r="W33" i="2" a="1"/>
  <c r="Y42" i="2" a="1"/>
  <c r="H67" i="2" a="1"/>
  <c r="M44" i="2" a="1"/>
  <c r="J97" i="2" a="1"/>
  <c r="N60" i="2" a="1"/>
  <c r="T57" i="2" a="1"/>
  <c r="Q36" i="2" a="1"/>
  <c r="W82" i="2" a="1"/>
  <c r="AF81" i="2" a="1"/>
  <c r="M57" i="2" a="1"/>
  <c r="T75" i="2" a="1"/>
  <c r="Q42" i="2" a="1"/>
  <c r="Y53" i="2" a="1"/>
  <c r="Y97" i="2" a="1"/>
  <c r="S52" i="2" a="1"/>
  <c r="Y67" i="2" a="1"/>
  <c r="Z80" i="2" a="1"/>
  <c r="AF43" i="2" a="1"/>
  <c r="T77" i="2" a="1"/>
  <c r="AE74" i="2" a="1"/>
  <c r="M59" i="2" a="1"/>
  <c r="T55" i="2" a="1"/>
  <c r="AC75" i="2" a="1"/>
  <c r="Y52" i="2" a="1"/>
  <c r="M67" i="2" a="1"/>
  <c r="G74" i="2" a="1"/>
  <c r="H46" i="2" a="1"/>
  <c r="T69" i="2" a="1"/>
  <c r="S68" i="2" a="1"/>
  <c r="M63" i="2" a="1"/>
  <c r="S64" i="2" a="1"/>
  <c r="E59" i="2" a="1"/>
  <c r="W25" i="2" a="1"/>
  <c r="W97" i="2" a="1"/>
  <c r="D90" i="2" a="1"/>
  <c r="E71" i="2" a="1"/>
  <c r="S45" i="2" a="1"/>
  <c r="G60" i="2" a="1"/>
  <c r="Z60" i="2" a="1"/>
  <c r="M48" i="2" a="1"/>
  <c r="M97" i="2" a="1"/>
  <c r="S58" i="2" a="1"/>
  <c r="AE35" i="2" a="1"/>
  <c r="Z58" i="2" a="1"/>
  <c r="T73" i="2" a="1"/>
  <c r="W21" i="2" a="1"/>
  <c r="H73" i="2" a="1"/>
  <c r="M65" i="2" a="1"/>
  <c r="Y55" i="2" a="1"/>
  <c r="AF45" i="2" a="1"/>
  <c r="G35" i="2" a="1"/>
  <c r="M75" i="2" a="1"/>
  <c r="W72" i="2" a="1"/>
  <c r="M69" i="2" a="1"/>
  <c r="J64" i="2" a="1"/>
  <c r="G62" i="2" a="1"/>
  <c r="Z40" i="2" a="1"/>
  <c r="N66" i="2" a="1"/>
  <c r="AC44" i="2" a="1"/>
  <c r="AC88" i="2" a="1"/>
  <c r="Z44" i="2" a="1"/>
  <c r="N40" i="2" a="1"/>
  <c r="E75" i="2" a="1"/>
  <c r="N36" i="2" a="1"/>
  <c r="T90" i="2" a="1"/>
  <c r="N42" i="2" a="1"/>
  <c r="AF42" i="2" a="1"/>
  <c r="E20" i="2" a="1"/>
  <c r="D67" i="2" a="1"/>
  <c r="AC26" i="2" a="1"/>
  <c r="Q69" i="2" a="1"/>
  <c r="G49" i="2" a="1"/>
  <c r="Z89" i="2" a="1"/>
  <c r="N82" i="2" a="1"/>
  <c r="N80" i="2" a="1"/>
  <c r="Q79" i="2" a="1"/>
  <c r="Z52" i="2" a="1"/>
  <c r="N45" i="2" a="1"/>
  <c r="Y36" i="2" a="1"/>
  <c r="AF65" i="2" a="1"/>
  <c r="T61" i="2" a="1"/>
  <c r="AC32" i="2" a="1"/>
  <c r="H45" i="2" a="1"/>
  <c r="N56" i="2" a="1"/>
  <c r="W43" i="2" a="1"/>
  <c r="AF37" i="2" a="1"/>
  <c r="S43" i="2" a="1"/>
  <c r="T41" i="2" a="1"/>
  <c r="U92" i="2" a="1"/>
  <c r="Q47" i="2" a="1"/>
  <c r="AE45" i="2" a="1"/>
  <c r="AF90" i="2" a="1"/>
  <c r="L97" i="2" a="1"/>
  <c r="AF40" i="2" a="1"/>
  <c r="J41" i="2" a="1"/>
  <c r="AC81" i="2" a="1"/>
  <c r="X97" i="2" a="1"/>
  <c r="N74" i="2" a="1"/>
  <c r="M55" i="2" a="1"/>
  <c r="Z45" i="2" a="1"/>
  <c r="J56" i="2" a="1"/>
  <c r="AC36" i="2" a="1"/>
  <c r="S41" i="2" a="1"/>
  <c r="AE51" i="2" a="1"/>
  <c r="W15" i="2" a="1"/>
  <c r="H44" i="2" a="1"/>
  <c r="AF41" i="2" a="1"/>
  <c r="M40" i="2" a="1"/>
  <c r="T81" i="2" a="1"/>
  <c r="J52" i="2" a="1"/>
  <c r="AC16" i="2" a="1"/>
  <c r="S65" i="2" a="1"/>
  <c r="AE55" i="2" a="1"/>
  <c r="AE54" i="2" a="1"/>
  <c r="W37" i="2" a="1"/>
  <c r="Y73" i="2" a="1"/>
  <c r="H65" i="2" a="1"/>
  <c r="Z36" i="2" a="1"/>
  <c r="M61" i="2" a="1"/>
  <c r="T88" i="2" a="1"/>
  <c r="H77" i="2" a="1"/>
  <c r="N62" i="2" a="1"/>
  <c r="AE62" i="2" a="1"/>
  <c r="AF59" i="2" a="1"/>
  <c r="N97" i="2" a="1"/>
  <c r="P50" i="2" a="1"/>
  <c r="P93" i="2" a="1"/>
  <c r="P54" i="2" a="1"/>
  <c r="P97" i="2" a="1"/>
  <c r="AB74" i="2" a="1"/>
  <c r="AB78" i="2" a="1"/>
  <c r="AB98" i="2" a="1"/>
  <c r="J59" i="2" a="1"/>
  <c r="J53" i="2" a="1"/>
  <c r="J71" i="2" a="1"/>
  <c r="J51" i="2" a="1"/>
  <c r="D98" i="2" a="1"/>
  <c r="D48" i="2" a="1"/>
  <c r="D72" i="2" a="1"/>
  <c r="D82" i="2" a="1"/>
  <c r="AC90" i="2" a="1"/>
  <c r="AC70" i="2" a="1"/>
  <c r="AC82" i="2" a="1"/>
  <c r="Q80" i="2" a="1"/>
  <c r="Q54" i="2" a="1"/>
  <c r="Q50" i="2" a="1"/>
  <c r="Q72" i="2" a="1"/>
  <c r="E50" i="2" a="1"/>
  <c r="E93" i="2" a="1"/>
  <c r="E89" i="2" a="1"/>
  <c r="E72" i="2" a="1"/>
  <c r="P96" i="2" a="1"/>
  <c r="J99" i="2" a="1"/>
  <c r="AB87" i="2" a="1"/>
  <c r="AB91" i="2" a="1"/>
  <c r="V75" i="2" a="1"/>
  <c r="V65" i="2" a="1"/>
  <c r="V53" i="2" a="1"/>
  <c r="V87" i="2" a="1"/>
  <c r="V92" i="2" a="1"/>
  <c r="K90" i="2" a="1"/>
  <c r="K63" i="2" a="1"/>
  <c r="K53" i="2" a="1"/>
  <c r="W96" i="2" a="1"/>
  <c r="W94" i="2" a="1"/>
  <c r="D96" i="2" a="1"/>
  <c r="W59" i="2" a="1"/>
  <c r="W73" i="2" a="1"/>
  <c r="W90" i="2" a="1"/>
  <c r="W49" i="2" a="1"/>
  <c r="K94" i="2" a="1"/>
  <c r="F89" i="2" a="1"/>
  <c r="F50" i="2" a="1"/>
  <c r="F52" i="2" a="1"/>
  <c r="F63" i="2" a="1"/>
  <c r="AD63" i="2" a="1"/>
  <c r="AD81" i="2" a="1"/>
  <c r="AD76" i="2" a="1"/>
  <c r="AD89" i="2" a="1"/>
  <c r="E96" i="2" a="1"/>
  <c r="R69" i="2" a="1"/>
  <c r="R49" i="2" a="1"/>
  <c r="R60" i="2" a="1"/>
  <c r="R81" i="2" a="1"/>
  <c r="Q95" i="2" a="1"/>
  <c r="AD91" i="2" a="1"/>
  <c r="AD96" i="2" a="1"/>
  <c r="L95" i="2" a="1"/>
  <c r="AC87" i="2" a="1"/>
  <c r="AC99" i="2" a="1"/>
  <c r="X86" i="2" a="1"/>
  <c r="X72" i="2" a="1"/>
  <c r="X68" i="2" a="1"/>
  <c r="X79" i="2" a="1"/>
  <c r="X93" i="2" a="1"/>
  <c r="R91" i="2" a="1"/>
  <c r="AE61" i="2" a="1"/>
  <c r="AE81" i="2" a="1"/>
  <c r="AE73" i="2" a="1"/>
  <c r="AE90" i="2" a="1"/>
  <c r="E52" i="2" a="1"/>
  <c r="AB99" i="2" a="1"/>
  <c r="V77" i="2" a="1"/>
  <c r="V63" i="2" a="1"/>
  <c r="V86" i="2" a="1"/>
  <c r="K79" i="2" a="1"/>
  <c r="K81" i="2" a="1"/>
  <c r="Q78" i="2" a="1"/>
  <c r="J94" i="2" a="1"/>
  <c r="V90" i="2" a="1"/>
  <c r="K69" i="2" a="1"/>
  <c r="P90" i="2" a="1"/>
  <c r="P52" i="2" a="1"/>
  <c r="P48" i="2" a="1"/>
  <c r="P89" i="2" a="1"/>
  <c r="AB58" i="2" a="1"/>
  <c r="AB52" i="2" a="1"/>
  <c r="AB93" i="2" a="1"/>
  <c r="AB62" i="2" a="1"/>
  <c r="J73" i="2" a="1"/>
  <c r="J61" i="2" a="1"/>
  <c r="J75" i="2" a="1"/>
  <c r="J67" i="2" a="1"/>
  <c r="D60" i="2" a="1"/>
  <c r="D64" i="2" a="1"/>
  <c r="D50" i="2" a="1"/>
  <c r="AC58" i="2" a="1"/>
  <c r="AC62" i="2" a="1"/>
  <c r="AC78" i="2" a="1"/>
  <c r="AC56" i="2" a="1"/>
  <c r="Q88" i="2" a="1"/>
  <c r="Q48" i="2" a="1"/>
  <c r="Q64" i="2" a="1"/>
  <c r="E66" i="2" a="1"/>
  <c r="E70" i="2" a="1"/>
  <c r="E54" i="2" a="1"/>
  <c r="P86" i="2" a="1"/>
  <c r="AB96" i="2" a="1"/>
  <c r="V99" i="2" a="1"/>
  <c r="AC74" i="2" a="1"/>
  <c r="P98" i="2" a="1"/>
  <c r="P68" i="2" a="1"/>
  <c r="P72" i="2" a="1"/>
  <c r="P60" i="2" a="1"/>
  <c r="AB80" i="2" a="1"/>
  <c r="AB54" i="2" a="1"/>
  <c r="AB66" i="2" a="1"/>
  <c r="AB64" i="2" a="1"/>
  <c r="J93" i="2" a="1"/>
  <c r="J49" i="2" a="1"/>
  <c r="J63" i="2" a="1"/>
  <c r="J81" i="2" a="1"/>
  <c r="D88" i="2" a="1"/>
  <c r="D62" i="2" a="1"/>
  <c r="D74" i="2" a="1"/>
  <c r="AC68" i="2" a="1"/>
  <c r="AC66" i="2" a="1"/>
  <c r="AC98" i="2" a="1"/>
  <c r="Q62" i="2" a="1"/>
  <c r="Q93" i="2" a="1"/>
  <c r="AC48" i="2" a="1"/>
  <c r="P82" i="2" a="1"/>
  <c r="P58" i="2" a="1"/>
  <c r="P74" i="2" a="1"/>
  <c r="P78" i="2" a="1"/>
  <c r="AB89" i="2" a="1"/>
  <c r="AB68" i="2" a="1"/>
  <c r="AB56" i="2" a="1"/>
  <c r="AB90" i="2" a="1"/>
  <c r="J88" i="2" a="1"/>
  <c r="J65" i="2" a="1"/>
  <c r="J77" i="2" a="1"/>
  <c r="D58" i="2" a="1"/>
  <c r="D89" i="2" a="1"/>
  <c r="D68" i="2" a="1"/>
  <c r="D66" i="2" a="1"/>
  <c r="AC76" i="2" a="1"/>
  <c r="AC93" i="2" a="1"/>
  <c r="AC72" i="2" a="1"/>
  <c r="Q66" i="2" a="1"/>
  <c r="Q90" i="2" a="1"/>
  <c r="P76" i="2" a="1"/>
  <c r="P62" i="2" a="1"/>
  <c r="P70" i="2" a="1"/>
  <c r="P64" i="2" a="1"/>
  <c r="AB48" i="2" a="1"/>
  <c r="AB82" i="2" a="1"/>
  <c r="AB72" i="2" a="1"/>
  <c r="AB76" i="2" a="1"/>
  <c r="J90" i="2" a="1"/>
  <c r="J55" i="2" a="1"/>
  <c r="J57" i="2" a="1"/>
  <c r="D93" i="2" a="1"/>
  <c r="D70" i="2" a="1"/>
  <c r="X88" i="2" a="1"/>
  <c r="AE78" i="2" a="1"/>
  <c r="P66" i="2" a="1"/>
  <c r="P80" i="2" a="1"/>
  <c r="P56" i="2" a="1"/>
  <c r="Z97" i="2" a="1"/>
  <c r="AB60" i="2" a="1"/>
  <c r="AB70" i="2" a="1"/>
  <c r="AB50" i="2" a="1"/>
  <c r="J89" i="2" a="1"/>
  <c r="J79" i="2" a="1"/>
  <c r="J69" i="2" a="1"/>
  <c r="J98" i="2" a="1"/>
  <c r="D76" i="2" a="1"/>
  <c r="D78" i="2" a="1"/>
  <c r="D54" i="2" a="1"/>
  <c r="D52" i="2" a="1"/>
  <c r="AC80" i="2" a="1"/>
  <c r="AC60" i="2" a="1"/>
  <c r="AC52" i="2" a="1"/>
  <c r="AB97" i="2" a="1"/>
  <c r="Q70" i="2" a="1"/>
  <c r="Q74" i="2" a="1"/>
  <c r="Q76" i="2" a="1"/>
  <c r="E82" i="2" a="1"/>
  <c r="E58" i="2" a="1"/>
  <c r="E74" i="2" a="1"/>
  <c r="E68" i="2" a="1"/>
  <c r="P95" i="2" a="1"/>
  <c r="J96" i="2" a="1"/>
  <c r="J95" i="2" a="1"/>
  <c r="AB95" i="2" a="1"/>
  <c r="V59" i="2" a="1"/>
  <c r="V51" i="2" a="1"/>
  <c r="V81" i="2" a="1"/>
  <c r="V67" i="2" a="1"/>
  <c r="V95" i="2" a="1"/>
  <c r="K89" i="2" a="1"/>
  <c r="K57" i="2" a="1"/>
  <c r="K49" i="2" a="1"/>
  <c r="K88" i="2" a="1"/>
  <c r="W87" i="2" a="1"/>
  <c r="D91" i="2" a="1"/>
  <c r="W69" i="2" a="1"/>
  <c r="W65" i="2" a="1"/>
  <c r="W67" i="2" a="1"/>
  <c r="W81" i="2" a="1"/>
  <c r="K95" i="2" a="1"/>
  <c r="E97" i="2" a="1"/>
  <c r="F71" i="2" a="1"/>
  <c r="F48" i="2" a="1"/>
  <c r="AD50" i="2" a="1"/>
  <c r="F68" i="2" a="1"/>
  <c r="F98" i="2" a="1"/>
  <c r="AD98" i="2" a="1"/>
  <c r="AD67" i="2" a="1"/>
  <c r="E86" i="2" a="1"/>
  <c r="R79" i="2" a="1"/>
  <c r="R55" i="2" a="1"/>
  <c r="R51" i="2" a="1"/>
  <c r="R76" i="2" a="1"/>
  <c r="Q94" i="2" a="1"/>
  <c r="Q97" i="2" a="1"/>
  <c r="AD86" i="2" a="1"/>
  <c r="L92" i="2" a="1"/>
  <c r="AC94" i="2" a="1"/>
  <c r="AC86" i="2" a="1"/>
  <c r="X95" i="2" a="1"/>
  <c r="X73" i="2" a="1"/>
  <c r="X69" i="2" a="1"/>
  <c r="X89" i="2" a="1"/>
  <c r="R96" i="2" a="1"/>
  <c r="AE63" i="2" a="1"/>
  <c r="AE65" i="2" a="1"/>
  <c r="AE79" i="2" a="1"/>
  <c r="D56" i="2" a="1"/>
  <c r="Q60" i="2" a="1"/>
  <c r="P92" i="2" a="1"/>
  <c r="AB92" i="2" a="1"/>
  <c r="V47" i="2" a="1"/>
  <c r="K55" i="2" a="1"/>
  <c r="K61" i="2" a="1"/>
  <c r="W61" i="2" a="1"/>
  <c r="K86" i="2" a="1"/>
  <c r="F93" i="2" a="1"/>
  <c r="AD88" i="2" a="1"/>
  <c r="E94" i="2" a="1"/>
  <c r="R78" i="2" a="1"/>
  <c r="Q87" i="2" a="1"/>
  <c r="L99" i="2" a="1"/>
  <c r="AC95" i="2" a="1"/>
  <c r="X77" i="2" a="1"/>
  <c r="X61" i="2" a="1"/>
  <c r="R92" i="2" a="1"/>
  <c r="AE82" i="2" a="1"/>
  <c r="AE71" i="2" a="1"/>
  <c r="D80" i="2" a="1"/>
  <c r="E62" i="2" a="1"/>
  <c r="P91" i="2" a="1"/>
  <c r="AB86" i="2" a="1"/>
  <c r="V79" i="2" a="1"/>
  <c r="K67" i="2" a="1"/>
  <c r="K73" i="2" a="1"/>
  <c r="D94" i="2" a="1"/>
  <c r="W79" i="2" a="1"/>
  <c r="F61" i="2" a="1"/>
  <c r="F76" i="2" a="1"/>
  <c r="AD78" i="2" a="1"/>
  <c r="E99" i="2" a="1"/>
  <c r="Q96" i="2" a="1"/>
  <c r="E56" i="2" a="1"/>
  <c r="F59" i="2" a="1"/>
  <c r="Q86" i="2" a="1"/>
  <c r="R99" i="2" a="1"/>
  <c r="V57" i="2" a="1"/>
  <c r="R53" i="2" a="1"/>
  <c r="AE89" i="2" a="1"/>
  <c r="AD93" i="2" a="1"/>
  <c r="X87" i="2" a="1"/>
  <c r="L96" i="2" a="1"/>
  <c r="K91" i="2" a="1"/>
  <c r="X59" i="2" a="1"/>
  <c r="K87" i="2" a="1"/>
  <c r="AE59" i="2" a="1"/>
  <c r="W98" i="2" a="1"/>
  <c r="AD54" i="2" a="1"/>
  <c r="R86" i="2" a="1"/>
  <c r="AD71" i="2" a="1"/>
  <c r="AE67" i="2" a="1"/>
  <c r="AC54" i="2" a="1"/>
  <c r="E78" i="2" a="1"/>
  <c r="P94" i="2" a="1"/>
  <c r="D95" i="2" a="1"/>
  <c r="X92" i="2" a="1"/>
  <c r="AE93" i="2" a="1"/>
  <c r="AC64" i="2" a="1"/>
  <c r="E88" i="2" a="1"/>
  <c r="P99" i="2" a="1"/>
  <c r="V93" i="2" a="1"/>
  <c r="V55" i="2" a="1"/>
  <c r="K93" i="2" a="1"/>
  <c r="R62" i="2" a="1"/>
  <c r="AC50" i="2" a="1"/>
  <c r="E48" i="2" a="1"/>
  <c r="J92" i="2" a="1"/>
  <c r="V71" i="2" a="1"/>
  <c r="V73" i="2" a="1"/>
  <c r="K59" i="2" a="1"/>
  <c r="W99" i="2" a="1"/>
  <c r="W71" i="2" a="1"/>
  <c r="D97" i="2" a="1"/>
  <c r="F78" i="2" a="1"/>
  <c r="F88" i="2" a="1"/>
  <c r="R82" i="2" a="1"/>
  <c r="R89" i="2" a="1"/>
  <c r="AD99" i="2" a="1"/>
  <c r="L87" i="2" a="1"/>
  <c r="AE69" i="2" a="1"/>
  <c r="J86" i="2" a="1"/>
  <c r="K71" i="2" a="1"/>
  <c r="W75" i="2" a="1"/>
  <c r="E95" i="2" a="1"/>
  <c r="R98" i="2" a="1"/>
  <c r="W86" i="2" a="1"/>
  <c r="W93" i="2" a="1"/>
  <c r="AD90" i="2" a="1"/>
  <c r="AD95" i="2" a="1"/>
  <c r="AC92" i="2" a="1"/>
  <c r="AE76" i="2" a="1"/>
  <c r="Q52" i="2" a="1"/>
  <c r="E76" i="2" a="1"/>
  <c r="W91" i="2" a="1"/>
  <c r="W63" i="2" a="1"/>
  <c r="W51" i="2" a="1"/>
  <c r="F82" i="2" a="1"/>
  <c r="AD68" i="2" a="1"/>
  <c r="AD72" i="2" a="1"/>
  <c r="R80" i="2" a="1"/>
  <c r="AD94" i="2" a="1"/>
  <c r="F97" i="2" a="1"/>
  <c r="X99" i="2" a="1"/>
  <c r="X52" i="2" a="1"/>
  <c r="X55" i="2" a="1"/>
  <c r="AE88" i="2" a="1"/>
  <c r="E98" i="2" a="1"/>
  <c r="V94" i="2" a="1"/>
  <c r="W47" i="2" a="1"/>
  <c r="AD80" i="2" a="1"/>
  <c r="R90" i="2" a="1"/>
  <c r="AD92" i="2" a="1"/>
  <c r="K51" i="2" a="1"/>
  <c r="F72" i="2" a="1"/>
  <c r="E91" i="2" a="1"/>
  <c r="Q99" i="2" a="1"/>
  <c r="X91" i="2" a="1"/>
  <c r="Q82" i="2" a="1"/>
  <c r="V88" i="2" a="1"/>
  <c r="F80" i="2" a="1"/>
  <c r="X57" i="2" a="1"/>
  <c r="Q58" i="2" a="1"/>
  <c r="E64" i="2" a="1"/>
  <c r="J91" i="2" a="1"/>
  <c r="V49" i="2" a="1"/>
  <c r="V96" i="2" a="1"/>
  <c r="F75" i="2" a="1"/>
  <c r="R94" i="2" a="1"/>
  <c r="Q56" i="2" a="1"/>
  <c r="E80" i="2" a="1"/>
  <c r="J87" i="2" a="1"/>
  <c r="V61" i="2" a="1"/>
  <c r="V91" i="2" a="1"/>
  <c r="K65" i="2" a="1"/>
  <c r="D86" i="2" a="1"/>
  <c r="W57" i="2" a="1"/>
  <c r="W88" i="2" a="1"/>
  <c r="F90" i="2" a="1"/>
  <c r="AD52" i="2" a="1"/>
  <c r="E92" i="2" a="1"/>
  <c r="R64" i="2" a="1"/>
  <c r="Q91" i="2" a="1"/>
  <c r="AC91" i="2" a="1"/>
  <c r="X94" i="2" a="1"/>
  <c r="X50" i="2" a="1"/>
  <c r="R95" i="2" a="1"/>
  <c r="AE77" i="2" a="1"/>
  <c r="AE75" i="2" a="1"/>
  <c r="AE98" i="2" a="1"/>
  <c r="Q89" i="2" a="1"/>
  <c r="AB94" i="2" a="1"/>
  <c r="K75" i="2" a="1"/>
  <c r="K77" i="2" a="1"/>
  <c r="W53" i="2" a="1"/>
  <c r="K92" i="2" a="1"/>
  <c r="AD46" i="2" a="1"/>
  <c r="R74" i="2" a="1"/>
  <c r="AC89" i="2" a="1"/>
  <c r="K96" i="2" a="1"/>
  <c r="AD75" i="2" a="1"/>
  <c r="R73" i="2" a="1"/>
  <c r="X80" i="2" a="1"/>
  <c r="X76" i="2" a="1"/>
  <c r="V69" i="2" a="1"/>
  <c r="W92" i="2" a="1"/>
  <c r="F77" i="2" a="1"/>
  <c r="AD56" i="2" a="1"/>
  <c r="AC97" i="2" a="1"/>
  <c r="X48" i="2" a="1"/>
  <c r="W95" i="2" a="1"/>
  <c r="W77" i="2" a="1"/>
  <c r="R93" i="2" a="1"/>
  <c r="L86" i="2" a="1"/>
  <c r="X98" i="2" a="1"/>
  <c r="Q68" i="2" a="1"/>
  <c r="E60" i="2" a="1"/>
  <c r="D92" i="2" a="1"/>
  <c r="K99" i="2" a="1"/>
  <c r="F79" i="2" a="1"/>
  <c r="F65" i="2" a="1"/>
  <c r="AD82" i="2" a="1"/>
  <c r="R70" i="2" a="1"/>
  <c r="Q92" i="2" a="1"/>
  <c r="AD87" i="2" a="1"/>
  <c r="AC96" i="2" a="1"/>
  <c r="X63" i="2" a="1"/>
  <c r="X90" i="2" a="1"/>
  <c r="R87" i="2" a="1"/>
  <c r="AE80" i="2" a="1"/>
  <c r="P87" i="2" a="1"/>
  <c r="V98" i="2" a="1"/>
  <c r="D87" i="2" a="1"/>
  <c r="AD65" i="2" a="1"/>
  <c r="E87" i="2" a="1"/>
  <c r="L94" i="2" a="1"/>
  <c r="D99" i="2" a="1"/>
  <c r="R66" i="2" a="1"/>
  <c r="X96" i="2" a="1"/>
  <c r="AE57" i="2" a="1"/>
  <c r="K98" i="2" a="1"/>
  <c r="L91" i="2" a="1"/>
  <c r="W55" i="2" a="1"/>
  <c r="X81" i="2" a="1"/>
  <c r="G73" i="2" a="1"/>
  <c r="G75" i="2" a="1"/>
  <c r="G93" i="2" a="1"/>
  <c r="G69" i="2" a="1"/>
  <c r="Z75" i="2" a="1"/>
  <c r="Z90" i="2" a="1"/>
  <c r="Z49" i="2" a="1"/>
  <c r="Z63" i="2" a="1"/>
  <c r="M88" i="2" a="1"/>
  <c r="M82" i="2" a="1"/>
  <c r="M72" i="2" a="1"/>
  <c r="L93" i="2" a="1"/>
  <c r="L47" i="2" a="1"/>
  <c r="L89" i="2" a="1"/>
  <c r="L81" i="2" a="1"/>
  <c r="Y76" i="2" a="1"/>
  <c r="Y88" i="2" a="1"/>
  <c r="Y56" i="2" a="1"/>
  <c r="Y89" i="2" a="1"/>
  <c r="H82" i="2" a="1"/>
  <c r="S67" i="2" a="1"/>
  <c r="AF46" i="2" a="1"/>
  <c r="F94" i="2" a="1"/>
  <c r="Y96" i="2" a="1"/>
  <c r="T52" i="2" a="1"/>
  <c r="T48" i="2" a="1"/>
  <c r="Z87" i="2" a="1"/>
  <c r="H99" i="2" a="1"/>
  <c r="S96" i="2" a="1"/>
  <c r="M99" i="2" a="1"/>
  <c r="AE87" i="2" a="1"/>
  <c r="T56" i="2" a="1"/>
  <c r="H91" i="2" a="1"/>
  <c r="M91" i="2" a="1"/>
  <c r="AE95" i="2" a="1"/>
  <c r="AF98" i="2" a="1"/>
  <c r="T46" i="2" a="1"/>
  <c r="G81" i="2" a="1"/>
  <c r="G80" i="2" a="1"/>
  <c r="G71" i="2" a="1"/>
  <c r="G98" i="2" a="1"/>
  <c r="Z88" i="2" a="1"/>
  <c r="Z57" i="2" a="1"/>
  <c r="Z55" i="2" a="1"/>
  <c r="Z77" i="2" a="1"/>
  <c r="M58" i="2" a="1"/>
  <c r="M80" i="2" a="1"/>
  <c r="M56" i="2" a="1"/>
  <c r="L71" i="2" a="1"/>
  <c r="L67" i="2" a="1"/>
  <c r="L70" i="2" a="1"/>
  <c r="L58" i="2" a="1"/>
  <c r="Y78" i="2" a="1"/>
  <c r="Y66" i="2" a="1"/>
  <c r="Y81" i="2" a="1"/>
  <c r="Y74" i="2" a="1"/>
  <c r="N55" i="2" a="1"/>
  <c r="N77" i="2" a="1"/>
  <c r="N98" i="2" a="1"/>
  <c r="H58" i="2" a="1"/>
  <c r="H89" i="2" a="1"/>
  <c r="H50" i="2" a="1"/>
  <c r="S59" i="2" a="1"/>
  <c r="AF56" i="2" a="1"/>
  <c r="AF48" i="2" a="1"/>
  <c r="AF89" i="2" a="1"/>
  <c r="AF62" i="2" a="1"/>
  <c r="F92" i="2" a="1"/>
  <c r="T60" i="2" a="1"/>
  <c r="T82" i="2" a="1"/>
  <c r="AF99" i="2" a="1"/>
  <c r="H87" i="2" a="1"/>
  <c r="G94" i="2" a="1"/>
  <c r="M96" i="2" a="1"/>
  <c r="AE91" i="2" a="1"/>
  <c r="T62" i="2" a="1"/>
  <c r="H86" i="2" a="1"/>
  <c r="M95" i="2" a="1"/>
  <c r="AE97" i="2" a="1"/>
  <c r="AF54" i="2" a="1"/>
  <c r="T93" i="2" a="1"/>
  <c r="Y72" i="2" a="1"/>
  <c r="N69" i="2" a="1"/>
  <c r="H80" i="2" a="1"/>
  <c r="H98" i="2" a="1"/>
  <c r="S69" i="2" a="1"/>
  <c r="S55" i="2" a="1"/>
  <c r="AF52" i="2" a="1"/>
  <c r="F95" i="2" a="1"/>
  <c r="Y91" i="2" a="1"/>
  <c r="T78" i="2" a="1"/>
  <c r="AF94" i="2" a="1"/>
  <c r="G86" i="2" a="1"/>
  <c r="S63" i="2" a="1"/>
  <c r="G59" i="2" a="1"/>
  <c r="G53" i="2" a="1"/>
  <c r="G90" i="2" a="1"/>
  <c r="G61" i="2" a="1"/>
  <c r="Z53" i="2" a="1"/>
  <c r="Z69" i="2" a="1"/>
  <c r="Z81" i="2" a="1"/>
  <c r="Z93" i="2" a="1"/>
  <c r="M90" i="2" a="1"/>
  <c r="M60" i="2" a="1"/>
  <c r="M64" i="2" a="1"/>
  <c r="L90" i="2" a="1"/>
  <c r="L54" i="2" a="1"/>
  <c r="L78" i="2" a="1"/>
  <c r="L65" i="2" a="1"/>
  <c r="Y62" i="2" a="1"/>
  <c r="Y77" i="2" a="1"/>
  <c r="N51" i="2" a="1"/>
  <c r="N90" i="2" a="1"/>
  <c r="N71" i="2" a="1"/>
  <c r="H93" i="2" a="1"/>
  <c r="H76" i="2" a="1"/>
  <c r="S57" i="2" a="1"/>
  <c r="S53" i="2" a="1"/>
  <c r="AF70" i="2" a="1"/>
  <c r="AF64" i="2" a="1"/>
  <c r="F99" i="2" a="1"/>
  <c r="T89" i="2" a="1"/>
  <c r="Z99" i="2" a="1"/>
  <c r="S92" i="2" a="1"/>
  <c r="AF76" i="2" a="1"/>
  <c r="G78" i="2" a="1"/>
  <c r="Z71" i="2" a="1"/>
  <c r="M98" i="2" a="1"/>
  <c r="M78" i="2" a="1"/>
  <c r="M77" i="2" a="1"/>
  <c r="L74" i="2" a="1"/>
  <c r="Y68" i="2" a="1"/>
  <c r="Y93" i="2" a="1"/>
  <c r="N63" i="2" a="1"/>
  <c r="N79" i="2" a="1"/>
  <c r="H56" i="2" a="1"/>
  <c r="H54" i="2" a="1"/>
  <c r="S79" i="2" a="1"/>
  <c r="F86" i="2" a="1"/>
  <c r="Y99" i="2" a="1"/>
  <c r="AF87" i="2" a="1"/>
  <c r="G55" i="2" a="1"/>
  <c r="G57" i="2" a="1"/>
  <c r="G89" i="2" a="1"/>
  <c r="G67" i="2" a="1"/>
  <c r="Z65" i="2" a="1"/>
  <c r="Z79" i="2" a="1"/>
  <c r="Z47" i="2" a="1"/>
  <c r="M70" i="2" a="1"/>
  <c r="M62" i="2" a="1"/>
  <c r="M68" i="2" a="1"/>
  <c r="M89" i="2" a="1"/>
  <c r="L62" i="2" a="1"/>
  <c r="L98" i="2" a="1"/>
  <c r="L88" i="2" a="1"/>
  <c r="L56" i="2" a="1"/>
  <c r="Y79" i="2" a="1"/>
  <c r="Y90" i="2" a="1"/>
  <c r="Y60" i="2" a="1"/>
  <c r="N67" i="2" a="1"/>
  <c r="N47" i="2" a="1"/>
  <c r="N93" i="2" a="1"/>
  <c r="N88" i="2" a="1"/>
  <c r="H48" i="2" a="1"/>
  <c r="H62" i="2" a="1"/>
  <c r="H78" i="2" a="1"/>
  <c r="H66" i="2" a="1"/>
  <c r="S73" i="2" a="1"/>
  <c r="S98" i="2" a="1"/>
  <c r="S88" i="2" a="1"/>
  <c r="S89" i="2" a="1"/>
  <c r="AF80" i="2" a="1"/>
  <c r="AF58" i="2" a="1"/>
  <c r="AF68" i="2" a="1"/>
  <c r="F87" i="2" a="1"/>
  <c r="Y92" i="2" a="1"/>
  <c r="Y94" i="2" a="1"/>
  <c r="T76" i="2" a="1"/>
  <c r="T72" i="2" a="1"/>
  <c r="T58" i="2" a="1"/>
  <c r="AF96" i="2" a="1"/>
  <c r="AF91" i="2" a="1"/>
  <c r="Z95" i="2" a="1"/>
  <c r="H95" i="2" a="1"/>
  <c r="G96" i="2" a="1"/>
  <c r="S94" i="2" a="1"/>
  <c r="S95" i="2" a="1"/>
  <c r="M86" i="2" a="1"/>
  <c r="G97" i="2" a="1"/>
  <c r="AE92" i="2" a="1"/>
  <c r="G77" i="2" a="1"/>
  <c r="Z59" i="2" a="1"/>
  <c r="Z51" i="2" a="1"/>
  <c r="Z67" i="2" a="1"/>
  <c r="M93" i="2" a="1"/>
  <c r="L60" i="2" a="1"/>
  <c r="L77" i="2" a="1"/>
  <c r="Y80" i="2" a="1"/>
  <c r="N73" i="2" a="1"/>
  <c r="N53" i="2" a="1"/>
  <c r="H68" i="2" a="1"/>
  <c r="S90" i="2" a="1"/>
  <c r="AF93" i="2" a="1"/>
  <c r="Y87" i="2" a="1"/>
  <c r="AF86" i="2" a="1"/>
  <c r="T64" i="2" a="1"/>
  <c r="G79" i="2" a="1"/>
  <c r="Y64" i="2" a="1"/>
  <c r="S81" i="2" a="1"/>
  <c r="G65" i="2" a="1"/>
  <c r="G82" i="2" a="1"/>
  <c r="G88" i="2" a="1"/>
  <c r="Z98" i="2" a="1"/>
  <c r="Z61" i="2" a="1"/>
  <c r="M74" i="2" a="1"/>
  <c r="Z73" i="2" a="1"/>
  <c r="M81" i="2" a="1"/>
  <c r="M76" i="2" a="1"/>
  <c r="M79" i="2" a="1"/>
  <c r="M66" i="2" a="1"/>
  <c r="L75" i="2" a="1"/>
  <c r="L79" i="2" a="1"/>
  <c r="L80" i="2" a="1"/>
  <c r="Y82" i="2" a="1"/>
  <c r="Y58" i="2" a="1"/>
  <c r="Y98" i="2" a="1"/>
  <c r="Y70" i="2" a="1"/>
  <c r="N81" i="2" a="1"/>
  <c r="N57" i="2" a="1"/>
  <c r="N65" i="2" a="1"/>
  <c r="N61" i="2" a="1"/>
  <c r="N75" i="2" a="1"/>
  <c r="H90" i="2" a="1"/>
  <c r="H52" i="2" a="1"/>
  <c r="H74" i="2" a="1"/>
  <c r="H70" i="2" a="1"/>
  <c r="S93" i="2" a="1"/>
  <c r="S75" i="2" a="1"/>
  <c r="S76" i="2" a="1"/>
  <c r="S82" i="2" a="1"/>
  <c r="S77" i="2" a="1"/>
  <c r="AF82" i="2" a="1"/>
  <c r="AF72" i="2" a="1"/>
  <c r="R97" i="2" a="1"/>
  <c r="F91" i="2" a="1"/>
  <c r="Y95" i="2" a="1"/>
  <c r="T54" i="2" a="1"/>
  <c r="T70" i="2" a="1"/>
  <c r="T80" i="2" a="1"/>
  <c r="T66" i="2" a="1"/>
  <c r="AF95" i="2" a="1"/>
  <c r="Z91" i="2" a="1"/>
  <c r="Z96" i="2" a="1"/>
  <c r="H94" i="2" a="1"/>
  <c r="N49" i="2" a="1"/>
  <c r="S78" i="2" a="1"/>
  <c r="Y86" i="2" a="1"/>
  <c r="Z86" i="2" a="1"/>
  <c r="AF60" i="2" a="1"/>
  <c r="M87" i="2" a="1"/>
  <c r="N59" i="2" a="1"/>
  <c r="Z92" i="2" a="1"/>
  <c r="S91" i="2" a="1"/>
  <c r="AE94" i="2" a="1"/>
  <c r="S99" i="2" a="1"/>
  <c r="H64" i="2" a="1"/>
  <c r="Z94" i="2" a="1"/>
  <c r="T97" i="2" a="1"/>
  <c r="T50" i="2" a="1"/>
  <c r="S87" i="2" a="1"/>
  <c r="AF50" i="2" a="1"/>
  <c r="AF78" i="2" a="1"/>
  <c r="M94" i="2" a="1"/>
  <c r="H72" i="2" a="1"/>
  <c r="S71" i="2" a="1"/>
  <c r="T74" i="2" a="1"/>
  <c r="AE86" i="2" a="1"/>
  <c r="G91" i="2" a="1"/>
  <c r="H60" i="2" a="1"/>
  <c r="H96" i="2" a="1"/>
  <c r="AE96" i="2" a="1"/>
  <c r="T98" i="2" a="1"/>
  <c r="AF92" i="2" a="1"/>
  <c r="G95" i="2" a="1"/>
  <c r="S80" i="2" a="1"/>
  <c r="AF66" i="2" a="1"/>
  <c r="T68" i="2" a="1"/>
  <c r="H92" i="2" a="1"/>
  <c r="S86" i="2" a="1"/>
  <c r="AE99" i="2" a="1"/>
  <c r="M92" i="2" a="1"/>
  <c r="AD97" i="2" a="1"/>
  <c r="G92" i="2" a="1"/>
  <c r="G99" i="2" a="1"/>
  <c r="AF74" i="2" a="1"/>
  <c r="F96" i="2" a="1"/>
  <c r="G87" i="2" a="1"/>
  <c r="N87" i="2" a="1"/>
  <c r="N96" i="2" a="1"/>
  <c r="T94" i="2" a="1"/>
  <c r="H97" i="2" a="1"/>
  <c r="T92" i="2" a="1"/>
  <c r="N99" i="2" a="1"/>
  <c r="AF97" i="2" a="1"/>
  <c r="N95" i="2" a="1"/>
  <c r="N92" i="2" a="1"/>
  <c r="T95" i="2" a="1"/>
  <c r="T96" i="2" a="1"/>
  <c r="T99" i="2" a="1"/>
  <c r="S97" i="2" a="1"/>
  <c r="N86" i="2" a="1"/>
  <c r="T87" i="2" a="1"/>
  <c r="T86" i="2" a="1"/>
  <c r="N94" i="2" a="1"/>
  <c r="T91" i="2" a="1"/>
  <c r="N91" i="2" a="1"/>
  <c r="AA18" i="2" l="1"/>
  <c r="K34" i="2"/>
  <c r="AA60" i="2"/>
  <c r="R63" i="2"/>
  <c r="N23" i="2"/>
  <c r="AA53" i="2"/>
  <c r="AA62" i="2"/>
  <c r="K18" i="2"/>
  <c r="W44" i="2"/>
  <c r="V89" i="2"/>
  <c r="F55" i="2"/>
  <c r="T40" i="2"/>
  <c r="AA61" i="2"/>
  <c r="AA20" i="2"/>
  <c r="AA50" i="2"/>
  <c r="AC35" i="2"/>
  <c r="AC19" i="2"/>
  <c r="AA70" i="2"/>
  <c r="P27" i="2"/>
  <c r="K22" i="2"/>
  <c r="K62" i="2"/>
  <c r="E73" i="2"/>
  <c r="W50" i="2"/>
  <c r="AA66" i="2"/>
  <c r="AA12" i="2"/>
  <c r="X33" i="2"/>
  <c r="AF28" i="2"/>
  <c r="T21" i="2"/>
  <c r="AA16" i="2"/>
  <c r="F40" i="2"/>
  <c r="AA58" i="2"/>
  <c r="AA65" i="2"/>
  <c r="P16" i="2"/>
  <c r="K46" i="2"/>
  <c r="E69" i="2"/>
  <c r="E17" i="2"/>
  <c r="R65" i="2"/>
  <c r="R52" i="2"/>
  <c r="W60" i="2"/>
  <c r="W20" i="2"/>
  <c r="AD70" i="2"/>
  <c r="L31" i="2"/>
  <c r="AC25" i="2"/>
  <c r="AC27" i="2"/>
  <c r="E79" i="2"/>
  <c r="AA90" i="2"/>
  <c r="AA24" i="2"/>
  <c r="X82" i="2"/>
  <c r="AA82" i="2"/>
  <c r="P22" i="2"/>
  <c r="K72" i="2"/>
  <c r="AA32" i="2"/>
  <c r="AC31" i="2"/>
  <c r="AC33" i="2"/>
  <c r="E21" i="2"/>
  <c r="R75" i="2"/>
  <c r="AA8" i="2"/>
  <c r="AA51" i="2"/>
  <c r="V72" i="2"/>
  <c r="V78" i="2"/>
  <c r="F53" i="2"/>
  <c r="F60" i="2"/>
  <c r="L50" i="2"/>
  <c r="I9" i="2"/>
  <c r="AD36" i="2"/>
  <c r="AA89" i="2"/>
  <c r="K68" i="2"/>
  <c r="W54" i="2"/>
  <c r="AC37" i="2"/>
  <c r="Q31" i="2"/>
  <c r="AA34" i="2"/>
  <c r="AC45" i="2"/>
  <c r="AC77" i="2"/>
  <c r="AC49" i="2"/>
  <c r="AA54" i="2"/>
  <c r="AA75" i="2"/>
  <c r="P33" i="2"/>
  <c r="P23" i="2"/>
  <c r="P26" i="2"/>
  <c r="K16" i="2"/>
  <c r="K64" i="2"/>
  <c r="E23" i="2"/>
  <c r="E41" i="2"/>
  <c r="R77" i="2"/>
  <c r="W26" i="2"/>
  <c r="W30" i="2"/>
  <c r="AA29" i="2"/>
  <c r="Q57" i="2"/>
  <c r="X65" i="2"/>
  <c r="L82" i="2"/>
  <c r="C73" i="2"/>
  <c r="I8" i="2"/>
  <c r="F45" i="2"/>
  <c r="AA93" i="2"/>
  <c r="R26" i="2"/>
  <c r="AA36" i="2"/>
  <c r="P24" i="2"/>
  <c r="E49" i="2"/>
  <c r="Z21" i="2"/>
  <c r="W56" i="2"/>
  <c r="F30" i="2"/>
  <c r="X49" i="2"/>
  <c r="AA88" i="2"/>
  <c r="K60" i="2"/>
  <c r="E55" i="2"/>
  <c r="V76" i="2"/>
  <c r="AA68" i="2"/>
  <c r="AC51" i="2"/>
  <c r="P40" i="2"/>
  <c r="P20" i="2"/>
  <c r="K47" i="2"/>
  <c r="E65" i="2"/>
  <c r="E51" i="2"/>
  <c r="R42" i="2"/>
  <c r="R20" i="2"/>
  <c r="AA43" i="2"/>
  <c r="V50" i="2"/>
  <c r="V70" i="2"/>
  <c r="F64" i="2"/>
  <c r="F37" i="2"/>
  <c r="Q19" i="2"/>
  <c r="X15" i="2"/>
  <c r="AD58" i="2"/>
  <c r="C25" i="2"/>
  <c r="Z56" i="2"/>
  <c r="AC69" i="2"/>
  <c r="E81" i="2"/>
  <c r="AA81" i="2"/>
  <c r="P34" i="2"/>
  <c r="AA69" i="2"/>
  <c r="V60" i="2"/>
  <c r="AF20" i="2"/>
  <c r="AA40" i="2"/>
  <c r="AA78" i="2"/>
  <c r="K40" i="2"/>
  <c r="R67" i="2"/>
  <c r="AA48" i="2"/>
  <c r="AC41" i="2"/>
  <c r="P36" i="2"/>
  <c r="K44" i="2"/>
  <c r="E27" i="2"/>
  <c r="W36" i="2"/>
  <c r="W78" i="2"/>
  <c r="AA37" i="2"/>
  <c r="AA79" i="2"/>
  <c r="V56" i="2"/>
  <c r="V54" i="2"/>
  <c r="F73" i="2"/>
  <c r="F70" i="2"/>
  <c r="AD69" i="2"/>
  <c r="Z66" i="2"/>
  <c r="X53" i="2"/>
  <c r="P15" i="2"/>
  <c r="W74" i="2"/>
  <c r="AA64" i="2"/>
  <c r="K24" i="2"/>
  <c r="R68" i="2"/>
  <c r="AA26" i="2"/>
  <c r="V82" i="2"/>
  <c r="F67" i="2"/>
  <c r="AC79" i="2"/>
  <c r="P13" i="2"/>
  <c r="R59" i="2"/>
  <c r="AF7" i="2"/>
  <c r="AA59" i="2"/>
  <c r="AA44" i="2"/>
  <c r="AA72" i="2"/>
  <c r="AA71" i="2"/>
  <c r="P30" i="2"/>
  <c r="K28" i="2"/>
  <c r="E45" i="2"/>
  <c r="AA28" i="2"/>
  <c r="AA42" i="2"/>
  <c r="AA22" i="2"/>
  <c r="AC57" i="2"/>
  <c r="AC73" i="2"/>
  <c r="R72" i="2"/>
  <c r="R61" i="2"/>
  <c r="R46" i="2"/>
  <c r="W64" i="2"/>
  <c r="AD34" i="2"/>
  <c r="U16" i="2"/>
  <c r="O15" i="2"/>
  <c r="C33" i="2"/>
  <c r="AA30" i="2"/>
  <c r="W32" i="2"/>
  <c r="AC21" i="2"/>
  <c r="K48" i="2"/>
  <c r="H30" i="2"/>
  <c r="Q75" i="2"/>
  <c r="P17" i="2"/>
  <c r="E67" i="2"/>
  <c r="L25" i="2"/>
  <c r="AC53" i="2"/>
  <c r="AA74" i="2"/>
  <c r="AC14" i="2"/>
  <c r="AA76" i="2"/>
  <c r="P21" i="2"/>
  <c r="AA52" i="2"/>
  <c r="AC43" i="2"/>
  <c r="AC71" i="2"/>
  <c r="AA56" i="2"/>
  <c r="AA67" i="2"/>
  <c r="P29" i="2"/>
  <c r="P41" i="2"/>
  <c r="P32" i="2"/>
  <c r="K42" i="2"/>
  <c r="K80" i="2"/>
  <c r="E47" i="2"/>
  <c r="E33" i="2"/>
  <c r="R47" i="2"/>
  <c r="W70" i="2"/>
  <c r="AA23" i="2"/>
  <c r="Q45" i="2"/>
  <c r="X78" i="2"/>
  <c r="Z10" i="2"/>
  <c r="U9" i="2"/>
  <c r="O12" i="2"/>
  <c r="Q9" i="2"/>
  <c r="W40" i="2"/>
  <c r="AA17" i="2"/>
  <c r="V58" i="2"/>
  <c r="F66" i="2"/>
  <c r="F58" i="2"/>
  <c r="Q17" i="2"/>
  <c r="Q71" i="2"/>
  <c r="AF53" i="2"/>
  <c r="Z8" i="2"/>
  <c r="H32" i="2"/>
  <c r="AD79" i="2"/>
  <c r="L61" i="2"/>
  <c r="L42" i="2"/>
  <c r="L37" i="2"/>
  <c r="AF26" i="2"/>
  <c r="AF17" i="2"/>
  <c r="AF11" i="2"/>
  <c r="Z35" i="2"/>
  <c r="Z31" i="2"/>
  <c r="Z14" i="2"/>
  <c r="C14" i="2"/>
  <c r="C12" i="2"/>
  <c r="U8" i="2"/>
  <c r="U40" i="2"/>
  <c r="U90" i="2"/>
  <c r="N32" i="2"/>
  <c r="N12" i="2"/>
  <c r="T13" i="2"/>
  <c r="T67" i="2"/>
  <c r="T15" i="2"/>
  <c r="AE34" i="2"/>
  <c r="AF25" i="2"/>
  <c r="T29" i="2"/>
  <c r="R23" i="2"/>
  <c r="AD35" i="2"/>
  <c r="F46" i="2"/>
  <c r="AB41" i="2"/>
  <c r="S31" i="2"/>
  <c r="G21" i="2"/>
  <c r="X64" i="2"/>
  <c r="X35" i="2"/>
  <c r="AD64" i="2"/>
  <c r="AD60" i="2"/>
  <c r="AD74" i="2"/>
  <c r="L68" i="2"/>
  <c r="L19" i="2"/>
  <c r="AF36" i="2"/>
  <c r="AF63" i="2"/>
  <c r="Z17" i="2"/>
  <c r="U97" i="2"/>
  <c r="C81" i="2"/>
  <c r="U70" i="2"/>
  <c r="U14" i="2"/>
  <c r="N25" i="2"/>
  <c r="I88" i="2"/>
  <c r="I26" i="2"/>
  <c r="Z24" i="2"/>
  <c r="Z20" i="2"/>
  <c r="X56" i="2"/>
  <c r="O48" i="2"/>
  <c r="O9" i="2"/>
  <c r="H13" i="2"/>
  <c r="H47" i="2"/>
  <c r="AB33" i="2"/>
  <c r="S60" i="2"/>
  <c r="Y30" i="2"/>
  <c r="K10" i="2"/>
  <c r="N20" i="2"/>
  <c r="I59" i="2"/>
  <c r="X32" i="2"/>
  <c r="O11" i="2"/>
  <c r="H9" i="2"/>
  <c r="H25" i="2"/>
  <c r="AE36" i="2"/>
  <c r="AF14" i="2"/>
  <c r="R58" i="2"/>
  <c r="R48" i="2"/>
  <c r="L30" i="2"/>
  <c r="M34" i="2"/>
  <c r="W9" i="2"/>
  <c r="E7" i="2"/>
  <c r="T26" i="2"/>
  <c r="T32" i="2"/>
  <c r="I42" i="2"/>
  <c r="Z32" i="2"/>
  <c r="X23" i="2"/>
  <c r="O27" i="2"/>
  <c r="F11" i="2"/>
  <c r="AD66" i="2"/>
  <c r="AD59" i="2"/>
  <c r="L72" i="2"/>
  <c r="L73" i="2"/>
  <c r="L76" i="2"/>
  <c r="AF9" i="2"/>
  <c r="AF23" i="2"/>
  <c r="AA97" i="2"/>
  <c r="Z28" i="2"/>
  <c r="Z37" i="2"/>
  <c r="C37" i="2"/>
  <c r="C31" i="2"/>
  <c r="C82" i="2"/>
  <c r="U74" i="2"/>
  <c r="U7" i="2"/>
  <c r="N43" i="2"/>
  <c r="T27" i="2"/>
  <c r="I61" i="2"/>
  <c r="Z18" i="2"/>
  <c r="X66" i="2"/>
  <c r="X54" i="2"/>
  <c r="O10" i="2"/>
  <c r="O41" i="2"/>
  <c r="H28" i="2"/>
  <c r="AD61" i="2"/>
  <c r="F16" i="2"/>
  <c r="S42" i="2"/>
  <c r="H7" i="2"/>
  <c r="E35" i="2"/>
  <c r="R57" i="2"/>
  <c r="R56" i="2"/>
  <c r="R71" i="2"/>
  <c r="R36" i="2"/>
  <c r="W24" i="2"/>
  <c r="W42" i="2"/>
  <c r="W62" i="2"/>
  <c r="AA10" i="2"/>
  <c r="AA7" i="2"/>
  <c r="AA55" i="2"/>
  <c r="AA73" i="2"/>
  <c r="V68" i="2"/>
  <c r="V80" i="2"/>
  <c r="V74" i="2"/>
  <c r="V48" i="2"/>
  <c r="F81" i="2"/>
  <c r="F24" i="2"/>
  <c r="F54" i="2"/>
  <c r="Q61" i="2"/>
  <c r="Q53" i="2"/>
  <c r="Q77" i="2"/>
  <c r="Q43" i="2"/>
  <c r="X62" i="2"/>
  <c r="X71" i="2"/>
  <c r="X70" i="2"/>
  <c r="X60" i="2"/>
  <c r="AD55" i="2"/>
  <c r="AD22" i="2"/>
  <c r="AD44" i="2"/>
  <c r="L64" i="2"/>
  <c r="L43" i="2"/>
  <c r="AF32" i="2"/>
  <c r="Z27" i="2"/>
  <c r="Z25" i="2"/>
  <c r="C69" i="2"/>
  <c r="C93" i="2"/>
  <c r="U34" i="2"/>
  <c r="U44" i="2"/>
  <c r="U13" i="2"/>
  <c r="N31" i="2"/>
  <c r="N21" i="2"/>
  <c r="T20" i="2"/>
  <c r="I15" i="2"/>
  <c r="H34" i="2"/>
  <c r="AE25" i="2"/>
  <c r="AF15" i="2"/>
  <c r="R33" i="2"/>
  <c r="AD43" i="2"/>
  <c r="F36" i="2"/>
  <c r="L21" i="2"/>
  <c r="M53" i="2"/>
  <c r="N13" i="2"/>
  <c r="H8" i="2"/>
  <c r="I24" i="2"/>
  <c r="M9" i="2"/>
  <c r="L59" i="2"/>
  <c r="AF44" i="2"/>
  <c r="Z15" i="2"/>
  <c r="C19" i="2"/>
  <c r="U56" i="2"/>
  <c r="N33" i="2"/>
  <c r="T24" i="2"/>
  <c r="T22" i="2"/>
  <c r="I47" i="2"/>
  <c r="I7" i="2"/>
  <c r="Z7" i="2"/>
  <c r="X24" i="2"/>
  <c r="X36" i="2"/>
  <c r="O71" i="2"/>
  <c r="O14" i="2"/>
  <c r="H18" i="2"/>
  <c r="AD24" i="2"/>
  <c r="F51" i="2"/>
  <c r="L18" i="2"/>
  <c r="M33" i="2"/>
  <c r="AA11" i="2"/>
  <c r="V62" i="2"/>
  <c r="V52" i="2"/>
  <c r="V43" i="2"/>
  <c r="V41" i="2"/>
  <c r="F62" i="2"/>
  <c r="F43" i="2"/>
  <c r="F49" i="2"/>
  <c r="Q37" i="2"/>
  <c r="Q25" i="2"/>
  <c r="Q67" i="2"/>
  <c r="Q23" i="2"/>
  <c r="X45" i="2"/>
  <c r="X47" i="2"/>
  <c r="X51" i="2"/>
  <c r="X41" i="2"/>
  <c r="AD62" i="2"/>
  <c r="AD28" i="2"/>
  <c r="AD77" i="2"/>
  <c r="L48" i="2"/>
  <c r="L36" i="2"/>
  <c r="AF34" i="2"/>
  <c r="AF16" i="2"/>
  <c r="AF13" i="2"/>
  <c r="Z43" i="2"/>
  <c r="Z16" i="2"/>
  <c r="Z34" i="2"/>
  <c r="C66" i="2"/>
  <c r="C64" i="2"/>
  <c r="C51" i="2"/>
  <c r="U49" i="2"/>
  <c r="N37" i="2"/>
  <c r="N35" i="2"/>
  <c r="T18" i="2"/>
  <c r="AE33" i="2"/>
  <c r="AE40" i="2"/>
  <c r="T8" i="2"/>
  <c r="R34" i="2"/>
  <c r="AD27" i="2"/>
  <c r="F35" i="2"/>
  <c r="L40" i="2"/>
  <c r="M25" i="2"/>
  <c r="N7" i="2"/>
  <c r="D17" i="2"/>
  <c r="V20" i="2"/>
  <c r="C54" i="2"/>
  <c r="C43" i="2"/>
  <c r="U11" i="2"/>
  <c r="N19" i="2"/>
  <c r="T34" i="2"/>
  <c r="T47" i="2"/>
  <c r="I48" i="2"/>
  <c r="I32" i="2"/>
  <c r="Z11" i="2"/>
  <c r="X42" i="2"/>
  <c r="X30" i="2"/>
  <c r="O8" i="2"/>
  <c r="O54" i="2"/>
  <c r="H42" i="2"/>
  <c r="AD48" i="2"/>
  <c r="F23" i="2"/>
  <c r="N11" i="2"/>
  <c r="AA25" i="2"/>
  <c r="X21" i="2"/>
  <c r="AF24" i="2"/>
  <c r="U22" i="2"/>
  <c r="N17" i="2"/>
  <c r="Z12" i="2"/>
  <c r="O45" i="2"/>
  <c r="O13" i="2"/>
  <c r="H20" i="2"/>
  <c r="AE31" i="2"/>
  <c r="AF8" i="2"/>
  <c r="T31" i="2"/>
  <c r="AD45" i="2"/>
  <c r="F27" i="2"/>
  <c r="L33" i="2"/>
  <c r="M28" i="2"/>
  <c r="U42" i="2"/>
  <c r="Q81" i="2"/>
  <c r="Q55" i="2"/>
  <c r="Q59" i="2"/>
  <c r="X67" i="2"/>
  <c r="X74" i="2"/>
  <c r="AD57" i="2"/>
  <c r="AD47" i="2"/>
  <c r="AD37" i="2"/>
  <c r="Z33" i="2"/>
  <c r="C10" i="2"/>
  <c r="U50" i="2"/>
  <c r="N52" i="2"/>
  <c r="N8" i="2"/>
  <c r="T44" i="2"/>
  <c r="I55" i="2"/>
  <c r="I20" i="2"/>
  <c r="X43" i="2"/>
  <c r="X11" i="2"/>
  <c r="R28" i="2"/>
  <c r="AD73" i="2"/>
  <c r="L57" i="2"/>
  <c r="L66" i="2"/>
  <c r="L49" i="2"/>
  <c r="AF30" i="2"/>
  <c r="AF61" i="2"/>
  <c r="AF29" i="2"/>
  <c r="Z41" i="2"/>
  <c r="Z22" i="2"/>
  <c r="Z19" i="2"/>
  <c r="C15" i="2"/>
  <c r="C11" i="2"/>
  <c r="C8" i="2"/>
  <c r="U62" i="2"/>
  <c r="N30" i="2"/>
  <c r="N41" i="2"/>
  <c r="T28" i="2"/>
  <c r="I14" i="2"/>
  <c r="I46" i="2"/>
  <c r="Z30" i="2"/>
  <c r="X37" i="2"/>
  <c r="X18" i="2"/>
  <c r="O77" i="2"/>
  <c r="H15" i="2"/>
  <c r="H19" i="2"/>
  <c r="L14" i="2"/>
  <c r="M16" i="2"/>
  <c r="P10" i="2"/>
  <c r="J30" i="2"/>
  <c r="O29" i="2"/>
  <c r="AC55" i="2"/>
  <c r="AA63" i="2"/>
  <c r="AA77" i="2"/>
  <c r="AA98" i="2"/>
  <c r="AA46" i="2"/>
  <c r="P18" i="2"/>
  <c r="P28" i="2"/>
  <c r="P45" i="2"/>
  <c r="K30" i="2"/>
  <c r="K50" i="2"/>
  <c r="K76" i="2"/>
  <c r="K66" i="2"/>
  <c r="E53" i="2"/>
  <c r="E43" i="2"/>
  <c r="E29" i="2"/>
  <c r="E63" i="2"/>
  <c r="R54" i="2"/>
  <c r="R32" i="2"/>
  <c r="R88" i="2"/>
  <c r="W18" i="2"/>
  <c r="W52" i="2"/>
  <c r="W76" i="2"/>
  <c r="W58" i="2"/>
  <c r="AA9" i="2"/>
  <c r="AA13" i="2"/>
  <c r="AA14" i="2"/>
  <c r="AA57" i="2"/>
  <c r="V64" i="2"/>
  <c r="V37" i="2"/>
  <c r="V66" i="2"/>
  <c r="F44" i="2"/>
  <c r="F74" i="2"/>
  <c r="F18" i="2"/>
  <c r="F69" i="2"/>
  <c r="Q41" i="2"/>
  <c r="Q29" i="2"/>
  <c r="Q65" i="2"/>
  <c r="Q63" i="2"/>
  <c r="X58" i="2"/>
  <c r="X75" i="2"/>
  <c r="X27" i="2"/>
  <c r="AD40" i="2"/>
  <c r="AD16" i="2"/>
  <c r="L69" i="2"/>
  <c r="L46" i="2"/>
  <c r="AF18" i="2"/>
  <c r="AF22" i="2"/>
  <c r="Z29" i="2"/>
  <c r="Z23" i="2"/>
  <c r="C9" i="2"/>
  <c r="C47" i="2"/>
  <c r="U12" i="2"/>
  <c r="N29" i="2"/>
  <c r="T42" i="2"/>
  <c r="T33" i="2"/>
  <c r="AE72" i="2"/>
  <c r="AF21" i="2"/>
  <c r="T23" i="2"/>
  <c r="R31" i="2"/>
  <c r="AB35" i="2"/>
  <c r="S32" i="2"/>
  <c r="P11" i="2"/>
  <c r="H16" i="2"/>
  <c r="H31" i="2"/>
  <c r="AE30" i="2"/>
  <c r="AE44" i="2"/>
  <c r="AE22" i="2"/>
  <c r="AF12" i="2"/>
  <c r="AF33" i="2"/>
  <c r="T10" i="2"/>
  <c r="T12" i="2"/>
  <c r="T19" i="2"/>
  <c r="R19" i="2"/>
  <c r="R25" i="2"/>
  <c r="R45" i="2"/>
  <c r="AD41" i="2"/>
  <c r="AD49" i="2"/>
  <c r="F26" i="2"/>
  <c r="F21" i="2"/>
  <c r="L22" i="2"/>
  <c r="AB27" i="2"/>
  <c r="M24" i="2"/>
  <c r="M41" i="2"/>
  <c r="S20" i="2"/>
  <c r="N18" i="2"/>
  <c r="P43" i="2"/>
  <c r="P37" i="2"/>
  <c r="C45" i="2"/>
  <c r="Y27" i="2"/>
  <c r="U54" i="2"/>
  <c r="J40" i="2"/>
  <c r="K36" i="2"/>
  <c r="V46" i="2"/>
  <c r="AA15" i="2"/>
  <c r="O19" i="2"/>
  <c r="R50" i="2"/>
  <c r="AD30" i="2"/>
  <c r="AD25" i="2"/>
  <c r="AD33" i="2"/>
  <c r="F29" i="2"/>
  <c r="F41" i="2"/>
  <c r="L63" i="2"/>
  <c r="L12" i="2"/>
  <c r="Y26" i="2"/>
  <c r="H51" i="2"/>
  <c r="D23" i="2"/>
  <c r="Q7" i="2"/>
  <c r="W12" i="2"/>
  <c r="I77" i="2"/>
  <c r="O35" i="2"/>
  <c r="G36" i="2"/>
  <c r="E19" i="2"/>
  <c r="AE11" i="2"/>
  <c r="U28" i="2"/>
  <c r="U60" i="2"/>
  <c r="U78" i="2"/>
  <c r="N27" i="2"/>
  <c r="N26" i="2"/>
  <c r="N14" i="2"/>
  <c r="N10" i="2"/>
  <c r="T36" i="2"/>
  <c r="T16" i="2"/>
  <c r="T30" i="2"/>
  <c r="T9" i="2"/>
  <c r="I13" i="2"/>
  <c r="I53" i="2"/>
  <c r="I10" i="2"/>
  <c r="Z26" i="2"/>
  <c r="Z13" i="2"/>
  <c r="X40" i="2"/>
  <c r="X29" i="2"/>
  <c r="X17" i="2"/>
  <c r="X46" i="2"/>
  <c r="O90" i="2"/>
  <c r="O57" i="2"/>
  <c r="O7" i="2"/>
  <c r="O65" i="2"/>
  <c r="H11" i="2"/>
  <c r="H22" i="2"/>
  <c r="H26" i="2"/>
  <c r="AE68" i="2"/>
  <c r="AE18" i="2"/>
  <c r="AE15" i="2"/>
  <c r="AE42" i="2"/>
  <c r="AF51" i="2"/>
  <c r="AF19" i="2"/>
  <c r="T14" i="2"/>
  <c r="T11" i="2"/>
  <c r="R41" i="2"/>
  <c r="R40" i="2"/>
  <c r="R29" i="2"/>
  <c r="R37" i="2"/>
  <c r="AD18" i="2"/>
  <c r="L45" i="2"/>
  <c r="L27" i="2"/>
  <c r="L53" i="2"/>
  <c r="AB7" i="2"/>
  <c r="M31" i="2"/>
  <c r="S36" i="2"/>
  <c r="S28" i="2"/>
  <c r="N16" i="2"/>
  <c r="P25" i="2"/>
  <c r="C17" i="2"/>
  <c r="Y33" i="2"/>
  <c r="D10" i="2"/>
  <c r="U10" i="2"/>
  <c r="Q15" i="2"/>
  <c r="I36" i="2"/>
  <c r="V42" i="2"/>
  <c r="AA27" i="2"/>
  <c r="AD51" i="2"/>
  <c r="AD19" i="2"/>
  <c r="F47" i="2"/>
  <c r="F32" i="2"/>
  <c r="L52" i="2"/>
  <c r="Y41" i="2"/>
  <c r="Y8" i="2"/>
  <c r="H21" i="2"/>
  <c r="Q8" i="2"/>
  <c r="Q12" i="2"/>
  <c r="W14" i="2"/>
  <c r="AA41" i="2"/>
  <c r="O43" i="2"/>
  <c r="G26" i="2"/>
  <c r="E9" i="2"/>
  <c r="AE27" i="2"/>
  <c r="AE16" i="2"/>
  <c r="AE28" i="2"/>
  <c r="AE21" i="2"/>
  <c r="AF31" i="2"/>
  <c r="AF55" i="2"/>
  <c r="T25" i="2"/>
  <c r="T49" i="2"/>
  <c r="R9" i="2"/>
  <c r="R22" i="2"/>
  <c r="R7" i="2"/>
  <c r="R17" i="2"/>
  <c r="AD42" i="2"/>
  <c r="AD31" i="2"/>
  <c r="F17" i="2"/>
  <c r="F15" i="2"/>
  <c r="F42" i="2"/>
  <c r="L28" i="2"/>
  <c r="AB10" i="2"/>
  <c r="M26" i="2"/>
  <c r="M22" i="2"/>
  <c r="S17" i="2"/>
  <c r="S19" i="2"/>
  <c r="N24" i="2"/>
  <c r="P7" i="2"/>
  <c r="C27" i="2"/>
  <c r="H17" i="2"/>
  <c r="D41" i="2"/>
  <c r="J44" i="2"/>
  <c r="W22" i="2"/>
  <c r="I51" i="2"/>
  <c r="V36" i="2"/>
  <c r="AE23" i="2"/>
  <c r="AD21" i="2"/>
  <c r="F57" i="2"/>
  <c r="L34" i="2"/>
  <c r="L51" i="2"/>
  <c r="AB9" i="2"/>
  <c r="M21" i="2"/>
  <c r="M30" i="2"/>
  <c r="S9" i="2"/>
  <c r="S34" i="2"/>
  <c r="N34" i="2"/>
  <c r="P31" i="2"/>
  <c r="C35" i="2"/>
  <c r="Y29" i="2"/>
  <c r="Y31" i="2"/>
  <c r="J9" i="2"/>
  <c r="Q11" i="2"/>
  <c r="Q27" i="2"/>
  <c r="V10" i="2"/>
  <c r="AA35" i="2"/>
  <c r="G20" i="2"/>
  <c r="G16" i="2"/>
  <c r="M11" i="2"/>
  <c r="S33" i="2"/>
  <c r="N9" i="2"/>
  <c r="P35" i="2"/>
  <c r="H33" i="2"/>
  <c r="D29" i="2"/>
  <c r="U36" i="2"/>
  <c r="K9" i="2"/>
  <c r="W10" i="2"/>
  <c r="I18" i="2"/>
  <c r="C23" i="2"/>
  <c r="Y21" i="2"/>
  <c r="U30" i="2"/>
  <c r="J24" i="2"/>
  <c r="Q33" i="2"/>
  <c r="I49" i="2"/>
  <c r="V12" i="2"/>
  <c r="O21" i="2"/>
  <c r="G76" i="2"/>
  <c r="G32" i="2"/>
  <c r="M10" i="2"/>
  <c r="I12" i="2"/>
  <c r="I68" i="2"/>
  <c r="I11" i="2"/>
  <c r="Z9" i="2"/>
  <c r="Z46" i="2"/>
  <c r="X44" i="2"/>
  <c r="X20" i="2"/>
  <c r="X13" i="2"/>
  <c r="X26" i="2"/>
  <c r="O55" i="2"/>
  <c r="O33" i="2"/>
  <c r="O50" i="2"/>
  <c r="H57" i="2"/>
  <c r="H49" i="2"/>
  <c r="H29" i="2"/>
  <c r="H24" i="2"/>
  <c r="AE24" i="2"/>
  <c r="AE10" i="2"/>
  <c r="AE48" i="2"/>
  <c r="AE19" i="2"/>
  <c r="AF27" i="2"/>
  <c r="AF10" i="2"/>
  <c r="T7" i="2"/>
  <c r="T17" i="2"/>
  <c r="R35" i="2"/>
  <c r="R44" i="2"/>
  <c r="R43" i="2"/>
  <c r="AD53" i="2"/>
  <c r="F33" i="2"/>
  <c r="L44" i="2"/>
  <c r="L24" i="2"/>
  <c r="AB14" i="2"/>
  <c r="M71" i="2"/>
  <c r="M43" i="2"/>
  <c r="S46" i="2"/>
  <c r="S26" i="2"/>
  <c r="N15" i="2"/>
  <c r="P19" i="2"/>
  <c r="Y17" i="2"/>
  <c r="H27" i="2"/>
  <c r="D8" i="2"/>
  <c r="K32" i="2"/>
  <c r="Q10" i="2"/>
  <c r="W13" i="2"/>
  <c r="O31" i="2"/>
  <c r="AD8" i="2"/>
  <c r="AD15" i="2"/>
  <c r="F20" i="2"/>
  <c r="F8" i="2"/>
  <c r="L26" i="2"/>
  <c r="C21" i="2"/>
  <c r="D35" i="2"/>
  <c r="U20" i="2"/>
  <c r="J20" i="2"/>
  <c r="W28" i="2"/>
  <c r="I34" i="2"/>
  <c r="AA21" i="2"/>
  <c r="G46" i="2"/>
  <c r="E13" i="2"/>
  <c r="M29" i="2"/>
  <c r="L41" i="2"/>
  <c r="L35" i="2"/>
  <c r="AB8" i="2"/>
  <c r="AB21" i="2"/>
  <c r="M45" i="2"/>
  <c r="M14" i="2"/>
  <c r="M35" i="2"/>
  <c r="M37" i="2"/>
  <c r="S54" i="2"/>
  <c r="S16" i="2"/>
  <c r="S40" i="2"/>
  <c r="S25" i="2"/>
  <c r="N54" i="2"/>
  <c r="N48" i="2"/>
  <c r="P8" i="2"/>
  <c r="P9" i="2"/>
  <c r="C7" i="2"/>
  <c r="C41" i="2"/>
  <c r="Y23" i="2"/>
  <c r="Y24" i="2"/>
  <c r="Y22" i="2"/>
  <c r="Y35" i="2"/>
  <c r="H23" i="2"/>
  <c r="H14" i="2"/>
  <c r="D45" i="2"/>
  <c r="D14" i="2"/>
  <c r="U51" i="2"/>
  <c r="U18" i="2"/>
  <c r="J18" i="2"/>
  <c r="J13" i="2"/>
  <c r="J36" i="2"/>
  <c r="K13" i="2"/>
  <c r="Q14" i="2"/>
  <c r="K20" i="2"/>
  <c r="K26" i="2"/>
  <c r="W46" i="2"/>
  <c r="W7" i="2"/>
  <c r="I40" i="2"/>
  <c r="I28" i="2"/>
  <c r="V9" i="2"/>
  <c r="V7" i="2"/>
  <c r="AA49" i="2"/>
  <c r="AA33" i="2"/>
  <c r="AA31" i="2"/>
  <c r="O67" i="2"/>
  <c r="O25" i="2"/>
  <c r="G18" i="2"/>
  <c r="G30" i="2"/>
  <c r="G29" i="2"/>
  <c r="E8" i="2"/>
  <c r="E37" i="2"/>
  <c r="E31" i="2"/>
  <c r="M8" i="2"/>
  <c r="M20" i="2"/>
  <c r="AE26" i="2"/>
  <c r="AE12" i="2"/>
  <c r="AC11" i="2"/>
  <c r="AC47" i="2"/>
  <c r="S7" i="2"/>
  <c r="S8" i="2"/>
  <c r="G10" i="2"/>
  <c r="G9" i="2"/>
  <c r="AD7" i="2"/>
  <c r="AD12" i="2"/>
  <c r="AD11" i="2"/>
  <c r="F56" i="2"/>
  <c r="F28" i="2"/>
  <c r="Y34" i="2"/>
  <c r="Y49" i="2"/>
  <c r="X7" i="2"/>
  <c r="X22" i="2"/>
  <c r="L17" i="2"/>
  <c r="L13" i="2"/>
  <c r="R30" i="2"/>
  <c r="R12" i="2"/>
  <c r="C13" i="2"/>
  <c r="C56" i="2"/>
  <c r="Y32" i="2"/>
  <c r="Y10" i="2"/>
  <c r="Y47" i="2"/>
  <c r="Y18" i="2"/>
  <c r="H12" i="2"/>
  <c r="H10" i="2"/>
  <c r="D12" i="2"/>
  <c r="D11" i="2"/>
  <c r="U32" i="2"/>
  <c r="U26" i="2"/>
  <c r="J12" i="2"/>
  <c r="J11" i="2"/>
  <c r="Q21" i="2"/>
  <c r="K8" i="2"/>
  <c r="K12" i="2"/>
  <c r="Q13" i="2"/>
  <c r="K11" i="2"/>
  <c r="W11" i="2"/>
  <c r="W8" i="2"/>
  <c r="I30" i="2"/>
  <c r="I44" i="2"/>
  <c r="V11" i="2"/>
  <c r="V26" i="2"/>
  <c r="AA45" i="2"/>
  <c r="AA80" i="2"/>
  <c r="O56" i="2"/>
  <c r="O17" i="2"/>
  <c r="O37" i="2"/>
  <c r="G40" i="2"/>
  <c r="G68" i="2"/>
  <c r="G42" i="2"/>
  <c r="E11" i="2"/>
  <c r="E12" i="2"/>
  <c r="M7" i="2"/>
  <c r="M13" i="2"/>
  <c r="M12" i="2"/>
  <c r="AE29" i="2"/>
  <c r="AE9" i="2"/>
  <c r="AC10" i="2"/>
  <c r="AC12" i="2"/>
  <c r="S27" i="2"/>
  <c r="S13" i="2"/>
  <c r="G34" i="2"/>
  <c r="G12" i="2"/>
  <c r="AD32" i="2"/>
  <c r="AD26" i="2"/>
  <c r="F7" i="2"/>
  <c r="F19" i="2"/>
  <c r="F9" i="2"/>
  <c r="Y7" i="2"/>
  <c r="Y25" i="2"/>
  <c r="X19" i="2"/>
  <c r="X34" i="2"/>
  <c r="L7" i="2"/>
  <c r="L16" i="2"/>
  <c r="R16" i="2"/>
  <c r="R8" i="2"/>
  <c r="G23" i="2"/>
  <c r="G44" i="2"/>
  <c r="G27" i="2"/>
  <c r="G24" i="2"/>
  <c r="E10" i="2"/>
  <c r="E25" i="2"/>
  <c r="M23" i="2"/>
  <c r="M32" i="2"/>
  <c r="AE7" i="2"/>
  <c r="AE8" i="2"/>
  <c r="AE32" i="2"/>
  <c r="AC8" i="2"/>
  <c r="AC7" i="2"/>
  <c r="S11" i="2"/>
  <c r="S21" i="2"/>
  <c r="G31" i="2"/>
  <c r="G14" i="2"/>
  <c r="AD14" i="2"/>
  <c r="AD20" i="2"/>
  <c r="F14" i="2"/>
  <c r="F34" i="2"/>
  <c r="Y12" i="2"/>
  <c r="Y15" i="2"/>
  <c r="Y14" i="2"/>
  <c r="X14" i="2"/>
  <c r="X31" i="2"/>
  <c r="L9" i="2"/>
  <c r="L23" i="2"/>
  <c r="R18" i="2"/>
  <c r="R24" i="2"/>
  <c r="AC17" i="2"/>
  <c r="AC59" i="2"/>
  <c r="AC15" i="2"/>
  <c r="S14" i="2"/>
  <c r="S18" i="2"/>
  <c r="G8" i="2"/>
  <c r="G25" i="2"/>
  <c r="AD9" i="2"/>
  <c r="AD10" i="2"/>
  <c r="F12" i="2"/>
  <c r="F25" i="2"/>
  <c r="Y13" i="2"/>
  <c r="Y11" i="2"/>
  <c r="X8" i="2"/>
  <c r="X28" i="2"/>
  <c r="X12" i="2"/>
  <c r="L11" i="2"/>
  <c r="L8" i="2"/>
  <c r="R11" i="2"/>
  <c r="R14" i="2"/>
  <c r="AE14" i="2"/>
  <c r="AE13" i="2"/>
  <c r="AC29" i="2"/>
  <c r="AC13" i="2"/>
  <c r="S15" i="2"/>
  <c r="S12" i="2"/>
  <c r="S24" i="2"/>
  <c r="G22" i="2"/>
  <c r="G15" i="2"/>
  <c r="AD29" i="2"/>
  <c r="AD23" i="2"/>
  <c r="F13" i="2"/>
  <c r="F22" i="2"/>
  <c r="Y16" i="2"/>
  <c r="Y19" i="2"/>
  <c r="X10" i="2"/>
  <c r="X9" i="2"/>
  <c r="L10" i="2"/>
  <c r="L29" i="2"/>
  <c r="L20" i="2"/>
  <c r="R21" i="2"/>
  <c r="R13" i="2"/>
  <c r="L55" i="2"/>
  <c r="AB15" i="2"/>
  <c r="AB12" i="2"/>
  <c r="AB45" i="2"/>
  <c r="M27" i="2"/>
  <c r="M18" i="2"/>
  <c r="M19" i="2"/>
  <c r="S29" i="2"/>
  <c r="S70" i="2"/>
  <c r="S22" i="2"/>
  <c r="S23" i="2"/>
  <c r="N22" i="2"/>
  <c r="N28" i="2"/>
  <c r="P14" i="2"/>
  <c r="P12" i="2"/>
  <c r="C29" i="2"/>
  <c r="C53" i="2"/>
  <c r="Y69" i="2"/>
  <c r="Y45" i="2"/>
  <c r="Y20" i="2"/>
  <c r="Y43" i="2"/>
  <c r="H59" i="2"/>
  <c r="H53" i="2"/>
  <c r="D7" i="2"/>
  <c r="D9" i="2"/>
  <c r="U79" i="2"/>
  <c r="U52" i="2"/>
  <c r="U24" i="2"/>
  <c r="J15" i="2"/>
  <c r="J7" i="2"/>
  <c r="K15" i="2"/>
  <c r="Q35" i="2"/>
  <c r="K7" i="2"/>
  <c r="K14" i="2"/>
  <c r="W34" i="2"/>
  <c r="W16" i="2"/>
  <c r="I16" i="2"/>
  <c r="I22" i="2"/>
  <c r="V13" i="2"/>
  <c r="V32" i="2"/>
  <c r="V8" i="2"/>
  <c r="AA47" i="2"/>
  <c r="AA19" i="2"/>
  <c r="O78" i="2"/>
  <c r="O23" i="2"/>
  <c r="G19" i="2"/>
  <c r="G28" i="2"/>
  <c r="G17" i="2"/>
  <c r="G33" i="2"/>
  <c r="E15" i="2"/>
  <c r="E14" i="2"/>
  <c r="M15" i="2"/>
  <c r="M17" i="2"/>
  <c r="AE20" i="2"/>
  <c r="AE17" i="2"/>
  <c r="AC9" i="2"/>
  <c r="AC23" i="2"/>
  <c r="S30" i="2"/>
  <c r="S10" i="2"/>
  <c r="G7" i="2"/>
  <c r="G13" i="2"/>
  <c r="G11" i="2"/>
  <c r="AD13" i="2"/>
  <c r="AD17" i="2"/>
  <c r="F31" i="2"/>
  <c r="F10" i="2"/>
  <c r="Y9" i="2"/>
  <c r="Y28" i="2"/>
  <c r="X25" i="2"/>
  <c r="X16" i="2"/>
  <c r="L15" i="2"/>
  <c r="L32" i="2"/>
  <c r="R27" i="2"/>
  <c r="R15" i="2"/>
  <c r="R10" i="2"/>
  <c r="AF59" i="2"/>
  <c r="AE62" i="2"/>
  <c r="N62" i="2"/>
  <c r="H77" i="2"/>
  <c r="T88" i="2"/>
  <c r="M61" i="2"/>
  <c r="Z36" i="2"/>
  <c r="H65" i="2"/>
  <c r="Y73" i="2"/>
  <c r="W37" i="2"/>
  <c r="AE54" i="2"/>
  <c r="AE55" i="2"/>
  <c r="S65" i="2"/>
  <c r="AC16" i="2"/>
  <c r="J52" i="2"/>
  <c r="T81" i="2"/>
  <c r="M40" i="2"/>
  <c r="AF41" i="2"/>
  <c r="H44" i="2"/>
  <c r="W15" i="2"/>
  <c r="AE51" i="2"/>
  <c r="S41" i="2"/>
  <c r="AC36" i="2"/>
  <c r="J56" i="2"/>
  <c r="Z45" i="2"/>
  <c r="M55" i="2"/>
  <c r="N74" i="2"/>
  <c r="X97" i="2"/>
  <c r="AC81" i="2"/>
  <c r="J41" i="2"/>
  <c r="AF40" i="2"/>
  <c r="L97" i="2"/>
  <c r="AF90" i="2"/>
  <c r="AE45" i="2"/>
  <c r="Q47" i="2"/>
  <c r="U92" i="2"/>
  <c r="T41" i="2"/>
  <c r="S43" i="2"/>
  <c r="AF37" i="2"/>
  <c r="W43" i="2"/>
  <c r="N56" i="2"/>
  <c r="H45" i="2"/>
  <c r="AC32" i="2"/>
  <c r="T61" i="2"/>
  <c r="AF65" i="2"/>
  <c r="Y36" i="2"/>
  <c r="N45" i="2"/>
  <c r="Z52" i="2"/>
  <c r="Q79" i="2"/>
  <c r="N80" i="2"/>
  <c r="N82" i="2"/>
  <c r="Z89" i="2"/>
  <c r="G49" i="2"/>
  <c r="Q69" i="2"/>
  <c r="AC26" i="2"/>
  <c r="D67" i="2"/>
  <c r="E20" i="2"/>
  <c r="AF42" i="2"/>
  <c r="N42" i="2"/>
  <c r="T90" i="2"/>
  <c r="N36" i="2"/>
  <c r="E75" i="2"/>
  <c r="N40" i="2"/>
  <c r="Z44" i="2"/>
  <c r="AC88" i="2"/>
  <c r="AC44" i="2"/>
  <c r="N66" i="2"/>
  <c r="Z40" i="2"/>
  <c r="G62" i="2"/>
  <c r="J64" i="2"/>
  <c r="M69" i="2"/>
  <c r="W72" i="2"/>
  <c r="M75" i="2"/>
  <c r="G35" i="2"/>
  <c r="AF45" i="2"/>
  <c r="Y55" i="2"/>
  <c r="M65" i="2"/>
  <c r="H73" i="2"/>
  <c r="W21" i="2"/>
  <c r="T73" i="2"/>
  <c r="Z58" i="2"/>
  <c r="AE35" i="2"/>
  <c r="S58" i="2"/>
  <c r="M97" i="2"/>
  <c r="M48" i="2"/>
  <c r="Z60" i="2"/>
  <c r="G60" i="2"/>
  <c r="S45" i="2"/>
  <c r="E71" i="2"/>
  <c r="D90" i="2"/>
  <c r="W97" i="2"/>
  <c r="W25" i="2"/>
  <c r="E59" i="2"/>
  <c r="S64" i="2"/>
  <c r="M63" i="2"/>
  <c r="S68" i="2"/>
  <c r="T69" i="2"/>
  <c r="H46" i="2"/>
  <c r="G74" i="2"/>
  <c r="M67" i="2"/>
  <c r="Y52" i="2"/>
  <c r="AC75" i="2"/>
  <c r="T55" i="2"/>
  <c r="M59" i="2"/>
  <c r="AE74" i="2"/>
  <c r="T77" i="2"/>
  <c r="AF43" i="2"/>
  <c r="Z80" i="2"/>
  <c r="Y67" i="2"/>
  <c r="S52" i="2"/>
  <c r="Y97" i="2"/>
  <c r="Y53" i="2"/>
  <c r="Q42" i="2"/>
  <c r="T75" i="2"/>
  <c r="M57" i="2"/>
  <c r="AF81" i="2"/>
  <c r="W82" i="2"/>
  <c r="Q36" i="2"/>
  <c r="T57" i="2"/>
  <c r="N60" i="2"/>
  <c r="J97" i="2"/>
  <c r="M44" i="2"/>
  <c r="H67" i="2"/>
  <c r="Y42" i="2"/>
  <c r="W33" i="2"/>
  <c r="AE52" i="2"/>
  <c r="S48" i="2"/>
  <c r="E32" i="2"/>
  <c r="AF47" i="2"/>
  <c r="Z68" i="2"/>
  <c r="Z82" i="2"/>
  <c r="H63" i="2"/>
  <c r="Y40" i="2"/>
  <c r="W41" i="2"/>
  <c r="AE47" i="2"/>
  <c r="AE49" i="2"/>
  <c r="S62" i="2"/>
  <c r="Q44" i="2"/>
  <c r="Q20" i="2"/>
  <c r="AC20" i="2"/>
  <c r="AA99" i="2"/>
  <c r="E28" i="2"/>
  <c r="J45" i="2"/>
  <c r="D71" i="2"/>
  <c r="N44" i="2"/>
  <c r="M51" i="2"/>
  <c r="Z78" i="2"/>
  <c r="H75" i="2"/>
  <c r="Y61" i="2"/>
  <c r="W80" i="2"/>
  <c r="G50" i="2"/>
  <c r="G43" i="2"/>
  <c r="AE53" i="2"/>
  <c r="S56" i="2"/>
  <c r="Q40" i="2"/>
  <c r="Q18" i="2"/>
  <c r="AC63" i="2"/>
  <c r="AA91" i="2"/>
  <c r="J82" i="2"/>
  <c r="D44" i="2"/>
  <c r="P79" i="2"/>
  <c r="T45" i="2"/>
  <c r="T51" i="2"/>
  <c r="T65" i="2"/>
  <c r="N68" i="2"/>
  <c r="N46" i="2"/>
  <c r="K97" i="2"/>
  <c r="M36" i="2"/>
  <c r="M73" i="2"/>
  <c r="AF67" i="2"/>
  <c r="AF73" i="2"/>
  <c r="AF35" i="2"/>
  <c r="Z64" i="2"/>
  <c r="Z50" i="2"/>
  <c r="H88" i="2"/>
  <c r="H61" i="2"/>
  <c r="Y75" i="2"/>
  <c r="W45" i="2"/>
  <c r="W27" i="2"/>
  <c r="AE46" i="2"/>
  <c r="G54" i="2"/>
  <c r="AE70" i="2"/>
  <c r="S72" i="2"/>
  <c r="Q51" i="2"/>
  <c r="Q24" i="2"/>
  <c r="AC22" i="2"/>
  <c r="U99" i="2"/>
  <c r="D55" i="2"/>
  <c r="D53" i="2"/>
  <c r="AB81" i="2"/>
  <c r="K41" i="2"/>
  <c r="AB40" i="2"/>
  <c r="AB79" i="2"/>
  <c r="O47" i="2"/>
  <c r="AB47" i="2"/>
  <c r="AE60" i="2"/>
  <c r="S47" i="2"/>
  <c r="Q22" i="2"/>
  <c r="AC28" i="2"/>
  <c r="AC24" i="2"/>
  <c r="J54" i="2"/>
  <c r="D63" i="2"/>
  <c r="I41" i="2"/>
  <c r="T37" i="2"/>
  <c r="N58" i="2"/>
  <c r="AF71" i="2"/>
  <c r="H35" i="2"/>
  <c r="Y65" i="2"/>
  <c r="W35" i="2"/>
  <c r="G56" i="2"/>
  <c r="S49" i="2"/>
  <c r="Q16" i="2"/>
  <c r="Q26" i="2"/>
  <c r="AA96" i="2"/>
  <c r="E44" i="2"/>
  <c r="J66" i="2"/>
  <c r="D46" i="2"/>
  <c r="AB49" i="2"/>
  <c r="T35" i="2"/>
  <c r="T43" i="2"/>
  <c r="V97" i="2"/>
  <c r="N70" i="2"/>
  <c r="N78" i="2"/>
  <c r="M42" i="2"/>
  <c r="M50" i="2"/>
  <c r="M54" i="2"/>
  <c r="AF75" i="2"/>
  <c r="AF57" i="2"/>
  <c r="Z48" i="2"/>
  <c r="Z76" i="2"/>
  <c r="Z72" i="2"/>
  <c r="H41" i="2"/>
  <c r="Y59" i="2"/>
  <c r="W48" i="2"/>
  <c r="G70" i="2"/>
  <c r="AE41" i="2"/>
  <c r="S74" i="2"/>
  <c r="Q98" i="2"/>
  <c r="AC18" i="2"/>
  <c r="AA94" i="2"/>
  <c r="E24" i="2"/>
  <c r="J80" i="2"/>
  <c r="D65" i="2"/>
  <c r="AB57" i="2"/>
  <c r="T71" i="2"/>
  <c r="N72" i="2"/>
  <c r="AF49" i="2"/>
  <c r="Z62" i="2"/>
  <c r="H36" i="2"/>
  <c r="H43" i="2"/>
  <c r="Y46" i="2"/>
  <c r="Y71" i="2"/>
  <c r="W23" i="2"/>
  <c r="G63" i="2"/>
  <c r="AE50" i="2"/>
  <c r="AE37" i="2"/>
  <c r="G41" i="2"/>
  <c r="G45" i="2"/>
  <c r="S66" i="2"/>
  <c r="Q28" i="2"/>
  <c r="AC65" i="2"/>
  <c r="AA87" i="2"/>
  <c r="E90" i="2"/>
  <c r="J72" i="2"/>
  <c r="P55" i="2"/>
  <c r="AA86" i="2"/>
  <c r="E18" i="2"/>
  <c r="J78" i="2"/>
  <c r="U86" i="2"/>
  <c r="D75" i="2"/>
  <c r="AB75" i="2"/>
  <c r="P59" i="2"/>
  <c r="K43" i="2"/>
  <c r="K33" i="2"/>
  <c r="O91" i="2"/>
  <c r="U53" i="2"/>
  <c r="O22" i="2"/>
  <c r="I67" i="2"/>
  <c r="C20" i="2"/>
  <c r="T63" i="2"/>
  <c r="T53" i="2"/>
  <c r="T79" i="2"/>
  <c r="T59" i="2"/>
  <c r="N89" i="2"/>
  <c r="N76" i="2"/>
  <c r="N64" i="2"/>
  <c r="N50" i="2"/>
  <c r="M46" i="2"/>
  <c r="M52" i="2"/>
  <c r="M49" i="2"/>
  <c r="M47" i="2"/>
  <c r="AF77" i="2"/>
  <c r="AF88" i="2"/>
  <c r="AF79" i="2"/>
  <c r="AF69" i="2"/>
  <c r="Z74" i="2"/>
  <c r="Z70" i="2"/>
  <c r="Z42" i="2"/>
  <c r="H55" i="2"/>
  <c r="H37" i="2"/>
  <c r="H81" i="2"/>
  <c r="H40" i="2"/>
  <c r="Y63" i="2"/>
  <c r="Y44" i="2"/>
  <c r="Y50" i="2"/>
  <c r="Y48" i="2"/>
  <c r="W31" i="2"/>
  <c r="W29" i="2"/>
  <c r="W89" i="2"/>
  <c r="G51" i="2"/>
  <c r="G64" i="2"/>
  <c r="AE66" i="2"/>
  <c r="AE58" i="2"/>
  <c r="G66" i="2"/>
  <c r="AE43" i="2"/>
  <c r="G58" i="2"/>
  <c r="S51" i="2"/>
  <c r="Q46" i="2"/>
  <c r="Q34" i="2"/>
  <c r="Q49" i="2"/>
  <c r="E57" i="2"/>
  <c r="E34" i="2"/>
  <c r="U96" i="2"/>
  <c r="D79" i="2"/>
  <c r="AB71" i="2"/>
  <c r="AB51" i="2"/>
  <c r="K19" i="2"/>
  <c r="K23" i="2"/>
  <c r="O99" i="2"/>
  <c r="U33" i="2"/>
  <c r="AB44" i="2"/>
  <c r="P81" i="2"/>
  <c r="K21" i="2"/>
  <c r="O87" i="2"/>
  <c r="U57" i="2"/>
  <c r="O70" i="2"/>
  <c r="I31" i="2"/>
  <c r="AB34" i="2"/>
  <c r="D36" i="2"/>
  <c r="AB67" i="2"/>
  <c r="P57" i="2"/>
  <c r="K70" i="2"/>
  <c r="K56" i="2"/>
  <c r="O30" i="2"/>
  <c r="I90" i="2"/>
  <c r="P71" i="2"/>
  <c r="P63" i="2"/>
  <c r="O97" i="2"/>
  <c r="O95" i="2"/>
  <c r="U35" i="2"/>
  <c r="AB16" i="2"/>
  <c r="P65" i="2"/>
  <c r="P88" i="2"/>
  <c r="K78" i="2"/>
  <c r="C87" i="2"/>
  <c r="U64" i="2"/>
  <c r="U17" i="2"/>
  <c r="O32" i="2"/>
  <c r="I29" i="2"/>
  <c r="K17" i="2"/>
  <c r="C99" i="2"/>
  <c r="U21" i="2"/>
  <c r="U19" i="2"/>
  <c r="O79" i="2"/>
  <c r="C97" i="2"/>
  <c r="AB22" i="2"/>
  <c r="J43" i="2"/>
  <c r="D69" i="2"/>
  <c r="AB61" i="2"/>
  <c r="P77" i="2"/>
  <c r="P53" i="2"/>
  <c r="K35" i="2"/>
  <c r="P61" i="2"/>
  <c r="K27" i="2"/>
  <c r="C92" i="2"/>
  <c r="U27" i="2"/>
  <c r="O74" i="2"/>
  <c r="I35" i="2"/>
  <c r="C68" i="2"/>
  <c r="H69" i="2"/>
  <c r="Y37" i="2"/>
  <c r="S50" i="2"/>
  <c r="Z54" i="2"/>
  <c r="H71" i="2"/>
  <c r="H79" i="2"/>
  <c r="Y54" i="2"/>
  <c r="Y57" i="2"/>
  <c r="Y51" i="2"/>
  <c r="W68" i="2"/>
  <c r="W66" i="2"/>
  <c r="W17" i="2"/>
  <c r="W19" i="2"/>
  <c r="G52" i="2"/>
  <c r="G48" i="2"/>
  <c r="G72" i="2"/>
  <c r="G47" i="2"/>
  <c r="G37" i="2"/>
  <c r="AE64" i="2"/>
  <c r="AE56" i="2"/>
  <c r="S61" i="2"/>
  <c r="Q73" i="2"/>
  <c r="Q32" i="2"/>
  <c r="AC67" i="2"/>
  <c r="AC40" i="2"/>
  <c r="E42" i="2"/>
  <c r="E16" i="2"/>
  <c r="J50" i="2"/>
  <c r="U91" i="2"/>
  <c r="AB73" i="2"/>
  <c r="AB69" i="2"/>
  <c r="P67" i="2"/>
  <c r="P73" i="2"/>
  <c r="C91" i="2"/>
  <c r="U55" i="2"/>
  <c r="O58" i="2"/>
  <c r="I78" i="2"/>
  <c r="S44" i="2"/>
  <c r="S35" i="2"/>
  <c r="S37" i="2"/>
  <c r="Q30" i="2"/>
  <c r="AC61" i="2"/>
  <c r="AC30" i="2"/>
  <c r="E30" i="2"/>
  <c r="J74" i="2"/>
  <c r="U87" i="2"/>
  <c r="D61" i="2"/>
  <c r="AB55" i="2"/>
  <c r="P42" i="2"/>
  <c r="K31" i="2"/>
  <c r="K52" i="2"/>
  <c r="C96" i="2"/>
  <c r="U31" i="2"/>
  <c r="C30" i="2"/>
  <c r="AC46" i="2"/>
  <c r="AC42" i="2"/>
  <c r="AC34" i="2"/>
  <c r="AA95" i="2"/>
  <c r="AA92" i="2"/>
  <c r="E36" i="2"/>
  <c r="E61" i="2"/>
  <c r="E22" i="2"/>
  <c r="J48" i="2"/>
  <c r="J76" i="2"/>
  <c r="J37" i="2"/>
  <c r="J60" i="2"/>
  <c r="U94" i="2"/>
  <c r="D59" i="2"/>
  <c r="D77" i="2"/>
  <c r="D81" i="2"/>
  <c r="D49" i="2"/>
  <c r="AB53" i="2"/>
  <c r="AB65" i="2"/>
  <c r="AB88" i="2"/>
  <c r="AB42" i="2"/>
  <c r="P46" i="2"/>
  <c r="P49" i="2"/>
  <c r="P51" i="2"/>
  <c r="K82" i="2"/>
  <c r="K37" i="2"/>
  <c r="K74" i="2"/>
  <c r="K58" i="2"/>
  <c r="C86" i="2"/>
  <c r="I97" i="2"/>
  <c r="O96" i="2"/>
  <c r="U23" i="2"/>
  <c r="U43" i="2"/>
  <c r="U41" i="2"/>
  <c r="U45" i="2"/>
  <c r="O34" i="2"/>
  <c r="O44" i="2"/>
  <c r="O42" i="2"/>
  <c r="I19" i="2"/>
  <c r="I54" i="2"/>
  <c r="I37" i="2"/>
  <c r="I52" i="2"/>
  <c r="C72" i="2"/>
  <c r="C44" i="2"/>
  <c r="C57" i="2"/>
  <c r="C76" i="2"/>
  <c r="AB30" i="2"/>
  <c r="AB11" i="2"/>
  <c r="AB17" i="2"/>
  <c r="D21" i="2"/>
  <c r="D20" i="2"/>
  <c r="D22" i="2"/>
  <c r="D16" i="2"/>
  <c r="J27" i="2"/>
  <c r="J26" i="2"/>
  <c r="J14" i="2"/>
  <c r="J33" i="2"/>
  <c r="O89" i="2"/>
  <c r="I58" i="2"/>
  <c r="I76" i="2"/>
  <c r="I79" i="2"/>
  <c r="I81" i="2"/>
  <c r="O51" i="2"/>
  <c r="I56" i="2"/>
  <c r="C75" i="2"/>
  <c r="C50" i="2"/>
  <c r="I91" i="2"/>
  <c r="I86" i="2"/>
  <c r="I87" i="2"/>
  <c r="U46" i="2"/>
  <c r="U98" i="2"/>
  <c r="U47" i="2"/>
  <c r="U77" i="2"/>
  <c r="V34" i="2"/>
  <c r="V29" i="2"/>
  <c r="V44" i="2"/>
  <c r="C24" i="2"/>
  <c r="C40" i="2"/>
  <c r="C26" i="2"/>
  <c r="C36" i="2"/>
  <c r="AB23" i="2"/>
  <c r="AB24" i="2"/>
  <c r="AB19" i="2"/>
  <c r="D37" i="2"/>
  <c r="D31" i="2"/>
  <c r="D33" i="2"/>
  <c r="D32" i="2"/>
  <c r="J29" i="2"/>
  <c r="J21" i="2"/>
  <c r="J17" i="2"/>
  <c r="J16" i="2"/>
  <c r="I25" i="2"/>
  <c r="I64" i="2"/>
  <c r="I66" i="2"/>
  <c r="I93" i="2"/>
  <c r="O82" i="2"/>
  <c r="I17" i="2"/>
  <c r="I62" i="2"/>
  <c r="C59" i="2"/>
  <c r="C67" i="2"/>
  <c r="C71" i="2"/>
  <c r="C74" i="2"/>
  <c r="I95" i="2"/>
  <c r="U81" i="2"/>
  <c r="U48" i="2"/>
  <c r="U89" i="2"/>
  <c r="U37" i="2"/>
  <c r="V40" i="2"/>
  <c r="V27" i="2"/>
  <c r="V45" i="2"/>
  <c r="E46" i="2"/>
  <c r="E77" i="2"/>
  <c r="E40" i="2"/>
  <c r="E26" i="2"/>
  <c r="J68" i="2"/>
  <c r="J58" i="2"/>
  <c r="J62" i="2"/>
  <c r="J70" i="2"/>
  <c r="U95" i="2"/>
  <c r="D40" i="2"/>
  <c r="D73" i="2"/>
  <c r="D57" i="2"/>
  <c r="D51" i="2"/>
  <c r="AB77" i="2"/>
  <c r="AB63" i="2"/>
  <c r="AB59" i="2"/>
  <c r="P69" i="2"/>
  <c r="P75" i="2"/>
  <c r="P44" i="2"/>
  <c r="P47" i="2"/>
  <c r="K25" i="2"/>
  <c r="K29" i="2"/>
  <c r="K54" i="2"/>
  <c r="K45" i="2"/>
  <c r="C94" i="2"/>
  <c r="O86" i="2"/>
  <c r="O92" i="2"/>
  <c r="U29" i="2"/>
  <c r="U73" i="2"/>
  <c r="U66" i="2"/>
  <c r="O36" i="2"/>
  <c r="O49" i="2"/>
  <c r="O24" i="2"/>
  <c r="O40" i="2"/>
  <c r="I23" i="2"/>
  <c r="I21" i="2"/>
  <c r="I43" i="2"/>
  <c r="I33" i="2"/>
  <c r="C32" i="2"/>
  <c r="C90" i="2"/>
  <c r="C88" i="2"/>
  <c r="AB36" i="2"/>
  <c r="AB28" i="2"/>
  <c r="AB20" i="2"/>
  <c r="AB37" i="2"/>
  <c r="D26" i="2"/>
  <c r="D28" i="2"/>
  <c r="D34" i="2"/>
  <c r="D18" i="2"/>
  <c r="J34" i="2"/>
  <c r="J31" i="2"/>
  <c r="J23" i="2"/>
  <c r="O93" i="2"/>
  <c r="O61" i="2"/>
  <c r="O98" i="2"/>
  <c r="O16" i="2"/>
  <c r="I60" i="2"/>
  <c r="I72" i="2"/>
  <c r="O72" i="2"/>
  <c r="I80" i="2"/>
  <c r="C78" i="2"/>
  <c r="C58" i="2"/>
  <c r="I92" i="2"/>
  <c r="C70" i="2"/>
  <c r="C16" i="2"/>
  <c r="U71" i="2"/>
  <c r="U63" i="2"/>
  <c r="U67" i="2"/>
  <c r="V25" i="2"/>
  <c r="V18" i="2"/>
  <c r="V19" i="2"/>
  <c r="V23" i="2"/>
  <c r="AB18" i="2"/>
  <c r="D42" i="2"/>
  <c r="D47" i="2"/>
  <c r="D13" i="2"/>
  <c r="D27" i="2"/>
  <c r="J47" i="2"/>
  <c r="J10" i="2"/>
  <c r="J28" i="2"/>
  <c r="O68" i="2"/>
  <c r="I89" i="2"/>
  <c r="O81" i="2"/>
  <c r="I74" i="2"/>
  <c r="O64" i="2"/>
  <c r="O59" i="2"/>
  <c r="I57" i="2"/>
  <c r="I98" i="2"/>
  <c r="C89" i="2"/>
  <c r="C98" i="2"/>
  <c r="C79" i="2"/>
  <c r="I94" i="2"/>
  <c r="I99" i="2"/>
  <c r="U72" i="2"/>
  <c r="U76" i="2"/>
  <c r="U58" i="2"/>
  <c r="V30" i="2"/>
  <c r="V15" i="2"/>
  <c r="V22" i="2"/>
  <c r="V14" i="2"/>
  <c r="O28" i="2"/>
  <c r="O60" i="2"/>
  <c r="O46" i="2"/>
  <c r="O62" i="2"/>
  <c r="I65" i="2"/>
  <c r="I71" i="2"/>
  <c r="I45" i="2"/>
  <c r="C77" i="2"/>
  <c r="C48" i="2"/>
  <c r="C55" i="2"/>
  <c r="C46" i="2"/>
  <c r="AB32" i="2"/>
  <c r="AB46" i="2"/>
  <c r="AB13" i="2"/>
  <c r="AB31" i="2"/>
  <c r="D43" i="2"/>
  <c r="D19" i="2"/>
  <c r="D25" i="2"/>
  <c r="J8" i="2"/>
  <c r="J35" i="2"/>
  <c r="J19" i="2"/>
  <c r="J25" i="2"/>
  <c r="O53" i="2"/>
  <c r="O88" i="2"/>
  <c r="I82" i="2"/>
  <c r="O66" i="2"/>
  <c r="O69" i="2"/>
  <c r="I73" i="2"/>
  <c r="I69" i="2"/>
  <c r="C63" i="2"/>
  <c r="C65" i="2"/>
  <c r="C62" i="2"/>
  <c r="C52" i="2"/>
  <c r="C61" i="2"/>
  <c r="U88" i="2"/>
  <c r="U93" i="2"/>
  <c r="U61" i="2"/>
  <c r="U68" i="2"/>
  <c r="V35" i="2"/>
  <c r="V17" i="2"/>
  <c r="V16" i="2"/>
  <c r="V31" i="2"/>
  <c r="C95" i="2"/>
  <c r="O94" i="2"/>
  <c r="U69" i="2"/>
  <c r="U80" i="2"/>
  <c r="U15" i="2"/>
  <c r="U25" i="2"/>
  <c r="O20" i="2"/>
  <c r="O26" i="2"/>
  <c r="O18" i="2"/>
  <c r="I63" i="2"/>
  <c r="I75" i="2"/>
  <c r="I27" i="2"/>
  <c r="I50" i="2"/>
  <c r="C28" i="2"/>
  <c r="C42" i="2"/>
  <c r="C34" i="2"/>
  <c r="C22" i="2"/>
  <c r="AB26" i="2"/>
  <c r="AB43" i="2"/>
  <c r="AB29" i="2"/>
  <c r="AB25" i="2"/>
  <c r="D30" i="2"/>
  <c r="D24" i="2"/>
  <c r="D15" i="2"/>
  <c r="J32" i="2"/>
  <c r="J42" i="2"/>
  <c r="J22" i="2"/>
  <c r="J46" i="2"/>
  <c r="O63" i="2"/>
  <c r="O76" i="2"/>
  <c r="O80" i="2"/>
  <c r="O75" i="2"/>
  <c r="O52" i="2"/>
  <c r="O73" i="2"/>
  <c r="I70" i="2"/>
  <c r="C80" i="2"/>
  <c r="C49" i="2"/>
  <c r="C60" i="2"/>
  <c r="C18" i="2"/>
  <c r="I96" i="2"/>
  <c r="U65" i="2"/>
  <c r="U59" i="2"/>
  <c r="U82" i="2"/>
  <c r="U75" i="2"/>
  <c r="V24" i="2"/>
  <c r="V28" i="2"/>
  <c r="V33" i="2"/>
  <c r="V21" i="2"/>
  <c r="X81" i="2"/>
  <c r="W55" i="2"/>
  <c r="L91" i="2"/>
  <c r="K98" i="2"/>
  <c r="AE57" i="2"/>
  <c r="X96" i="2"/>
  <c r="R66" i="2"/>
  <c r="D99" i="2"/>
  <c r="L94" i="2"/>
  <c r="E87" i="2"/>
  <c r="AD65" i="2"/>
  <c r="D87" i="2"/>
  <c r="V98" i="2"/>
  <c r="P87" i="2"/>
  <c r="AE80" i="2"/>
  <c r="R87" i="2"/>
  <c r="X90" i="2"/>
  <c r="X63" i="2"/>
  <c r="AC96" i="2"/>
  <c r="AD87" i="2"/>
  <c r="Q92" i="2"/>
  <c r="R70" i="2"/>
  <c r="AD82" i="2"/>
  <c r="F65" i="2"/>
  <c r="F79" i="2"/>
  <c r="K99" i="2"/>
  <c r="D92" i="2"/>
  <c r="E60" i="2"/>
  <c r="Q68" i="2"/>
  <c r="X98" i="2"/>
  <c r="L86" i="2"/>
  <c r="R93" i="2"/>
  <c r="W77" i="2"/>
  <c r="W95" i="2"/>
  <c r="X48" i="2"/>
  <c r="AC97" i="2"/>
  <c r="AD56" i="2"/>
  <c r="F77" i="2"/>
  <c r="W92" i="2"/>
  <c r="V69" i="2"/>
  <c r="X76" i="2"/>
  <c r="X80" i="2"/>
  <c r="R73" i="2"/>
  <c r="AD75" i="2"/>
  <c r="K96" i="2"/>
  <c r="AC89" i="2"/>
  <c r="R74" i="2"/>
  <c r="AD46" i="2"/>
  <c r="K92" i="2"/>
  <c r="W53" i="2"/>
  <c r="K77" i="2"/>
  <c r="K75" i="2"/>
  <c r="AB94" i="2"/>
  <c r="Q89" i="2"/>
  <c r="AE98" i="2"/>
  <c r="AE75" i="2"/>
  <c r="AE77" i="2"/>
  <c r="R95" i="2"/>
  <c r="X50" i="2"/>
  <c r="X94" i="2"/>
  <c r="AC91" i="2"/>
  <c r="Q91" i="2"/>
  <c r="R64" i="2"/>
  <c r="E92" i="2"/>
  <c r="AD52" i="2"/>
  <c r="F90" i="2"/>
  <c r="W88" i="2"/>
  <c r="W57" i="2"/>
  <c r="D86" i="2"/>
  <c r="K65" i="2"/>
  <c r="V91" i="2"/>
  <c r="V61" i="2"/>
  <c r="J87" i="2"/>
  <c r="E80" i="2"/>
  <c r="Q56" i="2"/>
  <c r="R94" i="2"/>
  <c r="F75" i="2"/>
  <c r="V96" i="2"/>
  <c r="V49" i="2"/>
  <c r="J91" i="2"/>
  <c r="E64" i="2"/>
  <c r="Q58" i="2"/>
  <c r="X57" i="2"/>
  <c r="F80" i="2"/>
  <c r="V88" i="2"/>
  <c r="Q82" i="2"/>
  <c r="X91" i="2"/>
  <c r="Q99" i="2"/>
  <c r="E91" i="2"/>
  <c r="F72" i="2"/>
  <c r="K51" i="2"/>
  <c r="AD92" i="2"/>
  <c r="R90" i="2"/>
  <c r="AD80" i="2"/>
  <c r="W47" i="2"/>
  <c r="V94" i="2"/>
  <c r="E98" i="2"/>
  <c r="AE88" i="2"/>
  <c r="X55" i="2"/>
  <c r="X52" i="2"/>
  <c r="X99" i="2"/>
  <c r="F97" i="2"/>
  <c r="AD94" i="2"/>
  <c r="R80" i="2"/>
  <c r="AD72" i="2"/>
  <c r="AD68" i="2"/>
  <c r="F82" i="2"/>
  <c r="W51" i="2"/>
  <c r="W63" i="2"/>
  <c r="W91" i="2"/>
  <c r="E76" i="2"/>
  <c r="Q52" i="2"/>
  <c r="AE76" i="2"/>
  <c r="AC92" i="2"/>
  <c r="AD95" i="2"/>
  <c r="AD90" i="2"/>
  <c r="W93" i="2"/>
  <c r="W86" i="2"/>
  <c r="R98" i="2"/>
  <c r="E95" i="2"/>
  <c r="W75" i="2"/>
  <c r="K71" i="2"/>
  <c r="J86" i="2"/>
  <c r="AE69" i="2"/>
  <c r="L87" i="2"/>
  <c r="AD99" i="2"/>
  <c r="R89" i="2"/>
  <c r="R82" i="2"/>
  <c r="F88" i="2"/>
  <c r="F78" i="2"/>
  <c r="D97" i="2"/>
  <c r="W71" i="2"/>
  <c r="W99" i="2"/>
  <c r="K59" i="2"/>
  <c r="V73" i="2"/>
  <c r="V71" i="2"/>
  <c r="J92" i="2"/>
  <c r="E48" i="2"/>
  <c r="AC50" i="2"/>
  <c r="R62" i="2"/>
  <c r="K93" i="2"/>
  <c r="V55" i="2"/>
  <c r="V93" i="2"/>
  <c r="P99" i="2"/>
  <c r="E88" i="2"/>
  <c r="AC64" i="2"/>
  <c r="AE93" i="2"/>
  <c r="X92" i="2"/>
  <c r="D95" i="2"/>
  <c r="P94" i="2"/>
  <c r="E78" i="2"/>
  <c r="AC54" i="2"/>
  <c r="AE67" i="2"/>
  <c r="AD71" i="2"/>
  <c r="R86" i="2"/>
  <c r="AD54" i="2"/>
  <c r="W98" i="2"/>
  <c r="AE59" i="2"/>
  <c r="K87" i="2"/>
  <c r="X59" i="2"/>
  <c r="K91" i="2"/>
  <c r="L96" i="2"/>
  <c r="X87" i="2"/>
  <c r="AD93" i="2"/>
  <c r="AE89" i="2"/>
  <c r="R53" i="2"/>
  <c r="V57" i="2"/>
  <c r="R99" i="2"/>
  <c r="Q86" i="2"/>
  <c r="F59" i="2"/>
  <c r="E56" i="2"/>
  <c r="Q96" i="2"/>
  <c r="E99" i="2"/>
  <c r="AD78" i="2"/>
  <c r="F76" i="2"/>
  <c r="F61" i="2"/>
  <c r="W79" i="2"/>
  <c r="D94" i="2"/>
  <c r="K73" i="2"/>
  <c r="K67" i="2"/>
  <c r="V79" i="2"/>
  <c r="AB86" i="2"/>
  <c r="P91" i="2"/>
  <c r="E62" i="2"/>
  <c r="D80" i="2"/>
  <c r="AE71" i="2"/>
  <c r="AE82" i="2"/>
  <c r="R92" i="2"/>
  <c r="X61" i="2"/>
  <c r="X77" i="2"/>
  <c r="AC95" i="2"/>
  <c r="L99" i="2"/>
  <c r="Q87" i="2"/>
  <c r="R78" i="2"/>
  <c r="E94" i="2"/>
  <c r="AD88" i="2"/>
  <c r="F93" i="2"/>
  <c r="K86" i="2"/>
  <c r="W61" i="2"/>
  <c r="K61" i="2"/>
  <c r="K55" i="2"/>
  <c r="V47" i="2"/>
  <c r="AB92" i="2"/>
  <c r="P92" i="2"/>
  <c r="Q60" i="2"/>
  <c r="D56" i="2"/>
  <c r="AE79" i="2"/>
  <c r="AE65" i="2"/>
  <c r="AE63" i="2"/>
  <c r="R96" i="2"/>
  <c r="X89" i="2"/>
  <c r="X69" i="2"/>
  <c r="X73" i="2"/>
  <c r="X95" i="2"/>
  <c r="AC86" i="2"/>
  <c r="AC94" i="2"/>
  <c r="L92" i="2"/>
  <c r="AD86" i="2"/>
  <c r="Q97" i="2"/>
  <c r="Q94" i="2"/>
  <c r="R76" i="2"/>
  <c r="R51" i="2"/>
  <c r="R55" i="2"/>
  <c r="R79" i="2"/>
  <c r="E86" i="2"/>
  <c r="AD67" i="2"/>
  <c r="AD98" i="2"/>
  <c r="F98" i="2"/>
  <c r="F68" i="2"/>
  <c r="AD50" i="2"/>
  <c r="F48" i="2"/>
  <c r="F71" i="2"/>
  <c r="E97" i="2"/>
  <c r="K95" i="2"/>
  <c r="W81" i="2"/>
  <c r="W67" i="2"/>
  <c r="W65" i="2"/>
  <c r="W69" i="2"/>
  <c r="D91" i="2"/>
  <c r="W87" i="2"/>
  <c r="K88" i="2"/>
  <c r="K49" i="2"/>
  <c r="K57" i="2"/>
  <c r="K89" i="2"/>
  <c r="V95" i="2"/>
  <c r="V67" i="2"/>
  <c r="V81" i="2"/>
  <c r="V51" i="2"/>
  <c r="V59" i="2"/>
  <c r="AB95" i="2"/>
  <c r="J95" i="2"/>
  <c r="J96" i="2"/>
  <c r="P95" i="2"/>
  <c r="E68" i="2"/>
  <c r="E74" i="2"/>
  <c r="E58" i="2"/>
  <c r="E82" i="2"/>
  <c r="Q76" i="2"/>
  <c r="Q74" i="2"/>
  <c r="Q70" i="2"/>
  <c r="AB97" i="2"/>
  <c r="AC52" i="2"/>
  <c r="AC60" i="2"/>
  <c r="AC80" i="2"/>
  <c r="D52" i="2"/>
  <c r="D54" i="2"/>
  <c r="D78" i="2"/>
  <c r="D76" i="2"/>
  <c r="J98" i="2"/>
  <c r="J69" i="2"/>
  <c r="J79" i="2"/>
  <c r="J89" i="2"/>
  <c r="AB50" i="2"/>
  <c r="AB70" i="2"/>
  <c r="AB60" i="2"/>
  <c r="Z97" i="2"/>
  <c r="P56" i="2"/>
  <c r="P80" i="2"/>
  <c r="P66" i="2"/>
  <c r="AE78" i="2"/>
  <c r="X88" i="2"/>
  <c r="D70" i="2"/>
  <c r="D93" i="2"/>
  <c r="J57" i="2"/>
  <c r="J55" i="2"/>
  <c r="J90" i="2"/>
  <c r="AB76" i="2"/>
  <c r="AB72" i="2"/>
  <c r="AB82" i="2"/>
  <c r="AB48" i="2"/>
  <c r="P64" i="2"/>
  <c r="P70" i="2"/>
  <c r="P62" i="2"/>
  <c r="P76" i="2"/>
  <c r="Q90" i="2"/>
  <c r="Q66" i="2"/>
  <c r="AC72" i="2"/>
  <c r="AC93" i="2"/>
  <c r="AC76" i="2"/>
  <c r="D66" i="2"/>
  <c r="D68" i="2"/>
  <c r="D89" i="2"/>
  <c r="D58" i="2"/>
  <c r="J77" i="2"/>
  <c r="J65" i="2"/>
  <c r="J88" i="2"/>
  <c r="AB90" i="2"/>
  <c r="AB56" i="2"/>
  <c r="AB68" i="2"/>
  <c r="AB89" i="2"/>
  <c r="P78" i="2"/>
  <c r="P74" i="2"/>
  <c r="P58" i="2"/>
  <c r="P82" i="2"/>
  <c r="AC48" i="2"/>
  <c r="Q93" i="2"/>
  <c r="Q62" i="2"/>
  <c r="AC98" i="2"/>
  <c r="AC66" i="2"/>
  <c r="AC68" i="2"/>
  <c r="D74" i="2"/>
  <c r="D62" i="2"/>
  <c r="D88" i="2"/>
  <c r="J81" i="2"/>
  <c r="J63" i="2"/>
  <c r="J49" i="2"/>
  <c r="J93" i="2"/>
  <c r="AB64" i="2"/>
  <c r="AB66" i="2"/>
  <c r="AB54" i="2"/>
  <c r="AB80" i="2"/>
  <c r="P60" i="2"/>
  <c r="P72" i="2"/>
  <c r="P68" i="2"/>
  <c r="P98" i="2"/>
  <c r="AC74" i="2"/>
  <c r="V99" i="2"/>
  <c r="AB96" i="2"/>
  <c r="P86" i="2"/>
  <c r="E54" i="2"/>
  <c r="E70" i="2"/>
  <c r="E66" i="2"/>
  <c r="Q64" i="2"/>
  <c r="Q48" i="2"/>
  <c r="Q88" i="2"/>
  <c r="AC56" i="2"/>
  <c r="AC78" i="2"/>
  <c r="AC62" i="2"/>
  <c r="AC58" i="2"/>
  <c r="D50" i="2"/>
  <c r="D64" i="2"/>
  <c r="D60" i="2"/>
  <c r="J67" i="2"/>
  <c r="J75" i="2"/>
  <c r="J61" i="2"/>
  <c r="J73" i="2"/>
  <c r="AB62" i="2"/>
  <c r="AB93" i="2"/>
  <c r="AB52" i="2"/>
  <c r="AB58" i="2"/>
  <c r="P89" i="2"/>
  <c r="P48" i="2"/>
  <c r="P52" i="2"/>
  <c r="P90" i="2"/>
  <c r="K69" i="2"/>
  <c r="V90" i="2"/>
  <c r="J94" i="2"/>
  <c r="Q78" i="2"/>
  <c r="K81" i="2"/>
  <c r="K79" i="2"/>
  <c r="V86" i="2"/>
  <c r="V63" i="2"/>
  <c r="V77" i="2"/>
  <c r="AB99" i="2"/>
  <c r="E52" i="2"/>
  <c r="AE90" i="2"/>
  <c r="AE73" i="2"/>
  <c r="AE81" i="2"/>
  <c r="AE61" i="2"/>
  <c r="R91" i="2"/>
  <c r="X93" i="2"/>
  <c r="X79" i="2"/>
  <c r="X68" i="2"/>
  <c r="X72" i="2"/>
  <c r="X86" i="2"/>
  <c r="AC99" i="2"/>
  <c r="AC87" i="2"/>
  <c r="L95" i="2"/>
  <c r="AD96" i="2"/>
  <c r="AD91" i="2"/>
  <c r="Q95" i="2"/>
  <c r="R81" i="2"/>
  <c r="R60" i="2"/>
  <c r="R49" i="2"/>
  <c r="R69" i="2"/>
  <c r="E96" i="2"/>
  <c r="AD89" i="2"/>
  <c r="AD76" i="2"/>
  <c r="AD81" i="2"/>
  <c r="AD63" i="2"/>
  <c r="F63" i="2"/>
  <c r="F52" i="2"/>
  <c r="F50" i="2"/>
  <c r="F89" i="2"/>
  <c r="K94" i="2"/>
  <c r="W49" i="2"/>
  <c r="W90" i="2"/>
  <c r="W73" i="2"/>
  <c r="W59" i="2"/>
  <c r="D96" i="2"/>
  <c r="W94" i="2"/>
  <c r="W96" i="2"/>
  <c r="K53" i="2"/>
  <c r="K63" i="2"/>
  <c r="K90" i="2"/>
  <c r="V92" i="2"/>
  <c r="V87" i="2"/>
  <c r="V53" i="2"/>
  <c r="V65" i="2"/>
  <c r="V75" i="2"/>
  <c r="AB91" i="2"/>
  <c r="AB87" i="2"/>
  <c r="J99" i="2"/>
  <c r="P96" i="2"/>
  <c r="E72" i="2"/>
  <c r="E89" i="2"/>
  <c r="E93" i="2"/>
  <c r="E50" i="2"/>
  <c r="Q72" i="2"/>
  <c r="Q50" i="2"/>
  <c r="Q54" i="2"/>
  <c r="Q80" i="2"/>
  <c r="AC82" i="2"/>
  <c r="AC70" i="2"/>
  <c r="AC90" i="2"/>
  <c r="D82" i="2"/>
  <c r="D72" i="2"/>
  <c r="D48" i="2"/>
  <c r="D98" i="2"/>
  <c r="J51" i="2"/>
  <c r="J71" i="2"/>
  <c r="J53" i="2"/>
  <c r="J59" i="2"/>
  <c r="AB98" i="2"/>
  <c r="AB78" i="2"/>
  <c r="AB74" i="2"/>
  <c r="P97" i="2"/>
  <c r="P54" i="2"/>
  <c r="P93" i="2"/>
  <c r="P50" i="2"/>
  <c r="N97" i="2"/>
  <c r="G87" i="2"/>
  <c r="F96" i="2"/>
  <c r="AF74" i="2"/>
  <c r="G99" i="2"/>
  <c r="G92" i="2"/>
  <c r="AD97" i="2"/>
  <c r="M92" i="2"/>
  <c r="AE99" i="2"/>
  <c r="S86" i="2"/>
  <c r="H92" i="2"/>
  <c r="T68" i="2"/>
  <c r="AF66" i="2"/>
  <c r="S80" i="2"/>
  <c r="G95" i="2"/>
  <c r="AF92" i="2"/>
  <c r="T98" i="2"/>
  <c r="AE96" i="2"/>
  <c r="H96" i="2"/>
  <c r="H60" i="2"/>
  <c r="G91" i="2"/>
  <c r="AE86" i="2"/>
  <c r="T74" i="2"/>
  <c r="S71" i="2"/>
  <c r="H72" i="2"/>
  <c r="M94" i="2"/>
  <c r="AF78" i="2"/>
  <c r="AF50" i="2"/>
  <c r="S87" i="2"/>
  <c r="T50" i="2"/>
  <c r="T97" i="2"/>
  <c r="Z94" i="2"/>
  <c r="H64" i="2"/>
  <c r="S99" i="2"/>
  <c r="AE94" i="2"/>
  <c r="S91" i="2"/>
  <c r="Z92" i="2"/>
  <c r="N59" i="2"/>
  <c r="M87" i="2"/>
  <c r="AF60" i="2"/>
  <c r="Z86" i="2"/>
  <c r="Y86" i="2"/>
  <c r="S78" i="2"/>
  <c r="N49" i="2"/>
  <c r="H94" i="2"/>
  <c r="Z96" i="2"/>
  <c r="Z91" i="2"/>
  <c r="AF95" i="2"/>
  <c r="T66" i="2"/>
  <c r="T80" i="2"/>
  <c r="T70" i="2"/>
  <c r="T54" i="2"/>
  <c r="Y95" i="2"/>
  <c r="F91" i="2"/>
  <c r="R97" i="2"/>
  <c r="AF72" i="2"/>
  <c r="AF82" i="2"/>
  <c r="S77" i="2"/>
  <c r="S82" i="2"/>
  <c r="S76" i="2"/>
  <c r="S75" i="2"/>
  <c r="S93" i="2"/>
  <c r="H70" i="2"/>
  <c r="H74" i="2"/>
  <c r="H52" i="2"/>
  <c r="H90" i="2"/>
  <c r="N75" i="2"/>
  <c r="N61" i="2"/>
  <c r="N65" i="2"/>
  <c r="N57" i="2"/>
  <c r="N81" i="2"/>
  <c r="Y70" i="2"/>
  <c r="Y98" i="2"/>
  <c r="Y58" i="2"/>
  <c r="Y82" i="2"/>
  <c r="L80" i="2"/>
  <c r="L79" i="2"/>
  <c r="L75" i="2"/>
  <c r="M66" i="2"/>
  <c r="M79" i="2"/>
  <c r="M76" i="2"/>
  <c r="M81" i="2"/>
  <c r="Z73" i="2"/>
  <c r="M74" i="2"/>
  <c r="Z61" i="2"/>
  <c r="Z98" i="2"/>
  <c r="G88" i="2"/>
  <c r="G82" i="2"/>
  <c r="G65" i="2"/>
  <c r="S81" i="2"/>
  <c r="Y64" i="2"/>
  <c r="G79" i="2"/>
  <c r="T64" i="2"/>
  <c r="AF86" i="2"/>
  <c r="Y87" i="2"/>
  <c r="AF93" i="2"/>
  <c r="S90" i="2"/>
  <c r="H68" i="2"/>
  <c r="N53" i="2"/>
  <c r="N73" i="2"/>
  <c r="Y80" i="2"/>
  <c r="L77" i="2"/>
  <c r="L60" i="2"/>
  <c r="M93" i="2"/>
  <c r="Z67" i="2"/>
  <c r="Z51" i="2"/>
  <c r="Z59" i="2"/>
  <c r="G77" i="2"/>
  <c r="AE92" i="2"/>
  <c r="G97" i="2"/>
  <c r="M86" i="2"/>
  <c r="S95" i="2"/>
  <c r="S94" i="2"/>
  <c r="G96" i="2"/>
  <c r="H95" i="2"/>
  <c r="Z95" i="2"/>
  <c r="AF91" i="2"/>
  <c r="AF96" i="2"/>
  <c r="T58" i="2"/>
  <c r="T72" i="2"/>
  <c r="T76" i="2"/>
  <c r="Y94" i="2"/>
  <c r="Y92" i="2"/>
  <c r="F87" i="2"/>
  <c r="AF68" i="2"/>
  <c r="AF58" i="2"/>
  <c r="AF80" i="2"/>
  <c r="S89" i="2"/>
  <c r="S88" i="2"/>
  <c r="S98" i="2"/>
  <c r="S73" i="2"/>
  <c r="H66" i="2"/>
  <c r="H78" i="2"/>
  <c r="H62" i="2"/>
  <c r="H48" i="2"/>
  <c r="N88" i="2"/>
  <c r="N93" i="2"/>
  <c r="N47" i="2"/>
  <c r="N67" i="2"/>
  <c r="Y60" i="2"/>
  <c r="Y90" i="2"/>
  <c r="Y79" i="2"/>
  <c r="L56" i="2"/>
  <c r="L88" i="2"/>
  <c r="L98" i="2"/>
  <c r="L62" i="2"/>
  <c r="M89" i="2"/>
  <c r="M68" i="2"/>
  <c r="M62" i="2"/>
  <c r="M70" i="2"/>
  <c r="Z47" i="2"/>
  <c r="Z79" i="2"/>
  <c r="Z65" i="2"/>
  <c r="G67" i="2"/>
  <c r="G89" i="2"/>
  <c r="G57" i="2"/>
  <c r="G55" i="2"/>
  <c r="AF87" i="2"/>
  <c r="Y99" i="2"/>
  <c r="F86" i="2"/>
  <c r="S79" i="2"/>
  <c r="H54" i="2"/>
  <c r="H56" i="2"/>
  <c r="N79" i="2"/>
  <c r="N63" i="2"/>
  <c r="Y93" i="2"/>
  <c r="Y68" i="2"/>
  <c r="L74" i="2"/>
  <c r="M77" i="2"/>
  <c r="M78" i="2"/>
  <c r="M98" i="2"/>
  <c r="Z71" i="2"/>
  <c r="G78" i="2"/>
  <c r="AF76" i="2"/>
  <c r="S92" i="2"/>
  <c r="Z99" i="2"/>
  <c r="T89" i="2"/>
  <c r="F99" i="2"/>
  <c r="AF64" i="2"/>
  <c r="AF70" i="2"/>
  <c r="S53" i="2"/>
  <c r="S57" i="2"/>
  <c r="H76" i="2"/>
  <c r="H93" i="2"/>
  <c r="N71" i="2"/>
  <c r="N90" i="2"/>
  <c r="N51" i="2"/>
  <c r="Y77" i="2"/>
  <c r="Y62" i="2"/>
  <c r="L65" i="2"/>
  <c r="L78" i="2"/>
  <c r="L54" i="2"/>
  <c r="L90" i="2"/>
  <c r="M64" i="2"/>
  <c r="M60" i="2"/>
  <c r="M90" i="2"/>
  <c r="Z93" i="2"/>
  <c r="Z81" i="2"/>
  <c r="Z69" i="2"/>
  <c r="Z53" i="2"/>
  <c r="G61" i="2"/>
  <c r="G90" i="2"/>
  <c r="G53" i="2"/>
  <c r="G59" i="2"/>
  <c r="S63" i="2"/>
  <c r="G86" i="2"/>
  <c r="AF94" i="2"/>
  <c r="T78" i="2"/>
  <c r="Y91" i="2"/>
  <c r="F95" i="2"/>
  <c r="AF52" i="2"/>
  <c r="S55" i="2"/>
  <c r="S69" i="2"/>
  <c r="H98" i="2"/>
  <c r="H80" i="2"/>
  <c r="N69" i="2"/>
  <c r="Y72" i="2"/>
  <c r="T93" i="2"/>
  <c r="AF54" i="2"/>
  <c r="AE97" i="2"/>
  <c r="M95" i="2"/>
  <c r="H86" i="2"/>
  <c r="T62" i="2"/>
  <c r="AE91" i="2"/>
  <c r="M96" i="2"/>
  <c r="G94" i="2"/>
  <c r="H87" i="2"/>
  <c r="AF99" i="2"/>
  <c r="T82" i="2"/>
  <c r="T60" i="2"/>
  <c r="F92" i="2"/>
  <c r="AF62" i="2"/>
  <c r="AF89" i="2"/>
  <c r="AF48" i="2"/>
  <c r="AF56" i="2"/>
  <c r="S59" i="2"/>
  <c r="H50" i="2"/>
  <c r="H89" i="2"/>
  <c r="H58" i="2"/>
  <c r="N98" i="2"/>
  <c r="N77" i="2"/>
  <c r="N55" i="2"/>
  <c r="Y74" i="2"/>
  <c r="Y81" i="2"/>
  <c r="Y66" i="2"/>
  <c r="Y78" i="2"/>
  <c r="L58" i="2"/>
  <c r="L70" i="2"/>
  <c r="L67" i="2"/>
  <c r="L71" i="2"/>
  <c r="M56" i="2"/>
  <c r="M80" i="2"/>
  <c r="M58" i="2"/>
  <c r="Z77" i="2"/>
  <c r="Z55" i="2"/>
  <c r="Z57" i="2"/>
  <c r="Z88" i="2"/>
  <c r="G98" i="2"/>
  <c r="G71" i="2"/>
  <c r="G80" i="2"/>
  <c r="G81" i="2"/>
  <c r="T46" i="2"/>
  <c r="AF98" i="2"/>
  <c r="AE95" i="2"/>
  <c r="M91" i="2"/>
  <c r="H91" i="2"/>
  <c r="T56" i="2"/>
  <c r="AE87" i="2"/>
  <c r="M99" i="2"/>
  <c r="S96" i="2"/>
  <c r="H99" i="2"/>
  <c r="Z87" i="2"/>
  <c r="T48" i="2"/>
  <c r="T52" i="2"/>
  <c r="Y96" i="2"/>
  <c r="F94" i="2"/>
  <c r="AF46" i="2"/>
  <c r="S67" i="2"/>
  <c r="H82" i="2"/>
  <c r="Y89" i="2"/>
  <c r="Y56" i="2"/>
  <c r="Y88" i="2"/>
  <c r="Y76" i="2"/>
  <c r="L81" i="2"/>
  <c r="L89" i="2"/>
  <c r="L47" i="2"/>
  <c r="L93" i="2"/>
  <c r="M72" i="2"/>
  <c r="M82" i="2"/>
  <c r="M88" i="2"/>
  <c r="Z63" i="2"/>
  <c r="Z49" i="2"/>
  <c r="Z90" i="2"/>
  <c r="Z75" i="2"/>
  <c r="G69" i="2"/>
  <c r="G93" i="2"/>
  <c r="G75" i="2"/>
  <c r="G73" i="2"/>
  <c r="N91" i="2"/>
  <c r="T91" i="2"/>
  <c r="N94" i="2"/>
  <c r="T86" i="2"/>
  <c r="T87" i="2"/>
  <c r="N86" i="2"/>
  <c r="S97" i="2"/>
  <c r="T99" i="2"/>
  <c r="T96" i="2"/>
  <c r="T95" i="2"/>
  <c r="N92" i="2"/>
  <c r="N95" i="2"/>
  <c r="AF97" i="2"/>
  <c r="N99" i="2"/>
  <c r="T92" i="2"/>
  <c r="H97" i="2"/>
  <c r="T94" i="2"/>
  <c r="N96" i="2"/>
  <c r="N8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<sst xmlns="http://schemas.openxmlformats.org/spreadsheetml/2006/main" count="276" uniqueCount="243">
  <si>
    <t>Reference Items</t>
  </si>
  <si>
    <t>Right click to show data transparency (not supported for all values)</t>
  </si>
  <si>
    <t>Deere &amp; Co (DE US) - Standardized</t>
  </si>
  <si>
    <t>In Millions of USD except Per Share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</si>
  <si>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</si>
  <si>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</si>
  <si>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</si>
  <si>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</si>
  <si>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</si>
  <si>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</si>
  <si>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</si>
  <si>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</si>
  <si>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</si>
  <si>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</si>
  <si>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</si>
  <si>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</si>
  <si>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</si>
  <si>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</si>
  <si>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</si>
  <si>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</si>
  <si>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</si>
  <si>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</si>
  <si>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</si>
  <si>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</si>
  <si>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</si>
  <si>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</si>
  <si>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</si>
  <si>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</si>
  <si>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</si>
  <si>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</si>
  <si>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</si>
  <si>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</si>
  <si>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</si>
  <si>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</si>
  <si>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Months Ending</t>
  </si>
  <si>
    <t>07/29/2018</t>
  </si>
  <si>
    <t>10/28/2018</t>
  </si>
  <si>
    <t>01/27/2019</t>
  </si>
  <si>
    <t>04/28/2019</t>
  </si>
  <si>
    <t>07/28/2019</t>
  </si>
  <si>
    <t>11/03/2019</t>
  </si>
  <si>
    <t>02/02/2020</t>
  </si>
  <si>
    <t>05/03/2020</t>
  </si>
  <si>
    <t>08/02/2020</t>
  </si>
  <si>
    <t>11/01/2020</t>
  </si>
  <si>
    <t>01/30/2021</t>
  </si>
  <si>
    <t>05/02/2021</t>
  </si>
  <si>
    <t>08/01/2021</t>
  </si>
  <si>
    <t>10/31/2021</t>
  </si>
  <si>
    <t>01/30/2022</t>
  </si>
  <si>
    <t>05/01/2022</t>
  </si>
  <si>
    <t>07/31/2022</t>
  </si>
  <si>
    <t>10/30/2022</t>
  </si>
  <si>
    <t>01/29/2023</t>
  </si>
  <si>
    <t>04/30/2023</t>
  </si>
  <si>
    <t>07/30/2023</t>
  </si>
  <si>
    <t>10/29/2023</t>
  </si>
  <si>
    <t>01/28/2024</t>
  </si>
  <si>
    <t>04/28/2024</t>
  </si>
  <si>
    <t>07/28/2024</t>
  </si>
  <si>
    <t>10/27/2024</t>
  </si>
  <si>
    <t>01/26/2025</t>
  </si>
  <si>
    <t>04/27/2025</t>
  </si>
  <si>
    <t>07/27/2025</t>
  </si>
  <si>
    <t>11/02/2025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</si>
  <si>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</si>
  <si>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</si>
  <si>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</si>
  <si>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</si>
  <si>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</si>
  <si>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</si>
  <si>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</si>
  <si>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</si>
  <si>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</si>
  <si>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</si>
  <si>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</si>
  <si>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</si>
  <si>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</si>
  <si>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</si>
  <si>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</si>
  <si>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</si>
  <si>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</si>
  <si>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</si>
  <si>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</si>
  <si>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</si>
  <si>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</si>
  <si>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</si>
  <si>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</si>
  <si>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</si>
  <si>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</si>
  <si>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</si>
  <si>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</si>
  <si>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</si>
  <si>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</si>
  <si>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</si>
  <si>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</si>
  <si>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</si>
  <si>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</si>
  <si>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</si>
  <si>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</si>
  <si>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</si>
  <si>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</si>
  <si>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</si>
  <si>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</si>
  <si>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</si>
  <si>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</si>
  <si>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</si>
  <si>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</si>
  <si>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</si>
  <si>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</si>
  <si>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</si>
  <si>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</si>
  <si>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</si>
  <si>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</si>
  <si>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</si>
  <si>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</si>
  <si>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</si>
  <si>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Prepaid Pension Costs</t>
  </si>
  <si>
    <t>BS_PREPAID_PENSION_COSTS_LT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</si>
  <si>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</si>
  <si>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</si>
  <si>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</si>
  <si>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</si>
  <si>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</si>
  <si>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</si>
  <si>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</si>
  <si>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</si>
  <si>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</si>
  <si>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</si>
  <si>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</si>
  <si>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</si>
  <si>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</si>
  <si>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</si>
  <si>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</si>
  <si>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</si>
  <si>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</si>
  <si>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</si>
  <si>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</si>
  <si>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</si>
  <si>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</si>
  <si>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</si>
  <si>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</si>
  <si>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</si>
  <si>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</si>
  <si>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</si>
  <si>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</si>
  <si>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</si>
  <si>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</si>
  <si>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</si>
  <si>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</si>
  <si>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</si>
  <si>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</si>
  <si>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</si>
  <si>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</si>
  <si>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</si>
  <si>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</si>
  <si>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</si>
  <si>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</si>
  <si>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</si>
  <si>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</si>
  <si>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</si>
  <si>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</si>
  <si>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</si>
  <si>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</si>
  <si>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</si>
  <si>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</si>
  <si>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</si>
  <si>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</si>
  <si>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</si>
  <si>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</si>
  <si>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</si>
  <si>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</si>
  <si>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</si>
  <si>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</si>
  <si>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</si>
  <si>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</si>
  <si>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</si>
  <si>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</si>
  <si>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</si>
  <si>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</si>
  <si>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</si>
  <si>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</si>
  <si>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</si>
  <si>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</si>
  <si>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</si>
  <si>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</si>
  <si>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</si>
  <si>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</si>
  <si>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</si>
  <si>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</si>
  <si>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</si>
  <si>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</si>
  <si>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</si>
  <si>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</si>
  <si>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</si>
  <si>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</si>
  <si>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</si>
  <si>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</si>
  <si>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</si>
  <si>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</si>
  <si>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</si>
  <si>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</si>
  <si>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</si>
  <si>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</si>
  <si>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</si>
  <si>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</si>
  <si>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</si>
  <si>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</si>
  <si>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</si>
  <si>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</si>
  <si>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</si>
  <si>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Accounting Standard</t>
  </si>
  <si>
    <t>ACCOUNTING_STANDARD</t>
  </si>
  <si>
    <t>US GAAP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</si>
  <si>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</si>
  <si>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</si>
  <si>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</si>
  <si>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</si>
  <si>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</si>
  <si>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</si>
  <si>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</si>
  <si>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</si>
  <si>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</si>
  <si>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</si>
  <si>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</si>
  <si>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</si>
  <si>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</si>
  <si>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</si>
  <si>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</si>
  <si>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</si>
  <si>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</si>
  <si>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</si>
  <si>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</si>
  <si>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</si>
  <si>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</si>
  <si>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</si>
  <si>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</si>
  <si>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</si>
  <si>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Cash Held Overseas</t>
  </si>
  <si>
    <t>BS_CASH_HELD_OVERSEAS</t>
  </si>
  <si>
    <t>Number of Employees</t>
  </si>
  <si>
    <t>NUM_OF_EMPLOYEES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</si>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</sst>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8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171" fontId="11" fillId="34" borderId="2" xfId="58" applyNumberFormat="1" applyFont="1" applyFill="1" applyBorder="1" applyAlignment="1" applyProtection="1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italic_1_grouped" xfId="58" xr:uid="{00000000-0005-0000-0000-000025000000}"/>
    <cellStyle name="fa_data_standard_0_grouped" xfId="53" xr:uid="{00000000-0005-0000-0000-000026000000}"/>
    <cellStyle name="fa_data_standard_1_grouped" xfId="54" xr:uid="{00000000-0005-0000-0000-000027000000}"/>
    <cellStyle name="fa_data_standard_2_grouped" xfId="55" xr:uid="{00000000-0005-0000-0000-000028000000}"/>
    <cellStyle name="fa_footer_italic" xfId="34" xr:uid="{00000000-0005-0000-0000-000029000000}"/>
    <cellStyle name="fa_row_header_bold" xfId="35" xr:uid="{00000000-0005-0000-0000-00002A000000}"/>
    <cellStyle name="fa_row_header_italic" xfId="36" xr:uid="{00000000-0005-0000-0000-00002B000000}"/>
    <cellStyle name="fa_row_header_standard" xfId="37" xr:uid="{00000000-0005-0000-0000-00002C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BDH|10115822255951388649</stp>
        <tr r="G70" s="2"/>
      </tp>
      <tp t="s">
        <v>#N/A N/A</v>
        <stp/>
        <stp>BDH|17024934752610432149</stp>
        <tr r="AE56" s="2"/>
      </tp>
      <tp t="s">
        <v>#N/A N/A</v>
        <stp/>
        <stp>BDH|10644928647532755553</stp>
        <tr r="AD16" s="2"/>
      </tp>
      <tp t="s">
        <v>#N/A N/A</v>
        <stp/>
        <stp>BDH|14511669898384829524</stp>
        <tr r="M25" s="2"/>
      </tp>
      <tp t="s">
        <v>#N/A N/A</v>
        <stp/>
        <stp>BDH|15533733130893712809</stp>
        <tr r="O19" s="2"/>
      </tp>
      <tp t="s">
        <v>#N/A N/A</v>
        <stp/>
        <stp>BDH|12529324797077047514</stp>
        <tr r="AC37" s="2"/>
      </tp>
      <tp t="s">
        <v>#N/A N/A</v>
        <stp/>
        <stp>BDH|18359724041485900480</stp>
        <tr r="H90" s="2"/>
      </tp>
      <tp t="s">
        <v>#N/A N/A</v>
        <stp/>
        <stp>BDH|13859585383533360717</stp>
        <tr r="Z72" s="2"/>
      </tp>
      <tp t="s">
        <v>#N/A N/A</v>
        <stp/>
        <stp>BDH|12752618665080566863</stp>
        <tr r="AD10" s="2"/>
      </tp>
      <tp t="s">
        <v>#N/A N/A</v>
        <stp/>
        <stp>BDH|16873093986895547129</stp>
        <tr r="T60" s="2"/>
      </tp>
      <tp t="s">
        <v>#N/A N/A</v>
        <stp/>
        <stp>BDH|16642657970328287522</stp>
        <tr r="AA78" s="2"/>
      </tp>
      <tp t="s">
        <v>#N/A N/A</v>
        <stp/>
        <stp>BDH|11953807254021729798</stp>
        <tr r="T79" s="2"/>
      </tp>
      <tp t="s">
        <v>#N/A N/A</v>
        <stp/>
        <stp>BDH|11034433898906154093</stp>
        <tr r="J30" s="2"/>
      </tp>
      <tp t="s">
        <v>#N/A N/A</v>
        <stp/>
        <stp>BDH|10511774775473487907</stp>
        <tr r="U91" s="2"/>
      </tp>
      <tp t="s">
        <v>#N/A N/A</v>
        <stp/>
        <stp>BDH|15263669594443187322</stp>
        <tr r="R80" s="2"/>
      </tp>
      <tp t="s">
        <v>#N/A N/A</v>
        <stp/>
        <stp>BDH|14843707349514217907</stp>
        <tr r="H58" s="2"/>
      </tp>
      <tp t="s">
        <v>#N/A N/A</v>
        <stp/>
        <stp>BDH|11742292690400452091</stp>
        <tr r="N57" s="2"/>
      </tp>
      <tp t="s">
        <v>#N/A N/A</v>
        <stp/>
        <stp>BDH|10594614735846193938</stp>
        <tr r="AA48" s="2"/>
      </tp>
      <tp t="s">
        <v>#N/A N/A</v>
        <stp/>
        <stp>BDH|17058862414914781079</stp>
        <tr r="H43" s="2"/>
      </tp>
      <tp t="s">
        <v>#N/A N/A</v>
        <stp/>
        <stp>BDH|16898456091158807963</stp>
        <tr r="U45" s="2"/>
      </tp>
      <tp t="s">
        <v>#N/A N/A</v>
        <stp/>
        <stp>BDH|11307511180641650763</stp>
        <tr r="E65" s="2"/>
      </tp>
      <tp t="s">
        <v>#N/A N/A</v>
        <stp/>
        <stp>BDH|11531808217474510625</stp>
        <tr r="P66" s="2"/>
      </tp>
      <tp t="s">
        <v>#N/A N/A</v>
        <stp/>
        <stp>BDH|16525133203264733973</stp>
        <tr r="AE21" s="2"/>
      </tp>
      <tp t="s">
        <v>#N/A N/A</v>
        <stp/>
        <stp>BDH|16834646812953936836</stp>
        <tr r="AA57" s="2"/>
      </tp>
      <tp t="s">
        <v>#N/A N/A</v>
        <stp/>
        <stp>BDH|13732676607236275919</stp>
        <tr r="AA43" s="2"/>
      </tp>
      <tp t="s">
        <v>#N/A N/A</v>
        <stp/>
        <stp>BDH|17958966518105051038</stp>
        <tr r="AA97" s="2"/>
      </tp>
      <tp t="s">
        <v>#N/A N/A</v>
        <stp/>
        <stp>BDH|14551806143372497068</stp>
        <tr r="AF13" s="2"/>
      </tp>
      <tp t="s">
        <v>#N/A N/A</v>
        <stp/>
        <stp>BDH|13093924406138329839</stp>
        <tr r="M58" s="2"/>
      </tp>
      <tp t="s">
        <v>#N/A N/A</v>
        <stp/>
        <stp>BDH|16365029419829940455</stp>
        <tr r="AD17" s="2"/>
      </tp>
      <tp t="s">
        <v>#N/A N/A</v>
        <stp/>
        <stp>BDH|14571094969519676142</stp>
        <tr r="AD79" s="2"/>
      </tp>
      <tp t="s">
        <v>#N/A N/A</v>
        <stp/>
        <stp>BDH|15406269843278216149</stp>
        <tr r="N17" s="2"/>
      </tp>
      <tp t="s">
        <v>#N/A N/A</v>
        <stp/>
        <stp>BDH|18389321495120299810</stp>
        <tr r="F70" s="2"/>
      </tp>
      <tp t="s">
        <v>#N/A N/A</v>
        <stp/>
        <stp>BDH|18038331005757765678</stp>
        <tr r="T9" s="2"/>
      </tp>
      <tp t="s">
        <v>#N/A N/A</v>
        <stp/>
        <stp>BDH|10093973207772225145</stp>
        <tr r="N78" s="2"/>
      </tp>
      <tp t="s">
        <v>#N/A N/A</v>
        <stp/>
        <stp>BDH|15626950804176884096</stp>
        <tr r="J90" s="2"/>
      </tp>
      <tp t="s">
        <v>#N/A N/A</v>
        <stp/>
        <stp>BDH|15159965352287809448</stp>
        <tr r="AA67" s="2"/>
      </tp>
      <tp t="s">
        <v>#N/A N/A</v>
        <stp/>
        <stp>BDH|11681138086812956035</stp>
        <tr r="N61" s="2"/>
      </tp>
      <tp t="s">
        <v>#N/A N/A</v>
        <stp/>
        <stp>BDH|12002712078108254027</stp>
        <tr r="L16" s="2"/>
      </tp>
      <tp t="s">
        <v>#N/A N/A</v>
        <stp/>
        <stp>BDH|16327631298860318333</stp>
        <tr r="D23" s="2"/>
      </tp>
      <tp t="s">
        <v>#N/A N/A</v>
        <stp/>
        <stp>BDH|10147060782480964245</stp>
        <tr r="P52" s="2"/>
      </tp>
      <tp t="s">
        <v>#N/A N/A</v>
        <stp/>
        <stp>BDH|13514961319627339614</stp>
        <tr r="N66" s="2"/>
      </tp>
      <tp t="s">
        <v>#N/A N/A</v>
        <stp/>
        <stp>BDH|17567822634663911522</stp>
        <tr r="AA36" s="2"/>
      </tp>
      <tp t="s">
        <v>#N/A N/A</v>
        <stp/>
        <stp>BDH|13620998626996576476</stp>
        <tr r="Z12" s="2"/>
      </tp>
      <tp t="s">
        <v>#N/A N/A</v>
        <stp/>
        <stp>BDH|13964279784341246239</stp>
        <tr r="AC94" s="2"/>
      </tp>
      <tp t="s">
        <v>#N/A N/A</v>
        <stp/>
        <stp>BDH|10199094863669196517</stp>
        <tr r="AC97" s="2"/>
      </tp>
      <tp t="s">
        <v>#N/A N/A</v>
        <stp/>
        <stp>BDH|14179043429825131973</stp>
        <tr r="P44" s="2"/>
      </tp>
      <tp t="s">
        <v>#N/A N/A</v>
        <stp/>
        <stp>BDH|10019622606214972877</stp>
        <tr r="O87" s="2"/>
      </tp>
      <tp t="s">
        <v>#N/A N/A</v>
        <stp/>
        <stp>BDH|17049916627161978755</stp>
        <tr r="O25" s="2"/>
      </tp>
      <tp t="s">
        <v>#N/A N/A</v>
        <stp/>
        <stp>BDH|17222579479247468850</stp>
        <tr r="X92" s="2"/>
      </tp>
      <tp t="s">
        <v>#N/A N/A</v>
        <stp/>
        <stp>BDH|14120637238543147867</stp>
        <tr r="D89" s="2"/>
      </tp>
      <tp t="s">
        <v>#N/A N/A</v>
        <stp/>
        <stp>BDH|17586091422187500869</stp>
        <tr r="AA65" s="2"/>
      </tp>
      <tp t="s">
        <v>#N/A N/A</v>
        <stp/>
        <stp>BDH|13902850493599220107</stp>
        <tr r="AA79" s="2"/>
      </tp>
      <tp t="s">
        <v>#N/A N/A</v>
        <stp/>
        <stp>BDH|12878517013379511524</stp>
        <tr r="O7" s="2"/>
      </tp>
      <tp t="s">
        <v>#N/A N/A</v>
        <stp/>
        <stp>BDH|13982935402161687130</stp>
        <tr r="T46" s="2"/>
      </tp>
      <tp t="s">
        <v>#N/A N/A</v>
        <stp/>
        <stp>BDH|15209000978491558932</stp>
        <tr r="S18" s="2"/>
      </tp>
      <tp t="s">
        <v>#N/A N/A</v>
        <stp/>
        <stp>BDH|16548698891705519648</stp>
        <tr r="L71" s="2"/>
      </tp>
      <tp t="s">
        <v>#N/A N/A</v>
        <stp/>
        <stp>BDH|15035861125490955562</stp>
        <tr r="I46" s="2"/>
      </tp>
      <tp t="s">
        <v>#N/A N/A</v>
        <stp/>
        <stp>BDH|16576544459968473436</stp>
        <tr r="Z8" s="2"/>
      </tp>
      <tp t="s">
        <v>#N/A N/A</v>
        <stp/>
        <stp>BDH|13051468878929023318</stp>
        <tr r="U41" s="2"/>
      </tp>
      <tp t="s">
        <v>#N/A N/A</v>
        <stp/>
        <stp>BDH|11973105975648515566</stp>
        <tr r="M18" s="2"/>
      </tp>
      <tp t="s">
        <v>#N/A N/A</v>
        <stp/>
        <stp>BDH|15522289793171126514</stp>
        <tr r="S57" s="2"/>
      </tp>
      <tp t="s">
        <v>#N/A N/A</v>
        <stp/>
        <stp>BDH|11632160950858807693</stp>
        <tr r="U26" s="2"/>
      </tp>
      <tp t="s">
        <v>#N/A N/A</v>
        <stp/>
        <stp>BDH|15564712842769382446</stp>
        <tr r="Y26" s="2"/>
      </tp>
      <tp t="s">
        <v>#N/A N/A</v>
        <stp/>
        <stp>BDH|18061935682916047408</stp>
        <tr r="J43" s="2"/>
      </tp>
      <tp t="s">
        <v>#N/A N/A</v>
        <stp/>
        <stp>BDH|13145902167607606014</stp>
        <tr r="U24" s="2"/>
      </tp>
      <tp t="s">
        <v>#N/A N/A</v>
        <stp/>
        <stp>BDH|10044948062394450021</stp>
        <tr r="H41" s="2"/>
      </tp>
      <tp t="s">
        <v>#N/A N/A</v>
        <stp/>
        <stp>BDH|14087823913676412053</stp>
        <tr r="K14" s="2"/>
      </tp>
      <tp t="s">
        <v>#N/A N/A</v>
        <stp/>
        <stp>BDH|14957236166713500894</stp>
        <tr r="Q26" s="2"/>
      </tp>
      <tp t="s">
        <v>#N/A N/A</v>
        <stp/>
        <stp>BDH|14198798477979966669</stp>
        <tr r="AB57" s="2"/>
      </tp>
      <tp t="s">
        <v>#N/A N/A</v>
        <stp/>
        <stp>BDH|11789284828802300840</stp>
        <tr r="AF25" s="2"/>
      </tp>
      <tp t="s">
        <v>#N/A N/A</v>
        <stp/>
        <stp>BDH|15565036586745446371</stp>
        <tr r="AA68" s="2"/>
      </tp>
      <tp t="s">
        <v>#N/A N/A</v>
        <stp/>
        <stp>BDH|12998681465710764917</stp>
        <tr r="L23" s="2"/>
      </tp>
      <tp t="s">
        <v>#N/A N/A</v>
        <stp/>
        <stp>BDH|11145932016124478623</stp>
        <tr r="AF61" s="2"/>
      </tp>
      <tp t="s">
        <v>#N/A N/A</v>
        <stp/>
        <stp>BDH|15601122945858305308</stp>
        <tr r="AA93" s="2"/>
      </tp>
      <tp t="s">
        <v>#N/A N/A</v>
        <stp/>
        <stp>BDH|10511989079974071166</stp>
        <tr r="Q95" s="2"/>
      </tp>
      <tp t="s">
        <v>#N/A N/A</v>
        <stp/>
        <stp>BDH|12244167567537364959</stp>
        <tr r="V46" s="2"/>
      </tp>
      <tp t="s">
        <v>#N/A N/A</v>
        <stp/>
        <stp>BDH|15528299806388992469</stp>
        <tr r="E50" s="2"/>
      </tp>
      <tp t="s">
        <v>#N/A N/A</v>
        <stp/>
        <stp>BDH|15284773196913644308</stp>
        <tr r="P45" s="2"/>
      </tp>
      <tp t="s">
        <v>#N/A N/A</v>
        <stp/>
        <stp>BDH|17766855851434344549</stp>
        <tr r="T19" s="2"/>
      </tp>
      <tp t="s">
        <v>#N/A N/A</v>
        <stp/>
        <stp>BDH|16644716695690094360</stp>
        <tr r="T99" s="2"/>
      </tp>
      <tp t="s">
        <v>#N/A N/A</v>
        <stp/>
        <stp>BDH|11886283786005401568</stp>
        <tr r="U67" s="2"/>
      </tp>
      <tp t="s">
        <v>#N/A N/A</v>
        <stp/>
        <stp>BDH|11655582362418915113</stp>
        <tr r="N77" s="2"/>
      </tp>
      <tp t="s">
        <v>#N/A N/A</v>
        <stp/>
        <stp>BDH|12455748206709380717</stp>
        <tr r="I95" s="2"/>
      </tp>
      <tp t="s">
        <v>#N/A N/A</v>
        <stp/>
        <stp>BDH|14711740427112057800</stp>
        <tr r="L24" s="2"/>
      </tp>
      <tp t="s">
        <v>#N/A N/A</v>
        <stp/>
        <stp>BDH|14097428333089300159</stp>
        <tr r="W91" s="2"/>
      </tp>
      <tp t="s">
        <v>#N/A N/A</v>
        <stp/>
        <stp>BDH|14270718554195519852</stp>
        <tr r="AC74" s="2"/>
      </tp>
      <tp t="s">
        <v>#N/A N/A</v>
        <stp/>
        <stp>BDH|18442847211412231845</stp>
        <tr r="E63" s="2"/>
      </tp>
      <tp t="s">
        <v>#N/A N/A</v>
        <stp/>
        <stp>BDH|15049617992902783332</stp>
        <tr r="AE98" s="2"/>
      </tp>
      <tp t="s">
        <v>#N/A N/A</v>
        <stp/>
        <stp>BDH|10695066090802736002</stp>
        <tr r="Z70" s="2"/>
      </tp>
      <tp t="s">
        <v>#N/A N/A</v>
        <stp/>
        <stp>BDH|14686554457619510675</stp>
        <tr r="R95" s="2"/>
      </tp>
      <tp t="s">
        <v>#N/A N/A</v>
        <stp/>
        <stp>BDH|11437201794557097669</stp>
        <tr r="H76" s="2"/>
      </tp>
      <tp t="s">
        <v>#N/A N/A</v>
        <stp/>
        <stp>BDH|14631692735408442278</stp>
        <tr r="I43" s="2"/>
      </tp>
      <tp t="s">
        <v>#N/A N/A</v>
        <stp/>
        <stp>BDH|15780742784909913872</stp>
        <tr r="AF76" s="2"/>
      </tp>
      <tp t="s">
        <v>#N/A N/A</v>
        <stp/>
        <stp>BDH|11103790764689128258</stp>
        <tr r="K80" s="2"/>
      </tp>
      <tp t="s">
        <v>#N/A N/A</v>
        <stp/>
        <stp>BDH|10748168388967027514</stp>
        <tr r="H30" s="2"/>
      </tp>
      <tp t="s">
        <v>#N/A N/A</v>
        <stp/>
        <stp>BDH|13053792758142869811</stp>
        <tr r="F41" s="2"/>
      </tp>
      <tp t="s">
        <v>#N/A N/A</v>
        <stp/>
        <stp>BDH|14167678358894680808</stp>
        <tr r="M98" s="2"/>
      </tp>
      <tp t="s">
        <v>#N/A N/A</v>
        <stp/>
        <stp>BDH|18351302724136851477</stp>
        <tr r="W13" s="2"/>
      </tp>
      <tp t="s">
        <v>#N/A N/A</v>
        <stp/>
        <stp>BDH|17855365998977411192</stp>
        <tr r="O13" s="2"/>
      </tp>
      <tp t="s">
        <v>#N/A N/A</v>
        <stp/>
        <stp>BDH|13316086781436895690</stp>
        <tr r="AF95" s="2"/>
      </tp>
      <tp t="s">
        <v>#N/A N/A</v>
        <stp/>
        <stp>BDH|12864842256953207734</stp>
        <tr r="L60" s="2"/>
      </tp>
      <tp t="s">
        <v>#N/A N/A</v>
        <stp/>
        <stp>BDH|17621881750477195646</stp>
        <tr r="E14" s="2"/>
      </tp>
      <tp t="s">
        <v>#N/A N/A</v>
        <stp/>
        <stp>BDH|13034153098525112577</stp>
        <tr r="AC32" s="2"/>
      </tp>
      <tp t="s">
        <v>#N/A N/A</v>
        <stp/>
        <stp>BDH|13987200070384616948</stp>
        <tr r="T30" s="2"/>
      </tp>
      <tp t="s">
        <v>#N/A N/A</v>
        <stp/>
        <stp>BDH|13572305684190343390</stp>
        <tr r="AE64" s="2"/>
      </tp>
      <tp t="s">
        <v>#N/A N/A</v>
        <stp/>
        <stp>BDH|14132282790633595760</stp>
        <tr r="AB87" s="2"/>
      </tp>
      <tp t="s">
        <v>#N/A N/A</v>
        <stp/>
        <stp>BDH|15195913867180476198</stp>
        <tr r="X36" s="2"/>
      </tp>
      <tp t="s">
        <v>#N/A N/A</v>
        <stp/>
        <stp>BDH|12491086870729135701</stp>
        <tr r="K33" s="2"/>
      </tp>
      <tp t="s">
        <v>#N/A N/A</v>
        <stp/>
        <stp>BDH|11234300296977826712</stp>
        <tr r="Q94" s="2"/>
      </tp>
      <tp t="s">
        <v>#N/A N/A</v>
        <stp/>
        <stp>BDH|14032826978666736609</stp>
        <tr r="D25" s="2"/>
      </tp>
      <tp t="s">
        <v>#N/A N/A</v>
        <stp/>
        <stp>BDH|18327372429910639269</stp>
        <tr r="AD37" s="2"/>
      </tp>
      <tp t="s">
        <v>#N/A N/A</v>
        <stp/>
        <stp>BDH|11750102032549150193</stp>
        <tr r="T50" s="2"/>
      </tp>
      <tp t="s">
        <v>#N/A N/A</v>
        <stp/>
        <stp>BDH|17148236709797092968</stp>
        <tr r="AD88" s="2"/>
      </tp>
      <tp t="s">
        <v>#N/A N/A</v>
        <stp/>
        <stp>BDH|15726132658782687861</stp>
        <tr r="Y19" s="2"/>
      </tp>
      <tp t="s">
        <v>#N/A N/A</v>
        <stp/>
        <stp>BDH|13057692080154295272</stp>
        <tr r="R52" s="2"/>
      </tp>
      <tp t="s">
        <v>#N/A N/A</v>
        <stp/>
        <stp>BDH|10938807143342405527</stp>
        <tr r="U18" s="2"/>
      </tp>
      <tp t="s">
        <v>#N/A N/A</v>
        <stp/>
        <stp>BDH|14308702492140693185</stp>
        <tr r="K55" s="2"/>
      </tp>
      <tp t="s">
        <v>#N/A N/A</v>
        <stp/>
        <stp>BDH|10214508392504811373</stp>
        <tr r="AA77" s="2"/>
      </tp>
      <tp t="s">
        <v>#N/A N/A</v>
        <stp/>
        <stp>BDH|17596842722584965254</stp>
        <tr r="R13" s="2"/>
      </tp>
      <tp t="s">
        <v>#N/A N/A</v>
        <stp/>
        <stp>BDH|18201860412763828919</stp>
        <tr r="K45" s="2"/>
      </tp>
      <tp t="s">
        <v>#N/A N/A</v>
        <stp/>
        <stp>BDH|16323468039323220917</stp>
        <tr r="L14" s="2"/>
      </tp>
      <tp t="s">
        <v>#N/A N/A</v>
        <stp/>
        <stp>BDH|12083669916038648689</stp>
        <tr r="AD46" s="2"/>
      </tp>
      <tp t="s">
        <v>#N/A N/A</v>
        <stp/>
        <stp>BDH|12239274562094828915</stp>
        <tr r="L47" s="2"/>
      </tp>
      <tp t="s">
        <v>#N/A N/A</v>
        <stp/>
        <stp>BDH|18385840299884968691</stp>
        <tr r="N97" s="2"/>
      </tp>
      <tp t="s">
        <v>#N/A N/A</v>
        <stp/>
        <stp>BDH|16469539984410638344</stp>
        <tr r="V36" s="2"/>
      </tp>
      <tp t="s">
        <v>#N/A N/A</v>
        <stp/>
        <stp>BDH|14354868466674617654</stp>
        <tr r="G37" s="2"/>
      </tp>
      <tp t="s">
        <v>#N/A N/A</v>
        <stp/>
        <stp>BDH|12048269480054790416</stp>
        <tr r="AD22" s="2"/>
      </tp>
      <tp t="s">
        <v>#N/A N/A</v>
        <stp/>
        <stp>BDH|10119536806275412806</stp>
        <tr r="AB82" s="2"/>
      </tp>
      <tp t="s">
        <v>#N/A N/A</v>
        <stp/>
        <stp>BDH|11624364892411633241</stp>
        <tr r="N72" s="2"/>
      </tp>
      <tp t="s">
        <v>#N/A N/A</v>
        <stp/>
        <stp>BDH|12250820959270870710</stp>
        <tr r="J53" s="2"/>
      </tp>
      <tp t="s">
        <v>#N/A N/A</v>
        <stp/>
        <stp>BDH|12497601231477222879</stp>
        <tr r="J22" s="2"/>
      </tp>
      <tp t="s">
        <v>#N/A N/A</v>
        <stp/>
        <stp>BDH|12876915969947458248</stp>
        <tr r="D78" s="2"/>
      </tp>
      <tp t="s">
        <v>#N/A N/A</v>
        <stp/>
        <stp>BDH|14286832271754114721</stp>
        <tr r="O50" s="2"/>
      </tp>
      <tp t="s">
        <v>#N/A N/A</v>
        <stp/>
        <stp>BDH|11372392050918940709</stp>
        <tr r="F67" s="2"/>
      </tp>
      <tp t="s">
        <v>#N/A N/A</v>
        <stp/>
        <stp>BDH|12389819422759216911</stp>
        <tr r="F54" s="2"/>
      </tp>
      <tp t="s">
        <v>#N/A N/A</v>
        <stp/>
        <stp>BDH|17844429158429628768</stp>
        <tr r="R17" s="2"/>
      </tp>
      <tp t="s">
        <v>#N/A N/A</v>
        <stp/>
        <stp>BDH|11532545684823257758</stp>
        <tr r="AD98" s="2"/>
      </tp>
      <tp t="s">
        <v>#N/A N/A</v>
        <stp/>
        <stp>BDH|15402484563307453892</stp>
        <tr r="U7" s="2"/>
      </tp>
      <tp t="s">
        <v>#N/A N/A</v>
        <stp/>
        <stp>BDH|12596000785953139135</stp>
        <tr r="R45" s="2"/>
      </tp>
      <tp t="s">
        <v>#N/A N/A</v>
        <stp/>
        <stp>BDH|11345367916473059816</stp>
        <tr r="N14" s="2"/>
      </tp>
      <tp t="s">
        <v>#N/A N/A</v>
        <stp/>
        <stp>BDH|10702202554238203749</stp>
        <tr r="T93" s="2"/>
      </tp>
      <tp t="s">
        <v>#N/A N/A</v>
        <stp/>
        <stp>BDH|13945861758714134230</stp>
        <tr r="AE41" s="2"/>
      </tp>
      <tp t="s">
        <v>#N/A N/A</v>
        <stp/>
        <stp>BDH|12063268483750275034</stp>
        <tr r="G31" s="2"/>
      </tp>
      <tp t="s">
        <v>#N/A N/A</v>
        <stp/>
        <stp>BDH|15741776011402358963</stp>
        <tr r="AA17" s="2"/>
      </tp>
      <tp t="s">
        <v>#N/A N/A</v>
        <stp/>
        <stp>BDH|15444925950346621747</stp>
        <tr r="P26" s="2"/>
      </tp>
      <tp t="s">
        <v>#N/A N/A</v>
        <stp/>
        <stp>BDH|17612248791124550017</stp>
        <tr r="J33" s="2"/>
      </tp>
      <tp t="s">
        <v>#N/A N/A</v>
        <stp/>
        <stp>BDH|14659373080267108073</stp>
        <tr r="X35" s="2"/>
      </tp>
      <tp t="s">
        <v>#N/A N/A</v>
        <stp/>
        <stp>BDH|17720039080850701746</stp>
        <tr r="H61" s="2"/>
      </tp>
      <tp t="s">
        <v>#N/A N/A</v>
        <stp/>
        <stp>BDH|10712951837851651349</stp>
        <tr r="Q42" s="2"/>
      </tp>
      <tp t="s">
        <v>#N/A N/A</v>
        <stp/>
        <stp>BDH|11896735103759760796</stp>
        <tr r="I37" s="2"/>
      </tp>
      <tp t="s">
        <v>#N/A N/A</v>
        <stp/>
        <stp>BDH|17466977397537784852</stp>
        <tr r="C25" s="2"/>
      </tp>
      <tp t="s">
        <v>#N/A N/A</v>
        <stp/>
        <stp>BDH|13149422632295357941</stp>
        <tr r="AA27" s="2"/>
      </tp>
      <tp t="s">
        <v>#N/A N/A</v>
        <stp/>
        <stp>BDH|11437115831688578373</stp>
        <tr r="J31" s="2"/>
      </tp>
      <tp t="s">
        <v>#N/A N/A</v>
        <stp/>
        <stp>BDH|10903101494147832737</stp>
        <tr r="I87" s="2"/>
      </tp>
      <tp t="s">
        <v>#N/A N/A</v>
        <stp/>
        <stp>BDH|16728454363155109998</stp>
        <tr r="AC40" s="2"/>
      </tp>
      <tp t="s">
        <v>#N/A N/A</v>
        <stp/>
        <stp>BDH|16116657112960933963</stp>
        <tr r="S25" s="2"/>
      </tp>
      <tp t="s">
        <v>#N/A N/A</v>
        <stp/>
        <stp>BDH|11066908134443900051</stp>
        <tr r="W95" s="2"/>
      </tp>
      <tp t="s">
        <v>#N/A N/A</v>
        <stp/>
        <stp>BDH|10838298644216609886</stp>
        <tr r="Q90" s="2"/>
      </tp>
      <tp t="s">
        <v>#N/A N/A</v>
        <stp/>
        <stp>BDH|16053592586993637021</stp>
        <tr r="H87" s="2"/>
      </tp>
      <tp t="s">
        <v>#N/A N/A</v>
        <stp/>
        <stp>BDH|17236286047769556035</stp>
        <tr r="N11" s="2"/>
      </tp>
      <tp t="s">
        <v>#N/A N/A</v>
        <stp/>
        <stp>BDH|17908865069002818353</stp>
        <tr r="H45" s="2"/>
      </tp>
      <tp t="s">
        <v>#N/A N/A</v>
        <stp/>
        <stp>BDH|14794462769809131724</stp>
        <tr r="M43" s="2"/>
      </tp>
      <tp t="s">
        <v>#N/A N/A</v>
        <stp/>
        <stp>BDH|16954608695181716017</stp>
        <tr r="AF28" s="2"/>
      </tp>
      <tp t="s">
        <v>#N/A N/A</v>
        <stp/>
        <stp>BDH|11732496959138589084</stp>
        <tr r="V20" s="2"/>
      </tp>
      <tp t="s">
        <v>#N/A N/A</v>
        <stp/>
        <stp>BDH|10308254295421087294</stp>
        <tr r="H56" s="2"/>
      </tp>
      <tp t="s">
        <v>#N/A N/A</v>
        <stp/>
        <stp>BDH|16753120503318953750</stp>
        <tr r="N50" s="2"/>
      </tp>
      <tp t="s">
        <v>#N/A N/A</v>
        <stp/>
        <stp>BDH|13863826032657121735</stp>
        <tr r="E29" s="2"/>
      </tp>
      <tp t="s">
        <v>#N/A N/A</v>
        <stp/>
        <stp>BDH|13538980271442194705</stp>
        <tr r="AF81" s="2"/>
      </tp>
      <tp t="s">
        <v>#N/A N/A</v>
        <stp/>
        <stp>BDH|13159683701848050551</stp>
        <tr r="Z13" s="2"/>
      </tp>
      <tp t="s">
        <v>#N/A N/A</v>
        <stp/>
        <stp>BDH|17882801523017579236</stp>
        <tr r="T74" s="2"/>
      </tp>
      <tp t="s">
        <v>#N/A N/A</v>
        <stp/>
        <stp>BDH|15778854724145210290</stp>
        <tr r="V14" s="2"/>
      </tp>
      <tp t="s">
        <v>#N/A N/A</v>
        <stp/>
        <stp>BDH|11308120599388156945</stp>
        <tr r="AD94" s="2"/>
      </tp>
      <tp t="s">
        <v>#N/A N/A</v>
        <stp/>
        <stp>BDH|18216317245020833737</stp>
        <tr r="Y48" s="2"/>
      </tp>
      <tp t="s">
        <v>#N/A N/A</v>
        <stp/>
        <stp>BDH|14061309795384882205</stp>
        <tr r="M22" s="2"/>
      </tp>
      <tp t="s">
        <v>#N/A N/A</v>
        <stp/>
        <stp>BDH|14434006848861158908</stp>
        <tr r="I44" s="2"/>
      </tp>
      <tp t="s">
        <v>#N/A N/A</v>
        <stp/>
        <stp>BDH|14545462138398332348</stp>
        <tr r="P88" s="2"/>
      </tp>
      <tp t="s">
        <v>#N/A N/A</v>
        <stp/>
        <stp>BDH|16430450788200091266</stp>
        <tr r="AA11" s="2"/>
      </tp>
      <tp t="s">
        <v>#N/A N/A</v>
        <stp/>
        <stp>BDH|10141984173945365361</stp>
        <tr r="P68" s="2"/>
      </tp>
      <tp t="s">
        <v>#N/A N/A</v>
        <stp/>
        <stp>BDH|12294684860292046855</stp>
        <tr r="AD52" s="2"/>
      </tp>
      <tp t="s">
        <v>#N/A N/A</v>
        <stp/>
        <stp>BDH|14172421709459164145</stp>
        <tr r="J40" s="2"/>
      </tp>
      <tp t="s">
        <v>#N/A N/A</v>
        <stp/>
        <stp>BDH|14968444521259739342</stp>
        <tr r="X13" s="2"/>
      </tp>
      <tp t="s">
        <v>#N/A N/A</v>
        <stp/>
        <stp>BDH|10755347171488901446</stp>
        <tr r="S35" s="2"/>
      </tp>
      <tp t="s">
        <v>#N/A N/A</v>
        <stp/>
        <stp>BDH|13323585143518793213</stp>
        <tr r="Q43" s="2"/>
      </tp>
      <tp t="s">
        <v>#N/A N/A</v>
        <stp/>
        <stp>BDH|13926931258705231313</stp>
        <tr r="S69" s="2"/>
      </tp>
      <tp t="s">
        <v>#N/A N/A</v>
        <stp/>
        <stp>BDH|11230397865804620986</stp>
        <tr r="I71" s="2"/>
      </tp>
      <tp t="s">
        <v>#N/A N/A</v>
        <stp/>
        <stp>BDH|16336447582454083750</stp>
        <tr r="Y71" s="2"/>
      </tp>
      <tp t="s">
        <v>#N/A N/A</v>
        <stp/>
        <stp>BDH|12044286257148948466</stp>
        <tr r="AD58" s="2"/>
      </tp>
      <tp t="s">
        <v>#N/A N/A</v>
        <stp/>
        <stp>BDH|10578766490117033034</stp>
        <tr r="AD60" s="2"/>
      </tp>
      <tp t="s">
        <v>#N/A N/A</v>
        <stp/>
        <stp>BDH|11658324684161071202</stp>
        <tr r="O66" s="2"/>
      </tp>
      <tp t="s">
        <v>#N/A N/A</v>
        <stp/>
        <stp>BDH|11934193231852887894</stp>
        <tr r="V51" s="2"/>
      </tp>
      <tp t="s">
        <v>#N/A N/A</v>
        <stp/>
        <stp>BDH|18310205530936802684</stp>
        <tr r="L76" s="2"/>
      </tp>
      <tp t="s">
        <v>#N/A N/A</v>
        <stp/>
        <stp>BDH|12903887956816753035</stp>
        <tr r="V42" s="2"/>
      </tp>
      <tp t="s">
        <v>#N/A N/A</v>
        <stp/>
        <stp>BDH|11618705253049195371</stp>
        <tr r="H52" s="2"/>
      </tp>
      <tp t="s">
        <v>#N/A N/A</v>
        <stp/>
        <stp>BDH|11528969655455304173</stp>
        <tr r="Y50" s="2"/>
      </tp>
      <tp t="s">
        <v>#N/A N/A</v>
        <stp/>
        <stp>BDH|10533842162095254236</stp>
        <tr r="AB63" s="2"/>
      </tp>
      <tp t="s">
        <v>#N/A N/A</v>
        <stp/>
        <stp>BDH|16695055245253056834</stp>
        <tr r="J46" s="2"/>
      </tp>
      <tp t="s">
        <v>#N/A N/A</v>
        <stp/>
        <stp>BDH|10975444628716161911</stp>
        <tr r="AF60" s="2"/>
      </tp>
      <tp t="s">
        <v>#N/A N/A</v>
        <stp/>
        <stp>BDH|12604595652043977809</stp>
        <tr r="H47" s="2"/>
      </tp>
      <tp t="s">
        <v>#N/A N/A</v>
        <stp/>
        <stp>BDH|15011548736758245243</stp>
        <tr r="V70" s="2"/>
      </tp>
      <tp t="s">
        <v>#N/A N/A</v>
        <stp/>
        <stp>BDH|13734616143071078911</stp>
        <tr r="AA81" s="2"/>
      </tp>
      <tp t="s">
        <v>#N/A N/A</v>
        <stp/>
        <stp>BDH|12348249262548877799</stp>
        <tr r="G56" s="2"/>
      </tp>
      <tp t="s">
        <v>#N/A N/A</v>
        <stp/>
        <stp>BDH|16612858066933119207</stp>
        <tr r="Y68" s="2"/>
      </tp>
      <tp t="s">
        <v>#N/A N/A</v>
        <stp/>
        <stp>BDH|16312733197902651365</stp>
        <tr r="T29" s="2"/>
      </tp>
      <tp t="s">
        <v>#N/A N/A</v>
        <stp/>
        <stp>BDH|14293554533779155225</stp>
        <tr r="D86" s="2"/>
      </tp>
      <tp t="s">
        <v>#N/A N/A</v>
        <stp/>
        <stp>BDH|16984904061247764780</stp>
        <tr r="Q12" s="2"/>
      </tp>
      <tp t="s">
        <v>#N/A N/A</v>
        <stp/>
        <stp>BDH|12497332672478246707</stp>
        <tr r="C23" s="2"/>
      </tp>
      <tp t="s">
        <v>#N/A N/A</v>
        <stp/>
        <stp>BDH|17166814341415331756</stp>
        <tr r="V21" s="2"/>
      </tp>
      <tp t="s">
        <v>#N/A N/A</v>
        <stp/>
        <stp>BDH|17453560884996365538</stp>
        <tr r="F21" s="2"/>
      </tp>
      <tp t="s">
        <v>#N/A N/A</v>
        <stp/>
        <stp>BDH|14810947629487420176</stp>
        <tr r="D55" s="2"/>
      </tp>
      <tp t="s">
        <v>#N/A N/A</v>
        <stp/>
        <stp>BDH|13460585571268382074</stp>
        <tr r="R88" s="2"/>
      </tp>
      <tp t="s">
        <v>#N/A N/A</v>
        <stp/>
        <stp>BDH|13209158676899029586</stp>
        <tr r="F60" s="2"/>
      </tp>
      <tp t="s">
        <v>#N/A N/A</v>
        <stp/>
        <stp>BDH|16234898093339413740</stp>
        <tr r="AA50" s="2"/>
      </tp>
      <tp t="s">
        <v>#N/A N/A</v>
        <stp/>
        <stp>BDH|13942345373236790813</stp>
        <tr r="C56" s="2"/>
      </tp>
      <tp t="s">
        <v>#N/A N/A</v>
        <stp/>
        <stp>BDH|15283929966931630285</stp>
        <tr r="S73" s="2"/>
      </tp>
      <tp t="s">
        <v>#N/A N/A</v>
        <stp/>
        <stp>BDH|14936518905998172044</stp>
        <tr r="O79" s="2"/>
      </tp>
      <tp t="s">
        <v>#N/A N/A</v>
        <stp/>
        <stp>BDH|13533247842569332582</stp>
        <tr r="R77" s="2"/>
      </tp>
      <tp t="s">
        <v>#N/A N/A</v>
        <stp/>
        <stp>BDH|11221477005928083483</stp>
        <tr r="V74" s="2"/>
      </tp>
      <tp t="s">
        <v>#N/A N/A</v>
        <stp/>
        <stp>BDH|10833827944945512005</stp>
        <tr r="G17" s="2"/>
      </tp>
      <tp t="s">
        <v>#N/A N/A</v>
        <stp/>
        <stp>BDH|15074999640079219806</stp>
        <tr r="F75" s="2"/>
      </tp>
      <tp t="s">
        <v>#N/A N/A</v>
        <stp/>
        <stp>BDH|15328998734863384567</stp>
        <tr r="K26" s="2"/>
      </tp>
      <tp t="s">
        <v>#N/A N/A</v>
        <stp/>
        <stp>BDH|14503294761718000178</stp>
        <tr r="M17" s="2"/>
      </tp>
      <tp t="s">
        <v>#N/A N/A</v>
        <stp/>
        <stp>BDH|18213205227270687194</stp>
        <tr r="N51" s="2"/>
      </tp>
      <tp t="s">
        <v>#N/A N/A</v>
        <stp/>
        <stp>BDH|11061068053509836471</stp>
        <tr r="I30" s="2"/>
      </tp>
      <tp t="s">
        <v>#N/A N/A</v>
        <stp/>
        <stp>BDH|15739886620021044750</stp>
        <tr r="W92" s="2"/>
      </tp>
      <tp t="s">
        <v>#N/A N/A</v>
        <stp/>
        <stp>BDH|11233090106279686163</stp>
        <tr r="AB96" s="2"/>
      </tp>
      <tp t="s">
        <v>#N/A N/A</v>
        <stp/>
        <stp>BDH|17317932096137387980</stp>
        <tr r="W19" s="2"/>
      </tp>
      <tp t="s">
        <v>#N/A N/A</v>
        <stp/>
        <stp>BDH|10970460793184885091</stp>
        <tr r="U94" s="2"/>
      </tp>
      <tp t="s">
        <v>#N/A N/A</v>
        <stp/>
        <stp>BDH|11594591578142033895</stp>
        <tr r="W93" s="2"/>
      </tp>
      <tp t="s">
        <v>#N/A N/A</v>
        <stp/>
        <stp>BDH|11812223372419713424</stp>
        <tr r="U89" s="2"/>
      </tp>
      <tp t="s">
        <v>#N/A N/A</v>
        <stp/>
        <stp>BDH|11308657879289705055</stp>
        <tr r="O9" s="2"/>
      </tp>
      <tp t="s">
        <v>#N/A N/A</v>
        <stp/>
        <stp>BDH|14144480601851160853</stp>
        <tr r="D88" s="2"/>
      </tp>
      <tp t="s">
        <v>#N/A N/A</v>
        <stp/>
        <stp>BDH|15944609564955700968</stp>
        <tr r="E28" s="2"/>
      </tp>
      <tp t="s">
        <v>#N/A N/A</v>
        <stp/>
        <stp>BDH|15335180841718064158</stp>
        <tr r="O82" s="2"/>
      </tp>
      <tp t="s">
        <v>#N/A N/A</v>
        <stp/>
        <stp>BDH|18204228960267724286</stp>
        <tr r="M48" s="2"/>
      </tp>
      <tp t="s">
        <v>#N/A N/A</v>
        <stp/>
        <stp>BDH|16349223799677038370</stp>
        <tr r="Z45" s="2"/>
      </tp>
      <tp t="s">
        <v>#N/A N/A</v>
        <stp/>
        <stp>BDH|11742817016258647994</stp>
        <tr r="T22" s="2"/>
      </tp>
      <tp t="s">
        <v>#N/A N/A</v>
        <stp/>
        <stp>BDH|16952633097676548672</stp>
        <tr r="X63" s="2"/>
      </tp>
      <tp t="s">
        <v>#N/A N/A</v>
        <stp/>
        <stp>BDH|12156107139918272158</stp>
        <tr r="AA96" s="2"/>
      </tp>
      <tp t="s">
        <v>#N/A N/A</v>
        <stp/>
        <stp>BDH|13910664793335488063</stp>
        <tr r="AC7" s="2"/>
      </tp>
      <tp t="s">
        <v>#N/A N/A</v>
        <stp/>
        <stp>BDH|12067077728261373829</stp>
        <tr r="Y62" s="2"/>
      </tp>
      <tp t="s">
        <v>#N/A N/A</v>
        <stp/>
        <stp>BDH|18171165736356624590</stp>
        <tr r="AC15" s="2"/>
      </tp>
      <tp t="s">
        <v>#N/A N/A</v>
        <stp/>
        <stp>BDH|17847252024758475634</stp>
        <tr r="Q30" s="2"/>
      </tp>
      <tp t="s">
        <v>#N/A N/A</v>
        <stp/>
        <stp>BDH|13779145076194906823</stp>
        <tr r="O27" s="2"/>
      </tp>
      <tp t="s">
        <v>#N/A N/A</v>
        <stp/>
        <stp>BDH|11408810911357856620</stp>
        <tr r="AB27" s="2"/>
      </tp>
      <tp t="s">
        <v>#N/A N/A</v>
        <stp/>
        <stp>BDH|18009932720835239804</stp>
        <tr r="R46" s="2"/>
      </tp>
      <tp t="s">
        <v>#N/A N/A</v>
        <stp/>
        <stp>BDH|13478239132224760839</stp>
        <tr r="AE92" s="2"/>
      </tp>
      <tp t="s">
        <v>#N/A N/A</v>
        <stp/>
        <stp>BDH|15763392217671909810</stp>
        <tr r="E19" s="2"/>
      </tp>
      <tp t="s">
        <v>#N/A N/A</v>
        <stp/>
        <stp>BDH|10163770181694562529</stp>
        <tr r="D9" s="2"/>
      </tp>
      <tp t="s">
        <v>#N/A N/A</v>
        <stp/>
        <stp>BDH|14518298317751386889</stp>
        <tr r="W41" s="2"/>
      </tp>
      <tp t="s">
        <v>#N/A N/A</v>
        <stp/>
        <stp>BDH|18315769951643587718</stp>
        <tr r="R66" s="2"/>
      </tp>
      <tp t="s">
        <v>#N/A N/A</v>
        <stp/>
        <stp>BDH|15030943420962264262</stp>
        <tr r="Z34" s="2"/>
      </tp>
      <tp t="s">
        <v>#N/A N/A</v>
        <stp/>
        <stp>BDH|11669029305977706865</stp>
        <tr r="AA42" s="2"/>
      </tp>
      <tp t="s">
        <v>#N/A N/A</v>
        <stp/>
        <stp>BDH|10357193514289849762</stp>
        <tr r="V27" s="2"/>
      </tp>
      <tp t="s">
        <v>#N/A N/A</v>
        <stp/>
        <stp>BDH|18372821742629345306</stp>
        <tr r="L43" s="2"/>
      </tp>
      <tp t="s">
        <v>#N/A N/A</v>
        <stp/>
        <stp>BDH|10418515692854680614</stp>
        <tr r="V82" s="2"/>
      </tp>
      <tp t="s">
        <v>#N/A N/A</v>
        <stp/>
        <stp>BDH|12518320400618029773</stp>
        <tr r="L75" s="2"/>
      </tp>
      <tp t="s">
        <v>#N/A N/A</v>
        <stp/>
        <stp>BDH|13533893941043674288</stp>
        <tr r="G81" s="2"/>
      </tp>
      <tp t="s">
        <v>#N/A N/A</v>
        <stp/>
        <stp>BDH|18175996069650614949</stp>
        <tr r="U37" s="2"/>
      </tp>
      <tp t="s">
        <v>#N/A N/A</v>
        <stp/>
        <stp>BDH|13625729981676663413</stp>
        <tr r="Y22" s="2"/>
      </tp>
      <tp t="s">
        <v>#N/A N/A</v>
        <stp/>
        <stp>BDH|12823915543643883206</stp>
        <tr r="T70" s="2"/>
      </tp>
      <tp t="s">
        <v>#N/A N/A</v>
        <stp/>
        <stp>BDH|11425047432524056806</stp>
        <tr r="R71" s="2"/>
      </tp>
      <tp t="s">
        <v>#N/A N/A</v>
        <stp/>
        <stp>BDH|13769445905030319976</stp>
        <tr r="F32" s="2"/>
      </tp>
      <tp t="s">
        <v>#N/A N/A</v>
        <stp/>
        <stp>BDH|14319232766869241714</stp>
        <tr r="C95" s="2"/>
      </tp>
      <tp t="s">
        <v>#N/A N/A</v>
        <stp/>
        <stp>BDH|14829932594898982232</stp>
        <tr r="N58" s="2"/>
      </tp>
      <tp t="s">
        <v>#N/A N/A</v>
        <stp/>
        <stp>BDH|14923880529419972944</stp>
        <tr r="V77" s="2"/>
      </tp>
      <tp t="s">
        <v>#N/A N/A</v>
        <stp/>
        <stp>BDH|14530222574408347754</stp>
        <tr r="Y65" s="2"/>
      </tp>
      <tp t="s">
        <v>#N/A N/A</v>
        <stp/>
        <stp>BDH|13341599208550750817</stp>
        <tr r="Q52" s="2"/>
      </tp>
      <tp t="s">
        <v>#N/A N/A</v>
        <stp/>
        <stp>BDH|17630305279074893930</stp>
        <tr r="AB18" s="2"/>
      </tp>
      <tp t="s">
        <v>#N/A N/A</v>
        <stp/>
        <stp>BDH|14829891978737557282</stp>
        <tr r="J17" s="2"/>
      </tp>
      <tp t="s">
        <v>#N/A N/A</v>
        <stp/>
        <stp>BDH|14419591630889083592</stp>
        <tr r="Q97" s="2"/>
      </tp>
      <tp t="s">
        <v>#N/A N/A</v>
        <stp/>
        <stp>BDH|15796960384982474856</stp>
        <tr r="AC76" s="2"/>
      </tp>
      <tp t="s">
        <v>#N/A N/A</v>
        <stp/>
        <stp>BDH|18120847389546865000</stp>
        <tr r="V8" s="2"/>
      </tp>
      <tp t="s">
        <v>#N/A N/A</v>
        <stp/>
        <stp>BDH|14975872078364120130</stp>
        <tr r="I70" s="2"/>
      </tp>
      <tp t="s">
        <v>#N/A N/A</v>
        <stp/>
        <stp>BDH|17721867183260259973</stp>
        <tr r="R10" s="2"/>
      </tp>
      <tp t="s">
        <v>#N/A N/A</v>
        <stp/>
        <stp>BDH|17296950285179106151</stp>
        <tr r="Z14" s="2"/>
      </tp>
      <tp t="s">
        <v>#N/A N/A</v>
        <stp/>
        <stp>BDH|14629816710953560044</stp>
        <tr r="O67" s="2"/>
      </tp>
      <tp t="s">
        <v>#N/A N/A</v>
        <stp/>
        <stp>BDH|18228153783607588871</stp>
        <tr r="E31" s="2"/>
      </tp>
      <tp t="s">
        <v>#N/A N/A</v>
        <stp/>
        <stp>BDH|15047073690291151302</stp>
        <tr r="E22" s="2"/>
      </tp>
      <tp t="s">
        <v>#N/A N/A</v>
        <stp/>
        <stp>BDH|16091515289321760499</stp>
        <tr r="Y82" s="2"/>
      </tp>
      <tp t="s">
        <v>#N/A N/A</v>
        <stp/>
        <stp>BDH|11000083591693666596</stp>
        <tr r="S96" s="2"/>
      </tp>
      <tp t="s">
        <v>#N/A N/A</v>
        <stp/>
        <stp>BDH|17277217833930106883</stp>
        <tr r="AE91" s="2"/>
      </tp>
      <tp t="s">
        <v>#N/A N/A</v>
        <stp/>
        <stp>BDH|14051911097762991865</stp>
        <tr r="Z42" s="2"/>
      </tp>
      <tp t="s">
        <v>#N/A N/A</v>
        <stp/>
        <stp>BDH|16007791084403587413</stp>
        <tr r="Y37" s="2"/>
      </tp>
      <tp t="s">
        <v>#N/A N/A</v>
        <stp/>
        <stp>BDH|10544027622409417585</stp>
        <tr r="W65" s="2"/>
      </tp>
      <tp t="s">
        <v>#N/A N/A</v>
        <stp/>
        <stp>BDH|11955384199745211035</stp>
        <tr r="K54" s="2"/>
      </tp>
      <tp t="s">
        <v>#N/A N/A</v>
        <stp/>
        <stp>BDH|18388432548726248027</stp>
        <tr r="Q49" s="2"/>
      </tp>
      <tp t="s">
        <v>#N/A N/A</v>
        <stp/>
        <stp>BDH|15869275937722780871</stp>
        <tr r="G32" s="2"/>
      </tp>
      <tp t="s">
        <v>#N/A N/A</v>
        <stp/>
        <stp>BDH|17955166805689376111</stp>
        <tr r="H17" s="2"/>
      </tp>
      <tp t="s">
        <v>#N/A N/A</v>
        <stp/>
        <stp>BDH|16821805709616155681</stp>
        <tr r="AF29" s="2"/>
      </tp>
      <tp t="s">
        <v>#N/A N/A</v>
        <stp/>
        <stp>BDH|16039944367750907710</stp>
        <tr r="I18" s="2"/>
      </tp>
      <tp t="s">
        <v>#N/A N/A</v>
        <stp/>
        <stp>BDH|12910937993039652547</stp>
        <tr r="X98" s="2"/>
      </tp>
      <tp t="s">
        <v>#N/A N/A</v>
        <stp/>
        <stp>BDH|13484716788530661211</stp>
        <tr r="K47" s="2"/>
      </tp>
      <tp t="s">
        <v>#N/A N/A</v>
        <stp/>
        <stp>BDH|17978159151695399842</stp>
        <tr r="AD50" s="2"/>
      </tp>
      <tp t="s">
        <v>#N/A N/A</v>
        <stp/>
        <stp>BDH|12005884858267231687</stp>
        <tr r="D57" s="2"/>
      </tp>
      <tp t="s">
        <v>#N/A N/A</v>
        <stp/>
        <stp>BDH|17004369688576042433</stp>
        <tr r="R69" s="2"/>
      </tp>
      <tp t="s">
        <v>#N/A N/A</v>
        <stp/>
        <stp>BDH|14084922358516730006</stp>
        <tr r="V88" s="2"/>
      </tp>
      <tp t="s">
        <v>#N/A N/A</v>
        <stp/>
        <stp>BDH|10632568180475901646</stp>
        <tr r="P94" s="2"/>
      </tp>
      <tp t="s">
        <v>#N/A N/A</v>
        <stp/>
        <stp>BDH|15255461270039135189</stp>
        <tr r="N10" s="2"/>
      </tp>
      <tp t="s">
        <v>#N/A N/A</v>
        <stp/>
        <stp>BDH|13212801206197944209</stp>
        <tr r="N55" s="2"/>
      </tp>
      <tp t="s">
        <v>#N/A N/A</v>
        <stp/>
        <stp>BDH|12719082258578363195</stp>
        <tr r="AC13" s="2"/>
      </tp>
      <tp t="s">
        <v>#N/A N/A</v>
        <stp/>
        <stp>BDH|18406518724083912243</stp>
        <tr r="S81" s="2"/>
      </tp>
      <tp t="s">
        <v>#N/A N/A</v>
        <stp/>
        <stp>BDH|11216700289345297556</stp>
        <tr r="G72" s="2"/>
      </tp>
      <tp t="s">
        <v>#N/A N/A</v>
        <stp/>
        <stp>BDH|17441182210181361809</stp>
        <tr r="AA18" s="2"/>
      </tp>
      <tp t="s">
        <v>#N/A N/A</v>
        <stp/>
        <stp>BDH|10277243627938609692</stp>
        <tr r="E15" s="2"/>
      </tp>
      <tp t="s">
        <v>#N/A N/A</v>
        <stp/>
        <stp>BDH|15973310018838974175</stp>
        <tr r="AA16" s="2"/>
      </tp>
      <tp t="s">
        <v>#N/A N/A</v>
        <stp/>
        <stp>BDH|14710377712349528068</stp>
        <tr r="S72" s="2"/>
      </tp>
      <tp t="s">
        <v>#N/A N/A</v>
        <stp/>
        <stp>BDH|17658274699460135384</stp>
        <tr r="D27" s="2"/>
      </tp>
      <tp t="s">
        <v>#N/A N/A</v>
        <stp/>
        <stp>BDH|14913124488820542260</stp>
        <tr r="Z53" s="2"/>
      </tp>
      <tp t="s">
        <v>#N/A N/A</v>
        <stp/>
        <stp>BDH|11278828405624228272</stp>
        <tr r="AD21" s="2"/>
      </tp>
      <tp t="s">
        <v>#N/A N/A</v>
        <stp/>
        <stp>BDH|14982493333175201912</stp>
        <tr r="X72" s="2"/>
      </tp>
      <tp t="s">
        <v>#N/A N/A</v>
        <stp/>
        <stp>BDH|15429532184701585663</stp>
        <tr r="X73" s="2"/>
      </tp>
      <tp t="s">
        <v>#N/A N/A</v>
        <stp/>
        <stp>BDH|12342959340067200776</stp>
        <tr r="F71" s="2"/>
      </tp>
      <tp t="s">
        <v>#N/A N/A</v>
        <stp/>
        <stp>BDH|13503699838849404039</stp>
        <tr r="AB45" s="2"/>
      </tp>
      <tp t="s">
        <v>#N/A N/A</v>
        <stp/>
        <stp>BDH|10668652389788826914</stp>
        <tr r="I54" s="2"/>
      </tp>
      <tp t="s">
        <v>#N/A N/A</v>
        <stp/>
        <stp>BDH|13243832077370352364</stp>
        <tr r="AA98" s="2"/>
      </tp>
      <tp t="s">
        <v>#N/A N/A</v>
        <stp/>
        <stp>BDH|12378899509127447252</stp>
        <tr r="S34" s="2"/>
      </tp>
      <tp t="s">
        <v>#N/A N/A</v>
        <stp/>
        <stp>BDH|18124824611086033804</stp>
        <tr r="Z59" s="2"/>
      </tp>
      <tp t="s">
        <v>#N/A N/A</v>
        <stp/>
        <stp>BDH|15320757276622079822</stp>
        <tr r="AF57" s="2"/>
      </tp>
      <tp t="s">
        <v>#N/A N/A</v>
        <stp/>
        <stp>BDH|13843937402385897044</stp>
        <tr r="AD34" s="2"/>
      </tp>
      <tp t="s">
        <v>#N/A N/A</v>
        <stp/>
        <stp>BDH|11556829416142791534</stp>
        <tr r="V33" s="2"/>
      </tp>
      <tp t="s">
        <v>#N/A N/A</v>
        <stp/>
        <stp>BDH|14522944070507794221</stp>
        <tr r="Q91" s="2"/>
      </tp>
      <tp t="s">
        <v>#N/A N/A</v>
        <stp/>
        <stp>BDH|14934495895664329229</stp>
        <tr r="AB75" s="2"/>
      </tp>
      <tp t="s">
        <v>#N/A N/A</v>
        <stp/>
        <stp>BDH|15386818280808544234</stp>
        <tr r="P51" s="2"/>
      </tp>
      <tp t="s">
        <v>#N/A N/A</v>
        <stp/>
        <stp>BDH|13274335288140866757</stp>
        <tr r="H95" s="2"/>
      </tp>
      <tp t="s">
        <v>#N/A N/A</v>
        <stp/>
        <stp>BDH|16745996350280254585</stp>
        <tr r="V59" s="2"/>
      </tp>
      <tp t="s">
        <v>#N/A N/A</v>
        <stp/>
        <stp>BDH|10231122657558227316</stp>
        <tr r="Y11" s="2"/>
      </tp>
      <tp t="s">
        <v>#N/A N/A</v>
        <stp/>
        <stp>BDH|15195048358659127682</stp>
        <tr r="L35" s="2"/>
      </tp>
      <tp t="s">
        <v>#N/A N/A</v>
        <stp/>
        <stp>BDH|17769399895930741284</stp>
        <tr r="L20" s="2"/>
      </tp>
      <tp t="s">
        <v>#N/A N/A</v>
        <stp/>
        <stp>BDH|18119589539730382172</stp>
        <tr r="AD80" s="2"/>
      </tp>
      <tp t="s">
        <v>#N/A N/A</v>
        <stp/>
        <stp>BDH|16520830704848557905</stp>
        <tr r="I52" s="2"/>
      </tp>
      <tp t="s">
        <v>#N/A N/A</v>
        <stp/>
        <stp>BDH|17183866253073611641</stp>
        <tr r="Q18" s="2"/>
      </tp>
      <tp t="s">
        <v>#N/A N/A</v>
        <stp/>
        <stp>BDH|15021265992941362014</stp>
        <tr r="Q28" s="2"/>
      </tp>
      <tp t="s">
        <v>#N/A N/A</v>
        <stp/>
        <stp>BDH|15079476834208248575</stp>
        <tr r="U97" s="2"/>
      </tp>
      <tp t="s">
        <v>#N/A N/A</v>
        <stp/>
        <stp>BDH|15509498662061893901</stp>
        <tr r="D60" s="2"/>
      </tp>
      <tp t="s">
        <v>#N/A N/A</v>
        <stp/>
        <stp>BDH|10856608063406437960</stp>
        <tr r="I73" s="2"/>
      </tp>
      <tp t="s">
        <v>#N/A N/A</v>
        <stp/>
        <stp>BDH|10113956922893845774</stp>
        <tr r="H71" s="2"/>
      </tp>
      <tp t="s">
        <v>#N/A N/A</v>
        <stp/>
        <stp>BDH|11063090059718856318</stp>
        <tr r="H89" s="2"/>
      </tp>
      <tp t="s">
        <v>#N/A N/A</v>
        <stp/>
        <stp>BDH|13236631594793937054</stp>
        <tr r="Z10" s="2"/>
      </tp>
      <tp t="s">
        <v>#N/A N/A</v>
        <stp/>
        <stp>BDH|11413122054319859335</stp>
        <tr r="V43" s="2"/>
      </tp>
      <tp t="s">
        <v>#N/A N/A</v>
        <stp/>
        <stp>BDH|13624891240453607300</stp>
        <tr r="I31" s="2"/>
      </tp>
      <tp t="s">
        <v>#N/A N/A</v>
        <stp/>
        <stp>BDH|14531499185097723061</stp>
        <tr r="AA99" s="2"/>
      </tp>
      <tp t="s">
        <v>#N/A N/A</v>
        <stp/>
        <stp>BDH|13660372381583977415</stp>
        <tr r="AC12" s="2"/>
      </tp>
      <tp t="s">
        <v>#N/A N/A</v>
        <stp/>
        <stp>BDH|14316722678412550941</stp>
        <tr r="L99" s="2"/>
      </tp>
      <tp t="s">
        <v>#N/A N/A</v>
        <stp/>
        <stp>BDH|12244890432664567246</stp>
        <tr r="W7" s="2"/>
      </tp>
      <tp t="s">
        <v>#N/A N/A</v>
        <stp/>
        <stp>BDH|17838491100344342899</stp>
        <tr r="Y14" s="2"/>
      </tp>
      <tp t="s">
        <v>#N/A N/A</v>
        <stp/>
        <stp>BDH|17644000990275432490</stp>
        <tr r="S37" s="2"/>
      </tp>
      <tp t="s">
        <v>#N/A N/A</v>
        <stp/>
        <stp>BDH|16972629845598700330</stp>
        <tr r="Z19" s="2"/>
      </tp>
      <tp t="s">
        <v>#N/A N/A</v>
        <stp/>
        <stp>BDH|13146433828299282327</stp>
        <tr r="Y20" s="2"/>
      </tp>
      <tp t="s">
        <v>#N/A N/A</v>
        <stp/>
        <stp>BDH|16984486312368085496</stp>
        <tr r="S42" s="2"/>
      </tp>
      <tp t="s">
        <v>#N/A N/A</v>
        <stp/>
        <stp>BDH|12497004492744983050</stp>
        <tr r="N63" s="2"/>
      </tp>
      <tp t="s">
        <v>#N/A N/A</v>
        <stp/>
        <stp>BDH|10171635219160268834</stp>
        <tr r="AC87" s="2"/>
      </tp>
      <tp t="s">
        <v>#N/A N/A</v>
        <stp/>
        <stp>BDH|12864814137382121432</stp>
        <tr r="F49" s="2"/>
      </tp>
      <tp t="s">
        <v>#N/A N/A</v>
        <stp/>
        <stp>BDH|18115761577507931057</stp>
        <tr r="X26" s="2"/>
      </tp>
      <tp t="s">
        <v>#N/A N/A</v>
        <stp/>
        <stp>BDH|17380411482100408488</stp>
        <tr r="AE19" s="2"/>
      </tp>
      <tp t="s">
        <v>#N/A N/A</v>
        <stp/>
        <stp>BDH|15460530929805400869</stp>
        <tr r="U13" s="2"/>
      </tp>
      <tp t="s">
        <v>#N/A N/A</v>
        <stp/>
        <stp>BDH|14330959046651796788</stp>
        <tr r="V44" s="2"/>
      </tp>
      <tp t="s">
        <v>#N/A N/A</v>
        <stp/>
        <stp>BDH|11368011244723959907</stp>
        <tr r="I97" s="2"/>
      </tp>
      <tp t="s">
        <v>#N/A N/A</v>
        <stp/>
        <stp>BDH|15661203301161130996</stp>
        <tr r="O62" s="2"/>
      </tp>
      <tp t="s">
        <v>#N/A N/A</v>
        <stp/>
        <stp>BDH|15406388097962718230</stp>
        <tr r="L33" s="2"/>
      </tp>
      <tp t="s">
        <v>#N/A N/A</v>
        <stp/>
        <stp>BDH|10768707542404288898</stp>
        <tr r="P81" s="2"/>
      </tp>
      <tp t="s">
        <v>#N/A N/A</v>
        <stp/>
        <stp>BDH|13766060180713335439</stp>
        <tr r="P13" s="2"/>
      </tp>
      <tp t="s">
        <v>#N/A N/A</v>
        <stp/>
        <stp>BDH|12912559188906067559</stp>
        <tr r="AE57" s="2"/>
      </tp>
      <tp t="s">
        <v>#N/A N/A</v>
        <stp/>
        <stp>BDH|15703478246690421931</stp>
        <tr r="I22" s="2"/>
      </tp>
      <tp t="s">
        <v>#N/A N/A</v>
        <stp/>
        <stp>BDH|10447107337999481763</stp>
        <tr r="G25" s="2"/>
      </tp>
      <tp t="s">
        <v>#N/A N/A</v>
        <stp/>
        <stp>BDH|13659956260311264111</stp>
        <tr r="O52" s="2"/>
      </tp>
      <tp t="s">
        <v>#N/A N/A</v>
        <stp/>
        <stp>BDH|12894787704078642113</stp>
        <tr r="R43" s="2"/>
      </tp>
      <tp t="s">
        <v>#N/A N/A</v>
        <stp/>
        <stp>BDH|18436493839512701109</stp>
        <tr r="E51" s="2"/>
      </tp>
      <tp t="s">
        <v>#N/A N/A</v>
        <stp/>
        <stp>BDH|14668930029882784184</stp>
        <tr r="V45" s="2"/>
      </tp>
      <tp t="s">
        <v>#N/A N/A</v>
        <stp/>
        <stp>BDH|15283044993644695404</stp>
        <tr r="G73" s="2"/>
      </tp>
      <tp t="s">
        <v>#N/A N/A</v>
        <stp/>
        <stp>BDH|15233530995626434333</stp>
        <tr r="E67" s="2"/>
      </tp>
      <tp t="s">
        <v>#N/A N/A</v>
        <stp/>
        <stp>BDH|14687934636780954285</stp>
        <tr r="D18" s="2"/>
      </tp>
      <tp t="s">
        <v>#N/A N/A</v>
        <stp/>
        <stp>BDH|13417343563232920888</stp>
        <tr r="F97" s="2"/>
      </tp>
      <tp t="s">
        <v>#N/A N/A</v>
        <stp/>
        <stp>BDH|10903081422859055711</stp>
        <tr r="M31" s="2"/>
      </tp>
      <tp t="s">
        <v>#N/A N/A</v>
        <stp/>
        <stp>BDH|10876308975001963965</stp>
        <tr r="H81" s="2"/>
      </tp>
      <tp t="s">
        <v>#N/A N/A</v>
        <stp/>
        <stp>BDH|14294138412800551848</stp>
        <tr r="J7" s="2"/>
      </tp>
      <tp t="s">
        <v>#N/A N/A</v>
        <stp/>
        <stp>BDH|16488653150710464902</stp>
        <tr r="AB31" s="2"/>
      </tp>
      <tp t="s">
        <v>#N/A N/A</v>
        <stp/>
        <stp>BDH|10220551503648516147</stp>
        <tr r="E7" s="2"/>
      </tp>
      <tp t="s">
        <v>#N/A N/A</v>
        <stp/>
        <stp>BDH|14357583202348943550</stp>
        <tr r="U14" s="2"/>
      </tp>
      <tp t="s">
        <v>#N/A N/A</v>
        <stp/>
        <stp>BDH|13780311868933848931</stp>
        <tr r="F79" s="2"/>
      </tp>
      <tp t="s">
        <v>#N/A N/A</v>
        <stp/>
        <stp>BDH|15656273181156284561</stp>
        <tr r="M20" s="2"/>
      </tp>
      <tp t="s">
        <v>#N/A N/A</v>
        <stp/>
        <stp>BDH|10339354110016390812</stp>
        <tr r="AF53" s="2"/>
      </tp>
      <tp t="s">
        <v>#N/A N/A</v>
        <stp/>
        <stp>BDH|10114810034033461444</stp>
        <tr r="AF92" s="2"/>
      </tp>
      <tp t="s">
        <v>#N/A N/A</v>
        <stp/>
        <stp>BDH|16249029444838600667</stp>
        <tr r="F89" s="2"/>
      </tp>
      <tp t="s">
        <v>#N/A N/A</v>
        <stp/>
        <stp>BDH|11140484150515814956</stp>
        <tr r="AF98" s="2"/>
      </tp>
      <tp t="s">
        <v>#N/A N/A</v>
        <stp/>
        <stp>BDH|10805288973929512027</stp>
        <tr r="AA12" s="2"/>
      </tp>
      <tp t="s">
        <v>#N/A N/A</v>
        <stp/>
        <stp>BDH|14329729096830625654</stp>
        <tr r="D15" s="2"/>
      </tp>
      <tp t="s">
        <v>#N/A N/A</v>
        <stp/>
        <stp>BDH|14782617440019610371</stp>
        <tr r="AD35" s="2"/>
      </tp>
      <tp t="s">
        <v>#N/A N/A</v>
        <stp/>
        <stp>BDH|12132021385440535646</stp>
        <tr r="AF43" s="2"/>
      </tp>
      <tp t="s">
        <v>#N/A N/A</v>
        <stp/>
        <stp>BDH|11353470491716733651</stp>
        <tr r="V89" s="2"/>
      </tp>
      <tp t="s">
        <v>#N/A N/A</v>
        <stp/>
        <stp>BDH|16234876044742548433</stp>
        <tr r="M65" s="2"/>
      </tp>
      <tp t="s">
        <v>#N/A N/A</v>
        <stp/>
        <stp>BDH|14045569627566736900</stp>
        <tr r="X31" s="2"/>
      </tp>
      <tp t="s">
        <v>#N/A N/A</v>
        <stp/>
        <stp>BDH|16388901338056918642</stp>
        <tr r="AA72" s="2"/>
      </tp>
      <tp t="s">
        <v>#N/A N/A</v>
        <stp/>
        <stp>BDH|14109674824978092449</stp>
        <tr r="AF96" s="2"/>
      </tp>
      <tp t="s">
        <v>#N/A N/A</v>
        <stp/>
        <stp>BDH|12841391885290793553</stp>
        <tr r="E24" s="2"/>
      </tp>
      <tp t="s">
        <v>#N/A N/A</v>
        <stp/>
        <stp>BDH|12664904403734411379</stp>
        <tr r="D70" s="2"/>
      </tp>
      <tp t="s">
        <v>#N/A N/A</v>
        <stp/>
        <stp>BDH|11528143063622466802</stp>
        <tr r="J10" s="2"/>
      </tp>
      <tp t="s">
        <v>#N/A N/A</v>
        <stp/>
        <stp>BDH|17891511619848165777</stp>
        <tr r="R48" s="2"/>
      </tp>
      <tp t="s">
        <v>#N/A N/A</v>
        <stp/>
        <stp>BDH|12659487034109969052</stp>
        <tr r="G66" s="2"/>
      </tp>
      <tp t="s">
        <v>#N/A N/A</v>
        <stp/>
        <stp>BDH|17346338278927812899</stp>
        <tr r="AD18" s="2"/>
      </tp>
      <tp t="s">
        <v>#N/A N/A</v>
        <stp/>
        <stp>BDH|18098324730945227195</stp>
        <tr r="K92" s="2"/>
      </tp>
      <tp t="s">
        <v>#N/A N/A</v>
        <stp/>
        <stp>BDH|13843425511793271918</stp>
        <tr r="S99" s="2"/>
      </tp>
      <tp t="s">
        <v>#N/A N/A</v>
        <stp/>
        <stp>BDH|13093497015702657822</stp>
        <tr r="C61" s="2"/>
      </tp>
      <tp t="s">
        <v>#N/A N/A</v>
        <stp/>
        <stp>BDH|15393898478951898723</stp>
        <tr r="AF47" s="2"/>
      </tp>
      <tp t="s">
        <v>#N/A N/A</v>
        <stp/>
        <stp>BDH|11155267142582876951</stp>
        <tr r="M32" s="2"/>
      </tp>
      <tp t="s">
        <v>#N/A N/A</v>
        <stp/>
        <stp>BDH|16076699785653504719</stp>
        <tr r="F80" s="2"/>
      </tp>
      <tp t="s">
        <v>#N/A N/A</v>
        <stp/>
        <stp>BDH|12723643049645409967</stp>
        <tr r="Y28" s="2"/>
      </tp>
      <tp t="s">
        <v>#N/A N/A</v>
        <stp/>
        <stp>BDH|12424684573047087879</stp>
        <tr r="AB68" s="2"/>
      </tp>
      <tp t="s">
        <v>#N/A N/A</v>
        <stp/>
        <stp>BDH|14770861035087835441</stp>
        <tr r="AC89" s="2"/>
      </tp>
      <tp t="s">
        <v>#N/A N/A</v>
        <stp/>
        <stp>BDH|14908005171867807889</stp>
        <tr r="V32" s="2"/>
      </tp>
      <tp t="s">
        <v>#N/A N/A</v>
        <stp/>
        <stp>BDH|12486255203625988902</stp>
        <tr r="L40" s="2"/>
      </tp>
      <tp t="s">
        <v>#N/A N/A</v>
        <stp/>
        <stp>BDH|13070075291222898459</stp>
        <tr r="E56" s="2"/>
      </tp>
      <tp t="s">
        <v>#N/A N/A</v>
        <stp/>
        <stp>BDH|10083104896580515488</stp>
        <tr r="X95" s="2"/>
      </tp>
      <tp t="s">
        <v>#N/A N/A</v>
        <stp/>
        <stp>BDH|17144638686064982164</stp>
        <tr r="W33" s="2"/>
      </tp>
      <tp t="s">
        <v>#N/A N/A</v>
        <stp/>
        <stp>BDH|16977039116068752313</stp>
        <tr r="AB80" s="2"/>
      </tp>
      <tp t="s">
        <v>#N/A N/A</v>
        <stp/>
        <stp>BDH|15392468048538300145</stp>
        <tr r="AC34" s="2"/>
      </tp>
      <tp t="s">
        <v>#N/A N/A</v>
        <stp/>
        <stp>BDH|12632875111837427094</stp>
        <tr r="S56" s="2"/>
      </tp>
      <tp t="s">
        <v>#N/A N/A</v>
        <stp/>
        <stp>BDH|12350731256108835435</stp>
        <tr r="P76" s="2"/>
      </tp>
      <tp t="s">
        <v>#N/A N/A</v>
        <stp/>
        <stp>BDH|15718926976203879465</stp>
        <tr r="H93" s="2"/>
      </tp>
      <tp t="s">
        <v>#N/A N/A</v>
        <stp/>
        <stp>BDH|11063823240147993669</stp>
        <tr r="L67" s="2"/>
      </tp>
      <tp t="s">
        <v>#N/A N/A</v>
        <stp/>
        <stp>BDH|17944912445655404344</stp>
        <tr r="Y92" s="2"/>
      </tp>
      <tp t="s">
        <v>#N/A N/A</v>
        <stp/>
        <stp>BDH|13038785701508014054</stp>
        <tr r="AB13" s="2"/>
      </tp>
      <tp t="s">
        <v>#N/A N/A</v>
        <stp/>
        <stp>BDH|14671178985314821537</stp>
        <tr r="M29" s="2"/>
      </tp>
      <tp t="s">
        <v>#N/A N/A</v>
        <stp/>
        <stp>BDH|12775363817525084997</stp>
        <tr r="P41" s="2"/>
      </tp>
      <tp t="s">
        <v>#N/A N/A</v>
        <stp/>
        <stp>BDH|14931570297866032265</stp>
        <tr r="G41" s="2"/>
      </tp>
      <tp t="s">
        <v>#N/A N/A</v>
        <stp/>
        <stp>BDH|13847779993440148128</stp>
        <tr r="C96" s="2"/>
      </tp>
      <tp t="s">
        <v>#N/A N/A</v>
        <stp/>
        <stp>BDH|14096254285466774491</stp>
        <tr r="AC75" s="2"/>
      </tp>
      <tp t="s">
        <v>#N/A N/A</v>
        <stp/>
        <stp>BDH|15319609334944146886</stp>
        <tr r="J23" s="2"/>
      </tp>
      <tp t="s">
        <v>#N/A N/A</v>
        <stp/>
        <stp>BDH|14773169394700615121</stp>
        <tr r="AB29" s="2"/>
      </tp>
      <tp t="s">
        <v>#N/A N/A</v>
        <stp/>
        <stp>BDH|17025223692695638470</stp>
        <tr r="T15" s="2"/>
      </tp>
      <tp t="s">
        <v>#N/A N/A</v>
        <stp/>
        <stp>BDH|12753056300089337619</stp>
        <tr r="AC23" s="2"/>
      </tp>
      <tp t="s">
        <v>#N/A N/A</v>
        <stp/>
        <stp>BDH|13227393991934830028</stp>
        <tr r="V16" s="2"/>
      </tp>
      <tp t="s">
        <v>#N/A N/A</v>
        <stp/>
        <stp>BDH|12300010684013009458</stp>
        <tr r="G47" s="2"/>
      </tp>
      <tp t="s">
        <v>#N/A N/A</v>
        <stp/>
        <stp>BDH|12095824113746423066</stp>
        <tr r="AC8" s="2"/>
      </tp>
      <tp t="s">
        <v>#N/A N/A</v>
        <stp/>
        <stp>BDH|15124878942961532522</stp>
        <tr r="I11" s="2"/>
      </tp>
      <tp t="s">
        <v>#N/A N/A</v>
        <stp/>
        <stp>BDH|17842463090187863052</stp>
        <tr r="Z56" s="2"/>
      </tp>
      <tp t="s">
        <v>#N/A N/A</v>
        <stp/>
        <stp>BDH|15793425093366077359</stp>
        <tr r="S65" s="2"/>
      </tp>
      <tp t="s">
        <v>#N/A N/A</v>
        <stp/>
        <stp>BDH|17361630204448277453</stp>
        <tr r="AC30" s="2"/>
      </tp>
      <tp t="s">
        <v>#N/A N/A</v>
        <stp/>
        <stp>BDH|10549441004880119978</stp>
        <tr r="N93" s="2"/>
      </tp>
      <tp t="s">
        <v>#N/A N/A</v>
        <stp/>
        <stp>BDH|13313822830240756547</stp>
        <tr r="T61" s="2"/>
      </tp>
      <tp t="s">
        <v>#N/A N/A</v>
        <stp/>
        <stp>BDH|11720063124616001874</stp>
        <tr r="Z61" s="2"/>
      </tp>
      <tp t="s">
        <v>#N/A N/A</v>
        <stp/>
        <stp>BDH|10074817072793717164</stp>
        <tr r="P19" s="2"/>
      </tp>
      <tp t="s">
        <v>#N/A N/A</v>
        <stp/>
        <stp>BDH|10598559381961118128</stp>
        <tr r="D13" s="2"/>
      </tp>
      <tp t="s">
        <v>#N/A N/A</v>
        <stp/>
        <stp>BDH|16554927630765342418</stp>
        <tr r="P47" s="2"/>
      </tp>
      <tp t="s">
        <v>#N/A N/A</v>
        <stp/>
        <stp>BDH|18350702692698587311</stp>
        <tr r="I33" s="2"/>
      </tp>
      <tp t="s">
        <v>#N/A N/A</v>
        <stp/>
        <stp>BDH|12103935070135582422</stp>
        <tr r="M15" s="2"/>
      </tp>
      <tp t="s">
        <v>#N/A N/A</v>
        <stp/>
        <stp>BDH|10772155457811157812</stp>
        <tr r="T72" s="2"/>
      </tp>
      <tp t="s">
        <v>#N/A N/A</v>
        <stp/>
        <stp>BDH|16830429018956744805</stp>
        <tr r="V10" s="2"/>
      </tp>
      <tp t="s">
        <v>#N/A N/A</v>
        <stp/>
        <stp>BDH|11637962685168049504</stp>
        <tr r="N64" s="2"/>
      </tp>
      <tp t="s">
        <v>#N/A N/A</v>
        <stp/>
        <stp>BDH|10242238725044292933</stp>
        <tr r="J99" s="2"/>
      </tp>
      <tp t="s">
        <v>#N/A N/A</v>
        <stp/>
        <stp>BDH|15128069732673272835</stp>
        <tr r="AB17" s="2"/>
      </tp>
      <tp t="s">
        <v>#N/A N/A</v>
        <stp/>
        <stp>BDH|10046758746489432739</stp>
        <tr r="I7" s="2"/>
      </tp>
      <tp t="s">
        <v>#N/A N/A</v>
        <stp/>
        <stp>BDH|17804868548325473369</stp>
        <tr r="I98" s="2"/>
      </tp>
      <tp t="s">
        <v>#N/A N/A</v>
        <stp/>
        <stp>BDH|14888190858924945941</stp>
        <tr r="H40" s="2"/>
      </tp>
      <tp t="s">
        <v>#N/A N/A</v>
        <stp/>
        <stp>BDH|10989685727771326821</stp>
        <tr r="U47" s="2"/>
      </tp>
      <tp t="s">
        <v>#N/A N/A</v>
        <stp/>
        <stp>BDH|17680935111153793140</stp>
        <tr r="X96" s="2"/>
      </tp>
      <tp t="s">
        <v>#N/A N/A</v>
        <stp/>
        <stp>BDH|10136667184962509107</stp>
        <tr r="V65" s="2"/>
      </tp>
      <tp t="s">
        <v>#N/A N/A</v>
        <stp/>
        <stp>BDH|10750913351037197605</stp>
        <tr r="R55" s="2"/>
      </tp>
      <tp t="s">
        <v>#N/A N/A</v>
        <stp/>
        <stp>BDH|10634136665249679308</stp>
        <tr r="M23" s="2"/>
      </tp>
      <tp t="s">
        <v>#N/A N/A</v>
        <stp/>
        <stp>BDH|15149225493562087163</stp>
        <tr r="AE9" s="2"/>
      </tp>
      <tp t="s">
        <v>#N/A N/A</v>
        <stp/>
        <stp>BDH|12364476613018623271</stp>
        <tr r="X70" s="2"/>
      </tp>
      <tp t="s">
        <v>#N/A N/A</v>
        <stp/>
        <stp>BDH|17152525676869380100</stp>
        <tr r="P90" s="2"/>
      </tp>
      <tp t="s">
        <v>#N/A N/A</v>
        <stp/>
        <stp>BDH|12271547099436863515</stp>
        <tr r="S62" s="2"/>
      </tp>
      <tp t="s">
        <v>#N/A N/A</v>
        <stp/>
        <stp>BDH|12836896326625964083</stp>
        <tr r="AB22" s="2"/>
      </tp>
      <tp t="s">
        <v>#N/A N/A</v>
        <stp/>
        <stp>BDH|11077409822498256296</stp>
        <tr r="W16" s="2"/>
      </tp>
      <tp t="s">
        <v>#N/A N/A</v>
        <stp/>
        <stp>BDH|10818969477730058307</stp>
        <tr r="X88" s="2"/>
      </tp>
      <tp t="s">
        <v>#N/A N/A</v>
        <stp/>
        <stp>BDH|16095975200022825069</stp>
        <tr r="G14" s="2"/>
      </tp>
      <tp t="s">
        <v>#N/A N/A</v>
        <stp/>
        <stp>BDH|15591186240689687424</stp>
        <tr r="Q20" s="2"/>
      </tp>
      <tp t="s">
        <v>#N/A N/A</v>
        <stp/>
        <stp>BDH|11058822452710839108</stp>
        <tr r="R90" s="2"/>
      </tp>
      <tp t="s">
        <v>#N/A N/A</v>
        <stp/>
        <stp>BDH|11736286996182299532</stp>
        <tr r="O42" s="2"/>
      </tp>
      <tp t="s">
        <v>#N/A N/A</v>
        <stp/>
        <stp>BDH|12601478452798340687</stp>
        <tr r="R15" s="2"/>
      </tp>
      <tp t="s">
        <v>#N/A N/A</v>
        <stp/>
        <stp>BDH|16990926758144274399</stp>
        <tr r="T33" s="2"/>
      </tp>
      <tp t="s">
        <v>#N/A N/A</v>
        <stp/>
        <stp>BDH|15214936365812948565</stp>
        <tr r="AB37" s="2"/>
      </tp>
      <tp t="s">
        <v>#N/A N/A</v>
        <stp/>
        <stp>BDH|15419645049969349317</stp>
        <tr r="G43" s="2"/>
      </tp>
      <tp t="s">
        <v>#N/A N/A</v>
        <stp/>
        <stp>BDH|13942730043455247808</stp>
        <tr r="P16" s="2"/>
      </tp>
      <tp t="s">
        <v>#N/A N/A</v>
        <stp/>
        <stp>BDH|11019313851079344383</stp>
        <tr r="T81" s="2"/>
      </tp>
      <tp t="s">
        <v>#N/A N/A</v>
        <stp/>
        <stp>BDH|17285858646125829338</stp>
        <tr r="AE40" s="2"/>
      </tp>
      <tp t="s">
        <v>#N/A N/A</v>
        <stp/>
        <stp>BDH|12435859626103866650</stp>
        <tr r="H72" s="2"/>
      </tp>
      <tp t="s">
        <v>#N/A N/A</v>
        <stp/>
        <stp>BDH|17041299690161307001</stp>
        <tr r="K58" s="2"/>
      </tp>
      <tp t="s">
        <v>#N/A N/A</v>
        <stp/>
        <stp>BDH|15339596403734162926</stp>
        <tr r="F8" s="2"/>
      </tp>
      <tp t="s">
        <v>#N/A N/A</v>
        <stp/>
        <stp>BDH|16215584768900886800</stp>
        <tr r="AD33" s="2"/>
      </tp>
      <tp t="s">
        <v>#N/A N/A</v>
        <stp/>
        <stp>BDH|10872902607903156733</stp>
        <tr r="C82" s="2"/>
      </tp>
      <tp t="s">
        <v>#N/A N/A</v>
        <stp/>
        <stp>BDH|16896418387375247217</stp>
        <tr r="E9" s="2"/>
      </tp>
      <tp t="s">
        <v>#N/A N/A</v>
        <stp/>
        <stp>BDH|12461707804311849950</stp>
        <tr r="Q14" s="2"/>
      </tp>
      <tp t="s">
        <v>#N/A N/A</v>
        <stp/>
        <stp>BDH|16690694614834150864</stp>
        <tr r="AE63" s="2"/>
      </tp>
      <tp t="s">
        <v>#N/A N/A</v>
        <stp/>
        <stp>BDH|13571198487851565618</stp>
        <tr r="E91" s="2"/>
      </tp>
      <tp t="s">
        <v>#N/A N/A</v>
        <stp/>
        <stp>BDH|12868996625817208391</stp>
        <tr r="AC54" s="2"/>
      </tp>
      <tp t="s">
        <v>#N/A N/A</v>
        <stp/>
        <stp>BDH|18227320747205191794</stp>
        <tr r="S47" s="2"/>
      </tp>
      <tp t="s">
        <v>#N/A N/A</v>
        <stp/>
        <stp>BDH|18151519549136512238</stp>
        <tr r="G45" s="2"/>
      </tp>
      <tp t="s">
        <v>#N/A N/A</v>
        <stp/>
        <stp>BDH|17293206583607672791</stp>
        <tr r="M41" s="2"/>
      </tp>
      <tp t="s">
        <v>#N/A N/A</v>
        <stp/>
        <stp>BDH|10617889643617039633</stp>
        <tr r="O78" s="2"/>
      </tp>
      <tp t="s">
        <v>#N/A N/A</v>
        <stp/>
        <stp>BDH|17827089283741973346</stp>
        <tr r="Z86" s="2"/>
      </tp>
      <tp t="s">
        <v>#N/A N/A</v>
        <stp/>
        <stp>BDH|12813901007070140608</stp>
        <tr r="H53" s="2"/>
      </tp>
      <tp t="s">
        <v>#N/A N/A</v>
        <stp/>
        <stp>BDH|17022815859251603606</stp>
        <tr r="S61" s="2"/>
      </tp>
      <tp t="s">
        <v>#N/A N/A</v>
        <stp/>
        <stp>BDH|15210210496316351584</stp>
        <tr r="AB19" s="2"/>
      </tp>
      <tp t="s">
        <v>#N/A N/A</v>
        <stp/>
        <stp>BDH|11558766821218812143</stp>
        <tr r="S63" s="2"/>
      </tp>
      <tp t="s">
        <v>#N/A N/A</v>
        <stp/>
        <stp>BDH|17611299490095452458</stp>
        <tr r="K40" s="2"/>
      </tp>
      <tp t="s">
        <v>#N/A N/A</v>
        <stp/>
        <stp>BDH|16769118632134254273</stp>
        <tr r="AE59" s="2"/>
      </tp>
      <tp t="s">
        <v>#N/A N/A</v>
        <stp/>
        <stp>BDH|16619906062812113942</stp>
        <tr r="P53" s="2"/>
      </tp>
      <tp t="s">
        <v>#N/A N/A</v>
        <stp/>
        <stp>BDH|10069563311747342151</stp>
        <tr r="Q87" s="2"/>
      </tp>
      <tp t="s">
        <v>#N/A N/A</v>
        <stp/>
        <stp>BDH|14654405407816154418</stp>
        <tr r="K75" s="2"/>
      </tp>
      <tp t="s">
        <v>#N/A N/A</v>
        <stp/>
        <stp>BDH|18245755696860284438</stp>
        <tr r="J70" s="2"/>
      </tp>
      <tp t="s">
        <v>#N/A N/A</v>
        <stp/>
        <stp>BDH|11645567824352497607</stp>
        <tr r="AA59" s="2"/>
      </tp>
      <tp t="s">
        <v>#N/A N/A</v>
        <stp/>
        <stp>BDH|10125305413859266908</stp>
        <tr r="W66" s="2"/>
      </tp>
      <tp t="s">
        <v>#N/A N/A</v>
        <stp/>
        <stp>BDH|12227511413623935796</stp>
        <tr r="K9" s="2"/>
      </tp>
      <tp t="s">
        <v>#N/A N/A</v>
        <stp/>
        <stp>BDH|12763167796098329044</stp>
        <tr r="E40" s="2"/>
      </tp>
      <tp t="s">
        <v>#N/A N/A</v>
        <stp/>
        <stp>BDH|17698866083177320237</stp>
        <tr r="AC71" s="2"/>
      </tp>
      <tp t="s">
        <v>#N/A N/A</v>
        <stp/>
        <stp>BDH|12801394670542521670</stp>
        <tr r="T95" s="2"/>
      </tp>
      <tp t="s">
        <v>#N/A N/A</v>
        <stp/>
        <stp>BDH|17778065705027061273</stp>
        <tr r="U77" s="2"/>
      </tp>
      <tp t="s">
        <v>#N/A N/A</v>
        <stp/>
        <stp>BDH|12510703344523790059</stp>
        <tr r="AB60" s="2"/>
      </tp>
      <tp t="s">
        <v>#N/A N/A</v>
        <stp/>
        <stp>BDH|11610670151113411377</stp>
        <tr r="S40" s="2"/>
      </tp>
      <tp t="s">
        <v>#N/A N/A</v>
        <stp/>
        <stp>BDH|15595424750617081145</stp>
        <tr r="F46" s="2"/>
      </tp>
      <tp t="s">
        <v>#N/A N/A</v>
        <stp/>
        <stp>BDH|10878099731223700248</stp>
        <tr r="W62" s="2"/>
      </tp>
      <tp t="s">
        <v>#N/A N/A</v>
        <stp/>
        <stp>BDH|11757741986778589421</stp>
        <tr r="V78" s="2"/>
      </tp>
      <tp t="s">
        <v>#N/A N/A</v>
        <stp/>
        <stp>BDH|16128035634814249365</stp>
        <tr r="W40" s="2"/>
      </tp>
      <tp t="s">
        <v>#N/A N/A</v>
        <stp/>
        <stp>BDH|18319422504899417737</stp>
        <tr r="K62" s="2"/>
      </tp>
      <tp t="s">
        <v>#N/A N/A</v>
        <stp/>
        <stp>BDH|13121390964870803466</stp>
        <tr r="AA75" s="2"/>
      </tp>
      <tp t="s">
        <v>#N/A N/A</v>
        <stp/>
        <stp>BDH|14011861968318894049</stp>
        <tr r="I28" s="2"/>
      </tp>
      <tp t="s">
        <v>#N/A N/A</v>
        <stp/>
        <stp>BDH|10611604344697037702</stp>
        <tr r="M69" s="2"/>
      </tp>
      <tp t="s">
        <v>#N/A N/A</v>
        <stp/>
        <stp>BDH|14143734409213730296</stp>
        <tr r="AF48" s="2"/>
      </tp>
      <tp t="s">
        <v>#N/A N/A</v>
        <stp/>
        <stp>BDH|10330064552034013336</stp>
        <tr r="O80" s="2"/>
      </tp>
      <tp t="s">
        <v>#N/A N/A</v>
        <stp/>
        <stp>BDH|12506824147649242561</stp>
        <tr r="Y78" s="2"/>
      </tp>
      <tp t="s">
        <v>#N/A N/A</v>
        <stp/>
        <stp>BDH|13737840331309764329</stp>
        <tr r="C41" s="2"/>
      </tp>
      <tp t="s">
        <v>#N/A N/A</v>
        <stp/>
        <stp>BDH|14412454515347405470</stp>
        <tr r="H79" s="2"/>
      </tp>
      <tp t="s">
        <v>#N/A N/A</v>
        <stp/>
        <stp>BDH|10599907660858090535</stp>
        <tr r="D81" s="2"/>
      </tp>
      <tp t="s">
        <v>#N/A N/A</v>
        <stp/>
        <stp>BDH|13447395644616817079</stp>
        <tr r="Z89" s="2"/>
      </tp>
      <tp t="s">
        <v>#N/A N/A</v>
        <stp/>
        <stp>BDH|16760185239683845586</stp>
        <tr r="O35" s="2"/>
      </tp>
      <tp t="s">
        <v>#N/A N/A</v>
        <stp/>
        <stp>BDH|12526182001388597904</stp>
        <tr r="D14" s="2"/>
      </tp>
      <tp t="s">
        <v>#N/A N/A</v>
        <stp/>
        <stp>BDH|11035624987809497488</stp>
        <tr r="S20" s="2"/>
      </tp>
      <tp t="s">
        <v>#N/A N/A</v>
        <stp/>
        <stp>BDH|15585720881060986862</stp>
        <tr r="AE61" s="2"/>
      </tp>
      <tp t="s">
        <v>#N/A N/A</v>
        <stp/>
        <stp>BDH|16253580500320131127</stp>
        <tr r="G33" s="2"/>
      </tp>
      <tp t="s">
        <v>#N/A N/A</v>
        <stp/>
        <stp>BDH|17083500411240954104</stp>
        <tr r="R36" s="2"/>
      </tp>
      <tp t="s">
        <v>#N/A N/A</v>
        <stp/>
        <stp>BDH|11568908946557919929</stp>
        <tr r="P28" s="2"/>
      </tp>
      <tp t="s">
        <v>#N/A N/A</v>
        <stp/>
        <stp>BDH|10222191167450709532</stp>
        <tr r="C18" s="2"/>
      </tp>
      <tp t="s">
        <v>#N/A N/A</v>
        <stp/>
        <stp>BDH|14437594297792990882</stp>
        <tr r="N42" s="2"/>
      </tp>
      <tp t="s">
        <v>#N/A N/A</v>
        <stp/>
        <stp>BDH|10949857684187394504</stp>
        <tr r="L54" s="2"/>
      </tp>
      <tp t="s">
        <v>#N/A N/A</v>
        <stp/>
        <stp>BDH|16526023077006339581</stp>
        <tr r="AD77" s="2"/>
      </tp>
      <tp t="s">
        <v>#N/A N/A</v>
        <stp/>
        <stp>BDH|10692320358834293058</stp>
        <tr r="C74" s="2"/>
      </tp>
      <tp t="s">
        <v>#N/A N/A</v>
        <stp/>
        <stp>BDH|17111736286698924265</stp>
        <tr r="L22" s="2"/>
      </tp>
      <tp t="s">
        <v>#N/A N/A</v>
        <stp/>
        <stp>BDH|11608417988277071844</stp>
        <tr r="N25" s="2"/>
      </tp>
      <tp t="s">
        <v>#N/A N/A</v>
        <stp/>
        <stp>BDH|17814216863468456945</stp>
        <tr r="AC24" s="2"/>
      </tp>
      <tp t="s">
        <v>#N/A N/A</v>
        <stp/>
        <stp>BDH|14939373450130131050</stp>
        <tr r="AD23" s="2"/>
      </tp>
      <tp t="s">
        <v>#N/A N/A</v>
        <stp/>
        <stp>BDH|17852295946354478791</stp>
        <tr r="G58" s="2"/>
      </tp>
      <tp t="s">
        <v>#N/A N/A</v>
        <stp/>
        <stp>BDH|11661462618123587505</stp>
        <tr r="P99" s="2"/>
      </tp>
      <tp t="s">
        <v>#N/A N/A</v>
        <stp/>
        <stp>BDH|13881054941154612173</stp>
        <tr r="Q23" s="2"/>
      </tp>
      <tp t="s">
        <v>#N/A N/A</v>
        <stp/>
        <stp>BDH|16761442470690643788</stp>
        <tr r="Q80" s="2"/>
      </tp>
      <tp t="s">
        <v>#N/A N/A</v>
        <stp/>
        <stp>BDH|16413603106001854376</stp>
        <tr r="D32" s="2"/>
      </tp>
      <tp t="s">
        <v>#N/A N/A</v>
        <stp/>
        <stp>BDH|17227875679259206323</stp>
        <tr r="D93" s="2"/>
      </tp>
      <tp t="s">
        <v>#N/A N/A</v>
        <stp/>
        <stp>BDH|10197580515576203015</stp>
        <tr r="F59" s="2"/>
      </tp>
      <tp t="s">
        <v>#N/A N/A</v>
        <stp/>
        <stp>BDH|12699134261421358685</stp>
        <tr r="V66" s="2"/>
      </tp>
      <tp t="s">
        <v>#N/A N/A</v>
        <stp/>
        <stp>BDH|11041267234592815055</stp>
        <tr r="Y75" s="2"/>
      </tp>
      <tp t="s">
        <v>#N/A N/A</v>
        <stp/>
        <stp>BDH|13872464575994336678</stp>
        <tr r="AC49" s="2"/>
      </tp>
      <tp t="s">
        <v>#N/A N/A</v>
        <stp/>
        <stp>BDH|13260072180328200186</stp>
        <tr r="AE78" s="2"/>
      </tp>
      <tp t="s">
        <v>#N/A N/A</v>
        <stp/>
        <stp>BDH|16413196275637101566</stp>
        <tr r="N48" s="2"/>
      </tp>
      <tp t="s">
        <v>#N/A N/A</v>
        <stp/>
        <stp>BDH|16050119916913053786</stp>
        <tr r="E82" s="2"/>
      </tp>
      <tp t="s">
        <v>#N/A N/A</v>
        <stp/>
        <stp>BDH|12317492775157830484</stp>
        <tr r="S76" s="2"/>
      </tp>
      <tp t="s">
        <v>#N/A N/A</v>
        <stp/>
        <stp>BDH|14486692589510902837</stp>
        <tr r="O14" s="2"/>
      </tp>
      <tp t="s">
        <v>#N/A N/A</v>
        <stp/>
        <stp>BDH|11627015452210935628</stp>
        <tr r="O18" s="2"/>
      </tp>
      <tp t="s">
        <v>#N/A N/A</v>
        <stp/>
        <stp>BDH|13056323228562696227</stp>
        <tr r="N90" s="2"/>
      </tp>
      <tp t="s">
        <v>#N/A N/A</v>
        <stp/>
        <stp>BDH|11209677751731241188</stp>
        <tr r="S22" s="2"/>
      </tp>
      <tp t="s">
        <v>#N/A N/A</v>
        <stp/>
        <stp>BDH|17091782089092690891</stp>
        <tr r="Z98" s="2"/>
      </tp>
      <tp t="s">
        <v>#N/A N/A</v>
        <stp/>
        <stp>BDH|12931551662464559751</stp>
        <tr r="AF73" s="2"/>
      </tp>
      <tp t="s">
        <v>#N/A N/A</v>
        <stp/>
        <stp>BDH|10571054318711245244</stp>
        <tr r="N79" s="2"/>
      </tp>
      <tp t="s">
        <v>#N/A N/A</v>
        <stp/>
        <stp>BDH|11941980778428029489</stp>
        <tr r="Y95" s="2"/>
      </tp>
      <tp t="s">
        <v>#N/A N/A</v>
        <stp/>
        <stp>BDH|11496213476711017626</stp>
        <tr r="D64" s="2"/>
      </tp>
      <tp t="s">
        <v>#N/A N/A</v>
        <stp/>
        <stp>BDH|10916924688233538179</stp>
        <tr r="X64" s="2"/>
      </tp>
      <tp t="s">
        <v>#N/A N/A</v>
        <stp/>
        <stp>BDH|10952722004543982779</stp>
        <tr r="N71" s="2"/>
      </tp>
      <tp t="s">
        <v>#N/A N/A</v>
        <stp/>
        <stp>BDH|12452414755498478851</stp>
        <tr r="T32" s="2"/>
      </tp>
      <tp t="s">
        <v>#N/A N/A</v>
        <stp/>
        <stp>BDH|13114877395721491069</stp>
        <tr r="I36" s="2"/>
      </tp>
      <tp t="s">
        <v>#N/A N/A</v>
        <stp/>
        <stp>BDH|10658911116398632364</stp>
        <tr r="H88" s="2"/>
      </tp>
      <tp t="s">
        <v>#N/A N/A</v>
        <stp/>
        <stp>BDH|11067662169092725092</stp>
        <tr r="O30" s="2"/>
      </tp>
      <tp t="s">
        <v>#N/A N/A</v>
        <stp/>
        <stp>BDH|17721608063804425014</stp>
        <tr r="S24" s="2"/>
      </tp>
      <tp t="s">
        <v>#N/A N/A</v>
        <stp/>
        <stp>BDH|17711761112765689755</stp>
        <tr r="AF63" s="2"/>
      </tp>
      <tp t="s">
        <v>#N/A N/A</v>
        <stp/>
        <stp>BDH|11102968645059356611</stp>
        <tr r="G29" s="2"/>
      </tp>
      <tp t="s">
        <v>#N/A N/A</v>
        <stp/>
        <stp>BDH|15448079908552884433</stp>
        <tr r="J96" s="2"/>
      </tp>
      <tp t="s">
        <v>#N/A N/A</v>
        <stp/>
        <stp>BDH|14278459118887605591</stp>
        <tr r="Q59" s="2"/>
      </tp>
      <tp t="s">
        <v>#N/A N/A</v>
        <stp/>
        <stp>BDH|15513372143064843590</stp>
        <tr r="R93" s="2"/>
      </tp>
      <tp t="s">
        <v>#N/A N/A</v>
        <stp/>
        <stp>BDH|13288878464967739951</stp>
        <tr r="S91" s="2"/>
      </tp>
      <tp t="s">
        <v>#N/A N/A</v>
        <stp/>
        <stp>BDH|12399836680998171929</stp>
        <tr r="U66" s="2"/>
      </tp>
      <tp t="s">
        <v>#N/A N/A</v>
        <stp/>
        <stp>BDH|11392443235071188401</stp>
        <tr r="AB61" s="2"/>
      </tp>
      <tp t="s">
        <v>#N/A N/A</v>
        <stp/>
        <stp>BDH|11761775610363333718</stp>
        <tr r="O17" s="2"/>
      </tp>
      <tp t="s">
        <v>#N/A N/A</v>
        <stp/>
        <stp>BDH|16861865844251885801</stp>
        <tr r="AF90" s="2"/>
      </tp>
      <tp t="s">
        <v>#N/A N/A</v>
        <stp/>
        <stp>BDH|16442716226677639774</stp>
        <tr r="Y49" s="2"/>
      </tp>
      <tp t="s">
        <v>#N/A N/A</v>
        <stp/>
        <stp>BDH|11263421317495242274</stp>
        <tr r="L94" s="2"/>
      </tp>
      <tp t="s">
        <v>#N/A N/A</v>
        <stp/>
        <stp>BDH|12618150927655233745</stp>
        <tr r="AF70" s="2"/>
      </tp>
      <tp t="s">
        <v>#N/A N/A</v>
        <stp/>
        <stp>BDH|17499375844140621338</stp>
        <tr r="AB58" s="2"/>
      </tp>
      <tp t="s">
        <v>#N/A N/A</v>
        <stp/>
        <stp>BDH|11976149375356839254</stp>
        <tr r="AF22" s="2"/>
      </tp>
      <tp t="s">
        <v>#N/A N/A</v>
        <stp/>
        <stp>BDH|11947789449386807750</stp>
        <tr r="M67" s="2"/>
      </tp>
      <tp t="s">
        <v>#N/A N/A</v>
        <stp/>
        <stp>BDH|10180459730620867491</stp>
        <tr r="E78" s="2"/>
      </tp>
      <tp t="s">
        <v>#N/A N/A</v>
        <stp/>
        <stp>BDH|17528291683789981720</stp>
        <tr r="Z54" s="2"/>
      </tp>
      <tp t="s">
        <v>#N/A N/A</v>
        <stp/>
        <stp>BDH|17207969822599086626</stp>
        <tr r="AF11" s="2"/>
      </tp>
      <tp t="s">
        <v>#N/A N/A</v>
        <stp/>
        <stp>BDH|11149040861362961690</stp>
        <tr r="AB94" s="2"/>
      </tp>
      <tp t="s">
        <v>#N/A N/A</v>
        <stp/>
        <stp>BDH|13613467464593871183</stp>
        <tr r="K67" s="2"/>
      </tp>
      <tp t="s">
        <v>#N/A N/A</v>
        <stp/>
        <stp>BDH|15017419552213699414</stp>
        <tr r="H97" s="2"/>
      </tp>
      <tp t="s">
        <v>#N/A N/A</v>
        <stp/>
        <stp>BDH|17207302338095741192</stp>
        <tr r="L19" s="2"/>
      </tp>
      <tp t="s">
        <v>#N/A N/A</v>
        <stp/>
        <stp>BDH|17710840476992457959</stp>
        <tr r="R37" s="2"/>
      </tp>
      <tp t="s">
        <v>#N/A N/A</v>
        <stp/>
        <stp>BDH|11094701173773549118</stp>
        <tr r="P50" s="2"/>
      </tp>
      <tp t="s">
        <v>#N/A N/A</v>
        <stp/>
        <stp>BDH|16360146414962393770</stp>
        <tr r="AE69" s="2"/>
      </tp>
      <tp t="s">
        <v>#N/A N/A</v>
        <stp/>
        <stp>BDH|12130593872134864752</stp>
        <tr r="AD82" s="2"/>
      </tp>
      <tp t="s">
        <v>#N/A N/A</v>
        <stp/>
        <stp>BDH|12617115873235096221</stp>
        <tr r="D48" s="2"/>
      </tp>
      <tp t="s">
        <v>#N/A N/A</v>
        <stp/>
        <stp>BDH|17638558405197110615</stp>
        <tr r="X41" s="2"/>
      </tp>
      <tp t="s">
        <v>#N/A N/A</v>
        <stp/>
        <stp>BDH|15911272314110843545</stp>
        <tr r="Z60" s="2"/>
      </tp>
      <tp t="s">
        <v>#N/A N/A</v>
        <stp/>
        <stp>BDH|14459922153942799947</stp>
        <tr r="AD15" s="2"/>
      </tp>
      <tp t="s">
        <v>#N/A N/A</v>
        <stp/>
        <stp>BDH|16156353673751876096</stp>
        <tr r="P37" s="2"/>
      </tp>
      <tp t="s">
        <v>#N/A N/A</v>
        <stp/>
        <stp>BDH|10475316631576888554</stp>
        <tr r="O24" s="2"/>
      </tp>
      <tp t="s">
        <v>#N/A N/A</v>
        <stp/>
        <stp>BDH|12932230716302551004</stp>
        <tr r="W21" s="2"/>
      </tp>
      <tp t="s">
        <v>#N/A N/A</v>
        <stp/>
        <stp>BDH|15005303537297649183</stp>
        <tr r="AD49" s="2"/>
      </tp>
      <tp t="s">
        <v>#N/A N/A</v>
        <stp/>
        <stp>BDH|12608262405087952452</stp>
        <tr r="Q71" s="2"/>
      </tp>
      <tp t="s">
        <v>#N/A N/A</v>
        <stp/>
        <stp>BDH|15851016905006299061</stp>
        <tr r="AC26" s="2"/>
      </tp>
      <tp t="s">
        <v>#N/A N/A</v>
        <stp/>
        <stp>BDH|10930086765936877342</stp>
        <tr r="AF82" s="2"/>
      </tp>
      <tp t="s">
        <v>#N/A N/A</v>
        <stp/>
        <stp>BDH|17398677814947096489</stp>
        <tr r="E95" s="2"/>
      </tp>
      <tp t="s">
        <v>#N/A N/A</v>
        <stp/>
        <stp>BDH|10220412468327272611</stp>
        <tr r="D34" s="2"/>
      </tp>
      <tp t="s">
        <v>#N/A N/A</v>
        <stp/>
        <stp>BDH|17808201079488863916</stp>
        <tr r="W55" s="2"/>
      </tp>
      <tp t="s">
        <v>#N/A N/A</v>
        <stp/>
        <stp>BDH|17659216934081881400</stp>
        <tr r="C45" s="2"/>
      </tp>
      <tp t="s">
        <v>#N/A N/A</v>
        <stp/>
        <stp>BDH|15984809385200133663</stp>
        <tr r="K10" s="2"/>
      </tp>
      <tp t="s">
        <v>#N/A N/A</v>
        <stp/>
        <stp>BDH|12530271802971256285</stp>
        <tr r="AD90" s="2"/>
      </tp>
      <tp t="s">
        <v>#N/A N/A</v>
        <stp/>
        <stp>BDH|11191956479364348843</stp>
        <tr r="Y96" s="2"/>
      </tp>
      <tp t="s">
        <v>#N/A N/A</v>
        <stp/>
        <stp>BDH|17444307191627689993</stp>
        <tr r="V12" s="2"/>
      </tp>
      <tp t="s">
        <v>#N/A N/A</v>
        <stp/>
        <stp>BDH|12755588969916591491</stp>
        <tr r="AD81" s="2"/>
      </tp>
      <tp t="s">
        <v>#N/A N/A</v>
        <stp/>
        <stp>BDH|10556050069882385709</stp>
        <tr r="L41" s="2"/>
      </tp>
      <tp t="s">
        <v>#N/A N/A</v>
        <stp/>
        <stp>BDH|10750918548109571719</stp>
        <tr r="X68" s="2"/>
      </tp>
      <tp t="s">
        <v>#N/A N/A</v>
        <stp/>
        <stp>BDH|17469851202635152980</stp>
        <tr r="AE94" s="2"/>
      </tp>
      <tp t="s">
        <v>#N/A N/A</v>
        <stp/>
        <stp>BDH|13743949018379033167</stp>
        <tr r="K41" s="2"/>
      </tp>
      <tp t="s">
        <v>#N/A N/A</v>
        <stp/>
        <stp>BDH|11010285544196555249</stp>
        <tr r="C86" s="2"/>
      </tp>
      <tp t="s">
        <v>#N/A N/A</v>
        <stp/>
        <stp>BDH|11800505021117168250</stp>
        <tr r="Z51" s="2"/>
      </tp>
      <tp t="s">
        <v>#N/A N/A</v>
        <stp/>
        <stp>BDH|16046033878343340152</stp>
        <tr r="C51" s="2"/>
      </tp>
      <tp t="s">
        <v>#N/A N/A</v>
        <stp/>
        <stp>BDH|13506624602944838209</stp>
        <tr r="Q66" s="2"/>
      </tp>
      <tp t="s">
        <v>#N/A N/A</v>
        <stp/>
        <stp>BDH|11356984986037232425</stp>
        <tr r="T12" s="2"/>
      </tp>
      <tp t="s">
        <v>#N/A N/A</v>
        <stp/>
        <stp>BDH|10833130101166647410</stp>
        <tr r="O12" s="2"/>
      </tp>
      <tp t="s">
        <v>#N/A N/A</v>
        <stp/>
        <stp>BDH|14416497095642556800</stp>
        <tr r="AE81" s="2"/>
      </tp>
      <tp t="s">
        <v>#N/A N/A</v>
        <stp/>
        <stp>BDH|14745262102337726289</stp>
        <tr r="M9" s="2"/>
      </tp>
      <tp t="s">
        <v>#N/A N/A</v>
        <stp/>
        <stp>BDH|15621066114503829401</stp>
        <tr r="Y8" s="2"/>
      </tp>
      <tp t="s">
        <v>#N/A N/A</v>
        <stp/>
        <stp>BDH|11867728437952140401</stp>
        <tr r="U42" s="2"/>
      </tp>
      <tp t="s">
        <v>#N/A N/A</v>
        <stp/>
        <stp>BDH|15503461169897211348</stp>
        <tr r="Y27" s="2"/>
      </tp>
      <tp t="s">
        <v>#N/A N/A</v>
        <stp/>
        <stp>BDH|13753093373606849192</stp>
        <tr r="S98" s="2"/>
      </tp>
      <tp t="s">
        <v>#N/A N/A</v>
        <stp/>
        <stp>BDH|10297781554791152002</stp>
        <tr r="U11" s="2"/>
      </tp>
      <tp t="s">
        <v>#N/A N/A</v>
        <stp/>
        <stp>BDH|12482277126127333695</stp>
        <tr r="M35" s="2"/>
      </tp>
      <tp t="s">
        <v>#N/A N/A</v>
        <stp/>
        <stp>BDH|15921574463947688248</stp>
        <tr r="W70" s="2"/>
      </tp>
      <tp t="s">
        <v>#N/A N/A</v>
        <stp/>
        <stp>BDH|13605221974815876073</stp>
        <tr r="AD73" s="2"/>
      </tp>
      <tp t="s">
        <v>#N/A N/A</v>
        <stp/>
        <stp>BDH|16268003980088994540</stp>
        <tr r="T59" s="2"/>
      </tp>
      <tp t="s">
        <v>#N/A N/A</v>
        <stp/>
        <stp>BDH|12216655576075901575</stp>
        <tr r="P96" s="2"/>
      </tp>
      <tp t="s">
        <v>#N/A N/A</v>
        <stp/>
        <stp>BDH|17205557848411024401</stp>
        <tr r="Y31" s="2"/>
      </tp>
      <tp t="s">
        <v>#N/A N/A</v>
        <stp/>
        <stp>BDH|12362933327773881912</stp>
        <tr r="D71" s="2"/>
      </tp>
      <tp t="s">
        <v>#N/A N/A</v>
        <stp/>
        <stp>BDH|16075414420945610695</stp>
        <tr r="Y43" s="2"/>
      </tp>
      <tp t="s">
        <v>#N/A N/A</v>
        <stp/>
        <stp>BDH|12807130466276639052</stp>
        <tr r="D11" s="2"/>
      </tp>
      <tp t="s">
        <v>#N/A N/A</v>
        <stp/>
        <stp>BDH|15035401656786063183</stp>
        <tr r="F94" s="2"/>
      </tp>
      <tp t="s">
        <v>#N/A N/A</v>
        <stp/>
        <stp>BDH|15876257257710570117</stp>
        <tr r="C22" s="2"/>
      </tp>
      <tp t="s">
        <v>#N/A N/A</v>
        <stp/>
        <stp>BDH|14315520957113178491</stp>
        <tr r="U19" s="2"/>
      </tp>
      <tp t="s">
        <v>#N/A N/A</v>
        <stp/>
        <stp>BDH|10487341467531804719</stp>
        <tr r="AC78" s="2"/>
      </tp>
      <tp t="s">
        <v>#N/A N/A</v>
        <stp/>
        <stp>BDH|15922132165670817269</stp>
        <tr r="X77" s="2"/>
      </tp>
      <tp t="s">
        <v>#N/A N/A</v>
        <stp/>
        <stp>BDH|12099918382612125131</stp>
        <tr r="G59" s="2"/>
      </tp>
      <tp t="s">
        <v>#N/A N/A</v>
        <stp/>
        <stp>BDH|11107650064204344538</stp>
        <tr r="AB33" s="2"/>
      </tp>
      <tp t="s">
        <v>#N/A N/A</v>
        <stp/>
        <stp>BDH|13141451230935269166</stp>
        <tr r="I32" s="2"/>
      </tp>
      <tp t="s">
        <v>#N/A N/A</v>
        <stp/>
        <stp>BDH|11248545903384017050</stp>
        <tr r="AB24" s="2"/>
      </tp>
      <tp t="s">
        <v>#N/A N/A</v>
        <stp/>
        <stp>BDH|14668125063307507422</stp>
        <tr r="I90" s="2"/>
      </tp>
      <tp t="s">
        <v>#N/A N/A</v>
        <stp/>
        <stp>BDH|10749139735704985683</stp>
        <tr r="X17" s="2"/>
      </tp>
      <tp t="s">
        <v>#N/A N/A</v>
        <stp/>
        <stp>BDH|17790647330873539160</stp>
        <tr r="Y25" s="2"/>
      </tp>
      <tp t="s">
        <v>#N/A N/A</v>
        <stp/>
        <stp>BDH|12462716730604782217</stp>
        <tr r="AF17" s="2"/>
      </tp>
      <tp t="s">
        <v>#N/A N/A</v>
        <stp/>
        <stp>BDH|15843419509574704547</stp>
        <tr r="T77" s="2"/>
      </tp>
      <tp t="s">
        <v>#N/A N/A</v>
        <stp/>
        <stp>BDH|11380468212515508116</stp>
        <tr r="C70" s="2"/>
      </tp>
      <tp t="s">
        <v>#N/A N/A</v>
        <stp/>
        <stp>BDH|15690216873608615818</stp>
        <tr r="H25" s="2"/>
      </tp>
      <tp t="s">
        <v>#N/A N/A</v>
        <stp/>
        <stp>BDH|14287291399718089711</stp>
        <tr r="J92" s="2"/>
      </tp>
      <tp t="s">
        <v>#N/A N/A</v>
        <stp/>
        <stp>BDH|16356564773345263171</stp>
        <tr r="Q99" s="2"/>
      </tp>
      <tp t="s">
        <v>#N/A N/A</v>
        <stp/>
        <stp>BDH|11681729174445530462</stp>
        <tr r="K64" s="2"/>
      </tp>
      <tp t="s">
        <v>#N/A N/A</v>
        <stp/>
        <stp>BDH|14154525262244340312</stp>
        <tr r="AF79" s="2"/>
      </tp>
      <tp t="s">
        <v>#N/A N/A</v>
        <stp/>
        <stp>BDH|15144403915760735018</stp>
        <tr r="M70" s="2"/>
      </tp>
      <tp t="s">
        <v>#N/A N/A</v>
        <stp/>
        <stp>BDH|17597054301977197026</stp>
        <tr r="R20" s="2"/>
      </tp>
      <tp t="s">
        <v>#N/A N/A</v>
        <stp/>
        <stp>BDH|17490701008531879162</stp>
        <tr r="P73" s="2"/>
      </tp>
      <tp t="s">
        <v>#N/A N/A</v>
        <stp/>
        <stp>BDH|14756459140441524555</stp>
        <tr r="C46" s="2"/>
      </tp>
      <tp t="s">
        <v>#N/A N/A</v>
        <stp/>
        <stp>BDH|15128965316864554966</stp>
        <tr r="S94" s="2"/>
      </tp>
      <tp t="s">
        <v>#N/A N/A</v>
        <stp/>
        <stp>BDH|10569420333354083312</stp>
        <tr r="G78" s="2"/>
      </tp>
      <tp t="s">
        <v>#N/A N/A</v>
        <stp/>
        <stp>BDH|17874910393162628599</stp>
        <tr r="S93" s="2"/>
      </tp>
      <tp t="s">
        <v>#N/A N/A</v>
        <stp/>
        <stp>BDH|10897444627091793799</stp>
        <tr r="V19" s="2"/>
      </tp>
      <tp t="s">
        <v>#N/A N/A</v>
        <stp/>
        <stp>BDH|12635978322438374155</stp>
        <tr r="AC59" s="2"/>
      </tp>
      <tp t="s">
        <v>#N/A N/A</v>
        <stp/>
        <stp>BDH|15582840344310290923</stp>
        <tr r="N41" s="2"/>
      </tp>
      <tp t="s">
        <v>#N/A N/A</v>
        <stp/>
        <stp>BDH|13962414266665311483</stp>
        <tr r="Y76" s="2"/>
      </tp>
      <tp t="s">
        <v>#N/A N/A</v>
        <stp/>
        <stp>BDH|17263475695663382968</stp>
        <tr r="V69" s="2"/>
      </tp>
      <tp t="s">
        <v>#N/A N/A</v>
        <stp/>
        <stp>BDH|12857407144933172188</stp>
        <tr r="T92" s="2"/>
      </tp>
      <tp t="s">
        <v>#N/A N/A</v>
        <stp/>
        <stp>BDH|10060093462861832777</stp>
        <tr r="R49" s="2"/>
      </tp>
      <tp t="s">
        <v>#N/A N/A</v>
        <stp/>
        <stp>BDH|18031004704969743176</stp>
        <tr r="S80" s="2"/>
      </tp>
      <tp t="s">
        <v>#N/A N/A</v>
        <stp/>
        <stp>BDH|17551672541604166165</stp>
        <tr r="Z46" s="2"/>
      </tp>
      <tp t="s">
        <v>#N/A N/A</v>
        <stp/>
        <stp>BDH|13333930969798922447</stp>
        <tr r="AE51" s="2"/>
      </tp>
      <tp t="s">
        <v>#N/A N/A</v>
        <stp/>
        <stp>BDH|10411623820562308611</stp>
        <tr r="F58" s="2"/>
      </tp>
      <tp t="s">
        <v>#N/A N/A</v>
        <stp/>
        <stp>BDH|10960058758263570662</stp>
        <tr r="AD31" s="2"/>
      </tp>
      <tp t="s">
        <v>#N/A N/A</v>
        <stp/>
        <stp>BDH|14997875595334973151</stp>
        <tr r="U96" s="2"/>
      </tp>
      <tp t="s">
        <v>#N/A N/A</v>
        <stp/>
        <stp>BDH|17463253874834356617</stp>
        <tr r="I80" s="2"/>
      </tp>
      <tp t="s">
        <v>#N/A N/A</v>
        <stp/>
        <stp>BDH|10836685109044716298</stp>
        <tr r="I72" s="2"/>
      </tp>
      <tp t="s">
        <v>#N/A N/A</v>
        <stp/>
        <stp>BDH|15745594855935978051</stp>
        <tr r="T23" s="2"/>
      </tp>
      <tp t="s">
        <v>#N/A N/A</v>
        <stp/>
        <stp>BDH|15407167245083301334</stp>
        <tr r="W58" s="2"/>
      </tp>
      <tp t="s">
        <v>#N/A N/A</v>
        <stp/>
        <stp>BDH|16120653672641298638</stp>
        <tr r="AB48" s="2"/>
      </tp>
      <tp t="s">
        <v>#N/A N/A</v>
        <stp/>
        <stp>BDH|16568424652732130533</stp>
        <tr r="W69" s="2"/>
      </tp>
      <tp t="s">
        <v>#N/A N/A</v>
        <stp/>
        <stp>BDH|16420168927445181025</stp>
        <tr r="AE49" s="2"/>
      </tp>
      <tp t="s">
        <v>#N/A N/A</v>
        <stp/>
        <stp>BDH|11305504981205307971</stp>
        <tr r="U12" s="2"/>
      </tp>
      <tp t="s">
        <v>#N/A N/A</v>
        <stp/>
        <stp>BDH|14338638749344651298</stp>
        <tr r="F42" s="2"/>
      </tp>
      <tp t="s">
        <v>#N/A N/A</v>
        <stp/>
        <stp>BDH|14716263104547151127</stp>
        <tr r="AC80" s="2"/>
      </tp>
      <tp t="s">
        <v>#N/A N/A</v>
        <stp/>
        <stp>BDH|14846490899859016013</stp>
        <tr r="T65" s="2"/>
      </tp>
      <tp t="s">
        <v>#N/A N/A</v>
        <stp/>
        <stp>BDH|15181309151373877018</stp>
        <tr r="L55" s="2"/>
      </tp>
      <tp t="s">
        <v>#N/A N/A</v>
        <stp/>
        <stp>BDH|12908873164999602558</stp>
        <tr r="Y30" s="2"/>
      </tp>
      <tp t="s">
        <v>#N/A N/A</v>
        <stp/>
        <stp>BDH|15776291908526913162</stp>
        <tr r="J25" s="2"/>
      </tp>
      <tp t="s">
        <v>#N/A N/A</v>
        <stp/>
        <stp>BDH|16479625574841294695</stp>
        <tr r="AE53" s="2"/>
      </tp>
      <tp t="s">
        <v>#N/A N/A</v>
        <stp/>
        <stp>BDH|13812082737283915375</stp>
        <tr r="N28" s="2"/>
      </tp>
      <tp t="s">
        <v>#N/A N/A</v>
        <stp/>
        <stp>BDH|14985287098678159719</stp>
        <tr r="R23" s="2"/>
      </tp>
      <tp t="s">
        <v>#N/A N/A</v>
        <stp/>
        <stp>BDH|14864869431009235649</stp>
        <tr r="AD68" s="2"/>
      </tp>
      <tp t="s">
        <v>#N/A N/A</v>
        <stp/>
        <stp>BDH|15762080758117960775</stp>
        <tr r="J60" s="2"/>
      </tp>
      <tp t="s">
        <v>#N/A N/A</v>
        <stp/>
        <stp>BDH|12542221054277989226</stp>
        <tr r="E12" s="2"/>
      </tp>
      <tp t="s">
        <v>#N/A N/A</v>
        <stp/>
        <stp>BDH|13409228921436929562</stp>
        <tr r="E90" s="2"/>
      </tp>
      <tp t="s">
        <v>#N/A N/A</v>
        <stp/>
        <stp>BDH|13888781778581241229</stp>
        <tr r="N65" s="2"/>
      </tp>
      <tp t="s">
        <v>#N/A N/A</v>
        <stp/>
        <stp>BDH|10405532415975388193</stp>
        <tr r="AB21" s="2"/>
      </tp>
      <tp t="s">
        <v>#N/A N/A</v>
        <stp/>
        <stp>BDH|10991097838640341306</stp>
        <tr r="T89" s="2"/>
      </tp>
      <tp t="s">
        <v>#N/A N/A</v>
        <stp/>
        <stp>BDH|16929922766550238949</stp>
        <tr r="I34" s="2"/>
      </tp>
      <tp t="s">
        <v>#N/A N/A</v>
        <stp/>
        <stp>BDH|11968637117715745311</stp>
        <tr r="M81" s="2"/>
      </tp>
      <tp t="s">
        <v>#N/A N/A</v>
        <stp/>
        <stp>BDH|13751482865260665172</stp>
        <tr r="P24" s="2"/>
      </tp>
      <tp t="s">
        <v>#N/A N/A</v>
        <stp/>
        <stp>BDH|16125484692469336236</stp>
        <tr r="AD56" s="2"/>
      </tp>
      <tp t="s">
        <v>#N/A N/A</v>
        <stp/>
        <stp>BDH|11061608813496000093</stp>
        <tr r="S28" s="2"/>
      </tp>
      <tp t="s">
        <v>#N/A N/A</v>
        <stp/>
        <stp>BDH|14704456865380894654</stp>
        <tr r="I45" s="2"/>
      </tp>
      <tp t="s">
        <v>#N/A N/A</v>
        <stp/>
        <stp>BDH|16973309603347269225</stp>
        <tr r="J93" s="2"/>
      </tp>
      <tp t="s">
        <v>#N/A N/A</v>
        <stp/>
        <stp>BDH|13577775160963037184</stp>
        <tr r="U95" s="2"/>
      </tp>
      <tp t="s">
        <v>#N/A N/A</v>
        <stp/>
        <stp>BDH|16946992298173436566</stp>
        <tr r="T54" s="2"/>
      </tp>
      <tp t="s">
        <v>#N/A N/A</v>
        <stp/>
        <stp>BDH|15333897496562779610</stp>
        <tr r="D53" s="2"/>
      </tp>
      <tp t="s">
        <v>#N/A N/A</v>
        <stp/>
        <stp>BDH|12454890915162294908</stp>
        <tr r="H48" s="2"/>
      </tp>
      <tp t="s">
        <v>#N/A N/A</v>
        <stp/>
        <stp>BDH|15577298545681376275</stp>
        <tr r="AA34" s="2"/>
      </tp>
      <tp t="s">
        <v>#N/A N/A</v>
        <stp/>
        <stp>BDH|10493037119419517862</stp>
        <tr r="F10" s="2"/>
      </tp>
      <tp t="s">
        <v>#N/A N/A</v>
        <stp/>
        <stp>BDH|15802626213346199450</stp>
        <tr r="AF35" s="2"/>
      </tp>
      <tp t="s">
        <v>#N/A N/A</v>
        <stp/>
        <stp>BDH|13651072368784298165</stp>
        <tr r="AC47" s="2"/>
      </tp>
      <tp t="s">
        <v>#N/A N/A</v>
        <stp/>
        <stp>BDH|15859003895989447549</stp>
        <tr r="AF10" s="2"/>
      </tp>
      <tp t="s">
        <v>#N/A N/A</v>
        <stp/>
        <stp>BDH|16479756503729833875</stp>
        <tr r="AB89" s="2"/>
      </tp>
      <tp t="s">
        <v>#N/A N/A</v>
        <stp/>
        <stp>BDH|15003851164023811847</stp>
        <tr r="N81" s="2"/>
      </tp>
      <tp t="s">
        <v>#N/A N/A</v>
        <stp/>
        <stp>BDH|15790573936386348589</stp>
        <tr r="I56" s="2"/>
      </tp>
      <tp t="s">
        <v>#N/A N/A</v>
        <stp/>
        <stp>BDH|13000388951567612237</stp>
        <tr r="Q92" s="2"/>
      </tp>
      <tp t="s">
        <v>#N/A N/A</v>
        <stp/>
        <stp>BDH|13643822038458880081</stp>
        <tr r="AF32" s="2"/>
      </tp>
      <tp t="s">
        <v>#N/A N/A</v>
        <stp/>
        <stp>BDH|12456688789098838415</stp>
        <tr r="N43" s="2"/>
      </tp>
      <tp t="s">
        <v>#N/A N/A</v>
        <stp/>
        <stp>BDH|12182506247620279385</stp>
        <tr r="E49" s="2"/>
      </tp>
      <tp t="s">
        <v>#N/A N/A</v>
        <stp/>
        <stp>BDH|14150418155143872611</stp>
        <tr r="AF23" s="2"/>
      </tp>
      <tp t="s">
        <v>#N/A N/A</v>
        <stp/>
        <stp>BDH|12153760915961981579</stp>
        <tr r="F28" s="2"/>
      </tp>
      <tp t="s">
        <v>#N/A N/A</v>
        <stp/>
        <stp>BDH|12024463409296613053</stp>
        <tr r="AA82" s="2"/>
      </tp>
      <tp t="s">
        <v>#N/A N/A</v>
        <stp/>
        <stp>BDH|13206057738921465179</stp>
        <tr r="E33" s="2"/>
      </tp>
      <tp t="s">
        <v>#N/A N/A</v>
        <stp/>
        <stp>BDH|11263031503984923578</stp>
        <tr r="O46" s="2"/>
      </tp>
      <tp t="s">
        <v>#N/A N/A</v>
        <stp/>
        <stp>BDH|17734172879142210349</stp>
        <tr r="E21" s="2"/>
      </tp>
      <tp t="s">
        <v>#N/A N/A</v>
        <stp/>
        <stp>BDH|12940221182930374853</stp>
        <tr r="P98" s="2"/>
      </tp>
      <tp t="s">
        <v>#N/A N/A</v>
        <stp/>
        <stp>BDH|13561886407198071359</stp>
        <tr r="I10" s="2"/>
      </tp>
      <tp t="s">
        <v>#N/A N/A</v>
        <stp/>
        <stp>BDH|17630291262280262309</stp>
        <tr r="AD99" s="2"/>
      </tp>
      <tp t="s">
        <v>#N/A N/A</v>
        <stp/>
        <stp>BDH|14297400431137840443</stp>
        <tr r="S75" s="2"/>
      </tp>
      <tp t="s">
        <v>#N/A N/A</v>
        <stp/>
        <stp>BDH|12432694044555459529</stp>
        <tr r="N82" s="2"/>
      </tp>
      <tp t="s">
        <v>#N/A N/A</v>
        <stp/>
        <stp>BDH|15980381926047955312</stp>
        <tr r="U58" s="2"/>
      </tp>
      <tp t="s">
        <v>#N/A N/A</v>
        <stp/>
        <stp>BDH|17354183553454546726</stp>
        <tr r="L93" s="2"/>
      </tp>
      <tp t="s">
        <v>#N/A N/A</v>
        <stp/>
        <stp>BDH|17450189865176114679</stp>
        <tr r="P92" s="2"/>
      </tp>
      <tp t="s">
        <v>#N/A N/A</v>
        <stp/>
        <stp>BDH|10745287272646234302</stp>
        <tr r="S78" s="2"/>
      </tp>
      <tp t="s">
        <v>#N/A N/A</v>
        <stp/>
        <stp>BDH|17401428039903986387</stp>
        <tr r="I62" s="2"/>
      </tp>
      <tp t="s">
        <v>#N/A N/A</v>
        <stp/>
        <stp>BDH|13618315312688260999</stp>
        <tr r="C91" s="2"/>
      </tp>
      <tp t="s">
        <v>#N/A N/A</v>
        <stp/>
        <stp>BDH|15457697138007962726</stp>
        <tr r="R50" s="2"/>
      </tp>
      <tp t="s">
        <v>#N/A N/A</v>
        <stp/>
        <stp>BDH|18251291192330658313</stp>
        <tr r="J36" s="2"/>
      </tp>
      <tp t="s">
        <v>#N/A N/A</v>
        <stp/>
        <stp>BDH|17369235983109423497</stp>
        <tr r="H34" s="2"/>
      </tp>
      <tp t="s">
        <v>#N/A N/A</v>
        <stp/>
        <stp>BDH|14387922287646993312</stp>
        <tr r="W99" s="2"/>
      </tp>
      <tp t="s">
        <v>#N/A N/A</v>
        <stp/>
        <stp>BDH|10732752564589437939</stp>
        <tr r="K90" s="2"/>
      </tp>
      <tp t="s">
        <v>#N/A N/A</v>
        <stp/>
        <stp>BDH|10565468436775646323</stp>
        <tr r="T94" s="2"/>
      </tp>
      <tp t="s">
        <v>#N/A N/A</v>
        <stp/>
        <stp>BDH|11869280946033122567</stp>
        <tr r="Z40" s="2"/>
      </tp>
      <tp t="s">
        <v>#N/A N/A</v>
        <stp/>
        <stp>BDH|10201824182827769648</stp>
        <tr r="J65" s="2"/>
      </tp>
      <tp t="s">
        <v>#N/A N/A</v>
        <stp/>
        <stp>BDH|13960799673652571079</stp>
        <tr r="S21" s="2"/>
      </tp>
      <tp t="s">
        <v>#N/A N/A</v>
        <stp/>
        <stp>BDH|17460610064632679461</stp>
        <tr r="AA92" s="2"/>
      </tp>
      <tp t="s">
        <v>#N/A N/A</v>
        <stp/>
        <stp>BDH|15203620988029903304</stp>
        <tr r="V54" s="2"/>
      </tp>
      <tp t="s">
        <v>#N/A N/A</v>
        <stp/>
        <stp>BDH|13722819191365647616</stp>
        <tr r="C12" s="2"/>
      </tp>
      <tp t="s">
        <v>#N/A N/A</v>
        <stp/>
        <stp>BDH|13708014944334696247</stp>
        <tr r="AE60" s="2"/>
      </tp>
      <tp t="s">
        <v>#N/A N/A</v>
        <stp/>
        <stp>BDH|15582252690616565956</stp>
        <tr r="I99" s="2"/>
      </tp>
      <tp t="s">
        <v>#N/A N/A</v>
        <stp/>
        <stp>BDH|15097095956869640893</stp>
        <tr r="I51" s="2"/>
      </tp>
      <tp t="s">
        <v>#N/A N/A</v>
        <stp/>
        <stp>BDH|12890450969942126350</stp>
        <tr r="H96" s="2"/>
      </tp>
      <tp t="s">
        <v>#N/A N/A</v>
        <stp/>
        <stp>BDH|12081398722385969724</stp>
        <tr r="Z65" s="2"/>
      </tp>
      <tp t="s">
        <v>#N/A N/A</v>
        <stp/>
        <stp>BDH|18037190984048971844</stp>
        <tr r="G74" s="2"/>
      </tp>
      <tp t="s">
        <v>#N/A N/A</v>
        <stp/>
        <stp>BDH|14118218216506792011</stp>
        <tr r="T28" s="2"/>
      </tp>
      <tp t="s">
        <v>#N/A N/A</v>
        <stp/>
        <stp>BDH|16490923705186019802</stp>
        <tr r="AA91" s="2"/>
      </tp>
      <tp t="s">
        <v>#N/A N/A</v>
        <stp/>
        <stp>BDH|10188961816739777057</stp>
        <tr r="K46" s="2"/>
      </tp>
      <tp t="s">
        <v>#N/A N/A</v>
        <stp/>
        <stp>BDH|10731773821003452768</stp>
        <tr r="L98" s="2"/>
      </tp>
      <tp t="s">
        <v>#N/A N/A</v>
        <stp/>
        <stp>BDH|10694835247069366426</stp>
        <tr r="C26" s="2"/>
      </tp>
      <tp t="s">
        <v>#N/A N/A</v>
        <stp/>
        <stp>BDH|17174476373227639203</stp>
        <tr r="R14" s="2"/>
      </tp>
      <tp t="s">
        <v>#N/A N/A</v>
        <stp/>
        <stp>BDH|13393906906528186371</stp>
        <tr r="P91" s="2"/>
      </tp>
      <tp t="s">
        <v>#N/A N/A</v>
        <stp/>
        <stp>BDH|17694249153511569072</stp>
        <tr r="P21" s="2"/>
      </tp>
      <tp t="s">
        <v>#N/A N/A</v>
        <stp/>
        <stp>BDH|10518134624041912383</stp>
        <tr r="F50" s="2"/>
      </tp>
      <tp t="s">
        <v>#N/A N/A</v>
        <stp/>
        <stp>BDH|10600220816392544040</stp>
        <tr r="W29" s="2"/>
      </tp>
      <tp t="s">
        <v>#N/A N/A</v>
        <stp/>
        <stp>BDH|14301143140177172752</stp>
        <tr r="Y87" s="2"/>
      </tp>
      <tp t="s">
        <v>#N/A N/A</v>
        <stp/>
        <stp>BDH|16005345455793569271</stp>
        <tr r="I8" s="2"/>
      </tp>
      <tp t="s">
        <v>#N/A N/A</v>
        <stp/>
        <stp>BDH|14884443150204962071</stp>
        <tr r="M19" s="2"/>
      </tp>
      <tp t="s">
        <v>#N/A N/A</v>
        <stp/>
        <stp>BDH|16376455030425063543</stp>
        <tr r="J88" s="2"/>
      </tp>
      <tp t="s">
        <v>#N/A N/A</v>
        <stp/>
        <stp>BDH|11073059626536884495</stp>
        <tr r="Q54" s="2"/>
      </tp>
      <tp t="s">
        <v>#N/A N/A</v>
        <stp/>
        <stp>BDH|14788716215916319523</stp>
        <tr r="U25" s="2"/>
      </tp>
      <tp t="s">
        <v>#N/A N/A</v>
        <stp/>
        <stp>BDH|14522189180708691491</stp>
        <tr r="R8" s="2"/>
      </tp>
      <tp t="s">
        <v>#N/A N/A</v>
        <stp/>
        <stp>BDH|12491712392388522574</stp>
        <tr r="AF20" s="2"/>
      </tp>
      <tp t="s">
        <v>#N/A N/A</v>
        <stp/>
        <stp>BDH|12268645023680277724</stp>
        <tr r="S88" s="2"/>
      </tp>
      <tp t="s">
        <v>#N/A N/A</v>
        <stp/>
        <stp>BDH|16546965423135557900</stp>
        <tr r="J73" s="2"/>
      </tp>
      <tp t="s">
        <v>#N/A N/A</v>
        <stp/>
        <stp>BDH|18333458587776292361</stp>
        <tr r="Q24" s="2"/>
      </tp>
      <tp t="s">
        <v>#N/A N/A</v>
        <stp/>
        <stp>BDH|13328290478305055267</stp>
        <tr r="P82" s="2"/>
      </tp>
      <tp t="s">
        <v>#N/A N/A</v>
        <stp/>
        <stp>BDH|11873954757668817464</stp>
        <tr r="Q22" s="2"/>
      </tp>
      <tp t="s">
        <v>#N/A N/A</v>
        <stp/>
        <stp>BDH|17241241666400052241</stp>
        <tr r="K56" s="2"/>
      </tp>
      <tp t="s">
        <v>#N/A N/A</v>
        <stp/>
        <stp>BDH|10550339562283551762</stp>
        <tr r="S13" s="2"/>
      </tp>
      <tp t="s">
        <v>#N/A N/A</v>
        <stp/>
        <stp>BDH|17583359127871899686</stp>
        <tr r="D41" s="2"/>
      </tp>
      <tp t="s">
        <v>#N/A N/A</v>
        <stp/>
        <stp>BDH|18220980258324142143</stp>
        <tr r="O65" s="2"/>
      </tp>
      <tp t="s">
        <v>#N/A N/A</v>
        <stp/>
        <stp>BDH|14419093440242870322</stp>
        <tr r="G13" s="2"/>
      </tp>
      <tp t="s">
        <v>#N/A N/A</v>
        <stp/>
        <stp>BDH|12256707776251060233</stp>
        <tr r="F9" s="2"/>
      </tp>
      <tp t="s">
        <v>#N/A N/A</v>
        <stp/>
        <stp>BDH|14347243811577995190</stp>
        <tr r="P11" s="2"/>
      </tp>
      <tp t="s">
        <v>#N/A N/A</v>
        <stp/>
        <stp>BDH|14677718590679497258</stp>
        <tr r="W17" s="2"/>
      </tp>
      <tp t="s">
        <v>#N/A N/A</v>
        <stp/>
        <stp>BDH|13785350149184425197</stp>
        <tr r="L62" s="2"/>
      </tp>
      <tp t="s">
        <v>#N/A N/A</v>
        <stp/>
        <stp>BDH|13612358312415494536</stp>
        <tr r="AA76" s="2"/>
      </tp>
      <tp t="s">
        <v>#N/A N/A</v>
        <stp/>
        <stp>BDH|16774743924055670772</stp>
        <tr r="S68" s="2"/>
      </tp>
      <tp t="s">
        <v>#N/A N/A</v>
        <stp/>
        <stp>BDH|14034149345662629219</stp>
        <tr r="I57" s="2"/>
      </tp>
      <tp t="s">
        <v>#N/A N/A</v>
        <stp/>
        <stp>BDH|16218871837335278963</stp>
        <tr r="U68" s="2"/>
      </tp>
      <tp t="s">
        <v>#N/A N/A</v>
        <stp/>
        <stp>BDH|10574174079235404296</stp>
        <tr r="H29" s="2"/>
      </tp>
      <tp t="s">
        <v>#N/A N/A</v>
        <stp/>
        <stp>BDH|10253077594181544923</stp>
        <tr r="Y17" s="2"/>
      </tp>
      <tp t="s">
        <v>#N/A N/A</v>
        <stp/>
        <stp>BDH|15649555532201903319</stp>
        <tr r="M74" s="2"/>
      </tp>
      <tp t="s">
        <v>#N/A N/A</v>
        <stp/>
        <stp>BDH|11349207309095686752</stp>
        <tr r="G54" s="2"/>
      </tp>
      <tp t="s">
        <v>#N/A N/A</v>
        <stp/>
        <stp>BDH|16966788169094241239</stp>
        <tr r="G92" s="2"/>
      </tp>
      <tp t="s">
        <v>#N/A N/A</v>
        <stp/>
        <stp>BDH|15700887137707230834</stp>
        <tr r="Q62" s="2"/>
      </tp>
      <tp t="s">
        <v>#N/A N/A</v>
        <stp/>
        <stp>BDH|13765407469570453028</stp>
        <tr r="L51" s="2"/>
      </tp>
      <tp t="s">
        <v>#N/A N/A</v>
        <stp/>
        <stp>BDH|10222397718911814235</stp>
        <tr r="E44" s="2"/>
      </tp>
      <tp t="s">
        <v>#N/A N/A</v>
        <stp/>
        <stp>BDH|17591664019274536574</stp>
        <tr r="R79" s="2"/>
      </tp>
      <tp t="s">
        <v>#N/A N/A</v>
        <stp/>
        <stp>BDH|11843249217916543568</stp>
        <tr r="Q65" s="2"/>
      </tp>
      <tp t="s">
        <v>#N/A N/A</v>
        <stp/>
        <stp>BDH|14932229665329732814</stp>
        <tr r="AF37" s="2"/>
      </tp>
      <tp t="s">
        <v>#N/A N/A</v>
        <stp/>
        <stp>BDH|16584512134180888100</stp>
        <tr r="O73" s="2"/>
      </tp>
      <tp t="s">
        <v>#N/A N/A</v>
        <stp/>
        <stp>BDH|14920348984288326629</stp>
        <tr r="I69" s="2"/>
      </tp>
      <tp t="s">
        <v>#N/A N/A</v>
        <stp/>
        <stp>BDH|12775457630384800010</stp>
        <tr r="V22" s="2"/>
      </tp>
      <tp t="s">
        <v>#N/A N/A</v>
        <stp/>
        <stp>BDH|14725564186219561191</stp>
        <tr r="V23" s="2"/>
      </tp>
      <tp t="s">
        <v>#N/A N/A</v>
        <stp/>
        <stp>BDH|18142083582520094108</stp>
        <tr r="W96" s="2"/>
      </tp>
      <tp t="s">
        <v>#N/A N/A</v>
        <stp/>
        <stp>BDH|14840367513436475123</stp>
        <tr r="Z37" s="2"/>
      </tp>
      <tp t="s">
        <v>#N/A N/A</v>
        <stp/>
        <stp>BDH|16182982606609301767</stp>
        <tr r="W59" s="2"/>
      </tp>
      <tp t="s">
        <v>#N/A N/A</v>
        <stp/>
        <stp>BDH|12584680221577071061</stp>
        <tr r="Q45" s="2"/>
      </tp>
      <tp t="s">
        <v>#N/A N/A</v>
        <stp/>
        <stp>BDH|11812349176520270429</stp>
        <tr r="S53" s="2"/>
      </tp>
      <tp t="s">
        <v>#N/A N/A</v>
        <stp/>
        <stp>BDH|14809249962533690222</stp>
        <tr r="AF40" s="2"/>
      </tp>
      <tp t="s">
        <v>#N/A N/A</v>
        <stp/>
        <stp>BDH|10438638922462938717</stp>
        <tr r="W20" s="2"/>
      </tp>
      <tp t="s">
        <v>#N/A N/A</v>
        <stp/>
        <stp>BDH|16410428832698076893</stp>
        <tr r="AD44" s="2"/>
      </tp>
      <tp t="s">
        <v>#N/A N/A</v>
        <stp/>
        <stp>BDH|15252681887108948298</stp>
        <tr r="V48" s="2"/>
      </tp>
      <tp t="s">
        <v>#N/A N/A</v>
        <stp/>
        <stp>BDH|15948078076795215672</stp>
        <tr r="T47" s="2"/>
      </tp>
      <tp t="s">
        <v>#N/A N/A</v>
        <stp/>
        <stp>BDH|17825115714446198015</stp>
        <tr r="AB44" s="2"/>
      </tp>
      <tp t="s">
        <v>#N/A N/A</v>
        <stp/>
        <stp>BDH|14634180579475292680</stp>
        <tr r="AA73" s="2"/>
      </tp>
      <tp t="s">
        <v>#N/A N/A</v>
        <stp/>
        <stp>BDH|10621022215324889446</stp>
        <tr r="F18" s="2"/>
      </tp>
      <tp t="s">
        <v>#N/A N/A</v>
        <stp/>
        <stp>BDH|10981762961861709143</stp>
        <tr r="Q48" s="2"/>
      </tp>
      <tp t="s">
        <v>#N/A N/A</v>
        <stp/>
        <stp>BDH|14379767719804877782</stp>
        <tr r="J45" s="2"/>
      </tp>
      <tp t="s">
        <v>#N/A N/A</v>
        <stp/>
        <stp>BDH|17388703209187298640</stp>
        <tr r="AA22" s="2"/>
      </tp>
      <tp t="s">
        <v>#N/A N/A</v>
        <stp/>
        <stp>BDH|17312122049132214166</stp>
        <tr r="AF15" s="2"/>
      </tp>
      <tp t="s">
        <v>#N/A N/A</v>
        <stp/>
        <stp>BDH|14181650119310867298</stp>
        <tr r="E25" s="2"/>
      </tp>
      <tp t="s">
        <v>#N/A N/A</v>
        <stp/>
        <stp>BDH|10313102762941804761</stp>
        <tr r="W72" s="2"/>
      </tp>
      <tp t="s">
        <v>#N/A N/A</v>
        <stp/>
        <stp>BDH|17191317399709274540</stp>
        <tr r="I29" s="2"/>
      </tp>
      <tp t="s">
        <v>#N/A N/A</v>
        <stp/>
        <stp>BDH|14661123792858994509</stp>
        <tr r="D16" s="2"/>
      </tp>
      <tp t="s">
        <v>#N/A N/A</v>
        <stp/>
        <stp>BDH|14042506639897630405</stp>
        <tr r="AF14" s="2"/>
      </tp>
      <tp t="s">
        <v>#N/A N/A</v>
        <stp/>
        <stp>BDH|11913461596825255841</stp>
        <tr r="P86" s="2"/>
      </tp>
      <tp t="s">
        <v>#N/A N/A</v>
        <stp/>
        <stp>BDH|15909037708220541483</stp>
        <tr r="M28" s="2"/>
      </tp>
      <tp t="s">
        <v>#N/A N/A</v>
        <stp/>
        <stp>BDH|16513670832071619390</stp>
        <tr r="V87" s="2"/>
      </tp>
      <tp t="s">
        <v>#N/A N/A</v>
        <stp/>
        <stp>BDH|13696508675085816547</stp>
        <tr r="AC53" s="2"/>
      </tp>
      <tp t="s">
        <v>#N/A N/A</v>
        <stp/>
        <stp>BDH|13834911685912077124</stp>
        <tr r="T27" s="2"/>
      </tp>
      <tp t="s">
        <v>#N/A N/A</v>
        <stp/>
        <stp>BDH|17978039800337513114</stp>
        <tr r="Q10" s="2"/>
      </tp>
      <tp t="s">
        <v>#N/A N/A</v>
        <stp/>
        <stp>BDH|17054430724363863312</stp>
        <tr r="AF65" s="2"/>
      </tp>
      <tp t="s">
        <v>#N/A N/A</v>
        <stp/>
        <stp>BDH|10839731725142344636</stp>
        <tr r="S66" s="2"/>
      </tp>
      <tp t="s">
        <v>#N/A N/A</v>
        <stp/>
        <stp>BDH|12247879220238452605</stp>
        <tr r="U90" s="2"/>
      </tp>
      <tp t="s">
        <v>#N/A N/A</v>
        <stp/>
        <stp>BDH|10325437264537655337</stp>
        <tr r="Z78" s="2"/>
      </tp>
      <tp t="s">
        <v>#N/A N/A</v>
        <stp/>
        <stp>BDH|16972297973464153130</stp>
        <tr r="AE32" s="2"/>
      </tp>
      <tp t="s">
        <v>#N/A N/A</v>
        <stp/>
        <stp>BDH|12432344580548410752</stp>
        <tr r="AF55" s="2"/>
      </tp>
      <tp t="s">
        <v>#N/A N/A</v>
        <stp/>
        <stp>BDH|16383237178284959108</stp>
        <tr r="Y18" s="2"/>
      </tp>
      <tp t="s">
        <v>#N/A N/A</v>
        <stp/>
        <stp>BDH|12515284130637571290</stp>
        <tr r="M47" s="2"/>
      </tp>
      <tp t="s">
        <v>#N/A N/A</v>
        <stp/>
        <stp>BDH|16647896690941829072</stp>
        <tr r="AC58" s="2"/>
      </tp>
      <tp t="s">
        <v>#N/A N/A</v>
        <stp/>
        <stp>BDH|12235464901263684336</stp>
        <tr r="H16" s="2"/>
      </tp>
      <tp t="s">
        <v>#N/A N/A</v>
        <stp/>
        <stp>BDH|10145339126227455008</stp>
        <tr r="T80" s="2"/>
      </tp>
      <tp t="s">
        <v>#N/A N/A</v>
        <stp/>
        <stp>BDH|15318358111252559328</stp>
        <tr r="P87" s="2"/>
      </tp>
      <tp t="s">
        <v>#N/A N/A</v>
        <stp/>
        <stp>BDH|14726810654157181800</stp>
        <tr r="C93" s="2"/>
      </tp>
      <tp t="s">
        <v>#N/A N/A</v>
        <stp/>
        <stp>BDH|12383999378562740869</stp>
        <tr r="R31" s="2"/>
      </tp>
      <tp t="s">
        <v>#N/A N/A</v>
        <stp/>
        <stp>BDH|15624639440042268345</stp>
        <tr r="C76" s="2"/>
      </tp>
      <tp t="s">
        <v>#N/A N/A</v>
        <stp/>
        <stp>BDH|11816557680993687989</stp>
        <tr r="AF80" s="2"/>
      </tp>
      <tp t="s">
        <v>#N/A N/A</v>
        <stp/>
        <stp>BDH|13038636147836533122</stp>
        <tr r="AC81" s="2"/>
      </tp>
      <tp t="s">
        <v>#N/A N/A</v>
        <stp/>
        <stp>BDH|14424114723520772125</stp>
        <tr r="F57" s="2"/>
      </tp>
      <tp t="s">
        <v>#N/A N/A</v>
        <stp/>
        <stp>BDH|11509386819794739119</stp>
        <tr r="L28" s="2"/>
      </tp>
      <tp t="s">
        <v>#N/A N/A</v>
        <stp/>
        <stp>BDH|11730264257746497602</stp>
        <tr r="AE43" s="2"/>
      </tp>
      <tp t="s">
        <v>#N/A N/A</v>
        <stp/>
        <stp>BDH|17121352078980818563</stp>
        <tr r="V93" s="2"/>
      </tp>
      <tp t="s">
        <v>#N/A N/A</v>
        <stp/>
        <stp>BDH|15959170131250874156</stp>
        <tr r="H14" s="2"/>
      </tp>
      <tp t="s">
        <v>#N/A N/A</v>
        <stp/>
        <stp>BDH|12542748061614274177</stp>
        <tr r="Y36" s="2"/>
      </tp>
      <tp t="s">
        <v>#N/A N/A</v>
        <stp/>
        <stp>BDH|14501925043196831998</stp>
        <tr r="Y47" s="2"/>
      </tp>
      <tp t="s">
        <v>#N/A N/A</v>
        <stp/>
        <stp>BDH|12992780547895544263</stp>
        <tr r="AC19" s="2"/>
      </tp>
      <tp t="s">
        <v>#N/A N/A</v>
        <stp/>
        <stp>BDH|17112213220102750338</stp>
        <tr r="C43" s="2"/>
      </tp>
      <tp t="s">
        <v>#N/A N/A</v>
        <stp/>
        <stp>BDH|14669225353551417474</stp>
        <tr r="S33" s="2"/>
      </tp>
      <tp t="s">
        <v>#N/A N/A</v>
        <stp/>
        <stp>BDH|12798630321129379929</stp>
        <tr r="AD28" s="2"/>
      </tp>
      <tp t="s">
        <v>#N/A N/A</v>
        <stp/>
        <stp>BDH|14634462700415114351</stp>
        <tr r="R24" s="2"/>
      </tp>
      <tp t="s">
        <v>#N/A N/A</v>
        <stp/>
        <stp>BDH|10660651302855611505</stp>
        <tr r="K99" s="2"/>
      </tp>
      <tp t="s">
        <v>#N/A N/A</v>
        <stp/>
        <stp>BDH|10438448316230901384</stp>
        <tr r="Q93" s="2"/>
      </tp>
      <tp t="s">
        <v>#N/A N/A</v>
        <stp/>
        <stp>BDH|10122738396360716845</stp>
        <tr r="R12" s="2"/>
      </tp>
      <tp t="s">
        <v>#N/A N/A</v>
        <stp/>
        <stp>BDH|16352278862504027019</stp>
        <tr r="AC68" s="2"/>
      </tp>
      <tp t="s">
        <v>#N/A N/A</v>
        <stp/>
        <stp>BDH|13748083440757188698</stp>
        <tr r="M30" s="2"/>
      </tp>
      <tp t="s">
        <v>#N/A N/A</v>
        <stp/>
        <stp>BDH|14377041231119100802</stp>
        <tr r="AB88" s="2"/>
      </tp>
      <tp t="s">
        <v>#N/A N/A</v>
        <stp/>
        <stp>BDH|17357575506560465416</stp>
        <tr r="AF74" s="2"/>
      </tp>
      <tp t="s">
        <v>#N/A N/A</v>
        <stp/>
        <stp>BDH|17294806970156609828</stp>
        <tr r="T57" s="2"/>
      </tp>
      <tp t="s">
        <v>#N/A N/A</v>
        <stp/>
        <stp>BDH|13877099435486474068</stp>
        <tr r="J72" s="2"/>
      </tp>
      <tp t="s">
        <v>#N/A N/A</v>
        <stp/>
        <stp>BDH|15720487950472206048</stp>
        <tr r="AE93" s="2"/>
      </tp>
      <tp t="s">
        <v>#N/A N/A</v>
        <stp/>
        <stp>BDH|12170593775264518218</stp>
        <tr r="Z31" s="2"/>
      </tp>
      <tp t="s">
        <v>#N/A N/A</v>
        <stp/>
        <stp>BDH|13700252123913948612</stp>
        <tr r="AA24" s="2"/>
      </tp>
      <tp t="s">
        <v>#N/A N/A</v>
        <stp/>
        <stp>BDH|11211108861096830627</stp>
        <tr r="AC70" s="2"/>
      </tp>
      <tp t="s">
        <v>#N/A N/A</v>
        <stp/>
        <stp>BDH|18183269496636055385</stp>
        <tr r="V41" s="2"/>
      </tp>
      <tp t="s">
        <v>#N/A N/A</v>
        <stp/>
        <stp>BDH|15289238919408597850</stp>
        <tr r="S23" s="2"/>
      </tp>
      <tp t="s">
        <v>#N/A N/A</v>
        <stp/>
        <stp>BDH|11786601916718944809</stp>
        <tr r="AC63" s="2"/>
      </tp>
      <tp t="s">
        <v>#N/A N/A</v>
        <stp/>
        <stp>BDH|12037559906251137092</stp>
        <tr r="T43" s="2"/>
      </tp>
      <tp t="s">
        <v>#N/A N/A</v>
        <stp/>
        <stp>BDH|16055270186149973330</stp>
        <tr r="E18" s="2"/>
      </tp>
      <tp t="s">
        <v>#N/A N/A</v>
        <stp/>
        <stp>BDH|12957096712530042590</stp>
        <tr r="AA41" s="2"/>
      </tp>
      <tp t="s">
        <v>#N/A N/A</v>
        <stp/>
        <stp>BDH|11096127714232932548</stp>
        <tr r="AF16" s="2"/>
      </tp>
      <tp t="s">
        <v>#N/A N/A</v>
        <stp/>
        <stp>BDH|11221494646657225059</stp>
        <tr r="P12" s="2"/>
      </tp>
      <tp t="s">
        <v>#N/A N/A</v>
        <stp/>
        <stp>BDH|14748563858107689554</stp>
        <tr r="F90" s="2"/>
      </tp>
      <tp t="s">
        <v>#N/A N/A</v>
        <stp/>
        <stp>BDH|17527601321502771795</stp>
        <tr r="S59" s="2"/>
      </tp>
      <tp t="s">
        <v>#N/A N/A</v>
        <stp/>
        <stp>BDH|14665756432854481288</stp>
        <tr r="W27" s="2"/>
      </tp>
      <tp t="s">
        <v>#N/A N/A</v>
        <stp/>
        <stp>BDH|16909033140845203157</stp>
        <tr r="V71" s="2"/>
      </tp>
      <tp t="s">
        <v>#N/A N/A</v>
        <stp/>
        <stp>BDH|13717122940232179294</stp>
        <tr r="G16" s="2"/>
      </tp>
      <tp t="s">
        <v>#N/A N/A</v>
        <stp/>
        <stp>BDH|14020383421573367073</stp>
        <tr r="O32" s="2"/>
      </tp>
      <tp t="s">
        <v>#N/A N/A</v>
        <stp/>
        <stp>BDH|12927781559957532109</stp>
        <tr r="M13" s="2"/>
      </tp>
      <tp t="s">
        <v>#N/A N/A</v>
        <stp/>
        <stp>BDH|13596618833631214181</stp>
        <tr r="I20" s="2"/>
      </tp>
      <tp t="s">
        <v>#N/A N/A</v>
        <stp/>
        <stp>BDH|16861511072151045365</stp>
        <tr r="AB59" s="2"/>
      </tp>
      <tp t="s">
        <v>#N/A N/A</v>
        <stp/>
        <stp>BDH|10970110583459600604</stp>
        <tr r="Q35" s="2"/>
      </tp>
      <tp t="s">
        <v>#N/A N/A</v>
        <stp/>
        <stp>BDH|12898414344100420455</stp>
        <tr r="AB7" s="2"/>
      </tp>
      <tp t="s">
        <v>#N/A N/A</v>
        <stp/>
        <stp>BDH|11257962596084880366</stp>
        <tr r="U50" s="2"/>
      </tp>
      <tp t="s">
        <v>#N/A N/A</v>
        <stp/>
        <stp>BDH|13674877559939492108</stp>
        <tr r="J79" s="2"/>
      </tp>
      <tp t="s">
        <v>#N/A N/A</v>
        <stp/>
        <stp>BDH|15540076513983927144</stp>
        <tr r="D76" s="2"/>
      </tp>
      <tp t="s">
        <v>#N/A N/A</v>
        <stp/>
        <stp>BDH|11630110665928640888</stp>
        <tr r="AD36" s="2"/>
      </tp>
      <tp t="s">
        <v>#N/A N/A</v>
        <stp/>
        <stp>BDH|12505865075062874919</stp>
        <tr r="M51" s="2"/>
      </tp>
      <tp t="s">
        <v>#N/A N/A</v>
        <stp/>
        <stp>BDH|13842773673590382503</stp>
        <tr r="X74" s="2"/>
      </tp>
      <tp t="s">
        <v>#N/A N/A</v>
        <stp/>
        <stp>BDH|12325424237777943408</stp>
        <tr r="D92" s="2"/>
      </tp>
      <tp t="s">
        <v>#N/A N/A</v>
        <stp/>
        <stp>BDH|14156390205172663341</stp>
        <tr r="AC14" s="2"/>
      </tp>
      <tp t="s">
        <v>#N/A N/A</v>
        <stp/>
        <stp>BDH|12709319350213851105</stp>
        <tr r="R82" s="2"/>
      </tp>
      <tp t="s">
        <v>#N/A N/A</v>
        <stp/>
        <stp>BDH|16916190445657232294</stp>
        <tr r="U92" s="2"/>
      </tp>
      <tp t="s">
        <v>#N/A N/A</v>
        <stp/>
        <stp>BDH|10275410265495017184</stp>
        <tr r="U82" s="2"/>
      </tp>
      <tp t="s">
        <v>#N/A N/A</v>
        <stp/>
        <stp>BDH|15392727401766947279</stp>
        <tr r="W43" s="2"/>
      </tp>
      <tp t="s">
        <v>#N/A N/A</v>
        <stp/>
        <stp>BDH|12896663864051978427</stp>
        <tr r="N46" s="2"/>
      </tp>
      <tp t="s">
        <v>#N/A N/A</v>
        <stp/>
        <stp>BDH|14271266133816710411</stp>
        <tr r="AE12" s="2"/>
      </tp>
      <tp t="s">
        <v>#N/A N/A</v>
        <stp/>
        <stp>BDH|16366037018431892110</stp>
        <tr r="D49" s="2"/>
      </tp>
      <tp t="s">
        <v>#N/A N/A</v>
        <stp/>
        <stp>BDH|13055736473330069415</stp>
        <tr r="G24" s="2"/>
      </tp>
      <tp t="s">
        <v>#N/A N/A</v>
        <stp/>
        <stp>BDH|10484956951719624260</stp>
        <tr r="AB52" s="2"/>
      </tp>
      <tp t="s">
        <v>#N/A N/A</v>
        <stp/>
        <stp>BDH|10284313302134069014</stp>
        <tr r="X12" s="2"/>
      </tp>
      <tp t="s">
        <v>#N/A N/A</v>
        <stp/>
        <stp>BDH|15118163360050027578</stp>
        <tr r="K28" s="2"/>
      </tp>
      <tp t="s">
        <v>#N/A N/A</v>
        <stp/>
        <stp>BDH|11415166947931569207</stp>
        <tr r="AE36" s="2"/>
      </tp>
      <tp t="s">
        <v>#N/A N/A</v>
        <stp/>
        <stp>BDH|15249740746282980391</stp>
        <tr r="Z30" s="2"/>
      </tp>
      <tp t="s">
        <v>#N/A N/A</v>
        <stp/>
        <stp>BDH|12112011478517340583</stp>
        <tr r="R67" s="2"/>
      </tp>
      <tp t="s">
        <v>#N/A N/A</v>
        <stp/>
        <stp>BDH|10199261026844569376</stp>
        <tr r="AF44" s="2"/>
      </tp>
      <tp t="s">
        <v>#N/A N/A</v>
        <stp/>
        <stp>BDH|13695430903532089254</stp>
        <tr r="X59" s="2"/>
      </tp>
      <tp t="s">
        <v>#N/A N/A</v>
        <stp/>
        <stp>BDH|15660746581144720973</stp>
        <tr r="K68" s="2"/>
      </tp>
      <tp t="s">
        <v>#N/A N/A</v>
        <stp/>
        <stp>BDH|13853582238642843031</stp>
        <tr r="O94" s="2"/>
      </tp>
      <tp t="s">
        <v>#N/A N/A</v>
        <stp/>
        <stp>BDH|17985692921787043333</stp>
        <tr r="C36" s="2"/>
      </tp>
      <tp t="s">
        <v>#N/A N/A</v>
        <stp/>
        <stp>BDH|12846626138579792974</stp>
        <tr r="N47" s="2"/>
      </tp>
      <tp t="s">
        <v>#N/A N/A</v>
        <stp/>
        <stp>BDH|17077953627299787276</stp>
        <tr r="Q88" s="2"/>
      </tp>
      <tp t="s">
        <v>#N/A N/A</v>
        <stp/>
        <stp>BDH|16268228398332368899</stp>
        <tr r="W28" s="2"/>
      </tp>
      <tp t="s">
        <v>#N/A N/A</v>
        <stp/>
        <stp>BDH|17658144672357612138</stp>
        <tr r="U75" s="2"/>
      </tp>
      <tp t="s">
        <v>#N/A N/A</v>
        <stp/>
        <stp>BDH|11140584489692592906</stp>
        <tr r="W8" s="2"/>
      </tp>
      <tp t="s">
        <v>#N/A N/A</v>
        <stp/>
        <stp>BDH|16721364500600510210</stp>
        <tr r="O51" s="2"/>
      </tp>
      <tp t="s">
        <v>#N/A N/A</v>
        <stp/>
        <stp>BDH|17164709033855723100</stp>
        <tr r="N7" s="2"/>
      </tp>
      <tp t="s">
        <v>#N/A N/A</v>
        <stp/>
        <stp>BDH|10251969953868098335</stp>
        <tr r="AD25" s="2"/>
      </tp>
      <tp t="s">
        <v>#N/A N/A</v>
        <stp/>
        <stp>BDH|10984977993082840517</stp>
        <tr r="D36" s="2"/>
      </tp>
      <tp t="s">
        <v>#N/A N/A</v>
        <stp/>
        <stp>BDH|10228321149943594383</stp>
        <tr r="J49" s="2"/>
      </tp>
      <tp t="s">
        <v>#N/A N/A</v>
        <stp/>
        <stp>BDH|14012024525815470441</stp>
        <tr r="F69" s="2"/>
      </tp>
      <tp t="s">
        <v>#N/A N/A</v>
        <stp/>
        <stp>BDH|14931387935674264717</stp>
        <tr r="V7" s="2"/>
      </tp>
      <tp t="s">
        <v>#N/A N/A</v>
        <stp/>
        <stp>BDH|14549156052161220673</stp>
        <tr r="AC90" s="2"/>
      </tp>
      <tp t="s">
        <v>#N/A N/A</v>
        <stp/>
        <stp>BDH|14666493175268855853</stp>
        <tr r="AD74" s="2"/>
      </tp>
      <tp t="s">
        <v>#N/A N/A</v>
        <stp/>
        <stp>BDH|15149295919087670600</stp>
        <tr r="Z87" s="2"/>
      </tp>
      <tp t="s">
        <v>#N/A N/A</v>
        <stp/>
        <stp>BDH|11047225310752268775</stp>
        <tr r="H62" s="2"/>
      </tp>
      <tp t="s">
        <v>#N/A N/A</v>
        <stp/>
        <stp>BDH|10721708845346067248</stp>
        <tr r="M96" s="2"/>
      </tp>
      <tp t="s">
        <v>#N/A N/A</v>
        <stp/>
        <stp>BDH|17604499116677898273</stp>
        <tr r="AD65" s="2"/>
      </tp>
      <tp t="s">
        <v>#N/A N/A</v>
        <stp/>
        <stp>BDH|12930485972767059151</stp>
        <tr r="F26" s="2"/>
      </tp>
      <tp t="s">
        <v>#N/A N/A</v>
        <stp/>
        <stp>BDH|14177408875053442390</stp>
        <tr r="G60" s="2"/>
      </tp>
      <tp t="s">
        <v>#N/A N/A</v>
        <stp/>
        <stp>BDH|15149788343821496077</stp>
        <tr r="AA20" s="2"/>
      </tp>
      <tp t="s">
        <v>#N/A N/A</v>
        <stp/>
        <stp>BDH|14279272999639425118</stp>
        <tr r="C73" s="2"/>
      </tp>
      <tp t="s">
        <v>#N/A N/A</v>
        <stp/>
        <stp>BDH|10795193548872972068</stp>
        <tr r="O16" s="2"/>
      </tp>
      <tp t="s">
        <v>#N/A N/A</v>
        <stp/>
        <stp>BDH|11611520179835523101</stp>
        <tr r="AB20" s="2"/>
      </tp>
      <tp t="s">
        <v>#N/A N/A</v>
        <stp/>
        <stp>BDH|14191599403703525568</stp>
        <tr r="AF78" s="2"/>
      </tp>
      <tp t="s">
        <v>#N/A N/A</v>
        <stp/>
        <stp>BDH|14991438436674018045</stp>
        <tr r="AE95" s="2"/>
      </tp>
      <tp t="s">
        <v>#N/A N/A</v>
        <stp/>
        <stp>BDH|16869203409785144686</stp>
        <tr r="K97" s="2"/>
      </tp>
      <tp t="s">
        <v>#N/A N/A</v>
        <stp/>
        <stp>BDH|11347195208162059599</stp>
        <tr r="H26" s="2"/>
      </tp>
      <tp t="s">
        <v>#N/A N/A</v>
        <stp/>
        <stp>BDH|11317358557013866323</stp>
        <tr r="K89" s="2"/>
      </tp>
      <tp t="s">
        <v>#N/A N/A</v>
        <stp/>
        <stp>BDH|18430885723080644521</stp>
        <tr r="I49" s="2"/>
      </tp>
      <tp t="s">
        <v>#N/A N/A</v>
        <stp/>
        <stp>BDH|10975069904580421748</stp>
        <tr r="Q34" s="2"/>
      </tp>
      <tp t="s">
        <v>#N/A N/A</v>
        <stp/>
        <stp>BDH|17817782778987510770</stp>
        <tr r="P32" s="2"/>
      </tp>
      <tp t="s">
        <v>#N/A N/A</v>
        <stp/>
        <stp>BDH|10981434644007104056</stp>
        <tr r="D97" s="2"/>
      </tp>
      <tp t="s">
        <v>#N/A N/A</v>
        <stp/>
        <stp>BDH|15026323553890264497</stp>
        <tr r="T55" s="2"/>
      </tp>
      <tp t="s">
        <v>#N/A N/A</v>
        <stp/>
        <stp>BDH|13170073543253991362</stp>
        <tr r="AF89" s="2"/>
      </tp>
      <tp t="s">
        <v>#N/A N/A</v>
        <stp/>
        <stp>BDH|12842500361232490400</stp>
        <tr r="D44" s="2"/>
      </tp>
      <tp t="s">
        <v>#N/A N/A</v>
        <stp/>
        <stp>BDH|18324968689127634976</stp>
        <tr r="F37" s="2"/>
      </tp>
      <tp t="s">
        <v>#N/A N/A</v>
        <stp/>
        <stp>BDH|14887436820674125177</stp>
        <tr r="E66" s="2"/>
      </tp>
      <tp t="s">
        <v>#N/A N/A</v>
        <stp/>
        <stp>BDH|16875316831002354364</stp>
        <tr r="N73" s="2"/>
      </tp>
      <tp t="s">
        <v>#N/A N/A</v>
        <stp/>
        <stp>BDH|15747306103545038494</stp>
        <tr r="AD59" s="2"/>
      </tp>
      <tp t="s">
        <v>#N/A N/A</v>
        <stp/>
        <stp>BDH|16944557238330143783</stp>
        <tr r="AF86" s="2"/>
      </tp>
      <tp t="s">
        <v>#N/A N/A</v>
        <stp/>
        <stp>BDH|12743634730534171498</stp>
        <tr r="AA30" s="2"/>
      </tp>
      <tp t="s">
        <v>#N/A N/A</v>
        <stp/>
        <stp>BDH|13730134116597959379</stp>
        <tr r="V26" s="2"/>
      </tp>
      <tp t="s">
        <v>#N/A N/A</v>
        <stp/>
        <stp>BDH|16885621670770122071</stp>
        <tr r="O92" s="2"/>
      </tp>
      <tp t="s">
        <v>#N/A N/A</v>
        <stp/>
        <stp>BDH|13419081806426397251</stp>
        <tr r="O64" s="2"/>
      </tp>
      <tp t="s">
        <v>#N/A N/A</v>
        <stp/>
        <stp>BDH|15812473374612063371</stp>
        <tr r="I50" s="2"/>
      </tp>
      <tp t="s">
        <v>#N/A N/A</v>
        <stp/>
        <stp>BDH|11135685700282364263</stp>
        <tr r="R63" s="2"/>
      </tp>
      <tp t="s">
        <v>#N/A N/A</v>
        <stp/>
        <stp>BDH|13625311255734725690</stp>
        <tr r="V49" s="2"/>
      </tp>
      <tp t="s">
        <v>#N/A N/A</v>
        <stp/>
        <stp>BDH|14414630830352110498</stp>
        <tr r="P63" s="2"/>
      </tp>
      <tp t="s">
        <v>#N/A N/A</v>
        <stp/>
        <stp>BDH|15016553395168807679</stp>
        <tr r="L82" s="2"/>
      </tp>
      <tp t="s">
        <v>#N/A N/A</v>
        <stp/>
        <stp>BDH|12980053641662030324</stp>
        <tr r="C20" s="2"/>
      </tp>
      <tp t="s">
        <v>#N/A N/A</v>
        <stp/>
        <stp>BDH|11084716852992541692</stp>
        <tr r="W57" s="2"/>
      </tp>
      <tp t="s">
        <v>#N/A N/A</v>
        <stp/>
        <stp>BDH|14954734684079160502</stp>
        <tr r="K11" s="2"/>
      </tp>
      <tp t="s">
        <v>#N/A N/A</v>
        <stp/>
        <stp>BDH|12848413270217397147</stp>
        <tr r="AC60" s="2"/>
      </tp>
      <tp t="s">
        <v>#N/A N/A</v>
        <stp/>
        <stp>BDH|12908241972661959189</stp>
        <tr r="H77" s="2"/>
      </tp>
      <tp t="s">
        <v>#N/A N/A</v>
        <stp/>
        <stp>BDH|14904281593158914052</stp>
        <tr r="M37" s="2"/>
      </tp>
      <tp t="s">
        <v>#N/A N/A</v>
        <stp/>
        <stp>BDH|16139661968905885491</stp>
        <tr r="V31" s="2"/>
      </tp>
      <tp t="s">
        <v>#N/A N/A</v>
        <stp/>
        <stp>BDH|13477304216951490781</stp>
        <tr r="X51" s="2"/>
      </tp>
      <tp t="s">
        <v>#N/A N/A</v>
        <stp/>
        <stp>BDH|14774752409857329369</stp>
        <tr r="Z75" s="2"/>
      </tp>
      <tp t="s">
        <v>#N/A N/A</v>
        <stp/>
        <stp>BDH|12948292564632339395</stp>
        <tr r="N21" s="2"/>
      </tp>
      <tp t="s">
        <v>#N/A N/A</v>
        <stp/>
        <stp>BDH|16534005485889313325</stp>
        <tr r="X49" s="2"/>
      </tp>
      <tp t="s">
        <v>#N/A N/A</v>
        <stp/>
        <stp>BDH|17350241334940503277</stp>
        <tr r="X11" s="2"/>
      </tp>
      <tp t="s">
        <v>#N/A N/A</v>
        <stp/>
        <stp>BDH|14132108899339932102</stp>
        <tr r="H35" s="2"/>
      </tp>
      <tp t="s">
        <v>#N/A N/A</v>
        <stp/>
        <stp>BDH|11120211865414698520</stp>
        <tr r="P9" s="2"/>
      </tp>
      <tp t="s">
        <v>#N/A N/A</v>
        <stp/>
        <stp>BDH|13548333062331060351</stp>
        <tr r="U78" s="2"/>
      </tp>
      <tp t="s">
        <v>#N/A N/A</v>
        <stp/>
        <stp>BDH|16514207297078357106</stp>
        <tr r="Z88" s="2"/>
      </tp>
      <tp t="s">
        <v>#N/A N/A</v>
        <stp/>
        <stp>BDH|11190029840061740050</stp>
        <tr r="AA14" s="2"/>
      </tp>
      <tp t="s">
        <v>#N/A N/A</v>
        <stp/>
        <stp>BDH|17126617860492070112</stp>
        <tr r="C8" s="2"/>
      </tp>
      <tp t="s">
        <v>#N/A N/A</v>
        <stp/>
        <stp>BDH|13657079793359601744</stp>
        <tr r="E16" s="2"/>
      </tp>
      <tp t="s">
        <v>#N/A N/A</v>
        <stp/>
        <stp>BDH|18322078366198607245</stp>
        <tr r="L53" s="2"/>
      </tp>
      <tp t="s">
        <v>#N/A N/A</v>
        <stp/>
        <stp>BDH|18209133314228242474</stp>
        <tr r="N67" s="2"/>
      </tp>
      <tp t="s">
        <v>#N/A N/A</v>
        <stp/>
        <stp>BDH|17743714264005071726</stp>
        <tr r="X18" s="2"/>
      </tp>
      <tp t="s">
        <v>#N/A N/A</v>
        <stp/>
        <stp>BDH|12698221472214075768</stp>
        <tr r="M90" s="2"/>
      </tp>
      <tp t="s">
        <v>#N/A N/A</v>
        <stp/>
        <stp>BDH|14432719813103030551</stp>
        <tr r="Q63" s="2"/>
      </tp>
      <tp t="s">
        <v>#N/A N/A</v>
        <stp/>
        <stp>BDH|18276710285091187240</stp>
        <tr r="J16" s="2"/>
      </tp>
      <tp t="s">
        <v>#N/A N/A</v>
        <stp/>
        <stp>BDH|14482258838054394598</stp>
        <tr r="N35" s="2"/>
      </tp>
      <tp t="s">
        <v>#N/A N/A</v>
        <stp/>
        <stp>BDH|14083715145813170079</stp>
        <tr r="Y55" s="2"/>
      </tp>
      <tp t="s">
        <v>#N/A N/A</v>
        <stp/>
        <stp>BDH|11562563367527647106</stp>
        <tr r="X54" s="2"/>
      </tp>
      <tp t="s">
        <v>#N/A N/A</v>
        <stp/>
        <stp>BDH|17179652765741364205</stp>
        <tr r="O37" s="2"/>
      </tp>
      <tp t="s">
        <v>#N/A N/A</v>
        <stp/>
        <stp>BDH|13760103622637689364</stp>
        <tr r="T49" s="2"/>
      </tp>
      <tp t="s">
        <v>#N/A N/A</v>
        <stp/>
        <stp>BDH|17026667744352613318</stp>
        <tr r="AD93" s="2"/>
      </tp>
      <tp t="s">
        <v>#N/A N/A</v>
        <stp/>
        <stp>BDH|17345572352351784242</stp>
        <tr r="O54" s="2"/>
      </tp>
      <tp t="s">
        <v>#N/A N/A</v>
        <stp/>
        <stp>BDH|14930152578800514644</stp>
        <tr r="AE82" s="2"/>
      </tp>
      <tp t="s">
        <v>#N/A N/A</v>
        <stp/>
        <stp>BDH|18111410495133657264</stp>
        <tr r="AD91" s="2"/>
      </tp>
      <tp t="s">
        <v>#N/A N/A</v>
        <stp/>
        <stp>BDH|14075053301161622170</stp>
        <tr r="O40" s="2"/>
      </tp>
      <tp t="s">
        <v>#N/A N/A</v>
        <stp/>
        <stp>BDH|10520921816434676826</stp>
        <tr r="O33" s="2"/>
      </tp>
      <tp t="s">
        <v>#N/A N/A</v>
        <stp/>
        <stp>BDH|16429363270994354248</stp>
        <tr r="AF7" s="2"/>
      </tp>
      <tp t="s">
        <v>#N/A N/A</v>
        <stp/>
        <stp>BDH|12213637066884537267</stp>
        <tr r="J61" s="2"/>
      </tp>
      <tp t="s">
        <v>#N/A N/A</v>
        <stp/>
        <stp>BDH|12415279771687452424</stp>
        <tr r="AB54" s="2"/>
      </tp>
      <tp t="s">
        <v>#N/A N/A</v>
        <stp/>
        <stp>BDH|15853483512492240648</stp>
        <tr r="D58" s="2"/>
      </tp>
      <tp t="s">
        <v>#N/A N/A</v>
        <stp/>
        <stp>BDH|11172244273757180730</stp>
        <tr r="AA51" s="2"/>
      </tp>
      <tp t="s">
        <v>#N/A N/A</v>
        <stp/>
        <stp>BDH|12336202576181186208</stp>
        <tr r="F55" s="2"/>
      </tp>
      <tp t="s">
        <v>#N/A N/A</v>
        <stp/>
        <stp>BDH|14097021290331089863</stp>
        <tr r="AB74" s="2"/>
      </tp>
      <tp t="s">
        <v>#N/A N/A</v>
        <stp/>
        <stp>BDH|11678572075533193419</stp>
        <tr r="Q70" s="2"/>
      </tp>
      <tp t="s">
        <v>#N/A N/A</v>
        <stp/>
        <stp>BDH|14429474552506488724</stp>
        <tr r="Q36" s="2"/>
      </tp>
      <tp t="s">
        <v>#N/A N/A</v>
        <stp/>
        <stp>BDH|14264253271242464753</stp>
        <tr r="X27" s="2"/>
      </tp>
      <tp t="s">
        <v>#N/A N/A</v>
        <stp/>
        <stp>BDH|16690047840124689230</stp>
        <tr r="L37" s="2"/>
      </tp>
      <tp t="s">
        <v>#N/A N/A</v>
        <stp/>
        <stp>BDH|16974065464510592498</stp>
        <tr r="P95" s="2"/>
      </tp>
      <tp t="s">
        <v>#N/A N/A</v>
        <stp/>
        <stp>BDH|13561004877219139959</stp>
        <tr r="L8" s="2"/>
      </tp>
      <tp t="s">
        <v>#N/A N/A</v>
        <stp/>
        <stp>BDH|10237262169014833431</stp>
        <tr r="X50" s="2"/>
      </tp>
      <tp t="s">
        <v>#N/A N/A</v>
        <stp/>
        <stp>BDH|16535948831401691904</stp>
        <tr r="T78" s="2"/>
      </tp>
      <tp t="s">
        <v>#N/A N/A</v>
        <stp/>
        <stp>BDH|16179605623654013247</stp>
        <tr r="Y35" s="2"/>
      </tp>
      <tp t="s">
        <v>#N/A N/A</v>
        <stp/>
        <stp>BDH|13377055111975347328</stp>
        <tr r="U86" s="2"/>
      </tp>
      <tp t="s">
        <v>#N/A N/A</v>
        <stp/>
        <stp>BDH|12549353335104572267</stp>
        <tr r="M88" s="2"/>
      </tp>
      <tp t="s">
        <v>#N/A N/A</v>
        <stp/>
        <stp>BDH|14992032177246252167</stp>
        <tr r="G9" s="2"/>
      </tp>
      <tp t="s">
        <v>#N/A N/A</v>
        <stp/>
        <stp>BDH|15540409918077785336</stp>
        <tr r="W35" s="2"/>
      </tp>
      <tp t="s">
        <v>#N/A N/A</v>
        <stp/>
        <stp>BDH|13240156889479393749</stp>
        <tr r="AE25" s="2"/>
      </tp>
      <tp t="s">
        <v>#N/A N/A</v>
        <stp/>
        <stp>BDH|17297632338215760365</stp>
        <tr r="D51" s="2"/>
      </tp>
      <tp t="s">
        <v>#N/A N/A</v>
        <stp/>
        <stp>BDH|11743098445586510761</stp>
        <tr r="AB49" s="2"/>
      </tp>
      <tp t="s">
        <v>#N/A N/A</v>
        <stp/>
        <stp>BDH|16872778847467410646</stp>
        <tr r="AF56" s="2"/>
      </tp>
      <tp t="s">
        <v>#N/A N/A</v>
        <stp/>
        <stp>BDH|17856980901743895918</stp>
        <tr r="AB42" s="2"/>
      </tp>
      <tp t="s">
        <v>#N/A N/A</v>
        <stp/>
        <stp>BDH|15707816056335118992</stp>
        <tr r="X46" s="2"/>
      </tp>
      <tp t="s">
        <v>#N/A N/A</v>
        <stp/>
        <stp>BDH|14856023221576041432</stp>
        <tr r="S64" s="2"/>
      </tp>
      <tp t="s">
        <v>#N/A N/A</v>
        <stp/>
        <stp>BDH|11714555128590104209</stp>
        <tr r="T52" s="2"/>
      </tp>
      <tp t="s">
        <v>#N/A N/A</v>
        <stp/>
        <stp>BDH|17776376342992126685</stp>
        <tr r="Q32" s="2"/>
      </tp>
      <tp t="s">
        <v>#N/A N/A</v>
        <stp/>
        <stp>BDH|11757752999353121818</stp>
        <tr r="U54" s="2"/>
      </tp>
      <tp t="s">
        <v>#N/A N/A</v>
        <stp/>
        <stp>BDH|16401754027136598182</stp>
        <tr r="D10" s="2"/>
      </tp>
      <tp t="s">
        <v>#N/A N/A</v>
        <stp/>
        <stp>BDH|16794353866465644299</stp>
        <tr r="U10" s="2"/>
      </tp>
      <tp t="s">
        <v>#N/A N/A</v>
        <stp/>
        <stp>BDH|14564643397906580983</stp>
        <tr r="AE77" s="2"/>
      </tp>
      <tp t="s">
        <v>#N/A N/A</v>
        <stp/>
        <stp>BDH|14014029420284067685</stp>
        <tr r="AB69" s="2"/>
      </tp>
      <tp t="s">
        <v>#N/A N/A</v>
        <stp/>
        <stp>BDH|13638118542394769681</stp>
        <tr r="W48" s="2"/>
      </tp>
      <tp t="s">
        <v>#N/A N/A</v>
        <stp/>
        <stp>BDH|13737183150343130040</stp>
        <tr r="Z62" s="2"/>
      </tp>
      <tp t="s">
        <v>#N/A N/A</v>
        <stp/>
        <stp>BDH|15786513624450897679</stp>
        <tr r="K23" s="2"/>
      </tp>
      <tp t="s">
        <v>#N/A N/A</v>
        <stp/>
        <stp>BDH|15482048227280392395</stp>
        <tr r="X30" s="2"/>
      </tp>
      <tp t="s">
        <v>#N/A N/A</v>
        <stp/>
        <stp>BDH|10953555145595411018</stp>
        <tr r="AA70" s="2"/>
      </tp>
      <tp t="s">
        <v>#N/A N/A</v>
        <stp/>
        <stp>BDH|18337671268674102815</stp>
        <tr r="AA46" s="2"/>
      </tp>
      <tp t="s">
        <v>#N/A N/A</v>
        <stp/>
        <stp>BDH|13332281126971276639</stp>
        <tr r="N34" s="2"/>
      </tp>
      <tp t="s">
        <v>#N/A N/A</v>
        <stp/>
        <stp>BDH|17432899909483839809</stp>
        <tr r="H10" s="2"/>
      </tp>
      <tp t="s">
        <v>#N/A N/A</v>
        <stp/>
        <stp>BDH|17586562606556315097</stp>
        <tr r="M12" s="2"/>
      </tp>
      <tp t="s">
        <v>#N/A N/A</v>
        <stp/>
        <stp>BDH|12743051503670860665</stp>
        <tr r="AE96" s="2"/>
      </tp>
      <tp t="s">
        <v>#N/A N/A</v>
        <stp/>
        <stp>BDH|15953826632312618806</stp>
        <tr r="H86" s="2"/>
      </tp>
      <tp t="s">
        <v>#N/A N/A</v>
        <stp/>
        <stp>BDH|10878643161205330112</stp>
        <tr r="AC10" s="2"/>
      </tp>
      <tp t="s">
        <v>#N/A N/A</v>
        <stp/>
        <stp>BDH|14099282982672730828</stp>
        <tr r="AC62" s="2"/>
      </tp>
      <tp t="s">
        <v>#N/A N/A</v>
        <stp/>
        <stp>BDH|15418535287349846568</stp>
        <tr r="AA19" s="2"/>
      </tp>
      <tp t="s">
        <v>#N/A N/A</v>
        <stp/>
        <stp>BDH|17900347152670827598</stp>
        <tr r="AA31" s="2"/>
      </tp>
      <tp t="s">
        <v>#N/A N/A</v>
        <stp/>
        <stp>BDH|11357382824894150004</stp>
        <tr r="D91" s="2"/>
      </tp>
      <tp t="s">
        <v>#N/A N/A</v>
        <stp/>
        <stp>BDH|16768679011577951262</stp>
        <tr r="H24" s="2"/>
      </tp>
      <tp t="s">
        <v>#N/A N/A</v>
        <stp/>
        <stp>BDH|16975317863983509405</stp>
        <tr r="Z21" s="2"/>
      </tp>
      <tp t="s">
        <v>#N/A N/A</v>
        <stp/>
        <stp>BDH|11004380659394865774</stp>
        <tr r="N15" s="2"/>
      </tp>
      <tp t="s">
        <v>#N/A N/A</v>
        <stp/>
        <stp>BDH|16957481365463252384</stp>
        <tr r="H31" s="2"/>
      </tp>
      <tp t="s">
        <v>#N/A N/A</v>
        <stp/>
        <stp>BDH|18411856661777433458</stp>
        <tr r="AC25" s="2"/>
      </tp>
      <tp t="s">
        <v>#N/A N/A</v>
        <stp/>
        <stp>BDH|17210639134182056544</stp>
        <tr r="AC55" s="2"/>
      </tp>
      <tp t="s">
        <v>#N/A N/A</v>
        <stp/>
        <stp>BDH|14603279723558020933</stp>
        <tr r="V99" s="2"/>
      </tp>
      <tp t="s">
        <v>#N/A N/A</v>
        <stp/>
        <stp>BDH|17447705023601332657</stp>
        <tr r="O72" s="2"/>
      </tp>
      <tp t="s">
        <v>#N/A N/A</v>
        <stp/>
        <stp>BDH|15321167471035413314</stp>
        <tr r="W89" s="2"/>
      </tp>
      <tp t="s">
        <v>#N/A N/A</v>
        <stp/>
        <stp>BDH|10943765639612137361</stp>
        <tr r="N29" s="2"/>
      </tp>
      <tp t="s">
        <v>#N/A N/A</v>
        <stp/>
        <stp>BDH|13449764645875304043</stp>
        <tr r="O41" s="2"/>
      </tp>
      <tp t="s">
        <v>#N/A N/A</v>
        <stp/>
        <stp>BDH|10910789501545625760</stp>
        <tr r="L49" s="2"/>
      </tp>
      <tp t="s">
        <v>#N/A N/A</v>
        <stp/>
        <stp>BDH|15116757276556030627</stp>
        <tr r="D98" s="2"/>
      </tp>
      <tp t="s">
        <v>#N/A N/A</v>
        <stp/>
        <stp>BDH|16563155402737707552</stp>
        <tr r="X87" s="2"/>
      </tp>
      <tp t="s">
        <v>#N/A N/A</v>
        <stp/>
        <stp>BDH|12112713014846196756</stp>
        <tr r="R94" s="2"/>
      </tp>
      <tp t="s">
        <v>#N/A N/A</v>
        <stp/>
        <stp>BDH|17123386539457903595</stp>
        <tr r="AB51" s="2"/>
      </tp>
      <tp t="s">
        <v>#N/A N/A</v>
        <stp/>
        <stp>BDH|11945515463643988415</stp>
        <tr r="U35" s="2"/>
      </tp>
      <tp t="s">
        <v>#N/A N/A</v>
        <stp/>
        <stp>BDH|10553208911183122567</stp>
        <tr r="Z23" s="2"/>
      </tp>
      <tp t="s">
        <v>#N/A N/A</v>
        <stp/>
        <stp>BDH|14554665950010797276</stp>
        <tr r="W78" s="2"/>
      </tp>
      <tp t="s">
        <v>#N/A N/A</v>
        <stp/>
        <stp>BDH|12764675891569207104</stp>
        <tr r="M8" s="2"/>
      </tp>
      <tp t="s">
        <v>#N/A N/A</v>
        <stp/>
        <stp>BDH|13996749339315187769</stp>
        <tr r="AC48" s="2"/>
      </tp>
      <tp t="s">
        <v>#N/A N/A</v>
        <stp/>
        <stp>BDH|12686630644241396412</stp>
        <tr r="T11" s="2"/>
      </tp>
      <tp t="s">
        <v>#N/A N/A</v>
        <stp/>
        <stp>BDH|13254843383784147273</stp>
        <tr r="P15" s="2"/>
      </tp>
      <tp t="s">
        <v>#N/A N/A</v>
        <stp/>
        <stp>BDH|11587318631531320553</stp>
        <tr r="N12" s="2"/>
      </tp>
      <tp t="s">
        <v>#N/A N/A</v>
        <stp/>
        <stp>BDH|10066425765862382568</stp>
        <tr r="AE28" s="2"/>
      </tp>
      <tp t="s">
        <v>#N/A N/A</v>
        <stp/>
        <stp>BDH|13101619525793415137</stp>
        <tr r="AD69" s="2"/>
      </tp>
      <tp t="s">
        <v>#N/A N/A</v>
        <stp/>
        <stp>BDH|13264691618051786063</stp>
        <tr r="J19" s="2"/>
      </tp>
      <tp t="s">
        <v>#N/A N/A</v>
        <stp/>
        <stp>BDH|16156577422652777669</stp>
        <tr r="K66" s="2"/>
      </tp>
      <tp t="s">
        <v>#N/A N/A</v>
        <stp/>
        <stp>BDH|13729890094350969768</stp>
        <tr r="J14" s="2"/>
      </tp>
      <tp t="s">
        <v>#N/A N/A</v>
        <stp/>
        <stp>BDH|17821950897182746089</stp>
        <tr r="AA26" s="2"/>
      </tp>
      <tp t="s">
        <v>#N/A N/A</v>
        <stp/>
        <stp>BDH|11409042961235191757</stp>
        <tr r="E27" s="2"/>
      </tp>
      <tp t="s">
        <v>#N/A N/A</v>
        <stp/>
        <stp>BDH|13308672209815032585</stp>
        <tr r="X80" s="2"/>
      </tp>
      <tp t="s">
        <v>#N/A N/A</v>
        <stp/>
        <stp>BDH|18205966835464546311</stp>
        <tr r="AD11" s="2"/>
      </tp>
      <tp t="s">
        <v>#N/A N/A</v>
        <stp/>
        <stp>BDH|10420319170804157511</stp>
        <tr r="M54" s="2"/>
      </tp>
      <tp t="s">
        <v>#N/A N/A</v>
        <stp/>
        <stp>BDH|12733158814883787450</stp>
        <tr r="S26" s="2"/>
      </tp>
      <tp t="s">
        <v>#N/A N/A</v>
        <stp/>
        <stp>BDH|18108997410061985450</stp>
        <tr r="J89" s="2"/>
      </tp>
      <tp t="s">
        <v>#N/A N/A</v>
        <stp/>
        <stp>BDH|15227659923381724576</stp>
        <tr r="J28" s="2"/>
      </tp>
      <tp t="s">
        <v>#N/A N/A</v>
        <stp/>
        <stp>BDH|14307700715177773055</stp>
        <tr r="W30" s="2"/>
      </tp>
      <tp t="s">
        <v>#N/A N/A</v>
        <stp/>
        <stp>BDH|12684739473987434069</stp>
        <tr r="N9" s="2"/>
      </tp>
      <tp t="s">
        <v>#N/A N/A</v>
        <stp/>
        <stp>BDH|11873200930805582095</stp>
        <tr r="O75" s="2"/>
      </tp>
      <tp t="s">
        <v>#N/A N/A</v>
        <stp/>
        <stp>BDH|15239176171220048604</stp>
        <tr r="F45" s="2"/>
      </tp>
      <tp t="s">
        <v>#N/A N/A</v>
        <stp/>
        <stp>BDH|13343413670347744216</stp>
        <tr r="X78" s="2"/>
      </tp>
      <tp t="s">
        <v>#N/A N/A</v>
        <stp/>
        <stp>BDH|11566572134763101135</stp>
        <tr r="I27" s="2"/>
      </tp>
      <tp t="s">
        <v>#N/A N/A</v>
        <stp/>
        <stp>BDH|13433356713211618502</stp>
        <tr r="H68" s="2"/>
      </tp>
      <tp t="s">
        <v>#N/A N/A</v>
        <stp/>
        <stp>BDH|17670217463550267618</stp>
        <tr r="M16" s="2"/>
      </tp>
      <tp t="s">
        <v>#N/A N/A</v>
        <stp/>
        <stp>BDH|14471127256271631419</stp>
        <tr r="O69" s="2"/>
      </tp>
      <tp t="s">
        <v>#N/A N/A</v>
        <stp/>
        <stp>BDH|12689866713346210861</stp>
        <tr r="E37" s="2"/>
      </tp>
      <tp t="s">
        <v>#N/A N/A</v>
        <stp/>
        <stp>BDH|17952494606433832593</stp>
        <tr r="Z20" s="2"/>
      </tp>
      <tp t="s">
        <v>#N/A N/A</v>
        <stp/>
        <stp>BDH|10504765826935744541</stp>
        <tr r="F93" s="2"/>
      </tp>
      <tp t="s">
        <v>#N/A N/A</v>
        <stp/>
        <stp>BDH|16243454562895461472</stp>
        <tr r="L90" s="2"/>
      </tp>
      <tp t="s">
        <v>#N/A N/A</v>
        <stp/>
        <stp>BDH|16330355603122123227</stp>
        <tr r="Z50" s="2"/>
      </tp>
      <tp t="s">
        <v>#N/A N/A</v>
        <stp/>
        <stp>BDH|16414599220212833638</stp>
        <tr r="X99" s="2"/>
      </tp>
      <tp t="s">
        <v>#N/A N/A</v>
        <stp/>
        <stp>BDH|17906313769705074274</stp>
        <tr r="G96" s="2"/>
      </tp>
      <tp t="s">
        <v>#N/A N/A</v>
        <stp/>
        <stp>BDH|16666818789371118264</stp>
        <tr r="P61" s="2"/>
      </tp>
      <tp t="s">
        <v>#N/A N/A</v>
        <stp/>
        <stp>BDH|15314379515710880204</stp>
        <tr r="Z25" s="2"/>
      </tp>
      <tp t="s">
        <v>#N/A N/A</v>
        <stp/>
        <stp>BDH|16092288290831592940</stp>
        <tr r="S41" s="2"/>
      </tp>
      <tp t="s">
        <v>#N/A N/A</v>
        <stp/>
        <stp>BDH|10897279463784678529</stp>
        <tr r="H67" s="2"/>
      </tp>
      <tp t="s">
        <v>#N/A N/A</v>
        <stp/>
        <stp>BDH|17991688659983982298</stp>
        <tr r="AB25" s="2"/>
      </tp>
      <tp t="s">
        <v>#N/A N/A</v>
        <stp/>
        <stp>BDH|10306026318076909287</stp>
        <tr r="AE17" s="2"/>
      </tp>
      <tp t="s">
        <v>#N/A N/A</v>
        <stp/>
        <stp>BDH|16248575128472646631</stp>
        <tr r="C21" s="2"/>
      </tp>
      <tp t="s">
        <v>#N/A N/A</v>
        <stp/>
        <stp>BDH|13265917449663890896</stp>
        <tr r="AE22" s="2"/>
      </tp>
      <tp t="s">
        <v>#N/A N/A</v>
        <stp/>
        <stp>BDH|13315757327675851629</stp>
        <tr r="V61" s="2"/>
      </tp>
      <tp t="s">
        <v>#N/A N/A</v>
        <stp/>
        <stp>BDH|13159792957132631621</stp>
        <tr r="U17" s="2"/>
      </tp>
      <tp t="s">
        <v>#N/A N/A</v>
        <stp/>
        <stp>BDH|16927367063052664408</stp>
        <tr r="O23" s="2"/>
      </tp>
      <tp t="s">
        <v>#N/A N/A</v>
        <stp/>
        <stp>BDH|10026245138740420429</stp>
        <tr r="L50" s="2"/>
      </tp>
      <tp t="s">
        <v>#N/A N/A</v>
        <stp/>
        <stp>BDH|16537296963606287172</stp>
        <tr r="E34" s="2"/>
      </tp>
      <tp t="s">
        <v>#N/A N/A</v>
        <stp/>
        <stp>BDH|17895369007736487770</stp>
        <tr r="Q27" s="2"/>
      </tp>
      <tp t="s">
        <v>#N/A N/A</v>
        <stp/>
        <stp>BDH|13110238616132653780</stp>
        <tr r="Z52" s="2"/>
      </tp>
      <tp t="s">
        <v>#N/A N/A</v>
        <stp/>
        <stp>BDH|14972183082379174182</stp>
        <tr r="X60" s="2"/>
      </tp>
      <tp t="s">
        <v>#N/A N/A</v>
        <stp/>
        <stp>BDH|16413117169633253742</stp>
        <tr r="O43" s="2"/>
      </tp>
      <tp t="s">
        <v>#N/A N/A</v>
        <stp/>
        <stp>BDH|17027733561864974718</stp>
        <tr r="Q13" s="2"/>
      </tp>
      <tp t="s">
        <v>#N/A N/A</v>
        <stp/>
        <stp>BDH|10886227261559010860</stp>
        <tr r="X23" s="2"/>
      </tp>
      <tp t="s">
        <v>#N/A N/A</v>
        <stp/>
        <stp>BDH|15846614905991127701</stp>
        <tr r="O59" s="2"/>
      </tp>
      <tp t="s">
        <v>#N/A N/A</v>
        <stp/>
        <stp>BDH|16231594357986440542</stp>
        <tr r="E26" s="2"/>
      </tp>
      <tp t="s">
        <v>#N/A N/A</v>
        <stp/>
        <stp>BDH|17052475149384245609</stp>
        <tr r="AD63" s="2"/>
      </tp>
      <tp t="s">
        <v>#N/A N/A</v>
        <stp/>
        <stp>BDH|11673163024937933012</stp>
        <tr r="V11" s="2"/>
      </tp>
      <tp t="s">
        <v>#N/A N/A</v>
        <stp/>
        <stp>BDH|11628537168670008712</stp>
        <tr r="W63" s="2"/>
      </tp>
      <tp t="s">
        <v>#N/A N/A</v>
        <stp/>
        <stp>BDH|10937370323833634779</stp>
        <tr r="X52" s="2"/>
      </tp>
      <tp t="s">
        <v>#N/A N/A</v>
        <stp/>
        <stp>BDH|14611730522741358584</stp>
        <tr r="T76" s="2"/>
      </tp>
      <tp t="s">
        <v>#N/A N/A</v>
        <stp/>
        <stp>BDH|11772294367723155347</stp>
        <tr r="AF33" s="2"/>
      </tp>
      <tp t="s">
        <v>#N/A N/A</v>
        <stp/>
        <stp>BDH|10318710165993167790</stp>
        <tr r="X57" s="2"/>
      </tp>
      <tp t="s">
        <v>#N/A N/A</v>
        <stp/>
        <stp>BDH|11931554368006831139</stp>
        <tr r="G42" s="2"/>
      </tp>
      <tp t="s">
        <v>#N/A N/A</v>
        <stp/>
        <stp>BDH|15125104191421920961</stp>
        <tr r="AE42" s="2"/>
      </tp>
      <tp t="s">
        <v>#N/A N/A</v>
        <stp/>
        <stp>BDH|17838465976994301549</stp>
        <tr r="AF69" s="2"/>
      </tp>
      <tp t="s">
        <v>#N/A N/A</v>
        <stp/>
        <stp>BDH|18373951121642163492</stp>
        <tr r="J59" s="2"/>
      </tp>
      <tp t="s">
        <v>#N/A N/A</v>
        <stp/>
        <stp>BDH|12985406369231970470</stp>
        <tr r="Q7" s="2"/>
      </tp>
      <tp t="s">
        <v>#N/A N/A</v>
        <stp/>
        <stp>BDH|16064318312960873158</stp>
        <tr r="P20" s="2"/>
      </tp>
      <tp t="s">
        <v>#N/A N/A</v>
        <stp/>
        <stp>BDH|15155047340481995520</stp>
        <tr r="S90" s="2"/>
      </tp>
      <tp t="s">
        <v>#N/A N/A</v>
        <stp/>
        <stp>BDH|16436738025895897344</stp>
        <tr r="V75" s="2"/>
      </tp>
      <tp t="s">
        <v>#N/A N/A</v>
        <stp/>
        <stp>BDH|10888442968175251280</stp>
        <tr r="I17" s="2"/>
      </tp>
      <tp t="s">
        <v>#N/A N/A</v>
        <stp/>
        <stp>BDH|10205096127847513071</stp>
        <tr r="AC66" s="2"/>
      </tp>
      <tp t="s">
        <v>#N/A N/A</v>
        <stp/>
        <stp>BDH|15437425779831873295</stp>
        <tr r="E73" s="2"/>
      </tp>
      <tp t="s">
        <v>#N/A N/A</v>
        <stp/>
        <stp>BDH|16671907066079794595</stp>
        <tr r="E62" s="2"/>
      </tp>
      <tp t="s">
        <v>#N/A N/A</v>
        <stp/>
        <stp>BDH|16988759920634769252</stp>
        <tr r="E35" s="2"/>
      </tp>
      <tp t="s">
        <v>#N/A N/A</v>
        <stp/>
        <stp>BDH|13012900337139849515</stp>
        <tr r="J80" s="2"/>
      </tp>
      <tp t="s">
        <v>#N/A N/A</v>
        <stp/>
        <stp>BDH|11949380867457188698</stp>
        <tr r="S19" s="2"/>
      </tp>
      <tp t="s">
        <v>#N/A N/A</v>
        <stp/>
        <stp>BDH|10252753834205442494</stp>
        <tr r="G65" s="2"/>
      </tp>
      <tp t="s">
        <v>#N/A N/A</v>
        <stp/>
        <stp>BDH|16472672358023386369</stp>
        <tr r="C33" s="2"/>
      </tp>
    </main>
    <main first="bofaddin.rtdserver">
      <tp t="s">
        <v>#N/A N/A</v>
        <stp/>
        <stp>BDH|8619342745352953144</stp>
        <tr r="AB95" s="2"/>
      </tp>
      <tp t="s">
        <v>#N/A N/A</v>
        <stp/>
        <stp>BDH|1147097584690723514</stp>
        <tr r="C66" s="2"/>
      </tp>
      <tp t="s">
        <v>#N/A N/A</v>
        <stp/>
        <stp>BDH|9941547956001090419</stp>
        <tr r="AB46" s="2"/>
      </tp>
      <tp t="s">
        <v>#N/A N/A</v>
        <stp/>
        <stp>BDH|8555383700585475232</stp>
        <tr r="T16" s="2"/>
      </tp>
      <tp t="s">
        <v>#N/A N/A</v>
        <stp/>
        <stp>BDH|9024448498360466825</stp>
        <tr r="I61" s="2"/>
      </tp>
      <tp t="s">
        <v>#N/A N/A</v>
        <stp/>
        <stp>BDH|3137998277454640536</stp>
        <tr r="O55" s="2"/>
      </tp>
      <tp t="s">
        <v>#N/A N/A</v>
        <stp/>
        <stp>BDH|8442130374290011298</stp>
        <tr r="P17" s="2"/>
      </tp>
      <tp t="s">
        <v>#N/A N/A</v>
        <stp/>
        <stp>BDH|1061403443578160595</stp>
        <tr r="L69" s="2"/>
      </tp>
      <tp t="s">
        <v>#N/A N/A</v>
        <stp/>
        <stp>BDH|7747267640715914832</stp>
        <tr r="E43" s="2"/>
      </tp>
      <tp t="s">
        <v>#N/A N/A</v>
        <stp/>
        <stp>BDH|8507180354777373719</stp>
        <tr r="I96" s="2"/>
      </tp>
      <tp t="s">
        <v>#N/A N/A</v>
        <stp/>
        <stp>BDH|9657464969842281508</stp>
        <tr r="F43" s="2"/>
      </tp>
      <tp t="s">
        <v>#N/A N/A</v>
        <stp/>
        <stp>BDH|7497329653625989876</stp>
        <tr r="X61" s="2"/>
      </tp>
      <tp t="s">
        <v>#N/A N/A</v>
        <stp/>
        <stp>BDH|1915946650519568839</stp>
        <tr r="F72" s="2"/>
      </tp>
      <tp t="s">
        <v>#N/A N/A</v>
        <stp/>
        <stp>BDH|5425698000868760718</stp>
        <tr r="S48" s="2"/>
      </tp>
      <tp t="s">
        <v>#N/A N/A</v>
        <stp/>
        <stp>BDH|6742237782239728994</stp>
        <tr r="L95" s="2"/>
      </tp>
      <tp t="s">
        <v>#N/A N/A</v>
        <stp/>
        <stp>BDH|4863536330486687857</stp>
        <tr r="O8" s="2"/>
      </tp>
      <tp t="s">
        <v>#N/A N/A</v>
        <stp/>
        <stp>BDH|5307587867343050951</stp>
        <tr r="Q81" s="2"/>
      </tp>
      <tp t="s">
        <v>#N/A N/A</v>
        <stp/>
        <stp>BDH|8513607921190878054</stp>
        <tr r="H51" s="2"/>
      </tp>
      <tp t="s">
        <v>#N/A N/A</v>
        <stp/>
        <stp>BDH|8203465360617557181</stp>
        <tr r="AD41" s="2"/>
      </tp>
      <tp t="s">
        <v>#N/A N/A</v>
        <stp/>
        <stp>BDH|9706090751275729517</stp>
        <tr r="E13" s="2"/>
      </tp>
      <tp t="s">
        <v>#N/A N/A</v>
        <stp/>
        <stp>BDH|8095045917863386696</stp>
        <tr r="L27" s="2"/>
      </tp>
      <tp t="s">
        <v>#N/A N/A</v>
        <stp/>
        <stp>BDH|6358931367982882711</stp>
        <tr r="AE45" s="2"/>
      </tp>
      <tp t="s">
        <v>#N/A N/A</v>
        <stp/>
        <stp>BDH|3703939008807286102</stp>
        <tr r="Z28" s="2"/>
      </tp>
      <tp t="s">
        <v>#N/A N/A</v>
        <stp/>
        <stp>BDH|8691891850499462055</stp>
        <tr r="G15" s="2"/>
      </tp>
      <tp t="s">
        <v>#N/A N/A</v>
        <stp/>
        <stp>BDH|9658496732064514676</stp>
        <tr r="T31" s="2"/>
      </tp>
      <tp t="s">
        <v>#N/A N/A</v>
        <stp/>
        <stp>BDH|9755244522407600282</stp>
        <tr r="AE70" s="2"/>
      </tp>
      <tp t="s">
        <v>#N/A N/A</v>
        <stp/>
        <stp>BDH|7468230419750076826</stp>
        <tr r="AD54" s="2"/>
      </tp>
      <tp t="s">
        <v>#N/A N/A</v>
        <stp/>
        <stp>BDH|8346333356687204584</stp>
        <tr r="U60" s="2"/>
      </tp>
      <tp t="s">
        <v>#N/A N/A</v>
        <stp/>
        <stp>BDH|7095086886767295406</stp>
        <tr r="U9" s="2"/>
      </tp>
      <tp t="s">
        <v>#N/A N/A</v>
        <stp/>
        <stp>BDH|2588147191842426483</stp>
        <tr r="D45" s="2"/>
      </tp>
      <tp t="s">
        <v>#N/A N/A</v>
        <stp/>
        <stp>BDH|5936917623870156264</stp>
        <tr r="D95" s="2"/>
      </tp>
      <tp t="s">
        <v>#N/A N/A</v>
        <stp/>
        <stp>BDH|5982999429886596416</stp>
        <tr r="E32" s="2"/>
      </tp>
      <tp t="s">
        <v>#N/A N/A</v>
        <stp/>
        <stp>BDH|6606539794862599490</stp>
        <tr r="M53" s="2"/>
      </tp>
      <tp t="s">
        <v>#N/A N/A</v>
        <stp/>
        <stp>BDH|9020104383069859590</stp>
        <tr r="G75" s="2"/>
      </tp>
      <tp t="s">
        <v>#N/A N/A</v>
        <stp/>
        <stp>BDH|9813122970507996416</stp>
        <tr r="E92" s="2"/>
      </tp>
      <tp t="s">
        <v>#N/A N/A</v>
        <stp/>
        <stp>BDH|1759282797327376199</stp>
        <tr r="P78" s="2"/>
      </tp>
      <tp t="s">
        <v>#N/A N/A</v>
        <stp/>
        <stp>BDH|8334227072607789666</stp>
        <tr r="H19" s="2"/>
      </tp>
      <tp t="s">
        <v>#N/A N/A</v>
        <stp/>
        <stp>BDH|6080701450481646946</stp>
        <tr r="M72" s="2"/>
      </tp>
      <tp t="s">
        <v>#N/A N/A</v>
        <stp/>
        <stp>BDH|9153631023199771853</stp>
        <tr r="G36" s="2"/>
      </tp>
      <tp t="s">
        <v>#N/A N/A</v>
        <stp/>
        <stp>BDH|6530521085027404051</stp>
        <tr r="S32" s="2"/>
      </tp>
      <tp t="s">
        <v>#N/A N/A</v>
        <stp/>
        <stp>BDH|4921874252191779485</stp>
        <tr r="AA52" s="2"/>
      </tp>
      <tp t="s">
        <v>#N/A N/A</v>
        <stp/>
        <stp>BDH|6056234713769183023</stp>
        <tr r="Y42" s="2"/>
      </tp>
      <tp t="s">
        <v>#N/A N/A</v>
        <stp/>
        <stp>BDH|8066241170340761130</stp>
        <tr r="L31" s="2"/>
      </tp>
      <tp t="s">
        <v>#N/A N/A</v>
        <stp/>
        <stp>BDH|9655708518824629783</stp>
        <tr r="O70" s="2"/>
      </tp>
      <tp t="s">
        <v>#N/A N/A</v>
        <stp/>
        <stp>BDH|8392644615495688647</stp>
        <tr r="O44" s="2"/>
      </tp>
      <tp t="s">
        <v>#N/A N/A</v>
        <stp/>
        <stp>BDH|2747489151698913772</stp>
        <tr r="M36" s="2"/>
      </tp>
      <tp t="s">
        <v>#N/A N/A</v>
        <stp/>
        <stp>BDH|3326857606431042615</stp>
        <tr r="M52" s="2"/>
      </tp>
      <tp t="s">
        <v>#N/A N/A</v>
        <stp/>
        <stp>BDH|2179117481260176715</stp>
        <tr r="I89" s="2"/>
      </tp>
      <tp t="s">
        <v>#N/A N/A</v>
        <stp/>
        <stp>BDH|4436960349176957339</stp>
        <tr r="AE24" s="2"/>
      </tp>
      <tp t="s">
        <v>#N/A N/A</v>
        <stp/>
        <stp>BDH|4550771203336115963</stp>
        <tr r="H49" s="2"/>
      </tp>
      <tp t="s">
        <v>#N/A N/A</v>
        <stp/>
        <stp>BDH|2625948726926061321</stp>
        <tr r="O20" s="2"/>
      </tp>
      <tp t="s">
        <v>#N/A N/A</v>
        <stp/>
        <stp>BDH|5784063193158700831</stp>
        <tr r="T64" s="2"/>
      </tp>
      <tp t="s">
        <v>#N/A N/A</v>
        <stp/>
        <stp>BDH|3193307781341355555</stp>
        <tr r="M34" s="2"/>
      </tp>
      <tp t="s">
        <v>#N/A N/A</v>
        <stp/>
        <stp>BDH|5593213113269154300</stp>
        <tr r="R44" s="2"/>
      </tp>
      <tp t="s">
        <v>#N/A N/A</v>
        <stp/>
        <stp>BDH|3639602805661319868</stp>
        <tr r="H23" s="2"/>
      </tp>
      <tp t="s">
        <v>#N/A N/A</v>
        <stp/>
        <stp>BDH|7458577086652218404</stp>
        <tr r="W68" s="2"/>
      </tp>
      <tp t="s">
        <v>#N/A N/A</v>
        <stp/>
        <stp>BDH|5549016243409596459</stp>
        <tr r="Q40" s="2"/>
      </tp>
      <tp t="s">
        <v>#N/A N/A</v>
        <stp/>
        <stp>BDH|1076322484790689672</stp>
        <tr r="Z96" s="2"/>
      </tp>
      <tp t="s">
        <v>#N/A N/A</v>
        <stp/>
        <stp>BDH|6744659831598603723</stp>
        <tr r="E48" s="2"/>
      </tp>
      <tp t="s">
        <v>#N/A N/A</v>
        <stp/>
        <stp>BDH|8119456452804253134</stp>
        <tr r="X53" s="2"/>
      </tp>
      <tp t="s">
        <v>#N/A N/A</v>
        <stp/>
        <stp>BDH|8928377758713329113</stp>
        <tr r="D54" s="2"/>
      </tp>
      <tp t="s">
        <v>#N/A N/A</v>
        <stp/>
        <stp>BDH|6361894878350154577</stp>
        <tr r="G93" s="2"/>
      </tp>
      <tp t="s">
        <v>#N/A N/A</v>
        <stp/>
        <stp>BDH|1172242241959694260</stp>
        <tr r="AE26" s="2"/>
      </tp>
      <tp t="s">
        <v>#N/A N/A</v>
        <stp/>
        <stp>BDH|6812901298282022851</stp>
        <tr r="AA40" s="2"/>
      </tp>
      <tp t="s">
        <v>#N/A N/A</v>
        <stp/>
        <stp>BDH|9673507110136665754</stp>
        <tr r="Z90" s="2"/>
      </tp>
      <tp t="s">
        <v>#N/A N/A</v>
        <stp/>
        <stp>BDH|7212473152769255309</stp>
        <tr r="AC51" s="2"/>
      </tp>
      <tp t="s">
        <v>#N/A N/A</v>
        <stp/>
        <stp>BDH|8533927263359096215</stp>
        <tr r="Z69" s="2"/>
      </tp>
      <tp t="s">
        <v>#N/A N/A</v>
        <stp/>
        <stp>BDH|1555174997934378132</stp>
        <tr r="W47" s="2"/>
      </tp>
      <tp t="s">
        <v>#N/A N/A</v>
        <stp/>
        <stp>BDH|9099089559363677328</stp>
        <tr r="M80" s="2"/>
      </tp>
      <tp t="s">
        <v>#N/A N/A</v>
        <stp/>
        <stp>BDH|46751459667770463</stp>
        <tr r="F98" s="2"/>
      </tp>
      <tp t="s">
        <v>#N/A N/A</v>
        <stp/>
        <stp>BDH|8686567105124990464</stp>
        <tr r="S74" s="2"/>
      </tp>
      <tp t="s">
        <v>#N/A N/A</v>
        <stp/>
        <stp>BDH|9667141519324929084</stp>
        <tr r="F22" s="2"/>
      </tp>
      <tp t="s">
        <v>#N/A N/A</v>
        <stp/>
        <stp>BDH|5920116681796740742</stp>
        <tr r="AD47" s="2"/>
      </tp>
      <tp t="s">
        <v>#N/A N/A</v>
        <stp/>
        <stp>BDH|5322815468793221524</stp>
        <tr r="AE86" s="2"/>
      </tp>
      <tp t="s">
        <v>#N/A N/A</v>
        <stp/>
        <stp>BDH|6340987480768688274</stp>
        <tr r="G40" s="2"/>
      </tp>
      <tp t="s">
        <v>#N/A N/A</v>
        <stp/>
        <stp>BDH|8619686465931912484</stp>
        <tr r="AB16" s="2"/>
      </tp>
      <tp t="s">
        <v>#N/A N/A</v>
        <stp/>
        <stp>BDH|7087292582142024214</stp>
        <tr r="G95" s="2"/>
      </tp>
      <tp t="s">
        <v>#N/A N/A</v>
        <stp/>
        <stp>BDH|5497049027458855243</stp>
        <tr r="R19" s="2"/>
      </tp>
      <tp t="s">
        <v>#N/A N/A</v>
        <stp/>
        <stp>BDH|9997694861626289284</stp>
        <tr r="AE55" s="2"/>
      </tp>
      <tp t="s">
        <v>#N/A N/A</v>
        <stp/>
        <stp>BDH|9164162028364195358</stp>
        <tr r="Q55" s="2"/>
      </tp>
      <tp t="s">
        <v>#N/A N/A</v>
        <stp/>
        <stp>BDH|9176673977261225482</stp>
        <tr r="C16" s="2"/>
      </tp>
      <tp t="s">
        <v>#N/A N/A</v>
        <stp/>
        <stp>BDH|5319290651778082702</stp>
        <tr r="C31" s="2"/>
      </tp>
      <tp t="s">
        <v>#N/A N/A</v>
        <stp/>
        <stp>BDH|3142927621213305691</stp>
        <tr r="AF64" s="2"/>
      </tp>
      <tp t="s">
        <v>#N/A N/A</v>
        <stp/>
        <stp>BDH|8997306003053786554</stp>
        <tr r="C57" s="2"/>
      </tp>
      <tp t="s">
        <v>#N/A N/A</v>
        <stp/>
        <stp>BDH|9461095732481206654</stp>
        <tr r="T82" s="2"/>
      </tp>
      <tp t="s">
        <v>#N/A N/A</v>
        <stp/>
        <stp>BDH|5976902416782753205</stp>
        <tr r="W97" s="2"/>
      </tp>
      <tp t="s">
        <v>#N/A N/A</v>
        <stp/>
        <stp>BDH|3243996184138750702</stp>
        <tr r="AC41" s="2"/>
      </tp>
      <tp t="s">
        <v>#N/A N/A</v>
        <stp/>
        <stp>BDH|3636215499043453628</stp>
        <tr r="L61" s="2"/>
      </tp>
      <tp t="s">
        <v>#N/A N/A</v>
        <stp/>
        <stp>BDH|5563509968293104840</stp>
        <tr r="U62" s="2"/>
      </tp>
      <tp t="s">
        <v>#N/A N/A</v>
        <stp/>
        <stp>BDH|8750566449237797377</stp>
        <tr r="I93" s="2"/>
      </tp>
      <tp t="s">
        <v>#N/A N/A</v>
        <stp/>
        <stp>BDH|9387960098340686420</stp>
        <tr r="P10" s="2"/>
      </tp>
      <tp t="s">
        <v>#N/A N/A</v>
        <stp/>
        <stp>BDH|7362823629287326723</stp>
        <tr r="G77" s="2"/>
      </tp>
      <tp t="s">
        <v>#N/A N/A</v>
        <stp/>
        <stp>BDH|6320902759710562768</stp>
        <tr r="N26" s="2"/>
      </tp>
      <tp t="s">
        <v>#N/A N/A</v>
        <stp/>
        <stp>BDH|5687327247717358891</stp>
        <tr r="H78" s="2"/>
      </tp>
      <tp t="s">
        <v>#N/A N/A</v>
        <stp/>
        <stp>BDH|6501660766963463881</stp>
        <tr r="AF30" s="2"/>
      </tp>
      <tp t="s">
        <v>#N/A N/A</v>
        <stp/>
        <stp>BDH|1475264823705713984</stp>
        <tr r="K87" s="2"/>
      </tp>
      <tp t="s">
        <v>#N/A N/A</v>
        <stp/>
        <stp>BDH|4560970196791843823</stp>
        <tr r="K70" s="2"/>
      </tp>
      <tp t="s">
        <v>#N/A N/A</v>
        <stp/>
        <stp>BDH|4891871833793749157</stp>
        <tr r="AC43" s="2"/>
      </tp>
      <tp t="s">
        <v>#N/A N/A</v>
        <stp/>
        <stp>BDH|3621317405419805454</stp>
        <tr r="W71" s="2"/>
      </tp>
      <tp t="s">
        <v>#N/A N/A</v>
        <stp/>
        <stp>BDH|4153492987383145618</stp>
        <tr r="AB91" s="2"/>
      </tp>
      <tp t="s">
        <v>#N/A N/A</v>
        <stp/>
        <stp>BDH|3513471155746139998</stp>
        <tr r="AC57" s="2"/>
      </tp>
      <tp t="s">
        <v>#N/A N/A</v>
        <stp/>
        <stp>BDH|1364002821146481893</stp>
        <tr r="L44" s="2"/>
      </tp>
      <tp t="s">
        <v>#N/A N/A</v>
        <stp/>
        <stp>BDH|7887931577897618365</stp>
        <tr r="W87" s="2"/>
      </tp>
      <tp t="s">
        <v>#N/A N/A</v>
        <stp/>
        <stp>BDH|1824852621212247435</stp>
        <tr r="K77" s="2"/>
      </tp>
      <tp t="s">
        <v>#N/A N/A</v>
        <stp/>
        <stp>BDH|9655072429695764325</stp>
        <tr r="J66" s="2"/>
      </tp>
      <tp t="s">
        <v>#N/A N/A</v>
        <stp/>
        <stp>BDH|2037548878914688976</stp>
        <tr r="T48" s="2"/>
      </tp>
      <tp t="s">
        <v>#N/A N/A</v>
        <stp/>
        <stp>BDH|9806558446690033595</stp>
        <tr r="E61" s="2"/>
      </tp>
      <tp t="s">
        <v>#N/A N/A</v>
        <stp/>
        <stp>BDH|6021910255405588233</stp>
        <tr r="AE10" s="2"/>
      </tp>
      <tp t="s">
        <v>#N/A N/A</v>
        <stp/>
        <stp>BDH|7427909450920212654</stp>
        <tr r="S55" s="2"/>
      </tp>
      <tp t="s">
        <v>#N/A N/A</v>
        <stp/>
        <stp>BDH|7882089325830521833</stp>
        <tr r="Z16" s="2"/>
      </tp>
      <tp t="s">
        <v>#N/A N/A</v>
        <stp/>
        <stp>BDH|6038167823969609107</stp>
        <tr r="T37" s="2"/>
      </tp>
      <tp t="s">
        <v>#N/A N/A</v>
        <stp/>
        <stp>BDH|7726786232556873855</stp>
        <tr r="Z97" s="2"/>
      </tp>
      <tp t="s">
        <v>#N/A N/A</v>
        <stp/>
        <stp>BDH|4065357191595564611</stp>
        <tr r="G18" s="2"/>
      </tp>
      <tp t="s">
        <v>#N/A N/A</v>
        <stp/>
        <stp>BDH|4158966850893181666</stp>
        <tr r="R78" s="2"/>
      </tp>
      <tp t="s">
        <v>#N/A N/A</v>
        <stp/>
        <stp>BDH|8935519857225850076</stp>
        <tr r="AF88" s="2"/>
      </tp>
      <tp t="s">
        <v>#N/A N/A</v>
        <stp/>
        <stp>BDH|1163475700098766018</stp>
        <tr r="R76" s="2"/>
      </tp>
      <tp t="s">
        <v>#N/A N/A</v>
        <stp/>
        <stp>BDH|6522160064188134470</stp>
        <tr r="J91" s="2"/>
      </tp>
      <tp t="s">
        <v>#N/A N/A</v>
        <stp/>
        <stp>BDH|8486308636016035330</stp>
        <tr r="AD97" s="2"/>
      </tp>
      <tp t="s">
        <v>#N/A N/A</v>
        <stp/>
        <stp>BDH|4697866182049691055</stp>
        <tr r="L70" s="2"/>
      </tp>
      <tp t="s">
        <v>#N/A N/A</v>
        <stp/>
        <stp>BDH|1985099064508641234</stp>
        <tr r="V34" s="2"/>
      </tp>
      <tp t="s">
        <v>#N/A N/A</v>
        <stp/>
        <stp>BDH|3433898788488576610</stp>
        <tr r="L86" s="2"/>
      </tp>
      <tp t="s">
        <v>#N/A N/A</v>
        <stp/>
        <stp>BDH|8684088765066980549</stp>
        <tr r="M95" s="2"/>
      </tp>
      <tp t="s">
        <v>#N/A N/A</v>
        <stp/>
        <stp>BDH|9850693446897482156</stp>
        <tr r="AE62" s="2"/>
      </tp>
      <tp t="s">
        <v>#N/A N/A</v>
        <stp/>
        <stp>BDH|5286726239455995960</stp>
        <tr r="F86" s="2"/>
      </tp>
      <tp t="s">
        <v>#N/A N/A</v>
        <stp/>
        <stp>BDH|6729380258638063517</stp>
        <tr r="J58" s="2"/>
      </tp>
      <tp t="s">
        <v>#N/A N/A</v>
        <stp/>
        <stp>BDH|2799868245274423768</stp>
        <tr r="M21" s="2"/>
      </tp>
      <tp t="s">
        <v>#N/A N/A</v>
        <stp/>
        <stp>BDH|3562388440530395988</stp>
        <tr r="J68" s="2"/>
      </tp>
      <tp t="s">
        <v>#N/A N/A</v>
        <stp/>
        <stp>BDH|4648755730969194451</stp>
        <tr r="R91" s="2"/>
      </tp>
      <tp t="s">
        <v>#N/A N/A</v>
        <stp/>
        <stp>BDH|4909837681878476188</stp>
        <tr r="M64" s="2"/>
      </tp>
      <tp t="s">
        <v>#N/A N/A</v>
        <stp/>
        <stp>BDH|3706747890553442302</stp>
        <tr r="R35" s="2"/>
      </tp>
      <tp t="s">
        <v>#N/A N/A</v>
        <stp/>
        <stp>BDH|5441024625943684927</stp>
        <tr r="L89" s="2"/>
      </tp>
      <tp t="s">
        <v>#N/A N/A</v>
        <stp/>
        <stp>BDH|2766918230606960384</stp>
        <tr r="N95" s="2"/>
      </tp>
      <tp t="s">
        <v>#N/A N/A</v>
        <stp/>
        <stp>BDH|2206954339940020595</stp>
        <tr r="W51" s="2"/>
      </tp>
      <tp t="s">
        <v>#N/A N/A</v>
        <stp/>
        <stp>BDH|8878417769100024743</stp>
        <tr r="F64" s="2"/>
      </tp>
      <tp t="s">
        <v>#N/A N/A</v>
        <stp/>
        <stp>BDH|7799283480631297196</stp>
        <tr r="Y40" s="2"/>
      </tp>
      <tp t="s">
        <v>#N/A N/A</v>
        <stp/>
        <stp>BDH|8749162324626018016</stp>
        <tr r="U53" s="2"/>
      </tp>
      <tp t="s">
        <v>#N/A N/A</v>
        <stp/>
        <stp>BDH|3129901058946838454</stp>
        <tr r="M59" s="2"/>
      </tp>
      <tp t="s">
        <v>#N/A N/A</v>
        <stp/>
        <stp>BDH|2497516748288062696</stp>
        <tr r="R9" s="2"/>
      </tp>
      <tp t="s">
        <v>#N/A N/A</v>
        <stp/>
        <stp>BDH|2169345364689730328</stp>
        <tr r="F82" s="2"/>
      </tp>
      <tp t="s">
        <v>#N/A N/A</v>
        <stp/>
        <stp>BDH|9250377915742083443</stp>
        <tr r="Z9" s="2"/>
      </tp>
      <tp t="s">
        <v>#N/A N/A</v>
        <stp/>
        <stp>BDH|8601083610125935120</stp>
        <tr r="W80" s="2"/>
      </tp>
      <tp t="s">
        <v>#N/A N/A</v>
        <stp/>
        <stp>BDH|8599613965951340477</stp>
        <tr r="E93" s="2"/>
      </tp>
      <tp t="s">
        <v>#N/A N/A</v>
        <stp/>
        <stp>BDH|8463973520629522732</stp>
        <tr r="T87" s="2"/>
      </tp>
      <tp t="s">
        <v>#N/A N/A</v>
        <stp/>
        <stp>BDH|8773575272576523128</stp>
        <tr r="F62" s="2"/>
      </tp>
      <tp t="s">
        <v>#N/A N/A</v>
        <stp/>
        <stp>BDH|4523884705601630341</stp>
        <tr r="AE8" s="2"/>
      </tp>
      <tp t="s">
        <v>#N/A N/A</v>
        <stp/>
        <stp>BDH|1349364180691739580</stp>
        <tr r="O91" s="2"/>
      </tp>
      <tp t="s">
        <v>#N/A N/A</v>
        <stp/>
        <stp>BDH|9357751019177122640</stp>
        <tr r="AD76" s="2"/>
      </tp>
      <tp t="s">
        <v>#N/A N/A</v>
        <stp/>
        <stp>BDH|9501816516546928819</stp>
        <tr r="J20" s="2"/>
      </tp>
      <tp t="s">
        <v>#N/A N/A</v>
        <stp/>
        <stp>BDH|1695587681501713326</stp>
        <tr r="AD87" s="2"/>
      </tp>
      <tp t="s">
        <v>#N/A N/A</v>
        <stp/>
        <stp>BDH|8841314536191162748</stp>
        <tr r="W22" s="2"/>
      </tp>
      <tp t="s">
        <v>#N/A N/A</v>
        <stp/>
        <stp>BDH|8941043662550602027</stp>
        <tr r="D56" s="2"/>
      </tp>
      <tp t="s">
        <v>#N/A N/A</v>
        <stp/>
        <stp>BDH|6530332852096675892</stp>
        <tr r="T24" s="2"/>
      </tp>
      <tp t="s">
        <v>#N/A N/A</v>
        <stp/>
        <stp>BDH|1710742655424533982</stp>
        <tr r="U28" s="2"/>
      </tp>
      <tp t="s">
        <v>#N/A N/A</v>
        <stp/>
        <stp>BDH|9746519604334981636</stp>
        <tr r="U56" s="2"/>
      </tp>
      <tp t="s">
        <v>#N/A N/A</v>
        <stp/>
        <stp>BDH|3889077858078716084</stp>
        <tr r="J56" s="2"/>
      </tp>
      <tp t="s">
        <v>#N/A N/A</v>
        <stp/>
        <stp>BDH|7746659088686390107</stp>
        <tr r="F15" s="2"/>
      </tp>
      <tp t="s">
        <v>#N/A N/A</v>
        <stp/>
        <stp>BDH|6996806281330486824</stp>
        <tr r="D31" s="2"/>
      </tp>
      <tp t="s">
        <v>#N/A N/A</v>
        <stp/>
        <stp>BDH|9060887525364315900</stp>
        <tr r="Z57" s="2"/>
      </tp>
      <tp t="s">
        <v>#N/A N/A</v>
        <stp/>
        <stp>BDH|6505710427258816557</stp>
        <tr r="Q19" s="2"/>
      </tp>
      <tp t="s">
        <v>#N/A N/A</v>
        <stp/>
        <stp>BDH|8230267179882743142</stp>
        <tr r="C71" s="2"/>
      </tp>
      <tp t="s">
        <v>#N/A N/A</v>
        <stp/>
        <stp>BDH|6387634351003820872</stp>
        <tr r="E76" s="2"/>
      </tp>
      <tp t="s">
        <v>#N/A N/A</v>
        <stp/>
        <stp>BDH|9196595307086019411</stp>
        <tr r="M82" s="2"/>
      </tp>
      <tp t="s">
        <v>#N/A N/A</v>
        <stp/>
        <stp>BDH|6432298404689148376</stp>
        <tr r="AE58" s="2"/>
      </tp>
      <tp t="s">
        <v>#N/A N/A</v>
        <stp/>
        <stp>BDH|7220535479819252255</stp>
        <tr r="Y66" s="2"/>
      </tp>
      <tp t="s">
        <v>#N/A N/A</v>
        <stp/>
        <stp>BDH|1987274192664687071</stp>
        <tr r="C97" s="2"/>
      </tp>
      <tp t="s">
        <v>#N/A N/A</v>
        <stp/>
        <stp>BDH|5317514052722067924</stp>
        <tr r="R18" s="2"/>
      </tp>
      <tp t="s">
        <v>#N/A N/A</v>
        <stp/>
        <stp>BDH|1076384383546124286</stp>
        <tr r="O53" s="2"/>
      </tp>
      <tp t="s">
        <v>#N/A N/A</v>
        <stp/>
        <stp>BDH|9504540120609627956</stp>
        <tr r="X90" s="2"/>
      </tp>
      <tp t="s">
        <v>#N/A N/A</v>
        <stp/>
        <stp>BDH|9530294654019342995</stp>
        <tr r="S8" s="2"/>
      </tp>
      <tp t="s">
        <v>#N/A N/A</v>
        <stp/>
        <stp>BDH|8505453730221231009</stp>
        <tr r="J37" s="2"/>
      </tp>
      <tp t="s">
        <v>#N/A N/A</v>
        <stp/>
        <stp>BDH|2903297843862546841</stp>
        <tr r="E42" s="2"/>
      </tp>
      <tp t="s">
        <v>#N/A N/A</v>
        <stp/>
        <stp>BDH|2617708959108533685</stp>
        <tr r="K49" s="2"/>
      </tp>
      <tp t="s">
        <v>#N/A N/A</v>
        <stp/>
        <stp>BDH|7871405112688854412</stp>
        <tr r="Y51" s="2"/>
      </tp>
      <tp t="s">
        <v>#N/A N/A</v>
        <stp/>
        <stp>BDH|4118350901149300056</stp>
        <tr r="L18" s="2"/>
      </tp>
      <tp t="s">
        <v>#N/A N/A</v>
        <stp/>
        <stp>BDH|3653957777201306270</stp>
        <tr r="I76" s="2"/>
      </tp>
      <tp t="s">
        <v>#N/A N/A</v>
        <stp/>
        <stp>BDH|8787649575302257543</stp>
        <tr r="Q73" s="2"/>
      </tp>
      <tp t="s">
        <v>#N/A N/A</v>
        <stp/>
        <stp>BDH|3068979342067009756</stp>
        <tr r="L80" s="2"/>
      </tp>
      <tp t="s">
        <v>#N/A N/A</v>
        <stp/>
        <stp>BDH|6422016680913614335</stp>
        <tr r="AE47" s="2"/>
      </tp>
      <tp t="s">
        <v>#N/A N/A</v>
        <stp/>
        <stp>BDH|1423760634128544326</stp>
        <tr r="E64" s="2"/>
      </tp>
      <tp t="s">
        <v>#N/A N/A</v>
        <stp/>
        <stp>BDH|3305317009608861624</stp>
        <tr r="U22" s="2"/>
      </tp>
      <tp t="s">
        <v>#N/A N/A</v>
        <stp/>
        <stp>BDH|3820031128438364715</stp>
        <tr r="D37" s="2"/>
      </tp>
      <tp t="s">
        <v>#N/A N/A</v>
        <stp/>
        <stp>BDH|5553805922239172873</stp>
        <tr r="AD55" s="2"/>
      </tp>
      <tp t="s">
        <v>#N/A N/A</v>
        <stp/>
        <stp>BDH|9827689190201857994</stp>
        <tr r="D62" s="2"/>
      </tp>
      <tp t="s">
        <v>#N/A N/A</v>
        <stp/>
        <stp>BDH|9892598103220499272</stp>
        <tr r="J62" s="2"/>
      </tp>
      <tp t="s">
        <v>#N/A N/A</v>
        <stp/>
        <stp>BDH|4576639890057239252</stp>
        <tr r="X29" s="2"/>
      </tp>
      <tp t="s">
        <v>#N/A N/A</v>
        <stp/>
        <stp>BDH|1284760765396331846</stp>
        <tr r="AA44" s="2"/>
      </tp>
      <tp t="s">
        <v>#N/A N/A</v>
        <stp/>
        <stp>BDH|5820391494910324118</stp>
        <tr r="U16" s="2"/>
      </tp>
      <tp t="s">
        <v>#N/A N/A</v>
        <stp/>
        <stp>BDH|4321256493608662940</stp>
        <tr r="V80" s="2"/>
      </tp>
      <tp t="s">
        <v>#N/A N/A</v>
        <stp/>
        <stp>BDH|8241693155417927208</stp>
        <tr r="F61" s="2"/>
      </tp>
      <tp t="s">
        <v>#N/A N/A</v>
        <stp/>
        <stp>BDH|7650272363614581901</stp>
        <tr r="AE44" s="2"/>
      </tp>
      <tp t="s">
        <v>#N/A N/A</v>
        <stp/>
        <stp>BDH|1019166879001973822</stp>
        <tr r="K73" s="2"/>
      </tp>
      <tp t="s">
        <v>#N/A N/A</v>
        <stp/>
        <stp>BDH|1651317160392030836</stp>
        <tr r="F44" s="2"/>
      </tp>
      <tp t="s">
        <v>#N/A N/A</v>
        <stp/>
        <stp>BDH|3769308756482721922</stp>
        <tr r="R34" s="2"/>
      </tp>
      <tp t="s">
        <v>#N/A N/A</v>
        <stp/>
        <stp>BDH|8382666476005102262</stp>
        <tr r="K18" s="2"/>
      </tp>
      <tp t="s">
        <v>#N/A N/A</v>
        <stp/>
        <stp>BDH|2119850422160171625</stp>
        <tr r="U29" s="2"/>
      </tp>
      <tp t="s">
        <v>#N/A N/A</v>
        <stp/>
        <stp>BDH|8069339614962667649</stp>
        <tr r="F35" s="2"/>
      </tp>
      <tp t="s">
        <v>#N/A N/A</v>
        <stp/>
        <stp>BDH|3959144008798495447</stp>
        <tr r="H69" s="2"/>
      </tp>
      <tp t="s">
        <v>#N/A N/A</v>
        <stp/>
        <stp>BDH|11210216685808580</stp>
        <tr r="T40" s="2"/>
      </tp>
      <tp t="s">
        <v>#N/A N/A</v>
        <stp/>
        <stp>BDH|86151124302469207</stp>
        <tr r="R98" s="2"/>
      </tp>
      <tp t="s">
        <v>#N/A N/A</v>
        <stp/>
        <stp>BDH|12673226337970056</stp>
        <tr r="E52" s="2"/>
      </tp>
      <tp t="s">
        <v>#N/A N/A</v>
        <stp/>
        <stp>BDH|7092893672980310723</stp>
        <tr r="H64" s="2"/>
      </tp>
      <tp t="s">
        <v>#N/A N/A</v>
        <stp/>
        <stp>BDH|6706670365658944166</stp>
        <tr r="L32" s="2"/>
      </tp>
      <tp t="s">
        <v>#N/A N/A</v>
        <stp/>
        <stp>BDH|3808910276656484416</stp>
        <tr r="L9" s="2"/>
      </tp>
      <tp t="s">
        <v>#N/A N/A</v>
        <stp/>
        <stp>BDH|9475120927871341484</stp>
        <tr r="AA35" s="2"/>
      </tp>
      <tp t="s">
        <v>#N/A N/A</v>
        <stp/>
        <stp>BDH|8692162870882844336</stp>
        <tr r="AF58" s="2"/>
      </tp>
      <tp t="s">
        <v>#N/A N/A</v>
        <stp/>
        <stp>BDH|9004497452774729371</stp>
        <tr r="D65" s="2"/>
      </tp>
      <tp t="s">
        <v>#N/A N/A</v>
        <stp/>
        <stp>BDH|3976371587607339017</stp>
        <tr r="T66" s="2"/>
      </tp>
      <tp t="s">
        <v>#N/A N/A</v>
        <stp/>
        <stp>BDH|6016317617632983943</stp>
        <tr r="AD27" s="2"/>
      </tp>
      <tp t="s">
        <v>#N/A N/A</v>
        <stp/>
        <stp>BDH|5073563631029532598</stp>
        <tr r="Q57" s="2"/>
      </tp>
      <tp t="s">
        <v>#N/A N/A</v>
        <stp/>
        <stp>BDH|5496832553473572498</stp>
        <tr r="AF67" s="2"/>
      </tp>
      <tp t="s">
        <v>#N/A N/A</v>
        <stp/>
        <stp>BDH|9108737803243063291</stp>
        <tr r="AB92" s="2"/>
      </tp>
      <tp t="s">
        <v>#N/A N/A</v>
        <stp/>
        <stp>BDH|9712609973257882044</stp>
        <tr r="T17" s="2"/>
      </tp>
      <tp t="s">
        <v>#N/A N/A</v>
        <stp/>
        <stp>BDH|1170479082077431587</stp>
        <tr r="AE46" s="2"/>
      </tp>
      <tp t="s">
        <v>#N/A N/A</v>
        <stp/>
        <stp>BDH|9135186510057841180</stp>
        <tr r="X56" s="2"/>
      </tp>
      <tp t="s">
        <v>#N/A N/A</v>
        <stp/>
        <stp>BDH|9930494621214169493</stp>
        <tr r="X86" s="2"/>
      </tp>
      <tp t="s">
        <v>#N/A N/A</v>
        <stp/>
        <stp>BDH|4965212887570757110</stp>
        <tr r="E55" s="2"/>
      </tp>
      <tp t="s">
        <v>#N/A N/A</v>
        <stp/>
        <stp>BDH|1238927029332212721</stp>
        <tr r="Q46" s="2"/>
      </tp>
      <tp t="s">
        <v>#N/A N/A</v>
        <stp/>
        <stp>BDH|9454491807462350008</stp>
        <tr r="P30" s="2"/>
      </tp>
      <tp t="s">
        <v>#N/A N/A</v>
        <stp/>
        <stp>BDH|3701957547027810634</stp>
        <tr r="E36" s="2"/>
      </tp>
      <tp t="s">
        <v>#N/A N/A</v>
        <stp/>
        <stp>BDH|3337298755818066313</stp>
        <tr r="V50" s="2"/>
      </tp>
      <tp t="s">
        <v>#N/A N/A</v>
        <stp/>
        <stp>BDH|1391651509891822994</stp>
        <tr r="AE50" s="2"/>
      </tp>
      <tp t="s">
        <v>#N/A N/A</v>
        <stp/>
        <stp>BDH|4865270356594047871</stp>
        <tr r="S49" s="2"/>
      </tp>
      <tp t="s">
        <v>#N/A N/A</v>
        <stp/>
        <stp>BDH|3299407685473810312</stp>
        <tr r="J9" s="2"/>
      </tp>
      <tp t="s">
        <v>#N/A N/A</v>
        <stp/>
        <stp>BDH|6560397131521694850</stp>
        <tr r="G46" s="2"/>
      </tp>
      <tp t="s">
        <v>#N/A N/A</v>
        <stp/>
        <stp>BDH|3917037583381416538</stp>
        <tr r="O93" s="2"/>
      </tp>
      <tp t="s">
        <v>#N/A N/A</v>
        <stp/>
        <stp>BDH|2586964299954745911</stp>
        <tr r="Q41" s="2"/>
      </tp>
      <tp t="s">
        <v>#N/A N/A</v>
        <stp/>
        <stp>BDH|9223832287066399099</stp>
        <tr r="V13" s="2"/>
      </tp>
      <tp t="s">
        <v>#N/A N/A</v>
        <stp/>
        <stp>BDH|2759679766055977839</stp>
        <tr r="U99" s="2"/>
      </tp>
      <tp t="s">
        <v>#N/A N/A</v>
        <stp/>
        <stp>BDH|4443470626084034991</stp>
        <tr r="D59" s="2"/>
      </tp>
      <tp t="s">
        <v>#N/A N/A</v>
        <stp/>
        <stp>BDH|8566893360091309820</stp>
        <tr r="C52" s="2"/>
      </tp>
      <tp t="s">
        <v>#N/A N/A</v>
        <stp/>
        <stp>BDH|4825327385247655746</stp>
        <tr r="X42" s="2"/>
      </tp>
      <tp t="s">
        <v>#N/A N/A</v>
        <stp/>
        <stp>BDH|6740771979589431004</stp>
        <tr r="D69" s="2"/>
      </tp>
      <tp t="s">
        <v>#N/A N/A</v>
        <stp/>
        <stp>BDH|3811875750717468662</stp>
        <tr r="I78" s="2"/>
      </tp>
      <tp t="s">
        <v>#N/A N/A</v>
        <stp/>
        <stp>BDH|1950693063527797991</stp>
        <tr r="K31" s="2"/>
      </tp>
      <tp t="s">
        <v>#N/A N/A</v>
        <stp/>
        <stp>BDH|5590757884310066591</stp>
        <tr r="X28" s="2"/>
      </tp>
      <tp t="s">
        <v>#N/A N/A</v>
        <stp/>
        <stp>BDH|8353753018031487071</stp>
        <tr r="K35" s="2"/>
      </tp>
      <tp t="s">
        <v>#N/A N/A</v>
        <stp/>
        <stp>BDH|3225345392794445227</stp>
        <tr r="X55" s="2"/>
      </tp>
      <tp t="s">
        <v>#N/A N/A</v>
        <stp/>
        <stp>BDH|6859508281434313080</stp>
        <tr r="AA89" s="2"/>
      </tp>
      <tp t="s">
        <v>#N/A N/A</v>
        <stp/>
        <stp>BDH|1885602469097551965</stp>
        <tr r="AB62" s="2"/>
      </tp>
      <tp t="s">
        <v>#N/A N/A</v>
        <stp/>
        <stp>BDH|7550269627388495028</stp>
        <tr r="Y15" s="2"/>
      </tp>
      <tp t="s">
        <v>#N/A N/A</v>
        <stp/>
        <stp>BDH|1511964929715150084</stp>
        <tr r="T34" s="2"/>
      </tp>
      <tp t="s">
        <v>#N/A N/A</v>
        <stp/>
        <stp>BDH|4538516300268450636</stp>
        <tr r="AB72" s="2"/>
      </tp>
      <tp t="s">
        <v>#N/A N/A</v>
        <stp/>
        <stp>BDH|1895759394813891327</stp>
        <tr r="O99" s="2"/>
      </tp>
      <tp t="s">
        <v>#N/A N/A</v>
        <stp/>
        <stp>BDH|8326822983576118102</stp>
        <tr r="AF36" s="2"/>
      </tp>
      <tp t="s">
        <v>#N/A N/A</v>
        <stp/>
        <stp>BDH|5232054695097675479</stp>
        <tr r="K21" s="2"/>
      </tp>
      <tp t="s">
        <v>#N/A N/A</v>
        <stp/>
        <stp>BDH|9091127962275400474</stp>
        <tr r="D68" s="2"/>
      </tp>
      <tp t="s">
        <v>#N/A N/A</v>
        <stp/>
        <stp>BDH|7327831012847653670</stp>
        <tr r="X76" s="2"/>
      </tp>
      <tp t="s">
        <v>#N/A N/A</v>
        <stp/>
        <stp>BDH|9419415126459372907</stp>
        <tr r="T67" s="2"/>
      </tp>
      <tp t="s">
        <v>#N/A N/A</v>
        <stp/>
        <stp>BDH|9626680239145593628</stp>
        <tr r="L36" s="2"/>
      </tp>
      <tp t="s">
        <v>#N/A N/A</v>
        <stp/>
        <stp>BDH|8479434266512048716</stp>
        <tr r="E41" s="2"/>
      </tp>
      <tp t="s">
        <v>#N/A N/A</v>
        <stp/>
        <stp>BDH|9814976892766998042</stp>
        <tr r="N8" s="2"/>
      </tp>
      <tp t="s">
        <v>#N/A N/A</v>
        <stp/>
        <stp>BDH|2539610743038195778</stp>
        <tr r="AA66" s="2"/>
      </tp>
      <tp t="s">
        <v>#N/A N/A</v>
        <stp/>
        <stp>BDH|4492100120341456918</stp>
        <tr r="AD24" s="2"/>
      </tp>
      <tp t="s">
        <v>#N/A N/A</v>
        <stp/>
        <stp>BDH|7371210774348652517</stp>
        <tr r="Y21" s="2"/>
      </tp>
      <tp t="s">
        <v>#N/A N/A</v>
        <stp/>
        <stp>BDH|9220768160022534502</stp>
        <tr r="AC64" s="2"/>
      </tp>
      <tp t="s">
        <v>#N/A N/A</v>
        <stp/>
        <stp>BDH|9987846861361865951</stp>
        <tr r="V63" s="2"/>
      </tp>
      <tp t="s">
        <v>#N/A N/A</v>
        <stp/>
        <stp>BDH|5809403486066845004</stp>
        <tr r="C98" s="2"/>
      </tp>
      <tp t="s">
        <v>#N/A N/A</v>
        <stp/>
        <stp>BDH|7809688527008884495</stp>
        <tr r="D61" s="2"/>
      </tp>
      <tp t="s">
        <v>#N/A N/A</v>
        <stp/>
        <stp>BDH|9545853175280728941</stp>
        <tr r="T88" s="2"/>
      </tp>
      <tp t="s">
        <v>#N/A N/A</v>
        <stp/>
        <stp>BDH|3604115854711656931</stp>
        <tr r="F51" s="2"/>
      </tp>
      <tp t="s">
        <v>#N/A N/A</v>
        <stp/>
        <stp>BDH|8403546151035729215</stp>
        <tr r="L73" s="2"/>
      </tp>
      <tp t="s">
        <v>#N/A N/A</v>
        <stp/>
        <stp>BDH|3575360204006552952</stp>
        <tr r="AE65" s="2"/>
      </tp>
      <tp t="s">
        <v>#N/A N/A</v>
        <stp/>
        <stp>BDH|4325507484615102313</stp>
        <tr r="I65" s="2"/>
      </tp>
      <tp t="s">
        <v>#N/A N/A</v>
        <stp/>
        <stp>BDH|4427287938028378207</stp>
        <tr r="O86" s="2"/>
      </tp>
      <tp t="s">
        <v>#N/A N/A</v>
        <stp/>
        <stp>BDH|2460804114117231355</stp>
        <tr r="N96" s="2"/>
      </tp>
      <tp t="s">
        <v>#N/A N/A</v>
        <stp/>
        <stp>BDH|8982592551684011365</stp>
        <tr r="K52" s="2"/>
      </tp>
      <tp t="s">
        <v>#N/A N/A</v>
        <stp/>
        <stp>BDH|7867056520972864822</stp>
        <tr r="X67" s="2"/>
      </tp>
      <tp t="s">
        <v>#N/A N/A</v>
        <stp/>
        <stp>BDH|4119841605947477433</stp>
        <tr r="C9" s="2"/>
      </tp>
      <tp t="s">
        <v>#N/A N/A</v>
        <stp/>
        <stp>BDH|6672266386794641745</stp>
        <tr r="R11" s="2"/>
      </tp>
      <tp t="s">
        <v>#N/A N/A</v>
        <stp/>
        <stp>BDH|3176927823747660029</stp>
        <tr r="AF91" s="2"/>
      </tp>
      <tp t="s">
        <v>#N/A N/A</v>
        <stp/>
        <stp>BDH|9391712405617230613</stp>
        <tr r="F34" s="2"/>
      </tp>
      <tp t="s">
        <v>#N/A N/A</v>
        <stp/>
        <stp>BDH|3287434999675440482</stp>
        <tr r="Y23" s="2"/>
      </tp>
      <tp t="s">
        <v>#N/A N/A</v>
        <stp/>
        <stp>BDH|7140834622554500604</stp>
        <tr r="C90" s="2"/>
      </tp>
      <tp t="s">
        <v>#N/A N/A</v>
        <stp/>
        <stp>BDH|3715566470056126855</stp>
        <tr r="U88" s="2"/>
      </tp>
      <tp t="s">
        <v>#N/A N/A</v>
        <stp/>
        <stp>BDH|5793421086933424527</stp>
        <tr r="F13" s="2"/>
      </tp>
      <tp t="s">
        <v>#N/A N/A</v>
        <stp/>
        <stp>BDH|8163227325466601153</stp>
        <tr r="N60" s="2"/>
      </tp>
      <tp t="s">
        <v>#N/A N/A</v>
        <stp/>
        <stp>BDH|6754470295326765278</stp>
        <tr r="AC96" s="2"/>
      </tp>
      <tp t="s">
        <v>#N/A N/A</v>
        <stp/>
        <stp>BDH|4066322265808094628</stp>
        <tr r="L48" s="2"/>
      </tp>
      <tp t="s">
        <v>#N/A N/A</v>
        <stp/>
        <stp>BDH|9031747014846063655</stp>
        <tr r="X34" s="2"/>
      </tp>
      <tp t="s">
        <v>#N/A N/A</v>
        <stp/>
        <stp>BDH|2630873664073672068</stp>
        <tr r="C94" s="2"/>
      </tp>
      <tp t="s">
        <v>#N/A N/A</v>
        <stp/>
        <stp>BDH|38843847087941943</stp>
        <tr r="E99" s="2"/>
      </tp>
      <tp t="s">
        <v>#N/A N/A</v>
        <stp/>
        <stp>BDH|5129007534077732985</stp>
        <tr r="P54" s="2"/>
      </tp>
      <tp t="s">
        <v>#N/A N/A</v>
        <stp/>
        <stp>BDH|5375347743818862267</stp>
        <tr r="Y29" s="2"/>
      </tp>
      <tp t="s">
        <v>#N/A N/A</v>
        <stp/>
        <stp>BDH|1310699723048209511</stp>
        <tr r="G19" s="2"/>
      </tp>
      <tp t="s">
        <v>#N/A N/A</v>
        <stp/>
        <stp>BDH|7049916867928850846</stp>
        <tr r="AF72" s="2"/>
      </tp>
      <tp t="s">
        <v>#N/A N/A</v>
        <stp/>
        <stp>BDH|2965608686862245660</stp>
        <tr r="O21" s="2"/>
      </tp>
      <tp t="s">
        <v>#N/A N/A</v>
        <stp/>
        <stp>BDH|1941492988816288314</stp>
        <tr r="E8" s="2"/>
      </tp>
      <tp t="s">
        <v>#N/A N/A</v>
        <stp/>
        <stp>BDH|2382677425007923938</stp>
        <tr r="K72" s="2"/>
      </tp>
      <tp t="s">
        <v>#N/A N/A</v>
        <stp/>
        <stp>BDH|6705146673209967129</stp>
        <tr r="P74" s="2"/>
      </tp>
      <tp t="s">
        <v>#N/A N/A</v>
        <stp/>
        <stp>BDH|9363829998637357716</stp>
        <tr r="R26" s="2"/>
      </tp>
      <tp t="s">
        <v>#N/A N/A</v>
        <stp/>
        <stp>BDH|4063088337599135655</stp>
        <tr r="I92" s="2"/>
      </tp>
      <tp t="s">
        <v>#N/A N/A</v>
        <stp/>
        <stp>BDH|9551487672243469134</stp>
        <tr r="V29" s="2"/>
      </tp>
      <tp t="s">
        <v>#N/A N/A</v>
        <stp/>
        <stp>BDH|9206435344778936944</stp>
        <tr r="T21" s="2"/>
      </tp>
      <tp t="s">
        <v>#N/A N/A</v>
        <stp/>
        <stp>BDH|6129299771539282231</stp>
        <tr r="R92" s="2"/>
      </tp>
      <tp t="s">
        <v>#N/A N/A</v>
        <stp/>
        <stp>BDH|5264197591370307506</stp>
        <tr r="AB99" s="2"/>
      </tp>
      <tp t="s">
        <v>#N/A N/A</v>
        <stp/>
        <stp>BDH|7800663011511133973</stp>
        <tr r="L92" s="2"/>
      </tp>
      <tp t="s">
        <v>#N/A N/A</v>
        <stp/>
        <stp>BDH|7090963053167890433</stp>
        <tr r="V58" s="2"/>
      </tp>
      <tp t="s">
        <v>#N/A N/A</v>
        <stp/>
        <stp>BDH|4308715497784203690</stp>
        <tr r="K16" s="2"/>
      </tp>
      <tp t="s">
        <v>#N/A N/A</v>
        <stp/>
        <stp>BDH|5542831942474259582</stp>
        <tr r="W46" s="2"/>
      </tp>
      <tp t="s">
        <v>#N/A N/A</v>
        <stp/>
        <stp>BDH|3839517134874053932</stp>
        <tr r="AB50" s="2"/>
      </tp>
      <tp t="s">
        <v>#N/A N/A</v>
        <stp/>
        <stp>BDH|1942208436680826897</stp>
        <tr r="C59" s="2"/>
      </tp>
      <tp t="s">
        <v>#N/A N/A</v>
        <stp/>
        <stp>BDH|9008580416944236132</stp>
        <tr r="AA33" s="2"/>
      </tp>
      <tp t="s">
        <v>#N/A N/A</v>
        <stp/>
        <stp>BDH|9990261228524013586</stp>
        <tr r="AE89" s="2"/>
      </tp>
      <tp t="s">
        <v>#N/A N/A</v>
        <stp/>
        <stp>BDH|1687584624699755720</stp>
        <tr r="M89" s="2"/>
      </tp>
      <tp t="s">
        <v>#N/A N/A</v>
        <stp/>
        <stp>BDH|5331382015899100638</stp>
        <tr r="O89" s="2"/>
      </tp>
      <tp t="s">
        <v>#N/A N/A</v>
        <stp/>
        <stp>BDH|3802533225698512477</stp>
        <tr r="G90" s="2"/>
      </tp>
      <tp t="s">
        <v>#N/A N/A</v>
        <stp/>
        <stp>BDH|5853060583637414259</stp>
        <tr r="W67" s="2"/>
      </tp>
      <tp t="s">
        <v>#N/A N/A</v>
        <stp/>
        <stp>BDH|2285982041204372340</stp>
        <tr r="S86" s="2"/>
      </tp>
      <tp t="s">
        <v>#N/A N/A</v>
        <stp/>
        <stp>BDH|9224086794850051838</stp>
        <tr r="T91" s="2"/>
      </tp>
      <tp t="s">
        <v>#N/A N/A</v>
        <stp/>
        <stp>BDH|7729880551701076332</stp>
        <tr r="Q47" s="2"/>
      </tp>
      <tp t="s">
        <v>#N/A N/A</v>
        <stp/>
        <stp>BDH|8746371548210765723</stp>
        <tr r="X47" s="2"/>
      </tp>
      <tp t="s">
        <v>#N/A N/A</v>
        <stp/>
        <stp>BDH|8638585378727870531</stp>
        <tr r="Z22" s="2"/>
      </tp>
      <tp t="s">
        <v>#N/A N/A</v>
        <stp/>
        <stp>BDH|1032252608063459848</stp>
        <tr r="AA90" s="2"/>
      </tp>
      <tp t="s">
        <v>#N/A N/A</v>
        <stp/>
        <stp>BDH|4816395041438109334</stp>
        <tr r="Q31" s="2"/>
      </tp>
      <tp t="s">
        <v>#N/A N/A</v>
        <stp/>
        <stp>BDH|8307154036486177433</stp>
        <tr r="C79" s="2"/>
      </tp>
      <tp t="s">
        <v>#N/A N/A</v>
        <stp/>
        <stp>BDH|2624829351002310541</stp>
        <tr r="H60" s="2"/>
      </tp>
      <tp t="s">
        <v>#N/A N/A</v>
        <stp/>
        <stp>BDH|8969720195847430986</stp>
        <tr r="AD86" s="2"/>
      </tp>
      <tp t="s">
        <v>#N/A N/A</v>
        <stp/>
        <stp>BDH|5545981746555987505</stp>
        <tr r="I77" s="2"/>
      </tp>
      <tp t="s">
        <v>#N/A N/A</v>
        <stp/>
        <stp>BDH|4478349994286185078</stp>
        <tr r="AE16" s="2"/>
      </tp>
      <tp t="s">
        <v>#N/A N/A</v>
        <stp/>
        <stp>BDH|6351827077179142842</stp>
        <tr r="M68" s="2"/>
      </tp>
      <tp t="s">
        <v>#N/A N/A</v>
        <stp/>
        <stp>BDH|9820716421324261099</stp>
        <tr r="G55" s="2"/>
      </tp>
      <tp t="s">
        <v>#N/A N/A</v>
        <stp/>
        <stp>BDH|9842709346262910042</stp>
        <tr r="D75" s="2"/>
      </tp>
      <tp t="s">
        <v>#N/A N/A</v>
        <stp/>
        <stp>BDH|2632467784977089179</stp>
        <tr r="K43" s="2"/>
      </tp>
      <tp t="s">
        <v>#N/A N/A</v>
        <stp/>
        <stp>BDH|4430958767315132644</stp>
        <tr r="W36" s="2"/>
      </tp>
      <tp t="s">
        <v>#N/A N/A</v>
        <stp/>
        <stp>BDH|2240561773720367847</stp>
        <tr r="N88" s="2"/>
      </tp>
      <tp t="s">
        <v>#N/A N/A</v>
        <stp/>
        <stp>BDH|7404244502644726954</stp>
        <tr r="V47" s="2"/>
      </tp>
      <tp t="s">
        <v>#N/A N/A</v>
        <stp/>
        <stp>BDH|1469569898037222284</stp>
        <tr r="V91" s="2"/>
      </tp>
      <tp t="s">
        <v>#N/A N/A</v>
        <stp/>
        <stp>BDH|9853470355583896339</stp>
        <tr r="U61" s="2"/>
      </tp>
      <tp t="s">
        <v>#N/A N/A</v>
        <stp/>
        <stp>BDH|5420801733532632407</stp>
        <tr r="X33" s="2"/>
      </tp>
      <tp t="s">
        <v>#N/A N/A</v>
        <stp/>
        <stp>BDH|3085829860286178326</stp>
        <tr r="P23" s="2"/>
      </tp>
      <tp t="s">
        <v>#N/A N/A</v>
        <stp/>
        <stp>BDH|6128287381235823117</stp>
        <tr r="Y97" s="2"/>
      </tp>
      <tp t="s">
        <v>#N/A N/A</v>
        <stp/>
        <stp>BDH|8701372766095741003</stp>
        <tr r="AF42" s="2"/>
      </tp>
      <tp t="s">
        <v>#N/A N/A</v>
        <stp/>
        <stp>BDH|4038836862146751475</stp>
        <tr r="O34" s="2"/>
      </tp>
      <tp t="s">
        <v>#N/A N/A</v>
        <stp/>
        <stp>BDH|4169898378167712466</stp>
        <tr r="AA58" s="2"/>
      </tp>
      <tp t="s">
        <v>#N/A N/A</v>
        <stp/>
        <stp>BDH|8027908082156278714</stp>
        <tr r="C13" s="2"/>
      </tp>
      <tp t="s">
        <v>#N/A N/A</v>
        <stp/>
        <stp>BDH|3610156445878335643</stp>
        <tr r="C15" s="2"/>
      </tp>
      <tp t="s">
        <v>#N/A N/A</v>
        <stp/>
        <stp>BDH|4968701284545365686</stp>
        <tr r="Z29" s="2"/>
      </tp>
      <tp t="s">
        <v>#N/A N/A</v>
        <stp/>
        <stp>BDH|1807445089013208610</stp>
        <tr r="F63" s="2"/>
      </tp>
      <tp t="s">
        <v>#N/A N/A</v>
        <stp/>
        <stp>BDH|3193589839815098865</stp>
        <tr r="X81" s="2"/>
      </tp>
      <tp t="s">
        <v>#N/A N/A</v>
        <stp/>
        <stp>BDH|8517910533098850290</stp>
        <tr r="L64" s="2"/>
      </tp>
      <tp t="s">
        <v>#N/A N/A</v>
        <stp/>
        <stp>BDH|3224099558998568603</stp>
        <tr r="N13" s="2"/>
      </tp>
      <tp t="s">
        <v>#N/A N/A</v>
        <stp/>
        <stp>BDH|7757011543039753247</stp>
        <tr r="AA74" s="2"/>
      </tp>
      <tp t="s">
        <v>#N/A N/A</v>
        <stp/>
        <stp>BDH|2815680782955274162</stp>
        <tr r="S15" s="2"/>
      </tp>
      <tp t="s">
        <v>#N/A N/A</v>
        <stp/>
        <stp>BDH|1069085375798389695</stp>
        <tr r="W82" s="2"/>
      </tp>
      <tp t="s">
        <v>#N/A N/A</v>
        <stp/>
        <stp>BDH|6584922579856077698</stp>
        <tr r="H50" s="2"/>
      </tp>
      <tp t="s">
        <v>#N/A N/A</v>
        <stp/>
        <stp>BDH|9242436923301444623</stp>
        <tr r="D33" s="2"/>
      </tp>
      <tp t="s">
        <v>#N/A N/A</v>
        <stp/>
        <stp>BDH|2556025811668268309</stp>
        <tr r="U80" s="2"/>
      </tp>
      <tp t="s">
        <v>#N/A N/A</v>
        <stp/>
        <stp>BDH|2073605485990239430</stp>
        <tr r="W9" s="2"/>
      </tp>
      <tp t="s">
        <v>#N/A N/A</v>
        <stp/>
        <stp>BDH|9260514070945228651</stp>
        <tr r="J13" s="2"/>
      </tp>
      <tp t="s">
        <v>#N/A N/A</v>
        <stp/>
        <stp>BDH|5506773005308537273</stp>
        <tr r="U46" s="2"/>
      </tp>
      <tp t="s">
        <v>#N/A N/A</v>
        <stp/>
        <stp>BDH|1738624222464476964</stp>
        <tr r="L30" s="2"/>
      </tp>
      <tp t="s">
        <v>#N/A N/A</v>
        <stp/>
        <stp>BDH|9814663220975914029</stp>
        <tr r="P58" s="2"/>
      </tp>
      <tp t="s">
        <v>#N/A N/A</v>
        <stp/>
        <stp>BDH|8840180482571105863</stp>
        <tr r="Y7" s="2"/>
      </tp>
      <tp t="s">
        <v>#N/A N/A</v>
        <stp/>
        <stp>BDH|8147705262859038862</stp>
        <tr r="AF26" s="2"/>
      </tp>
      <tp t="s">
        <v>#N/A N/A</v>
        <stp/>
        <stp>BDH|67809152941774946</stp>
        <tr r="Y74" s="2"/>
      </tp>
      <tp t="s">
        <v>#N/A N/A</v>
        <stp/>
        <stp>BDH|76541176701965657</stp>
        <tr r="Q61" s="2"/>
      </tp>
      <tp t="s">
        <v>#N/A N/A</v>
        <stp/>
        <stp>BDH|4265884073437677553</stp>
        <tr r="AB35" s="2"/>
      </tp>
      <tp t="s">
        <v>#N/A N/A</v>
        <stp/>
        <stp>BDH|6725259947200686996</stp>
        <tr r="O96" s="2"/>
      </tp>
      <tp t="s">
        <v>#N/A N/A</v>
        <stp/>
        <stp>BDH|9917266352075795208</stp>
        <tr r="K7" s="2"/>
      </tp>
      <tp t="s">
        <v>#N/A N/A</v>
        <stp/>
        <stp>BDH|7984687998440280115</stp>
        <tr r="J55" s="2"/>
      </tp>
      <tp t="s">
        <v>#N/A N/A</v>
        <stp/>
        <stp>BDH|1255333486125513693</stp>
        <tr r="Y99" s="2"/>
      </tp>
      <tp t="s">
        <v>#N/A N/A</v>
        <stp/>
        <stp>BDH|9651476983009164583</stp>
        <tr r="Z7" s="2"/>
      </tp>
      <tp t="s">
        <v>#N/A N/A</v>
        <stp/>
        <stp>BDH|8840105005151016169</stp>
        <tr r="E58" s="2"/>
      </tp>
      <tp t="s">
        <v>#N/A N/A</v>
        <stp/>
        <stp>BDH|9988092848203119721</stp>
        <tr r="AD95" s="2"/>
      </tp>
      <tp t="s">
        <v>#N/A N/A</v>
        <stp/>
        <stp>BDH|9097678746545398791</stp>
        <tr r="S50" s="2"/>
      </tp>
      <tp t="s">
        <v>#N/A N/A</v>
        <stp/>
        <stp>BDH|5170979772183744185</stp>
        <tr r="R74" s="2"/>
      </tp>
      <tp t="s">
        <v>#N/A N/A</v>
        <stp/>
        <stp>BDH|1198145487210326197</stp>
        <tr r="H21" s="2"/>
      </tp>
      <tp t="s">
        <v>#N/A N/A</v>
        <stp/>
        <stp>BDH|9394390313173259132</stp>
        <tr r="N87" s="2"/>
      </tp>
      <tp t="s">
        <v>#N/A N/A</v>
        <stp/>
        <stp>BDH|9963412301545347135</stp>
        <tr r="M78" s="2"/>
      </tp>
      <tp t="s">
        <v>#N/A N/A</v>
        <stp/>
        <stp>BDH|3850524082942631578</stp>
        <tr r="M71" s="2"/>
      </tp>
      <tp t="s">
        <v>#N/A N/A</v>
        <stp/>
        <stp>BDH|1171432717968873548</stp>
        <tr r="J12" s="2"/>
      </tp>
      <tp t="s">
        <v>#N/A N/A</v>
        <stp/>
        <stp>BDH|1549075439933321812</stp>
        <tr r="D82" s="2"/>
      </tp>
      <tp t="s">
        <v>#N/A N/A</v>
        <stp/>
        <stp>BDH|6575771499575611449</stp>
        <tr r="J86" s="2"/>
      </tp>
      <tp t="s">
        <v>#N/A N/A</v>
        <stp/>
        <stp>BDH|1081887072252337505</stp>
        <tr r="S51" s="2"/>
      </tp>
      <tp t="s">
        <v>#N/A N/A</v>
        <stp/>
        <stp>BDH|3879440911639450609</stp>
        <tr r="N52" s="2"/>
      </tp>
      <tp t="s">
        <v>#N/A N/A</v>
        <stp/>
        <stp>BDH|2149194906522119810</stp>
        <tr r="Y81" s="2"/>
      </tp>
      <tp t="s">
        <v>#N/A N/A</v>
        <stp/>
        <stp>BDH|6720222729369181632</stp>
        <tr r="K69" s="2"/>
      </tp>
      <tp t="s">
        <v>#N/A N/A</v>
        <stp/>
        <stp>BDH|9530580635873147577</stp>
        <tr r="N54" s="2"/>
      </tp>
      <tp t="s">
        <v>#N/A N/A</v>
        <stp/>
        <stp>BDH|9392111741364457195</stp>
        <tr r="U44" s="2"/>
      </tp>
      <tp t="s">
        <v>#N/A N/A</v>
        <stp/>
        <stp>BDH|6294038311629609796</stp>
        <tr r="X69" s="2"/>
      </tp>
      <tp t="s">
        <v>#N/A N/A</v>
        <stp/>
        <stp>BDH|5750622120270324897</stp>
        <tr r="I40" s="2"/>
      </tp>
      <tp t="s">
        <v>#N/A N/A</v>
        <stp/>
        <stp>BDH|7892988364055378485</stp>
        <tr r="J74" s="2"/>
      </tp>
      <tp t="s">
        <v>#N/A N/A</v>
        <stp/>
        <stp>BDH|5090823170957561480</stp>
        <tr r="M56" s="2"/>
      </tp>
      <tp t="s">
        <v>#N/A N/A</v>
        <stp/>
        <stp>BDH|5245190521108778727</stp>
        <tr r="X20" s="2"/>
      </tp>
      <tp t="s">
        <v>#N/A N/A</v>
        <stp/>
        <stp>BDH|1185588217865791965</stp>
        <tr r="E60" s="2"/>
      </tp>
      <tp t="s">
        <v>#N/A N/A</v>
        <stp/>
        <stp>BDH|3542442286835081382</stp>
        <tr r="T8" s="2"/>
      </tp>
      <tp t="s">
        <v>#N/A N/A</v>
        <stp/>
        <stp>BDH|2902834133077268746</stp>
        <tr r="AE76" s="2"/>
      </tp>
      <tp t="s">
        <v>#N/A N/A</v>
        <stp/>
        <stp>BDH|6464911180047370997</stp>
        <tr r="O45" s="2"/>
      </tp>
      <tp t="s">
        <v>#N/A N/A</v>
        <stp/>
        <stp>BDH|8905449932130653665</stp>
        <tr r="X75" s="2"/>
      </tp>
      <tp t="s">
        <v>#N/A N/A</v>
        <stp/>
        <stp>BDH|4905251471178122003</stp>
        <tr r="I66" s="2"/>
      </tp>
      <tp t="s">
        <v>#N/A N/A</v>
        <stp/>
        <stp>BDH|9349182764697738042</stp>
        <tr r="H8" s="2"/>
      </tp>
      <tp t="s">
        <v>#N/A N/A</v>
        <stp/>
        <stp>BDH|8128383271726742332</stp>
        <tr r="X16" s="2"/>
      </tp>
      <tp t="s">
        <v>#N/A N/A</v>
        <stp/>
        <stp>BDH|6108951379134927580</stp>
        <tr r="X43" s="2"/>
      </tp>
      <tp t="s">
        <v>#N/A N/A</v>
        <stp/>
        <stp>BDH|6217678558959903586</stp>
        <tr r="O31" s="2"/>
      </tp>
      <tp t="s">
        <v>#N/A N/A</v>
        <stp/>
        <stp>BDH|9254038170040438794</stp>
        <tr r="P27" s="2"/>
      </tp>
      <tp t="s">
        <v>#N/A N/A</v>
        <stp/>
        <stp>BDH|1897140662349479660</stp>
        <tr r="S17" s="2"/>
      </tp>
      <tp t="s">
        <v>#N/A N/A</v>
        <stp/>
        <stp>BDH|2435964709491783304</stp>
        <tr r="P42" s="2"/>
      </tp>
      <tp t="s">
        <v>#N/A N/A</v>
        <stp/>
        <stp>BDH|1824656582194018226</stp>
        <tr r="AE52" s="2"/>
      </tp>
      <tp t="s">
        <v>#N/A N/A</v>
        <stp/>
        <stp>BDH|7691931160764053582</stp>
        <tr r="AC69" s="2"/>
      </tp>
      <tp t="s">
        <v>#N/A N/A</v>
        <stp/>
        <stp>BDH|3507948742832964578</stp>
        <tr r="C48" s="2"/>
      </tp>
      <tp t="s">
        <v>#N/A N/A</v>
        <stp/>
        <stp>BDH|8241916588639951901</stp>
        <tr r="I26" s="2"/>
      </tp>
      <tp t="s">
        <v>#N/A N/A</v>
        <stp/>
        <stp>BDH|7202424170915283801</stp>
        <tr r="AE88" s="2"/>
      </tp>
      <tp t="s">
        <v>#N/A N/A</v>
        <stp/>
        <stp>BDH|8062746337232646771</stp>
        <tr r="H42" s="2"/>
      </tp>
      <tp t="s">
        <v>#N/A N/A</v>
        <stp/>
        <stp>BDH|3418357895166037663</stp>
        <tr r="L78" s="2"/>
      </tp>
      <tp t="s">
        <v>#N/A N/A</v>
        <stp/>
        <stp>BDH|4719602103688659309</stp>
        <tr r="T62" s="2"/>
      </tp>
      <tp t="s">
        <v>#N/A N/A</v>
        <stp/>
        <stp>BDH|6456606907769680075</stp>
        <tr r="R42" s="2"/>
      </tp>
      <tp t="s">
        <v>#N/A N/A</v>
        <stp/>
        <stp>BDH|2415962830703497244</stp>
        <tr r="J24" s="2"/>
      </tp>
      <tp t="s">
        <v>#N/A N/A</v>
        <stp/>
        <stp>BDH|9060048567020749667</stp>
        <tr r="AC21" s="2"/>
      </tp>
      <tp t="s">
        <v>#N/A N/A</v>
        <stp/>
        <stp>BDH|6531661080015696477</stp>
        <tr r="D96" s="2"/>
      </tp>
      <tp t="s">
        <v>#N/A N/A</v>
        <stp/>
        <stp>BDH|9892805684036750688</stp>
        <tr r="K76" s="2"/>
      </tp>
      <tp t="s">
        <v>#N/A N/A</v>
        <stp/>
        <stp>BDH|9098589074246939465</stp>
        <tr r="F24" s="2"/>
      </tp>
      <tp t="s">
        <v>#N/A N/A</v>
        <stp/>
        <stp>BDH|7266932023153642676</stp>
        <tr r="AB79" s="2"/>
      </tp>
      <tp t="s">
        <v>#N/A N/A</v>
        <stp/>
        <stp>BDH|3840057220871799994</stp>
        <tr r="C65" s="2"/>
      </tp>
      <tp t="s">
        <v>#N/A N/A</v>
        <stp/>
        <stp>BDH|6570287982254594192</stp>
        <tr r="L46" s="2"/>
      </tp>
      <tp t="s">
        <v>#N/A N/A</v>
        <stp/>
        <stp>BDH|8842085574123047544</stp>
        <tr r="D19" s="2"/>
      </tp>
      <tp t="s">
        <v>#N/A N/A</v>
        <stp/>
        <stp>BDH|4491530955949597479</stp>
        <tr r="V52" s="2"/>
      </tp>
      <tp t="s">
        <v>#N/A N/A</v>
        <stp/>
        <stp>BDH|3884887367823402735</stp>
        <tr r="G71" s="2"/>
      </tp>
      <tp t="s">
        <v>#N/A N/A</v>
        <stp/>
        <stp>BDH|5348864793659119473</stp>
        <tr r="K29" s="2"/>
      </tp>
      <tp t="s">
        <v>#N/A N/A</v>
        <stp/>
        <stp>BDH|6780441246786212978</stp>
        <tr r="W61" s="2"/>
      </tp>
      <tp t="s">
        <v>#N/A N/A</v>
        <stp/>
        <stp>BDH|7014100012397680943</stp>
        <tr r="C62" s="2"/>
      </tp>
      <tp t="s">
        <v>#N/A N/A</v>
        <stp/>
        <stp>BDH|2225996618084587764</stp>
        <tr r="AD9" s="2"/>
      </tp>
      <tp t="s">
        <v>#N/A N/A</v>
        <stp/>
        <stp>BDH|9696573406175330043</stp>
        <tr r="AB11" s="2"/>
      </tp>
      <tp t="s">
        <v>#N/A N/A</v>
        <stp/>
        <stp>BDH|5281636459508013781</stp>
        <tr r="K50" s="2"/>
      </tp>
      <tp t="s">
        <v>#N/A N/A</v>
        <stp/>
        <stp>BDH|3132641413104082961</stp>
        <tr r="AB98" s="2"/>
      </tp>
      <tp t="s">
        <v>#N/A N/A</v>
        <stp/>
        <stp>BDH|2866338760637943922</stp>
        <tr r="T35" s="2"/>
      </tp>
      <tp t="s">
        <v>#N/A N/A</v>
        <stp/>
        <stp>BDH|4691931725237764168</stp>
        <tr r="K42" s="2"/>
      </tp>
      <tp t="s">
        <v>#N/A N/A</v>
        <stp/>
        <stp>BDH|1220931476864212242</stp>
        <tr r="J32" s="2"/>
      </tp>
      <tp t="s">
        <v>#N/A N/A</v>
        <stp/>
        <stp>BDH|7016974270656607609</stp>
        <tr r="D77" s="2"/>
      </tp>
      <tp t="s">
        <v>#N/A N/A</v>
        <stp/>
        <stp>BDH|8204502910650607558</stp>
        <tr r="W75" s="2"/>
      </tp>
      <tp t="s">
        <v>#N/A N/A</v>
        <stp/>
        <stp>BDH|5014324560128420106</stp>
        <tr r="S95" s="2"/>
      </tp>
      <tp t="s">
        <v>#N/A N/A</v>
        <stp/>
        <stp>BDH|7768996469535578449</stp>
        <tr r="J69" s="2"/>
      </tp>
      <tp t="s">
        <v>#N/A N/A</v>
        <stp/>
        <stp>BDH|7676370170699470326</stp>
        <tr r="AB43" s="2"/>
      </tp>
      <tp t="s">
        <v>#N/A N/A</v>
        <stp/>
        <stp>BDH|6288442684576447519</stp>
        <tr r="AA8" s="2"/>
      </tp>
      <tp t="s">
        <v>#N/A N/A</v>
        <stp/>
        <stp>BDH|7825900966665899418</stp>
        <tr r="AF99" s="2"/>
      </tp>
      <tp t="s">
        <v>#N/A N/A</v>
        <stp/>
        <stp>BDH|5692085991853994618</stp>
        <tr r="E89" s="2"/>
      </tp>
      <tp t="s">
        <v>#N/A N/A</v>
        <stp/>
        <stp>BDH|8443543187618179411</stp>
        <tr r="P48" s="2"/>
      </tp>
      <tp t="s">
        <v>#N/A N/A</v>
        <stp/>
        <stp>BDH|5695579631988193269</stp>
        <tr r="R59" s="2"/>
      </tp>
      <tp t="s">
        <v>#N/A N/A</v>
        <stp/>
        <stp>BDH|7527657056514597978</stp>
        <tr r="AA47" s="2"/>
      </tp>
      <tp t="s">
        <v>#N/A N/A</v>
        <stp/>
        <stp>BDH|4181427135988660240</stp>
        <tr r="D43" s="2"/>
      </tp>
      <tp t="s">
        <v>#N/A N/A</v>
        <stp/>
        <stp>BDH|9591480106800807472</stp>
        <tr r="V98" s="2"/>
      </tp>
      <tp t="s">
        <v>#N/A N/A</v>
        <stp/>
        <stp>BDH|8203369437872666312</stp>
        <tr r="M40" s="2"/>
      </tp>
      <tp t="s">
        <v>#N/A N/A</v>
        <stp/>
        <stp>BDH|6655303503675416956</stp>
        <tr r="W94" s="2"/>
      </tp>
      <tp t="s">
        <v>#N/A N/A</v>
        <stp/>
        <stp>BDH|5244426782818266847</stp>
        <tr r="Y61" s="2"/>
      </tp>
      <tp t="s">
        <v>#N/A N/A</v>
        <stp/>
        <stp>BDH|4008029294450117437</stp>
        <tr r="AB67" s="2"/>
      </tp>
      <tp t="s">
        <v>#N/A N/A</v>
        <stp/>
        <stp>BDH|6851809987896987926</stp>
        <tr r="S43" s="2"/>
      </tp>
      <tp t="s">
        <v>#N/A N/A</v>
        <stp/>
        <stp>BDH|7035442153437032839</stp>
        <tr r="AF66" s="2"/>
      </tp>
      <tp t="s">
        <v>#N/A N/A</v>
        <stp/>
        <stp>BDH|5979994350764797432</stp>
        <tr r="S14" s="2"/>
      </tp>
      <tp t="s">
        <v>#N/A N/A</v>
        <stp/>
        <stp>BDH|7052787278657346965</stp>
        <tr r="K78" s="2"/>
      </tp>
      <tp t="s">
        <v>#N/A N/A</v>
        <stp/>
        <stp>BDH|7801982417803280506</stp>
        <tr r="E86" s="2"/>
      </tp>
      <tp t="s">
        <v>#N/A N/A</v>
        <stp/>
        <stp>BDH|2555207191164295433</stp>
        <tr r="O68" s="2"/>
      </tp>
      <tp t="s">
        <v>#N/A N/A</v>
        <stp/>
        <stp>BDH|2262070487964695719</stp>
        <tr r="AB34" s="2"/>
      </tp>
      <tp t="s">
        <v>#N/A N/A</v>
        <stp/>
        <stp>BDH|1509339889664230783</stp>
        <tr r="E23" s="2"/>
      </tp>
      <tp t="s">
        <v>#N/A N/A</v>
        <stp/>
        <stp>BDH|7373785987616889712</stp>
        <tr r="Z49" s="2"/>
      </tp>
      <tp t="s">
        <v>#N/A N/A</v>
        <stp/>
        <stp>BDH|8603754102516826330</stp>
        <tr r="E77" s="2"/>
      </tp>
      <tp t="s">
        <v>#N/A N/A</v>
        <stp/>
        <stp>BDH|6555387092322117446</stp>
        <tr r="AF94" s="2"/>
      </tp>
      <tp t="s">
        <v>#N/A N/A</v>
        <stp/>
        <stp>BDH|6311257022814904873</stp>
        <tr r="C19" s="2"/>
      </tp>
      <tp t="s">
        <v>#N/A N/A</v>
        <stp/>
        <stp>BDH|2898134316550723807</stp>
        <tr r="O10" s="2"/>
      </tp>
      <tp t="s">
        <v>#N/A N/A</v>
        <stp/>
        <stp>BDH|8876048057762438556</stp>
        <tr r="AF71" s="2"/>
      </tp>
      <tp t="s">
        <v>#N/A N/A</v>
        <stp/>
        <stp>BDH|3521736080505989349</stp>
        <tr r="AD12" s="2"/>
      </tp>
      <tp t="s">
        <v>#N/A N/A</v>
        <stp/>
        <stp>BDH|4560484657989558648</stp>
        <tr r="N32" s="2"/>
      </tp>
      <tp t="s">
        <v>#N/A N/A</v>
        <stp/>
        <stp>BDH|2196527734726478884</stp>
        <tr r="F20" s="2"/>
      </tp>
      <tp t="s">
        <v>#N/A N/A</v>
        <stp/>
        <stp>BDH|2791315160634913945</stp>
        <tr r="G30" s="2"/>
      </tp>
      <tp t="s">
        <v>#N/A N/A</v>
        <stp/>
        <stp>BDH|1504982453257013060</stp>
        <tr r="C17" s="2"/>
      </tp>
      <tp t="s">
        <v>#N/A N/A</v>
        <stp/>
        <stp>BDH|2341713223664016990</stp>
        <tr r="X48" s="2"/>
      </tp>
      <tp t="s">
        <v>#N/A N/A</v>
        <stp/>
        <stp>BDH|8475308879204341269</stp>
        <tr r="AC82" s="2"/>
      </tp>
      <tp t="s">
        <v>#N/A N/A</v>
        <stp/>
        <stp>BDH|3032445783974987165</stp>
        <tr r="F91" s="2"/>
      </tp>
      <tp t="s">
        <v>#N/A N/A</v>
        <stp/>
        <stp>BDH|3914978704460198033</stp>
        <tr r="AF24" s="2"/>
      </tp>
      <tp t="s">
        <v>#N/A N/A</v>
        <stp/>
        <stp>BDH|9522135935992963321</stp>
        <tr r="S12" s="2"/>
      </tp>
      <tp t="s">
        <v>#N/A N/A</v>
        <stp/>
        <stp>BDH|3086752369301754937</stp>
        <tr r="O90" s="2"/>
      </tp>
      <tp t="s">
        <v>#N/A N/A</v>
        <stp/>
        <stp>BDH|1816629394595313151</stp>
        <tr r="P36" s="2"/>
      </tp>
      <tp t="s">
        <v>#N/A N/A</v>
        <stp/>
        <stp>BDH|3856453943478528129</stp>
        <tr r="AB10" s="2"/>
      </tp>
      <tp t="s">
        <v>#N/A N/A</v>
        <stp/>
        <stp>BDH|8653109501233933075</stp>
        <tr r="D17" s="2"/>
      </tp>
      <tp t="s">
        <v>#N/A N/A</v>
        <stp/>
        <stp>BDH|3894029393149186916</stp>
        <tr r="N70" s="2"/>
      </tp>
      <tp t="s">
        <v>#N/A N/A</v>
        <stp/>
        <stp>BDH|3479371805249944310</stp>
        <tr r="K19" s="2"/>
      </tp>
      <tp t="s">
        <v>#N/A N/A</v>
        <stp/>
        <stp>BDH|3822871615030075047</stp>
        <tr r="Q56" s="2"/>
      </tp>
      <tp t="s">
        <v>#N/A N/A</v>
        <stp/>
        <stp>BDH|3046892838095874776</stp>
        <tr r="F53" s="2"/>
      </tp>
      <tp t="s">
        <v>#N/A N/A</v>
        <stp/>
        <stp>BDH|9165071822716870720</stp>
        <tr r="Q33" s="2"/>
      </tp>
      <tp t="s">
        <v>#N/A N/A</v>
        <stp/>
        <stp>BDH|7938989431230905770</stp>
        <tr r="E10" s="2"/>
      </tp>
      <tp t="s">
        <v>#N/A N/A</v>
        <stp/>
        <stp>BDH|9265728570420750395</stp>
        <tr r="Q69" s="2"/>
      </tp>
      <tp t="s">
        <v>#N/A N/A</v>
        <stp/>
        <stp>BDH|3838872353211397510</stp>
        <tr r="E87" s="2"/>
      </tp>
      <tp t="s">
        <v>#N/A N/A</v>
        <stp/>
        <stp>BDH|6259176470893207997</stp>
        <tr r="G10" s="2"/>
      </tp>
      <tp t="s">
        <v>#N/A N/A</v>
        <stp/>
        <stp>BDH|3544909948637404377</stp>
        <tr r="E71" s="2"/>
      </tp>
      <tp t="s">
        <v>#N/A N/A</v>
        <stp/>
        <stp>BDH|9331940690823036097</stp>
        <tr r="K20" s="2"/>
      </tp>
      <tp t="s">
        <v>#N/A N/A</v>
        <stp/>
        <stp>BDH|4515861362772898270</stp>
        <tr r="S9" s="2"/>
      </tp>
      <tp t="s">
        <v>#N/A N/A</v>
        <stp/>
        <stp>BDH|6885518396736572651</stp>
        <tr r="AA61" s="2"/>
      </tp>
      <tp t="s">
        <v>#N/A N/A</v>
        <stp/>
        <stp>BDH|3930834766165340233</stp>
        <tr r="Q75" s="2"/>
      </tp>
      <tp t="s">
        <v>#N/A N/A</v>
        <stp/>
        <stp>BDH|6767315815756758884</stp>
        <tr r="Y86" s="2"/>
      </tp>
      <tp t="s">
        <v>#N/A N/A</v>
        <stp/>
        <stp>BDH|2980708464319873090</stp>
        <tr r="W12" s="2"/>
      </tp>
      <tp t="s">
        <v>#N/A N/A</v>
        <stp/>
        <stp>BDH|3106341189651385338</stp>
        <tr r="O11" s="2"/>
      </tp>
      <tp t="s">
        <v>#N/A N/A</v>
        <stp/>
        <stp>BDH|7566645225200940913</stp>
        <tr r="E70" s="2"/>
      </tp>
      <tp t="s">
        <v>#N/A N/A</v>
        <stp/>
        <stp>BDH|3898630006417234837</stp>
        <tr r="F12" s="2"/>
      </tp>
      <tp t="s">
        <v>#N/A N/A</v>
        <stp/>
        <stp>BDH|8720374317798343895</stp>
        <tr r="AD19" s="2"/>
      </tp>
      <tp t="s">
        <v>#N/A N/A</v>
        <stp/>
        <stp>BDH|7857799608823337970</stp>
        <tr r="Z76" s="2"/>
      </tp>
      <tp t="s">
        <v>#N/A N/A</v>
        <stp/>
        <stp>BDH|7082023663558473380</stp>
        <tr r="X19" s="2"/>
      </tp>
      <tp t="s">
        <v>#N/A N/A</v>
        <stp/>
        <stp>BDH|9271690007724790160</stp>
        <tr r="AC9" s="2"/>
      </tp>
      <tp t="s">
        <v>#N/A N/A</v>
        <stp/>
        <stp>BDH|5921168174569130074</stp>
        <tr r="M50" s="2"/>
      </tp>
      <tp t="s">
        <v>#N/A N/A</v>
        <stp/>
        <stp>BDH|5271718296661291050</stp>
        <tr r="Y45" s="2"/>
      </tp>
      <tp t="s">
        <v>#N/A N/A</v>
        <stp/>
        <stp>BDH|9147447244371419271</stp>
        <tr r="I42" s="2"/>
      </tp>
      <tp t="s">
        <v>#N/A N/A</v>
        <stp/>
        <stp>BDH|9627532075335039423</stp>
        <tr r="AE48" s="2"/>
      </tp>
      <tp t="s">
        <v>#N/A N/A</v>
        <stp/>
        <stp>BDH|6273305194290333671</stp>
        <tr r="M79" s="2"/>
      </tp>
      <tp t="s">
        <v>#N/A N/A</v>
        <stp/>
        <stp>BDH|2944787024549545424</stp>
        <tr r="Q98" s="2"/>
      </tp>
      <tp t="s">
        <v>#N/A N/A</v>
        <stp/>
        <stp>BDH|8112773622044533339</stp>
        <tr r="AB70" s="2"/>
      </tp>
      <tp t="s">
        <v>#N/A N/A</v>
        <stp/>
        <stp>BDH|8842979457367268980</stp>
        <tr r="H63" s="2"/>
      </tp>
      <tp t="s">
        <v>#N/A N/A</v>
        <stp/>
        <stp>BDH|8376803368515899912</stp>
        <tr r="G57" s="2"/>
      </tp>
      <tp t="s">
        <v>#N/A N/A</v>
        <stp/>
        <stp>BDH|6063961314571783576</stp>
        <tr r="O29" s="2"/>
      </tp>
      <tp t="s">
        <v>#N/A N/A</v>
        <stp/>
        <stp>BDH|4452912626323649661</stp>
        <tr r="AC27" s="2"/>
      </tp>
      <tp t="s">
        <v>#N/A N/A</v>
        <stp/>
        <stp>BDH|8621504736607143324</stp>
        <tr r="AE15" s="2"/>
      </tp>
      <tp t="s">
        <v>#N/A N/A</v>
        <stp/>
        <stp>BDH|8016717732111955794</stp>
        <tr r="M49" s="2"/>
      </tp>
      <tp t="s">
        <v>#N/A N/A</v>
        <stp/>
        <stp>BDH|6359836753318309939</stp>
        <tr r="W98" s="2"/>
      </tp>
      <tp t="s">
        <v>#N/A N/A</v>
        <stp/>
        <stp>BDH|8007522136875629110</stp>
        <tr r="R32" s="2"/>
      </tp>
      <tp t="s">
        <v>#N/A N/A</v>
        <stp/>
        <stp>BDH|7031941265715696746</stp>
        <tr r="AE72" s="2"/>
      </tp>
      <tp t="s">
        <v>#N/A N/A</v>
        <stp/>
        <stp>BDH|8026572621692349768</stp>
        <tr r="Y88" s="2"/>
      </tp>
      <tp t="s">
        <v>#N/A N/A</v>
        <stp/>
        <stp>BDH|3675841892958739041</stp>
        <tr r="V18" s="2"/>
      </tp>
      <tp t="s">
        <v>#N/A N/A</v>
        <stp/>
        <stp>BDH|9267530032534011137</stp>
        <tr r="AF9" s="2"/>
      </tp>
      <tp t="s">
        <v>#N/A N/A</v>
        <stp/>
        <stp>BDH|2191945311825179556</stp>
        <tr r="AE75" s="2"/>
      </tp>
      <tp t="s">
        <v>#N/A N/A</v>
        <stp/>
        <stp>BDH|4570557608838896305</stp>
        <tr r="O61" s="2"/>
      </tp>
      <tp t="s">
        <v>#N/A N/A</v>
        <stp/>
        <stp>BDH|3122869407893549250</stp>
        <tr r="M75" s="2"/>
      </tp>
      <tp t="s">
        <v>#N/A N/A</v>
        <stp/>
        <stp>BDH|5046367357238154102</stp>
        <tr r="W64" s="2"/>
      </tp>
      <tp t="s">
        <v>#N/A N/A</v>
        <stp/>
        <stp>BDH|9743788239021603605</stp>
        <tr r="Q9" s="2"/>
      </tp>
      <tp t="s">
        <v>#N/A N/A</v>
        <stp/>
        <stp>BDH|1113988653693971435</stp>
        <tr r="E45" s="2"/>
      </tp>
      <tp t="s">
        <v>#N/A N/A</v>
        <stp/>
        <stp>BDH|2382049831209693205</stp>
        <tr r="AC36" s="2"/>
      </tp>
      <tp t="s">
        <v>#N/A N/A</v>
        <stp/>
        <stp>BDH|5998612019828301044</stp>
        <tr r="U98" s="2"/>
      </tp>
      <tp t="s">
        <v>#N/A N/A</v>
        <stp/>
        <stp>BDH|8490437055556069544</stp>
        <tr r="AA80" s="2"/>
      </tp>
      <tp t="s">
        <v>#N/A N/A</v>
        <stp/>
        <stp>BDH|2361369793301055301</stp>
        <tr r="O36" s="2"/>
      </tp>
      <tp t="s">
        <v>#N/A N/A</v>
        <stp/>
        <stp>BDH|3630178672626138942</stp>
        <tr r="R99" s="2"/>
      </tp>
      <tp t="s">
        <v>#N/A N/A</v>
        <stp/>
        <stp>BDH|3350039988572822364</stp>
        <tr r="W25" s="2"/>
      </tp>
      <tp t="s">
        <v>#N/A N/A</v>
        <stp/>
        <stp>BDH|9605296625232924144</stp>
        <tr r="C53" s="2"/>
      </tp>
      <tp t="s">
        <v>#N/A N/A</v>
        <stp/>
        <stp>BDH|5789613130858572246</stp>
        <tr r="S92" s="2"/>
      </tp>
      <tp t="s">
        <v>#N/A N/A</v>
        <stp/>
        <stp>BDH|8521017638358809933</stp>
        <tr r="Q8" s="2"/>
      </tp>
      <tp t="s">
        <v>#N/A N/A</v>
        <stp/>
        <stp>BDH|4165114986620588745</stp>
        <tr r="M14" s="2"/>
      </tp>
      <tp t="s">
        <v>#N/A N/A</v>
        <stp/>
        <stp>BDH|4752732352335595944</stp>
        <tr r="G94" s="2"/>
      </tp>
      <tp t="s">
        <v>#N/A N/A</v>
        <stp/>
        <stp>BDH|8137536267167656670</stp>
        <tr r="E20" s="2"/>
      </tp>
      <tp t="s">
        <v>#N/A N/A</v>
        <stp/>
        <stp>BDH|8597116687222407939</stp>
        <tr r="W23" s="2"/>
      </tp>
      <tp t="s">
        <v>#N/A N/A</v>
        <stp/>
        <stp>BDH|3182042282459016833</stp>
        <tr r="Q76" s="2"/>
      </tp>
      <tp t="s">
        <v>#N/A N/A</v>
        <stp/>
        <stp>BDH|1685522086293323555</stp>
        <tr r="V68" s="2"/>
      </tp>
      <tp t="s">
        <v>#N/A N/A</v>
        <stp/>
        <stp>BDH|3885437749290520929</stp>
        <tr r="P97" s="2"/>
      </tp>
      <tp t="s">
        <v>#N/A N/A</v>
        <stp/>
        <stp>BDH|2875200018123445819</stp>
        <tr r="H54" s="2"/>
      </tp>
      <tp t="s">
        <v>#N/A N/A</v>
        <stp/>
        <stp>BDH|5228934142276432428</stp>
        <tr r="I79" s="2"/>
      </tp>
      <tp t="s">
        <v>#N/A N/A</v>
        <stp/>
        <stp>BDH|9698472727327370201</stp>
        <tr r="M62" s="2"/>
      </tp>
      <tp t="s">
        <v>#N/A N/A</v>
        <stp/>
        <stp>BDH|28310460137890576</stp>
        <tr r="Z27" s="2"/>
      </tp>
      <tp t="s">
        <v>#N/A N/A</v>
        <stp/>
        <stp>BDH|25990255343224845</stp>
        <tr r="AA10" s="2"/>
      </tp>
      <tp t="s">
        <v>#N/A N/A</v>
        <stp/>
        <stp>BDH|4856448084931399218</stp>
        <tr r="F95" s="2"/>
      </tp>
      <tp t="s">
        <v>#N/A N/A</v>
        <stp/>
        <stp>BDH|1999455936575488844</stp>
        <tr r="F11" s="2"/>
      </tp>
      <tp t="s">
        <v>#N/A N/A</v>
        <stp/>
        <stp>BDH|3660584274992434841</stp>
        <tr r="K91" s="2"/>
      </tp>
      <tp t="s">
        <v>#N/A N/A</v>
        <stp/>
        <stp>BDH|1744264053204819912</stp>
        <tr r="E68" s="2"/>
      </tp>
      <tp t="s">
        <v>#N/A N/A</v>
        <stp/>
        <stp>BDH|7443058099897001231</stp>
        <tr r="M24" s="2"/>
      </tp>
      <tp t="s">
        <v>#N/A N/A</v>
        <stp/>
        <stp>BDH|3302980522535526671</stp>
        <tr r="AA9" s="2"/>
      </tp>
      <tp t="s">
        <v>#N/A N/A</v>
        <stp/>
        <stp>BDH|5775557689080680362</stp>
        <tr r="O60" s="2"/>
      </tp>
      <tp t="s">
        <v>#N/A N/A</v>
        <stp/>
        <stp>BDH|9129009277163969642</stp>
        <tr r="O98" s="2"/>
      </tp>
      <tp t="s">
        <v>#N/A N/A</v>
        <stp/>
        <stp>BDH|9132880416053435830</stp>
        <tr r="P80" s="2"/>
      </tp>
      <tp t="s">
        <v>#N/A N/A</v>
        <stp/>
        <stp>BDH|7510995634514205227</stp>
        <tr r="Z79" s="2"/>
      </tp>
      <tp t="s">
        <v>#N/A N/A</v>
        <stp/>
        <stp>BDH|9614927420000902942</stp>
        <tr r="D73" s="2"/>
      </tp>
      <tp t="s">
        <v>#N/A N/A</v>
        <stp/>
        <stp>BDH|9328016564534137097</stp>
        <tr r="AE37" s="2"/>
      </tp>
      <tp t="s">
        <v>#N/A N/A</v>
        <stp/>
        <stp>BDH|7215467777628512789</stp>
        <tr r="X9" s="2"/>
      </tp>
      <tp t="s">
        <v>#N/A N/A</v>
        <stp/>
        <stp>BDH|4352923406704083293</stp>
        <tr r="H44" s="2"/>
      </tp>
      <tp t="s">
        <v>#N/A N/A</v>
        <stp/>
        <stp>BDH|2093264891152959004</stp>
        <tr r="AD32" s="2"/>
      </tp>
      <tp t="s">
        <v>#N/A N/A</v>
        <stp/>
        <stp>BDH|5376717798654360462</stp>
        <tr r="Y94" s="2"/>
      </tp>
      <tp t="s">
        <v>#N/A N/A</v>
        <stp/>
        <stp>BDH|8462799340738396813</stp>
        <tr r="L97" s="2"/>
      </tp>
      <tp t="s">
        <v>#N/A N/A</v>
        <stp/>
        <stp>BDH|2289964936057463498</stp>
        <tr r="AD61" s="2"/>
      </tp>
      <tp t="s">
        <v>#N/A N/A</v>
        <stp/>
        <stp>BDH|3868137421613011854</stp>
        <tr r="D80" s="2"/>
      </tp>
      <tp t="s">
        <v>#N/A N/A</v>
        <stp/>
        <stp>BDH|7994995529092527538</stp>
        <tr r="I9" s="2"/>
      </tp>
      <tp t="s">
        <v>#N/A N/A</v>
        <stp/>
        <stp>BDH|5979284842168640095</stp>
        <tr r="O76" s="2"/>
      </tp>
      <tp t="s">
        <v>#N/A N/A</v>
        <stp/>
        <stp>BDH|2665945269825567320</stp>
        <tr r="AA45" s="2"/>
      </tp>
      <tp t="s">
        <v>#N/A N/A</v>
        <stp/>
        <stp>BDH|8650829038619717175</stp>
        <tr r="S70" s="2"/>
      </tp>
      <tp t="s">
        <v>#N/A N/A</v>
        <stp/>
        <stp>BDH|4061941081538832606</stp>
        <tr r="N30" s="2"/>
      </tp>
      <tp t="s">
        <v>#N/A N/A</v>
        <stp/>
        <stp>BDH|4618229618359218532</stp>
        <tr r="W90" s="2"/>
      </tp>
      <tp t="s">
        <v>#N/A N/A</v>
        <stp/>
        <stp>BDH|7353134044860853917</stp>
        <tr r="N36" s="2"/>
      </tp>
      <tp t="s">
        <v>#N/A N/A</v>
        <stp/>
        <stp>BDH|1554789754669317176</stp>
        <tr r="G69" s="2"/>
      </tp>
      <tp t="s">
        <v>#N/A N/A</v>
        <stp/>
        <stp>BDH|3764580861989306202</stp>
        <tr r="J44" s="2"/>
      </tp>
      <tp t="s">
        <v>#N/A N/A</v>
        <stp/>
        <stp>BDH|7585934365136800563</stp>
        <tr r="H92" s="2"/>
      </tp>
      <tp t="s">
        <v>#N/A N/A</v>
        <stp/>
        <stp>BDH|5468425666624279805</stp>
        <tr r="AC29" s="2"/>
      </tp>
      <tp t="s">
        <v>#N/A N/A</v>
        <stp/>
        <stp>BDH|8775315746316154238</stp>
        <tr r="J78" s="2"/>
      </tp>
      <tp t="s">
        <v>#N/A N/A</v>
        <stp/>
        <stp>BDH|9072634301056605272</stp>
        <tr r="AD92" s="2"/>
      </tp>
      <tp t="s">
        <v>#N/A N/A</v>
        <stp/>
        <stp>BDH|2847374438291614827</stp>
        <tr r="G89" s="2"/>
      </tp>
      <tp t="s">
        <v>#N/A N/A</v>
        <stp/>
        <stp>BDH|5980604496390535198</stp>
        <tr r="AA25" s="2"/>
      </tp>
      <tp t="s">
        <v>#N/A N/A</v>
        <stp/>
        <stp>BDH|1294083007819933376</stp>
        <tr r="Q89" s="2"/>
      </tp>
      <tp t="s">
        <v>#N/A N/A</v>
        <stp/>
        <stp>BDH|9210172928536606780</stp>
        <tr r="S16" s="2"/>
      </tp>
      <tp t="s">
        <v>#N/A N/A</v>
        <stp/>
        <stp>BDH|1243968169492681789</stp>
        <tr r="U65" s="2"/>
      </tp>
      <tp t="s">
        <v>#N/A N/A</v>
        <stp/>
        <stp>BDH|7634568646548044555</stp>
        <tr r="P22" s="2"/>
      </tp>
      <tp t="s">
        <v>#N/A N/A</v>
        <stp/>
        <stp>BDH|8745775246299473924</stp>
        <tr r="AC20" s="2"/>
      </tp>
      <tp t="s">
        <v>#N/A N/A</v>
        <stp/>
        <stp>BDH|9154415994548007745</stp>
        <tr r="R87" s="2"/>
      </tp>
      <tp t="s">
        <v>#N/A N/A</v>
        <stp/>
        <stp>BDH|4623383098046476325</stp>
        <tr r="I41" s="2"/>
      </tp>
      <tp t="s">
        <v>#N/A N/A</v>
        <stp/>
        <stp>BDH|2579241294281563307</stp>
        <tr r="S89" s="2"/>
      </tp>
      <tp t="s">
        <v>#N/A N/A</v>
        <stp/>
        <stp>BDH|9405641148020087082</stp>
        <tr r="O81" s="2"/>
      </tp>
      <tp t="s">
        <v>#N/A N/A</v>
        <stp/>
        <stp>BDH|2534726881682080467</stp>
        <tr r="I82" s="2"/>
      </tp>
      <tp t="s">
        <v>#N/A N/A</v>
        <stp/>
        <stp>BDH|2082970292158079150</stp>
        <tr r="T98" s="2"/>
      </tp>
      <tp t="s">
        <v>#N/A N/A</v>
        <stp/>
        <stp>BDH|6566215021625609820</stp>
        <tr r="H7" s="2"/>
      </tp>
      <tp t="s">
        <v>#N/A N/A</v>
        <stp/>
        <stp>BDH|9628507596266808890</stp>
        <tr r="W76" s="2"/>
      </tp>
      <tp t="s">
        <v>#N/A N/A</v>
        <stp/>
        <stp>BDH|9281249952792357769</stp>
        <tr r="F96" s="2"/>
      </tp>
      <tp t="s">
        <v>#N/A N/A</v>
        <stp/>
        <stp>BDH|9646814138581832868</stp>
        <tr r="C88" s="2"/>
      </tp>
      <tp t="s">
        <v>#N/A N/A</v>
        <stp/>
        <stp>BDH|8630352762277530120</stp>
        <tr r="AC65" s="2"/>
      </tp>
      <tp t="s">
        <v>#N/A N/A</v>
        <stp/>
        <stp>BDH|7560254261848479034</stp>
        <tr r="Y10" s="2"/>
      </tp>
      <tp t="s">
        <v>#N/A N/A</v>
        <stp/>
        <stp>BDH|6554021290280266439</stp>
        <tr r="L29" s="2"/>
      </tp>
      <tp t="s">
        <v>#N/A N/A</v>
        <stp/>
        <stp>BDH|7962815430275787296</stp>
        <tr r="AE87" s="2"/>
      </tp>
      <tp t="s">
        <v>#N/A N/A</v>
        <stp/>
        <stp>BDH|1024852276934583119</stp>
        <tr r="I64" s="2"/>
      </tp>
      <tp t="s">
        <v>#N/A N/A</v>
        <stp/>
        <stp>BDH|3018176923858366304</stp>
        <tr r="Z95" s="2"/>
      </tp>
      <tp t="s">
        <v>#N/A N/A</v>
        <stp/>
        <stp>BDH|7497242521378242478</stp>
        <tr r="T73" s="2"/>
      </tp>
      <tp t="s">
        <v>#N/A N/A</v>
        <stp/>
        <stp>BDH|7227814061254760616</stp>
        <tr r="C30" s="2"/>
      </tp>
      <tp t="s">
        <v>#N/A N/A</v>
        <stp/>
        <stp>BDH|7584886841809898908</stp>
        <tr r="W53" s="2"/>
      </tp>
      <tp t="s">
        <v>#N/A N/A</v>
        <stp/>
        <stp>BDH|1346033341008653639</stp>
        <tr r="L34" s="2"/>
      </tp>
      <tp t="s">
        <v>#N/A N/A</v>
        <stp/>
        <stp>BDH|9399666307214249046</stp>
        <tr r="U33" s="2"/>
      </tp>
      <tp t="s">
        <v>#N/A N/A</v>
        <stp/>
        <stp>BDH|7683329685285462204</stp>
        <tr r="AB23" s="2"/>
      </tp>
      <tp t="s">
        <v>#N/A N/A</v>
        <stp/>
        <stp>BDH|9302305057137325322</stp>
        <tr r="D87" s="2"/>
      </tp>
      <tp t="s">
        <v>#N/A N/A</v>
        <stp/>
        <stp>BDH|5760594858599754748</stp>
        <tr r="W11" s="2"/>
      </tp>
      <tp t="s">
        <v>#N/A N/A</v>
        <stp/>
        <stp>BDH|2351939575775160211</stp>
        <tr r="Y56" s="2"/>
      </tp>
      <tp t="s">
        <v>#N/A N/A</v>
        <stp/>
        <stp>BDH|8148217337690735259</stp>
        <tr r="N75" s="2"/>
      </tp>
      <tp t="s">
        <v>#N/A N/A</v>
        <stp/>
        <stp>BDH|96933444488941303</stp>
        <tr r="R27" s="2"/>
      </tp>
      <tp t="s">
        <v>#N/A N/A</v>
        <stp/>
        <stp>BDH|32238628414578230</stp>
        <tr r="S44" s="2"/>
      </tp>
      <tp t="s">
        <v>#N/A N/A</v>
        <stp/>
        <stp>BDH|6745712719864049053</stp>
        <tr r="D8" s="2"/>
      </tp>
      <tp t="s">
        <v>#N/A N/A</v>
        <stp/>
        <stp>BDH|3776409940272453596</stp>
        <tr r="F14" s="2"/>
      </tp>
      <tp t="s">
        <v>#N/A N/A</v>
        <stp/>
        <stp>BDH|1443493350604171073</stp>
        <tr r="J97" s="2"/>
      </tp>
      <tp t="s">
        <v>#N/A N/A</v>
        <stp/>
        <stp>BDH|5897742724680689451</stp>
        <tr r="J77" s="2"/>
      </tp>
      <tp t="s">
        <v>#N/A N/A</v>
        <stp/>
        <stp>BDH|9808839963856707545</stp>
        <tr r="R25" s="2"/>
      </tp>
      <tp t="s">
        <v>#N/A N/A</v>
        <stp/>
        <stp>BDH|1953465476815050324</stp>
        <tr r="G98" s="2"/>
      </tp>
      <tp t="s">
        <v>#N/A N/A</v>
        <stp/>
        <stp>BDH|5893565224541825790</stp>
        <tr r="Z74" s="2"/>
      </tp>
      <tp t="s">
        <v>#N/A N/A</v>
        <stp/>
        <stp>BDH|9470360538309824499</stp>
        <tr r="K98" s="2"/>
      </tp>
      <tp t="s">
        <v>#N/A N/A</v>
        <stp/>
        <stp>BDH|9338677609823677838</stp>
        <tr r="C35" s="2"/>
      </tp>
      <tp t="s">
        <v>#N/A N/A</v>
        <stp/>
        <stp>BDH|5915279920905279441</stp>
        <tr r="J63" s="2"/>
      </tp>
      <tp t="s">
        <v>#N/A N/A</v>
        <stp/>
        <stp>BDH|5258387412006522556</stp>
        <tr r="I74" s="2"/>
      </tp>
      <tp t="s">
        <v>#N/A N/A</v>
        <stp/>
        <stp>BDH|3561088830086628237</stp>
        <tr r="AC18" s="2"/>
      </tp>
      <tp t="s">
        <v>#N/A N/A</v>
        <stp/>
        <stp>BDH|5417361817884558781</stp>
        <tr r="V95" s="2"/>
      </tp>
      <tp t="s">
        <v>#N/A N/A</v>
        <stp/>
        <stp>BDH|3862609102708326915</stp>
        <tr r="F81" s="2"/>
      </tp>
      <tp t="s">
        <v>#N/A N/A</v>
        <stp/>
        <stp>BDH|3679198267984068411</stp>
        <tr r="D66" s="2"/>
      </tp>
      <tp t="s">
        <v>#N/A N/A</v>
        <stp/>
        <stp>BDH|4570665325542612692</stp>
        <tr r="F52" s="2"/>
      </tp>
      <tp t="s">
        <v>#N/A N/A</v>
        <stp/>
        <stp>BDH|1943576387810495844</stp>
        <tr r="AC56" s="2"/>
      </tp>
      <tp t="s">
        <v>#N/A N/A</v>
        <stp/>
        <stp>BDH|3570460419245084736</stp>
        <tr r="AB26" s="2"/>
      </tp>
      <tp t="s">
        <v>#N/A N/A</v>
        <stp/>
        <stp>BDH|7137691180465418827</stp>
        <tr r="AF77" s="2"/>
      </tp>
      <tp t="s">
        <v>#N/A N/A</v>
        <stp/>
        <stp>BDH|2392783094510294834</stp>
        <tr r="O95" s="2"/>
      </tp>
      <tp t="s">
        <v>#N/A N/A</v>
        <stp/>
        <stp>BDH|7582314877322591593</stp>
        <tr r="V37" s="2"/>
      </tp>
      <tp t="s">
        <v>#N/A N/A</v>
        <stp/>
        <stp>BDH|9332634596647908507</stp>
        <tr r="V79" s="2"/>
      </tp>
      <tp t="s">
        <v>#N/A N/A</v>
        <stp/>
        <stp>BDH|3211867494910878671</stp>
        <tr r="AD71" s="2"/>
      </tp>
      <tp t="s">
        <v>#N/A N/A</v>
        <stp/>
        <stp>BDH|5845777721310642479</stp>
        <tr r="E98" s="2"/>
      </tp>
      <tp t="s">
        <v>#N/A N/A</v>
        <stp/>
        <stp>BDH|5975663565700634105</stp>
        <tr r="D20" s="2"/>
      </tp>
      <tp t="s">
        <v>#N/A N/A</v>
        <stp/>
        <stp>BDH|1113191787415597962</stp>
        <tr r="AE14" s="2"/>
      </tp>
      <tp t="s">
        <v>#N/A N/A</v>
        <stp/>
        <stp>BDH|7104533913491533690</stp>
        <tr r="P35" s="2"/>
      </tp>
      <tp t="s">
        <v>#N/A N/A</v>
        <stp/>
        <stp>BDH|1981231232080199444</stp>
        <tr r="N74" s="2"/>
      </tp>
      <tp t="s">
        <v>#N/A N/A</v>
        <stp/>
        <stp>BDH|6986748712284365010</stp>
        <tr r="J71" s="2"/>
      </tp>
      <tp t="s">
        <v>#N/A N/A</v>
        <stp/>
        <stp>BDH|4343282526292235223</stp>
        <tr r="P29" s="2"/>
      </tp>
      <tp t="s">
        <v>#N/A N/A</v>
        <stp/>
        <stp>BDH|5931522360766590438</stp>
        <tr r="G50" s="2"/>
      </tp>
      <tp t="s">
        <v>#N/A N/A</v>
        <stp/>
        <stp>BDH|6229230065973156589</stp>
        <tr r="AD48" s="2"/>
      </tp>
      <tp t="s">
        <v>#N/A N/A</v>
        <stp/>
        <stp>BDH|5496699266835005461</stp>
        <tr r="AA54" s="2"/>
      </tp>
      <tp t="s">
        <v>#N/A N/A</v>
        <stp/>
        <stp>BDH|6183308727926375587</stp>
        <tr r="V40" s="2"/>
      </tp>
      <tp t="s">
        <v>#N/A N/A</v>
        <stp/>
        <stp>BDH|6701328547223750687</stp>
        <tr r="K12" s="2"/>
      </tp>
      <tp t="s">
        <v>#N/A N/A</v>
        <stp/>
        <stp>BDH|1759590113653993294</stp>
        <tr r="AA86" s="2"/>
      </tp>
      <tp t="s">
        <v>#N/A N/A</v>
        <stp/>
        <stp>BDH|6921784116404649032</stp>
        <tr r="AB40" s="2"/>
      </tp>
      <tp t="s">
        <v>#N/A N/A</v>
        <stp/>
        <stp>BDH|1750353741986763461</stp>
        <tr r="V72" s="2"/>
      </tp>
      <tp t="s">
        <v>#N/A N/A</v>
        <stp/>
        <stp>BDH|1194720277140103575</stp>
        <tr r="K61" s="2"/>
      </tp>
      <tp t="s">
        <v>#N/A N/A</v>
        <stp/>
        <stp>BDH|2190531775432048657</stp>
        <tr r="AF75" s="2"/>
      </tp>
      <tp t="s">
        <v>#N/A N/A</v>
        <stp/>
        <stp>BDH|6846036354161873640</stp>
        <tr r="Y24" s="2"/>
      </tp>
      <tp t="s">
        <v>#N/A N/A</v>
        <stp/>
        <stp>BDH|4294457264414604665</stp>
        <tr r="M86" s="2"/>
      </tp>
      <tp t="s">
        <v>#N/A N/A</v>
        <stp/>
        <stp>BDH|3843420063022978702</stp>
        <tr r="D94" s="2"/>
      </tp>
      <tp t="s">
        <v>#N/A N/A</v>
        <stp/>
        <stp>BDH|8492338234575421974</stp>
        <tr r="Y58" s="2"/>
      </tp>
      <tp t="s">
        <v>#N/A N/A</v>
        <stp/>
        <stp>BDH|3838729238561685240</stp>
        <tr r="H36" s="2"/>
      </tp>
      <tp t="s">
        <v>#N/A N/A</v>
        <stp/>
        <stp>BDH|2294237450080151106</stp>
        <tr r="G51" s="2"/>
      </tp>
      <tp t="s">
        <v>#N/A N/A</v>
        <stp/>
        <stp>BDH|4232668506557672158</stp>
        <tr r="AA71" s="2"/>
      </tp>
      <tp t="s">
        <v>#N/A N/A</v>
        <stp/>
        <stp>BDH|5714864362369245602</stp>
        <tr r="Q58" s="2"/>
      </tp>
      <tp t="s">
        <v>#N/A N/A</v>
        <stp/>
        <stp>BDH|5424551379420086397</stp>
        <tr r="S31" s="2"/>
      </tp>
      <tp t="s">
        <v>#N/A N/A</v>
        <stp/>
        <stp>BDH|6731589760013858264</stp>
        <tr r="M93" s="2"/>
      </tp>
      <tp t="s">
        <v>#N/A N/A</v>
        <stp/>
        <stp>BDH|5252159697108805197</stp>
        <tr r="AD51" s="2"/>
      </tp>
      <tp t="s">
        <v>#N/A N/A</v>
        <stp/>
        <stp>BDH|9980860549919743808</stp>
        <tr r="I81" s="2"/>
      </tp>
      <tp t="s">
        <v>#N/A N/A</v>
        <stp/>
        <stp>BDH|5961606220261622491</stp>
        <tr r="Q15" s="2"/>
      </tp>
      <tp t="s">
        <v>#N/A N/A</v>
        <stp/>
        <stp>BDH|5482668350275704732</stp>
        <tr r="P49" s="2"/>
      </tp>
      <tp t="s">
        <v>#N/A N/A</v>
        <stp/>
        <stp>BDH|8734066559488843165</stp>
        <tr r="U48" s="2"/>
      </tp>
      <tp t="s">
        <v>#N/A N/A</v>
        <stp/>
        <stp>BDH|7674117524187318763</stp>
        <tr r="V97" s="2"/>
      </tp>
      <tp t="s">
        <v>#N/A N/A</v>
        <stp/>
        <stp>BDH|4703023596901284871</stp>
        <tr r="C14" s="2"/>
      </tp>
      <tp t="s">
        <v>#N/A N/A</v>
        <stp/>
        <stp>BDH|5814973888617308720</stp>
        <tr r="AD96" s="2"/>
      </tp>
      <tp t="s">
        <v>#N/A N/A</v>
        <stp/>
        <stp>BDH|7771019040375549252</stp>
        <tr r="AA15" s="2"/>
      </tp>
      <tp t="s">
        <v>#N/A N/A</v>
        <stp/>
        <stp>BDH|7202668673195121705</stp>
        <tr r="D72" s="2"/>
      </tp>
      <tp t="s">
        <v>#N/A N/A</v>
        <stp/>
        <stp>BDH|7935107564713235787</stp>
        <tr r="L13" s="2"/>
      </tp>
      <tp t="s">
        <v>#N/A N/A</v>
        <stp/>
        <stp>BDH|5281527408386980263</stp>
        <tr r="AF21" s="2"/>
      </tp>
      <tp t="s">
        <v>#N/A N/A</v>
        <stp/>
        <stp>BDH|1650609939205055586</stp>
        <tr r="F99" s="2"/>
      </tp>
      <tp t="s">
        <v>#N/A N/A</v>
        <stp/>
        <stp>BDH|7353219278963891550</stp>
        <tr r="AE67" s="2"/>
      </tp>
      <tp t="s">
        <v>#N/A N/A</v>
        <stp/>
        <stp>BDH|5228605711625532327</stp>
        <tr r="Q53" s="2"/>
      </tp>
      <tp t="s">
        <v>#N/A N/A</v>
        <stp/>
        <stp>BDH|5503281328395412456</stp>
        <tr r="Y57" s="2"/>
      </tp>
      <tp t="s">
        <v>#N/A N/A</v>
        <stp/>
        <stp>BDH|6634892098632293119</stp>
        <tr r="S46" s="2"/>
      </tp>
      <tp t="s">
        <v>#N/A N/A</v>
        <stp/>
        <stp>BDH|6885129756875021383</stp>
        <tr r="I55" s="2"/>
      </tp>
      <tp t="s">
        <v>#N/A N/A</v>
        <stp/>
        <stp>BDH|5983125364335937327</stp>
        <tr r="J47" s="2"/>
      </tp>
      <tp t="s">
        <v>#N/A N/A</v>
        <stp/>
        <stp>BDH|2209630546706480275</stp>
        <tr r="Z94" s="2"/>
      </tp>
      <tp t="s">
        <v>#N/A N/A</v>
        <stp/>
        <stp>BDH|7523244881121297861</stp>
        <tr r="G53" s="2"/>
      </tp>
      <tp t="s">
        <v>#N/A N/A</v>
        <stp/>
        <stp>BDH|7896038420085718497</stp>
        <tr r="K57" s="2"/>
      </tp>
      <tp t="s">
        <v>#N/A N/A</v>
        <stp/>
        <stp>BDH|5639551259319906867</stp>
        <tr r="J34" s="2"/>
      </tp>
      <tp t="s">
        <v>#N/A N/A</v>
        <stp/>
        <stp>BDH|6600875087842247012</stp>
        <tr r="AC33" s="2"/>
      </tp>
      <tp t="s">
        <v>#N/A N/A</v>
        <stp/>
        <stp>BDH|1911428519261756104</stp>
        <tr r="K60" s="2"/>
      </tp>
      <tp t="s">
        <v>#N/A N/A</v>
        <stp/>
        <stp>BDH|4582188555646483294</stp>
        <tr r="AB56" s="2"/>
      </tp>
      <tp t="s">
        <v>#N/A N/A</v>
        <stp/>
        <stp>BDH|5247421445000605168</stp>
        <tr r="C44" s="2"/>
      </tp>
      <tp t="s">
        <v>#N/A N/A</v>
        <stp/>
        <stp>BDH|9253664458436116889</stp>
        <tr r="U87" s="2"/>
      </tp>
      <tp t="s">
        <v>#N/A N/A</v>
        <stp/>
        <stp>BDH|8541423137322399960</stp>
        <tr r="V15" s="2"/>
      </tp>
      <tp t="s">
        <v>#N/A N/A</v>
        <stp/>
        <stp>BDH|3735796853753983616</stp>
        <tr r="X25" s="2"/>
      </tp>
      <tp t="s">
        <v>#N/A N/A</v>
        <stp/>
        <stp>BDH|1308349814266230147</stp>
        <tr r="U23" s="2"/>
      </tp>
      <tp t="s">
        <v>#N/A N/A</v>
        <stp/>
        <stp>BDH|6583048246697181131</stp>
        <tr r="S10" s="2"/>
      </tp>
      <tp t="s">
        <v>#N/A N/A</v>
        <stp/>
        <stp>BDH|1586551345562897774</stp>
        <tr r="R53" s="2"/>
      </tp>
      <tp t="s">
        <v>#N/A N/A</v>
        <stp/>
        <stp>BDH|3284041339275691030</stp>
        <tr r="F78" s="2"/>
      </tp>
      <tp t="s">
        <v>#N/A N/A</v>
        <stp/>
        <stp>BDH|1851278684806455856</stp>
        <tr r="F30" s="2"/>
      </tp>
      <tp t="s">
        <v>#N/A N/A</v>
        <stp/>
        <stp>BDH|6129319845810986464</stp>
        <tr r="Q29" s="2"/>
      </tp>
      <tp t="s">
        <v>#N/A N/A</v>
        <stp/>
        <stp>BDH|7824261210269116841</stp>
        <tr r="P57" s="2"/>
      </tp>
      <tp t="s">
        <v>#N/A N/A</v>
        <stp/>
        <stp>BDH|5357673654087856432</stp>
        <tr r="U93" s="2"/>
      </tp>
      <tp t="s">
        <v>#N/A N/A</v>
        <stp/>
        <stp>BDH|1195347546195070688</stp>
        <tr r="F68" s="2"/>
      </tp>
      <tp t="s">
        <v>#N/A N/A</v>
        <stp/>
        <stp>BDH|4244694627162611719</stp>
        <tr r="C50" s="2"/>
      </tp>
      <tp t="s">
        <v>#N/A N/A</v>
        <stp/>
        <stp>BDH|5721881380627450708</stp>
        <tr r="N20" s="2"/>
      </tp>
      <tp t="s">
        <v>#N/A N/A</v>
        <stp/>
        <stp>BDH|9375907322382375598</stp>
        <tr r="M76" s="2"/>
      </tp>
      <tp t="s">
        <v>#N/A N/A</v>
        <stp/>
        <stp>BDH|3444782966881585648</stp>
        <tr r="E30" s="2"/>
      </tp>
      <tp t="s">
        <v>#N/A N/A</v>
        <stp/>
        <stp>BDH|5648617075761935009</stp>
        <tr r="U71" s="2"/>
      </tp>
      <tp t="s">
        <v>#N/A N/A</v>
        <stp/>
        <stp>BDH|6640231241382447787</stp>
        <tr r="M73" s="2"/>
      </tp>
      <tp t="s">
        <v>#N/A N/A</v>
        <stp/>
        <stp>BDH|2174667709128749910</stp>
        <tr r="I91" s="2"/>
      </tp>
      <tp t="s">
        <v>#N/A N/A</v>
        <stp/>
        <stp>BDH|3071574878213506728</stp>
        <tr r="C75" s="2"/>
      </tp>
      <tp t="s">
        <v>#N/A N/A</v>
        <stp/>
        <stp>BDH|1201306218783282500</stp>
        <tr r="Q16" s="2"/>
      </tp>
      <tp t="s">
        <v>#N/A N/A</v>
        <stp/>
        <stp>BDH|1292841327436809814</stp>
        <tr r="AE79" s="2"/>
      </tp>
      <tp t="s">
        <v>#N/A N/A</v>
        <stp/>
        <stp>BDH|8122270010898632686</stp>
        <tr r="W14" s="2"/>
      </tp>
      <tp t="s">
        <v>#N/A N/A</v>
        <stp/>
        <stp>BDH|9839470442395248965</stp>
        <tr r="R29" s="2"/>
      </tp>
      <tp t="s">
        <v>#N/A N/A</v>
        <stp/>
        <stp>BDH|9420036655889985021</stp>
        <tr r="F25" s="2"/>
      </tp>
      <tp t="s">
        <v>#N/A N/A</v>
        <stp/>
        <stp>BDH|8801162461348546232</stp>
        <tr r="P93" s="2"/>
      </tp>
      <tp t="s">
        <v>#N/A N/A</v>
        <stp/>
        <stp>BDH|2928775645494435069</stp>
        <tr r="E97" s="2"/>
      </tp>
      <tp t="s">
        <v>#N/A N/A</v>
        <stp/>
        <stp>BDH|3880232941822089232</stp>
        <tr r="P8" s="2"/>
      </tp>
      <tp t="s">
        <v>#N/A N/A</v>
        <stp/>
        <stp>BDH|4235589263321876384</stp>
        <tr r="J64" s="2"/>
      </tp>
      <tp t="s">
        <v>#N/A N/A</v>
        <stp/>
        <stp>BDH|6731987415319682224</stp>
        <tr r="G48" s="2"/>
      </tp>
      <tp t="s">
        <v>#N/A N/A</v>
        <stp/>
        <stp>BDH|1403660930346593791</stp>
        <tr r="V24" s="2"/>
      </tp>
      <tp t="s">
        <v>#N/A N/A</v>
        <stp/>
        <stp>BDH|3671775914210241085</stp>
        <tr r="N69" s="2"/>
      </tp>
      <tp t="s">
        <v>#N/A N/A</v>
        <stp/>
        <stp>BDH|3951190251320758290</stp>
        <tr r="N94" s="2"/>
      </tp>
      <tp t="s">
        <v>#N/A N/A</v>
        <stp/>
        <stp>BDH|6354069939826560665</stp>
        <tr r="Y44" s="2"/>
      </tp>
      <tp t="s">
        <v>#N/A N/A</v>
        <stp/>
        <stp>BDH|1088173318086671263</stp>
        <tr r="U49" s="2"/>
      </tp>
      <tp t="s">
        <v>#N/A N/A</v>
        <stp/>
        <stp>BDH|5540159348180339541</stp>
        <tr r="AA7" s="2"/>
      </tp>
      <tp t="s">
        <v>#N/A N/A</v>
        <stp/>
        <stp>BDH|3295055256412450194</stp>
        <tr r="Y12" s="2"/>
      </tp>
      <tp t="s">
        <v>#N/A N/A</v>
        <stp/>
        <stp>BDH|9243694654599181626</stp>
        <tr r="I60" s="2"/>
      </tp>
      <tp t="s">
        <v>#N/A N/A</v>
        <stp/>
        <stp>BDH|5524635008382216408</stp>
        <tr r="S11" s="2"/>
      </tp>
      <tp t="s">
        <v>#N/A N/A</v>
        <stp/>
        <stp>BDH|5876234009414911666</stp>
        <tr r="Z44" s="2"/>
      </tp>
      <tp t="s">
        <v>#N/A N/A</v>
        <stp/>
        <stp>BDH|1935017877294402765</stp>
        <tr r="M42" s="2"/>
      </tp>
      <tp t="s">
        <v>#N/A N/A</v>
        <stp/>
        <stp>BDH|1164186931557126145</stp>
        <tr r="AE11" s="2"/>
      </tp>
      <tp t="s">
        <v>#N/A N/A</v>
        <stp/>
        <stp>BDH|7782544825760217594</stp>
        <tr r="Y9" s="2"/>
      </tp>
      <tp t="s">
        <v>#N/A N/A</v>
        <stp/>
        <stp>BDH|7432036149137856145</stp>
        <tr r="AA13" s="2"/>
      </tp>
      <tp t="s">
        <v>#N/A N/A</v>
        <stp/>
        <stp>BDH|4292742579037535683</stp>
        <tr r="P79" s="2"/>
      </tp>
      <tp t="s">
        <v>#N/A N/A</v>
        <stp/>
        <stp>BDH|6863381602085251529</stp>
        <tr r="AB97" s="2"/>
      </tp>
      <tp t="s">
        <v>#N/A N/A</v>
        <stp/>
        <stp>BDH|4052973304471221920</stp>
        <tr r="S58" s="2"/>
      </tp>
      <tp t="s">
        <v>#N/A N/A</v>
        <stp/>
        <stp>BDH|7467621223941684705</stp>
        <tr r="S97" s="2"/>
      </tp>
      <tp t="s">
        <v>#N/A N/A</v>
        <stp/>
        <stp>BDH|1141028831714215339</stp>
        <tr r="AF87" s="2"/>
      </tp>
      <tp t="s">
        <v>#N/A N/A</v>
        <stp/>
        <stp>BDH|9723956864691547202</stp>
        <tr r="F33" s="2"/>
      </tp>
      <tp t="s">
        <v>#N/A N/A</v>
        <stp/>
        <stp>BDH|2379745327992746049</stp>
        <tr r="G76" s="2"/>
      </tp>
      <tp t="s">
        <v>#N/A N/A</v>
        <stp/>
        <stp>BDH|3383703652091471564</stp>
        <tr r="C42" s="2"/>
      </tp>
      <tp t="s">
        <v>#N/A N/A</v>
        <stp/>
        <stp>BDH|3694614611044327564</stp>
        <tr r="K96" s="2"/>
      </tp>
      <tp t="s">
        <v>#N/A N/A</v>
        <stp/>
        <stp>BDH|7638648312507613253</stp>
        <tr r="P72" s="2"/>
      </tp>
      <tp t="s">
        <v>#N/A N/A</v>
        <stp/>
        <stp>BDH|5152213144634075278</stp>
        <tr r="N76" s="2"/>
      </tp>
      <tp t="s">
        <v>#N/A N/A</v>
        <stp/>
        <stp>BDH|6312359348364548080</stp>
        <tr r="AA56" s="2"/>
      </tp>
      <tp t="s">
        <v>#N/A N/A</v>
        <stp/>
        <stp>BDH|2725509610927523420</stp>
        <tr r="X91" s="2"/>
      </tp>
      <tp t="s">
        <v>#N/A N/A</v>
        <stp/>
        <stp>BDH|1388436808364133499</stp>
        <tr r="L72" s="2"/>
      </tp>
      <tp t="s">
        <v>#N/A N/A</v>
        <stp/>
        <stp>BDH|2047439005733789014</stp>
        <tr r="AE35" s="2"/>
      </tp>
      <tp t="s">
        <v>#N/A N/A</v>
        <stp/>
        <stp>BDH|1686669078721891406</stp>
        <tr r="J29" s="2"/>
      </tp>
      <tp t="s">
        <v>#N/A N/A</v>
        <stp/>
        <stp>BDH|4525800122183416839</stp>
        <tr r="L11" s="2"/>
      </tp>
      <tp t="s">
        <v>#N/A N/A</v>
        <stp/>
        <stp>BDH|2066848555563655974</stp>
        <tr r="X82" s="2"/>
      </tp>
      <tp t="s">
        <v>#N/A N/A</v>
        <stp/>
        <stp>BDH|8880245476941868933</stp>
        <tr r="F19" s="2"/>
      </tp>
      <tp t="s">
        <v>#N/A N/A</v>
        <stp/>
        <stp>BDH|6711345907389465914</stp>
        <tr r="L66" s="2"/>
      </tp>
      <tp t="s">
        <v>#N/A N/A</v>
        <stp/>
        <stp>BDH|1126455035432843182</stp>
        <tr r="M11" s="2"/>
      </tp>
      <tp t="s">
        <v>#N/A N/A</v>
        <stp/>
        <stp>BDH|8747866261662864195</stp>
        <tr r="V17" s="2"/>
      </tp>
      <tp t="s">
        <v>#N/A N/A</v>
        <stp/>
        <stp>BDH|5356619706624306263</stp>
        <tr r="M57" s="2"/>
      </tp>
      <tp t="s">
        <v>#N/A N/A</v>
        <stp/>
        <stp>BDH|5436671259962919121</stp>
        <tr r="H22" s="2"/>
      </tp>
      <tp t="s">
        <v>#N/A N/A</v>
        <stp/>
        <stp>BDH|6744900181282765072</stp>
        <tr r="K95" s="2"/>
      </tp>
      <tp t="s">
        <v>#N/A N/A</v>
        <stp/>
        <stp>BDH|8483754291891230242</stp>
        <tr r="AB41" s="2"/>
      </tp>
      <tp t="s">
        <v>#N/A N/A</v>
        <stp/>
        <stp>BDH|4000628395608012619</stp>
        <tr r="E94" s="2"/>
      </tp>
      <tp t="s">
        <v>#N/A N/A</v>
        <stp/>
        <stp>BDH|4598556634585479266</stp>
        <tr r="R33" s="2"/>
      </tp>
      <tp t="s">
        <v>#N/A N/A</v>
        <stp/>
        <stp>BDH|7846052395103811876</stp>
        <tr r="X65" s="2"/>
      </tp>
      <tp t="s">
        <v>#N/A N/A</v>
        <stp/>
        <stp>BDH|4790864371648478638</stp>
        <tr r="R56" s="2"/>
      </tp>
      <tp t="s">
        <v>#N/A N/A</v>
        <stp/>
        <stp>BDH|1238279160902541270</stp>
        <tr r="AB81" s="2"/>
      </tp>
      <tp t="s">
        <v>#N/A N/A</v>
        <stp/>
        <stp>BDH|2554135012675668261</stp>
        <tr r="Y98" s="2"/>
      </tp>
      <tp t="s">
        <v>#N/A N/A</v>
        <stp/>
        <stp>BDH|7370412375649092838</stp>
        <tr r="W56" s="2"/>
      </tp>
      <tp t="s">
        <v>#N/A N/A</v>
        <stp/>
        <stp>BDH|6262210900718712904</stp>
        <tr r="AB14" s="2"/>
      </tp>
      <tp t="s">
        <v>#N/A N/A</v>
        <stp/>
        <stp>BDH|7092867622659561156</stp>
        <tr r="K63" s="2"/>
      </tp>
      <tp t="s">
        <v>#N/A N/A</v>
        <stp/>
        <stp>BDH|2692885511068820636</stp>
        <tr r="D12" s="2"/>
      </tp>
      <tp t="s">
        <v>#N/A N/A</v>
        <stp/>
        <stp>BDH|1275576822110328308</stp>
        <tr r="U32" s="2"/>
      </tp>
      <tp t="s">
        <v>#N/A N/A</v>
        <stp/>
        <stp>BDH|4450529872647255420</stp>
        <tr r="AD64" s="2"/>
      </tp>
      <tp t="s">
        <v>#N/A N/A</v>
        <stp/>
        <stp>BDH|1559680869736586248</stp>
        <tr r="AA63" s="2"/>
      </tp>
      <tp t="s">
        <v>#N/A N/A</v>
        <stp/>
        <stp>BDH|1679629172603527668</stp>
        <tr r="E46" s="2"/>
      </tp>
      <tp t="s">
        <v>#N/A N/A</v>
        <stp/>
        <stp>BDH|2075566754733326443</stp>
        <tr r="G91" s="2"/>
      </tp>
      <tp t="s">
        <v>#N/A N/A</v>
        <stp/>
        <stp>BDH|5315111005953725252</stp>
        <tr r="K37" s="2"/>
      </tp>
      <tp t="s">
        <v>#N/A N/A</v>
        <stp/>
        <stp>BDH|3999866187045933344</stp>
        <tr r="N45" s="2"/>
      </tp>
      <tp t="s">
        <v>#N/A N/A</v>
        <stp/>
        <stp>BDH|72209584216748475</stp>
        <tr r="T56" s="2"/>
      </tp>
      <tp t="s">
        <v>#N/A N/A</v>
        <stp/>
        <stp>BDH|6127084053355914097</stp>
        <tr r="R54" s="2"/>
      </tp>
      <tp t="s">
        <v>#N/A N/A</v>
        <stp/>
        <stp>BDH|2976861719425930856</stp>
        <tr r="J98" s="2"/>
      </tp>
      <tp t="s">
        <v>#N/A N/A</v>
        <stp/>
        <stp>BDH|1679163412782835508</stp>
        <tr r="Y77" s="2"/>
      </tp>
      <tp t="s">
        <v>#N/A N/A</v>
        <stp/>
        <stp>BDH|8971829851045329637</stp>
        <tr r="I53" s="2"/>
      </tp>
      <tp t="s">
        <v>#N/A N/A</v>
        <stp/>
        <stp>BDH|4172637059604540548</stp>
        <tr r="AF12" s="2"/>
      </tp>
      <tp t="s">
        <v>#N/A N/A</v>
        <stp/>
        <stp>BDH|9959502446328723637</stp>
        <tr r="T68" s="2"/>
      </tp>
      <tp t="s">
        <v>#N/A N/A</v>
        <stp/>
        <stp>BDH|1856640761273658403</stp>
        <tr r="Z73" s="2"/>
      </tp>
      <tp t="s">
        <v>#N/A N/A</v>
        <stp/>
        <stp>BDH|5668327272556504184</stp>
        <tr r="J15" s="2"/>
      </tp>
      <tp t="s">
        <v>#N/A N/A</v>
        <stp/>
        <stp>BDH|7847303175123431620</stp>
        <tr r="M60" s="2"/>
      </tp>
      <tp t="s">
        <v>#N/A N/A</v>
        <stp/>
        <stp>BDH|1880457644361780650</stp>
        <tr r="Q17" s="2"/>
      </tp>
      <tp t="s">
        <v>#N/A N/A</v>
        <stp/>
        <stp>BDH|1643771413539147880</stp>
        <tr r="AE71" s="2"/>
      </tp>
      <tp t="s">
        <v>#N/A N/A</v>
        <stp/>
        <stp>BDH|2951056793415524812</stp>
        <tr r="U36" s="2"/>
      </tp>
      <tp t="s">
        <v>#N/A N/A</v>
        <stp/>
        <stp>BDH|2492315574598969832</stp>
        <tr r="D29" s="2"/>
      </tp>
      <tp t="s">
        <v>#N/A N/A</v>
        <stp/>
        <stp>BDH|7623603531443900758</stp>
        <tr r="T58" s="2"/>
      </tp>
      <tp t="s">
        <v>#N/A N/A</v>
        <stp/>
        <stp>BDH|1537514149315220377</stp>
        <tr r="C28" s="2"/>
      </tp>
      <tp t="s">
        <v>#N/A N/A</v>
        <stp/>
        <stp>BDH|1964008666151479038</stp>
        <tr r="L87" s="2"/>
      </tp>
      <tp t="s">
        <v>#N/A N/A</v>
        <stp/>
        <stp>BDH|1732229622202797582</stp>
        <tr r="Q21" s="2"/>
      </tp>
      <tp t="s">
        <v>#N/A N/A</v>
        <stp/>
        <stp>BDH|2140211728160784479</stp>
        <tr r="D67" s="2"/>
      </tp>
      <tp t="s">
        <v>#N/A N/A</v>
        <stp/>
        <stp>BDH|7625227644191126691</stp>
        <tr r="D28" s="2"/>
      </tp>
      <tp t="s">
        <v>#N/A N/A</v>
        <stp/>
        <stp>BDH|1638159868290472072</stp>
        <tr r="AC98" s="2"/>
      </tp>
      <tp t="s">
        <v>#N/A N/A</v>
        <stp/>
        <stp>BDH|4583394133431346342</stp>
        <tr r="S7" s="2"/>
      </tp>
      <tp t="s">
        <v>#N/A N/A</v>
        <stp/>
        <stp>BDH|9605856398786769856</stp>
        <tr r="V9" s="2"/>
      </tp>
      <tp t="s">
        <v>#N/A N/A</v>
        <stp/>
        <stp>BDH|4069923480701919223</stp>
        <tr r="D74" s="2"/>
      </tp>
      <tp t="s">
        <v>#N/A N/A</v>
        <stp/>
        <stp>BDH|2432985486903745642</stp>
        <tr r="AC86" s="2"/>
      </tp>
      <tp t="s">
        <v>#N/A N/A</v>
        <stp/>
        <stp>BDH|3259484347156498301</stp>
        <tr r="L88" s="2"/>
      </tp>
      <tp t="s">
        <v>#N/A N/A</v>
        <stp/>
        <stp>BDH|1683493511133402131</stp>
        <tr r="N53" s="2"/>
      </tp>
      <tp t="s">
        <v>#N/A N/A</v>
        <stp/>
        <stp>BDH|9394962104945631390</stp>
        <tr r="W15" s="2"/>
      </tp>
      <tp t="s">
        <v>#N/A N/A</v>
        <stp/>
        <stp>BDH|4272718857784906431</stp>
        <tr r="AC67" s="2"/>
      </tp>
      <tp t="s">
        <v>#N/A N/A</v>
        <stp/>
        <stp>BDH|9647958266418911820</stp>
        <tr r="T18" s="2"/>
      </tp>
      <tp t="s">
        <v>#N/A N/A</v>
        <stp/>
        <stp>BDH|5572588403504737270</stp>
        <tr r="W42" s="2"/>
      </tp>
      <tp t="s">
        <v>#N/A N/A</v>
        <stp/>
        <stp>BDH|6541624947980894271</stp>
        <tr r="L59" s="2"/>
      </tp>
      <tp t="s">
        <v>#N/A N/A</v>
        <stp/>
        <stp>BDH|6070581530703418533</stp>
        <tr r="T51" s="2"/>
      </tp>
      <tp t="s">
        <v>#N/A N/A</v>
        <stp/>
        <stp>BDH|9325044611418108680</stp>
        <tr r="I68" s="2"/>
      </tp>
      <tp t="s">
        <v>#N/A N/A</v>
        <stp/>
        <stp>BDH|7253827791280650080</stp>
        <tr r="U59" s="2"/>
      </tp>
      <tp t="s">
        <v>#N/A N/A</v>
        <stp/>
        <stp>BDH|5972552267015197558</stp>
        <tr r="X62" s="2"/>
      </tp>
      <tp t="s">
        <v>#N/A N/A</v>
        <stp/>
        <stp>BDH|5703716379896915594</stp>
        <tr r="T75" s="2"/>
      </tp>
      <tp t="s">
        <v>#N/A N/A</v>
        <stp/>
        <stp>BDH|9878679090717200722</stp>
        <tr r="R21" s="2"/>
      </tp>
      <tp t="s">
        <v>#N/A N/A</v>
        <stp/>
        <stp>BDH|7807756155113198063</stp>
        <tr r="O97" s="2"/>
      </tp>
      <tp t="s">
        <v>#N/A N/A</v>
        <stp/>
        <stp>BDH|8474731100830801902</stp>
        <tr r="L74" s="2"/>
      </tp>
      <tp t="s">
        <v>#N/A N/A</v>
        <stp/>
        <stp>BDH|3569146074210869328</stp>
        <tr r="X66" s="2"/>
      </tp>
      <tp t="s">
        <v>#N/A N/A</v>
        <stp/>
        <stp>BDH|1580905092893923419</stp>
        <tr r="V55" s="2"/>
      </tp>
      <tp t="s">
        <v>#N/A N/A</v>
        <stp/>
        <stp>BDH|5278030668430461515</stp>
        <tr r="O22" s="2"/>
      </tp>
      <tp t="s">
        <v>#N/A N/A</v>
        <stp/>
        <stp>BDH|9554821269106128737</stp>
        <tr r="U57" s="2"/>
      </tp>
      <tp t="s">
        <v>#N/A N/A</v>
        <stp/>
        <stp>BDH|3577195884115174952</stp>
        <tr r="M27" s="2"/>
      </tp>
      <tp t="s">
        <v>#N/A N/A</v>
        <stp/>
        <stp>BDH|3719094314013094767</stp>
        <tr r="Z67" s="2"/>
      </tp>
      <tp t="s">
        <v>#N/A N/A</v>
        <stp/>
        <stp>BDH|1314186046040644262</stp>
        <tr r="Z48" s="2"/>
      </tp>
      <tp t="s">
        <v>#N/A N/A</v>
        <stp/>
        <stp>BDH|2519423533382081198</stp>
        <tr r="S87" s="2"/>
      </tp>
      <tp t="s">
        <v>#N/A N/A</v>
        <stp/>
        <stp>BDH|2419104538995691377</stp>
        <tr r="X7" s="2"/>
      </tp>
      <tp t="s">
        <v>#N/A N/A</v>
        <stp/>
        <stp>BDH|7022404902940942563</stp>
        <tr r="L79" s="2"/>
      </tp>
      <tp t="s">
        <v>#N/A N/A</v>
        <stp/>
        <stp>BDH|1240734219852052350</stp>
        <tr r="F76" s="2"/>
      </tp>
      <tp t="s">
        <v>#N/A N/A</v>
        <stp/>
        <stp>BDH|9599897767249717810</stp>
        <tr r="N49" s="2"/>
      </tp>
      <tp t="s">
        <v>#N/A N/A</v>
        <stp/>
        <stp>BDH|6609587574914245655</stp>
        <tr r="P18" s="2"/>
      </tp>
      <tp t="s">
        <v>#N/A N/A</v>
        <stp/>
        <stp>BDH|9268905520862817674</stp>
        <tr r="W73" s="2"/>
      </tp>
      <tp t="s">
        <v>#N/A N/A</v>
        <stp/>
        <stp>BDH|5470105056313321433</stp>
        <tr r="Y46" s="2"/>
      </tp>
      <tp t="s">
        <v>#N/A N/A</v>
        <stp/>
        <stp>BDH|7767349174020380563</stp>
        <tr r="Z99" s="2"/>
      </tp>
      <tp t="s">
        <v>#N/A N/A</v>
        <stp/>
        <stp>BDH|5134067979430996455</stp>
        <tr r="O71" s="2"/>
      </tp>
      <tp t="s">
        <v>#N/A N/A</v>
        <stp/>
        <stp>BDH|3289974585431394501</stp>
        <tr r="Q44" s="2"/>
      </tp>
      <tp t="s">
        <v>#N/A N/A</v>
        <stp/>
        <stp>BDH|2491472166417792113</stp>
        <tr r="K82" s="2"/>
      </tp>
      <tp t="s">
        <v>#N/A N/A</v>
        <stp/>
        <stp>BDH|6366067152283324674</stp>
        <tr r="AD66" s="2"/>
      </tp>
      <tp t="s">
        <v>#N/A N/A</v>
        <stp/>
        <stp>BDH|5682559960122356233</stp>
        <tr r="I75" s="2"/>
      </tp>
      <tp t="s">
        <v>#N/A N/A</v>
        <stp/>
        <stp>BDH|3311566596848693155</stp>
        <tr r="O63" s="2"/>
      </tp>
      <tp t="s">
        <v>#N/A N/A</v>
        <stp/>
        <stp>BDH|3646176110324932180</stp>
        <tr r="C7" s="2"/>
      </tp>
      <tp t="s">
        <v>#N/A N/A</v>
        <stp/>
        <stp>BDH|4751145332579521941</stp>
        <tr r="H46" s="2"/>
      </tp>
      <tp t="s">
        <v>#N/A N/A</v>
        <stp/>
        <stp>BDH|6499315522354704504</stp>
        <tr r="K13" s="2"/>
      </tp>
      <tp t="s">
        <v>#N/A N/A</v>
        <stp/>
        <stp>BDH|8680916301356294155</stp>
        <tr r="AA53" s="2"/>
      </tp>
      <tp t="s">
        <v>#N/A N/A</v>
        <stp/>
        <stp>BDH|8717528489616457599</stp>
        <tr r="AF52" s="2"/>
      </tp>
      <tp t="s">
        <v>#N/A N/A</v>
        <stp/>
        <stp>BDH|6308405545211512124</stp>
        <tr r="V90" s="2"/>
      </tp>
      <tp t="s">
        <v>#N/A N/A</v>
        <stp/>
        <stp>BDH|3027364553984474702</stp>
        <tr r="F92" s="2"/>
      </tp>
      <tp t="s">
        <v>#N/A N/A</v>
        <stp/>
        <stp>BDH|9720563470464335946</stp>
        <tr r="AC92" s="2"/>
      </tp>
      <tp t="s">
        <v>#N/A N/A</v>
        <stp/>
        <stp>BDH|5994576960215885506</stp>
        <tr r="AF62" s="2"/>
      </tp>
      <tp t="s">
        <v>#N/A N/A</v>
        <stp/>
        <stp>BDH|9214917723623608706</stp>
        <tr r="U73" s="2"/>
      </tp>
      <tp t="s">
        <v>#N/A N/A</v>
        <stp/>
        <stp>BDH|2595086162346173498</stp>
        <tr r="AE66" s="2"/>
      </tp>
      <tp t="s">
        <v>#N/A N/A</v>
        <stp/>
        <stp>BDH|4507486969196095635</stp>
        <tr r="Y33" s="2"/>
      </tp>
      <tp t="s">
        <v>#N/A N/A</v>
        <stp/>
        <stp>BDH|3135522354776200329</stp>
        <tr r="AC28" s="2"/>
      </tp>
      <tp t="s">
        <v>#N/A N/A</v>
        <stp/>
        <stp>BDH|7341253423856461766</stp>
        <tr r="E79" s="2"/>
      </tp>
      <tp t="s">
        <v>#N/A N/A</v>
        <stp/>
        <stp>BDH|2129240827583113749</stp>
        <tr r="D52" s="2"/>
      </tp>
      <tp t="s">
        <v>#N/A N/A</v>
        <stp/>
        <stp>BDH|5987619959375577504</stp>
        <tr r="T90" s="2"/>
      </tp>
      <tp t="s">
        <v>#N/A N/A</v>
        <stp/>
        <stp>BDH|7836495055662130210</stp>
        <tr r="F23" s="2"/>
      </tp>
      <tp t="s">
        <v>#N/A N/A</v>
        <stp/>
        <stp>BDH|5724040696578240231</stp>
        <tr r="C64" s="2"/>
      </tp>
      <tp t="s">
        <v>#N/A N/A</v>
        <stp/>
        <stp>BDH|2647722373052072633</stp>
        <tr r="J27" s="2"/>
      </tp>
      <tp t="s">
        <v>#N/A N/A</v>
        <stp/>
        <stp>BDH|7184259064774614122</stp>
        <tr r="S45" s="2"/>
      </tp>
      <tp t="s">
        <v>#N/A N/A</v>
        <stp/>
        <stp>BDH|4914294031021770226</stp>
        <tr r="N31" s="2"/>
      </tp>
      <tp t="s">
        <v>#N/A N/A</v>
        <stp/>
        <stp>BDH|6659066828432950058</stp>
        <tr r="J50" s="2"/>
      </tp>
      <tp t="s">
        <v>#N/A N/A</v>
        <stp/>
        <stp>BDH|2625396754442616080</stp>
        <tr r="I13" s="2"/>
      </tp>
      <tp t="s">
        <v>#N/A N/A</v>
        <stp/>
        <stp>BDH|3118673472187404353</stp>
        <tr r="W24" s="2"/>
      </tp>
      <tp t="s">
        <v>#N/A N/A</v>
        <stp/>
        <stp>BDH|2701524664094658324</stp>
        <tr r="W86" s="2"/>
      </tp>
      <tp t="s">
        <v>#N/A N/A</v>
        <stp/>
        <stp>BDH|3205843343160505954</stp>
        <tr r="X10" s="2"/>
      </tp>
      <tp t="s">
        <v>#N/A N/A</v>
        <stp/>
        <stp>BDH|6932021646130038486</stp>
        <tr r="AC77" s="2"/>
      </tp>
      <tp t="s">
        <v>#N/A N/A</v>
        <stp/>
        <stp>BDH|3248139863343432134</stp>
        <tr r="AD67" s="2"/>
      </tp>
      <tp t="s">
        <v>#N/A N/A</v>
        <stp/>
        <stp>BDH|5039588315436011185</stp>
        <tr r="I12" s="2"/>
      </tp>
      <tp t="s">
        <v>#N/A N/A</v>
        <stp/>
        <stp>BDH|5799700993669051410</stp>
        <tr r="AB86" s="2"/>
      </tp>
      <tp t="s">
        <v>#N/A N/A</v>
        <stp/>
        <stp>BDH|2933744429503487250</stp>
        <tr r="K8" s="2"/>
      </tp>
      <tp t="s">
        <v>#N/A N/A</v>
        <stp/>
        <stp>BDH|8475109684035386269</stp>
        <tr r="AD26" s="2"/>
      </tp>
      <tp t="s">
        <v>#N/A N/A</v>
        <stp/>
        <stp>BDH|7272330804151718378</stp>
        <tr r="AB65" s="2"/>
      </tp>
      <tp t="s">
        <v>#N/A N/A</v>
        <stp/>
        <stp>BDH|64453496950499636</stp>
        <tr r="D7" s="2"/>
      </tp>
      <tp t="s">
        <v>#N/A N/A</v>
        <stp/>
        <stp>BDH|3612364588578512770</stp>
        <tr r="H9" s="2"/>
      </tp>
      <tp t="s">
        <v>#N/A N/A</v>
        <stp/>
        <stp>BDH|7956253062005725137</stp>
        <tr r="U20" s="2"/>
      </tp>
      <tp t="s">
        <v>#N/A N/A</v>
        <stp/>
        <stp>BDH|5716141423184336591</stp>
        <tr r="AD13" s="2"/>
      </tp>
      <tp t="s">
        <v>#N/A N/A</v>
        <stp/>
        <stp>BDH|6899277528866804753</stp>
        <tr r="AE73" s="2"/>
      </tp>
      <tp t="s">
        <v>#N/A N/A</v>
        <stp/>
        <stp>BDH|6212385101614393623</stp>
        <tr r="C40" s="2"/>
      </tp>
      <tp t="s">
        <v>#N/A N/A</v>
        <stp/>
        <stp>BDH|3083357529531262440</stp>
        <tr r="I14" s="2"/>
      </tp>
      <tp t="s">
        <v>#N/A N/A</v>
        <stp/>
        <stp>BDH|9080964940610964353</stp>
        <tr r="AA55" s="2"/>
      </tp>
      <tp t="s">
        <v>#N/A N/A</v>
        <stp/>
        <stp>BDH|3418419157791080497</stp>
        <tr r="P31" s="2"/>
      </tp>
      <tp t="s">
        <v>#N/A N/A</v>
        <stp/>
        <stp>BDH|2525410870605924362</stp>
        <tr r="AE18" s="2"/>
      </tp>
      <tp t="s">
        <v>#N/A N/A</v>
        <stp/>
        <stp>BDH|4012824206639985262</stp>
        <tr r="W26" s="2"/>
      </tp>
      <tp t="s">
        <v>#N/A N/A</v>
        <stp/>
        <stp>BDH|4903312422877104501</stp>
        <tr r="H37" s="2"/>
      </tp>
      <tp t="s">
        <v>#N/A N/A</v>
        <stp/>
        <stp>BDH|2629799366417372312</stp>
        <tr r="O28" s="2"/>
      </tp>
      <tp t="s">
        <v>#N/A N/A</v>
        <stp/>
        <stp>BDH|3610020906440885412</stp>
        <tr r="Y64" s="2"/>
      </tp>
      <tp t="s">
        <v>#N/A N/A</v>
        <stp/>
        <stp>BDH|7131189557011092565</stp>
        <tr r="K59" s="2"/>
      </tp>
      <tp t="s">
        <v>#N/A N/A</v>
        <stp/>
        <stp>BDH|2423613659213346564</stp>
        <tr r="L26" s="2"/>
      </tp>
      <tp t="s">
        <v>#N/A N/A</v>
        <stp/>
        <stp>BDH|9235827550676987508</stp>
        <tr r="K86" s="2"/>
      </tp>
      <tp t="s">
        <v>#N/A N/A</v>
        <stp/>
        <stp>BDH|2441260542745967600</stp>
        <tr r="Q64" s="2"/>
      </tp>
      <tp t="s">
        <v>#N/A N/A</v>
        <stp/>
        <stp>BDH|3489432013594856557</stp>
        <tr r="D35" s="2"/>
      </tp>
      <tp t="s">
        <v>#N/A N/A</v>
        <stp/>
        <stp>BDH|5532788811684456014</stp>
        <tr r="U81" s="2"/>
      </tp>
      <tp t="s">
        <v>#N/A N/A</v>
        <stp/>
        <stp>BDH|2562066323351668680</stp>
        <tr r="AA95" s="2"/>
      </tp>
      <tp t="s">
        <v>#N/A N/A</v>
        <stp/>
        <stp>BDH|4321764444212995260</stp>
        <tr r="X24" s="2"/>
      </tp>
      <tp t="s">
        <v>#N/A N/A</v>
        <stp/>
        <stp>BDH|9472785580095082427</stp>
        <tr r="R97" s="2"/>
      </tp>
      <tp t="s">
        <v>#N/A N/A</v>
        <stp/>
        <stp>BDH|1938050738985224087</stp>
        <tr r="P7" s="2"/>
      </tp>
      <tp t="s">
        <v>#N/A N/A</v>
        <stp/>
        <stp>BDH|6524466840768886949</stp>
        <tr r="L21" s="2"/>
      </tp>
      <tp t="s">
        <v>#N/A N/A</v>
        <stp/>
        <stp>BDH|5265234211184607591</stp>
        <tr r="G44" s="2"/>
      </tp>
      <tp t="s">
        <v>#N/A N/A</v>
        <stp/>
        <stp>BDH|5912404163833700328</stp>
        <tr r="AC79" s="2"/>
      </tp>
      <tp t="s">
        <v>#N/A N/A</v>
        <stp/>
        <stp>BDH|7960734334891460559</stp>
        <tr r="W50" s="2"/>
      </tp>
      <tp t="s">
        <v>#N/A N/A</v>
        <stp/>
        <stp>BDH|9380409536889893027</stp>
        <tr r="G26" s="2"/>
      </tp>
      <tp t="s">
        <v>#N/A N/A</v>
        <stp/>
        <stp>BDH|2217736872956410389</stp>
        <tr r="V64" s="2"/>
      </tp>
      <tp t="s">
        <v>#N/A N/A</v>
        <stp/>
        <stp>BDH|5981070845497258160</stp>
        <tr r="F77" s="2"/>
      </tp>
      <tp t="s">
        <v>#N/A N/A</v>
        <stp/>
        <stp>BDH|7485588907250797533</stp>
        <tr r="M33" s="2"/>
      </tp>
      <tp t="s">
        <v>#N/A N/A</v>
        <stp/>
        <stp>BDH|5074503363916402786</stp>
        <tr r="D30" s="2"/>
      </tp>
      <tp t="s">
        <v>#N/A N/A</v>
        <stp/>
        <stp>BDH|5150150756152605484</stp>
        <tr r="D90" s="2"/>
      </tp>
      <tp t="s">
        <v>#N/A N/A</v>
        <stp/>
        <stp>BDH|3780635802461216380</stp>
        <tr r="J41" s="2"/>
      </tp>
      <tp t="s">
        <v>#N/A N/A</v>
        <stp/>
        <stp>BDH|8523126384905804371</stp>
        <tr r="K74" s="2"/>
      </tp>
      <tp t="s">
        <v>#N/A N/A</v>
        <stp/>
        <stp>BDH|4267681326341631668</stp>
        <tr r="P89" s="2"/>
      </tp>
      <tp t="s">
        <v>#N/A N/A</v>
        <stp/>
        <stp>BDH|3830146222405491279</stp>
        <tr r="AF8" s="2"/>
      </tp>
      <tp t="s">
        <v>#N/A N/A</v>
        <stp/>
        <stp>BDH|8549505429640152801</stp>
        <tr r="Y80" s="2"/>
      </tp>
      <tp t="s">
        <v>#N/A N/A</v>
        <stp/>
        <stp>BDH|6014016451183517782</stp>
        <tr r="Y16" s="2"/>
      </tp>
      <tp t="s">
        <v>#N/A N/A</v>
        <stp/>
        <stp>BDH|6194587837945163227</stp>
        <tr r="R28" s="2"/>
      </tp>
      <tp t="s">
        <v>#N/A N/A</v>
        <stp/>
        <stp>BDH|5351493720331682514</stp>
        <tr r="H18" s="2"/>
      </tp>
      <tp t="s">
        <v>#N/A N/A</v>
        <stp/>
        <stp>BDH|1157807801757955948</stp>
        <tr r="C68" s="2"/>
      </tp>
      <tp t="s">
        <v>#N/A N/A</v>
        <stp/>
        <stp>BDH|7532681394669953625</stp>
        <tr r="U55" s="2"/>
      </tp>
      <tp t="s">
        <v>#N/A N/A</v>
        <stp/>
        <stp>BDH|2411786331933686292</stp>
        <tr r="R58" s="2"/>
      </tp>
      <tp t="s">
        <v>#N/A N/A</v>
        <stp/>
        <stp>BDH|4492461920162897787</stp>
        <tr r="AD62" s="2"/>
      </tp>
      <tp t="s">
        <v>#N/A N/A</v>
        <stp/>
        <stp>BDH|6168963980849630934</stp>
        <tr r="F56" s="2"/>
      </tp>
      <tp t="s">
        <v>#N/A N/A</v>
        <stp/>
        <stp>BDH|6984075041216965343</stp>
        <tr r="O88" s="2"/>
      </tp>
      <tp t="s">
        <v>#N/A N/A</v>
        <stp/>
        <stp>BDH|3398515251366690278</stp>
        <tr r="K44" s="2"/>
      </tp>
      <tp t="s">
        <v>#N/A N/A</v>
        <stp/>
        <stp>BDH|2220909390455962089</stp>
        <tr r="M63" s="2"/>
      </tp>
      <tp t="s">
        <v>#N/A N/A</v>
        <stp/>
        <stp>BDH|6575616223101335473</stp>
        <tr r="AD29" s="2"/>
      </tp>
      <tp t="s">
        <v>#N/A N/A</v>
        <stp/>
        <stp>BDH|4183593958534382706</stp>
        <tr r="O47" s="2"/>
      </tp>
      <tp t="s">
        <v>#N/A N/A</v>
        <stp/>
        <stp>BDH|1441474315996386563</stp>
        <tr r="M26" s="2"/>
      </tp>
      <tp t="s">
        <v>#N/A N/A</v>
        <stp/>
        <stp>BDH|1207016265037758725</stp>
        <tr r="Z63" s="2"/>
      </tp>
      <tp t="s">
        <v>#N/A N/A</v>
        <stp/>
        <stp>BDH|6434816247799002421</stp>
        <tr r="Y73" s="2"/>
      </tp>
      <tp t="s">
        <v>#N/A N/A</v>
        <stp/>
        <stp>BDH|8510619988942822346</stp>
        <tr r="Z66" s="2"/>
      </tp>
      <tp t="s">
        <v>#N/A N/A</v>
        <stp/>
        <stp>BDH|8819562610383769891</stp>
        <tr r="Q11" s="2"/>
      </tp>
      <tp t="s">
        <v>#N/A N/A</v>
        <stp/>
        <stp>BDH|4788692217865835118</stp>
        <tr r="I24" s="2"/>
      </tp>
      <tp t="s">
        <v>#N/A N/A</v>
        <stp/>
        <stp>BDH|3453596473967942174</stp>
        <tr r="Y63" s="2"/>
      </tp>
      <tp t="s">
        <v>#N/A N/A</v>
        <stp/>
        <stp>BDH|5652941373494589844</stp>
        <tr r="R22" s="2"/>
      </tp>
      <tp t="s">
        <v>#N/A N/A</v>
        <stp/>
        <stp>BDH|1446855549893130996</stp>
        <tr r="F65" s="2"/>
      </tp>
      <tp t="s">
        <v>#N/A N/A</v>
        <stp/>
        <stp>BDH|3312305041690244365</stp>
        <tr r="M99" s="2"/>
      </tp>
      <tp t="s">
        <v>#N/A N/A</v>
        <stp/>
        <stp>BDH|6728917150075850882</stp>
        <tr r="G21" s="2"/>
      </tp>
      <tp t="s">
        <v>#N/A N/A</v>
        <stp/>
        <stp>BDH|5724619632855708256</stp>
        <tr r="F36" s="2"/>
      </tp>
      <tp t="s">
        <v>#N/A N/A</v>
        <stp/>
        <stp>BDH|8752271148221677885</stp>
        <tr r="Q82" s="2"/>
      </tp>
      <tp t="s">
        <v>#N/A N/A</v>
        <stp/>
        <stp>BDH|3952768376607972360</stp>
        <tr r="D42" s="2"/>
      </tp>
      <tp t="s">
        <v>#N/A N/A</v>
        <stp/>
        <stp>BDH|7905808984814325493</stp>
        <tr r="E59" s="2"/>
      </tp>
      <tp t="s">
        <v>#N/A N/A</v>
        <stp/>
        <stp>BDH|6246003226605606651</stp>
        <tr r="J75" s="2"/>
      </tp>
      <tp t="s">
        <v>#N/A N/A</v>
        <stp/>
        <stp>BDH|7702498646747971761</stp>
        <tr r="D46" s="2"/>
      </tp>
      <tp t="s">
        <v>#N/A N/A</v>
        <stp/>
        <stp>BDH|4393506542955768718</stp>
        <tr r="K25" s="2"/>
      </tp>
      <tp t="s">
        <v>#N/A N/A</v>
        <stp/>
        <stp>BDH|7245301283869430225</stp>
        <tr r="Z18" s="2"/>
      </tp>
      <tp t="s">
        <v>#N/A N/A</v>
        <stp/>
        <stp>BDH|3178666731077744669</stp>
        <tr r="Q86" s="2"/>
      </tp>
      <tp t="s">
        <v>#N/A N/A</v>
        <stp/>
        <stp>BDH|5891742013902261694</stp>
        <tr r="K71" s="2"/>
      </tp>
      <tp t="s">
        <v>#N/A N/A</v>
        <stp/>
        <stp>BDH|4243053042071417655</stp>
        <tr r="T25" s="2"/>
      </tp>
      <tp t="s">
        <v>#N/A N/A</v>
        <stp/>
        <stp>BDH|3060748849260134786</stp>
        <tr r="C72" s="2"/>
      </tp>
      <tp t="s">
        <v>#N/A N/A</v>
        <stp/>
        <stp>BDH|1972207672880629390</stp>
        <tr r="E80" s="2"/>
      </tp>
      <tp t="s">
        <v>#N/A N/A</v>
        <stp/>
        <stp>BDH|5346237805282287236</stp>
        <tr r="AA87" s="2"/>
      </tp>
      <tp t="s">
        <v>#N/A N/A</v>
        <stp/>
        <stp>BDH|9259977153577408577</stp>
        <tr r="AC93" s="2"/>
      </tp>
      <tp t="s">
        <v>#N/A N/A</v>
        <stp/>
        <stp>BDH|5329217810666222752</stp>
        <tr r="H12" s="2"/>
      </tp>
      <tp t="s">
        <v>#N/A N/A</v>
        <stp/>
        <stp>BDH|3663001202514722065</stp>
        <tr r="X79" s="2"/>
      </tp>
      <tp t="s">
        <v>#N/A N/A</v>
        <stp/>
        <stp>BDH|2697280568835177420</stp>
        <tr r="C32" s="2"/>
      </tp>
      <tp t="s">
        <v>#N/A N/A</v>
        <stp/>
        <stp>BDH|2508421913653598343</stp>
        <tr r="W44" s="2"/>
      </tp>
      <tp t="s">
        <v>#N/A N/A</v>
        <stp/>
        <stp>BDH|25760883810909517</stp>
        <tr r="P14" s="2"/>
      </tp>
      <tp t="s">
        <v>#N/A N/A</v>
        <stp/>
        <stp>BDH|4605366497056510887</stp>
        <tr r="R68" s="2"/>
      </tp>
      <tp t="s">
        <v>#N/A N/A</v>
        <stp/>
        <stp>BDH|6502920388143614432</stp>
        <tr r="I86" s="2"/>
      </tp>
      <tp t="s">
        <v>#N/A N/A</v>
        <stp/>
        <stp>BDH|4277782285278668337</stp>
        <tr r="T45" s="2"/>
      </tp>
      <tp t="s">
        <v>#N/A N/A</v>
        <stp/>
        <stp>BDH|1651515470015502688</stp>
        <tr r="AF68" s="2"/>
      </tp>
      <tp t="s">
        <v>#N/A N/A</v>
        <stp/>
        <stp>BDH|6790279912534897104</stp>
        <tr r="Q96" s="2"/>
      </tp>
      <tp t="s">
        <v>#N/A N/A</v>
        <stp/>
        <stp>BDH|4604191444812619370</stp>
        <tr r="M66" s="2"/>
      </tp>
      <tp t="s">
        <v>#N/A N/A</v>
        <stp/>
        <stp>BDH|6080365189524761923</stp>
        <tr r="Z55" s="2"/>
      </tp>
      <tp t="s">
        <v>#N/A N/A</v>
        <stp/>
        <stp>BDH|8433416486482099694</stp>
        <tr r="K27" s="2"/>
      </tp>
      <tp t="s">
        <v>#N/A N/A</v>
        <stp/>
        <stp>BDH|6001004774597932662</stp>
        <tr r="J21" s="2"/>
      </tp>
      <tp t="s">
        <v>#N/A N/A</v>
        <stp/>
        <stp>BDH|3919507257341717227</stp>
        <tr r="U72" s="2"/>
      </tp>
      <tp t="s">
        <v>#N/A N/A</v>
        <stp/>
        <stp>BDH|2056044370664702182</stp>
        <tr r="G88" s="2"/>
      </tp>
      <tp t="s">
        <v>#N/A N/A</v>
        <stp/>
        <stp>BDH|1249470601964948162</stp>
        <tr r="I35" s="2"/>
      </tp>
      <tp t="s">
        <v>#N/A N/A</v>
        <stp/>
        <stp>BDH|7786286240423424203</stp>
        <tr r="AA88" s="2"/>
      </tp>
      <tp t="s">
        <v>#N/A N/A</v>
        <stp/>
        <stp>BDH|9799716481573780583</stp>
        <tr r="AF19" s="2"/>
      </tp>
      <tp t="s">
        <v>#N/A N/A</v>
        <stp/>
        <stp>BDH|5360001158252266210</stp>
        <tr r="AE31" s="2"/>
      </tp>
      <tp t="s">
        <v>#N/A N/A</v>
        <stp/>
        <stp>BDH|9516594664028273226</stp>
        <tr r="U63" s="2"/>
      </tp>
      <tp t="s">
        <v>#N/A N/A</v>
        <stp/>
        <stp>BDH|9127281849818096784</stp>
        <tr r="AF31" s="2"/>
      </tp>
      <tp t="s">
        <v>#N/A N/A</v>
        <stp/>
        <stp>BDH|9216967826086940439</stp>
        <tr r="M10" s="2"/>
      </tp>
      <tp t="s">
        <v>#N/A N/A</v>
        <stp/>
        <stp>BDH|3396144152811597687</stp>
        <tr r="H13" s="2"/>
      </tp>
      <tp t="s">
        <v>#N/A N/A</v>
        <stp/>
        <stp>BDH|7736098350190379251</stp>
        <tr r="W37" s="2"/>
      </tp>
      <tp t="s">
        <v>#N/A N/A</v>
        <stp/>
        <stp>BDH|5611392370048693915</stp>
        <tr r="AA94" s="2"/>
      </tp>
      <tp t="s">
        <v>#N/A N/A</v>
        <stp/>
        <stp>BDH|7374563806115381782</stp>
        <tr r="J11" s="2"/>
      </tp>
      <tp t="s">
        <v>#N/A N/A</v>
        <stp/>
        <stp>BDH|5183633943867140094</stp>
        <tr r="X14" s="2"/>
      </tp>
      <tp t="s">
        <v>#N/A N/A</v>
        <stp/>
        <stp>BDH|1484453067415939669</stp>
        <tr r="P43" s="2"/>
      </tp>
      <tp t="s">
        <v>#N/A N/A</v>
        <stp/>
        <stp>BDH|5810071914237563373</stp>
        <tr r="E74" s="2"/>
      </tp>
      <tp t="s">
        <v>#N/A N/A</v>
        <stp/>
        <stp>BDH|3358628856957979775</stp>
        <tr r="R57" s="2"/>
      </tp>
      <tp t="s">
        <v>#N/A N/A</v>
        <stp/>
        <stp>BDH|4862262295706326918</stp>
        <tr r="P59" s="2"/>
      </tp>
      <tp t="s">
        <v>#N/A N/A</v>
        <stp/>
        <stp>BDH|6878739556870193450</stp>
        <tr r="Q77" s="2"/>
      </tp>
      <tp t="s">
        <v>#N/A N/A</v>
        <stp/>
        <stp>BDH|7946276151183964384</stp>
        <tr r="E17" s="2"/>
      </tp>
      <tp t="s">
        <v>#N/A N/A</v>
        <stp/>
        <stp>BDH|2594233108059927998</stp>
        <tr r="AD43" s="2"/>
      </tp>
      <tp t="s">
        <v>#N/A N/A</v>
        <stp/>
        <stp>BDH|3440977018493719824</stp>
        <tr r="Y32" s="2"/>
      </tp>
      <tp t="s">
        <v>#N/A N/A</v>
        <stp/>
        <stp>BDH|1576792389266991826</stp>
        <tr r="AE80" s="2"/>
      </tp>
      <tp t="s">
        <v>#N/A N/A</v>
        <stp/>
        <stp>BDH|1890487635731224790</stp>
        <tr r="U69" s="2"/>
      </tp>
      <tp t="s">
        <v>#N/A N/A</v>
        <stp/>
        <stp>BDH|1131110851747969273</stp>
        <tr r="P67" s="2"/>
      </tp>
      <tp t="s">
        <v>#N/A N/A</v>
        <stp/>
        <stp>BDH|8348855004600409097</stp>
        <tr r="C27" s="2"/>
      </tp>
      <tp t="s">
        <v>#N/A N/A</v>
        <stp/>
        <stp>BDH|1613007368214664371</stp>
        <tr r="AA49" s="2"/>
      </tp>
      <tp t="s">
        <v>#N/A N/A</v>
        <stp/>
        <stp>BDH|2495339839652049011</stp>
        <tr r="W18" s="2"/>
      </tp>
      <tp t="s">
        <v>#N/A N/A</v>
        <stp/>
        <stp>BDH|8125885028332855062</stp>
        <tr r="AE74" s="2"/>
      </tp>
      <tp t="s">
        <v>#N/A N/A</v>
        <stp/>
        <stp>BDH|7756474601261916247</stp>
        <tr r="N62" s="2"/>
      </tp>
      <tp t="s">
        <v>#N/A N/A</v>
        <stp/>
        <stp>BDH|7344737369017438115</stp>
        <tr r="AA32" s="2"/>
      </tp>
      <tp t="s">
        <v>#N/A N/A</v>
        <stp/>
        <stp>BDH|1634302328952788255</stp>
        <tr r="R60" s="2"/>
      </tp>
      <tp t="s">
        <v>#N/A N/A</v>
        <stp/>
        <stp>BDH|7503152677400203191</stp>
        <tr r="AB47" s="2"/>
      </tp>
      <tp t="s">
        <v>#N/A N/A</v>
        <stp/>
        <stp>BDH|4475156215816178298</stp>
        <tr r="J57" s="2"/>
      </tp>
      <tp t="s">
        <v>#N/A N/A</v>
        <stp/>
        <stp>BDH|1212412225863841427</stp>
        <tr r="R86" s="2"/>
      </tp>
      <tp t="s">
        <v>#N/A N/A</v>
        <stp/>
        <stp>BDH|2463287208771997110</stp>
        <tr r="Z68" s="2"/>
      </tp>
      <tp t="s">
        <v>#N/A N/A</v>
        <stp/>
        <stp>BDH|8902470166302727823</stp>
        <tr r="AD78" s="2"/>
      </tp>
      <tp t="s">
        <v>#N/A N/A</v>
        <stp/>
        <stp>BDH|3972466220492471766</stp>
        <tr r="L7" s="2"/>
      </tp>
      <tp t="s">
        <v>#N/A N/A</v>
        <stp/>
        <stp>BDH|8648004069776122833</stp>
        <tr r="K93" s="2"/>
      </tp>
      <tp t="s">
        <v>#N/A N/A</v>
        <stp/>
        <stp>BDH|5313030212760858475</stp>
        <tr r="J76" s="2"/>
      </tp>
      <tp t="s">
        <v>#N/A N/A</v>
        <stp/>
        <stp>BDH|2157951849347387832</stp>
        <tr r="AB12" s="2"/>
      </tp>
      <tp t="s">
        <v>#N/A N/A</v>
        <stp/>
        <stp>BDH|7860116229415750153</stp>
        <tr r="Z71" s="2"/>
      </tp>
      <tp t="s">
        <v>#N/A N/A</v>
        <stp/>
        <stp>BDH|3652546960126816681</stp>
        <tr r="R73" s="2"/>
      </tp>
      <tp t="s">
        <v>#N/A N/A</v>
        <stp/>
        <stp>BDH|3064530223295311112</stp>
        <tr r="AB53" s="2"/>
      </tp>
      <tp t="s">
        <v>#N/A N/A</v>
        <stp/>
        <stp>BDH|8270809261456020015</stp>
        <tr r="O26" s="2"/>
      </tp>
      <tp t="s">
        <v>#N/A N/A</v>
        <stp/>
        <stp>BDH|9089722833779660457</stp>
        <tr r="F73" s="2"/>
      </tp>
      <tp t="s">
        <v>#N/A N/A</v>
        <stp/>
        <stp>BDH|4927755915435973731</stp>
        <tr r="T63" s="2"/>
      </tp>
      <tp t="s">
        <v>#N/A N/A</v>
        <stp/>
        <stp>BDH|2520220022274543632</stp>
        <tr r="I47" s="2"/>
      </tp>
      <tp t="s">
        <v>#N/A N/A</v>
        <stp/>
        <stp>BDH|3586747514530514537</stp>
        <tr r="W60" s="2"/>
      </tp>
      <tp t="s">
        <v>#N/A N/A</v>
        <stp/>
        <stp>BDH|6024207705762129645</stp>
        <tr r="Y53" s="2"/>
      </tp>
      <tp t="s">
        <v>#N/A N/A</v>
        <stp/>
        <stp>BDH|2328460555746467546</stp>
        <tr r="P34" s="2"/>
      </tp>
      <tp t="s">
        <v>#N/A N/A</v>
        <stp/>
        <stp>BDH|8860032718219486073</stp>
        <tr r="C34" s="2"/>
      </tp>
      <tp t="s">
        <v>#N/A N/A</v>
        <stp/>
        <stp>BDH|5300722501181268329</stp>
        <tr r="Z17" s="2"/>
      </tp>
      <tp t="s">
        <v>#N/A N/A</v>
        <stp/>
        <stp>BDH|9017045294180253033</stp>
        <tr r="J42" s="2"/>
      </tp>
      <tp t="s">
        <v>#N/A N/A</v>
        <stp/>
        <stp>BDH|6497498228083227361</stp>
        <tr r="H80" s="2"/>
      </tp>
      <tp t="s">
        <v>#N/A N/A</v>
        <stp/>
        <stp>BDH|2165112161284913191</stp>
        <tr r="Z64" s="2"/>
      </tp>
      <tp t="s">
        <v>#N/A N/A</v>
        <stp/>
        <stp>BDH|6549494087852951836</stp>
        <tr r="L25" s="2"/>
      </tp>
      <tp t="s">
        <v>#N/A N/A</v>
        <stp/>
        <stp>BDH|4000118271383750164</stp>
        <tr r="N80" s="2"/>
      </tp>
      <tp t="s">
        <v>#N/A N/A</v>
        <stp/>
        <stp>BDH|4108691304196442499</stp>
        <tr r="G86" s="2"/>
      </tp>
      <tp t="s">
        <v>#N/A N/A</v>
        <stp/>
        <stp>BDH|7252482182172187983</stp>
        <tr r="T86" s="2"/>
      </tp>
      <tp t="s">
        <v>#N/A N/A</v>
        <stp/>
        <stp>BDH|3614162277571334459</stp>
        <tr r="S30" s="2"/>
      </tp>
      <tp t="s">
        <v>#N/A N/A</v>
        <stp/>
        <stp>BDH|6725038761035168552</stp>
        <tr r="T42" s="2"/>
      </tp>
      <tp t="s">
        <v>#N/A N/A</v>
        <stp/>
        <stp>BDH|8466554311708130477</stp>
        <tr r="C55" s="2"/>
      </tp>
      <tp t="s">
        <v>#N/A N/A</v>
        <stp/>
        <stp>BDH|7559218204876435323</stp>
        <tr r="Z35" s="2"/>
      </tp>
      <tp t="s">
        <v>#N/A N/A</v>
        <stp/>
        <stp>BDH|7449860696773743553</stp>
        <tr r="N16" s="2"/>
      </tp>
      <tp t="s">
        <v>#N/A N/A</v>
        <stp/>
        <stp>BDH|8573352849358944765</stp>
        <tr r="T41" s="2"/>
      </tp>
      <tp t="s">
        <v>#N/A N/A</v>
        <stp/>
        <stp>BDH|7552356108127834367</stp>
        <tr r="N22" s="2"/>
      </tp>
      <tp t="s">
        <v>#N/A N/A</v>
        <stp/>
        <stp>BDH|6237406862223553734</stp>
        <tr r="R65" s="2"/>
      </tp>
      <tp t="s">
        <v>#N/A N/A</v>
        <stp/>
        <stp>BDH|9878770582706203098</stp>
        <tr r="R7" s="2"/>
      </tp>
      <tp t="s">
        <v>#N/A N/A</v>
        <stp/>
        <stp>BDH|7691429104635513639</stp>
        <tr r="X15" s="2"/>
      </tp>
      <tp t="s">
        <v>#N/A N/A</v>
        <stp/>
        <stp>BDH|2071092455750342798</stp>
        <tr r="E53" s="2"/>
      </tp>
      <tp t="s">
        <v>#N/A N/A</v>
        <stp/>
        <stp>BDH|6284498267475820133</stp>
        <tr r="O57" s="2"/>
      </tp>
      <tp t="s">
        <v>#N/A N/A</v>
        <stp/>
        <stp>BDH|7051746921191335315</stp>
        <tr r="X21" s="2"/>
      </tp>
      <tp t="s">
        <v>#N/A N/A</v>
        <stp/>
        <stp>BDH|7453449450174097270</stp>
        <tr r="AA37" s="2"/>
      </tp>
      <tp t="s">
        <v>#N/A N/A</v>
        <stp/>
        <stp>BDH|9211106232532120964</stp>
        <tr r="N24" s="2"/>
      </tp>
      <tp t="s">
        <v>#N/A N/A</v>
        <stp/>
        <stp>BDH|6312266798144880926</stp>
        <tr r="E57" s="2"/>
      </tp>
      <tp t="s">
        <v>#N/A N/A</v>
        <stp/>
        <stp>BDH|6259119522206336350</stp>
        <tr r="X71" s="2"/>
      </tp>
      <tp t="s">
        <v>#N/A N/A</v>
        <stp/>
        <stp>BDH|6226218205103139704</stp>
        <tr r="AB9" s="2"/>
      </tp>
      <tp t="s">
        <v>#N/A N/A</v>
        <stp/>
        <stp>BDH|6914264258750434170</stp>
        <tr r="F48" s="2"/>
      </tp>
      <tp t="s">
        <v>#N/A N/A</v>
        <stp/>
        <stp>BDH|4440782494769593399</stp>
        <tr r="U31" s="2"/>
      </tp>
      <tp t="s">
        <v>#N/A N/A</v>
        <stp/>
        <stp>BDH|2618403632672256727</stp>
        <tr r="X97" s="2"/>
      </tp>
      <tp t="s">
        <v>#N/A N/A</v>
        <stp/>
        <stp>BDH|8893447139467336825</stp>
        <tr r="X22" s="2"/>
      </tp>
      <tp t="s">
        <v>#N/A N/A</v>
        <stp/>
        <stp>BDH|3194467857171638322</stp>
        <tr r="G35" s="2"/>
      </tp>
      <tp t="s">
        <v>#N/A N/A</v>
        <stp/>
        <stp>BDH|4318910833218139651</stp>
        <tr r="V56" s="2"/>
      </tp>
      <tp t="s">
        <v>#N/A N/A</v>
        <stp/>
        <stp>BDH|5822081906494614154</stp>
        <tr r="P56" s="2"/>
      </tp>
      <tp t="s">
        <v>#N/A N/A</v>
        <stp/>
        <stp>BDH|8459129850398235419</stp>
        <tr r="J54" s="2"/>
      </tp>
      <tp t="s">
        <v>#N/A N/A</v>
        <stp/>
        <stp>BDH|9192928275612791549</stp>
        <tr r="P62" s="2"/>
      </tp>
      <tp t="s">
        <v>#N/A N/A</v>
        <stp/>
        <stp>BDH|7612853286265894280</stp>
        <tr r="AE34" s="2"/>
      </tp>
      <tp t="s">
        <v>#N/A N/A</v>
        <stp/>
        <stp>BDH|5369326831923688638</stp>
        <tr r="D63" s="2"/>
      </tp>
      <tp t="s">
        <v>#N/A N/A</v>
        <stp/>
        <stp>BDH|5864590415997170606</stp>
        <tr r="G99" s="2"/>
      </tp>
      <tp t="s">
        <v>#N/A N/A</v>
        <stp/>
        <stp>BDH|9981950157611543548</stp>
        <tr r="U15" s="2"/>
      </tp>
      <tp t="s">
        <v>#N/A N/A</v>
        <stp/>
        <stp>BDH|9346830969236262018</stp>
        <tr r="U52" s="2"/>
      </tp>
      <tp t="s">
        <v>#N/A N/A</v>
        <stp/>
        <stp>BDH|1119487111865006025</stp>
        <tr r="J51" s="2"/>
      </tp>
      <tp t="s">
        <v>#N/A N/A</v>
        <stp/>
        <stp>BDH|8581206417269062387</stp>
        <tr r="G80" s="2"/>
      </tp>
      <tp t="s">
        <v>#N/A N/A</v>
        <stp/>
        <stp>BDH|6150413371346301289</stp>
        <tr r="L91" s="2"/>
      </tp>
      <tp t="s">
        <v>#N/A N/A</v>
        <stp/>
        <stp>BDH|1269036482900109899</stp>
        <tr r="J52" s="2"/>
      </tp>
      <tp t="s">
        <v>#N/A N/A</v>
        <stp/>
        <stp>BDH|2159804821069275095</stp>
        <tr r="C10" s="2"/>
      </tp>
      <tp t="s">
        <v>#N/A N/A</v>
        <stp/>
        <stp>BDH|3063256899108734100</stp>
        <tr r="N56" s="2"/>
      </tp>
      <tp t="s">
        <v>#N/A N/A</v>
        <stp/>
        <stp>BDH|8884035693512559268</stp>
        <tr r="D24" s="2"/>
      </tp>
      <tp t="s">
        <v>#N/A N/A</v>
        <stp/>
        <stp>BDH|4406296321107496237</stp>
        <tr r="AB77" s="2"/>
      </tp>
      <tp t="s">
        <v>#N/A N/A</v>
        <stp/>
        <stp>BDH|1281697907221632717</stp>
        <tr r="V57" s="2"/>
      </tp>
      <tp t="s">
        <v>#N/A N/A</v>
        <stp/>
        <stp>BDH|7877424111922622159</stp>
        <tr r="Q67" s="2"/>
      </tp>
      <tp t="s">
        <v>#N/A N/A</v>
        <stp/>
        <stp>BDH|9427241489680159205</stp>
        <tr r="F87" s="2"/>
      </tp>
      <tp t="s">
        <v>#N/A N/A</v>
        <stp/>
        <stp>BDH|7152250758961444001</stp>
        <tr r="L96" s="2"/>
      </tp>
      <tp t="s">
        <v>#N/A N/A</v>
        <stp/>
        <stp>BDH|1688778568843707261</stp>
        <tr r="Z41" s="2"/>
      </tp>
      <tp t="s">
        <v>#N/A N/A</v>
        <stp/>
        <stp>BDH|5242627076967601281</stp>
        <tr r="H28" s="2"/>
      </tp>
      <tp t="s">
        <v>#N/A N/A</v>
        <stp/>
        <stp>BDH|2527998047237149921</stp>
        <tr r="I15" s="2"/>
      </tp>
      <tp t="s">
        <v>#N/A N/A</v>
        <stp/>
        <stp>BDH|6925403860624561151</stp>
        <tr r="F29" s="2"/>
      </tp>
      <tp t="s">
        <v>#N/A N/A</v>
        <stp/>
        <stp>BDH|1187452549133098340</stp>
        <tr r="E75" s="2"/>
      </tp>
      <tp t="s">
        <v>#N/A N/A</v>
        <stp/>
        <stp>BDH|6996281214551591591</stp>
        <tr r="Y90" s="2"/>
      </tp>
      <tp t="s">
        <v>#N/A N/A</v>
        <stp/>
        <stp>BDH|9606182734338553261</stp>
        <tr r="E88" s="2"/>
      </tp>
      <tp t="s">
        <v>#N/A N/A</v>
        <stp/>
        <stp>BDH|3564634063624814643</stp>
        <tr r="Q68" s="2"/>
      </tp>
      <tp t="s">
        <v>#N/A N/A</v>
        <stp/>
        <stp>BDH|7393964580705947255</stp>
        <tr r="U40" s="2"/>
      </tp>
      <tp t="s">
        <v>#N/A N/A</v>
        <stp/>
        <stp>BDH|4746500306414158498</stp>
        <tr r="M7" s="2"/>
      </tp>
      <tp t="s">
        <v>#N/A N/A</v>
        <stp/>
        <stp>BDH|1319595639386969041</stp>
        <tr r="R62" s="2"/>
      </tp>
      <tp t="s">
        <v>#N/A N/A</v>
        <stp/>
        <stp>BDH|4313961909905799952</stp>
        <tr r="K65" s="2"/>
      </tp>
      <tp t="s">
        <v>#N/A N/A</v>
        <stp/>
        <stp>BDH|4229576905460903074</stp>
        <tr r="E72" s="2"/>
      </tp>
      <tp t="s">
        <v>#N/A N/A</v>
        <stp/>
        <stp>BDH|4363656133153261391</stp>
        <tr r="X37" s="2"/>
      </tp>
      <tp t="s">
        <v>#N/A N/A</v>
        <stp/>
        <stp>BDH|7261203800785963152</stp>
        <tr r="AB66" s="2"/>
      </tp>
      <tp t="s">
        <v>#N/A N/A</v>
        <stp/>
        <stp>BDH|4989992097621136487</stp>
        <tr r="O49" s="2"/>
      </tp>
      <tp t="s">
        <v>#N/A N/A</v>
        <stp/>
        <stp>BDH|6918816891142123469</stp>
        <tr r="C54" s="2"/>
      </tp>
      <tp t="s">
        <v>#N/A N/A</v>
        <stp/>
        <stp>BDH|2638101539370043107</stp>
        <tr r="W77" s="2"/>
      </tp>
      <tp t="s">
        <v>#N/A N/A</v>
        <stp/>
        <stp>BDH|4257076532490994617</stp>
        <tr r="M87" s="2"/>
      </tp>
      <tp t="s">
        <v>#N/A N/A</v>
        <stp/>
        <stp>BDH|9833808615731767052</stp>
        <tr r="Z82" s="2"/>
      </tp>
      <tp t="s">
        <v>#N/A N/A</v>
        <stp/>
        <stp>BDH|2179608638865289374</stp>
        <tr r="H55" s="2"/>
      </tp>
      <tp t="s">
        <v>#N/A N/A</v>
        <stp/>
        <stp>BDH|5412668060894885062</stp>
        <tr r="G49" s="2"/>
      </tp>
      <tp t="s">
        <v>#N/A N/A</v>
        <stp/>
        <stp>BDH|6448307748258198809</stp>
        <tr r="AA29" s="2"/>
      </tp>
      <tp t="s">
        <v>#N/A N/A</v>
        <stp/>
        <stp>BDH|6141341159326600776</stp>
        <tr r="J94" s="2"/>
      </tp>
      <tp t="s">
        <v>#N/A N/A</v>
        <stp/>
        <stp>BDH|1822329816970274235</stp>
        <tr r="W54" s="2"/>
      </tp>
      <tp t="s">
        <v>#N/A N/A</v>
        <stp/>
        <stp>BDH|1192300532214631484</stp>
        <tr r="X32" s="2"/>
      </tp>
      <tp t="s">
        <v>#N/A N/A</v>
        <stp/>
        <stp>BDH|7955245766711188373</stp>
        <tr r="J26" s="2"/>
      </tp>
      <tp t="s">
        <v>#N/A N/A</v>
        <stp/>
        <stp>BDH|3988705778573859143</stp>
        <tr r="C81" s="2"/>
      </tp>
      <tp t="s">
        <v>#N/A N/A</v>
        <stp/>
        <stp>BDH|5496173159808975814</stp>
        <tr r="K34" s="2"/>
      </tp>
      <tp t="s">
        <v>#N/A N/A</v>
        <stp/>
        <stp>BDH|5664852414258412515</stp>
        <tr r="Q51" s="2"/>
      </tp>
      <tp t="s">
        <v>#N/A N/A</v>
        <stp/>
        <stp>BDH|7476171233533433764</stp>
        <tr r="I94" s="2"/>
      </tp>
      <tp t="s">
        <v>#N/A N/A</v>
        <stp/>
        <stp>BDH|5595796734023269385</stp>
        <tr r="X45" s="2"/>
      </tp>
      <tp t="s">
        <v>#N/A N/A</v>
        <stp/>
        <stp>BDH|8101249856627267936</stp>
        <tr r="H20" s="2"/>
      </tp>
      <tp t="s">
        <v>#N/A N/A</v>
        <stp/>
        <stp>BDH|3173955365079513472</stp>
        <tr r="AC46" s="2"/>
      </tp>
      <tp t="s">
        <v>#N/A N/A</v>
        <stp/>
        <stp>BDH|3530839766195138928</stp>
        <tr r="M92" s="2"/>
      </tp>
      <tp t="s">
        <v>#N/A N/A</v>
        <stp/>
        <stp>BDH|3410180189812423929</stp>
        <tr r="C78" s="2"/>
      </tp>
      <tp t="s">
        <v>#N/A N/A</v>
        <stp/>
        <stp>BDH|4235780759482193518</stp>
        <tr r="AB30" s="2"/>
      </tp>
      <tp t="s">
        <v>#N/A N/A</v>
        <stp/>
        <stp>BDH|4953483152443495743</stp>
        <tr r="D50" s="2"/>
      </tp>
      <tp t="s">
        <v>#N/A N/A</v>
        <stp/>
        <stp>BDH|7085167278605430597</stp>
        <tr r="D47" s="2"/>
      </tp>
      <tp t="s">
        <v>#N/A N/A</v>
        <stp/>
        <stp>BDH|9070032197754086577</stp>
        <tr r="C92" s="2"/>
      </tp>
      <tp t="s">
        <v>#N/A N/A</v>
        <stp/>
        <stp>BDH|3403835390942239163</stp>
        <tr r="C24" s="2"/>
      </tp>
      <tp t="s">
        <v>#N/A N/A</v>
        <stp/>
        <stp>BDH|5474149974131464337</stp>
        <tr r="N86" s="2"/>
      </tp>
      <tp t="s">
        <v>#N/A N/A</v>
        <stp/>
        <stp>BDH|7057455315675939690</stp>
        <tr r="Y72" s="2"/>
      </tp>
      <tp t="s">
        <v>#N/A N/A</v>
        <stp/>
        <stp>BDH|7895938869120621946</stp>
        <tr r="G68" s="2"/>
      </tp>
      <tp t="s">
        <v>#N/A N/A</v>
        <stp/>
        <stp>BDH|1521245347451398757</stp>
        <tr r="AC31" s="2"/>
      </tp>
      <tp t="s">
        <v>#N/A N/A</v>
        <stp/>
        <stp>BDH|9783125745934898980</stp>
        <tr r="Z11" s="2"/>
      </tp>
      <tp t="s">
        <v>#N/A N/A</v>
        <stp/>
        <stp>BDH|5518640860847527345</stp>
        <tr r="X58" s="2"/>
      </tp>
      <tp t="s">
        <v>#N/A N/A</v>
        <stp/>
        <stp>BDH|3199844634819644063</stp>
        <tr r="R51" s="2"/>
      </tp>
      <tp t="s">
        <v>#N/A N/A</v>
        <stp/>
        <stp>BDH|5018222849585975734</stp>
        <tr r="R61" s="2"/>
      </tp>
      <tp t="s">
        <v>#N/A N/A</v>
        <stp/>
        <stp>BDH|3317741281865384846</stp>
        <tr r="AB71" s="2"/>
      </tp>
      <tp t="s">
        <v>#N/A N/A</v>
        <stp/>
        <stp>BDH|9887585024476541907</stp>
        <tr r="K79" s="2"/>
      </tp>
      <tp t="s">
        <v>#N/A N/A</v>
        <stp/>
        <stp>BDH|6385254750550369043</stp>
        <tr r="H99" s="2"/>
      </tp>
      <tp t="s">
        <v>#N/A N/A</v>
        <stp/>
        <stp>BDH|5771316719892812419</stp>
        <tr r="G82" s="2"/>
      </tp>
      <tp t="s">
        <v>#N/A N/A</v>
        <stp/>
        <stp>BDH|3513564468409832851</stp>
        <tr r="G64" s="2"/>
      </tp>
      <tp t="s">
        <v>#N/A N/A</v>
        <stp/>
        <stp>BDH|1813657818357453073</stp>
        <tr r="S77" s="2"/>
      </tp>
      <tp t="s">
        <v>#N/A N/A</v>
        <stp/>
        <stp>BDH|2637472132526305266</stp>
        <tr r="R40" s="2"/>
      </tp>
      <tp t="s">
        <v>#N/A N/A</v>
        <stp/>
        <stp>BDH|1997508239016471023</stp>
        <tr r="G7" s="2"/>
      </tp>
      <tp t="s">
        <v>#N/A N/A</v>
        <stp/>
        <stp>BDH|6864477635218496882</stp>
        <tr r="F31" s="2"/>
      </tp>
      <tp t="s">
        <v>#N/A N/A</v>
        <stp/>
        <stp>BDH|4530486129817333415</stp>
        <tr r="AF59" s="2"/>
      </tp>
      <tp t="s">
        <v>#N/A N/A</v>
        <stp/>
        <stp>BDH|6328127556982361124</stp>
        <tr r="I67" s="2"/>
      </tp>
      <tp t="s">
        <v>#N/A N/A</v>
        <stp/>
        <stp>BDH|5925688543891666737</stp>
        <tr r="Q78" s="2"/>
      </tp>
      <tp t="s">
        <v>#N/A N/A</v>
        <stp/>
        <stp>BDH|5977532262015749283</stp>
        <tr r="G97" s="2"/>
      </tp>
      <tp t="s">
        <v>#N/A N/A</v>
        <stp/>
        <stp>BDH|9048751984931774616</stp>
        <tr r="O77" s="2"/>
      </tp>
      <tp t="s">
        <v>#N/A N/A</v>
        <stp/>
        <stp>BDH|2089622967416708553</stp>
        <tr r="G34" s="2"/>
      </tp>
      <tp t="s">
        <v>#N/A N/A</v>
        <stp/>
        <stp>BDH|3729879124020763840</stp>
        <tr r="W52" s="2"/>
      </tp>
      <tp t="s">
        <v>#N/A N/A</v>
        <stp/>
        <stp>BDH|2116800720090164978</stp>
        <tr r="Y91" s="2"/>
      </tp>
      <tp t="s">
        <v>#N/A N/A</v>
        <stp/>
        <stp>BDH|3141553257482316043</stp>
        <tr r="E47" s="2"/>
      </tp>
      <tp t="s">
        <v>#N/A N/A</v>
        <stp/>
        <stp>BDH|7670605071233383402</stp>
        <tr r="AA69" s="2"/>
      </tp>
      <tp t="s">
        <v>#N/A N/A</v>
        <stp/>
        <stp>BDH|2693091324760730180</stp>
        <tr r="J67" s="2"/>
      </tp>
      <tp t="s">
        <v>#N/A N/A</v>
        <stp/>
        <stp>BDH|3814320939537674502</stp>
        <tr r="G87" s="2"/>
      </tp>
      <tp t="s">
        <v>#N/A N/A</v>
        <stp/>
        <stp>BDH|6091405714324310624</stp>
        <tr r="F47" s="2"/>
      </tp>
      <tp t="s">
        <v>#N/A N/A</v>
        <stp/>
        <stp>BDH|3281383738000026273</stp>
        <tr r="AC95" s="2"/>
      </tp>
      <tp t="s">
        <v>#N/A N/A</v>
        <stp/>
        <stp>BDH|2768043040521037669</stp>
        <tr r="O58" s="2"/>
      </tp>
      <tp t="s">
        <v>#N/A N/A</v>
        <stp/>
        <stp>BDH|3372119563162103752</stp>
        <tr r="AC17" s="2"/>
      </tp>
      <tp t="s">
        <v>#N/A N/A</v>
        <stp/>
        <stp>BDH|6940686505830142102</stp>
        <tr r="Z91" s="2"/>
      </tp>
      <tp t="s">
        <v>#N/A N/A</v>
        <stp/>
        <stp>BDH|95258428018212480</stp>
        <tr r="W88" s="2"/>
      </tp>
      <tp t="s">
        <v>#N/A N/A</v>
        <stp/>
        <stp>BDH|70888591165766859</stp>
        <tr r="J82" s="2"/>
      </tp>
      <tp t="s">
        <v>#N/A N/A</v>
        <stp/>
        <stp>BDH|3828327167690357441</stp>
        <tr r="G8" s="2"/>
      </tp>
      <tp t="s">
        <v>#N/A N/A</v>
        <stp/>
        <stp>BDH|5140647325397998433</stp>
        <tr r="T69" s="2"/>
      </tp>
      <tp t="s">
        <v>#N/A N/A</v>
        <stp/>
        <stp>BDH|2936708834652105667</stp>
        <tr r="AC45" s="2"/>
      </tp>
      <tp t="s">
        <v>#N/A N/A</v>
        <stp/>
        <stp>BDH|2473181767975565244</stp>
        <tr r="M97" s="2"/>
      </tp>
      <tp t="s">
        <v>#N/A N/A</v>
        <stp/>
        <stp>BDH|4703395707956177326</stp>
        <tr r="E96" s="2"/>
      </tp>
      <tp t="s">
        <v>#N/A N/A</v>
        <stp/>
        <stp>BDH|5631904804216116885</stp>
        <tr r="AD42" s="2"/>
      </tp>
      <tp t="s">
        <v>#N/A N/A</v>
        <stp/>
        <stp>BDH|5250009198688598641</stp>
        <tr r="L68" s="2"/>
      </tp>
      <tp t="s">
        <v>#N/A N/A</v>
        <stp/>
        <stp>BDH|8888457930518208545</stp>
        <tr r="D22" s="2"/>
      </tp>
      <tp t="s">
        <v>#N/A N/A</v>
        <stp/>
        <stp>BDH|8904283889935484540</stp>
        <tr r="AD20" s="2"/>
      </tp>
      <tp t="s">
        <v>#N/A N/A</v>
        <stp/>
        <stp>BDH|1260545774041940030</stp>
        <tr r="S54" s="2"/>
      </tp>
      <tp t="s">
        <v>#N/A N/A</v>
        <stp/>
        <stp>BDH|6522353801527850002</stp>
        <tr r="K32" s="2"/>
      </tp>
      <tp t="s">
        <v>#N/A N/A</v>
        <stp/>
        <stp>BDH|8225953329270458135</stp>
        <tr r="AA23" s="2"/>
      </tp>
      <tp t="s">
        <v>#N/A N/A</v>
        <stp/>
        <stp>BDH|2008750632401938572</stp>
        <tr r="Y67" s="2"/>
      </tp>
      <tp t="s">
        <v>#N/A N/A</v>
        <stp/>
        <stp>BDH|7512476075917838168</stp>
        <tr r="G28" s="2"/>
      </tp>
      <tp t="s">
        <v>#N/A N/A</v>
        <stp/>
        <stp>BDH|1711882754278602645</stp>
        <tr r="H70" s="2"/>
      </tp>
      <tp t="s">
        <v>#N/A N/A</v>
        <stp/>
        <stp>BDH|8732646686670885443</stp>
        <tr r="AF45" s="2"/>
      </tp>
      <tp t="s">
        <v>#N/A N/A</v>
        <stp/>
        <stp>BDH|7668739554186890108</stp>
        <tr r="R75" s="2"/>
      </tp>
      <tp t="s">
        <v>#N/A N/A</v>
        <stp/>
        <stp>BDH|4827614633454212760</stp>
        <tr r="AD30" s="2"/>
      </tp>
      <tp t="s">
        <v>#N/A N/A</v>
        <stp/>
        <stp>BDH|6971195750820898066</stp>
        <tr r="N92" s="2"/>
      </tp>
      <tp t="s">
        <v>#N/A N/A</v>
        <stp/>
        <stp>BDH|5388417322010633181</stp>
        <tr r="S67" s="2"/>
      </tp>
      <tp t="s">
        <v>#N/A N/A</v>
        <stp/>
        <stp>BDH|7586132318624339133</stp>
        <tr r="K17" s="2"/>
      </tp>
      <tp t="s">
        <v>#N/A N/A</v>
        <stp/>
        <stp>BDH|3343485674547835584</stp>
        <tr r="K53" s="2"/>
      </tp>
      <tp t="s">
        <v>#N/A N/A</v>
        <stp/>
        <stp>BDH|7832497238330464223</stp>
        <tr r="AF27" s="2"/>
      </tp>
      <tp t="s">
        <v>#N/A N/A</v>
        <stp/>
        <stp>BDH|3363393765882094606</stp>
        <tr r="AD8" s="2"/>
      </tp>
      <tp t="s">
        <v>#N/A N/A</v>
        <stp/>
        <stp>BDH|9865609253660643828</stp>
        <tr r="AF46" s="2"/>
      </tp>
      <tp t="s">
        <v>#N/A N/A</v>
        <stp/>
        <stp>BDH|6042961100468018595</stp>
        <tr r="AB93" s="2"/>
      </tp>
      <tp t="s">
        <v>#N/A N/A</v>
        <stp/>
        <stp>BDH|4661422674387703281</stp>
        <tr r="N19" s="2"/>
      </tp>
      <tp t="s">
        <v>#N/A N/A</v>
        <stp/>
        <stp>BDH|5382972960030963825</stp>
        <tr r="Z32" s="2"/>
      </tp>
      <tp t="s">
        <v>#N/A N/A</v>
        <stp/>
        <stp>BDH|7423690845794797307</stp>
        <tr r="N98" s="2"/>
      </tp>
      <tp t="s">
        <v>#N/A N/A</v>
        <stp/>
        <stp>BDH|4092955516877925965</stp>
        <tr r="E81" s="2"/>
      </tp>
      <tp t="s">
        <v>#N/A N/A</v>
        <stp/>
        <stp>BDH|4937292230351832643</stp>
        <tr r="Y41" s="2"/>
      </tp>
      <tp t="s">
        <v>#N/A N/A</v>
        <stp/>
        <stp>BDH|2669138045134984152</stp>
        <tr r="Q72" s="2"/>
      </tp>
      <tp t="s">
        <v>#N/A N/A</v>
        <stp/>
        <stp>BDH|2383460428777544142</stp>
        <tr r="AA28" s="2"/>
      </tp>
      <tp t="s">
        <v>#N/A N/A</v>
        <stp/>
        <stp>BDH|2427484247320320048</stp>
        <tr r="O56" s="2"/>
      </tp>
      <tp t="s">
        <v>#N/A N/A</v>
        <stp/>
        <stp>BDH|8611246637833085887</stp>
        <tr r="AC52" s="2"/>
      </tp>
      <tp t="s">
        <v>#N/A N/A</v>
        <stp/>
        <stp>BDH|8795378820128843354</stp>
        <tr r="V81" s="2"/>
      </tp>
      <tp t="s">
        <v>#N/A N/A</v>
        <stp/>
        <stp>BDH|1605285512661158106</stp>
        <tr r="AC99" s="2"/>
      </tp>
      <tp t="s">
        <v>#N/A N/A</v>
        <stp/>
        <stp>BDH|9138787194883999695</stp>
        <tr r="Y79" s="2"/>
      </tp>
      <tp t="s">
        <v>#N/A N/A</v>
        <stp/>
        <stp>BDH|1229138748260253668</stp>
        <tr r="P46" s="2"/>
      </tp>
      <tp t="s">
        <v>#N/A N/A</v>
        <stp/>
        <stp>BDH|7574374309674190274</stp>
        <tr r="L12" s="2"/>
      </tp>
      <tp t="s">
        <v>#N/A N/A</v>
        <stp/>
        <stp>BDH|7994609861665258083</stp>
        <tr r="Q79" s="2"/>
      </tp>
      <tp t="s">
        <v>#N/A N/A</v>
        <stp/>
        <stp>BDH|4774598947433813438</stp>
        <tr r="E54" s="2"/>
      </tp>
      <tp t="s">
        <v>#N/A N/A</v>
        <stp/>
        <stp>BDH|2127745738334783086</stp>
        <tr r="H32" s="2"/>
      </tp>
      <tp t="s">
        <v>#N/A N/A</v>
        <stp/>
        <stp>BDH|2999447663781926354</stp>
        <tr r="V92" s="2"/>
      </tp>
      <tp t="s">
        <v>#N/A N/A</v>
        <stp/>
        <stp>BDH|5591320570932047147</stp>
        <tr r="C58" s="2"/>
      </tp>
      <tp t="s">
        <v>#N/A N/A</v>
        <stp/>
        <stp>BDH|7825003739613636542</stp>
        <tr r="T53" s="2"/>
      </tp>
      <tp t="s">
        <v>#N/A N/A</v>
        <stp/>
        <stp>BDH|3324800006069258041</stp>
        <tr r="AA21" s="2"/>
      </tp>
      <tp t="s">
        <v>#N/A N/A</v>
        <stp/>
        <stp>BDH|3153354443935732334</stp>
        <tr r="W34" s="2"/>
      </tp>
      <tp t="s">
        <v>#N/A N/A</v>
        <stp/>
        <stp>BDH|4706910550452754815</stp>
        <tr r="S27" s="2"/>
      </tp>
      <tp t="s">
        <v>#N/A N/A</v>
        <stp/>
        <stp>BDH|8140774815638675459</stp>
        <tr r="AD75" s="2"/>
      </tp>
      <tp t="s">
        <v>#N/A N/A</v>
        <stp/>
        <stp>BDH|7238228294158775635</stp>
        <tr r="AF54" s="2"/>
      </tp>
      <tp t="s">
        <v>#N/A N/A</v>
        <stp/>
        <stp>BDH|3329419894779317556</stp>
        <tr r="C89" s="2"/>
      </tp>
      <tp t="s">
        <v>#N/A N/A</v>
        <stp/>
        <stp>BDH|1310368400879653939</stp>
        <tr r="T96" s="2"/>
      </tp>
      <tp t="s">
        <v>#N/A N/A</v>
        <stp/>
        <stp>BDH|7734624424531105013</stp>
        <tr r="C11" s="2"/>
      </tp>
      <tp t="s">
        <v>#N/A N/A</v>
        <stp/>
        <stp>BDH|4171034878748911924</stp>
        <tr r="G22" s="2"/>
      </tp>
      <tp t="s">
        <v>#N/A N/A</v>
        <stp/>
        <stp>BDH|2270154951124740007</stp>
        <tr r="T44" s="2"/>
      </tp>
      <tp t="s">
        <v>#N/A N/A</v>
        <stp/>
        <stp>BDH|1592774145224792415</stp>
        <tr r="Y54" s="2"/>
      </tp>
      <tp t="s">
        <v>#N/A N/A</v>
        <stp/>
        <stp>BDH|7689090434795304393</stp>
        <tr r="V94" s="2"/>
      </tp>
      <tp t="s">
        <v>#N/A N/A</v>
        <stp/>
        <stp>BDH|1023508554852186144</stp>
        <tr r="X94" s="2"/>
      </tp>
      <tp t="s">
        <v>#N/A N/A</v>
        <stp/>
        <stp>BDH|7226310952647538459</stp>
        <tr r="AD53" s="2"/>
      </tp>
      <tp t="s">
        <v>#N/A N/A</v>
        <stp/>
        <stp>BDH|7223999463898834262</stp>
        <tr r="W32" s="2"/>
      </tp>
      <tp t="s">
        <v>#N/A N/A</v>
        <stp/>
        <stp>BDH|7681219376748370847</stp>
        <tr r="M55" s="2"/>
      </tp>
      <tp t="s">
        <v>#N/A N/A</v>
        <stp/>
        <stp>BDH|3591117172351176609</stp>
        <tr r="T71" s="2"/>
      </tp>
      <tp t="s">
        <v>#N/A N/A</v>
        <stp/>
        <stp>BDH|2152958417968772036</stp>
        <tr r="Q37" s="2"/>
      </tp>
      <tp t="s">
        <v>#N/A N/A</v>
        <stp/>
        <stp>BDH|5514623540367804287</stp>
        <tr r="W79" s="2"/>
      </tp>
      <tp t="s">
        <v>#N/A N/A</v>
        <stp/>
        <stp>BDH|7448703890202395904</stp>
        <tr r="Z36" s="2"/>
      </tp>
      <tp t="s">
        <v>#N/A N/A</v>
        <stp/>
        <stp>BDH|1754073783088216368</stp>
        <tr r="AC44" s="2"/>
      </tp>
      <tp t="s">
        <v>#N/A N/A</v>
        <stp/>
        <stp>BDH|1549381318651931080</stp>
        <tr r="Z92" s="2"/>
      </tp>
      <tp t="s">
        <v>#N/A N/A</v>
        <stp/>
        <stp>BDH|2316443181285750957</stp>
        <tr r="I58" s="2"/>
      </tp>
      <tp t="s">
        <v>#N/A N/A</v>
        <stp/>
        <stp>BDH|5562629024073653010</stp>
        <tr r="AE13" s="2"/>
      </tp>
      <tp t="s">
        <v>#N/A N/A</v>
        <stp/>
        <stp>BDH|8238692930118645798</stp>
        <tr r="Z15" s="2"/>
      </tp>
      <tp t="s">
        <v>#N/A N/A</v>
        <stp/>
        <stp>BDH|5718174846783623151</stp>
        <tr r="AC61" s="2"/>
      </tp>
      <tp t="s">
        <v>#N/A N/A</v>
        <stp/>
        <stp>BDH|1402101430868593943</stp>
        <tr r="H57" s="2"/>
      </tp>
      <tp t="s">
        <v>#N/A N/A</v>
        <stp/>
        <stp>BDH|4322529370066078248</stp>
        <tr r="G12" s="2"/>
      </tp>
      <tp t="s">
        <v>#N/A N/A</v>
        <stp/>
        <stp>BDH|5005743767165457321</stp>
        <tr r="AC91" s="2"/>
      </tp>
      <tp t="s">
        <v>#N/A N/A</v>
        <stp/>
        <stp>BDH|7615466116139394909</stp>
        <tr r="AD45" s="2"/>
      </tp>
      <tp t="s">
        <v>#N/A N/A</v>
        <stp/>
        <stp>BDH|7694951955141058834</stp>
        <tr r="C29" s="2"/>
      </tp>
      <tp t="s">
        <v>#N/A N/A</v>
        <stp/>
        <stp>BDH|5424056873730089077</stp>
        <tr r="AE23" s="2"/>
      </tp>
      <tp t="s">
        <v>#N/A N/A</v>
        <stp/>
        <stp>BDH|97371485505267175</stp>
        <tr r="AB15" s="2"/>
      </tp>
      <tp t="s">
        <v>#N/A N/A</v>
        <stp/>
        <stp>BDH|99691440138483567</stp>
        <tr r="H27" s="2"/>
      </tp>
      <tp t="s">
        <v>#N/A N/A</v>
        <stp/>
        <stp>BDH|5649061807410448694</stp>
        <tr r="AE99" s="2"/>
      </tp>
      <tp t="s">
        <v>#N/A N/A</v>
        <stp/>
        <stp>BDH|2304794695239719627</stp>
        <tr r="J87" s="2"/>
      </tp>
      <tp t="s">
        <v>#N/A N/A</v>
        <stp/>
        <stp>BDH|5876691677020962753</stp>
        <tr r="AE30" s="2"/>
      </tp>
      <tp t="s">
        <v>#N/A N/A</v>
        <stp/>
        <stp>BDH|2059015514285639592</stp>
        <tr r="V96" s="2"/>
      </tp>
      <tp t="s">
        <v>#N/A N/A</v>
        <stp/>
        <stp>BDH|1320698837855700207</stp>
        <tr r="AD40" s="2"/>
      </tp>
      <tp t="s">
        <v>#N/A N/A</v>
        <stp/>
        <stp>BDH|6350746902740713280</stp>
        <tr r="J35" s="2"/>
      </tp>
      <tp t="s">
        <v>#N/A N/A</v>
        <stp/>
        <stp>BDH|3798513848087778636</stp>
        <tr r="Q74" s="2"/>
      </tp>
      <tp t="s">
        <v>#N/A N/A</v>
        <stp/>
        <stp>BDH|4152115504760980675</stp>
        <tr r="X44" s="2"/>
      </tp>
      <tp t="s">
        <v>#N/A N/A</v>
        <stp/>
        <stp>BDH|5371162970700852064</stp>
        <tr r="C67" s="2"/>
      </tp>
      <tp t="s">
        <v>#N/A N/A</v>
        <stp/>
        <stp>BDH|3934222822432549275</stp>
        <tr r="N23" s="2"/>
      </tp>
      <tp t="s">
        <v>#N/A N/A</v>
        <stp/>
        <stp>BDH|5765136199397242943</stp>
        <tr r="P70" s="2"/>
      </tp>
      <tp t="s">
        <v>#N/A N/A</v>
        <stp/>
        <stp>BDH|1255484831223334636</stp>
        <tr r="J48" s="2"/>
      </tp>
      <tp t="s">
        <v>#N/A N/A</v>
        <stp/>
        <stp>BDH|4306282390285293920</stp>
        <tr r="C49" s="2"/>
      </tp>
      <tp t="s">
        <v>#N/A N/A</v>
        <stp/>
        <stp>BDH|9583265784673960355</stp>
        <tr r="AC22" s="2"/>
      </tp>
      <tp t="s">
        <v>#N/A N/A</v>
        <stp/>
        <stp>BDH|7578587875303485576</stp>
        <tr r="AB28" s="2"/>
      </tp>
      <tp t="s">
        <v>#N/A N/A</v>
        <stp/>
        <stp>BDH|3216971494891916108</stp>
        <tr r="G52" s="2"/>
      </tp>
      <tp t="s">
        <v>#N/A N/A</v>
        <stp/>
        <stp>BDH|4698560153866239199</stp>
        <tr r="AE29" s="2"/>
      </tp>
      <tp t="s">
        <v>#N/A N/A</v>
        <stp/>
        <stp>BDH|8945976070167142266</stp>
        <tr r="N33" s="2"/>
      </tp>
      <tp t="s">
        <v>#N/A N/A</v>
        <stp/>
        <stp>BDH|9579986572267853394</stp>
        <tr r="S82" s="2"/>
      </tp>
      <tp t="s">
        <v>#N/A N/A</v>
        <stp/>
        <stp>BDH|3528138902982907339</stp>
        <tr r="S79" s="2"/>
      </tp>
      <tp t="s">
        <v>#N/A N/A</v>
        <stp/>
        <stp>BDH|6051711944842391489</stp>
        <tr r="AE54" s="2"/>
      </tp>
      <tp t="s">
        <v>#N/A N/A</v>
        <stp/>
        <stp>BDH|2954065846807529225</stp>
        <tr r="N91" s="2"/>
      </tp>
      <tp t="s">
        <v>#N/A N/A</v>
        <stp/>
        <stp>BDH|7411135525525930245</stp>
        <tr r="Y59" s="2"/>
      </tp>
      <tp t="s">
        <v>#N/A N/A</v>
        <stp/>
        <stp>BDH|6202690233644297458</stp>
        <tr r="M44" s="2"/>
      </tp>
      <tp t="s">
        <v>#N/A N/A</v>
        <stp/>
        <stp>BDH|8693999730870790176</stp>
        <tr r="K36" s="2"/>
      </tp>
      <tp t="s">
        <v>#N/A N/A</v>
        <stp/>
        <stp>BDH|4960991093005964257</stp>
        <tr r="AD70" s="2"/>
      </tp>
      <tp t="s">
        <v>#N/A N/A</v>
        <stp/>
        <stp>BDH|5413562509793293064</stp>
        <tr r="AF51" s="2"/>
      </tp>
      <tp t="s">
        <v>#N/A N/A</v>
        <stp/>
        <stp>BDH|2258565729081485763</stp>
        <tr r="AE33" s="2"/>
      </tp>
      <tp t="s">
        <v>#N/A N/A</v>
        <stp/>
        <stp>BDH|7465998943440263936</stp>
        <tr r="AC73" s="2"/>
      </tp>
      <tp t="s">
        <v>#N/A N/A</v>
        <stp/>
        <stp>BDH|4963827483261673618</stp>
        <tr r="AB78" s="2"/>
      </tp>
      <tp t="s">
        <v>#N/A N/A</v>
        <stp/>
        <stp>BDH|5659061434155949010</stp>
        <tr r="F74" s="2"/>
      </tp>
      <tp t="s">
        <v>#N/A N/A</v>
        <stp/>
        <stp>BDH|5755976797836832039</stp>
        <tr r="H73" s="2"/>
      </tp>
      <tp t="s">
        <v>#N/A N/A</v>
        <stp/>
        <stp>BDH|4815126303042578403</stp>
        <tr r="R96" s="2"/>
      </tp>
      <tp t="s">
        <v>#N/A N/A</v>
        <stp/>
        <stp>BDH|1872123353945445310</stp>
        <tr r="I23" s="2"/>
      </tp>
      <tp t="s">
        <v>#N/A N/A</v>
        <stp/>
        <stp>BDH|2186217207823857029</stp>
        <tr r="Z26" s="2"/>
      </tp>
      <tp t="s">
        <v>#N/A N/A</v>
        <stp/>
        <stp>BDH|5653166468199598807</stp>
        <tr r="I21" s="2"/>
      </tp>
      <tp t="s">
        <v>#N/A N/A</v>
        <stp/>
        <stp>BDH|8766498763709537055</stp>
        <tr r="C47" s="2"/>
      </tp>
      <tp t="s">
        <v>#N/A N/A</v>
        <stp/>
        <stp>BDH|9821808940906262081</stp>
        <tr r="F27" s="2"/>
      </tp>
      <tp t="s">
        <v>#N/A N/A</v>
        <stp/>
        <stp>BDH|2438479934161553709</stp>
        <tr r="P60" s="2"/>
      </tp>
      <tp t="s">
        <v>#N/A N/A</v>
        <stp/>
        <stp>BDH|1739967193254569659</stp>
        <tr r="AF97" s="2"/>
      </tp>
      <tp t="s">
        <v>#N/A N/A</v>
        <stp/>
        <stp>BDH|7586431924482951091</stp>
        <tr r="C60" s="2"/>
      </tp>
      <tp t="s">
        <v>#N/A N/A</v>
        <stp/>
        <stp>BDH|3917248038107253651</stp>
        <tr r="N18" s="2"/>
      </tp>
      <tp t="s">
        <v>#N/A N/A</v>
        <stp/>
        <stp>BDH|3776944666356247958</stp>
        <tr r="AB32" s="2"/>
      </tp>
      <tp t="s">
        <v>#N/A N/A</v>
        <stp/>
        <stp>BDH|9593828063687299341</stp>
        <tr r="U76" s="2"/>
      </tp>
      <tp t="s">
        <v>#N/A N/A</v>
        <stp/>
        <stp>BDH|7919197757503041346</stp>
        <tr r="AF41" s="2"/>
      </tp>
      <tp t="s">
        <v>#N/A N/A</v>
        <stp/>
        <stp>BDH|5212617538556108592</stp>
        <tr r="AA60" s="2"/>
      </tp>
      <tp t="s">
        <v>#N/A N/A</v>
        <stp/>
        <stp>BDH|7234438621985584762</stp>
        <tr r="W10" s="2"/>
      </tp>
      <tp t="s">
        <v>#N/A N/A</v>
        <stp/>
        <stp>BDH|8666037861849506423</stp>
        <tr r="AC11" s="2"/>
      </tp>
      <tp t="s">
        <v>#N/A N/A</v>
        <stp/>
        <stp>BDH|2329027330331183333</stp>
        <tr r="N89" s="2"/>
      </tp>
      <tp t="s">
        <v>#N/A N/A</v>
        <stp/>
        <stp>BDH|5987184777627780713</stp>
        <tr r="S60" s="2"/>
      </tp>
      <tp t="s">
        <v>#N/A N/A</v>
        <stp/>
        <stp>BDH|8052770793684235161</stp>
        <tr r="Y34" s="2"/>
      </tp>
      <tp t="s">
        <v>#N/A N/A</v>
        <stp/>
        <stp>BDH|5249609925553720108</stp>
        <tr r="K51" s="2"/>
      </tp>
      <tp t="s">
        <v>#N/A N/A</v>
        <stp/>
        <stp>BDH|3122233759440218796</stp>
        <tr r="U30" s="2"/>
      </tp>
      <tp t="s">
        <v>#N/A N/A</v>
        <stp/>
        <stp>BDH|3984153460987942052</stp>
        <tr r="T7" s="2"/>
      </tp>
      <tp t="s">
        <v>#N/A N/A</v>
        <stp/>
        <stp>BDH|5743596428094611504</stp>
        <tr r="K48" s="2"/>
      </tp>
      <tp t="s">
        <v>#N/A N/A</v>
        <stp/>
        <stp>BDH|1245252169390999677</stp>
        <tr r="V35" s="2"/>
      </tp>
      <tp t="s">
        <v>#N/A N/A</v>
        <stp/>
        <stp>BDH|5892017354355553683</stp>
        <tr r="D40" s="2"/>
      </tp>
      <tp t="s">
        <v>#N/A N/A</v>
        <stp/>
        <stp>BDH|6478356159917104492</stp>
        <tr r="Q50" s="2"/>
      </tp>
      <tp t="s">
        <v>#N/A N/A</v>
        <stp/>
        <stp>BDH|2097854977099633740</stp>
        <tr r="K81" s="2"/>
      </tp>
      <tp t="s">
        <v>#N/A N/A</v>
        <stp/>
        <stp>BDH|3765267620452109216</stp>
        <tr r="Z47" s="2"/>
      </tp>
      <tp t="s">
        <v>#N/A N/A</v>
        <stp/>
        <stp>BDH|6271436750156346231</stp>
        <tr r="AC35" s="2"/>
      </tp>
      <tp t="s">
        <v>#N/A N/A</v>
        <stp/>
        <stp>BDH|1836085922853408379</stp>
        <tr r="I48" s="2"/>
      </tp>
      <tp t="s">
        <v>#N/A N/A</v>
        <stp/>
        <stp>BDH|6600643111963372114</stp>
        <tr r="H74" s="2"/>
      </tp>
      <tp t="s">
        <v>#N/A N/A</v>
        <stp/>
        <stp>BDH|9429813311202432161</stp>
        <tr r="R64" s="2"/>
      </tp>
      <tp t="s">
        <v>#N/A N/A</v>
        <stp/>
        <stp>BDH|4751419305895421614</stp>
        <tr r="N44" s="2"/>
      </tp>
      <tp t="s">
        <v>#N/A N/A</v>
        <stp/>
        <stp>BDH|3183302553562294462</stp>
        <tr r="H11" s="2"/>
      </tp>
      <tp t="s">
        <v>#N/A N/A</v>
        <stp/>
        <stp>BDH|9416901133659539942</stp>
        <tr r="AC42" s="2"/>
      </tp>
      <tp t="s">
        <v>#N/A N/A</v>
        <stp/>
        <stp>BDH|1361954851559540745</stp>
        <tr r="W31" s="2"/>
      </tp>
      <tp t="s">
        <v>#N/A N/A</v>
        <stp/>
        <stp>BDH|2783773605291660754</stp>
        <tr r="G79" s="2"/>
      </tp>
      <tp t="s">
        <v>#N/A N/A</v>
        <stp/>
        <stp>BDH|5885891657508663360</stp>
        <tr r="R70" s="2"/>
      </tp>
      <tp t="s">
        <v>#N/A N/A</v>
        <stp/>
        <stp>BDH|1409531077041098164</stp>
        <tr r="H65" s="2"/>
      </tp>
      <tp t="s">
        <v>#N/A N/A</v>
        <stp/>
        <stp>BDH|2708919393235473472</stp>
        <tr r="T97" s="2"/>
      </tp>
      <tp t="s">
        <v>#N/A N/A</v>
        <stp/>
        <stp>BDH|5281231142520054049</stp>
        <tr r="AF18" s="2"/>
      </tp>
      <tp t="s">
        <v>#N/A N/A</v>
        <stp/>
        <stp>BDH|9737314026023169861</stp>
        <tr r="D79" s="2"/>
      </tp>
      <tp t="s">
        <v>#N/A N/A</v>
        <stp/>
        <stp>BDH|2707874597625429543</stp>
        <tr r="D26" s="2"/>
      </tp>
      <tp t="s">
        <v>#N/A N/A</v>
        <stp/>
        <stp>BDH|4145499866913106683</stp>
        <tr r="Q25" s="2"/>
      </tp>
      <tp t="s">
        <v>#N/A N/A</v>
        <stp/>
        <stp>BDH|4007539357015111222</stp>
        <tr r="Z58" s="2"/>
      </tp>
      <tp t="s">
        <v>#N/A N/A</v>
        <stp/>
        <stp>BDH|7957664367356864279</stp>
        <tr r="G27" s="2"/>
      </tp>
      <tp t="s">
        <v>#N/A N/A</v>
        <stp/>
        <stp>BDH|4127098625721145488</stp>
        <tr r="H75" s="2"/>
      </tp>
      <tp t="s">
        <v>#N/A N/A</v>
        <stp/>
        <stp>BDH|5350720028653532080</stp>
        <tr r="K94" s="2"/>
      </tp>
      <tp t="s">
        <v>#N/A N/A</v>
        <stp/>
        <stp>BDH|1478133347502338571</stp>
        <tr r="K22" s="2"/>
      </tp>
      <tp t="s">
        <v>#N/A N/A</v>
        <stp/>
        <stp>BDH|1725224506486539623</stp>
        <tr r="I59" s="2"/>
      </tp>
      <tp t="s">
        <v>#N/A N/A</v>
        <stp/>
        <stp>BDH|2041607692236245842</stp>
        <tr r="N27" s="2"/>
      </tp>
      <tp t="s">
        <v>#N/A N/A</v>
        <stp/>
        <stp>BDH|2028175217894230566</stp>
        <tr r="P75" s="2"/>
      </tp>
      <tp t="s">
        <v>#N/A N/A</v>
        <stp/>
        <stp>BDH|1522529236315050151</stp>
        <tr r="H59" s="2"/>
      </tp>
      <tp t="s">
        <v>#N/A N/A</v>
        <stp/>
        <stp>BDH|6997951217055654892</stp>
        <tr r="V28" s="2"/>
      </tp>
      <tp t="s">
        <v>#N/A N/A</v>
        <stp/>
        <stp>BDH|5100769373955161305</stp>
        <tr r="Z81" s="2"/>
      </tp>
      <tp t="s">
        <v>#N/A N/A</v>
        <stp/>
        <stp>BDH|6267720433691276042</stp>
        <tr r="E11" s="2"/>
      </tp>
      <tp t="s">
        <v>#N/A N/A</v>
        <stp/>
        <stp>BDH|6610148176355634670</stp>
        <tr r="L42" s="2"/>
      </tp>
      <tp t="s">
        <v>#N/A N/A</v>
        <stp/>
        <stp>BDH|1455722185045563838</stp>
        <tr r="U34" s="2"/>
      </tp>
      <tp t="s">
        <v>#N/A N/A</v>
        <stp/>
        <stp>BDH|7712266368029588996</stp>
        <tr r="U43" s="2"/>
      </tp>
      <tp t="s">
        <v>#N/A N/A</v>
        <stp/>
        <stp>BDH|55085062620220865</stp>
        <tr r="R89" s="2"/>
      </tp>
      <tp t="s">
        <v>#N/A N/A</v>
        <stp/>
        <stp>BDH|234675718777331522</stp>
        <tr r="V25" s="2"/>
      </tp>
      <tp t="s">
        <v>#N/A N/A</v>
        <stp/>
        <stp>BDH|427122808584368059</stp>
        <tr r="AE68" s="2"/>
      </tp>
      <tp t="s">
        <v>#N/A N/A</v>
        <stp/>
        <stp>BDH|694963715185663880</stp>
        <tr r="AB8" s="2"/>
      </tp>
      <tp t="s">
        <v>#N/A N/A</v>
        <stp/>
        <stp>BDH|315539362711158754</stp>
        <tr r="V30" s="2"/>
      </tp>
      <tp t="s">
        <v>#N/A N/A</v>
        <stp/>
        <stp>BDH|732426833074533655</stp>
        <tr r="J18" s="2"/>
      </tp>
      <tp t="s">
        <v>#N/A N/A</v>
        <stp/>
        <stp>BDH|974718986983676987</stp>
        <tr r="T36" s="2"/>
      </tp>
      <tp t="s">
        <v>#N/A N/A</v>
        <stp/>
        <stp>BDH|203397227125313032</stp>
        <tr r="W74" s="2"/>
      </tp>
      <tp t="s">
        <v>#N/A N/A</v>
        <stp/>
        <stp>BDH|704797153312063404</stp>
        <tr r="I25" s="2"/>
      </tp>
      <tp t="s">
        <v>#N/A N/A</v>
        <stp/>
        <stp>BDH|649200104083936542</stp>
        <tr r="V76" s="2"/>
      </tp>
      <tp t="s">
        <v>#N/A N/A</v>
        <stp/>
        <stp>BDH|329016482139853519</stp>
        <tr r="R30" s="2"/>
      </tp>
      <tp t="s">
        <v>#N/A N/A</v>
        <stp/>
        <stp>BDH|735593819008664844</stp>
        <tr r="H82" s="2"/>
      </tp>
      <tp t="s">
        <v>#N/A N/A</v>
        <stp/>
        <stp>BDH|953541419554235434</stp>
        <tr r="C77" s="2"/>
      </tp>
      <tp t="s">
        <v>#N/A N/A</v>
        <stp/>
        <stp>BDH|180325111037754134</stp>
        <tr r="Q60" s="2"/>
      </tp>
      <tp t="s">
        <v>#N/A N/A</v>
        <stp/>
        <stp>BDH|549149040708624952</stp>
        <tr r="M91" s="2"/>
      </tp>
      <tp t="s">
        <v>#N/A N/A</v>
        <stp/>
        <stp>BDH|673306469051892050</stp>
        <tr r="Y69" s="2"/>
      </tp>
      <tp t="s">
        <v>#N/A N/A</v>
        <stp/>
        <stp>BDH|693108715185412156</stp>
        <tr r="V62" s="2"/>
      </tp>
      <tp t="s">
        <v>#N/A N/A</v>
        <stp/>
        <stp>BDH|859546022954051433</stp>
        <tr r="C69" s="2"/>
      </tp>
      <tp t="s">
        <v>#N/A N/A</v>
        <stp/>
        <stp>BDH|441120838555660050</stp>
        <tr r="P33" s="2"/>
      </tp>
      <tp t="s">
        <v>#N/A N/A</v>
        <stp/>
        <stp>BDH|967381858302331352</stp>
        <tr r="U51" s="2"/>
      </tp>
      <tp t="s">
        <v>#N/A N/A</v>
        <stp/>
        <stp>BDH|880691789900141922</stp>
        <tr r="AB64" s="2"/>
      </tp>
      <tp t="s">
        <v>#N/A N/A</v>
        <stp/>
        <stp>BDH|194648593230778852</stp>
        <tr r="F88" s="2"/>
      </tp>
      <tp t="s">
        <v>#N/A N/A</v>
        <stp/>
        <stp>BDH|253294948076613714</stp>
        <tr r="AC50" s="2"/>
      </tp>
      <tp t="s">
        <v>#N/A N/A</v>
        <stp/>
        <stp>BDH|330465526387582631</stp>
        <tr r="T26" s="2"/>
      </tp>
      <tp t="s">
        <v>#N/A N/A</v>
        <stp/>
        <stp>BDH|723281698798064420</stp>
        <tr r="AF34" s="2"/>
      </tp>
      <tp t="s">
        <v>#N/A N/A</v>
        <stp/>
        <stp>BDH|112162257345571604</stp>
        <tr r="AC88" s="2"/>
      </tp>
      <tp t="s">
        <v>#N/A N/A</v>
        <stp/>
        <stp>BDH|825082230494115040</stp>
        <tr r="E69" s="2"/>
      </tp>
      <tp t="s">
        <v>#N/A N/A</v>
        <stp/>
        <stp>BDH|711825494157238146</stp>
        <tr r="L45" s="2"/>
      </tp>
      <tp t="s">
        <v>#N/A N/A</v>
        <stp/>
        <stp>BDH|239577735956274731</stp>
        <tr r="L63" s="2"/>
      </tp>
      <tp t="s">
        <v>#N/A N/A</v>
        <stp/>
        <stp>BDH|482810686274774351</stp>
        <tr r="U8" s="2"/>
      </tp>
      <tp t="s">
        <v>#N/A N/A</v>
        <stp/>
        <stp>BDH|672071820116012325</stp>
        <tr r="S29" s="2"/>
      </tp>
      <tp t="s">
        <v>#N/A N/A</v>
        <stp/>
        <stp>BDH|658241461730572357</stp>
        <tr r="Z33" s="2"/>
      </tp>
      <tp t="s">
        <v>#N/A N/A</v>
        <stp/>
        <stp>BDH|498672202070839058</stp>
        <tr r="F40" s="2"/>
      </tp>
      <tp t="s">
        <v>#N/A N/A</v>
        <stp/>
        <stp>BDH|872901540948675306</stp>
        <tr r="D21" s="2"/>
      </tp>
      <tp t="s">
        <v>#N/A N/A</v>
        <stp/>
        <stp>BDH|851932581425793226</stp>
        <tr r="P77" s="2"/>
      </tp>
      <tp t="s">
        <v>#N/A N/A</v>
        <stp/>
        <stp>BDH|516699840957647338</stp>
        <tr r="J95" s="2"/>
      </tp>
      <tp t="s">
        <v>#N/A N/A</v>
        <stp/>
        <stp>BDH|511822800487601949</stp>
        <tr r="P65" s="2"/>
      </tp>
      <tp t="s">
        <v>#N/A N/A</v>
        <stp/>
        <stp>BDH|212581889942215908</stp>
        <tr r="X93" s="2"/>
      </tp>
      <tp t="s">
        <v>#N/A N/A</v>
        <stp/>
        <stp>BDH|749358130756926774</stp>
        <tr r="Y93" s="2"/>
      </tp>
      <tp t="s">
        <v>#N/A N/A</v>
        <stp/>
        <stp>BDH|232691858570857250</stp>
        <tr r="T13" s="2"/>
      </tp>
      <tp t="s">
        <v>#N/A N/A</v>
        <stp/>
        <stp>BDH|211657548330125371</stp>
        <tr r="AD72" s="2"/>
      </tp>
      <tp t="s">
        <v>#N/A N/A</v>
        <stp/>
        <stp>BDH|801377321033735328</stp>
        <tr r="AF50" s="2"/>
      </tp>
      <tp t="s">
        <v>#N/A N/A</v>
        <stp/>
        <stp>BDH|140010562534835313</stp>
        <tr r="G23" s="2"/>
      </tp>
      <tp t="s">
        <v>#N/A N/A</v>
        <stp/>
        <stp>BDH|600473555749994986</stp>
        <tr r="Z43" s="2"/>
      </tp>
      <tp t="s">
        <v>#N/A N/A</v>
        <stp/>
        <stp>BDH|512548021412417427</stp>
        <tr r="F7" s="2"/>
      </tp>
      <tp t="s">
        <v>#N/A N/A</v>
        <stp/>
        <stp>BDH|298339343095263363</stp>
        <tr r="AD14" s="2"/>
      </tp>
      <tp t="s">
        <v>#N/A N/A</v>
        <stp/>
        <stp>BDH|868483527471282624</stp>
        <tr r="P64" s="2"/>
      </tp>
      <tp t="s">
        <v>#N/A N/A</v>
        <stp/>
        <stp>BDH|710143052550572551</stp>
        <tr r="W45" s="2"/>
      </tp>
      <tp t="s">
        <v>#N/A N/A</v>
        <stp/>
        <stp>BDH|689987383717989763</stp>
        <tr r="Y52" s="2"/>
      </tp>
      <tp t="s">
        <v>#N/A N/A</v>
        <stp/>
        <stp>BDH|597463033186044031</stp>
        <tr r="S36" s="2"/>
      </tp>
      <tp t="s">
        <v>#N/A N/A</v>
        <stp/>
        <stp>BDH|846666875914984415</stp>
        <tr r="G20" s="2"/>
      </tp>
      <tp t="s">
        <v>#N/A N/A</v>
        <stp/>
        <stp>BDH|855811428663047821</stp>
        <tr r="I19" s="2"/>
      </tp>
      <tp t="s">
        <v>#N/A N/A</v>
        <stp/>
        <stp>BDH|845141117889576901</stp>
        <tr r="H94" s="2"/>
      </tp>
      <tp t="s">
        <v>#N/A N/A</v>
        <stp/>
        <stp>BDH|124237796873825834</stp>
        <tr r="N59" s="2"/>
      </tp>
      <tp t="s">
        <v>#N/A N/A</v>
        <stp/>
        <stp>BDH|807335779867395382</stp>
        <tr r="AF93" s="2"/>
      </tp>
      <tp t="s">
        <v>#N/A N/A</v>
        <stp/>
        <stp>BDH|530622924225694123</stp>
        <tr r="K15" s="2"/>
      </tp>
      <tp t="s">
        <v>#N/A N/A</v>
        <stp/>
        <stp>BDH|731785829951103470</stp>
        <tr r="H91" s="2"/>
      </tp>
      <tp t="s">
        <v>#N/A N/A</v>
        <stp/>
        <stp>BDH|169672772976384768</stp>
        <tr r="G67" s="2"/>
      </tp>
      <tp t="s">
        <v>#N/A N/A</v>
        <stp/>
        <stp>BDH|479179668334101075</stp>
        <tr r="AC72" s="2"/>
      </tp>
      <tp t="s">
        <v>#N/A N/A</v>
        <stp/>
        <stp>BDH|118109017743864039</stp>
        <tr r="P71" s="2"/>
      </tp>
      <tp t="s">
        <v>#N/A N/A</v>
        <stp/>
        <stp>BDH|686359143441579586</stp>
        <tr r="U27" s="2"/>
      </tp>
      <tp t="s">
        <v>#N/A N/A</v>
        <stp/>
        <stp>BDH|295220139976483429</stp>
        <tr r="F17" s="2"/>
      </tp>
      <tp t="s">
        <v>#N/A N/A</v>
        <stp/>
        <stp>BDH|787640019274465063</stp>
        <tr r="N68" s="2"/>
      </tp>
      <tp t="s">
        <v>#N/A N/A</v>
        <stp/>
        <stp>BDH|578547623714180098</stp>
        <tr r="AA64" s="2"/>
      </tp>
      <tp t="s">
        <v>#N/A N/A</v>
        <stp/>
        <stp>BDH|578269986631957885</stp>
        <tr r="AB73" s="2"/>
      </tp>
      <tp t="s">
        <v>#N/A N/A</v>
        <stp/>
        <stp>BDH|117316642225735141</stp>
        <tr r="R41" s="2"/>
      </tp>
      <tp t="s">
        <v>#N/A N/A</v>
        <stp/>
        <stp>BDH|103524698499040699</stp>
        <tr r="M77" s="2"/>
      </tp>
      <tp t="s">
        <v>#N/A N/A</v>
        <stp/>
        <stp>BDH|316015948365123378</stp>
        <tr r="X40" s="2"/>
      </tp>
      <tp t="s">
        <v>#N/A N/A</v>
        <stp/>
        <stp>BDH|863748954491350147</stp>
        <tr r="L57" s="2"/>
      </tp>
      <tp t="s">
        <v>#N/A N/A</v>
        <stp/>
        <stp>BDH|116117606262746197</stp>
        <tr r="V86" s="2"/>
      </tp>
      <tp t="s">
        <v>#N/A N/A</v>
        <stp/>
        <stp>BDH|213727220014997308</stp>
        <tr r="L10" s="2"/>
      </tp>
      <tp t="s">
        <v>#N/A N/A</v>
        <stp/>
        <stp>BDH|484560678871662160</stp>
        <tr r="C80" s="2"/>
      </tp>
      <tp t="s">
        <v>#N/A N/A</v>
        <stp/>
        <stp>BDH|536929579964501802</stp>
        <tr r="C87" s="2"/>
      </tp>
      <tp t="s">
        <v>#N/A N/A</v>
        <stp/>
        <stp>BDH|586435097348079752</stp>
        <tr r="F16" s="2"/>
      </tp>
      <tp t="s">
        <v>#N/A N/A</v>
        <stp/>
        <stp>BDH|486434713424187317</stp>
        <tr r="Y13" s="2"/>
      </tp>
      <tp t="s">
        <v>#N/A N/A</v>
        <stp/>
        <stp>BDH|598893044507901946</stp>
        <tr r="AB90" s="2"/>
      </tp>
      <tp t="s">
        <v>#N/A N/A</v>
        <stp/>
        <stp>BDH|619325083361258802</stp>
        <tr r="R47" s="2"/>
      </tp>
      <tp t="s">
        <v>#N/A N/A</v>
        <stp/>
        <stp>BDH|932751812291056587</stp>
        <tr r="L17" s="2"/>
      </tp>
      <tp t="s">
        <v>#N/A N/A</v>
        <stp/>
        <stp>BDH|743371769260603790</stp>
        <tr r="AE90" s="2"/>
      </tp>
      <tp t="s">
        <v>#N/A N/A</v>
        <stp/>
        <stp>BDH|850795274770088238</stp>
        <tr r="K88" s="2"/>
      </tp>
      <tp t="s">
        <v>#N/A N/A</v>
        <stp/>
        <stp>BDH|945786354004664408</stp>
        <tr r="T20" s="2"/>
      </tp>
      <tp t="s">
        <v>#N/A N/A</v>
        <stp/>
        <stp>BDH|742751241465082404</stp>
        <tr r="S52" s="2"/>
      </tp>
      <tp t="s">
        <v>#N/A N/A</v>
        <stp/>
        <stp>BDH|159966559734115525</stp>
        <tr r="M61" s="2"/>
      </tp>
      <tp t="s">
        <v>#N/A N/A</v>
        <stp/>
        <stp>BDH|217998014780197536</stp>
        <tr r="R81" s="2"/>
      </tp>
      <tp t="s">
        <v>#N/A N/A</v>
        <stp/>
        <stp>BDH|485732379994796974</stp>
        <tr r="K24" s="2"/>
      </tp>
      <tp t="s">
        <v>#N/A N/A</v>
        <stp/>
        <stp>BDH|877799779299421423</stp>
        <tr r="W49" s="2"/>
      </tp>
      <tp t="s">
        <v>#N/A N/A</v>
        <stp/>
        <stp>BDH|893070416094091874</stp>
        <tr r="L15" s="2"/>
      </tp>
      <tp t="s">
        <v>#N/A N/A</v>
        <stp/>
        <stp>BDH|550879850635866526</stp>
        <tr r="G11" s="2"/>
      </tp>
      <tp t="s">
        <v>#N/A N/A</v>
        <stp/>
        <stp>BDH|524271027715801856</stp>
        <tr r="AE27" s="2"/>
      </tp>
      <tp t="s">
        <v>#N/A N/A</v>
        <stp/>
        <stp>BDH|404944328167217133</stp>
        <tr r="N40" s="2"/>
      </tp>
      <tp t="s">
        <v>#N/A N/A</v>
        <stp/>
        <stp>BDH|951718459859366698</stp>
        <tr r="AA62" s="2"/>
      </tp>
      <tp t="s">
        <v>#N/A N/A</v>
        <stp/>
        <stp>BDH|530264384732202518</stp>
        <tr r="AF49" s="2"/>
      </tp>
      <tp t="s">
        <v>#N/A N/A</v>
        <stp/>
        <stp>BDH|571609727681332877</stp>
        <tr r="AB76" s="2"/>
      </tp>
      <tp t="s">
        <v>#N/A N/A</v>
        <stp/>
        <stp>BDH|116295596954415364</stp>
        <tr r="F66" s="2"/>
      </tp>
      <tp t="s">
        <v>#N/A N/A</v>
        <stp/>
        <stp>BDH|803743147579301669</stp>
        <tr r="G62" s="2"/>
      </tp>
      <tp t="s">
        <v>#N/A N/A</v>
        <stp/>
        <stp>BDH|132309447989984204</stp>
        <tr r="Z93" s="2"/>
      </tp>
      <tp t="s">
        <v>#N/A N/A</v>
        <stp/>
        <stp>BDH|775487184448421864</stp>
        <tr r="AB55" s="2"/>
      </tp>
      <tp t="s">
        <v>#N/A N/A</v>
        <stp/>
        <stp>BDH|447449229788254214</stp>
        <tr r="J81" s="2"/>
      </tp>
      <tp t="s">
        <v>#N/A N/A</v>
        <stp/>
        <stp>BDH|454068690115978010</stp>
        <tr r="L65" s="2"/>
      </tp>
      <tp t="s">
        <v>#N/A N/A</v>
        <stp/>
        <stp>BDH|995215044058308244</stp>
        <tr r="AD89" s="2"/>
      </tp>
      <tp t="s">
        <v>#N/A N/A</v>
        <stp/>
        <stp>BDH|900135333836692846</stp>
        <tr r="L77" s="2"/>
      </tp>
      <tp t="s">
        <v>#N/A N/A</v>
        <stp/>
        <stp>BDH|574678415353583864</stp>
        <tr r="H33" s="2"/>
      </tp>
      <tp t="s">
        <v>#N/A N/A</v>
        <stp/>
        <stp>BDH|113896878936646532</stp>
        <tr r="AD7" s="2"/>
      </tp>
      <tp t="s">
        <v>#N/A N/A</v>
        <stp/>
        <stp>BDH|506493306330979866</stp>
        <tr r="AC16" s="2"/>
      </tp>
      <tp t="s">
        <v>#N/A N/A</v>
        <stp/>
        <stp>BDH|644933246572413325</stp>
        <tr r="R16" s="2"/>
      </tp>
      <tp t="s">
        <v>#N/A N/A</v>
        <stp/>
        <stp>BDH|350906401217212265</stp>
        <tr r="M45" s="2"/>
      </tp>
      <tp t="s">
        <v>#N/A N/A</v>
        <stp/>
        <stp>BDH|221846354306783725</stp>
        <tr r="H15" s="2"/>
      </tp>
      <tp t="s">
        <v>#N/A N/A</v>
        <stp/>
        <stp>BDH|615549314748982338</stp>
        <tr r="T10" s="2"/>
      </tp>
      <tp t="s">
        <v>#N/A N/A</v>
        <stp/>
        <stp>BDH|449343617695979821</stp>
        <tr r="Y89" s="2"/>
      </tp>
      <tp t="s">
        <v>#N/A N/A</v>
        <stp/>
        <stp>BDH|661308984315750183</stp>
        <tr r="G61" s="2"/>
      </tp>
      <tp t="s">
        <v>#N/A N/A</v>
        <stp/>
        <stp>BDH|921822874814867494</stp>
        <tr r="J8" s="2"/>
      </tp>
      <tp t="s">
        <v>#N/A N/A</v>
        <stp/>
        <stp>BDH|406559550499826664</stp>
        <tr r="Z24" s="2"/>
      </tp>
      <tp t="s">
        <v>#N/A N/A</v>
        <stp/>
        <stp>BDH|831830776792556239</stp>
        <tr r="U74" s="2"/>
      </tp>
      <tp t="s">
        <v>#N/A N/A</v>
        <stp/>
        <stp>BDH|937892041786719527</stp>
        <tr r="C99" s="2"/>
      </tp>
      <tp t="s">
        <v>#N/A N/A</v>
        <stp/>
        <stp>BDH|141645884994475537</stp>
        <tr r="V67" s="2"/>
      </tp>
      <tp t="s">
        <v>#N/A N/A</v>
        <stp/>
        <stp>BDH|849604816249923119</stp>
        <tr r="AE97" s="2"/>
      </tp>
      <tp t="s">
        <v>#N/A N/A</v>
        <stp/>
        <stp>BDH|503239949199085097</stp>
        <tr r="P25" s="2"/>
      </tp>
      <tp t="s">
        <v>#N/A N/A</v>
        <stp/>
        <stp>BDH|286199209447779949</stp>
        <tr r="AE7" s="2"/>
      </tp>
      <tp t="s">
        <v>#N/A N/A</v>
        <stp/>
        <stp>BDH|454942552743608058</stp>
        <tr r="AB36" s="2"/>
      </tp>
      <tp t="s">
        <v>#N/A N/A</v>
        <stp/>
        <stp>BDH|316006331054621875</stp>
        <tr r="T14" s="2"/>
      </tp>
      <tp t="s">
        <v>#N/A N/A</v>
        <stp/>
        <stp>BDH|739018989883811596</stp>
        <tr r="U79" s="2"/>
      </tp>
      <tp t="s">
        <v>#N/A N/A</v>
        <stp/>
        <stp>BDH|448387458028850023</stp>
        <tr r="S71" s="2"/>
      </tp>
      <tp t="s">
        <v>#N/A N/A</v>
        <stp/>
        <stp>BDH|605611582453849323</stp>
        <tr r="U70" s="2"/>
      </tp>
      <tp t="s">
        <v>#N/A N/A</v>
        <stp/>
        <stp>BDH|146302498016505241</stp>
        <tr r="P69" s="2"/>
      </tp>
      <tp t="s">
        <v>#N/A N/A</v>
        <stp/>
        <stp>BDH|758891552875606633</stp>
        <tr r="AE20" s="2"/>
      </tp>
      <tp t="s">
        <v>#N/A N/A</v>
        <stp/>
        <stp>BDH|912290729896337800</stp>
        <tr r="AD57" s="2"/>
      </tp>
      <tp t="s">
        <v>#N/A N/A</v>
        <stp/>
        <stp>BDH|556137102519370661</stp>
        <tr r="U21" s="2"/>
      </tp>
      <tp t="s">
        <v>#N/A N/A</v>
        <stp/>
        <stp>BDH|825752753628548377</stp>
        <tr r="M46" s="2"/>
      </tp>
      <tp t="s">
        <v>#N/A N/A</v>
        <stp/>
        <stp>BDH|882659397537016175</stp>
        <tr r="W81" s="2"/>
      </tp>
      <tp t="s">
        <v>#N/A N/A</v>
        <stp/>
        <stp>BDH|495308149918593621</stp>
        <tr r="L58" s="2"/>
      </tp>
      <tp t="s">
        <v>#N/A N/A</v>
        <stp/>
        <stp>BDH|914132179787328849</stp>
        <tr r="O48" s="2"/>
      </tp>
      <tp t="s">
        <v>#N/A N/A</v>
        <stp/>
        <stp>BDH|205669764780370959</stp>
        <tr r="X8" s="2"/>
      </tp>
      <tp t="s">
        <v>#N/A N/A</v>
        <stp/>
        <stp>BDH|867986884239288144</stp>
        <tr r="V53" s="2"/>
      </tp>
      <tp t="s">
        <v>#N/A N/A</v>
        <stp/>
        <stp>BDH|297697556379837371</stp>
        <tr r="N37" s="2"/>
      </tp>
      <tp t="s">
        <v>#N/A N/A</v>
        <stp/>
        <stp>BDH|112477938059544780</stp>
        <tr r="H66" s="2"/>
      </tp>
      <tp t="s">
        <v>#N/A N/A</v>
        <stp/>
        <stp>BDH|817367457098623636</stp>
        <tr r="X89" s="2"/>
      </tp>
      <tp t="s">
        <v>#N/A N/A</v>
        <stp/>
        <stp>BDH|795632250793927819</stp>
        <tr r="G63" s="2"/>
      </tp>
      <tp t="s">
        <v>#N/A N/A</v>
        <stp/>
        <stp>BDH|513354771154874815</stp>
        <tr r="L81" s="2"/>
      </tp>
      <tp t="s">
        <v>#N/A N/A</v>
        <stp/>
        <stp>BDH|807913121253811050</stp>
        <tr r="L52" s="2"/>
      </tp>
      <tp t="s">
        <v>#N/A N/A</v>
        <stp/>
        <stp>BDH|709374914832784827</stp>
        <tr r="O15" s="2"/>
      </tp>
      <tp t="s">
        <v>#N/A N/A</v>
        <stp/>
        <stp>BDH|328413031669405663</stp>
        <tr r="H98" s="2"/>
      </tp>
      <tp t="s">
        <v>#N/A N/A</v>
        <stp/>
        <stp>BDH|495949120216120529</stp>
        <tr r="I88" s="2"/>
      </tp>
      <tp t="s">
        <v>#N/A N/A</v>
        <stp/>
        <stp>BDH|758283894729011950</stp>
        <tr r="V73" s="2"/>
      </tp>
      <tp t="s">
        <v>#N/A N/A</v>
        <stp/>
        <stp>BDH|672017073928988435</stp>
        <tr r="K30" s="2"/>
      </tp>
      <tp t="s">
        <v>#N/A N/A</v>
        <stp/>
        <stp>BDH|809448283960781770</stp>
        <tr r="C37" s="2"/>
      </tp>
      <tp t="s">
        <v>#N/A N/A</v>
        <stp/>
        <stp>BDH|846403404016130974</stp>
        <tr r="Z77" s="2"/>
      </tp>
      <tp t="s">
        <v>#N/A N/A</v>
        <stp/>
        <stp>BDH|987817016626728425</stp>
        <tr r="M94" s="2"/>
      </tp>
      <tp t="s">
        <v>#N/A N/A</v>
        <stp/>
        <stp>BDH|189117016468526351</stp>
        <tr r="D99" s="2"/>
      </tp>
      <tp t="s">
        <v>#N/A N/A</v>
        <stp/>
        <stp>BDH|721449612686652801</stp>
        <tr r="Y70" s="2"/>
      </tp>
      <tp t="s">
        <v>#N/A N/A</v>
        <stp/>
        <stp>BDH|255742320566350855</stp>
        <tr r="L56" s="2"/>
      </tp>
      <tp t="s">
        <v>#N/A N/A</v>
        <stp/>
        <stp>BDH|152663431379076760</stp>
        <tr r="R72" s="2"/>
      </tp>
      <tp t="s">
        <v>#N/A N/A</v>
        <stp/>
        <stp>BDH|350683428687115820</stp>
        <tr r="V60" s="2"/>
      </tp>
      <tp t="s">
        <v>#N/A N/A</v>
        <stp/>
        <stp>BDH|680376144075327953</stp>
        <tr r="N99" s="2"/>
      </tp>
      <tp t="s">
        <v>#N/A N/A</v>
        <stp/>
        <stp>BDH|323327089776180769</stp>
        <tr r="U64" s="2"/>
      </tp>
      <tp t="s">
        <v>#N/A N/A</v>
        <stp/>
        <stp>BDH|698780204835256872</stp>
        <tr r="P55" s="2"/>
      </tp>
      <tp t="s">
        <v>#N/A N/A</v>
        <stp/>
        <stp>BDH|576762339879342711</stp>
        <tr r="I16" s="2"/>
      </tp>
      <tp t="s">
        <v>#N/A N/A</v>
        <stp/>
        <stp>BDH|269905799712281818</stp>
        <tr r="O74" s="2"/>
      </tp>
      <tp t="s">
        <v>#N/A N/A</v>
        <stp/>
        <stp>BDH|618129733201891956</stp>
        <tr r="P40" s="2"/>
      </tp>
      <tp t="s">
        <v>#N/A N/A</v>
        <stp/>
        <stp>BDH|410368687608033962</stp>
        <tr r="I63" s="2"/>
      </tp>
      <tp t="s">
        <v>#N/A N/A</v>
        <stp/>
        <stp>BDH|973668890820933558</stp>
        <tr r="Z80" s="2"/>
      </tp>
      <tp t="s">
        <v>#N/A N/A</v>
        <stp/>
        <stp>BDH|270512036074145872</stp>
        <tr r="C63" s="2"/>
      </tp>
      <tp t="s">
        <v>#N/A N/A</v>
        <stp/>
        <stp>BDH|903736177763639987</stp>
        <tr r="Y60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0" t="s">
        <v>66</v>
      </c>
      <c r="B7" s="10" t="s">
        <v>67</v>
      </c>
      <c r="C7" s="13" cm="1">
        <f t="array" ref="C7">_xll.BDH("DE US Equity","CASH_CASH_EQTY_STI_DETAILED","FQ3 2018","FQ3 2018","Currency=USD","Period=FQ","BEST_FPERIOD_OVERRIDE=FQ","FILING_STATUS=MR","SCALING_FORMAT=MLN","Sort=A","Dates=H","DateFormat=P","Fill=—","Direction=H","UseDPDF=Y")</f>
        <v>4411</v>
      </c>
      <c r="D7" s="13" cm="1">
        <f t="array" ref="D7">_xll.BDH("DE US Equity","CASH_CASH_EQTY_STI_DETAILED","FQ4 2018","FQ4 2018","Currency=USD","Period=FQ","BEST_FPERIOD_OVERRIDE=FQ","FILING_STATUS=MR","SCALING_FORMAT=MLN","Sort=A","Dates=H","DateFormat=P","Fill=—","Direction=H","UseDPDF=Y")</f>
        <v>4394</v>
      </c>
      <c r="E7" s="13" cm="1">
        <f t="array" ref="E7">_xll.BDH("DE US Equity","CASH_CASH_EQTY_STI_DETAILED","FQ1 2019","FQ1 2019","Currency=USD","Period=FQ","BEST_FPERIOD_OVERRIDE=FQ","FILING_STATUS=MR","SCALING_FORMAT=MLN","Sort=A","Dates=H","DateFormat=P","Fill=—","Direction=H","UseDPDF=Y")</f>
        <v>4149.2</v>
      </c>
      <c r="F7" s="13" cm="1">
        <f t="array" ref="F7">_xll.BDH("DE US Equity","CASH_CASH_EQTY_STI_DETAILED","FQ2 2019","FQ2 2019","Currency=USD","Period=FQ","BEST_FPERIOD_OVERRIDE=FQ","FILING_STATUS=MR","SCALING_FORMAT=MLN","Sort=A","Dates=H","DateFormat=P","Fill=—","Direction=H","UseDPDF=Y")</f>
        <v>4029</v>
      </c>
      <c r="G7" s="13" cm="1">
        <f t="array" ref="G7">_xll.BDH("DE US Equity","CASH_CASH_EQTY_STI_DETAILED","FQ3 2019","FQ3 2019","Currency=USD","Period=FQ","BEST_FPERIOD_OVERRIDE=FQ","FILING_STATUS=MR","SCALING_FORMAT=MLN","Sort=A","Dates=H","DateFormat=P","Fill=—","Direction=H","UseDPDF=Y")</f>
        <v>3948</v>
      </c>
      <c r="H7" s="13" cm="1">
        <f t="array" ref="H7">_xll.BDH("DE US Equity","CASH_CASH_EQTY_STI_DETAILED","FQ4 2019","FQ4 2019","Currency=USD","Period=FQ","BEST_FPERIOD_OVERRIDE=FQ","FILING_STATUS=MR","SCALING_FORMAT=MLN","Sort=A","Dates=H","DateFormat=P","Fill=—","Direction=H","UseDPDF=Y")</f>
        <v>4438</v>
      </c>
      <c r="I7" s="13" cm="1">
        <f t="array" ref="I7">_xll.BDH("DE US Equity","CASH_CASH_EQTY_STI_DETAILED","FQ1 2020","FQ1 2020","Currency=USD","Period=FQ","BEST_FPERIOD_OVERRIDE=FQ","FILING_STATUS=MR","SCALING_FORMAT=MLN","Sort=A","Dates=H","DateFormat=P","Fill=—","Direction=H","UseDPDF=Y")</f>
        <v>4211</v>
      </c>
      <c r="J7" s="13" cm="1">
        <f t="array" ref="J7">_xll.BDH("DE US Equity","CASH_CASH_EQTY_STI_DETAILED","FQ2 2020","FQ2 2020","Currency=USD","Period=FQ","BEST_FPERIOD_OVERRIDE=FQ","FILING_STATUS=MR","SCALING_FORMAT=MLN","Sort=A","Dates=H","DateFormat=P","Fill=—","Direction=H","UseDPDF=Y")</f>
        <v>9526</v>
      </c>
      <c r="K7" s="13" cm="1">
        <f t="array" ref="K7">_xll.BDH("DE US Equity","CASH_CASH_EQTY_STI_DETAILED","FQ3 2020","FQ3 2020","Currency=USD","Period=FQ","BEST_FPERIOD_OVERRIDE=FQ","FILING_STATUS=MR","SCALING_FORMAT=MLN","Sort=A","Dates=H","DateFormat=P","Fill=—","Direction=H","UseDPDF=Y")</f>
        <v>8830</v>
      </c>
      <c r="L7" s="13" cm="1">
        <f t="array" ref="L7">_xll.BDH("DE US Equity","CASH_CASH_EQTY_STI_DETAILED","FQ4 2020","FQ4 2020","Currency=USD","Period=FQ","BEST_FPERIOD_OVERRIDE=FQ","FILING_STATUS=MR","SCALING_FORMAT=MLN","Sort=A","Dates=H","DateFormat=P","Fill=—","Direction=H","UseDPDF=Y")</f>
        <v>7707</v>
      </c>
      <c r="M7" s="13" cm="1">
        <f t="array" ref="M7">_xll.BDH("DE US Equity","CASH_CASH_EQTY_STI_DETAILED","FQ1 2021","FQ1 2021","Currency=USD","Period=FQ","BEST_FPERIOD_OVERRIDE=FQ","FILING_STATUS=MR","SCALING_FORMAT=MLN","Sort=A","Dates=H","DateFormat=P","Fill=—","Direction=H","UseDPDF=Y")</f>
        <v>7629</v>
      </c>
      <c r="N7" s="13" cm="1">
        <f t="array" ref="N7">_xll.BDH("DE US Equity","CASH_CASH_EQTY_STI_DETAILED","FQ2 2021","FQ2 2021","Currency=USD","Period=FQ","BEST_FPERIOD_OVERRIDE=FQ","FILING_STATUS=MR","SCALING_FORMAT=MLN","Sort=A","Dates=H","DateFormat=P","Fill=—","Direction=H","UseDPDF=Y")</f>
        <v>7850</v>
      </c>
      <c r="O7" s="13" cm="1">
        <f t="array" ref="O7">_xll.BDH("DE US Equity","CASH_CASH_EQTY_STI_DETAILED","FQ3 2021","FQ3 2021","Currency=USD","Period=FQ","BEST_FPERIOD_OVERRIDE=FQ","FILING_STATUS=MR","SCALING_FORMAT=MLN","Sort=A","Dates=H","DateFormat=P","Fill=—","Direction=H","UseDPDF=Y")</f>
        <v>8207</v>
      </c>
      <c r="P7" s="13" cm="1">
        <f t="array" ref="P7">_xll.BDH("DE US Equity","CASH_CASH_EQTY_STI_DETAILED","FQ4 2021","FQ4 2021","Currency=USD","Period=FQ","BEST_FPERIOD_OVERRIDE=FQ","FILING_STATUS=MR","SCALING_FORMAT=MLN","Sort=A","Dates=H","DateFormat=P","Fill=—","Direction=H","UseDPDF=Y")</f>
        <v>8745</v>
      </c>
      <c r="Q7" s="13" cm="1">
        <f t="array" ref="Q7">_xll.BDH("DE US Equity","CASH_CASH_EQTY_STI_DETAILED","FQ1 2022","FQ1 2022","Currency=USD","Period=FQ","BEST_FPERIOD_OVERRIDE=FQ","FILING_STATUS=MR","SCALING_FORMAT=MLN","Sort=A","Dates=H","DateFormat=P","Fill=—","Direction=H","UseDPDF=Y")</f>
        <v>5207</v>
      </c>
      <c r="R7" s="13" cm="1">
        <f t="array" ref="R7">_xll.BDH("DE US Equity","CASH_CASH_EQTY_STI_DETAILED","FQ2 2022","FQ2 2022","Currency=USD","Period=FQ","BEST_FPERIOD_OVERRIDE=FQ","FILING_STATUS=MR","SCALING_FORMAT=MLN","Sort=A","Dates=H","DateFormat=P","Fill=—","Direction=H","UseDPDF=Y")</f>
        <v>4560</v>
      </c>
      <c r="S7" s="13" cm="1">
        <f t="array" ref="S7">_xll.BDH("DE US Equity","CASH_CASH_EQTY_STI_DETAILED","FQ3 2022","FQ3 2022","Currency=USD","Period=FQ","BEST_FPERIOD_OVERRIDE=FQ","FILING_STATUS=MR","SCALING_FORMAT=MLN","Sort=A","Dates=H","DateFormat=P","Fill=—","Direction=H","UseDPDF=Y")</f>
        <v>5078</v>
      </c>
      <c r="T7" s="13" cm="1">
        <f t="array" ref="T7">_xll.BDH("DE US Equity","CASH_CASH_EQTY_STI_DETAILED","FQ4 2022","FQ4 2022","Currency=USD","Period=FQ","BEST_FPERIOD_OVERRIDE=FQ","FILING_STATUS=MR","SCALING_FORMAT=MLN","Sort=A","Dates=H","DateFormat=P","Fill=—","Direction=H","UseDPDF=Y")</f>
        <v>5508</v>
      </c>
      <c r="U7" s="13" cm="1">
        <f t="array" ref="U7">_xll.BDH("DE US Equity","CASH_CASH_EQTY_STI_DETAILED","FQ1 2023","FQ1 2023","Currency=USD","Period=FQ","BEST_FPERIOD_OVERRIDE=FQ","FILING_STATUS=MR","SCALING_FORMAT=MLN","Sort=A","Dates=H","DateFormat=P","Fill=—","Direction=H","UseDPDF=Y")</f>
        <v>4828</v>
      </c>
      <c r="V7" s="13" cm="1">
        <f t="array" ref="V7">_xll.BDH("DE US Equity","CASH_CASH_EQTY_STI_DETAILED","FQ2 2023","FQ2 2023","Currency=USD","Period=FQ","BEST_FPERIOD_OVERRIDE=FQ","FILING_STATUS=MR","SCALING_FORMAT=MLN","Sort=A","Dates=H","DateFormat=P","Fill=—","Direction=H","UseDPDF=Y")</f>
        <v>6123</v>
      </c>
      <c r="W7" s="13" cm="1">
        <f t="array" ref="W7">_xll.BDH("DE US Equity","CASH_CASH_EQTY_STI_DETAILED","FQ3 2023","FQ3 2023","Currency=USD","Period=FQ","BEST_FPERIOD_OVERRIDE=FQ","FILING_STATUS=MR","SCALING_FORMAT=MLN","Sort=A","Dates=H","DateFormat=P","Fill=—","Direction=H","UseDPDF=Y")</f>
        <v>7417</v>
      </c>
      <c r="X7" s="13" cm="1">
        <f t="array" ref="X7">_xll.BDH("DE US Equity","CASH_CASH_EQTY_STI_DETAILED","FQ4 2023","FQ4 2023","Currency=USD","Period=FQ","BEST_FPERIOD_OVERRIDE=FQ","FILING_STATUS=MR","SCALING_FORMAT=MLN","Sort=A","Dates=H","DateFormat=P","Fill=—","Direction=H","UseDPDF=Y")</f>
        <v>8404</v>
      </c>
      <c r="Y7" s="13" cm="1">
        <f t="array" ref="Y7">_xll.BDH("DE US Equity","CASH_CASH_EQTY_STI_DETAILED","FQ1 2024","FQ1 2024","Currency=USD","Period=FQ","BEST_FPERIOD_OVERRIDE=FQ","FILING_STATUS=MR","SCALING_FORMAT=MLN","Sort=A","Dates=H","DateFormat=P","Fill=—","Direction=H","UseDPDF=Y")</f>
        <v>6273</v>
      </c>
      <c r="Z7" s="13" cm="1">
        <f t="array" ref="Z7">_xll.BDH("DE US Equity","CASH_CASH_EQTY_STI_DETAILED","FQ2 2024","FQ2 2024","Currency=USD","Period=FQ","BEST_FPERIOD_OVERRIDE=FQ","FILING_STATUS=MR","SCALING_FORMAT=MLN","Sort=A","Dates=H","DateFormat=P","Fill=—","Direction=H","UseDPDF=Y")</f>
        <v>6647</v>
      </c>
      <c r="AA7" s="13" cm="1">
        <f t="array" ref="AA7">_xll.BDH("DE US Equity","CASH_CASH_EQTY_STI_DETAILED","FQ3 2024","FQ3 2024","Currency=USD","Period=FQ","BEST_FPERIOD_OVERRIDE=FQ","FILING_STATUS=MR","SCALING_FORMAT=MLN","Sort=A","Dates=H","DateFormat=P","Fill=—","Direction=H","UseDPDF=Y")</f>
        <v>8144</v>
      </c>
      <c r="AB7" s="13" cm="1">
        <f t="array" ref="AB7">_xll.BDH("DE US Equity","CASH_CASH_EQTY_STI_DETAILED","FQ4 2024","FQ4 2024","Currency=USD","Period=FQ","BEST_FPERIOD_OVERRIDE=FQ","FILING_STATUS=MR","SCALING_FORMAT=MLN","Sort=A","Dates=H","DateFormat=P","Fill=—","Direction=H","UseDPDF=Y")</f>
        <v>8478</v>
      </c>
      <c r="AC7" s="13" cm="1">
        <f t="array" ref="AC7">_xll.BDH("DE US Equity","CASH_CASH_EQTY_STI_DETAILED","FQ1 2025","FQ1 2025","Currency=USD","Period=FQ","BEST_FPERIOD_OVERRIDE=FQ","FILING_STATUS=MR","SCALING_FORMAT=MLN","Sort=A","Dates=H","DateFormat=P","Fill=—","Direction=H","UseDPDF=Y")</f>
        <v>7815</v>
      </c>
      <c r="AD7" s="13" cm="1">
        <f t="array" ref="AD7">_xll.BDH("DE US Equity","CASH_CASH_EQTY_STI_DETAILED","FQ2 2025","FQ2 2025","Currency=USD","Period=FQ","BEST_FPERIOD_OVERRIDE=FQ","FILING_STATUS=MR","SCALING_FORMAT=MLN","Sort=A","Dates=H","DateFormat=P","Fill=—","Direction=H","UseDPDF=Y")</f>
        <v>9263</v>
      </c>
      <c r="AE7" s="13" cm="1">
        <f t="array" ref="AE7">_xll.BDH("DE US Equity","CASH_CASH_EQTY_STI_DETAILED","FQ3 2025","FQ3 2025","Currency=USD","Period=FQ","BEST_FPERIOD_OVERRIDE=FQ","FILING_STATUS=MR","SCALING_FORMAT=MLN","Sort=A","Dates=H","DateFormat=P","Fill=—","Direction=H","UseDPDF=Y")</f>
        <v>9987</v>
      </c>
      <c r="AF7" s="13" cm="1">
        <f t="array" ref="AF7">_xll.BDH("DE US Equity","CASH_CASH_EQTY_STI_DETAILED","FQ4 2025","FQ4 2025","Currency=USD","Period=FQ","BEST_FPERIOD_OVERRIDE=FQ","FILING_STATUS=MR","SCALING_FORMAT=MLN","Sort=A","Dates=H","DateFormat=P","Fill=—","Direction=H","UseDPDF=Y")</f>
        <v>9687</v>
      </c>
    </row>
    <row r="8" spans="1:32" x14ac:dyDescent="0.25">
      <c r="A8" s="10" t="s">
        <v>68</v>
      </c>
      <c r="B8" s="10" t="s">
        <v>69</v>
      </c>
      <c r="C8" s="13" cm="1">
        <f t="array" ref="C8">_xll.BDH("DE US Equity","BS_CASH_NEAR_CASH_ITEM","FQ3 2018","FQ3 2018","Currency=USD","Period=FQ","BEST_FPERIOD_OVERRIDE=FQ","FILING_STATUS=MR","SCALING_FORMAT=MLN","Sort=A","Dates=H","DateFormat=P","Fill=—","Direction=H","UseDPDF=Y")</f>
        <v>3923</v>
      </c>
      <c r="D8" s="13" cm="1">
        <f t="array" ref="D8">_xll.BDH("DE US Equity","BS_CASH_NEAR_CASH_ITEM","FQ4 2018","FQ4 2018","Currency=USD","Period=FQ","BEST_FPERIOD_OVERRIDE=FQ","FILING_STATUS=MR","SCALING_FORMAT=MLN","Sort=A","Dates=H","DateFormat=P","Fill=—","Direction=H","UseDPDF=Y")</f>
        <v>3904</v>
      </c>
      <c r="E8" s="13" cm="1">
        <f t="array" ref="E8">_xll.BDH("DE US Equity","BS_CASH_NEAR_CASH_ITEM","FQ1 2019","FQ1 2019","Currency=USD","Period=FQ","BEST_FPERIOD_OVERRIDE=FQ","FILING_STATUS=MR","SCALING_FORMAT=MLN","Sort=A","Dates=H","DateFormat=P","Fill=—","Direction=H","UseDPDF=Y")</f>
        <v>3625.7</v>
      </c>
      <c r="F8" s="13" cm="1">
        <f t="array" ref="F8">_xll.BDH("DE US Equity","BS_CASH_NEAR_CASH_ITEM","FQ2 2019","FQ2 2019","Currency=USD","Period=FQ","BEST_FPERIOD_OVERRIDE=FQ","FILING_STATUS=MR","SCALING_FORMAT=MLN","Sort=A","Dates=H","DateFormat=P","Fill=—","Direction=H","UseDPDF=Y")</f>
        <v>3484</v>
      </c>
      <c r="G8" s="13" cm="1">
        <f t="array" ref="G8">_xll.BDH("DE US Equity","BS_CASH_NEAR_CASH_ITEM","FQ3 2019","FQ3 2019","Currency=USD","Period=FQ","BEST_FPERIOD_OVERRIDE=FQ","FILING_STATUS=MR","SCALING_FORMAT=MLN","Sort=A","Dates=H","DateFormat=P","Fill=—","Direction=H","UseDPDF=Y")</f>
        <v>3383</v>
      </c>
      <c r="H8" s="13" cm="1">
        <f t="array" ref="H8">_xll.BDH("DE US Equity","BS_CASH_NEAR_CASH_ITEM","FQ4 2019","FQ4 2019","Currency=USD","Period=FQ","BEST_FPERIOD_OVERRIDE=FQ","FILING_STATUS=MR","SCALING_FORMAT=MLN","Sort=A","Dates=H","DateFormat=P","Fill=—","Direction=H","UseDPDF=Y")</f>
        <v>3857</v>
      </c>
      <c r="I8" s="13" cm="1">
        <f t="array" ref="I8">_xll.BDH("DE US Equity","BS_CASH_NEAR_CASH_ITEM","FQ1 2020","FQ1 2020","Currency=USD","Period=FQ","BEST_FPERIOD_OVERRIDE=FQ","FILING_STATUS=MR","SCALING_FORMAT=MLN","Sort=A","Dates=H","DateFormat=P","Fill=—","Direction=H","UseDPDF=Y")</f>
        <v>3602</v>
      </c>
      <c r="J8" s="13" cm="1">
        <f t="array" ref="J8">_xll.BDH("DE US Equity","BS_CASH_NEAR_CASH_ITEM","FQ2 2020","FQ2 2020","Currency=USD","Period=FQ","BEST_FPERIOD_OVERRIDE=FQ","FILING_STATUS=MR","SCALING_FORMAT=MLN","Sort=A","Dates=H","DateFormat=P","Fill=—","Direction=H","UseDPDF=Y")</f>
        <v>8900</v>
      </c>
      <c r="K8" s="13" cm="1">
        <f t="array" ref="K8">_xll.BDH("DE US Equity","BS_CASH_NEAR_CASH_ITEM","FQ3 2020","FQ3 2020","Currency=USD","Period=FQ","BEST_FPERIOD_OVERRIDE=FQ","FILING_STATUS=MR","SCALING_FORMAT=MLN","Sort=A","Dates=H","DateFormat=P","Fill=—","Direction=H","UseDPDF=Y")</f>
        <v>8190</v>
      </c>
      <c r="L8" s="13" cm="1">
        <f t="array" ref="L8">_xll.BDH("DE US Equity","BS_CASH_NEAR_CASH_ITEM","FQ4 2020","FQ4 2020","Currency=USD","Period=FQ","BEST_FPERIOD_OVERRIDE=FQ","FILING_STATUS=MR","SCALING_FORMAT=MLN","Sort=A","Dates=H","DateFormat=P","Fill=—","Direction=H","UseDPDF=Y")</f>
        <v>7066</v>
      </c>
      <c r="M8" s="13" cm="1">
        <f t="array" ref="M8">_xll.BDH("DE US Equity","BS_CASH_NEAR_CASH_ITEM","FQ1 2021","FQ1 2021","Currency=USD","Period=FQ","BEST_FPERIOD_OVERRIDE=FQ","FILING_STATUS=MR","SCALING_FORMAT=MLN","Sort=A","Dates=H","DateFormat=P","Fill=—","Direction=H","UseDPDF=Y")</f>
        <v>6962</v>
      </c>
      <c r="N8" s="13" cm="1">
        <f t="array" ref="N8">_xll.BDH("DE US Equity","BS_CASH_NEAR_CASH_ITEM","FQ2 2021","FQ2 2021","Currency=USD","Period=FQ","BEST_FPERIOD_OVERRIDE=FQ","FILING_STATUS=MR","SCALING_FORMAT=MLN","Sort=A","Dates=H","DateFormat=P","Fill=—","Direction=H","UseDPDF=Y")</f>
        <v>7182</v>
      </c>
      <c r="O8" s="13" cm="1">
        <f t="array" ref="O8">_xll.BDH("DE US Equity","BS_CASH_NEAR_CASH_ITEM","FQ3 2021","FQ3 2021","Currency=USD","Period=FQ","BEST_FPERIOD_OVERRIDE=FQ","FILING_STATUS=MR","SCALING_FORMAT=MLN","Sort=A","Dates=H","DateFormat=P","Fill=—","Direction=H","UseDPDF=Y")</f>
        <v>7519</v>
      </c>
      <c r="P8" s="13" cm="1">
        <f t="array" ref="P8">_xll.BDH("DE US Equity","BS_CASH_NEAR_CASH_ITEM","FQ4 2021","FQ4 2021","Currency=USD","Period=FQ","BEST_FPERIOD_OVERRIDE=FQ","FILING_STATUS=MR","SCALING_FORMAT=MLN","Sort=A","Dates=H","DateFormat=P","Fill=—","Direction=H","UseDPDF=Y")</f>
        <v>8017</v>
      </c>
      <c r="Q8" s="13" cm="1">
        <f t="array" ref="Q8">_xll.BDH("DE US Equity","BS_CASH_NEAR_CASH_ITEM","FQ1 2022","FQ1 2022","Currency=USD","Period=FQ","BEST_FPERIOD_OVERRIDE=FQ","FILING_STATUS=MR","SCALING_FORMAT=MLN","Sort=A","Dates=H","DateFormat=P","Fill=—","Direction=H","UseDPDF=Y")</f>
        <v>4472</v>
      </c>
      <c r="R8" s="13" cm="1">
        <f t="array" ref="R8">_xll.BDH("DE US Equity","BS_CASH_NEAR_CASH_ITEM","FQ2 2022","FQ2 2022","Currency=USD","Period=FQ","BEST_FPERIOD_OVERRIDE=FQ","FILING_STATUS=MR","SCALING_FORMAT=MLN","Sort=A","Dates=H","DateFormat=P","Fill=—","Direction=H","UseDPDF=Y")</f>
        <v>3878</v>
      </c>
      <c r="S8" s="13" cm="1">
        <f t="array" ref="S8">_xll.BDH("DE US Equity","BS_CASH_NEAR_CASH_ITEM","FQ3 2022","FQ3 2022","Currency=USD","Period=FQ","BEST_FPERIOD_OVERRIDE=FQ","FILING_STATUS=MR","SCALING_FORMAT=MLN","Sort=A","Dates=H","DateFormat=P","Fill=—","Direction=H","UseDPDF=Y")</f>
        <v>4359</v>
      </c>
      <c r="T8" s="13" cm="1">
        <f t="array" ref="T8">_xll.BDH("DE US Equity","BS_CASH_NEAR_CASH_ITEM","FQ4 2022","FQ4 2022","Currency=USD","Period=FQ","BEST_FPERIOD_OVERRIDE=FQ","FILING_STATUS=MR","SCALING_FORMAT=MLN","Sort=A","Dates=H","DateFormat=P","Fill=—","Direction=H","UseDPDF=Y")</f>
        <v>4774</v>
      </c>
      <c r="U8" s="13" cm="1">
        <f t="array" ref="U8">_xll.BDH("DE US Equity","BS_CASH_NEAR_CASH_ITEM","FQ1 2023","FQ1 2023","Currency=USD","Period=FQ","BEST_FPERIOD_OVERRIDE=FQ","FILING_STATUS=MR","SCALING_FORMAT=MLN","Sort=A","Dates=H","DateFormat=P","Fill=—","Direction=H","UseDPDF=Y")</f>
        <v>3976</v>
      </c>
      <c r="V8" s="13" cm="1">
        <f t="array" ref="V8">_xll.BDH("DE US Equity","BS_CASH_NEAR_CASH_ITEM","FQ2 2023","FQ2 2023","Currency=USD","Period=FQ","BEST_FPERIOD_OVERRIDE=FQ","FILING_STATUS=MR","SCALING_FORMAT=MLN","Sort=A","Dates=H","DateFormat=P","Fill=—","Direction=H","UseDPDF=Y")</f>
        <v>5267</v>
      </c>
      <c r="W8" s="13" cm="1">
        <f t="array" ref="W8">_xll.BDH("DE US Equity","BS_CASH_NEAR_CASH_ITEM","FQ3 2023","FQ3 2023","Currency=USD","Period=FQ","BEST_FPERIOD_OVERRIDE=FQ","FILING_STATUS=MR","SCALING_FORMAT=MLN","Sort=A","Dates=H","DateFormat=P","Fill=—","Direction=H","UseDPDF=Y")</f>
        <v>6576</v>
      </c>
      <c r="X8" s="13" cm="1">
        <f t="array" ref="X8">_xll.BDH("DE US Equity","BS_CASH_NEAR_CASH_ITEM","FQ4 2023","FQ4 2023","Currency=USD","Period=FQ","BEST_FPERIOD_OVERRIDE=FQ","FILING_STATUS=MR","SCALING_FORMAT=MLN","Sort=A","Dates=H","DateFormat=P","Fill=—","Direction=H","UseDPDF=Y")</f>
        <v>7458</v>
      </c>
      <c r="Y8" s="13" cm="1">
        <f t="array" ref="Y8">_xll.BDH("DE US Equity","BS_CASH_NEAR_CASH_ITEM","FQ1 2024","FQ1 2024","Currency=USD","Period=FQ","BEST_FPERIOD_OVERRIDE=FQ","FILING_STATUS=MR","SCALING_FORMAT=MLN","Sort=A","Dates=H","DateFormat=P","Fill=—","Direction=H","UseDPDF=Y")</f>
        <v>5137</v>
      </c>
      <c r="Z8" s="13" cm="1">
        <f t="array" ref="Z8">_xll.BDH("DE US Equity","BS_CASH_NEAR_CASH_ITEM","FQ2 2024","FQ2 2024","Currency=USD","Period=FQ","BEST_FPERIOD_OVERRIDE=FQ","FILING_STATUS=MR","SCALING_FORMAT=MLN","Sort=A","Dates=H","DateFormat=P","Fill=—","Direction=H","UseDPDF=Y")</f>
        <v>5553</v>
      </c>
      <c r="AA8" s="13" cm="1">
        <f t="array" ref="AA8">_xll.BDH("DE US Equity","BS_CASH_NEAR_CASH_ITEM","FQ3 2024","FQ3 2024","Currency=USD","Period=FQ","BEST_FPERIOD_OVERRIDE=FQ","FILING_STATUS=MR","SCALING_FORMAT=MLN","Sort=A","Dates=H","DateFormat=P","Fill=—","Direction=H","UseDPDF=Y")</f>
        <v>7004</v>
      </c>
      <c r="AB8" s="13" cm="1">
        <f t="array" ref="AB8">_xll.BDH("DE US Equity","BS_CASH_NEAR_CASH_ITEM","FQ4 2024","FQ4 2024","Currency=USD","Period=FQ","BEST_FPERIOD_OVERRIDE=FQ","FILING_STATUS=MR","SCALING_FORMAT=MLN","Sort=A","Dates=H","DateFormat=P","Fill=—","Direction=H","UseDPDF=Y")</f>
        <v>7324</v>
      </c>
      <c r="AC8" s="13" cm="1">
        <f t="array" ref="AC8">_xll.BDH("DE US Equity","BS_CASH_NEAR_CASH_ITEM","FQ1 2025","FQ1 2025","Currency=USD","Period=FQ","BEST_FPERIOD_OVERRIDE=FQ","FILING_STATUS=MR","SCALING_FORMAT=MLN","Sort=A","Dates=H","DateFormat=P","Fill=—","Direction=H","UseDPDF=Y")</f>
        <v>6601</v>
      </c>
      <c r="AD8" s="13" cm="1">
        <f t="array" ref="AD8">_xll.BDH("DE US Equity","BS_CASH_NEAR_CASH_ITEM","FQ2 2025","FQ2 2025","Currency=USD","Period=FQ","BEST_FPERIOD_OVERRIDE=FQ","FILING_STATUS=MR","SCALING_FORMAT=MLN","Sort=A","Dates=H","DateFormat=P","Fill=—","Direction=H","UseDPDF=Y")</f>
        <v>7991</v>
      </c>
      <c r="AE8" s="13" cm="1">
        <f t="array" ref="AE8">_xll.BDH("DE US Equity","BS_CASH_NEAR_CASH_ITEM","FQ3 2025","FQ3 2025","Currency=USD","Period=FQ","BEST_FPERIOD_OVERRIDE=FQ","FILING_STATUS=MR","SCALING_FORMAT=MLN","Sort=A","Dates=H","DateFormat=P","Fill=—","Direction=H","UseDPDF=Y")</f>
        <v>8580</v>
      </c>
      <c r="AF8" s="13" cm="1">
        <f t="array" ref="AF8">_xll.BDH("DE US Equity","BS_CASH_NEAR_CASH_ITEM","FQ4 2025","FQ4 2025","Currency=USD","Period=FQ","BEST_FPERIOD_OVERRIDE=FQ","FILING_STATUS=MR","SCALING_FORMAT=MLN","Sort=A","Dates=H","DateFormat=P","Fill=—","Direction=H","UseDPDF=Y")</f>
        <v>8276</v>
      </c>
    </row>
    <row r="9" spans="1:32" x14ac:dyDescent="0.25">
      <c r="A9" s="10" t="s">
        <v>70</v>
      </c>
      <c r="B9" s="10" t="s">
        <v>71</v>
      </c>
      <c r="C9" s="13" cm="1">
        <f t="array" ref="C9">_xll.BDH("DE US Equity","BS_MKT_SEC_OTHER_ST_INVEST","FQ3 2018","FQ3 2018","Currency=USD","Period=FQ","BEST_FPERIOD_OVERRIDE=FQ","FILING_STATUS=MR","SCALING_FORMAT=MLN","Sort=A","Dates=H","DateFormat=P","Fill=—","Direction=H","UseDPDF=Y")</f>
        <v>488</v>
      </c>
      <c r="D9" s="13" cm="1">
        <f t="array" ref="D9">_xll.BDH("DE US Equity","BS_MKT_SEC_OTHER_ST_INVEST","FQ4 2018","FQ4 2018","Currency=USD","Period=FQ","BEST_FPERIOD_OVERRIDE=FQ","FILING_STATUS=MR","SCALING_FORMAT=MLN","Sort=A","Dates=H","DateFormat=P","Fill=—","Direction=H","UseDPDF=Y")</f>
        <v>490</v>
      </c>
      <c r="E9" s="13" cm="1">
        <f t="array" ref="E9">_xll.BDH("DE US Equity","BS_MKT_SEC_OTHER_ST_INVEST","FQ1 2019","FQ1 2019","Currency=USD","Period=FQ","BEST_FPERIOD_OVERRIDE=FQ","FILING_STATUS=MR","SCALING_FORMAT=MLN","Sort=A","Dates=H","DateFormat=P","Fill=—","Direction=H","UseDPDF=Y")</f>
        <v>523.5</v>
      </c>
      <c r="F9" s="13" cm="1">
        <f t="array" ref="F9">_xll.BDH("DE US Equity","BS_MKT_SEC_OTHER_ST_INVEST","FQ2 2019","FQ2 2019","Currency=USD","Period=FQ","BEST_FPERIOD_OVERRIDE=FQ","FILING_STATUS=MR","SCALING_FORMAT=MLN","Sort=A","Dates=H","DateFormat=P","Fill=—","Direction=H","UseDPDF=Y")</f>
        <v>545</v>
      </c>
      <c r="G9" s="13" cm="1">
        <f t="array" ref="G9">_xll.BDH("DE US Equity","BS_MKT_SEC_OTHER_ST_INVEST","FQ3 2019","FQ3 2019","Currency=USD","Period=FQ","BEST_FPERIOD_OVERRIDE=FQ","FILING_STATUS=MR","SCALING_FORMAT=MLN","Sort=A","Dates=H","DateFormat=P","Fill=—","Direction=H","UseDPDF=Y")</f>
        <v>565</v>
      </c>
      <c r="H9" s="13" cm="1">
        <f t="array" ref="H9">_xll.BDH("DE US Equity","BS_MKT_SEC_OTHER_ST_INVEST","FQ4 2019","FQ4 2019","Currency=USD","Period=FQ","BEST_FPERIOD_OVERRIDE=FQ","FILING_STATUS=MR","SCALING_FORMAT=MLN","Sort=A","Dates=H","DateFormat=P","Fill=—","Direction=H","UseDPDF=Y")</f>
        <v>581</v>
      </c>
      <c r="I9" s="13" cm="1">
        <f t="array" ref="I9">_xll.BDH("DE US Equity","BS_MKT_SEC_OTHER_ST_INVEST","FQ1 2020","FQ1 2020","Currency=USD","Period=FQ","BEST_FPERIOD_OVERRIDE=FQ","FILING_STATUS=MR","SCALING_FORMAT=MLN","Sort=A","Dates=H","DateFormat=P","Fill=—","Direction=H","UseDPDF=Y")</f>
        <v>609</v>
      </c>
      <c r="J9" s="13" cm="1">
        <f t="array" ref="J9">_xll.BDH("DE US Equity","BS_MKT_SEC_OTHER_ST_INVEST","FQ2 2020","FQ2 2020","Currency=USD","Period=FQ","BEST_FPERIOD_OVERRIDE=FQ","FILING_STATUS=MR","SCALING_FORMAT=MLN","Sort=A","Dates=H","DateFormat=P","Fill=—","Direction=H","UseDPDF=Y")</f>
        <v>626</v>
      </c>
      <c r="K9" s="13" cm="1">
        <f t="array" ref="K9">_xll.BDH("DE US Equity","BS_MKT_SEC_OTHER_ST_INVEST","FQ3 2020","FQ3 2020","Currency=USD","Period=FQ","BEST_FPERIOD_OVERRIDE=FQ","FILING_STATUS=MR","SCALING_FORMAT=MLN","Sort=A","Dates=H","DateFormat=P","Fill=—","Direction=H","UseDPDF=Y")</f>
        <v>640</v>
      </c>
      <c r="L9" s="13" cm="1">
        <f t="array" ref="L9">_xll.BDH("DE US Equity","BS_MKT_SEC_OTHER_ST_INVEST","FQ4 2020","FQ4 2020","Currency=USD","Period=FQ","BEST_FPERIOD_OVERRIDE=FQ","FILING_STATUS=MR","SCALING_FORMAT=MLN","Sort=A","Dates=H","DateFormat=P","Fill=—","Direction=H","UseDPDF=Y")</f>
        <v>641</v>
      </c>
      <c r="M9" s="13" cm="1">
        <f t="array" ref="M9">_xll.BDH("DE US Equity","BS_MKT_SEC_OTHER_ST_INVEST","FQ1 2021","FQ1 2021","Currency=USD","Period=FQ","BEST_FPERIOD_OVERRIDE=FQ","FILING_STATUS=MR","SCALING_FORMAT=MLN","Sort=A","Dates=H","DateFormat=P","Fill=—","Direction=H","UseDPDF=Y")</f>
        <v>667</v>
      </c>
      <c r="N9" s="13" cm="1">
        <f t="array" ref="N9">_xll.BDH("DE US Equity","BS_MKT_SEC_OTHER_ST_INVEST","FQ2 2021","FQ2 2021","Currency=USD","Period=FQ","BEST_FPERIOD_OVERRIDE=FQ","FILING_STATUS=MR","SCALING_FORMAT=MLN","Sort=A","Dates=H","DateFormat=P","Fill=—","Direction=H","UseDPDF=Y")</f>
        <v>668</v>
      </c>
      <c r="O9" s="13" cm="1">
        <f t="array" ref="O9">_xll.BDH("DE US Equity","BS_MKT_SEC_OTHER_ST_INVEST","FQ3 2021","FQ3 2021","Currency=USD","Period=FQ","BEST_FPERIOD_OVERRIDE=FQ","FILING_STATUS=MR","SCALING_FORMAT=MLN","Sort=A","Dates=H","DateFormat=P","Fill=—","Direction=H","UseDPDF=Y")</f>
        <v>688</v>
      </c>
      <c r="P9" s="13" cm="1">
        <f t="array" ref="P9">_xll.BDH("DE US Equity","BS_MKT_SEC_OTHER_ST_INVEST","FQ4 2021","FQ4 2021","Currency=USD","Period=FQ","BEST_FPERIOD_OVERRIDE=FQ","FILING_STATUS=MR","SCALING_FORMAT=MLN","Sort=A","Dates=H","DateFormat=P","Fill=—","Direction=H","UseDPDF=Y")</f>
        <v>728</v>
      </c>
      <c r="Q9" s="13" cm="1">
        <f t="array" ref="Q9">_xll.BDH("DE US Equity","BS_MKT_SEC_OTHER_ST_INVEST","FQ1 2022","FQ1 2022","Currency=USD","Period=FQ","BEST_FPERIOD_OVERRIDE=FQ","FILING_STATUS=MR","SCALING_FORMAT=MLN","Sort=A","Dates=H","DateFormat=P","Fill=—","Direction=H","UseDPDF=Y")</f>
        <v>735</v>
      </c>
      <c r="R9" s="13" cm="1">
        <f t="array" ref="R9">_xll.BDH("DE US Equity","BS_MKT_SEC_OTHER_ST_INVEST","FQ2 2022","FQ2 2022","Currency=USD","Period=FQ","BEST_FPERIOD_OVERRIDE=FQ","FILING_STATUS=MR","SCALING_FORMAT=MLN","Sort=A","Dates=H","DateFormat=P","Fill=—","Direction=H","UseDPDF=Y")</f>
        <v>682</v>
      </c>
      <c r="S9" s="13" cm="1">
        <f t="array" ref="S9">_xll.BDH("DE US Equity","BS_MKT_SEC_OTHER_ST_INVEST","FQ3 2022","FQ3 2022","Currency=USD","Period=FQ","BEST_FPERIOD_OVERRIDE=FQ","FILING_STATUS=MR","SCALING_FORMAT=MLN","Sort=A","Dates=H","DateFormat=P","Fill=—","Direction=H","UseDPDF=Y")</f>
        <v>719</v>
      </c>
      <c r="T9" s="13" cm="1">
        <f t="array" ref="T9">_xll.BDH("DE US Equity","BS_MKT_SEC_OTHER_ST_INVEST","FQ4 2022","FQ4 2022","Currency=USD","Period=FQ","BEST_FPERIOD_OVERRIDE=FQ","FILING_STATUS=MR","SCALING_FORMAT=MLN","Sort=A","Dates=H","DateFormat=P","Fill=—","Direction=H","UseDPDF=Y")</f>
        <v>734</v>
      </c>
      <c r="U9" s="13" cm="1">
        <f t="array" ref="U9">_xll.BDH("DE US Equity","BS_MKT_SEC_OTHER_ST_INVEST","FQ1 2023","FQ1 2023","Currency=USD","Period=FQ","BEST_FPERIOD_OVERRIDE=FQ","FILING_STATUS=MR","SCALING_FORMAT=MLN","Sort=A","Dates=H","DateFormat=P","Fill=—","Direction=H","UseDPDF=Y")</f>
        <v>852</v>
      </c>
      <c r="V9" s="13" cm="1">
        <f t="array" ref="V9">_xll.BDH("DE US Equity","BS_MKT_SEC_OTHER_ST_INVEST","FQ2 2023","FQ2 2023","Currency=USD","Period=FQ","BEST_FPERIOD_OVERRIDE=FQ","FILING_STATUS=MR","SCALING_FORMAT=MLN","Sort=A","Dates=H","DateFormat=P","Fill=—","Direction=H","UseDPDF=Y")</f>
        <v>856</v>
      </c>
      <c r="W9" s="13" cm="1">
        <f t="array" ref="W9">_xll.BDH("DE US Equity","BS_MKT_SEC_OTHER_ST_INVEST","FQ3 2023","FQ3 2023","Currency=USD","Period=FQ","BEST_FPERIOD_OVERRIDE=FQ","FILING_STATUS=MR","SCALING_FORMAT=MLN","Sort=A","Dates=H","DateFormat=P","Fill=—","Direction=H","UseDPDF=Y")</f>
        <v>841</v>
      </c>
      <c r="X9" s="13" cm="1">
        <f t="array" ref="X9">_xll.BDH("DE US Equity","BS_MKT_SEC_OTHER_ST_INVEST","FQ4 2023","FQ4 2023","Currency=USD","Period=FQ","BEST_FPERIOD_OVERRIDE=FQ","FILING_STATUS=MR","SCALING_FORMAT=MLN","Sort=A","Dates=H","DateFormat=P","Fill=—","Direction=H","UseDPDF=Y")</f>
        <v>946</v>
      </c>
      <c r="Y9" s="13" cm="1">
        <f t="array" ref="Y9">_xll.BDH("DE US Equity","BS_MKT_SEC_OTHER_ST_INVEST","FQ1 2024","FQ1 2024","Currency=USD","Period=FQ","BEST_FPERIOD_OVERRIDE=FQ","FILING_STATUS=MR","SCALING_FORMAT=MLN","Sort=A","Dates=H","DateFormat=P","Fill=—","Direction=H","UseDPDF=Y")</f>
        <v>1136</v>
      </c>
      <c r="Z9" s="13" cm="1">
        <f t="array" ref="Z9">_xll.BDH("DE US Equity","BS_MKT_SEC_OTHER_ST_INVEST","FQ2 2024","FQ2 2024","Currency=USD","Period=FQ","BEST_FPERIOD_OVERRIDE=FQ","FILING_STATUS=MR","SCALING_FORMAT=MLN","Sort=A","Dates=H","DateFormat=P","Fill=—","Direction=H","UseDPDF=Y")</f>
        <v>1094</v>
      </c>
      <c r="AA9" s="13" cm="1">
        <f t="array" ref="AA9">_xll.BDH("DE US Equity","BS_MKT_SEC_OTHER_ST_INVEST","FQ3 2024","FQ3 2024","Currency=USD","Period=FQ","BEST_FPERIOD_OVERRIDE=FQ","FILING_STATUS=MR","SCALING_FORMAT=MLN","Sort=A","Dates=H","DateFormat=P","Fill=—","Direction=H","UseDPDF=Y")</f>
        <v>1140</v>
      </c>
      <c r="AB9" s="13" cm="1">
        <f t="array" ref="AB9">_xll.BDH("DE US Equity","BS_MKT_SEC_OTHER_ST_INVEST","FQ4 2024","FQ4 2024","Currency=USD","Period=FQ","BEST_FPERIOD_OVERRIDE=FQ","FILING_STATUS=MR","SCALING_FORMAT=MLN","Sort=A","Dates=H","DateFormat=P","Fill=—","Direction=H","UseDPDF=Y")</f>
        <v>1154</v>
      </c>
      <c r="AC9" s="13" cm="1">
        <f t="array" ref="AC9">_xll.BDH("DE US Equity","BS_MKT_SEC_OTHER_ST_INVEST","FQ1 2025","FQ1 2025","Currency=USD","Period=FQ","BEST_FPERIOD_OVERRIDE=FQ","FILING_STATUS=MR","SCALING_FORMAT=MLN","Sort=A","Dates=H","DateFormat=P","Fill=—","Direction=H","UseDPDF=Y")</f>
        <v>1214</v>
      </c>
      <c r="AD9" s="13" cm="1">
        <f t="array" ref="AD9">_xll.BDH("DE US Equity","BS_MKT_SEC_OTHER_ST_INVEST","FQ2 2025","FQ2 2025","Currency=USD","Period=FQ","BEST_FPERIOD_OVERRIDE=FQ","FILING_STATUS=MR","SCALING_FORMAT=MLN","Sort=A","Dates=H","DateFormat=P","Fill=—","Direction=H","UseDPDF=Y")</f>
        <v>1272</v>
      </c>
      <c r="AE9" s="13" cm="1">
        <f t="array" ref="AE9">_xll.BDH("DE US Equity","BS_MKT_SEC_OTHER_ST_INVEST","FQ3 2025","FQ3 2025","Currency=USD","Period=FQ","BEST_FPERIOD_OVERRIDE=FQ","FILING_STATUS=MR","SCALING_FORMAT=MLN","Sort=A","Dates=H","DateFormat=P","Fill=—","Direction=H","UseDPDF=Y")</f>
        <v>1407</v>
      </c>
      <c r="AF9" s="13" cm="1">
        <f t="array" ref="AF9">_xll.BDH("DE US Equity","BS_MKT_SEC_OTHER_ST_INVEST","FQ4 2025","FQ4 2025","Currency=USD","Period=FQ","BEST_FPERIOD_OVERRIDE=FQ","FILING_STATUS=MR","SCALING_FORMAT=MLN","Sort=A","Dates=H","DateFormat=P","Fill=—","Direction=H","UseDPDF=Y")</f>
        <v>1411</v>
      </c>
    </row>
    <row r="10" spans="1:32" x14ac:dyDescent="0.25">
      <c r="A10" s="10" t="s">
        <v>72</v>
      </c>
      <c r="B10" s="10" t="s">
        <v>73</v>
      </c>
      <c r="C10" s="13" cm="1">
        <f t="array" ref="C10">_xll.BDH("DE US Equity","BS_ACCT_NOTE_RCV","FQ3 2018","FQ3 2018","Currency=USD","Period=FQ","BEST_FPERIOD_OVERRIDE=FQ","FILING_STATUS=MR","SCALING_FORMAT=MLN","Sort=A","Dates=H","DateFormat=P","Fill=—","Direction=H","UseDPDF=Y")</f>
        <v>6208</v>
      </c>
      <c r="D10" s="13" cm="1">
        <f t="array" ref="D10">_xll.BDH("DE US Equity","BS_ACCT_NOTE_RCV","FQ4 2018","FQ4 2018","Currency=USD","Period=FQ","BEST_FPERIOD_OVERRIDE=FQ","FILING_STATUS=MR","SCALING_FORMAT=MLN","Sort=A","Dates=H","DateFormat=P","Fill=—","Direction=H","UseDPDF=Y")</f>
        <v>5004</v>
      </c>
      <c r="E10" s="13" cm="1">
        <f t="array" ref="E10">_xll.BDH("DE US Equity","BS_ACCT_NOTE_RCV","FQ1 2019","FQ1 2019","Currency=USD","Period=FQ","BEST_FPERIOD_OVERRIDE=FQ","FILING_STATUS=MR","SCALING_FORMAT=MLN","Sort=A","Dates=H","DateFormat=P","Fill=—","Direction=H","UseDPDF=Y")</f>
        <v>5497.4</v>
      </c>
      <c r="F10" s="13" cm="1">
        <f t="array" ref="F10">_xll.BDH("DE US Equity","BS_ACCT_NOTE_RCV","FQ2 2019","FQ2 2019","Currency=USD","Period=FQ","BEST_FPERIOD_OVERRIDE=FQ","FILING_STATUS=MR","SCALING_FORMAT=MLN","Sort=A","Dates=H","DateFormat=P","Fill=—","Direction=H","UseDPDF=Y")</f>
        <v>7519</v>
      </c>
      <c r="G10" s="13" cm="1">
        <f t="array" ref="G10">_xll.BDH("DE US Equity","BS_ACCT_NOTE_RCV","FQ3 2019","FQ3 2019","Currency=USD","Period=FQ","BEST_FPERIOD_OVERRIDE=FQ","FILING_STATUS=MR","SCALING_FORMAT=MLN","Sort=A","Dates=H","DateFormat=P","Fill=—","Direction=H","UseDPDF=Y")</f>
        <v>6758</v>
      </c>
      <c r="H10" s="13" cm="1">
        <f t="array" ref="H10">_xll.BDH("DE US Equity","BS_ACCT_NOTE_RCV","FQ4 2019","FQ4 2019","Currency=USD","Period=FQ","BEST_FPERIOD_OVERRIDE=FQ","FILING_STATUS=MR","SCALING_FORMAT=MLN","Sort=A","Dates=H","DateFormat=P","Fill=—","Direction=H","UseDPDF=Y")</f>
        <v>5230</v>
      </c>
      <c r="I10" s="13" cm="1">
        <f t="array" ref="I10">_xll.BDH("DE US Equity","BS_ACCT_NOTE_RCV","FQ1 2020","FQ1 2020","Currency=USD","Period=FQ","BEST_FPERIOD_OVERRIDE=FQ","FILING_STATUS=MR","SCALING_FORMAT=MLN","Sort=A","Dates=H","DateFormat=P","Fill=—","Direction=H","UseDPDF=Y")</f>
        <v>5360</v>
      </c>
      <c r="J10" s="13" cm="1">
        <f t="array" ref="J10">_xll.BDH("DE US Equity","BS_ACCT_NOTE_RCV","FQ2 2020","FQ2 2020","Currency=USD","Period=FQ","BEST_FPERIOD_OVERRIDE=FQ","FILING_STATUS=MR","SCALING_FORMAT=MLN","Sort=A","Dates=H","DateFormat=P","Fill=—","Direction=H","UseDPDF=Y")</f>
        <v>5986</v>
      </c>
      <c r="K10" s="13" cm="1">
        <f t="array" ref="K10">_xll.BDH("DE US Equity","BS_ACCT_NOTE_RCV","FQ3 2020","FQ3 2020","Currency=USD","Period=FQ","BEST_FPERIOD_OVERRIDE=FQ","FILING_STATUS=MR","SCALING_FORMAT=MLN","Sort=A","Dates=H","DateFormat=P","Fill=—","Direction=H","UseDPDF=Y")</f>
        <v>5473</v>
      </c>
      <c r="L10" s="13" cm="1">
        <f t="array" ref="L10">_xll.BDH("DE US Equity","BS_ACCT_NOTE_RCV","FQ4 2020","FQ4 2020","Currency=USD","Period=FQ","BEST_FPERIOD_OVERRIDE=FQ","FILING_STATUS=MR","SCALING_FORMAT=MLN","Sort=A","Dates=H","DateFormat=P","Fill=—","Direction=H","UseDPDF=Y")</f>
        <v>4171</v>
      </c>
      <c r="M10" s="13" cm="1">
        <f t="array" ref="M10">_xll.BDH("DE US Equity","BS_ACCT_NOTE_RCV","FQ1 2021","FQ1 2021","Currency=USD","Period=FQ","BEST_FPERIOD_OVERRIDE=FQ","FILING_STATUS=MR","SCALING_FORMAT=MLN","Sort=A","Dates=H","DateFormat=P","Fill=—","Direction=H","UseDPDF=Y")</f>
        <v>5037</v>
      </c>
      <c r="N10" s="13" cm="1">
        <f t="array" ref="N10">_xll.BDH("DE US Equity","BS_ACCT_NOTE_RCV","FQ2 2021","FQ2 2021","Currency=USD","Period=FQ","BEST_FPERIOD_OVERRIDE=FQ","FILING_STATUS=MR","SCALING_FORMAT=MLN","Sort=A","Dates=H","DateFormat=P","Fill=—","Direction=H","UseDPDF=Y")</f>
        <v>6158</v>
      </c>
      <c r="O10" s="13" cm="1">
        <f t="array" ref="O10">_xll.BDH("DE US Equity","BS_ACCT_NOTE_RCV","FQ3 2021","FQ3 2021","Currency=USD","Period=FQ","BEST_FPERIOD_OVERRIDE=FQ","FILING_STATUS=MR","SCALING_FORMAT=MLN","Sort=A","Dates=H","DateFormat=P","Fill=—","Direction=H","UseDPDF=Y")</f>
        <v>5268</v>
      </c>
      <c r="P10" s="13" cm="1">
        <f t="array" ref="P10">_xll.BDH("DE US Equity","BS_ACCT_NOTE_RCV","FQ4 2021","FQ4 2021","Currency=USD","Period=FQ","BEST_FPERIOD_OVERRIDE=FQ","FILING_STATUS=MR","SCALING_FORMAT=MLN","Sort=A","Dates=H","DateFormat=P","Fill=—","Direction=H","UseDPDF=Y")</f>
        <v>4208</v>
      </c>
      <c r="Q10" s="13" cm="1">
        <f t="array" ref="Q10">_xll.BDH("DE US Equity","BS_ACCT_NOTE_RCV","FQ1 2022","FQ1 2022","Currency=USD","Period=FQ","BEST_FPERIOD_OVERRIDE=FQ","FILING_STATUS=MR","SCALING_FORMAT=MLN","Sort=A","Dates=H","DateFormat=P","Fill=—","Direction=H","UseDPDF=Y")</f>
        <v>4855</v>
      </c>
      <c r="R10" s="13" cm="1">
        <f t="array" ref="R10">_xll.BDH("DE US Equity","BS_ACCT_NOTE_RCV","FQ2 2022","FQ2 2022","Currency=USD","Period=FQ","BEST_FPERIOD_OVERRIDE=FQ","FILING_STATUS=MR","SCALING_FORMAT=MLN","Sort=A","Dates=H","DateFormat=P","Fill=—","Direction=H","UseDPDF=Y")</f>
        <v>6258</v>
      </c>
      <c r="S10" s="13" cm="1">
        <f t="array" ref="S10">_xll.BDH("DE US Equity","BS_ACCT_NOTE_RCV","FQ3 2022","FQ3 2022","Currency=USD","Period=FQ","BEST_FPERIOD_OVERRIDE=FQ","FILING_STATUS=MR","SCALING_FORMAT=MLN","Sort=A","Dates=H","DateFormat=P","Fill=—","Direction=H","UseDPDF=Y")</f>
        <v>6696</v>
      </c>
      <c r="T10" s="13" cm="1">
        <f t="array" ref="T10">_xll.BDH("DE US Equity","BS_ACCT_NOTE_RCV","FQ4 2022","FQ4 2022","Currency=USD","Period=FQ","BEST_FPERIOD_OVERRIDE=FQ","FILING_STATUS=MR","SCALING_FORMAT=MLN","Sort=A","Dates=H","DateFormat=P","Fill=—","Direction=H","UseDPDF=Y")</f>
        <v>6410</v>
      </c>
      <c r="U10" s="13" cm="1">
        <f t="array" ref="U10">_xll.BDH("DE US Equity","BS_ACCT_NOTE_RCV","FQ1 2023","FQ1 2023","Currency=USD","Period=FQ","BEST_FPERIOD_OVERRIDE=FQ","FILING_STATUS=MR","SCALING_FORMAT=MLN","Sort=A","Dates=H","DateFormat=P","Fill=—","Direction=H","UseDPDF=Y")</f>
        <v>7609</v>
      </c>
      <c r="V10" s="13" cm="1">
        <f t="array" ref="V10">_xll.BDH("DE US Equity","BS_ACCT_NOTE_RCV","FQ2 2023","FQ2 2023","Currency=USD","Period=FQ","BEST_FPERIOD_OVERRIDE=FQ","FILING_STATUS=MR","SCALING_FORMAT=MLN","Sort=A","Dates=H","DateFormat=P","Fill=—","Direction=H","UseDPDF=Y")</f>
        <v>9971</v>
      </c>
      <c r="W10" s="13" cm="1">
        <f t="array" ref="W10">_xll.BDH("DE US Equity","BS_ACCT_NOTE_RCV","FQ3 2023","FQ3 2023","Currency=USD","Period=FQ","BEST_FPERIOD_OVERRIDE=FQ","FILING_STATUS=MR","SCALING_FORMAT=MLN","Sort=A","Dates=H","DateFormat=P","Fill=—","Direction=H","UseDPDF=Y")</f>
        <v>9297</v>
      </c>
      <c r="X10" s="13" cm="1">
        <f t="array" ref="X10">_xll.BDH("DE US Equity","BS_ACCT_NOTE_RCV","FQ4 2023","FQ4 2023","Currency=USD","Period=FQ","BEST_FPERIOD_OVERRIDE=FQ","FILING_STATUS=MR","SCALING_FORMAT=MLN","Sort=A","Dates=H","DateFormat=P","Fill=—","Direction=H","UseDPDF=Y")</f>
        <v>7739</v>
      </c>
      <c r="Y10" s="13" cm="1">
        <f t="array" ref="Y10">_xll.BDH("DE US Equity","BS_ACCT_NOTE_RCV","FQ1 2024","FQ1 2024","Currency=USD","Period=FQ","BEST_FPERIOD_OVERRIDE=FQ","FILING_STATUS=MR","SCALING_FORMAT=MLN","Sort=A","Dates=H","DateFormat=P","Fill=—","Direction=H","UseDPDF=Y")</f>
        <v>7795</v>
      </c>
      <c r="Z10" s="13" cm="1">
        <f t="array" ref="Z10">_xll.BDH("DE US Equity","BS_ACCT_NOTE_RCV","FQ2 2024","FQ2 2024","Currency=USD","Period=FQ","BEST_FPERIOD_OVERRIDE=FQ","FILING_STATUS=MR","SCALING_FORMAT=MLN","Sort=A","Dates=H","DateFormat=P","Fill=—","Direction=H","UseDPDF=Y")</f>
        <v>8880</v>
      </c>
      <c r="AA10" s="13" cm="1">
        <f t="array" ref="AA10">_xll.BDH("DE US Equity","BS_ACCT_NOTE_RCV","FQ3 2024","FQ3 2024","Currency=USD","Period=FQ","BEST_FPERIOD_OVERRIDE=FQ","FILING_STATUS=MR","SCALING_FORMAT=MLN","Sort=A","Dates=H","DateFormat=P","Fill=—","Direction=H","UseDPDF=Y")</f>
        <v>7469</v>
      </c>
      <c r="AB10" s="13" cm="1">
        <f t="array" ref="AB10">_xll.BDH("DE US Equity","BS_ACCT_NOTE_RCV","FQ4 2024","FQ4 2024","Currency=USD","Period=FQ","BEST_FPERIOD_OVERRIDE=FQ","FILING_STATUS=MR","SCALING_FORMAT=MLN","Sort=A","Dates=H","DateFormat=P","Fill=—","Direction=H","UseDPDF=Y")</f>
        <v>5326</v>
      </c>
      <c r="AC10" s="13" cm="1">
        <f t="array" ref="AC10">_xll.BDH("DE US Equity","BS_ACCT_NOTE_RCV","FQ1 2025","FQ1 2025","Currency=USD","Period=FQ","BEST_FPERIOD_OVERRIDE=FQ","FILING_STATUS=MR","SCALING_FORMAT=MLN","Sort=A","Dates=H","DateFormat=P","Fill=—","Direction=H","UseDPDF=Y")</f>
        <v>4931</v>
      </c>
      <c r="AD10" s="13" cm="1">
        <f t="array" ref="AD10">_xll.BDH("DE US Equity","BS_ACCT_NOTE_RCV","FQ2 2025","FQ2 2025","Currency=USD","Period=FQ","BEST_FPERIOD_OVERRIDE=FQ","FILING_STATUS=MR","SCALING_FORMAT=MLN","Sort=A","Dates=H","DateFormat=P","Fill=—","Direction=H","UseDPDF=Y")</f>
        <v>6748</v>
      </c>
      <c r="AE10" s="13" cm="1">
        <f t="array" ref="AE10">_xll.BDH("DE US Equity","BS_ACCT_NOTE_RCV","FQ3 2025","FQ3 2025","Currency=USD","Period=FQ","BEST_FPERIOD_OVERRIDE=FQ","FILING_STATUS=MR","SCALING_FORMAT=MLN","Sort=A","Dates=H","DateFormat=P","Fill=—","Direction=H","UseDPDF=Y")</f>
        <v>6103</v>
      </c>
      <c r="AF10" s="13" cm="1">
        <f t="array" ref="AF10">_xll.BDH("DE US Equity","BS_ACCT_NOTE_RCV","FQ4 2025","FQ4 2025","Currency=USD","Period=FQ","BEST_FPERIOD_OVERRIDE=FQ","FILING_STATUS=MR","SCALING_FORMAT=MLN","Sort=A","Dates=H","DateFormat=P","Fill=—","Direction=H","UseDPDF=Y")</f>
        <v>5317</v>
      </c>
    </row>
    <row r="11" spans="1:32" x14ac:dyDescent="0.25">
      <c r="A11" s="10" t="s">
        <v>74</v>
      </c>
      <c r="B11" s="10" t="s">
        <v>75</v>
      </c>
      <c r="C11" s="13" cm="1">
        <f t="array" ref="C11">_xll.BDH("DE US Equity","BS_INVENTORIES","FQ3 2018","FQ3 2018","Currency=USD","Period=FQ","BEST_FPERIOD_OVERRIDE=FQ","FILING_STATUS=MR","SCALING_FORMAT=MLN","Sort=A","Dates=H","DateFormat=P","Fill=—","Direction=H","UseDPDF=Y")</f>
        <v>6239</v>
      </c>
      <c r="D11" s="13" cm="1">
        <f t="array" ref="D11">_xll.BDH("DE US Equity","BS_INVENTORIES","FQ4 2018","FQ4 2018","Currency=USD","Period=FQ","BEST_FPERIOD_OVERRIDE=FQ","FILING_STATUS=MR","SCALING_FORMAT=MLN","Sort=A","Dates=H","DateFormat=P","Fill=—","Direction=H","UseDPDF=Y")</f>
        <v>6149</v>
      </c>
      <c r="E11" s="13" cm="1">
        <f t="array" ref="E11">_xll.BDH("DE US Equity","BS_INVENTORIES","FQ1 2019","FQ1 2019","Currency=USD","Period=FQ","BEST_FPERIOD_OVERRIDE=FQ","FILING_STATUS=MR","SCALING_FORMAT=MLN","Sort=A","Dates=H","DateFormat=P","Fill=—","Direction=H","UseDPDF=Y")</f>
        <v>7401.9</v>
      </c>
      <c r="F11" s="13" cm="1">
        <f t="array" ref="F11">_xll.BDH("DE US Equity","BS_INVENTORIES","FQ2 2019","FQ2 2019","Currency=USD","Period=FQ","BEST_FPERIOD_OVERRIDE=FQ","FILING_STATUS=MR","SCALING_FORMAT=MLN","Sort=A","Dates=H","DateFormat=P","Fill=—","Direction=H","UseDPDF=Y")</f>
        <v>7160.9</v>
      </c>
      <c r="G11" s="13" cm="1">
        <f t="array" ref="G11">_xll.BDH("DE US Equity","BS_INVENTORIES","FQ3 2019","FQ3 2019","Currency=USD","Period=FQ","BEST_FPERIOD_OVERRIDE=FQ","FILING_STATUS=MR","SCALING_FORMAT=MLN","Sort=A","Dates=H","DateFormat=P","Fill=—","Direction=H","UseDPDF=Y")</f>
        <v>6747</v>
      </c>
      <c r="H11" s="13" cm="1">
        <f t="array" ref="H11">_xll.BDH("DE US Equity","BS_INVENTORIES","FQ4 2019","FQ4 2019","Currency=USD","Period=FQ","BEST_FPERIOD_OVERRIDE=FQ","FILING_STATUS=MR","SCALING_FORMAT=MLN","Sort=A","Dates=H","DateFormat=P","Fill=—","Direction=H","UseDPDF=Y")</f>
        <v>5975</v>
      </c>
      <c r="I11" s="13" cm="1">
        <f t="array" ref="I11">_xll.BDH("DE US Equity","BS_INVENTORIES","FQ1 2020","FQ1 2020","Currency=USD","Period=FQ","BEST_FPERIOD_OVERRIDE=FQ","FILING_STATUS=MR","SCALING_FORMAT=MLN","Sort=A","Dates=H","DateFormat=P","Fill=—","Direction=H","UseDPDF=Y")</f>
        <v>6482</v>
      </c>
      <c r="J11" s="13" cm="1">
        <f t="array" ref="J11">_xll.BDH("DE US Equity","BS_INVENTORIES","FQ2 2020","FQ2 2020","Currency=USD","Period=FQ","BEST_FPERIOD_OVERRIDE=FQ","FILING_STATUS=MR","SCALING_FORMAT=MLN","Sort=A","Dates=H","DateFormat=P","Fill=—","Direction=H","UseDPDF=Y")</f>
        <v>6171</v>
      </c>
      <c r="K11" s="13" cm="1">
        <f t="array" ref="K11">_xll.BDH("DE US Equity","BS_INVENTORIES","FQ3 2020","FQ3 2020","Currency=USD","Period=FQ","BEST_FPERIOD_OVERRIDE=FQ","FILING_STATUS=MR","SCALING_FORMAT=MLN","Sort=A","Dates=H","DateFormat=P","Fill=—","Direction=H","UseDPDF=Y")</f>
        <v>5650</v>
      </c>
      <c r="L11" s="13" cm="1">
        <f t="array" ref="L11">_xll.BDH("DE US Equity","BS_INVENTORIES","FQ4 2020","FQ4 2020","Currency=USD","Period=FQ","BEST_FPERIOD_OVERRIDE=FQ","FILING_STATUS=MR","SCALING_FORMAT=MLN","Sort=A","Dates=H","DateFormat=P","Fill=—","Direction=H","UseDPDF=Y")</f>
        <v>4999</v>
      </c>
      <c r="M11" s="13" cm="1">
        <f t="array" ref="M11">_xll.BDH("DE US Equity","BS_INVENTORIES","FQ1 2021","FQ1 2021","Currency=USD","Period=FQ","BEST_FPERIOD_OVERRIDE=FQ","FILING_STATUS=MR","SCALING_FORMAT=MLN","Sort=A","Dates=H","DateFormat=P","Fill=—","Direction=H","UseDPDF=Y")</f>
        <v>5956</v>
      </c>
      <c r="N11" s="13" cm="1">
        <f t="array" ref="N11">_xll.BDH("DE US Equity","BS_INVENTORIES","FQ2 2021","FQ2 2021","Currency=USD","Period=FQ","BEST_FPERIOD_OVERRIDE=FQ","FILING_STATUS=MR","SCALING_FORMAT=MLN","Sort=A","Dates=H","DateFormat=P","Fill=—","Direction=H","UseDPDF=Y")</f>
        <v>6042</v>
      </c>
      <c r="O11" s="13" cm="1">
        <f t="array" ref="O11">_xll.BDH("DE US Equity","BS_INVENTORIES","FQ3 2021","FQ3 2021","Currency=USD","Period=FQ","BEST_FPERIOD_OVERRIDE=FQ","FILING_STATUS=MR","SCALING_FORMAT=MLN","Sort=A","Dates=H","DateFormat=P","Fill=—","Direction=H","UseDPDF=Y")</f>
        <v>6410</v>
      </c>
      <c r="P11" s="13" cm="1">
        <f t="array" ref="P11">_xll.BDH("DE US Equity","BS_INVENTORIES","FQ4 2021","FQ4 2021","Currency=USD","Period=FQ","BEST_FPERIOD_OVERRIDE=FQ","FILING_STATUS=MR","SCALING_FORMAT=MLN","Sort=A","Dates=H","DateFormat=P","Fill=—","Direction=H","UseDPDF=Y")</f>
        <v>6781</v>
      </c>
      <c r="Q11" s="13" cm="1">
        <f t="array" ref="Q11">_xll.BDH("DE US Equity","BS_INVENTORIES","FQ1 2022","FQ1 2022","Currency=USD","Period=FQ","BEST_FPERIOD_OVERRIDE=FQ","FILING_STATUS=MR","SCALING_FORMAT=MLN","Sort=A","Dates=H","DateFormat=P","Fill=—","Direction=H","UseDPDF=Y")</f>
        <v>7935</v>
      </c>
      <c r="R11" s="13" cm="1">
        <f t="array" ref="R11">_xll.BDH("DE US Equity","BS_INVENTORIES","FQ2 2022","FQ2 2022","Currency=USD","Period=FQ","BEST_FPERIOD_OVERRIDE=FQ","FILING_STATUS=MR","SCALING_FORMAT=MLN","Sort=A","Dates=H","DateFormat=P","Fill=—","Direction=H","UseDPDF=Y")</f>
        <v>9030</v>
      </c>
      <c r="S11" s="13" cm="1">
        <f t="array" ref="S11">_xll.BDH("DE US Equity","BS_INVENTORIES","FQ3 2022","FQ3 2022","Currency=USD","Period=FQ","BEST_FPERIOD_OVERRIDE=FQ","FILING_STATUS=MR","SCALING_FORMAT=MLN","Sort=A","Dates=H","DateFormat=P","Fill=—","Direction=H","UseDPDF=Y")</f>
        <v>9121</v>
      </c>
      <c r="T11" s="13" cm="1">
        <f t="array" ref="T11">_xll.BDH("DE US Equity","BS_INVENTORIES","FQ4 2022","FQ4 2022","Currency=USD","Period=FQ","BEST_FPERIOD_OVERRIDE=FQ","FILING_STATUS=MR","SCALING_FORMAT=MLN","Sort=A","Dates=H","DateFormat=P","Fill=—","Direction=H","UseDPDF=Y")</f>
        <v>8495</v>
      </c>
      <c r="U11" s="13" cm="1">
        <f t="array" ref="U11">_xll.BDH("DE US Equity","BS_INVENTORIES","FQ1 2023","FQ1 2023","Currency=USD","Period=FQ","BEST_FPERIOD_OVERRIDE=FQ","FILING_STATUS=MR","SCALING_FORMAT=MLN","Sort=A","Dates=H","DateFormat=P","Fill=—","Direction=H","UseDPDF=Y")</f>
        <v>10056</v>
      </c>
      <c r="V11" s="13" cm="1">
        <f t="array" ref="V11">_xll.BDH("DE US Equity","BS_INVENTORIES","FQ2 2023","FQ2 2023","Currency=USD","Period=FQ","BEST_FPERIOD_OVERRIDE=FQ","FILING_STATUS=MR","SCALING_FORMAT=MLN","Sort=A","Dates=H","DateFormat=P","Fill=—","Direction=H","UseDPDF=Y")</f>
        <v>9713</v>
      </c>
      <c r="W11" s="13" cm="1">
        <f t="array" ref="W11">_xll.BDH("DE US Equity","BS_INVENTORIES","FQ3 2023","FQ3 2023","Currency=USD","Period=FQ","BEST_FPERIOD_OVERRIDE=FQ","FILING_STATUS=MR","SCALING_FORMAT=MLN","Sort=A","Dates=H","DateFormat=P","Fill=—","Direction=H","UseDPDF=Y")</f>
        <v>9350</v>
      </c>
      <c r="X11" s="13" cm="1">
        <f t="array" ref="X11">_xll.BDH("DE US Equity","BS_INVENTORIES","FQ4 2023","FQ4 2023","Currency=USD","Period=FQ","BEST_FPERIOD_OVERRIDE=FQ","FILING_STATUS=MR","SCALING_FORMAT=MLN","Sort=A","Dates=H","DateFormat=P","Fill=—","Direction=H","UseDPDF=Y")</f>
        <v>8160</v>
      </c>
      <c r="Y11" s="13" cm="1">
        <f t="array" ref="Y11">_xll.BDH("DE US Equity","BS_INVENTORIES","FQ1 2024","FQ1 2024","Currency=USD","Period=FQ","BEST_FPERIOD_OVERRIDE=FQ","FILING_STATUS=MR","SCALING_FORMAT=MLN","Sort=A","Dates=H","DateFormat=P","Fill=—","Direction=H","UseDPDF=Y")</f>
        <v>8937</v>
      </c>
      <c r="Z11" s="13" cm="1">
        <f t="array" ref="Z11">_xll.BDH("DE US Equity","BS_INVENTORIES","FQ2 2024","FQ2 2024","Currency=USD","Period=FQ","BEST_FPERIOD_OVERRIDE=FQ","FILING_STATUS=MR","SCALING_FORMAT=MLN","Sort=A","Dates=H","DateFormat=P","Fill=—","Direction=H","UseDPDF=Y")</f>
        <v>8443</v>
      </c>
      <c r="AA11" s="13" cm="1">
        <f t="array" ref="AA11">_xll.BDH("DE US Equity","BS_INVENTORIES","FQ3 2024","FQ3 2024","Currency=USD","Period=FQ","BEST_FPERIOD_OVERRIDE=FQ","FILING_STATUS=MR","SCALING_FORMAT=MLN","Sort=A","Dates=H","DateFormat=P","Fill=—","Direction=H","UseDPDF=Y")</f>
        <v>7696</v>
      </c>
      <c r="AB11" s="13" cm="1">
        <f t="array" ref="AB11">_xll.BDH("DE US Equity","BS_INVENTORIES","FQ4 2024","FQ4 2024","Currency=USD","Period=FQ","BEST_FPERIOD_OVERRIDE=FQ","FILING_STATUS=MR","SCALING_FORMAT=MLN","Sort=A","Dates=H","DateFormat=P","Fill=—","Direction=H","UseDPDF=Y")</f>
        <v>7093</v>
      </c>
      <c r="AC11" s="13" cm="1">
        <f t="array" ref="AC11">_xll.BDH("DE US Equity","BS_INVENTORIES","FQ1 2025","FQ1 2025","Currency=USD","Period=FQ","BEST_FPERIOD_OVERRIDE=FQ","FILING_STATUS=MR","SCALING_FORMAT=MLN","Sort=A","Dates=H","DateFormat=P","Fill=—","Direction=H","UseDPDF=Y")</f>
        <v>7744</v>
      </c>
      <c r="AD11" s="13" cm="1">
        <f t="array" ref="AD11">_xll.BDH("DE US Equity","BS_INVENTORIES","FQ2 2025","FQ2 2025","Currency=USD","Period=FQ","BEST_FPERIOD_OVERRIDE=FQ","FILING_STATUS=MR","SCALING_FORMAT=MLN","Sort=A","Dates=H","DateFormat=P","Fill=—","Direction=H","UseDPDF=Y")</f>
        <v>7870</v>
      </c>
      <c r="AE11" s="13" cm="1">
        <f t="array" ref="AE11">_xll.BDH("DE US Equity","BS_INVENTORIES","FQ3 2025","FQ3 2025","Currency=USD","Period=FQ","BEST_FPERIOD_OVERRIDE=FQ","FILING_STATUS=MR","SCALING_FORMAT=MLN","Sort=A","Dates=H","DateFormat=P","Fill=—","Direction=H","UseDPDF=Y")</f>
        <v>7713</v>
      </c>
      <c r="AF11" s="13" cm="1">
        <f t="array" ref="AF11">_xll.BDH("DE US Equity","BS_INVENTORIES","FQ4 2025","FQ4 2025","Currency=USD","Period=FQ","BEST_FPERIOD_OVERRIDE=FQ","FILING_STATUS=MR","SCALING_FORMAT=MLN","Sort=A","Dates=H","DateFormat=P","Fill=—","Direction=H","UseDPDF=Y")</f>
        <v>7406</v>
      </c>
    </row>
    <row r="12" spans="1:32" x14ac:dyDescent="0.25">
      <c r="A12" s="10" t="s">
        <v>76</v>
      </c>
      <c r="B12" s="10" t="s">
        <v>77</v>
      </c>
      <c r="C12" s="13" cm="1">
        <f t="array" ref="C12">_xll.BDH("DE US Equity","INVTRY_RAW_MATERIALS","FQ3 2018","FQ3 2018","Currency=USD","Period=FQ","BEST_FPERIOD_OVERRIDE=FQ","FILING_STATUS=MR","SCALING_FORMAT=MLN","Sort=A","Dates=H","DateFormat=P","Fill=—","Direction=H","UseDPDF=Y")</f>
        <v>2126</v>
      </c>
      <c r="D12" s="13" cm="1">
        <f t="array" ref="D12">_xll.BDH("DE US Equity","INVTRY_RAW_MATERIALS","FQ4 2018","FQ4 2018","Currency=USD","Period=FQ","BEST_FPERIOD_OVERRIDE=FQ","FILING_STATUS=MR","SCALING_FORMAT=MLN","Sort=A","Dates=H","DateFormat=P","Fill=—","Direction=H","UseDPDF=Y")</f>
        <v>2233</v>
      </c>
      <c r="E12" s="13" cm="1">
        <f t="array" ref="E12">_xll.BDH("DE US Equity","INVTRY_RAW_MATERIALS","FQ1 2019","FQ1 2019","Currency=USD","Period=FQ","BEST_FPERIOD_OVERRIDE=FQ","FILING_STATUS=MR","SCALING_FORMAT=MLN","Sort=A","Dates=H","DateFormat=P","Fill=—","Direction=H","UseDPDF=Y")</f>
        <v>2506</v>
      </c>
      <c r="F12" s="13" cm="1">
        <f t="array" ref="F12">_xll.BDH("DE US Equity","INVTRY_RAW_MATERIALS","FQ2 2019","FQ2 2019","Currency=USD","Period=FQ","BEST_FPERIOD_OVERRIDE=FQ","FILING_STATUS=MR","SCALING_FORMAT=MLN","Sort=A","Dates=H","DateFormat=P","Fill=—","Direction=H","UseDPDF=Y")</f>
        <v>2424</v>
      </c>
      <c r="G12" s="13" cm="1">
        <f t="array" ref="G12">_xll.BDH("DE US Equity","INVTRY_RAW_MATERIALS","FQ3 2019","FQ3 2019","Currency=USD","Period=FQ","BEST_FPERIOD_OVERRIDE=FQ","FILING_STATUS=MR","SCALING_FORMAT=MLN","Sort=A","Dates=H","DateFormat=P","Fill=—","Direction=H","UseDPDF=Y")</f>
        <v>2365</v>
      </c>
      <c r="H12" s="13" cm="1">
        <f t="array" ref="H12">_xll.BDH("DE US Equity","INVTRY_RAW_MATERIALS","FQ4 2019","FQ4 2019","Currency=USD","Period=FQ","BEST_FPERIOD_OVERRIDE=FQ","FILING_STATUS=MR","SCALING_FORMAT=MLN","Sort=A","Dates=H","DateFormat=P","Fill=—","Direction=H","UseDPDF=Y")</f>
        <v>2285</v>
      </c>
      <c r="I12" s="13" cm="1">
        <f t="array" ref="I12">_xll.BDH("DE US Equity","INVTRY_RAW_MATERIALS","FQ1 2020","FQ1 2020","Currency=USD","Period=FQ","BEST_FPERIOD_OVERRIDE=FQ","FILING_STATUS=MR","SCALING_FORMAT=MLN","Sort=A","Dates=H","DateFormat=P","Fill=—","Direction=H","UseDPDF=Y")</f>
        <v>2311</v>
      </c>
      <c r="J12" s="13" cm="1">
        <f t="array" ref="J12">_xll.BDH("DE US Equity","INVTRY_RAW_MATERIALS","FQ2 2020","FQ2 2020","Currency=USD","Period=FQ","BEST_FPERIOD_OVERRIDE=FQ","FILING_STATUS=MR","SCALING_FORMAT=MLN","Sort=A","Dates=H","DateFormat=P","Fill=—","Direction=H","UseDPDF=Y")</f>
        <v>2394</v>
      </c>
      <c r="K12" s="13" cm="1">
        <f t="array" ref="K12">_xll.BDH("DE US Equity","INVTRY_RAW_MATERIALS","FQ3 2020","FQ3 2020","Currency=USD","Period=FQ","BEST_FPERIOD_OVERRIDE=FQ","FILING_STATUS=MR","SCALING_FORMAT=MLN","Sort=A","Dates=H","DateFormat=P","Fill=—","Direction=H","UseDPDF=Y")</f>
        <v>2101</v>
      </c>
      <c r="L12" s="13" cm="1">
        <f t="array" ref="L12">_xll.BDH("DE US Equity","INVTRY_RAW_MATERIALS","FQ4 2020","FQ4 2020","Currency=USD","Period=FQ","BEST_FPERIOD_OVERRIDE=FQ","FILING_STATUS=MR","SCALING_FORMAT=MLN","Sort=A","Dates=H","DateFormat=P","Fill=—","Direction=H","UseDPDF=Y")</f>
        <v>1995</v>
      </c>
      <c r="M12" s="13" cm="1">
        <f t="array" ref="M12">_xll.BDH("DE US Equity","INVTRY_RAW_MATERIALS","FQ1 2021","FQ1 2021","Currency=USD","Period=FQ","BEST_FPERIOD_OVERRIDE=FQ","FILING_STATUS=MR","SCALING_FORMAT=MLN","Sort=A","Dates=H","DateFormat=P","Fill=—","Direction=H","UseDPDF=Y")</f>
        <v>2303</v>
      </c>
      <c r="N12" s="13" cm="1">
        <f t="array" ref="N12">_xll.BDH("DE US Equity","INVTRY_RAW_MATERIALS","FQ2 2021","FQ2 2021","Currency=USD","Period=FQ","BEST_FPERIOD_OVERRIDE=FQ","FILING_STATUS=MR","SCALING_FORMAT=MLN","Sort=A","Dates=H","DateFormat=P","Fill=—","Direction=H","UseDPDF=Y")</f>
        <v>2469</v>
      </c>
      <c r="O12" s="13" cm="1">
        <f t="array" ref="O12">_xll.BDH("DE US Equity","INVTRY_RAW_MATERIALS","FQ3 2021","FQ3 2021","Currency=USD","Period=FQ","BEST_FPERIOD_OVERRIDE=FQ","FILING_STATUS=MR","SCALING_FORMAT=MLN","Sort=A","Dates=H","DateFormat=P","Fill=—","Direction=H","UseDPDF=Y")</f>
        <v>2895</v>
      </c>
      <c r="P12" s="13" cm="1">
        <f t="array" ref="P12">_xll.BDH("DE US Equity","INVTRY_RAW_MATERIALS","FQ4 2021","FQ4 2021","Currency=USD","Period=FQ","BEST_FPERIOD_OVERRIDE=FQ","FILING_STATUS=MR","SCALING_FORMAT=MLN","Sort=A","Dates=H","DateFormat=P","Fill=—","Direction=H","UseDPDF=Y")</f>
        <v>3524</v>
      </c>
      <c r="Q12" s="13" cm="1">
        <f t="array" ref="Q12">_xll.BDH("DE US Equity","INVTRY_RAW_MATERIALS","FQ1 2022","FQ1 2022","Currency=USD","Period=FQ","BEST_FPERIOD_OVERRIDE=FQ","FILING_STATUS=MR","SCALING_FORMAT=MLN","Sort=A","Dates=H","DateFormat=P","Fill=—","Direction=H","UseDPDF=Y")</f>
        <v>4034</v>
      </c>
      <c r="R12" s="13" cm="1">
        <f t="array" ref="R12">_xll.BDH("DE US Equity","INVTRY_RAW_MATERIALS","FQ2 2022","FQ2 2022","Currency=USD","Period=FQ","BEST_FPERIOD_OVERRIDE=FQ","FILING_STATUS=MR","SCALING_FORMAT=MLN","Sort=A","Dates=H","DateFormat=P","Fill=—","Direction=H","UseDPDF=Y")</f>
        <v>4384</v>
      </c>
      <c r="S12" s="13" cm="1">
        <f t="array" ref="S12">_xll.BDH("DE US Equity","INVTRY_RAW_MATERIALS","FQ3 2022","FQ3 2022","Currency=USD","Period=FQ","BEST_FPERIOD_OVERRIDE=FQ","FILING_STATUS=MR","SCALING_FORMAT=MLN","Sort=A","Dates=H","DateFormat=P","Fill=—","Direction=H","UseDPDF=Y")</f>
        <v>4508</v>
      </c>
      <c r="T12" s="13" cm="1">
        <f t="array" ref="T12">_xll.BDH("DE US Equity","INVTRY_RAW_MATERIALS","FQ4 2022","FQ4 2022","Currency=USD","Period=FQ","BEST_FPERIOD_OVERRIDE=FQ","FILING_STATUS=MR","SCALING_FORMAT=MLN","Sort=A","Dates=H","DateFormat=P","Fill=—","Direction=H","UseDPDF=Y")</f>
        <v>4442</v>
      </c>
      <c r="U12" s="13" cm="1">
        <f t="array" ref="U12">_xll.BDH("DE US Equity","INVTRY_RAW_MATERIALS","FQ1 2023","FQ1 2023","Currency=USD","Period=FQ","BEST_FPERIOD_OVERRIDE=FQ","FILING_STATUS=MR","SCALING_FORMAT=MLN","Sort=A","Dates=H","DateFormat=P","Fill=—","Direction=H","UseDPDF=Y")</f>
        <v>4975</v>
      </c>
      <c r="V12" s="13" cm="1">
        <f t="array" ref="V12">_xll.BDH("DE US Equity","INVTRY_RAW_MATERIALS","FQ2 2023","FQ2 2023","Currency=USD","Period=FQ","BEST_FPERIOD_OVERRIDE=FQ","FILING_STATUS=MR","SCALING_FORMAT=MLN","Sort=A","Dates=H","DateFormat=P","Fill=—","Direction=H","UseDPDF=Y")</f>
        <v>4647</v>
      </c>
      <c r="W12" s="13" cm="1">
        <f t="array" ref="W12">_xll.BDH("DE US Equity","INVTRY_RAW_MATERIALS","FQ3 2023","FQ3 2023","Currency=USD","Period=FQ","BEST_FPERIOD_OVERRIDE=FQ","FILING_STATUS=MR","SCALING_FORMAT=MLN","Sort=A","Dates=H","DateFormat=P","Fill=—","Direction=H","UseDPDF=Y")</f>
        <v>4492</v>
      </c>
      <c r="X12" s="13" cm="1">
        <f t="array" ref="X12">_xll.BDH("DE US Equity","INVTRY_RAW_MATERIALS","FQ4 2023","FQ4 2023","Currency=USD","Period=FQ","BEST_FPERIOD_OVERRIDE=FQ","FILING_STATUS=MR","SCALING_FORMAT=MLN","Sort=A","Dates=H","DateFormat=P","Fill=—","Direction=H","UseDPDF=Y")</f>
        <v>4080</v>
      </c>
      <c r="Y12" s="13" cm="1">
        <f t="array" ref="Y12">_xll.BDH("DE US Equity","INVTRY_RAW_MATERIALS","FQ1 2024","FQ1 2024","Currency=USD","Period=FQ","BEST_FPERIOD_OVERRIDE=FQ","FILING_STATUS=MR","SCALING_FORMAT=MLN","Sort=A","Dates=H","DateFormat=P","Fill=—","Direction=H","UseDPDF=Y")</f>
        <v>4117</v>
      </c>
      <c r="Z12" s="13" cm="1">
        <f t="array" ref="Z12">_xll.BDH("DE US Equity","INVTRY_RAW_MATERIALS","FQ2 2024","FQ2 2024","Currency=USD","Period=FQ","BEST_FPERIOD_OVERRIDE=FQ","FILING_STATUS=MR","SCALING_FORMAT=MLN","Sort=A","Dates=H","DateFormat=P","Fill=—","Direction=H","UseDPDF=Y")</f>
        <v>3851</v>
      </c>
      <c r="AA12" s="13" cm="1">
        <f t="array" ref="AA12">_xll.BDH("DE US Equity","INVTRY_RAW_MATERIALS","FQ3 2024","FQ3 2024","Currency=USD","Period=FQ","BEST_FPERIOD_OVERRIDE=FQ","FILING_STATUS=MR","SCALING_FORMAT=MLN","Sort=A","Dates=H","DateFormat=P","Fill=—","Direction=H","UseDPDF=Y")</f>
        <v>3586</v>
      </c>
      <c r="AB12" s="13" cm="1">
        <f t="array" ref="AB12">_xll.BDH("DE US Equity","INVTRY_RAW_MATERIALS","FQ4 2024","FQ4 2024","Currency=USD","Period=FQ","BEST_FPERIOD_OVERRIDE=FQ","FILING_STATUS=MR","SCALING_FORMAT=MLN","Sort=A","Dates=H","DateFormat=P","Fill=—","Direction=H","UseDPDF=Y")</f>
        <v>3486</v>
      </c>
      <c r="AC12" s="13" cm="1">
        <f t="array" ref="AC12">_xll.BDH("DE US Equity","INVTRY_RAW_MATERIALS","FQ1 2025","FQ1 2025","Currency=USD","Period=FQ","BEST_FPERIOD_OVERRIDE=FQ","FILING_STATUS=MR","SCALING_FORMAT=MLN","Sort=A","Dates=H","DateFormat=P","Fill=—","Direction=H","UseDPDF=Y")</f>
        <v>3549</v>
      </c>
      <c r="AD12" s="13" cm="1">
        <f t="array" ref="AD12">_xll.BDH("DE US Equity","INVTRY_RAW_MATERIALS","FQ2 2025","FQ2 2025","Currency=USD","Period=FQ","BEST_FPERIOD_OVERRIDE=FQ","FILING_STATUS=MR","SCALING_FORMAT=MLN","Sort=A","Dates=H","DateFormat=P","Fill=—","Direction=H","UseDPDF=Y")</f>
        <v>3438</v>
      </c>
      <c r="AE12" s="13" cm="1">
        <f t="array" ref="AE12">_xll.BDH("DE US Equity","INVTRY_RAW_MATERIALS","FQ3 2025","FQ3 2025","Currency=USD","Period=FQ","BEST_FPERIOD_OVERRIDE=FQ","FILING_STATUS=MR","SCALING_FORMAT=MLN","Sort=A","Dates=H","DateFormat=P","Fill=—","Direction=H","UseDPDF=Y")</f>
        <v>3350</v>
      </c>
      <c r="AF12" s="13" cm="1">
        <f t="array" ref="AF12">_xll.BDH("DE US Equity","INVTRY_RAW_MATERIALS","FQ4 2025","FQ4 2025","Currency=USD","Period=FQ","BEST_FPERIOD_OVERRIDE=FQ","FILING_STATUS=MR","SCALING_FORMAT=MLN","Sort=A","Dates=H","DateFormat=P","Fill=—","Direction=H","UseDPDF=Y")</f>
        <v>3402</v>
      </c>
    </row>
    <row r="13" spans="1:32" x14ac:dyDescent="0.25">
      <c r="A13" s="10" t="s">
        <v>78</v>
      </c>
      <c r="B13" s="10" t="s">
        <v>79</v>
      </c>
      <c r="C13" s="13" cm="1">
        <f t="array" ref="C13">_xll.BDH("DE US Equity","INVTRY_IN_PROGRESS","FQ3 2018","FQ3 2018","Currency=USD","Period=FQ","BEST_FPERIOD_OVERRIDE=FQ","FILING_STATUS=MR","SCALING_FORMAT=MLN","Sort=A","Dates=H","DateFormat=P","Fill=—","Direction=H","UseDPDF=Y")</f>
        <v>795</v>
      </c>
      <c r="D13" s="13" cm="1">
        <f t="array" ref="D13">_xll.BDH("DE US Equity","INVTRY_IN_PROGRESS","FQ4 2018","FQ4 2018","Currency=USD","Period=FQ","BEST_FPERIOD_OVERRIDE=FQ","FILING_STATUS=MR","SCALING_FORMAT=MLN","Sort=A","Dates=H","DateFormat=P","Fill=—","Direction=H","UseDPDF=Y")</f>
        <v>776</v>
      </c>
      <c r="E13" s="13" cm="1">
        <f t="array" ref="E13">_xll.BDH("DE US Equity","INVTRY_IN_PROGRESS","FQ1 2019","FQ1 2019","Currency=USD","Period=FQ","BEST_FPERIOD_OVERRIDE=FQ","FILING_STATUS=MR","SCALING_FORMAT=MLN","Sort=A","Dates=H","DateFormat=P","Fill=—","Direction=H","UseDPDF=Y")</f>
        <v>1026</v>
      </c>
      <c r="F13" s="13" cm="1">
        <f t="array" ref="F13">_xll.BDH("DE US Equity","INVTRY_IN_PROGRESS","FQ2 2019","FQ2 2019","Currency=USD","Period=FQ","BEST_FPERIOD_OVERRIDE=FQ","FILING_STATUS=MR","SCALING_FORMAT=MLN","Sort=A","Dates=H","DateFormat=P","Fill=—","Direction=H","UseDPDF=Y")</f>
        <v>873</v>
      </c>
      <c r="G13" s="13" cm="1">
        <f t="array" ref="G13">_xll.BDH("DE US Equity","INVTRY_IN_PROGRESS","FQ3 2019","FQ3 2019","Currency=USD","Period=FQ","BEST_FPERIOD_OVERRIDE=FQ","FILING_STATUS=MR","SCALING_FORMAT=MLN","Sort=A","Dates=H","DateFormat=P","Fill=—","Direction=H","UseDPDF=Y")</f>
        <v>815</v>
      </c>
      <c r="H13" s="13" cm="1">
        <f t="array" ref="H13">_xll.BDH("DE US Equity","INVTRY_IN_PROGRESS","FQ4 2019","FQ4 2019","Currency=USD","Period=FQ","BEST_FPERIOD_OVERRIDE=FQ","FILING_STATUS=MR","SCALING_FORMAT=MLN","Sort=A","Dates=H","DateFormat=P","Fill=—","Direction=H","UseDPDF=Y")</f>
        <v>747</v>
      </c>
      <c r="I13" s="13" cm="1">
        <f t="array" ref="I13">_xll.BDH("DE US Equity","INVTRY_IN_PROGRESS","FQ1 2020","FQ1 2020","Currency=USD","Period=FQ","BEST_FPERIOD_OVERRIDE=FQ","FILING_STATUS=MR","SCALING_FORMAT=MLN","Sort=A","Dates=H","DateFormat=P","Fill=—","Direction=H","UseDPDF=Y")</f>
        <v>818</v>
      </c>
      <c r="J13" s="13" cm="1">
        <f t="array" ref="J13">_xll.BDH("DE US Equity","INVTRY_IN_PROGRESS","FQ2 2020","FQ2 2020","Currency=USD","Period=FQ","BEST_FPERIOD_OVERRIDE=FQ","FILING_STATUS=MR","SCALING_FORMAT=MLN","Sort=A","Dates=H","DateFormat=P","Fill=—","Direction=H","UseDPDF=Y")</f>
        <v>722</v>
      </c>
      <c r="K13" s="13" cm="1">
        <f t="array" ref="K13">_xll.BDH("DE US Equity","INVTRY_IN_PROGRESS","FQ3 2020","FQ3 2020","Currency=USD","Period=FQ","BEST_FPERIOD_OVERRIDE=FQ","FILING_STATUS=MR","SCALING_FORMAT=MLN","Sort=A","Dates=H","DateFormat=P","Fill=—","Direction=H","UseDPDF=Y")</f>
        <v>696</v>
      </c>
      <c r="L13" s="13" cm="1">
        <f t="array" ref="L13">_xll.BDH("DE US Equity","INVTRY_IN_PROGRESS","FQ4 2020","FQ4 2020","Currency=USD","Period=FQ","BEST_FPERIOD_OVERRIDE=FQ","FILING_STATUS=MR","SCALING_FORMAT=MLN","Sort=A","Dates=H","DateFormat=P","Fill=—","Direction=H","UseDPDF=Y")</f>
        <v>648</v>
      </c>
      <c r="M13" s="13" cm="1">
        <f t="array" ref="M13">_xll.BDH("DE US Equity","INVTRY_IN_PROGRESS","FQ1 2021","FQ1 2021","Currency=USD","Period=FQ","BEST_FPERIOD_OVERRIDE=FQ","FILING_STATUS=MR","SCALING_FORMAT=MLN","Sort=A","Dates=H","DateFormat=P","Fill=—","Direction=H","UseDPDF=Y")</f>
        <v>839</v>
      </c>
      <c r="N13" s="13" cm="1">
        <f t="array" ref="N13">_xll.BDH("DE US Equity","INVTRY_IN_PROGRESS","FQ2 2021","FQ2 2021","Currency=USD","Period=FQ","BEST_FPERIOD_OVERRIDE=FQ","FILING_STATUS=MR","SCALING_FORMAT=MLN","Sort=A","Dates=H","DateFormat=P","Fill=—","Direction=H","UseDPDF=Y")</f>
        <v>967</v>
      </c>
      <c r="O13" s="13" cm="1">
        <f t="array" ref="O13">_xll.BDH("DE US Equity","INVTRY_IN_PROGRESS","FQ3 2021","FQ3 2021","Currency=USD","Period=FQ","BEST_FPERIOD_OVERRIDE=FQ","FILING_STATUS=MR","SCALING_FORMAT=MLN","Sort=A","Dates=H","DateFormat=P","Fill=—","Direction=H","UseDPDF=Y")</f>
        <v>1124</v>
      </c>
      <c r="P13" s="13" cm="1">
        <f t="array" ref="P13">_xll.BDH("DE US Equity","INVTRY_IN_PROGRESS","FQ4 2021","FQ4 2021","Currency=USD","Period=FQ","BEST_FPERIOD_OVERRIDE=FQ","FILING_STATUS=MR","SCALING_FORMAT=MLN","Sort=A","Dates=H","DateFormat=P","Fill=—","Direction=H","UseDPDF=Y")</f>
        <v>994</v>
      </c>
      <c r="Q13" s="13" cm="1">
        <f t="array" ref="Q13">_xll.BDH("DE US Equity","INVTRY_IN_PROGRESS","FQ1 2022","FQ1 2022","Currency=USD","Period=FQ","BEST_FPERIOD_OVERRIDE=FQ","FILING_STATUS=MR","SCALING_FORMAT=MLN","Sort=A","Dates=H","DateFormat=P","Fill=—","Direction=H","UseDPDF=Y")</f>
        <v>1460</v>
      </c>
      <c r="R13" s="13" cm="1">
        <f t="array" ref="R13">_xll.BDH("DE US Equity","INVTRY_IN_PROGRESS","FQ2 2022","FQ2 2022","Currency=USD","Period=FQ","BEST_FPERIOD_OVERRIDE=FQ","FILING_STATUS=MR","SCALING_FORMAT=MLN","Sort=A","Dates=H","DateFormat=P","Fill=—","Direction=H","UseDPDF=Y")</f>
        <v>1640</v>
      </c>
      <c r="S13" s="13" cm="1">
        <f t="array" ref="S13">_xll.BDH("DE US Equity","INVTRY_IN_PROGRESS","FQ3 2022","FQ3 2022","Currency=USD","Period=FQ","BEST_FPERIOD_OVERRIDE=FQ","FILING_STATUS=MR","SCALING_FORMAT=MLN","Sort=A","Dates=H","DateFormat=P","Fill=—","Direction=H","UseDPDF=Y")</f>
        <v>1621</v>
      </c>
      <c r="T13" s="13" cm="1">
        <f t="array" ref="T13">_xll.BDH("DE US Equity","INVTRY_IN_PROGRESS","FQ4 2022","FQ4 2022","Currency=USD","Period=FQ","BEST_FPERIOD_OVERRIDE=FQ","FILING_STATUS=MR","SCALING_FORMAT=MLN","Sort=A","Dates=H","DateFormat=P","Fill=—","Direction=H","UseDPDF=Y")</f>
        <v>1190</v>
      </c>
      <c r="U13" s="13" cm="1">
        <f t="array" ref="U13">_xll.BDH("DE US Equity","INVTRY_IN_PROGRESS","FQ1 2023","FQ1 2023","Currency=USD","Period=FQ","BEST_FPERIOD_OVERRIDE=FQ","FILING_STATUS=MR","SCALING_FORMAT=MLN","Sort=A","Dates=H","DateFormat=P","Fill=—","Direction=H","UseDPDF=Y")</f>
        <v>1478</v>
      </c>
      <c r="V13" s="13" cm="1">
        <f t="array" ref="V13">_xll.BDH("DE US Equity","INVTRY_IN_PROGRESS","FQ2 2023","FQ2 2023","Currency=USD","Period=FQ","BEST_FPERIOD_OVERRIDE=FQ","FILING_STATUS=MR","SCALING_FORMAT=MLN","Sort=A","Dates=H","DateFormat=P","Fill=—","Direction=H","UseDPDF=Y")</f>
        <v>1262</v>
      </c>
      <c r="W13" s="13" cm="1">
        <f t="array" ref="W13">_xll.BDH("DE US Equity","INVTRY_IN_PROGRESS","FQ3 2023","FQ3 2023","Currency=USD","Period=FQ","BEST_FPERIOD_OVERRIDE=FQ","FILING_STATUS=MR","SCALING_FORMAT=MLN","Sort=A","Dates=H","DateFormat=P","Fill=—","Direction=H","UseDPDF=Y")</f>
        <v>1307</v>
      </c>
      <c r="X13" s="13" cm="1">
        <f t="array" ref="X13">_xll.BDH("DE US Equity","INVTRY_IN_PROGRESS","FQ4 2023","FQ4 2023","Currency=USD","Period=FQ","BEST_FPERIOD_OVERRIDE=FQ","FILING_STATUS=MR","SCALING_FORMAT=MLN","Sort=A","Dates=H","DateFormat=P","Fill=—","Direction=H","UseDPDF=Y")</f>
        <v>1010</v>
      </c>
      <c r="Y13" s="13" cm="1">
        <f t="array" ref="Y13">_xll.BDH("DE US Equity","INVTRY_IN_PROGRESS","FQ1 2024","FQ1 2024","Currency=USD","Period=FQ","BEST_FPERIOD_OVERRIDE=FQ","FILING_STATUS=MR","SCALING_FORMAT=MLN","Sort=A","Dates=H","DateFormat=P","Fill=—","Direction=H","UseDPDF=Y")</f>
        <v>1223</v>
      </c>
      <c r="Z13" s="13" cm="1">
        <f t="array" ref="Z13">_xll.BDH("DE US Equity","INVTRY_IN_PROGRESS","FQ2 2024","FQ2 2024","Currency=USD","Period=FQ","BEST_FPERIOD_OVERRIDE=FQ","FILING_STATUS=MR","SCALING_FORMAT=MLN","Sort=A","Dates=H","DateFormat=P","Fill=—","Direction=H","UseDPDF=Y")</f>
        <v>1127</v>
      </c>
      <c r="AA13" s="13" cm="1">
        <f t="array" ref="AA13">_xll.BDH("DE US Equity","INVTRY_IN_PROGRESS","FQ3 2024","FQ3 2024","Currency=USD","Period=FQ","BEST_FPERIOD_OVERRIDE=FQ","FILING_STATUS=MR","SCALING_FORMAT=MLN","Sort=A","Dates=H","DateFormat=P","Fill=—","Direction=H","UseDPDF=Y")</f>
        <v>988</v>
      </c>
      <c r="AB13" s="13" cm="1">
        <f t="array" ref="AB13">_xll.BDH("DE US Equity","INVTRY_IN_PROGRESS","FQ4 2024","FQ4 2024","Currency=USD","Period=FQ","BEST_FPERIOD_OVERRIDE=FQ","FILING_STATUS=MR","SCALING_FORMAT=MLN","Sort=A","Dates=H","DateFormat=P","Fill=—","Direction=H","UseDPDF=Y")</f>
        <v>930</v>
      </c>
      <c r="AC13" s="13" cm="1">
        <f t="array" ref="AC13">_xll.BDH("DE US Equity","INVTRY_IN_PROGRESS","FQ1 2025","FQ1 2025","Currency=USD","Period=FQ","BEST_FPERIOD_OVERRIDE=FQ","FILING_STATUS=MR","SCALING_FORMAT=MLN","Sort=A","Dates=H","DateFormat=P","Fill=—","Direction=H","UseDPDF=Y")</f>
        <v>1046</v>
      </c>
      <c r="AD13" s="13" cm="1">
        <f t="array" ref="AD13">_xll.BDH("DE US Equity","INVTRY_IN_PROGRESS","FQ2 2025","FQ2 2025","Currency=USD","Period=FQ","BEST_FPERIOD_OVERRIDE=FQ","FILING_STATUS=MR","SCALING_FORMAT=MLN","Sort=A","Dates=H","DateFormat=P","Fill=—","Direction=H","UseDPDF=Y")</f>
        <v>1056</v>
      </c>
      <c r="AE13" s="13" cm="1">
        <f t="array" ref="AE13">_xll.BDH("DE US Equity","INVTRY_IN_PROGRESS","FQ3 2025","FQ3 2025","Currency=USD","Period=FQ","BEST_FPERIOD_OVERRIDE=FQ","FILING_STATUS=MR","SCALING_FORMAT=MLN","Sort=A","Dates=H","DateFormat=P","Fill=—","Direction=H","UseDPDF=Y")</f>
        <v>1139</v>
      </c>
      <c r="AF13" s="13" cm="1">
        <f t="array" ref="AF13">_xll.BDH("DE US Equity","INVTRY_IN_PROGRESS","FQ4 2025","FQ4 2025","Currency=USD","Period=FQ","BEST_FPERIOD_OVERRIDE=FQ","FILING_STATUS=MR","SCALING_FORMAT=MLN","Sort=A","Dates=H","DateFormat=P","Fill=—","Direction=H","UseDPDF=Y")</f>
        <v>956</v>
      </c>
    </row>
    <row r="14" spans="1:32" x14ac:dyDescent="0.25">
      <c r="A14" s="10" t="s">
        <v>80</v>
      </c>
      <c r="B14" s="10" t="s">
        <v>81</v>
      </c>
      <c r="C14" s="13" cm="1">
        <f t="array" ref="C14">_xll.BDH("DE US Equity","INVTRY_FINISHED_GOODS","FQ3 2018","FQ3 2018","Currency=USD","Period=FQ","BEST_FPERIOD_OVERRIDE=FQ","FILING_STATUS=MR","SCALING_FORMAT=MLN","Sort=A","Dates=H","DateFormat=P","Fill=—","Direction=H","UseDPDF=Y")</f>
        <v>4768</v>
      </c>
      <c r="D14" s="13" cm="1">
        <f t="array" ref="D14">_xll.BDH("DE US Equity","INVTRY_FINISHED_GOODS","FQ4 2018","FQ4 2018","Currency=USD","Period=FQ","BEST_FPERIOD_OVERRIDE=FQ","FILING_STATUS=MR","SCALING_FORMAT=MLN","Sort=A","Dates=H","DateFormat=P","Fill=—","Direction=H","UseDPDF=Y")</f>
        <v>4777</v>
      </c>
      <c r="E14" s="13" cm="1">
        <f t="array" ref="E14">_xll.BDH("DE US Equity","INVTRY_FINISHED_GOODS","FQ1 2019","FQ1 2019","Currency=USD","Period=FQ","BEST_FPERIOD_OVERRIDE=FQ","FILING_STATUS=MR","SCALING_FORMAT=MLN","Sort=A","Dates=H","DateFormat=P","Fill=—","Direction=H","UseDPDF=Y")</f>
        <v>5693</v>
      </c>
      <c r="F14" s="13" cm="1">
        <f t="array" ref="F14">_xll.BDH("DE US Equity","INVTRY_FINISHED_GOODS","FQ2 2019","FQ2 2019","Currency=USD","Period=FQ","BEST_FPERIOD_OVERRIDE=FQ","FILING_STATUS=MR","SCALING_FORMAT=MLN","Sort=A","Dates=H","DateFormat=P","Fill=—","Direction=H","UseDPDF=Y")</f>
        <v>5729</v>
      </c>
      <c r="G14" s="13" cm="1">
        <f t="array" ref="G14">_xll.BDH("DE US Equity","INVTRY_FINISHED_GOODS","FQ3 2019","FQ3 2019","Currency=USD","Period=FQ","BEST_FPERIOD_OVERRIDE=FQ","FILING_STATUS=MR","SCALING_FORMAT=MLN","Sort=A","Dates=H","DateFormat=P","Fill=—","Direction=H","UseDPDF=Y")</f>
        <v>5345</v>
      </c>
      <c r="H14" s="13" cm="1">
        <f t="array" ref="H14">_xll.BDH("DE US Equity","INVTRY_FINISHED_GOODS","FQ4 2019","FQ4 2019","Currency=USD","Period=FQ","BEST_FPERIOD_OVERRIDE=FQ","FILING_STATUS=MR","SCALING_FORMAT=MLN","Sort=A","Dates=H","DateFormat=P","Fill=—","Direction=H","UseDPDF=Y")</f>
        <v>4613</v>
      </c>
      <c r="I14" s="13" cm="1">
        <f t="array" ref="I14">_xll.BDH("DE US Equity","INVTRY_FINISHED_GOODS","FQ1 2020","FQ1 2020","Currency=USD","Period=FQ","BEST_FPERIOD_OVERRIDE=FQ","FILING_STATUS=MR","SCALING_FORMAT=MLN","Sort=A","Dates=H","DateFormat=P","Fill=—","Direction=H","UseDPDF=Y")</f>
        <v>4946</v>
      </c>
      <c r="J14" s="13" cm="1">
        <f t="array" ref="J14">_xll.BDH("DE US Equity","INVTRY_FINISHED_GOODS","FQ2 2020","FQ2 2020","Currency=USD","Period=FQ","BEST_FPERIOD_OVERRIDE=FQ","FILING_STATUS=MR","SCALING_FORMAT=MLN","Sort=A","Dates=H","DateFormat=P","Fill=—","Direction=H","UseDPDF=Y")</f>
        <v>4646</v>
      </c>
      <c r="K14" s="13" cm="1">
        <f t="array" ref="K14">_xll.BDH("DE US Equity","INVTRY_FINISHED_GOODS","FQ3 2020","FQ3 2020","Currency=USD","Period=FQ","BEST_FPERIOD_OVERRIDE=FQ","FILING_STATUS=MR","SCALING_FORMAT=MLN","Sort=A","Dates=H","DateFormat=P","Fill=—","Direction=H","UseDPDF=Y")</f>
        <v>4427</v>
      </c>
      <c r="L14" s="13" cm="1">
        <f t="array" ref="L14">_xll.BDH("DE US Equity","INVTRY_FINISHED_GOODS","FQ4 2020","FQ4 2020","Currency=USD","Period=FQ","BEST_FPERIOD_OVERRIDE=FQ","FILING_STATUS=MR","SCALING_FORMAT=MLN","Sort=A","Dates=H","DateFormat=P","Fill=—","Direction=H","UseDPDF=Y")</f>
        <v>4006</v>
      </c>
      <c r="M14" s="13" cm="1">
        <f t="array" ref="M14">_xll.BDH("DE US Equity","INVTRY_FINISHED_GOODS","FQ1 2021","FQ1 2021","Currency=USD","Period=FQ","BEST_FPERIOD_OVERRIDE=FQ","FILING_STATUS=MR","SCALING_FORMAT=MLN","Sort=A","Dates=H","DateFormat=P","Fill=—","Direction=H","UseDPDF=Y")</f>
        <v>4485</v>
      </c>
      <c r="N14" s="13" cm="1">
        <f t="array" ref="N14">_xll.BDH("DE US Equity","INVTRY_FINISHED_GOODS","FQ2 2021","FQ2 2021","Currency=USD","Period=FQ","BEST_FPERIOD_OVERRIDE=FQ","FILING_STATUS=MR","SCALING_FORMAT=MLN","Sort=A","Dates=H","DateFormat=P","Fill=—","Direction=H","UseDPDF=Y")</f>
        <v>4334</v>
      </c>
      <c r="O14" s="13" cm="1">
        <f t="array" ref="O14">_xll.BDH("DE US Equity","INVTRY_FINISHED_GOODS","FQ3 2021","FQ3 2021","Currency=USD","Period=FQ","BEST_FPERIOD_OVERRIDE=FQ","FILING_STATUS=MR","SCALING_FORMAT=MLN","Sort=A","Dates=H","DateFormat=P","Fill=—","Direction=H","UseDPDF=Y")</f>
        <v>4176</v>
      </c>
      <c r="P14" s="13" cm="1">
        <f t="array" ref="P14">_xll.BDH("DE US Equity","INVTRY_FINISHED_GOODS","FQ4 2021","FQ4 2021","Currency=USD","Period=FQ","BEST_FPERIOD_OVERRIDE=FQ","FILING_STATUS=MR","SCALING_FORMAT=MLN","Sort=A","Dates=H","DateFormat=P","Fill=—","Direction=H","UseDPDF=Y")</f>
        <v>4373</v>
      </c>
      <c r="Q14" s="13" cm="1">
        <f t="array" ref="Q14">_xll.BDH("DE US Equity","INVTRY_FINISHED_GOODS","FQ1 2022","FQ1 2022","Currency=USD","Period=FQ","BEST_FPERIOD_OVERRIDE=FQ","FILING_STATUS=MR","SCALING_FORMAT=MLN","Sort=A","Dates=H","DateFormat=P","Fill=—","Direction=H","UseDPDF=Y")</f>
        <v>4790</v>
      </c>
      <c r="R14" s="13" cm="1">
        <f t="array" ref="R14">_xll.BDH("DE US Equity","INVTRY_FINISHED_GOODS","FQ2 2022","FQ2 2022","Currency=USD","Period=FQ","BEST_FPERIOD_OVERRIDE=FQ","FILING_STATUS=MR","SCALING_FORMAT=MLN","Sort=A","Dates=H","DateFormat=P","Fill=—","Direction=H","UseDPDF=Y")</f>
        <v>5434</v>
      </c>
      <c r="S14" s="13" cm="1">
        <f t="array" ref="S14">_xll.BDH("DE US Equity","INVTRY_FINISHED_GOODS","FQ3 2022","FQ3 2022","Currency=USD","Period=FQ","BEST_FPERIOD_OVERRIDE=FQ","FILING_STATUS=MR","SCALING_FORMAT=MLN","Sort=A","Dates=H","DateFormat=P","Fill=—","Direction=H","UseDPDF=Y")</f>
        <v>5434</v>
      </c>
      <c r="T14" s="13" cm="1">
        <f t="array" ref="T14">_xll.BDH("DE US Equity","INVTRY_FINISHED_GOODS","FQ4 2022","FQ4 2022","Currency=USD","Period=FQ","BEST_FPERIOD_OVERRIDE=FQ","FILING_STATUS=MR","SCALING_FORMAT=MLN","Sort=A","Dates=H","DateFormat=P","Fill=—","Direction=H","UseDPDF=Y")</f>
        <v>5363</v>
      </c>
      <c r="U14" s="13" cm="1">
        <f t="array" ref="U14">_xll.BDH("DE US Equity","INVTRY_FINISHED_GOODS","FQ1 2023","FQ1 2023","Currency=USD","Period=FQ","BEST_FPERIOD_OVERRIDE=FQ","FILING_STATUS=MR","SCALING_FORMAT=MLN","Sort=A","Dates=H","DateFormat=P","Fill=—","Direction=H","UseDPDF=Y")</f>
        <v>6347</v>
      </c>
      <c r="V14" s="13" cm="1">
        <f t="array" ref="V14">_xll.BDH("DE US Equity","INVTRY_FINISHED_GOODS","FQ2 2023","FQ2 2023","Currency=USD","Period=FQ","BEST_FPERIOD_OVERRIDE=FQ","FILING_STATUS=MR","SCALING_FORMAT=MLN","Sort=A","Dates=H","DateFormat=P","Fill=—","Direction=H","UseDPDF=Y")</f>
        <v>6435</v>
      </c>
      <c r="W14" s="13" cm="1">
        <f t="array" ref="W14">_xll.BDH("DE US Equity","INVTRY_FINISHED_GOODS","FQ3 2023","FQ3 2023","Currency=USD","Period=FQ","BEST_FPERIOD_OVERRIDE=FQ","FILING_STATUS=MR","SCALING_FORMAT=MLN","Sort=A","Dates=H","DateFormat=P","Fill=—","Direction=H","UseDPDF=Y")</f>
        <v>6164</v>
      </c>
      <c r="X14" s="13" cm="1">
        <f t="array" ref="X14">_xll.BDH("DE US Equity","INVTRY_FINISHED_GOODS","FQ4 2023","FQ4 2023","Currency=USD","Period=FQ","BEST_FPERIOD_OVERRIDE=FQ","FILING_STATUS=MR","SCALING_FORMAT=MLN","Sort=A","Dates=H","DateFormat=P","Fill=—","Direction=H","UseDPDF=Y")</f>
        <v>5435</v>
      </c>
      <c r="Y14" s="13" cm="1">
        <f t="array" ref="Y14">_xll.BDH("DE US Equity","INVTRY_FINISHED_GOODS","FQ1 2024","FQ1 2024","Currency=USD","Period=FQ","BEST_FPERIOD_OVERRIDE=FQ","FILING_STATUS=MR","SCALING_FORMAT=MLN","Sort=A","Dates=H","DateFormat=P","Fill=—","Direction=H","UseDPDF=Y")</f>
        <v>6146</v>
      </c>
      <c r="Z14" s="13" cm="1">
        <f t="array" ref="Z14">_xll.BDH("DE US Equity","INVTRY_FINISHED_GOODS","FQ2 2024","FQ2 2024","Currency=USD","Period=FQ","BEST_FPERIOD_OVERRIDE=FQ","FILING_STATUS=MR","SCALING_FORMAT=MLN","Sort=A","Dates=H","DateFormat=P","Fill=—","Direction=H","UseDPDF=Y")</f>
        <v>5979</v>
      </c>
      <c r="AA14" s="13" cm="1">
        <f t="array" ref="AA14">_xll.BDH("DE US Equity","INVTRY_FINISHED_GOODS","FQ3 2024","FQ3 2024","Currency=USD","Period=FQ","BEST_FPERIOD_OVERRIDE=FQ","FILING_STATUS=MR","SCALING_FORMAT=MLN","Sort=A","Dates=H","DateFormat=P","Fill=—","Direction=H","UseDPDF=Y")</f>
        <v>5689</v>
      </c>
      <c r="AB14" s="13" cm="1">
        <f t="array" ref="AB14">_xll.BDH("DE US Equity","INVTRY_FINISHED_GOODS","FQ4 2024","FQ4 2024","Currency=USD","Period=FQ","BEST_FPERIOD_OVERRIDE=FQ","FILING_STATUS=MR","SCALING_FORMAT=MLN","Sort=A","Dates=H","DateFormat=P","Fill=—","Direction=H","UseDPDF=Y")</f>
        <v>5364</v>
      </c>
      <c r="AC14" s="13" cm="1">
        <f t="array" ref="AC14">_xll.BDH("DE US Equity","INVTRY_FINISHED_GOODS","FQ1 2025","FQ1 2025","Currency=USD","Period=FQ","BEST_FPERIOD_OVERRIDE=FQ","FILING_STATUS=MR","SCALING_FORMAT=MLN","Sort=A","Dates=H","DateFormat=P","Fill=—","Direction=H","UseDPDF=Y")</f>
        <v>6055</v>
      </c>
      <c r="AD14" s="13" cm="1">
        <f t="array" ref="AD14">_xll.BDH("DE US Equity","INVTRY_FINISHED_GOODS","FQ2 2025","FQ2 2025","Currency=USD","Period=FQ","BEST_FPERIOD_OVERRIDE=FQ","FILING_STATUS=MR","SCALING_FORMAT=MLN","Sort=A","Dates=H","DateFormat=P","Fill=—","Direction=H","UseDPDF=Y")</f>
        <v>5615</v>
      </c>
      <c r="AE14" s="13" cm="1">
        <f t="array" ref="AE14">_xll.BDH("DE US Equity","INVTRY_FINISHED_GOODS","FQ3 2025","FQ3 2025","Currency=USD","Period=FQ","BEST_FPERIOD_OVERRIDE=FQ","FILING_STATUS=MR","SCALING_FORMAT=MLN","Sort=A","Dates=H","DateFormat=P","Fill=—","Direction=H","UseDPDF=Y")</f>
        <v>6088</v>
      </c>
      <c r="AF14" s="13" cm="1">
        <f t="array" ref="AF14">_xll.BDH("DE US Equity","INVTRY_FINISHED_GOODS","FQ4 2025","FQ4 2025","Currency=USD","Period=FQ","BEST_FPERIOD_OVERRIDE=FQ","FILING_STATUS=MR","SCALING_FORMAT=MLN","Sort=A","Dates=H","DateFormat=P","Fill=—","Direction=H","UseDPDF=Y")</f>
        <v>5769</v>
      </c>
    </row>
    <row r="15" spans="1:32" x14ac:dyDescent="0.25">
      <c r="A15" s="10" t="s">
        <v>82</v>
      </c>
      <c r="B15" s="10" t="s">
        <v>83</v>
      </c>
      <c r="C15" s="13" cm="1">
        <f t="array" ref="C15">_xll.BDH("DE US Equity","BS_OTHER_INV","FQ3 2018","FQ3 2018","Currency=USD","Period=FQ","BEST_FPERIOD_OVERRIDE=FQ","FILING_STATUS=MR","SCALING_FORMAT=MLN","Sort=A","Dates=H","DateFormat=P","Fill=—","Direction=H","UseDPDF=Y")</f>
        <v>-1450</v>
      </c>
      <c r="D15" s="13" cm="1">
        <f t="array" ref="D15">_xll.BDH("DE US Equity","BS_OTHER_INV","FQ4 2018","FQ4 2018","Currency=USD","Period=FQ","BEST_FPERIOD_OVERRIDE=FQ","FILING_STATUS=MR","SCALING_FORMAT=MLN","Sort=A","Dates=H","DateFormat=P","Fill=—","Direction=H","UseDPDF=Y")</f>
        <v>-1637</v>
      </c>
      <c r="E15" s="13" cm="1">
        <f t="array" ref="E15">_xll.BDH("DE US Equity","BS_OTHER_INV","FQ1 2019","FQ1 2019","Currency=USD","Period=FQ","BEST_FPERIOD_OVERRIDE=FQ","FILING_STATUS=MR","SCALING_FORMAT=MLN","Sort=A","Dates=H","DateFormat=P","Fill=—","Direction=H","UseDPDF=Y")</f>
        <v>-1823.1</v>
      </c>
      <c r="F15" s="13" cm="1">
        <f t="array" ref="F15">_xll.BDH("DE US Equity","BS_OTHER_INV","FQ2 2019","FQ2 2019","Currency=USD","Period=FQ","BEST_FPERIOD_OVERRIDE=FQ","FILING_STATUS=MR","SCALING_FORMAT=MLN","Sort=A","Dates=H","DateFormat=P","Fill=—","Direction=H","UseDPDF=Y")</f>
        <v>-1865.1</v>
      </c>
      <c r="G15" s="13" cm="1">
        <f t="array" ref="G15">_xll.BDH("DE US Equity","BS_OTHER_INV","FQ3 2019","FQ3 2019","Currency=USD","Period=FQ","BEST_FPERIOD_OVERRIDE=FQ","FILING_STATUS=MR","SCALING_FORMAT=MLN","Sort=A","Dates=H","DateFormat=P","Fill=—","Direction=H","UseDPDF=Y")</f>
        <v>-1778</v>
      </c>
      <c r="H15" s="13" cm="1">
        <f t="array" ref="H15">_xll.BDH("DE US Equity","BS_OTHER_INV","FQ4 2019","FQ4 2019","Currency=USD","Period=FQ","BEST_FPERIOD_OVERRIDE=FQ","FILING_STATUS=MR","SCALING_FORMAT=MLN","Sort=A","Dates=H","DateFormat=P","Fill=—","Direction=H","UseDPDF=Y")</f>
        <v>-1670</v>
      </c>
      <c r="I15" s="13" cm="1">
        <f t="array" ref="I15">_xll.BDH("DE US Equity","BS_OTHER_INV","FQ1 2020","FQ1 2020","Currency=USD","Period=FQ","BEST_FPERIOD_OVERRIDE=FQ","FILING_STATUS=MR","SCALING_FORMAT=MLN","Sort=A","Dates=H","DateFormat=P","Fill=—","Direction=H","UseDPDF=Y")</f>
        <v>-1593</v>
      </c>
      <c r="J15" s="13" cm="1">
        <f t="array" ref="J15">_xll.BDH("DE US Equity","BS_OTHER_INV","FQ2 2020","FQ2 2020","Currency=USD","Period=FQ","BEST_FPERIOD_OVERRIDE=FQ","FILING_STATUS=MR","SCALING_FORMAT=MLN","Sort=A","Dates=H","DateFormat=P","Fill=—","Direction=H","UseDPDF=Y")</f>
        <v>-1591</v>
      </c>
      <c r="K15" s="13" cm="1">
        <f t="array" ref="K15">_xll.BDH("DE US Equity","BS_OTHER_INV","FQ3 2020","FQ3 2020","Currency=USD","Period=FQ","BEST_FPERIOD_OVERRIDE=FQ","FILING_STATUS=MR","SCALING_FORMAT=MLN","Sort=A","Dates=H","DateFormat=P","Fill=—","Direction=H","UseDPDF=Y")</f>
        <v>-1574</v>
      </c>
      <c r="L15" s="13" cm="1">
        <f t="array" ref="L15">_xll.BDH("DE US Equity","BS_OTHER_INV","FQ4 2020","FQ4 2020","Currency=USD","Period=FQ","BEST_FPERIOD_OVERRIDE=FQ","FILING_STATUS=MR","SCALING_FORMAT=MLN","Sort=A","Dates=H","DateFormat=P","Fill=—","Direction=H","UseDPDF=Y")</f>
        <v>-1650</v>
      </c>
      <c r="M15" s="13" cm="1">
        <f t="array" ref="M15">_xll.BDH("DE US Equity","BS_OTHER_INV","FQ1 2021","FQ1 2021","Currency=USD","Period=FQ","BEST_FPERIOD_OVERRIDE=FQ","FILING_STATUS=MR","SCALING_FORMAT=MLN","Sort=A","Dates=H","DateFormat=P","Fill=—","Direction=H","UseDPDF=Y")</f>
        <v>-1671</v>
      </c>
      <c r="N15" s="13" cm="1">
        <f t="array" ref="N15">_xll.BDH("DE US Equity","BS_OTHER_INV","FQ2 2021","FQ2 2021","Currency=USD","Period=FQ","BEST_FPERIOD_OVERRIDE=FQ","FILING_STATUS=MR","SCALING_FORMAT=MLN","Sort=A","Dates=H","DateFormat=P","Fill=—","Direction=H","UseDPDF=Y")</f>
        <v>-1728</v>
      </c>
      <c r="O15" s="13" cm="1">
        <f t="array" ref="O15">_xll.BDH("DE US Equity","BS_OTHER_INV","FQ3 2021","FQ3 2021","Currency=USD","Period=FQ","BEST_FPERIOD_OVERRIDE=FQ","FILING_STATUS=MR","SCALING_FORMAT=MLN","Sort=A","Dates=H","DateFormat=P","Fill=—","Direction=H","UseDPDF=Y")</f>
        <v>-1785</v>
      </c>
      <c r="P15" s="13" cm="1">
        <f t="array" ref="P15">_xll.BDH("DE US Equity","BS_OTHER_INV","FQ4 2021","FQ4 2021","Currency=USD","Period=FQ","BEST_FPERIOD_OVERRIDE=FQ","FILING_STATUS=MR","SCALING_FORMAT=MLN","Sort=A","Dates=H","DateFormat=P","Fill=—","Direction=H","UseDPDF=Y")</f>
        <v>-2110</v>
      </c>
      <c r="Q15" s="13" cm="1">
        <f t="array" ref="Q15">_xll.BDH("DE US Equity","BS_OTHER_INV","FQ1 2022","FQ1 2022","Currency=USD","Period=FQ","BEST_FPERIOD_OVERRIDE=FQ","FILING_STATUS=MR","SCALING_FORMAT=MLN","Sort=A","Dates=H","DateFormat=P","Fill=—","Direction=H","UseDPDF=Y")</f>
        <v>-2349</v>
      </c>
      <c r="R15" s="13" cm="1">
        <f t="array" ref="R15">_xll.BDH("DE US Equity","BS_OTHER_INV","FQ2 2022","FQ2 2022","Currency=USD","Period=FQ","BEST_FPERIOD_OVERRIDE=FQ","FILING_STATUS=MR","SCALING_FORMAT=MLN","Sort=A","Dates=H","DateFormat=P","Fill=—","Direction=H","UseDPDF=Y")</f>
        <v>-2428</v>
      </c>
      <c r="S15" s="13" cm="1">
        <f t="array" ref="S15">_xll.BDH("DE US Equity","BS_OTHER_INV","FQ3 2022","FQ3 2022","Currency=USD","Period=FQ","BEST_FPERIOD_OVERRIDE=FQ","FILING_STATUS=MR","SCALING_FORMAT=MLN","Sort=A","Dates=H","DateFormat=P","Fill=—","Direction=H","UseDPDF=Y")</f>
        <v>-2442</v>
      </c>
      <c r="T15" s="13" cm="1">
        <f t="array" ref="T15">_xll.BDH("DE US Equity","BS_OTHER_INV","FQ4 2022","FQ4 2022","Currency=USD","Period=FQ","BEST_FPERIOD_OVERRIDE=FQ","FILING_STATUS=MR","SCALING_FORMAT=MLN","Sort=A","Dates=H","DateFormat=P","Fill=—","Direction=H","UseDPDF=Y")</f>
        <v>-2500</v>
      </c>
      <c r="U15" s="13" cm="1">
        <f t="array" ref="U15">_xll.BDH("DE US Equity","BS_OTHER_INV","FQ1 2023","FQ1 2023","Currency=USD","Period=FQ","BEST_FPERIOD_OVERRIDE=FQ","FILING_STATUS=MR","SCALING_FORMAT=MLN","Sort=A","Dates=H","DateFormat=P","Fill=—","Direction=H","UseDPDF=Y")</f>
        <v>-2744</v>
      </c>
      <c r="V15" s="13" cm="1">
        <f t="array" ref="V15">_xll.BDH("DE US Equity","BS_OTHER_INV","FQ2 2023","FQ2 2023","Currency=USD","Period=FQ","BEST_FPERIOD_OVERRIDE=FQ","FILING_STATUS=MR","SCALING_FORMAT=MLN","Sort=A","Dates=H","DateFormat=P","Fill=—","Direction=H","UseDPDF=Y")</f>
        <v>-2631</v>
      </c>
      <c r="W15" s="13" cm="1">
        <f t="array" ref="W15">_xll.BDH("DE US Equity","BS_OTHER_INV","FQ3 2023","FQ3 2023","Currency=USD","Period=FQ","BEST_FPERIOD_OVERRIDE=FQ","FILING_STATUS=MR","SCALING_FORMAT=MLN","Sort=A","Dates=H","DateFormat=P","Fill=—","Direction=H","UseDPDF=Y")</f>
        <v>-2613</v>
      </c>
      <c r="X15" s="13" cm="1">
        <f t="array" ref="X15">_xll.BDH("DE US Equity","BS_OTHER_INV","FQ4 2023","FQ4 2023","Currency=USD","Period=FQ","BEST_FPERIOD_OVERRIDE=FQ","FILING_STATUS=MR","SCALING_FORMAT=MLN","Sort=A","Dates=H","DateFormat=P","Fill=—","Direction=H","UseDPDF=Y")</f>
        <v>-2365</v>
      </c>
      <c r="Y15" s="13" cm="1">
        <f t="array" ref="Y15">_xll.BDH("DE US Equity","BS_OTHER_INV","FQ1 2024","FQ1 2024","Currency=USD","Period=FQ","BEST_FPERIOD_OVERRIDE=FQ","FILING_STATUS=MR","SCALING_FORMAT=MLN","Sort=A","Dates=H","DateFormat=P","Fill=—","Direction=H","UseDPDF=Y")</f>
        <v>-2549</v>
      </c>
      <c r="Z15" s="13" cm="1">
        <f t="array" ref="Z15">_xll.BDH("DE US Equity","BS_OTHER_INV","FQ2 2024","FQ2 2024","Currency=USD","Period=FQ","BEST_FPERIOD_OVERRIDE=FQ","FILING_STATUS=MR","SCALING_FORMAT=MLN","Sort=A","Dates=H","DateFormat=P","Fill=—","Direction=H","UseDPDF=Y")</f>
        <v>-2514</v>
      </c>
      <c r="AA15" s="13" cm="1">
        <f t="array" ref="AA15">_xll.BDH("DE US Equity","BS_OTHER_INV","FQ3 2024","FQ3 2024","Currency=USD","Period=FQ","BEST_FPERIOD_OVERRIDE=FQ","FILING_STATUS=MR","SCALING_FORMAT=MLN","Sort=A","Dates=H","DateFormat=P","Fill=—","Direction=H","UseDPDF=Y")</f>
        <v>-2567</v>
      </c>
      <c r="AB15" s="13" cm="1">
        <f t="array" ref="AB15">_xll.BDH("DE US Equity","BS_OTHER_INV","FQ4 2024","FQ4 2024","Currency=USD","Period=FQ","BEST_FPERIOD_OVERRIDE=FQ","FILING_STATUS=MR","SCALING_FORMAT=MLN","Sort=A","Dates=H","DateFormat=P","Fill=—","Direction=H","UseDPDF=Y")</f>
        <v>-2687</v>
      </c>
      <c r="AC15" s="13" cm="1">
        <f t="array" ref="AC15">_xll.BDH("DE US Equity","BS_OTHER_INV","FQ1 2025","FQ1 2025","Currency=USD","Period=FQ","BEST_FPERIOD_OVERRIDE=FQ","FILING_STATUS=MR","SCALING_FORMAT=MLN","Sort=A","Dates=H","DateFormat=P","Fill=—","Direction=H","UseDPDF=Y")</f>
        <v>-2906</v>
      </c>
      <c r="AD15" s="13" cm="1">
        <f t="array" ref="AD15">_xll.BDH("DE US Equity","BS_OTHER_INV","FQ2 2025","FQ2 2025","Currency=USD","Period=FQ","BEST_FPERIOD_OVERRIDE=FQ","FILING_STATUS=MR","SCALING_FORMAT=MLN","Sort=A","Dates=H","DateFormat=P","Fill=—","Direction=H","UseDPDF=Y")</f>
        <v>-2239</v>
      </c>
      <c r="AE15" s="13" cm="1">
        <f t="array" ref="AE15">_xll.BDH("DE US Equity","BS_OTHER_INV","FQ3 2025","FQ3 2025","Currency=USD","Period=FQ","BEST_FPERIOD_OVERRIDE=FQ","FILING_STATUS=MR","SCALING_FORMAT=MLN","Sort=A","Dates=H","DateFormat=P","Fill=—","Direction=H","UseDPDF=Y")</f>
        <v>-2864</v>
      </c>
      <c r="AF15" s="13" cm="1">
        <f t="array" ref="AF15">_xll.BDH("DE US Equity","BS_OTHER_INV","FQ4 2025","FQ4 2025","Currency=USD","Period=FQ","BEST_FPERIOD_OVERRIDE=FQ","FILING_STATUS=MR","SCALING_FORMAT=MLN","Sort=A","Dates=H","DateFormat=P","Fill=—","Direction=H","UseDPDF=Y")</f>
        <v>-2721</v>
      </c>
    </row>
    <row r="16" spans="1:32" x14ac:dyDescent="0.25">
      <c r="A16" s="10" t="s">
        <v>84</v>
      </c>
      <c r="B16" s="10" t="s">
        <v>85</v>
      </c>
      <c r="C16" s="13" cm="1">
        <f t="array" ref="C16">_xll.BDH("DE US Equity","OTHER_CURRENT_ASSETS_DETAILED","FQ3 2018","FQ3 2018","Currency=USD","Period=FQ","BEST_FPERIOD_OVERRIDE=FQ","FILING_STATUS=MR","SCALING_FORMAT=MLN","Sort=A","Dates=H","DateFormat=P","Fill=—","Direction=H","UseDPDF=Y")</f>
        <v>1328</v>
      </c>
      <c r="D16" s="13" cm="1">
        <f t="array" ref="D16">_xll.BDH("DE US Equity","OTHER_CURRENT_ASSETS_DETAILED","FQ4 2018","FQ4 2018","Currency=USD","Period=FQ","BEST_FPERIOD_OVERRIDE=FQ","FILING_STATUS=MR","SCALING_FORMAT=MLN","Sort=A","Dates=H","DateFormat=P","Fill=—","Direction=H","UseDPDF=Y")</f>
        <v>1758</v>
      </c>
      <c r="E16" s="13" cm="1">
        <f t="array" ref="E16">_xll.BDH("DE US Equity","OTHER_CURRENT_ASSETS_DETAILED","FQ1 2019","FQ1 2019","Currency=USD","Period=FQ","BEST_FPERIOD_OVERRIDE=FQ","FILING_STATUS=MR","SCALING_FORMAT=MLN","Sort=A","Dates=H","DateFormat=P","Fill=—","Direction=H","UseDPDF=Y")</f>
        <v>1686.5</v>
      </c>
      <c r="F16" s="13" cm="1">
        <f t="array" ref="F16">_xll.BDH("DE US Equity","OTHER_CURRENT_ASSETS_DETAILED","FQ2 2019","FQ2 2019","Currency=USD","Period=FQ","BEST_FPERIOD_OVERRIDE=FQ","FILING_STATUS=MR","SCALING_FORMAT=MLN","Sort=A","Dates=H","DateFormat=P","Fill=—","Direction=H","UseDPDF=Y")</f>
        <v>1511</v>
      </c>
      <c r="G16" s="13" cm="1">
        <f t="array" ref="G16">_xll.BDH("DE US Equity","OTHER_CURRENT_ASSETS_DETAILED","FQ3 2019","FQ3 2019","Currency=USD","Period=FQ","BEST_FPERIOD_OVERRIDE=FQ","FILING_STATUS=MR","SCALING_FORMAT=MLN","Sort=A","Dates=H","DateFormat=P","Fill=—","Direction=H","UseDPDF=Y")</f>
        <v>1589</v>
      </c>
      <c r="H16" s="13" cm="1">
        <f t="array" ref="H16">_xll.BDH("DE US Equity","OTHER_CURRENT_ASSETS_DETAILED","FQ4 2019","FQ4 2019","Currency=USD","Period=FQ","BEST_FPERIOD_OVERRIDE=FQ","FILING_STATUS=MR","SCALING_FORMAT=MLN","Sort=A","Dates=H","DateFormat=P","Fill=—","Direction=H","UseDPDF=Y")</f>
        <v>1533</v>
      </c>
      <c r="I16" s="13" cm="1">
        <f t="array" ref="I16">_xll.BDH("DE US Equity","OTHER_CURRENT_ASSETS_DETAILED","FQ1 2020","FQ1 2020","Currency=USD","Period=FQ","BEST_FPERIOD_OVERRIDE=FQ","FILING_STATUS=MR","SCALING_FORMAT=MLN","Sort=A","Dates=H","DateFormat=P","Fill=—","Direction=H","UseDPDF=Y")</f>
        <v>1405</v>
      </c>
      <c r="J16" s="13" cm="1">
        <f t="array" ref="J16">_xll.BDH("DE US Equity","OTHER_CURRENT_ASSETS_DETAILED","FQ2 2020","FQ2 2020","Currency=USD","Period=FQ","BEST_FPERIOD_OVERRIDE=FQ","FILING_STATUS=MR","SCALING_FORMAT=MLN","Sort=A","Dates=H","DateFormat=P","Fill=—","Direction=H","UseDPDF=Y")</f>
        <v>1244</v>
      </c>
      <c r="K16" s="13" cm="1">
        <f t="array" ref="K16">_xll.BDH("DE US Equity","OTHER_CURRENT_ASSETS_DETAILED","FQ3 2020","FQ3 2020","Currency=USD","Period=FQ","BEST_FPERIOD_OVERRIDE=FQ","FILING_STATUS=MR","SCALING_FORMAT=MLN","Sort=A","Dates=H","DateFormat=P","Fill=—","Direction=H","UseDPDF=Y")</f>
        <v>1243</v>
      </c>
      <c r="L16" s="13" cm="1">
        <f t="array" ref="L16">_xll.BDH("DE US Equity","OTHER_CURRENT_ASSETS_DETAILED","FQ4 2020","FQ4 2020","Currency=USD","Period=FQ","BEST_FPERIOD_OVERRIDE=FQ","FILING_STATUS=MR","SCALING_FORMAT=MLN","Sort=A","Dates=H","DateFormat=P","Fill=—","Direction=H","UseDPDF=Y")</f>
        <v>1251</v>
      </c>
      <c r="M16" s="13" cm="1">
        <f t="array" ref="M16">_xll.BDH("DE US Equity","OTHER_CURRENT_ASSETS_DETAILED","FQ1 2021","FQ1 2021","Currency=USD","Period=FQ","BEST_FPERIOD_OVERRIDE=FQ","FILING_STATUS=MR","SCALING_FORMAT=MLN","Sort=A","Dates=H","DateFormat=P","Fill=—","Direction=H","UseDPDF=Y")</f>
        <v>1169</v>
      </c>
      <c r="N16" s="13" cm="1">
        <f t="array" ref="N16">_xll.BDH("DE US Equity","OTHER_CURRENT_ASSETS_DETAILED","FQ2 2021","FQ2 2021","Currency=USD","Period=FQ","BEST_FPERIOD_OVERRIDE=FQ","FILING_STATUS=MR","SCALING_FORMAT=MLN","Sort=A","Dates=H","DateFormat=P","Fill=—","Direction=H","UseDPDF=Y")</f>
        <v>1504</v>
      </c>
      <c r="O16" s="13" cm="1">
        <f t="array" ref="O16">_xll.BDH("DE US Equity","OTHER_CURRENT_ASSETS_DETAILED","FQ3 2021","FQ3 2021","Currency=USD","Period=FQ","BEST_FPERIOD_OVERRIDE=FQ","FILING_STATUS=MR","SCALING_FORMAT=MLN","Sort=A","Dates=H","DateFormat=P","Fill=—","Direction=H","UseDPDF=Y")</f>
        <v>1702</v>
      </c>
      <c r="P16" s="13" cm="1">
        <f t="array" ref="P16">_xll.BDH("DE US Equity","OTHER_CURRENT_ASSETS_DETAILED","FQ4 2021","FQ4 2021","Currency=USD","Period=FQ","BEST_FPERIOD_OVERRIDE=FQ","FILING_STATUS=MR","SCALING_FORMAT=MLN","Sort=A","Dates=H","DateFormat=P","Fill=—","Direction=H","UseDPDF=Y")</f>
        <v>1765</v>
      </c>
      <c r="Q16" s="13" cm="1">
        <f t="array" ref="Q16">_xll.BDH("DE US Equity","OTHER_CURRENT_ASSETS_DETAILED","FQ1 2022","FQ1 2022","Currency=USD","Period=FQ","BEST_FPERIOD_OVERRIDE=FQ","FILING_STATUS=MR","SCALING_FORMAT=MLN","Sort=A","Dates=H","DateFormat=P","Fill=—","Direction=H","UseDPDF=Y")</f>
        <v>1936</v>
      </c>
      <c r="R16" s="13" cm="1">
        <f t="array" ref="R16">_xll.BDH("DE US Equity","OTHER_CURRENT_ASSETS_DETAILED","FQ2 2022","FQ2 2022","Currency=USD","Period=FQ","BEST_FPERIOD_OVERRIDE=FQ","FILING_STATUS=MR","SCALING_FORMAT=MLN","Sort=A","Dates=H","DateFormat=P","Fill=—","Direction=H","UseDPDF=Y")</f>
        <v>2306</v>
      </c>
      <c r="S16" s="13" cm="1">
        <f t="array" ref="S16">_xll.BDH("DE US Equity","OTHER_CURRENT_ASSETS_DETAILED","FQ3 2022","FQ3 2022","Currency=USD","Period=FQ","BEST_FPERIOD_OVERRIDE=FQ","FILING_STATUS=MR","SCALING_FORMAT=MLN","Sort=A","Dates=H","DateFormat=P","Fill=—","Direction=H","UseDPDF=Y")</f>
        <v>1999</v>
      </c>
      <c r="T16" s="13" cm="1">
        <f t="array" ref="T16">_xll.BDH("DE US Equity","OTHER_CURRENT_ASSETS_DETAILED","FQ4 2022","FQ4 2022","Currency=USD","Period=FQ","BEST_FPERIOD_OVERRIDE=FQ","FILING_STATUS=MR","SCALING_FORMAT=MLN","Sort=A","Dates=H","DateFormat=P","Fill=—","Direction=H","UseDPDF=Y")</f>
        <v>2492</v>
      </c>
      <c r="U16" s="13" cm="1">
        <f t="array" ref="U16">_xll.BDH("DE US Equity","OTHER_CURRENT_ASSETS_DETAILED","FQ1 2023","FQ1 2023","Currency=USD","Period=FQ","BEST_FPERIOD_OVERRIDE=FQ","FILING_STATUS=MR","SCALING_FORMAT=MLN","Sort=A","Dates=H","DateFormat=P","Fill=—","Direction=H","UseDPDF=Y")</f>
        <v>1992</v>
      </c>
      <c r="V16" s="13" cm="1">
        <f t="array" ref="V16">_xll.BDH("DE US Equity","OTHER_CURRENT_ASSETS_DETAILED","FQ2 2023","FQ2 2023","Currency=USD","Period=FQ","BEST_FPERIOD_OVERRIDE=FQ","FILING_STATUS=MR","SCALING_FORMAT=MLN","Sort=A","Dates=H","DateFormat=P","Fill=—","Direction=H","UseDPDF=Y")</f>
        <v>2593</v>
      </c>
      <c r="W16" s="13" cm="1">
        <f t="array" ref="W16">_xll.BDH("DE US Equity","OTHER_CURRENT_ASSETS_DETAILED","FQ3 2023","FQ3 2023","Currency=USD","Period=FQ","BEST_FPERIOD_OVERRIDE=FQ","FILING_STATUS=MR","SCALING_FORMAT=MLN","Sort=A","Dates=H","DateFormat=P","Fill=—","Direction=H","UseDPDF=Y")</f>
        <v>3118</v>
      </c>
      <c r="X16" s="13" cm="1">
        <f t="array" ref="X16">_xll.BDH("DE US Equity","OTHER_CURRENT_ASSETS_DETAILED","FQ4 2023","FQ4 2023","Currency=USD","Period=FQ","BEST_FPERIOD_OVERRIDE=FQ","FILING_STATUS=MR","SCALING_FORMAT=MLN","Sort=A","Dates=H","DateFormat=P","Fill=—","Direction=H","UseDPDF=Y")</f>
        <v>2623</v>
      </c>
      <c r="Y16" s="13" cm="1">
        <f t="array" ref="Y16">_xll.BDH("DE US Equity","OTHER_CURRENT_ASSETS_DETAILED","FQ1 2024","FQ1 2024","Currency=USD","Period=FQ","BEST_FPERIOD_OVERRIDE=FQ","FILING_STATUS=MR","SCALING_FORMAT=MLN","Sort=A","Dates=H","DateFormat=P","Fill=—","Direction=H","UseDPDF=Y")</f>
        <v>2017</v>
      </c>
      <c r="Z16" s="13" cm="1">
        <f t="array" ref="Z16">_xll.BDH("DE US Equity","OTHER_CURRENT_ASSETS_DETAILED","FQ2 2024","FQ2 2024","Currency=USD","Period=FQ","BEST_FPERIOD_OVERRIDE=FQ","FILING_STATUS=MR","SCALING_FORMAT=MLN","Sort=A","Dates=H","DateFormat=P","Fill=—","Direction=H","UseDPDF=Y")</f>
        <v>2535</v>
      </c>
      <c r="AA16" s="13" cm="1">
        <f t="array" ref="AA16">_xll.BDH("DE US Equity","OTHER_CURRENT_ASSETS_DETAILED","FQ3 2024","FQ3 2024","Currency=USD","Period=FQ","BEST_FPERIOD_OVERRIDE=FQ","FILING_STATUS=MR","SCALING_FORMAT=MLN","Sort=A","Dates=H","DateFormat=P","Fill=—","Direction=H","UseDPDF=Y")</f>
        <v>5235</v>
      </c>
      <c r="AB16" s="13" cm="1">
        <f t="array" ref="AB16">_xll.BDH("DE US Equity","OTHER_CURRENT_ASSETS_DETAILED","FQ4 2024","FQ4 2024","Currency=USD","Period=FQ","BEST_FPERIOD_OVERRIDE=FQ","FILING_STATUS=MR","SCALING_FORMAT=MLN","Sort=A","Dates=H","DateFormat=P","Fill=—","Direction=H","UseDPDF=Y")</f>
        <v>5489</v>
      </c>
      <c r="AC16" s="13" cm="1">
        <f t="array" ref="AC16">_xll.BDH("DE US Equity","OTHER_CURRENT_ASSETS_DETAILED","FQ1 2025","FQ1 2025","Currency=USD","Period=FQ","BEST_FPERIOD_OVERRIDE=FQ","FILING_STATUS=MR","SCALING_FORMAT=MLN","Sort=A","Dates=H","DateFormat=P","Fill=—","Direction=H","UseDPDF=Y")</f>
        <v>5908</v>
      </c>
      <c r="AD16" s="13" cm="1">
        <f t="array" ref="AD16">_xll.BDH("DE US Equity","OTHER_CURRENT_ASSETS_DETAILED","FQ2 2025","FQ2 2025","Currency=USD","Period=FQ","BEST_FPERIOD_OVERRIDE=FQ","FILING_STATUS=MR","SCALING_FORMAT=MLN","Sort=A","Dates=H","DateFormat=P","Fill=—","Direction=H","UseDPDF=Y")</f>
        <v>2975</v>
      </c>
      <c r="AE16" s="13" cm="1">
        <f t="array" ref="AE16">_xll.BDH("DE US Equity","OTHER_CURRENT_ASSETS_DETAILED","FQ3 2025","FQ3 2025","Currency=USD","Period=FQ","BEST_FPERIOD_OVERRIDE=FQ","FILING_STATUS=MR","SCALING_FORMAT=MLN","Sort=A","Dates=H","DateFormat=P","Fill=—","Direction=H","UseDPDF=Y")</f>
        <v>2826</v>
      </c>
      <c r="AF16" s="13" cm="1">
        <f t="array" ref="AF16">_xll.BDH("DE US Equity","OTHER_CURRENT_ASSETS_DETAILED","FQ4 2025","FQ4 2025","Currency=USD","Period=FQ","BEST_FPERIOD_OVERRIDE=FQ","FILING_STATUS=MR","SCALING_FORMAT=MLN","Sort=A","Dates=H","DateFormat=P","Fill=—","Direction=H","UseDPDF=Y")</f>
        <v>2403</v>
      </c>
    </row>
    <row r="17" spans="1:32" x14ac:dyDescent="0.25">
      <c r="A17" s="10" t="s">
        <v>86</v>
      </c>
      <c r="B17" s="10" t="s">
        <v>87</v>
      </c>
      <c r="C17" s="13" t="str" cm="1">
        <f t="array" ref="C17">_xll.BDH("DE US Equity","BS_DERIV_HEDGING_ASST_ST","FQ3 2018","FQ3 2018","Currency=USD","Period=FQ","BEST_FPERIOD_OVERRIDE=FQ","FILING_STATUS=MR","SCALING_FORMAT=MLN","Sort=A","Dates=H","DateFormat=P","Fill=—","Direction=H","UseDPDF=Y")</f>
        <v>—</v>
      </c>
      <c r="D17" s="13" cm="1">
        <f t="array" ref="D17">_xll.BDH("DE US Equity","BS_DERIV_HEDGING_ASST_ST","FQ4 2018","FQ4 2018","Currency=USD","Period=FQ","BEST_FPERIOD_OVERRIDE=FQ","FILING_STATUS=MR","SCALING_FORMAT=MLN","Sort=A","Dates=H","DateFormat=P","Fill=—","Direction=H","UseDPDF=Y")</f>
        <v>0</v>
      </c>
      <c r="E17" s="13" t="str" cm="1">
        <f t="array" ref="E17">_xll.BDH("DE US Equity","BS_DERIV_HEDGING_ASST_ST","FQ1 2019","FQ1 2019","Currency=USD","Period=FQ","BEST_FPERIOD_OVERRIDE=FQ","FILING_STATUS=MR","SCALING_FORMAT=MLN","Sort=A","Dates=H","DateFormat=P","Fill=—","Direction=H","UseDPDF=Y")</f>
        <v>—</v>
      </c>
      <c r="F17" s="13" t="str" cm="1">
        <f t="array" ref="F17">_xll.BDH("DE US Equity","BS_DERIV_HEDGING_ASST_ST","FQ2 2019","FQ2 2019","Currency=USD","Period=FQ","BEST_FPERIOD_OVERRIDE=FQ","FILING_STATUS=MR","SCALING_FORMAT=MLN","Sort=A","Dates=H","DateFormat=P","Fill=—","Direction=H","UseDPDF=Y")</f>
        <v>—</v>
      </c>
      <c r="G17" s="13" t="str" cm="1">
        <f t="array" ref="G17">_xll.BDH("DE US Equity","BS_DERIV_HEDGING_ASST_ST","FQ3 2019","FQ3 2019","Currency=USD","Period=FQ","BEST_FPERIOD_OVERRIDE=FQ","FILING_STATUS=MR","SCALING_FORMAT=MLN","Sort=A","Dates=H","DateFormat=P","Fill=—","Direction=H","UseDPDF=Y")</f>
        <v>—</v>
      </c>
      <c r="H17" s="13" cm="1">
        <f t="array" ref="H17">_xll.BDH("DE US Equity","BS_DERIV_HEDGING_ASST_ST","FQ4 2019","FQ4 2019","Currency=USD","Period=FQ","BEST_FPERIOD_OVERRIDE=FQ","FILING_STATUS=MR","SCALING_FORMAT=MLN","Sort=A","Dates=H","DateFormat=P","Fill=—","Direction=H","UseDPDF=Y")</f>
        <v>0</v>
      </c>
      <c r="I17" s="13" t="str" cm="1">
        <f t="array" ref="I17">_xll.BDH("DE US Equity","BS_DERIV_HEDGING_ASST_ST","FQ1 2020","FQ1 2020","Currency=USD","Period=FQ","BEST_FPERIOD_OVERRIDE=FQ","FILING_STATUS=MR","SCALING_FORMAT=MLN","Sort=A","Dates=H","DateFormat=P","Fill=—","Direction=H","UseDPDF=Y")</f>
        <v>—</v>
      </c>
      <c r="J17" s="13" t="str" cm="1">
        <f t="array" ref="J17">_xll.BDH("DE US Equity","BS_DERIV_HEDGING_ASST_ST","FQ2 2020","FQ2 2020","Currency=USD","Period=FQ","BEST_FPERIOD_OVERRIDE=FQ","FILING_STATUS=MR","SCALING_FORMAT=MLN","Sort=A","Dates=H","DateFormat=P","Fill=—","Direction=H","UseDPDF=Y")</f>
        <v>—</v>
      </c>
      <c r="K17" s="13" t="str" cm="1">
        <f t="array" ref="K17">_xll.BDH("DE US Equity","BS_DERIV_HEDGING_ASST_ST","FQ3 2020","FQ3 2020","Currency=USD","Period=FQ","BEST_FPERIOD_OVERRIDE=FQ","FILING_STATUS=MR","SCALING_FORMAT=MLN","Sort=A","Dates=H","DateFormat=P","Fill=—","Direction=H","UseDPDF=Y")</f>
        <v>—</v>
      </c>
      <c r="L17" s="13" cm="1">
        <f t="array" ref="L17">_xll.BDH("DE US Equity","BS_DERIV_HEDGING_ASST_ST","FQ4 2020","FQ4 2020","Currency=USD","Period=FQ","BEST_FPERIOD_OVERRIDE=FQ","FILING_STATUS=MR","SCALING_FORMAT=MLN","Sort=A","Dates=H","DateFormat=P","Fill=—","Direction=H","UseDPDF=Y")</f>
        <v>0</v>
      </c>
      <c r="M17" s="13" t="str" cm="1">
        <f t="array" ref="M17">_xll.BDH("DE US Equity","BS_DERIV_HEDGING_ASST_ST","FQ1 2021","FQ1 2021","Currency=USD","Period=FQ","BEST_FPERIOD_OVERRIDE=FQ","FILING_STATUS=MR","SCALING_FORMAT=MLN","Sort=A","Dates=H","DateFormat=P","Fill=—","Direction=H","UseDPDF=Y")</f>
        <v>—</v>
      </c>
      <c r="N17" s="13" t="str" cm="1">
        <f t="array" ref="N17">_xll.BDH("DE US Equity","BS_DERIV_HEDGING_ASST_ST","FQ2 2021","FQ2 2021","Currency=USD","Period=FQ","BEST_FPERIOD_OVERRIDE=FQ","FILING_STATUS=MR","SCALING_FORMAT=MLN","Sort=A","Dates=H","DateFormat=P","Fill=—","Direction=H","UseDPDF=Y")</f>
        <v>—</v>
      </c>
      <c r="O17" s="13" t="str" cm="1">
        <f t="array" ref="O17">_xll.BDH("DE US Equity","BS_DERIV_HEDGING_ASST_ST","FQ3 2021","FQ3 2021","Currency=USD","Period=FQ","BEST_FPERIOD_OVERRIDE=FQ","FILING_STATUS=MR","SCALING_FORMAT=MLN","Sort=A","Dates=H","DateFormat=P","Fill=—","Direction=H","UseDPDF=Y")</f>
        <v>—</v>
      </c>
      <c r="P17" s="13" cm="1">
        <f t="array" ref="P17">_xll.BDH("DE US Equity","BS_DERIV_HEDGING_ASST_ST","FQ4 2021","FQ4 2021","Currency=USD","Period=FQ","BEST_FPERIOD_OVERRIDE=FQ","FILING_STATUS=MR","SCALING_FORMAT=MLN","Sort=A","Dates=H","DateFormat=P","Fill=—","Direction=H","UseDPDF=Y")</f>
        <v>0</v>
      </c>
      <c r="Q17" s="13" t="str" cm="1">
        <f t="array" ref="Q17">_xll.BDH("DE US Equity","BS_DERIV_HEDGING_ASST_ST","FQ1 2022","FQ1 2022","Currency=USD","Period=FQ","BEST_FPERIOD_OVERRIDE=FQ","FILING_STATUS=MR","SCALING_FORMAT=MLN","Sort=A","Dates=H","DateFormat=P","Fill=—","Direction=H","UseDPDF=Y")</f>
        <v>—</v>
      </c>
      <c r="R17" s="13" t="str" cm="1">
        <f t="array" ref="R17">_xll.BDH("DE US Equity","BS_DERIV_HEDGING_ASST_ST","FQ2 2022","FQ2 2022","Currency=USD","Period=FQ","BEST_FPERIOD_OVERRIDE=FQ","FILING_STATUS=MR","SCALING_FORMAT=MLN","Sort=A","Dates=H","DateFormat=P","Fill=—","Direction=H","UseDPDF=Y")</f>
        <v>—</v>
      </c>
      <c r="S17" s="13" t="str" cm="1">
        <f t="array" ref="S17">_xll.BDH("DE US Equity","BS_DERIV_HEDGING_ASST_ST","FQ3 2022","FQ3 2022","Currency=USD","Period=FQ","BEST_FPERIOD_OVERRIDE=FQ","FILING_STATUS=MR","SCALING_FORMAT=MLN","Sort=A","Dates=H","DateFormat=P","Fill=—","Direction=H","UseDPDF=Y")</f>
        <v>—</v>
      </c>
      <c r="T17" s="13" cm="1">
        <f t="array" ref="T17">_xll.BDH("DE US Equity","BS_DERIV_HEDGING_ASST_ST","FQ4 2022","FQ4 2022","Currency=USD","Period=FQ","BEST_FPERIOD_OVERRIDE=FQ","FILING_STATUS=MR","SCALING_FORMAT=MLN","Sort=A","Dates=H","DateFormat=P","Fill=—","Direction=H","UseDPDF=Y")</f>
        <v>0</v>
      </c>
      <c r="U17" s="13" t="str" cm="1">
        <f t="array" ref="U17">_xll.BDH("DE US Equity","BS_DERIV_HEDGING_ASST_ST","FQ1 2023","FQ1 2023","Currency=USD","Period=FQ","BEST_FPERIOD_OVERRIDE=FQ","FILING_STATUS=MR","SCALING_FORMAT=MLN","Sort=A","Dates=H","DateFormat=P","Fill=—","Direction=H","UseDPDF=Y")</f>
        <v>—</v>
      </c>
      <c r="V17" s="13" t="str" cm="1">
        <f t="array" ref="V17">_xll.BDH("DE US Equity","BS_DERIV_HEDGING_ASST_ST","FQ2 2023","FQ2 2023","Currency=USD","Period=FQ","BEST_FPERIOD_OVERRIDE=FQ","FILING_STATUS=MR","SCALING_FORMAT=MLN","Sort=A","Dates=H","DateFormat=P","Fill=—","Direction=H","UseDPDF=Y")</f>
        <v>—</v>
      </c>
      <c r="W17" s="13" t="str" cm="1">
        <f t="array" ref="W17">_xll.BDH("DE US Equity","BS_DERIV_HEDGING_ASST_ST","FQ3 2023","FQ3 2023","Currency=USD","Period=FQ","BEST_FPERIOD_OVERRIDE=FQ","FILING_STATUS=MR","SCALING_FORMAT=MLN","Sort=A","Dates=H","DateFormat=P","Fill=—","Direction=H","UseDPDF=Y")</f>
        <v>—</v>
      </c>
      <c r="X17" s="13" cm="1">
        <f t="array" ref="X17">_xll.BDH("DE US Equity","BS_DERIV_HEDGING_ASST_ST","FQ4 2023","FQ4 2023","Currency=USD","Period=FQ","BEST_FPERIOD_OVERRIDE=FQ","FILING_STATUS=MR","SCALING_FORMAT=MLN","Sort=A","Dates=H","DateFormat=P","Fill=—","Direction=H","UseDPDF=Y")</f>
        <v>0</v>
      </c>
      <c r="Y17" s="13" t="str" cm="1">
        <f t="array" ref="Y17">_xll.BDH("DE US Equity","BS_DERIV_HEDGING_ASST_ST","FQ1 2024","FQ1 2024","Currency=USD","Period=FQ","BEST_FPERIOD_OVERRIDE=FQ","FILING_STATUS=MR","SCALING_FORMAT=MLN","Sort=A","Dates=H","DateFormat=P","Fill=—","Direction=H","UseDPDF=Y")</f>
        <v>—</v>
      </c>
      <c r="Z17" s="13" t="str" cm="1">
        <f t="array" ref="Z17">_xll.BDH("DE US Equity","BS_DERIV_HEDGING_ASST_ST","FQ2 2024","FQ2 2024","Currency=USD","Period=FQ","BEST_FPERIOD_OVERRIDE=FQ","FILING_STATUS=MR","SCALING_FORMAT=MLN","Sort=A","Dates=H","DateFormat=P","Fill=—","Direction=H","UseDPDF=Y")</f>
        <v>—</v>
      </c>
      <c r="AA17" s="13" t="str" cm="1">
        <f t="array" ref="AA17">_xll.BDH("DE US Equity","BS_DERIV_HEDGING_ASST_ST","FQ3 2024","FQ3 2024","Currency=USD","Period=FQ","BEST_FPERIOD_OVERRIDE=FQ","FILING_STATUS=MR","SCALING_FORMAT=MLN","Sort=A","Dates=H","DateFormat=P","Fill=—","Direction=H","UseDPDF=Y")</f>
        <v>—</v>
      </c>
      <c r="AB17" s="13" cm="1">
        <f t="array" ref="AB17">_xll.BDH("DE US Equity","BS_DERIV_HEDGING_ASST_ST","FQ4 2024","FQ4 2024","Currency=USD","Period=FQ","BEST_FPERIOD_OVERRIDE=FQ","FILING_STATUS=MR","SCALING_FORMAT=MLN","Sort=A","Dates=H","DateFormat=P","Fill=—","Direction=H","UseDPDF=Y")</f>
        <v>0</v>
      </c>
      <c r="AC17" s="13" t="str" cm="1">
        <f t="array" ref="AC17">_xll.BDH("DE US Equity","BS_DERIV_HEDGING_ASST_ST","FQ1 2025","FQ1 2025","Currency=USD","Period=FQ","BEST_FPERIOD_OVERRIDE=FQ","FILING_STATUS=MR","SCALING_FORMAT=MLN","Sort=A","Dates=H","DateFormat=P","Fill=—","Direction=H","UseDPDF=Y")</f>
        <v>—</v>
      </c>
      <c r="AD17" s="13" t="str" cm="1">
        <f t="array" ref="AD17">_xll.BDH("DE US Equity","BS_DERIV_HEDGING_ASST_ST","FQ2 2025","FQ2 2025","Currency=USD","Period=FQ","BEST_FPERIOD_OVERRIDE=FQ","FILING_STATUS=MR","SCALING_FORMAT=MLN","Sort=A","Dates=H","DateFormat=P","Fill=—","Direction=H","UseDPDF=Y")</f>
        <v>—</v>
      </c>
      <c r="AE17" s="13" t="str" cm="1">
        <f t="array" ref="AE17">_xll.BDH("DE US Equity","BS_DERIV_HEDGING_ASST_ST","FQ3 2025","FQ3 2025","Currency=USD","Period=FQ","BEST_FPERIOD_OVERRIDE=FQ","FILING_STATUS=MR","SCALING_FORMAT=MLN","Sort=A","Dates=H","DateFormat=P","Fill=—","Direction=H","UseDPDF=Y")</f>
        <v>—</v>
      </c>
      <c r="AF17" s="13" cm="1">
        <f t="array" ref="AF17">_xll.BDH("DE US Equity","BS_DERIV_HEDGING_ASST_ST","FQ4 2025","FQ4 2025","Currency=USD","Period=FQ","BEST_FPERIOD_OVERRIDE=FQ","FILING_STATUS=MR","SCALING_FORMAT=MLN","Sort=A","Dates=H","DateFormat=P","Fill=—","Direction=H","UseDPDF=Y")</f>
        <v>0</v>
      </c>
    </row>
    <row r="18" spans="1:32" x14ac:dyDescent="0.25">
      <c r="A18" s="10" t="s">
        <v>88</v>
      </c>
      <c r="B18" s="10" t="s">
        <v>89</v>
      </c>
      <c r="C18" s="13" t="str" cm="1">
        <f t="array" ref="C18">_xll.BDH("DE US Equity","BS_ASSETS_HELD_FOR_SALE_ST","FQ3 2018","FQ3 2018","Currency=USD","Period=FQ","BEST_FPERIOD_OVERRIDE=FQ","FILING_STATUS=MR","SCALING_FORMAT=MLN","Sort=A","Dates=H","DateFormat=P","Fill=—","Direction=H","UseDPDF=Y")</f>
        <v>—</v>
      </c>
      <c r="D18" s="13" t="str" cm="1">
        <f t="array" ref="D18">_xll.BDH("DE US Equity","BS_ASSETS_HELD_FOR_SALE_ST","FQ4 2018","FQ4 2018","Currency=USD","Period=FQ","BEST_FPERIOD_OVERRIDE=FQ","FILING_STATUS=MR","SCALING_FORMAT=MLN","Sort=A","Dates=H","DateFormat=P","Fill=—","Direction=H","UseDPDF=Y")</f>
        <v>—</v>
      </c>
      <c r="E18" s="13" t="str" cm="1">
        <f t="array" ref="E18">_xll.BDH("DE US Equity","BS_ASSETS_HELD_FOR_SALE_ST","FQ1 2019","FQ1 2019","Currency=USD","Period=FQ","BEST_FPERIOD_OVERRIDE=FQ","FILING_STATUS=MR","SCALING_FORMAT=MLN","Sort=A","Dates=H","DateFormat=P","Fill=—","Direction=H","UseDPDF=Y")</f>
        <v>—</v>
      </c>
      <c r="F18" s="13" t="str" cm="1">
        <f t="array" ref="F18">_xll.BDH("DE US Equity","BS_ASSETS_HELD_FOR_SALE_ST","FQ2 2019","FQ2 2019","Currency=USD","Period=FQ","BEST_FPERIOD_OVERRIDE=FQ","FILING_STATUS=MR","SCALING_FORMAT=MLN","Sort=A","Dates=H","DateFormat=P","Fill=—","Direction=H","UseDPDF=Y")</f>
        <v>—</v>
      </c>
      <c r="G18" s="13" t="str" cm="1">
        <f t="array" ref="G18">_xll.BDH("DE US Equity","BS_ASSETS_HELD_FOR_SALE_ST","FQ3 2019","FQ3 2019","Currency=USD","Period=FQ","BEST_FPERIOD_OVERRIDE=FQ","FILING_STATUS=MR","SCALING_FORMAT=MLN","Sort=A","Dates=H","DateFormat=P","Fill=—","Direction=H","UseDPDF=Y")</f>
        <v>—</v>
      </c>
      <c r="H18" s="13" t="str" cm="1">
        <f t="array" ref="H18">_xll.BDH("DE US Equity","BS_ASSETS_HELD_FOR_SALE_ST","FQ4 2019","FQ4 2019","Currency=USD","Period=FQ","BEST_FPERIOD_OVERRIDE=FQ","FILING_STATUS=MR","SCALING_FORMAT=MLN","Sort=A","Dates=H","DateFormat=P","Fill=—","Direction=H","UseDPDF=Y")</f>
        <v>—</v>
      </c>
      <c r="I18" s="13" t="str" cm="1">
        <f t="array" ref="I18">_xll.BDH("DE US Equity","BS_ASSETS_HELD_FOR_SALE_ST","FQ1 2020","FQ1 2020","Currency=USD","Period=FQ","BEST_FPERIOD_OVERRIDE=FQ","FILING_STATUS=MR","SCALING_FORMAT=MLN","Sort=A","Dates=H","DateFormat=P","Fill=—","Direction=H","UseDPDF=Y")</f>
        <v>—</v>
      </c>
      <c r="J18" s="13" t="str" cm="1">
        <f t="array" ref="J18">_xll.BDH("DE US Equity","BS_ASSETS_HELD_FOR_SALE_ST","FQ2 2020","FQ2 2020","Currency=USD","Period=FQ","BEST_FPERIOD_OVERRIDE=FQ","FILING_STATUS=MR","SCALING_FORMAT=MLN","Sort=A","Dates=H","DateFormat=P","Fill=—","Direction=H","UseDPDF=Y")</f>
        <v>—</v>
      </c>
      <c r="K18" s="13" t="str" cm="1">
        <f t="array" ref="K18">_xll.BDH("DE US Equity","BS_ASSETS_HELD_FOR_SALE_ST","FQ3 2020","FQ3 2020","Currency=USD","Period=FQ","BEST_FPERIOD_OVERRIDE=FQ","FILING_STATUS=MR","SCALING_FORMAT=MLN","Sort=A","Dates=H","DateFormat=P","Fill=—","Direction=H","UseDPDF=Y")</f>
        <v>—</v>
      </c>
      <c r="L18" s="13" t="str" cm="1">
        <f t="array" ref="L18">_xll.BDH("DE US Equity","BS_ASSETS_HELD_FOR_SALE_ST","FQ4 2020","FQ4 2020","Currency=USD","Period=FQ","BEST_FPERIOD_OVERRIDE=FQ","FILING_STATUS=MR","SCALING_FORMAT=MLN","Sort=A","Dates=H","DateFormat=P","Fill=—","Direction=H","UseDPDF=Y")</f>
        <v>—</v>
      </c>
      <c r="M18" s="13" t="str" cm="1">
        <f t="array" ref="M18">_xll.BDH("DE US Equity","BS_ASSETS_HELD_FOR_SALE_ST","FQ1 2021","FQ1 2021","Currency=USD","Period=FQ","BEST_FPERIOD_OVERRIDE=FQ","FILING_STATUS=MR","SCALING_FORMAT=MLN","Sort=A","Dates=H","DateFormat=P","Fill=—","Direction=H","UseDPDF=Y")</f>
        <v>—</v>
      </c>
      <c r="N18" s="13" t="str" cm="1">
        <f t="array" ref="N18">_xll.BDH("DE US Equity","BS_ASSETS_HELD_FOR_SALE_ST","FQ2 2021","FQ2 2021","Currency=USD","Period=FQ","BEST_FPERIOD_OVERRIDE=FQ","FILING_STATUS=MR","SCALING_FORMAT=MLN","Sort=A","Dates=H","DateFormat=P","Fill=—","Direction=H","UseDPDF=Y")</f>
        <v>—</v>
      </c>
      <c r="O18" s="13" t="str" cm="1">
        <f t="array" ref="O18">_xll.BDH("DE US Equity","BS_ASSETS_HELD_FOR_SALE_ST","FQ3 2021","FQ3 2021","Currency=USD","Period=FQ","BEST_FPERIOD_OVERRIDE=FQ","FILING_STATUS=MR","SCALING_FORMAT=MLN","Sort=A","Dates=H","DateFormat=P","Fill=—","Direction=H","UseDPDF=Y")</f>
        <v>—</v>
      </c>
      <c r="P18" s="13" t="str" cm="1">
        <f t="array" ref="P18">_xll.BDH("DE US Equity","BS_ASSETS_HELD_FOR_SALE_ST","FQ4 2021","FQ4 2021","Currency=USD","Period=FQ","BEST_FPERIOD_OVERRIDE=FQ","FILING_STATUS=MR","SCALING_FORMAT=MLN","Sort=A","Dates=H","DateFormat=P","Fill=—","Direction=H","UseDPDF=Y")</f>
        <v>—</v>
      </c>
      <c r="Q18" s="13" t="str" cm="1">
        <f t="array" ref="Q18">_xll.BDH("DE US Equity","BS_ASSETS_HELD_FOR_SALE_ST","FQ1 2022","FQ1 2022","Currency=USD","Period=FQ","BEST_FPERIOD_OVERRIDE=FQ","FILING_STATUS=MR","SCALING_FORMAT=MLN","Sort=A","Dates=H","DateFormat=P","Fill=—","Direction=H","UseDPDF=Y")</f>
        <v>—</v>
      </c>
      <c r="R18" s="13" t="str" cm="1">
        <f t="array" ref="R18">_xll.BDH("DE US Equity","BS_ASSETS_HELD_FOR_SALE_ST","FQ2 2022","FQ2 2022","Currency=USD","Period=FQ","BEST_FPERIOD_OVERRIDE=FQ","FILING_STATUS=MR","SCALING_FORMAT=MLN","Sort=A","Dates=H","DateFormat=P","Fill=—","Direction=H","UseDPDF=Y")</f>
        <v>—</v>
      </c>
      <c r="S18" s="13" t="str" cm="1">
        <f t="array" ref="S18">_xll.BDH("DE US Equity","BS_ASSETS_HELD_FOR_SALE_ST","FQ3 2022","FQ3 2022","Currency=USD","Period=FQ","BEST_FPERIOD_OVERRIDE=FQ","FILING_STATUS=MR","SCALING_FORMAT=MLN","Sort=A","Dates=H","DateFormat=P","Fill=—","Direction=H","UseDPDF=Y")</f>
        <v>—</v>
      </c>
      <c r="T18" s="13" t="str" cm="1">
        <f t="array" ref="T18">_xll.BDH("DE US Equity","BS_ASSETS_HELD_FOR_SALE_ST","FQ4 2022","FQ4 2022","Currency=USD","Period=FQ","BEST_FPERIOD_OVERRIDE=FQ","FILING_STATUS=MR","SCALING_FORMAT=MLN","Sort=A","Dates=H","DateFormat=P","Fill=—","Direction=H","UseDPDF=Y")</f>
        <v>—</v>
      </c>
      <c r="U18" s="13" t="str" cm="1">
        <f t="array" ref="U18">_xll.BDH("DE US Equity","BS_ASSETS_HELD_FOR_SALE_ST","FQ1 2023","FQ1 2023","Currency=USD","Period=FQ","BEST_FPERIOD_OVERRIDE=FQ","FILING_STATUS=MR","SCALING_FORMAT=MLN","Sort=A","Dates=H","DateFormat=P","Fill=—","Direction=H","UseDPDF=Y")</f>
        <v>—</v>
      </c>
      <c r="V18" s="13" t="str" cm="1">
        <f t="array" ref="V18">_xll.BDH("DE US Equity","BS_ASSETS_HELD_FOR_SALE_ST","FQ2 2023","FQ2 2023","Currency=USD","Period=FQ","BEST_FPERIOD_OVERRIDE=FQ","FILING_STATUS=MR","SCALING_FORMAT=MLN","Sort=A","Dates=H","DateFormat=P","Fill=—","Direction=H","UseDPDF=Y")</f>
        <v>—</v>
      </c>
      <c r="W18" s="13" t="str" cm="1">
        <f t="array" ref="W18">_xll.BDH("DE US Equity","BS_ASSETS_HELD_FOR_SALE_ST","FQ3 2023","FQ3 2023","Currency=USD","Period=FQ","BEST_FPERIOD_OVERRIDE=FQ","FILING_STATUS=MR","SCALING_FORMAT=MLN","Sort=A","Dates=H","DateFormat=P","Fill=—","Direction=H","UseDPDF=Y")</f>
        <v>—</v>
      </c>
      <c r="X18" s="13" t="str" cm="1">
        <f t="array" ref="X18">_xll.BDH("DE US Equity","BS_ASSETS_HELD_FOR_SALE_ST","FQ4 2023","FQ4 2023","Currency=USD","Period=FQ","BEST_FPERIOD_OVERRIDE=FQ","FILING_STATUS=MR","SCALING_FORMAT=MLN","Sort=A","Dates=H","DateFormat=P","Fill=—","Direction=H","UseDPDF=Y")</f>
        <v>—</v>
      </c>
      <c r="Y18" s="13" t="str" cm="1">
        <f t="array" ref="Y18">_xll.BDH("DE US Equity","BS_ASSETS_HELD_FOR_SALE_ST","FQ1 2024","FQ1 2024","Currency=USD","Period=FQ","BEST_FPERIOD_OVERRIDE=FQ","FILING_STATUS=MR","SCALING_FORMAT=MLN","Sort=A","Dates=H","DateFormat=P","Fill=—","Direction=H","UseDPDF=Y")</f>
        <v>—</v>
      </c>
      <c r="Z18" s="13" t="str" cm="1">
        <f t="array" ref="Z18">_xll.BDH("DE US Equity","BS_ASSETS_HELD_FOR_SALE_ST","FQ2 2024","FQ2 2024","Currency=USD","Period=FQ","BEST_FPERIOD_OVERRIDE=FQ","FILING_STATUS=MR","SCALING_FORMAT=MLN","Sort=A","Dates=H","DateFormat=P","Fill=—","Direction=H","UseDPDF=Y")</f>
        <v>—</v>
      </c>
      <c r="AA18" s="13" cm="1">
        <f t="array" ref="AA18">_xll.BDH("DE US Equity","BS_ASSETS_HELD_FOR_SALE_ST","FQ3 2024","FQ3 2024","Currency=USD","Period=FQ","BEST_FPERIOD_OVERRIDE=FQ","FILING_STATUS=MR","SCALING_FORMAT=MLN","Sort=A","Dates=H","DateFormat=P","Fill=—","Direction=H","UseDPDF=Y")</f>
        <v>2965</v>
      </c>
      <c r="AB18" s="13" cm="1">
        <f t="array" ref="AB18">_xll.BDH("DE US Equity","BS_ASSETS_HELD_FOR_SALE_ST","FQ4 2024","FQ4 2024","Currency=USD","Period=FQ","BEST_FPERIOD_OVERRIDE=FQ","FILING_STATUS=MR","SCALING_FORMAT=MLN","Sort=A","Dates=H","DateFormat=P","Fill=—","Direction=H","UseDPDF=Y")</f>
        <v>2944</v>
      </c>
      <c r="AC18" s="13" cm="1">
        <f t="array" ref="AC18">_xll.BDH("DE US Equity","BS_ASSETS_HELD_FOR_SALE_ST","FQ1 2025","FQ1 2025","Currency=USD","Period=FQ","BEST_FPERIOD_OVERRIDE=FQ","FILING_STATUS=MR","SCALING_FORMAT=MLN","Sort=A","Dates=H","DateFormat=P","Fill=—","Direction=H","UseDPDF=Y")</f>
        <v>2929</v>
      </c>
      <c r="AD18" s="13" t="str" cm="1">
        <f t="array" ref="AD18">_xll.BDH("DE US Equity","BS_ASSETS_HELD_FOR_SALE_ST","FQ2 2025","FQ2 2025","Currency=USD","Period=FQ","BEST_FPERIOD_OVERRIDE=FQ","FILING_STATUS=MR","SCALING_FORMAT=MLN","Sort=A","Dates=H","DateFormat=P","Fill=—","Direction=H","UseDPDF=Y")</f>
        <v>—</v>
      </c>
      <c r="AE18" s="13" t="str" cm="1">
        <f t="array" ref="AE18">_xll.BDH("DE US Equity","BS_ASSETS_HELD_FOR_SALE_ST","FQ3 2025","FQ3 2025","Currency=USD","Period=FQ","BEST_FPERIOD_OVERRIDE=FQ","FILING_STATUS=MR","SCALING_FORMAT=MLN","Sort=A","Dates=H","DateFormat=P","Fill=—","Direction=H","UseDPDF=Y")</f>
        <v>—</v>
      </c>
      <c r="AF18" s="13" cm="1">
        <f t="array" ref="AF18">_xll.BDH("DE US Equity","BS_ASSETS_HELD_FOR_SALE_ST","FQ4 2025","FQ4 2025","Currency=USD","Period=FQ","BEST_FPERIOD_OVERRIDE=FQ","FILING_STATUS=MR","SCALING_FORMAT=MLN","Sort=A","Dates=H","DateFormat=P","Fill=—","Direction=H","UseDPDF=Y")</f>
        <v>0</v>
      </c>
    </row>
    <row r="19" spans="1:32" x14ac:dyDescent="0.25">
      <c r="A19" s="10" t="s">
        <v>90</v>
      </c>
      <c r="B19" s="10" t="s">
        <v>91</v>
      </c>
      <c r="C19" s="13" t="str" cm="1">
        <f t="array" ref="C19">_xll.BDH("DE US Equity","BS_TAXES_RECEIVABLE_SHORT_TERM","FQ3 2018","FQ3 2018","Currency=USD","Period=FQ","BEST_FPERIOD_OVERRIDE=FQ","FILING_STATUS=MR","SCALING_FORMAT=MLN","Sort=A","Dates=H","DateFormat=P","Fill=—","Direction=H","UseDPDF=Y")</f>
        <v>—</v>
      </c>
      <c r="D19" s="13" cm="1">
        <f t="array" ref="D19">_xll.BDH("DE US Equity","BS_TAXES_RECEIVABLE_SHORT_TERM","FQ4 2018","FQ4 2018","Currency=USD","Period=FQ","BEST_FPERIOD_OVERRIDE=FQ","FILING_STATUS=MR","SCALING_FORMAT=MLN","Sort=A","Dates=H","DateFormat=P","Fill=—","Direction=H","UseDPDF=Y")</f>
        <v>1370</v>
      </c>
      <c r="E19" s="13" t="str" cm="1">
        <f t="array" ref="E19">_xll.BDH("DE US Equity","BS_TAXES_RECEIVABLE_SHORT_TERM","FQ1 2019","FQ1 2019","Currency=USD","Period=FQ","BEST_FPERIOD_OVERRIDE=FQ","FILING_STATUS=MR","SCALING_FORMAT=MLN","Sort=A","Dates=H","DateFormat=P","Fill=—","Direction=H","UseDPDF=Y")</f>
        <v>—</v>
      </c>
      <c r="F19" s="13" t="str" cm="1">
        <f t="array" ref="F19">_xll.BDH("DE US Equity","BS_TAXES_RECEIVABLE_SHORT_TERM","FQ2 2019","FQ2 2019","Currency=USD","Period=FQ","BEST_FPERIOD_OVERRIDE=FQ","FILING_STATUS=MR","SCALING_FORMAT=MLN","Sort=A","Dates=H","DateFormat=P","Fill=—","Direction=H","UseDPDF=Y")</f>
        <v>—</v>
      </c>
      <c r="G19" s="13" t="str" cm="1">
        <f t="array" ref="G19">_xll.BDH("DE US Equity","BS_TAXES_RECEIVABLE_SHORT_TERM","FQ3 2019","FQ3 2019","Currency=USD","Period=FQ","BEST_FPERIOD_OVERRIDE=FQ","FILING_STATUS=MR","SCALING_FORMAT=MLN","Sort=A","Dates=H","DateFormat=P","Fill=—","Direction=H","UseDPDF=Y")</f>
        <v>—</v>
      </c>
      <c r="H19" s="13" cm="1">
        <f t="array" ref="H19">_xll.BDH("DE US Equity","BS_TAXES_RECEIVABLE_SHORT_TERM","FQ4 2019","FQ4 2019","Currency=USD","Period=FQ","BEST_FPERIOD_OVERRIDE=FQ","FILING_STATUS=MR","SCALING_FORMAT=MLN","Sort=A","Dates=H","DateFormat=P","Fill=—","Direction=H","UseDPDF=Y")</f>
        <v>1231</v>
      </c>
      <c r="I19" s="13" t="str" cm="1">
        <f t="array" ref="I19">_xll.BDH("DE US Equity","BS_TAXES_RECEIVABLE_SHORT_TERM","FQ1 2020","FQ1 2020","Currency=USD","Period=FQ","BEST_FPERIOD_OVERRIDE=FQ","FILING_STATUS=MR","SCALING_FORMAT=MLN","Sort=A","Dates=H","DateFormat=P","Fill=—","Direction=H","UseDPDF=Y")</f>
        <v>—</v>
      </c>
      <c r="J19" s="13" t="str" cm="1">
        <f t="array" ref="J19">_xll.BDH("DE US Equity","BS_TAXES_RECEIVABLE_SHORT_TERM","FQ2 2020","FQ2 2020","Currency=USD","Period=FQ","BEST_FPERIOD_OVERRIDE=FQ","FILING_STATUS=MR","SCALING_FORMAT=MLN","Sort=A","Dates=H","DateFormat=P","Fill=—","Direction=H","UseDPDF=Y")</f>
        <v>—</v>
      </c>
      <c r="K19" s="13" t="str" cm="1">
        <f t="array" ref="K19">_xll.BDH("DE US Equity","BS_TAXES_RECEIVABLE_SHORT_TERM","FQ3 2020","FQ3 2020","Currency=USD","Period=FQ","BEST_FPERIOD_OVERRIDE=FQ","FILING_STATUS=MR","SCALING_FORMAT=MLN","Sort=A","Dates=H","DateFormat=P","Fill=—","Direction=H","UseDPDF=Y")</f>
        <v>—</v>
      </c>
      <c r="L19" s="13" cm="1">
        <f t="array" ref="L19">_xll.BDH("DE US Equity","BS_TAXES_RECEIVABLE_SHORT_TERM","FQ4 2020","FQ4 2020","Currency=USD","Period=FQ","BEST_FPERIOD_OVERRIDE=FQ","FILING_STATUS=MR","SCALING_FORMAT=MLN","Sort=A","Dates=H","DateFormat=P","Fill=—","Direction=H","UseDPDF=Y")</f>
        <v>931</v>
      </c>
      <c r="M19" s="13" t="str" cm="1">
        <f t="array" ref="M19">_xll.BDH("DE US Equity","BS_TAXES_RECEIVABLE_SHORT_TERM","FQ1 2021","FQ1 2021","Currency=USD","Period=FQ","BEST_FPERIOD_OVERRIDE=FQ","FILING_STATUS=MR","SCALING_FORMAT=MLN","Sort=A","Dates=H","DateFormat=P","Fill=—","Direction=H","UseDPDF=Y")</f>
        <v>—</v>
      </c>
      <c r="N19" s="13" t="str" cm="1">
        <f t="array" ref="N19">_xll.BDH("DE US Equity","BS_TAXES_RECEIVABLE_SHORT_TERM","FQ2 2021","FQ2 2021","Currency=USD","Period=FQ","BEST_FPERIOD_OVERRIDE=FQ","FILING_STATUS=MR","SCALING_FORMAT=MLN","Sort=A","Dates=H","DateFormat=P","Fill=—","Direction=H","UseDPDF=Y")</f>
        <v>—</v>
      </c>
      <c r="O19" s="13" t="str" cm="1">
        <f t="array" ref="O19">_xll.BDH("DE US Equity","BS_TAXES_RECEIVABLE_SHORT_TERM","FQ3 2021","FQ3 2021","Currency=USD","Period=FQ","BEST_FPERIOD_OVERRIDE=FQ","FILING_STATUS=MR","SCALING_FORMAT=MLN","Sort=A","Dates=H","DateFormat=P","Fill=—","Direction=H","UseDPDF=Y")</f>
        <v>—</v>
      </c>
      <c r="P19" s="13" cm="1">
        <f t="array" ref="P19">_xll.BDH("DE US Equity","BS_TAXES_RECEIVABLE_SHORT_TERM","FQ4 2021","FQ4 2021","Currency=USD","Period=FQ","BEST_FPERIOD_OVERRIDE=FQ","FILING_STATUS=MR","SCALING_FORMAT=MLN","Sort=A","Dates=H","DateFormat=P","Fill=—","Direction=H","UseDPDF=Y")</f>
        <v>1436</v>
      </c>
      <c r="Q19" s="13" t="str" cm="1">
        <f t="array" ref="Q19">_xll.BDH("DE US Equity","BS_TAXES_RECEIVABLE_SHORT_TERM","FQ1 2022","FQ1 2022","Currency=USD","Period=FQ","BEST_FPERIOD_OVERRIDE=FQ","FILING_STATUS=MR","SCALING_FORMAT=MLN","Sort=A","Dates=H","DateFormat=P","Fill=—","Direction=H","UseDPDF=Y")</f>
        <v>—</v>
      </c>
      <c r="R19" s="13" t="str" cm="1">
        <f t="array" ref="R19">_xll.BDH("DE US Equity","BS_TAXES_RECEIVABLE_SHORT_TERM","FQ2 2022","FQ2 2022","Currency=USD","Period=FQ","BEST_FPERIOD_OVERRIDE=FQ","FILING_STATUS=MR","SCALING_FORMAT=MLN","Sort=A","Dates=H","DateFormat=P","Fill=—","Direction=H","UseDPDF=Y")</f>
        <v>—</v>
      </c>
      <c r="S19" s="13" t="str" cm="1">
        <f t="array" ref="S19">_xll.BDH("DE US Equity","BS_TAXES_RECEIVABLE_SHORT_TERM","FQ3 2022","FQ3 2022","Currency=USD","Period=FQ","BEST_FPERIOD_OVERRIDE=FQ","FILING_STATUS=MR","SCALING_FORMAT=MLN","Sort=A","Dates=H","DateFormat=P","Fill=—","Direction=H","UseDPDF=Y")</f>
        <v>—</v>
      </c>
      <c r="T19" s="13" cm="1">
        <f t="array" ref="T19">_xll.BDH("DE US Equity","BS_TAXES_RECEIVABLE_SHORT_TERM","FQ4 2022","FQ4 2022","Currency=USD","Period=FQ","BEST_FPERIOD_OVERRIDE=FQ","FILING_STATUS=MR","SCALING_FORMAT=MLN","Sort=A","Dates=H","DateFormat=P","Fill=—","Direction=H","UseDPDF=Y")</f>
        <v>1450</v>
      </c>
      <c r="U19" s="13" t="str" cm="1">
        <f t="array" ref="U19">_xll.BDH("DE US Equity","BS_TAXES_RECEIVABLE_SHORT_TERM","FQ1 2023","FQ1 2023","Currency=USD","Period=FQ","BEST_FPERIOD_OVERRIDE=FQ","FILING_STATUS=MR","SCALING_FORMAT=MLN","Sort=A","Dates=H","DateFormat=P","Fill=—","Direction=H","UseDPDF=Y")</f>
        <v>—</v>
      </c>
      <c r="V19" s="13" t="str" cm="1">
        <f t="array" ref="V19">_xll.BDH("DE US Equity","BS_TAXES_RECEIVABLE_SHORT_TERM","FQ2 2023","FQ2 2023","Currency=USD","Period=FQ","BEST_FPERIOD_OVERRIDE=FQ","FILING_STATUS=MR","SCALING_FORMAT=MLN","Sort=A","Dates=H","DateFormat=P","Fill=—","Direction=H","UseDPDF=Y")</f>
        <v>—</v>
      </c>
      <c r="W19" s="13" t="str" cm="1">
        <f t="array" ref="W19">_xll.BDH("DE US Equity","BS_TAXES_RECEIVABLE_SHORT_TERM","FQ3 2023","FQ3 2023","Currency=USD","Period=FQ","BEST_FPERIOD_OVERRIDE=FQ","FILING_STATUS=MR","SCALING_FORMAT=MLN","Sort=A","Dates=H","DateFormat=P","Fill=—","Direction=H","UseDPDF=Y")</f>
        <v>—</v>
      </c>
      <c r="X19" s="13" cm="1">
        <f t="array" ref="X19">_xll.BDH("DE US Equity","BS_TAXES_RECEIVABLE_SHORT_TERM","FQ4 2023","FQ4 2023","Currency=USD","Period=FQ","BEST_FPERIOD_OVERRIDE=FQ","FILING_STATUS=MR","SCALING_FORMAT=MLN","Sort=A","Dates=H","DateFormat=P","Fill=—","Direction=H","UseDPDF=Y")</f>
        <v>1626</v>
      </c>
      <c r="Y19" s="13" t="str" cm="1">
        <f t="array" ref="Y19">_xll.BDH("DE US Equity","BS_TAXES_RECEIVABLE_SHORT_TERM","FQ1 2024","FQ1 2024","Currency=USD","Period=FQ","BEST_FPERIOD_OVERRIDE=FQ","FILING_STATUS=MR","SCALING_FORMAT=MLN","Sort=A","Dates=H","DateFormat=P","Fill=—","Direction=H","UseDPDF=Y")</f>
        <v>—</v>
      </c>
      <c r="Z19" s="13" t="str" cm="1">
        <f t="array" ref="Z19">_xll.BDH("DE US Equity","BS_TAXES_RECEIVABLE_SHORT_TERM","FQ2 2024","FQ2 2024","Currency=USD","Period=FQ","BEST_FPERIOD_OVERRIDE=FQ","FILING_STATUS=MR","SCALING_FORMAT=MLN","Sort=A","Dates=H","DateFormat=P","Fill=—","Direction=H","UseDPDF=Y")</f>
        <v>—</v>
      </c>
      <c r="AA19" s="13" t="str" cm="1">
        <f t="array" ref="AA19">_xll.BDH("DE US Equity","BS_TAXES_RECEIVABLE_SHORT_TERM","FQ3 2024","FQ3 2024","Currency=USD","Period=FQ","BEST_FPERIOD_OVERRIDE=FQ","FILING_STATUS=MR","SCALING_FORMAT=MLN","Sort=A","Dates=H","DateFormat=P","Fill=—","Direction=H","UseDPDF=Y")</f>
        <v>—</v>
      </c>
      <c r="AB19" s="13" cm="1">
        <f t="array" ref="AB19">_xll.BDH("DE US Equity","BS_TAXES_RECEIVABLE_SHORT_TERM","FQ4 2024","FQ4 2024","Currency=USD","Period=FQ","BEST_FPERIOD_OVERRIDE=FQ","FILING_STATUS=MR","SCALING_FORMAT=MLN","Sort=A","Dates=H","DateFormat=P","Fill=—","Direction=H","UseDPDF=Y")</f>
        <v>1874</v>
      </c>
      <c r="AC19" s="13" t="str" cm="1">
        <f t="array" ref="AC19">_xll.BDH("DE US Equity","BS_TAXES_RECEIVABLE_SHORT_TERM","FQ1 2025","FQ1 2025","Currency=USD","Period=FQ","BEST_FPERIOD_OVERRIDE=FQ","FILING_STATUS=MR","SCALING_FORMAT=MLN","Sort=A","Dates=H","DateFormat=P","Fill=—","Direction=H","UseDPDF=Y")</f>
        <v>—</v>
      </c>
      <c r="AD19" s="13" t="str" cm="1">
        <f t="array" ref="AD19">_xll.BDH("DE US Equity","BS_TAXES_RECEIVABLE_SHORT_TERM","FQ2 2025","FQ2 2025","Currency=USD","Period=FQ","BEST_FPERIOD_OVERRIDE=FQ","FILING_STATUS=MR","SCALING_FORMAT=MLN","Sort=A","Dates=H","DateFormat=P","Fill=—","Direction=H","UseDPDF=Y")</f>
        <v>—</v>
      </c>
      <c r="AE19" s="13" t="str" cm="1">
        <f t="array" ref="AE19">_xll.BDH("DE US Equity","BS_TAXES_RECEIVABLE_SHORT_TERM","FQ3 2025","FQ3 2025","Currency=USD","Period=FQ","BEST_FPERIOD_OVERRIDE=FQ","FILING_STATUS=MR","SCALING_FORMAT=MLN","Sort=A","Dates=H","DateFormat=P","Fill=—","Direction=H","UseDPDF=Y")</f>
        <v>—</v>
      </c>
      <c r="AF19" s="13" cm="1">
        <f t="array" ref="AF19">_xll.BDH("DE US Equity","BS_TAXES_RECEIVABLE_SHORT_TERM","FQ4 2025","FQ4 2025","Currency=USD","Period=FQ","BEST_FPERIOD_OVERRIDE=FQ","FILING_STATUS=MR","SCALING_FORMAT=MLN","Sort=A","Dates=H","DateFormat=P","Fill=—","Direction=H","UseDPDF=Y")</f>
        <v>1554</v>
      </c>
    </row>
    <row r="20" spans="1:32" x14ac:dyDescent="0.25">
      <c r="A20" s="10" t="s">
        <v>92</v>
      </c>
      <c r="B20" s="10" t="s">
        <v>93</v>
      </c>
      <c r="C20" s="13" cm="1">
        <f t="array" ref="C20">_xll.BDH("DE US Equity","BS_OTHER_CUR_ASSET_LESS_PREPAY","FQ3 2018","FQ3 2018","Currency=USD","Period=FQ","BEST_FPERIOD_OVERRIDE=FQ","FILING_STATUS=MR","SCALING_FORMAT=MLN","Sort=A","Dates=H","DateFormat=P","Fill=—","Direction=H","UseDPDF=Y")</f>
        <v>1328</v>
      </c>
      <c r="D20" s="13" cm="1">
        <f t="array" ref="D20">_xll.BDH("DE US Equity","BS_OTHER_CUR_ASSET_LESS_PREPAY","FQ4 2018","FQ4 2018","Currency=USD","Period=FQ","BEST_FPERIOD_OVERRIDE=FQ","FILING_STATUS=MR","SCALING_FORMAT=MLN","Sort=A","Dates=H","DateFormat=P","Fill=—","Direction=H","UseDPDF=Y")</f>
        <v>388</v>
      </c>
      <c r="E20" s="13" cm="1">
        <f t="array" ref="E20">_xll.BDH("DE US Equity","BS_OTHER_CUR_ASSET_LESS_PREPAY","FQ1 2019","FQ1 2019","Currency=USD","Period=FQ","BEST_FPERIOD_OVERRIDE=FQ","FILING_STATUS=MR","SCALING_FORMAT=MLN","Sort=A","Dates=H","DateFormat=P","Fill=—","Direction=H","UseDPDF=Y")</f>
        <v>1686.5</v>
      </c>
      <c r="F20" s="13" cm="1">
        <f t="array" ref="F20">_xll.BDH("DE US Equity","BS_OTHER_CUR_ASSET_LESS_PREPAY","FQ2 2019","FQ2 2019","Currency=USD","Period=FQ","BEST_FPERIOD_OVERRIDE=FQ","FILING_STATUS=MR","SCALING_FORMAT=MLN","Sort=A","Dates=H","DateFormat=P","Fill=—","Direction=H","UseDPDF=Y")</f>
        <v>1511</v>
      </c>
      <c r="G20" s="13" cm="1">
        <f t="array" ref="G20">_xll.BDH("DE US Equity","BS_OTHER_CUR_ASSET_LESS_PREPAY","FQ3 2019","FQ3 2019","Currency=USD","Period=FQ","BEST_FPERIOD_OVERRIDE=FQ","FILING_STATUS=MR","SCALING_FORMAT=MLN","Sort=A","Dates=H","DateFormat=P","Fill=—","Direction=H","UseDPDF=Y")</f>
        <v>1589</v>
      </c>
      <c r="H20" s="13" cm="1">
        <f t="array" ref="H20">_xll.BDH("DE US Equity","BS_OTHER_CUR_ASSET_LESS_PREPAY","FQ4 2019","FQ4 2019","Currency=USD","Period=FQ","BEST_FPERIOD_OVERRIDE=FQ","FILING_STATUS=MR","SCALING_FORMAT=MLN","Sort=A","Dates=H","DateFormat=P","Fill=—","Direction=H","UseDPDF=Y")</f>
        <v>302</v>
      </c>
      <c r="I20" s="13" cm="1">
        <f t="array" ref="I20">_xll.BDH("DE US Equity","BS_OTHER_CUR_ASSET_LESS_PREPAY","FQ1 2020","FQ1 2020","Currency=USD","Period=FQ","BEST_FPERIOD_OVERRIDE=FQ","FILING_STATUS=MR","SCALING_FORMAT=MLN","Sort=A","Dates=H","DateFormat=P","Fill=—","Direction=H","UseDPDF=Y")</f>
        <v>1405</v>
      </c>
      <c r="J20" s="13" cm="1">
        <f t="array" ref="J20">_xll.BDH("DE US Equity","BS_OTHER_CUR_ASSET_LESS_PREPAY","FQ2 2020","FQ2 2020","Currency=USD","Period=FQ","BEST_FPERIOD_OVERRIDE=FQ","FILING_STATUS=MR","SCALING_FORMAT=MLN","Sort=A","Dates=H","DateFormat=P","Fill=—","Direction=H","UseDPDF=Y")</f>
        <v>1244</v>
      </c>
      <c r="K20" s="13" cm="1">
        <f t="array" ref="K20">_xll.BDH("DE US Equity","BS_OTHER_CUR_ASSET_LESS_PREPAY","FQ3 2020","FQ3 2020","Currency=USD","Period=FQ","BEST_FPERIOD_OVERRIDE=FQ","FILING_STATUS=MR","SCALING_FORMAT=MLN","Sort=A","Dates=H","DateFormat=P","Fill=—","Direction=H","UseDPDF=Y")</f>
        <v>1243</v>
      </c>
      <c r="L20" s="13" cm="1">
        <f t="array" ref="L20">_xll.BDH("DE US Equity","BS_OTHER_CUR_ASSET_LESS_PREPAY","FQ4 2020","FQ4 2020","Currency=USD","Period=FQ","BEST_FPERIOD_OVERRIDE=FQ","FILING_STATUS=MR","SCALING_FORMAT=MLN","Sort=A","Dates=H","DateFormat=P","Fill=—","Direction=H","UseDPDF=Y")</f>
        <v>320</v>
      </c>
      <c r="M20" s="13" cm="1">
        <f t="array" ref="M20">_xll.BDH("DE US Equity","BS_OTHER_CUR_ASSET_LESS_PREPAY","FQ1 2021","FQ1 2021","Currency=USD","Period=FQ","BEST_FPERIOD_OVERRIDE=FQ","FILING_STATUS=MR","SCALING_FORMAT=MLN","Sort=A","Dates=H","DateFormat=P","Fill=—","Direction=H","UseDPDF=Y")</f>
        <v>1169</v>
      </c>
      <c r="N20" s="13" cm="1">
        <f t="array" ref="N20">_xll.BDH("DE US Equity","BS_OTHER_CUR_ASSET_LESS_PREPAY","FQ2 2021","FQ2 2021","Currency=USD","Period=FQ","BEST_FPERIOD_OVERRIDE=FQ","FILING_STATUS=MR","SCALING_FORMAT=MLN","Sort=A","Dates=H","DateFormat=P","Fill=—","Direction=H","UseDPDF=Y")</f>
        <v>1504</v>
      </c>
      <c r="O20" s="13" cm="1">
        <f t="array" ref="O20">_xll.BDH("DE US Equity","BS_OTHER_CUR_ASSET_LESS_PREPAY","FQ3 2021","FQ3 2021","Currency=USD","Period=FQ","BEST_FPERIOD_OVERRIDE=FQ","FILING_STATUS=MR","SCALING_FORMAT=MLN","Sort=A","Dates=H","DateFormat=P","Fill=—","Direction=H","UseDPDF=Y")</f>
        <v>1702</v>
      </c>
      <c r="P20" s="13" cm="1">
        <f t="array" ref="P20">_xll.BDH("DE US Equity","BS_OTHER_CUR_ASSET_LESS_PREPAY","FQ4 2021","FQ4 2021","Currency=USD","Period=FQ","BEST_FPERIOD_OVERRIDE=FQ","FILING_STATUS=MR","SCALING_FORMAT=MLN","Sort=A","Dates=H","DateFormat=P","Fill=—","Direction=H","UseDPDF=Y")</f>
        <v>329</v>
      </c>
      <c r="Q20" s="13" cm="1">
        <f t="array" ref="Q20">_xll.BDH("DE US Equity","BS_OTHER_CUR_ASSET_LESS_PREPAY","FQ1 2022","FQ1 2022","Currency=USD","Period=FQ","BEST_FPERIOD_OVERRIDE=FQ","FILING_STATUS=MR","SCALING_FORMAT=MLN","Sort=A","Dates=H","DateFormat=P","Fill=—","Direction=H","UseDPDF=Y")</f>
        <v>1936</v>
      </c>
      <c r="R20" s="13" cm="1">
        <f t="array" ref="R20">_xll.BDH("DE US Equity","BS_OTHER_CUR_ASSET_LESS_PREPAY","FQ2 2022","FQ2 2022","Currency=USD","Period=FQ","BEST_FPERIOD_OVERRIDE=FQ","FILING_STATUS=MR","SCALING_FORMAT=MLN","Sort=A","Dates=H","DateFormat=P","Fill=—","Direction=H","UseDPDF=Y")</f>
        <v>2306</v>
      </c>
      <c r="S20" s="13" cm="1">
        <f t="array" ref="S20">_xll.BDH("DE US Equity","BS_OTHER_CUR_ASSET_LESS_PREPAY","FQ3 2022","FQ3 2022","Currency=USD","Period=FQ","BEST_FPERIOD_OVERRIDE=FQ","FILING_STATUS=MR","SCALING_FORMAT=MLN","Sort=A","Dates=H","DateFormat=P","Fill=—","Direction=H","UseDPDF=Y")</f>
        <v>1999</v>
      </c>
      <c r="T20" s="13" cm="1">
        <f t="array" ref="T20">_xll.BDH("DE US Equity","BS_OTHER_CUR_ASSET_LESS_PREPAY","FQ4 2022","FQ4 2022","Currency=USD","Period=FQ","BEST_FPERIOD_OVERRIDE=FQ","FILING_STATUS=MR","SCALING_FORMAT=MLN","Sort=A","Dates=H","DateFormat=P","Fill=—","Direction=H","UseDPDF=Y")</f>
        <v>1042</v>
      </c>
      <c r="U20" s="13" cm="1">
        <f t="array" ref="U20">_xll.BDH("DE US Equity","BS_OTHER_CUR_ASSET_LESS_PREPAY","FQ1 2023","FQ1 2023","Currency=USD","Period=FQ","BEST_FPERIOD_OVERRIDE=FQ","FILING_STATUS=MR","SCALING_FORMAT=MLN","Sort=A","Dates=H","DateFormat=P","Fill=—","Direction=H","UseDPDF=Y")</f>
        <v>1992</v>
      </c>
      <c r="V20" s="13" cm="1">
        <f t="array" ref="V20">_xll.BDH("DE US Equity","BS_OTHER_CUR_ASSET_LESS_PREPAY","FQ2 2023","FQ2 2023","Currency=USD","Period=FQ","BEST_FPERIOD_OVERRIDE=FQ","FILING_STATUS=MR","SCALING_FORMAT=MLN","Sort=A","Dates=H","DateFormat=P","Fill=—","Direction=H","UseDPDF=Y")</f>
        <v>2593</v>
      </c>
      <c r="W20" s="13" cm="1">
        <f t="array" ref="W20">_xll.BDH("DE US Equity","BS_OTHER_CUR_ASSET_LESS_PREPAY","FQ3 2023","FQ3 2023","Currency=USD","Period=FQ","BEST_FPERIOD_OVERRIDE=FQ","FILING_STATUS=MR","SCALING_FORMAT=MLN","Sort=A","Dates=H","DateFormat=P","Fill=—","Direction=H","UseDPDF=Y")</f>
        <v>3118</v>
      </c>
      <c r="X20" s="13" cm="1">
        <f t="array" ref="X20">_xll.BDH("DE US Equity","BS_OTHER_CUR_ASSET_LESS_PREPAY","FQ4 2023","FQ4 2023","Currency=USD","Period=FQ","BEST_FPERIOD_OVERRIDE=FQ","FILING_STATUS=MR","SCALING_FORMAT=MLN","Sort=A","Dates=H","DateFormat=P","Fill=—","Direction=H","UseDPDF=Y")</f>
        <v>997</v>
      </c>
      <c r="Y20" s="13" cm="1">
        <f t="array" ref="Y20">_xll.BDH("DE US Equity","BS_OTHER_CUR_ASSET_LESS_PREPAY","FQ1 2024","FQ1 2024","Currency=USD","Period=FQ","BEST_FPERIOD_OVERRIDE=FQ","FILING_STATUS=MR","SCALING_FORMAT=MLN","Sort=A","Dates=H","DateFormat=P","Fill=—","Direction=H","UseDPDF=Y")</f>
        <v>2017</v>
      </c>
      <c r="Z20" s="13" cm="1">
        <f t="array" ref="Z20">_xll.BDH("DE US Equity","BS_OTHER_CUR_ASSET_LESS_PREPAY","FQ2 2024","FQ2 2024","Currency=USD","Period=FQ","BEST_FPERIOD_OVERRIDE=FQ","FILING_STATUS=MR","SCALING_FORMAT=MLN","Sort=A","Dates=H","DateFormat=P","Fill=—","Direction=H","UseDPDF=Y")</f>
        <v>2535</v>
      </c>
      <c r="AA20" s="13" cm="1">
        <f t="array" ref="AA20">_xll.BDH("DE US Equity","BS_OTHER_CUR_ASSET_LESS_PREPAY","FQ3 2024","FQ3 2024","Currency=USD","Period=FQ","BEST_FPERIOD_OVERRIDE=FQ","FILING_STATUS=MR","SCALING_FORMAT=MLN","Sort=A","Dates=H","DateFormat=P","Fill=—","Direction=H","UseDPDF=Y")</f>
        <v>2270</v>
      </c>
      <c r="AB20" s="13" cm="1">
        <f t="array" ref="AB20">_xll.BDH("DE US Equity","BS_OTHER_CUR_ASSET_LESS_PREPAY","FQ4 2024","FQ4 2024","Currency=USD","Period=FQ","BEST_FPERIOD_OVERRIDE=FQ","FILING_STATUS=MR","SCALING_FORMAT=MLN","Sort=A","Dates=H","DateFormat=P","Fill=—","Direction=H","UseDPDF=Y")</f>
        <v>671</v>
      </c>
      <c r="AC20" s="13" cm="1">
        <f t="array" ref="AC20">_xll.BDH("DE US Equity","BS_OTHER_CUR_ASSET_LESS_PREPAY","FQ1 2025","FQ1 2025","Currency=USD","Period=FQ","BEST_FPERIOD_OVERRIDE=FQ","FILING_STATUS=MR","SCALING_FORMAT=MLN","Sort=A","Dates=H","DateFormat=P","Fill=—","Direction=H","UseDPDF=Y")</f>
        <v>2979</v>
      </c>
      <c r="AD20" s="13" cm="1">
        <f t="array" ref="AD20">_xll.BDH("DE US Equity","BS_OTHER_CUR_ASSET_LESS_PREPAY","FQ2 2025","FQ2 2025","Currency=USD","Period=FQ","BEST_FPERIOD_OVERRIDE=FQ","FILING_STATUS=MR","SCALING_FORMAT=MLN","Sort=A","Dates=H","DateFormat=P","Fill=—","Direction=H","UseDPDF=Y")</f>
        <v>2975</v>
      </c>
      <c r="AE20" s="13" cm="1">
        <f t="array" ref="AE20">_xll.BDH("DE US Equity","BS_OTHER_CUR_ASSET_LESS_PREPAY","FQ3 2025","FQ3 2025","Currency=USD","Period=FQ","BEST_FPERIOD_OVERRIDE=FQ","FILING_STATUS=MR","SCALING_FORMAT=MLN","Sort=A","Dates=H","DateFormat=P","Fill=—","Direction=H","UseDPDF=Y")</f>
        <v>2826</v>
      </c>
      <c r="AF20" s="13" cm="1">
        <f t="array" ref="AF20">_xll.BDH("DE US Equity","BS_OTHER_CUR_ASSET_LESS_PREPAY","FQ4 2025","FQ4 2025","Currency=USD","Period=FQ","BEST_FPERIOD_OVERRIDE=FQ","FILING_STATUS=MR","SCALING_FORMAT=MLN","Sort=A","Dates=H","DateFormat=P","Fill=—","Direction=H","UseDPDF=Y")</f>
        <v>849</v>
      </c>
    </row>
    <row r="21" spans="1:32" x14ac:dyDescent="0.25">
      <c r="A21" s="6" t="s">
        <v>94</v>
      </c>
      <c r="B21" s="6" t="s">
        <v>95</v>
      </c>
      <c r="C21" s="16" cm="1">
        <f t="array" ref="C21">_xll.BDH("DE US Equity","BS_CUR_ASSET_REPORT","FQ3 2018","FQ3 2018","Currency=USD","Period=FQ","BEST_FPERIOD_OVERRIDE=FQ","FILING_STATUS=MR","SCALING_FORMAT=MLN","Sort=A","Dates=H","DateFormat=P","Fill=—","Direction=H","UseDPDF=Y")</f>
        <v>18186</v>
      </c>
      <c r="D21" s="16" cm="1">
        <f t="array" ref="D21">_xll.BDH("DE US Equity","BS_CUR_ASSET_REPORT","FQ4 2018","FQ4 2018","Currency=USD","Period=FQ","BEST_FPERIOD_OVERRIDE=FQ","FILING_STATUS=MR","SCALING_FORMAT=MLN","Sort=A","Dates=H","DateFormat=P","Fill=—","Direction=H","UseDPDF=Y")</f>
        <v>17305</v>
      </c>
      <c r="E21" s="16" cm="1">
        <f t="array" ref="E21">_xll.BDH("DE US Equity","BS_CUR_ASSET_REPORT","FQ1 2019","FQ1 2019","Currency=USD","Period=FQ","BEST_FPERIOD_OVERRIDE=FQ","FILING_STATUS=MR","SCALING_FORMAT=MLN","Sort=A","Dates=H","DateFormat=P","Fill=—","Direction=H","UseDPDF=Y")</f>
        <v>18735</v>
      </c>
      <c r="F21" s="16" cm="1">
        <f t="array" ref="F21">_xll.BDH("DE US Equity","BS_CUR_ASSET_REPORT","FQ2 2019","FQ2 2019","Currency=USD","Period=FQ","BEST_FPERIOD_OVERRIDE=FQ","FILING_STATUS=MR","SCALING_FORMAT=MLN","Sort=A","Dates=H","DateFormat=P","Fill=—","Direction=H","UseDPDF=Y")</f>
        <v>20219.900000000001</v>
      </c>
      <c r="G21" s="16" cm="1">
        <f t="array" ref="G21">_xll.BDH("DE US Equity","BS_CUR_ASSET_REPORT","FQ3 2019","FQ3 2019","Currency=USD","Period=FQ","BEST_FPERIOD_OVERRIDE=FQ","FILING_STATUS=MR","SCALING_FORMAT=MLN","Sort=A","Dates=H","DateFormat=P","Fill=—","Direction=H","UseDPDF=Y")</f>
        <v>19042</v>
      </c>
      <c r="H21" s="16" cm="1">
        <f t="array" ref="H21">_xll.BDH("DE US Equity","BS_CUR_ASSET_REPORT","FQ4 2019","FQ4 2019","Currency=USD","Period=FQ","BEST_FPERIOD_OVERRIDE=FQ","FILING_STATUS=MR","SCALING_FORMAT=MLN","Sort=A","Dates=H","DateFormat=P","Fill=—","Direction=H","UseDPDF=Y")</f>
        <v>17176</v>
      </c>
      <c r="I21" s="16" cm="1">
        <f t="array" ref="I21">_xll.BDH("DE US Equity","BS_CUR_ASSET_REPORT","FQ1 2020","FQ1 2020","Currency=USD","Period=FQ","BEST_FPERIOD_OVERRIDE=FQ","FILING_STATUS=MR","SCALING_FORMAT=MLN","Sort=A","Dates=H","DateFormat=P","Fill=—","Direction=H","UseDPDF=Y")</f>
        <v>17458</v>
      </c>
      <c r="J21" s="16" cm="1">
        <f t="array" ref="J21">_xll.BDH("DE US Equity","BS_CUR_ASSET_REPORT","FQ2 2020","FQ2 2020","Currency=USD","Period=FQ","BEST_FPERIOD_OVERRIDE=FQ","FILING_STATUS=MR","SCALING_FORMAT=MLN","Sort=A","Dates=H","DateFormat=P","Fill=—","Direction=H","UseDPDF=Y")</f>
        <v>22927</v>
      </c>
      <c r="K21" s="16" cm="1">
        <f t="array" ref="K21">_xll.BDH("DE US Equity","BS_CUR_ASSET_REPORT","FQ3 2020","FQ3 2020","Currency=USD","Period=FQ","BEST_FPERIOD_OVERRIDE=FQ","FILING_STATUS=MR","SCALING_FORMAT=MLN","Sort=A","Dates=H","DateFormat=P","Fill=—","Direction=H","UseDPDF=Y")</f>
        <v>21196</v>
      </c>
      <c r="L21" s="16" cm="1">
        <f t="array" ref="L21">_xll.BDH("DE US Equity","BS_CUR_ASSET_REPORT","FQ4 2020","FQ4 2020","Currency=USD","Period=FQ","BEST_FPERIOD_OVERRIDE=FQ","FILING_STATUS=MR","SCALING_FORMAT=MLN","Sort=A","Dates=H","DateFormat=P","Fill=—","Direction=H","UseDPDF=Y")</f>
        <v>18128</v>
      </c>
      <c r="M21" s="16" cm="1">
        <f t="array" ref="M21">_xll.BDH("DE US Equity","BS_CUR_ASSET_REPORT","FQ1 2021","FQ1 2021","Currency=USD","Period=FQ","BEST_FPERIOD_OVERRIDE=FQ","FILING_STATUS=MR","SCALING_FORMAT=MLN","Sort=A","Dates=H","DateFormat=P","Fill=—","Direction=H","UseDPDF=Y")</f>
        <v>19791</v>
      </c>
      <c r="N21" s="16" cm="1">
        <f t="array" ref="N21">_xll.BDH("DE US Equity","BS_CUR_ASSET_REPORT","FQ2 2021","FQ2 2021","Currency=USD","Period=FQ","BEST_FPERIOD_OVERRIDE=FQ","FILING_STATUS=MR","SCALING_FORMAT=MLN","Sort=A","Dates=H","DateFormat=P","Fill=—","Direction=H","UseDPDF=Y")</f>
        <v>21554</v>
      </c>
      <c r="O21" s="16" cm="1">
        <f t="array" ref="O21">_xll.BDH("DE US Equity","BS_CUR_ASSET_REPORT","FQ3 2021","FQ3 2021","Currency=USD","Period=FQ","BEST_FPERIOD_OVERRIDE=FQ","FILING_STATUS=MR","SCALING_FORMAT=MLN","Sort=A","Dates=H","DateFormat=P","Fill=—","Direction=H","UseDPDF=Y")</f>
        <v>21587</v>
      </c>
      <c r="P21" s="16" cm="1">
        <f t="array" ref="P21">_xll.BDH("DE US Equity","BS_CUR_ASSET_REPORT","FQ4 2021","FQ4 2021","Currency=USD","Period=FQ","BEST_FPERIOD_OVERRIDE=FQ","FILING_STATUS=MR","SCALING_FORMAT=MLN","Sort=A","Dates=H","DateFormat=P","Fill=—","Direction=H","UseDPDF=Y")</f>
        <v>21499</v>
      </c>
      <c r="Q21" s="16" cm="1">
        <f t="array" ref="Q21">_xll.BDH("DE US Equity","BS_CUR_ASSET_REPORT","FQ1 2022","FQ1 2022","Currency=USD","Period=FQ","BEST_FPERIOD_OVERRIDE=FQ","FILING_STATUS=MR","SCALING_FORMAT=MLN","Sort=A","Dates=H","DateFormat=P","Fill=—","Direction=H","UseDPDF=Y")</f>
        <v>19933</v>
      </c>
      <c r="R21" s="16" cm="1">
        <f t="array" ref="R21">_xll.BDH("DE US Equity","BS_CUR_ASSET_REPORT","FQ2 2022","FQ2 2022","Currency=USD","Period=FQ","BEST_FPERIOD_OVERRIDE=FQ","FILING_STATUS=MR","SCALING_FORMAT=MLN","Sort=A","Dates=H","DateFormat=P","Fill=—","Direction=H","UseDPDF=Y")</f>
        <v>22154</v>
      </c>
      <c r="S21" s="16" cm="1">
        <f t="array" ref="S21">_xll.BDH("DE US Equity","BS_CUR_ASSET_REPORT","FQ3 2022","FQ3 2022","Currency=USD","Period=FQ","BEST_FPERIOD_OVERRIDE=FQ","FILING_STATUS=MR","SCALING_FORMAT=MLN","Sort=A","Dates=H","DateFormat=P","Fill=—","Direction=H","UseDPDF=Y")</f>
        <v>22894</v>
      </c>
      <c r="T21" s="16" cm="1">
        <f t="array" ref="T21">_xll.BDH("DE US Equity","BS_CUR_ASSET_REPORT","FQ4 2022","FQ4 2022","Currency=USD","Period=FQ","BEST_FPERIOD_OVERRIDE=FQ","FILING_STATUS=MR","SCALING_FORMAT=MLN","Sort=A","Dates=H","DateFormat=P","Fill=—","Direction=H","UseDPDF=Y")</f>
        <v>22905</v>
      </c>
      <c r="U21" s="16" cm="1">
        <f t="array" ref="U21">_xll.BDH("DE US Equity","BS_CUR_ASSET_REPORT","FQ1 2023","FQ1 2023","Currency=USD","Period=FQ","BEST_FPERIOD_OVERRIDE=FQ","FILING_STATUS=MR","SCALING_FORMAT=MLN","Sort=A","Dates=H","DateFormat=P","Fill=—","Direction=H","UseDPDF=Y")</f>
        <v>24485</v>
      </c>
      <c r="V21" s="16" cm="1">
        <f t="array" ref="V21">_xll.BDH("DE US Equity","BS_CUR_ASSET_REPORT","FQ2 2023","FQ2 2023","Currency=USD","Period=FQ","BEST_FPERIOD_OVERRIDE=FQ","FILING_STATUS=MR","SCALING_FORMAT=MLN","Sort=A","Dates=H","DateFormat=P","Fill=—","Direction=H","UseDPDF=Y")</f>
        <v>28400</v>
      </c>
      <c r="W21" s="16" cm="1">
        <f t="array" ref="W21">_xll.BDH("DE US Equity","BS_CUR_ASSET_REPORT","FQ3 2023","FQ3 2023","Currency=USD","Period=FQ","BEST_FPERIOD_OVERRIDE=FQ","FILING_STATUS=MR","SCALING_FORMAT=MLN","Sort=A","Dates=H","DateFormat=P","Fill=—","Direction=H","UseDPDF=Y")</f>
        <v>29182</v>
      </c>
      <c r="X21" s="16" cm="1">
        <f t="array" ref="X21">_xll.BDH("DE US Equity","BS_CUR_ASSET_REPORT","FQ4 2023","FQ4 2023","Currency=USD","Period=FQ","BEST_FPERIOD_OVERRIDE=FQ","FILING_STATUS=MR","SCALING_FORMAT=MLN","Sort=A","Dates=H","DateFormat=P","Fill=—","Direction=H","UseDPDF=Y")</f>
        <v>26926</v>
      </c>
      <c r="Y21" s="16" cm="1">
        <f t="array" ref="Y21">_xll.BDH("DE US Equity","BS_CUR_ASSET_REPORT","FQ1 2024","FQ1 2024","Currency=USD","Period=FQ","BEST_FPERIOD_OVERRIDE=FQ","FILING_STATUS=MR","SCALING_FORMAT=MLN","Sort=A","Dates=H","DateFormat=P","Fill=—","Direction=H","UseDPDF=Y")</f>
        <v>25022</v>
      </c>
      <c r="Z21" s="16" cm="1">
        <f t="array" ref="Z21">_xll.BDH("DE US Equity","BS_CUR_ASSET_REPORT","FQ2 2024","FQ2 2024","Currency=USD","Period=FQ","BEST_FPERIOD_OVERRIDE=FQ","FILING_STATUS=MR","SCALING_FORMAT=MLN","Sort=A","Dates=H","DateFormat=P","Fill=—","Direction=H","UseDPDF=Y")</f>
        <v>26505</v>
      </c>
      <c r="AA21" s="16" cm="1">
        <f t="array" ref="AA21">_xll.BDH("DE US Equity","BS_CUR_ASSET_REPORT","FQ3 2024","FQ3 2024","Currency=USD","Period=FQ","BEST_FPERIOD_OVERRIDE=FQ","FILING_STATUS=MR","SCALING_FORMAT=MLN","Sort=A","Dates=H","DateFormat=P","Fill=—","Direction=H","UseDPDF=Y")</f>
        <v>28544</v>
      </c>
      <c r="AB21" s="16" cm="1">
        <f t="array" ref="AB21">_xll.BDH("DE US Equity","BS_CUR_ASSET_REPORT","FQ4 2024","FQ4 2024","Currency=USD","Period=FQ","BEST_FPERIOD_OVERRIDE=FQ","FILING_STATUS=MR","SCALING_FORMAT=MLN","Sort=A","Dates=H","DateFormat=P","Fill=—","Direction=H","UseDPDF=Y")</f>
        <v>26386</v>
      </c>
      <c r="AC21" s="16" cm="1">
        <f t="array" ref="AC21">_xll.BDH("DE US Equity","BS_CUR_ASSET_REPORT","FQ1 2025","FQ1 2025","Currency=USD","Period=FQ","BEST_FPERIOD_OVERRIDE=FQ","FILING_STATUS=MR","SCALING_FORMAT=MLN","Sort=A","Dates=H","DateFormat=P","Fill=—","Direction=H","UseDPDF=Y")</f>
        <v>26398</v>
      </c>
      <c r="AD21" s="16" cm="1">
        <f t="array" ref="AD21">_xll.BDH("DE US Equity","BS_CUR_ASSET_REPORT","FQ2 2025","FQ2 2025","Currency=USD","Period=FQ","BEST_FPERIOD_OVERRIDE=FQ","FILING_STATUS=MR","SCALING_FORMAT=MLN","Sort=A","Dates=H","DateFormat=P","Fill=—","Direction=H","UseDPDF=Y")</f>
        <v>26856</v>
      </c>
      <c r="AE21" s="16" cm="1">
        <f t="array" ref="AE21">_xll.BDH("DE US Equity","BS_CUR_ASSET_REPORT","FQ3 2025","FQ3 2025","Currency=USD","Period=FQ","BEST_FPERIOD_OVERRIDE=FQ","FILING_STATUS=MR","SCALING_FORMAT=MLN","Sort=A","Dates=H","DateFormat=P","Fill=—","Direction=H","UseDPDF=Y")</f>
        <v>26629</v>
      </c>
      <c r="AF21" s="16" cm="1">
        <f t="array" ref="AF21">_xll.BDH("DE US Equity","BS_CUR_ASSET_REPORT","FQ4 2025","FQ4 2025","Currency=USD","Period=FQ","BEST_FPERIOD_OVERRIDE=FQ","FILING_STATUS=MR","SCALING_FORMAT=MLN","Sort=A","Dates=H","DateFormat=P","Fill=—","Direction=H","UseDPDF=Y")</f>
        <v>24813</v>
      </c>
    </row>
    <row r="22" spans="1:32" x14ac:dyDescent="0.25">
      <c r="A22" s="10" t="s">
        <v>96</v>
      </c>
      <c r="B22" s="10" t="s">
        <v>97</v>
      </c>
      <c r="C22" s="13" cm="1">
        <f t="array" ref="C22">_xll.BDH("DE US Equity","BS_NET_FIX_ASSET","FQ3 2018","FQ3 2018","Currency=USD","Period=FQ","BEST_FPERIOD_OVERRIDE=FQ","FILING_STATUS=MR","SCALING_FORMAT=MLN","Sort=A","Dates=H","DateFormat=P","Fill=—","Direction=H","UseDPDF=Y")</f>
        <v>12443</v>
      </c>
      <c r="D22" s="13" cm="1">
        <f t="array" ref="D22">_xll.BDH("DE US Equity","BS_NET_FIX_ASSET","FQ4 2018","FQ4 2018","Currency=USD","Period=FQ","BEST_FPERIOD_OVERRIDE=FQ","FILING_STATUS=MR","SCALING_FORMAT=MLN","Sort=A","Dates=H","DateFormat=P","Fill=—","Direction=H","UseDPDF=Y")</f>
        <v>13033</v>
      </c>
      <c r="E22" s="13" cm="1">
        <f t="array" ref="E22">_xll.BDH("DE US Equity","BS_NET_FIX_ASSET","FQ1 2019","FQ1 2019","Currency=USD","Period=FQ","BEST_FPERIOD_OVERRIDE=FQ","FILING_STATUS=MR","SCALING_FORMAT=MLN","Sort=A","Dates=H","DateFormat=P","Fill=—","Direction=H","UseDPDF=Y")</f>
        <v>12688.8</v>
      </c>
      <c r="F22" s="13" cm="1">
        <f t="array" ref="F22">_xll.BDH("DE US Equity","BS_NET_FIX_ASSET","FQ2 2019","FQ2 2019","Currency=USD","Period=FQ","BEST_FPERIOD_OVERRIDE=FQ","FILING_STATUS=MR","SCALING_FORMAT=MLN","Sort=A","Dates=H","DateFormat=P","Fill=—","Direction=H","UseDPDF=Y")</f>
        <v>12797</v>
      </c>
      <c r="G22" s="13" cm="1">
        <f t="array" ref="G22">_xll.BDH("DE US Equity","BS_NET_FIX_ASSET","FQ3 2019","FQ3 2019","Currency=USD","Period=FQ","BEST_FPERIOD_OVERRIDE=FQ","FILING_STATUS=MR","SCALING_FORMAT=MLN","Sort=A","Dates=H","DateFormat=P","Fill=—","Direction=H","UseDPDF=Y")</f>
        <v>13067</v>
      </c>
      <c r="H22" s="13" cm="1">
        <f t="array" ref="H22">_xll.BDH("DE US Equity","BS_NET_FIX_ASSET","FQ4 2019","FQ4 2019","Currency=USD","Period=FQ","BEST_FPERIOD_OVERRIDE=FQ","FILING_STATUS=MR","SCALING_FORMAT=MLN","Sort=A","Dates=H","DateFormat=P","Fill=—","Direction=H","UseDPDF=Y")</f>
        <v>13540</v>
      </c>
      <c r="I22" s="13" cm="1">
        <f t="array" ref="I22">_xll.BDH("DE US Equity","BS_NET_FIX_ASSET","FQ1 2020","FQ1 2020","Currency=USD","Period=FQ","BEST_FPERIOD_OVERRIDE=FQ","FILING_STATUS=MR","SCALING_FORMAT=MLN","Sort=A","Dates=H","DateFormat=P","Fill=—","Direction=H","UseDPDF=Y")</f>
        <v>13404</v>
      </c>
      <c r="J22" s="13" cm="1">
        <f t="array" ref="J22">_xll.BDH("DE US Equity","BS_NET_FIX_ASSET","FQ2 2020","FQ2 2020","Currency=USD","Period=FQ","BEST_FPERIOD_OVERRIDE=FQ","FILING_STATUS=MR","SCALING_FORMAT=MLN","Sort=A","Dates=H","DateFormat=P","Fill=—","Direction=H","UseDPDF=Y")</f>
        <v>12930</v>
      </c>
      <c r="K22" s="13" cm="1">
        <f t="array" ref="K22">_xll.BDH("DE US Equity","BS_NET_FIX_ASSET","FQ3 2020","FQ3 2020","Currency=USD","Period=FQ","BEST_FPERIOD_OVERRIDE=FQ","FILING_STATUS=MR","SCALING_FORMAT=MLN","Sort=A","Dates=H","DateFormat=P","Fill=—","Direction=H","UseDPDF=Y")</f>
        <v>12912</v>
      </c>
      <c r="L22" s="13" cm="1">
        <f t="array" ref="L22">_xll.BDH("DE US Equity","BS_NET_FIX_ASSET","FQ4 2020","FQ4 2020","Currency=USD","Period=FQ","BEST_FPERIOD_OVERRIDE=FQ","FILING_STATUS=MR","SCALING_FORMAT=MLN","Sort=A","Dates=H","DateFormat=P","Fill=—","Direction=H","UseDPDF=Y")</f>
        <v>13115</v>
      </c>
      <c r="M22" s="13" cm="1">
        <f t="array" ref="M22">_xll.BDH("DE US Equity","BS_NET_FIX_ASSET","FQ1 2021","FQ1 2021","Currency=USD","Period=FQ","BEST_FPERIOD_OVERRIDE=FQ","FILING_STATUS=MR","SCALING_FORMAT=MLN","Sort=A","Dates=H","DateFormat=P","Fill=—","Direction=H","UseDPDF=Y")</f>
        <v>12771</v>
      </c>
      <c r="N22" s="13" cm="1">
        <f t="array" ref="N22">_xll.BDH("DE US Equity","BS_NET_FIX_ASSET","FQ2 2021","FQ2 2021","Currency=USD","Period=FQ","BEST_FPERIOD_OVERRIDE=FQ","FILING_STATUS=MR","SCALING_FORMAT=MLN","Sort=A","Dates=H","DateFormat=P","Fill=—","Direction=H","UseDPDF=Y")</f>
        <v>12812</v>
      </c>
      <c r="O22" s="13" cm="1">
        <f t="array" ref="O22">_xll.BDH("DE US Equity","BS_NET_FIX_ASSET","FQ3 2021","FQ3 2021","Currency=USD","Period=FQ","BEST_FPERIOD_OVERRIDE=FQ","FILING_STATUS=MR","SCALING_FORMAT=MLN","Sort=A","Dates=H","DateFormat=P","Fill=—","Direction=H","UseDPDF=Y")</f>
        <v>12631</v>
      </c>
      <c r="P22" s="13" cm="1">
        <f t="array" ref="P22">_xll.BDH("DE US Equity","BS_NET_FIX_ASSET","FQ4 2021","FQ4 2021","Currency=USD","Period=FQ","BEST_FPERIOD_OVERRIDE=FQ","FILING_STATUS=MR","SCALING_FORMAT=MLN","Sort=A","Dates=H","DateFormat=P","Fill=—","Direction=H","UseDPDF=Y")</f>
        <v>12808</v>
      </c>
      <c r="Q22" s="13" cm="1">
        <f t="array" ref="Q22">_xll.BDH("DE US Equity","BS_NET_FIX_ASSET","FQ1 2022","FQ1 2022","Currency=USD","Period=FQ","BEST_FPERIOD_OVERRIDE=FQ","FILING_STATUS=MR","SCALING_FORMAT=MLN","Sort=A","Dates=H","DateFormat=P","Fill=—","Direction=H","UseDPDF=Y")</f>
        <v>12289</v>
      </c>
      <c r="R22" s="13" cm="1">
        <f t="array" ref="R22">_xll.BDH("DE US Equity","BS_NET_FIX_ASSET","FQ2 2022","FQ2 2022","Currency=USD","Period=FQ","BEST_FPERIOD_OVERRIDE=FQ","FILING_STATUS=MR","SCALING_FORMAT=MLN","Sort=A","Dates=H","DateFormat=P","Fill=—","Direction=H","UseDPDF=Y")</f>
        <v>12180</v>
      </c>
      <c r="S22" s="13" cm="1">
        <f t="array" ref="S22">_xll.BDH("DE US Equity","BS_NET_FIX_ASSET","FQ3 2022","FQ3 2022","Currency=USD","Period=FQ","BEST_FPERIOD_OVERRIDE=FQ","FILING_STATUS=MR","SCALING_FORMAT=MLN","Sort=A","Dates=H","DateFormat=P","Fill=—","Direction=H","UseDPDF=Y")</f>
        <v>12220</v>
      </c>
      <c r="T22" s="13" cm="1">
        <f t="array" ref="T22">_xll.BDH("DE US Equity","BS_NET_FIX_ASSET","FQ4 2022","FQ4 2022","Currency=USD","Period=FQ","BEST_FPERIOD_OVERRIDE=FQ","FILING_STATUS=MR","SCALING_FORMAT=MLN","Sort=A","Dates=H","DateFormat=P","Fill=—","Direction=H","UseDPDF=Y")</f>
        <v>12679</v>
      </c>
      <c r="U22" s="13" cm="1">
        <f t="array" ref="U22">_xll.BDH("DE US Equity","BS_NET_FIX_ASSET","FQ1 2023","FQ1 2023","Currency=USD","Period=FQ","BEST_FPERIOD_OVERRIDE=FQ","FILING_STATUS=MR","SCALING_FORMAT=MLN","Sort=A","Dates=H","DateFormat=P","Fill=—","Direction=H","UseDPDF=Y")</f>
        <v>12714</v>
      </c>
      <c r="V22" s="13" cm="1">
        <f t="array" ref="V22">_xll.BDH("DE US Equity","BS_NET_FIX_ASSET","FQ2 2023","FQ2 2023","Currency=USD","Period=FQ","BEST_FPERIOD_OVERRIDE=FQ","FILING_STATUS=MR","SCALING_FORMAT=MLN","Sort=A","Dates=H","DateFormat=P","Fill=—","Direction=H","UseDPDF=Y")</f>
        <v>12812</v>
      </c>
      <c r="W22" s="13" cm="1">
        <f t="array" ref="W22">_xll.BDH("DE US Equity","BS_NET_FIX_ASSET","FQ3 2023","FQ3 2023","Currency=USD","Period=FQ","BEST_FPERIOD_OVERRIDE=FQ","FILING_STATUS=MR","SCALING_FORMAT=MLN","Sort=A","Dates=H","DateFormat=P","Fill=—","Direction=H","UseDPDF=Y")</f>
        <v>13127</v>
      </c>
      <c r="X22" s="13" cm="1">
        <f t="array" ref="X22">_xll.BDH("DE US Equity","BS_NET_FIX_ASSET","FQ4 2023","FQ4 2023","Currency=USD","Period=FQ","BEST_FPERIOD_OVERRIDE=FQ","FILING_STATUS=MR","SCALING_FORMAT=MLN","Sort=A","Dates=H","DateFormat=P","Fill=—","Direction=H","UseDPDF=Y")</f>
        <v>13796</v>
      </c>
      <c r="Y22" s="13" cm="1">
        <f t="array" ref="Y22">_xll.BDH("DE US Equity","BS_NET_FIX_ASSET","FQ1 2024","FQ1 2024","Currency=USD","Period=FQ","BEST_FPERIOD_OVERRIDE=FQ","FILING_STATUS=MR","SCALING_FORMAT=MLN","Sort=A","Dates=H","DateFormat=P","Fill=—","Direction=H","UseDPDF=Y")</f>
        <v>13665</v>
      </c>
      <c r="Z22" s="13" cm="1">
        <f t="array" ref="Z22">_xll.BDH("DE US Equity","BS_NET_FIX_ASSET","FQ2 2024","FQ2 2024","Currency=USD","Period=FQ","BEST_FPERIOD_OVERRIDE=FQ","FILING_STATUS=MR","SCALING_FORMAT=MLN","Sort=A","Dates=H","DateFormat=P","Fill=—","Direction=H","UseDPDF=Y")</f>
        <v>13999</v>
      </c>
      <c r="AA22" s="13" cm="1">
        <f t="array" ref="AA22">_xll.BDH("DE US Equity","BS_NET_FIX_ASSET","FQ3 2024","FQ3 2024","Currency=USD","Period=FQ","BEST_FPERIOD_OVERRIDE=FQ","FILING_STATUS=MR","SCALING_FORMAT=MLN","Sort=A","Dates=H","DateFormat=P","Fill=—","Direction=H","UseDPDF=Y")</f>
        <v>14210</v>
      </c>
      <c r="AB22" s="13" cm="1">
        <f t="array" ref="AB22">_xll.BDH("DE US Equity","BS_NET_FIX_ASSET","FQ4 2024","FQ4 2024","Currency=USD","Period=FQ","BEST_FPERIOD_OVERRIDE=FQ","FILING_STATUS=MR","SCALING_FORMAT=MLN","Sort=A","Dates=H","DateFormat=P","Fill=—","Direction=H","UseDPDF=Y")</f>
        <v>15031</v>
      </c>
      <c r="AC22" s="13" cm="1">
        <f t="array" ref="AC22">_xll.BDH("DE US Equity","BS_NET_FIX_ASSET","FQ1 2025","FQ1 2025","Currency=USD","Period=FQ","BEST_FPERIOD_OVERRIDE=FQ","FILING_STATUS=MR","SCALING_FORMAT=MLN","Sort=A","Dates=H","DateFormat=P","Fill=—","Direction=H","UseDPDF=Y")</f>
        <v>14582</v>
      </c>
      <c r="AD22" s="13" cm="1">
        <f t="array" ref="AD22">_xll.BDH("DE US Equity","BS_NET_FIX_ASSET","FQ2 2025","FQ2 2025","Currency=USD","Period=FQ","BEST_FPERIOD_OVERRIDE=FQ","FILING_STATUS=MR","SCALING_FORMAT=MLN","Sort=A","Dates=H","DateFormat=P","Fill=—","Direction=H","UseDPDF=Y")</f>
        <v>14891</v>
      </c>
      <c r="AE22" s="13" cm="1">
        <f t="array" ref="AE22">_xll.BDH("DE US Equity","BS_NET_FIX_ASSET","FQ3 2025","FQ3 2025","Currency=USD","Period=FQ","BEST_FPERIOD_OVERRIDE=FQ","FILING_STATUS=MR","SCALING_FORMAT=MLN","Sort=A","Dates=H","DateFormat=P","Fill=—","Direction=H","UseDPDF=Y")</f>
        <v>15225</v>
      </c>
      <c r="AF22" s="13" cm="1">
        <f t="array" ref="AF22">_xll.BDH("DE US Equity","BS_NET_FIX_ASSET","FQ4 2025","FQ4 2025","Currency=USD","Period=FQ","BEST_FPERIOD_OVERRIDE=FQ","FILING_STATUS=MR","SCALING_FORMAT=MLN","Sort=A","Dates=H","DateFormat=P","Fill=—","Direction=H","UseDPDF=Y")</f>
        <v>15679</v>
      </c>
    </row>
    <row r="23" spans="1:32" x14ac:dyDescent="0.25">
      <c r="A23" s="10" t="s">
        <v>98</v>
      </c>
      <c r="B23" s="10" t="s">
        <v>99</v>
      </c>
      <c r="C23" s="13" t="str" cm="1">
        <f t="array" ref="C23">_xll.BDH("DE US Equity","BS_GROSS_FIX_ASSET","FQ3 2018","FQ3 2018","Currency=USD","Period=FQ","BEST_FPERIOD_OVERRIDE=FQ","FILING_STATUS=MR","SCALING_FORMAT=MLN","Sort=A","Dates=H","DateFormat=P","Fill=—","Direction=H","UseDPDF=Y")</f>
        <v>—</v>
      </c>
      <c r="D23" s="13" cm="1">
        <f t="array" ref="D23">_xll.BDH("DE US Equity","BS_GROSS_FIX_ASSET","FQ4 2018","FQ4 2018","Currency=USD","Period=FQ","BEST_FPERIOD_OVERRIDE=FQ","FILING_STATUS=MR","SCALING_FORMAT=MLN","Sort=A","Dates=H","DateFormat=P","Fill=—","Direction=H","UseDPDF=Y")</f>
        <v>20193</v>
      </c>
      <c r="E23" s="13" t="str" cm="1">
        <f t="array" ref="E23">_xll.BDH("DE US Equity","BS_GROSS_FIX_ASSET","FQ1 2019","FQ1 2019","Currency=USD","Period=FQ","BEST_FPERIOD_OVERRIDE=FQ","FILING_STATUS=MR","SCALING_FORMAT=MLN","Sort=A","Dates=H","DateFormat=P","Fill=—","Direction=H","UseDPDF=Y")</f>
        <v>—</v>
      </c>
      <c r="F23" s="13" t="str" cm="1">
        <f t="array" ref="F23">_xll.BDH("DE US Equity","BS_GROSS_FIX_ASSET","FQ2 2019","FQ2 2019","Currency=USD","Period=FQ","BEST_FPERIOD_OVERRIDE=FQ","FILING_STATUS=MR","SCALING_FORMAT=MLN","Sort=A","Dates=H","DateFormat=P","Fill=—","Direction=H","UseDPDF=Y")</f>
        <v>—</v>
      </c>
      <c r="G23" s="13" t="str" cm="1">
        <f t="array" ref="G23">_xll.BDH("DE US Equity","BS_GROSS_FIX_ASSET","FQ3 2019","FQ3 2019","Currency=USD","Period=FQ","BEST_FPERIOD_OVERRIDE=FQ","FILING_STATUS=MR","SCALING_FORMAT=MLN","Sort=A","Dates=H","DateFormat=P","Fill=—","Direction=H","UseDPDF=Y")</f>
        <v>—</v>
      </c>
      <c r="H23" s="13" cm="1">
        <f t="array" ref="H23">_xll.BDH("DE US Equity","BS_GROSS_FIX_ASSET","FQ4 2019","FQ4 2019","Currency=USD","Period=FQ","BEST_FPERIOD_OVERRIDE=FQ","FILING_STATUS=MR","SCALING_FORMAT=MLN","Sort=A","Dates=H","DateFormat=P","Fill=—","Direction=H","UseDPDF=Y")</f>
        <v>20969</v>
      </c>
      <c r="I23" s="13" t="str" cm="1">
        <f t="array" ref="I23">_xll.BDH("DE US Equity","BS_GROSS_FIX_ASSET","FQ1 2020","FQ1 2020","Currency=USD","Period=FQ","BEST_FPERIOD_OVERRIDE=FQ","FILING_STATUS=MR","SCALING_FORMAT=MLN","Sort=A","Dates=H","DateFormat=P","Fill=—","Direction=H","UseDPDF=Y")</f>
        <v>—</v>
      </c>
      <c r="J23" s="13" t="str" cm="1">
        <f t="array" ref="J23">_xll.BDH("DE US Equity","BS_GROSS_FIX_ASSET","FQ2 2020","FQ2 2020","Currency=USD","Period=FQ","BEST_FPERIOD_OVERRIDE=FQ","FILING_STATUS=MR","SCALING_FORMAT=MLN","Sort=A","Dates=H","DateFormat=P","Fill=—","Direction=H","UseDPDF=Y")</f>
        <v>—</v>
      </c>
      <c r="K23" s="13" t="str" cm="1">
        <f t="array" ref="K23">_xll.BDH("DE US Equity","BS_GROSS_FIX_ASSET","FQ3 2020","FQ3 2020","Currency=USD","Period=FQ","BEST_FPERIOD_OVERRIDE=FQ","FILING_STATUS=MR","SCALING_FORMAT=MLN","Sort=A","Dates=H","DateFormat=P","Fill=—","Direction=H","UseDPDF=Y")</f>
        <v>—</v>
      </c>
      <c r="L23" s="13" cm="1">
        <f t="array" ref="L23">_xll.BDH("DE US Equity","BS_GROSS_FIX_ASSET","FQ4 2020","FQ4 2020","Currency=USD","Period=FQ","BEST_FPERIOD_OVERRIDE=FQ","FILING_STATUS=MR","SCALING_FORMAT=MLN","Sort=A","Dates=H","DateFormat=P","Fill=—","Direction=H","UseDPDF=Y")</f>
        <v>22939</v>
      </c>
      <c r="M23" s="13" t="str" cm="1">
        <f t="array" ref="M23">_xll.BDH("DE US Equity","BS_GROSS_FIX_ASSET","FQ1 2021","FQ1 2021","Currency=USD","Period=FQ","BEST_FPERIOD_OVERRIDE=FQ","FILING_STATUS=MR","SCALING_FORMAT=MLN","Sort=A","Dates=H","DateFormat=P","Fill=—","Direction=H","UseDPDF=Y")</f>
        <v>—</v>
      </c>
      <c r="N23" s="13" t="str" cm="1">
        <f t="array" ref="N23">_xll.BDH("DE US Equity","BS_GROSS_FIX_ASSET","FQ2 2021","FQ2 2021","Currency=USD","Period=FQ","BEST_FPERIOD_OVERRIDE=FQ","FILING_STATUS=MR","SCALING_FORMAT=MLN","Sort=A","Dates=H","DateFormat=P","Fill=—","Direction=H","UseDPDF=Y")</f>
        <v>—</v>
      </c>
      <c r="O23" s="13" t="str" cm="1">
        <f t="array" ref="O23">_xll.BDH("DE US Equity","BS_GROSS_FIX_ASSET","FQ3 2021","FQ3 2021","Currency=USD","Period=FQ","BEST_FPERIOD_OVERRIDE=FQ","FILING_STATUS=MR","SCALING_FORMAT=MLN","Sort=A","Dates=H","DateFormat=P","Fill=—","Direction=H","UseDPDF=Y")</f>
        <v>—</v>
      </c>
      <c r="P23" s="13" cm="1">
        <f t="array" ref="P23">_xll.BDH("DE US Equity","BS_GROSS_FIX_ASSET","FQ4 2021","FQ4 2021","Currency=USD","Period=FQ","BEST_FPERIOD_OVERRIDE=FQ","FILING_STATUS=MR","SCALING_FORMAT=MLN","Sort=A","Dates=H","DateFormat=P","Fill=—","Direction=H","UseDPDF=Y")</f>
        <v>23108</v>
      </c>
      <c r="Q23" s="13" t="str" cm="1">
        <f t="array" ref="Q23">_xll.BDH("DE US Equity","BS_GROSS_FIX_ASSET","FQ1 2022","FQ1 2022","Currency=USD","Period=FQ","BEST_FPERIOD_OVERRIDE=FQ","FILING_STATUS=MR","SCALING_FORMAT=MLN","Sort=A","Dates=H","DateFormat=P","Fill=—","Direction=H","UseDPDF=Y")</f>
        <v>—</v>
      </c>
      <c r="R23" s="13" t="str" cm="1">
        <f t="array" ref="R23">_xll.BDH("DE US Equity","BS_GROSS_FIX_ASSET","FQ2 2022","FQ2 2022","Currency=USD","Period=FQ","BEST_FPERIOD_OVERRIDE=FQ","FILING_STATUS=MR","SCALING_FORMAT=MLN","Sort=A","Dates=H","DateFormat=P","Fill=—","Direction=H","UseDPDF=Y")</f>
        <v>—</v>
      </c>
      <c r="S23" s="13" t="str" cm="1">
        <f t="array" ref="S23">_xll.BDH("DE US Equity","BS_GROSS_FIX_ASSET","FQ3 2022","FQ3 2022","Currency=USD","Period=FQ","BEST_FPERIOD_OVERRIDE=FQ","FILING_STATUS=MR","SCALING_FORMAT=MLN","Sort=A","Dates=H","DateFormat=P","Fill=—","Direction=H","UseDPDF=Y")</f>
        <v>—</v>
      </c>
      <c r="T23" s="13" cm="1">
        <f t="array" ref="T23">_xll.BDH("DE US Equity","BS_GROSS_FIX_ASSET","FQ4 2022","FQ4 2022","Currency=USD","Period=FQ","BEST_FPERIOD_OVERRIDE=FQ","FILING_STATUS=MR","SCALING_FORMAT=MLN","Sort=A","Dates=H","DateFormat=P","Fill=—","Direction=H","UseDPDF=Y")</f>
        <v>22703</v>
      </c>
      <c r="U23" s="13" t="str" cm="1">
        <f t="array" ref="U23">_xll.BDH("DE US Equity","BS_GROSS_FIX_ASSET","FQ1 2023","FQ1 2023","Currency=USD","Period=FQ","BEST_FPERIOD_OVERRIDE=FQ","FILING_STATUS=MR","SCALING_FORMAT=MLN","Sort=A","Dates=H","DateFormat=P","Fill=—","Direction=H","UseDPDF=Y")</f>
        <v>—</v>
      </c>
      <c r="V23" s="13" t="str" cm="1">
        <f t="array" ref="V23">_xll.BDH("DE US Equity","BS_GROSS_FIX_ASSET","FQ2 2023","FQ2 2023","Currency=USD","Period=FQ","BEST_FPERIOD_OVERRIDE=FQ","FILING_STATUS=MR","SCALING_FORMAT=MLN","Sort=A","Dates=H","DateFormat=P","Fill=—","Direction=H","UseDPDF=Y")</f>
        <v>—</v>
      </c>
      <c r="W23" s="13" t="str" cm="1">
        <f t="array" ref="W23">_xll.BDH("DE US Equity","BS_GROSS_FIX_ASSET","FQ3 2023","FQ3 2023","Currency=USD","Period=FQ","BEST_FPERIOD_OVERRIDE=FQ","FILING_STATUS=MR","SCALING_FORMAT=MLN","Sort=A","Dates=H","DateFormat=P","Fill=—","Direction=H","UseDPDF=Y")</f>
        <v>—</v>
      </c>
      <c r="X23" s="13" cm="1">
        <f t="array" ref="X23">_xll.BDH("DE US Equity","BS_GROSS_FIX_ASSET","FQ4 2023","FQ4 2023","Currency=USD","Period=FQ","BEST_FPERIOD_OVERRIDE=FQ","FILING_STATUS=MR","SCALING_FORMAT=MLN","Sort=A","Dates=H","DateFormat=P","Fill=—","Direction=H","UseDPDF=Y")</f>
        <v>22850</v>
      </c>
      <c r="Y23" s="13" t="str" cm="1">
        <f t="array" ref="Y23">_xll.BDH("DE US Equity","BS_GROSS_FIX_ASSET","FQ1 2024","FQ1 2024","Currency=USD","Period=FQ","BEST_FPERIOD_OVERRIDE=FQ","FILING_STATUS=MR","SCALING_FORMAT=MLN","Sort=A","Dates=H","DateFormat=P","Fill=—","Direction=H","UseDPDF=Y")</f>
        <v>—</v>
      </c>
      <c r="Z23" s="13" t="str" cm="1">
        <f t="array" ref="Z23">_xll.BDH("DE US Equity","BS_GROSS_FIX_ASSET","FQ2 2024","FQ2 2024","Currency=USD","Period=FQ","BEST_FPERIOD_OVERRIDE=FQ","FILING_STATUS=MR","SCALING_FORMAT=MLN","Sort=A","Dates=H","DateFormat=P","Fill=—","Direction=H","UseDPDF=Y")</f>
        <v>—</v>
      </c>
      <c r="AA23" s="13" t="str" cm="1">
        <f t="array" ref="AA23">_xll.BDH("DE US Equity","BS_GROSS_FIX_ASSET","FQ3 2024","FQ3 2024","Currency=USD","Period=FQ","BEST_FPERIOD_OVERRIDE=FQ","FILING_STATUS=MR","SCALING_FORMAT=MLN","Sort=A","Dates=H","DateFormat=P","Fill=—","Direction=H","UseDPDF=Y")</f>
        <v>—</v>
      </c>
      <c r="AB23" s="13" cm="1">
        <f t="array" ref="AB23">_xll.BDH("DE US Equity","BS_GROSS_FIX_ASSET","FQ4 2024","FQ4 2024","Currency=USD","Period=FQ","BEST_FPERIOD_OVERRIDE=FQ","FILING_STATUS=MR","SCALING_FORMAT=MLN","Sort=A","Dates=H","DateFormat=P","Fill=—","Direction=H","UseDPDF=Y")</f>
        <v>24626</v>
      </c>
      <c r="AC23" s="13" t="str" cm="1">
        <f t="array" ref="AC23">_xll.BDH("DE US Equity","BS_GROSS_FIX_ASSET","FQ1 2025","FQ1 2025","Currency=USD","Period=FQ","BEST_FPERIOD_OVERRIDE=FQ","FILING_STATUS=MR","SCALING_FORMAT=MLN","Sort=A","Dates=H","DateFormat=P","Fill=—","Direction=H","UseDPDF=Y")</f>
        <v>—</v>
      </c>
      <c r="AD23" s="13" t="str" cm="1">
        <f t="array" ref="AD23">_xll.BDH("DE US Equity","BS_GROSS_FIX_ASSET","FQ2 2025","FQ2 2025","Currency=USD","Period=FQ","BEST_FPERIOD_OVERRIDE=FQ","FILING_STATUS=MR","SCALING_FORMAT=MLN","Sort=A","Dates=H","DateFormat=P","Fill=—","Direction=H","UseDPDF=Y")</f>
        <v>—</v>
      </c>
      <c r="AE23" s="13" t="str" cm="1">
        <f t="array" ref="AE23">_xll.BDH("DE US Equity","BS_GROSS_FIX_ASSET","FQ3 2025","FQ3 2025","Currency=USD","Period=FQ","BEST_FPERIOD_OVERRIDE=FQ","FILING_STATUS=MR","SCALING_FORMAT=MLN","Sort=A","Dates=H","DateFormat=P","Fill=—","Direction=H","UseDPDF=Y")</f>
        <v>—</v>
      </c>
      <c r="AF23" s="13" cm="1">
        <f t="array" ref="AF23">_xll.BDH("DE US Equity","BS_GROSS_FIX_ASSET","FQ4 2025","FQ4 2025","Currency=USD","Period=FQ","BEST_FPERIOD_OVERRIDE=FQ","FILING_STATUS=MR","SCALING_FORMAT=MLN","Sort=A","Dates=H","DateFormat=P","Fill=—","Direction=H","UseDPDF=Y")</f>
        <v>26020</v>
      </c>
    </row>
    <row r="24" spans="1:32" x14ac:dyDescent="0.25">
      <c r="A24" s="10" t="s">
        <v>100</v>
      </c>
      <c r="B24" s="10" t="s">
        <v>101</v>
      </c>
      <c r="C24" s="13" t="str" cm="1">
        <f t="array" ref="C24">_xll.BDH("DE US Equity","BS_ACCUM_DEPR","FQ3 2018","FQ3 2018","Currency=USD","Period=FQ","BEST_FPERIOD_OVERRIDE=FQ","FILING_STATUS=MR","SCALING_FORMAT=MLN","Sort=A","Dates=H","DateFormat=P","Fill=—","Direction=H","UseDPDF=Y")</f>
        <v>—</v>
      </c>
      <c r="D24" s="13" cm="1">
        <f t="array" ref="D24">_xll.BDH("DE US Equity","BS_ACCUM_DEPR","FQ4 2018","FQ4 2018","Currency=USD","Period=FQ","BEST_FPERIOD_OVERRIDE=FQ","FILING_STATUS=MR","SCALING_FORMAT=MLN","Sort=A","Dates=H","DateFormat=P","Fill=—","Direction=H","UseDPDF=Y")</f>
        <v>7160</v>
      </c>
      <c r="E24" s="13" t="str" cm="1">
        <f t="array" ref="E24">_xll.BDH("DE US Equity","BS_ACCUM_DEPR","FQ1 2019","FQ1 2019","Currency=USD","Period=FQ","BEST_FPERIOD_OVERRIDE=FQ","FILING_STATUS=MR","SCALING_FORMAT=MLN","Sort=A","Dates=H","DateFormat=P","Fill=—","Direction=H","UseDPDF=Y")</f>
        <v>—</v>
      </c>
      <c r="F24" s="13" t="str" cm="1">
        <f t="array" ref="F24">_xll.BDH("DE US Equity","BS_ACCUM_DEPR","FQ2 2019","FQ2 2019","Currency=USD","Period=FQ","BEST_FPERIOD_OVERRIDE=FQ","FILING_STATUS=MR","SCALING_FORMAT=MLN","Sort=A","Dates=H","DateFormat=P","Fill=—","Direction=H","UseDPDF=Y")</f>
        <v>—</v>
      </c>
      <c r="G24" s="13" t="str" cm="1">
        <f t="array" ref="G24">_xll.BDH("DE US Equity","BS_ACCUM_DEPR","FQ3 2019","FQ3 2019","Currency=USD","Period=FQ","BEST_FPERIOD_OVERRIDE=FQ","FILING_STATUS=MR","SCALING_FORMAT=MLN","Sort=A","Dates=H","DateFormat=P","Fill=—","Direction=H","UseDPDF=Y")</f>
        <v>—</v>
      </c>
      <c r="H24" s="13" cm="1">
        <f t="array" ref="H24">_xll.BDH("DE US Equity","BS_ACCUM_DEPR","FQ4 2019","FQ4 2019","Currency=USD","Period=FQ","BEST_FPERIOD_OVERRIDE=FQ","FILING_STATUS=MR","SCALING_FORMAT=MLN","Sort=A","Dates=H","DateFormat=P","Fill=—","Direction=H","UseDPDF=Y")</f>
        <v>7429</v>
      </c>
      <c r="I24" s="13" t="str" cm="1">
        <f t="array" ref="I24">_xll.BDH("DE US Equity","BS_ACCUM_DEPR","FQ1 2020","FQ1 2020","Currency=USD","Period=FQ","BEST_FPERIOD_OVERRIDE=FQ","FILING_STATUS=MR","SCALING_FORMAT=MLN","Sort=A","Dates=H","DateFormat=P","Fill=—","Direction=H","UseDPDF=Y")</f>
        <v>—</v>
      </c>
      <c r="J24" s="13" t="str" cm="1">
        <f t="array" ref="J24">_xll.BDH("DE US Equity","BS_ACCUM_DEPR","FQ2 2020","FQ2 2020","Currency=USD","Period=FQ","BEST_FPERIOD_OVERRIDE=FQ","FILING_STATUS=MR","SCALING_FORMAT=MLN","Sort=A","Dates=H","DateFormat=P","Fill=—","Direction=H","UseDPDF=Y")</f>
        <v>—</v>
      </c>
      <c r="K24" s="13" t="str" cm="1">
        <f t="array" ref="K24">_xll.BDH("DE US Equity","BS_ACCUM_DEPR","FQ3 2020","FQ3 2020","Currency=USD","Period=FQ","BEST_FPERIOD_OVERRIDE=FQ","FILING_STATUS=MR","SCALING_FORMAT=MLN","Sort=A","Dates=H","DateFormat=P","Fill=—","Direction=H","UseDPDF=Y")</f>
        <v>—</v>
      </c>
      <c r="L24" s="13" cm="1">
        <f t="array" ref="L24">_xll.BDH("DE US Equity","BS_ACCUM_DEPR","FQ4 2020","FQ4 2020","Currency=USD","Period=FQ","BEST_FPERIOD_OVERRIDE=FQ","FILING_STATUS=MR","SCALING_FORMAT=MLN","Sort=A","Dates=H","DateFormat=P","Fill=—","Direction=H","UseDPDF=Y")</f>
        <v>9824</v>
      </c>
      <c r="M24" s="13" t="str" cm="1">
        <f t="array" ref="M24">_xll.BDH("DE US Equity","BS_ACCUM_DEPR","FQ1 2021","FQ1 2021","Currency=USD","Period=FQ","BEST_FPERIOD_OVERRIDE=FQ","FILING_STATUS=MR","SCALING_FORMAT=MLN","Sort=A","Dates=H","DateFormat=P","Fill=—","Direction=H","UseDPDF=Y")</f>
        <v>—</v>
      </c>
      <c r="N24" s="13" t="str" cm="1">
        <f t="array" ref="N24">_xll.BDH("DE US Equity","BS_ACCUM_DEPR","FQ2 2021","FQ2 2021","Currency=USD","Period=FQ","BEST_FPERIOD_OVERRIDE=FQ","FILING_STATUS=MR","SCALING_FORMAT=MLN","Sort=A","Dates=H","DateFormat=P","Fill=—","Direction=H","UseDPDF=Y")</f>
        <v>—</v>
      </c>
      <c r="O24" s="13" t="str" cm="1">
        <f t="array" ref="O24">_xll.BDH("DE US Equity","BS_ACCUM_DEPR","FQ3 2021","FQ3 2021","Currency=USD","Period=FQ","BEST_FPERIOD_OVERRIDE=FQ","FILING_STATUS=MR","SCALING_FORMAT=MLN","Sort=A","Dates=H","DateFormat=P","Fill=—","Direction=H","UseDPDF=Y")</f>
        <v>—</v>
      </c>
      <c r="P24" s="13" cm="1">
        <f t="array" ref="P24">_xll.BDH("DE US Equity","BS_ACCUM_DEPR","FQ4 2021","FQ4 2021","Currency=USD","Period=FQ","BEST_FPERIOD_OVERRIDE=FQ","FILING_STATUS=MR","SCALING_FORMAT=MLN","Sort=A","Dates=H","DateFormat=P","Fill=—","Direction=H","UseDPDF=Y")</f>
        <v>10300</v>
      </c>
      <c r="Q24" s="13" t="str" cm="1">
        <f t="array" ref="Q24">_xll.BDH("DE US Equity","BS_ACCUM_DEPR","FQ1 2022","FQ1 2022","Currency=USD","Period=FQ","BEST_FPERIOD_OVERRIDE=FQ","FILING_STATUS=MR","SCALING_FORMAT=MLN","Sort=A","Dates=H","DateFormat=P","Fill=—","Direction=H","UseDPDF=Y")</f>
        <v>—</v>
      </c>
      <c r="R24" s="13" t="str" cm="1">
        <f t="array" ref="R24">_xll.BDH("DE US Equity","BS_ACCUM_DEPR","FQ2 2022","FQ2 2022","Currency=USD","Period=FQ","BEST_FPERIOD_OVERRIDE=FQ","FILING_STATUS=MR","SCALING_FORMAT=MLN","Sort=A","Dates=H","DateFormat=P","Fill=—","Direction=H","UseDPDF=Y")</f>
        <v>—</v>
      </c>
      <c r="S24" s="13" t="str" cm="1">
        <f t="array" ref="S24">_xll.BDH("DE US Equity","BS_ACCUM_DEPR","FQ3 2022","FQ3 2022","Currency=USD","Period=FQ","BEST_FPERIOD_OVERRIDE=FQ","FILING_STATUS=MR","SCALING_FORMAT=MLN","Sort=A","Dates=H","DateFormat=P","Fill=—","Direction=H","UseDPDF=Y")</f>
        <v>—</v>
      </c>
      <c r="T24" s="13" cm="1">
        <f t="array" ref="T24">_xll.BDH("DE US Equity","BS_ACCUM_DEPR","FQ4 2022","FQ4 2022","Currency=USD","Period=FQ","BEST_FPERIOD_OVERRIDE=FQ","FILING_STATUS=MR","SCALING_FORMAT=MLN","Sort=A","Dates=H","DateFormat=P","Fill=—","Direction=H","UseDPDF=Y")</f>
        <v>10024</v>
      </c>
      <c r="U24" s="13" t="str" cm="1">
        <f t="array" ref="U24">_xll.BDH("DE US Equity","BS_ACCUM_DEPR","FQ1 2023","FQ1 2023","Currency=USD","Period=FQ","BEST_FPERIOD_OVERRIDE=FQ","FILING_STATUS=MR","SCALING_FORMAT=MLN","Sort=A","Dates=H","DateFormat=P","Fill=—","Direction=H","UseDPDF=Y")</f>
        <v>—</v>
      </c>
      <c r="V24" s="13" t="str" cm="1">
        <f t="array" ref="V24">_xll.BDH("DE US Equity","BS_ACCUM_DEPR","FQ2 2023","FQ2 2023","Currency=USD","Period=FQ","BEST_FPERIOD_OVERRIDE=FQ","FILING_STATUS=MR","SCALING_FORMAT=MLN","Sort=A","Dates=H","DateFormat=P","Fill=—","Direction=H","UseDPDF=Y")</f>
        <v>—</v>
      </c>
      <c r="W24" s="13" t="str" cm="1">
        <f t="array" ref="W24">_xll.BDH("DE US Equity","BS_ACCUM_DEPR","FQ3 2023","FQ3 2023","Currency=USD","Period=FQ","BEST_FPERIOD_OVERRIDE=FQ","FILING_STATUS=MR","SCALING_FORMAT=MLN","Sort=A","Dates=H","DateFormat=P","Fill=—","Direction=H","UseDPDF=Y")</f>
        <v>—</v>
      </c>
      <c r="X24" s="13" cm="1">
        <f t="array" ref="X24">_xll.BDH("DE US Equity","BS_ACCUM_DEPR","FQ4 2023","FQ4 2023","Currency=USD","Period=FQ","BEST_FPERIOD_OVERRIDE=FQ","FILING_STATUS=MR","SCALING_FORMAT=MLN","Sort=A","Dates=H","DateFormat=P","Fill=—","Direction=H","UseDPDF=Y")</f>
        <v>9054</v>
      </c>
      <c r="Y24" s="13" t="str" cm="1">
        <f t="array" ref="Y24">_xll.BDH("DE US Equity","BS_ACCUM_DEPR","FQ1 2024","FQ1 2024","Currency=USD","Period=FQ","BEST_FPERIOD_OVERRIDE=FQ","FILING_STATUS=MR","SCALING_FORMAT=MLN","Sort=A","Dates=H","DateFormat=P","Fill=—","Direction=H","UseDPDF=Y")</f>
        <v>—</v>
      </c>
      <c r="Z24" s="13" t="str" cm="1">
        <f t="array" ref="Z24">_xll.BDH("DE US Equity","BS_ACCUM_DEPR","FQ2 2024","FQ2 2024","Currency=USD","Period=FQ","BEST_FPERIOD_OVERRIDE=FQ","FILING_STATUS=MR","SCALING_FORMAT=MLN","Sort=A","Dates=H","DateFormat=P","Fill=—","Direction=H","UseDPDF=Y")</f>
        <v>—</v>
      </c>
      <c r="AA24" s="13" t="str" cm="1">
        <f t="array" ref="AA24">_xll.BDH("DE US Equity","BS_ACCUM_DEPR","FQ3 2024","FQ3 2024","Currency=USD","Period=FQ","BEST_FPERIOD_OVERRIDE=FQ","FILING_STATUS=MR","SCALING_FORMAT=MLN","Sort=A","Dates=H","DateFormat=P","Fill=—","Direction=H","UseDPDF=Y")</f>
        <v>—</v>
      </c>
      <c r="AB24" s="13" cm="1">
        <f t="array" ref="AB24">_xll.BDH("DE US Equity","BS_ACCUM_DEPR","FQ4 2024","FQ4 2024","Currency=USD","Period=FQ","BEST_FPERIOD_OVERRIDE=FQ","FILING_STATUS=MR","SCALING_FORMAT=MLN","Sort=A","Dates=H","DateFormat=P","Fill=—","Direction=H","UseDPDF=Y")</f>
        <v>9595</v>
      </c>
      <c r="AC24" s="13" t="str" cm="1">
        <f t="array" ref="AC24">_xll.BDH("DE US Equity","BS_ACCUM_DEPR","FQ1 2025","FQ1 2025","Currency=USD","Period=FQ","BEST_FPERIOD_OVERRIDE=FQ","FILING_STATUS=MR","SCALING_FORMAT=MLN","Sort=A","Dates=H","DateFormat=P","Fill=—","Direction=H","UseDPDF=Y")</f>
        <v>—</v>
      </c>
      <c r="AD24" s="13" t="str" cm="1">
        <f t="array" ref="AD24">_xll.BDH("DE US Equity","BS_ACCUM_DEPR","FQ2 2025","FQ2 2025","Currency=USD","Period=FQ","BEST_FPERIOD_OVERRIDE=FQ","FILING_STATUS=MR","SCALING_FORMAT=MLN","Sort=A","Dates=H","DateFormat=P","Fill=—","Direction=H","UseDPDF=Y")</f>
        <v>—</v>
      </c>
      <c r="AE24" s="13" t="str" cm="1">
        <f t="array" ref="AE24">_xll.BDH("DE US Equity","BS_ACCUM_DEPR","FQ3 2025","FQ3 2025","Currency=USD","Period=FQ","BEST_FPERIOD_OVERRIDE=FQ","FILING_STATUS=MR","SCALING_FORMAT=MLN","Sort=A","Dates=H","DateFormat=P","Fill=—","Direction=H","UseDPDF=Y")</f>
        <v>—</v>
      </c>
      <c r="AF24" s="13" cm="1">
        <f t="array" ref="AF24">_xll.BDH("DE US Equity","BS_ACCUM_DEPR","FQ4 2025","FQ4 2025","Currency=USD","Period=FQ","BEST_FPERIOD_OVERRIDE=FQ","FILING_STATUS=MR","SCALING_FORMAT=MLN","Sort=A","Dates=H","DateFormat=P","Fill=—","Direction=H","UseDPDF=Y")</f>
        <v>10341</v>
      </c>
    </row>
    <row r="25" spans="1:32" x14ac:dyDescent="0.25">
      <c r="A25" s="10" t="s">
        <v>102</v>
      </c>
      <c r="B25" s="10" t="s">
        <v>103</v>
      </c>
      <c r="C25" s="13" cm="1">
        <f t="array" ref="C25">_xll.BDH("DE US Equity","BS_LT_INVEST","FQ3 2018","FQ3 2018","Currency=USD","Period=FQ","BEST_FPERIOD_OVERRIDE=FQ","FILING_STATUS=MR","SCALING_FORMAT=MLN","Sort=A","Dates=H","DateFormat=P","Fill=—","Direction=H","UseDPDF=Y")</f>
        <v>25213</v>
      </c>
      <c r="D25" s="13" cm="1">
        <f t="array" ref="D25">_xll.BDH("DE US Equity","BS_LT_INVEST","FQ4 2018","FQ4 2018","Currency=USD","Period=FQ","BEST_FPERIOD_OVERRIDE=FQ","FILING_STATUS=MR","SCALING_FORMAT=MLN","Sort=A","Dates=H","DateFormat=P","Fill=—","Direction=H","UseDPDF=Y")</f>
        <v>27054</v>
      </c>
      <c r="E25" s="13" cm="1">
        <f t="array" ref="E25">_xll.BDH("DE US Equity","BS_LT_INVEST","FQ1 2019","FQ1 2019","Currency=USD","Period=FQ","BEST_FPERIOD_OVERRIDE=FQ","FILING_STATUS=MR","SCALING_FORMAT=MLN","Sort=A","Dates=H","DateFormat=P","Fill=—","Direction=H","UseDPDF=Y")</f>
        <v>25149.7</v>
      </c>
      <c r="F25" s="13" cm="1">
        <f t="array" ref="F25">_xll.BDH("DE US Equity","BS_LT_INVEST","FQ2 2019","FQ2 2019","Currency=USD","Period=FQ","BEST_FPERIOD_OVERRIDE=FQ","FILING_STATUS=MR","SCALING_FORMAT=MLN","Sort=A","Dates=H","DateFormat=P","Fill=—","Direction=H","UseDPDF=Y")</f>
        <v>25870</v>
      </c>
      <c r="G25" s="13" cm="1">
        <f t="array" ref="G25">_xll.BDH("DE US Equity","BS_LT_INVEST","FQ3 2019","FQ3 2019","Currency=USD","Period=FQ","BEST_FPERIOD_OVERRIDE=FQ","FILING_STATUS=MR","SCALING_FORMAT=MLN","Sort=A","Dates=H","DateFormat=P","Fill=—","Direction=H","UseDPDF=Y")</f>
        <v>27049</v>
      </c>
      <c r="H25" s="13" cm="1">
        <f t="array" ref="H25">_xll.BDH("DE US Equity","BS_LT_INVEST","FQ4 2019","FQ4 2019","Currency=USD","Period=FQ","BEST_FPERIOD_OVERRIDE=FQ","FILING_STATUS=MR","SCALING_FORMAT=MLN","Sort=A","Dates=H","DateFormat=P","Fill=—","Direction=H","UseDPDF=Y")</f>
        <v>29195</v>
      </c>
      <c r="I25" s="13" cm="1">
        <f t="array" ref="I25">_xll.BDH("DE US Equity","BS_LT_INVEST","FQ1 2020","FQ1 2020","Currency=USD","Period=FQ","BEST_FPERIOD_OVERRIDE=FQ","FILING_STATUS=MR","SCALING_FORMAT=MLN","Sort=A","Dates=H","DateFormat=P","Fill=—","Direction=H","UseDPDF=Y")</f>
        <v>27294</v>
      </c>
      <c r="J25" s="13" cm="1">
        <f t="array" ref="J25">_xll.BDH("DE US Equity","BS_LT_INVEST","FQ2 2020","FQ2 2020","Currency=USD","Period=FQ","BEST_FPERIOD_OVERRIDE=FQ","FILING_STATUS=MR","SCALING_FORMAT=MLN","Sort=A","Dates=H","DateFormat=P","Fill=—","Direction=H","UseDPDF=Y")</f>
        <v>27256</v>
      </c>
      <c r="K25" s="13" cm="1">
        <f t="array" ref="K25">_xll.BDH("DE US Equity","BS_LT_INVEST","FQ3 2020","FQ3 2020","Currency=USD","Period=FQ","BEST_FPERIOD_OVERRIDE=FQ","FILING_STATUS=MR","SCALING_FORMAT=MLN","Sort=A","Dates=H","DateFormat=P","Fill=—","Direction=H","UseDPDF=Y")</f>
        <v>27814</v>
      </c>
      <c r="L25" s="13" cm="1">
        <f t="array" ref="L25">_xll.BDH("DE US Equity","BS_LT_INVEST","FQ4 2020","FQ4 2020","Currency=USD","Period=FQ","BEST_FPERIOD_OVERRIDE=FQ","FILING_STATUS=MR","SCALING_FORMAT=MLN","Sort=A","Dates=H","DateFormat=P","Fill=—","Direction=H","UseDPDF=Y")</f>
        <v>29750</v>
      </c>
      <c r="M25" s="13" cm="1">
        <f t="array" ref="M25">_xll.BDH("DE US Equity","BS_LT_INVEST","FQ1 2021","FQ1 2021","Currency=USD","Period=FQ","BEST_FPERIOD_OVERRIDE=FQ","FILING_STATUS=MR","SCALING_FORMAT=MLN","Sort=A","Dates=H","DateFormat=P","Fill=—","Direction=H","UseDPDF=Y")</f>
        <v>29438</v>
      </c>
      <c r="N25" s="13" cm="1">
        <f t="array" ref="N25">_xll.BDH("DE US Equity","BS_LT_INVEST","FQ2 2021","FQ2 2021","Currency=USD","Period=FQ","BEST_FPERIOD_OVERRIDE=FQ","FILING_STATUS=MR","SCALING_FORMAT=MLN","Sort=A","Dates=H","DateFormat=P","Fill=—","Direction=H","UseDPDF=Y")</f>
        <v>30994</v>
      </c>
      <c r="O25" s="13" cm="1">
        <f t="array" ref="O25">_xll.BDH("DE US Equity","BS_LT_INVEST","FQ3 2021","FQ3 2021","Currency=USD","Period=FQ","BEST_FPERIOD_OVERRIDE=FQ","FILING_STATUS=MR","SCALING_FORMAT=MLN","Sort=A","Dates=H","DateFormat=P","Fill=—","Direction=H","UseDPDF=Y")</f>
        <v>31449</v>
      </c>
      <c r="P25" s="13" cm="1">
        <f t="array" ref="P25">_xll.BDH("DE US Equity","BS_LT_INVEST","FQ4 2021","FQ4 2021","Currency=USD","Period=FQ","BEST_FPERIOD_OVERRIDE=FQ","FILING_STATUS=MR","SCALING_FORMAT=MLN","Sort=A","Dates=H","DateFormat=P","Fill=—","Direction=H","UseDPDF=Y")</f>
        <v>33799</v>
      </c>
      <c r="Q25" s="13" cm="1">
        <f t="array" ref="Q25">_xll.BDH("DE US Equity","BS_LT_INVEST","FQ1 2022","FQ1 2022","Currency=USD","Period=FQ","BEST_FPERIOD_OVERRIDE=FQ","FILING_STATUS=MR","SCALING_FORMAT=MLN","Sort=A","Dates=H","DateFormat=P","Fill=—","Direction=H","UseDPDF=Y")</f>
        <v>33191</v>
      </c>
      <c r="R25" s="13" cm="1">
        <f t="array" ref="R25">_xll.BDH("DE US Equity","BS_LT_INVEST","FQ2 2022","FQ2 2022","Currency=USD","Period=FQ","BEST_FPERIOD_OVERRIDE=FQ","FILING_STATUS=MR","SCALING_FORMAT=MLN","Sort=A","Dates=H","DateFormat=P","Fill=—","Direction=H","UseDPDF=Y")</f>
        <v>34085</v>
      </c>
      <c r="S25" s="13" cm="1">
        <f t="array" ref="S25">_xll.BDH("DE US Equity","BS_LT_INVEST","FQ3 2022","FQ3 2022","Currency=USD","Period=FQ","BEST_FPERIOD_OVERRIDE=FQ","FILING_STATUS=MR","SCALING_FORMAT=MLN","Sort=A","Dates=H","DateFormat=P","Fill=—","Direction=H","UseDPDF=Y")</f>
        <v>35056</v>
      </c>
      <c r="T25" s="13" cm="1">
        <f t="array" ref="T25">_xll.BDH("DE US Equity","BS_LT_INVEST","FQ4 2022","FQ4 2022","Currency=USD","Period=FQ","BEST_FPERIOD_OVERRIDE=FQ","FILING_STATUS=MR","SCALING_FORMAT=MLN","Sort=A","Dates=H","DateFormat=P","Fill=—","Direction=H","UseDPDF=Y")</f>
        <v>36634</v>
      </c>
      <c r="U25" s="13" cm="1">
        <f t="array" ref="U25">_xll.BDH("DE US Equity","BS_LT_INVEST","FQ1 2023","FQ1 2023","Currency=USD","Period=FQ","BEST_FPERIOD_OVERRIDE=FQ","FILING_STATUS=MR","SCALING_FORMAT=MLN","Sort=A","Dates=H","DateFormat=P","Fill=—","Direction=H","UseDPDF=Y")</f>
        <v>36882</v>
      </c>
      <c r="V25" s="13" cm="1">
        <f t="array" ref="V25">_xll.BDH("DE US Equity","BS_LT_INVEST","FQ2 2023","FQ2 2023","Currency=USD","Period=FQ","BEST_FPERIOD_OVERRIDE=FQ","FILING_STATUS=MR","SCALING_FORMAT=MLN","Sort=A","Dates=H","DateFormat=P","Fill=—","Direction=H","UseDPDF=Y")</f>
        <v>38954</v>
      </c>
      <c r="W25" s="13" cm="1">
        <f t="array" ref="W25">_xll.BDH("DE US Equity","BS_LT_INVEST","FQ3 2023","FQ3 2023","Currency=USD","Period=FQ","BEST_FPERIOD_OVERRIDE=FQ","FILING_STATUS=MR","SCALING_FORMAT=MLN","Sort=A","Dates=H","DateFormat=P","Fill=—","Direction=H","UseDPDF=Y")</f>
        <v>41302</v>
      </c>
      <c r="X25" s="13" cm="1">
        <f t="array" ref="X25">_xll.BDH("DE US Equity","BS_LT_INVEST","FQ4 2023","FQ4 2023","Currency=USD","Period=FQ","BEST_FPERIOD_OVERRIDE=FQ","FILING_STATUS=MR","SCALING_FORMAT=MLN","Sort=A","Dates=H","DateFormat=P","Fill=—","Direction=H","UseDPDF=Y")</f>
        <v>43673</v>
      </c>
      <c r="Y25" s="13" cm="1">
        <f t="array" ref="Y25">_xll.BDH("DE US Equity","BS_LT_INVEST","FQ1 2024","FQ1 2024","Currency=USD","Period=FQ","BEST_FPERIOD_OVERRIDE=FQ","FILING_STATUS=MR","SCALING_FORMAT=MLN","Sort=A","Dates=H","DateFormat=P","Fill=—","Direction=H","UseDPDF=Y")</f>
        <v>43708</v>
      </c>
      <c r="Z25" s="13" cm="1">
        <f t="array" ref="Z25">_xll.BDH("DE US Equity","BS_LT_INVEST","FQ2 2024","FQ2 2024","Currency=USD","Period=FQ","BEST_FPERIOD_OVERRIDE=FQ","FILING_STATUS=MR","SCALING_FORMAT=MLN","Sort=A","Dates=H","DateFormat=P","Fill=—","Direction=H","UseDPDF=Y")</f>
        <v>45278</v>
      </c>
      <c r="AA25" s="13" cm="1">
        <f t="array" ref="AA25">_xll.BDH("DE US Equity","BS_LT_INVEST","FQ3 2024","FQ3 2024","Currency=USD","Period=FQ","BEST_FPERIOD_OVERRIDE=FQ","FILING_STATUS=MR","SCALING_FORMAT=MLN","Sort=A","Dates=H","DateFormat=P","Fill=—","Direction=H","UseDPDF=Y")</f>
        <v>43896</v>
      </c>
      <c r="AB25" s="13" cm="1">
        <f t="array" ref="AB25">_xll.BDH("DE US Equity","BS_LT_INVEST","FQ4 2024","FQ4 2024","Currency=USD","Period=FQ","BEST_FPERIOD_OVERRIDE=FQ","FILING_STATUS=MR","SCALING_FORMAT=MLN","Sort=A","Dates=H","DateFormat=P","Fill=—","Direction=H","UseDPDF=Y")</f>
        <v>44309</v>
      </c>
      <c r="AC25" s="13" cm="1">
        <f t="array" ref="AC25">_xll.BDH("DE US Equity","BS_LT_INVEST","FQ1 2025","FQ1 2025","Currency=USD","Period=FQ","BEST_FPERIOD_OVERRIDE=FQ","FILING_STATUS=MR","SCALING_FORMAT=MLN","Sort=A","Dates=H","DateFormat=P","Fill=—","Direction=H","UseDPDF=Y")</f>
        <v>41396</v>
      </c>
      <c r="AD25" s="13" cm="1">
        <f t="array" ref="AD25">_xll.BDH("DE US Equity","BS_LT_INVEST","FQ2 2025","FQ2 2025","Currency=USD","Period=FQ","BEST_FPERIOD_OVERRIDE=FQ","FILING_STATUS=MR","SCALING_FORMAT=MLN","Sort=A","Dates=H","DateFormat=P","Fill=—","Direction=H","UseDPDF=Y")</f>
        <v>43029</v>
      </c>
      <c r="AE25" s="13" cm="1">
        <f t="array" ref="AE25">_xll.BDH("DE US Equity","BS_LT_INVEST","FQ3 2025","FQ3 2025","Currency=USD","Period=FQ","BEST_FPERIOD_OVERRIDE=FQ","FILING_STATUS=MR","SCALING_FORMAT=MLN","Sort=A","Dates=H","DateFormat=P","Fill=—","Direction=H","UseDPDF=Y")</f>
        <v>43930</v>
      </c>
      <c r="AF25" s="13" cm="1">
        <f t="array" ref="AF25">_xll.BDH("DE US Equity","BS_LT_INVEST","FQ4 2025","FQ4 2025","Currency=USD","Period=FQ","BEST_FPERIOD_OVERRIDE=FQ","FILING_STATUS=MR","SCALING_FORMAT=MLN","Sort=A","Dates=H","DateFormat=P","Fill=—","Direction=H","UseDPDF=Y")</f>
        <v>44575</v>
      </c>
    </row>
    <row r="26" spans="1:32" x14ac:dyDescent="0.25">
      <c r="A26" s="10" t="s">
        <v>104</v>
      </c>
      <c r="B26" s="10" t="s">
        <v>105</v>
      </c>
      <c r="C26" s="13" cm="1">
        <f t="array" ref="C26">_xll.BDH("DE US Equity","BS_LT_RECEIVABLES","FQ3 2018","FQ3 2018","Currency=USD","Period=FQ","BEST_FPERIOD_OVERRIDE=FQ","FILING_STATUS=MR","SCALING_FORMAT=MLN","Sort=A","Dates=H","DateFormat=P","Fill=—","Direction=H","UseDPDF=Y")</f>
        <v>25213</v>
      </c>
      <c r="D26" s="13" cm="1">
        <f t="array" ref="D26">_xll.BDH("DE US Equity","BS_LT_RECEIVABLES","FQ4 2018","FQ4 2018","Currency=USD","Period=FQ","BEST_FPERIOD_OVERRIDE=FQ","FILING_STATUS=MR","SCALING_FORMAT=MLN","Sort=A","Dates=H","DateFormat=P","Fill=—","Direction=H","UseDPDF=Y")</f>
        <v>27054</v>
      </c>
      <c r="E26" s="13" cm="1">
        <f t="array" ref="E26">_xll.BDH("DE US Equity","BS_LT_RECEIVABLES","FQ1 2019","FQ1 2019","Currency=USD","Period=FQ","BEST_FPERIOD_OVERRIDE=FQ","FILING_STATUS=MR","SCALING_FORMAT=MLN","Sort=A","Dates=H","DateFormat=P","Fill=—","Direction=H","UseDPDF=Y")</f>
        <v>25149.7</v>
      </c>
      <c r="F26" s="13" cm="1">
        <f t="array" ref="F26">_xll.BDH("DE US Equity","BS_LT_RECEIVABLES","FQ2 2019","FQ2 2019","Currency=USD","Period=FQ","BEST_FPERIOD_OVERRIDE=FQ","FILING_STATUS=MR","SCALING_FORMAT=MLN","Sort=A","Dates=H","DateFormat=P","Fill=—","Direction=H","UseDPDF=Y")</f>
        <v>25870</v>
      </c>
      <c r="G26" s="13" cm="1">
        <f t="array" ref="G26">_xll.BDH("DE US Equity","BS_LT_RECEIVABLES","FQ3 2019","FQ3 2019","Currency=USD","Period=FQ","BEST_FPERIOD_OVERRIDE=FQ","FILING_STATUS=MR","SCALING_FORMAT=MLN","Sort=A","Dates=H","DateFormat=P","Fill=—","Direction=H","UseDPDF=Y")</f>
        <v>27049</v>
      </c>
      <c r="H26" s="13" cm="1">
        <f t="array" ref="H26">_xll.BDH("DE US Equity","BS_LT_RECEIVABLES","FQ4 2019","FQ4 2019","Currency=USD","Period=FQ","BEST_FPERIOD_OVERRIDE=FQ","FILING_STATUS=MR","SCALING_FORMAT=MLN","Sort=A","Dates=H","DateFormat=P","Fill=—","Direction=H","UseDPDF=Y")</f>
        <v>29195</v>
      </c>
      <c r="I26" s="13" cm="1">
        <f t="array" ref="I26">_xll.BDH("DE US Equity","BS_LT_RECEIVABLES","FQ1 2020","FQ1 2020","Currency=USD","Period=FQ","BEST_FPERIOD_OVERRIDE=FQ","FILING_STATUS=MR","SCALING_FORMAT=MLN","Sort=A","Dates=H","DateFormat=P","Fill=—","Direction=H","UseDPDF=Y")</f>
        <v>27294</v>
      </c>
      <c r="J26" s="13" cm="1">
        <f t="array" ref="J26">_xll.BDH("DE US Equity","BS_LT_RECEIVABLES","FQ2 2020","FQ2 2020","Currency=USD","Period=FQ","BEST_FPERIOD_OVERRIDE=FQ","FILING_STATUS=MR","SCALING_FORMAT=MLN","Sort=A","Dates=H","DateFormat=P","Fill=—","Direction=H","UseDPDF=Y")</f>
        <v>27256</v>
      </c>
      <c r="K26" s="13" cm="1">
        <f t="array" ref="K26">_xll.BDH("DE US Equity","BS_LT_RECEIVABLES","FQ3 2020","FQ3 2020","Currency=USD","Period=FQ","BEST_FPERIOD_OVERRIDE=FQ","FILING_STATUS=MR","SCALING_FORMAT=MLN","Sort=A","Dates=H","DateFormat=P","Fill=—","Direction=H","UseDPDF=Y")</f>
        <v>27814</v>
      </c>
      <c r="L26" s="13" cm="1">
        <f t="array" ref="L26">_xll.BDH("DE US Equity","BS_LT_RECEIVABLES","FQ4 2020","FQ4 2020","Currency=USD","Period=FQ","BEST_FPERIOD_OVERRIDE=FQ","FILING_STATUS=MR","SCALING_FORMAT=MLN","Sort=A","Dates=H","DateFormat=P","Fill=—","Direction=H","UseDPDF=Y")</f>
        <v>29750</v>
      </c>
      <c r="M26" s="13" cm="1">
        <f t="array" ref="M26">_xll.BDH("DE US Equity","BS_LT_RECEIVABLES","FQ1 2021","FQ1 2021","Currency=USD","Period=FQ","BEST_FPERIOD_OVERRIDE=FQ","FILING_STATUS=MR","SCALING_FORMAT=MLN","Sort=A","Dates=H","DateFormat=P","Fill=—","Direction=H","UseDPDF=Y")</f>
        <v>29438</v>
      </c>
      <c r="N26" s="13" cm="1">
        <f t="array" ref="N26">_xll.BDH("DE US Equity","BS_LT_RECEIVABLES","FQ2 2021","FQ2 2021","Currency=USD","Period=FQ","BEST_FPERIOD_OVERRIDE=FQ","FILING_STATUS=MR","SCALING_FORMAT=MLN","Sort=A","Dates=H","DateFormat=P","Fill=—","Direction=H","UseDPDF=Y")</f>
        <v>30994</v>
      </c>
      <c r="O26" s="13" cm="1">
        <f t="array" ref="O26">_xll.BDH("DE US Equity","BS_LT_RECEIVABLES","FQ3 2021","FQ3 2021","Currency=USD","Period=FQ","BEST_FPERIOD_OVERRIDE=FQ","FILING_STATUS=MR","SCALING_FORMAT=MLN","Sort=A","Dates=H","DateFormat=P","Fill=—","Direction=H","UseDPDF=Y")</f>
        <v>31449</v>
      </c>
      <c r="P26" s="13" cm="1">
        <f t="array" ref="P26">_xll.BDH("DE US Equity","BS_LT_RECEIVABLES","FQ4 2021","FQ4 2021","Currency=USD","Period=FQ","BEST_FPERIOD_OVERRIDE=FQ","FILING_STATUS=MR","SCALING_FORMAT=MLN","Sort=A","Dates=H","DateFormat=P","Fill=—","Direction=H","UseDPDF=Y")</f>
        <v>33799</v>
      </c>
      <c r="Q26" s="13" cm="1">
        <f t="array" ref="Q26">_xll.BDH("DE US Equity","BS_LT_RECEIVABLES","FQ1 2022","FQ1 2022","Currency=USD","Period=FQ","BEST_FPERIOD_OVERRIDE=FQ","FILING_STATUS=MR","SCALING_FORMAT=MLN","Sort=A","Dates=H","DateFormat=P","Fill=—","Direction=H","UseDPDF=Y")</f>
        <v>33191</v>
      </c>
      <c r="R26" s="13" cm="1">
        <f t="array" ref="R26">_xll.BDH("DE US Equity","BS_LT_RECEIVABLES","FQ2 2022","FQ2 2022","Currency=USD","Period=FQ","BEST_FPERIOD_OVERRIDE=FQ","FILING_STATUS=MR","SCALING_FORMAT=MLN","Sort=A","Dates=H","DateFormat=P","Fill=—","Direction=H","UseDPDF=Y")</f>
        <v>34085</v>
      </c>
      <c r="S26" s="13" cm="1">
        <f t="array" ref="S26">_xll.BDH("DE US Equity","BS_LT_RECEIVABLES","FQ3 2022","FQ3 2022","Currency=USD","Period=FQ","BEST_FPERIOD_OVERRIDE=FQ","FILING_STATUS=MR","SCALING_FORMAT=MLN","Sort=A","Dates=H","DateFormat=P","Fill=—","Direction=H","UseDPDF=Y")</f>
        <v>35056</v>
      </c>
      <c r="T26" s="13" cm="1">
        <f t="array" ref="T26">_xll.BDH("DE US Equity","BS_LT_RECEIVABLES","FQ4 2022","FQ4 2022","Currency=USD","Period=FQ","BEST_FPERIOD_OVERRIDE=FQ","FILING_STATUS=MR","SCALING_FORMAT=MLN","Sort=A","Dates=H","DateFormat=P","Fill=—","Direction=H","UseDPDF=Y")</f>
        <v>36634</v>
      </c>
      <c r="U26" s="13" cm="1">
        <f t="array" ref="U26">_xll.BDH("DE US Equity","BS_LT_RECEIVABLES","FQ1 2023","FQ1 2023","Currency=USD","Period=FQ","BEST_FPERIOD_OVERRIDE=FQ","FILING_STATUS=MR","SCALING_FORMAT=MLN","Sort=A","Dates=H","DateFormat=P","Fill=—","Direction=H","UseDPDF=Y")</f>
        <v>36882</v>
      </c>
      <c r="V26" s="13" cm="1">
        <f t="array" ref="V26">_xll.BDH("DE US Equity","BS_LT_RECEIVABLES","FQ2 2023","FQ2 2023","Currency=USD","Period=FQ","BEST_FPERIOD_OVERRIDE=FQ","FILING_STATUS=MR","SCALING_FORMAT=MLN","Sort=A","Dates=H","DateFormat=P","Fill=—","Direction=H","UseDPDF=Y")</f>
        <v>38954</v>
      </c>
      <c r="W26" s="13" cm="1">
        <f t="array" ref="W26">_xll.BDH("DE US Equity","BS_LT_RECEIVABLES","FQ3 2023","FQ3 2023","Currency=USD","Period=FQ","BEST_FPERIOD_OVERRIDE=FQ","FILING_STATUS=MR","SCALING_FORMAT=MLN","Sort=A","Dates=H","DateFormat=P","Fill=—","Direction=H","UseDPDF=Y")</f>
        <v>41302</v>
      </c>
      <c r="X26" s="13" cm="1">
        <f t="array" ref="X26">_xll.BDH("DE US Equity","BS_LT_RECEIVABLES","FQ4 2023","FQ4 2023","Currency=USD","Period=FQ","BEST_FPERIOD_OVERRIDE=FQ","FILING_STATUS=MR","SCALING_FORMAT=MLN","Sort=A","Dates=H","DateFormat=P","Fill=—","Direction=H","UseDPDF=Y")</f>
        <v>43673</v>
      </c>
      <c r="Y26" s="13" cm="1">
        <f t="array" ref="Y26">_xll.BDH("DE US Equity","BS_LT_RECEIVABLES","FQ1 2024","FQ1 2024","Currency=USD","Period=FQ","BEST_FPERIOD_OVERRIDE=FQ","FILING_STATUS=MR","SCALING_FORMAT=MLN","Sort=A","Dates=H","DateFormat=P","Fill=—","Direction=H","UseDPDF=Y")</f>
        <v>43708</v>
      </c>
      <c r="Z26" s="13" cm="1">
        <f t="array" ref="Z26">_xll.BDH("DE US Equity","BS_LT_RECEIVABLES","FQ2 2024","FQ2 2024","Currency=USD","Period=FQ","BEST_FPERIOD_OVERRIDE=FQ","FILING_STATUS=MR","SCALING_FORMAT=MLN","Sort=A","Dates=H","DateFormat=P","Fill=—","Direction=H","UseDPDF=Y")</f>
        <v>45278</v>
      </c>
      <c r="AA26" s="13" cm="1">
        <f t="array" ref="AA26">_xll.BDH("DE US Equity","BS_LT_RECEIVABLES","FQ3 2024","FQ3 2024","Currency=USD","Period=FQ","BEST_FPERIOD_OVERRIDE=FQ","FILING_STATUS=MR","SCALING_FORMAT=MLN","Sort=A","Dates=H","DateFormat=P","Fill=—","Direction=H","UseDPDF=Y")</f>
        <v>43896</v>
      </c>
      <c r="AB26" s="13" cm="1">
        <f t="array" ref="AB26">_xll.BDH("DE US Equity","BS_LT_RECEIVABLES","FQ4 2024","FQ4 2024","Currency=USD","Period=FQ","BEST_FPERIOD_OVERRIDE=FQ","FILING_STATUS=MR","SCALING_FORMAT=MLN","Sort=A","Dates=H","DateFormat=P","Fill=—","Direction=H","UseDPDF=Y")</f>
        <v>44309</v>
      </c>
      <c r="AC26" s="13" cm="1">
        <f t="array" ref="AC26">_xll.BDH("DE US Equity","BS_LT_RECEIVABLES","FQ1 2025","FQ1 2025","Currency=USD","Period=FQ","BEST_FPERIOD_OVERRIDE=FQ","FILING_STATUS=MR","SCALING_FORMAT=MLN","Sort=A","Dates=H","DateFormat=P","Fill=—","Direction=H","UseDPDF=Y")</f>
        <v>41396</v>
      </c>
      <c r="AD26" s="13" cm="1">
        <f t="array" ref="AD26">_xll.BDH("DE US Equity","BS_LT_RECEIVABLES","FQ2 2025","FQ2 2025","Currency=USD","Period=FQ","BEST_FPERIOD_OVERRIDE=FQ","FILING_STATUS=MR","SCALING_FORMAT=MLN","Sort=A","Dates=H","DateFormat=P","Fill=—","Direction=H","UseDPDF=Y")</f>
        <v>43029</v>
      </c>
      <c r="AE26" s="13" cm="1">
        <f t="array" ref="AE26">_xll.BDH("DE US Equity","BS_LT_RECEIVABLES","FQ3 2025","FQ3 2025","Currency=USD","Period=FQ","BEST_FPERIOD_OVERRIDE=FQ","FILING_STATUS=MR","SCALING_FORMAT=MLN","Sort=A","Dates=H","DateFormat=P","Fill=—","Direction=H","UseDPDF=Y")</f>
        <v>43930</v>
      </c>
      <c r="AF26" s="13" cm="1">
        <f t="array" ref="AF26">_xll.BDH("DE US Equity","BS_LT_RECEIVABLES","FQ4 2025","FQ4 2025","Currency=USD","Period=FQ","BEST_FPERIOD_OVERRIDE=FQ","FILING_STATUS=MR","SCALING_FORMAT=MLN","Sort=A","Dates=H","DateFormat=P","Fill=—","Direction=H","UseDPDF=Y")</f>
        <v>44575</v>
      </c>
    </row>
    <row r="27" spans="1:32" x14ac:dyDescent="0.25">
      <c r="A27" s="10" t="s">
        <v>106</v>
      </c>
      <c r="B27" s="10" t="s">
        <v>107</v>
      </c>
      <c r="C27" s="13" cm="1">
        <f t="array" ref="C27">_xll.BDH("DE US Equity","BS_OTHER_ASSETS_DEF_CHRG_OTHER","FQ3 2018","FQ3 2018","Currency=USD","Period=FQ","BEST_FPERIOD_OVERRIDE=FQ","FILING_STATUS=MR","SCALING_FORMAT=MLN","Sort=A","Dates=H","DateFormat=P","Fill=—","Direction=H","UseDPDF=Y")</f>
        <v>13548</v>
      </c>
      <c r="D27" s="13" cm="1">
        <f t="array" ref="D27">_xll.BDH("DE US Equity","BS_OTHER_ASSETS_DEF_CHRG_OTHER","FQ4 2018","FQ4 2018","Currency=USD","Period=FQ","BEST_FPERIOD_OVERRIDE=FQ","FILING_STATUS=MR","SCALING_FORMAT=MLN","Sort=A","Dates=H","DateFormat=P","Fill=—","Direction=H","UseDPDF=Y")</f>
        <v>12716</v>
      </c>
      <c r="E27" s="13" cm="1">
        <f t="array" ref="E27">_xll.BDH("DE US Equity","BS_OTHER_ASSETS_DEF_CHRG_OTHER","FQ1 2019","FQ1 2019","Currency=USD","Period=FQ","BEST_FPERIOD_OVERRIDE=FQ","FILING_STATUS=MR","SCALING_FORMAT=MLN","Sort=A","Dates=H","DateFormat=P","Fill=—","Direction=H","UseDPDF=Y")</f>
        <v>13344.7</v>
      </c>
      <c r="F27" s="13" cm="1">
        <f t="array" ref="F27">_xll.BDH("DE US Equity","BS_OTHER_ASSETS_DEF_CHRG_OTHER","FQ2 2019","FQ2 2019","Currency=USD","Period=FQ","BEST_FPERIOD_OVERRIDE=FQ","FILING_STATUS=MR","SCALING_FORMAT=MLN","Sort=A","Dates=H","DateFormat=P","Fill=—","Direction=H","UseDPDF=Y")</f>
        <v>13843.1</v>
      </c>
      <c r="G27" s="13" cm="1">
        <f t="array" ref="G27">_xll.BDH("DE US Equity","BS_OTHER_ASSETS_DEF_CHRG_OTHER","FQ3 2019","FQ3 2019","Currency=USD","Period=FQ","BEST_FPERIOD_OVERRIDE=FQ","FILING_STATUS=MR","SCALING_FORMAT=MLN","Sort=A","Dates=H","DateFormat=P","Fill=—","Direction=H","UseDPDF=Y")</f>
        <v>14372</v>
      </c>
      <c r="H27" s="13" cm="1">
        <f t="array" ref="H27">_xll.BDH("DE US Equity","BS_OTHER_ASSETS_DEF_CHRG_OTHER","FQ4 2019","FQ4 2019","Currency=USD","Period=FQ","BEST_FPERIOD_OVERRIDE=FQ","FILING_STATUS=MR","SCALING_FORMAT=MLN","Sort=A","Dates=H","DateFormat=P","Fill=—","Direction=H","UseDPDF=Y")</f>
        <v>13100</v>
      </c>
      <c r="I27" s="13" cm="1">
        <f t="array" ref="I27">_xll.BDH("DE US Equity","BS_OTHER_ASSETS_DEF_CHRG_OTHER","FQ1 2020","FQ1 2020","Currency=USD","Period=FQ","BEST_FPERIOD_OVERRIDE=FQ","FILING_STATUS=MR","SCALING_FORMAT=MLN","Sort=A","Dates=H","DateFormat=P","Fill=—","Direction=H","UseDPDF=Y")</f>
        <v>13665</v>
      </c>
      <c r="J27" s="13" cm="1">
        <f t="array" ref="J27">_xll.BDH("DE US Equity","BS_OTHER_ASSETS_DEF_CHRG_OTHER","FQ2 2020","FQ2 2020","Currency=USD","Period=FQ","BEST_FPERIOD_OVERRIDE=FQ","FILING_STATUS=MR","SCALING_FORMAT=MLN","Sort=A","Dates=H","DateFormat=P","Fill=—","Direction=H","UseDPDF=Y")</f>
        <v>14213</v>
      </c>
      <c r="K27" s="13" cm="1">
        <f t="array" ref="K27">_xll.BDH("DE US Equity","BS_OTHER_ASSETS_DEF_CHRG_OTHER","FQ3 2020","FQ3 2020","Currency=USD","Period=FQ","BEST_FPERIOD_OVERRIDE=FQ","FILING_STATUS=MR","SCALING_FORMAT=MLN","Sort=A","Dates=H","DateFormat=P","Fill=—","Direction=H","UseDPDF=Y")</f>
        <v>15342</v>
      </c>
      <c r="L27" s="13" cm="1">
        <f t="array" ref="L27">_xll.BDH("DE US Equity","BS_OTHER_ASSETS_DEF_CHRG_OTHER","FQ4 2020","FQ4 2020","Currency=USD","Period=FQ","BEST_FPERIOD_OVERRIDE=FQ","FILING_STATUS=MR","SCALING_FORMAT=MLN","Sort=A","Dates=H","DateFormat=P","Fill=—","Direction=H","UseDPDF=Y")</f>
        <v>14098</v>
      </c>
      <c r="M27" s="13" cm="1">
        <f t="array" ref="M27">_xll.BDH("DE US Equity","BS_OTHER_ASSETS_DEF_CHRG_OTHER","FQ1 2021","FQ1 2021","Currency=USD","Period=FQ","BEST_FPERIOD_OVERRIDE=FQ","FILING_STATUS=MR","SCALING_FORMAT=MLN","Sort=A","Dates=H","DateFormat=P","Fill=—","Direction=H","UseDPDF=Y")</f>
        <v>13480</v>
      </c>
      <c r="N27" s="13" cm="1">
        <f t="array" ref="N27">_xll.BDH("DE US Equity","BS_OTHER_ASSETS_DEF_CHRG_OTHER","FQ2 2021","FQ2 2021","Currency=USD","Period=FQ","BEST_FPERIOD_OVERRIDE=FQ","FILING_STATUS=MR","SCALING_FORMAT=MLN","Sort=A","Dates=H","DateFormat=P","Fill=—","Direction=H","UseDPDF=Y")</f>
        <v>13619</v>
      </c>
      <c r="O27" s="13" cm="1">
        <f t="array" ref="O27">_xll.BDH("DE US Equity","BS_OTHER_ASSETS_DEF_CHRG_OTHER","FQ3 2021","FQ3 2021","Currency=USD","Period=FQ","BEST_FPERIOD_OVERRIDE=FQ","FILING_STATUS=MR","SCALING_FORMAT=MLN","Sort=A","Dates=H","DateFormat=P","Fill=—","Direction=H","UseDPDF=Y")</f>
        <v>15021</v>
      </c>
      <c r="P27" s="13" cm="1">
        <f t="array" ref="P27">_xll.BDH("DE US Equity","BS_OTHER_ASSETS_DEF_CHRG_OTHER","FQ4 2021","FQ4 2021","Currency=USD","Period=FQ","BEST_FPERIOD_OVERRIDE=FQ","FILING_STATUS=MR","SCALING_FORMAT=MLN","Sort=A","Dates=H","DateFormat=P","Fill=—","Direction=H","UseDPDF=Y")</f>
        <v>16008</v>
      </c>
      <c r="Q27" s="13" cm="1">
        <f t="array" ref="Q27">_xll.BDH("DE US Equity","BS_OTHER_ASSETS_DEF_CHRG_OTHER","FQ1 2022","FQ1 2022","Currency=USD","Period=FQ","BEST_FPERIOD_OVERRIDE=FQ","FILING_STATUS=MR","SCALING_FORMAT=MLN","Sort=A","Dates=H","DateFormat=P","Fill=—","Direction=H","UseDPDF=Y")</f>
        <v>14201</v>
      </c>
      <c r="R27" s="13" cm="1">
        <f t="array" ref="R27">_xll.BDH("DE US Equity","BS_OTHER_ASSETS_DEF_CHRG_OTHER","FQ2 2022","FQ2 2022","Currency=USD","Period=FQ","BEST_FPERIOD_OVERRIDE=FQ","FILING_STATUS=MR","SCALING_FORMAT=MLN","Sort=A","Dates=H","DateFormat=P","Fill=—","Direction=H","UseDPDF=Y")</f>
        <v>15680</v>
      </c>
      <c r="S27" s="13" cm="1">
        <f t="array" ref="S27">_xll.BDH("DE US Equity","BS_OTHER_ASSETS_DEF_CHRG_OTHER","FQ3 2022","FQ3 2022","Currency=USD","Period=FQ","BEST_FPERIOD_OVERRIDE=FQ","FILING_STATUS=MR","SCALING_FORMAT=MLN","Sort=A","Dates=H","DateFormat=P","Fill=—","Direction=H","UseDPDF=Y")</f>
        <v>16647</v>
      </c>
      <c r="T27" s="13" cm="1">
        <f t="array" ref="T27">_xll.BDH("DE US Equity","BS_OTHER_ASSETS_DEF_CHRG_OTHER","FQ4 2022","FQ4 2022","Currency=USD","Period=FQ","BEST_FPERIOD_OVERRIDE=FQ","FILING_STATUS=MR","SCALING_FORMAT=MLN","Sort=A","Dates=H","DateFormat=P","Fill=—","Direction=H","UseDPDF=Y")</f>
        <v>17812</v>
      </c>
      <c r="U27" s="13" cm="1">
        <f t="array" ref="U27">_xll.BDH("DE US Equity","BS_OTHER_ASSETS_DEF_CHRG_OTHER","FQ1 2023","FQ1 2023","Currency=USD","Period=FQ","BEST_FPERIOD_OVERRIDE=FQ","FILING_STATUS=MR","SCALING_FORMAT=MLN","Sort=A","Dates=H","DateFormat=P","Fill=—","Direction=H","UseDPDF=Y")</f>
        <v>17539</v>
      </c>
      <c r="V27" s="13" cm="1">
        <f t="array" ref="V27">_xll.BDH("DE US Equity","BS_OTHER_ASSETS_DEF_CHRG_OTHER","FQ2 2023","FQ2 2023","Currency=USD","Period=FQ","BEST_FPERIOD_OVERRIDE=FQ","FILING_STATUS=MR","SCALING_FORMAT=MLN","Sort=A","Dates=H","DateFormat=P","Fill=—","Direction=H","UseDPDF=Y")</f>
        <v>18181</v>
      </c>
      <c r="W27" s="13" cm="1">
        <f t="array" ref="W27">_xll.BDH("DE US Equity","BS_OTHER_ASSETS_DEF_CHRG_OTHER","FQ3 2023","FQ3 2023","Currency=USD","Period=FQ","BEST_FPERIOD_OVERRIDE=FQ","FILING_STATUS=MR","SCALING_FORMAT=MLN","Sort=A","Dates=H","DateFormat=P","Fill=—","Direction=H","UseDPDF=Y")</f>
        <v>19786</v>
      </c>
      <c r="X27" s="13" cm="1">
        <f t="array" ref="X27">_xll.BDH("DE US Equity","BS_OTHER_ASSETS_DEF_CHRG_OTHER","FQ4 2023","FQ4 2023","Currency=USD","Period=FQ","BEST_FPERIOD_OVERRIDE=FQ","FILING_STATUS=MR","SCALING_FORMAT=MLN","Sort=A","Dates=H","DateFormat=P","Fill=—","Direction=H","UseDPDF=Y")</f>
        <v>19692</v>
      </c>
      <c r="Y27" s="13" cm="1">
        <f t="array" ref="Y27">_xll.BDH("DE US Equity","BS_OTHER_ASSETS_DEF_CHRG_OTHER","FQ1 2024","FQ1 2024","Currency=USD","Period=FQ","BEST_FPERIOD_OVERRIDE=FQ","FILING_STATUS=MR","SCALING_FORMAT=MLN","Sort=A","Dates=H","DateFormat=P","Fill=—","Direction=H","UseDPDF=Y")</f>
        <v>18976</v>
      </c>
      <c r="Z27" s="13" cm="1">
        <f t="array" ref="Z27">_xll.BDH("DE US Equity","BS_OTHER_ASSETS_DEF_CHRG_OTHER","FQ2 2024","FQ2 2024","Currency=USD","Period=FQ","BEST_FPERIOD_OVERRIDE=FQ","FILING_STATUS=MR","SCALING_FORMAT=MLN","Sort=A","Dates=H","DateFormat=P","Fill=—","Direction=H","UseDPDF=Y")</f>
        <v>19846</v>
      </c>
      <c r="AA27" s="13" cm="1">
        <f t="array" ref="AA27">_xll.BDH("DE US Equity","BS_OTHER_ASSETS_DEF_CHRG_OTHER","FQ3 2024","FQ3 2024","Currency=USD","Period=FQ","BEST_FPERIOD_OVERRIDE=FQ","FILING_STATUS=MR","SCALING_FORMAT=MLN","Sort=A","Dates=H","DateFormat=P","Fill=—","Direction=H","UseDPDF=Y")</f>
        <v>21191</v>
      </c>
      <c r="AB27" s="13" cm="1">
        <f t="array" ref="AB27">_xll.BDH("DE US Equity","BS_OTHER_ASSETS_DEF_CHRG_OTHER","FQ4 2024","FQ4 2024","Currency=USD","Period=FQ","BEST_FPERIOD_OVERRIDE=FQ","FILING_STATUS=MR","SCALING_FORMAT=MLN","Sort=A","Dates=H","DateFormat=P","Fill=—","Direction=H","UseDPDF=Y")</f>
        <v>21594</v>
      </c>
      <c r="AC27" s="13" cm="1">
        <f t="array" ref="AC27">_xll.BDH("DE US Equity","BS_OTHER_ASSETS_DEF_CHRG_OTHER","FQ1 2025","FQ1 2025","Currency=USD","Period=FQ","BEST_FPERIOD_OVERRIDE=FQ","FILING_STATUS=MR","SCALING_FORMAT=MLN","Sort=A","Dates=H","DateFormat=P","Fill=—","Direction=H","UseDPDF=Y")</f>
        <v>20743</v>
      </c>
      <c r="AD27" s="13" cm="1">
        <f t="array" ref="AD27">_xll.BDH("DE US Equity","BS_OTHER_ASSETS_DEF_CHRG_OTHER","FQ2 2025","FQ2 2025","Currency=USD","Period=FQ","BEST_FPERIOD_OVERRIDE=FQ","FILING_STATUS=MR","SCALING_FORMAT=MLN","Sort=A","Dates=H","DateFormat=P","Fill=—","Direction=H","UseDPDF=Y")</f>
        <v>21527</v>
      </c>
      <c r="AE27" s="13" cm="1">
        <f t="array" ref="AE27">_xll.BDH("DE US Equity","BS_OTHER_ASSETS_DEF_CHRG_OTHER","FQ3 2025","FQ3 2025","Currency=USD","Period=FQ","BEST_FPERIOD_OVERRIDE=FQ","FILING_STATUS=MR","SCALING_FORMAT=MLN","Sort=A","Dates=H","DateFormat=P","Fill=—","Direction=H","UseDPDF=Y")</f>
        <v>22033</v>
      </c>
      <c r="AF27" s="13" cm="1">
        <f t="array" ref="AF27">_xll.BDH("DE US Equity","BS_OTHER_ASSETS_DEF_CHRG_OTHER","FQ4 2025","FQ4 2025","Currency=USD","Period=FQ","BEST_FPERIOD_OVERRIDE=FQ","FILING_STATUS=MR","SCALING_FORMAT=MLN","Sort=A","Dates=H","DateFormat=P","Fill=—","Direction=H","UseDPDF=Y")</f>
        <v>20929</v>
      </c>
    </row>
    <row r="28" spans="1:32" x14ac:dyDescent="0.25">
      <c r="A28" s="10" t="s">
        <v>108</v>
      </c>
      <c r="B28" s="10" t="s">
        <v>109</v>
      </c>
      <c r="C28" s="13" cm="1">
        <f t="array" ref="C28">_xll.BDH("DE US Equity","BS_DISCLOSED_INTANGIBLES","FQ3 2018","FQ3 2018","Currency=USD","Period=FQ","BEST_FPERIOD_OVERRIDE=FQ","FILING_STATUS=MR","SCALING_FORMAT=MLN","Sort=A","Dates=H","DateFormat=P","Fill=—","Direction=H","UseDPDF=Y")</f>
        <v>4628</v>
      </c>
      <c r="D28" s="13" cm="1">
        <f t="array" ref="D28">_xll.BDH("DE US Equity","BS_DISCLOSED_INTANGIBLES","FQ4 2018","FQ4 2018","Currency=USD","Period=FQ","BEST_FPERIOD_OVERRIDE=FQ","FILING_STATUS=MR","SCALING_FORMAT=MLN","Sort=A","Dates=H","DateFormat=P","Fill=—","Direction=H","UseDPDF=Y")</f>
        <v>4663</v>
      </c>
      <c r="E28" s="13" cm="1">
        <f t="array" ref="E28">_xll.BDH("DE US Equity","BS_DISCLOSED_INTANGIBLES","FQ1 2019","FQ1 2019","Currency=USD","Period=FQ","BEST_FPERIOD_OVERRIDE=FQ","FILING_STATUS=MR","SCALING_FORMAT=MLN","Sort=A","Dates=H","DateFormat=P","Fill=—","Direction=H","UseDPDF=Y")</f>
        <v>4555.1000000000004</v>
      </c>
      <c r="F28" s="13" cm="1">
        <f t="array" ref="F28">_xll.BDH("DE US Equity","BS_DISCLOSED_INTANGIBLES","FQ2 2019","FQ2 2019","Currency=USD","Period=FQ","BEST_FPERIOD_OVERRIDE=FQ","FILING_STATUS=MR","SCALING_FORMAT=MLN","Sort=A","Dates=H","DateFormat=P","Fill=—","Direction=H","UseDPDF=Y")</f>
        <v>4501.1000000000004</v>
      </c>
      <c r="G28" s="13" cm="1">
        <f t="array" ref="G28">_xll.BDH("DE US Equity","BS_DISCLOSED_INTANGIBLES","FQ3 2019","FQ3 2019","Currency=USD","Period=FQ","BEST_FPERIOD_OVERRIDE=FQ","FILING_STATUS=MR","SCALING_FORMAT=MLN","Sort=A","Dates=H","DateFormat=P","Fill=—","Direction=H","UseDPDF=Y")</f>
        <v>4457</v>
      </c>
      <c r="H28" s="13" cm="1">
        <f t="array" ref="H28">_xll.BDH("DE US Equity","BS_DISCLOSED_INTANGIBLES","FQ4 2019","FQ4 2019","Currency=USD","Period=FQ","BEST_FPERIOD_OVERRIDE=FQ","FILING_STATUS=MR","SCALING_FORMAT=MLN","Sort=A","Dates=H","DateFormat=P","Fill=—","Direction=H","UseDPDF=Y")</f>
        <v>4297</v>
      </c>
      <c r="I28" s="13" cm="1">
        <f t="array" ref="I28">_xll.BDH("DE US Equity","BS_DISCLOSED_INTANGIBLES","FQ1 2020","FQ1 2020","Currency=USD","Period=FQ","BEST_FPERIOD_OVERRIDE=FQ","FILING_STATUS=MR","SCALING_FORMAT=MLN","Sort=A","Dates=H","DateFormat=P","Fill=—","Direction=H","UseDPDF=Y")</f>
        <v>4294</v>
      </c>
      <c r="J28" s="13" cm="1">
        <f t="array" ref="J28">_xll.BDH("DE US Equity","BS_DISCLOSED_INTANGIBLES","FQ2 2020","FQ2 2020","Currency=USD","Period=FQ","BEST_FPERIOD_OVERRIDE=FQ","FILING_STATUS=MR","SCALING_FORMAT=MLN","Sort=A","Dates=H","DateFormat=P","Fill=—","Direction=H","UseDPDF=Y")</f>
        <v>4228</v>
      </c>
      <c r="K28" s="13" cm="1">
        <f t="array" ref="K28">_xll.BDH("DE US Equity","BS_DISCLOSED_INTANGIBLES","FQ3 2020","FQ3 2020","Currency=USD","Period=FQ","BEST_FPERIOD_OVERRIDE=FQ","FILING_STATUS=MR","SCALING_FORMAT=MLN","Sort=A","Dates=H","DateFormat=P","Fill=—","Direction=H","UseDPDF=Y")</f>
        <v>4285</v>
      </c>
      <c r="L28" s="13" cm="1">
        <f t="array" ref="L28">_xll.BDH("DE US Equity","BS_DISCLOSED_INTANGIBLES","FQ4 2020","FQ4 2020","Currency=USD","Period=FQ","BEST_FPERIOD_OVERRIDE=FQ","FILING_STATUS=MR","SCALING_FORMAT=MLN","Sort=A","Dates=H","DateFormat=P","Fill=—","Direction=H","UseDPDF=Y")</f>
        <v>4408</v>
      </c>
      <c r="M28" s="13" cm="1">
        <f t="array" ref="M28">_xll.BDH("DE US Equity","BS_DISCLOSED_INTANGIBLES","FQ1 2021","FQ1 2021","Currency=USD","Period=FQ","BEST_FPERIOD_OVERRIDE=FQ","FILING_STATUS=MR","SCALING_FORMAT=MLN","Sort=A","Dates=H","DateFormat=P","Fill=—","Direction=H","UseDPDF=Y")</f>
        <v>4536</v>
      </c>
      <c r="N28" s="13" cm="1">
        <f t="array" ref="N28">_xll.BDH("DE US Equity","BS_DISCLOSED_INTANGIBLES","FQ2 2021","FQ2 2021","Currency=USD","Period=FQ","BEST_FPERIOD_OVERRIDE=FQ","FILING_STATUS=MR","SCALING_FORMAT=MLN","Sort=A","Dates=H","DateFormat=P","Fill=—","Direction=H","UseDPDF=Y")</f>
        <v>4500</v>
      </c>
      <c r="O28" s="13" cm="1">
        <f t="array" ref="O28">_xll.BDH("DE US Equity","BS_DISCLOSED_INTANGIBLES","FQ3 2021","FQ3 2021","Currency=USD","Period=FQ","BEST_FPERIOD_OVERRIDE=FQ","FILING_STATUS=MR","SCALING_FORMAT=MLN","Sort=A","Dates=H","DateFormat=P","Fill=—","Direction=H","UseDPDF=Y")</f>
        <v>4415</v>
      </c>
      <c r="P28" s="13" cm="1">
        <f t="array" ref="P28">_xll.BDH("DE US Equity","BS_DISCLOSED_INTANGIBLES","FQ4 2021","FQ4 2021","Currency=USD","Period=FQ","BEST_FPERIOD_OVERRIDE=FQ","FILING_STATUS=MR","SCALING_FORMAT=MLN","Sort=A","Dates=H","DateFormat=P","Fill=—","Direction=H","UseDPDF=Y")</f>
        <v>4566</v>
      </c>
      <c r="Q28" s="13" cm="1">
        <f t="array" ref="Q28">_xll.BDH("DE US Equity","BS_DISCLOSED_INTANGIBLES","FQ1 2022","FQ1 2022","Currency=USD","Period=FQ","BEST_FPERIOD_OVERRIDE=FQ","FILING_STATUS=MR","SCALING_FORMAT=MLN","Sort=A","Dates=H","DateFormat=P","Fill=—","Direction=H","UseDPDF=Y")</f>
        <v>4401</v>
      </c>
      <c r="R28" s="13" cm="1">
        <f t="array" ref="R28">_xll.BDH("DE US Equity","BS_DISCLOSED_INTANGIBLES","FQ2 2022","FQ2 2022","Currency=USD","Period=FQ","BEST_FPERIOD_OVERRIDE=FQ","FILING_STATUS=MR","SCALING_FORMAT=MLN","Sort=A","Dates=H","DateFormat=P","Fill=—","Direction=H","UseDPDF=Y")</f>
        <v>5164</v>
      </c>
      <c r="S28" s="13" cm="1">
        <f t="array" ref="S28">_xll.BDH("DE US Equity","BS_DISCLOSED_INTANGIBLES","FQ3 2022","FQ3 2022","Currency=USD","Period=FQ","BEST_FPERIOD_OVERRIDE=FQ","FILING_STATUS=MR","SCALING_FORMAT=MLN","Sort=A","Dates=H","DateFormat=P","Fill=—","Direction=H","UseDPDF=Y")</f>
        <v>5035</v>
      </c>
      <c r="T28" s="13" cm="1">
        <f t="array" ref="T28">_xll.BDH("DE US Equity","BS_DISCLOSED_INTANGIBLES","FQ4 2022","FQ4 2022","Currency=USD","Period=FQ","BEST_FPERIOD_OVERRIDE=FQ","FILING_STATUS=MR","SCALING_FORMAT=MLN","Sort=A","Dates=H","DateFormat=P","Fill=—","Direction=H","UseDPDF=Y")</f>
        <v>4905</v>
      </c>
      <c r="U28" s="13" cm="1">
        <f t="array" ref="U28">_xll.BDH("DE US Equity","BS_DISCLOSED_INTANGIBLES","FQ1 2023","FQ1 2023","Currency=USD","Period=FQ","BEST_FPERIOD_OVERRIDE=FQ","FILING_STATUS=MR","SCALING_FORMAT=MLN","Sort=A","Dates=H","DateFormat=P","Fill=—","Direction=H","UseDPDF=Y")</f>
        <v>5146</v>
      </c>
      <c r="V28" s="13" cm="1">
        <f t="array" ref="V28">_xll.BDH("DE US Equity","BS_DISCLOSED_INTANGIBLES","FQ2 2023","FQ2 2023","Currency=USD","Period=FQ","BEST_FPERIOD_OVERRIDE=FQ","FILING_STATUS=MR","SCALING_FORMAT=MLN","Sort=A","Dates=H","DateFormat=P","Fill=—","Direction=H","UseDPDF=Y")</f>
        <v>5185</v>
      </c>
      <c r="W28" s="13" cm="1">
        <f t="array" ref="W28">_xll.BDH("DE US Equity","BS_DISCLOSED_INTANGIBLES","FQ3 2023","FQ3 2023","Currency=USD","Period=FQ","BEST_FPERIOD_OVERRIDE=FQ","FILING_STATUS=MR","SCALING_FORMAT=MLN","Sort=A","Dates=H","DateFormat=P","Fill=—","Direction=H","UseDPDF=Y")</f>
        <v>5193</v>
      </c>
      <c r="X28" s="13" cm="1">
        <f t="array" ref="X28">_xll.BDH("DE US Equity","BS_DISCLOSED_INTANGIBLES","FQ4 2023","FQ4 2023","Currency=USD","Period=FQ","BEST_FPERIOD_OVERRIDE=FQ","FILING_STATUS=MR","SCALING_FORMAT=MLN","Sort=A","Dates=H","DateFormat=P","Fill=—","Direction=H","UseDPDF=Y")</f>
        <v>5033</v>
      </c>
      <c r="Y28" s="13" cm="1">
        <f t="array" ref="Y28">_xll.BDH("DE US Equity","BS_DISCLOSED_INTANGIBLES","FQ1 2024","FQ1 2024","Currency=USD","Period=FQ","BEST_FPERIOD_OVERRIDE=FQ","FILING_STATUS=MR","SCALING_FORMAT=MLN","Sort=A","Dates=H","DateFormat=P","Fill=—","Direction=H","UseDPDF=Y")</f>
        <v>5078</v>
      </c>
      <c r="Z28" s="13" cm="1">
        <f t="array" ref="Z28">_xll.BDH("DE US Equity","BS_DISCLOSED_INTANGIBLES","FQ2 2024","FQ2 2024","Currency=USD","Period=FQ","BEST_FPERIOD_OVERRIDE=FQ","FILING_STATUS=MR","SCALING_FORMAT=MLN","Sort=A","Dates=H","DateFormat=P","Fill=—","Direction=H","UseDPDF=Y")</f>
        <v>5000</v>
      </c>
      <c r="AA28" s="13" cm="1">
        <f t="array" ref="AA28">_xll.BDH("DE US Equity","BS_DISCLOSED_INTANGIBLES","FQ3 2024","FQ3 2024","Currency=USD","Period=FQ","BEST_FPERIOD_OVERRIDE=FQ","FILING_STATUS=MR","SCALING_FORMAT=MLN","Sort=A","Dates=H","DateFormat=P","Fill=—","Direction=H","UseDPDF=Y")</f>
        <v>4990</v>
      </c>
      <c r="AB28" s="13" cm="1">
        <f t="array" ref="AB28">_xll.BDH("DE US Equity","BS_DISCLOSED_INTANGIBLES","FQ4 2024","FQ4 2024","Currency=USD","Period=FQ","BEST_FPERIOD_OVERRIDE=FQ","FILING_STATUS=MR","SCALING_FORMAT=MLN","Sort=A","Dates=H","DateFormat=P","Fill=—","Direction=H","UseDPDF=Y")</f>
        <v>4958</v>
      </c>
      <c r="AC28" s="13" cm="1">
        <f t="array" ref="AC28">_xll.BDH("DE US Equity","BS_DISCLOSED_INTANGIBLES","FQ1 2025","FQ1 2025","Currency=USD","Period=FQ","BEST_FPERIOD_OVERRIDE=FQ","FILING_STATUS=MR","SCALING_FORMAT=MLN","Sort=A","Dates=H","DateFormat=P","Fill=—","Direction=H","UseDPDF=Y")</f>
        <v>4809</v>
      </c>
      <c r="AD28" s="13" cm="1">
        <f t="array" ref="AD28">_xll.BDH("DE US Equity","BS_DISCLOSED_INTANGIBLES","FQ2 2025","FQ2 2025","Currency=USD","Period=FQ","BEST_FPERIOD_OVERRIDE=FQ","FILING_STATUS=MR","SCALING_FORMAT=MLN","Sort=A","Dates=H","DateFormat=P","Fill=—","Direction=H","UseDPDF=Y")</f>
        <v>5058</v>
      </c>
      <c r="AE28" s="13" cm="1">
        <f t="array" ref="AE28">_xll.BDH("DE US Equity","BS_DISCLOSED_INTANGIBLES","FQ3 2025","FQ3 2025","Currency=USD","Period=FQ","BEST_FPERIOD_OVERRIDE=FQ","FILING_STATUS=MR","SCALING_FORMAT=MLN","Sort=A","Dates=H","DateFormat=P","Fill=—","Direction=H","UseDPDF=Y")</f>
        <v>5135</v>
      </c>
      <c r="AF28" s="13" cm="1">
        <f t="array" ref="AF28">_xll.BDH("DE US Equity","BS_DISCLOSED_INTANGIBLES","FQ4 2025","FQ4 2025","Currency=USD","Period=FQ","BEST_FPERIOD_OVERRIDE=FQ","FILING_STATUS=MR","SCALING_FORMAT=MLN","Sort=A","Dates=H","DateFormat=P","Fill=—","Direction=H","UseDPDF=Y")</f>
        <v>5080</v>
      </c>
    </row>
    <row r="29" spans="1:32" x14ac:dyDescent="0.25">
      <c r="A29" s="11" t="s">
        <v>110</v>
      </c>
      <c r="B29" s="11" t="s">
        <v>111</v>
      </c>
      <c r="C29" s="17" cm="1">
        <f t="array" ref="C29">_xll.BDH("DE US Equity","BS_GOODWILL","FQ3 2018","FQ3 2018","Currency=USD","Period=FQ","BEST_FPERIOD_OVERRIDE=FQ","FILING_STATUS=MR","SCALING_FORMAT=MLN","Sort=A","Dates=H","DateFormat=P","Fill=—","Direction=H","UseDPDF=Y")</f>
        <v>3047</v>
      </c>
      <c r="D29" s="17" cm="1">
        <f t="array" ref="D29">_xll.BDH("DE US Equity","BS_GOODWILL","FQ4 2018","FQ4 2018","Currency=USD","Period=FQ","BEST_FPERIOD_OVERRIDE=FQ","FILING_STATUS=MR","SCALING_FORMAT=MLN","Sort=A","Dates=H","DateFormat=P","Fill=—","Direction=H","UseDPDF=Y")</f>
        <v>3101</v>
      </c>
      <c r="E29" s="17" cm="1">
        <f t="array" ref="E29">_xll.BDH("DE US Equity","BS_GOODWILL","FQ1 2019","FQ1 2019","Currency=USD","Period=FQ","BEST_FPERIOD_OVERRIDE=FQ","FILING_STATUS=MR","SCALING_FORMAT=MLN","Sort=A","Dates=H","DateFormat=P","Fill=—","Direction=H","UseDPDF=Y")</f>
        <v>3047.6</v>
      </c>
      <c r="F29" s="17" cm="1">
        <f t="array" ref="F29">_xll.BDH("DE US Equity","BS_GOODWILL","FQ2 2019","FQ2 2019","Currency=USD","Period=FQ","BEST_FPERIOD_OVERRIDE=FQ","FILING_STATUS=MR","SCALING_FORMAT=MLN","Sort=A","Dates=H","DateFormat=P","Fill=—","Direction=H","UseDPDF=Y")</f>
        <v>3025</v>
      </c>
      <c r="G29" s="17" cm="1">
        <f t="array" ref="G29">_xll.BDH("DE US Equity","BS_GOODWILL","FQ3 2019","FQ3 2019","Currency=USD","Period=FQ","BEST_FPERIOD_OVERRIDE=FQ","FILING_STATUS=MR","SCALING_FORMAT=MLN","Sort=A","Dates=H","DateFormat=P","Fill=—","Direction=H","UseDPDF=Y")</f>
        <v>3013</v>
      </c>
      <c r="H29" s="17" cm="1">
        <f t="array" ref="H29">_xll.BDH("DE US Equity","BS_GOODWILL","FQ4 2019","FQ4 2019","Currency=USD","Period=FQ","BEST_FPERIOD_OVERRIDE=FQ","FILING_STATUS=MR","SCALING_FORMAT=MLN","Sort=A","Dates=H","DateFormat=P","Fill=—","Direction=H","UseDPDF=Y")</f>
        <v>2917</v>
      </c>
      <c r="I29" s="17" cm="1">
        <f t="array" ref="I29">_xll.BDH("DE US Equity","BS_GOODWILL","FQ1 2020","FQ1 2020","Currency=USD","Period=FQ","BEST_FPERIOD_OVERRIDE=FQ","FILING_STATUS=MR","SCALING_FORMAT=MLN","Sort=A","Dates=H","DateFormat=P","Fill=—","Direction=H","UseDPDF=Y")</f>
        <v>2945</v>
      </c>
      <c r="J29" s="17" cm="1">
        <f t="array" ref="J29">_xll.BDH("DE US Equity","BS_GOODWILL","FQ2 2020","FQ2 2020","Currency=USD","Period=FQ","BEST_FPERIOD_OVERRIDE=FQ","FILING_STATUS=MR","SCALING_FORMAT=MLN","Sort=A","Dates=H","DateFormat=P","Fill=—","Direction=H","UseDPDF=Y")</f>
        <v>2917</v>
      </c>
      <c r="K29" s="17" cm="1">
        <f t="array" ref="K29">_xll.BDH("DE US Equity","BS_GOODWILL","FQ3 2020","FQ3 2020","Currency=USD","Period=FQ","BEST_FPERIOD_OVERRIDE=FQ","FILING_STATUS=MR","SCALING_FORMAT=MLN","Sort=A","Dates=H","DateFormat=P","Fill=—","Direction=H","UseDPDF=Y")</f>
        <v>2984</v>
      </c>
      <c r="L29" s="17" cm="1">
        <f t="array" ref="L29">_xll.BDH("DE US Equity","BS_GOODWILL","FQ4 2020","FQ4 2020","Currency=USD","Period=FQ","BEST_FPERIOD_OVERRIDE=FQ","FILING_STATUS=MR","SCALING_FORMAT=MLN","Sort=A","Dates=H","DateFormat=P","Fill=—","Direction=H","UseDPDF=Y")</f>
        <v>3081</v>
      </c>
      <c r="M29" s="17" cm="1">
        <f t="array" ref="M29">_xll.BDH("DE US Equity","BS_GOODWILL","FQ1 2021","FQ1 2021","Currency=USD","Period=FQ","BEST_FPERIOD_OVERRIDE=FQ","FILING_STATUS=MR","SCALING_FORMAT=MLN","Sort=A","Dates=H","DateFormat=P","Fill=—","Direction=H","UseDPDF=Y")</f>
        <v>3194</v>
      </c>
      <c r="N29" s="17" cm="1">
        <f t="array" ref="N29">_xll.BDH("DE US Equity","BS_GOODWILL","FQ2 2021","FQ2 2021","Currency=USD","Period=FQ","BEST_FPERIOD_OVERRIDE=FQ","FILING_STATUS=MR","SCALING_FORMAT=MLN","Sort=A","Dates=H","DateFormat=P","Fill=—","Direction=H","UseDPDF=Y")</f>
        <v>3190</v>
      </c>
      <c r="O29" s="17" cm="1">
        <f t="array" ref="O29">_xll.BDH("DE US Equity","BS_GOODWILL","FQ3 2021","FQ3 2021","Currency=USD","Period=FQ","BEST_FPERIOD_OVERRIDE=FQ","FILING_STATUS=MR","SCALING_FORMAT=MLN","Sort=A","Dates=H","DateFormat=P","Fill=—","Direction=H","UseDPDF=Y")</f>
        <v>3148</v>
      </c>
      <c r="P29" s="17" cm="1">
        <f t="array" ref="P29">_xll.BDH("DE US Equity","BS_GOODWILL","FQ4 2021","FQ4 2021","Currency=USD","Period=FQ","BEST_FPERIOD_OVERRIDE=FQ","FILING_STATUS=MR","SCALING_FORMAT=MLN","Sort=A","Dates=H","DateFormat=P","Fill=—","Direction=H","UseDPDF=Y")</f>
        <v>3291</v>
      </c>
      <c r="Q29" s="17" cm="1">
        <f t="array" ref="Q29">_xll.BDH("DE US Equity","BS_GOODWILL","FQ1 2022","FQ1 2022","Currency=USD","Period=FQ","BEST_FPERIOD_OVERRIDE=FQ","FILING_STATUS=MR","SCALING_FORMAT=MLN","Sort=A","Dates=H","DateFormat=P","Fill=—","Direction=H","UseDPDF=Y")</f>
        <v>3192</v>
      </c>
      <c r="R29" s="17" cm="1">
        <f t="array" ref="R29">_xll.BDH("DE US Equity","BS_GOODWILL","FQ2 2022","FQ2 2022","Currency=USD","Period=FQ","BEST_FPERIOD_OVERRIDE=FQ","FILING_STATUS=MR","SCALING_FORMAT=MLN","Sort=A","Dates=H","DateFormat=P","Fill=—","Direction=H","UseDPDF=Y")</f>
        <v>3812</v>
      </c>
      <c r="S29" s="17" cm="1">
        <f t="array" ref="S29">_xll.BDH("DE US Equity","BS_GOODWILL","FQ3 2022","FQ3 2022","Currency=USD","Period=FQ","BEST_FPERIOD_OVERRIDE=FQ","FILING_STATUS=MR","SCALING_FORMAT=MLN","Sort=A","Dates=H","DateFormat=P","Fill=—","Direction=H","UseDPDF=Y")</f>
        <v>3754</v>
      </c>
      <c r="T29" s="17" cm="1">
        <f t="array" ref="T29">_xll.BDH("DE US Equity","BS_GOODWILL","FQ4 2022","FQ4 2022","Currency=USD","Period=FQ","BEST_FPERIOD_OVERRIDE=FQ","FILING_STATUS=MR","SCALING_FORMAT=MLN","Sort=A","Dates=H","DateFormat=P","Fill=—","Direction=H","UseDPDF=Y")</f>
        <v>3687</v>
      </c>
      <c r="U29" s="17" cm="1">
        <f t="array" ref="U29">_xll.BDH("DE US Equity","BS_GOODWILL","FQ1 2023","FQ1 2023","Currency=USD","Period=FQ","BEST_FPERIOD_OVERRIDE=FQ","FILING_STATUS=MR","SCALING_FORMAT=MLN","Sort=A","Dates=H","DateFormat=P","Fill=—","Direction=H","UseDPDF=Y")</f>
        <v>3891</v>
      </c>
      <c r="V29" s="17" cm="1">
        <f t="array" ref="V29">_xll.BDH("DE US Equity","BS_GOODWILL","FQ2 2023","FQ2 2023","Currency=USD","Period=FQ","BEST_FPERIOD_OVERRIDE=FQ","FILING_STATUS=MR","SCALING_FORMAT=MLN","Sort=A","Dates=H","DateFormat=P","Fill=—","Direction=H","UseDPDF=Y")</f>
        <v>3963</v>
      </c>
      <c r="W29" s="17" cm="1">
        <f t="array" ref="W29">_xll.BDH("DE US Equity","BS_GOODWILL","FQ3 2023","FQ3 2023","Currency=USD","Period=FQ","BEST_FPERIOD_OVERRIDE=FQ","FILING_STATUS=MR","SCALING_FORMAT=MLN","Sort=A","Dates=H","DateFormat=P","Fill=—","Direction=H","UseDPDF=Y")</f>
        <v>3994</v>
      </c>
      <c r="X29" s="17" cm="1">
        <f t="array" ref="X29">_xll.BDH("DE US Equity","BS_GOODWILL","FQ4 2023","FQ4 2023","Currency=USD","Period=FQ","BEST_FPERIOD_OVERRIDE=FQ","FILING_STATUS=MR","SCALING_FORMAT=MLN","Sort=A","Dates=H","DateFormat=P","Fill=—","Direction=H","UseDPDF=Y")</f>
        <v>3900</v>
      </c>
      <c r="Y29" s="17" cm="1">
        <f t="array" ref="Y29">_xll.BDH("DE US Equity","BS_GOODWILL","FQ1 2024","FQ1 2024","Currency=USD","Period=FQ","BEST_FPERIOD_OVERRIDE=FQ","FILING_STATUS=MR","SCALING_FORMAT=MLN","Sort=A","Dates=H","DateFormat=P","Fill=—","Direction=H","UseDPDF=Y")</f>
        <v>3966</v>
      </c>
      <c r="Z29" s="17" cm="1">
        <f t="array" ref="Z29">_xll.BDH("DE US Equity","BS_GOODWILL","FQ2 2024","FQ2 2024","Currency=USD","Period=FQ","BEST_FPERIOD_OVERRIDE=FQ","FILING_STATUS=MR","SCALING_FORMAT=MLN","Sort=A","Dates=H","DateFormat=P","Fill=—","Direction=H","UseDPDF=Y")</f>
        <v>3936</v>
      </c>
      <c r="AA29" s="17" cm="1">
        <f t="array" ref="AA29">_xll.BDH("DE US Equity","BS_GOODWILL","FQ3 2024","FQ3 2024","Currency=USD","Period=FQ","BEST_FPERIOD_OVERRIDE=FQ","FILING_STATUS=MR","SCALING_FORMAT=MLN","Sort=A","Dates=H","DateFormat=P","Fill=—","Direction=H","UseDPDF=Y")</f>
        <v>3960</v>
      </c>
      <c r="AB29" s="17" cm="1">
        <f t="array" ref="AB29">_xll.BDH("DE US Equity","BS_GOODWILL","FQ4 2024","FQ4 2024","Currency=USD","Period=FQ","BEST_FPERIOD_OVERRIDE=FQ","FILING_STATUS=MR","SCALING_FORMAT=MLN","Sort=A","Dates=H","DateFormat=P","Fill=—","Direction=H","UseDPDF=Y")</f>
        <v>3959</v>
      </c>
      <c r="AC29" s="17" cm="1">
        <f t="array" ref="AC29">_xll.BDH("DE US Equity","BS_GOODWILL","FQ1 2025","FQ1 2025","Currency=USD","Period=FQ","BEST_FPERIOD_OVERRIDE=FQ","FILING_STATUS=MR","SCALING_FORMAT=MLN","Sort=A","Dates=H","DateFormat=P","Fill=—","Direction=H","UseDPDF=Y")</f>
        <v>3872</v>
      </c>
      <c r="AD29" s="17" cm="1">
        <f t="array" ref="AD29">_xll.BDH("DE US Equity","BS_GOODWILL","FQ2 2025","FQ2 2025","Currency=USD","Period=FQ","BEST_FPERIOD_OVERRIDE=FQ","FILING_STATUS=MR","SCALING_FORMAT=MLN","Sort=A","Dates=H","DateFormat=P","Fill=—","Direction=H","UseDPDF=Y")</f>
        <v>4094</v>
      </c>
      <c r="AE29" s="17" cm="1">
        <f t="array" ref="AE29">_xll.BDH("DE US Equity","BS_GOODWILL","FQ3 2025","FQ3 2025","Currency=USD","Period=FQ","BEST_FPERIOD_OVERRIDE=FQ","FILING_STATUS=MR","SCALING_FORMAT=MLN","Sort=A","Dates=H","DateFormat=P","Fill=—","Direction=H","UseDPDF=Y")</f>
        <v>4209</v>
      </c>
      <c r="AF29" s="17" cm="1">
        <f t="array" ref="AF29">_xll.BDH("DE US Equity","BS_GOODWILL","FQ4 2025","FQ4 2025","Currency=USD","Period=FQ","BEST_FPERIOD_OVERRIDE=FQ","FILING_STATUS=MR","SCALING_FORMAT=MLN","Sort=A","Dates=H","DateFormat=P","Fill=—","Direction=H","UseDPDF=Y")</f>
        <v>4188</v>
      </c>
    </row>
    <row r="30" spans="1:32" x14ac:dyDescent="0.25">
      <c r="A30" s="11" t="s">
        <v>112</v>
      </c>
      <c r="B30" s="11" t="s">
        <v>113</v>
      </c>
      <c r="C30" s="17" cm="1">
        <f t="array" ref="C30">_xll.BDH("DE US Equity","OTHER_INTANGIBLE_ASSETS_DETAILED","FQ3 2018","FQ3 2018","Currency=USD","Period=FQ","BEST_FPERIOD_OVERRIDE=FQ","FILING_STATUS=MR","SCALING_FORMAT=MLN","Sort=A","Dates=H","DateFormat=P","Fill=—","Direction=H","UseDPDF=Y")</f>
        <v>1581</v>
      </c>
      <c r="D30" s="17" cm="1">
        <f t="array" ref="D30">_xll.BDH("DE US Equity","OTHER_INTANGIBLE_ASSETS_DETAILED","FQ4 2018","FQ4 2018","Currency=USD","Period=FQ","BEST_FPERIOD_OVERRIDE=FQ","FILING_STATUS=MR","SCALING_FORMAT=MLN","Sort=A","Dates=H","DateFormat=P","Fill=—","Direction=H","UseDPDF=Y")</f>
        <v>1562</v>
      </c>
      <c r="E30" s="17" cm="1">
        <f t="array" ref="E30">_xll.BDH("DE US Equity","OTHER_INTANGIBLE_ASSETS_DETAILED","FQ1 2019","FQ1 2019","Currency=USD","Period=FQ","BEST_FPERIOD_OVERRIDE=FQ","FILING_STATUS=MR","SCALING_FORMAT=MLN","Sort=A","Dates=H","DateFormat=P","Fill=—","Direction=H","UseDPDF=Y")</f>
        <v>1507.5</v>
      </c>
      <c r="F30" s="17" cm="1">
        <f t="array" ref="F30">_xll.BDH("DE US Equity","OTHER_INTANGIBLE_ASSETS_DETAILED","FQ2 2019","FQ2 2019","Currency=USD","Period=FQ","BEST_FPERIOD_OVERRIDE=FQ","FILING_STATUS=MR","SCALING_FORMAT=MLN","Sort=A","Dates=H","DateFormat=P","Fill=—","Direction=H","UseDPDF=Y")</f>
        <v>1476.1</v>
      </c>
      <c r="G30" s="17" cm="1">
        <f t="array" ref="G30">_xll.BDH("DE US Equity","OTHER_INTANGIBLE_ASSETS_DETAILED","FQ3 2019","FQ3 2019","Currency=USD","Period=FQ","BEST_FPERIOD_OVERRIDE=FQ","FILING_STATUS=MR","SCALING_FORMAT=MLN","Sort=A","Dates=H","DateFormat=P","Fill=—","Direction=H","UseDPDF=Y")</f>
        <v>1444</v>
      </c>
      <c r="H30" s="17" cm="1">
        <f t="array" ref="H30">_xll.BDH("DE US Equity","OTHER_INTANGIBLE_ASSETS_DETAILED","FQ4 2019","FQ4 2019","Currency=USD","Period=FQ","BEST_FPERIOD_OVERRIDE=FQ","FILING_STATUS=MR","SCALING_FORMAT=MLN","Sort=A","Dates=H","DateFormat=P","Fill=—","Direction=H","UseDPDF=Y")</f>
        <v>1380</v>
      </c>
      <c r="I30" s="17" cm="1">
        <f t="array" ref="I30">_xll.BDH("DE US Equity","OTHER_INTANGIBLE_ASSETS_DETAILED","FQ1 2020","FQ1 2020","Currency=USD","Period=FQ","BEST_FPERIOD_OVERRIDE=FQ","FILING_STATUS=MR","SCALING_FORMAT=MLN","Sort=A","Dates=H","DateFormat=P","Fill=—","Direction=H","UseDPDF=Y")</f>
        <v>1349</v>
      </c>
      <c r="J30" s="17" cm="1">
        <f t="array" ref="J30">_xll.BDH("DE US Equity","OTHER_INTANGIBLE_ASSETS_DETAILED","FQ2 2020","FQ2 2020","Currency=USD","Period=FQ","BEST_FPERIOD_OVERRIDE=FQ","FILING_STATUS=MR","SCALING_FORMAT=MLN","Sort=A","Dates=H","DateFormat=P","Fill=—","Direction=H","UseDPDF=Y")</f>
        <v>1311</v>
      </c>
      <c r="K30" s="17" cm="1">
        <f t="array" ref="K30">_xll.BDH("DE US Equity","OTHER_INTANGIBLE_ASSETS_DETAILED","FQ3 2020","FQ3 2020","Currency=USD","Period=FQ","BEST_FPERIOD_OVERRIDE=FQ","FILING_STATUS=MR","SCALING_FORMAT=MLN","Sort=A","Dates=H","DateFormat=P","Fill=—","Direction=H","UseDPDF=Y")</f>
        <v>1301</v>
      </c>
      <c r="L30" s="17" cm="1">
        <f t="array" ref="L30">_xll.BDH("DE US Equity","OTHER_INTANGIBLE_ASSETS_DETAILED","FQ4 2020","FQ4 2020","Currency=USD","Period=FQ","BEST_FPERIOD_OVERRIDE=FQ","FILING_STATUS=MR","SCALING_FORMAT=MLN","Sort=A","Dates=H","DateFormat=P","Fill=—","Direction=H","UseDPDF=Y")</f>
        <v>1327</v>
      </c>
      <c r="M30" s="17" cm="1">
        <f t="array" ref="M30">_xll.BDH("DE US Equity","OTHER_INTANGIBLE_ASSETS_DETAILED","FQ1 2021","FQ1 2021","Currency=USD","Period=FQ","BEST_FPERIOD_OVERRIDE=FQ","FILING_STATUS=MR","SCALING_FORMAT=MLN","Sort=A","Dates=H","DateFormat=P","Fill=—","Direction=H","UseDPDF=Y")</f>
        <v>1342</v>
      </c>
      <c r="N30" s="17" cm="1">
        <f t="array" ref="N30">_xll.BDH("DE US Equity","OTHER_INTANGIBLE_ASSETS_DETAILED","FQ2 2021","FQ2 2021","Currency=USD","Period=FQ","BEST_FPERIOD_OVERRIDE=FQ","FILING_STATUS=MR","SCALING_FORMAT=MLN","Sort=A","Dates=H","DateFormat=P","Fill=—","Direction=H","UseDPDF=Y")</f>
        <v>1310</v>
      </c>
      <c r="O30" s="17" cm="1">
        <f t="array" ref="O30">_xll.BDH("DE US Equity","OTHER_INTANGIBLE_ASSETS_DETAILED","FQ3 2021","FQ3 2021","Currency=USD","Period=FQ","BEST_FPERIOD_OVERRIDE=FQ","FILING_STATUS=MR","SCALING_FORMAT=MLN","Sort=A","Dates=H","DateFormat=P","Fill=—","Direction=H","UseDPDF=Y")</f>
        <v>1267</v>
      </c>
      <c r="P30" s="17" cm="1">
        <f t="array" ref="P30">_xll.BDH("DE US Equity","OTHER_INTANGIBLE_ASSETS_DETAILED","FQ4 2021","FQ4 2021","Currency=USD","Period=FQ","BEST_FPERIOD_OVERRIDE=FQ","FILING_STATUS=MR","SCALING_FORMAT=MLN","Sort=A","Dates=H","DateFormat=P","Fill=—","Direction=H","UseDPDF=Y")</f>
        <v>1275</v>
      </c>
      <c r="Q30" s="17" cm="1">
        <f t="array" ref="Q30">_xll.BDH("DE US Equity","OTHER_INTANGIBLE_ASSETS_DETAILED","FQ1 2022","FQ1 2022","Currency=USD","Period=FQ","BEST_FPERIOD_OVERRIDE=FQ","FILING_STATUS=MR","SCALING_FORMAT=MLN","Sort=A","Dates=H","DateFormat=P","Fill=—","Direction=H","UseDPDF=Y")</f>
        <v>1209</v>
      </c>
      <c r="R30" s="17" cm="1">
        <f t="array" ref="R30">_xll.BDH("DE US Equity","OTHER_INTANGIBLE_ASSETS_DETAILED","FQ2 2022","FQ2 2022","Currency=USD","Period=FQ","BEST_FPERIOD_OVERRIDE=FQ","FILING_STATUS=MR","SCALING_FORMAT=MLN","Sort=A","Dates=H","DateFormat=P","Fill=—","Direction=H","UseDPDF=Y")</f>
        <v>1352</v>
      </c>
      <c r="S30" s="17" cm="1">
        <f t="array" ref="S30">_xll.BDH("DE US Equity","OTHER_INTANGIBLE_ASSETS_DETAILED","FQ3 2022","FQ3 2022","Currency=USD","Period=FQ","BEST_FPERIOD_OVERRIDE=FQ","FILING_STATUS=MR","SCALING_FORMAT=MLN","Sort=A","Dates=H","DateFormat=P","Fill=—","Direction=H","UseDPDF=Y")</f>
        <v>1281</v>
      </c>
      <c r="T30" s="17" cm="1">
        <f t="array" ref="T30">_xll.BDH("DE US Equity","OTHER_INTANGIBLE_ASSETS_DETAILED","FQ4 2022","FQ4 2022","Currency=USD","Period=FQ","BEST_FPERIOD_OVERRIDE=FQ","FILING_STATUS=MR","SCALING_FORMAT=MLN","Sort=A","Dates=H","DateFormat=P","Fill=—","Direction=H","UseDPDF=Y")</f>
        <v>1218</v>
      </c>
      <c r="U30" s="17" cm="1">
        <f t="array" ref="U30">_xll.BDH("DE US Equity","OTHER_INTANGIBLE_ASSETS_DETAILED","FQ1 2023","FQ1 2023","Currency=USD","Period=FQ","BEST_FPERIOD_OVERRIDE=FQ","FILING_STATUS=MR","SCALING_FORMAT=MLN","Sort=A","Dates=H","DateFormat=P","Fill=—","Direction=H","UseDPDF=Y")</f>
        <v>1255</v>
      </c>
      <c r="V30" s="17" cm="1">
        <f t="array" ref="V30">_xll.BDH("DE US Equity","OTHER_INTANGIBLE_ASSETS_DETAILED","FQ2 2023","FQ2 2023","Currency=USD","Period=FQ","BEST_FPERIOD_OVERRIDE=FQ","FILING_STATUS=MR","SCALING_FORMAT=MLN","Sort=A","Dates=H","DateFormat=P","Fill=—","Direction=H","UseDPDF=Y")</f>
        <v>1222</v>
      </c>
      <c r="W30" s="17" cm="1">
        <f t="array" ref="W30">_xll.BDH("DE US Equity","OTHER_INTANGIBLE_ASSETS_DETAILED","FQ3 2023","FQ3 2023","Currency=USD","Period=FQ","BEST_FPERIOD_OVERRIDE=FQ","FILING_STATUS=MR","SCALING_FORMAT=MLN","Sort=A","Dates=H","DateFormat=P","Fill=—","Direction=H","UseDPDF=Y")</f>
        <v>1199</v>
      </c>
      <c r="X30" s="17" cm="1">
        <f t="array" ref="X30">_xll.BDH("DE US Equity","OTHER_INTANGIBLE_ASSETS_DETAILED","FQ4 2023","FQ4 2023","Currency=USD","Period=FQ","BEST_FPERIOD_OVERRIDE=FQ","FILING_STATUS=MR","SCALING_FORMAT=MLN","Sort=A","Dates=H","DateFormat=P","Fill=—","Direction=H","UseDPDF=Y")</f>
        <v>1133</v>
      </c>
      <c r="Y30" s="17" cm="1">
        <f t="array" ref="Y30">_xll.BDH("DE US Equity","OTHER_INTANGIBLE_ASSETS_DETAILED","FQ1 2024","FQ1 2024","Currency=USD","Period=FQ","BEST_FPERIOD_OVERRIDE=FQ","FILING_STATUS=MR","SCALING_FORMAT=MLN","Sort=A","Dates=H","DateFormat=P","Fill=—","Direction=H","UseDPDF=Y")</f>
        <v>1112</v>
      </c>
      <c r="Z30" s="17" cm="1">
        <f t="array" ref="Z30">_xll.BDH("DE US Equity","OTHER_INTANGIBLE_ASSETS_DETAILED","FQ2 2024","FQ2 2024","Currency=USD","Period=FQ","BEST_FPERIOD_OVERRIDE=FQ","FILING_STATUS=MR","SCALING_FORMAT=MLN","Sort=A","Dates=H","DateFormat=P","Fill=—","Direction=H","UseDPDF=Y")</f>
        <v>1064</v>
      </c>
      <c r="AA30" s="17" cm="1">
        <f t="array" ref="AA30">_xll.BDH("DE US Equity","OTHER_INTANGIBLE_ASSETS_DETAILED","FQ3 2024","FQ3 2024","Currency=USD","Period=FQ","BEST_FPERIOD_OVERRIDE=FQ","FILING_STATUS=MR","SCALING_FORMAT=MLN","Sort=A","Dates=H","DateFormat=P","Fill=—","Direction=H","UseDPDF=Y")</f>
        <v>1030</v>
      </c>
      <c r="AB30" s="17" cm="1">
        <f t="array" ref="AB30">_xll.BDH("DE US Equity","OTHER_INTANGIBLE_ASSETS_DETAILED","FQ4 2024","FQ4 2024","Currency=USD","Period=FQ","BEST_FPERIOD_OVERRIDE=FQ","FILING_STATUS=MR","SCALING_FORMAT=MLN","Sort=A","Dates=H","DateFormat=P","Fill=—","Direction=H","UseDPDF=Y")</f>
        <v>999</v>
      </c>
      <c r="AC30" s="17" cm="1">
        <f t="array" ref="AC30">_xll.BDH("DE US Equity","OTHER_INTANGIBLE_ASSETS_DETAILED","FQ1 2025","FQ1 2025","Currency=USD","Period=FQ","BEST_FPERIOD_OVERRIDE=FQ","FILING_STATUS=MR","SCALING_FORMAT=MLN","Sort=A","Dates=H","DateFormat=P","Fill=—","Direction=H","UseDPDF=Y")</f>
        <v>937</v>
      </c>
      <c r="AD30" s="17" cm="1">
        <f t="array" ref="AD30">_xll.BDH("DE US Equity","OTHER_INTANGIBLE_ASSETS_DETAILED","FQ2 2025","FQ2 2025","Currency=USD","Period=FQ","BEST_FPERIOD_OVERRIDE=FQ","FILING_STATUS=MR","SCALING_FORMAT=MLN","Sort=A","Dates=H","DateFormat=P","Fill=—","Direction=H","UseDPDF=Y")</f>
        <v>964</v>
      </c>
      <c r="AE30" s="17" cm="1">
        <f t="array" ref="AE30">_xll.BDH("DE US Equity","OTHER_INTANGIBLE_ASSETS_DETAILED","FQ3 2025","FQ3 2025","Currency=USD","Period=FQ","BEST_FPERIOD_OVERRIDE=FQ","FILING_STATUS=MR","SCALING_FORMAT=MLN","Sort=A","Dates=H","DateFormat=P","Fill=—","Direction=H","UseDPDF=Y")</f>
        <v>926</v>
      </c>
      <c r="AF30" s="17" cm="1">
        <f t="array" ref="AF30">_xll.BDH("DE US Equity","OTHER_INTANGIBLE_ASSETS_DETAILED","FQ4 2025","FQ4 2025","Currency=USD","Period=FQ","BEST_FPERIOD_OVERRIDE=FQ","FILING_STATUS=MR","SCALING_FORMAT=MLN","Sort=A","Dates=H","DateFormat=P","Fill=—","Direction=H","UseDPDF=Y")</f>
        <v>892</v>
      </c>
    </row>
    <row r="31" spans="1:32" x14ac:dyDescent="0.25">
      <c r="A31" s="10" t="s">
        <v>114</v>
      </c>
      <c r="B31" s="10" t="s">
        <v>115</v>
      </c>
      <c r="C31" s="13" cm="1">
        <f t="array" ref="C31">_xll.BDH("DE US Equity","BS_DEFERRED_TAX_ASSETS_LT","FQ3 2018","FQ3 2018","Currency=USD","Period=FQ","BEST_FPERIOD_OVERRIDE=FQ","FILING_STATUS=MR","SCALING_FORMAT=MLN","Sort=A","Dates=H","DateFormat=P","Fill=—","Direction=H","UseDPDF=Y")</f>
        <v>1645</v>
      </c>
      <c r="D31" s="13" cm="1">
        <f t="array" ref="D31">_xll.BDH("DE US Equity","BS_DEFERRED_TAX_ASSETS_LT","FQ4 2018","FQ4 2018","Currency=USD","Period=FQ","BEST_FPERIOD_OVERRIDE=FQ","FILING_STATUS=MR","SCALING_FORMAT=MLN","Sort=A","Dates=H","DateFormat=P","Fill=—","Direction=H","UseDPDF=Y")</f>
        <v>808</v>
      </c>
      <c r="E31" s="13" cm="1">
        <f t="array" ref="E31">_xll.BDH("DE US Equity","BS_DEFERRED_TAX_ASSETS_LT","FQ1 2019","FQ1 2019","Currency=USD","Period=FQ","BEST_FPERIOD_OVERRIDE=FQ","FILING_STATUS=MR","SCALING_FORMAT=MLN","Sort=A","Dates=H","DateFormat=P","Fill=—","Direction=H","UseDPDF=Y")</f>
        <v>834.1</v>
      </c>
      <c r="F31" s="13" cm="1">
        <f t="array" ref="F31">_xll.BDH("DE US Equity","BS_DEFERRED_TAX_ASSETS_LT","FQ2 2019","FQ2 2019","Currency=USD","Period=FQ","BEST_FPERIOD_OVERRIDE=FQ","FILING_STATUS=MR","SCALING_FORMAT=MLN","Sort=A","Dates=H","DateFormat=P","Fill=—","Direction=H","UseDPDF=Y")</f>
        <v>1039</v>
      </c>
      <c r="G31" s="13" cm="1">
        <f t="array" ref="G31">_xll.BDH("DE US Equity","BS_DEFERRED_TAX_ASSETS_LT","FQ3 2019","FQ3 2019","Currency=USD","Period=FQ","BEST_FPERIOD_OVERRIDE=FQ","FILING_STATUS=MR","SCALING_FORMAT=MLN","Sort=A","Dates=H","DateFormat=P","Fill=—","Direction=H","UseDPDF=Y")</f>
        <v>1088</v>
      </c>
      <c r="H31" s="13" cm="1">
        <f t="array" ref="H31">_xll.BDH("DE US Equity","BS_DEFERRED_TAX_ASSETS_LT","FQ4 2019","FQ4 2019","Currency=USD","Period=FQ","BEST_FPERIOD_OVERRIDE=FQ","FILING_STATUS=MR","SCALING_FORMAT=MLN","Sort=A","Dates=H","DateFormat=P","Fill=—","Direction=H","UseDPDF=Y")</f>
        <v>1466</v>
      </c>
      <c r="I31" s="13" cm="1">
        <f t="array" ref="I31">_xll.BDH("DE US Equity","BS_DEFERRED_TAX_ASSETS_LT","FQ1 2020","FQ1 2020","Currency=USD","Period=FQ","BEST_FPERIOD_OVERRIDE=FQ","FILING_STATUS=MR","SCALING_FORMAT=MLN","Sort=A","Dates=H","DateFormat=P","Fill=—","Direction=H","UseDPDF=Y")</f>
        <v>1414</v>
      </c>
      <c r="J31" s="13" cm="1">
        <f t="array" ref="J31">_xll.BDH("DE US Equity","BS_DEFERRED_TAX_ASSETS_LT","FQ2 2020","FQ2 2020","Currency=USD","Period=FQ","BEST_FPERIOD_OVERRIDE=FQ","FILING_STATUS=MR","SCALING_FORMAT=MLN","Sort=A","Dates=H","DateFormat=P","Fill=—","Direction=H","UseDPDF=Y")</f>
        <v>1435</v>
      </c>
      <c r="K31" s="13" cm="1">
        <f t="array" ref="K31">_xll.BDH("DE US Equity","BS_DEFERRED_TAX_ASSETS_LT","FQ3 2020","FQ3 2020","Currency=USD","Period=FQ","BEST_FPERIOD_OVERRIDE=FQ","FILING_STATUS=MR","SCALING_FORMAT=MLN","Sort=A","Dates=H","DateFormat=P","Fill=—","Direction=H","UseDPDF=Y")</f>
        <v>1534</v>
      </c>
      <c r="L31" s="13" cm="1">
        <f t="array" ref="L31">_xll.BDH("DE US Equity","BS_DEFERRED_TAX_ASSETS_LT","FQ4 2020","FQ4 2020","Currency=USD","Period=FQ","BEST_FPERIOD_OVERRIDE=FQ","FILING_STATUS=MR","SCALING_FORMAT=MLN","Sort=A","Dates=H","DateFormat=P","Fill=—","Direction=H","UseDPDF=Y")</f>
        <v>1499</v>
      </c>
      <c r="M31" s="13" cm="1">
        <f t="array" ref="M31">_xll.BDH("DE US Equity","BS_DEFERRED_TAX_ASSETS_LT","FQ1 2021","FQ1 2021","Currency=USD","Period=FQ","BEST_FPERIOD_OVERRIDE=FQ","FILING_STATUS=MR","SCALING_FORMAT=MLN","Sort=A","Dates=H","DateFormat=P","Fill=—","Direction=H","UseDPDF=Y")</f>
        <v>1556</v>
      </c>
      <c r="N31" s="13" cm="1">
        <f t="array" ref="N31">_xll.BDH("DE US Equity","BS_DEFERRED_TAX_ASSETS_LT","FQ2 2021","FQ2 2021","Currency=USD","Period=FQ","BEST_FPERIOD_OVERRIDE=FQ","FILING_STATUS=MR","SCALING_FORMAT=MLN","Sort=A","Dates=H","DateFormat=P","Fill=—","Direction=H","UseDPDF=Y")</f>
        <v>1724</v>
      </c>
      <c r="O31" s="13" cm="1">
        <f t="array" ref="O31">_xll.BDH("DE US Equity","BS_DEFERRED_TAX_ASSETS_LT","FQ3 2021","FQ3 2021","Currency=USD","Period=FQ","BEST_FPERIOD_OVERRIDE=FQ","FILING_STATUS=MR","SCALING_FORMAT=MLN","Sort=A","Dates=H","DateFormat=P","Fill=—","Direction=H","UseDPDF=Y")</f>
        <v>1767</v>
      </c>
      <c r="P31" s="13" cm="1">
        <f t="array" ref="P31">_xll.BDH("DE US Equity","BS_DEFERRED_TAX_ASSETS_LT","FQ4 2021","FQ4 2021","Currency=USD","Period=FQ","BEST_FPERIOD_OVERRIDE=FQ","FILING_STATUS=MR","SCALING_FORMAT=MLN","Sort=A","Dates=H","DateFormat=P","Fill=—","Direction=H","UseDPDF=Y")</f>
        <v>1037</v>
      </c>
      <c r="Q31" s="13" cm="1">
        <f t="array" ref="Q31">_xll.BDH("DE US Equity","BS_DEFERRED_TAX_ASSETS_LT","FQ1 2022","FQ1 2022","Currency=USD","Period=FQ","BEST_FPERIOD_OVERRIDE=FQ","FILING_STATUS=MR","SCALING_FORMAT=MLN","Sort=A","Dates=H","DateFormat=P","Fill=—","Direction=H","UseDPDF=Y")</f>
        <v>923</v>
      </c>
      <c r="R31" s="13" cm="1">
        <f t="array" ref="R31">_xll.BDH("DE US Equity","BS_DEFERRED_TAX_ASSETS_LT","FQ2 2022","FQ2 2022","Currency=USD","Period=FQ","BEST_FPERIOD_OVERRIDE=FQ","FILING_STATUS=MR","SCALING_FORMAT=MLN","Sort=A","Dates=H","DateFormat=P","Fill=—","Direction=H","UseDPDF=Y")</f>
        <v>1104</v>
      </c>
      <c r="S31" s="13" cm="1">
        <f t="array" ref="S31">_xll.BDH("DE US Equity","BS_DEFERRED_TAX_ASSETS_LT","FQ3 2022","FQ3 2022","Currency=USD","Period=FQ","BEST_FPERIOD_OVERRIDE=FQ","FILING_STATUS=MR","SCALING_FORMAT=MLN","Sort=A","Dates=H","DateFormat=P","Fill=—","Direction=H","UseDPDF=Y")</f>
        <v>1110</v>
      </c>
      <c r="T31" s="13" cm="1">
        <f t="array" ref="T31">_xll.BDH("DE US Equity","BS_DEFERRED_TAX_ASSETS_LT","FQ4 2022","FQ4 2022","Currency=USD","Period=FQ","BEST_FPERIOD_OVERRIDE=FQ","FILING_STATUS=MR","SCALING_FORMAT=MLN","Sort=A","Dates=H","DateFormat=P","Fill=—","Direction=H","UseDPDF=Y")</f>
        <v>824</v>
      </c>
      <c r="U31" s="13" cm="1">
        <f t="array" ref="U31">_xll.BDH("DE US Equity","BS_DEFERRED_TAX_ASSETS_LT","FQ1 2023","FQ1 2023","Currency=USD","Period=FQ","BEST_FPERIOD_OVERRIDE=FQ","FILING_STATUS=MR","SCALING_FORMAT=MLN","Sort=A","Dates=H","DateFormat=P","Fill=—","Direction=H","UseDPDF=Y")</f>
        <v>914</v>
      </c>
      <c r="V31" s="13" cm="1">
        <f t="array" ref="V31">_xll.BDH("DE US Equity","BS_DEFERRED_TAX_ASSETS_LT","FQ2 2023","FQ2 2023","Currency=USD","Period=FQ","BEST_FPERIOD_OVERRIDE=FQ","FILING_STATUS=MR","SCALING_FORMAT=MLN","Sort=A","Dates=H","DateFormat=P","Fill=—","Direction=H","UseDPDF=Y")</f>
        <v>1308</v>
      </c>
      <c r="W31" s="13" cm="1">
        <f t="array" ref="W31">_xll.BDH("DE US Equity","BS_DEFERRED_TAX_ASSETS_LT","FQ3 2023","FQ3 2023","Currency=USD","Period=FQ","BEST_FPERIOD_OVERRIDE=FQ","FILING_STATUS=MR","SCALING_FORMAT=MLN","Sort=A","Dates=H","DateFormat=P","Fill=—","Direction=H","UseDPDF=Y")</f>
        <v>1360</v>
      </c>
      <c r="X31" s="13" cm="1">
        <f t="array" ref="X31">_xll.BDH("DE US Equity","BS_DEFERRED_TAX_ASSETS_LT","FQ4 2023","FQ4 2023","Currency=USD","Period=FQ","BEST_FPERIOD_OVERRIDE=FQ","FILING_STATUS=MR","SCALING_FORMAT=MLN","Sort=A","Dates=H","DateFormat=P","Fill=—","Direction=H","UseDPDF=Y")</f>
        <v>1814</v>
      </c>
      <c r="Y31" s="13" cm="1">
        <f t="array" ref="Y31">_xll.BDH("DE US Equity","BS_DEFERRED_TAX_ASSETS_LT","FQ1 2024","FQ1 2024","Currency=USD","Period=FQ","BEST_FPERIOD_OVERRIDE=FQ","FILING_STATUS=MR","SCALING_FORMAT=MLN","Sort=A","Dates=H","DateFormat=P","Fill=—","Direction=H","UseDPDF=Y")</f>
        <v>1833</v>
      </c>
      <c r="Z31" s="13" cm="1">
        <f t="array" ref="Z31">_xll.BDH("DE US Equity","BS_DEFERRED_TAX_ASSETS_LT","FQ2 2024","FQ2 2024","Currency=USD","Period=FQ","BEST_FPERIOD_OVERRIDE=FQ","FILING_STATUS=MR","SCALING_FORMAT=MLN","Sort=A","Dates=H","DateFormat=P","Fill=—","Direction=H","UseDPDF=Y")</f>
        <v>1936</v>
      </c>
      <c r="AA31" s="13" cm="1">
        <f t="array" ref="AA31">_xll.BDH("DE US Equity","BS_DEFERRED_TAX_ASSETS_LT","FQ3 2024","FQ3 2024","Currency=USD","Period=FQ","BEST_FPERIOD_OVERRIDE=FQ","FILING_STATUS=MR","SCALING_FORMAT=MLN","Sort=A","Dates=H","DateFormat=P","Fill=—","Direction=H","UseDPDF=Y")</f>
        <v>1898</v>
      </c>
      <c r="AB31" s="13" cm="1">
        <f t="array" ref="AB31">_xll.BDH("DE US Equity","BS_DEFERRED_TAX_ASSETS_LT","FQ4 2024","FQ4 2024","Currency=USD","Period=FQ","BEST_FPERIOD_OVERRIDE=FQ","FILING_STATUS=MR","SCALING_FORMAT=MLN","Sort=A","Dates=H","DateFormat=P","Fill=—","Direction=H","UseDPDF=Y")</f>
        <v>2086</v>
      </c>
      <c r="AC31" s="13" cm="1">
        <f t="array" ref="AC31">_xll.BDH("DE US Equity","BS_DEFERRED_TAX_ASSETS_LT","FQ1 2025","FQ1 2025","Currency=USD","Period=FQ","BEST_FPERIOD_OVERRIDE=FQ","FILING_STATUS=MR","SCALING_FORMAT=MLN","Sort=A","Dates=H","DateFormat=P","Fill=—","Direction=H","UseDPDF=Y")</f>
        <v>1852</v>
      </c>
      <c r="AD31" s="13" cm="1">
        <f t="array" ref="AD31">_xll.BDH("DE US Equity","BS_DEFERRED_TAX_ASSETS_LT","FQ2 2025","FQ2 2025","Currency=USD","Period=FQ","BEST_FPERIOD_OVERRIDE=FQ","FILING_STATUS=MR","SCALING_FORMAT=MLN","Sort=A","Dates=H","DateFormat=P","Fill=—","Direction=H","UseDPDF=Y")</f>
        <v>2088</v>
      </c>
      <c r="AE31" s="13" cm="1">
        <f t="array" ref="AE31">_xll.BDH("DE US Equity","BS_DEFERRED_TAX_ASSETS_LT","FQ3 2025","FQ3 2025","Currency=USD","Period=FQ","BEST_FPERIOD_OVERRIDE=FQ","FILING_STATUS=MR","SCALING_FORMAT=MLN","Sort=A","Dates=H","DateFormat=P","Fill=—","Direction=H","UseDPDF=Y")</f>
        <v>2209</v>
      </c>
      <c r="AF31" s="13" cm="1">
        <f t="array" ref="AF31">_xll.BDH("DE US Equity","BS_DEFERRED_TAX_ASSETS_LT","FQ4 2025","FQ4 2025","Currency=USD","Period=FQ","BEST_FPERIOD_OVERRIDE=FQ","FILING_STATUS=MR","SCALING_FORMAT=MLN","Sort=A","Dates=H","DateFormat=P","Fill=—","Direction=H","UseDPDF=Y")</f>
        <v>2284</v>
      </c>
    </row>
    <row r="32" spans="1:32" x14ac:dyDescent="0.25">
      <c r="A32" s="10" t="s">
        <v>86</v>
      </c>
      <c r="B32" s="10" t="s">
        <v>116</v>
      </c>
      <c r="C32" s="13" cm="1">
        <f t="array" ref="C32">_xll.BDH("DE US Equity","BS_DERIV_HEDGING_ASST_LT","FQ3 2018","FQ3 2018","Currency=USD","Period=FQ","BEST_FPERIOD_OVERRIDE=FQ","FILING_STATUS=MR","SCALING_FORMAT=MLN","Sort=A","Dates=H","DateFormat=P","Fill=—","Direction=H","UseDPDF=Y")</f>
        <v>124</v>
      </c>
      <c r="D32" s="13" cm="1">
        <f t="array" ref="D32">_xll.BDH("DE US Equity","BS_DERIV_HEDGING_ASST_LT","FQ4 2018","FQ4 2018","Currency=USD","Period=FQ","BEST_FPERIOD_OVERRIDE=FQ","FILING_STATUS=MR","SCALING_FORMAT=MLN","Sort=A","Dates=H","DateFormat=P","Fill=—","Direction=H","UseDPDF=Y")</f>
        <v>168</v>
      </c>
      <c r="E32" s="13" cm="1">
        <f t="array" ref="E32">_xll.BDH("DE US Equity","BS_DERIV_HEDGING_ASST_LT","FQ1 2019","FQ1 2019","Currency=USD","Period=FQ","BEST_FPERIOD_OVERRIDE=FQ","FILING_STATUS=MR","SCALING_FORMAT=MLN","Sort=A","Dates=H","DateFormat=P","Fill=—","Direction=H","UseDPDF=Y")</f>
        <v>353</v>
      </c>
      <c r="F32" s="13" cm="1">
        <f t="array" ref="F32">_xll.BDH("DE US Equity","BS_DERIV_HEDGING_ASST_LT","FQ2 2019","FQ2 2019","Currency=USD","Period=FQ","BEST_FPERIOD_OVERRIDE=FQ","FILING_STATUS=MR","SCALING_FORMAT=MLN","Sort=A","Dates=H","DateFormat=P","Fill=—","Direction=H","UseDPDF=Y")</f>
        <v>305</v>
      </c>
      <c r="G32" s="13" cm="1">
        <f t="array" ref="G32">_xll.BDH("DE US Equity","BS_DERIV_HEDGING_ASST_LT","FQ3 2019","FQ3 2019","Currency=USD","Period=FQ","BEST_FPERIOD_OVERRIDE=FQ","FILING_STATUS=MR","SCALING_FORMAT=MLN","Sort=A","Dates=H","DateFormat=P","Fill=—","Direction=H","UseDPDF=Y")</f>
        <v>320</v>
      </c>
      <c r="H32" s="13" cm="1">
        <f t="array" ref="H32">_xll.BDH("DE US Equity","BS_DERIV_HEDGING_ASST_LT","FQ4 2019","FQ4 2019","Currency=USD","Period=FQ","BEST_FPERIOD_OVERRIDE=FQ","FILING_STATUS=MR","SCALING_FORMAT=MLN","Sort=A","Dates=H","DateFormat=P","Fill=—","Direction=H","UseDPDF=Y")</f>
        <v>384</v>
      </c>
      <c r="I32" s="13" cm="1">
        <f t="array" ref="I32">_xll.BDH("DE US Equity","BS_DERIV_HEDGING_ASST_LT","FQ1 2020","FQ1 2020","Currency=USD","Period=FQ","BEST_FPERIOD_OVERRIDE=FQ","FILING_STATUS=MR","SCALING_FORMAT=MLN","Sort=A","Dates=H","DateFormat=P","Fill=—","Direction=H","UseDPDF=Y")</f>
        <v>636</v>
      </c>
      <c r="J32" s="13" cm="1">
        <f t="array" ref="J32">_xll.BDH("DE US Equity","BS_DERIV_HEDGING_ASST_LT","FQ2 2020","FQ2 2020","Currency=USD","Period=FQ","BEST_FPERIOD_OVERRIDE=FQ","FILING_STATUS=MR","SCALING_FORMAT=MLN","Sort=A","Dates=H","DateFormat=P","Fill=—","Direction=H","UseDPDF=Y")</f>
        <v>1144</v>
      </c>
      <c r="K32" s="13" cm="1">
        <f t="array" ref="K32">_xll.BDH("DE US Equity","BS_DERIV_HEDGING_ASST_LT","FQ3 2020","FQ3 2020","Currency=USD","Period=FQ","BEST_FPERIOD_OVERRIDE=FQ","FILING_STATUS=MR","SCALING_FORMAT=MLN","Sort=A","Dates=H","DateFormat=P","Fill=—","Direction=H","UseDPDF=Y")</f>
        <v>961</v>
      </c>
      <c r="L32" s="13" cm="1">
        <f t="array" ref="L32">_xll.BDH("DE US Equity","BS_DERIV_HEDGING_ASST_LT","FQ4 2020","FQ4 2020","Currency=USD","Period=FQ","BEST_FPERIOD_OVERRIDE=FQ","FILING_STATUS=MR","SCALING_FORMAT=MLN","Sort=A","Dates=H","DateFormat=P","Fill=—","Direction=H","UseDPDF=Y")</f>
        <v>725</v>
      </c>
      <c r="M32" s="13" cm="1">
        <f t="array" ref="M32">_xll.BDH("DE US Equity","BS_DERIV_HEDGING_ASST_LT","FQ1 2021","FQ1 2021","Currency=USD","Period=FQ","BEST_FPERIOD_OVERRIDE=FQ","FILING_STATUS=MR","SCALING_FORMAT=MLN","Sort=A","Dates=H","DateFormat=P","Fill=—","Direction=H","UseDPDF=Y")</f>
        <v>605</v>
      </c>
      <c r="N32" s="13" cm="1">
        <f t="array" ref="N32">_xll.BDH("DE US Equity","BS_DERIV_HEDGING_ASST_LT","FQ2 2021","FQ2 2021","Currency=USD","Period=FQ","BEST_FPERIOD_OVERRIDE=FQ","FILING_STATUS=MR","SCALING_FORMAT=MLN","Sort=A","Dates=H","DateFormat=P","Fill=—","Direction=H","UseDPDF=Y")</f>
        <v>402</v>
      </c>
      <c r="O32" s="13" cm="1">
        <f t="array" ref="O32">_xll.BDH("DE US Equity","BS_DERIV_HEDGING_ASST_LT","FQ3 2021","FQ3 2021","Currency=USD","Period=FQ","BEST_FPERIOD_OVERRIDE=FQ","FILING_STATUS=MR","SCALING_FORMAT=MLN","Sort=A","Dates=H","DateFormat=P","Fill=—","Direction=H","UseDPDF=Y")</f>
        <v>432</v>
      </c>
      <c r="P32" s="13" cm="1">
        <f t="array" ref="P32">_xll.BDH("DE US Equity","BS_DERIV_HEDGING_ASST_LT","FQ4 2021","FQ4 2021","Currency=USD","Period=FQ","BEST_FPERIOD_OVERRIDE=FQ","FILING_STATUS=MR","SCALING_FORMAT=MLN","Sort=A","Dates=H","DateFormat=P","Fill=—","Direction=H","UseDPDF=Y")</f>
        <v>275</v>
      </c>
      <c r="Q32" s="13" cm="1">
        <f t="array" ref="Q32">_xll.BDH("DE US Equity","BS_DERIV_HEDGING_ASST_LT","FQ1 2022","FQ1 2022","Currency=USD","Period=FQ","BEST_FPERIOD_OVERRIDE=FQ","FILING_STATUS=MR","SCALING_FORMAT=MLN","Sort=A","Dates=H","DateFormat=P","Fill=—","Direction=H","UseDPDF=Y")</f>
        <v>299</v>
      </c>
      <c r="R32" s="13" cm="1">
        <f t="array" ref="R32">_xll.BDH("DE US Equity","BS_DERIV_HEDGING_ASST_LT","FQ2 2022","FQ2 2022","Currency=USD","Period=FQ","BEST_FPERIOD_OVERRIDE=FQ","FILING_STATUS=MR","SCALING_FORMAT=MLN","Sort=A","Dates=H","DateFormat=P","Fill=—","Direction=H","UseDPDF=Y")</f>
        <v>407</v>
      </c>
      <c r="S32" s="13" cm="1">
        <f t="array" ref="S32">_xll.BDH("DE US Equity","BS_DERIV_HEDGING_ASST_LT","FQ3 2022","FQ3 2022","Currency=USD","Period=FQ","BEST_FPERIOD_OVERRIDE=FQ","FILING_STATUS=MR","SCALING_FORMAT=MLN","Sort=A","Dates=H","DateFormat=P","Fill=—","Direction=H","UseDPDF=Y")</f>
        <v>280</v>
      </c>
      <c r="T32" s="13" cm="1">
        <f t="array" ref="T32">_xll.BDH("DE US Equity","BS_DERIV_HEDGING_ASST_LT","FQ4 2022","FQ4 2022","Currency=USD","Period=FQ","BEST_FPERIOD_OVERRIDE=FQ","FILING_STATUS=MR","SCALING_FORMAT=MLN","Sort=A","Dates=H","DateFormat=P","Fill=—","Direction=H","UseDPDF=Y")</f>
        <v>373</v>
      </c>
      <c r="U32" s="13" cm="1">
        <f t="array" ref="U32">_xll.BDH("DE US Equity","BS_DERIV_HEDGING_ASST_LT","FQ1 2023","FQ1 2023","Currency=USD","Period=FQ","BEST_FPERIOD_OVERRIDE=FQ","FILING_STATUS=MR","SCALING_FORMAT=MLN","Sort=A","Dates=H","DateFormat=P","Fill=—","Direction=H","UseDPDF=Y")</f>
        <v>360</v>
      </c>
      <c r="V32" s="13" cm="1">
        <f t="array" ref="V32">_xll.BDH("DE US Equity","BS_DERIV_HEDGING_ASST_LT","FQ2 2023","FQ2 2023","Currency=USD","Period=FQ","BEST_FPERIOD_OVERRIDE=FQ","FILING_STATUS=MR","SCALING_FORMAT=MLN","Sort=A","Dates=H","DateFormat=P","Fill=—","Direction=H","UseDPDF=Y")</f>
        <v>367</v>
      </c>
      <c r="W32" s="13" cm="1">
        <f t="array" ref="W32">_xll.BDH("DE US Equity","BS_DERIV_HEDGING_ASST_LT","FQ3 2023","FQ3 2023","Currency=USD","Period=FQ","BEST_FPERIOD_OVERRIDE=FQ","FILING_STATUS=MR","SCALING_FORMAT=MLN","Sort=A","Dates=H","DateFormat=P","Fill=—","Direction=H","UseDPDF=Y")</f>
        <v>324</v>
      </c>
      <c r="X32" s="13" cm="1">
        <f t="array" ref="X32">_xll.BDH("DE US Equity","BS_DERIV_HEDGING_ASST_LT","FQ4 2023","FQ4 2023","Currency=USD","Period=FQ","BEST_FPERIOD_OVERRIDE=FQ","FILING_STATUS=MR","SCALING_FORMAT=MLN","Sort=A","Dates=H","DateFormat=P","Fill=—","Direction=H","UseDPDF=Y")</f>
        <v>292</v>
      </c>
      <c r="Y32" s="13" cm="1">
        <f t="array" ref="Y32">_xll.BDH("DE US Equity","BS_DERIV_HEDGING_ASST_LT","FQ1 2024","FQ1 2024","Currency=USD","Period=FQ","BEST_FPERIOD_OVERRIDE=FQ","FILING_STATUS=MR","SCALING_FORMAT=MLN","Sort=A","Dates=H","DateFormat=P","Fill=—","Direction=H","UseDPDF=Y")</f>
        <v>253</v>
      </c>
      <c r="Z32" s="13" cm="1">
        <f t="array" ref="Z32">_xll.BDH("DE US Equity","BS_DERIV_HEDGING_ASST_LT","FQ2 2024","FQ2 2024","Currency=USD","Period=FQ","BEST_FPERIOD_OVERRIDE=FQ","FILING_STATUS=MR","SCALING_FORMAT=MLN","Sort=A","Dates=H","DateFormat=P","Fill=—","Direction=H","UseDPDF=Y")</f>
        <v>191</v>
      </c>
      <c r="AA32" s="13" cm="1">
        <f t="array" ref="AA32">_xll.BDH("DE US Equity","BS_DERIV_HEDGING_ASST_LT","FQ3 2024","FQ3 2024","Currency=USD","Period=FQ","BEST_FPERIOD_OVERRIDE=FQ","FILING_STATUS=MR","SCALING_FORMAT=MLN","Sort=A","Dates=H","DateFormat=P","Fill=—","Direction=H","UseDPDF=Y")</f>
        <v>361</v>
      </c>
      <c r="AB32" s="13" cm="1">
        <f t="array" ref="AB32">_xll.BDH("DE US Equity","BS_DERIV_HEDGING_ASST_LT","FQ4 2024","FQ4 2024","Currency=USD","Period=FQ","BEST_FPERIOD_OVERRIDE=FQ","FILING_STATUS=MR","SCALING_FORMAT=MLN","Sort=A","Dates=H","DateFormat=P","Fill=—","Direction=H","UseDPDF=Y")</f>
        <v>357</v>
      </c>
      <c r="AC32" s="13" cm="1">
        <f t="array" ref="AC32">_xll.BDH("DE US Equity","BS_DERIV_HEDGING_ASST_LT","FQ1 2025","FQ1 2025","Currency=USD","Period=FQ","BEST_FPERIOD_OVERRIDE=FQ","FILING_STATUS=MR","SCALING_FORMAT=MLN","Sort=A","Dates=H","DateFormat=P","Fill=—","Direction=H","UseDPDF=Y")</f>
        <v>216</v>
      </c>
      <c r="AD32" s="13" cm="1">
        <f t="array" ref="AD32">_xll.BDH("DE US Equity","BS_DERIV_HEDGING_ASST_LT","FQ2 2025","FQ2 2025","Currency=USD","Period=FQ","BEST_FPERIOD_OVERRIDE=FQ","FILING_STATUS=MR","SCALING_FORMAT=MLN","Sort=A","Dates=H","DateFormat=P","Fill=—","Direction=H","UseDPDF=Y")</f>
        <v>434</v>
      </c>
      <c r="AE32" s="13" cm="1">
        <f t="array" ref="AE32">_xll.BDH("DE US Equity","BS_DERIV_HEDGING_ASST_LT","FQ3 2025","FQ3 2025","Currency=USD","Period=FQ","BEST_FPERIOD_OVERRIDE=FQ","FILING_STATUS=MR","SCALING_FORMAT=MLN","Sort=A","Dates=H","DateFormat=P","Fill=—","Direction=H","UseDPDF=Y")</f>
        <v>370</v>
      </c>
      <c r="AF32" s="13" cm="1">
        <f t="array" ref="AF32">_xll.BDH("DE US Equity","BS_DERIV_HEDGING_ASST_LT","FQ4 2025","FQ4 2025","Currency=USD","Period=FQ","BEST_FPERIOD_OVERRIDE=FQ","FILING_STATUS=MR","SCALING_FORMAT=MLN","Sort=A","Dates=H","DateFormat=P","Fill=—","Direction=H","UseDPDF=Y")</f>
        <v>393</v>
      </c>
    </row>
    <row r="33" spans="1:32" x14ac:dyDescent="0.25">
      <c r="A33" s="10" t="s">
        <v>117</v>
      </c>
      <c r="B33" s="10" t="s">
        <v>118</v>
      </c>
      <c r="C33" s="13" cm="1">
        <f t="array" ref="C33">_xll.BDH("DE US Equity","BS_PREPAID_PENSION_COSTS_LT","FQ3 2018","FQ3 2018","Currency=USD","Period=FQ","BEST_FPERIOD_OVERRIDE=FQ","FILING_STATUS=MR","SCALING_FORMAT=MLN","Sort=A","Dates=H","DateFormat=P","Fill=—","Direction=H","UseDPDF=Y")</f>
        <v>737</v>
      </c>
      <c r="D33" s="13" cm="1">
        <f t="array" ref="D33">_xll.BDH("DE US Equity","BS_PREPAID_PENSION_COSTS_LT","FQ4 2018","FQ4 2018","Currency=USD","Period=FQ","BEST_FPERIOD_OVERRIDE=FQ","FILING_STATUS=MR","SCALING_FORMAT=MLN","Sort=A","Dates=H","DateFormat=P","Fill=—","Direction=H","UseDPDF=Y")</f>
        <v>1298</v>
      </c>
      <c r="E33" s="13" cm="1">
        <f t="array" ref="E33">_xll.BDH("DE US Equity","BS_PREPAID_PENSION_COSTS_LT","FQ1 2019","FQ1 2019","Currency=USD","Period=FQ","BEST_FPERIOD_OVERRIDE=FQ","FILING_STATUS=MR","SCALING_FORMAT=MLN","Sort=A","Dates=H","DateFormat=P","Fill=—","Direction=H","UseDPDF=Y")</f>
        <v>1348.2</v>
      </c>
      <c r="F33" s="13" cm="1">
        <f t="array" ref="F33">_xll.BDH("DE US Equity","BS_PREPAID_PENSION_COSTS_LT","FQ2 2019","FQ2 2019","Currency=USD","Period=FQ","BEST_FPERIOD_OVERRIDE=FQ","FILING_STATUS=MR","SCALING_FORMAT=MLN","Sort=A","Dates=H","DateFormat=P","Fill=—","Direction=H","UseDPDF=Y")</f>
        <v>1383</v>
      </c>
      <c r="G33" s="13" cm="1">
        <f t="array" ref="G33">_xll.BDH("DE US Equity","BS_PREPAID_PENSION_COSTS_LT","FQ3 2019","FQ3 2019","Currency=USD","Period=FQ","BEST_FPERIOD_OVERRIDE=FQ","FILING_STATUS=MR","SCALING_FORMAT=MLN","Sort=A","Dates=H","DateFormat=P","Fill=—","Direction=H","UseDPDF=Y")</f>
        <v>1431</v>
      </c>
      <c r="H33" s="13" cm="1">
        <f t="array" ref="H33">_xll.BDH("DE US Equity","BS_PREPAID_PENSION_COSTS_LT","FQ4 2019","FQ4 2019","Currency=USD","Period=FQ","BEST_FPERIOD_OVERRIDE=FQ","FILING_STATUS=MR","SCALING_FORMAT=MLN","Sort=A","Dates=H","DateFormat=P","Fill=—","Direction=H","UseDPDF=Y")</f>
        <v>840</v>
      </c>
      <c r="I33" s="13" cm="1">
        <f t="array" ref="I33">_xll.BDH("DE US Equity","BS_PREPAID_PENSION_COSTS_LT","FQ1 2020","FQ1 2020","Currency=USD","Period=FQ","BEST_FPERIOD_OVERRIDE=FQ","FILING_STATUS=MR","SCALING_FORMAT=MLN","Sort=A","Dates=H","DateFormat=P","Fill=—","Direction=H","UseDPDF=Y")</f>
        <v>900</v>
      </c>
      <c r="J33" s="13" cm="1">
        <f t="array" ref="J33">_xll.BDH("DE US Equity","BS_PREPAID_PENSION_COSTS_LT","FQ2 2020","FQ2 2020","Currency=USD","Period=FQ","BEST_FPERIOD_OVERRIDE=FQ","FILING_STATUS=MR","SCALING_FORMAT=MLN","Sort=A","Dates=H","DateFormat=P","Fill=—","Direction=H","UseDPDF=Y")</f>
        <v>960</v>
      </c>
      <c r="K33" s="13" cm="1">
        <f t="array" ref="K33">_xll.BDH("DE US Equity","BS_PREPAID_PENSION_COSTS_LT","FQ3 2020","FQ3 2020","Currency=USD","Period=FQ","BEST_FPERIOD_OVERRIDE=FQ","FILING_STATUS=MR","SCALING_FORMAT=MLN","Sort=A","Dates=H","DateFormat=P","Fill=—","Direction=H","UseDPDF=Y")</f>
        <v>1031</v>
      </c>
      <c r="L33" s="13" cm="1">
        <f t="array" ref="L33">_xll.BDH("DE US Equity","BS_PREPAID_PENSION_COSTS_LT","FQ4 2020","FQ4 2020","Currency=USD","Period=FQ","BEST_FPERIOD_OVERRIDE=FQ","FILING_STATUS=MR","SCALING_FORMAT=MLN","Sort=A","Dates=H","DateFormat=P","Fill=—","Direction=H","UseDPDF=Y")</f>
        <v>863</v>
      </c>
      <c r="M33" s="13" cm="1">
        <f t="array" ref="M33">_xll.BDH("DE US Equity","BS_PREPAID_PENSION_COSTS_LT","FQ1 2021","FQ1 2021","Currency=USD","Period=FQ","BEST_FPERIOD_OVERRIDE=FQ","FILING_STATUS=MR","SCALING_FORMAT=MLN","Sort=A","Dates=H","DateFormat=P","Fill=—","Direction=H","UseDPDF=Y")</f>
        <v>906</v>
      </c>
      <c r="N33" s="13" cm="1">
        <f t="array" ref="N33">_xll.BDH("DE US Equity","BS_PREPAID_PENSION_COSTS_LT","FQ2 2021","FQ2 2021","Currency=USD","Period=FQ","BEST_FPERIOD_OVERRIDE=FQ","FILING_STATUS=MR","SCALING_FORMAT=MLN","Sort=A","Dates=H","DateFormat=P","Fill=—","Direction=H","UseDPDF=Y")</f>
        <v>951</v>
      </c>
      <c r="O33" s="13" cm="1">
        <f t="array" ref="O33">_xll.BDH("DE US Equity","BS_PREPAID_PENSION_COSTS_LT","FQ3 2021","FQ3 2021","Currency=USD","Period=FQ","BEST_FPERIOD_OVERRIDE=FQ","FILING_STATUS=MR","SCALING_FORMAT=MLN","Sort=A","Dates=H","DateFormat=P","Fill=—","Direction=H","UseDPDF=Y")</f>
        <v>990</v>
      </c>
      <c r="P33" s="13" cm="1">
        <f t="array" ref="P33">_xll.BDH("DE US Equity","BS_PREPAID_PENSION_COSTS_LT","FQ4 2021","FQ4 2021","Currency=USD","Period=FQ","BEST_FPERIOD_OVERRIDE=FQ","FILING_STATUS=MR","SCALING_FORMAT=MLN","Sort=A","Dates=H","DateFormat=P","Fill=—","Direction=H","UseDPDF=Y")</f>
        <v>3601</v>
      </c>
      <c r="Q33" s="13" cm="1">
        <f t="array" ref="Q33">_xll.BDH("DE US Equity","BS_PREPAID_PENSION_COSTS_LT","FQ1 2022","FQ1 2022","Currency=USD","Period=FQ","BEST_FPERIOD_OVERRIDE=FQ","FILING_STATUS=MR","SCALING_FORMAT=MLN","Sort=A","Dates=H","DateFormat=P","Fill=—","Direction=H","UseDPDF=Y")</f>
        <v>3158</v>
      </c>
      <c r="R33" s="13" cm="1">
        <f t="array" ref="R33">_xll.BDH("DE US Equity","BS_PREPAID_PENSION_COSTS_LT","FQ2 2022","FQ2 2022","Currency=USD","Period=FQ","BEST_FPERIOD_OVERRIDE=FQ","FILING_STATUS=MR","SCALING_FORMAT=MLN","Sort=A","Dates=H","DateFormat=P","Fill=—","Direction=H","UseDPDF=Y")</f>
        <v>3059</v>
      </c>
      <c r="S33" s="13" cm="1">
        <f t="array" ref="S33">_xll.BDH("DE US Equity","BS_PREPAID_PENSION_COSTS_LT","FQ3 2022","FQ3 2022","Currency=USD","Period=FQ","BEST_FPERIOD_OVERRIDE=FQ","FILING_STATUS=MR","SCALING_FORMAT=MLN","Sort=A","Dates=H","DateFormat=P","Fill=—","Direction=H","UseDPDF=Y")</f>
        <v>3125</v>
      </c>
      <c r="T33" s="13" cm="1">
        <f t="array" ref="T33">_xll.BDH("DE US Equity","BS_PREPAID_PENSION_COSTS_LT","FQ4 2022","FQ4 2022","Currency=USD","Period=FQ","BEST_FPERIOD_OVERRIDE=FQ","FILING_STATUS=MR","SCALING_FORMAT=MLN","Sort=A","Dates=H","DateFormat=P","Fill=—","Direction=H","UseDPDF=Y")</f>
        <v>3730</v>
      </c>
      <c r="U33" s="13" cm="1">
        <f t="array" ref="U33">_xll.BDH("DE US Equity","BS_PREPAID_PENSION_COSTS_LT","FQ1 2023","FQ1 2023","Currency=USD","Period=FQ","BEST_FPERIOD_OVERRIDE=FQ","FILING_STATUS=MR","SCALING_FORMAT=MLN","Sort=A","Dates=H","DateFormat=P","Fill=—","Direction=H","UseDPDF=Y")</f>
        <v>3793</v>
      </c>
      <c r="V33" s="13" cm="1">
        <f t="array" ref="V33">_xll.BDH("DE US Equity","BS_PREPAID_PENSION_COSTS_LT","FQ2 2023","FQ2 2023","Currency=USD","Period=FQ","BEST_FPERIOD_OVERRIDE=FQ","FILING_STATUS=MR","SCALING_FORMAT=MLN","Sort=A","Dates=H","DateFormat=P","Fill=—","Direction=H","UseDPDF=Y")</f>
        <v>3519</v>
      </c>
      <c r="W33" s="13" cm="1">
        <f t="array" ref="W33">_xll.BDH("DE US Equity","BS_PREPAID_PENSION_COSTS_LT","FQ3 2023","FQ3 2023","Currency=USD","Period=FQ","BEST_FPERIOD_OVERRIDE=FQ","FILING_STATUS=MR","SCALING_FORMAT=MLN","Sort=A","Dates=H","DateFormat=P","Fill=—","Direction=H","UseDPDF=Y")</f>
        <v>3573</v>
      </c>
      <c r="X33" s="13" cm="1">
        <f t="array" ref="X33">_xll.BDH("DE US Equity","BS_PREPAID_PENSION_COSTS_LT","FQ4 2023","FQ4 2023","Currency=USD","Period=FQ","BEST_FPERIOD_OVERRIDE=FQ","FILING_STATUS=MR","SCALING_FORMAT=MLN","Sort=A","Dates=H","DateFormat=P","Fill=—","Direction=H","UseDPDF=Y")</f>
        <v>3007</v>
      </c>
      <c r="Y33" s="13" cm="1">
        <f t="array" ref="Y33">_xll.BDH("DE US Equity","BS_PREPAID_PENSION_COSTS_LT","FQ1 2024","FQ1 2024","Currency=USD","Period=FQ","BEST_FPERIOD_OVERRIDE=FQ","FILING_STATUS=MR","SCALING_FORMAT=MLN","Sort=A","Dates=H","DateFormat=P","Fill=—","Direction=H","UseDPDF=Y")</f>
        <v>3087</v>
      </c>
      <c r="Z33" s="13" cm="1">
        <f t="array" ref="Z33">_xll.BDH("DE US Equity","BS_PREPAID_PENSION_COSTS_LT","FQ2 2024","FQ2 2024","Currency=USD","Period=FQ","BEST_FPERIOD_OVERRIDE=FQ","FILING_STATUS=MR","SCALING_FORMAT=MLN","Sort=A","Dates=H","DateFormat=P","Fill=—","Direction=H","UseDPDF=Y")</f>
        <v>3056</v>
      </c>
      <c r="AA33" s="13" cm="1">
        <f t="array" ref="AA33">_xll.BDH("DE US Equity","BS_PREPAID_PENSION_COSTS_LT","FQ3 2024","FQ3 2024","Currency=USD","Period=FQ","BEST_FPERIOD_OVERRIDE=FQ","FILING_STATUS=MR","SCALING_FORMAT=MLN","Sort=A","Dates=H","DateFormat=P","Fill=—","Direction=H","UseDPDF=Y")</f>
        <v>3126</v>
      </c>
      <c r="AB33" s="13" cm="1">
        <f t="array" ref="AB33">_xll.BDH("DE US Equity","BS_PREPAID_PENSION_COSTS_LT","FQ4 2024","FQ4 2024","Currency=USD","Period=FQ","BEST_FPERIOD_OVERRIDE=FQ","FILING_STATUS=MR","SCALING_FORMAT=MLN","Sort=A","Dates=H","DateFormat=P","Fill=—","Direction=H","UseDPDF=Y")</f>
        <v>2921</v>
      </c>
      <c r="AC33" s="13" cm="1">
        <f t="array" ref="AC33">_xll.BDH("DE US Equity","BS_PREPAID_PENSION_COSTS_LT","FQ1 2025","FQ1 2025","Currency=USD","Period=FQ","BEST_FPERIOD_OVERRIDE=FQ","FILING_STATUS=MR","SCALING_FORMAT=MLN","Sort=A","Dates=H","DateFormat=P","Fill=—","Direction=H","UseDPDF=Y")</f>
        <v>3018</v>
      </c>
      <c r="AD33" s="13" cm="1">
        <f t="array" ref="AD33">_xll.BDH("DE US Equity","BS_PREPAID_PENSION_COSTS_LT","FQ2 2025","FQ2 2025","Currency=USD","Period=FQ","BEST_FPERIOD_OVERRIDE=FQ","FILING_STATUS=MR","SCALING_FORMAT=MLN","Sort=A","Dates=H","DateFormat=P","Fill=—","Direction=H","UseDPDF=Y")</f>
        <v>3133</v>
      </c>
      <c r="AE33" s="13" cm="1">
        <f t="array" ref="AE33">_xll.BDH("DE US Equity","BS_PREPAID_PENSION_COSTS_LT","FQ3 2025","FQ3 2025","Currency=USD","Period=FQ","BEST_FPERIOD_OVERRIDE=FQ","FILING_STATUS=MR","SCALING_FORMAT=MLN","Sort=A","Dates=H","DateFormat=P","Fill=—","Direction=H","UseDPDF=Y")</f>
        <v>3182</v>
      </c>
      <c r="AF33" s="13" cm="1">
        <f t="array" ref="AF33">_xll.BDH("DE US Equity","BS_PREPAID_PENSION_COSTS_LT","FQ4 2025","FQ4 2025","Currency=USD","Period=FQ","BEST_FPERIOD_OVERRIDE=FQ","FILING_STATUS=MR","SCALING_FORMAT=MLN","Sort=A","Dates=H","DateFormat=P","Fill=—","Direction=H","UseDPDF=Y")</f>
        <v>3273</v>
      </c>
    </row>
    <row r="34" spans="1:32" x14ac:dyDescent="0.25">
      <c r="A34" s="10" t="s">
        <v>119</v>
      </c>
      <c r="B34" s="10" t="s">
        <v>120</v>
      </c>
      <c r="C34" s="13" cm="1">
        <f t="array" ref="C34">_xll.BDH("DE US Equity","BS_INVEST_IN_ASSOC_CO","FQ3 2018","FQ3 2018","Currency=USD","Period=FQ","BEST_FPERIOD_OVERRIDE=FQ","FILING_STATUS=MR","SCALING_FORMAT=MLN","Sort=A","Dates=H","DateFormat=P","Fill=—","Direction=H","UseDPDF=Y")</f>
        <v>199</v>
      </c>
      <c r="D34" s="13" cm="1">
        <f t="array" ref="D34">_xll.BDH("DE US Equity","BS_INVEST_IN_ASSOC_CO","FQ4 2018","FQ4 2018","Currency=USD","Period=FQ","BEST_FPERIOD_OVERRIDE=FQ","FILING_STATUS=MR","SCALING_FORMAT=MLN","Sort=A","Dates=H","DateFormat=P","Fill=—","Direction=H","UseDPDF=Y")</f>
        <v>207</v>
      </c>
      <c r="E34" s="13" cm="1">
        <f t="array" ref="E34">_xll.BDH("DE US Equity","BS_INVEST_IN_ASSOC_CO","FQ1 2019","FQ1 2019","Currency=USD","Period=FQ","BEST_FPERIOD_OVERRIDE=FQ","FILING_STATUS=MR","SCALING_FORMAT=MLN","Sort=A","Dates=H","DateFormat=P","Fill=—","Direction=H","UseDPDF=Y")</f>
        <v>211.7</v>
      </c>
      <c r="F34" s="13" cm="1">
        <f t="array" ref="F34">_xll.BDH("DE US Equity","BS_INVEST_IN_ASSOC_CO","FQ2 2019","FQ2 2019","Currency=USD","Period=FQ","BEST_FPERIOD_OVERRIDE=FQ","FILING_STATUS=MR","SCALING_FORMAT=MLN","Sort=A","Dates=H","DateFormat=P","Fill=—","Direction=H","UseDPDF=Y")</f>
        <v>235</v>
      </c>
      <c r="G34" s="13" cm="1">
        <f t="array" ref="G34">_xll.BDH("DE US Equity","BS_INVEST_IN_ASSOC_CO","FQ3 2019","FQ3 2019","Currency=USD","Period=FQ","BEST_FPERIOD_OVERRIDE=FQ","FILING_STATUS=MR","SCALING_FORMAT=MLN","Sort=A","Dates=H","DateFormat=P","Fill=—","Direction=H","UseDPDF=Y")</f>
        <v>219</v>
      </c>
      <c r="H34" s="13" cm="1">
        <f t="array" ref="H34">_xll.BDH("DE US Equity","BS_INVEST_IN_ASSOC_CO","FQ4 2019","FQ4 2019","Currency=USD","Period=FQ","BEST_FPERIOD_OVERRIDE=FQ","FILING_STATUS=MR","SCALING_FORMAT=MLN","Sort=A","Dates=H","DateFormat=P","Fill=—","Direction=H","UseDPDF=Y")</f>
        <v>215</v>
      </c>
      <c r="I34" s="13" cm="1">
        <f t="array" ref="I34">_xll.BDH("DE US Equity","BS_INVEST_IN_ASSOC_CO","FQ1 2020","FQ1 2020","Currency=USD","Period=FQ","BEST_FPERIOD_OVERRIDE=FQ","FILING_STATUS=MR","SCALING_FORMAT=MLN","Sort=A","Dates=H","DateFormat=P","Fill=—","Direction=H","UseDPDF=Y")</f>
        <v>217</v>
      </c>
      <c r="J34" s="13" cm="1">
        <f t="array" ref="J34">_xll.BDH("DE US Equity","BS_INVEST_IN_ASSOC_CO","FQ2 2020","FQ2 2020","Currency=USD","Period=FQ","BEST_FPERIOD_OVERRIDE=FQ","FILING_STATUS=MR","SCALING_FORMAT=MLN","Sort=A","Dates=H","DateFormat=P","Fill=—","Direction=H","UseDPDF=Y")</f>
        <v>192</v>
      </c>
      <c r="K34" s="13" cm="1">
        <f t="array" ref="K34">_xll.BDH("DE US Equity","BS_INVEST_IN_ASSOC_CO","FQ3 2020","FQ3 2020","Currency=USD","Period=FQ","BEST_FPERIOD_OVERRIDE=FQ","FILING_STATUS=MR","SCALING_FORMAT=MLN","Sort=A","Dates=H","DateFormat=P","Fill=—","Direction=H","UseDPDF=Y")</f>
        <v>199</v>
      </c>
      <c r="L34" s="13" cm="1">
        <f t="array" ref="L34">_xll.BDH("DE US Equity","BS_INVEST_IN_ASSOC_CO","FQ4 2020","FQ4 2020","Currency=USD","Period=FQ","BEST_FPERIOD_OVERRIDE=FQ","FILING_STATUS=MR","SCALING_FORMAT=MLN","Sort=A","Dates=H","DateFormat=P","Fill=—","Direction=H","UseDPDF=Y")</f>
        <v>193</v>
      </c>
      <c r="M34" s="13" cm="1">
        <f t="array" ref="M34">_xll.BDH("DE US Equity","BS_INVEST_IN_ASSOC_CO","FQ1 2021","FQ1 2021","Currency=USD","Period=FQ","BEST_FPERIOD_OVERRIDE=FQ","FILING_STATUS=MR","SCALING_FORMAT=MLN","Sort=A","Dates=H","DateFormat=P","Fill=—","Direction=H","UseDPDF=Y")</f>
        <v>178</v>
      </c>
      <c r="N34" s="13" t="str" cm="1">
        <f t="array" ref="N34">_xll.BDH("DE US Equity","BS_INVEST_IN_ASSOC_CO","FQ2 2021","FQ2 2021","Currency=USD","Period=FQ","BEST_FPERIOD_OVERRIDE=FQ","FILING_STATUS=MR","SCALING_FORMAT=MLN","Sort=A","Dates=H","DateFormat=P","Fill=—","Direction=H","UseDPDF=Y")</f>
        <v>—</v>
      </c>
      <c r="O34" s="13" t="str" cm="1">
        <f t="array" ref="O34">_xll.BDH("DE US Equity","BS_INVEST_IN_ASSOC_CO","FQ3 2021","FQ3 2021","Currency=USD","Period=FQ","BEST_FPERIOD_OVERRIDE=FQ","FILING_STATUS=MR","SCALING_FORMAT=MLN","Sort=A","Dates=H","DateFormat=P","Fill=—","Direction=H","UseDPDF=Y")</f>
        <v>—</v>
      </c>
      <c r="P34" s="13" t="str" cm="1">
        <f t="array" ref="P34">_xll.BDH("DE US Equity","BS_INVEST_IN_ASSOC_CO","FQ4 2021","FQ4 2021","Currency=USD","Period=FQ","BEST_FPERIOD_OVERRIDE=FQ","FILING_STATUS=MR","SCALING_FORMAT=MLN","Sort=A","Dates=H","DateFormat=P","Fill=—","Direction=H","UseDPDF=Y")</f>
        <v>—</v>
      </c>
      <c r="Q34" s="13" t="str" cm="1">
        <f t="array" ref="Q34">_xll.BDH("DE US Equity","BS_INVEST_IN_ASSOC_CO","FQ1 2022","FQ1 2022","Currency=USD","Period=FQ","BEST_FPERIOD_OVERRIDE=FQ","FILING_STATUS=MR","SCALING_FORMAT=MLN","Sort=A","Dates=H","DateFormat=P","Fill=—","Direction=H","UseDPDF=Y")</f>
        <v>—</v>
      </c>
      <c r="R34" s="13" t="str" cm="1">
        <f t="array" ref="R34">_xll.BDH("DE US Equity","BS_INVEST_IN_ASSOC_CO","FQ2 2022","FQ2 2022","Currency=USD","Period=FQ","BEST_FPERIOD_OVERRIDE=FQ","FILING_STATUS=MR","SCALING_FORMAT=MLN","Sort=A","Dates=H","DateFormat=P","Fill=—","Direction=H","UseDPDF=Y")</f>
        <v>—</v>
      </c>
      <c r="S34" s="13" t="str" cm="1">
        <f t="array" ref="S34">_xll.BDH("DE US Equity","BS_INVEST_IN_ASSOC_CO","FQ3 2022","FQ3 2022","Currency=USD","Period=FQ","BEST_FPERIOD_OVERRIDE=FQ","FILING_STATUS=MR","SCALING_FORMAT=MLN","Sort=A","Dates=H","DateFormat=P","Fill=—","Direction=H","UseDPDF=Y")</f>
        <v>—</v>
      </c>
      <c r="T34" s="13" t="str" cm="1">
        <f t="array" ref="T34">_xll.BDH("DE US Equity","BS_INVEST_IN_ASSOC_CO","FQ4 2022","FQ4 2022","Currency=USD","Period=FQ","BEST_FPERIOD_OVERRIDE=FQ","FILING_STATUS=MR","SCALING_FORMAT=MLN","Sort=A","Dates=H","DateFormat=P","Fill=—","Direction=H","UseDPDF=Y")</f>
        <v>—</v>
      </c>
      <c r="U34" s="13" t="str" cm="1">
        <f t="array" ref="U34">_xll.BDH("DE US Equity","BS_INVEST_IN_ASSOC_CO","FQ1 2023","FQ1 2023","Currency=USD","Period=FQ","BEST_FPERIOD_OVERRIDE=FQ","FILING_STATUS=MR","SCALING_FORMAT=MLN","Sort=A","Dates=H","DateFormat=P","Fill=—","Direction=H","UseDPDF=Y")</f>
        <v>—</v>
      </c>
      <c r="V34" s="13" t="str" cm="1">
        <f t="array" ref="V34">_xll.BDH("DE US Equity","BS_INVEST_IN_ASSOC_CO","FQ2 2023","FQ2 2023","Currency=USD","Period=FQ","BEST_FPERIOD_OVERRIDE=FQ","FILING_STATUS=MR","SCALING_FORMAT=MLN","Sort=A","Dates=H","DateFormat=P","Fill=—","Direction=H","UseDPDF=Y")</f>
        <v>—</v>
      </c>
      <c r="W34" s="13" t="str" cm="1">
        <f t="array" ref="W34">_xll.BDH("DE US Equity","BS_INVEST_IN_ASSOC_CO","FQ3 2023","FQ3 2023","Currency=USD","Period=FQ","BEST_FPERIOD_OVERRIDE=FQ","FILING_STATUS=MR","SCALING_FORMAT=MLN","Sort=A","Dates=H","DateFormat=P","Fill=—","Direction=H","UseDPDF=Y")</f>
        <v>—</v>
      </c>
      <c r="X34" s="13" t="str" cm="1">
        <f t="array" ref="X34">_xll.BDH("DE US Equity","BS_INVEST_IN_ASSOC_CO","FQ4 2023","FQ4 2023","Currency=USD","Period=FQ","BEST_FPERIOD_OVERRIDE=FQ","FILING_STATUS=MR","SCALING_FORMAT=MLN","Sort=A","Dates=H","DateFormat=P","Fill=—","Direction=H","UseDPDF=Y")</f>
        <v>—</v>
      </c>
      <c r="Y34" s="13" t="str" cm="1">
        <f t="array" ref="Y34">_xll.BDH("DE US Equity","BS_INVEST_IN_ASSOC_CO","FQ1 2024","FQ1 2024","Currency=USD","Period=FQ","BEST_FPERIOD_OVERRIDE=FQ","FILING_STATUS=MR","SCALING_FORMAT=MLN","Sort=A","Dates=H","DateFormat=P","Fill=—","Direction=H","UseDPDF=Y")</f>
        <v>—</v>
      </c>
      <c r="Z34" s="13" t="str" cm="1">
        <f t="array" ref="Z34">_xll.BDH("DE US Equity","BS_INVEST_IN_ASSOC_CO","FQ2 2024","FQ2 2024","Currency=USD","Period=FQ","BEST_FPERIOD_OVERRIDE=FQ","FILING_STATUS=MR","SCALING_FORMAT=MLN","Sort=A","Dates=H","DateFormat=P","Fill=—","Direction=H","UseDPDF=Y")</f>
        <v>—</v>
      </c>
      <c r="AA34" s="13" t="str" cm="1">
        <f t="array" ref="AA34">_xll.BDH("DE US Equity","BS_INVEST_IN_ASSOC_CO","FQ3 2024","FQ3 2024","Currency=USD","Period=FQ","BEST_FPERIOD_OVERRIDE=FQ","FILING_STATUS=MR","SCALING_FORMAT=MLN","Sort=A","Dates=H","DateFormat=P","Fill=—","Direction=H","UseDPDF=Y")</f>
        <v>—</v>
      </c>
      <c r="AB34" s="13" t="str" cm="1">
        <f t="array" ref="AB34">_xll.BDH("DE US Equity","BS_INVEST_IN_ASSOC_CO","FQ4 2024","FQ4 2024","Currency=USD","Period=FQ","BEST_FPERIOD_OVERRIDE=FQ","FILING_STATUS=MR","SCALING_FORMAT=MLN","Sort=A","Dates=H","DateFormat=P","Fill=—","Direction=H","UseDPDF=Y")</f>
        <v>—</v>
      </c>
      <c r="AC34" s="13" t="str" cm="1">
        <f t="array" ref="AC34">_xll.BDH("DE US Equity","BS_INVEST_IN_ASSOC_CO","FQ1 2025","FQ1 2025","Currency=USD","Period=FQ","BEST_FPERIOD_OVERRIDE=FQ","FILING_STATUS=MR","SCALING_FORMAT=MLN","Sort=A","Dates=H","DateFormat=P","Fill=—","Direction=H","UseDPDF=Y")</f>
        <v>—</v>
      </c>
      <c r="AD34" s="13" t="str" cm="1">
        <f t="array" ref="AD34">_xll.BDH("DE US Equity","BS_INVEST_IN_ASSOC_CO","FQ2 2025","FQ2 2025","Currency=USD","Period=FQ","BEST_FPERIOD_OVERRIDE=FQ","FILING_STATUS=MR","SCALING_FORMAT=MLN","Sort=A","Dates=H","DateFormat=P","Fill=—","Direction=H","UseDPDF=Y")</f>
        <v>—</v>
      </c>
      <c r="AE34" s="13" t="str" cm="1">
        <f t="array" ref="AE34">_xll.BDH("DE US Equity","BS_INVEST_IN_ASSOC_CO","FQ3 2025","FQ3 2025","Currency=USD","Period=FQ","BEST_FPERIOD_OVERRIDE=FQ","FILING_STATUS=MR","SCALING_FORMAT=MLN","Sort=A","Dates=H","DateFormat=P","Fill=—","Direction=H","UseDPDF=Y")</f>
        <v>—</v>
      </c>
      <c r="AF34" s="13" t="str" cm="1">
        <f t="array" ref="AF34">_xll.BDH("DE US Equity","BS_INVEST_IN_ASSOC_CO","FQ4 2025","FQ4 2025","Currency=USD","Period=FQ","BEST_FPERIOD_OVERRIDE=FQ","FILING_STATUS=MR","SCALING_FORMAT=MLN","Sort=A","Dates=H","DateFormat=P","Fill=—","Direction=H","UseDPDF=Y")</f>
        <v>—</v>
      </c>
    </row>
    <row r="35" spans="1:32" x14ac:dyDescent="0.25">
      <c r="A35" s="10" t="s">
        <v>121</v>
      </c>
      <c r="B35" s="10" t="s">
        <v>122</v>
      </c>
      <c r="C35" s="13" cm="1">
        <f t="array" ref="C35">_xll.BDH("DE US Equity","OTHER_NONCURRENT_ASSETS_DETAILED","FQ3 2018","FQ3 2018","Currency=USD","Period=FQ","BEST_FPERIOD_OVERRIDE=FQ","FILING_STATUS=MR","SCALING_FORMAT=MLN","Sort=A","Dates=H","DateFormat=P","Fill=—","Direction=H","UseDPDF=Y")</f>
        <v>6215</v>
      </c>
      <c r="D35" s="13" cm="1">
        <f t="array" ref="D35">_xll.BDH("DE US Equity","OTHER_NONCURRENT_ASSETS_DETAILED","FQ4 2018","FQ4 2018","Currency=USD","Period=FQ","BEST_FPERIOD_OVERRIDE=FQ","FILING_STATUS=MR","SCALING_FORMAT=MLN","Sort=A","Dates=H","DateFormat=P","Fill=—","Direction=H","UseDPDF=Y")</f>
        <v>5572</v>
      </c>
      <c r="E35" s="13" cm="1">
        <f t="array" ref="E35">_xll.BDH("DE US Equity","OTHER_NONCURRENT_ASSETS_DETAILED","FQ1 2019","FQ1 2019","Currency=USD","Period=FQ","BEST_FPERIOD_OVERRIDE=FQ","FILING_STATUS=MR","SCALING_FORMAT=MLN","Sort=A","Dates=H","DateFormat=P","Fill=—","Direction=H","UseDPDF=Y")</f>
        <v>6042.6</v>
      </c>
      <c r="F35" s="13" cm="1">
        <f t="array" ref="F35">_xll.BDH("DE US Equity","OTHER_NONCURRENT_ASSETS_DETAILED","FQ2 2019","FQ2 2019","Currency=USD","Period=FQ","BEST_FPERIOD_OVERRIDE=FQ","FILING_STATUS=MR","SCALING_FORMAT=MLN","Sort=A","Dates=H","DateFormat=P","Fill=—","Direction=H","UseDPDF=Y")</f>
        <v>6380</v>
      </c>
      <c r="G35" s="13" cm="1">
        <f t="array" ref="G35">_xll.BDH("DE US Equity","OTHER_NONCURRENT_ASSETS_DETAILED","FQ3 2019","FQ3 2019","Currency=USD","Period=FQ","BEST_FPERIOD_OVERRIDE=FQ","FILING_STATUS=MR","SCALING_FORMAT=MLN","Sort=A","Dates=H","DateFormat=P","Fill=—","Direction=H","UseDPDF=Y")</f>
        <v>6857</v>
      </c>
      <c r="H35" s="13" cm="1">
        <f t="array" ref="H35">_xll.BDH("DE US Equity","OTHER_NONCURRENT_ASSETS_DETAILED","FQ4 2019","FQ4 2019","Currency=USD","Period=FQ","BEST_FPERIOD_OVERRIDE=FQ","FILING_STATUS=MR","SCALING_FORMAT=MLN","Sort=A","Dates=H","DateFormat=P","Fill=—","Direction=H","UseDPDF=Y")</f>
        <v>5898</v>
      </c>
      <c r="I35" s="13" cm="1">
        <f t="array" ref="I35">_xll.BDH("DE US Equity","OTHER_NONCURRENT_ASSETS_DETAILED","FQ1 2020","FQ1 2020","Currency=USD","Period=FQ","BEST_FPERIOD_OVERRIDE=FQ","FILING_STATUS=MR","SCALING_FORMAT=MLN","Sort=A","Dates=H","DateFormat=P","Fill=—","Direction=H","UseDPDF=Y")</f>
        <v>6204</v>
      </c>
      <c r="J35" s="13" cm="1">
        <f t="array" ref="J35">_xll.BDH("DE US Equity","OTHER_NONCURRENT_ASSETS_DETAILED","FQ2 2020","FQ2 2020","Currency=USD","Period=FQ","BEST_FPERIOD_OVERRIDE=FQ","FILING_STATUS=MR","SCALING_FORMAT=MLN","Sort=A","Dates=H","DateFormat=P","Fill=—","Direction=H","UseDPDF=Y")</f>
        <v>6254</v>
      </c>
      <c r="K35" s="13" cm="1">
        <f t="array" ref="K35">_xll.BDH("DE US Equity","OTHER_NONCURRENT_ASSETS_DETAILED","FQ3 2020","FQ3 2020","Currency=USD","Period=FQ","BEST_FPERIOD_OVERRIDE=FQ","FILING_STATUS=MR","SCALING_FORMAT=MLN","Sort=A","Dates=H","DateFormat=P","Fill=—","Direction=H","UseDPDF=Y")</f>
        <v>7332</v>
      </c>
      <c r="L35" s="13" cm="1">
        <f t="array" ref="L35">_xll.BDH("DE US Equity","OTHER_NONCURRENT_ASSETS_DETAILED","FQ4 2020","FQ4 2020","Currency=USD","Period=FQ","BEST_FPERIOD_OVERRIDE=FQ","FILING_STATUS=MR","SCALING_FORMAT=MLN","Sort=A","Dates=H","DateFormat=P","Fill=—","Direction=H","UseDPDF=Y")</f>
        <v>6410</v>
      </c>
      <c r="M35" s="13" cm="1">
        <f t="array" ref="M35">_xll.BDH("DE US Equity","OTHER_NONCURRENT_ASSETS_DETAILED","FQ1 2021","FQ1 2021","Currency=USD","Period=FQ","BEST_FPERIOD_OVERRIDE=FQ","FILING_STATUS=MR","SCALING_FORMAT=MLN","Sort=A","Dates=H","DateFormat=P","Fill=—","Direction=H","UseDPDF=Y")</f>
        <v>5699</v>
      </c>
      <c r="N35" s="13" cm="1">
        <f t="array" ref="N35">_xll.BDH("DE US Equity","OTHER_NONCURRENT_ASSETS_DETAILED","FQ2 2021","FQ2 2021","Currency=USD","Period=FQ","BEST_FPERIOD_OVERRIDE=FQ","FILING_STATUS=MR","SCALING_FORMAT=MLN","Sort=A","Dates=H","DateFormat=P","Fill=—","Direction=H","UseDPDF=Y")</f>
        <v>6042</v>
      </c>
      <c r="O35" s="13" cm="1">
        <f t="array" ref="O35">_xll.BDH("DE US Equity","OTHER_NONCURRENT_ASSETS_DETAILED","FQ3 2021","FQ3 2021","Currency=USD","Period=FQ","BEST_FPERIOD_OVERRIDE=FQ","FILING_STATUS=MR","SCALING_FORMAT=MLN","Sort=A","Dates=H","DateFormat=P","Fill=—","Direction=H","UseDPDF=Y")</f>
        <v>7417</v>
      </c>
      <c r="P35" s="13" cm="1">
        <f t="array" ref="P35">_xll.BDH("DE US Equity","OTHER_NONCURRENT_ASSETS_DETAILED","FQ4 2021","FQ4 2021","Currency=USD","Period=FQ","BEST_FPERIOD_OVERRIDE=FQ","FILING_STATUS=MR","SCALING_FORMAT=MLN","Sort=A","Dates=H","DateFormat=P","Fill=—","Direction=H","UseDPDF=Y")</f>
        <v>6529</v>
      </c>
      <c r="Q35" s="13" cm="1">
        <f t="array" ref="Q35">_xll.BDH("DE US Equity","OTHER_NONCURRENT_ASSETS_DETAILED","FQ1 2022","FQ1 2022","Currency=USD","Period=FQ","BEST_FPERIOD_OVERRIDE=FQ","FILING_STATUS=MR","SCALING_FORMAT=MLN","Sort=A","Dates=H","DateFormat=P","Fill=—","Direction=H","UseDPDF=Y")</f>
        <v>5420</v>
      </c>
      <c r="R35" s="13" cm="1">
        <f t="array" ref="R35">_xll.BDH("DE US Equity","OTHER_NONCURRENT_ASSETS_DETAILED","FQ2 2022","FQ2 2022","Currency=USD","Period=FQ","BEST_FPERIOD_OVERRIDE=FQ","FILING_STATUS=MR","SCALING_FORMAT=MLN","Sort=A","Dates=H","DateFormat=P","Fill=—","Direction=H","UseDPDF=Y")</f>
        <v>5946</v>
      </c>
      <c r="S35" s="13" cm="1">
        <f t="array" ref="S35">_xll.BDH("DE US Equity","OTHER_NONCURRENT_ASSETS_DETAILED","FQ3 2022","FQ3 2022","Currency=USD","Period=FQ","BEST_FPERIOD_OVERRIDE=FQ","FILING_STATUS=MR","SCALING_FORMAT=MLN","Sort=A","Dates=H","DateFormat=P","Fill=—","Direction=H","UseDPDF=Y")</f>
        <v>7097</v>
      </c>
      <c r="T35" s="13" cm="1">
        <f t="array" ref="T35">_xll.BDH("DE US Equity","OTHER_NONCURRENT_ASSETS_DETAILED","FQ4 2022","FQ4 2022","Currency=USD","Period=FQ","BEST_FPERIOD_OVERRIDE=FQ","FILING_STATUS=MR","SCALING_FORMAT=MLN","Sort=A","Dates=H","DateFormat=P","Fill=—","Direction=H","UseDPDF=Y")</f>
        <v>7980</v>
      </c>
      <c r="U35" s="13" cm="1">
        <f t="array" ref="U35">_xll.BDH("DE US Equity","OTHER_NONCURRENT_ASSETS_DETAILED","FQ1 2023","FQ1 2023","Currency=USD","Period=FQ","BEST_FPERIOD_OVERRIDE=FQ","FILING_STATUS=MR","SCALING_FORMAT=MLN","Sort=A","Dates=H","DateFormat=P","Fill=—","Direction=H","UseDPDF=Y")</f>
        <v>7326</v>
      </c>
      <c r="V35" s="13" cm="1">
        <f t="array" ref="V35">_xll.BDH("DE US Equity","OTHER_NONCURRENT_ASSETS_DETAILED","FQ2 2023","FQ2 2023","Currency=USD","Period=FQ","BEST_FPERIOD_OVERRIDE=FQ","FILING_STATUS=MR","SCALING_FORMAT=MLN","Sort=A","Dates=H","DateFormat=P","Fill=—","Direction=H","UseDPDF=Y")</f>
        <v>7802</v>
      </c>
      <c r="W35" s="13" cm="1">
        <f t="array" ref="W35">_xll.BDH("DE US Equity","OTHER_NONCURRENT_ASSETS_DETAILED","FQ3 2023","FQ3 2023","Currency=USD","Period=FQ","BEST_FPERIOD_OVERRIDE=FQ","FILING_STATUS=MR","SCALING_FORMAT=MLN","Sort=A","Dates=H","DateFormat=P","Fill=—","Direction=H","UseDPDF=Y")</f>
        <v>9336</v>
      </c>
      <c r="X35" s="13" cm="1">
        <f t="array" ref="X35">_xll.BDH("DE US Equity","OTHER_NONCURRENT_ASSETS_DETAILED","FQ4 2023","FQ4 2023","Currency=USD","Period=FQ","BEST_FPERIOD_OVERRIDE=FQ","FILING_STATUS=MR","SCALING_FORMAT=MLN","Sort=A","Dates=H","DateFormat=P","Fill=—","Direction=H","UseDPDF=Y")</f>
        <v>9546</v>
      </c>
      <c r="Y35" s="13" cm="1">
        <f t="array" ref="Y35">_xll.BDH("DE US Equity","OTHER_NONCURRENT_ASSETS_DETAILED","FQ1 2024","FQ1 2024","Currency=USD","Period=FQ","BEST_FPERIOD_OVERRIDE=FQ","FILING_STATUS=MR","SCALING_FORMAT=MLN","Sort=A","Dates=H","DateFormat=P","Fill=—","Direction=H","UseDPDF=Y")</f>
        <v>8725</v>
      </c>
      <c r="Z35" s="13" cm="1">
        <f t="array" ref="Z35">_xll.BDH("DE US Equity","OTHER_NONCURRENT_ASSETS_DETAILED","FQ2 2024","FQ2 2024","Currency=USD","Period=FQ","BEST_FPERIOD_OVERRIDE=FQ","FILING_STATUS=MR","SCALING_FORMAT=MLN","Sort=A","Dates=H","DateFormat=P","Fill=—","Direction=H","UseDPDF=Y")</f>
        <v>9663</v>
      </c>
      <c r="AA35" s="13" cm="1">
        <f t="array" ref="AA35">_xll.BDH("DE US Equity","OTHER_NONCURRENT_ASSETS_DETAILED","FQ3 2024","FQ3 2024","Currency=USD","Period=FQ","BEST_FPERIOD_OVERRIDE=FQ","FILING_STATUS=MR","SCALING_FORMAT=MLN","Sort=A","Dates=H","DateFormat=P","Fill=—","Direction=H","UseDPDF=Y")</f>
        <v>10816</v>
      </c>
      <c r="AB35" s="13" cm="1">
        <f t="array" ref="AB35">_xll.BDH("DE US Equity","OTHER_NONCURRENT_ASSETS_DETAILED","FQ4 2024","FQ4 2024","Currency=USD","Period=FQ","BEST_FPERIOD_OVERRIDE=FQ","FILING_STATUS=MR","SCALING_FORMAT=MLN","Sort=A","Dates=H","DateFormat=P","Fill=—","Direction=H","UseDPDF=Y")</f>
        <v>11272</v>
      </c>
      <c r="AC35" s="13" cm="1">
        <f t="array" ref="AC35">_xll.BDH("DE US Equity","OTHER_NONCURRENT_ASSETS_DETAILED","FQ1 2025","FQ1 2025","Currency=USD","Period=FQ","BEST_FPERIOD_OVERRIDE=FQ","FILING_STATUS=MR","SCALING_FORMAT=MLN","Sort=A","Dates=H","DateFormat=P","Fill=—","Direction=H","UseDPDF=Y")</f>
        <v>10848</v>
      </c>
      <c r="AD35" s="13" cm="1">
        <f t="array" ref="AD35">_xll.BDH("DE US Equity","OTHER_NONCURRENT_ASSETS_DETAILED","FQ2 2025","FQ2 2025","Currency=USD","Period=FQ","BEST_FPERIOD_OVERRIDE=FQ","FILING_STATUS=MR","SCALING_FORMAT=MLN","Sort=A","Dates=H","DateFormat=P","Fill=—","Direction=H","UseDPDF=Y")</f>
        <v>10814</v>
      </c>
      <c r="AE35" s="13" cm="1">
        <f t="array" ref="AE35">_xll.BDH("DE US Equity","OTHER_NONCURRENT_ASSETS_DETAILED","FQ3 2025","FQ3 2025","Currency=USD","Period=FQ","BEST_FPERIOD_OVERRIDE=FQ","FILING_STATUS=MR","SCALING_FORMAT=MLN","Sort=A","Dates=H","DateFormat=P","Fill=—","Direction=H","UseDPDF=Y")</f>
        <v>11137</v>
      </c>
      <c r="AF35" s="13" cm="1">
        <f t="array" ref="AF35">_xll.BDH("DE US Equity","OTHER_NONCURRENT_ASSETS_DETAILED","FQ4 2025","FQ4 2025","Currency=USD","Period=FQ","BEST_FPERIOD_OVERRIDE=FQ","FILING_STATUS=MR","SCALING_FORMAT=MLN","Sort=A","Dates=H","DateFormat=P","Fill=—","Direction=H","UseDPDF=Y")</f>
        <v>9899</v>
      </c>
    </row>
    <row r="36" spans="1:32" x14ac:dyDescent="0.25">
      <c r="A36" s="6" t="s">
        <v>123</v>
      </c>
      <c r="B36" s="6" t="s">
        <v>124</v>
      </c>
      <c r="C36" s="16" cm="1">
        <f t="array" ref="C36">_xll.BDH("DE US Equity","BS_TOT_NON_CUR_ASSET","FQ3 2018","FQ3 2018","Currency=USD","Period=FQ","BEST_FPERIOD_OVERRIDE=FQ","FILING_STATUS=MR","SCALING_FORMAT=MLN","Sort=A","Dates=H","DateFormat=P","Fill=—","Direction=H","UseDPDF=Y")</f>
        <v>51204</v>
      </c>
      <c r="D36" s="16" cm="1">
        <f t="array" ref="D36">_xll.BDH("DE US Equity","BS_TOT_NON_CUR_ASSET","FQ4 2018","FQ4 2018","Currency=USD","Period=FQ","BEST_FPERIOD_OVERRIDE=FQ","FILING_STATUS=MR","SCALING_FORMAT=MLN","Sort=A","Dates=H","DateFormat=P","Fill=—","Direction=H","UseDPDF=Y")</f>
        <v>52803</v>
      </c>
      <c r="E36" s="16" cm="1">
        <f t="array" ref="E36">_xll.BDH("DE US Equity","BS_TOT_NON_CUR_ASSET","FQ1 2019","FQ1 2019","Currency=USD","Period=FQ","BEST_FPERIOD_OVERRIDE=FQ","FILING_STATUS=MR","SCALING_FORMAT=MLN","Sort=A","Dates=H","DateFormat=P","Fill=—","Direction=H","UseDPDF=Y")</f>
        <v>51183.199999999997</v>
      </c>
      <c r="F36" s="16" cm="1">
        <f t="array" ref="F36">_xll.BDH("DE US Equity","BS_TOT_NON_CUR_ASSET","FQ2 2019","FQ2 2019","Currency=USD","Period=FQ","BEST_FPERIOD_OVERRIDE=FQ","FILING_STATUS=MR","SCALING_FORMAT=MLN","Sort=A","Dates=H","DateFormat=P","Fill=—","Direction=H","UseDPDF=Y")</f>
        <v>52510.1</v>
      </c>
      <c r="G36" s="16" cm="1">
        <f t="array" ref="G36">_xll.BDH("DE US Equity","BS_TOT_NON_CUR_ASSET","FQ3 2019","FQ3 2019","Currency=USD","Period=FQ","BEST_FPERIOD_OVERRIDE=FQ","FILING_STATUS=MR","SCALING_FORMAT=MLN","Sort=A","Dates=H","DateFormat=P","Fill=—","Direction=H","UseDPDF=Y")</f>
        <v>54488</v>
      </c>
      <c r="H36" s="16" cm="1">
        <f t="array" ref="H36">_xll.BDH("DE US Equity","BS_TOT_NON_CUR_ASSET","FQ4 2019","FQ4 2019","Currency=USD","Period=FQ","BEST_FPERIOD_OVERRIDE=FQ","FILING_STATUS=MR","SCALING_FORMAT=MLN","Sort=A","Dates=H","DateFormat=P","Fill=—","Direction=H","UseDPDF=Y")</f>
        <v>55835</v>
      </c>
      <c r="I36" s="16" cm="1">
        <f t="array" ref="I36">_xll.BDH("DE US Equity","BS_TOT_NON_CUR_ASSET","FQ1 2020","FQ1 2020","Currency=USD","Period=FQ","BEST_FPERIOD_OVERRIDE=FQ","FILING_STATUS=MR","SCALING_FORMAT=MLN","Sort=A","Dates=H","DateFormat=P","Fill=—","Direction=H","UseDPDF=Y")</f>
        <v>54363</v>
      </c>
      <c r="J36" s="16" cm="1">
        <f t="array" ref="J36">_xll.BDH("DE US Equity","BS_TOT_NON_CUR_ASSET","FQ2 2020","FQ2 2020","Currency=USD","Period=FQ","BEST_FPERIOD_OVERRIDE=FQ","FILING_STATUS=MR","SCALING_FORMAT=MLN","Sort=A","Dates=H","DateFormat=P","Fill=—","Direction=H","UseDPDF=Y")</f>
        <v>54399</v>
      </c>
      <c r="K36" s="16" cm="1">
        <f t="array" ref="K36">_xll.BDH("DE US Equity","BS_TOT_NON_CUR_ASSET","FQ3 2020","FQ3 2020","Currency=USD","Period=FQ","BEST_FPERIOD_OVERRIDE=FQ","FILING_STATUS=MR","SCALING_FORMAT=MLN","Sort=A","Dates=H","DateFormat=P","Fill=—","Direction=H","UseDPDF=Y")</f>
        <v>56068</v>
      </c>
      <c r="L36" s="16" cm="1">
        <f t="array" ref="L36">_xll.BDH("DE US Equity","BS_TOT_NON_CUR_ASSET","FQ4 2020","FQ4 2020","Currency=USD","Period=FQ","BEST_FPERIOD_OVERRIDE=FQ","FILING_STATUS=MR","SCALING_FORMAT=MLN","Sort=A","Dates=H","DateFormat=P","Fill=—","Direction=H","UseDPDF=Y")</f>
        <v>56963</v>
      </c>
      <c r="M36" s="16" cm="1">
        <f t="array" ref="M36">_xll.BDH("DE US Equity","BS_TOT_NON_CUR_ASSET","FQ1 2021","FQ1 2021","Currency=USD","Period=FQ","BEST_FPERIOD_OVERRIDE=FQ","FILING_STATUS=MR","SCALING_FORMAT=MLN","Sort=A","Dates=H","DateFormat=P","Fill=—","Direction=H","UseDPDF=Y")</f>
        <v>55689</v>
      </c>
      <c r="N36" s="16" cm="1">
        <f t="array" ref="N36">_xll.BDH("DE US Equity","BS_TOT_NON_CUR_ASSET","FQ2 2021","FQ2 2021","Currency=USD","Period=FQ","BEST_FPERIOD_OVERRIDE=FQ","FILING_STATUS=MR","SCALING_FORMAT=MLN","Sort=A","Dates=H","DateFormat=P","Fill=—","Direction=H","UseDPDF=Y")</f>
        <v>57425</v>
      </c>
      <c r="O36" s="16" cm="1">
        <f t="array" ref="O36">_xll.BDH("DE US Equity","BS_TOT_NON_CUR_ASSET","FQ3 2021","FQ3 2021","Currency=USD","Period=FQ","BEST_FPERIOD_OVERRIDE=FQ","FILING_STATUS=MR","SCALING_FORMAT=MLN","Sort=A","Dates=H","DateFormat=P","Fill=—","Direction=H","UseDPDF=Y")</f>
        <v>59101</v>
      </c>
      <c r="P36" s="16" cm="1">
        <f t="array" ref="P36">_xll.BDH("DE US Equity","BS_TOT_NON_CUR_ASSET","FQ4 2021","FQ4 2021","Currency=USD","Period=FQ","BEST_FPERIOD_OVERRIDE=FQ","FILING_STATUS=MR","SCALING_FORMAT=MLN","Sort=A","Dates=H","DateFormat=P","Fill=—","Direction=H","UseDPDF=Y")</f>
        <v>62615</v>
      </c>
      <c r="Q36" s="16" cm="1">
        <f t="array" ref="Q36">_xll.BDH("DE US Equity","BS_TOT_NON_CUR_ASSET","FQ1 2022","FQ1 2022","Currency=USD","Period=FQ","BEST_FPERIOD_OVERRIDE=FQ","FILING_STATUS=MR","SCALING_FORMAT=MLN","Sort=A","Dates=H","DateFormat=P","Fill=—","Direction=H","UseDPDF=Y")</f>
        <v>59681</v>
      </c>
      <c r="R36" s="16" cm="1">
        <f t="array" ref="R36">_xll.BDH("DE US Equity","BS_TOT_NON_CUR_ASSET","FQ2 2022","FQ2 2022","Currency=USD","Period=FQ","BEST_FPERIOD_OVERRIDE=FQ","FILING_STATUS=MR","SCALING_FORMAT=MLN","Sort=A","Dates=H","DateFormat=P","Fill=—","Direction=H","UseDPDF=Y")</f>
        <v>61945</v>
      </c>
      <c r="S36" s="16" cm="1">
        <f t="array" ref="S36">_xll.BDH("DE US Equity","BS_TOT_NON_CUR_ASSET","FQ3 2022","FQ3 2022","Currency=USD","Period=FQ","BEST_FPERIOD_OVERRIDE=FQ","FILING_STATUS=MR","SCALING_FORMAT=MLN","Sort=A","Dates=H","DateFormat=P","Fill=—","Direction=H","UseDPDF=Y")</f>
        <v>63923</v>
      </c>
      <c r="T36" s="16" cm="1">
        <f t="array" ref="T36">_xll.BDH("DE US Equity","BS_TOT_NON_CUR_ASSET","FQ4 2022","FQ4 2022","Currency=USD","Period=FQ","BEST_FPERIOD_OVERRIDE=FQ","FILING_STATUS=MR","SCALING_FORMAT=MLN","Sort=A","Dates=H","DateFormat=P","Fill=—","Direction=H","UseDPDF=Y")</f>
        <v>67125</v>
      </c>
      <c r="U36" s="16" cm="1">
        <f t="array" ref="U36">_xll.BDH("DE US Equity","BS_TOT_NON_CUR_ASSET","FQ1 2023","FQ1 2023","Currency=USD","Period=FQ","BEST_FPERIOD_OVERRIDE=FQ","FILING_STATUS=MR","SCALING_FORMAT=MLN","Sort=A","Dates=H","DateFormat=P","Fill=—","Direction=H","UseDPDF=Y")</f>
        <v>67135</v>
      </c>
      <c r="V36" s="16" cm="1">
        <f t="array" ref="V36">_xll.BDH("DE US Equity","BS_TOT_NON_CUR_ASSET","FQ2 2023","FQ2 2023","Currency=USD","Period=FQ","BEST_FPERIOD_OVERRIDE=FQ","FILING_STATUS=MR","SCALING_FORMAT=MLN","Sort=A","Dates=H","DateFormat=P","Fill=—","Direction=H","UseDPDF=Y")</f>
        <v>69947</v>
      </c>
      <c r="W36" s="16" cm="1">
        <f t="array" ref="W36">_xll.BDH("DE US Equity","BS_TOT_NON_CUR_ASSET","FQ3 2023","FQ3 2023","Currency=USD","Period=FQ","BEST_FPERIOD_OVERRIDE=FQ","FILING_STATUS=MR","SCALING_FORMAT=MLN","Sort=A","Dates=H","DateFormat=P","Fill=—","Direction=H","UseDPDF=Y")</f>
        <v>74215</v>
      </c>
      <c r="X36" s="16" cm="1">
        <f t="array" ref="X36">_xll.BDH("DE US Equity","BS_TOT_NON_CUR_ASSET","FQ4 2023","FQ4 2023","Currency=USD","Period=FQ","BEST_FPERIOD_OVERRIDE=FQ","FILING_STATUS=MR","SCALING_FORMAT=MLN","Sort=A","Dates=H","DateFormat=P","Fill=—","Direction=H","UseDPDF=Y")</f>
        <v>77161</v>
      </c>
      <c r="Y36" s="16" cm="1">
        <f t="array" ref="Y36">_xll.BDH("DE US Equity","BS_TOT_NON_CUR_ASSET","FQ1 2024","FQ1 2024","Currency=USD","Period=FQ","BEST_FPERIOD_OVERRIDE=FQ","FILING_STATUS=MR","SCALING_FORMAT=MLN","Sort=A","Dates=H","DateFormat=P","Fill=—","Direction=H","UseDPDF=Y")</f>
        <v>76349</v>
      </c>
      <c r="Z36" s="16" cm="1">
        <f t="array" ref="Z36">_xll.BDH("DE US Equity","BS_TOT_NON_CUR_ASSET","FQ2 2024","FQ2 2024","Currency=USD","Period=FQ","BEST_FPERIOD_OVERRIDE=FQ","FILING_STATUS=MR","SCALING_FORMAT=MLN","Sort=A","Dates=H","DateFormat=P","Fill=—","Direction=H","UseDPDF=Y")</f>
        <v>79123</v>
      </c>
      <c r="AA36" s="16" cm="1">
        <f t="array" ref="AA36">_xll.BDH("DE US Equity","BS_TOT_NON_CUR_ASSET","FQ3 2024","FQ3 2024","Currency=USD","Period=FQ","BEST_FPERIOD_OVERRIDE=FQ","FILING_STATUS=MR","SCALING_FORMAT=MLN","Sort=A","Dates=H","DateFormat=P","Fill=—","Direction=H","UseDPDF=Y")</f>
        <v>79297</v>
      </c>
      <c r="AB36" s="16" cm="1">
        <f t="array" ref="AB36">_xll.BDH("DE US Equity","BS_TOT_NON_CUR_ASSET","FQ4 2024","FQ4 2024","Currency=USD","Period=FQ","BEST_FPERIOD_OVERRIDE=FQ","FILING_STATUS=MR","SCALING_FORMAT=MLN","Sort=A","Dates=H","DateFormat=P","Fill=—","Direction=H","UseDPDF=Y")</f>
        <v>80934</v>
      </c>
      <c r="AC36" s="16" cm="1">
        <f t="array" ref="AC36">_xll.BDH("DE US Equity","BS_TOT_NON_CUR_ASSET","FQ1 2025","FQ1 2025","Currency=USD","Period=FQ","BEST_FPERIOD_OVERRIDE=FQ","FILING_STATUS=MR","SCALING_FORMAT=MLN","Sort=A","Dates=H","DateFormat=P","Fill=—","Direction=H","UseDPDF=Y")</f>
        <v>76721</v>
      </c>
      <c r="AD36" s="16" cm="1">
        <f t="array" ref="AD36">_xll.BDH("DE US Equity","BS_TOT_NON_CUR_ASSET","FQ2 2025","FQ2 2025","Currency=USD","Period=FQ","BEST_FPERIOD_OVERRIDE=FQ","FILING_STATUS=MR","SCALING_FORMAT=MLN","Sort=A","Dates=H","DateFormat=P","Fill=—","Direction=H","UseDPDF=Y")</f>
        <v>79447</v>
      </c>
      <c r="AE36" s="16" cm="1">
        <f t="array" ref="AE36">_xll.BDH("DE US Equity","BS_TOT_NON_CUR_ASSET","FQ3 2025","FQ3 2025","Currency=USD","Period=FQ","BEST_FPERIOD_OVERRIDE=FQ","FILING_STATUS=MR","SCALING_FORMAT=MLN","Sort=A","Dates=H","DateFormat=P","Fill=—","Direction=H","UseDPDF=Y")</f>
        <v>81188</v>
      </c>
      <c r="AF36" s="16" cm="1">
        <f t="array" ref="AF36">_xll.BDH("DE US Equity","BS_TOT_NON_CUR_ASSET","FQ4 2025","FQ4 2025","Currency=USD","Period=FQ","BEST_FPERIOD_OVERRIDE=FQ","FILING_STATUS=MR","SCALING_FORMAT=MLN","Sort=A","Dates=H","DateFormat=P","Fill=—","Direction=H","UseDPDF=Y")</f>
        <v>81183</v>
      </c>
    </row>
    <row r="37" spans="1:32" x14ac:dyDescent="0.25">
      <c r="A37" s="6" t="s">
        <v>65</v>
      </c>
      <c r="B37" s="6" t="s">
        <v>125</v>
      </c>
      <c r="C37" s="16" cm="1">
        <f t="array" ref="C37">_xll.BDH("DE US Equity","BS_TOT_ASSET","FQ3 2018","FQ3 2018","Currency=USD","Period=FQ","BEST_FPERIOD_OVERRIDE=FQ","FILING_STATUS=MR","SCALING_FORMAT=MLN","Sort=A","Dates=H","DateFormat=P","Fill=—","Direction=H","UseDPDF=Y")</f>
        <v>69390</v>
      </c>
      <c r="D37" s="16" cm="1">
        <f t="array" ref="D37">_xll.BDH("DE US Equity","BS_TOT_ASSET","FQ4 2018","FQ4 2018","Currency=USD","Period=FQ","BEST_FPERIOD_OVERRIDE=FQ","FILING_STATUS=MR","SCALING_FORMAT=MLN","Sort=A","Dates=H","DateFormat=P","Fill=—","Direction=H","UseDPDF=Y")</f>
        <v>70108</v>
      </c>
      <c r="E37" s="16" cm="1">
        <f t="array" ref="E37">_xll.BDH("DE US Equity","BS_TOT_ASSET","FQ1 2019","FQ1 2019","Currency=USD","Period=FQ","BEST_FPERIOD_OVERRIDE=FQ","FILING_STATUS=MR","SCALING_FORMAT=MLN","Sort=A","Dates=H","DateFormat=P","Fill=—","Direction=H","UseDPDF=Y")</f>
        <v>69918.2</v>
      </c>
      <c r="F37" s="16" cm="1">
        <f t="array" ref="F37">_xll.BDH("DE US Equity","BS_TOT_ASSET","FQ2 2019","FQ2 2019","Currency=USD","Period=FQ","BEST_FPERIOD_OVERRIDE=FQ","FILING_STATUS=MR","SCALING_FORMAT=MLN","Sort=A","Dates=H","DateFormat=P","Fill=—","Direction=H","UseDPDF=Y")</f>
        <v>72730</v>
      </c>
      <c r="G37" s="16" cm="1">
        <f t="array" ref="G37">_xll.BDH("DE US Equity","BS_TOT_ASSET","FQ3 2019","FQ3 2019","Currency=USD","Period=FQ","BEST_FPERIOD_OVERRIDE=FQ","FILING_STATUS=MR","SCALING_FORMAT=MLN","Sort=A","Dates=H","DateFormat=P","Fill=—","Direction=H","UseDPDF=Y")</f>
        <v>73530</v>
      </c>
      <c r="H37" s="16" cm="1">
        <f t="array" ref="H37">_xll.BDH("DE US Equity","BS_TOT_ASSET","FQ4 2019","FQ4 2019","Currency=USD","Period=FQ","BEST_FPERIOD_OVERRIDE=FQ","FILING_STATUS=MR","SCALING_FORMAT=MLN","Sort=A","Dates=H","DateFormat=P","Fill=—","Direction=H","UseDPDF=Y")</f>
        <v>73011</v>
      </c>
      <c r="I37" s="16" cm="1">
        <f t="array" ref="I37">_xll.BDH("DE US Equity","BS_TOT_ASSET","FQ1 2020","FQ1 2020","Currency=USD","Period=FQ","BEST_FPERIOD_OVERRIDE=FQ","FILING_STATUS=MR","SCALING_FORMAT=MLN","Sort=A","Dates=H","DateFormat=P","Fill=—","Direction=H","UseDPDF=Y")</f>
        <v>71821</v>
      </c>
      <c r="J37" s="16" cm="1">
        <f t="array" ref="J37">_xll.BDH("DE US Equity","BS_TOT_ASSET","FQ2 2020","FQ2 2020","Currency=USD","Period=FQ","BEST_FPERIOD_OVERRIDE=FQ","FILING_STATUS=MR","SCALING_FORMAT=MLN","Sort=A","Dates=H","DateFormat=P","Fill=—","Direction=H","UseDPDF=Y")</f>
        <v>77326</v>
      </c>
      <c r="K37" s="16" cm="1">
        <f t="array" ref="K37">_xll.BDH("DE US Equity","BS_TOT_ASSET","FQ3 2020","FQ3 2020","Currency=USD","Period=FQ","BEST_FPERIOD_OVERRIDE=FQ","FILING_STATUS=MR","SCALING_FORMAT=MLN","Sort=A","Dates=H","DateFormat=P","Fill=—","Direction=H","UseDPDF=Y")</f>
        <v>77264</v>
      </c>
      <c r="L37" s="16" cm="1">
        <f t="array" ref="L37">_xll.BDH("DE US Equity","BS_TOT_ASSET","FQ4 2020","FQ4 2020","Currency=USD","Period=FQ","BEST_FPERIOD_OVERRIDE=FQ","FILING_STATUS=MR","SCALING_FORMAT=MLN","Sort=A","Dates=H","DateFormat=P","Fill=—","Direction=H","UseDPDF=Y")</f>
        <v>75091</v>
      </c>
      <c r="M37" s="16" cm="1">
        <f t="array" ref="M37">_xll.BDH("DE US Equity","BS_TOT_ASSET","FQ1 2021","FQ1 2021","Currency=USD","Period=FQ","BEST_FPERIOD_OVERRIDE=FQ","FILING_STATUS=MR","SCALING_FORMAT=MLN","Sort=A","Dates=H","DateFormat=P","Fill=—","Direction=H","UseDPDF=Y")</f>
        <v>75480</v>
      </c>
      <c r="N37" s="16" cm="1">
        <f t="array" ref="N37">_xll.BDH("DE US Equity","BS_TOT_ASSET","FQ2 2021","FQ2 2021","Currency=USD","Period=FQ","BEST_FPERIOD_OVERRIDE=FQ","FILING_STATUS=MR","SCALING_FORMAT=MLN","Sort=A","Dates=H","DateFormat=P","Fill=—","Direction=H","UseDPDF=Y")</f>
        <v>78979</v>
      </c>
      <c r="O37" s="16" cm="1">
        <f t="array" ref="O37">_xll.BDH("DE US Equity","BS_TOT_ASSET","FQ3 2021","FQ3 2021","Currency=USD","Period=FQ","BEST_FPERIOD_OVERRIDE=FQ","FILING_STATUS=MR","SCALING_FORMAT=MLN","Sort=A","Dates=H","DateFormat=P","Fill=—","Direction=H","UseDPDF=Y")</f>
        <v>80688</v>
      </c>
      <c r="P37" s="16" cm="1">
        <f t="array" ref="P37">_xll.BDH("DE US Equity","BS_TOT_ASSET","FQ4 2021","FQ4 2021","Currency=USD","Period=FQ","BEST_FPERIOD_OVERRIDE=FQ","FILING_STATUS=MR","SCALING_FORMAT=MLN","Sort=A","Dates=H","DateFormat=P","Fill=—","Direction=H","UseDPDF=Y")</f>
        <v>84114</v>
      </c>
      <c r="Q37" s="16" cm="1">
        <f t="array" ref="Q37">_xll.BDH("DE US Equity","BS_TOT_ASSET","FQ1 2022","FQ1 2022","Currency=USD","Period=FQ","BEST_FPERIOD_OVERRIDE=FQ","FILING_STATUS=MR","SCALING_FORMAT=MLN","Sort=A","Dates=H","DateFormat=P","Fill=—","Direction=H","UseDPDF=Y")</f>
        <v>79614</v>
      </c>
      <c r="R37" s="16" cm="1">
        <f t="array" ref="R37">_xll.BDH("DE US Equity","BS_TOT_ASSET","FQ2 2022","FQ2 2022","Currency=USD","Period=FQ","BEST_FPERIOD_OVERRIDE=FQ","FILING_STATUS=MR","SCALING_FORMAT=MLN","Sort=A","Dates=H","DateFormat=P","Fill=—","Direction=H","UseDPDF=Y")</f>
        <v>84099</v>
      </c>
      <c r="S37" s="16" cm="1">
        <f t="array" ref="S37">_xll.BDH("DE US Equity","BS_TOT_ASSET","FQ3 2022","FQ3 2022","Currency=USD","Period=FQ","BEST_FPERIOD_OVERRIDE=FQ","FILING_STATUS=MR","SCALING_FORMAT=MLN","Sort=A","Dates=H","DateFormat=P","Fill=—","Direction=H","UseDPDF=Y")</f>
        <v>86817</v>
      </c>
      <c r="T37" s="16" cm="1">
        <f t="array" ref="T37">_xll.BDH("DE US Equity","BS_TOT_ASSET","FQ4 2022","FQ4 2022","Currency=USD","Period=FQ","BEST_FPERIOD_OVERRIDE=FQ","FILING_STATUS=MR","SCALING_FORMAT=MLN","Sort=A","Dates=H","DateFormat=P","Fill=—","Direction=H","UseDPDF=Y")</f>
        <v>90030</v>
      </c>
      <c r="U37" s="16" cm="1">
        <f t="array" ref="U37">_xll.BDH("DE US Equity","BS_TOT_ASSET","FQ1 2023","FQ1 2023","Currency=USD","Period=FQ","BEST_FPERIOD_OVERRIDE=FQ","FILING_STATUS=MR","SCALING_FORMAT=MLN","Sort=A","Dates=H","DateFormat=P","Fill=—","Direction=H","UseDPDF=Y")</f>
        <v>91620</v>
      </c>
      <c r="V37" s="16" cm="1">
        <f t="array" ref="V37">_xll.BDH("DE US Equity","BS_TOT_ASSET","FQ2 2023","FQ2 2023","Currency=USD","Period=FQ","BEST_FPERIOD_OVERRIDE=FQ","FILING_STATUS=MR","SCALING_FORMAT=MLN","Sort=A","Dates=H","DateFormat=P","Fill=—","Direction=H","UseDPDF=Y")</f>
        <v>98347</v>
      </c>
      <c r="W37" s="16" cm="1">
        <f t="array" ref="W37">_xll.BDH("DE US Equity","BS_TOT_ASSET","FQ3 2023","FQ3 2023","Currency=USD","Period=FQ","BEST_FPERIOD_OVERRIDE=FQ","FILING_STATUS=MR","SCALING_FORMAT=MLN","Sort=A","Dates=H","DateFormat=P","Fill=—","Direction=H","UseDPDF=Y")</f>
        <v>103397</v>
      </c>
      <c r="X37" s="16" cm="1">
        <f t="array" ref="X37">_xll.BDH("DE US Equity","BS_TOT_ASSET","FQ4 2023","FQ4 2023","Currency=USD","Period=FQ","BEST_FPERIOD_OVERRIDE=FQ","FILING_STATUS=MR","SCALING_FORMAT=MLN","Sort=A","Dates=H","DateFormat=P","Fill=—","Direction=H","UseDPDF=Y")</f>
        <v>104087</v>
      </c>
      <c r="Y37" s="16" cm="1">
        <f t="array" ref="Y37">_xll.BDH("DE US Equity","BS_TOT_ASSET","FQ1 2024","FQ1 2024","Currency=USD","Period=FQ","BEST_FPERIOD_OVERRIDE=FQ","FILING_STATUS=MR","SCALING_FORMAT=MLN","Sort=A","Dates=H","DateFormat=P","Fill=—","Direction=H","UseDPDF=Y")</f>
        <v>101371</v>
      </c>
      <c r="Z37" s="16" cm="1">
        <f t="array" ref="Z37">_xll.BDH("DE US Equity","BS_TOT_ASSET","FQ2 2024","FQ2 2024","Currency=USD","Period=FQ","BEST_FPERIOD_OVERRIDE=FQ","FILING_STATUS=MR","SCALING_FORMAT=MLN","Sort=A","Dates=H","DateFormat=P","Fill=—","Direction=H","UseDPDF=Y")</f>
        <v>105628</v>
      </c>
      <c r="AA37" s="16" cm="1">
        <f t="array" ref="AA37">_xll.BDH("DE US Equity","BS_TOT_ASSET","FQ3 2024","FQ3 2024","Currency=USD","Period=FQ","BEST_FPERIOD_OVERRIDE=FQ","FILING_STATUS=MR","SCALING_FORMAT=MLN","Sort=A","Dates=H","DateFormat=P","Fill=—","Direction=H","UseDPDF=Y")</f>
        <v>107841</v>
      </c>
      <c r="AB37" s="16" cm="1">
        <f t="array" ref="AB37">_xll.BDH("DE US Equity","BS_TOT_ASSET","FQ4 2024","FQ4 2024","Currency=USD","Period=FQ","BEST_FPERIOD_OVERRIDE=FQ","FILING_STATUS=MR","SCALING_FORMAT=MLN","Sort=A","Dates=H","DateFormat=P","Fill=—","Direction=H","UseDPDF=Y")</f>
        <v>107320</v>
      </c>
      <c r="AC37" s="16" cm="1">
        <f t="array" ref="AC37">_xll.BDH("DE US Equity","BS_TOT_ASSET","FQ1 2025","FQ1 2025","Currency=USD","Period=FQ","BEST_FPERIOD_OVERRIDE=FQ","FILING_STATUS=MR","SCALING_FORMAT=MLN","Sort=A","Dates=H","DateFormat=P","Fill=—","Direction=H","UseDPDF=Y")</f>
        <v>103119</v>
      </c>
      <c r="AD37" s="16" cm="1">
        <f t="array" ref="AD37">_xll.BDH("DE US Equity","BS_TOT_ASSET","FQ2 2025","FQ2 2025","Currency=USD","Period=FQ","BEST_FPERIOD_OVERRIDE=FQ","FILING_STATUS=MR","SCALING_FORMAT=MLN","Sort=A","Dates=H","DateFormat=P","Fill=—","Direction=H","UseDPDF=Y")</f>
        <v>106303</v>
      </c>
      <c r="AE37" s="16" cm="1">
        <f t="array" ref="AE37">_xll.BDH("DE US Equity","BS_TOT_ASSET","FQ3 2025","FQ3 2025","Currency=USD","Period=FQ","BEST_FPERIOD_OVERRIDE=FQ","FILING_STATUS=MR","SCALING_FORMAT=MLN","Sort=A","Dates=H","DateFormat=P","Fill=—","Direction=H","UseDPDF=Y")</f>
        <v>107817</v>
      </c>
      <c r="AF37" s="16" cm="1">
        <f t="array" ref="AF37">_xll.BDH("DE US Equity","BS_TOT_ASSET","FQ4 2025","FQ4 2025","Currency=USD","Period=FQ","BEST_FPERIOD_OVERRIDE=FQ","FILING_STATUS=MR","SCALING_FORMAT=MLN","Sort=A","Dates=H","DateFormat=P","Fill=—","Direction=H","UseDPDF=Y")</f>
        <v>105996</v>
      </c>
    </row>
    <row r="38" spans="1:32" x14ac:dyDescent="0.25">
      <c r="A38" s="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 x14ac:dyDescent="0.25">
      <c r="A39" s="6" t="s">
        <v>126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spans="1:32" x14ac:dyDescent="0.25">
      <c r="A40" s="10" t="s">
        <v>127</v>
      </c>
      <c r="B40" s="10" t="s">
        <v>128</v>
      </c>
      <c r="C40" s="13" cm="1">
        <f t="array" ref="C40">_xll.BDH("DE US Equity","ACCT_PAYABLE_ACCRUALS_DETAILED","FQ3 2018","FQ3 2018","Currency=USD","Period=FQ","BEST_FPERIOD_OVERRIDE=FQ","FILING_STATUS=MR","SCALING_FORMAT=MLN","Sort=A","Dates=H","DateFormat=P","Fill=—","Direction=H","UseDPDF=Y")</f>
        <v>9099</v>
      </c>
      <c r="D40" s="13" cm="1">
        <f t="array" ref="D40">_xll.BDH("DE US Equity","ACCT_PAYABLE_ACCRUALS_DETAILED","FQ4 2018","FQ4 2018","Currency=USD","Period=FQ","BEST_FPERIOD_OVERRIDE=FQ","FILING_STATUS=MR","SCALING_FORMAT=MLN","Sort=A","Dates=H","DateFormat=P","Fill=—","Direction=H","UseDPDF=Y")</f>
        <v>8162</v>
      </c>
      <c r="E40" s="13" cm="1">
        <f t="array" ref="E40">_xll.BDH("DE US Equity","ACCT_PAYABLE_ACCRUALS_DETAILED","FQ1 2019","FQ1 2019","Currency=USD","Period=FQ","BEST_FPERIOD_OVERRIDE=FQ","FILING_STATUS=MR","SCALING_FORMAT=MLN","Sort=A","Dates=H","DateFormat=P","Fill=—","Direction=H","UseDPDF=Y")</f>
        <v>8790</v>
      </c>
      <c r="F40" s="13" cm="1">
        <f t="array" ref="F40">_xll.BDH("DE US Equity","ACCT_PAYABLE_ACCRUALS_DETAILED","FQ2 2019","FQ2 2019","Currency=USD","Period=FQ","BEST_FPERIOD_OVERRIDE=FQ","FILING_STATUS=MR","SCALING_FORMAT=MLN","Sort=A","Dates=H","DateFormat=P","Fill=—","Direction=H","UseDPDF=Y")</f>
        <v>9411</v>
      </c>
      <c r="G40" s="13" cm="1">
        <f t="array" ref="G40">_xll.BDH("DE US Equity","ACCT_PAYABLE_ACCRUALS_DETAILED","FQ3 2019","FQ3 2019","Currency=USD","Period=FQ","BEST_FPERIOD_OVERRIDE=FQ","FILING_STATUS=MR","SCALING_FORMAT=MLN","Sort=A","Dates=H","DateFormat=P","Fill=—","Direction=H","UseDPDF=Y")</f>
        <v>9244</v>
      </c>
      <c r="H40" s="13" cm="1">
        <f t="array" ref="H40">_xll.BDH("DE US Equity","ACCT_PAYABLE_ACCRUALS_DETAILED","FQ4 2019","FQ4 2019","Currency=USD","Period=FQ","BEST_FPERIOD_OVERRIDE=FQ","FILING_STATUS=MR","SCALING_FORMAT=MLN","Sort=A","Dates=H","DateFormat=P","Fill=—","Direction=H","UseDPDF=Y")</f>
        <v>7882</v>
      </c>
      <c r="I40" s="13" cm="1">
        <f t="array" ref="I40">_xll.BDH("DE US Equity","ACCT_PAYABLE_ACCRUALS_DETAILED","FQ1 2020","FQ1 2020","Currency=USD","Period=FQ","BEST_FPERIOD_OVERRIDE=FQ","FILING_STATUS=MR","SCALING_FORMAT=MLN","Sort=A","Dates=H","DateFormat=P","Fill=—","Direction=H","UseDPDF=Y")</f>
        <v>8172</v>
      </c>
      <c r="J40" s="13" cm="1">
        <f t="array" ref="J40">_xll.BDH("DE US Equity","ACCT_PAYABLE_ACCRUALS_DETAILED","FQ2 2020","FQ2 2020","Currency=USD","Period=FQ","BEST_FPERIOD_OVERRIDE=FQ","FILING_STATUS=MR","SCALING_FORMAT=MLN","Sort=A","Dates=H","DateFormat=P","Fill=—","Direction=H","UseDPDF=Y")</f>
        <v>8554</v>
      </c>
      <c r="K40" s="13" cm="1">
        <f t="array" ref="K40">_xll.BDH("DE US Equity","ACCT_PAYABLE_ACCRUALS_DETAILED","FQ3 2020","FQ3 2020","Currency=USD","Period=FQ","BEST_FPERIOD_OVERRIDE=FQ","FILING_STATUS=MR","SCALING_FORMAT=MLN","Sort=A","Dates=H","DateFormat=P","Fill=—","Direction=H","UseDPDF=Y")</f>
        <v>9077</v>
      </c>
      <c r="L40" s="13" cm="1">
        <f t="array" ref="L40">_xll.BDH("DE US Equity","ACCT_PAYABLE_ACCRUALS_DETAILED","FQ4 2020","FQ4 2020","Currency=USD","Period=FQ","BEST_FPERIOD_OVERRIDE=FQ","FILING_STATUS=MR","SCALING_FORMAT=MLN","Sort=A","Dates=H","DateFormat=P","Fill=—","Direction=H","UseDPDF=Y")</f>
        <v>8053</v>
      </c>
      <c r="M40" s="13" cm="1">
        <f t="array" ref="M40">_xll.BDH("DE US Equity","ACCT_PAYABLE_ACCRUALS_DETAILED","FQ1 2021","FQ1 2021","Currency=USD","Period=FQ","BEST_FPERIOD_OVERRIDE=FQ","FILING_STATUS=MR","SCALING_FORMAT=MLN","Sort=A","Dates=H","DateFormat=P","Fill=—","Direction=H","UseDPDF=Y")</f>
        <v>8916</v>
      </c>
      <c r="N40" s="13" cm="1">
        <f t="array" ref="N40">_xll.BDH("DE US Equity","ACCT_PAYABLE_ACCRUALS_DETAILED","FQ2 2021","FQ2 2021","Currency=USD","Period=FQ","BEST_FPERIOD_OVERRIDE=FQ","FILING_STATUS=MR","SCALING_FORMAT=MLN","Sort=A","Dates=H","DateFormat=P","Fill=—","Direction=H","UseDPDF=Y")</f>
        <v>10131</v>
      </c>
      <c r="O40" s="13" cm="1">
        <f t="array" ref="O40">_xll.BDH("DE US Equity","ACCT_PAYABLE_ACCRUALS_DETAILED","FQ3 2021","FQ3 2021","Currency=USD","Period=FQ","BEST_FPERIOD_OVERRIDE=FQ","FILING_STATUS=MR","SCALING_FORMAT=MLN","Sort=A","Dates=H","DateFormat=P","Fill=—","Direction=H","UseDPDF=Y")</f>
        <v>11055</v>
      </c>
      <c r="P40" s="13" cm="1">
        <f t="array" ref="P40">_xll.BDH("DE US Equity","ACCT_PAYABLE_ACCRUALS_DETAILED","FQ4 2021","FQ4 2021","Currency=USD","Period=FQ","BEST_FPERIOD_OVERRIDE=FQ","FILING_STATUS=MR","SCALING_FORMAT=MLN","Sort=A","Dates=H","DateFormat=P","Fill=—","Direction=H","UseDPDF=Y")</f>
        <v>10823</v>
      </c>
      <c r="Q40" s="13" cm="1">
        <f t="array" ref="Q40">_xll.BDH("DE US Equity","ACCT_PAYABLE_ACCRUALS_DETAILED","FQ1 2022","FQ1 2022","Currency=USD","Period=FQ","BEST_FPERIOD_OVERRIDE=FQ","FILING_STATUS=MR","SCALING_FORMAT=MLN","Sort=A","Dates=H","DateFormat=P","Fill=—","Direction=H","UseDPDF=Y")</f>
        <v>9156</v>
      </c>
      <c r="R40" s="13" cm="1">
        <f t="array" ref="R40">_xll.BDH("DE US Equity","ACCT_PAYABLE_ACCRUALS_DETAILED","FQ2 2022","FQ2 2022","Currency=USD","Period=FQ","BEST_FPERIOD_OVERRIDE=FQ","FILING_STATUS=MR","SCALING_FORMAT=MLN","Sort=A","Dates=H","DateFormat=P","Fill=—","Direction=H","UseDPDF=Y")</f>
        <v>11899</v>
      </c>
      <c r="S40" s="13" cm="1">
        <f t="array" ref="S40">_xll.BDH("DE US Equity","ACCT_PAYABLE_ACCRUALS_DETAILED","FQ3 2022","FQ3 2022","Currency=USD","Period=FQ","BEST_FPERIOD_OVERRIDE=FQ","FILING_STATUS=MR","SCALING_FORMAT=MLN","Sort=A","Dates=H","DateFormat=P","Fill=—","Direction=H","UseDPDF=Y")</f>
        <v>12319</v>
      </c>
      <c r="T40" s="13" cm="1">
        <f t="array" ref="T40">_xll.BDH("DE US Equity","ACCT_PAYABLE_ACCRUALS_DETAILED","FQ4 2022","FQ4 2022","Currency=USD","Period=FQ","BEST_FPERIOD_OVERRIDE=FQ","FILING_STATUS=MR","SCALING_FORMAT=MLN","Sort=A","Dates=H","DateFormat=P","Fill=—","Direction=H","UseDPDF=Y")</f>
        <v>12333</v>
      </c>
      <c r="U40" s="13" cm="1">
        <f t="array" ref="U40">_xll.BDH("DE US Equity","ACCT_PAYABLE_ACCRUALS_DETAILED","FQ1 2023","FQ1 2023","Currency=USD","Period=FQ","BEST_FPERIOD_OVERRIDE=FQ","FILING_STATUS=MR","SCALING_FORMAT=MLN","Sort=A","Dates=H","DateFormat=P","Fill=—","Direction=H","UseDPDF=Y")</f>
        <v>11210</v>
      </c>
      <c r="V40" s="13" cm="1">
        <f t="array" ref="V40">_xll.BDH("DE US Equity","ACCT_PAYABLE_ACCRUALS_DETAILED","FQ2 2023","FQ2 2023","Currency=USD","Period=FQ","BEST_FPERIOD_OVERRIDE=FQ","FILING_STATUS=MR","SCALING_FORMAT=MLN","Sort=A","Dates=H","DateFormat=P","Fill=—","Direction=H","UseDPDF=Y")</f>
        <v>12844</v>
      </c>
      <c r="W40" s="13" cm="1">
        <f t="array" ref="W40">_xll.BDH("DE US Equity","ACCT_PAYABLE_ACCRUALS_DETAILED","FQ3 2023","FQ3 2023","Currency=USD","Period=FQ","BEST_FPERIOD_OVERRIDE=FQ","FILING_STATUS=MR","SCALING_FORMAT=MLN","Sort=A","Dates=H","DateFormat=P","Fill=—","Direction=H","UseDPDF=Y")</f>
        <v>13210</v>
      </c>
      <c r="X40" s="13" cm="1">
        <f t="array" ref="X40">_xll.BDH("DE US Equity","ACCT_PAYABLE_ACCRUALS_DETAILED","FQ4 2023","FQ4 2023","Currency=USD","Period=FQ","BEST_FPERIOD_OVERRIDE=FQ","FILING_STATUS=MR","SCALING_FORMAT=MLN","Sort=A","Dates=H","DateFormat=P","Fill=—","Direction=H","UseDPDF=Y")</f>
        <v>13592</v>
      </c>
      <c r="Y40" s="13" cm="1">
        <f t="array" ref="Y40">_xll.BDH("DE US Equity","ACCT_PAYABLE_ACCRUALS_DETAILED","FQ1 2024","FQ1 2024","Currency=USD","Period=FQ","BEST_FPERIOD_OVERRIDE=FQ","FILING_STATUS=MR","SCALING_FORMAT=MLN","Sort=A","Dates=H","DateFormat=P","Fill=—","Direction=H","UseDPDF=Y")</f>
        <v>12621</v>
      </c>
      <c r="Z40" s="13" cm="1">
        <f t="array" ref="Z40">_xll.BDH("DE US Equity","ACCT_PAYABLE_ACCRUALS_DETAILED","FQ2 2024","FQ2 2024","Currency=USD","Period=FQ","BEST_FPERIOD_OVERRIDE=FQ","FILING_STATUS=MR","SCALING_FORMAT=MLN","Sort=A","Dates=H","DateFormat=P","Fill=—","Direction=H","UseDPDF=Y")</f>
        <v>12320</v>
      </c>
      <c r="AA40" s="13" cm="1">
        <f t="array" ref="AA40">_xll.BDH("DE US Equity","ACCT_PAYABLE_ACCRUALS_DETAILED","FQ3 2024","FQ3 2024","Currency=USD","Period=FQ","BEST_FPERIOD_OVERRIDE=FQ","FILING_STATUS=MR","SCALING_FORMAT=MLN","Sort=A","Dates=H","DateFormat=P","Fill=—","Direction=H","UseDPDF=Y")</f>
        <v>12569</v>
      </c>
      <c r="AB40" s="13" cm="1">
        <f t="array" ref="AB40">_xll.BDH("DE US Equity","ACCT_PAYABLE_ACCRUALS_DETAILED","FQ4 2024","FQ4 2024","Currency=USD","Period=FQ","BEST_FPERIOD_OVERRIDE=FQ","FILING_STATUS=MR","SCALING_FORMAT=MLN","Sort=A","Dates=H","DateFormat=P","Fill=—","Direction=H","UseDPDF=Y")</f>
        <v>12452</v>
      </c>
      <c r="AC40" s="13" cm="1">
        <f t="array" ref="AC40">_xll.BDH("DE US Equity","ACCT_PAYABLE_ACCRUALS_DETAILED","FQ1 2025","FQ1 2025","Currency=USD","Period=FQ","BEST_FPERIOD_OVERRIDE=FQ","FILING_STATUS=MR","SCALING_FORMAT=MLN","Sort=A","Dates=H","DateFormat=P","Fill=—","Direction=H","UseDPDF=Y")</f>
        <v>11946</v>
      </c>
      <c r="AD40" s="13" cm="1">
        <f t="array" ref="AD40">_xll.BDH("DE US Equity","ACCT_PAYABLE_ACCRUALS_DETAILED","FQ2 2025","FQ2 2025","Currency=USD","Period=FQ","BEST_FPERIOD_OVERRIDE=FQ","FILING_STATUS=MR","SCALING_FORMAT=MLN","Sort=A","Dates=H","DateFormat=P","Fill=—","Direction=H","UseDPDF=Y")</f>
        <v>11312</v>
      </c>
      <c r="AE40" s="13" cm="1">
        <f t="array" ref="AE40">_xll.BDH("DE US Equity","ACCT_PAYABLE_ACCRUALS_DETAILED","FQ3 2025","FQ3 2025","Currency=USD","Period=FQ","BEST_FPERIOD_OVERRIDE=FQ","FILING_STATUS=MR","SCALING_FORMAT=MLN","Sort=A","Dates=H","DateFormat=P","Fill=—","Direction=H","UseDPDF=Y")</f>
        <v>11674</v>
      </c>
      <c r="AF40" s="13" cm="1">
        <f t="array" ref="AF40">_xll.BDH("DE US Equity","ACCT_PAYABLE_ACCRUALS_DETAILED","FQ4 2025","FQ4 2025","Currency=USD","Period=FQ","BEST_FPERIOD_OVERRIDE=FQ","FILING_STATUS=MR","SCALING_FORMAT=MLN","Sort=A","Dates=H","DateFormat=P","Fill=—","Direction=H","UseDPDF=Y")</f>
        <v>11835</v>
      </c>
    </row>
    <row r="41" spans="1:32" x14ac:dyDescent="0.25">
      <c r="A41" s="10" t="s">
        <v>129</v>
      </c>
      <c r="B41" s="10" t="s">
        <v>130</v>
      </c>
      <c r="C41" s="13" t="str" cm="1">
        <f t="array" ref="C41">_xll.BDH("DE US Equity","BS_ACCT_PAYABLE","FQ3 2018","FQ3 2018","Currency=USD","Period=FQ","BEST_FPERIOD_OVERRIDE=FQ","FILING_STATUS=MR","SCALING_FORMAT=MLN","Sort=A","Dates=H","DateFormat=P","Fill=—","Direction=H","UseDPDF=Y")</f>
        <v>—</v>
      </c>
      <c r="D41" s="13" cm="1">
        <f t="array" ref="D41">_xll.BDH("DE US Equity","BS_ACCT_PAYABLE","FQ4 2018","FQ4 2018","Currency=USD","Period=FQ","BEST_FPERIOD_OVERRIDE=FQ","FILING_STATUS=MR","SCALING_FORMAT=MLN","Sort=A","Dates=H","DateFormat=P","Fill=—","Direction=H","UseDPDF=Y")</f>
        <v>2466</v>
      </c>
      <c r="E41" s="13" t="str" cm="1">
        <f t="array" ref="E41">_xll.BDH("DE US Equity","BS_ACCT_PAYABLE","FQ1 2019","FQ1 2019","Currency=USD","Period=FQ","BEST_FPERIOD_OVERRIDE=FQ","FILING_STATUS=MR","SCALING_FORMAT=MLN","Sort=A","Dates=H","DateFormat=P","Fill=—","Direction=H","UseDPDF=Y")</f>
        <v>—</v>
      </c>
      <c r="F41" s="13" t="str" cm="1">
        <f t="array" ref="F41">_xll.BDH("DE US Equity","BS_ACCT_PAYABLE","FQ2 2019","FQ2 2019","Currency=USD","Period=FQ","BEST_FPERIOD_OVERRIDE=FQ","FILING_STATUS=MR","SCALING_FORMAT=MLN","Sort=A","Dates=H","DateFormat=P","Fill=—","Direction=H","UseDPDF=Y")</f>
        <v>—</v>
      </c>
      <c r="G41" s="13" t="str" cm="1">
        <f t="array" ref="G41">_xll.BDH("DE US Equity","BS_ACCT_PAYABLE","FQ3 2019","FQ3 2019","Currency=USD","Period=FQ","BEST_FPERIOD_OVERRIDE=FQ","FILING_STATUS=MR","SCALING_FORMAT=MLN","Sort=A","Dates=H","DateFormat=P","Fill=—","Direction=H","UseDPDF=Y")</f>
        <v>—</v>
      </c>
      <c r="H41" s="13" cm="1">
        <f t="array" ref="H41">_xll.BDH("DE US Equity","BS_ACCT_PAYABLE","FQ4 2019","FQ4 2019","Currency=USD","Period=FQ","BEST_FPERIOD_OVERRIDE=FQ","FILING_STATUS=MR","SCALING_FORMAT=MLN","Sort=A","Dates=H","DateFormat=P","Fill=—","Direction=H","UseDPDF=Y")</f>
        <v>1996</v>
      </c>
      <c r="I41" s="13" t="str" cm="1">
        <f t="array" ref="I41">_xll.BDH("DE US Equity","BS_ACCT_PAYABLE","FQ1 2020","FQ1 2020","Currency=USD","Period=FQ","BEST_FPERIOD_OVERRIDE=FQ","FILING_STATUS=MR","SCALING_FORMAT=MLN","Sort=A","Dates=H","DateFormat=P","Fill=—","Direction=H","UseDPDF=Y")</f>
        <v>—</v>
      </c>
      <c r="J41" s="13" t="str" cm="1">
        <f t="array" ref="J41">_xll.BDH("DE US Equity","BS_ACCT_PAYABLE","FQ2 2020","FQ2 2020","Currency=USD","Period=FQ","BEST_FPERIOD_OVERRIDE=FQ","FILING_STATUS=MR","SCALING_FORMAT=MLN","Sort=A","Dates=H","DateFormat=P","Fill=—","Direction=H","UseDPDF=Y")</f>
        <v>—</v>
      </c>
      <c r="K41" s="13" t="str" cm="1">
        <f t="array" ref="K41">_xll.BDH("DE US Equity","BS_ACCT_PAYABLE","FQ3 2020","FQ3 2020","Currency=USD","Period=FQ","BEST_FPERIOD_OVERRIDE=FQ","FILING_STATUS=MR","SCALING_FORMAT=MLN","Sort=A","Dates=H","DateFormat=P","Fill=—","Direction=H","UseDPDF=Y")</f>
        <v>—</v>
      </c>
      <c r="L41" s="13" cm="1">
        <f t="array" ref="L41">_xll.BDH("DE US Equity","BS_ACCT_PAYABLE","FQ4 2020","FQ4 2020","Currency=USD","Period=FQ","BEST_FPERIOD_OVERRIDE=FQ","FILING_STATUS=MR","SCALING_FORMAT=MLN","Sort=A","Dates=H","DateFormat=P","Fill=—","Direction=H","UseDPDF=Y")</f>
        <v>2786</v>
      </c>
      <c r="M41" s="13" t="str" cm="1">
        <f t="array" ref="M41">_xll.BDH("DE US Equity","BS_ACCT_PAYABLE","FQ1 2021","FQ1 2021","Currency=USD","Period=FQ","BEST_FPERIOD_OVERRIDE=FQ","FILING_STATUS=MR","SCALING_FORMAT=MLN","Sort=A","Dates=H","DateFormat=P","Fill=—","Direction=H","UseDPDF=Y")</f>
        <v>—</v>
      </c>
      <c r="N41" s="13" t="str" cm="1">
        <f t="array" ref="N41">_xll.BDH("DE US Equity","BS_ACCT_PAYABLE","FQ2 2021","FQ2 2021","Currency=USD","Period=FQ","BEST_FPERIOD_OVERRIDE=FQ","FILING_STATUS=MR","SCALING_FORMAT=MLN","Sort=A","Dates=H","DateFormat=P","Fill=—","Direction=H","UseDPDF=Y")</f>
        <v>—</v>
      </c>
      <c r="O41" s="13" cm="1">
        <f t="array" ref="O41">_xll.BDH("DE US Equity","BS_ACCT_PAYABLE","FQ3 2021","FQ3 2021","Currency=USD","Period=FQ","BEST_FPERIOD_OVERRIDE=FQ","FILING_STATUS=MR","SCALING_FORMAT=MLN","Sort=A","Dates=H","DateFormat=P","Fill=—","Direction=H","UseDPDF=Y")</f>
        <v>11055</v>
      </c>
      <c r="P41" s="13" cm="1">
        <f t="array" ref="P41">_xll.BDH("DE US Equity","BS_ACCT_PAYABLE","FQ4 2021","FQ4 2021","Currency=USD","Period=FQ","BEST_FPERIOD_OVERRIDE=FQ","FILING_STATUS=MR","SCALING_FORMAT=MLN","Sort=A","Dates=H","DateFormat=P","Fill=—","Direction=H","UseDPDF=Y")</f>
        <v>3332</v>
      </c>
      <c r="Q41" s="13" cm="1">
        <f t="array" ref="Q41">_xll.BDH("DE US Equity","BS_ACCT_PAYABLE","FQ1 2022","FQ1 2022","Currency=USD","Period=FQ","BEST_FPERIOD_OVERRIDE=FQ","FILING_STATUS=MR","SCALING_FORMAT=MLN","Sort=A","Dates=H","DateFormat=P","Fill=—","Direction=H","UseDPDF=Y")</f>
        <v>3195</v>
      </c>
      <c r="R41" s="13" cm="1">
        <f t="array" ref="R41">_xll.BDH("DE US Equity","BS_ACCT_PAYABLE","FQ2 2022","FQ2 2022","Currency=USD","Period=FQ","BEST_FPERIOD_OVERRIDE=FQ","FILING_STATUS=MR","SCALING_FORMAT=MLN","Sort=A","Dates=H","DateFormat=P","Fill=—","Direction=H","UseDPDF=Y")</f>
        <v>12679</v>
      </c>
      <c r="S41" s="13" cm="1">
        <f t="array" ref="S41">_xll.BDH("DE US Equity","BS_ACCT_PAYABLE","FQ3 2022","FQ3 2022","Currency=USD","Period=FQ","BEST_FPERIOD_OVERRIDE=FQ","FILING_STATUS=MR","SCALING_FORMAT=MLN","Sort=A","Dates=H","DateFormat=P","Fill=—","Direction=H","UseDPDF=Y")</f>
        <v>12319</v>
      </c>
      <c r="T41" s="13" cm="1">
        <f t="array" ref="T41">_xll.BDH("DE US Equity","BS_ACCT_PAYABLE","FQ4 2022","FQ4 2022","Currency=USD","Period=FQ","BEST_FPERIOD_OVERRIDE=FQ","FILING_STATUS=MR","SCALING_FORMAT=MLN","Sort=A","Dates=H","DateFormat=P","Fill=—","Direction=H","UseDPDF=Y")</f>
        <v>4108</v>
      </c>
      <c r="U41" s="13" cm="1">
        <f t="array" ref="U41">_xll.BDH("DE US Equity","BS_ACCT_PAYABLE","FQ1 2023","FQ1 2023","Currency=USD","Period=FQ","BEST_FPERIOD_OVERRIDE=FQ","FILING_STATUS=MR","SCALING_FORMAT=MLN","Sort=A","Dates=H","DateFormat=P","Fill=—","Direction=H","UseDPDF=Y")</f>
        <v>3772</v>
      </c>
      <c r="V41" s="13" cm="1">
        <f t="array" ref="V41">_xll.BDH("DE US Equity","BS_ACCT_PAYABLE","FQ2 2023","FQ2 2023","Currency=USD","Period=FQ","BEST_FPERIOD_OVERRIDE=FQ","FILING_STATUS=MR","SCALING_FORMAT=MLN","Sort=A","Dates=H","DateFormat=P","Fill=—","Direction=H","UseDPDF=Y")</f>
        <v>3811</v>
      </c>
      <c r="W41" s="13" cm="1">
        <f t="array" ref="W41">_xll.BDH("DE US Equity","BS_ACCT_PAYABLE","FQ3 2023","FQ3 2023","Currency=USD","Period=FQ","BEST_FPERIOD_OVERRIDE=FQ","FILING_STATUS=MR","SCALING_FORMAT=MLN","Sort=A","Dates=H","DateFormat=P","Fill=—","Direction=H","UseDPDF=Y")</f>
        <v>3481</v>
      </c>
      <c r="X41" s="13" cm="1">
        <f t="array" ref="X41">_xll.BDH("DE US Equity","BS_ACCT_PAYABLE","FQ4 2023","FQ4 2023","Currency=USD","Period=FQ","BEST_FPERIOD_OVERRIDE=FQ","FILING_STATUS=MR","SCALING_FORMAT=MLN","Sort=A","Dates=H","DateFormat=P","Fill=—","Direction=H","UseDPDF=Y")</f>
        <v>3620</v>
      </c>
      <c r="Y41" s="13" cm="1">
        <f t="array" ref="Y41">_xll.BDH("DE US Equity","BS_ACCT_PAYABLE","FQ1 2024","FQ1 2024","Currency=USD","Period=FQ","BEST_FPERIOD_OVERRIDE=FQ","FILING_STATUS=MR","SCALING_FORMAT=MLN","Sort=A","Dates=H","DateFormat=P","Fill=—","Direction=H","UseDPDF=Y")</f>
        <v>3184</v>
      </c>
      <c r="Z41" s="13" cm="1">
        <f t="array" ref="Z41">_xll.BDH("DE US Equity","BS_ACCT_PAYABLE","FQ2 2024","FQ2 2024","Currency=USD","Period=FQ","BEST_FPERIOD_OVERRIDE=FQ","FILING_STATUS=MR","SCALING_FORMAT=MLN","Sort=A","Dates=H","DateFormat=P","Fill=—","Direction=H","UseDPDF=Y")</f>
        <v>3152</v>
      </c>
      <c r="AA41" s="13" cm="1">
        <f t="array" ref="AA41">_xll.BDH("DE US Equity","BS_ACCT_PAYABLE","FQ3 2024","FQ3 2024","Currency=USD","Period=FQ","BEST_FPERIOD_OVERRIDE=FQ","FILING_STATUS=MR","SCALING_FORMAT=MLN","Sort=A","Dates=H","DateFormat=P","Fill=—","Direction=H","UseDPDF=Y")</f>
        <v>2753</v>
      </c>
      <c r="AB41" s="13" cm="1">
        <f t="array" ref="AB41">_xll.BDH("DE US Equity","BS_ACCT_PAYABLE","FQ4 2024","FQ4 2024","Currency=USD","Period=FQ","BEST_FPERIOD_OVERRIDE=FQ","FILING_STATUS=MR","SCALING_FORMAT=MLN","Sort=A","Dates=H","DateFormat=P","Fill=—","Direction=H","UseDPDF=Y")</f>
        <v>2902</v>
      </c>
      <c r="AC41" s="13" cm="1">
        <f t="array" ref="AC41">_xll.BDH("DE US Equity","BS_ACCT_PAYABLE","FQ1 2025","FQ1 2025","Currency=USD","Period=FQ","BEST_FPERIOD_OVERRIDE=FQ","FILING_STATUS=MR","SCALING_FORMAT=MLN","Sort=A","Dates=H","DateFormat=P","Fill=—","Direction=H","UseDPDF=Y")</f>
        <v>2393</v>
      </c>
      <c r="AD41" s="13" cm="1">
        <f t="array" ref="AD41">_xll.BDH("DE US Equity","BS_ACCT_PAYABLE","FQ2 2025","FQ2 2025","Currency=USD","Period=FQ","BEST_FPERIOD_OVERRIDE=FQ","FILING_STATUS=MR","SCALING_FORMAT=MLN","Sort=A","Dates=H","DateFormat=P","Fill=—","Direction=H","UseDPDF=Y")</f>
        <v>3010</v>
      </c>
      <c r="AE41" s="13" cm="1">
        <f t="array" ref="AE41">_xll.BDH("DE US Equity","BS_ACCT_PAYABLE","FQ3 2025","FQ3 2025","Currency=USD","Period=FQ","BEST_FPERIOD_OVERRIDE=FQ","FILING_STATUS=MR","SCALING_FORMAT=MLN","Sort=A","Dates=H","DateFormat=P","Fill=—","Direction=H","UseDPDF=Y")</f>
        <v>2933</v>
      </c>
      <c r="AF41" s="13" cm="1">
        <f t="array" ref="AF41">_xll.BDH("DE US Equity","BS_ACCT_PAYABLE","FQ4 2025","FQ4 2025","Currency=USD","Period=FQ","BEST_FPERIOD_OVERRIDE=FQ","FILING_STATUS=MR","SCALING_FORMAT=MLN","Sort=A","Dates=H","DateFormat=P","Fill=—","Direction=H","UseDPDF=Y")</f>
        <v>3176</v>
      </c>
    </row>
    <row r="42" spans="1:32" x14ac:dyDescent="0.25">
      <c r="A42" s="10" t="s">
        <v>131</v>
      </c>
      <c r="B42" s="10" t="s">
        <v>132</v>
      </c>
      <c r="C42" s="13" t="str" cm="1">
        <f t="array" ref="C42">_xll.BDH("DE US Equity","BS_TAXES_PAYABLE","FQ3 2018","FQ3 2018","Currency=USD","Period=FQ","BEST_FPERIOD_OVERRIDE=FQ","FILING_STATUS=MR","SCALING_FORMAT=MLN","Sort=A","Dates=H","DateFormat=P","Fill=—","Direction=H","UseDPDF=Y")</f>
        <v>—</v>
      </c>
      <c r="D42" s="13" cm="1">
        <f t="array" ref="D42">_xll.BDH("DE US Equity","BS_TAXES_PAYABLE","FQ4 2018","FQ4 2018","Currency=USD","Period=FQ","BEST_FPERIOD_OVERRIDE=FQ","FILING_STATUS=MR","SCALING_FORMAT=MLN","Sort=A","Dates=H","DateFormat=P","Fill=—","Direction=H","UseDPDF=Y")</f>
        <v>836</v>
      </c>
      <c r="E42" s="13" t="str" cm="1">
        <f t="array" ref="E42">_xll.BDH("DE US Equity","BS_TAXES_PAYABLE","FQ1 2019","FQ1 2019","Currency=USD","Period=FQ","BEST_FPERIOD_OVERRIDE=FQ","FILING_STATUS=MR","SCALING_FORMAT=MLN","Sort=A","Dates=H","DateFormat=P","Fill=—","Direction=H","UseDPDF=Y")</f>
        <v>—</v>
      </c>
      <c r="F42" s="13" t="str" cm="1">
        <f t="array" ref="F42">_xll.BDH("DE US Equity","BS_TAXES_PAYABLE","FQ2 2019","FQ2 2019","Currency=USD","Period=FQ","BEST_FPERIOD_OVERRIDE=FQ","FILING_STATUS=MR","SCALING_FORMAT=MLN","Sort=A","Dates=H","DateFormat=P","Fill=—","Direction=H","UseDPDF=Y")</f>
        <v>—</v>
      </c>
      <c r="G42" s="13" t="str" cm="1">
        <f t="array" ref="G42">_xll.BDH("DE US Equity","BS_TAXES_PAYABLE","FQ3 2019","FQ3 2019","Currency=USD","Period=FQ","BEST_FPERIOD_OVERRIDE=FQ","FILING_STATUS=MR","SCALING_FORMAT=MLN","Sort=A","Dates=H","DateFormat=P","Fill=—","Direction=H","UseDPDF=Y")</f>
        <v>—</v>
      </c>
      <c r="H42" s="13" cm="1">
        <f t="array" ref="H42">_xll.BDH("DE US Equity","BS_TAXES_PAYABLE","FQ4 2019","FQ4 2019","Currency=USD","Period=FQ","BEST_FPERIOD_OVERRIDE=FQ","FILING_STATUS=MR","SCALING_FORMAT=MLN","Sort=A","Dates=H","DateFormat=P","Fill=—","Direction=H","UseDPDF=Y")</f>
        <v>734</v>
      </c>
      <c r="I42" s="13" t="str" cm="1">
        <f t="array" ref="I42">_xll.BDH("DE US Equity","BS_TAXES_PAYABLE","FQ1 2020","FQ1 2020","Currency=USD","Period=FQ","BEST_FPERIOD_OVERRIDE=FQ","FILING_STATUS=MR","SCALING_FORMAT=MLN","Sort=A","Dates=H","DateFormat=P","Fill=—","Direction=H","UseDPDF=Y")</f>
        <v>—</v>
      </c>
      <c r="J42" s="13" t="str" cm="1">
        <f t="array" ref="J42">_xll.BDH("DE US Equity","BS_TAXES_PAYABLE","FQ2 2020","FQ2 2020","Currency=USD","Period=FQ","BEST_FPERIOD_OVERRIDE=FQ","FILING_STATUS=MR","SCALING_FORMAT=MLN","Sort=A","Dates=H","DateFormat=P","Fill=—","Direction=H","UseDPDF=Y")</f>
        <v>—</v>
      </c>
      <c r="K42" s="13" t="str" cm="1">
        <f t="array" ref="K42">_xll.BDH("DE US Equity","BS_TAXES_PAYABLE","FQ3 2020","FQ3 2020","Currency=USD","Period=FQ","BEST_FPERIOD_OVERRIDE=FQ","FILING_STATUS=MR","SCALING_FORMAT=MLN","Sort=A","Dates=H","DateFormat=P","Fill=—","Direction=H","UseDPDF=Y")</f>
        <v>—</v>
      </c>
      <c r="L42" s="13" cm="1">
        <f t="array" ref="L42">_xll.BDH("DE US Equity","BS_TAXES_PAYABLE","FQ4 2020","FQ4 2020","Currency=USD","Period=FQ","BEST_FPERIOD_OVERRIDE=FQ","FILING_STATUS=MR","SCALING_FORMAT=MLN","Sort=A","Dates=H","DateFormat=P","Fill=—","Direction=H","UseDPDF=Y")</f>
        <v>730</v>
      </c>
      <c r="M42" s="13" t="str" cm="1">
        <f t="array" ref="M42">_xll.BDH("DE US Equity","BS_TAXES_PAYABLE","FQ1 2021","FQ1 2021","Currency=USD","Period=FQ","BEST_FPERIOD_OVERRIDE=FQ","FILING_STATUS=MR","SCALING_FORMAT=MLN","Sort=A","Dates=H","DateFormat=P","Fill=—","Direction=H","UseDPDF=Y")</f>
        <v>—</v>
      </c>
      <c r="N42" s="13" t="str" cm="1">
        <f t="array" ref="N42">_xll.BDH("DE US Equity","BS_TAXES_PAYABLE","FQ2 2021","FQ2 2021","Currency=USD","Period=FQ","BEST_FPERIOD_OVERRIDE=FQ","FILING_STATUS=MR","SCALING_FORMAT=MLN","Sort=A","Dates=H","DateFormat=P","Fill=—","Direction=H","UseDPDF=Y")</f>
        <v>—</v>
      </c>
      <c r="O42" s="13" t="str" cm="1">
        <f t="array" ref="O42">_xll.BDH("DE US Equity","BS_TAXES_PAYABLE","FQ3 2021","FQ3 2021","Currency=USD","Period=FQ","BEST_FPERIOD_OVERRIDE=FQ","FILING_STATUS=MR","SCALING_FORMAT=MLN","Sort=A","Dates=H","DateFormat=P","Fill=—","Direction=H","UseDPDF=Y")</f>
        <v>—</v>
      </c>
      <c r="P42" s="13" cm="1">
        <f t="array" ref="P42">_xll.BDH("DE US Equity","BS_TAXES_PAYABLE","FQ4 2021","FQ4 2021","Currency=USD","Period=FQ","BEST_FPERIOD_OVERRIDE=FQ","FILING_STATUS=MR","SCALING_FORMAT=MLN","Sort=A","Dates=H","DateFormat=P","Fill=—","Direction=H","UseDPDF=Y")</f>
        <v>1075</v>
      </c>
      <c r="Q42" s="13" cm="1">
        <f t="array" ref="Q42">_xll.BDH("DE US Equity","BS_TAXES_PAYABLE","FQ1 2022","FQ1 2022","Currency=USD","Period=FQ","BEST_FPERIOD_OVERRIDE=FQ","FILING_STATUS=MR","SCALING_FORMAT=MLN","Sort=A","Dates=H","DateFormat=P","Fill=—","Direction=H","UseDPDF=Y")</f>
        <v>974</v>
      </c>
      <c r="R42" s="13" t="str" cm="1">
        <f t="array" ref="R42">_xll.BDH("DE US Equity","BS_TAXES_PAYABLE","FQ2 2022","FQ2 2022","Currency=USD","Period=FQ","BEST_FPERIOD_OVERRIDE=FQ","FILING_STATUS=MR","SCALING_FORMAT=MLN","Sort=A","Dates=H","DateFormat=P","Fill=—","Direction=H","UseDPDF=Y")</f>
        <v>—</v>
      </c>
      <c r="S42" s="13" t="str" cm="1">
        <f t="array" ref="S42">_xll.BDH("DE US Equity","BS_TAXES_PAYABLE","FQ3 2022","FQ3 2022","Currency=USD","Period=FQ","BEST_FPERIOD_OVERRIDE=FQ","FILING_STATUS=MR","SCALING_FORMAT=MLN","Sort=A","Dates=H","DateFormat=P","Fill=—","Direction=H","UseDPDF=Y")</f>
        <v>—</v>
      </c>
      <c r="T42" s="13" cm="1">
        <f t="array" ref="T42">_xll.BDH("DE US Equity","BS_TAXES_PAYABLE","FQ4 2022","FQ4 2022","Currency=USD","Period=FQ","BEST_FPERIOD_OVERRIDE=FQ","FILING_STATUS=MR","SCALING_FORMAT=MLN","Sort=A","Dates=H","DateFormat=P","Fill=—","Direction=H","UseDPDF=Y")</f>
        <v>1265</v>
      </c>
      <c r="U42" s="13" cm="1">
        <f t="array" ref="U42">_xll.BDH("DE US Equity","BS_TAXES_PAYABLE","FQ1 2023","FQ1 2023","Currency=USD","Period=FQ","BEST_FPERIOD_OVERRIDE=FQ","FILING_STATUS=MR","SCALING_FORMAT=MLN","Sort=A","Dates=H","DateFormat=P","Fill=—","Direction=H","UseDPDF=Y")</f>
        <v>1336</v>
      </c>
      <c r="V42" s="13" cm="1">
        <f t="array" ref="V42">_xll.BDH("DE US Equity","BS_TAXES_PAYABLE","FQ2 2023","FQ2 2023","Currency=USD","Period=FQ","BEST_FPERIOD_OVERRIDE=FQ","FILING_STATUS=MR","SCALING_FORMAT=MLN","Sort=A","Dates=H","DateFormat=P","Fill=—","Direction=H","UseDPDF=Y")</f>
        <v>1691</v>
      </c>
      <c r="W42" s="13" cm="1">
        <f t="array" ref="W42">_xll.BDH("DE US Equity","BS_TAXES_PAYABLE","FQ3 2023","FQ3 2023","Currency=USD","Period=FQ","BEST_FPERIOD_OVERRIDE=FQ","FILING_STATUS=MR","SCALING_FORMAT=MLN","Sort=A","Dates=H","DateFormat=P","Fill=—","Direction=H","UseDPDF=Y")</f>
        <v>1595</v>
      </c>
      <c r="X42" s="13" cm="1">
        <f t="array" ref="X42">_xll.BDH("DE US Equity","BS_TAXES_PAYABLE","FQ4 2023","FQ4 2023","Currency=USD","Period=FQ","BEST_FPERIOD_OVERRIDE=FQ","FILING_STATUS=MR","SCALING_FORMAT=MLN","Sort=A","Dates=H","DateFormat=P","Fill=—","Direction=H","UseDPDF=Y")</f>
        <v>1558</v>
      </c>
      <c r="Y42" s="13" cm="1">
        <f t="array" ref="Y42">_xll.BDH("DE US Equity","BS_TAXES_PAYABLE","FQ1 2024","FQ1 2024","Currency=USD","Period=FQ","BEST_FPERIOD_OVERRIDE=FQ","FILING_STATUS=MR","SCALING_FORMAT=MLN","Sort=A","Dates=H","DateFormat=P","Fill=—","Direction=H","UseDPDF=Y")</f>
        <v>1364</v>
      </c>
      <c r="Z42" s="13" cm="1">
        <f t="array" ref="Z42">_xll.BDH("DE US Equity","BS_TAXES_PAYABLE","FQ2 2024","FQ2 2024","Currency=USD","Period=FQ","BEST_FPERIOD_OVERRIDE=FQ","FILING_STATUS=MR","SCALING_FORMAT=MLN","Sort=A","Dates=H","DateFormat=P","Fill=—","Direction=H","UseDPDF=Y")</f>
        <v>1453</v>
      </c>
      <c r="AA42" s="13" cm="1">
        <f t="array" ref="AA42">_xll.BDH("DE US Equity","BS_TAXES_PAYABLE","FQ3 2024","FQ3 2024","Currency=USD","Period=FQ","BEST_FPERIOD_OVERRIDE=FQ","FILING_STATUS=MR","SCALING_FORMAT=MLN","Sort=A","Dates=H","DateFormat=P","Fill=—","Direction=H","UseDPDF=Y")</f>
        <v>1497</v>
      </c>
      <c r="AB42" s="13" cm="1">
        <f t="array" ref="AB42">_xll.BDH("DE US Equity","BS_TAXES_PAYABLE","FQ4 2024","FQ4 2024","Currency=USD","Period=FQ","BEST_FPERIOD_OVERRIDE=FQ","FILING_STATUS=MR","SCALING_FORMAT=MLN","Sort=A","Dates=H","DateFormat=P","Fill=—","Direction=H","UseDPDF=Y")</f>
        <v>1509</v>
      </c>
      <c r="AC42" s="13" cm="1">
        <f t="array" ref="AC42">_xll.BDH("DE US Equity","BS_TAXES_PAYABLE","FQ1 2025","FQ1 2025","Currency=USD","Period=FQ","BEST_FPERIOD_OVERRIDE=FQ","FILING_STATUS=MR","SCALING_FORMAT=MLN","Sort=A","Dates=H","DateFormat=P","Fill=—","Direction=H","UseDPDF=Y")</f>
        <v>1111</v>
      </c>
      <c r="AD42" s="13" cm="1">
        <f t="array" ref="AD42">_xll.BDH("DE US Equity","BS_TAXES_PAYABLE","FQ2 2025","FQ2 2025","Currency=USD","Period=FQ","BEST_FPERIOD_OVERRIDE=FQ","FILING_STATUS=MR","SCALING_FORMAT=MLN","Sort=A","Dates=H","DateFormat=P","Fill=—","Direction=H","UseDPDF=Y")</f>
        <v>1224</v>
      </c>
      <c r="AE42" s="13" cm="1">
        <f t="array" ref="AE42">_xll.BDH("DE US Equity","BS_TAXES_PAYABLE","FQ3 2025","FQ3 2025","Currency=USD","Period=FQ","BEST_FPERIOD_OVERRIDE=FQ","FILING_STATUS=MR","SCALING_FORMAT=MLN","Sort=A","Dates=H","DateFormat=P","Fill=—","Direction=H","UseDPDF=Y")</f>
        <v>1331</v>
      </c>
      <c r="AF42" s="13" cm="1">
        <f t="array" ref="AF42">_xll.BDH("DE US Equity","BS_TAXES_PAYABLE","FQ4 2025","FQ4 2025","Currency=USD","Period=FQ","BEST_FPERIOD_OVERRIDE=FQ","FILING_STATUS=MR","SCALING_FORMAT=MLN","Sort=A","Dates=H","DateFormat=P","Fill=—","Direction=H","UseDPDF=Y")</f>
        <v>1155</v>
      </c>
    </row>
    <row r="43" spans="1:32" x14ac:dyDescent="0.25">
      <c r="A43" s="10" t="s">
        <v>133</v>
      </c>
      <c r="B43" s="10" t="s">
        <v>134</v>
      </c>
      <c r="C43" s="13" t="str" cm="1">
        <f t="array" ref="C43">_xll.BDH("DE US Equity","INTEREST_DIVIDENDS_PAYABLE","FQ3 2018","FQ3 2018","Currency=USD","Period=FQ","BEST_FPERIOD_OVERRIDE=FQ","FILING_STATUS=MR","SCALING_FORMAT=MLN","Sort=A","Dates=H","DateFormat=P","Fill=—","Direction=H","UseDPDF=Y")</f>
        <v>—</v>
      </c>
      <c r="D43" s="13" cm="1">
        <f t="array" ref="D43">_xll.BDH("DE US Equity","INTEREST_DIVIDENDS_PAYABLE","FQ4 2018","FQ4 2018","Currency=USD","Period=FQ","BEST_FPERIOD_OVERRIDE=FQ","FILING_STATUS=MR","SCALING_FORMAT=MLN","Sort=A","Dates=H","DateFormat=P","Fill=—","Direction=H","UseDPDF=Y")</f>
        <v>386</v>
      </c>
      <c r="E43" s="13" t="str" cm="1">
        <f t="array" ref="E43">_xll.BDH("DE US Equity","INTEREST_DIVIDENDS_PAYABLE","FQ1 2019","FQ1 2019","Currency=USD","Period=FQ","BEST_FPERIOD_OVERRIDE=FQ","FILING_STATUS=MR","SCALING_FORMAT=MLN","Sort=A","Dates=H","DateFormat=P","Fill=—","Direction=H","UseDPDF=Y")</f>
        <v>—</v>
      </c>
      <c r="F43" s="13" t="str" cm="1">
        <f t="array" ref="F43">_xll.BDH("DE US Equity","INTEREST_DIVIDENDS_PAYABLE","FQ2 2019","FQ2 2019","Currency=USD","Period=FQ","BEST_FPERIOD_OVERRIDE=FQ","FILING_STATUS=MR","SCALING_FORMAT=MLN","Sort=A","Dates=H","DateFormat=P","Fill=—","Direction=H","UseDPDF=Y")</f>
        <v>—</v>
      </c>
      <c r="G43" s="13" t="str" cm="1">
        <f t="array" ref="G43">_xll.BDH("DE US Equity","INTEREST_DIVIDENDS_PAYABLE","FQ3 2019","FQ3 2019","Currency=USD","Period=FQ","BEST_FPERIOD_OVERRIDE=FQ","FILING_STATUS=MR","SCALING_FORMAT=MLN","Sort=A","Dates=H","DateFormat=P","Fill=—","Direction=H","UseDPDF=Y")</f>
        <v>—</v>
      </c>
      <c r="H43" s="13" cm="1">
        <f t="array" ref="H43">_xll.BDH("DE US Equity","INTEREST_DIVIDENDS_PAYABLE","FQ4 2019","FQ4 2019","Currency=USD","Period=FQ","BEST_FPERIOD_OVERRIDE=FQ","FILING_STATUS=MR","SCALING_FORMAT=MLN","Sort=A","Dates=H","DateFormat=P","Fill=—","Direction=H","UseDPDF=Y")</f>
        <v>455</v>
      </c>
      <c r="I43" s="13" t="str" cm="1">
        <f t="array" ref="I43">_xll.BDH("DE US Equity","INTEREST_DIVIDENDS_PAYABLE","FQ1 2020","FQ1 2020","Currency=USD","Period=FQ","BEST_FPERIOD_OVERRIDE=FQ","FILING_STATUS=MR","SCALING_FORMAT=MLN","Sort=A","Dates=H","DateFormat=P","Fill=—","Direction=H","UseDPDF=Y")</f>
        <v>—</v>
      </c>
      <c r="J43" s="13" t="str" cm="1">
        <f t="array" ref="J43">_xll.BDH("DE US Equity","INTEREST_DIVIDENDS_PAYABLE","FQ2 2020","FQ2 2020","Currency=USD","Period=FQ","BEST_FPERIOD_OVERRIDE=FQ","FILING_STATUS=MR","SCALING_FORMAT=MLN","Sort=A","Dates=H","DateFormat=P","Fill=—","Direction=H","UseDPDF=Y")</f>
        <v>—</v>
      </c>
      <c r="K43" s="13" t="str" cm="1">
        <f t="array" ref="K43">_xll.BDH("DE US Equity","INTEREST_DIVIDENDS_PAYABLE","FQ3 2020","FQ3 2020","Currency=USD","Period=FQ","BEST_FPERIOD_OVERRIDE=FQ","FILING_STATUS=MR","SCALING_FORMAT=MLN","Sort=A","Dates=H","DateFormat=P","Fill=—","Direction=H","UseDPDF=Y")</f>
        <v>—</v>
      </c>
      <c r="L43" s="13" cm="1">
        <f t="array" ref="L43">_xll.BDH("DE US Equity","INTEREST_DIVIDENDS_PAYABLE","FQ4 2020","FQ4 2020","Currency=USD","Period=FQ","BEST_FPERIOD_OVERRIDE=FQ","FILING_STATUS=MR","SCALING_FORMAT=MLN","Sort=A","Dates=H","DateFormat=P","Fill=—","Direction=H","UseDPDF=Y")</f>
        <v>425</v>
      </c>
      <c r="M43" s="13" t="str" cm="1">
        <f t="array" ref="M43">_xll.BDH("DE US Equity","INTEREST_DIVIDENDS_PAYABLE","FQ1 2021","FQ1 2021","Currency=USD","Period=FQ","BEST_FPERIOD_OVERRIDE=FQ","FILING_STATUS=MR","SCALING_FORMAT=MLN","Sort=A","Dates=H","DateFormat=P","Fill=—","Direction=H","UseDPDF=Y")</f>
        <v>—</v>
      </c>
      <c r="N43" s="13" t="str" cm="1">
        <f t="array" ref="N43">_xll.BDH("DE US Equity","INTEREST_DIVIDENDS_PAYABLE","FQ2 2021","FQ2 2021","Currency=USD","Period=FQ","BEST_FPERIOD_OVERRIDE=FQ","FILING_STATUS=MR","SCALING_FORMAT=MLN","Sort=A","Dates=H","DateFormat=P","Fill=—","Direction=H","UseDPDF=Y")</f>
        <v>—</v>
      </c>
      <c r="O43" s="13" t="str" cm="1">
        <f t="array" ref="O43">_xll.BDH("DE US Equity","INTEREST_DIVIDENDS_PAYABLE","FQ3 2021","FQ3 2021","Currency=USD","Period=FQ","BEST_FPERIOD_OVERRIDE=FQ","FILING_STATUS=MR","SCALING_FORMAT=MLN","Sort=A","Dates=H","DateFormat=P","Fill=—","Direction=H","UseDPDF=Y")</f>
        <v>—</v>
      </c>
      <c r="P43" s="13" cm="1">
        <f t="array" ref="P43">_xll.BDH("DE US Equity","INTEREST_DIVIDENDS_PAYABLE","FQ4 2021","FQ4 2021","Currency=USD","Period=FQ","BEST_FPERIOD_OVERRIDE=FQ","FILING_STATUS=MR","SCALING_FORMAT=MLN","Sort=A","Dates=H","DateFormat=P","Fill=—","Direction=H","UseDPDF=Y")</f>
        <v>580</v>
      </c>
      <c r="Q43" s="13" cm="1">
        <f t="array" ref="Q43">_xll.BDH("DE US Equity","INTEREST_DIVIDENDS_PAYABLE","FQ1 2022","FQ1 2022","Currency=USD","Period=FQ","BEST_FPERIOD_OVERRIDE=FQ","FILING_STATUS=MR","SCALING_FORMAT=MLN","Sort=A","Dates=H","DateFormat=P","Fill=—","Direction=H","UseDPDF=Y")</f>
        <v>605</v>
      </c>
      <c r="R43" s="13" t="str" cm="1">
        <f t="array" ref="R43">_xll.BDH("DE US Equity","INTEREST_DIVIDENDS_PAYABLE","FQ2 2022","FQ2 2022","Currency=USD","Period=FQ","BEST_FPERIOD_OVERRIDE=FQ","FILING_STATUS=MR","SCALING_FORMAT=MLN","Sort=A","Dates=H","DateFormat=P","Fill=—","Direction=H","UseDPDF=Y")</f>
        <v>—</v>
      </c>
      <c r="S43" s="13" t="str" cm="1">
        <f t="array" ref="S43">_xll.BDH("DE US Equity","INTEREST_DIVIDENDS_PAYABLE","FQ3 2022","FQ3 2022","Currency=USD","Period=FQ","BEST_FPERIOD_OVERRIDE=FQ","FILING_STATUS=MR","SCALING_FORMAT=MLN","Sort=A","Dates=H","DateFormat=P","Fill=—","Direction=H","UseDPDF=Y")</f>
        <v>—</v>
      </c>
      <c r="T43" s="13" cm="1">
        <f t="array" ref="T43">_xll.BDH("DE US Equity","INTEREST_DIVIDENDS_PAYABLE","FQ4 2022","FQ4 2022","Currency=USD","Period=FQ","BEST_FPERIOD_OVERRIDE=FQ","FILING_STATUS=MR","SCALING_FORMAT=MLN","Sort=A","Dates=H","DateFormat=P","Fill=—","Direction=H","UseDPDF=Y")</f>
        <v>631</v>
      </c>
      <c r="U43" s="13" cm="1">
        <f t="array" ref="U43">_xll.BDH("DE US Equity","INTEREST_DIVIDENDS_PAYABLE","FQ1 2023","FQ1 2023","Currency=USD","Period=FQ","BEST_FPERIOD_OVERRIDE=FQ","FILING_STATUS=MR","SCALING_FORMAT=MLN","Sort=A","Dates=H","DateFormat=P","Fill=—","Direction=H","UseDPDF=Y")</f>
        <v>729</v>
      </c>
      <c r="V43" s="13" cm="1">
        <f t="array" ref="V43">_xll.BDH("DE US Equity","INTEREST_DIVIDENDS_PAYABLE","FQ2 2023","FQ2 2023","Currency=USD","Period=FQ","BEST_FPERIOD_OVERRIDE=FQ","FILING_STATUS=MR","SCALING_FORMAT=MLN","Sort=A","Dates=H","DateFormat=P","Fill=—","Direction=H","UseDPDF=Y")</f>
        <v>725</v>
      </c>
      <c r="W43" s="13" cm="1">
        <f t="array" ref="W43">_xll.BDH("DE US Equity","INTEREST_DIVIDENDS_PAYABLE","FQ3 2023","FQ3 2023","Currency=USD","Period=FQ","BEST_FPERIOD_OVERRIDE=FQ","FILING_STATUS=MR","SCALING_FORMAT=MLN","Sort=A","Dates=H","DateFormat=P","Fill=—","Direction=H","UseDPDF=Y")</f>
        <v>767</v>
      </c>
      <c r="X43" s="13" cm="1">
        <f t="array" ref="X43">_xll.BDH("DE US Equity","INTEREST_DIVIDENDS_PAYABLE","FQ4 2023","FQ4 2023","Currency=USD","Period=FQ","BEST_FPERIOD_OVERRIDE=FQ","FILING_STATUS=MR","SCALING_FORMAT=MLN","Sort=A","Dates=H","DateFormat=P","Fill=—","Direction=H","UseDPDF=Y")</f>
        <v>822</v>
      </c>
      <c r="Y43" s="13" cm="1">
        <f t="array" ref="Y43">_xll.BDH("DE US Equity","INTEREST_DIVIDENDS_PAYABLE","FQ1 2024","FQ1 2024","Currency=USD","Period=FQ","BEST_FPERIOD_OVERRIDE=FQ","FILING_STATUS=MR","SCALING_FORMAT=MLN","Sort=A","Dates=H","DateFormat=P","Fill=—","Direction=H","UseDPDF=Y")</f>
        <v>502</v>
      </c>
      <c r="Z43" s="13" cm="1">
        <f t="array" ref="Z43">_xll.BDH("DE US Equity","INTEREST_DIVIDENDS_PAYABLE","FQ2 2024","FQ2 2024","Currency=USD","Period=FQ","BEST_FPERIOD_OVERRIDE=FQ","FILING_STATUS=MR","SCALING_FORMAT=MLN","Sort=A","Dates=H","DateFormat=P","Fill=—","Direction=H","UseDPDF=Y")</f>
        <v>922</v>
      </c>
      <c r="AA43" s="13" cm="1">
        <f t="array" ref="AA43">_xll.BDH("DE US Equity","INTEREST_DIVIDENDS_PAYABLE","FQ3 2024","FQ3 2024","Currency=USD","Period=FQ","BEST_FPERIOD_OVERRIDE=FQ","FILING_STATUS=MR","SCALING_FORMAT=MLN","Sort=A","Dates=H","DateFormat=P","Fill=—","Direction=H","UseDPDF=Y")</f>
        <v>885</v>
      </c>
      <c r="AB43" s="13" cm="1">
        <f t="array" ref="AB43">_xll.BDH("DE US Equity","INTEREST_DIVIDENDS_PAYABLE","FQ4 2024","FQ4 2024","Currency=USD","Period=FQ","BEST_FPERIOD_OVERRIDE=FQ","FILING_STATUS=MR","SCALING_FORMAT=MLN","Sort=A","Dates=H","DateFormat=P","Fill=—","Direction=H","UseDPDF=Y")</f>
        <v>860</v>
      </c>
      <c r="AC43" s="13" cm="1">
        <f t="array" ref="AC43">_xll.BDH("DE US Equity","INTEREST_DIVIDENDS_PAYABLE","FQ1 2025","FQ1 2025","Currency=USD","Period=FQ","BEST_FPERIOD_OVERRIDE=FQ","FILING_STATUS=MR","SCALING_FORMAT=MLN","Sort=A","Dates=H","DateFormat=P","Fill=—","Direction=H","UseDPDF=Y")</f>
        <v>930</v>
      </c>
      <c r="AD43" s="13" cm="1">
        <f t="array" ref="AD43">_xll.BDH("DE US Equity","INTEREST_DIVIDENDS_PAYABLE","FQ2 2025","FQ2 2025","Currency=USD","Period=FQ","BEST_FPERIOD_OVERRIDE=FQ","FILING_STATUS=MR","SCALING_FORMAT=MLN","Sort=A","Dates=H","DateFormat=P","Fill=—","Direction=H","UseDPDF=Y")</f>
        <v>968</v>
      </c>
      <c r="AE43" s="13" cm="1">
        <f t="array" ref="AE43">_xll.BDH("DE US Equity","INTEREST_DIVIDENDS_PAYABLE","FQ3 2025","FQ3 2025","Currency=USD","Period=FQ","BEST_FPERIOD_OVERRIDE=FQ","FILING_STATUS=MR","SCALING_FORMAT=MLN","Sort=A","Dates=H","DateFormat=P","Fill=—","Direction=H","UseDPDF=Y")</f>
        <v>917</v>
      </c>
      <c r="AF43" s="13" cm="1">
        <f t="array" ref="AF43">_xll.BDH("DE US Equity","INTEREST_DIVIDENDS_PAYABLE","FQ4 2025","FQ4 2025","Currency=USD","Period=FQ","BEST_FPERIOD_OVERRIDE=FQ","FILING_STATUS=MR","SCALING_FORMAT=MLN","Sort=A","Dates=H","DateFormat=P","Fill=—","Direction=H","UseDPDF=Y")</f>
        <v>967</v>
      </c>
    </row>
    <row r="44" spans="1:32" x14ac:dyDescent="0.25">
      <c r="A44" s="10" t="s">
        <v>135</v>
      </c>
      <c r="B44" s="10" t="s">
        <v>136</v>
      </c>
      <c r="C44" s="13" cm="1">
        <f t="array" ref="C44">_xll.BDH("DE US Equity","BS_ACCRUAL","FQ3 2018","FQ3 2018","Currency=USD","Period=FQ","BEST_FPERIOD_OVERRIDE=FQ","FILING_STATUS=MR","SCALING_FORMAT=MLN","Sort=A","Dates=H","DateFormat=P","Fill=—","Direction=H","UseDPDF=Y")</f>
        <v>9099</v>
      </c>
      <c r="D44" s="13" cm="1">
        <f t="array" ref="D44">_xll.BDH("DE US Equity","BS_ACCRUAL","FQ4 2018","FQ4 2018","Currency=USD","Period=FQ","BEST_FPERIOD_OVERRIDE=FQ","FILING_STATUS=MR","SCALING_FORMAT=MLN","Sort=A","Dates=H","DateFormat=P","Fill=—","Direction=H","UseDPDF=Y")</f>
        <v>4474</v>
      </c>
      <c r="E44" s="13" cm="1">
        <f t="array" ref="E44">_xll.BDH("DE US Equity","BS_ACCRUAL","FQ1 2019","FQ1 2019","Currency=USD","Period=FQ","BEST_FPERIOD_OVERRIDE=FQ","FILING_STATUS=MR","SCALING_FORMAT=MLN","Sort=A","Dates=H","DateFormat=P","Fill=—","Direction=H","UseDPDF=Y")</f>
        <v>8790</v>
      </c>
      <c r="F44" s="13" cm="1">
        <f t="array" ref="F44">_xll.BDH("DE US Equity","BS_ACCRUAL","FQ2 2019","FQ2 2019","Currency=USD","Period=FQ","BEST_FPERIOD_OVERRIDE=FQ","FILING_STATUS=MR","SCALING_FORMAT=MLN","Sort=A","Dates=H","DateFormat=P","Fill=—","Direction=H","UseDPDF=Y")</f>
        <v>9411</v>
      </c>
      <c r="G44" s="13" cm="1">
        <f t="array" ref="G44">_xll.BDH("DE US Equity","BS_ACCRUAL","FQ3 2019","FQ3 2019","Currency=USD","Period=FQ","BEST_FPERIOD_OVERRIDE=FQ","FILING_STATUS=MR","SCALING_FORMAT=MLN","Sort=A","Dates=H","DateFormat=P","Fill=—","Direction=H","UseDPDF=Y")</f>
        <v>9244</v>
      </c>
      <c r="H44" s="13" cm="1">
        <f t="array" ref="H44">_xll.BDH("DE US Equity","BS_ACCRUAL","FQ4 2019","FQ4 2019","Currency=USD","Period=FQ","BEST_FPERIOD_OVERRIDE=FQ","FILING_STATUS=MR","SCALING_FORMAT=MLN","Sort=A","Dates=H","DateFormat=P","Fill=—","Direction=H","UseDPDF=Y")</f>
        <v>4697</v>
      </c>
      <c r="I44" s="13" cm="1">
        <f t="array" ref="I44">_xll.BDH("DE US Equity","BS_ACCRUAL","FQ1 2020","FQ1 2020","Currency=USD","Period=FQ","BEST_FPERIOD_OVERRIDE=FQ","FILING_STATUS=MR","SCALING_FORMAT=MLN","Sort=A","Dates=H","DateFormat=P","Fill=—","Direction=H","UseDPDF=Y")</f>
        <v>8172</v>
      </c>
      <c r="J44" s="13" cm="1">
        <f t="array" ref="J44">_xll.BDH("DE US Equity","BS_ACCRUAL","FQ2 2020","FQ2 2020","Currency=USD","Period=FQ","BEST_FPERIOD_OVERRIDE=FQ","FILING_STATUS=MR","SCALING_FORMAT=MLN","Sort=A","Dates=H","DateFormat=P","Fill=—","Direction=H","UseDPDF=Y")</f>
        <v>8554</v>
      </c>
      <c r="K44" s="13" cm="1">
        <f t="array" ref="K44">_xll.BDH("DE US Equity","BS_ACCRUAL","FQ3 2020","FQ3 2020","Currency=USD","Period=FQ","BEST_FPERIOD_OVERRIDE=FQ","FILING_STATUS=MR","SCALING_FORMAT=MLN","Sort=A","Dates=H","DateFormat=P","Fill=—","Direction=H","UseDPDF=Y")</f>
        <v>9077</v>
      </c>
      <c r="L44" s="13" cm="1">
        <f t="array" ref="L44">_xll.BDH("DE US Equity","BS_ACCRUAL","FQ4 2020","FQ4 2020","Currency=USD","Period=FQ","BEST_FPERIOD_OVERRIDE=FQ","FILING_STATUS=MR","SCALING_FORMAT=MLN","Sort=A","Dates=H","DateFormat=P","Fill=—","Direction=H","UseDPDF=Y")</f>
        <v>4112</v>
      </c>
      <c r="M44" s="13" cm="1">
        <f t="array" ref="M44">_xll.BDH("DE US Equity","BS_ACCRUAL","FQ1 2021","FQ1 2021","Currency=USD","Period=FQ","BEST_FPERIOD_OVERRIDE=FQ","FILING_STATUS=MR","SCALING_FORMAT=MLN","Sort=A","Dates=H","DateFormat=P","Fill=—","Direction=H","UseDPDF=Y")</f>
        <v>8916</v>
      </c>
      <c r="N44" s="13" cm="1">
        <f t="array" ref="N44">_xll.BDH("DE US Equity","BS_ACCRUAL","FQ2 2021","FQ2 2021","Currency=USD","Period=FQ","BEST_FPERIOD_OVERRIDE=FQ","FILING_STATUS=MR","SCALING_FORMAT=MLN","Sort=A","Dates=H","DateFormat=P","Fill=—","Direction=H","UseDPDF=Y")</f>
        <v>10131</v>
      </c>
      <c r="O44" s="13" t="str" cm="1">
        <f t="array" ref="O44">_xll.BDH("DE US Equity","BS_ACCRUAL","FQ3 2021","FQ3 2021","Currency=USD","Period=FQ","BEST_FPERIOD_OVERRIDE=FQ","FILING_STATUS=MR","SCALING_FORMAT=MLN","Sort=A","Dates=H","DateFormat=P","Fill=—","Direction=H","UseDPDF=Y")</f>
        <v>—</v>
      </c>
      <c r="P44" s="13" cm="1">
        <f t="array" ref="P44">_xll.BDH("DE US Equity","BS_ACCRUAL","FQ4 2021","FQ4 2021","Currency=USD","Period=FQ","BEST_FPERIOD_OVERRIDE=FQ","FILING_STATUS=MR","SCALING_FORMAT=MLN","Sort=A","Dates=H","DateFormat=P","Fill=—","Direction=H","UseDPDF=Y")</f>
        <v>5836</v>
      </c>
      <c r="Q44" s="13" cm="1">
        <f t="array" ref="Q44">_xll.BDH("DE US Equity","BS_ACCRUAL","FQ1 2022","FQ1 2022","Currency=USD","Period=FQ","BEST_FPERIOD_OVERRIDE=FQ","FILING_STATUS=MR","SCALING_FORMAT=MLN","Sort=A","Dates=H","DateFormat=P","Fill=—","Direction=H","UseDPDF=Y")</f>
        <v>4382</v>
      </c>
      <c r="R44" s="13" cm="1">
        <f t="array" ref="R44">_xll.BDH("DE US Equity","BS_ACCRUAL","FQ2 2022","FQ2 2022","Currency=USD","Period=FQ","BEST_FPERIOD_OVERRIDE=FQ","FILING_STATUS=MR","SCALING_FORMAT=MLN","Sort=A","Dates=H","DateFormat=P","Fill=—","Direction=H","UseDPDF=Y")</f>
        <v>-780</v>
      </c>
      <c r="S44" s="13" t="str" cm="1">
        <f t="array" ref="S44">_xll.BDH("DE US Equity","BS_ACCRUAL","FQ3 2022","FQ3 2022","Currency=USD","Period=FQ","BEST_FPERIOD_OVERRIDE=FQ","FILING_STATUS=MR","SCALING_FORMAT=MLN","Sort=A","Dates=H","DateFormat=P","Fill=—","Direction=H","UseDPDF=Y")</f>
        <v>—</v>
      </c>
      <c r="T44" s="13" cm="1">
        <f t="array" ref="T44">_xll.BDH("DE US Equity","BS_ACCRUAL","FQ4 2022","FQ4 2022","Currency=USD","Period=FQ","BEST_FPERIOD_OVERRIDE=FQ","FILING_STATUS=MR","SCALING_FORMAT=MLN","Sort=A","Dates=H","DateFormat=P","Fill=—","Direction=H","UseDPDF=Y")</f>
        <v>6329</v>
      </c>
      <c r="U44" s="13" cm="1">
        <f t="array" ref="U44">_xll.BDH("DE US Equity","BS_ACCRUAL","FQ1 2023","FQ1 2023","Currency=USD","Period=FQ","BEST_FPERIOD_OVERRIDE=FQ","FILING_STATUS=MR","SCALING_FORMAT=MLN","Sort=A","Dates=H","DateFormat=P","Fill=—","Direction=H","UseDPDF=Y")</f>
        <v>5373</v>
      </c>
      <c r="V44" s="13" cm="1">
        <f t="array" ref="V44">_xll.BDH("DE US Equity","BS_ACCRUAL","FQ2 2023","FQ2 2023","Currency=USD","Period=FQ","BEST_FPERIOD_OVERRIDE=FQ","FILING_STATUS=MR","SCALING_FORMAT=MLN","Sort=A","Dates=H","DateFormat=P","Fill=—","Direction=H","UseDPDF=Y")</f>
        <v>6617</v>
      </c>
      <c r="W44" s="13" cm="1">
        <f t="array" ref="W44">_xll.BDH("DE US Equity","BS_ACCRUAL","FQ3 2023","FQ3 2023","Currency=USD","Period=FQ","BEST_FPERIOD_OVERRIDE=FQ","FILING_STATUS=MR","SCALING_FORMAT=MLN","Sort=A","Dates=H","DateFormat=P","Fill=—","Direction=H","UseDPDF=Y")</f>
        <v>7367</v>
      </c>
      <c r="X44" s="13" cm="1">
        <f t="array" ref="X44">_xll.BDH("DE US Equity","BS_ACCRUAL","FQ4 2023","FQ4 2023","Currency=USD","Period=FQ","BEST_FPERIOD_OVERRIDE=FQ","FILING_STATUS=MR","SCALING_FORMAT=MLN","Sort=A","Dates=H","DateFormat=P","Fill=—","Direction=H","UseDPDF=Y")</f>
        <v>7592</v>
      </c>
      <c r="Y44" s="13" cm="1">
        <f t="array" ref="Y44">_xll.BDH("DE US Equity","BS_ACCRUAL","FQ1 2024","FQ1 2024","Currency=USD","Period=FQ","BEST_FPERIOD_OVERRIDE=FQ","FILING_STATUS=MR","SCALING_FORMAT=MLN","Sort=A","Dates=H","DateFormat=P","Fill=—","Direction=H","UseDPDF=Y")</f>
        <v>7571</v>
      </c>
      <c r="Z44" s="13" cm="1">
        <f t="array" ref="Z44">_xll.BDH("DE US Equity","BS_ACCRUAL","FQ2 2024","FQ2 2024","Currency=USD","Period=FQ","BEST_FPERIOD_OVERRIDE=FQ","FILING_STATUS=MR","SCALING_FORMAT=MLN","Sort=A","Dates=H","DateFormat=P","Fill=—","Direction=H","UseDPDF=Y")</f>
        <v>6793</v>
      </c>
      <c r="AA44" s="13" cm="1">
        <f t="array" ref="AA44">_xll.BDH("DE US Equity","BS_ACCRUAL","FQ3 2024","FQ3 2024","Currency=USD","Period=FQ","BEST_FPERIOD_OVERRIDE=FQ","FILING_STATUS=MR","SCALING_FORMAT=MLN","Sort=A","Dates=H","DateFormat=P","Fill=—","Direction=H","UseDPDF=Y")</f>
        <v>7434</v>
      </c>
      <c r="AB44" s="13" cm="1">
        <f t="array" ref="AB44">_xll.BDH("DE US Equity","BS_ACCRUAL","FQ4 2024","FQ4 2024","Currency=USD","Period=FQ","BEST_FPERIOD_OVERRIDE=FQ","FILING_STATUS=MR","SCALING_FORMAT=MLN","Sort=A","Dates=H","DateFormat=P","Fill=—","Direction=H","UseDPDF=Y")</f>
        <v>7181</v>
      </c>
      <c r="AC44" s="13" cm="1">
        <f t="array" ref="AC44">_xll.BDH("DE US Equity","BS_ACCRUAL","FQ1 2025","FQ1 2025","Currency=USD","Period=FQ","BEST_FPERIOD_OVERRIDE=FQ","FILING_STATUS=MR","SCALING_FORMAT=MLN","Sort=A","Dates=H","DateFormat=P","Fill=—","Direction=H","UseDPDF=Y")</f>
        <v>7512</v>
      </c>
      <c r="AD44" s="13" cm="1">
        <f t="array" ref="AD44">_xll.BDH("DE US Equity","BS_ACCRUAL","FQ2 2025","FQ2 2025","Currency=USD","Period=FQ","BEST_FPERIOD_OVERRIDE=FQ","FILING_STATUS=MR","SCALING_FORMAT=MLN","Sort=A","Dates=H","DateFormat=P","Fill=—","Direction=H","UseDPDF=Y")</f>
        <v>6110</v>
      </c>
      <c r="AE44" s="13" cm="1">
        <f t="array" ref="AE44">_xll.BDH("DE US Equity","BS_ACCRUAL","FQ3 2025","FQ3 2025","Currency=USD","Period=FQ","BEST_FPERIOD_OVERRIDE=FQ","FILING_STATUS=MR","SCALING_FORMAT=MLN","Sort=A","Dates=H","DateFormat=P","Fill=—","Direction=H","UseDPDF=Y")</f>
        <v>6493</v>
      </c>
      <c r="AF44" s="13" cm="1">
        <f t="array" ref="AF44">_xll.BDH("DE US Equity","BS_ACCRUAL","FQ4 2025","FQ4 2025","Currency=USD","Period=FQ","BEST_FPERIOD_OVERRIDE=FQ","FILING_STATUS=MR","SCALING_FORMAT=MLN","Sort=A","Dates=H","DateFormat=P","Fill=—","Direction=H","UseDPDF=Y")</f>
        <v>6537</v>
      </c>
    </row>
    <row r="45" spans="1:32" x14ac:dyDescent="0.25">
      <c r="A45" s="10" t="s">
        <v>137</v>
      </c>
      <c r="B45" s="10" t="s">
        <v>138</v>
      </c>
      <c r="C45" s="13" cm="1">
        <f t="array" ref="C45">_xll.BDH("DE US Equity","BS_ST_BORROW","FQ3 2018","FQ3 2018","Currency=USD","Period=FQ","BEST_FPERIOD_OVERRIDE=FQ","FILING_STATUS=MR","SCALING_FORMAT=MLN","Sort=A","Dates=H","DateFormat=P","Fill=—","Direction=H","UseDPDF=Y")</f>
        <v>15532</v>
      </c>
      <c r="D45" s="13" cm="1">
        <f t="array" ref="D45">_xll.BDH("DE US Equity","BS_ST_BORROW","FQ4 2018","FQ4 2018","Currency=USD","Period=FQ","BEST_FPERIOD_OVERRIDE=FQ","FILING_STATUS=MR","SCALING_FORMAT=MLN","Sort=A","Dates=H","DateFormat=P","Fill=—","Direction=H","UseDPDF=Y")</f>
        <v>15019</v>
      </c>
      <c r="E45" s="13" cm="1">
        <f t="array" ref="E45">_xll.BDH("DE US Equity","BS_ST_BORROW","FQ1 2019","FQ1 2019","Currency=USD","Period=FQ","BEST_FPERIOD_OVERRIDE=FQ","FILING_STATUS=MR","SCALING_FORMAT=MLN","Sort=A","Dates=H","DateFormat=P","Fill=—","Direction=H","UseDPDF=Y")</f>
        <v>15201.5</v>
      </c>
      <c r="F45" s="13" cm="1">
        <f t="array" ref="F45">_xll.BDH("DE US Equity","BS_ST_BORROW","FQ2 2019","FQ2 2019","Currency=USD","Period=FQ","BEST_FPERIOD_OVERRIDE=FQ","FILING_STATUS=MR","SCALING_FORMAT=MLN","Sort=A","Dates=H","DateFormat=P","Fill=—","Direction=H","UseDPDF=Y")</f>
        <v>16464</v>
      </c>
      <c r="G45" s="13" cm="1">
        <f t="array" ref="G45">_xll.BDH("DE US Equity","BS_ST_BORROW","FQ3 2019","FQ3 2019","Currency=USD","Period=FQ","BEST_FPERIOD_OVERRIDE=FQ","FILING_STATUS=MR","SCALING_FORMAT=MLN","Sort=A","Dates=H","DateFormat=P","Fill=—","Direction=H","UseDPDF=Y")</f>
        <v>16190</v>
      </c>
      <c r="H45" s="13" cm="1">
        <f t="array" ref="H45">_xll.BDH("DE US Equity","BS_ST_BORROW","FQ4 2019","FQ4 2019","Currency=USD","Period=FQ","BEST_FPERIOD_OVERRIDE=FQ","FILING_STATUS=MR","SCALING_FORMAT=MLN","Sort=A","Dates=H","DateFormat=P","Fill=—","Direction=H","UseDPDF=Y")</f>
        <v>15105</v>
      </c>
      <c r="I45" s="13" cm="1">
        <f t="array" ref="I45">_xll.BDH("DE US Equity","BS_ST_BORROW","FQ1 2020","FQ1 2020","Currency=USD","Period=FQ","BEST_FPERIOD_OVERRIDE=FQ","FILING_STATUS=MR","SCALING_FORMAT=MLN","Sort=A","Dates=H","DateFormat=P","Fill=—","Direction=H","UseDPDF=Y")</f>
        <v>14785</v>
      </c>
      <c r="J45" s="13" cm="1">
        <f t="array" ref="J45">_xll.BDH("DE US Equity","BS_ST_BORROW","FQ2 2020","FQ2 2020","Currency=USD","Period=FQ","BEST_FPERIOD_OVERRIDE=FQ","FILING_STATUS=MR","SCALING_FORMAT=MLN","Sort=A","Dates=H","DateFormat=P","Fill=—","Direction=H","UseDPDF=Y")</f>
        <v>16138</v>
      </c>
      <c r="K45" s="13" cm="1">
        <f t="array" ref="K45">_xll.BDH("DE US Equity","BS_ST_BORROW","FQ3 2020","FQ3 2020","Currency=USD","Period=FQ","BEST_FPERIOD_OVERRIDE=FQ","FILING_STATUS=MR","SCALING_FORMAT=MLN","Sort=A","Dates=H","DateFormat=P","Fill=—","Direction=H","UseDPDF=Y")</f>
        <v>14754</v>
      </c>
      <c r="L45" s="13" cm="1">
        <f t="array" ref="L45">_xll.BDH("DE US Equity","BS_ST_BORROW","FQ4 2020","FQ4 2020","Currency=USD","Period=FQ","BEST_FPERIOD_OVERRIDE=FQ","FILING_STATUS=MR","SCALING_FORMAT=MLN","Sort=A","Dates=H","DateFormat=P","Fill=—","Direction=H","UseDPDF=Y")</f>
        <v>13561</v>
      </c>
      <c r="M45" s="13" cm="1">
        <f t="array" ref="M45">_xll.BDH("DE US Equity","BS_ST_BORROW","FQ1 2021","FQ1 2021","Currency=USD","Period=FQ","BEST_FPERIOD_OVERRIDE=FQ","FILING_STATUS=MR","SCALING_FORMAT=MLN","Sort=A","Dates=H","DateFormat=P","Fill=—","Direction=H","UseDPDF=Y")</f>
        <v>13508</v>
      </c>
      <c r="N45" s="13" cm="1">
        <f t="array" ref="N45">_xll.BDH("DE US Equity","BS_ST_BORROW","FQ2 2021","FQ2 2021","Currency=USD","Period=FQ","BEST_FPERIOD_OVERRIDE=FQ","FILING_STATUS=MR","SCALING_FORMAT=MLN","Sort=A","Dates=H","DateFormat=P","Fill=—","Direction=H","UseDPDF=Y")</f>
        <v>14345</v>
      </c>
      <c r="O45" s="13" cm="1">
        <f t="array" ref="O45">_xll.BDH("DE US Equity","BS_ST_BORROW","FQ3 2021","FQ3 2021","Currency=USD","Period=FQ","BEST_FPERIOD_OVERRIDE=FQ","FILING_STATUS=MR","SCALING_FORMAT=MLN","Sort=A","Dates=H","DateFormat=P","Fill=—","Direction=H","UseDPDF=Y")</f>
        <v>15681</v>
      </c>
      <c r="P45" s="13" cm="1">
        <f t="array" ref="P45">_xll.BDH("DE US Equity","BS_ST_BORROW","FQ4 2021","FQ4 2021","Currency=USD","Period=FQ","BEST_FPERIOD_OVERRIDE=FQ","FILING_STATUS=MR","SCALING_FORMAT=MLN","Sort=A","Dates=H","DateFormat=P","Fill=—","Direction=H","UseDPDF=Y")</f>
        <v>15803</v>
      </c>
      <c r="Q45" s="13" cm="1">
        <f t="array" ref="Q45">_xll.BDH("DE US Equity","BS_ST_BORROW","FQ1 2022","FQ1 2022","Currency=USD","Period=FQ","BEST_FPERIOD_OVERRIDE=FQ","FILING_STATUS=MR","SCALING_FORMAT=MLN","Sort=A","Dates=H","DateFormat=P","Fill=—","Direction=H","UseDPDF=Y")</f>
        <v>14739</v>
      </c>
      <c r="R45" s="13" cm="1">
        <f t="array" ref="R45">_xll.BDH("DE US Equity","BS_ST_BORROW","FQ2 2022","FQ2 2022","Currency=USD","Period=FQ","BEST_FPERIOD_OVERRIDE=FQ","FILING_STATUS=MR","SCALING_FORMAT=MLN","Sort=A","Dates=H","DateFormat=P","Fill=—","Direction=H","UseDPDF=Y")</f>
        <v>16419</v>
      </c>
      <c r="S45" s="13" cm="1">
        <f t="array" ref="S45">_xll.BDH("DE US Equity","BS_ST_BORROW","FQ3 2022","FQ3 2022","Currency=USD","Period=FQ","BEST_FPERIOD_OVERRIDE=FQ","FILING_STATUS=MR","SCALING_FORMAT=MLN","Sort=A","Dates=H","DateFormat=P","Fill=—","Direction=H","UseDPDF=Y")</f>
        <v>19096</v>
      </c>
      <c r="T45" s="13" cm="1">
        <f t="array" ref="T45">_xll.BDH("DE US Equity","BS_ST_BORROW","FQ4 2022","FQ4 2022","Currency=USD","Period=FQ","BEST_FPERIOD_OVERRIDE=FQ","FILING_STATUS=MR","SCALING_FORMAT=MLN","Sort=A","Dates=H","DateFormat=P","Fill=—","Direction=H","UseDPDF=Y")</f>
        <v>18605</v>
      </c>
      <c r="U45" s="13" cm="1">
        <f t="array" ref="U45">_xll.BDH("DE US Equity","BS_ST_BORROW","FQ1 2023","FQ1 2023","Currency=USD","Period=FQ","BEST_FPERIOD_OVERRIDE=FQ","FILING_STATUS=MR","SCALING_FORMAT=MLN","Sort=A","Dates=H","DateFormat=P","Fill=—","Direction=H","UseDPDF=Y")</f>
        <v>18993</v>
      </c>
      <c r="V45" s="13" cm="1">
        <f t="array" ref="V45">_xll.BDH("DE US Equity","BS_ST_BORROW","FQ2 2023","FQ2 2023","Currency=USD","Period=FQ","BEST_FPERIOD_OVERRIDE=FQ","FILING_STATUS=MR","SCALING_FORMAT=MLN","Sort=A","Dates=H","DateFormat=P","Fill=—","Direction=H","UseDPDF=Y")</f>
        <v>22488</v>
      </c>
      <c r="W45" s="13" cm="1">
        <f t="array" ref="W45">_xll.BDH("DE US Equity","BS_ST_BORROW","FQ3 2023","FQ3 2023","Currency=USD","Period=FQ","BEST_FPERIOD_OVERRIDE=FQ","FILING_STATUS=MR","SCALING_FORMAT=MLN","Sort=A","Dates=H","DateFormat=P","Fill=—","Direction=H","UseDPDF=Y")</f>
        <v>23751</v>
      </c>
      <c r="X45" s="13" cm="1">
        <f t="array" ref="X45">_xll.BDH("DE US Equity","BS_ST_BORROW","FQ4 2023","FQ4 2023","Currency=USD","Period=FQ","BEST_FPERIOD_OVERRIDE=FQ","FILING_STATUS=MR","SCALING_FORMAT=MLN","Sort=A","Dates=H","DateFormat=P","Fill=—","Direction=H","UseDPDF=Y")</f>
        <v>25215</v>
      </c>
      <c r="Y45" s="13" cm="1">
        <f t="array" ref="Y45">_xll.BDH("DE US Equity","BS_ST_BORROW","FQ1 2024","FQ1 2024","Currency=USD","Period=FQ","BEST_FPERIOD_OVERRIDE=FQ","FILING_STATUS=MR","SCALING_FORMAT=MLN","Sort=A","Dates=H","DateFormat=P","Fill=—","Direction=H","UseDPDF=Y")</f>
        <v>23233</v>
      </c>
      <c r="Z45" s="13" cm="1">
        <f t="array" ref="Z45">_xll.BDH("DE US Equity","BS_ST_BORROW","FQ2 2024","FQ2 2024","Currency=USD","Period=FQ","BEST_FPERIOD_OVERRIDE=FQ","FILING_STATUS=MR","SCALING_FORMAT=MLN","Sort=A","Dates=H","DateFormat=P","Fill=—","Direction=H","UseDPDF=Y")</f>
        <v>24675</v>
      </c>
      <c r="AA45" s="13" cm="1">
        <f t="array" ref="AA45">_xll.BDH("DE US Equity","BS_ST_BORROW","FQ3 2024","FQ3 2024","Currency=USD","Period=FQ","BEST_FPERIOD_OVERRIDE=FQ","FILING_STATUS=MR","SCALING_FORMAT=MLN","Sort=A","Dates=H","DateFormat=P","Fill=—","Direction=H","UseDPDF=Y")</f>
        <v>23163</v>
      </c>
      <c r="AB45" s="13" cm="1">
        <f t="array" ref="AB45">_xll.BDH("DE US Equity","BS_ST_BORROW","FQ4 2024","FQ4 2024","Currency=USD","Period=FQ","BEST_FPERIOD_OVERRIDE=FQ","FILING_STATUS=MR","SCALING_FORMAT=MLN","Sort=A","Dates=H","DateFormat=P","Fill=—","Direction=H","UseDPDF=Y")</f>
        <v>22234</v>
      </c>
      <c r="AC45" s="13" cm="1">
        <f t="array" ref="AC45">_xll.BDH("DE US Equity","BS_ST_BORROW","FQ1 2025","FQ1 2025","Currency=USD","Period=FQ","BEST_FPERIOD_OVERRIDE=FQ","FILING_STATUS=MR","SCALING_FORMAT=MLN","Sort=A","Dates=H","DateFormat=P","Fill=—","Direction=H","UseDPDF=Y")</f>
        <v>20825</v>
      </c>
      <c r="AD45" s="13" cm="1">
        <f t="array" ref="AD45">_xll.BDH("DE US Equity","BS_ST_BORROW","FQ2 2025","FQ2 2025","Currency=USD","Period=FQ","BEST_FPERIOD_OVERRIDE=FQ","FILING_STATUS=MR","SCALING_FORMAT=MLN","Sort=A","Dates=H","DateFormat=P","Fill=—","Direction=H","UseDPDF=Y")</f>
        <v>23510</v>
      </c>
      <c r="AE45" s="13" cm="1">
        <f t="array" ref="AE45">_xll.BDH("DE US Equity","BS_ST_BORROW","FQ3 2025","FQ3 2025","Currency=USD","Period=FQ","BEST_FPERIOD_OVERRIDE=FQ","FILING_STATUS=MR","SCALING_FORMAT=MLN","Sort=A","Dates=H","DateFormat=P","Fill=—","Direction=H","UseDPDF=Y")</f>
        <v>22217</v>
      </c>
      <c r="AF45" s="13" cm="1">
        <f t="array" ref="AF45">_xll.BDH("DE US Equity","BS_ST_BORROW","FQ4 2025","FQ4 2025","Currency=USD","Period=FQ","BEST_FPERIOD_OVERRIDE=FQ","FILING_STATUS=MR","SCALING_FORMAT=MLN","Sort=A","Dates=H","DateFormat=P","Fill=—","Direction=H","UseDPDF=Y")</f>
        <v>20706</v>
      </c>
    </row>
    <row r="46" spans="1:32" x14ac:dyDescent="0.25">
      <c r="A46" s="10" t="s">
        <v>139</v>
      </c>
      <c r="B46" s="10" t="s">
        <v>140</v>
      </c>
      <c r="C46" s="13" cm="1">
        <f t="array" ref="C46">_xll.BDH("DE US Equity","SHORT_TERM_DEBT_DETAILED","FQ3 2018","FQ3 2018","Currency=USD","Period=FQ","BEST_FPERIOD_OVERRIDE=FQ","FILING_STATUS=MR","SCALING_FORMAT=MLN","Sort=A","Dates=H","DateFormat=P","Fill=—","Direction=H","UseDPDF=Y")</f>
        <v>15532</v>
      </c>
      <c r="D46" s="13" cm="1">
        <f t="array" ref="D46">_xll.BDH("DE US Equity","SHORT_TERM_DEBT_DETAILED","FQ4 2018","FQ4 2018","Currency=USD","Period=FQ","BEST_FPERIOD_OVERRIDE=FQ","FILING_STATUS=MR","SCALING_FORMAT=MLN","Sort=A","Dates=H","DateFormat=P","Fill=—","Direction=H","UseDPDF=Y")</f>
        <v>15019</v>
      </c>
      <c r="E46" s="13" cm="1">
        <f t="array" ref="E46">_xll.BDH("DE US Equity","SHORT_TERM_DEBT_DETAILED","FQ1 2019","FQ1 2019","Currency=USD","Period=FQ","BEST_FPERIOD_OVERRIDE=FQ","FILING_STATUS=MR","SCALING_FORMAT=MLN","Sort=A","Dates=H","DateFormat=P","Fill=—","Direction=H","UseDPDF=Y")</f>
        <v>15201.5</v>
      </c>
      <c r="F46" s="13" cm="1">
        <f t="array" ref="F46">_xll.BDH("DE US Equity","SHORT_TERM_DEBT_DETAILED","FQ2 2019","FQ2 2019","Currency=USD","Period=FQ","BEST_FPERIOD_OVERRIDE=FQ","FILING_STATUS=MR","SCALING_FORMAT=MLN","Sort=A","Dates=H","DateFormat=P","Fill=—","Direction=H","UseDPDF=Y")</f>
        <v>16464</v>
      </c>
      <c r="G46" s="13" cm="1">
        <f t="array" ref="G46">_xll.BDH("DE US Equity","SHORT_TERM_DEBT_DETAILED","FQ3 2019","FQ3 2019","Currency=USD","Period=FQ","BEST_FPERIOD_OVERRIDE=FQ","FILING_STATUS=MR","SCALING_FORMAT=MLN","Sort=A","Dates=H","DateFormat=P","Fill=—","Direction=H","UseDPDF=Y")</f>
        <v>16190</v>
      </c>
      <c r="H46" s="13" cm="1">
        <f t="array" ref="H46">_xll.BDH("DE US Equity","SHORT_TERM_DEBT_DETAILED","FQ4 2019","FQ4 2019","Currency=USD","Period=FQ","BEST_FPERIOD_OVERRIDE=FQ","FILING_STATUS=MR","SCALING_FORMAT=MLN","Sort=A","Dates=H","DateFormat=P","Fill=—","Direction=H","UseDPDF=Y")</f>
        <v>15105</v>
      </c>
      <c r="I46" s="13" cm="1">
        <f t="array" ref="I46">_xll.BDH("DE US Equity","SHORT_TERM_DEBT_DETAILED","FQ1 2020","FQ1 2020","Currency=USD","Period=FQ","BEST_FPERIOD_OVERRIDE=FQ","FILING_STATUS=MR","SCALING_FORMAT=MLN","Sort=A","Dates=H","DateFormat=P","Fill=—","Direction=H","UseDPDF=Y")</f>
        <v>14412</v>
      </c>
      <c r="J46" s="13" cm="1">
        <f t="array" ref="J46">_xll.BDH("DE US Equity","SHORT_TERM_DEBT_DETAILED","FQ2 2020","FQ2 2020","Currency=USD","Period=FQ","BEST_FPERIOD_OVERRIDE=FQ","FILING_STATUS=MR","SCALING_FORMAT=MLN","Sort=A","Dates=H","DateFormat=P","Fill=—","Direction=H","UseDPDF=Y")</f>
        <v>15806</v>
      </c>
      <c r="K46" s="13" cm="1">
        <f t="array" ref="K46">_xll.BDH("DE US Equity","SHORT_TERM_DEBT_DETAILED","FQ3 2020","FQ3 2020","Currency=USD","Period=FQ","BEST_FPERIOD_OVERRIDE=FQ","FILING_STATUS=MR","SCALING_FORMAT=MLN","Sort=A","Dates=H","DateFormat=P","Fill=—","Direction=H","UseDPDF=Y")</f>
        <v>14418</v>
      </c>
      <c r="L46" s="13" cm="1">
        <f t="array" ref="L46">_xll.BDH("DE US Equity","SHORT_TERM_DEBT_DETAILED","FQ4 2020","FQ4 2020","Currency=USD","Period=FQ","BEST_FPERIOD_OVERRIDE=FQ","FILING_STATUS=MR","SCALING_FORMAT=MLN","Sort=A","Dates=H","DateFormat=P","Fill=—","Direction=H","UseDPDF=Y")</f>
        <v>6294</v>
      </c>
      <c r="M46" s="13" cm="1">
        <f t="array" ref="M46">_xll.BDH("DE US Equity","SHORT_TERM_DEBT_DETAILED","FQ1 2021","FQ1 2021","Currency=USD","Period=FQ","BEST_FPERIOD_OVERRIDE=FQ","FILING_STATUS=MR","SCALING_FORMAT=MLN","Sort=A","Dates=H","DateFormat=P","Fill=—","Direction=H","UseDPDF=Y")</f>
        <v>13173</v>
      </c>
      <c r="N46" s="13" cm="1">
        <f t="array" ref="N46">_xll.BDH("DE US Equity","SHORT_TERM_DEBT_DETAILED","FQ2 2021","FQ2 2021","Currency=USD","Period=FQ","BEST_FPERIOD_OVERRIDE=FQ","FILING_STATUS=MR","SCALING_FORMAT=MLN","Sort=A","Dates=H","DateFormat=P","Fill=—","Direction=H","UseDPDF=Y")</f>
        <v>13993</v>
      </c>
      <c r="O46" s="13" cm="1">
        <f t="array" ref="O46">_xll.BDH("DE US Equity","SHORT_TERM_DEBT_DETAILED","FQ3 2021","FQ3 2021","Currency=USD","Period=FQ","BEST_FPERIOD_OVERRIDE=FQ","FILING_STATUS=MR","SCALING_FORMAT=MLN","Sort=A","Dates=H","DateFormat=P","Fill=—","Direction=H","UseDPDF=Y")</f>
        <v>15658</v>
      </c>
      <c r="P46" s="13" cm="1">
        <f t="array" ref="P46">_xll.BDH("DE US Equity","SHORT_TERM_DEBT_DETAILED","FQ4 2021","FQ4 2021","Currency=USD","Period=FQ","BEST_FPERIOD_OVERRIDE=FQ","FILING_STATUS=MR","SCALING_FORMAT=MLN","Sort=A","Dates=H","DateFormat=P","Fill=—","Direction=H","UseDPDF=Y")</f>
        <v>7171</v>
      </c>
      <c r="Q46" s="13" cm="1">
        <f t="array" ref="Q46">_xll.BDH("DE US Equity","SHORT_TERM_DEBT_DETAILED","FQ1 2022","FQ1 2022","Currency=USD","Period=FQ","BEST_FPERIOD_OVERRIDE=FQ","FILING_STATUS=MR","SCALING_FORMAT=MLN","Sort=A","Dates=H","DateFormat=P","Fill=—","Direction=H","UseDPDF=Y")</f>
        <v>6136</v>
      </c>
      <c r="R46" s="13" cm="1">
        <f t="array" ref="R46">_xll.BDH("DE US Equity","SHORT_TERM_DEBT_DETAILED","FQ2 2022","FQ2 2022","Currency=USD","Period=FQ","BEST_FPERIOD_OVERRIDE=FQ","FILING_STATUS=MR","SCALING_FORMAT=MLN","Sort=A","Dates=H","DateFormat=P","Fill=—","Direction=H","UseDPDF=Y")</f>
        <v>16419</v>
      </c>
      <c r="S46" s="13" cm="1">
        <f t="array" ref="S46">_xll.BDH("DE US Equity","SHORT_TERM_DEBT_DETAILED","FQ3 2022","FQ3 2022","Currency=USD","Period=FQ","BEST_FPERIOD_OVERRIDE=FQ","FILING_STATUS=MR","SCALING_FORMAT=MLN","Sort=A","Dates=H","DateFormat=P","Fill=—","Direction=H","UseDPDF=Y")</f>
        <v>19096</v>
      </c>
      <c r="T46" s="13" cm="1">
        <f t="array" ref="T46">_xll.BDH("DE US Equity","SHORT_TERM_DEBT_DETAILED","FQ4 2022","FQ4 2022","Currency=USD","Period=FQ","BEST_FPERIOD_OVERRIDE=FQ","FILING_STATUS=MR","SCALING_FORMAT=MLN","Sort=A","Dates=H","DateFormat=P","Fill=—","Direction=H","UseDPDF=Y")</f>
        <v>10816</v>
      </c>
      <c r="U46" s="13" cm="1">
        <f t="array" ref="U46">_xll.BDH("DE US Equity","SHORT_TERM_DEBT_DETAILED","FQ1 2023","FQ1 2023","Currency=USD","Period=FQ","BEST_FPERIOD_OVERRIDE=FQ","FILING_STATUS=MR","SCALING_FORMAT=MLN","Sort=A","Dates=H","DateFormat=P","Fill=—","Direction=H","UseDPDF=Y")</f>
        <v>11592</v>
      </c>
      <c r="V46" s="13" cm="1">
        <f t="array" ref="V46">_xll.BDH("DE US Equity","SHORT_TERM_DEBT_DETAILED","FQ2 2023","FQ2 2023","Currency=USD","Period=FQ","BEST_FPERIOD_OVERRIDE=FQ","FILING_STATUS=MR","SCALING_FORMAT=MLN","Sort=A","Dates=H","DateFormat=P","Fill=—","Direction=H","UseDPDF=Y")</f>
        <v>22488</v>
      </c>
      <c r="W46" s="13" cm="1">
        <f t="array" ref="W46">_xll.BDH("DE US Equity","SHORT_TERM_DEBT_DETAILED","FQ3 2023","FQ3 2023","Currency=USD","Period=FQ","BEST_FPERIOD_OVERRIDE=FQ","FILING_STATUS=MR","SCALING_FORMAT=MLN","Sort=A","Dates=H","DateFormat=P","Fill=—","Direction=H","UseDPDF=Y")</f>
        <v>23751</v>
      </c>
      <c r="X46" s="13" cm="1">
        <f t="array" ref="X46">_xll.BDH("DE US Equity","SHORT_TERM_DEBT_DETAILED","FQ4 2023","FQ4 2023","Currency=USD","Period=FQ","BEST_FPERIOD_OVERRIDE=FQ","FILING_STATUS=MR","SCALING_FORMAT=MLN","Sort=A","Dates=H","DateFormat=P","Fill=—","Direction=H","UseDPDF=Y")</f>
        <v>16578</v>
      </c>
      <c r="Y46" s="13" cm="1">
        <f t="array" ref="Y46">_xll.BDH("DE US Equity","SHORT_TERM_DEBT_DETAILED","FQ1 2024","FQ1 2024","Currency=USD","Period=FQ","BEST_FPERIOD_OVERRIDE=FQ","FILING_STATUS=MR","SCALING_FORMAT=MLN","Sort=A","Dates=H","DateFormat=P","Fill=—","Direction=H","UseDPDF=Y")</f>
        <v>14804</v>
      </c>
      <c r="Z46" s="13" cm="1">
        <f t="array" ref="Z46">_xll.BDH("DE US Equity","SHORT_TERM_DEBT_DETAILED","FQ2 2024","FQ2 2024","Currency=USD","Period=FQ","BEST_FPERIOD_OVERRIDE=FQ","FILING_STATUS=MR","SCALING_FORMAT=MLN","Sort=A","Dates=H","DateFormat=P","Fill=—","Direction=H","UseDPDF=Y")</f>
        <v>14051</v>
      </c>
      <c r="AA46" s="13" cm="1">
        <f t="array" ref="AA46">_xll.BDH("DE US Equity","SHORT_TERM_DEBT_DETAILED","FQ3 2024","FQ3 2024","Currency=USD","Period=FQ","BEST_FPERIOD_OVERRIDE=FQ","FILING_STATUS=MR","SCALING_FORMAT=MLN","Sort=A","Dates=H","DateFormat=P","Fill=—","Direction=H","UseDPDF=Y")</f>
        <v>13890</v>
      </c>
      <c r="AB46" s="13" cm="1">
        <f t="array" ref="AB46">_xll.BDH("DE US Equity","SHORT_TERM_DEBT_DETAILED","FQ4 2024","FQ4 2024","Currency=USD","Period=FQ","BEST_FPERIOD_OVERRIDE=FQ","FILING_STATUS=MR","SCALING_FORMAT=MLN","Sort=A","Dates=H","DateFormat=P","Fill=—","Direction=H","UseDPDF=Y")</f>
        <v>12816</v>
      </c>
      <c r="AC46" s="13" cm="1">
        <f t="array" ref="AC46">_xll.BDH("DE US Equity","SHORT_TERM_DEBT_DETAILED","FQ1 2025","FQ1 2025","Currency=USD","Period=FQ","BEST_FPERIOD_OVERRIDE=FQ","FILING_STATUS=MR","SCALING_FORMAT=MLN","Sort=A","Dates=H","DateFormat=P","Fill=—","Direction=H","UseDPDF=Y")</f>
        <v>11274</v>
      </c>
      <c r="AD46" s="13" cm="1">
        <f t="array" ref="AD46">_xll.BDH("DE US Equity","SHORT_TERM_DEBT_DETAILED","FQ2 2025","FQ2 2025","Currency=USD","Period=FQ","BEST_FPERIOD_OVERRIDE=FQ","FILING_STATUS=MR","SCALING_FORMAT=MLN","Sort=A","Dates=H","DateFormat=P","Fill=—","Direction=H","UseDPDF=Y")</f>
        <v>14543</v>
      </c>
      <c r="AE46" s="13" cm="1">
        <f t="array" ref="AE46">_xll.BDH("DE US Equity","SHORT_TERM_DEBT_DETAILED","FQ3 2025","FQ3 2025","Currency=USD","Period=FQ","BEST_FPERIOD_OVERRIDE=FQ","FILING_STATUS=MR","SCALING_FORMAT=MLN","Sort=A","Dates=H","DateFormat=P","Fill=—","Direction=H","UseDPDF=Y")</f>
        <v>13667</v>
      </c>
      <c r="AF46" s="13" cm="1">
        <f t="array" ref="AF46">_xll.BDH("DE US Equity","SHORT_TERM_DEBT_DETAILED","FQ4 2025","FQ4 2025","Currency=USD","Period=FQ","BEST_FPERIOD_OVERRIDE=FQ","FILING_STATUS=MR","SCALING_FORMAT=MLN","Sort=A","Dates=H","DateFormat=P","Fill=—","Direction=H","UseDPDF=Y")</f>
        <v>11465</v>
      </c>
    </row>
    <row r="47" spans="1:32" x14ac:dyDescent="0.25">
      <c r="A47" s="10" t="s">
        <v>141</v>
      </c>
      <c r="B47" s="10" t="s">
        <v>142</v>
      </c>
      <c r="C47" s="13" t="str" cm="1">
        <f t="array" ref="C47">_xll.BDH("DE US Equity","ST_CAPITALIZED_LEASE_LIABILITIES","FQ3 2018","FQ3 2018","Currency=USD","Period=FQ","BEST_FPERIOD_OVERRIDE=FQ","FILING_STATUS=MR","SCALING_FORMAT=MLN","Sort=A","Dates=H","DateFormat=P","Fill=—","Direction=H","UseDPDF=Y")</f>
        <v>—</v>
      </c>
      <c r="D47" s="13" t="str" cm="1">
        <f t="array" ref="D47">_xll.BDH("DE US Equity","ST_CAPITALIZED_LEASE_LIABILITIES","FQ4 2018","FQ4 2018","Currency=USD","Period=FQ","BEST_FPERIOD_OVERRIDE=FQ","FILING_STATUS=MR","SCALING_FORMAT=MLN","Sort=A","Dates=H","DateFormat=P","Fill=—","Direction=H","UseDPDF=Y")</f>
        <v>—</v>
      </c>
      <c r="E47" s="13" t="str" cm="1">
        <f t="array" ref="E47">_xll.BDH("DE US Equity","ST_CAPITALIZED_LEASE_LIABILITIES","FQ1 2019","FQ1 2019","Currency=USD","Period=FQ","BEST_FPERIOD_OVERRIDE=FQ","FILING_STATUS=MR","SCALING_FORMAT=MLN","Sort=A","Dates=H","DateFormat=P","Fill=—","Direction=H","UseDPDF=Y")</f>
        <v>—</v>
      </c>
      <c r="F47" s="13" t="str" cm="1">
        <f t="array" ref="F47">_xll.BDH("DE US Equity","ST_CAPITALIZED_LEASE_LIABILITIES","FQ2 2019","FQ2 2019","Currency=USD","Period=FQ","BEST_FPERIOD_OVERRIDE=FQ","FILING_STATUS=MR","SCALING_FORMAT=MLN","Sort=A","Dates=H","DateFormat=P","Fill=—","Direction=H","UseDPDF=Y")</f>
        <v>—</v>
      </c>
      <c r="G47" s="13" t="str" cm="1">
        <f t="array" ref="G47">_xll.BDH("DE US Equity","ST_CAPITALIZED_LEASE_LIABILITIES","FQ3 2019","FQ3 2019","Currency=USD","Period=FQ","BEST_FPERIOD_OVERRIDE=FQ","FILING_STATUS=MR","SCALING_FORMAT=MLN","Sort=A","Dates=H","DateFormat=P","Fill=—","Direction=H","UseDPDF=Y")</f>
        <v>—</v>
      </c>
      <c r="H47" s="13" t="str" cm="1">
        <f t="array" ref="H47">_xll.BDH("DE US Equity","ST_CAPITALIZED_LEASE_LIABILITIES","FQ4 2019","FQ4 2019","Currency=USD","Period=FQ","BEST_FPERIOD_OVERRIDE=FQ","FILING_STATUS=MR","SCALING_FORMAT=MLN","Sort=A","Dates=H","DateFormat=P","Fill=—","Direction=H","UseDPDF=Y")</f>
        <v>—</v>
      </c>
      <c r="I47" s="13" cm="1">
        <f t="array" ref="I47">_xll.BDH("DE US Equity","ST_CAPITALIZED_LEASE_LIABILITIES","FQ1 2020","FQ1 2020","Currency=USD","Period=FQ","BEST_FPERIOD_OVERRIDE=FQ","FILING_STATUS=MR","SCALING_FORMAT=MLN","Sort=A","Dates=H","DateFormat=P","Fill=—","Direction=H","UseDPDF=Y")</f>
        <v>373</v>
      </c>
      <c r="J47" s="13" cm="1">
        <f t="array" ref="J47">_xll.BDH("DE US Equity","ST_CAPITALIZED_LEASE_LIABILITIES","FQ2 2020","FQ2 2020","Currency=USD","Period=FQ","BEST_FPERIOD_OVERRIDE=FQ","FILING_STATUS=MR","SCALING_FORMAT=MLN","Sort=A","Dates=H","DateFormat=P","Fill=—","Direction=H","UseDPDF=Y")</f>
        <v>332</v>
      </c>
      <c r="K47" s="13" cm="1">
        <f t="array" ref="K47">_xll.BDH("DE US Equity","ST_CAPITALIZED_LEASE_LIABILITIES","FQ3 2020","FQ3 2020","Currency=USD","Period=FQ","BEST_FPERIOD_OVERRIDE=FQ","FILING_STATUS=MR","SCALING_FORMAT=MLN","Sort=A","Dates=H","DateFormat=P","Fill=—","Direction=H","UseDPDF=Y")</f>
        <v>336</v>
      </c>
      <c r="L47" s="13" cm="1">
        <f t="array" ref="L47">_xll.BDH("DE US Equity","ST_CAPITALIZED_LEASE_LIABILITIES","FQ4 2020","FQ4 2020","Currency=USD","Period=FQ","BEST_FPERIOD_OVERRIDE=FQ","FILING_STATUS=MR","SCALING_FORMAT=MLN","Sort=A","Dates=H","DateFormat=P","Fill=—","Direction=H","UseDPDF=Y")</f>
        <v>318</v>
      </c>
      <c r="M47" s="13" cm="1">
        <f t="array" ref="M47">_xll.BDH("DE US Equity","ST_CAPITALIZED_LEASE_LIABILITIES","FQ1 2021","FQ1 2021","Currency=USD","Period=FQ","BEST_FPERIOD_OVERRIDE=FQ","FILING_STATUS=MR","SCALING_FORMAT=MLN","Sort=A","Dates=H","DateFormat=P","Fill=—","Direction=H","UseDPDF=Y")</f>
        <v>335</v>
      </c>
      <c r="N47" s="13" cm="1">
        <f t="array" ref="N47">_xll.BDH("DE US Equity","ST_CAPITALIZED_LEASE_LIABILITIES","FQ2 2021","FQ2 2021","Currency=USD","Period=FQ","BEST_FPERIOD_OVERRIDE=FQ","FILING_STATUS=MR","SCALING_FORMAT=MLN","Sort=A","Dates=H","DateFormat=P","Fill=—","Direction=H","UseDPDF=Y")</f>
        <v>352</v>
      </c>
      <c r="O47" s="13" cm="1">
        <f t="array" ref="O47">_xll.BDH("DE US Equity","ST_CAPITALIZED_LEASE_LIABILITIES","FQ3 2021","FQ3 2021","Currency=USD","Period=FQ","BEST_FPERIOD_OVERRIDE=FQ","FILING_STATUS=MR","SCALING_FORMAT=MLN","Sort=A","Dates=H","DateFormat=P","Fill=—","Direction=H","UseDPDF=Y")</f>
        <v>23</v>
      </c>
      <c r="P47" s="13" cm="1">
        <f t="array" ref="P47">_xll.BDH("DE US Equity","ST_CAPITALIZED_LEASE_LIABILITIES","FQ4 2021","FQ4 2021","Currency=USD","Period=FQ","BEST_FPERIOD_OVERRIDE=FQ","FILING_STATUS=MR","SCALING_FORMAT=MLN","Sort=A","Dates=H","DateFormat=P","Fill=—","Direction=H","UseDPDF=Y")</f>
        <v>302</v>
      </c>
      <c r="Q47" s="13" cm="1">
        <f t="array" ref="Q47">_xll.BDH("DE US Equity","ST_CAPITALIZED_LEASE_LIABILITIES","FQ1 2022","FQ1 2022","Currency=USD","Period=FQ","BEST_FPERIOD_OVERRIDE=FQ","FILING_STATUS=MR","SCALING_FORMAT=MLN","Sort=A","Dates=H","DateFormat=P","Fill=—","Direction=H","UseDPDF=Y")</f>
        <v>290</v>
      </c>
      <c r="R47" s="13" t="str" cm="1">
        <f t="array" ref="R47">_xll.BDH("DE US Equity","ST_CAPITALIZED_LEASE_LIABILITIES","FQ2 2022","FQ2 2022","Currency=USD","Period=FQ","BEST_FPERIOD_OVERRIDE=FQ","FILING_STATUS=MR","SCALING_FORMAT=MLN","Sort=A","Dates=H","DateFormat=P","Fill=—","Direction=H","UseDPDF=Y")</f>
        <v>—</v>
      </c>
      <c r="S47" s="13" t="str" cm="1">
        <f t="array" ref="S47">_xll.BDH("DE US Equity","ST_CAPITALIZED_LEASE_LIABILITIES","FQ3 2022","FQ3 2022","Currency=USD","Period=FQ","BEST_FPERIOD_OVERRIDE=FQ","FILING_STATUS=MR","SCALING_FORMAT=MLN","Sort=A","Dates=H","DateFormat=P","Fill=—","Direction=H","UseDPDF=Y")</f>
        <v>—</v>
      </c>
      <c r="T47" s="13" cm="1">
        <f t="array" ref="T47">_xll.BDH("DE US Equity","ST_CAPITALIZED_LEASE_LIABILITIES","FQ4 2022","FQ4 2022","Currency=USD","Period=FQ","BEST_FPERIOD_OVERRIDE=FQ","FILING_STATUS=MR","SCALING_FORMAT=MLN","Sort=A","Dates=H","DateFormat=P","Fill=—","Direction=H","UseDPDF=Y")</f>
        <v>323</v>
      </c>
      <c r="U47" s="13" cm="1">
        <f t="array" ref="U47">_xll.BDH("DE US Equity","ST_CAPITALIZED_LEASE_LIABILITIES","FQ1 2023","FQ1 2023","Currency=USD","Period=FQ","BEST_FPERIOD_OVERRIDE=FQ","FILING_STATUS=MR","SCALING_FORMAT=MLN","Sort=A","Dates=H","DateFormat=P","Fill=—","Direction=H","UseDPDF=Y")</f>
        <v>23</v>
      </c>
      <c r="V47" s="13" t="str" cm="1">
        <f t="array" ref="V47">_xll.BDH("DE US Equity","ST_CAPITALIZED_LEASE_LIABILITIES","FQ2 2023","FQ2 2023","Currency=USD","Period=FQ","BEST_FPERIOD_OVERRIDE=FQ","FILING_STATUS=MR","SCALING_FORMAT=MLN","Sort=A","Dates=H","DateFormat=P","Fill=—","Direction=H","UseDPDF=Y")</f>
        <v>—</v>
      </c>
      <c r="W47" s="13" t="str" cm="1">
        <f t="array" ref="W47">_xll.BDH("DE US Equity","ST_CAPITALIZED_LEASE_LIABILITIES","FQ3 2023","FQ3 2023","Currency=USD","Period=FQ","BEST_FPERIOD_OVERRIDE=FQ","FILING_STATUS=MR","SCALING_FORMAT=MLN","Sort=A","Dates=H","DateFormat=P","Fill=—","Direction=H","UseDPDF=Y")</f>
        <v>—</v>
      </c>
      <c r="X47" s="13" cm="1">
        <f t="array" ref="X47">_xll.BDH("DE US Equity","ST_CAPITALIZED_LEASE_LIABILITIES","FQ4 2023","FQ4 2023","Currency=USD","Period=FQ","BEST_FPERIOD_OVERRIDE=FQ","FILING_STATUS=MR","SCALING_FORMAT=MLN","Sort=A","Dates=H","DateFormat=P","Fill=—","Direction=H","UseDPDF=Y")</f>
        <v>306</v>
      </c>
      <c r="Y47" s="13" cm="1">
        <f t="array" ref="Y47">_xll.BDH("DE US Equity","ST_CAPITALIZED_LEASE_LIABILITIES","FQ1 2024","FQ1 2024","Currency=USD","Period=FQ","BEST_FPERIOD_OVERRIDE=FQ","FILING_STATUS=MR","SCALING_FORMAT=MLN","Sort=A","Dates=H","DateFormat=P","Fill=—","Direction=H","UseDPDF=Y")</f>
        <v>27</v>
      </c>
      <c r="Z47" s="13" cm="1">
        <f t="array" ref="Z47">_xll.BDH("DE US Equity","ST_CAPITALIZED_LEASE_LIABILITIES","FQ2 2024","FQ2 2024","Currency=USD","Period=FQ","BEST_FPERIOD_OVERRIDE=FQ","FILING_STATUS=MR","SCALING_FORMAT=MLN","Sort=A","Dates=H","DateFormat=P","Fill=—","Direction=H","UseDPDF=Y")</f>
        <v>1064</v>
      </c>
      <c r="AA47" s="13" t="str" cm="1">
        <f t="array" ref="AA47">_xll.BDH("DE US Equity","ST_CAPITALIZED_LEASE_LIABILITIES","FQ3 2024","FQ3 2024","Currency=USD","Period=FQ","BEST_FPERIOD_OVERRIDE=FQ","FILING_STATUS=MR","SCALING_FORMAT=MLN","Sort=A","Dates=H","DateFormat=P","Fill=—","Direction=H","UseDPDF=Y")</f>
        <v>—</v>
      </c>
      <c r="AB47" s="13" cm="1">
        <f t="array" ref="AB47">_xll.BDH("DE US Equity","ST_CAPITALIZED_LEASE_LIABILITIES","FQ4 2024","FQ4 2024","Currency=USD","Period=FQ","BEST_FPERIOD_OVERRIDE=FQ","FILING_STATUS=MR","SCALING_FORMAT=MLN","Sort=A","Dates=H","DateFormat=P","Fill=—","Direction=H","UseDPDF=Y")</f>
        <v>303</v>
      </c>
      <c r="AC47" s="13" cm="1">
        <f t="array" ref="AC47">_xll.BDH("DE US Equity","ST_CAPITALIZED_LEASE_LIABILITIES","FQ1 2025","FQ1 2025","Currency=USD","Period=FQ","BEST_FPERIOD_OVERRIDE=FQ","FILING_STATUS=MR","SCALING_FORMAT=MLN","Sort=A","Dates=H","DateFormat=P","Fill=—","Direction=H","UseDPDF=Y")</f>
        <v>34</v>
      </c>
      <c r="AD47" s="13" cm="1">
        <f t="array" ref="AD47">_xll.BDH("DE US Equity","ST_CAPITALIZED_LEASE_LIABILITIES","FQ2 2025","FQ2 2025","Currency=USD","Period=FQ","BEST_FPERIOD_OVERRIDE=FQ","FILING_STATUS=MR","SCALING_FORMAT=MLN","Sort=A","Dates=H","DateFormat=P","Fill=—","Direction=H","UseDPDF=Y")</f>
        <v>39</v>
      </c>
      <c r="AE47" s="13" t="str" cm="1">
        <f t="array" ref="AE47">_xll.BDH("DE US Equity","ST_CAPITALIZED_LEASE_LIABILITIES","FQ3 2025","FQ3 2025","Currency=USD","Period=FQ","BEST_FPERIOD_OVERRIDE=FQ","FILING_STATUS=MR","SCALING_FORMAT=MLN","Sort=A","Dates=H","DateFormat=P","Fill=—","Direction=H","UseDPDF=Y")</f>
        <v>—</v>
      </c>
      <c r="AF47" s="13" cm="1">
        <f t="array" ref="AF47">_xll.BDH("DE US Equity","ST_CAPITALIZED_LEASE_LIABILITIES","FQ4 2025","FQ4 2025","Currency=USD","Period=FQ","BEST_FPERIOD_OVERRIDE=FQ","FILING_STATUS=MR","SCALING_FORMAT=MLN","Sort=A","Dates=H","DateFormat=P","Fill=—","Direction=H","UseDPDF=Y")</f>
        <v>353</v>
      </c>
    </row>
    <row r="48" spans="1:32" x14ac:dyDescent="0.25">
      <c r="A48" s="11" t="s">
        <v>143</v>
      </c>
      <c r="B48" s="11" t="s">
        <v>144</v>
      </c>
      <c r="C48" s="17" t="str" cm="1">
        <f t="array" ref="C48">_xll.BDH("DE US Equity","ST_CAPITAL_LEASE_OBLIGATIONS","FQ3 2018","FQ3 2018","Currency=USD","Period=FQ","BEST_FPERIOD_OVERRIDE=FQ","FILING_STATUS=MR","SCALING_FORMAT=MLN","Sort=A","Dates=H","DateFormat=P","Fill=—","Direction=H","UseDPDF=Y")</f>
        <v>—</v>
      </c>
      <c r="D48" s="17" t="str" cm="1">
        <f t="array" ref="D48">_xll.BDH("DE US Equity","ST_CAPITAL_LEASE_OBLIGATIONS","FQ4 2018","FQ4 2018","Currency=USD","Period=FQ","BEST_FPERIOD_OVERRIDE=FQ","FILING_STATUS=MR","SCALING_FORMAT=MLN","Sort=A","Dates=H","DateFormat=P","Fill=—","Direction=H","UseDPDF=Y")</f>
        <v>—</v>
      </c>
      <c r="E48" s="17" t="str" cm="1">
        <f t="array" ref="E48">_xll.BDH("DE US Equity","ST_CAPITAL_LEASE_OBLIGATIONS","FQ1 2019","FQ1 2019","Currency=USD","Period=FQ","BEST_FPERIOD_OVERRIDE=FQ","FILING_STATUS=MR","SCALING_FORMAT=MLN","Sort=A","Dates=H","DateFormat=P","Fill=—","Direction=H","UseDPDF=Y")</f>
        <v>—</v>
      </c>
      <c r="F48" s="17" t="str" cm="1">
        <f t="array" ref="F48">_xll.BDH("DE US Equity","ST_CAPITAL_LEASE_OBLIGATIONS","FQ2 2019","FQ2 2019","Currency=USD","Period=FQ","BEST_FPERIOD_OVERRIDE=FQ","FILING_STATUS=MR","SCALING_FORMAT=MLN","Sort=A","Dates=H","DateFormat=P","Fill=—","Direction=H","UseDPDF=Y")</f>
        <v>—</v>
      </c>
      <c r="G48" s="17" t="str" cm="1">
        <f t="array" ref="G48">_xll.BDH("DE US Equity","ST_CAPITAL_LEASE_OBLIGATIONS","FQ3 2019","FQ3 2019","Currency=USD","Period=FQ","BEST_FPERIOD_OVERRIDE=FQ","FILING_STATUS=MR","SCALING_FORMAT=MLN","Sort=A","Dates=H","DateFormat=P","Fill=—","Direction=H","UseDPDF=Y")</f>
        <v>—</v>
      </c>
      <c r="H48" s="17" t="str" cm="1">
        <f t="array" ref="H48">_xll.BDH("DE US Equity","ST_CAPITAL_LEASE_OBLIGATIONS","FQ4 2019","FQ4 2019","Currency=USD","Period=FQ","BEST_FPERIOD_OVERRIDE=FQ","FILING_STATUS=MR","SCALING_FORMAT=MLN","Sort=A","Dates=H","DateFormat=P","Fill=—","Direction=H","UseDPDF=Y")</f>
        <v>—</v>
      </c>
      <c r="I48" s="17" cm="1">
        <f t="array" ref="I48">_xll.BDH("DE US Equity","ST_CAPITAL_LEASE_OBLIGATIONS","FQ1 2020","FQ1 2020","Currency=USD","Period=FQ","BEST_FPERIOD_OVERRIDE=FQ","FILING_STATUS=MR","SCALING_FORMAT=MLN","Sort=A","Dates=H","DateFormat=P","Fill=—","Direction=H","UseDPDF=Y")</f>
        <v>12</v>
      </c>
      <c r="J48" s="17" cm="1">
        <f t="array" ref="J48">_xll.BDH("DE US Equity","ST_CAPITAL_LEASE_OBLIGATIONS","FQ2 2020","FQ2 2020","Currency=USD","Period=FQ","BEST_FPERIOD_OVERRIDE=FQ","FILING_STATUS=MR","SCALING_FORMAT=MLN","Sort=A","Dates=H","DateFormat=P","Fill=—","Direction=H","UseDPDF=Y")</f>
        <v>13</v>
      </c>
      <c r="K48" s="17" cm="1">
        <f t="array" ref="K48">_xll.BDH("DE US Equity","ST_CAPITAL_LEASE_OBLIGATIONS","FQ3 2020","FQ3 2020","Currency=USD","Period=FQ","BEST_FPERIOD_OVERRIDE=FQ","FILING_STATUS=MR","SCALING_FORMAT=MLN","Sort=A","Dates=H","DateFormat=P","Fill=—","Direction=H","UseDPDF=Y")</f>
        <v>18</v>
      </c>
      <c r="L48" s="17" cm="1">
        <f t="array" ref="L48">_xll.BDH("DE US Equity","ST_CAPITAL_LEASE_OBLIGATIONS","FQ4 2020","FQ4 2020","Currency=USD","Period=FQ","BEST_FPERIOD_OVERRIDE=FQ","FILING_STATUS=MR","SCALING_FORMAT=MLN","Sort=A","Dates=H","DateFormat=P","Fill=—","Direction=H","UseDPDF=Y")</f>
        <v>21</v>
      </c>
      <c r="M48" s="17" cm="1">
        <f t="array" ref="M48">_xll.BDH("DE US Equity","ST_CAPITAL_LEASE_OBLIGATIONS","FQ1 2021","FQ1 2021","Currency=USD","Period=FQ","BEST_FPERIOD_OVERRIDE=FQ","FILING_STATUS=MR","SCALING_FORMAT=MLN","Sort=A","Dates=H","DateFormat=P","Fill=—","Direction=H","UseDPDF=Y")</f>
        <v>20</v>
      </c>
      <c r="N48" s="17" cm="1">
        <f t="array" ref="N48">_xll.BDH("DE US Equity","ST_CAPITAL_LEASE_OBLIGATIONS","FQ2 2021","FQ2 2021","Currency=USD","Period=FQ","BEST_FPERIOD_OVERRIDE=FQ","FILING_STATUS=MR","SCALING_FORMAT=MLN","Sort=A","Dates=H","DateFormat=P","Fill=—","Direction=H","UseDPDF=Y")</f>
        <v>24</v>
      </c>
      <c r="O48" s="17" cm="1">
        <f t="array" ref="O48">_xll.BDH("DE US Equity","ST_CAPITAL_LEASE_OBLIGATIONS","FQ3 2021","FQ3 2021","Currency=USD","Period=FQ","BEST_FPERIOD_OVERRIDE=FQ","FILING_STATUS=MR","SCALING_FORMAT=MLN","Sort=A","Dates=H","DateFormat=P","Fill=—","Direction=H","UseDPDF=Y")</f>
        <v>23</v>
      </c>
      <c r="P48" s="17" cm="1">
        <f t="array" ref="P48">_xll.BDH("DE US Equity","ST_CAPITAL_LEASE_OBLIGATIONS","FQ4 2021","FQ4 2021","Currency=USD","Period=FQ","BEST_FPERIOD_OVERRIDE=FQ","FILING_STATUS=MR","SCALING_FORMAT=MLN","Sort=A","Dates=H","DateFormat=P","Fill=—","Direction=H","UseDPDF=Y")</f>
        <v>23</v>
      </c>
      <c r="Q48" s="17" cm="1">
        <f t="array" ref="Q48">_xll.BDH("DE US Equity","ST_CAPITAL_LEASE_OBLIGATIONS","FQ1 2022","FQ1 2022","Currency=USD","Period=FQ","BEST_FPERIOD_OVERRIDE=FQ","FILING_STATUS=MR","SCALING_FORMAT=MLN","Sort=A","Dates=H","DateFormat=P","Fill=—","Direction=H","UseDPDF=Y")</f>
        <v>23</v>
      </c>
      <c r="R48" s="17" t="str" cm="1">
        <f t="array" ref="R48">_xll.BDH("DE US Equity","ST_CAPITAL_LEASE_OBLIGATIONS","FQ2 2022","FQ2 2022","Currency=USD","Period=FQ","BEST_FPERIOD_OVERRIDE=FQ","FILING_STATUS=MR","SCALING_FORMAT=MLN","Sort=A","Dates=H","DateFormat=P","Fill=—","Direction=H","UseDPDF=Y")</f>
        <v>—</v>
      </c>
      <c r="S48" s="17" t="str" cm="1">
        <f t="array" ref="S48">_xll.BDH("DE US Equity","ST_CAPITAL_LEASE_OBLIGATIONS","FQ3 2022","FQ3 2022","Currency=USD","Period=FQ","BEST_FPERIOD_OVERRIDE=FQ","FILING_STATUS=MR","SCALING_FORMAT=MLN","Sort=A","Dates=H","DateFormat=P","Fill=—","Direction=H","UseDPDF=Y")</f>
        <v>—</v>
      </c>
      <c r="T48" s="17" cm="1">
        <f t="array" ref="T48">_xll.BDH("DE US Equity","ST_CAPITAL_LEASE_OBLIGATIONS","FQ4 2022","FQ4 2022","Currency=USD","Period=FQ","BEST_FPERIOD_OVERRIDE=FQ","FILING_STATUS=MR","SCALING_FORMAT=MLN","Sort=A","Dates=H","DateFormat=P","Fill=—","Direction=H","UseDPDF=Y")</f>
        <v>21</v>
      </c>
      <c r="U48" s="17" cm="1">
        <f t="array" ref="U48">_xll.BDH("DE US Equity","ST_CAPITAL_LEASE_OBLIGATIONS","FQ1 2023","FQ1 2023","Currency=USD","Period=FQ","BEST_FPERIOD_OVERRIDE=FQ","FILING_STATUS=MR","SCALING_FORMAT=MLN","Sort=A","Dates=H","DateFormat=P","Fill=—","Direction=H","UseDPDF=Y")</f>
        <v>23</v>
      </c>
      <c r="V48" s="17" t="str" cm="1">
        <f t="array" ref="V48">_xll.BDH("DE US Equity","ST_CAPITAL_LEASE_OBLIGATIONS","FQ2 2023","FQ2 2023","Currency=USD","Period=FQ","BEST_FPERIOD_OVERRIDE=FQ","FILING_STATUS=MR","SCALING_FORMAT=MLN","Sort=A","Dates=H","DateFormat=P","Fill=—","Direction=H","UseDPDF=Y")</f>
        <v>—</v>
      </c>
      <c r="W48" s="17" t="str" cm="1">
        <f t="array" ref="W48">_xll.BDH("DE US Equity","ST_CAPITAL_LEASE_OBLIGATIONS","FQ3 2023","FQ3 2023","Currency=USD","Period=FQ","BEST_FPERIOD_OVERRIDE=FQ","FILING_STATUS=MR","SCALING_FORMAT=MLN","Sort=A","Dates=H","DateFormat=P","Fill=—","Direction=H","UseDPDF=Y")</f>
        <v>—</v>
      </c>
      <c r="X48" s="17" cm="1">
        <f t="array" ref="X48">_xll.BDH("DE US Equity","ST_CAPITAL_LEASE_OBLIGATIONS","FQ4 2023","FQ4 2023","Currency=USD","Period=FQ","BEST_FPERIOD_OVERRIDE=FQ","FILING_STATUS=MR","SCALING_FORMAT=MLN","Sort=A","Dates=H","DateFormat=P","Fill=—","Direction=H","UseDPDF=Y")</f>
        <v>25</v>
      </c>
      <c r="Y48" s="17" cm="1">
        <f t="array" ref="Y48">_xll.BDH("DE US Equity","ST_CAPITAL_LEASE_OBLIGATIONS","FQ1 2024","FQ1 2024","Currency=USD","Period=FQ","BEST_FPERIOD_OVERRIDE=FQ","FILING_STATUS=MR","SCALING_FORMAT=MLN","Sort=A","Dates=H","DateFormat=P","Fill=—","Direction=H","UseDPDF=Y")</f>
        <v>27</v>
      </c>
      <c r="Z48" s="17" cm="1">
        <f t="array" ref="Z48">_xll.BDH("DE US Equity","ST_CAPITAL_LEASE_OBLIGATIONS","FQ2 2024","FQ2 2024","Currency=USD","Period=FQ","BEST_FPERIOD_OVERRIDE=FQ","FILING_STATUS=MR","SCALING_FORMAT=MLN","Sort=A","Dates=H","DateFormat=P","Fill=—","Direction=H","UseDPDF=Y")</f>
        <v>1064</v>
      </c>
      <c r="AA48" s="17" t="str" cm="1">
        <f t="array" ref="AA48">_xll.BDH("DE US Equity","ST_CAPITAL_LEASE_OBLIGATIONS","FQ3 2024","FQ3 2024","Currency=USD","Period=FQ","BEST_FPERIOD_OVERRIDE=FQ","FILING_STATUS=MR","SCALING_FORMAT=MLN","Sort=A","Dates=H","DateFormat=P","Fill=—","Direction=H","UseDPDF=Y")</f>
        <v>—</v>
      </c>
      <c r="AB48" s="17" cm="1">
        <f t="array" ref="AB48">_xll.BDH("DE US Equity","ST_CAPITAL_LEASE_OBLIGATIONS","FQ4 2024","FQ4 2024","Currency=USD","Period=FQ","BEST_FPERIOD_OVERRIDE=FQ","FILING_STATUS=MR","SCALING_FORMAT=MLN","Sort=A","Dates=H","DateFormat=P","Fill=—","Direction=H","UseDPDF=Y")</f>
        <v>33</v>
      </c>
      <c r="AC48" s="17" cm="1">
        <f t="array" ref="AC48">_xll.BDH("DE US Equity","ST_CAPITAL_LEASE_OBLIGATIONS","FQ1 2025","FQ1 2025","Currency=USD","Period=FQ","BEST_FPERIOD_OVERRIDE=FQ","FILING_STATUS=MR","SCALING_FORMAT=MLN","Sort=A","Dates=H","DateFormat=P","Fill=—","Direction=H","UseDPDF=Y")</f>
        <v>34</v>
      </c>
      <c r="AD48" s="17" cm="1">
        <f t="array" ref="AD48">_xll.BDH("DE US Equity","ST_CAPITAL_LEASE_OBLIGATIONS","FQ2 2025","FQ2 2025","Currency=USD","Period=FQ","BEST_FPERIOD_OVERRIDE=FQ","FILING_STATUS=MR","SCALING_FORMAT=MLN","Sort=A","Dates=H","DateFormat=P","Fill=—","Direction=H","UseDPDF=Y")</f>
        <v>39</v>
      </c>
      <c r="AE48" s="17" t="str" cm="1">
        <f t="array" ref="AE48">_xll.BDH("DE US Equity","ST_CAPITAL_LEASE_OBLIGATIONS","FQ3 2025","FQ3 2025","Currency=USD","Period=FQ","BEST_FPERIOD_OVERRIDE=FQ","FILING_STATUS=MR","SCALING_FORMAT=MLN","Sort=A","Dates=H","DateFormat=P","Fill=—","Direction=H","UseDPDF=Y")</f>
        <v>—</v>
      </c>
      <c r="AF48" s="17" cm="1">
        <f t="array" ref="AF48">_xll.BDH("DE US Equity","ST_CAPITAL_LEASE_OBLIGATIONS","FQ4 2025","FQ4 2025","Currency=USD","Period=FQ","BEST_FPERIOD_OVERRIDE=FQ","FILING_STATUS=MR","SCALING_FORMAT=MLN","Sort=A","Dates=H","DateFormat=P","Fill=—","Direction=H","UseDPDF=Y")</f>
        <v>39</v>
      </c>
    </row>
    <row r="49" spans="1:32" x14ac:dyDescent="0.25">
      <c r="A49" s="11" t="s">
        <v>145</v>
      </c>
      <c r="B49" s="11" t="s">
        <v>146</v>
      </c>
      <c r="C49" s="17" t="str" cm="1">
        <f t="array" ref="C49">_xll.BDH("DE US Equity","BS_ST_OPERATING_LEASE_LIABS","FQ3 2018","FQ3 2018","Currency=USD","Period=FQ","BEST_FPERIOD_OVERRIDE=FQ","FILING_STATUS=MR","SCALING_FORMAT=MLN","Sort=A","Dates=H","DateFormat=P","Fill=—","Direction=H","UseDPDF=Y")</f>
        <v>—</v>
      </c>
      <c r="D49" s="17" t="str" cm="1">
        <f t="array" ref="D49">_xll.BDH("DE US Equity","BS_ST_OPERATING_LEASE_LIABS","FQ4 2018","FQ4 2018","Currency=USD","Period=FQ","BEST_FPERIOD_OVERRIDE=FQ","FILING_STATUS=MR","SCALING_FORMAT=MLN","Sort=A","Dates=H","DateFormat=P","Fill=—","Direction=H","UseDPDF=Y")</f>
        <v>—</v>
      </c>
      <c r="E49" s="17" t="str" cm="1">
        <f t="array" ref="E49">_xll.BDH("DE US Equity","BS_ST_OPERATING_LEASE_LIABS","FQ1 2019","FQ1 2019","Currency=USD","Period=FQ","BEST_FPERIOD_OVERRIDE=FQ","FILING_STATUS=MR","SCALING_FORMAT=MLN","Sort=A","Dates=H","DateFormat=P","Fill=—","Direction=H","UseDPDF=Y")</f>
        <v>—</v>
      </c>
      <c r="F49" s="17" t="str" cm="1">
        <f t="array" ref="F49">_xll.BDH("DE US Equity","BS_ST_OPERATING_LEASE_LIABS","FQ2 2019","FQ2 2019","Currency=USD","Period=FQ","BEST_FPERIOD_OVERRIDE=FQ","FILING_STATUS=MR","SCALING_FORMAT=MLN","Sort=A","Dates=H","DateFormat=P","Fill=—","Direction=H","UseDPDF=Y")</f>
        <v>—</v>
      </c>
      <c r="G49" s="17" t="str" cm="1">
        <f t="array" ref="G49">_xll.BDH("DE US Equity","BS_ST_OPERATING_LEASE_LIABS","FQ3 2019","FQ3 2019","Currency=USD","Period=FQ","BEST_FPERIOD_OVERRIDE=FQ","FILING_STATUS=MR","SCALING_FORMAT=MLN","Sort=A","Dates=H","DateFormat=P","Fill=—","Direction=H","UseDPDF=Y")</f>
        <v>—</v>
      </c>
      <c r="H49" s="17" t="str" cm="1">
        <f t="array" ref="H49">_xll.BDH("DE US Equity","BS_ST_OPERATING_LEASE_LIABS","FQ4 2019","FQ4 2019","Currency=USD","Period=FQ","BEST_FPERIOD_OVERRIDE=FQ","FILING_STATUS=MR","SCALING_FORMAT=MLN","Sort=A","Dates=H","DateFormat=P","Fill=—","Direction=H","UseDPDF=Y")</f>
        <v>—</v>
      </c>
      <c r="I49" s="17" cm="1">
        <f t="array" ref="I49">_xll.BDH("DE US Equity","BS_ST_OPERATING_LEASE_LIABS","FQ1 2020","FQ1 2020","Currency=USD","Period=FQ","BEST_FPERIOD_OVERRIDE=FQ","FILING_STATUS=MR","SCALING_FORMAT=MLN","Sort=A","Dates=H","DateFormat=P","Fill=—","Direction=H","UseDPDF=Y")</f>
        <v>361</v>
      </c>
      <c r="J49" s="17" cm="1">
        <f t="array" ref="J49">_xll.BDH("DE US Equity","BS_ST_OPERATING_LEASE_LIABS","FQ2 2020","FQ2 2020","Currency=USD","Period=FQ","BEST_FPERIOD_OVERRIDE=FQ","FILING_STATUS=MR","SCALING_FORMAT=MLN","Sort=A","Dates=H","DateFormat=P","Fill=—","Direction=H","UseDPDF=Y")</f>
        <v>319</v>
      </c>
      <c r="K49" s="17" cm="1">
        <f t="array" ref="K49">_xll.BDH("DE US Equity","BS_ST_OPERATING_LEASE_LIABS","FQ3 2020","FQ3 2020","Currency=USD","Period=FQ","BEST_FPERIOD_OVERRIDE=FQ","FILING_STATUS=MR","SCALING_FORMAT=MLN","Sort=A","Dates=H","DateFormat=P","Fill=—","Direction=H","UseDPDF=Y")</f>
        <v>318</v>
      </c>
      <c r="L49" s="17" cm="1">
        <f t="array" ref="L49">_xll.BDH("DE US Equity","BS_ST_OPERATING_LEASE_LIABS","FQ4 2020","FQ4 2020","Currency=USD","Period=FQ","BEST_FPERIOD_OVERRIDE=FQ","FILING_STATUS=MR","SCALING_FORMAT=MLN","Sort=A","Dates=H","DateFormat=P","Fill=—","Direction=H","UseDPDF=Y")</f>
        <v>297</v>
      </c>
      <c r="M49" s="17" cm="1">
        <f t="array" ref="M49">_xll.BDH("DE US Equity","BS_ST_OPERATING_LEASE_LIABS","FQ1 2021","FQ1 2021","Currency=USD","Period=FQ","BEST_FPERIOD_OVERRIDE=FQ","FILING_STATUS=MR","SCALING_FORMAT=MLN","Sort=A","Dates=H","DateFormat=P","Fill=—","Direction=H","UseDPDF=Y")</f>
        <v>315</v>
      </c>
      <c r="N49" s="17" cm="1">
        <f t="array" ref="N49">_xll.BDH("DE US Equity","BS_ST_OPERATING_LEASE_LIABS","FQ2 2021","FQ2 2021","Currency=USD","Period=FQ","BEST_FPERIOD_OVERRIDE=FQ","FILING_STATUS=MR","SCALING_FORMAT=MLN","Sort=A","Dates=H","DateFormat=P","Fill=—","Direction=H","UseDPDF=Y")</f>
        <v>328</v>
      </c>
      <c r="O49" s="17" t="str" cm="1">
        <f t="array" ref="O49">_xll.BDH("DE US Equity","BS_ST_OPERATING_LEASE_LIABS","FQ3 2021","FQ3 2021","Currency=USD","Period=FQ","BEST_FPERIOD_OVERRIDE=FQ","FILING_STATUS=MR","SCALING_FORMAT=MLN","Sort=A","Dates=H","DateFormat=P","Fill=—","Direction=H","UseDPDF=Y")</f>
        <v>—</v>
      </c>
      <c r="P49" s="17" cm="1">
        <f t="array" ref="P49">_xll.BDH("DE US Equity","BS_ST_OPERATING_LEASE_LIABS","FQ4 2021","FQ4 2021","Currency=USD","Period=FQ","BEST_FPERIOD_OVERRIDE=FQ","FILING_STATUS=MR","SCALING_FORMAT=MLN","Sort=A","Dates=H","DateFormat=P","Fill=—","Direction=H","UseDPDF=Y")</f>
        <v>279</v>
      </c>
      <c r="Q49" s="17" cm="1">
        <f t="array" ref="Q49">_xll.BDH("DE US Equity","BS_ST_OPERATING_LEASE_LIABS","FQ1 2022","FQ1 2022","Currency=USD","Period=FQ","BEST_FPERIOD_OVERRIDE=FQ","FILING_STATUS=MR","SCALING_FORMAT=MLN","Sort=A","Dates=H","DateFormat=P","Fill=—","Direction=H","UseDPDF=Y")</f>
        <v>267</v>
      </c>
      <c r="R49" s="17" t="str" cm="1">
        <f t="array" ref="R49">_xll.BDH("DE US Equity","BS_ST_OPERATING_LEASE_LIABS","FQ2 2022","FQ2 2022","Currency=USD","Period=FQ","BEST_FPERIOD_OVERRIDE=FQ","FILING_STATUS=MR","SCALING_FORMAT=MLN","Sort=A","Dates=H","DateFormat=P","Fill=—","Direction=H","UseDPDF=Y")</f>
        <v>—</v>
      </c>
      <c r="S49" s="17" t="str" cm="1">
        <f t="array" ref="S49">_xll.BDH("DE US Equity","BS_ST_OPERATING_LEASE_LIABS","FQ3 2022","FQ3 2022","Currency=USD","Period=FQ","BEST_FPERIOD_OVERRIDE=FQ","FILING_STATUS=MR","SCALING_FORMAT=MLN","Sort=A","Dates=H","DateFormat=P","Fill=—","Direction=H","UseDPDF=Y")</f>
        <v>—</v>
      </c>
      <c r="T49" s="17" cm="1">
        <f t="array" ref="T49">_xll.BDH("DE US Equity","BS_ST_OPERATING_LEASE_LIABS","FQ4 2022","FQ4 2022","Currency=USD","Period=FQ","BEST_FPERIOD_OVERRIDE=FQ","FILING_STATUS=MR","SCALING_FORMAT=MLN","Sort=A","Dates=H","DateFormat=P","Fill=—","Direction=H","UseDPDF=Y")</f>
        <v>302</v>
      </c>
      <c r="U49" s="17" t="str" cm="1">
        <f t="array" ref="U49">_xll.BDH("DE US Equity","BS_ST_OPERATING_LEASE_LIABS","FQ1 2023","FQ1 2023","Currency=USD","Period=FQ","BEST_FPERIOD_OVERRIDE=FQ","FILING_STATUS=MR","SCALING_FORMAT=MLN","Sort=A","Dates=H","DateFormat=P","Fill=—","Direction=H","UseDPDF=Y")</f>
        <v>—</v>
      </c>
      <c r="V49" s="17" t="str" cm="1">
        <f t="array" ref="V49">_xll.BDH("DE US Equity","BS_ST_OPERATING_LEASE_LIABS","FQ2 2023","FQ2 2023","Currency=USD","Period=FQ","BEST_FPERIOD_OVERRIDE=FQ","FILING_STATUS=MR","SCALING_FORMAT=MLN","Sort=A","Dates=H","DateFormat=P","Fill=—","Direction=H","UseDPDF=Y")</f>
        <v>—</v>
      </c>
      <c r="W49" s="17" t="str" cm="1">
        <f t="array" ref="W49">_xll.BDH("DE US Equity","BS_ST_OPERATING_LEASE_LIABS","FQ3 2023","FQ3 2023","Currency=USD","Period=FQ","BEST_FPERIOD_OVERRIDE=FQ","FILING_STATUS=MR","SCALING_FORMAT=MLN","Sort=A","Dates=H","DateFormat=P","Fill=—","Direction=H","UseDPDF=Y")</f>
        <v>—</v>
      </c>
      <c r="X49" s="17" cm="1">
        <f t="array" ref="X49">_xll.BDH("DE US Equity","BS_ST_OPERATING_LEASE_LIABS","FQ4 2023","FQ4 2023","Currency=USD","Period=FQ","BEST_FPERIOD_OVERRIDE=FQ","FILING_STATUS=MR","SCALING_FORMAT=MLN","Sort=A","Dates=H","DateFormat=P","Fill=—","Direction=H","UseDPDF=Y")</f>
        <v>281</v>
      </c>
      <c r="Y49" s="17" t="str" cm="1">
        <f t="array" ref="Y49">_xll.BDH("DE US Equity","BS_ST_OPERATING_LEASE_LIABS","FQ1 2024","FQ1 2024","Currency=USD","Period=FQ","BEST_FPERIOD_OVERRIDE=FQ","FILING_STATUS=MR","SCALING_FORMAT=MLN","Sort=A","Dates=H","DateFormat=P","Fill=—","Direction=H","UseDPDF=Y")</f>
        <v>—</v>
      </c>
      <c r="Z49" s="17" t="str" cm="1">
        <f t="array" ref="Z49">_xll.BDH("DE US Equity","BS_ST_OPERATING_LEASE_LIABS","FQ2 2024","FQ2 2024","Currency=USD","Period=FQ","BEST_FPERIOD_OVERRIDE=FQ","FILING_STATUS=MR","SCALING_FORMAT=MLN","Sort=A","Dates=H","DateFormat=P","Fill=—","Direction=H","UseDPDF=Y")</f>
        <v>—</v>
      </c>
      <c r="AA49" s="17" t="str" cm="1">
        <f t="array" ref="AA49">_xll.BDH("DE US Equity","BS_ST_OPERATING_LEASE_LIABS","FQ3 2024","FQ3 2024","Currency=USD","Period=FQ","BEST_FPERIOD_OVERRIDE=FQ","FILING_STATUS=MR","SCALING_FORMAT=MLN","Sort=A","Dates=H","DateFormat=P","Fill=—","Direction=H","UseDPDF=Y")</f>
        <v>—</v>
      </c>
      <c r="AB49" s="17" cm="1">
        <f t="array" ref="AB49">_xll.BDH("DE US Equity","BS_ST_OPERATING_LEASE_LIABS","FQ4 2024","FQ4 2024","Currency=USD","Period=FQ","BEST_FPERIOD_OVERRIDE=FQ","FILING_STATUS=MR","SCALING_FORMAT=MLN","Sort=A","Dates=H","DateFormat=P","Fill=—","Direction=H","UseDPDF=Y")</f>
        <v>270</v>
      </c>
      <c r="AC49" s="17" t="str" cm="1">
        <f t="array" ref="AC49">_xll.BDH("DE US Equity","BS_ST_OPERATING_LEASE_LIABS","FQ1 2025","FQ1 2025","Currency=USD","Period=FQ","BEST_FPERIOD_OVERRIDE=FQ","FILING_STATUS=MR","SCALING_FORMAT=MLN","Sort=A","Dates=H","DateFormat=P","Fill=—","Direction=H","UseDPDF=Y")</f>
        <v>—</v>
      </c>
      <c r="AD49" s="17" t="str" cm="1">
        <f t="array" ref="AD49">_xll.BDH("DE US Equity","BS_ST_OPERATING_LEASE_LIABS","FQ2 2025","FQ2 2025","Currency=USD","Period=FQ","BEST_FPERIOD_OVERRIDE=FQ","FILING_STATUS=MR","SCALING_FORMAT=MLN","Sort=A","Dates=H","DateFormat=P","Fill=—","Direction=H","UseDPDF=Y")</f>
        <v>—</v>
      </c>
      <c r="AE49" s="17" t="str" cm="1">
        <f t="array" ref="AE49">_xll.BDH("DE US Equity","BS_ST_OPERATING_LEASE_LIABS","FQ3 2025","FQ3 2025","Currency=USD","Period=FQ","BEST_FPERIOD_OVERRIDE=FQ","FILING_STATUS=MR","SCALING_FORMAT=MLN","Sort=A","Dates=H","DateFormat=P","Fill=—","Direction=H","UseDPDF=Y")</f>
        <v>—</v>
      </c>
      <c r="AF49" s="17" cm="1">
        <f t="array" ref="AF49">_xll.BDH("DE US Equity","BS_ST_OPERATING_LEASE_LIABS","FQ4 2025","FQ4 2025","Currency=USD","Period=FQ","BEST_FPERIOD_OVERRIDE=FQ","FILING_STATUS=MR","SCALING_FORMAT=MLN","Sort=A","Dates=H","DateFormat=P","Fill=—","Direction=H","UseDPDF=Y")</f>
        <v>314</v>
      </c>
    </row>
    <row r="50" spans="1:32" x14ac:dyDescent="0.25">
      <c r="A50" s="10" t="s">
        <v>147</v>
      </c>
      <c r="B50" s="10" t="s">
        <v>148</v>
      </c>
      <c r="C50" s="13" t="str" cm="1">
        <f t="array" ref="C50">_xll.BDH("DE US Equity","BS_CURR_PORTION_LT_DEBT","FQ3 2018","FQ3 2018","Currency=USD","Period=FQ","BEST_FPERIOD_OVERRIDE=FQ","FILING_STATUS=MR","SCALING_FORMAT=MLN","Sort=A","Dates=H","DateFormat=P","Fill=—","Direction=H","UseDPDF=Y")</f>
        <v>—</v>
      </c>
      <c r="D50" s="13" t="str" cm="1">
        <f t="array" ref="D50">_xll.BDH("DE US Equity","BS_CURR_PORTION_LT_DEBT","FQ4 2018","FQ4 2018","Currency=USD","Period=FQ","BEST_FPERIOD_OVERRIDE=FQ","FILING_STATUS=MR","SCALING_FORMAT=MLN","Sort=A","Dates=H","DateFormat=P","Fill=—","Direction=H","UseDPDF=Y")</f>
        <v>—</v>
      </c>
      <c r="E50" s="13" t="str" cm="1">
        <f t="array" ref="E50">_xll.BDH("DE US Equity","BS_CURR_PORTION_LT_DEBT","FQ1 2019","FQ1 2019","Currency=USD","Period=FQ","BEST_FPERIOD_OVERRIDE=FQ","FILING_STATUS=MR","SCALING_FORMAT=MLN","Sort=A","Dates=H","DateFormat=P","Fill=—","Direction=H","UseDPDF=Y")</f>
        <v>—</v>
      </c>
      <c r="F50" s="13" t="str" cm="1">
        <f t="array" ref="F50">_xll.BDH("DE US Equity","BS_CURR_PORTION_LT_DEBT","FQ2 2019","FQ2 2019","Currency=USD","Period=FQ","BEST_FPERIOD_OVERRIDE=FQ","FILING_STATUS=MR","SCALING_FORMAT=MLN","Sort=A","Dates=H","DateFormat=P","Fill=—","Direction=H","UseDPDF=Y")</f>
        <v>—</v>
      </c>
      <c r="G50" s="13" t="str" cm="1">
        <f t="array" ref="G50">_xll.BDH("DE US Equity","BS_CURR_PORTION_LT_DEBT","FQ3 2019","FQ3 2019","Currency=USD","Period=FQ","BEST_FPERIOD_OVERRIDE=FQ","FILING_STATUS=MR","SCALING_FORMAT=MLN","Sort=A","Dates=H","DateFormat=P","Fill=—","Direction=H","UseDPDF=Y")</f>
        <v>—</v>
      </c>
      <c r="H50" s="13" t="str" cm="1">
        <f t="array" ref="H50">_xll.BDH("DE US Equity","BS_CURR_PORTION_LT_DEBT","FQ4 2019","FQ4 2019","Currency=USD","Period=FQ","BEST_FPERIOD_OVERRIDE=FQ","FILING_STATUS=MR","SCALING_FORMAT=MLN","Sort=A","Dates=H","DateFormat=P","Fill=—","Direction=H","UseDPDF=Y")</f>
        <v>—</v>
      </c>
      <c r="I50" s="13" t="str" cm="1">
        <f t="array" ref="I50">_xll.BDH("DE US Equity","BS_CURR_PORTION_LT_DEBT","FQ1 2020","FQ1 2020","Currency=USD","Period=FQ","BEST_FPERIOD_OVERRIDE=FQ","FILING_STATUS=MR","SCALING_FORMAT=MLN","Sort=A","Dates=H","DateFormat=P","Fill=—","Direction=H","UseDPDF=Y")</f>
        <v>—</v>
      </c>
      <c r="J50" s="13" t="str" cm="1">
        <f t="array" ref="J50">_xll.BDH("DE US Equity","BS_CURR_PORTION_LT_DEBT","FQ2 2020","FQ2 2020","Currency=USD","Period=FQ","BEST_FPERIOD_OVERRIDE=FQ","FILING_STATUS=MR","SCALING_FORMAT=MLN","Sort=A","Dates=H","DateFormat=P","Fill=—","Direction=H","UseDPDF=Y")</f>
        <v>—</v>
      </c>
      <c r="K50" s="13" t="str" cm="1">
        <f t="array" ref="K50">_xll.BDH("DE US Equity","BS_CURR_PORTION_LT_DEBT","FQ3 2020","FQ3 2020","Currency=USD","Period=FQ","BEST_FPERIOD_OVERRIDE=FQ","FILING_STATUS=MR","SCALING_FORMAT=MLN","Sort=A","Dates=H","DateFormat=P","Fill=—","Direction=H","UseDPDF=Y")</f>
        <v>—</v>
      </c>
      <c r="L50" s="13" cm="1">
        <f t="array" ref="L50">_xll.BDH("DE US Equity","BS_CURR_PORTION_LT_DEBT","FQ4 2020","FQ4 2020","Currency=USD","Period=FQ","BEST_FPERIOD_OVERRIDE=FQ","FILING_STATUS=MR","SCALING_FORMAT=MLN","Sort=A","Dates=H","DateFormat=P","Fill=—","Direction=H","UseDPDF=Y")</f>
        <v>6949</v>
      </c>
      <c r="M50" s="13" t="str" cm="1">
        <f t="array" ref="M50">_xll.BDH("DE US Equity","BS_CURR_PORTION_LT_DEBT","FQ1 2021","FQ1 2021","Currency=USD","Period=FQ","BEST_FPERIOD_OVERRIDE=FQ","FILING_STATUS=MR","SCALING_FORMAT=MLN","Sort=A","Dates=H","DateFormat=P","Fill=—","Direction=H","UseDPDF=Y")</f>
        <v>—</v>
      </c>
      <c r="N50" s="13" t="str" cm="1">
        <f t="array" ref="N50">_xll.BDH("DE US Equity","BS_CURR_PORTION_LT_DEBT","FQ2 2021","FQ2 2021","Currency=USD","Period=FQ","BEST_FPERIOD_OVERRIDE=FQ","FILING_STATUS=MR","SCALING_FORMAT=MLN","Sort=A","Dates=H","DateFormat=P","Fill=—","Direction=H","UseDPDF=Y")</f>
        <v>—</v>
      </c>
      <c r="O50" s="13" t="str" cm="1">
        <f t="array" ref="O50">_xll.BDH("DE US Equity","BS_CURR_PORTION_LT_DEBT","FQ3 2021","FQ3 2021","Currency=USD","Period=FQ","BEST_FPERIOD_OVERRIDE=FQ","FILING_STATUS=MR","SCALING_FORMAT=MLN","Sort=A","Dates=H","DateFormat=P","Fill=—","Direction=H","UseDPDF=Y")</f>
        <v>—</v>
      </c>
      <c r="P50" s="13" cm="1">
        <f t="array" ref="P50">_xll.BDH("DE US Equity","BS_CURR_PORTION_LT_DEBT","FQ4 2021","FQ4 2021","Currency=USD","Period=FQ","BEST_FPERIOD_OVERRIDE=FQ","FILING_STATUS=MR","SCALING_FORMAT=MLN","Sort=A","Dates=H","DateFormat=P","Fill=—","Direction=H","UseDPDF=Y")</f>
        <v>8330</v>
      </c>
      <c r="Q50" s="13" cm="1">
        <f t="array" ref="Q50">_xll.BDH("DE US Equity","BS_CURR_PORTION_LT_DEBT","FQ1 2022","FQ1 2022","Currency=USD","Period=FQ","BEST_FPERIOD_OVERRIDE=FQ","FILING_STATUS=MR","SCALING_FORMAT=MLN","Sort=A","Dates=H","DateFormat=P","Fill=—","Direction=H","UseDPDF=Y")</f>
        <v>8313</v>
      </c>
      <c r="R50" s="13" t="str" cm="1">
        <f t="array" ref="R50">_xll.BDH("DE US Equity","BS_CURR_PORTION_LT_DEBT","FQ2 2022","FQ2 2022","Currency=USD","Period=FQ","BEST_FPERIOD_OVERRIDE=FQ","FILING_STATUS=MR","SCALING_FORMAT=MLN","Sort=A","Dates=H","DateFormat=P","Fill=—","Direction=H","UseDPDF=Y")</f>
        <v>—</v>
      </c>
      <c r="S50" s="13" t="str" cm="1">
        <f t="array" ref="S50">_xll.BDH("DE US Equity","BS_CURR_PORTION_LT_DEBT","FQ3 2022","FQ3 2022","Currency=USD","Period=FQ","BEST_FPERIOD_OVERRIDE=FQ","FILING_STATUS=MR","SCALING_FORMAT=MLN","Sort=A","Dates=H","DateFormat=P","Fill=—","Direction=H","UseDPDF=Y")</f>
        <v>—</v>
      </c>
      <c r="T50" s="13" cm="1">
        <f t="array" ref="T50">_xll.BDH("DE US Equity","BS_CURR_PORTION_LT_DEBT","FQ4 2022","FQ4 2022","Currency=USD","Period=FQ","BEST_FPERIOD_OVERRIDE=FQ","FILING_STATUS=MR","SCALING_FORMAT=MLN","Sort=A","Dates=H","DateFormat=P","Fill=—","Direction=H","UseDPDF=Y")</f>
        <v>7466</v>
      </c>
      <c r="U50" s="13" cm="1">
        <f t="array" ref="U50">_xll.BDH("DE US Equity","BS_CURR_PORTION_LT_DEBT","FQ1 2023","FQ1 2023","Currency=USD","Period=FQ","BEST_FPERIOD_OVERRIDE=FQ","FILING_STATUS=MR","SCALING_FORMAT=MLN","Sort=A","Dates=H","DateFormat=P","Fill=—","Direction=H","UseDPDF=Y")</f>
        <v>7378</v>
      </c>
      <c r="V50" s="13" t="str" cm="1">
        <f t="array" ref="V50">_xll.BDH("DE US Equity","BS_CURR_PORTION_LT_DEBT","FQ2 2023","FQ2 2023","Currency=USD","Period=FQ","BEST_FPERIOD_OVERRIDE=FQ","FILING_STATUS=MR","SCALING_FORMAT=MLN","Sort=A","Dates=H","DateFormat=P","Fill=—","Direction=H","UseDPDF=Y")</f>
        <v>—</v>
      </c>
      <c r="W50" s="13" t="str" cm="1">
        <f t="array" ref="W50">_xll.BDH("DE US Equity","BS_CURR_PORTION_LT_DEBT","FQ3 2023","FQ3 2023","Currency=USD","Period=FQ","BEST_FPERIOD_OVERRIDE=FQ","FILING_STATUS=MR","SCALING_FORMAT=MLN","Sort=A","Dates=H","DateFormat=P","Fill=—","Direction=H","UseDPDF=Y")</f>
        <v>—</v>
      </c>
      <c r="X50" s="13" cm="1">
        <f t="array" ref="X50">_xll.BDH("DE US Equity","BS_CURR_PORTION_LT_DEBT","FQ4 2023","FQ4 2023","Currency=USD","Period=FQ","BEST_FPERIOD_OVERRIDE=FQ","FILING_STATUS=MR","SCALING_FORMAT=MLN","Sort=A","Dates=H","DateFormat=P","Fill=—","Direction=H","UseDPDF=Y")</f>
        <v>8331</v>
      </c>
      <c r="Y50" s="13" cm="1">
        <f t="array" ref="Y50">_xll.BDH("DE US Equity","BS_CURR_PORTION_LT_DEBT","FQ1 2024","FQ1 2024","Currency=USD","Period=FQ","BEST_FPERIOD_OVERRIDE=FQ","FILING_STATUS=MR","SCALING_FORMAT=MLN","Sort=A","Dates=H","DateFormat=P","Fill=—","Direction=H","UseDPDF=Y")</f>
        <v>8402</v>
      </c>
      <c r="Z50" s="13" cm="1">
        <f t="array" ref="Z50">_xll.BDH("DE US Equity","BS_CURR_PORTION_LT_DEBT","FQ2 2024","FQ2 2024","Currency=USD","Period=FQ","BEST_FPERIOD_OVERRIDE=FQ","FILING_STATUS=MR","SCALING_FORMAT=MLN","Sort=A","Dates=H","DateFormat=P","Fill=—","Direction=H","UseDPDF=Y")</f>
        <v>9560</v>
      </c>
      <c r="AA50" s="13" cm="1">
        <f t="array" ref="AA50">_xll.BDH("DE US Equity","BS_CURR_PORTION_LT_DEBT","FQ3 2024","FQ3 2024","Currency=USD","Period=FQ","BEST_FPERIOD_OVERRIDE=FQ","FILING_STATUS=MR","SCALING_FORMAT=MLN","Sort=A","Dates=H","DateFormat=P","Fill=—","Direction=H","UseDPDF=Y")</f>
        <v>9273</v>
      </c>
      <c r="AB50" s="13" cm="1">
        <f t="array" ref="AB50">_xll.BDH("DE US Equity","BS_CURR_PORTION_LT_DEBT","FQ4 2024","FQ4 2024","Currency=USD","Period=FQ","BEST_FPERIOD_OVERRIDE=FQ","FILING_STATUS=MR","SCALING_FORMAT=MLN","Sort=A","Dates=H","DateFormat=P","Fill=—","Direction=H","UseDPDF=Y")</f>
        <v>9115</v>
      </c>
      <c r="AC50" s="13" cm="1">
        <f t="array" ref="AC50">_xll.BDH("DE US Equity","BS_CURR_PORTION_LT_DEBT","FQ1 2025","FQ1 2025","Currency=USD","Period=FQ","BEST_FPERIOD_OVERRIDE=FQ","FILING_STATUS=MR","SCALING_FORMAT=MLN","Sort=A","Dates=H","DateFormat=P","Fill=—","Direction=H","UseDPDF=Y")</f>
        <v>9517</v>
      </c>
      <c r="AD50" s="13" cm="1">
        <f t="array" ref="AD50">_xll.BDH("DE US Equity","BS_CURR_PORTION_LT_DEBT","FQ2 2025","FQ2 2025","Currency=USD","Period=FQ","BEST_FPERIOD_OVERRIDE=FQ","FILING_STATUS=MR","SCALING_FORMAT=MLN","Sort=A","Dates=H","DateFormat=P","Fill=—","Direction=H","UseDPDF=Y")</f>
        <v>8928</v>
      </c>
      <c r="AE50" s="13" cm="1">
        <f t="array" ref="AE50">_xll.BDH("DE US Equity","BS_CURR_PORTION_LT_DEBT","FQ3 2025","FQ3 2025","Currency=USD","Period=FQ","BEST_FPERIOD_OVERRIDE=FQ","FILING_STATUS=MR","SCALING_FORMAT=MLN","Sort=A","Dates=H","DateFormat=P","Fill=—","Direction=H","UseDPDF=Y")</f>
        <v>8550</v>
      </c>
      <c r="AF50" s="13" cm="1">
        <f t="array" ref="AF50">_xll.BDH("DE US Equity","BS_CURR_PORTION_LT_DEBT","FQ4 2025","FQ4 2025","Currency=USD","Period=FQ","BEST_FPERIOD_OVERRIDE=FQ","FILING_STATUS=MR","SCALING_FORMAT=MLN","Sort=A","Dates=H","DateFormat=P","Fill=—","Direction=H","UseDPDF=Y")</f>
        <v>8888</v>
      </c>
    </row>
    <row r="51" spans="1:32" x14ac:dyDescent="0.25">
      <c r="A51" s="10" t="s">
        <v>149</v>
      </c>
      <c r="B51" s="10" t="s">
        <v>150</v>
      </c>
      <c r="C51" s="13" cm="1">
        <f t="array" ref="C51">_xll.BDH("DE US Equity","OTHER_CURRENT_LIABS_SUB_DETAILED","FQ3 2018","FQ3 2018","Currency=USD","Period=FQ","BEST_FPERIOD_OVERRIDE=FQ","FILING_STATUS=MR","SCALING_FORMAT=MLN","Sort=A","Dates=H","DateFormat=P","Fill=—","Direction=H","UseDPDF=Y")</f>
        <v>495</v>
      </c>
      <c r="D51" s="13" cm="1">
        <f t="array" ref="D51">_xll.BDH("DE US Equity","OTHER_CURRENT_LIABS_SUB_DETAILED","FQ4 2018","FQ4 2018","Currency=USD","Period=FQ","BEST_FPERIOD_OVERRIDE=FQ","FILING_STATUS=MR","SCALING_FORMAT=MLN","Sort=A","Dates=H","DateFormat=P","Fill=—","Direction=H","UseDPDF=Y")</f>
        <v>2078</v>
      </c>
      <c r="E51" s="13" cm="1">
        <f t="array" ref="E51">_xll.BDH("DE US Equity","OTHER_CURRENT_LIABS_SUB_DETAILED","FQ1 2019","FQ1 2019","Currency=USD","Period=FQ","BEST_FPERIOD_OVERRIDE=FQ","FILING_STATUS=MR","SCALING_FORMAT=MLN","Sort=A","Dates=H","DateFormat=P","Fill=—","Direction=H","UseDPDF=Y")</f>
        <v>440.5</v>
      </c>
      <c r="F51" s="13" cm="1">
        <f t="array" ref="F51">_xll.BDH("DE US Equity","OTHER_CURRENT_LIABS_SUB_DETAILED","FQ2 2019","FQ2 2019","Currency=USD","Period=FQ","BEST_FPERIOD_OVERRIDE=FQ","FILING_STATUS=MR","SCALING_FORMAT=MLN","Sort=A","Dates=H","DateFormat=P","Fill=—","Direction=H","UseDPDF=Y")</f>
        <v>415</v>
      </c>
      <c r="G51" s="13" cm="1">
        <f t="array" ref="G51">_xll.BDH("DE US Equity","OTHER_CURRENT_LIABS_SUB_DETAILED","FQ3 2019","FQ3 2019","Currency=USD","Period=FQ","BEST_FPERIOD_OVERRIDE=FQ","FILING_STATUS=MR","SCALING_FORMAT=MLN","Sort=A","Dates=H","DateFormat=P","Fill=—","Direction=H","UseDPDF=Y")</f>
        <v>282</v>
      </c>
      <c r="H51" s="13" cm="1">
        <f t="array" ref="H51">_xll.BDH("DE US Equity","OTHER_CURRENT_LIABS_SUB_DETAILED","FQ4 2019","FQ4 2019","Currency=USD","Period=FQ","BEST_FPERIOD_OVERRIDE=FQ","FILING_STATUS=MR","SCALING_FORMAT=MLN","Sort=A","Dates=H","DateFormat=P","Fill=—","Direction=H","UseDPDF=Y")</f>
        <v>1916</v>
      </c>
      <c r="I51" s="13" cm="1">
        <f t="array" ref="I51">_xll.BDH("DE US Equity","OTHER_CURRENT_LIABS_SUB_DETAILED","FQ1 2020","FQ1 2020","Currency=USD","Period=FQ","BEST_FPERIOD_OVERRIDE=FQ","FILING_STATUS=MR","SCALING_FORMAT=MLN","Sort=A","Dates=H","DateFormat=P","Fill=—","Direction=H","UseDPDF=Y")</f>
        <v>244</v>
      </c>
      <c r="J51" s="13" cm="1">
        <f t="array" ref="J51">_xll.BDH("DE US Equity","OTHER_CURRENT_LIABS_SUB_DETAILED","FQ2 2020","FQ2 2020","Currency=USD","Period=FQ","BEST_FPERIOD_OVERRIDE=FQ","FILING_STATUS=MR","SCALING_FORMAT=MLN","Sort=A","Dates=H","DateFormat=P","Fill=—","Direction=H","UseDPDF=Y")</f>
        <v>290</v>
      </c>
      <c r="K51" s="13" cm="1">
        <f t="array" ref="K51">_xll.BDH("DE US Equity","OTHER_CURRENT_LIABS_SUB_DETAILED","FQ3 2020","FQ3 2020","Currency=USD","Period=FQ","BEST_FPERIOD_OVERRIDE=FQ","FILING_STATUS=MR","SCALING_FORMAT=MLN","Sort=A","Dates=H","DateFormat=P","Fill=—","Direction=H","UseDPDF=Y")</f>
        <v>250</v>
      </c>
      <c r="L51" s="13" cm="1">
        <f t="array" ref="L51">_xll.BDH("DE US Equity","OTHER_CURRENT_LIABS_SUB_DETAILED","FQ4 2020","FQ4 2020","Currency=USD","Period=FQ","BEST_FPERIOD_OVERRIDE=FQ","FILING_STATUS=MR","SCALING_FORMAT=MLN","Sort=A","Dates=H","DateFormat=P","Fill=—","Direction=H","UseDPDF=Y")</f>
        <v>1867</v>
      </c>
      <c r="M51" s="13" cm="1">
        <f t="array" ref="M51">_xll.BDH("DE US Equity","OTHER_CURRENT_LIABS_SUB_DETAILED","FQ1 2021","FQ1 2021","Currency=USD","Period=FQ","BEST_FPERIOD_OVERRIDE=FQ","FILING_STATUS=MR","SCALING_FORMAT=MLN","Sort=A","Dates=H","DateFormat=P","Fill=—","Direction=H","UseDPDF=Y")</f>
        <v>292</v>
      </c>
      <c r="N51" s="13" cm="1">
        <f t="array" ref="N51">_xll.BDH("DE US Equity","OTHER_CURRENT_LIABS_SUB_DETAILED","FQ2 2021","FQ2 2021","Currency=USD","Period=FQ","BEST_FPERIOD_OVERRIDE=FQ","FILING_STATUS=MR","SCALING_FORMAT=MLN","Sort=A","Dates=H","DateFormat=P","Fill=—","Direction=H","UseDPDF=Y")</f>
        <v>223</v>
      </c>
      <c r="O51" s="13" cm="1">
        <f t="array" ref="O51">_xll.BDH("DE US Equity","OTHER_CURRENT_LIABS_SUB_DETAILED","FQ3 2021","FQ3 2021","Currency=USD","Period=FQ","BEST_FPERIOD_OVERRIDE=FQ","FILING_STATUS=MR","SCALING_FORMAT=MLN","Sort=A","Dates=H","DateFormat=P","Fill=—","Direction=H","UseDPDF=Y")</f>
        <v>152</v>
      </c>
      <c r="P51" s="13" cm="1">
        <f t="array" ref="P51">_xll.BDH("DE US Equity","OTHER_CURRENT_LIABS_SUB_DETAILED","FQ4 2021","FQ4 2021","Currency=USD","Period=FQ","BEST_FPERIOD_OVERRIDE=FQ","FILING_STATUS=MR","SCALING_FORMAT=MLN","Sort=A","Dates=H","DateFormat=P","Fill=—","Direction=H","UseDPDF=Y")</f>
        <v>1246</v>
      </c>
      <c r="Q51" s="13" cm="1">
        <f t="array" ref="Q51">_xll.BDH("DE US Equity","OTHER_CURRENT_LIABS_SUB_DETAILED","FQ1 2022","FQ1 2022","Currency=USD","Period=FQ","BEST_FPERIOD_OVERRIDE=FQ","FILING_STATUS=MR","SCALING_FORMAT=MLN","Sort=A","Dates=H","DateFormat=P","Fill=—","Direction=H","UseDPDF=Y")</f>
        <v>1228</v>
      </c>
      <c r="R51" s="13" cm="1">
        <f t="array" ref="R51">_xll.BDH("DE US Equity","OTHER_CURRENT_LIABS_SUB_DETAILED","FQ2 2022","FQ2 2022","Currency=USD","Period=FQ","BEST_FPERIOD_OVERRIDE=FQ","FILING_STATUS=MR","SCALING_FORMAT=MLN","Sort=A","Dates=H","DateFormat=P","Fill=—","Direction=H","UseDPDF=Y")</f>
        <v>780</v>
      </c>
      <c r="S51" s="13" cm="1">
        <f t="array" ref="S51">_xll.BDH("DE US Equity","OTHER_CURRENT_LIABS_SUB_DETAILED","FQ3 2022","FQ3 2022","Currency=USD","Period=FQ","BEST_FPERIOD_OVERRIDE=FQ","FILING_STATUS=MR","SCALING_FORMAT=MLN","Sort=A","Dates=H","DateFormat=P","Fill=—","Direction=H","UseDPDF=Y")</f>
        <v>667</v>
      </c>
      <c r="T51" s="13" cm="1">
        <f t="array" ref="T51">_xll.BDH("DE US Equity","OTHER_CURRENT_LIABS_SUB_DETAILED","FQ4 2022","FQ4 2022","Currency=USD","Period=FQ","BEST_FPERIOD_OVERRIDE=FQ","FILING_STATUS=MR","SCALING_FORMAT=MLN","Sort=A","Dates=H","DateFormat=P","Fill=—","Direction=H","UseDPDF=Y")</f>
        <v>2187</v>
      </c>
      <c r="U51" s="13" cm="1">
        <f t="array" ref="U51">_xll.BDH("DE US Equity","OTHER_CURRENT_LIABS_SUB_DETAILED","FQ1 2023","FQ1 2023","Currency=USD","Period=FQ","BEST_FPERIOD_OVERRIDE=FQ","FILING_STATUS=MR","SCALING_FORMAT=MLN","Sort=A","Dates=H","DateFormat=P","Fill=—","Direction=H","UseDPDF=Y")</f>
        <v>1898</v>
      </c>
      <c r="V51" s="13" cm="1">
        <f t="array" ref="V51">_xll.BDH("DE US Equity","OTHER_CURRENT_LIABS_SUB_DETAILED","FQ2 2023","FQ2 2023","Currency=USD","Period=FQ","BEST_FPERIOD_OVERRIDE=FQ","FILING_STATUS=MR","SCALING_FORMAT=MLN","Sort=A","Dates=H","DateFormat=P","Fill=—","Direction=H","UseDPDF=Y")</f>
        <v>1872</v>
      </c>
      <c r="W51" s="13" cm="1">
        <f t="array" ref="W51">_xll.BDH("DE US Equity","OTHER_CURRENT_LIABS_SUB_DETAILED","FQ3 2023","FQ3 2023","Currency=USD","Period=FQ","BEST_FPERIOD_OVERRIDE=FQ","FILING_STATUS=MR","SCALING_FORMAT=MLN","Sort=A","Dates=H","DateFormat=P","Fill=—","Direction=H","UseDPDF=Y")</f>
        <v>2130</v>
      </c>
      <c r="X51" s="13" cm="1">
        <f t="array" ref="X51">_xll.BDH("DE US Equity","OTHER_CURRENT_LIABS_SUB_DETAILED","FQ4 2023","FQ4 2023","Currency=USD","Period=FQ","BEST_FPERIOD_OVERRIDE=FQ","FILING_STATUS=MR","SCALING_FORMAT=MLN","Sort=A","Dates=H","DateFormat=P","Fill=—","Direction=H","UseDPDF=Y")</f>
        <v>2257</v>
      </c>
      <c r="Y51" s="13" cm="1">
        <f t="array" ref="Y51">_xll.BDH("DE US Equity","OTHER_CURRENT_LIABS_SUB_DETAILED","FQ1 2024","FQ1 2024","Currency=USD","Period=FQ","BEST_FPERIOD_OVERRIDE=FQ","FILING_STATUS=MR","SCALING_FORMAT=MLN","Sort=A","Dates=H","DateFormat=P","Fill=—","Direction=H","UseDPDF=Y")</f>
        <v>740</v>
      </c>
      <c r="Z51" s="13" cm="1">
        <f t="array" ref="Z51">_xll.BDH("DE US Equity","OTHER_CURRENT_LIABS_SUB_DETAILED","FQ2 2024","FQ2 2024","Currency=USD","Period=FQ","BEST_FPERIOD_OVERRIDE=FQ","FILING_STATUS=MR","SCALING_FORMAT=MLN","Sort=A","Dates=H","DateFormat=P","Fill=—","Direction=H","UseDPDF=Y")</f>
        <v>2289</v>
      </c>
      <c r="AA51" s="13" cm="1">
        <f t="array" ref="AA51">_xll.BDH("DE US Equity","OTHER_CURRENT_LIABS_SUB_DETAILED","FQ3 2024","FQ3 2024","Currency=USD","Period=FQ","BEST_FPERIOD_OVERRIDE=FQ","FILING_STATUS=MR","SCALING_FORMAT=MLN","Sort=A","Dates=H","DateFormat=P","Fill=—","Direction=H","UseDPDF=Y")</f>
        <v>3631</v>
      </c>
      <c r="AB51" s="13" cm="1">
        <f t="array" ref="AB51">_xll.BDH("DE US Equity","OTHER_CURRENT_LIABS_SUB_DETAILED","FQ4 2024","FQ4 2024","Currency=USD","Period=FQ","BEST_FPERIOD_OVERRIDE=FQ","FILING_STATUS=MR","SCALING_FORMAT=MLN","Sort=A","Dates=H","DateFormat=P","Fill=—","Direction=H","UseDPDF=Y")</f>
        <v>1821</v>
      </c>
      <c r="AC51" s="13" cm="1">
        <f t="array" ref="AC51">_xll.BDH("DE US Equity","OTHER_CURRENT_LIABS_SUB_DETAILED","FQ1 2025","FQ1 2025","Currency=USD","Period=FQ","BEST_FPERIOD_OVERRIDE=FQ","FILING_STATUS=MR","SCALING_FORMAT=MLN","Sort=A","Dates=H","DateFormat=P","Fill=—","Direction=H","UseDPDF=Y")</f>
        <v>216</v>
      </c>
      <c r="AD51" s="13" cm="1">
        <f t="array" ref="AD51">_xll.BDH("DE US Equity","OTHER_CURRENT_LIABS_SUB_DETAILED","FQ2 2025","FQ2 2025","Currency=USD","Period=FQ","BEST_FPERIOD_OVERRIDE=FQ","FILING_STATUS=MR","SCALING_FORMAT=MLN","Sort=A","Dates=H","DateFormat=P","Fill=—","Direction=H","UseDPDF=Y")</f>
        <v>2033</v>
      </c>
      <c r="AE51" s="13" cm="1">
        <f t="array" ref="AE51">_xll.BDH("DE US Equity","OTHER_CURRENT_LIABS_SUB_DETAILED","FQ3 2025","FQ3 2025","Currency=USD","Period=FQ","BEST_FPERIOD_OVERRIDE=FQ","FILING_STATUS=MR","SCALING_FORMAT=MLN","Sort=A","Dates=H","DateFormat=P","Fill=—","Direction=H","UseDPDF=Y")</f>
        <v>1908</v>
      </c>
      <c r="AF51" s="13" cm="1">
        <f t="array" ref="AF51">_xll.BDH("DE US Equity","OTHER_CURRENT_LIABS_SUB_DETAILED","FQ4 2025","FQ4 2025","Currency=USD","Period=FQ","BEST_FPERIOD_OVERRIDE=FQ","FILING_STATUS=MR","SCALING_FORMAT=MLN","Sort=A","Dates=H","DateFormat=P","Fill=—","Direction=H","UseDPDF=Y")</f>
        <v>1760</v>
      </c>
    </row>
    <row r="52" spans="1:32" x14ac:dyDescent="0.25">
      <c r="A52" s="10" t="s">
        <v>151</v>
      </c>
      <c r="B52" s="10" t="s">
        <v>152</v>
      </c>
      <c r="C52" s="13" t="str" cm="1">
        <f t="array" ref="C52">_xll.BDH("DE US Equity","ST_DEFERRED_REVENUE","FQ3 2018","FQ3 2018","Currency=USD","Period=FQ","BEST_FPERIOD_OVERRIDE=FQ","FILING_STATUS=MR","SCALING_FORMAT=MLN","Sort=A","Dates=H","DateFormat=P","Fill=—","Direction=H","UseDPDF=Y")</f>
        <v>—</v>
      </c>
      <c r="D52" s="13" cm="1">
        <f t="array" ref="D52">_xll.BDH("DE US Equity","ST_DEFERRED_REVENUE","FQ4 2018","FQ4 2018","Currency=USD","Period=FQ","BEST_FPERIOD_OVERRIDE=FQ","FILING_STATUS=MR","SCALING_FORMAT=MLN","Sort=A","Dates=H","DateFormat=P","Fill=—","Direction=H","UseDPDF=Y")</f>
        <v>1550</v>
      </c>
      <c r="E52" s="13" t="str" cm="1">
        <f t="array" ref="E52">_xll.BDH("DE US Equity","ST_DEFERRED_REVENUE","FQ1 2019","FQ1 2019","Currency=USD","Period=FQ","BEST_FPERIOD_OVERRIDE=FQ","FILING_STATUS=MR","SCALING_FORMAT=MLN","Sort=A","Dates=H","DateFormat=P","Fill=—","Direction=H","UseDPDF=Y")</f>
        <v>—</v>
      </c>
      <c r="F52" s="13" t="str" cm="1">
        <f t="array" ref="F52">_xll.BDH("DE US Equity","ST_DEFERRED_REVENUE","FQ2 2019","FQ2 2019","Currency=USD","Period=FQ","BEST_FPERIOD_OVERRIDE=FQ","FILING_STATUS=MR","SCALING_FORMAT=MLN","Sort=A","Dates=H","DateFormat=P","Fill=—","Direction=H","UseDPDF=Y")</f>
        <v>—</v>
      </c>
      <c r="G52" s="13" t="str" cm="1">
        <f t="array" ref="G52">_xll.BDH("DE US Equity","ST_DEFERRED_REVENUE","FQ3 2019","FQ3 2019","Currency=USD","Period=FQ","BEST_FPERIOD_OVERRIDE=FQ","FILING_STATUS=MR","SCALING_FORMAT=MLN","Sort=A","Dates=H","DateFormat=P","Fill=—","Direction=H","UseDPDF=Y")</f>
        <v>—</v>
      </c>
      <c r="H52" s="13" cm="1">
        <f t="array" ref="H52">_xll.BDH("DE US Equity","ST_DEFERRED_REVENUE","FQ4 2019","FQ4 2019","Currency=USD","Period=FQ","BEST_FPERIOD_OVERRIDE=FQ","FILING_STATUS=MR","SCALING_FORMAT=MLN","Sort=A","Dates=H","DateFormat=P","Fill=—","Direction=H","UseDPDF=Y")</f>
        <v>1635</v>
      </c>
      <c r="I52" s="13" t="str" cm="1">
        <f t="array" ref="I52">_xll.BDH("DE US Equity","ST_DEFERRED_REVENUE","FQ1 2020","FQ1 2020","Currency=USD","Period=FQ","BEST_FPERIOD_OVERRIDE=FQ","FILING_STATUS=MR","SCALING_FORMAT=MLN","Sort=A","Dates=H","DateFormat=P","Fill=—","Direction=H","UseDPDF=Y")</f>
        <v>—</v>
      </c>
      <c r="J52" s="13" t="str" cm="1">
        <f t="array" ref="J52">_xll.BDH("DE US Equity","ST_DEFERRED_REVENUE","FQ2 2020","FQ2 2020","Currency=USD","Period=FQ","BEST_FPERIOD_OVERRIDE=FQ","FILING_STATUS=MR","SCALING_FORMAT=MLN","Sort=A","Dates=H","DateFormat=P","Fill=—","Direction=H","UseDPDF=Y")</f>
        <v>—</v>
      </c>
      <c r="K52" s="13" t="str" cm="1">
        <f t="array" ref="K52">_xll.BDH("DE US Equity","ST_DEFERRED_REVENUE","FQ3 2020","FQ3 2020","Currency=USD","Period=FQ","BEST_FPERIOD_OVERRIDE=FQ","FILING_STATUS=MR","SCALING_FORMAT=MLN","Sort=A","Dates=H","DateFormat=P","Fill=—","Direction=H","UseDPDF=Y")</f>
        <v>—</v>
      </c>
      <c r="L52" s="13" cm="1">
        <f t="array" ref="L52">_xll.BDH("DE US Equity","ST_DEFERRED_REVENUE","FQ4 2020","FQ4 2020","Currency=USD","Period=FQ","BEST_FPERIOD_OVERRIDE=FQ","FILING_STATUS=MR","SCALING_FORMAT=MLN","Sort=A","Dates=H","DateFormat=P","Fill=—","Direction=H","UseDPDF=Y")</f>
        <v>1647</v>
      </c>
      <c r="M52" s="13" t="str" cm="1">
        <f t="array" ref="M52">_xll.BDH("DE US Equity","ST_DEFERRED_REVENUE","FQ1 2021","FQ1 2021","Currency=USD","Period=FQ","BEST_FPERIOD_OVERRIDE=FQ","FILING_STATUS=MR","SCALING_FORMAT=MLN","Sort=A","Dates=H","DateFormat=P","Fill=—","Direction=H","UseDPDF=Y")</f>
        <v>—</v>
      </c>
      <c r="N52" s="13" t="str" cm="1">
        <f t="array" ref="N52">_xll.BDH("DE US Equity","ST_DEFERRED_REVENUE","FQ2 2021","FQ2 2021","Currency=USD","Period=FQ","BEST_FPERIOD_OVERRIDE=FQ","FILING_STATUS=MR","SCALING_FORMAT=MLN","Sort=A","Dates=H","DateFormat=P","Fill=—","Direction=H","UseDPDF=Y")</f>
        <v>—</v>
      </c>
      <c r="O52" s="13" t="str" cm="1">
        <f t="array" ref="O52">_xll.BDH("DE US Equity","ST_DEFERRED_REVENUE","FQ3 2021","FQ3 2021","Currency=USD","Period=FQ","BEST_FPERIOD_OVERRIDE=FQ","FILING_STATUS=MR","SCALING_FORMAT=MLN","Sort=A","Dates=H","DateFormat=P","Fill=—","Direction=H","UseDPDF=Y")</f>
        <v>—</v>
      </c>
      <c r="P52" s="13" cm="1">
        <f t="array" ref="P52">_xll.BDH("DE US Equity","ST_DEFERRED_REVENUE","FQ4 2021","FQ4 2021","Currency=USD","Period=FQ","BEST_FPERIOD_OVERRIDE=FQ","FILING_STATUS=MR","SCALING_FORMAT=MLN","Sort=A","Dates=H","DateFormat=P","Fill=—","Direction=H","UseDPDF=Y")</f>
        <v>1018</v>
      </c>
      <c r="Q52" s="13" cm="1">
        <f t="array" ref="Q52">_xll.BDH("DE US Equity","ST_DEFERRED_REVENUE","FQ1 2022","FQ1 2022","Currency=USD","Period=FQ","BEST_FPERIOD_OVERRIDE=FQ","FILING_STATUS=MR","SCALING_FORMAT=MLN","Sort=A","Dates=H","DateFormat=P","Fill=—","Direction=H","UseDPDF=Y")</f>
        <v>952</v>
      </c>
      <c r="R52" s="13" t="str" cm="1">
        <f t="array" ref="R52">_xll.BDH("DE US Equity","ST_DEFERRED_REVENUE","FQ2 2022","FQ2 2022","Currency=USD","Period=FQ","BEST_FPERIOD_OVERRIDE=FQ","FILING_STATUS=MR","SCALING_FORMAT=MLN","Sort=A","Dates=H","DateFormat=P","Fill=—","Direction=H","UseDPDF=Y")</f>
        <v>—</v>
      </c>
      <c r="S52" s="13" t="str" cm="1">
        <f t="array" ref="S52">_xll.BDH("DE US Equity","ST_DEFERRED_REVENUE","FQ3 2022","FQ3 2022","Currency=USD","Period=FQ","BEST_FPERIOD_OVERRIDE=FQ","FILING_STATUS=MR","SCALING_FORMAT=MLN","Sort=A","Dates=H","DateFormat=P","Fill=—","Direction=H","UseDPDF=Y")</f>
        <v>—</v>
      </c>
      <c r="T52" s="13" cm="1">
        <f t="array" ref="T52">_xll.BDH("DE US Equity","ST_DEFERRED_REVENUE","FQ4 2022","FQ4 2022","Currency=USD","Period=FQ","BEST_FPERIOD_OVERRIDE=FQ","FILING_STATUS=MR","SCALING_FORMAT=MLN","Sort=A","Dates=H","DateFormat=P","Fill=—","Direction=H","UseDPDF=Y")</f>
        <v>956</v>
      </c>
      <c r="U52" s="13" cm="1">
        <f t="array" ref="U52">_xll.BDH("DE US Equity","ST_DEFERRED_REVENUE","FQ1 2023","FQ1 2023","Currency=USD","Period=FQ","BEST_FPERIOD_OVERRIDE=FQ","FILING_STATUS=MR","SCALING_FORMAT=MLN","Sort=A","Dates=H","DateFormat=P","Fill=—","Direction=H","UseDPDF=Y")</f>
        <v>1007</v>
      </c>
      <c r="V52" s="13" cm="1">
        <f t="array" ref="V52">_xll.BDH("DE US Equity","ST_DEFERRED_REVENUE","FQ2 2023","FQ2 2023","Currency=USD","Period=FQ","BEST_FPERIOD_OVERRIDE=FQ","FILING_STATUS=MR","SCALING_FORMAT=MLN","Sort=A","Dates=H","DateFormat=P","Fill=—","Direction=H","UseDPDF=Y")</f>
        <v>1114</v>
      </c>
      <c r="W52" s="13" cm="1">
        <f t="array" ref="W52">_xll.BDH("DE US Equity","ST_DEFERRED_REVENUE","FQ3 2023","FQ3 2023","Currency=USD","Period=FQ","BEST_FPERIOD_OVERRIDE=FQ","FILING_STATUS=MR","SCALING_FORMAT=MLN","Sort=A","Dates=H","DateFormat=P","Fill=—","Direction=H","UseDPDF=Y")</f>
        <v>1182</v>
      </c>
      <c r="X52" s="13" cm="1">
        <f t="array" ref="X52">_xll.BDH("DE US Equity","ST_DEFERRED_REVENUE","FQ4 2023","FQ4 2023","Currency=USD","Period=FQ","BEST_FPERIOD_OVERRIDE=FQ","FILING_STATUS=MR","SCALING_FORMAT=MLN","Sort=A","Dates=H","DateFormat=P","Fill=—","Direction=H","UseDPDF=Y")</f>
        <v>1127</v>
      </c>
      <c r="Y52" s="13" t="str" cm="1">
        <f t="array" ref="Y52">_xll.BDH("DE US Equity","ST_DEFERRED_REVENUE","FQ1 2024","FQ1 2024","Currency=USD","Period=FQ","BEST_FPERIOD_OVERRIDE=FQ","FILING_STATUS=MR","SCALING_FORMAT=MLN","Sort=A","Dates=H","DateFormat=P","Fill=—","Direction=H","UseDPDF=Y")</f>
        <v>—</v>
      </c>
      <c r="Z52" s="13" cm="1">
        <f t="array" ref="Z52">_xll.BDH("DE US Equity","ST_DEFERRED_REVENUE","FQ2 2024","FQ2 2024","Currency=USD","Period=FQ","BEST_FPERIOD_OVERRIDE=FQ","FILING_STATUS=MR","SCALING_FORMAT=MLN","Sort=A","Dates=H","DateFormat=P","Fill=—","Direction=H","UseDPDF=Y")</f>
        <v>1284</v>
      </c>
      <c r="AA52" s="13" cm="1">
        <f t="array" ref="AA52">_xll.BDH("DE US Equity","ST_DEFERRED_REVENUE","FQ3 2024","FQ3 2024","Currency=USD","Period=FQ","BEST_FPERIOD_OVERRIDE=FQ","FILING_STATUS=MR","SCALING_FORMAT=MLN","Sort=A","Dates=H","DateFormat=P","Fill=—","Direction=H","UseDPDF=Y")</f>
        <v>1246</v>
      </c>
      <c r="AB52" s="13" cm="1">
        <f t="array" ref="AB52">_xll.BDH("DE US Equity","ST_DEFERRED_REVENUE","FQ4 2024","FQ4 2024","Currency=USD","Period=FQ","BEST_FPERIOD_OVERRIDE=FQ","FILING_STATUS=MR","SCALING_FORMAT=MLN","Sort=A","Dates=H","DateFormat=P","Fill=—","Direction=H","UseDPDF=Y")</f>
        <v>1239</v>
      </c>
      <c r="AC52" s="13" t="str" cm="1">
        <f t="array" ref="AC52">_xll.BDH("DE US Equity","ST_DEFERRED_REVENUE","FQ1 2025","FQ1 2025","Currency=USD","Period=FQ","BEST_FPERIOD_OVERRIDE=FQ","FILING_STATUS=MR","SCALING_FORMAT=MLN","Sort=A","Dates=H","DateFormat=P","Fill=—","Direction=H","UseDPDF=Y")</f>
        <v>—</v>
      </c>
      <c r="AD52" s="13" cm="1">
        <f t="array" ref="AD52">_xll.BDH("DE US Equity","ST_DEFERRED_REVENUE","FQ2 2025","FQ2 2025","Currency=USD","Period=FQ","BEST_FPERIOD_OVERRIDE=FQ","FILING_STATUS=MR","SCALING_FORMAT=MLN","Sort=A","Dates=H","DateFormat=P","Fill=—","Direction=H","UseDPDF=Y")</f>
        <v>1419</v>
      </c>
      <c r="AE52" s="13" cm="1">
        <f t="array" ref="AE52">_xll.BDH("DE US Equity","ST_DEFERRED_REVENUE","FQ3 2025","FQ3 2025","Currency=USD","Period=FQ","BEST_FPERIOD_OVERRIDE=FQ","FILING_STATUS=MR","SCALING_FORMAT=MLN","Sort=A","Dates=H","DateFormat=P","Fill=—","Direction=H","UseDPDF=Y")</f>
        <v>1391</v>
      </c>
      <c r="AF52" s="13" cm="1">
        <f t="array" ref="AF52">_xll.BDH("DE US Equity","ST_DEFERRED_REVENUE","FQ4 2025","FQ4 2025","Currency=USD","Period=FQ","BEST_FPERIOD_OVERRIDE=FQ","FILING_STATUS=MR","SCALING_FORMAT=MLN","Sort=A","Dates=H","DateFormat=P","Fill=—","Direction=H","UseDPDF=Y")</f>
        <v>1371</v>
      </c>
    </row>
    <row r="53" spans="1:32" x14ac:dyDescent="0.25">
      <c r="A53" s="10" t="s">
        <v>153</v>
      </c>
      <c r="B53" s="10" t="s">
        <v>154</v>
      </c>
      <c r="C53" s="13" cm="1">
        <f t="array" ref="C53">_xll.BDH("DE US Equity","BS_DERIV_HEDGING_LIAB_ST","FQ3 2018","FQ3 2018","Currency=USD","Period=FQ","BEST_FPERIOD_OVERRIDE=FQ","FILING_STATUS=MR","SCALING_FORMAT=MLN","Sort=A","Dates=H","DateFormat=P","Fill=—","Direction=H","UseDPDF=Y")</f>
        <v>384</v>
      </c>
      <c r="D53" s="13" cm="1">
        <f t="array" ref="D53">_xll.BDH("DE US Equity","BS_DERIV_HEDGING_LIAB_ST","FQ4 2018","FQ4 2018","Currency=USD","Period=FQ","BEST_FPERIOD_OVERRIDE=FQ","FILING_STATUS=MR","SCALING_FORMAT=MLN","Sort=A","Dates=H","DateFormat=P","Fill=—","Direction=H","UseDPDF=Y")</f>
        <v>399</v>
      </c>
      <c r="E53" s="13" cm="1">
        <f t="array" ref="E53">_xll.BDH("DE US Equity","BS_DERIV_HEDGING_LIAB_ST","FQ1 2019","FQ1 2019","Currency=USD","Period=FQ","BEST_FPERIOD_OVERRIDE=FQ","FILING_STATUS=MR","SCALING_FORMAT=MLN","Sort=A","Dates=H","DateFormat=P","Fill=—","Direction=H","UseDPDF=Y")</f>
        <v>296</v>
      </c>
      <c r="F53" s="13" cm="1">
        <f t="array" ref="F53">_xll.BDH("DE US Equity","BS_DERIV_HEDGING_LIAB_ST","FQ2 2019","FQ2 2019","Currency=USD","Period=FQ","BEST_FPERIOD_OVERRIDE=FQ","FILING_STATUS=MR","SCALING_FORMAT=MLN","Sort=A","Dates=H","DateFormat=P","Fill=—","Direction=H","UseDPDF=Y")</f>
        <v>215</v>
      </c>
      <c r="G53" s="13" cm="1">
        <f t="array" ref="G53">_xll.BDH("DE US Equity","BS_DERIV_HEDGING_LIAB_ST","FQ3 2019","FQ3 2019","Currency=USD","Period=FQ","BEST_FPERIOD_OVERRIDE=FQ","FILING_STATUS=MR","SCALING_FORMAT=MLN","Sort=A","Dates=H","DateFormat=P","Fill=—","Direction=H","UseDPDF=Y")</f>
        <v>146</v>
      </c>
      <c r="H53" s="13" cm="1">
        <f t="array" ref="H53">_xll.BDH("DE US Equity","BS_DERIV_HEDGING_LIAB_ST","FQ4 2019","FQ4 2019","Currency=USD","Period=FQ","BEST_FPERIOD_OVERRIDE=FQ","FILING_STATUS=MR","SCALING_FORMAT=MLN","Sort=A","Dates=H","DateFormat=P","Fill=—","Direction=H","UseDPDF=Y")</f>
        <v>139</v>
      </c>
      <c r="I53" s="13" cm="1">
        <f t="array" ref="I53">_xll.BDH("DE US Equity","BS_DERIV_HEDGING_LIAB_ST","FQ1 2020","FQ1 2020","Currency=USD","Period=FQ","BEST_FPERIOD_OVERRIDE=FQ","FILING_STATUS=MR","SCALING_FORMAT=MLN","Sort=A","Dates=H","DateFormat=P","Fill=—","Direction=H","UseDPDF=Y")</f>
        <v>97</v>
      </c>
      <c r="J53" s="13" cm="1">
        <f t="array" ref="J53">_xll.BDH("DE US Equity","BS_DERIV_HEDGING_LIAB_ST","FQ2 2020","FQ2 2020","Currency=USD","Period=FQ","BEST_FPERIOD_OVERRIDE=FQ","FILING_STATUS=MR","SCALING_FORMAT=MLN","Sort=A","Dates=H","DateFormat=P","Fill=—","Direction=H","UseDPDF=Y")</f>
        <v>199</v>
      </c>
      <c r="K53" s="13" cm="1">
        <f t="array" ref="K53">_xll.BDH("DE US Equity","BS_DERIV_HEDGING_LIAB_ST","FQ3 2020","FQ3 2020","Currency=USD","Period=FQ","BEST_FPERIOD_OVERRIDE=FQ","FILING_STATUS=MR","SCALING_FORMAT=MLN","Sort=A","Dates=H","DateFormat=P","Fill=—","Direction=H","UseDPDF=Y")</f>
        <v>170</v>
      </c>
      <c r="L53" s="13" cm="1">
        <f t="array" ref="L53">_xll.BDH("DE US Equity","BS_DERIV_HEDGING_LIAB_ST","FQ4 2020","FQ4 2020","Currency=USD","Period=FQ","BEST_FPERIOD_OVERRIDE=FQ","FILING_STATUS=MR","SCALING_FORMAT=MLN","Sort=A","Dates=H","DateFormat=P","Fill=—","Direction=H","UseDPDF=Y")</f>
        <v>115</v>
      </c>
      <c r="M53" s="13" cm="1">
        <f t="array" ref="M53">_xll.BDH("DE US Equity","BS_DERIV_HEDGING_LIAB_ST","FQ1 2021","FQ1 2021","Currency=USD","Period=FQ","BEST_FPERIOD_OVERRIDE=FQ","FILING_STATUS=MR","SCALING_FORMAT=MLN","Sort=A","Dates=H","DateFormat=P","Fill=—","Direction=H","UseDPDF=Y")</f>
        <v>173</v>
      </c>
      <c r="N53" s="13" cm="1">
        <f t="array" ref="N53">_xll.BDH("DE US Equity","BS_DERIV_HEDGING_LIAB_ST","FQ2 2021","FQ2 2021","Currency=USD","Period=FQ","BEST_FPERIOD_OVERRIDE=FQ","FILING_STATUS=MR","SCALING_FORMAT=MLN","Sort=A","Dates=H","DateFormat=P","Fill=—","Direction=H","UseDPDF=Y")</f>
        <v>223</v>
      </c>
      <c r="O53" s="13" cm="1">
        <f t="array" ref="O53">_xll.BDH("DE US Equity","BS_DERIV_HEDGING_LIAB_ST","FQ3 2021","FQ3 2021","Currency=USD","Period=FQ","BEST_FPERIOD_OVERRIDE=FQ","FILING_STATUS=MR","SCALING_FORMAT=MLN","Sort=A","Dates=H","DateFormat=P","Fill=—","Direction=H","UseDPDF=Y")</f>
        <v>152</v>
      </c>
      <c r="P53" s="13" cm="1">
        <f t="array" ref="P53">_xll.BDH("DE US Equity","BS_DERIV_HEDGING_LIAB_ST","FQ4 2021","FQ4 2021","Currency=USD","Period=FQ","BEST_FPERIOD_OVERRIDE=FQ","FILING_STATUS=MR","SCALING_FORMAT=MLN","Sort=A","Dates=H","DateFormat=P","Fill=—","Direction=H","UseDPDF=Y")</f>
        <v>228</v>
      </c>
      <c r="Q53" s="13" cm="1">
        <f t="array" ref="Q53">_xll.BDH("DE US Equity","BS_DERIV_HEDGING_LIAB_ST","FQ1 2022","FQ1 2022","Currency=USD","Period=FQ","BEST_FPERIOD_OVERRIDE=FQ","FILING_STATUS=MR","SCALING_FORMAT=MLN","Sort=A","Dates=H","DateFormat=P","Fill=—","Direction=H","UseDPDF=Y")</f>
        <v>276</v>
      </c>
      <c r="R53" s="13" cm="1">
        <f t="array" ref="R53">_xll.BDH("DE US Equity","BS_DERIV_HEDGING_LIAB_ST","FQ2 2022","FQ2 2022","Currency=USD","Period=FQ","BEST_FPERIOD_OVERRIDE=FQ","FILING_STATUS=MR","SCALING_FORMAT=MLN","Sort=A","Dates=H","DateFormat=P","Fill=—","Direction=H","UseDPDF=Y")</f>
        <v>780</v>
      </c>
      <c r="S53" s="13" cm="1">
        <f t="array" ref="S53">_xll.BDH("DE US Equity","BS_DERIV_HEDGING_LIAB_ST","FQ3 2022","FQ3 2022","Currency=USD","Period=FQ","BEST_FPERIOD_OVERRIDE=FQ","FILING_STATUS=MR","SCALING_FORMAT=MLN","Sort=A","Dates=H","DateFormat=P","Fill=—","Direction=H","UseDPDF=Y")</f>
        <v>667</v>
      </c>
      <c r="T53" s="13" cm="1">
        <f t="array" ref="T53">_xll.BDH("DE US Equity","BS_DERIV_HEDGING_LIAB_ST","FQ4 2022","FQ4 2022","Currency=USD","Period=FQ","BEST_FPERIOD_OVERRIDE=FQ","FILING_STATUS=MR","SCALING_FORMAT=MLN","Sort=A","Dates=H","DateFormat=P","Fill=—","Direction=H","UseDPDF=Y")</f>
        <v>1231</v>
      </c>
      <c r="U53" s="13" cm="1">
        <f t="array" ref="U53">_xll.BDH("DE US Equity","BS_DERIV_HEDGING_LIAB_ST","FQ1 2023","FQ1 2023","Currency=USD","Period=FQ","BEST_FPERIOD_OVERRIDE=FQ","FILING_STATUS=MR","SCALING_FORMAT=MLN","Sort=A","Dates=H","DateFormat=P","Fill=—","Direction=H","UseDPDF=Y")</f>
        <v>891</v>
      </c>
      <c r="V53" s="13" cm="1">
        <f t="array" ref="V53">_xll.BDH("DE US Equity","BS_DERIV_HEDGING_LIAB_ST","FQ2 2023","FQ2 2023","Currency=USD","Period=FQ","BEST_FPERIOD_OVERRIDE=FQ","FILING_STATUS=MR","SCALING_FORMAT=MLN","Sort=A","Dates=H","DateFormat=P","Fill=—","Direction=H","UseDPDF=Y")</f>
        <v>758</v>
      </c>
      <c r="W53" s="13" cm="1">
        <f t="array" ref="W53">_xll.BDH("DE US Equity","BS_DERIV_HEDGING_LIAB_ST","FQ3 2023","FQ3 2023","Currency=USD","Period=FQ","BEST_FPERIOD_OVERRIDE=FQ","FILING_STATUS=MR","SCALING_FORMAT=MLN","Sort=A","Dates=H","DateFormat=P","Fill=—","Direction=H","UseDPDF=Y")</f>
        <v>948</v>
      </c>
      <c r="X53" s="13" cm="1">
        <f t="array" ref="X53">_xll.BDH("DE US Equity","BS_DERIV_HEDGING_LIAB_ST","FQ4 2023","FQ4 2023","Currency=USD","Period=FQ","BEST_FPERIOD_OVERRIDE=FQ","FILING_STATUS=MR","SCALING_FORMAT=MLN","Sort=A","Dates=H","DateFormat=P","Fill=—","Direction=H","UseDPDF=Y")</f>
        <v>1130</v>
      </c>
      <c r="Y53" s="13" cm="1">
        <f t="array" ref="Y53">_xll.BDH("DE US Equity","BS_DERIV_HEDGING_LIAB_ST","FQ1 2024","FQ1 2024","Currency=USD","Period=FQ","BEST_FPERIOD_OVERRIDE=FQ","FILING_STATUS=MR","SCALING_FORMAT=MLN","Sort=A","Dates=H","DateFormat=P","Fill=—","Direction=H","UseDPDF=Y")</f>
        <v>740</v>
      </c>
      <c r="Z53" s="13" cm="1">
        <f t="array" ref="Z53">_xll.BDH("DE US Equity","BS_DERIV_HEDGING_LIAB_ST","FQ2 2024","FQ2 2024","Currency=USD","Period=FQ","BEST_FPERIOD_OVERRIDE=FQ","FILING_STATUS=MR","SCALING_FORMAT=MLN","Sort=A","Dates=H","DateFormat=P","Fill=—","Direction=H","UseDPDF=Y")</f>
        <v>1005</v>
      </c>
      <c r="AA53" s="13" cm="1">
        <f t="array" ref="AA53">_xll.BDH("DE US Equity","BS_DERIV_HEDGING_LIAB_ST","FQ3 2024","FQ3 2024","Currency=USD","Period=FQ","BEST_FPERIOD_OVERRIDE=FQ","FILING_STATUS=MR","SCALING_FORMAT=MLN","Sort=A","Dates=H","DateFormat=P","Fill=—","Direction=H","UseDPDF=Y")</f>
        <v>582</v>
      </c>
      <c r="AB53" s="13" cm="1">
        <f t="array" ref="AB53">_xll.BDH("DE US Equity","BS_DERIV_HEDGING_LIAB_ST","FQ4 2024","FQ4 2024","Currency=USD","Period=FQ","BEST_FPERIOD_OVERRIDE=FQ","FILING_STATUS=MR","SCALING_FORMAT=MLN","Sort=A","Dates=H","DateFormat=P","Fill=—","Direction=H","UseDPDF=Y")</f>
        <v>582</v>
      </c>
      <c r="AC53" s="13" cm="1">
        <f t="array" ref="AC53">_xll.BDH("DE US Equity","BS_DERIV_HEDGING_LIAB_ST","FQ1 2025","FQ1 2025","Currency=USD","Period=FQ","BEST_FPERIOD_OVERRIDE=FQ","FILING_STATUS=MR","SCALING_FORMAT=MLN","Sort=A","Dates=H","DateFormat=P","Fill=—","Direction=H","UseDPDF=Y")</f>
        <v>216</v>
      </c>
      <c r="AD53" s="13" cm="1">
        <f t="array" ref="AD53">_xll.BDH("DE US Equity","BS_DERIV_HEDGING_LIAB_ST","FQ2 2025","FQ2 2025","Currency=USD","Period=FQ","BEST_FPERIOD_OVERRIDE=FQ","FILING_STATUS=MR","SCALING_FORMAT=MLN","Sort=A","Dates=H","DateFormat=P","Fill=—","Direction=H","UseDPDF=Y")</f>
        <v>614</v>
      </c>
      <c r="AE53" s="13" cm="1">
        <f t="array" ref="AE53">_xll.BDH("DE US Equity","BS_DERIV_HEDGING_LIAB_ST","FQ3 2025","FQ3 2025","Currency=USD","Period=FQ","BEST_FPERIOD_OVERRIDE=FQ","FILING_STATUS=MR","SCALING_FORMAT=MLN","Sort=A","Dates=H","DateFormat=P","Fill=—","Direction=H","UseDPDF=Y")</f>
        <v>517</v>
      </c>
      <c r="AF53" s="13" cm="1">
        <f t="array" ref="AF53">_xll.BDH("DE US Equity","BS_DERIV_HEDGING_LIAB_ST","FQ4 2025","FQ4 2025","Currency=USD","Period=FQ","BEST_FPERIOD_OVERRIDE=FQ","FILING_STATUS=MR","SCALING_FORMAT=MLN","Sort=A","Dates=H","DateFormat=P","Fill=—","Direction=H","UseDPDF=Y")</f>
        <v>389</v>
      </c>
    </row>
    <row r="54" spans="1:32" x14ac:dyDescent="0.25">
      <c r="A54" s="10" t="s">
        <v>155</v>
      </c>
      <c r="B54" s="10" t="s">
        <v>156</v>
      </c>
      <c r="C54" s="13" cm="1">
        <f t="array" ref="C54">_xll.BDH("DE US Equity","OTHER_CURRENT_LIABS_DETAILED","FQ3 2018","FQ3 2018","Currency=USD","Period=FQ","BEST_FPERIOD_OVERRIDE=FQ","FILING_STATUS=MR","SCALING_FORMAT=MLN","Sort=A","Dates=H","DateFormat=P","Fill=—","Direction=H","UseDPDF=Y")</f>
        <v>111</v>
      </c>
      <c r="D54" s="13" cm="1">
        <f t="array" ref="D54">_xll.BDH("DE US Equity","OTHER_CURRENT_LIABS_DETAILED","FQ4 2018","FQ4 2018","Currency=USD","Period=FQ","BEST_FPERIOD_OVERRIDE=FQ","FILING_STATUS=MR","SCALING_FORMAT=MLN","Sort=A","Dates=H","DateFormat=P","Fill=—","Direction=H","UseDPDF=Y")</f>
        <v>129</v>
      </c>
      <c r="E54" s="13" cm="1">
        <f t="array" ref="E54">_xll.BDH("DE US Equity","OTHER_CURRENT_LIABS_DETAILED","FQ1 2019","FQ1 2019","Currency=USD","Period=FQ","BEST_FPERIOD_OVERRIDE=FQ","FILING_STATUS=MR","SCALING_FORMAT=MLN","Sort=A","Dates=H","DateFormat=P","Fill=—","Direction=H","UseDPDF=Y")</f>
        <v>144.5</v>
      </c>
      <c r="F54" s="13" cm="1">
        <f t="array" ref="F54">_xll.BDH("DE US Equity","OTHER_CURRENT_LIABS_DETAILED","FQ2 2019","FQ2 2019","Currency=USD","Period=FQ","BEST_FPERIOD_OVERRIDE=FQ","FILING_STATUS=MR","SCALING_FORMAT=MLN","Sort=A","Dates=H","DateFormat=P","Fill=—","Direction=H","UseDPDF=Y")</f>
        <v>200</v>
      </c>
      <c r="G54" s="13" cm="1">
        <f t="array" ref="G54">_xll.BDH("DE US Equity","OTHER_CURRENT_LIABS_DETAILED","FQ3 2019","FQ3 2019","Currency=USD","Period=FQ","BEST_FPERIOD_OVERRIDE=FQ","FILING_STATUS=MR","SCALING_FORMAT=MLN","Sort=A","Dates=H","DateFormat=P","Fill=—","Direction=H","UseDPDF=Y")</f>
        <v>136</v>
      </c>
      <c r="H54" s="13" cm="1">
        <f t="array" ref="H54">_xll.BDH("DE US Equity","OTHER_CURRENT_LIABS_DETAILED","FQ4 2019","FQ4 2019","Currency=USD","Period=FQ","BEST_FPERIOD_OVERRIDE=FQ","FILING_STATUS=MR","SCALING_FORMAT=MLN","Sort=A","Dates=H","DateFormat=P","Fill=—","Direction=H","UseDPDF=Y")</f>
        <v>142</v>
      </c>
      <c r="I54" s="13" cm="1">
        <f t="array" ref="I54">_xll.BDH("DE US Equity","OTHER_CURRENT_LIABS_DETAILED","FQ1 2020","FQ1 2020","Currency=USD","Period=FQ","BEST_FPERIOD_OVERRIDE=FQ","FILING_STATUS=MR","SCALING_FORMAT=MLN","Sort=A","Dates=H","DateFormat=P","Fill=—","Direction=H","UseDPDF=Y")</f>
        <v>147</v>
      </c>
      <c r="J54" s="13" cm="1">
        <f t="array" ref="J54">_xll.BDH("DE US Equity","OTHER_CURRENT_LIABS_DETAILED","FQ2 2020","FQ2 2020","Currency=USD","Period=FQ","BEST_FPERIOD_OVERRIDE=FQ","FILING_STATUS=MR","SCALING_FORMAT=MLN","Sort=A","Dates=H","DateFormat=P","Fill=—","Direction=H","UseDPDF=Y")</f>
        <v>91</v>
      </c>
      <c r="K54" s="13" cm="1">
        <f t="array" ref="K54">_xll.BDH("DE US Equity","OTHER_CURRENT_LIABS_DETAILED","FQ3 2020","FQ3 2020","Currency=USD","Period=FQ","BEST_FPERIOD_OVERRIDE=FQ","FILING_STATUS=MR","SCALING_FORMAT=MLN","Sort=A","Dates=H","DateFormat=P","Fill=—","Direction=H","UseDPDF=Y")</f>
        <v>80</v>
      </c>
      <c r="L54" s="13" cm="1">
        <f t="array" ref="L54">_xll.BDH("DE US Equity","OTHER_CURRENT_LIABS_DETAILED","FQ4 2020","FQ4 2020","Currency=USD","Period=FQ","BEST_FPERIOD_OVERRIDE=FQ","FILING_STATUS=MR","SCALING_FORMAT=MLN","Sort=A","Dates=H","DateFormat=P","Fill=—","Direction=H","UseDPDF=Y")</f>
        <v>105</v>
      </c>
      <c r="M54" s="13" cm="1">
        <f t="array" ref="M54">_xll.BDH("DE US Equity","OTHER_CURRENT_LIABS_DETAILED","FQ1 2021","FQ1 2021","Currency=USD","Period=FQ","BEST_FPERIOD_OVERRIDE=FQ","FILING_STATUS=MR","SCALING_FORMAT=MLN","Sort=A","Dates=H","DateFormat=P","Fill=—","Direction=H","UseDPDF=Y")</f>
        <v>119</v>
      </c>
      <c r="N54" s="13" cm="1">
        <f t="array" ref="N54">_xll.BDH("DE US Equity","OTHER_CURRENT_LIABS_DETAILED","FQ2 2021","FQ2 2021","Currency=USD","Period=FQ","BEST_FPERIOD_OVERRIDE=FQ","FILING_STATUS=MR","SCALING_FORMAT=MLN","Sort=A","Dates=H","DateFormat=P","Fill=—","Direction=H","UseDPDF=Y")</f>
        <v>0</v>
      </c>
      <c r="O54" s="13" cm="1">
        <f t="array" ref="O54">_xll.BDH("DE US Equity","OTHER_CURRENT_LIABS_DETAILED","FQ3 2021","FQ3 2021","Currency=USD","Period=FQ","BEST_FPERIOD_OVERRIDE=FQ","FILING_STATUS=MR","SCALING_FORMAT=MLN","Sort=A","Dates=H","DateFormat=P","Fill=—","Direction=H","UseDPDF=Y")</f>
        <v>0</v>
      </c>
      <c r="P54" s="13" cm="1">
        <f t="array" ref="P54">_xll.BDH("DE US Equity","OTHER_CURRENT_LIABS_DETAILED","FQ4 2021","FQ4 2021","Currency=USD","Period=FQ","BEST_FPERIOD_OVERRIDE=FQ","FILING_STATUS=MR","SCALING_FORMAT=MLN","Sort=A","Dates=H","DateFormat=P","Fill=—","Direction=H","UseDPDF=Y")</f>
        <v>0</v>
      </c>
      <c r="Q54" s="13" cm="1">
        <f t="array" ref="Q54">_xll.BDH("DE US Equity","OTHER_CURRENT_LIABS_DETAILED","FQ1 2022","FQ1 2022","Currency=USD","Period=FQ","BEST_FPERIOD_OVERRIDE=FQ","FILING_STATUS=MR","SCALING_FORMAT=MLN","Sort=A","Dates=H","DateFormat=P","Fill=—","Direction=H","UseDPDF=Y")</f>
        <v>0</v>
      </c>
      <c r="R54" s="13" cm="1">
        <f t="array" ref="R54">_xll.BDH("DE US Equity","OTHER_CURRENT_LIABS_DETAILED","FQ2 2022","FQ2 2022","Currency=USD","Period=FQ","BEST_FPERIOD_OVERRIDE=FQ","FILING_STATUS=MR","SCALING_FORMAT=MLN","Sort=A","Dates=H","DateFormat=P","Fill=—","Direction=H","UseDPDF=Y")</f>
        <v>0</v>
      </c>
      <c r="S54" s="13" cm="1">
        <f t="array" ref="S54">_xll.BDH("DE US Equity","OTHER_CURRENT_LIABS_DETAILED","FQ3 2022","FQ3 2022","Currency=USD","Period=FQ","BEST_FPERIOD_OVERRIDE=FQ","FILING_STATUS=MR","SCALING_FORMAT=MLN","Sort=A","Dates=H","DateFormat=P","Fill=—","Direction=H","UseDPDF=Y")</f>
        <v>0</v>
      </c>
      <c r="T54" s="13" cm="1">
        <f t="array" ref="T54">_xll.BDH("DE US Equity","OTHER_CURRENT_LIABS_DETAILED","FQ4 2022","FQ4 2022","Currency=USD","Period=FQ","BEST_FPERIOD_OVERRIDE=FQ","FILING_STATUS=MR","SCALING_FORMAT=MLN","Sort=A","Dates=H","DateFormat=P","Fill=—","Direction=H","UseDPDF=Y")</f>
        <v>0</v>
      </c>
      <c r="U54" s="13" cm="1">
        <f t="array" ref="U54">_xll.BDH("DE US Equity","OTHER_CURRENT_LIABS_DETAILED","FQ1 2023","FQ1 2023","Currency=USD","Period=FQ","BEST_FPERIOD_OVERRIDE=FQ","FILING_STATUS=MR","SCALING_FORMAT=MLN","Sort=A","Dates=H","DateFormat=P","Fill=—","Direction=H","UseDPDF=Y")</f>
        <v>0</v>
      </c>
      <c r="V54" s="13" cm="1">
        <f t="array" ref="V54">_xll.BDH("DE US Equity","OTHER_CURRENT_LIABS_DETAILED","FQ2 2023","FQ2 2023","Currency=USD","Period=FQ","BEST_FPERIOD_OVERRIDE=FQ","FILING_STATUS=MR","SCALING_FORMAT=MLN","Sort=A","Dates=H","DateFormat=P","Fill=—","Direction=H","UseDPDF=Y")</f>
        <v>0</v>
      </c>
      <c r="W54" s="13" cm="1">
        <f t="array" ref="W54">_xll.BDH("DE US Equity","OTHER_CURRENT_LIABS_DETAILED","FQ3 2023","FQ3 2023","Currency=USD","Period=FQ","BEST_FPERIOD_OVERRIDE=FQ","FILING_STATUS=MR","SCALING_FORMAT=MLN","Sort=A","Dates=H","DateFormat=P","Fill=—","Direction=H","UseDPDF=Y")</f>
        <v>0</v>
      </c>
      <c r="X54" s="13" cm="1">
        <f t="array" ref="X54">_xll.BDH("DE US Equity","OTHER_CURRENT_LIABS_DETAILED","FQ4 2023","FQ4 2023","Currency=USD","Period=FQ","BEST_FPERIOD_OVERRIDE=FQ","FILING_STATUS=MR","SCALING_FORMAT=MLN","Sort=A","Dates=H","DateFormat=P","Fill=—","Direction=H","UseDPDF=Y")</f>
        <v>0</v>
      </c>
      <c r="Y54" s="13" cm="1">
        <f t="array" ref="Y54">_xll.BDH("DE US Equity","OTHER_CURRENT_LIABS_DETAILED","FQ1 2024","FQ1 2024","Currency=USD","Period=FQ","BEST_FPERIOD_OVERRIDE=FQ","FILING_STATUS=MR","SCALING_FORMAT=MLN","Sort=A","Dates=H","DateFormat=P","Fill=—","Direction=H","UseDPDF=Y")</f>
        <v>0</v>
      </c>
      <c r="Z54" s="13" cm="1">
        <f t="array" ref="Z54">_xll.BDH("DE US Equity","OTHER_CURRENT_LIABS_DETAILED","FQ2 2024","FQ2 2024","Currency=USD","Period=FQ","BEST_FPERIOD_OVERRIDE=FQ","FILING_STATUS=MR","SCALING_FORMAT=MLN","Sort=A","Dates=H","DateFormat=P","Fill=—","Direction=H","UseDPDF=Y")</f>
        <v>0</v>
      </c>
      <c r="AA54" s="13" cm="1">
        <f t="array" ref="AA54">_xll.BDH("DE US Equity","OTHER_CURRENT_LIABS_DETAILED","FQ3 2024","FQ3 2024","Currency=USD","Period=FQ","BEST_FPERIOD_OVERRIDE=FQ","FILING_STATUS=MR","SCALING_FORMAT=MLN","Sort=A","Dates=H","DateFormat=P","Fill=—","Direction=H","UseDPDF=Y")</f>
        <v>1803</v>
      </c>
      <c r="AB54" s="13" cm="1">
        <f t="array" ref="AB54">_xll.BDH("DE US Equity","OTHER_CURRENT_LIABS_DETAILED","FQ4 2024","FQ4 2024","Currency=USD","Period=FQ","BEST_FPERIOD_OVERRIDE=FQ","FILING_STATUS=MR","SCALING_FORMAT=MLN","Sort=A","Dates=H","DateFormat=P","Fill=—","Direction=H","UseDPDF=Y")</f>
        <v>0</v>
      </c>
      <c r="AC54" s="13" cm="1">
        <f t="array" ref="AC54">_xll.BDH("DE US Equity","OTHER_CURRENT_LIABS_DETAILED","FQ1 2025","FQ1 2025","Currency=USD","Period=FQ","BEST_FPERIOD_OVERRIDE=FQ","FILING_STATUS=MR","SCALING_FORMAT=MLN","Sort=A","Dates=H","DateFormat=P","Fill=—","Direction=H","UseDPDF=Y")</f>
        <v>0</v>
      </c>
      <c r="AD54" s="13" cm="1">
        <f t="array" ref="AD54">_xll.BDH("DE US Equity","OTHER_CURRENT_LIABS_DETAILED","FQ2 2025","FQ2 2025","Currency=USD","Period=FQ","BEST_FPERIOD_OVERRIDE=FQ","FILING_STATUS=MR","SCALING_FORMAT=MLN","Sort=A","Dates=H","DateFormat=P","Fill=—","Direction=H","UseDPDF=Y")</f>
        <v>0</v>
      </c>
      <c r="AE54" s="13" cm="1">
        <f t="array" ref="AE54">_xll.BDH("DE US Equity","OTHER_CURRENT_LIABS_DETAILED","FQ3 2025","FQ3 2025","Currency=USD","Period=FQ","BEST_FPERIOD_OVERRIDE=FQ","FILING_STATUS=MR","SCALING_FORMAT=MLN","Sort=A","Dates=H","DateFormat=P","Fill=—","Direction=H","UseDPDF=Y")</f>
        <v>0</v>
      </c>
      <c r="AF54" s="13" cm="1">
        <f t="array" ref="AF54">_xll.BDH("DE US Equity","OTHER_CURRENT_LIABS_DETAILED","FQ4 2025","FQ4 2025","Currency=USD","Period=FQ","BEST_FPERIOD_OVERRIDE=FQ","FILING_STATUS=MR","SCALING_FORMAT=MLN","Sort=A","Dates=H","DateFormat=P","Fill=—","Direction=H","UseDPDF=Y")</f>
        <v>0</v>
      </c>
    </row>
    <row r="55" spans="1:32" x14ac:dyDescent="0.25">
      <c r="A55" s="6" t="s">
        <v>157</v>
      </c>
      <c r="B55" s="6" t="s">
        <v>158</v>
      </c>
      <c r="C55" s="16" cm="1">
        <f t="array" ref="C55">_xll.BDH("DE US Equity","BS_CUR_LIAB","FQ3 2018","FQ3 2018","Currency=USD","Period=FQ","BEST_FPERIOD_OVERRIDE=FQ","FILING_STATUS=MR","SCALING_FORMAT=MLN","Sort=A","Dates=H","DateFormat=P","Fill=—","Direction=H","UseDPDF=Y")</f>
        <v>25126</v>
      </c>
      <c r="D55" s="16" cm="1">
        <f t="array" ref="D55">_xll.BDH("DE US Equity","BS_CUR_LIAB","FQ4 2018","FQ4 2018","Currency=USD","Period=FQ","BEST_FPERIOD_OVERRIDE=FQ","FILING_STATUS=MR","SCALING_FORMAT=MLN","Sort=A","Dates=H","DateFormat=P","Fill=—","Direction=H","UseDPDF=Y")</f>
        <v>25259</v>
      </c>
      <c r="E55" s="16" cm="1">
        <f t="array" ref="E55">_xll.BDH("DE US Equity","BS_CUR_LIAB","FQ1 2019","FQ1 2019","Currency=USD","Period=FQ","BEST_FPERIOD_OVERRIDE=FQ","FILING_STATUS=MR","SCALING_FORMAT=MLN","Sort=A","Dates=H","DateFormat=P","Fill=—","Direction=H","UseDPDF=Y")</f>
        <v>24432</v>
      </c>
      <c r="F55" s="16" cm="1">
        <f t="array" ref="F55">_xll.BDH("DE US Equity","BS_CUR_LIAB","FQ2 2019","FQ2 2019","Currency=USD","Period=FQ","BEST_FPERIOD_OVERRIDE=FQ","FILING_STATUS=MR","SCALING_FORMAT=MLN","Sort=A","Dates=H","DateFormat=P","Fill=—","Direction=H","UseDPDF=Y")</f>
        <v>26290</v>
      </c>
      <c r="G55" s="16" cm="1">
        <f t="array" ref="G55">_xll.BDH("DE US Equity","BS_CUR_LIAB","FQ3 2019","FQ3 2019","Currency=USD","Period=FQ","BEST_FPERIOD_OVERRIDE=FQ","FILING_STATUS=MR","SCALING_FORMAT=MLN","Sort=A","Dates=H","DateFormat=P","Fill=—","Direction=H","UseDPDF=Y")</f>
        <v>25716</v>
      </c>
      <c r="H55" s="16" cm="1">
        <f t="array" ref="H55">_xll.BDH("DE US Equity","BS_CUR_LIAB","FQ4 2019","FQ4 2019","Currency=USD","Period=FQ","BEST_FPERIOD_OVERRIDE=FQ","FILING_STATUS=MR","SCALING_FORMAT=MLN","Sort=A","Dates=H","DateFormat=P","Fill=—","Direction=H","UseDPDF=Y")</f>
        <v>24903</v>
      </c>
      <c r="I55" s="16" cm="1">
        <f t="array" ref="I55">_xll.BDH("DE US Equity","BS_CUR_LIAB","FQ1 2020","FQ1 2020","Currency=USD","Period=FQ","BEST_FPERIOD_OVERRIDE=FQ","FILING_STATUS=MR","SCALING_FORMAT=MLN","Sort=A","Dates=H","DateFormat=P","Fill=—","Direction=H","UseDPDF=Y")</f>
        <v>23201</v>
      </c>
      <c r="J55" s="16" cm="1">
        <f t="array" ref="J55">_xll.BDH("DE US Equity","BS_CUR_LIAB","FQ2 2020","FQ2 2020","Currency=USD","Period=FQ","BEST_FPERIOD_OVERRIDE=FQ","FILING_STATUS=MR","SCALING_FORMAT=MLN","Sort=A","Dates=H","DateFormat=P","Fill=—","Direction=H","UseDPDF=Y")</f>
        <v>24982</v>
      </c>
      <c r="K55" s="16" cm="1">
        <f t="array" ref="K55">_xll.BDH("DE US Equity","BS_CUR_LIAB","FQ3 2020","FQ3 2020","Currency=USD","Period=FQ","BEST_FPERIOD_OVERRIDE=FQ","FILING_STATUS=MR","SCALING_FORMAT=MLN","Sort=A","Dates=H","DateFormat=P","Fill=—","Direction=H","UseDPDF=Y")</f>
        <v>24081</v>
      </c>
      <c r="L55" s="16" cm="1">
        <f t="array" ref="L55">_xll.BDH("DE US Equity","BS_CUR_LIAB","FQ4 2020","FQ4 2020","Currency=USD","Period=FQ","BEST_FPERIOD_OVERRIDE=FQ","FILING_STATUS=MR","SCALING_FORMAT=MLN","Sort=A","Dates=H","DateFormat=P","Fill=—","Direction=H","UseDPDF=Y")</f>
        <v>23481</v>
      </c>
      <c r="M55" s="16" cm="1">
        <f t="array" ref="M55">_xll.BDH("DE US Equity","BS_CUR_LIAB","FQ1 2021","FQ1 2021","Currency=USD","Period=FQ","BEST_FPERIOD_OVERRIDE=FQ","FILING_STATUS=MR","SCALING_FORMAT=MLN","Sort=A","Dates=H","DateFormat=P","Fill=—","Direction=H","UseDPDF=Y")</f>
        <v>22716</v>
      </c>
      <c r="N55" s="16" cm="1">
        <f t="array" ref="N55">_xll.BDH("DE US Equity","BS_CUR_LIAB","FQ2 2021","FQ2 2021","Currency=USD","Period=FQ","BEST_FPERIOD_OVERRIDE=FQ","FILING_STATUS=MR","SCALING_FORMAT=MLN","Sort=A","Dates=H","DateFormat=P","Fill=—","Direction=H","UseDPDF=Y")</f>
        <v>24699</v>
      </c>
      <c r="O55" s="16" cm="1">
        <f t="array" ref="O55">_xll.BDH("DE US Equity","BS_CUR_LIAB","FQ3 2021","FQ3 2021","Currency=USD","Period=FQ","BEST_FPERIOD_OVERRIDE=FQ","FILING_STATUS=MR","SCALING_FORMAT=MLN","Sort=A","Dates=H","DateFormat=P","Fill=—","Direction=H","UseDPDF=Y")</f>
        <v>26888</v>
      </c>
      <c r="P55" s="16" cm="1">
        <f t="array" ref="P55">_xll.BDH("DE US Equity","BS_CUR_LIAB","FQ4 2021","FQ4 2021","Currency=USD","Period=FQ","BEST_FPERIOD_OVERRIDE=FQ","FILING_STATUS=MR","SCALING_FORMAT=MLN","Sort=A","Dates=H","DateFormat=P","Fill=—","Direction=H","UseDPDF=Y")</f>
        <v>27872</v>
      </c>
      <c r="Q55" s="16" cm="1">
        <f t="array" ref="Q55">_xll.BDH("DE US Equity","BS_CUR_LIAB","FQ1 2022","FQ1 2022","Currency=USD","Period=FQ","BEST_FPERIOD_OVERRIDE=FQ","FILING_STATUS=MR","SCALING_FORMAT=MLN","Sort=A","Dates=H","DateFormat=P","Fill=—","Direction=H","UseDPDF=Y")</f>
        <v>25123</v>
      </c>
      <c r="R55" s="16" cm="1">
        <f t="array" ref="R55">_xll.BDH("DE US Equity","BS_CUR_LIAB","FQ2 2022","FQ2 2022","Currency=USD","Period=FQ","BEST_FPERIOD_OVERRIDE=FQ","FILING_STATUS=MR","SCALING_FORMAT=MLN","Sort=A","Dates=H","DateFormat=P","Fill=—","Direction=H","UseDPDF=Y")</f>
        <v>29098</v>
      </c>
      <c r="S55" s="16" cm="1">
        <f t="array" ref="S55">_xll.BDH("DE US Equity","BS_CUR_LIAB","FQ3 2022","FQ3 2022","Currency=USD","Period=FQ","BEST_FPERIOD_OVERRIDE=FQ","FILING_STATUS=MR","SCALING_FORMAT=MLN","Sort=A","Dates=H","DateFormat=P","Fill=—","Direction=H","UseDPDF=Y")</f>
        <v>32082</v>
      </c>
      <c r="T55" s="16" cm="1">
        <f t="array" ref="T55">_xll.BDH("DE US Equity","BS_CUR_LIAB","FQ4 2022","FQ4 2022","Currency=USD","Period=FQ","BEST_FPERIOD_OVERRIDE=FQ","FILING_STATUS=MR","SCALING_FORMAT=MLN","Sort=A","Dates=H","DateFormat=P","Fill=—","Direction=H","UseDPDF=Y")</f>
        <v>33125</v>
      </c>
      <c r="U55" s="16" cm="1">
        <f t="array" ref="U55">_xll.BDH("DE US Equity","BS_CUR_LIAB","FQ1 2023","FQ1 2023","Currency=USD","Period=FQ","BEST_FPERIOD_OVERRIDE=FQ","FILING_STATUS=MR","SCALING_FORMAT=MLN","Sort=A","Dates=H","DateFormat=P","Fill=—","Direction=H","UseDPDF=Y")</f>
        <v>32101</v>
      </c>
      <c r="V55" s="16" cm="1">
        <f t="array" ref="V55">_xll.BDH("DE US Equity","BS_CUR_LIAB","FQ2 2023","FQ2 2023","Currency=USD","Period=FQ","BEST_FPERIOD_OVERRIDE=FQ","FILING_STATUS=MR","SCALING_FORMAT=MLN","Sort=A","Dates=H","DateFormat=P","Fill=—","Direction=H","UseDPDF=Y")</f>
        <v>37204</v>
      </c>
      <c r="W55" s="16" cm="1">
        <f t="array" ref="W55">_xll.BDH("DE US Equity","BS_CUR_LIAB","FQ3 2023","FQ3 2023","Currency=USD","Period=FQ","BEST_FPERIOD_OVERRIDE=FQ","FILING_STATUS=MR","SCALING_FORMAT=MLN","Sort=A","Dates=H","DateFormat=P","Fill=—","Direction=H","UseDPDF=Y")</f>
        <v>39091</v>
      </c>
      <c r="X55" s="16" cm="1">
        <f t="array" ref="X55">_xll.BDH("DE US Equity","BS_CUR_LIAB","FQ4 2023","FQ4 2023","Currency=USD","Period=FQ","BEST_FPERIOD_OVERRIDE=FQ","FILING_STATUS=MR","SCALING_FORMAT=MLN","Sort=A","Dates=H","DateFormat=P","Fill=—","Direction=H","UseDPDF=Y")</f>
        <v>41064</v>
      </c>
      <c r="Y55" s="16" cm="1">
        <f t="array" ref="Y55">_xll.BDH("DE US Equity","BS_CUR_LIAB","FQ1 2024","FQ1 2024","Currency=USD","Period=FQ","BEST_FPERIOD_OVERRIDE=FQ","FILING_STATUS=MR","SCALING_FORMAT=MLN","Sort=A","Dates=H","DateFormat=P","Fill=—","Direction=H","UseDPDF=Y")</f>
        <v>36594</v>
      </c>
      <c r="Z55" s="16" cm="1">
        <f t="array" ref="Z55">_xll.BDH("DE US Equity","BS_CUR_LIAB","FQ2 2024","FQ2 2024","Currency=USD","Period=FQ","BEST_FPERIOD_OVERRIDE=FQ","FILING_STATUS=MR","SCALING_FORMAT=MLN","Sort=A","Dates=H","DateFormat=P","Fill=—","Direction=H","UseDPDF=Y")</f>
        <v>39284</v>
      </c>
      <c r="AA55" s="16" cm="1">
        <f t="array" ref="AA55">_xll.BDH("DE US Equity","BS_CUR_LIAB","FQ3 2024","FQ3 2024","Currency=USD","Period=FQ","BEST_FPERIOD_OVERRIDE=FQ","FILING_STATUS=MR","SCALING_FORMAT=MLN","Sort=A","Dates=H","DateFormat=P","Fill=—","Direction=H","UseDPDF=Y")</f>
        <v>39363</v>
      </c>
      <c r="AB55" s="16" cm="1">
        <f t="array" ref="AB55">_xll.BDH("DE US Equity","BS_CUR_LIAB","FQ4 2024","FQ4 2024","Currency=USD","Period=FQ","BEST_FPERIOD_OVERRIDE=FQ","FILING_STATUS=MR","SCALING_FORMAT=MLN","Sort=A","Dates=H","DateFormat=P","Fill=—","Direction=H","UseDPDF=Y")</f>
        <v>36507</v>
      </c>
      <c r="AC55" s="16" cm="1">
        <f t="array" ref="AC55">_xll.BDH("DE US Equity","BS_CUR_LIAB","FQ1 2025","FQ1 2025","Currency=USD","Period=FQ","BEST_FPERIOD_OVERRIDE=FQ","FILING_STATUS=MR","SCALING_FORMAT=MLN","Sort=A","Dates=H","DateFormat=P","Fill=—","Direction=H","UseDPDF=Y")</f>
        <v>32987</v>
      </c>
      <c r="AD55" s="16" cm="1">
        <f t="array" ref="AD55">_xll.BDH("DE US Equity","BS_CUR_LIAB","FQ2 2025","FQ2 2025","Currency=USD","Period=FQ","BEST_FPERIOD_OVERRIDE=FQ","FILING_STATUS=MR","SCALING_FORMAT=MLN","Sort=A","Dates=H","DateFormat=P","Fill=—","Direction=H","UseDPDF=Y")</f>
        <v>36855</v>
      </c>
      <c r="AE55" s="16" cm="1">
        <f t="array" ref="AE55">_xll.BDH("DE US Equity","BS_CUR_LIAB","FQ3 2025","FQ3 2025","Currency=USD","Period=FQ","BEST_FPERIOD_OVERRIDE=FQ","FILING_STATUS=MR","SCALING_FORMAT=MLN","Sort=A","Dates=H","DateFormat=P","Fill=—","Direction=H","UseDPDF=Y")</f>
        <v>35799</v>
      </c>
      <c r="AF55" s="16" cm="1">
        <f t="array" ref="AF55">_xll.BDH("DE US Equity","BS_CUR_LIAB","FQ4 2025","FQ4 2025","Currency=USD","Period=FQ","BEST_FPERIOD_OVERRIDE=FQ","FILING_STATUS=MR","SCALING_FORMAT=MLN","Sort=A","Dates=H","DateFormat=P","Fill=—","Direction=H","UseDPDF=Y")</f>
        <v>34301</v>
      </c>
    </row>
    <row r="56" spans="1:32" x14ac:dyDescent="0.25">
      <c r="A56" s="10" t="s">
        <v>159</v>
      </c>
      <c r="B56" s="10" t="s">
        <v>160</v>
      </c>
      <c r="C56" s="13" cm="1">
        <f t="array" ref="C56">_xll.BDH("DE US Equity","BS_LT_BORROW","FQ3 2018","FQ3 2018","Currency=USD","Period=FQ","BEST_FPERIOD_OVERRIDE=FQ","FILING_STATUS=MR","SCALING_FORMAT=MLN","Sort=A","Dates=H","DateFormat=P","Fill=—","Direction=H","UseDPDF=Y")</f>
        <v>26838</v>
      </c>
      <c r="D56" s="13" cm="1">
        <f t="array" ref="D56">_xll.BDH("DE US Equity","BS_LT_BORROW","FQ4 2018","FQ4 2018","Currency=USD","Period=FQ","BEST_FPERIOD_OVERRIDE=FQ","FILING_STATUS=MR","SCALING_FORMAT=MLN","Sort=A","Dates=H","DateFormat=P","Fill=—","Direction=H","UseDPDF=Y")</f>
        <v>27237</v>
      </c>
      <c r="E56" s="13" cm="1">
        <f t="array" ref="E56">_xll.BDH("DE US Equity","BS_LT_BORROW","FQ1 2019","FQ1 2019","Currency=USD","Period=FQ","BEST_FPERIOD_OVERRIDE=FQ","FILING_STATUS=MR","SCALING_FORMAT=MLN","Sort=A","Dates=H","DateFormat=P","Fill=—","Direction=H","UseDPDF=Y")</f>
        <v>27855.200000000001</v>
      </c>
      <c r="F56" s="13" cm="1">
        <f t="array" ref="F56">_xll.BDH("DE US Equity","BS_LT_BORROW","FQ2 2019","FQ2 2019","Currency=USD","Period=FQ","BEST_FPERIOD_OVERRIDE=FQ","FILING_STATUS=MR","SCALING_FORMAT=MLN","Sort=A","Dates=H","DateFormat=P","Fill=—","Direction=H","UseDPDF=Y")</f>
        <v>28255</v>
      </c>
      <c r="G56" s="13" cm="1">
        <f t="array" ref="G56">_xll.BDH("DE US Equity","BS_LT_BORROW","FQ3 2019","FQ3 2019","Currency=USD","Period=FQ","BEST_FPERIOD_OVERRIDE=FQ","FILING_STATUS=MR","SCALING_FORMAT=MLN","Sort=A","Dates=H","DateFormat=P","Fill=—","Direction=H","UseDPDF=Y")</f>
        <v>29242</v>
      </c>
      <c r="H56" s="13" cm="1">
        <f t="array" ref="H56">_xll.BDH("DE US Equity","BS_LT_BORROW","FQ4 2019","FQ4 2019","Currency=USD","Period=FQ","BEST_FPERIOD_OVERRIDE=FQ","FILING_STATUS=MR","SCALING_FORMAT=MLN","Sort=A","Dates=H","DateFormat=P","Fill=—","Direction=H","UseDPDF=Y")</f>
        <v>30229</v>
      </c>
      <c r="I56" s="13" cm="1">
        <f t="array" ref="I56">_xll.BDH("DE US Equity","BS_LT_BORROW","FQ1 2020","FQ1 2020","Currency=USD","Period=FQ","BEST_FPERIOD_OVERRIDE=FQ","FILING_STATUS=MR","SCALING_FORMAT=MLN","Sort=A","Dates=H","DateFormat=P","Fill=—","Direction=H","UseDPDF=Y")</f>
        <v>30475</v>
      </c>
      <c r="J56" s="13" cm="1">
        <f t="array" ref="J56">_xll.BDH("DE US Equity","BS_LT_BORROW","FQ2 2020","FQ2 2020","Currency=USD","Period=FQ","BEST_FPERIOD_OVERRIDE=FQ","FILING_STATUS=MR","SCALING_FORMAT=MLN","Sort=A","Dates=H","DateFormat=P","Fill=—","Direction=H","UseDPDF=Y")</f>
        <v>34324</v>
      </c>
      <c r="K56" s="13" cm="1">
        <f t="array" ref="K56">_xll.BDH("DE US Equity","BS_LT_BORROW","FQ3 2020","FQ3 2020","Currency=USD","Period=FQ","BEST_FPERIOD_OVERRIDE=FQ","FILING_STATUS=MR","SCALING_FORMAT=MLN","Sort=A","Dates=H","DateFormat=P","Fill=—","Direction=H","UseDPDF=Y")</f>
        <v>34037</v>
      </c>
      <c r="L56" s="13" cm="1">
        <f t="array" ref="L56">_xll.BDH("DE US Equity","BS_LT_BORROW","FQ4 2020","FQ4 2020","Currency=USD","Period=FQ","BEST_FPERIOD_OVERRIDE=FQ","FILING_STATUS=MR","SCALING_FORMAT=MLN","Sort=A","Dates=H","DateFormat=P","Fill=—","Direction=H","UseDPDF=Y")</f>
        <v>32795</v>
      </c>
      <c r="M56" s="13" cm="1">
        <f t="array" ref="M56">_xll.BDH("DE US Equity","BS_LT_BORROW","FQ1 2021","FQ1 2021","Currency=USD","Period=FQ","BEST_FPERIOD_OVERRIDE=FQ","FILING_STATUS=MR","SCALING_FORMAT=MLN","Sort=A","Dates=H","DateFormat=P","Fill=—","Direction=H","UseDPDF=Y")</f>
        <v>32772</v>
      </c>
      <c r="N56" s="13" cm="1">
        <f t="array" ref="N56">_xll.BDH("DE US Equity","BS_LT_BORROW","FQ2 2021","FQ2 2021","Currency=USD","Period=FQ","BEST_FPERIOD_OVERRIDE=FQ","FILING_STATUS=MR","SCALING_FORMAT=MLN","Sort=A","Dates=H","DateFormat=P","Fill=—","Direction=H","UseDPDF=Y")</f>
        <v>33346</v>
      </c>
      <c r="O56" s="13" cm="1">
        <f t="array" ref="O56">_xll.BDH("DE US Equity","BS_LT_BORROW","FQ3 2021","FQ3 2021","Currency=USD","Period=FQ","BEST_FPERIOD_OVERRIDE=FQ","FILING_STATUS=MR","SCALING_FORMAT=MLN","Sort=A","Dates=H","DateFormat=P","Fill=—","Direction=H","UseDPDF=Y")</f>
        <v>32280</v>
      </c>
      <c r="P56" s="13" cm="1">
        <f t="array" ref="P56">_xll.BDH("DE US Equity","BS_LT_BORROW","FQ4 2021","FQ4 2021","Currency=USD","Period=FQ","BEST_FPERIOD_OVERRIDE=FQ","FILING_STATUS=MR","SCALING_FORMAT=MLN","Sort=A","Dates=H","DateFormat=P","Fill=—","Direction=H","UseDPDF=Y")</f>
        <v>32888</v>
      </c>
      <c r="Q56" s="13" cm="1">
        <f t="array" ref="Q56">_xll.BDH("DE US Equity","BS_LT_BORROW","FQ1 2022","FQ1 2022","Currency=USD","Period=FQ","BEST_FPERIOD_OVERRIDE=FQ","FILING_STATUS=MR","SCALING_FORMAT=MLN","Sort=A","Dates=H","DateFormat=P","Fill=—","Direction=H","UseDPDF=Y")</f>
        <v>32838</v>
      </c>
      <c r="R56" s="13" cm="1">
        <f t="array" ref="R56">_xll.BDH("DE US Equity","BS_LT_BORROW","FQ2 2022","FQ2 2022","Currency=USD","Period=FQ","BEST_FPERIOD_OVERRIDE=FQ","FILING_STATUS=MR","SCALING_FORMAT=MLN","Sort=A","Dates=H","DateFormat=P","Fill=—","Direction=H","UseDPDF=Y")</f>
        <v>32447</v>
      </c>
      <c r="S56" s="13" cm="1">
        <f t="array" ref="S56">_xll.BDH("DE US Equity","BS_LT_BORROW","FQ3 2022","FQ3 2022","Currency=USD","Period=FQ","BEST_FPERIOD_OVERRIDE=FQ","FILING_STATUS=MR","SCALING_FORMAT=MLN","Sort=A","Dates=H","DateFormat=P","Fill=—","Direction=H","UseDPDF=Y")</f>
        <v>32132</v>
      </c>
      <c r="T56" s="13" cm="1">
        <f t="array" ref="T56">_xll.BDH("DE US Equity","BS_LT_BORROW","FQ4 2022","FQ4 2022","Currency=USD","Period=FQ","BEST_FPERIOD_OVERRIDE=FQ","FILING_STATUS=MR","SCALING_FORMAT=MLN","Sort=A","Dates=H","DateFormat=P","Fill=—","Direction=H","UseDPDF=Y")</f>
        <v>33596</v>
      </c>
      <c r="U56" s="13" cm="1">
        <f t="array" ref="U56">_xll.BDH("DE US Equity","BS_LT_BORROW","FQ1 2023","FQ1 2023","Currency=USD","Period=FQ","BEST_FPERIOD_OVERRIDE=FQ","FILING_STATUS=MR","SCALING_FORMAT=MLN","Sort=A","Dates=H","DateFormat=P","Fill=—","Direction=H","UseDPDF=Y")</f>
        <v>35071</v>
      </c>
      <c r="V56" s="13" cm="1">
        <f t="array" ref="V56">_xll.BDH("DE US Equity","BS_LT_BORROW","FQ2 2023","FQ2 2023","Currency=USD","Period=FQ","BEST_FPERIOD_OVERRIDE=FQ","FILING_STATUS=MR","SCALING_FORMAT=MLN","Sort=A","Dates=H","DateFormat=P","Fill=—","Direction=H","UseDPDF=Y")</f>
        <v>35611</v>
      </c>
      <c r="W56" s="13" cm="1">
        <f t="array" ref="W56">_xll.BDH("DE US Equity","BS_LT_BORROW","FQ3 2023","FQ3 2023","Currency=USD","Period=FQ","BEST_FPERIOD_OVERRIDE=FQ","FILING_STATUS=MR","SCALING_FORMAT=MLN","Sort=A","Dates=H","DateFormat=P","Fill=—","Direction=H","UseDPDF=Y")</f>
        <v>38112</v>
      </c>
      <c r="X56" s="13" cm="1">
        <f t="array" ref="X56">_xll.BDH("DE US Equity","BS_LT_BORROW","FQ4 2023","FQ4 2023","Currency=USD","Period=FQ","BEST_FPERIOD_OVERRIDE=FQ","FILING_STATUS=MR","SCALING_FORMAT=MLN","Sort=A","Dates=H","DateFormat=P","Fill=—","Direction=H","UseDPDF=Y")</f>
        <v>38477</v>
      </c>
      <c r="Y56" s="13" cm="1">
        <f t="array" ref="Y56">_xll.BDH("DE US Equity","BS_LT_BORROW","FQ1 2024","FQ1 2024","Currency=USD","Period=FQ","BEST_FPERIOD_OVERRIDE=FQ","FILING_STATUS=MR","SCALING_FORMAT=MLN","Sort=A","Dates=H","DateFormat=P","Fill=—","Direction=H","UseDPDF=Y")</f>
        <v>39933</v>
      </c>
      <c r="Z56" s="13" cm="1">
        <f t="array" ref="Z56">_xll.BDH("DE US Equity","BS_LT_BORROW","FQ2 2024","FQ2 2024","Currency=USD","Period=FQ","BEST_FPERIOD_OVERRIDE=FQ","FILING_STATUS=MR","SCALING_FORMAT=MLN","Sort=A","Dates=H","DateFormat=P","Fill=—","Direction=H","UseDPDF=Y")</f>
        <v>40962</v>
      </c>
      <c r="AA56" s="13" cm="1">
        <f t="array" ref="AA56">_xll.BDH("DE US Equity","BS_LT_BORROW","FQ3 2024","FQ3 2024","Currency=USD","Period=FQ","BEST_FPERIOD_OVERRIDE=FQ","FILING_STATUS=MR","SCALING_FORMAT=MLN","Sort=A","Dates=H","DateFormat=P","Fill=—","Direction=H","UseDPDF=Y")</f>
        <v>42692</v>
      </c>
      <c r="AB56" s="13" cm="1">
        <f t="array" ref="AB56">_xll.BDH("DE US Equity","BS_LT_BORROW","FQ4 2024","FQ4 2024","Currency=USD","Period=FQ","BEST_FPERIOD_OVERRIDE=FQ","FILING_STATUS=MR","SCALING_FORMAT=MLN","Sort=A","Dates=H","DateFormat=P","Fill=—","Direction=H","UseDPDF=Y")</f>
        <v>43229</v>
      </c>
      <c r="AC56" s="13" cm="1">
        <f t="array" ref="AC56">_xll.BDH("DE US Equity","BS_LT_BORROW","FQ1 2025","FQ1 2025","Currency=USD","Period=FQ","BEST_FPERIOD_OVERRIDE=FQ","FILING_STATUS=MR","SCALING_FORMAT=MLN","Sort=A","Dates=H","DateFormat=P","Fill=—","Direction=H","UseDPDF=Y")</f>
        <v>43556</v>
      </c>
      <c r="AD56" s="13" cm="1">
        <f t="array" ref="AD56">_xll.BDH("DE US Equity","BS_LT_BORROW","FQ2 2025","FQ2 2025","Currency=USD","Period=FQ","BEST_FPERIOD_OVERRIDE=FQ","FILING_STATUS=MR","SCALING_FORMAT=MLN","Sort=A","Dates=H","DateFormat=P","Fill=—","Direction=H","UseDPDF=Y")</f>
        <v>42811</v>
      </c>
      <c r="AE56" s="13" cm="1">
        <f t="array" ref="AE56">_xll.BDH("DE US Equity","BS_LT_BORROW","FQ3 2025","FQ3 2025","Currency=USD","Period=FQ","BEST_FPERIOD_OVERRIDE=FQ","FILING_STATUS=MR","SCALING_FORMAT=MLN","Sort=A","Dates=H","DateFormat=P","Fill=—","Direction=H","UseDPDF=Y")</f>
        <v>44429</v>
      </c>
      <c r="AF56" s="13" cm="1">
        <f t="array" ref="AF56">_xll.BDH("DE US Equity","BS_LT_BORROW","FQ4 2025","FQ4 2025","Currency=USD","Period=FQ","BEST_FPERIOD_OVERRIDE=FQ","FILING_STATUS=MR","SCALING_FORMAT=MLN","Sort=A","Dates=H","DateFormat=P","Fill=—","Direction=H","UseDPDF=Y")</f>
        <v>43544</v>
      </c>
    </row>
    <row r="57" spans="1:32" x14ac:dyDescent="0.25">
      <c r="A57" s="10" t="s">
        <v>161</v>
      </c>
      <c r="B57" s="10" t="s">
        <v>162</v>
      </c>
      <c r="C57" s="13" cm="1">
        <f t="array" ref="C57">_xll.BDH("DE US Equity","LONG_TERM_BORROWINGS_DETAILED","FQ3 2018","FQ3 2018","Currency=USD","Period=FQ","BEST_FPERIOD_OVERRIDE=FQ","FILING_STATUS=MR","SCALING_FORMAT=MLN","Sort=A","Dates=H","DateFormat=P","Fill=—","Direction=H","UseDPDF=Y")</f>
        <v>26838</v>
      </c>
      <c r="D57" s="13" cm="1">
        <f t="array" ref="D57">_xll.BDH("DE US Equity","LONG_TERM_BORROWINGS_DETAILED","FQ4 2018","FQ4 2018","Currency=USD","Period=FQ","BEST_FPERIOD_OVERRIDE=FQ","FILING_STATUS=MR","SCALING_FORMAT=MLN","Sort=A","Dates=H","DateFormat=P","Fill=—","Direction=H","UseDPDF=Y")</f>
        <v>27237</v>
      </c>
      <c r="E57" s="13" cm="1">
        <f t="array" ref="E57">_xll.BDH("DE US Equity","LONG_TERM_BORROWINGS_DETAILED","FQ1 2019","FQ1 2019","Currency=USD","Period=FQ","BEST_FPERIOD_OVERRIDE=FQ","FILING_STATUS=MR","SCALING_FORMAT=MLN","Sort=A","Dates=H","DateFormat=P","Fill=—","Direction=H","UseDPDF=Y")</f>
        <v>27855.200000000001</v>
      </c>
      <c r="F57" s="13" cm="1">
        <f t="array" ref="F57">_xll.BDH("DE US Equity","LONG_TERM_BORROWINGS_DETAILED","FQ2 2019","FQ2 2019","Currency=USD","Period=FQ","BEST_FPERIOD_OVERRIDE=FQ","FILING_STATUS=MR","SCALING_FORMAT=MLN","Sort=A","Dates=H","DateFormat=P","Fill=—","Direction=H","UseDPDF=Y")</f>
        <v>28255</v>
      </c>
      <c r="G57" s="13" cm="1">
        <f t="array" ref="G57">_xll.BDH("DE US Equity","LONG_TERM_BORROWINGS_DETAILED","FQ3 2019","FQ3 2019","Currency=USD","Period=FQ","BEST_FPERIOD_OVERRIDE=FQ","FILING_STATUS=MR","SCALING_FORMAT=MLN","Sort=A","Dates=H","DateFormat=P","Fill=—","Direction=H","UseDPDF=Y")</f>
        <v>29242</v>
      </c>
      <c r="H57" s="13" cm="1">
        <f t="array" ref="H57">_xll.BDH("DE US Equity","LONG_TERM_BORROWINGS_DETAILED","FQ4 2019","FQ4 2019","Currency=USD","Period=FQ","BEST_FPERIOD_OVERRIDE=FQ","FILING_STATUS=MR","SCALING_FORMAT=MLN","Sort=A","Dates=H","DateFormat=P","Fill=—","Direction=H","UseDPDF=Y")</f>
        <v>30229</v>
      </c>
      <c r="I57" s="13" cm="1">
        <f t="array" ref="I57">_xll.BDH("DE US Equity","LONG_TERM_BORROWINGS_DETAILED","FQ1 2020","FQ1 2020","Currency=USD","Period=FQ","BEST_FPERIOD_OVERRIDE=FQ","FILING_STATUS=MR","SCALING_FORMAT=MLN","Sort=A","Dates=H","DateFormat=P","Fill=—","Direction=H","UseDPDF=Y")</f>
        <v>30452</v>
      </c>
      <c r="J57" s="13" cm="1">
        <f t="array" ref="J57">_xll.BDH("DE US Equity","LONG_TERM_BORROWINGS_DETAILED","FQ2 2020","FQ2 2020","Currency=USD","Period=FQ","BEST_FPERIOD_OVERRIDE=FQ","FILING_STATUS=MR","SCALING_FORMAT=MLN","Sort=A","Dates=H","DateFormat=P","Fill=—","Direction=H","UseDPDF=Y")</f>
        <v>34298</v>
      </c>
      <c r="K57" s="13" cm="1">
        <f t="array" ref="K57">_xll.BDH("DE US Equity","LONG_TERM_BORROWINGS_DETAILED","FQ3 2020","FQ3 2020","Currency=USD","Period=FQ","BEST_FPERIOD_OVERRIDE=FQ","FILING_STATUS=MR","SCALING_FORMAT=MLN","Sort=A","Dates=H","DateFormat=P","Fill=—","Direction=H","UseDPDF=Y")</f>
        <v>34004</v>
      </c>
      <c r="L57" s="13" cm="1">
        <f t="array" ref="L57">_xll.BDH("DE US Equity","LONG_TERM_BORROWINGS_DETAILED","FQ4 2020","FQ4 2020","Currency=USD","Period=FQ","BEST_FPERIOD_OVERRIDE=FQ","FILING_STATUS=MR","SCALING_FORMAT=MLN","Sort=A","Dates=H","DateFormat=P","Fill=—","Direction=H","UseDPDF=Y")</f>
        <v>32695</v>
      </c>
      <c r="M57" s="13" cm="1">
        <f t="array" ref="M57">_xll.BDH("DE US Equity","LONG_TERM_BORROWINGS_DETAILED","FQ1 2021","FQ1 2021","Currency=USD","Period=FQ","BEST_FPERIOD_OVERRIDE=FQ","FILING_STATUS=MR","SCALING_FORMAT=MLN","Sort=A","Dates=H","DateFormat=P","Fill=—","Direction=H","UseDPDF=Y")</f>
        <v>32736</v>
      </c>
      <c r="N57" s="13" cm="1">
        <f t="array" ref="N57">_xll.BDH("DE US Equity","LONG_TERM_BORROWINGS_DETAILED","FQ2 2021","FQ2 2021","Currency=USD","Period=FQ","BEST_FPERIOD_OVERRIDE=FQ","FILING_STATUS=MR","SCALING_FORMAT=MLN","Sort=A","Dates=H","DateFormat=P","Fill=—","Direction=H","UseDPDF=Y")</f>
        <v>33301</v>
      </c>
      <c r="O57" s="13" cm="1">
        <f t="array" ref="O57">_xll.BDH("DE US Equity","LONG_TERM_BORROWINGS_DETAILED","FQ3 2021","FQ3 2021","Currency=USD","Period=FQ","BEST_FPERIOD_OVERRIDE=FQ","FILING_STATUS=MR","SCALING_FORMAT=MLN","Sort=A","Dates=H","DateFormat=P","Fill=—","Direction=H","UseDPDF=Y")</f>
        <v>32238</v>
      </c>
      <c r="P57" s="13" cm="1">
        <f t="array" ref="P57">_xll.BDH("DE US Equity","LONG_TERM_BORROWINGS_DETAILED","FQ4 2021","FQ4 2021","Currency=USD","Period=FQ","BEST_FPERIOD_OVERRIDE=FQ","FILING_STATUS=MR","SCALING_FORMAT=MLN","Sort=A","Dates=H","DateFormat=P","Fill=—","Direction=H","UseDPDF=Y")</f>
        <v>32850</v>
      </c>
      <c r="Q57" s="13" cm="1">
        <f t="array" ref="Q57">_xll.BDH("DE US Equity","LONG_TERM_BORROWINGS_DETAILED","FQ1 2022","FQ1 2022","Currency=USD","Period=FQ","BEST_FPERIOD_OVERRIDE=FQ","FILING_STATUS=MR","SCALING_FORMAT=MLN","Sort=A","Dates=H","DateFormat=P","Fill=—","Direction=H","UseDPDF=Y")</f>
        <v>32806</v>
      </c>
      <c r="R57" s="13" cm="1">
        <f t="array" ref="R57">_xll.BDH("DE US Equity","LONG_TERM_BORROWINGS_DETAILED","FQ2 2022","FQ2 2022","Currency=USD","Period=FQ","BEST_FPERIOD_OVERRIDE=FQ","FILING_STATUS=MR","SCALING_FORMAT=MLN","Sort=A","Dates=H","DateFormat=P","Fill=—","Direction=H","UseDPDF=Y")</f>
        <v>32447</v>
      </c>
      <c r="S57" s="13" cm="1">
        <f t="array" ref="S57">_xll.BDH("DE US Equity","LONG_TERM_BORROWINGS_DETAILED","FQ3 2022","FQ3 2022","Currency=USD","Period=FQ","BEST_FPERIOD_OVERRIDE=FQ","FILING_STATUS=MR","SCALING_FORMAT=MLN","Sort=A","Dates=H","DateFormat=P","Fill=—","Direction=H","UseDPDF=Y")</f>
        <v>32132</v>
      </c>
      <c r="T57" s="13" cm="1">
        <f t="array" ref="T57">_xll.BDH("DE US Equity","LONG_TERM_BORROWINGS_DETAILED","FQ4 2022","FQ4 2022","Currency=USD","Period=FQ","BEST_FPERIOD_OVERRIDE=FQ","FILING_STATUS=MR","SCALING_FORMAT=MLN","Sort=A","Dates=H","DateFormat=P","Fill=—","Direction=H","UseDPDF=Y")</f>
        <v>33566</v>
      </c>
      <c r="U57" s="13" cm="1">
        <f t="array" ref="U57">_xll.BDH("DE US Equity","LONG_TERM_BORROWINGS_DETAILED","FQ1 2023","FQ1 2023","Currency=USD","Period=FQ","BEST_FPERIOD_OVERRIDE=FQ","FILING_STATUS=MR","SCALING_FORMAT=MLN","Sort=A","Dates=H","DateFormat=P","Fill=—","Direction=H","UseDPDF=Y")</f>
        <v>35071</v>
      </c>
      <c r="V57" s="13" cm="1">
        <f t="array" ref="V57">_xll.BDH("DE US Equity","LONG_TERM_BORROWINGS_DETAILED","FQ2 2023","FQ2 2023","Currency=USD","Period=FQ","BEST_FPERIOD_OVERRIDE=FQ","FILING_STATUS=MR","SCALING_FORMAT=MLN","Sort=A","Dates=H","DateFormat=P","Fill=—","Direction=H","UseDPDF=Y")</f>
        <v>35611</v>
      </c>
      <c r="W57" s="13" cm="1">
        <f t="array" ref="W57">_xll.BDH("DE US Equity","LONG_TERM_BORROWINGS_DETAILED","FQ3 2023","FQ3 2023","Currency=USD","Period=FQ","BEST_FPERIOD_OVERRIDE=FQ","FILING_STATUS=MR","SCALING_FORMAT=MLN","Sort=A","Dates=H","DateFormat=P","Fill=—","Direction=H","UseDPDF=Y")</f>
        <v>38112</v>
      </c>
      <c r="X57" s="13" cm="1">
        <f t="array" ref="X57">_xll.BDH("DE US Equity","LONG_TERM_BORROWINGS_DETAILED","FQ4 2023","FQ4 2023","Currency=USD","Period=FQ","BEST_FPERIOD_OVERRIDE=FQ","FILING_STATUS=MR","SCALING_FORMAT=MLN","Sort=A","Dates=H","DateFormat=P","Fill=—","Direction=H","UseDPDF=Y")</f>
        <v>38428</v>
      </c>
      <c r="Y57" s="13" cm="1">
        <f t="array" ref="Y57">_xll.BDH("DE US Equity","LONG_TERM_BORROWINGS_DETAILED","FQ1 2024","FQ1 2024","Currency=USD","Period=FQ","BEST_FPERIOD_OVERRIDE=FQ","FILING_STATUS=MR","SCALING_FORMAT=MLN","Sort=A","Dates=H","DateFormat=P","Fill=—","Direction=H","UseDPDF=Y")</f>
        <v>39933</v>
      </c>
      <c r="Z57" s="13" cm="1">
        <f t="array" ref="Z57">_xll.BDH("DE US Equity","LONG_TERM_BORROWINGS_DETAILED","FQ2 2024","FQ2 2024","Currency=USD","Period=FQ","BEST_FPERIOD_OVERRIDE=FQ","FILING_STATUS=MR","SCALING_FORMAT=MLN","Sort=A","Dates=H","DateFormat=P","Fill=—","Direction=H","UseDPDF=Y")</f>
        <v>40962</v>
      </c>
      <c r="AA57" s="13" cm="1">
        <f t="array" ref="AA57">_xll.BDH("DE US Equity","LONG_TERM_BORROWINGS_DETAILED","FQ3 2024","FQ3 2024","Currency=USD","Period=FQ","BEST_FPERIOD_OVERRIDE=FQ","FILING_STATUS=MR","SCALING_FORMAT=MLN","Sort=A","Dates=H","DateFormat=P","Fill=—","Direction=H","UseDPDF=Y")</f>
        <v>42692</v>
      </c>
      <c r="AB57" s="13" cm="1">
        <f t="array" ref="AB57">_xll.BDH("DE US Equity","LONG_TERM_BORROWINGS_DETAILED","FQ4 2024","FQ4 2024","Currency=USD","Period=FQ","BEST_FPERIOD_OVERRIDE=FQ","FILING_STATUS=MR","SCALING_FORMAT=MLN","Sort=A","Dates=H","DateFormat=P","Fill=—","Direction=H","UseDPDF=Y")</f>
        <v>43157</v>
      </c>
      <c r="AC57" s="13" cm="1">
        <f t="array" ref="AC57">_xll.BDH("DE US Equity","LONG_TERM_BORROWINGS_DETAILED","FQ1 2025","FQ1 2025","Currency=USD","Period=FQ","BEST_FPERIOD_OVERRIDE=FQ","FILING_STATUS=MR","SCALING_FORMAT=MLN","Sort=A","Dates=H","DateFormat=P","Fill=—","Direction=H","UseDPDF=Y")</f>
        <v>43556</v>
      </c>
      <c r="AD57" s="13" cm="1">
        <f t="array" ref="AD57">_xll.BDH("DE US Equity","LONG_TERM_BORROWINGS_DETAILED","FQ2 2025","FQ2 2025","Currency=USD","Period=FQ","BEST_FPERIOD_OVERRIDE=FQ","FILING_STATUS=MR","SCALING_FORMAT=MLN","Sort=A","Dates=H","DateFormat=P","Fill=—","Direction=H","UseDPDF=Y")</f>
        <v>42811</v>
      </c>
      <c r="AE57" s="13" cm="1">
        <f t="array" ref="AE57">_xll.BDH("DE US Equity","LONG_TERM_BORROWINGS_DETAILED","FQ3 2025","FQ3 2025","Currency=USD","Period=FQ","BEST_FPERIOD_OVERRIDE=FQ","FILING_STATUS=MR","SCALING_FORMAT=MLN","Sort=A","Dates=H","DateFormat=P","Fill=—","Direction=H","UseDPDF=Y")</f>
        <v>44429</v>
      </c>
      <c r="AF57" s="13" cm="1">
        <f t="array" ref="AF57">_xll.BDH("DE US Equity","LONG_TERM_BORROWINGS_DETAILED","FQ4 2025","FQ4 2025","Currency=USD","Period=FQ","BEST_FPERIOD_OVERRIDE=FQ","FILING_STATUS=MR","SCALING_FORMAT=MLN","Sort=A","Dates=H","DateFormat=P","Fill=—","Direction=H","UseDPDF=Y")</f>
        <v>43471</v>
      </c>
    </row>
    <row r="58" spans="1:32" x14ac:dyDescent="0.25">
      <c r="A58" s="10" t="s">
        <v>163</v>
      </c>
      <c r="B58" s="10" t="s">
        <v>164</v>
      </c>
      <c r="C58" s="13" t="str" cm="1">
        <f t="array" ref="C58">_xll.BDH("DE US Equity","LT_CAPITALIZED_LEASE_LIABILITIES","FQ3 2018","FQ3 2018","Currency=USD","Period=FQ","BEST_FPERIOD_OVERRIDE=FQ","FILING_STATUS=MR","SCALING_FORMAT=MLN","Sort=A","Dates=H","DateFormat=P","Fill=—","Direction=H","UseDPDF=Y")</f>
        <v>—</v>
      </c>
      <c r="D58" s="13" t="str" cm="1">
        <f t="array" ref="D58">_xll.BDH("DE US Equity","LT_CAPITALIZED_LEASE_LIABILITIES","FQ4 2018","FQ4 2018","Currency=USD","Period=FQ","BEST_FPERIOD_OVERRIDE=FQ","FILING_STATUS=MR","SCALING_FORMAT=MLN","Sort=A","Dates=H","DateFormat=P","Fill=—","Direction=H","UseDPDF=Y")</f>
        <v>—</v>
      </c>
      <c r="E58" s="13" t="str" cm="1">
        <f t="array" ref="E58">_xll.BDH("DE US Equity","LT_CAPITALIZED_LEASE_LIABILITIES","FQ1 2019","FQ1 2019","Currency=USD","Period=FQ","BEST_FPERIOD_OVERRIDE=FQ","FILING_STATUS=MR","SCALING_FORMAT=MLN","Sort=A","Dates=H","DateFormat=P","Fill=—","Direction=H","UseDPDF=Y")</f>
        <v>—</v>
      </c>
      <c r="F58" s="13" t="str" cm="1">
        <f t="array" ref="F58">_xll.BDH("DE US Equity","LT_CAPITALIZED_LEASE_LIABILITIES","FQ2 2019","FQ2 2019","Currency=USD","Period=FQ","BEST_FPERIOD_OVERRIDE=FQ","FILING_STATUS=MR","SCALING_FORMAT=MLN","Sort=A","Dates=H","DateFormat=P","Fill=—","Direction=H","UseDPDF=Y")</f>
        <v>—</v>
      </c>
      <c r="G58" s="13" t="str" cm="1">
        <f t="array" ref="G58">_xll.BDH("DE US Equity","LT_CAPITALIZED_LEASE_LIABILITIES","FQ3 2019","FQ3 2019","Currency=USD","Period=FQ","BEST_FPERIOD_OVERRIDE=FQ","FILING_STATUS=MR","SCALING_FORMAT=MLN","Sort=A","Dates=H","DateFormat=P","Fill=—","Direction=H","UseDPDF=Y")</f>
        <v>—</v>
      </c>
      <c r="H58" s="13" t="str" cm="1">
        <f t="array" ref="H58">_xll.BDH("DE US Equity","LT_CAPITALIZED_LEASE_LIABILITIES","FQ4 2019","FQ4 2019","Currency=USD","Period=FQ","BEST_FPERIOD_OVERRIDE=FQ","FILING_STATUS=MR","SCALING_FORMAT=MLN","Sort=A","Dates=H","DateFormat=P","Fill=—","Direction=H","UseDPDF=Y")</f>
        <v>—</v>
      </c>
      <c r="I58" s="13" cm="1">
        <f t="array" ref="I58">_xll.BDH("DE US Equity","LT_CAPITALIZED_LEASE_LIABILITIES","FQ1 2020","FQ1 2020","Currency=USD","Period=FQ","BEST_FPERIOD_OVERRIDE=FQ","FILING_STATUS=MR","SCALING_FORMAT=MLN","Sort=A","Dates=H","DateFormat=P","Fill=—","Direction=H","UseDPDF=Y")</f>
        <v>23</v>
      </c>
      <c r="J58" s="13" cm="1">
        <f t="array" ref="J58">_xll.BDH("DE US Equity","LT_CAPITALIZED_LEASE_LIABILITIES","FQ2 2020","FQ2 2020","Currency=USD","Period=FQ","BEST_FPERIOD_OVERRIDE=FQ","FILING_STATUS=MR","SCALING_FORMAT=MLN","Sort=A","Dates=H","DateFormat=P","Fill=—","Direction=H","UseDPDF=Y")</f>
        <v>26</v>
      </c>
      <c r="K58" s="13" cm="1">
        <f t="array" ref="K58">_xll.BDH("DE US Equity","LT_CAPITALIZED_LEASE_LIABILITIES","FQ3 2020","FQ3 2020","Currency=USD","Period=FQ","BEST_FPERIOD_OVERRIDE=FQ","FILING_STATUS=MR","SCALING_FORMAT=MLN","Sort=A","Dates=H","DateFormat=P","Fill=—","Direction=H","UseDPDF=Y")</f>
        <v>33</v>
      </c>
      <c r="L58" s="13" cm="1">
        <f t="array" ref="L58">_xll.BDH("DE US Equity","LT_CAPITALIZED_LEASE_LIABILITIES","FQ4 2020","FQ4 2020","Currency=USD","Period=FQ","BEST_FPERIOD_OVERRIDE=FQ","FILING_STATUS=MR","SCALING_FORMAT=MLN","Sort=A","Dates=H","DateFormat=P","Fill=—","Direction=H","UseDPDF=Y")</f>
        <v>100</v>
      </c>
      <c r="M58" s="13" cm="1">
        <f t="array" ref="M58">_xll.BDH("DE US Equity","LT_CAPITALIZED_LEASE_LIABILITIES","FQ1 2021","FQ1 2021","Currency=USD","Period=FQ","BEST_FPERIOD_OVERRIDE=FQ","FILING_STATUS=MR","SCALING_FORMAT=MLN","Sort=A","Dates=H","DateFormat=P","Fill=—","Direction=H","UseDPDF=Y")</f>
        <v>36</v>
      </c>
      <c r="N58" s="13" cm="1">
        <f t="array" ref="N58">_xll.BDH("DE US Equity","LT_CAPITALIZED_LEASE_LIABILITIES","FQ2 2021","FQ2 2021","Currency=USD","Period=FQ","BEST_FPERIOD_OVERRIDE=FQ","FILING_STATUS=MR","SCALING_FORMAT=MLN","Sort=A","Dates=H","DateFormat=P","Fill=—","Direction=H","UseDPDF=Y")</f>
        <v>45</v>
      </c>
      <c r="O58" s="13" cm="1">
        <f t="array" ref="O58">_xll.BDH("DE US Equity","LT_CAPITALIZED_LEASE_LIABILITIES","FQ3 2021","FQ3 2021","Currency=USD","Period=FQ","BEST_FPERIOD_OVERRIDE=FQ","FILING_STATUS=MR","SCALING_FORMAT=MLN","Sort=A","Dates=H","DateFormat=P","Fill=—","Direction=H","UseDPDF=Y")</f>
        <v>42</v>
      </c>
      <c r="P58" s="13" cm="1">
        <f t="array" ref="P58">_xll.BDH("DE US Equity","LT_CAPITALIZED_LEASE_LIABILITIES","FQ4 2021","FQ4 2021","Currency=USD","Period=FQ","BEST_FPERIOD_OVERRIDE=FQ","FILING_STATUS=MR","SCALING_FORMAT=MLN","Sort=A","Dates=H","DateFormat=P","Fill=—","Direction=H","UseDPDF=Y")</f>
        <v>38</v>
      </c>
      <c r="Q58" s="13" cm="1">
        <f t="array" ref="Q58">_xll.BDH("DE US Equity","LT_CAPITALIZED_LEASE_LIABILITIES","FQ1 2022","FQ1 2022","Currency=USD","Period=FQ","BEST_FPERIOD_OVERRIDE=FQ","FILING_STATUS=MR","SCALING_FORMAT=MLN","Sort=A","Dates=H","DateFormat=P","Fill=—","Direction=H","UseDPDF=Y")</f>
        <v>32</v>
      </c>
      <c r="R58" s="13" t="str" cm="1">
        <f t="array" ref="R58">_xll.BDH("DE US Equity","LT_CAPITALIZED_LEASE_LIABILITIES","FQ2 2022","FQ2 2022","Currency=USD","Period=FQ","BEST_FPERIOD_OVERRIDE=FQ","FILING_STATUS=MR","SCALING_FORMAT=MLN","Sort=A","Dates=H","DateFormat=P","Fill=—","Direction=H","UseDPDF=Y")</f>
        <v>—</v>
      </c>
      <c r="S58" s="13" t="str" cm="1">
        <f t="array" ref="S58">_xll.BDH("DE US Equity","LT_CAPITALIZED_LEASE_LIABILITIES","FQ3 2022","FQ3 2022","Currency=USD","Period=FQ","BEST_FPERIOD_OVERRIDE=FQ","FILING_STATUS=MR","SCALING_FORMAT=MLN","Sort=A","Dates=H","DateFormat=P","Fill=—","Direction=H","UseDPDF=Y")</f>
        <v>—</v>
      </c>
      <c r="T58" s="13" cm="1">
        <f t="array" ref="T58">_xll.BDH("DE US Equity","LT_CAPITALIZED_LEASE_LIABILITIES","FQ4 2022","FQ4 2022","Currency=USD","Period=FQ","BEST_FPERIOD_OVERRIDE=FQ","FILING_STATUS=MR","SCALING_FORMAT=MLN","Sort=A","Dates=H","DateFormat=P","Fill=—","Direction=H","UseDPDF=Y")</f>
        <v>30</v>
      </c>
      <c r="U58" s="13" t="str" cm="1">
        <f t="array" ref="U58">_xll.BDH("DE US Equity","LT_CAPITALIZED_LEASE_LIABILITIES","FQ1 2023","FQ1 2023","Currency=USD","Period=FQ","BEST_FPERIOD_OVERRIDE=FQ","FILING_STATUS=MR","SCALING_FORMAT=MLN","Sort=A","Dates=H","DateFormat=P","Fill=—","Direction=H","UseDPDF=Y")</f>
        <v>—</v>
      </c>
      <c r="V58" s="13" t="str" cm="1">
        <f t="array" ref="V58">_xll.BDH("DE US Equity","LT_CAPITALIZED_LEASE_LIABILITIES","FQ2 2023","FQ2 2023","Currency=USD","Period=FQ","BEST_FPERIOD_OVERRIDE=FQ","FILING_STATUS=MR","SCALING_FORMAT=MLN","Sort=A","Dates=H","DateFormat=P","Fill=—","Direction=H","UseDPDF=Y")</f>
        <v>—</v>
      </c>
      <c r="W58" s="13" t="str" cm="1">
        <f t="array" ref="W58">_xll.BDH("DE US Equity","LT_CAPITALIZED_LEASE_LIABILITIES","FQ3 2023","FQ3 2023","Currency=USD","Period=FQ","BEST_FPERIOD_OVERRIDE=FQ","FILING_STATUS=MR","SCALING_FORMAT=MLN","Sort=A","Dates=H","DateFormat=P","Fill=—","Direction=H","UseDPDF=Y")</f>
        <v>—</v>
      </c>
      <c r="X58" s="13" cm="1">
        <f t="array" ref="X58">_xll.BDH("DE US Equity","LT_CAPITALIZED_LEASE_LIABILITIES","FQ4 2023","FQ4 2023","Currency=USD","Period=FQ","BEST_FPERIOD_OVERRIDE=FQ","FILING_STATUS=MR","SCALING_FORMAT=MLN","Sort=A","Dates=H","DateFormat=P","Fill=—","Direction=H","UseDPDF=Y")</f>
        <v>49</v>
      </c>
      <c r="Y58" s="13" t="str" cm="1">
        <f t="array" ref="Y58">_xll.BDH("DE US Equity","LT_CAPITALIZED_LEASE_LIABILITIES","FQ1 2024","FQ1 2024","Currency=USD","Period=FQ","BEST_FPERIOD_OVERRIDE=FQ","FILING_STATUS=MR","SCALING_FORMAT=MLN","Sort=A","Dates=H","DateFormat=P","Fill=—","Direction=H","UseDPDF=Y")</f>
        <v>—</v>
      </c>
      <c r="Z58" s="13" t="str" cm="1">
        <f t="array" ref="Z58">_xll.BDH("DE US Equity","LT_CAPITALIZED_LEASE_LIABILITIES","FQ2 2024","FQ2 2024","Currency=USD","Period=FQ","BEST_FPERIOD_OVERRIDE=FQ","FILING_STATUS=MR","SCALING_FORMAT=MLN","Sort=A","Dates=H","DateFormat=P","Fill=—","Direction=H","UseDPDF=Y")</f>
        <v>—</v>
      </c>
      <c r="AA58" s="13" t="str" cm="1">
        <f t="array" ref="AA58">_xll.BDH("DE US Equity","LT_CAPITALIZED_LEASE_LIABILITIES","FQ3 2024","FQ3 2024","Currency=USD","Period=FQ","BEST_FPERIOD_OVERRIDE=FQ","FILING_STATUS=MR","SCALING_FORMAT=MLN","Sort=A","Dates=H","DateFormat=P","Fill=—","Direction=H","UseDPDF=Y")</f>
        <v>—</v>
      </c>
      <c r="AB58" s="13" cm="1">
        <f t="array" ref="AB58">_xll.BDH("DE US Equity","LT_CAPITALIZED_LEASE_LIABILITIES","FQ4 2024","FQ4 2024","Currency=USD","Period=FQ","BEST_FPERIOD_OVERRIDE=FQ","FILING_STATUS=MR","SCALING_FORMAT=MLN","Sort=A","Dates=H","DateFormat=P","Fill=—","Direction=H","UseDPDF=Y")</f>
        <v>72</v>
      </c>
      <c r="AC58" s="13" t="str" cm="1">
        <f t="array" ref="AC58">_xll.BDH("DE US Equity","LT_CAPITALIZED_LEASE_LIABILITIES","FQ1 2025","FQ1 2025","Currency=USD","Period=FQ","BEST_FPERIOD_OVERRIDE=FQ","FILING_STATUS=MR","SCALING_FORMAT=MLN","Sort=A","Dates=H","DateFormat=P","Fill=—","Direction=H","UseDPDF=Y")</f>
        <v>—</v>
      </c>
      <c r="AD58" s="13" t="str" cm="1">
        <f t="array" ref="AD58">_xll.BDH("DE US Equity","LT_CAPITALIZED_LEASE_LIABILITIES","FQ2 2025","FQ2 2025","Currency=USD","Period=FQ","BEST_FPERIOD_OVERRIDE=FQ","FILING_STATUS=MR","SCALING_FORMAT=MLN","Sort=A","Dates=H","DateFormat=P","Fill=—","Direction=H","UseDPDF=Y")</f>
        <v>—</v>
      </c>
      <c r="AE58" s="13" t="str" cm="1">
        <f t="array" ref="AE58">_xll.BDH("DE US Equity","LT_CAPITALIZED_LEASE_LIABILITIES","FQ3 2025","FQ3 2025","Currency=USD","Period=FQ","BEST_FPERIOD_OVERRIDE=FQ","FILING_STATUS=MR","SCALING_FORMAT=MLN","Sort=A","Dates=H","DateFormat=P","Fill=—","Direction=H","UseDPDF=Y")</f>
        <v>—</v>
      </c>
      <c r="AF58" s="13" cm="1">
        <f t="array" ref="AF58">_xll.BDH("DE US Equity","LT_CAPITALIZED_LEASE_LIABILITIES","FQ4 2025","FQ4 2025","Currency=USD","Period=FQ","BEST_FPERIOD_OVERRIDE=FQ","FILING_STATUS=MR","SCALING_FORMAT=MLN","Sort=A","Dates=H","DateFormat=P","Fill=—","Direction=H","UseDPDF=Y")</f>
        <v>73</v>
      </c>
    </row>
    <row r="59" spans="1:32" x14ac:dyDescent="0.25">
      <c r="A59" s="11" t="s">
        <v>165</v>
      </c>
      <c r="B59" s="11" t="s">
        <v>166</v>
      </c>
      <c r="C59" s="17" t="str" cm="1">
        <f t="array" ref="C59">_xll.BDH("DE US Equity","LT_CAPITAL_LEASE_OBLIGATIONS","FQ3 2018","FQ3 2018","Currency=USD","Period=FQ","BEST_FPERIOD_OVERRIDE=FQ","FILING_STATUS=MR","SCALING_FORMAT=MLN","Sort=A","Dates=H","DateFormat=P","Fill=—","Direction=H","UseDPDF=Y")</f>
        <v>—</v>
      </c>
      <c r="D59" s="17" t="str" cm="1">
        <f t="array" ref="D59">_xll.BDH("DE US Equity","LT_CAPITAL_LEASE_OBLIGATIONS","FQ4 2018","FQ4 2018","Currency=USD","Period=FQ","BEST_FPERIOD_OVERRIDE=FQ","FILING_STATUS=MR","SCALING_FORMAT=MLN","Sort=A","Dates=H","DateFormat=P","Fill=—","Direction=H","UseDPDF=Y")</f>
        <v>—</v>
      </c>
      <c r="E59" s="17" t="str" cm="1">
        <f t="array" ref="E59">_xll.BDH("DE US Equity","LT_CAPITAL_LEASE_OBLIGATIONS","FQ1 2019","FQ1 2019","Currency=USD","Period=FQ","BEST_FPERIOD_OVERRIDE=FQ","FILING_STATUS=MR","SCALING_FORMAT=MLN","Sort=A","Dates=H","DateFormat=P","Fill=—","Direction=H","UseDPDF=Y")</f>
        <v>—</v>
      </c>
      <c r="F59" s="17" t="str" cm="1">
        <f t="array" ref="F59">_xll.BDH("DE US Equity","LT_CAPITAL_LEASE_OBLIGATIONS","FQ2 2019","FQ2 2019","Currency=USD","Period=FQ","BEST_FPERIOD_OVERRIDE=FQ","FILING_STATUS=MR","SCALING_FORMAT=MLN","Sort=A","Dates=H","DateFormat=P","Fill=—","Direction=H","UseDPDF=Y")</f>
        <v>—</v>
      </c>
      <c r="G59" s="17" t="str" cm="1">
        <f t="array" ref="G59">_xll.BDH("DE US Equity","LT_CAPITAL_LEASE_OBLIGATIONS","FQ3 2019","FQ3 2019","Currency=USD","Period=FQ","BEST_FPERIOD_OVERRIDE=FQ","FILING_STATUS=MR","SCALING_FORMAT=MLN","Sort=A","Dates=H","DateFormat=P","Fill=—","Direction=H","UseDPDF=Y")</f>
        <v>—</v>
      </c>
      <c r="H59" s="17" t="str" cm="1">
        <f t="array" ref="H59">_xll.BDH("DE US Equity","LT_CAPITAL_LEASE_OBLIGATIONS","FQ4 2019","FQ4 2019","Currency=USD","Period=FQ","BEST_FPERIOD_OVERRIDE=FQ","FILING_STATUS=MR","SCALING_FORMAT=MLN","Sort=A","Dates=H","DateFormat=P","Fill=—","Direction=H","UseDPDF=Y")</f>
        <v>—</v>
      </c>
      <c r="I59" s="17" cm="1">
        <f t="array" ref="I59">_xll.BDH("DE US Equity","LT_CAPITAL_LEASE_OBLIGATIONS","FQ1 2020","FQ1 2020","Currency=USD","Period=FQ","BEST_FPERIOD_OVERRIDE=FQ","FILING_STATUS=MR","SCALING_FORMAT=MLN","Sort=A","Dates=H","DateFormat=P","Fill=—","Direction=H","UseDPDF=Y")</f>
        <v>23</v>
      </c>
      <c r="J59" s="17" cm="1">
        <f t="array" ref="J59">_xll.BDH("DE US Equity","LT_CAPITAL_LEASE_OBLIGATIONS","FQ2 2020","FQ2 2020","Currency=USD","Period=FQ","BEST_FPERIOD_OVERRIDE=FQ","FILING_STATUS=MR","SCALING_FORMAT=MLN","Sort=A","Dates=H","DateFormat=P","Fill=—","Direction=H","UseDPDF=Y")</f>
        <v>26</v>
      </c>
      <c r="K59" s="17" cm="1">
        <f t="array" ref="K59">_xll.BDH("DE US Equity","LT_CAPITAL_LEASE_OBLIGATIONS","FQ3 2020","FQ3 2020","Currency=USD","Period=FQ","BEST_FPERIOD_OVERRIDE=FQ","FILING_STATUS=MR","SCALING_FORMAT=MLN","Sort=A","Dates=H","DateFormat=P","Fill=—","Direction=H","UseDPDF=Y")</f>
        <v>33</v>
      </c>
      <c r="L59" s="17" cm="1">
        <f t="array" ref="L59">_xll.BDH("DE US Equity","LT_CAPITAL_LEASE_OBLIGATIONS","FQ4 2020","FQ4 2020","Currency=USD","Period=FQ","BEST_FPERIOD_OVERRIDE=FQ","FILING_STATUS=MR","SCALING_FORMAT=MLN","Sort=A","Dates=H","DateFormat=P","Fill=—","Direction=H","UseDPDF=Y")</f>
        <v>39</v>
      </c>
      <c r="M59" s="17" cm="1">
        <f t="array" ref="M59">_xll.BDH("DE US Equity","LT_CAPITAL_LEASE_OBLIGATIONS","FQ1 2021","FQ1 2021","Currency=USD","Period=FQ","BEST_FPERIOD_OVERRIDE=FQ","FILING_STATUS=MR","SCALING_FORMAT=MLN","Sort=A","Dates=H","DateFormat=P","Fill=—","Direction=H","UseDPDF=Y")</f>
        <v>36</v>
      </c>
      <c r="N59" s="17" cm="1">
        <f t="array" ref="N59">_xll.BDH("DE US Equity","LT_CAPITAL_LEASE_OBLIGATIONS","FQ2 2021","FQ2 2021","Currency=USD","Period=FQ","BEST_FPERIOD_OVERRIDE=FQ","FILING_STATUS=MR","SCALING_FORMAT=MLN","Sort=A","Dates=H","DateFormat=P","Fill=—","Direction=H","UseDPDF=Y")</f>
        <v>45</v>
      </c>
      <c r="O59" s="17" cm="1">
        <f t="array" ref="O59">_xll.BDH("DE US Equity","LT_CAPITAL_LEASE_OBLIGATIONS","FQ3 2021","FQ3 2021","Currency=USD","Period=FQ","BEST_FPERIOD_OVERRIDE=FQ","FILING_STATUS=MR","SCALING_FORMAT=MLN","Sort=A","Dates=H","DateFormat=P","Fill=—","Direction=H","UseDPDF=Y")</f>
        <v>42</v>
      </c>
      <c r="P59" s="17" cm="1">
        <f t="array" ref="P59">_xll.BDH("DE US Equity","LT_CAPITAL_LEASE_OBLIGATIONS","FQ4 2021","FQ4 2021","Currency=USD","Period=FQ","BEST_FPERIOD_OVERRIDE=FQ","FILING_STATUS=MR","SCALING_FORMAT=MLN","Sort=A","Dates=H","DateFormat=P","Fill=—","Direction=H","UseDPDF=Y")</f>
        <v>38</v>
      </c>
      <c r="Q59" s="17" cm="1">
        <f t="array" ref="Q59">_xll.BDH("DE US Equity","LT_CAPITAL_LEASE_OBLIGATIONS","FQ1 2022","FQ1 2022","Currency=USD","Period=FQ","BEST_FPERIOD_OVERRIDE=FQ","FILING_STATUS=MR","SCALING_FORMAT=MLN","Sort=A","Dates=H","DateFormat=P","Fill=—","Direction=H","UseDPDF=Y")</f>
        <v>32</v>
      </c>
      <c r="R59" s="17" t="str" cm="1">
        <f t="array" ref="R59">_xll.BDH("DE US Equity","LT_CAPITAL_LEASE_OBLIGATIONS","FQ2 2022","FQ2 2022","Currency=USD","Period=FQ","BEST_FPERIOD_OVERRIDE=FQ","FILING_STATUS=MR","SCALING_FORMAT=MLN","Sort=A","Dates=H","DateFormat=P","Fill=—","Direction=H","UseDPDF=Y")</f>
        <v>—</v>
      </c>
      <c r="S59" s="17" t="str" cm="1">
        <f t="array" ref="S59">_xll.BDH("DE US Equity","LT_CAPITAL_LEASE_OBLIGATIONS","FQ3 2022","FQ3 2022","Currency=USD","Period=FQ","BEST_FPERIOD_OVERRIDE=FQ","FILING_STATUS=MR","SCALING_FORMAT=MLN","Sort=A","Dates=H","DateFormat=P","Fill=—","Direction=H","UseDPDF=Y")</f>
        <v>—</v>
      </c>
      <c r="T59" s="17" cm="1">
        <f t="array" ref="T59">_xll.BDH("DE US Equity","LT_CAPITAL_LEASE_OBLIGATIONS","FQ4 2022","FQ4 2022","Currency=USD","Period=FQ","BEST_FPERIOD_OVERRIDE=FQ","FILING_STATUS=MR","SCALING_FORMAT=MLN","Sort=A","Dates=H","DateFormat=P","Fill=—","Direction=H","UseDPDF=Y")</f>
        <v>30</v>
      </c>
      <c r="U59" s="17" t="str" cm="1">
        <f t="array" ref="U59">_xll.BDH("DE US Equity","LT_CAPITAL_LEASE_OBLIGATIONS","FQ1 2023","FQ1 2023","Currency=USD","Period=FQ","BEST_FPERIOD_OVERRIDE=FQ","FILING_STATUS=MR","SCALING_FORMAT=MLN","Sort=A","Dates=H","DateFormat=P","Fill=—","Direction=H","UseDPDF=Y")</f>
        <v>—</v>
      </c>
      <c r="V59" s="17" t="str" cm="1">
        <f t="array" ref="V59">_xll.BDH("DE US Equity","LT_CAPITAL_LEASE_OBLIGATIONS","FQ2 2023","FQ2 2023","Currency=USD","Period=FQ","BEST_FPERIOD_OVERRIDE=FQ","FILING_STATUS=MR","SCALING_FORMAT=MLN","Sort=A","Dates=H","DateFormat=P","Fill=—","Direction=H","UseDPDF=Y")</f>
        <v>—</v>
      </c>
      <c r="W59" s="17" t="str" cm="1">
        <f t="array" ref="W59">_xll.BDH("DE US Equity","LT_CAPITAL_LEASE_OBLIGATIONS","FQ3 2023","FQ3 2023","Currency=USD","Period=FQ","BEST_FPERIOD_OVERRIDE=FQ","FILING_STATUS=MR","SCALING_FORMAT=MLN","Sort=A","Dates=H","DateFormat=P","Fill=—","Direction=H","UseDPDF=Y")</f>
        <v>—</v>
      </c>
      <c r="X59" s="17" cm="1">
        <f t="array" ref="X59">_xll.BDH("DE US Equity","LT_CAPITAL_LEASE_OBLIGATIONS","FQ4 2023","FQ4 2023","Currency=USD","Period=FQ","BEST_FPERIOD_OVERRIDE=FQ","FILING_STATUS=MR","SCALING_FORMAT=MLN","Sort=A","Dates=H","DateFormat=P","Fill=—","Direction=H","UseDPDF=Y")</f>
        <v>49</v>
      </c>
      <c r="Y59" s="17" t="str" cm="1">
        <f t="array" ref="Y59">_xll.BDH("DE US Equity","LT_CAPITAL_LEASE_OBLIGATIONS","FQ1 2024","FQ1 2024","Currency=USD","Period=FQ","BEST_FPERIOD_OVERRIDE=FQ","FILING_STATUS=MR","SCALING_FORMAT=MLN","Sort=A","Dates=H","DateFormat=P","Fill=—","Direction=H","UseDPDF=Y")</f>
        <v>—</v>
      </c>
      <c r="Z59" s="17" t="str" cm="1">
        <f t="array" ref="Z59">_xll.BDH("DE US Equity","LT_CAPITAL_LEASE_OBLIGATIONS","FQ2 2024","FQ2 2024","Currency=USD","Period=FQ","BEST_FPERIOD_OVERRIDE=FQ","FILING_STATUS=MR","SCALING_FORMAT=MLN","Sort=A","Dates=H","DateFormat=P","Fill=—","Direction=H","UseDPDF=Y")</f>
        <v>—</v>
      </c>
      <c r="AA59" s="17" t="str" cm="1">
        <f t="array" ref="AA59">_xll.BDH("DE US Equity","LT_CAPITAL_LEASE_OBLIGATIONS","FQ3 2024","FQ3 2024","Currency=USD","Period=FQ","BEST_FPERIOD_OVERRIDE=FQ","FILING_STATUS=MR","SCALING_FORMAT=MLN","Sort=A","Dates=H","DateFormat=P","Fill=—","Direction=H","UseDPDF=Y")</f>
        <v>—</v>
      </c>
      <c r="AB59" s="17" cm="1">
        <f t="array" ref="AB59">_xll.BDH("DE US Equity","LT_CAPITAL_LEASE_OBLIGATIONS","FQ4 2024","FQ4 2024","Currency=USD","Period=FQ","BEST_FPERIOD_OVERRIDE=FQ","FILING_STATUS=MR","SCALING_FORMAT=MLN","Sort=A","Dates=H","DateFormat=P","Fill=—","Direction=H","UseDPDF=Y")</f>
        <v>72</v>
      </c>
      <c r="AC59" s="17" t="str" cm="1">
        <f t="array" ref="AC59">_xll.BDH("DE US Equity","LT_CAPITAL_LEASE_OBLIGATIONS","FQ1 2025","FQ1 2025","Currency=USD","Period=FQ","BEST_FPERIOD_OVERRIDE=FQ","FILING_STATUS=MR","SCALING_FORMAT=MLN","Sort=A","Dates=H","DateFormat=P","Fill=—","Direction=H","UseDPDF=Y")</f>
        <v>—</v>
      </c>
      <c r="AD59" s="17" t="str" cm="1">
        <f t="array" ref="AD59">_xll.BDH("DE US Equity","LT_CAPITAL_LEASE_OBLIGATIONS","FQ2 2025","FQ2 2025","Currency=USD","Period=FQ","BEST_FPERIOD_OVERRIDE=FQ","FILING_STATUS=MR","SCALING_FORMAT=MLN","Sort=A","Dates=H","DateFormat=P","Fill=—","Direction=H","UseDPDF=Y")</f>
        <v>—</v>
      </c>
      <c r="AE59" s="17" t="str" cm="1">
        <f t="array" ref="AE59">_xll.BDH("DE US Equity","LT_CAPITAL_LEASE_OBLIGATIONS","FQ3 2025","FQ3 2025","Currency=USD","Period=FQ","BEST_FPERIOD_OVERRIDE=FQ","FILING_STATUS=MR","SCALING_FORMAT=MLN","Sort=A","Dates=H","DateFormat=P","Fill=—","Direction=H","UseDPDF=Y")</f>
        <v>—</v>
      </c>
      <c r="AF59" s="17" cm="1">
        <f t="array" ref="AF59">_xll.BDH("DE US Equity","LT_CAPITAL_LEASE_OBLIGATIONS","FQ4 2025","FQ4 2025","Currency=USD","Period=FQ","BEST_FPERIOD_OVERRIDE=FQ","FILING_STATUS=MR","SCALING_FORMAT=MLN","Sort=A","Dates=H","DateFormat=P","Fill=—","Direction=H","UseDPDF=Y")</f>
        <v>73</v>
      </c>
    </row>
    <row r="60" spans="1:32" x14ac:dyDescent="0.25">
      <c r="A60" s="11" t="s">
        <v>167</v>
      </c>
      <c r="B60" s="11" t="s">
        <v>168</v>
      </c>
      <c r="C60" s="17" t="str" cm="1">
        <f t="array" ref="C60">_xll.BDH("DE US Equity","BS_LT_OPERATING_LEASE_LIABS","FQ3 2018","FQ3 2018","Currency=USD","Period=FQ","BEST_FPERIOD_OVERRIDE=FQ","FILING_STATUS=MR","SCALING_FORMAT=MLN","Sort=A","Dates=H","DateFormat=P","Fill=—","Direction=H","UseDPDF=Y")</f>
        <v>—</v>
      </c>
      <c r="D60" s="17" t="str" cm="1">
        <f t="array" ref="D60">_xll.BDH("DE US Equity","BS_LT_OPERATING_LEASE_LIABS","FQ4 2018","FQ4 2018","Currency=USD","Period=FQ","BEST_FPERIOD_OVERRIDE=FQ","FILING_STATUS=MR","SCALING_FORMAT=MLN","Sort=A","Dates=H","DateFormat=P","Fill=—","Direction=H","UseDPDF=Y")</f>
        <v>—</v>
      </c>
      <c r="E60" s="17" t="str" cm="1">
        <f t="array" ref="E60">_xll.BDH("DE US Equity","BS_LT_OPERATING_LEASE_LIABS","FQ1 2019","FQ1 2019","Currency=USD","Period=FQ","BEST_FPERIOD_OVERRIDE=FQ","FILING_STATUS=MR","SCALING_FORMAT=MLN","Sort=A","Dates=H","DateFormat=P","Fill=—","Direction=H","UseDPDF=Y")</f>
        <v>—</v>
      </c>
      <c r="F60" s="17" t="str" cm="1">
        <f t="array" ref="F60">_xll.BDH("DE US Equity","BS_LT_OPERATING_LEASE_LIABS","FQ2 2019","FQ2 2019","Currency=USD","Period=FQ","BEST_FPERIOD_OVERRIDE=FQ","FILING_STATUS=MR","SCALING_FORMAT=MLN","Sort=A","Dates=H","DateFormat=P","Fill=—","Direction=H","UseDPDF=Y")</f>
        <v>—</v>
      </c>
      <c r="G60" s="17" t="str" cm="1">
        <f t="array" ref="G60">_xll.BDH("DE US Equity","BS_LT_OPERATING_LEASE_LIABS","FQ3 2019","FQ3 2019","Currency=USD","Period=FQ","BEST_FPERIOD_OVERRIDE=FQ","FILING_STATUS=MR","SCALING_FORMAT=MLN","Sort=A","Dates=H","DateFormat=P","Fill=—","Direction=H","UseDPDF=Y")</f>
        <v>—</v>
      </c>
      <c r="H60" s="17" t="str" cm="1">
        <f t="array" ref="H60">_xll.BDH("DE US Equity","BS_LT_OPERATING_LEASE_LIABS","FQ4 2019","FQ4 2019","Currency=USD","Period=FQ","BEST_FPERIOD_OVERRIDE=FQ","FILING_STATUS=MR","SCALING_FORMAT=MLN","Sort=A","Dates=H","DateFormat=P","Fill=—","Direction=H","UseDPDF=Y")</f>
        <v>—</v>
      </c>
      <c r="I60" s="17" t="str" cm="1">
        <f t="array" ref="I60">_xll.BDH("DE US Equity","BS_LT_OPERATING_LEASE_LIABS","FQ1 2020","FQ1 2020","Currency=USD","Period=FQ","BEST_FPERIOD_OVERRIDE=FQ","FILING_STATUS=MR","SCALING_FORMAT=MLN","Sort=A","Dates=H","DateFormat=P","Fill=—","Direction=H","UseDPDF=Y")</f>
        <v>—</v>
      </c>
      <c r="J60" s="17" t="str" cm="1">
        <f t="array" ref="J60">_xll.BDH("DE US Equity","BS_LT_OPERATING_LEASE_LIABS","FQ2 2020","FQ2 2020","Currency=USD","Period=FQ","BEST_FPERIOD_OVERRIDE=FQ","FILING_STATUS=MR","SCALING_FORMAT=MLN","Sort=A","Dates=H","DateFormat=P","Fill=—","Direction=H","UseDPDF=Y")</f>
        <v>—</v>
      </c>
      <c r="K60" s="17" t="str" cm="1">
        <f t="array" ref="K60">_xll.BDH("DE US Equity","BS_LT_OPERATING_LEASE_LIABS","FQ3 2020","FQ3 2020","Currency=USD","Period=FQ","BEST_FPERIOD_OVERRIDE=FQ","FILING_STATUS=MR","SCALING_FORMAT=MLN","Sort=A","Dates=H","DateFormat=P","Fill=—","Direction=H","UseDPDF=Y")</f>
        <v>—</v>
      </c>
      <c r="L60" s="17" cm="1">
        <f t="array" ref="L60">_xll.BDH("DE US Equity","BS_LT_OPERATING_LEASE_LIABS","FQ4 2020","FQ4 2020","Currency=USD","Period=FQ","BEST_FPERIOD_OVERRIDE=FQ","FILING_STATUS=MR","SCALING_FORMAT=MLN","Sort=A","Dates=H","DateFormat=P","Fill=—","Direction=H","UseDPDF=Y")</f>
        <v>61</v>
      </c>
      <c r="M60" s="17" t="str" cm="1">
        <f t="array" ref="M60">_xll.BDH("DE US Equity","BS_LT_OPERATING_LEASE_LIABS","FQ1 2021","FQ1 2021","Currency=USD","Period=FQ","BEST_FPERIOD_OVERRIDE=FQ","FILING_STATUS=MR","SCALING_FORMAT=MLN","Sort=A","Dates=H","DateFormat=P","Fill=—","Direction=H","UseDPDF=Y")</f>
        <v>—</v>
      </c>
      <c r="N60" s="17" t="str" cm="1">
        <f t="array" ref="N60">_xll.BDH("DE US Equity","BS_LT_OPERATING_LEASE_LIABS","FQ2 2021","FQ2 2021","Currency=USD","Period=FQ","BEST_FPERIOD_OVERRIDE=FQ","FILING_STATUS=MR","SCALING_FORMAT=MLN","Sort=A","Dates=H","DateFormat=P","Fill=—","Direction=H","UseDPDF=Y")</f>
        <v>—</v>
      </c>
      <c r="O60" s="17" t="str" cm="1">
        <f t="array" ref="O60">_xll.BDH("DE US Equity","BS_LT_OPERATING_LEASE_LIABS","FQ3 2021","FQ3 2021","Currency=USD","Period=FQ","BEST_FPERIOD_OVERRIDE=FQ","FILING_STATUS=MR","SCALING_FORMAT=MLN","Sort=A","Dates=H","DateFormat=P","Fill=—","Direction=H","UseDPDF=Y")</f>
        <v>—</v>
      </c>
      <c r="P60" s="17" t="str" cm="1">
        <f t="array" ref="P60">_xll.BDH("DE US Equity","BS_LT_OPERATING_LEASE_LIABS","FQ4 2021","FQ4 2021","Currency=USD","Period=FQ","BEST_FPERIOD_OVERRIDE=FQ","FILING_STATUS=MR","SCALING_FORMAT=MLN","Sort=A","Dates=H","DateFormat=P","Fill=—","Direction=H","UseDPDF=Y")</f>
        <v>—</v>
      </c>
      <c r="Q60" s="17" t="str" cm="1">
        <f t="array" ref="Q60">_xll.BDH("DE US Equity","BS_LT_OPERATING_LEASE_LIABS","FQ1 2022","FQ1 2022","Currency=USD","Period=FQ","BEST_FPERIOD_OVERRIDE=FQ","FILING_STATUS=MR","SCALING_FORMAT=MLN","Sort=A","Dates=H","DateFormat=P","Fill=—","Direction=H","UseDPDF=Y")</f>
        <v>—</v>
      </c>
      <c r="R60" s="17" t="str" cm="1">
        <f t="array" ref="R60">_xll.BDH("DE US Equity","BS_LT_OPERATING_LEASE_LIABS","FQ2 2022","FQ2 2022","Currency=USD","Period=FQ","BEST_FPERIOD_OVERRIDE=FQ","FILING_STATUS=MR","SCALING_FORMAT=MLN","Sort=A","Dates=H","DateFormat=P","Fill=—","Direction=H","UseDPDF=Y")</f>
        <v>—</v>
      </c>
      <c r="S60" s="17" t="str" cm="1">
        <f t="array" ref="S60">_xll.BDH("DE US Equity","BS_LT_OPERATING_LEASE_LIABS","FQ3 2022","FQ3 2022","Currency=USD","Period=FQ","BEST_FPERIOD_OVERRIDE=FQ","FILING_STATUS=MR","SCALING_FORMAT=MLN","Sort=A","Dates=H","DateFormat=P","Fill=—","Direction=H","UseDPDF=Y")</f>
        <v>—</v>
      </c>
      <c r="T60" s="17" t="str" cm="1">
        <f t="array" ref="T60">_xll.BDH("DE US Equity","BS_LT_OPERATING_LEASE_LIABS","FQ4 2022","FQ4 2022","Currency=USD","Period=FQ","BEST_FPERIOD_OVERRIDE=FQ","FILING_STATUS=MR","SCALING_FORMAT=MLN","Sort=A","Dates=H","DateFormat=P","Fill=—","Direction=H","UseDPDF=Y")</f>
        <v>—</v>
      </c>
      <c r="U60" s="17" t="str" cm="1">
        <f t="array" ref="U60">_xll.BDH("DE US Equity","BS_LT_OPERATING_LEASE_LIABS","FQ1 2023","FQ1 2023","Currency=USD","Period=FQ","BEST_FPERIOD_OVERRIDE=FQ","FILING_STATUS=MR","SCALING_FORMAT=MLN","Sort=A","Dates=H","DateFormat=P","Fill=—","Direction=H","UseDPDF=Y")</f>
        <v>—</v>
      </c>
      <c r="V60" s="17" t="str" cm="1">
        <f t="array" ref="V60">_xll.BDH("DE US Equity","BS_LT_OPERATING_LEASE_LIABS","FQ2 2023","FQ2 2023","Currency=USD","Period=FQ","BEST_FPERIOD_OVERRIDE=FQ","FILING_STATUS=MR","SCALING_FORMAT=MLN","Sort=A","Dates=H","DateFormat=P","Fill=—","Direction=H","UseDPDF=Y")</f>
        <v>—</v>
      </c>
      <c r="W60" s="17" t="str" cm="1">
        <f t="array" ref="W60">_xll.BDH("DE US Equity","BS_LT_OPERATING_LEASE_LIABS","FQ3 2023","FQ3 2023","Currency=USD","Period=FQ","BEST_FPERIOD_OVERRIDE=FQ","FILING_STATUS=MR","SCALING_FORMAT=MLN","Sort=A","Dates=H","DateFormat=P","Fill=—","Direction=H","UseDPDF=Y")</f>
        <v>—</v>
      </c>
      <c r="X60" s="17" t="str" cm="1">
        <f t="array" ref="X60">_xll.BDH("DE US Equity","BS_LT_OPERATING_LEASE_LIABS","FQ4 2023","FQ4 2023","Currency=USD","Period=FQ","BEST_FPERIOD_OVERRIDE=FQ","FILING_STATUS=MR","SCALING_FORMAT=MLN","Sort=A","Dates=H","DateFormat=P","Fill=—","Direction=H","UseDPDF=Y")</f>
        <v>—</v>
      </c>
      <c r="Y60" s="17" t="str" cm="1">
        <f t="array" ref="Y60">_xll.BDH("DE US Equity","BS_LT_OPERATING_LEASE_LIABS","FQ1 2024","FQ1 2024","Currency=USD","Period=FQ","BEST_FPERIOD_OVERRIDE=FQ","FILING_STATUS=MR","SCALING_FORMAT=MLN","Sort=A","Dates=H","DateFormat=P","Fill=—","Direction=H","UseDPDF=Y")</f>
        <v>—</v>
      </c>
      <c r="Z60" s="17" t="str" cm="1">
        <f t="array" ref="Z60">_xll.BDH("DE US Equity","BS_LT_OPERATING_LEASE_LIABS","FQ2 2024","FQ2 2024","Currency=USD","Period=FQ","BEST_FPERIOD_OVERRIDE=FQ","FILING_STATUS=MR","SCALING_FORMAT=MLN","Sort=A","Dates=H","DateFormat=P","Fill=—","Direction=H","UseDPDF=Y")</f>
        <v>—</v>
      </c>
      <c r="AA60" s="17" t="str" cm="1">
        <f t="array" ref="AA60">_xll.BDH("DE US Equity","BS_LT_OPERATING_LEASE_LIABS","FQ3 2024","FQ3 2024","Currency=USD","Period=FQ","BEST_FPERIOD_OVERRIDE=FQ","FILING_STATUS=MR","SCALING_FORMAT=MLN","Sort=A","Dates=H","DateFormat=P","Fill=—","Direction=H","UseDPDF=Y")</f>
        <v>—</v>
      </c>
      <c r="AB60" s="17" t="str" cm="1">
        <f t="array" ref="AB60">_xll.BDH("DE US Equity","BS_LT_OPERATING_LEASE_LIABS","FQ4 2024","FQ4 2024","Currency=USD","Period=FQ","BEST_FPERIOD_OVERRIDE=FQ","FILING_STATUS=MR","SCALING_FORMAT=MLN","Sort=A","Dates=H","DateFormat=P","Fill=—","Direction=H","UseDPDF=Y")</f>
        <v>—</v>
      </c>
      <c r="AC60" s="17" t="str" cm="1">
        <f t="array" ref="AC60">_xll.BDH("DE US Equity","BS_LT_OPERATING_LEASE_LIABS","FQ1 2025","FQ1 2025","Currency=USD","Period=FQ","BEST_FPERIOD_OVERRIDE=FQ","FILING_STATUS=MR","SCALING_FORMAT=MLN","Sort=A","Dates=H","DateFormat=P","Fill=—","Direction=H","UseDPDF=Y")</f>
        <v>—</v>
      </c>
      <c r="AD60" s="17" t="str" cm="1">
        <f t="array" ref="AD60">_xll.BDH("DE US Equity","BS_LT_OPERATING_LEASE_LIABS","FQ2 2025","FQ2 2025","Currency=USD","Period=FQ","BEST_FPERIOD_OVERRIDE=FQ","FILING_STATUS=MR","SCALING_FORMAT=MLN","Sort=A","Dates=H","DateFormat=P","Fill=—","Direction=H","UseDPDF=Y")</f>
        <v>—</v>
      </c>
      <c r="AE60" s="17" t="str" cm="1">
        <f t="array" ref="AE60">_xll.BDH("DE US Equity","BS_LT_OPERATING_LEASE_LIABS","FQ3 2025","FQ3 2025","Currency=USD","Period=FQ","BEST_FPERIOD_OVERRIDE=FQ","FILING_STATUS=MR","SCALING_FORMAT=MLN","Sort=A","Dates=H","DateFormat=P","Fill=—","Direction=H","UseDPDF=Y")</f>
        <v>—</v>
      </c>
      <c r="AF60" s="17" t="str" cm="1">
        <f t="array" ref="AF60">_xll.BDH("DE US Equity","BS_LT_OPERATING_LEASE_LIABS","FQ4 2025","FQ4 2025","Currency=USD","Period=FQ","BEST_FPERIOD_OVERRIDE=FQ","FILING_STATUS=MR","SCALING_FORMAT=MLN","Sort=A","Dates=H","DateFormat=P","Fill=—","Direction=H","UseDPDF=Y")</f>
        <v>—</v>
      </c>
    </row>
    <row r="61" spans="1:32" x14ac:dyDescent="0.25">
      <c r="A61" s="10" t="s">
        <v>169</v>
      </c>
      <c r="B61" s="10" t="s">
        <v>170</v>
      </c>
      <c r="C61" s="13" cm="1">
        <f t="array" ref="C61">_xll.BDH("DE US Equity","OTHER_NONCUR_LIABS_SUB_DETAILED","FQ3 2018","FQ3 2018","Currency=USD","Period=FQ","BEST_FPERIOD_OVERRIDE=FQ","FILING_STATUS=MR","SCALING_FORMAT=MLN","Sort=A","Dates=H","DateFormat=P","Fill=—","Direction=H","UseDPDF=Y")</f>
        <v>7046</v>
      </c>
      <c r="D61" s="13" cm="1">
        <f t="array" ref="D61">_xll.BDH("DE US Equity","OTHER_NONCUR_LIABS_SUB_DETAILED","FQ4 2018","FQ4 2018","Currency=USD","Period=FQ","BEST_FPERIOD_OVERRIDE=FQ","FILING_STATUS=MR","SCALING_FORMAT=MLN","Sort=A","Dates=H","DateFormat=P","Fill=—","Direction=H","UseDPDF=Y")</f>
        <v>6307</v>
      </c>
      <c r="E61" s="13" cm="1">
        <f t="array" ref="E61">_xll.BDH("DE US Equity","OTHER_NONCUR_LIABS_SUB_DETAILED","FQ1 2019","FQ1 2019","Currency=USD","Period=FQ","BEST_FPERIOD_OVERRIDE=FQ","FILING_STATUS=MR","SCALING_FORMAT=MLN","Sort=A","Dates=H","DateFormat=P","Fill=—","Direction=H","UseDPDF=Y")</f>
        <v>6284.3</v>
      </c>
      <c r="F61" s="13" cm="1">
        <f t="array" ref="F61">_xll.BDH("DE US Equity","OTHER_NONCUR_LIABS_SUB_DETAILED","FQ2 2019","FQ2 2019","Currency=USD","Period=FQ","BEST_FPERIOD_OVERRIDE=FQ","FILING_STATUS=MR","SCALING_FORMAT=MLN","Sort=A","Dates=H","DateFormat=P","Fill=—","Direction=H","UseDPDF=Y")</f>
        <v>6247</v>
      </c>
      <c r="G61" s="13" cm="1">
        <f t="array" ref="G61">_xll.BDH("DE US Equity","OTHER_NONCUR_LIABS_SUB_DETAILED","FQ3 2019","FQ3 2019","Currency=USD","Period=FQ","BEST_FPERIOD_OVERRIDE=FQ","FILING_STATUS=MR","SCALING_FORMAT=MLN","Sort=A","Dates=H","DateFormat=P","Fill=—","Direction=H","UseDPDF=Y")</f>
        <v>6288</v>
      </c>
      <c r="H61" s="13" cm="1">
        <f t="array" ref="H61">_xll.BDH("DE US Equity","OTHER_NONCUR_LIABS_SUB_DETAILED","FQ4 2019","FQ4 2019","Currency=USD","Period=FQ","BEST_FPERIOD_OVERRIDE=FQ","FILING_STATUS=MR","SCALING_FORMAT=MLN","Sort=A","Dates=H","DateFormat=P","Fill=—","Direction=H","UseDPDF=Y")</f>
        <v>6448</v>
      </c>
      <c r="I61" s="13" cm="1">
        <f t="array" ref="I61">_xll.BDH("DE US Equity","OTHER_NONCUR_LIABS_SUB_DETAILED","FQ1 2020","FQ1 2020","Currency=USD","Period=FQ","BEST_FPERIOD_OVERRIDE=FQ","FILING_STATUS=MR","SCALING_FORMAT=MLN","Sort=A","Dates=H","DateFormat=P","Fill=—","Direction=H","UseDPDF=Y")</f>
        <v>6201</v>
      </c>
      <c r="J61" s="13" cm="1">
        <f t="array" ref="J61">_xll.BDH("DE US Equity","OTHER_NONCUR_LIABS_SUB_DETAILED","FQ2 2020","FQ2 2020","Currency=USD","Period=FQ","BEST_FPERIOD_OVERRIDE=FQ","FILING_STATUS=MR","SCALING_FORMAT=MLN","Sort=A","Dates=H","DateFormat=P","Fill=—","Direction=H","UseDPDF=Y")</f>
        <v>6155</v>
      </c>
      <c r="K61" s="13" cm="1">
        <f t="array" ref="K61">_xll.BDH("DE US Equity","OTHER_NONCUR_LIABS_SUB_DETAILED","FQ3 2020","FQ3 2020","Currency=USD","Period=FQ","BEST_FPERIOD_OVERRIDE=FQ","FILING_STATUS=MR","SCALING_FORMAT=MLN","Sort=A","Dates=H","DateFormat=P","Fill=—","Direction=H","UseDPDF=Y")</f>
        <v>6255</v>
      </c>
      <c r="L61" s="13" cm="1">
        <f t="array" ref="L61">_xll.BDH("DE US Equity","OTHER_NONCUR_LIABS_SUB_DETAILED","FQ4 2020","FQ4 2020","Currency=USD","Period=FQ","BEST_FPERIOD_OVERRIDE=FQ","FILING_STATUS=MR","SCALING_FORMAT=MLN","Sort=A","Dates=H","DateFormat=P","Fill=—","Direction=H","UseDPDF=Y")</f>
        <v>5871</v>
      </c>
      <c r="M61" s="13" cm="1">
        <f t="array" ref="M61">_xll.BDH("DE US Equity","OTHER_NONCUR_LIABS_SUB_DETAILED","FQ1 2021","FQ1 2021","Currency=USD","Period=FQ","BEST_FPERIOD_OVERRIDE=FQ","FILING_STATUS=MR","SCALING_FORMAT=MLN","Sort=A","Dates=H","DateFormat=P","Fill=—","Direction=H","UseDPDF=Y")</f>
        <v>5906</v>
      </c>
      <c r="N61" s="13" cm="1">
        <f t="array" ref="N61">_xll.BDH("DE US Equity","OTHER_NONCUR_LIABS_SUB_DETAILED","FQ2 2021","FQ2 2021","Currency=USD","Period=FQ","BEST_FPERIOD_OVERRIDE=FQ","FILING_STATUS=MR","SCALING_FORMAT=MLN","Sort=A","Dates=H","DateFormat=P","Fill=—","Direction=H","UseDPDF=Y")</f>
        <v>5838</v>
      </c>
      <c r="O61" s="13" cm="1">
        <f t="array" ref="O61">_xll.BDH("DE US Equity","OTHER_NONCUR_LIABS_SUB_DETAILED","FQ3 2021","FQ3 2021","Currency=USD","Period=FQ","BEST_FPERIOD_OVERRIDE=FQ","FILING_STATUS=MR","SCALING_FORMAT=MLN","Sort=A","Dates=H","DateFormat=P","Fill=—","Direction=H","UseDPDF=Y")</f>
        <v>5787</v>
      </c>
      <c r="P61" s="13" cm="1">
        <f t="array" ref="P61">_xll.BDH("DE US Equity","OTHER_NONCUR_LIABS_SUB_DETAILED","FQ4 2021","FQ4 2021","Currency=USD","Period=FQ","BEST_FPERIOD_OVERRIDE=FQ","FILING_STATUS=MR","SCALING_FORMAT=MLN","Sort=A","Dates=H","DateFormat=P","Fill=—","Direction=H","UseDPDF=Y")</f>
        <v>9264</v>
      </c>
      <c r="Q61" s="13" cm="1">
        <f t="array" ref="Q61">_xll.BDH("DE US Equity","OTHER_NONCUR_LIABS_SUB_DETAILED","FQ1 2022","FQ1 2022","Currency=USD","Period=FQ","BEST_FPERIOD_OVERRIDE=FQ","FILING_STATUS=MR","SCALING_FORMAT=MLN","Sort=A","Dates=H","DateFormat=P","Fill=—","Direction=H","UseDPDF=Y")</f>
        <v>3845</v>
      </c>
      <c r="R61" s="13" cm="1">
        <f t="array" ref="R61">_xll.BDH("DE US Equity","OTHER_NONCUR_LIABS_SUB_DETAILED","FQ2 2022","FQ2 2022","Currency=USD","Period=FQ","BEST_FPERIOD_OVERRIDE=FQ","FILING_STATUS=MR","SCALING_FORMAT=MLN","Sort=A","Dates=H","DateFormat=P","Fill=—","Direction=H","UseDPDF=Y")</f>
        <v>3548</v>
      </c>
      <c r="S61" s="13" cm="1">
        <f t="array" ref="S61">_xll.BDH("DE US Equity","OTHER_NONCUR_LIABS_SUB_DETAILED","FQ3 2022","FQ3 2022","Currency=USD","Period=FQ","BEST_FPERIOD_OVERRIDE=FQ","FILING_STATUS=MR","SCALING_FORMAT=MLN","Sort=A","Dates=H","DateFormat=P","Fill=—","Direction=H","UseDPDF=Y")</f>
        <v>3472</v>
      </c>
      <c r="T61" s="13" cm="1">
        <f t="array" ref="T61">_xll.BDH("DE US Equity","OTHER_NONCUR_LIABS_SUB_DETAILED","FQ4 2022","FQ4 2022","Currency=USD","Period=FQ","BEST_FPERIOD_OVERRIDE=FQ","FILING_STATUS=MR","SCALING_FORMAT=MLN","Sort=A","Dates=H","DateFormat=P","Fill=—","Direction=H","UseDPDF=Y")</f>
        <v>5409</v>
      </c>
      <c r="U61" s="13" cm="1">
        <f t="array" ref="U61">_xll.BDH("DE US Equity","OTHER_NONCUR_LIABS_SUB_DETAILED","FQ1 2023","FQ1 2023","Currency=USD","Period=FQ","BEST_FPERIOD_OVERRIDE=FQ","FILING_STATUS=MR","SCALING_FORMAT=MLN","Sort=A","Dates=H","DateFormat=P","Fill=—","Direction=H","UseDPDF=Y")</f>
        <v>3012</v>
      </c>
      <c r="V61" s="13" cm="1">
        <f t="array" ref="V61">_xll.BDH("DE US Equity","OTHER_NONCUR_LIABS_SUB_DETAILED","FQ2 2023","FQ2 2023","Currency=USD","Period=FQ","BEST_FPERIOD_OVERRIDE=FQ","FILING_STATUS=MR","SCALING_FORMAT=MLN","Sort=A","Dates=H","DateFormat=P","Fill=—","Direction=H","UseDPDF=Y")</f>
        <v>3031</v>
      </c>
      <c r="W61" s="13" cm="1">
        <f t="array" ref="W61">_xll.BDH("DE US Equity","OTHER_NONCUR_LIABS_SUB_DETAILED","FQ3 2023","FQ3 2023","Currency=USD","Period=FQ","BEST_FPERIOD_OVERRIDE=FQ","FILING_STATUS=MR","SCALING_FORMAT=MLN","Sort=A","Dates=H","DateFormat=P","Fill=—","Direction=H","UseDPDF=Y")</f>
        <v>3042</v>
      </c>
      <c r="X61" s="13" cm="1">
        <f t="array" ref="X61">_xll.BDH("DE US Equity","OTHER_NONCUR_LIABS_SUB_DETAILED","FQ4 2023","FQ4 2023","Currency=USD","Period=FQ","BEST_FPERIOD_OVERRIDE=FQ","FILING_STATUS=MR","SCALING_FORMAT=MLN","Sort=A","Dates=H","DateFormat=P","Fill=—","Direction=H","UseDPDF=Y")</f>
        <v>2660</v>
      </c>
      <c r="Y61" s="13" cm="1">
        <f t="array" ref="Y61">_xll.BDH("DE US Equity","OTHER_NONCUR_LIABS_SUB_DETAILED","FQ1 2024","FQ1 2024","Currency=USD","Period=FQ","BEST_FPERIOD_OVERRIDE=FQ","FILING_STATUS=MR","SCALING_FORMAT=MLN","Sort=A","Dates=H","DateFormat=P","Fill=—","Direction=H","UseDPDF=Y")</f>
        <v>2665</v>
      </c>
      <c r="Z61" s="13" cm="1">
        <f t="array" ref="Z61">_xll.BDH("DE US Equity","OTHER_NONCUR_LIABS_SUB_DETAILED","FQ2 2024","FQ2 2024","Currency=USD","Period=FQ","BEST_FPERIOD_OVERRIDE=FQ","FILING_STATUS=MR","SCALING_FORMAT=MLN","Sort=A","Dates=H","DateFormat=P","Fill=—","Direction=H","UseDPDF=Y")</f>
        <v>2596</v>
      </c>
      <c r="AA61" s="13" cm="1">
        <f t="array" ref="AA61">_xll.BDH("DE US Equity","OTHER_NONCUR_LIABS_SUB_DETAILED","FQ3 2024","FQ3 2024","Currency=USD","Period=FQ","BEST_FPERIOD_OVERRIDE=FQ","FILING_STATUS=MR","SCALING_FORMAT=MLN","Sort=A","Dates=H","DateFormat=P","Fill=—","Direction=H","UseDPDF=Y")</f>
        <v>2637</v>
      </c>
      <c r="AB61" s="13" cm="1">
        <f t="array" ref="AB61">_xll.BDH("DE US Equity","OTHER_NONCUR_LIABS_SUB_DETAILED","FQ4 2024","FQ4 2024","Currency=USD","Period=FQ","BEST_FPERIOD_OVERRIDE=FQ","FILING_STATUS=MR","SCALING_FORMAT=MLN","Sort=A","Dates=H","DateFormat=P","Fill=—","Direction=H","UseDPDF=Y")</f>
        <v>4659</v>
      </c>
      <c r="AC61" s="13" cm="1">
        <f t="array" ref="AC61">_xll.BDH("DE US Equity","OTHER_NONCUR_LIABS_SUB_DETAILED","FQ1 2025","FQ1 2025","Currency=USD","Period=FQ","BEST_FPERIOD_OVERRIDE=FQ","FILING_STATUS=MR","SCALING_FORMAT=MLN","Sort=A","Dates=H","DateFormat=P","Fill=—","Direction=H","UseDPDF=Y")</f>
        <v>4012</v>
      </c>
      <c r="AD61" s="13" cm="1">
        <f t="array" ref="AD61">_xll.BDH("DE US Equity","OTHER_NONCUR_LIABS_SUB_DETAILED","FQ2 2025","FQ2 2025","Currency=USD","Period=FQ","BEST_FPERIOD_OVERRIDE=FQ","FILING_STATUS=MR","SCALING_FORMAT=MLN","Sort=A","Dates=H","DateFormat=P","Fill=—","Direction=H","UseDPDF=Y")</f>
        <v>2259</v>
      </c>
      <c r="AE61" s="13" cm="1">
        <f t="array" ref="AE61">_xll.BDH("DE US Equity","OTHER_NONCUR_LIABS_SUB_DETAILED","FQ3 2025","FQ3 2025","Currency=USD","Period=FQ","BEST_FPERIOD_OVERRIDE=FQ","FILING_STATUS=MR","SCALING_FORMAT=MLN","Sort=A","Dates=H","DateFormat=P","Fill=—","Direction=H","UseDPDF=Y")</f>
        <v>2325</v>
      </c>
      <c r="AF61" s="13" cm="1">
        <f t="array" ref="AF61">_xll.BDH("DE US Equity","OTHER_NONCUR_LIABS_SUB_DETAILED","FQ4 2025","FQ4 2025","Currency=USD","Period=FQ","BEST_FPERIOD_OVERRIDE=FQ","FILING_STATUS=MR","SCALING_FORMAT=MLN","Sort=A","Dates=H","DateFormat=P","Fill=—","Direction=H","UseDPDF=Y")</f>
        <v>2144</v>
      </c>
    </row>
    <row r="62" spans="1:32" x14ac:dyDescent="0.25">
      <c r="A62" s="10" t="s">
        <v>171</v>
      </c>
      <c r="B62" s="10" t="s">
        <v>172</v>
      </c>
      <c r="C62" s="13" t="str" cm="1">
        <f t="array" ref="C62">_xll.BDH("DE US Equity","BS_ACCRUED_LIABILITIES","FQ3 2018","FQ3 2018","Currency=USD","Period=FQ","BEST_FPERIOD_OVERRIDE=FQ","FILING_STATUS=MR","SCALING_FORMAT=MLN","Sort=A","Dates=H","DateFormat=P","Fill=—","Direction=H","UseDPDF=Y")</f>
        <v>—</v>
      </c>
      <c r="D62" s="13" cm="1">
        <f t="array" ref="D62">_xll.BDH("DE US Equity","BS_ACCRUED_LIABILITIES","FQ4 2018","FQ4 2018","Currency=USD","Period=FQ","BEST_FPERIOD_OVERRIDE=FQ","FILING_STATUS=MR","SCALING_FORMAT=MLN","Sort=A","Dates=H","DateFormat=P","Fill=—","Direction=H","UseDPDF=Y")</f>
        <v>0</v>
      </c>
      <c r="E62" s="13" t="str" cm="1">
        <f t="array" ref="E62">_xll.BDH("DE US Equity","BS_ACCRUED_LIABILITIES","FQ1 2019","FQ1 2019","Currency=USD","Period=FQ","BEST_FPERIOD_OVERRIDE=FQ","FILING_STATUS=MR","SCALING_FORMAT=MLN","Sort=A","Dates=H","DateFormat=P","Fill=—","Direction=H","UseDPDF=Y")</f>
        <v>—</v>
      </c>
      <c r="F62" s="13" t="str" cm="1">
        <f t="array" ref="F62">_xll.BDH("DE US Equity","BS_ACCRUED_LIABILITIES","FQ2 2019","FQ2 2019","Currency=USD","Period=FQ","BEST_FPERIOD_OVERRIDE=FQ","FILING_STATUS=MR","SCALING_FORMAT=MLN","Sort=A","Dates=H","DateFormat=P","Fill=—","Direction=H","UseDPDF=Y")</f>
        <v>—</v>
      </c>
      <c r="G62" s="13" t="str" cm="1">
        <f t="array" ref="G62">_xll.BDH("DE US Equity","BS_ACCRUED_LIABILITIES","FQ3 2019","FQ3 2019","Currency=USD","Period=FQ","BEST_FPERIOD_OVERRIDE=FQ","FILING_STATUS=MR","SCALING_FORMAT=MLN","Sort=A","Dates=H","DateFormat=P","Fill=—","Direction=H","UseDPDF=Y")</f>
        <v>—</v>
      </c>
      <c r="H62" s="13" cm="1">
        <f t="array" ref="H62">_xll.BDH("DE US Equity","BS_ACCRUED_LIABILITIES","FQ4 2019","FQ4 2019","Currency=USD","Period=FQ","BEST_FPERIOD_OVERRIDE=FQ","FILING_STATUS=MR","SCALING_FORMAT=MLN","Sort=A","Dates=H","DateFormat=P","Fill=—","Direction=H","UseDPDF=Y")</f>
        <v>0</v>
      </c>
      <c r="I62" s="13" t="str" cm="1">
        <f t="array" ref="I62">_xll.BDH("DE US Equity","BS_ACCRUED_LIABILITIES","FQ1 2020","FQ1 2020","Currency=USD","Period=FQ","BEST_FPERIOD_OVERRIDE=FQ","FILING_STATUS=MR","SCALING_FORMAT=MLN","Sort=A","Dates=H","DateFormat=P","Fill=—","Direction=H","UseDPDF=Y")</f>
        <v>—</v>
      </c>
      <c r="J62" s="13" t="str" cm="1">
        <f t="array" ref="J62">_xll.BDH("DE US Equity","BS_ACCRUED_LIABILITIES","FQ2 2020","FQ2 2020","Currency=USD","Period=FQ","BEST_FPERIOD_OVERRIDE=FQ","FILING_STATUS=MR","SCALING_FORMAT=MLN","Sort=A","Dates=H","DateFormat=P","Fill=—","Direction=H","UseDPDF=Y")</f>
        <v>—</v>
      </c>
      <c r="K62" s="13" t="str" cm="1">
        <f t="array" ref="K62">_xll.BDH("DE US Equity","BS_ACCRUED_LIABILITIES","FQ3 2020","FQ3 2020","Currency=USD","Period=FQ","BEST_FPERIOD_OVERRIDE=FQ","FILING_STATUS=MR","SCALING_FORMAT=MLN","Sort=A","Dates=H","DateFormat=P","Fill=—","Direction=H","UseDPDF=Y")</f>
        <v>—</v>
      </c>
      <c r="L62" s="13" cm="1">
        <f t="array" ref="L62">_xll.BDH("DE US Equity","BS_ACCRUED_LIABILITIES","FQ4 2020","FQ4 2020","Currency=USD","Period=FQ","BEST_FPERIOD_OVERRIDE=FQ","FILING_STATUS=MR","SCALING_FORMAT=MLN","Sort=A","Dates=H","DateFormat=P","Fill=—","Direction=H","UseDPDF=Y")</f>
        <v>0</v>
      </c>
      <c r="M62" s="13" t="str" cm="1">
        <f t="array" ref="M62">_xll.BDH("DE US Equity","BS_ACCRUED_LIABILITIES","FQ1 2021","FQ1 2021","Currency=USD","Period=FQ","BEST_FPERIOD_OVERRIDE=FQ","FILING_STATUS=MR","SCALING_FORMAT=MLN","Sort=A","Dates=H","DateFormat=P","Fill=—","Direction=H","UseDPDF=Y")</f>
        <v>—</v>
      </c>
      <c r="N62" s="13" t="str" cm="1">
        <f t="array" ref="N62">_xll.BDH("DE US Equity","BS_ACCRUED_LIABILITIES","FQ2 2021","FQ2 2021","Currency=USD","Period=FQ","BEST_FPERIOD_OVERRIDE=FQ","FILING_STATUS=MR","SCALING_FORMAT=MLN","Sort=A","Dates=H","DateFormat=P","Fill=—","Direction=H","UseDPDF=Y")</f>
        <v>—</v>
      </c>
      <c r="O62" s="13" t="str" cm="1">
        <f t="array" ref="O62">_xll.BDH("DE US Equity","BS_ACCRUED_LIABILITIES","FQ3 2021","FQ3 2021","Currency=USD","Period=FQ","BEST_FPERIOD_OVERRIDE=FQ","FILING_STATUS=MR","SCALING_FORMAT=MLN","Sort=A","Dates=H","DateFormat=P","Fill=—","Direction=H","UseDPDF=Y")</f>
        <v>—</v>
      </c>
      <c r="P62" s="13" cm="1">
        <f t="array" ref="P62">_xll.BDH("DE US Equity","BS_ACCRUED_LIABILITIES","FQ4 2021","FQ4 2021","Currency=USD","Period=FQ","BEST_FPERIOD_OVERRIDE=FQ","FILING_STATUS=MR","SCALING_FORMAT=MLN","Sort=A","Dates=H","DateFormat=P","Fill=—","Direction=H","UseDPDF=Y")</f>
        <v>0</v>
      </c>
      <c r="Q62" s="13" t="str" cm="1">
        <f t="array" ref="Q62">_xll.BDH("DE US Equity","BS_ACCRUED_LIABILITIES","FQ1 2022","FQ1 2022","Currency=USD","Period=FQ","BEST_FPERIOD_OVERRIDE=FQ","FILING_STATUS=MR","SCALING_FORMAT=MLN","Sort=A","Dates=H","DateFormat=P","Fill=—","Direction=H","UseDPDF=Y")</f>
        <v>—</v>
      </c>
      <c r="R62" s="13" t="str" cm="1">
        <f t="array" ref="R62">_xll.BDH("DE US Equity","BS_ACCRUED_LIABILITIES","FQ2 2022","FQ2 2022","Currency=USD","Period=FQ","BEST_FPERIOD_OVERRIDE=FQ","FILING_STATUS=MR","SCALING_FORMAT=MLN","Sort=A","Dates=H","DateFormat=P","Fill=—","Direction=H","UseDPDF=Y")</f>
        <v>—</v>
      </c>
      <c r="S62" s="13" t="str" cm="1">
        <f t="array" ref="S62">_xll.BDH("DE US Equity","BS_ACCRUED_LIABILITIES","FQ3 2022","FQ3 2022","Currency=USD","Period=FQ","BEST_FPERIOD_OVERRIDE=FQ","FILING_STATUS=MR","SCALING_FORMAT=MLN","Sort=A","Dates=H","DateFormat=P","Fill=—","Direction=H","UseDPDF=Y")</f>
        <v>—</v>
      </c>
      <c r="T62" s="13" cm="1">
        <f t="array" ref="T62">_xll.BDH("DE US Equity","BS_ACCRUED_LIABILITIES","FQ4 2022","FQ4 2022","Currency=USD","Period=FQ","BEST_FPERIOD_OVERRIDE=FQ","FILING_STATUS=MR","SCALING_FORMAT=MLN","Sort=A","Dates=H","DateFormat=P","Fill=—","Direction=H","UseDPDF=Y")</f>
        <v>0</v>
      </c>
      <c r="U62" s="13" t="str" cm="1">
        <f t="array" ref="U62">_xll.BDH("DE US Equity","BS_ACCRUED_LIABILITIES","FQ1 2023","FQ1 2023","Currency=USD","Period=FQ","BEST_FPERIOD_OVERRIDE=FQ","FILING_STATUS=MR","SCALING_FORMAT=MLN","Sort=A","Dates=H","DateFormat=P","Fill=—","Direction=H","UseDPDF=Y")</f>
        <v>—</v>
      </c>
      <c r="V62" s="13" t="str" cm="1">
        <f t="array" ref="V62">_xll.BDH("DE US Equity","BS_ACCRUED_LIABILITIES","FQ2 2023","FQ2 2023","Currency=USD","Period=FQ","BEST_FPERIOD_OVERRIDE=FQ","FILING_STATUS=MR","SCALING_FORMAT=MLN","Sort=A","Dates=H","DateFormat=P","Fill=—","Direction=H","UseDPDF=Y")</f>
        <v>—</v>
      </c>
      <c r="W62" s="13" t="str" cm="1">
        <f t="array" ref="W62">_xll.BDH("DE US Equity","BS_ACCRUED_LIABILITIES","FQ3 2023","FQ3 2023","Currency=USD","Period=FQ","BEST_FPERIOD_OVERRIDE=FQ","FILING_STATUS=MR","SCALING_FORMAT=MLN","Sort=A","Dates=H","DateFormat=P","Fill=—","Direction=H","UseDPDF=Y")</f>
        <v>—</v>
      </c>
      <c r="X62" s="13" cm="1">
        <f t="array" ref="X62">_xll.BDH("DE US Equity","BS_ACCRUED_LIABILITIES","FQ4 2023","FQ4 2023","Currency=USD","Period=FQ","BEST_FPERIOD_OVERRIDE=FQ","FILING_STATUS=MR","SCALING_FORMAT=MLN","Sort=A","Dates=H","DateFormat=P","Fill=—","Direction=H","UseDPDF=Y")</f>
        <v>0</v>
      </c>
      <c r="Y62" s="13" t="str" cm="1">
        <f t="array" ref="Y62">_xll.BDH("DE US Equity","BS_ACCRUED_LIABILITIES","FQ1 2024","FQ1 2024","Currency=USD","Period=FQ","BEST_FPERIOD_OVERRIDE=FQ","FILING_STATUS=MR","SCALING_FORMAT=MLN","Sort=A","Dates=H","DateFormat=P","Fill=—","Direction=H","UseDPDF=Y")</f>
        <v>—</v>
      </c>
      <c r="Z62" s="13" t="str" cm="1">
        <f t="array" ref="Z62">_xll.BDH("DE US Equity","BS_ACCRUED_LIABILITIES","FQ2 2024","FQ2 2024","Currency=USD","Period=FQ","BEST_FPERIOD_OVERRIDE=FQ","FILING_STATUS=MR","SCALING_FORMAT=MLN","Sort=A","Dates=H","DateFormat=P","Fill=—","Direction=H","UseDPDF=Y")</f>
        <v>—</v>
      </c>
      <c r="AA62" s="13" t="str" cm="1">
        <f t="array" ref="AA62">_xll.BDH("DE US Equity","BS_ACCRUED_LIABILITIES","FQ3 2024","FQ3 2024","Currency=USD","Period=FQ","BEST_FPERIOD_OVERRIDE=FQ","FILING_STATUS=MR","SCALING_FORMAT=MLN","Sort=A","Dates=H","DateFormat=P","Fill=—","Direction=H","UseDPDF=Y")</f>
        <v>—</v>
      </c>
      <c r="AB62" s="13" cm="1">
        <f t="array" ref="AB62">_xll.BDH("DE US Equity","BS_ACCRUED_LIABILITIES","FQ4 2024","FQ4 2024","Currency=USD","Period=FQ","BEST_FPERIOD_OVERRIDE=FQ","FILING_STATUS=MR","SCALING_FORMAT=MLN","Sort=A","Dates=H","DateFormat=P","Fill=—","Direction=H","UseDPDF=Y")</f>
        <v>0</v>
      </c>
      <c r="AC62" s="13" t="str" cm="1">
        <f t="array" ref="AC62">_xll.BDH("DE US Equity","BS_ACCRUED_LIABILITIES","FQ1 2025","FQ1 2025","Currency=USD","Period=FQ","BEST_FPERIOD_OVERRIDE=FQ","FILING_STATUS=MR","SCALING_FORMAT=MLN","Sort=A","Dates=H","DateFormat=P","Fill=—","Direction=H","UseDPDF=Y")</f>
        <v>—</v>
      </c>
      <c r="AD62" s="13" t="str" cm="1">
        <f t="array" ref="AD62">_xll.BDH("DE US Equity","BS_ACCRUED_LIABILITIES","FQ2 2025","FQ2 2025","Currency=USD","Period=FQ","BEST_FPERIOD_OVERRIDE=FQ","FILING_STATUS=MR","SCALING_FORMAT=MLN","Sort=A","Dates=H","DateFormat=P","Fill=—","Direction=H","UseDPDF=Y")</f>
        <v>—</v>
      </c>
      <c r="AE62" s="13" t="str" cm="1">
        <f t="array" ref="AE62">_xll.BDH("DE US Equity","BS_ACCRUED_LIABILITIES","FQ3 2025","FQ3 2025","Currency=USD","Period=FQ","BEST_FPERIOD_OVERRIDE=FQ","FILING_STATUS=MR","SCALING_FORMAT=MLN","Sort=A","Dates=H","DateFormat=P","Fill=—","Direction=H","UseDPDF=Y")</f>
        <v>—</v>
      </c>
      <c r="AF62" s="13" cm="1">
        <f t="array" ref="AF62">_xll.BDH("DE US Equity","BS_ACCRUED_LIABILITIES","FQ4 2025","FQ4 2025","Currency=USD","Period=FQ","BEST_FPERIOD_OVERRIDE=FQ","FILING_STATUS=MR","SCALING_FORMAT=MLN","Sort=A","Dates=H","DateFormat=P","Fill=—","Direction=H","UseDPDF=Y")</f>
        <v>0</v>
      </c>
    </row>
    <row r="63" spans="1:32" x14ac:dyDescent="0.25">
      <c r="A63" s="10" t="s">
        <v>173</v>
      </c>
      <c r="B63" s="10" t="s">
        <v>174</v>
      </c>
      <c r="C63" s="13" cm="1">
        <f t="array" ref="C63">_xll.BDH("DE US Equity","PENSION_LIABILITIES","FQ3 2018","FQ3 2018","Currency=USD","Period=FQ","BEST_FPERIOD_OVERRIDE=FQ","FILING_STATUS=MR","SCALING_FORMAT=MLN","Sort=A","Dates=H","DateFormat=P","Fill=—","Direction=H","UseDPDF=Y")</f>
        <v>6522</v>
      </c>
      <c r="D63" s="13" cm="1">
        <f t="array" ref="D63">_xll.BDH("DE US Equity","PENSION_LIABILITIES","FQ4 2018","FQ4 2018","Currency=USD","Period=FQ","BEST_FPERIOD_OVERRIDE=FQ","FILING_STATUS=MR","SCALING_FORMAT=MLN","Sort=A","Dates=H","DateFormat=P","Fill=—","Direction=H","UseDPDF=Y")</f>
        <v>5751</v>
      </c>
      <c r="E63" s="13" cm="1">
        <f t="array" ref="E63">_xll.BDH("DE US Equity","PENSION_LIABILITIES","FQ1 2019","FQ1 2019","Currency=USD","Period=FQ","BEST_FPERIOD_OVERRIDE=FQ","FILING_STATUS=MR","SCALING_FORMAT=MLN","Sort=A","Dates=H","DateFormat=P","Fill=—","Direction=H","UseDPDF=Y")</f>
        <v>5758.9</v>
      </c>
      <c r="F63" s="13" cm="1">
        <f t="array" ref="F63">_xll.BDH("DE US Equity","PENSION_LIABILITIES","FQ2 2019","FQ2 2019","Currency=USD","Period=FQ","BEST_FPERIOD_OVERRIDE=FQ","FILING_STATUS=MR","SCALING_FORMAT=MLN","Sort=A","Dates=H","DateFormat=P","Fill=—","Direction=H","UseDPDF=Y")</f>
        <v>5733</v>
      </c>
      <c r="G63" s="13" cm="1">
        <f t="array" ref="G63">_xll.BDH("DE US Equity","PENSION_LIABILITIES","FQ3 2019","FQ3 2019","Currency=USD","Period=FQ","BEST_FPERIOD_OVERRIDE=FQ","FILING_STATUS=MR","SCALING_FORMAT=MLN","Sort=A","Dates=H","DateFormat=P","Fill=—","Direction=H","UseDPDF=Y")</f>
        <v>5781</v>
      </c>
      <c r="H63" s="13" cm="1">
        <f t="array" ref="H63">_xll.BDH("DE US Equity","PENSION_LIABILITIES","FQ4 2019","FQ4 2019","Currency=USD","Period=FQ","BEST_FPERIOD_OVERRIDE=FQ","FILING_STATUS=MR","SCALING_FORMAT=MLN","Sort=A","Dates=H","DateFormat=P","Fill=—","Direction=H","UseDPDF=Y")</f>
        <v>5953</v>
      </c>
      <c r="I63" s="13" t="str" cm="1">
        <f t="array" ref="I63">_xll.BDH("DE US Equity","PENSION_LIABILITIES","FQ1 2020","FQ1 2020","Currency=USD","Period=FQ","BEST_FPERIOD_OVERRIDE=FQ","FILING_STATUS=MR","SCALING_FORMAT=MLN","Sort=A","Dates=H","DateFormat=P","Fill=—","Direction=H","UseDPDF=Y")</f>
        <v>—</v>
      </c>
      <c r="J63" s="13" t="str" cm="1">
        <f t="array" ref="J63">_xll.BDH("DE US Equity","PENSION_LIABILITIES","FQ2 2020","FQ2 2020","Currency=USD","Period=FQ","BEST_FPERIOD_OVERRIDE=FQ","FILING_STATUS=MR","SCALING_FORMAT=MLN","Sort=A","Dates=H","DateFormat=P","Fill=—","Direction=H","UseDPDF=Y")</f>
        <v>—</v>
      </c>
      <c r="K63" s="13" cm="1">
        <f t="array" ref="K63">_xll.BDH("DE US Equity","PENSION_LIABILITIES","FQ3 2020","FQ3 2020","Currency=USD","Period=FQ","BEST_FPERIOD_OVERRIDE=FQ","FILING_STATUS=MR","SCALING_FORMAT=MLN","Sort=A","Dates=H","DateFormat=P","Fill=—","Direction=H","UseDPDF=Y")</f>
        <v>5776</v>
      </c>
      <c r="L63" s="13" cm="1">
        <f t="array" ref="L63">_xll.BDH("DE US Equity","PENSION_LIABILITIES","FQ4 2020","FQ4 2020","Currency=USD","Period=FQ","BEST_FPERIOD_OVERRIDE=FQ","FILING_STATUS=MR","SCALING_FORMAT=MLN","Sort=A","Dates=H","DateFormat=P","Fill=—","Direction=H","UseDPDF=Y")</f>
        <v>5094</v>
      </c>
      <c r="M63" s="13" cm="1">
        <f t="array" ref="M63">_xll.BDH("DE US Equity","PENSION_LIABILITIES","FQ1 2021","FQ1 2021","Currency=USD","Period=FQ","BEST_FPERIOD_OVERRIDE=FQ","FILING_STATUS=MR","SCALING_FORMAT=MLN","Sort=A","Dates=H","DateFormat=P","Fill=—","Direction=H","UseDPDF=Y")</f>
        <v>5374</v>
      </c>
      <c r="N63" s="13" cm="1">
        <f t="array" ref="N63">_xll.BDH("DE US Equity","PENSION_LIABILITIES","FQ2 2021","FQ2 2021","Currency=USD","Period=FQ","BEST_FPERIOD_OVERRIDE=FQ","FILING_STATUS=MR","SCALING_FORMAT=MLN","Sort=A","Dates=H","DateFormat=P","Fill=—","Direction=H","UseDPDF=Y")</f>
        <v>5305</v>
      </c>
      <c r="O63" s="13" cm="1">
        <f t="array" ref="O63">_xll.BDH("DE US Equity","PENSION_LIABILITIES","FQ3 2021","FQ3 2021","Currency=USD","Period=FQ","BEST_FPERIOD_OVERRIDE=FQ","FILING_STATUS=MR","SCALING_FORMAT=MLN","Sort=A","Dates=H","DateFormat=P","Fill=—","Direction=H","UseDPDF=Y")</f>
        <v>5272</v>
      </c>
      <c r="P63" s="13" cm="1">
        <f t="array" ref="P63">_xll.BDH("DE US Equity","PENSION_LIABILITIES","FQ4 2021","FQ4 2021","Currency=USD","Period=FQ","BEST_FPERIOD_OVERRIDE=FQ","FILING_STATUS=MR","SCALING_FORMAT=MLN","Sort=A","Dates=H","DateFormat=P","Fill=—","Direction=H","UseDPDF=Y")</f>
        <v>4344</v>
      </c>
      <c r="Q63" s="13" cm="1">
        <f t="array" ref="Q63">_xll.BDH("DE US Equity","PENSION_LIABILITIES","FQ1 2022","FQ1 2022","Currency=USD","Period=FQ","BEST_FPERIOD_OVERRIDE=FQ","FILING_STATUS=MR","SCALING_FORMAT=MLN","Sort=A","Dates=H","DateFormat=P","Fill=—","Direction=H","UseDPDF=Y")</f>
        <v>3289</v>
      </c>
      <c r="R63" s="13" cm="1">
        <f t="array" ref="R63">_xll.BDH("DE US Equity","PENSION_LIABILITIES","FQ2 2022","FQ2 2022","Currency=USD","Period=FQ","BEST_FPERIOD_OVERRIDE=FQ","FILING_STATUS=MR","SCALING_FORMAT=MLN","Sort=A","Dates=H","DateFormat=P","Fill=—","Direction=H","UseDPDF=Y")</f>
        <v>2964</v>
      </c>
      <c r="S63" s="13" cm="1">
        <f t="array" ref="S63">_xll.BDH("DE US Equity","PENSION_LIABILITIES","FQ3 2022","FQ3 2022","Currency=USD","Period=FQ","BEST_FPERIOD_OVERRIDE=FQ","FILING_STATUS=MR","SCALING_FORMAT=MLN","Sort=A","Dates=H","DateFormat=P","Fill=—","Direction=H","UseDPDF=Y")</f>
        <v>2911</v>
      </c>
      <c r="T63" s="13" cm="1">
        <f t="array" ref="T63">_xll.BDH("DE US Equity","PENSION_LIABILITIES","FQ4 2022","FQ4 2022","Currency=USD","Period=FQ","BEST_FPERIOD_OVERRIDE=FQ","FILING_STATUS=MR","SCALING_FORMAT=MLN","Sort=A","Dates=H","DateFormat=P","Fill=—","Direction=H","UseDPDF=Y")</f>
        <v>2457</v>
      </c>
      <c r="U63" s="13" cm="1">
        <f t="array" ref="U63">_xll.BDH("DE US Equity","PENSION_LIABILITIES","FQ1 2023","FQ1 2023","Currency=USD","Period=FQ","BEST_FPERIOD_OVERRIDE=FQ","FILING_STATUS=MR","SCALING_FORMAT=MLN","Sort=A","Dates=H","DateFormat=P","Fill=—","Direction=H","UseDPDF=Y")</f>
        <v>2493</v>
      </c>
      <c r="V63" s="13" cm="1">
        <f t="array" ref="V63">_xll.BDH("DE US Equity","PENSION_LIABILITIES","FQ2 2023","FQ2 2023","Currency=USD","Period=FQ","BEST_FPERIOD_OVERRIDE=FQ","FILING_STATUS=MR","SCALING_FORMAT=MLN","Sort=A","Dates=H","DateFormat=P","Fill=—","Direction=H","UseDPDF=Y")</f>
        <v>2520</v>
      </c>
      <c r="W63" s="13" cm="1">
        <f t="array" ref="W63">_xll.BDH("DE US Equity","PENSION_LIABILITIES","FQ3 2023","FQ3 2023","Currency=USD","Period=FQ","BEST_FPERIOD_OVERRIDE=FQ","FILING_STATUS=MR","SCALING_FORMAT=MLN","Sort=A","Dates=H","DateFormat=P","Fill=—","Direction=H","UseDPDF=Y")</f>
        <v>2536</v>
      </c>
      <c r="X63" s="13" cm="1">
        <f t="array" ref="X63">_xll.BDH("DE US Equity","PENSION_LIABILITIES","FQ4 2023","FQ4 2023","Currency=USD","Period=FQ","BEST_FPERIOD_OVERRIDE=FQ","FILING_STATUS=MR","SCALING_FORMAT=MLN","Sort=A","Dates=H","DateFormat=P","Fill=—","Direction=H","UseDPDF=Y")</f>
        <v>2140</v>
      </c>
      <c r="Y63" s="13" cm="1">
        <f t="array" ref="Y63">_xll.BDH("DE US Equity","PENSION_LIABILITIES","FQ1 2024","FQ1 2024","Currency=USD","Period=FQ","BEST_FPERIOD_OVERRIDE=FQ","FILING_STATUS=MR","SCALING_FORMAT=MLN","Sort=A","Dates=H","DateFormat=P","Fill=—","Direction=H","UseDPDF=Y")</f>
        <v>2115</v>
      </c>
      <c r="Z63" s="13" cm="1">
        <f t="array" ref="Z63">_xll.BDH("DE US Equity","PENSION_LIABILITIES","FQ2 2024","FQ2 2024","Currency=USD","Period=FQ","BEST_FPERIOD_OVERRIDE=FQ","FILING_STATUS=MR","SCALING_FORMAT=MLN","Sort=A","Dates=H","DateFormat=P","Fill=—","Direction=H","UseDPDF=Y")</f>
        <v>2105</v>
      </c>
      <c r="AA63" s="13" cm="1">
        <f t="array" ref="AA63">_xll.BDH("DE US Equity","PENSION_LIABILITIES","FQ3 2024","FQ3 2024","Currency=USD","Period=FQ","BEST_FPERIOD_OVERRIDE=FQ","FILING_STATUS=MR","SCALING_FORMAT=MLN","Sort=A","Dates=H","DateFormat=P","Fill=—","Direction=H","UseDPDF=Y")</f>
        <v>2156</v>
      </c>
      <c r="AB63" s="13" cm="1">
        <f t="array" ref="AB63">_xll.BDH("DE US Equity","PENSION_LIABILITIES","FQ4 2024","FQ4 2024","Currency=USD","Period=FQ","BEST_FPERIOD_OVERRIDE=FQ","FILING_STATUS=MR","SCALING_FORMAT=MLN","Sort=A","Dates=H","DateFormat=P","Fill=—","Direction=H","UseDPDF=Y")</f>
        <v>2354</v>
      </c>
      <c r="AC63" s="13" cm="1">
        <f t="array" ref="AC63">_xll.BDH("DE US Equity","PENSION_LIABILITIES","FQ1 2025","FQ1 2025","Currency=USD","Period=FQ","BEST_FPERIOD_OVERRIDE=FQ","FILING_STATUS=MR","SCALING_FORMAT=MLN","Sort=A","Dates=H","DateFormat=P","Fill=—","Direction=H","UseDPDF=Y")</f>
        <v>1734</v>
      </c>
      <c r="AD63" s="13" cm="1">
        <f t="array" ref="AD63">_xll.BDH("DE US Equity","PENSION_LIABILITIES","FQ2 2025","FQ2 2025","Currency=USD","Period=FQ","BEST_FPERIOD_OVERRIDE=FQ","FILING_STATUS=MR","SCALING_FORMAT=MLN","Sort=A","Dates=H","DateFormat=P","Fill=—","Direction=H","UseDPDF=Y")</f>
        <v>1763</v>
      </c>
      <c r="AE63" s="13" cm="1">
        <f t="array" ref="AE63">_xll.BDH("DE US Equity","PENSION_LIABILITIES","FQ3 2025","FQ3 2025","Currency=USD","Period=FQ","BEST_FPERIOD_OVERRIDE=FQ","FILING_STATUS=MR","SCALING_FORMAT=MLN","Sort=A","Dates=H","DateFormat=P","Fill=—","Direction=H","UseDPDF=Y")</f>
        <v>1836</v>
      </c>
      <c r="AF63" s="13" cm="1">
        <f t="array" ref="AF63">_xll.BDH("DE US Equity","PENSION_LIABILITIES","FQ4 2025","FQ4 2025","Currency=USD","Period=FQ","BEST_FPERIOD_OVERRIDE=FQ","FILING_STATUS=MR","SCALING_FORMAT=MLN","Sort=A","Dates=H","DateFormat=P","Fill=—","Direction=H","UseDPDF=Y")</f>
        <v>1710</v>
      </c>
    </row>
    <row r="64" spans="1:32" x14ac:dyDescent="0.25">
      <c r="A64" s="11" t="s">
        <v>175</v>
      </c>
      <c r="B64" s="11" t="s">
        <v>176</v>
      </c>
      <c r="C64" s="17" t="str" cm="1">
        <f t="array" ref="C64">_xll.BDH("DE US Equity","BS_PENSIONS_LT_LIABS","FQ3 2018","FQ3 2018","Currency=USD","Period=FQ","BEST_FPERIOD_OVERRIDE=FQ","FILING_STATUS=MR","SCALING_FORMAT=MLN","Sort=A","Dates=H","DateFormat=P","Fill=—","Direction=H","UseDPDF=Y")</f>
        <v>—</v>
      </c>
      <c r="D64" s="17" t="str" cm="1">
        <f t="array" ref="D64">_xll.BDH("DE US Equity","BS_PENSIONS_LT_LIABS","FQ4 2018","FQ4 2018","Currency=USD","Period=FQ","BEST_FPERIOD_OVERRIDE=FQ","FILING_STATUS=MR","SCALING_FORMAT=MLN","Sort=A","Dates=H","DateFormat=P","Fill=—","Direction=H","UseDPDF=Y")</f>
        <v>—</v>
      </c>
      <c r="E64" s="17" t="str" cm="1">
        <f t="array" ref="E64">_xll.BDH("DE US Equity","BS_PENSIONS_LT_LIABS","FQ1 2019","FQ1 2019","Currency=USD","Period=FQ","BEST_FPERIOD_OVERRIDE=FQ","FILING_STATUS=MR","SCALING_FORMAT=MLN","Sort=A","Dates=H","DateFormat=P","Fill=—","Direction=H","UseDPDF=Y")</f>
        <v>—</v>
      </c>
      <c r="F64" s="17" t="str" cm="1">
        <f t="array" ref="F64">_xll.BDH("DE US Equity","BS_PENSIONS_LT_LIABS","FQ2 2019","FQ2 2019","Currency=USD","Period=FQ","BEST_FPERIOD_OVERRIDE=FQ","FILING_STATUS=MR","SCALING_FORMAT=MLN","Sort=A","Dates=H","DateFormat=P","Fill=—","Direction=H","UseDPDF=Y")</f>
        <v>—</v>
      </c>
      <c r="G64" s="17" t="str" cm="1">
        <f t="array" ref="G64">_xll.BDH("DE US Equity","BS_PENSIONS_LT_LIABS","FQ3 2019","FQ3 2019","Currency=USD","Period=FQ","BEST_FPERIOD_OVERRIDE=FQ","FILING_STATUS=MR","SCALING_FORMAT=MLN","Sort=A","Dates=H","DateFormat=P","Fill=—","Direction=H","UseDPDF=Y")</f>
        <v>—</v>
      </c>
      <c r="H64" s="17" t="str" cm="1">
        <f t="array" ref="H64">_xll.BDH("DE US Equity","BS_PENSIONS_LT_LIABS","FQ4 2019","FQ4 2019","Currency=USD","Period=FQ","BEST_FPERIOD_OVERRIDE=FQ","FILING_STATUS=MR","SCALING_FORMAT=MLN","Sort=A","Dates=H","DateFormat=P","Fill=—","Direction=H","UseDPDF=Y")</f>
        <v>—</v>
      </c>
      <c r="I64" s="17" t="str" cm="1">
        <f t="array" ref="I64">_xll.BDH("DE US Equity","BS_PENSIONS_LT_LIABS","FQ1 2020","FQ1 2020","Currency=USD","Period=FQ","BEST_FPERIOD_OVERRIDE=FQ","FILING_STATUS=MR","SCALING_FORMAT=MLN","Sort=A","Dates=H","DateFormat=P","Fill=—","Direction=H","UseDPDF=Y")</f>
        <v>—</v>
      </c>
      <c r="J64" s="17" t="str" cm="1">
        <f t="array" ref="J64">_xll.BDH("DE US Equity","BS_PENSIONS_LT_LIABS","FQ2 2020","FQ2 2020","Currency=USD","Period=FQ","BEST_FPERIOD_OVERRIDE=FQ","FILING_STATUS=MR","SCALING_FORMAT=MLN","Sort=A","Dates=H","DateFormat=P","Fill=—","Direction=H","UseDPDF=Y")</f>
        <v>—</v>
      </c>
      <c r="K64" s="17" t="str" cm="1">
        <f t="array" ref="K64">_xll.BDH("DE US Equity","BS_PENSIONS_LT_LIABS","FQ3 2020","FQ3 2020","Currency=USD","Period=FQ","BEST_FPERIOD_OVERRIDE=FQ","FILING_STATUS=MR","SCALING_FORMAT=MLN","Sort=A","Dates=H","DateFormat=P","Fill=—","Direction=H","UseDPDF=Y")</f>
        <v>—</v>
      </c>
      <c r="L64" s="17" cm="1">
        <f t="array" ref="L64">_xll.BDH("DE US Equity","BS_PENSIONS_LT_LIABS","FQ4 2020","FQ4 2020","Currency=USD","Period=FQ","BEST_FPERIOD_OVERRIDE=FQ","FILING_STATUS=MR","SCALING_FORMAT=MLN","Sort=A","Dates=H","DateFormat=P","Fill=—","Direction=H","UseDPDF=Y")</f>
        <v>1238</v>
      </c>
      <c r="M64" s="17" t="str" cm="1">
        <f t="array" ref="M64">_xll.BDH("DE US Equity","BS_PENSIONS_LT_LIABS","FQ1 2021","FQ1 2021","Currency=USD","Period=FQ","BEST_FPERIOD_OVERRIDE=FQ","FILING_STATUS=MR","SCALING_FORMAT=MLN","Sort=A","Dates=H","DateFormat=P","Fill=—","Direction=H","UseDPDF=Y")</f>
        <v>—</v>
      </c>
      <c r="N64" s="17" t="str" cm="1">
        <f t="array" ref="N64">_xll.BDH("DE US Equity","BS_PENSIONS_LT_LIABS","FQ2 2021","FQ2 2021","Currency=USD","Period=FQ","BEST_FPERIOD_OVERRIDE=FQ","FILING_STATUS=MR","SCALING_FORMAT=MLN","Sort=A","Dates=H","DateFormat=P","Fill=—","Direction=H","UseDPDF=Y")</f>
        <v>—</v>
      </c>
      <c r="O64" s="17" t="str" cm="1">
        <f t="array" ref="O64">_xll.BDH("DE US Equity","BS_PENSIONS_LT_LIABS","FQ3 2021","FQ3 2021","Currency=USD","Period=FQ","BEST_FPERIOD_OVERRIDE=FQ","FILING_STATUS=MR","SCALING_FORMAT=MLN","Sort=A","Dates=H","DateFormat=P","Fill=—","Direction=H","UseDPDF=Y")</f>
        <v>—</v>
      </c>
      <c r="P64" s="17" cm="1">
        <f t="array" ref="P64">_xll.BDH("DE US Equity","BS_PENSIONS_LT_LIABS","FQ4 2021","FQ4 2021","Currency=USD","Period=FQ","BEST_FPERIOD_OVERRIDE=FQ","FILING_STATUS=MR","SCALING_FORMAT=MLN","Sort=A","Dates=H","DateFormat=P","Fill=—","Direction=H","UseDPDF=Y")</f>
        <v>885</v>
      </c>
      <c r="Q64" s="17" t="str" cm="1">
        <f t="array" ref="Q64">_xll.BDH("DE US Equity","BS_PENSIONS_LT_LIABS","FQ1 2022","FQ1 2022","Currency=USD","Period=FQ","BEST_FPERIOD_OVERRIDE=FQ","FILING_STATUS=MR","SCALING_FORMAT=MLN","Sort=A","Dates=H","DateFormat=P","Fill=—","Direction=H","UseDPDF=Y")</f>
        <v>—</v>
      </c>
      <c r="R64" s="17" t="str" cm="1">
        <f t="array" ref="R64">_xll.BDH("DE US Equity","BS_PENSIONS_LT_LIABS","FQ2 2022","FQ2 2022","Currency=USD","Period=FQ","BEST_FPERIOD_OVERRIDE=FQ","FILING_STATUS=MR","SCALING_FORMAT=MLN","Sort=A","Dates=H","DateFormat=P","Fill=—","Direction=H","UseDPDF=Y")</f>
        <v>—</v>
      </c>
      <c r="S64" s="17" t="str" cm="1">
        <f t="array" ref="S64">_xll.BDH("DE US Equity","BS_PENSIONS_LT_LIABS","FQ3 2022","FQ3 2022","Currency=USD","Period=FQ","BEST_FPERIOD_OVERRIDE=FQ","FILING_STATUS=MR","SCALING_FORMAT=MLN","Sort=A","Dates=H","DateFormat=P","Fill=—","Direction=H","UseDPDF=Y")</f>
        <v>—</v>
      </c>
      <c r="T64" s="17" cm="1">
        <f t="array" ref="T64">_xll.BDH("DE US Equity","BS_PENSIONS_LT_LIABS","FQ4 2022","FQ4 2022","Currency=USD","Period=FQ","BEST_FPERIOD_OVERRIDE=FQ","FILING_STATUS=MR","SCALING_FORMAT=MLN","Sort=A","Dates=H","DateFormat=P","Fill=—","Direction=H","UseDPDF=Y")</f>
        <v>450</v>
      </c>
      <c r="U64" s="17" t="str" cm="1">
        <f t="array" ref="U64">_xll.BDH("DE US Equity","BS_PENSIONS_LT_LIABS","FQ1 2023","FQ1 2023","Currency=USD","Period=FQ","BEST_FPERIOD_OVERRIDE=FQ","FILING_STATUS=MR","SCALING_FORMAT=MLN","Sort=A","Dates=H","DateFormat=P","Fill=—","Direction=H","UseDPDF=Y")</f>
        <v>—</v>
      </c>
      <c r="V64" s="17" t="str" cm="1">
        <f t="array" ref="V64">_xll.BDH("DE US Equity","BS_PENSIONS_LT_LIABS","FQ2 2023","FQ2 2023","Currency=USD","Period=FQ","BEST_FPERIOD_OVERRIDE=FQ","FILING_STATUS=MR","SCALING_FORMAT=MLN","Sort=A","Dates=H","DateFormat=P","Fill=—","Direction=H","UseDPDF=Y")</f>
        <v>—</v>
      </c>
      <c r="W64" s="17" t="str" cm="1">
        <f t="array" ref="W64">_xll.BDH("DE US Equity","BS_PENSIONS_LT_LIABS","FQ3 2023","FQ3 2023","Currency=USD","Period=FQ","BEST_FPERIOD_OVERRIDE=FQ","FILING_STATUS=MR","SCALING_FORMAT=MLN","Sort=A","Dates=H","DateFormat=P","Fill=—","Direction=H","UseDPDF=Y")</f>
        <v>—</v>
      </c>
      <c r="X64" s="17" cm="1">
        <f t="array" ref="X64">_xll.BDH("DE US Equity","BS_PENSIONS_LT_LIABS","FQ4 2023","FQ4 2023","Currency=USD","Period=FQ","BEST_FPERIOD_OVERRIDE=FQ","FILING_STATUS=MR","SCALING_FORMAT=MLN","Sort=A","Dates=H","DateFormat=P","Fill=—","Direction=H","UseDPDF=Y")</f>
        <v>473</v>
      </c>
      <c r="Y64" s="17" t="str" cm="1">
        <f t="array" ref="Y64">_xll.BDH("DE US Equity","BS_PENSIONS_LT_LIABS","FQ1 2024","FQ1 2024","Currency=USD","Period=FQ","BEST_FPERIOD_OVERRIDE=FQ","FILING_STATUS=MR","SCALING_FORMAT=MLN","Sort=A","Dates=H","DateFormat=P","Fill=—","Direction=H","UseDPDF=Y")</f>
        <v>—</v>
      </c>
      <c r="Z64" s="17" t="str" cm="1">
        <f t="array" ref="Z64">_xll.BDH("DE US Equity","BS_PENSIONS_LT_LIABS","FQ2 2024","FQ2 2024","Currency=USD","Period=FQ","BEST_FPERIOD_OVERRIDE=FQ","FILING_STATUS=MR","SCALING_FORMAT=MLN","Sort=A","Dates=H","DateFormat=P","Fill=—","Direction=H","UseDPDF=Y")</f>
        <v>—</v>
      </c>
      <c r="AA64" s="17" t="str" cm="1">
        <f t="array" ref="AA64">_xll.BDH("DE US Equity","BS_PENSIONS_LT_LIABS","FQ3 2024","FQ3 2024","Currency=USD","Period=FQ","BEST_FPERIOD_OVERRIDE=FQ","FILING_STATUS=MR","SCALING_FORMAT=MLN","Sort=A","Dates=H","DateFormat=P","Fill=—","Direction=H","UseDPDF=Y")</f>
        <v>—</v>
      </c>
      <c r="AB64" s="17" cm="1">
        <f t="array" ref="AB64">_xll.BDH("DE US Equity","BS_PENSIONS_LT_LIABS","FQ4 2024","FQ4 2024","Currency=USD","Period=FQ","BEST_FPERIOD_OVERRIDE=FQ","FILING_STATUS=MR","SCALING_FORMAT=MLN","Sort=A","Dates=H","DateFormat=P","Fill=—","Direction=H","UseDPDF=Y")</f>
        <v>524</v>
      </c>
      <c r="AC64" s="17" t="str" cm="1">
        <f t="array" ref="AC64">_xll.BDH("DE US Equity","BS_PENSIONS_LT_LIABS","FQ1 2025","FQ1 2025","Currency=USD","Period=FQ","BEST_FPERIOD_OVERRIDE=FQ","FILING_STATUS=MR","SCALING_FORMAT=MLN","Sort=A","Dates=H","DateFormat=P","Fill=—","Direction=H","UseDPDF=Y")</f>
        <v>—</v>
      </c>
      <c r="AD64" s="17" t="str" cm="1">
        <f t="array" ref="AD64">_xll.BDH("DE US Equity","BS_PENSIONS_LT_LIABS","FQ2 2025","FQ2 2025","Currency=USD","Period=FQ","BEST_FPERIOD_OVERRIDE=FQ","FILING_STATUS=MR","SCALING_FORMAT=MLN","Sort=A","Dates=H","DateFormat=P","Fill=—","Direction=H","UseDPDF=Y")</f>
        <v>—</v>
      </c>
      <c r="AE64" s="17" t="str" cm="1">
        <f t="array" ref="AE64">_xll.BDH("DE US Equity","BS_PENSIONS_LT_LIABS","FQ3 2025","FQ3 2025","Currency=USD","Period=FQ","BEST_FPERIOD_OVERRIDE=FQ","FILING_STATUS=MR","SCALING_FORMAT=MLN","Sort=A","Dates=H","DateFormat=P","Fill=—","Direction=H","UseDPDF=Y")</f>
        <v>—</v>
      </c>
      <c r="AF64" s="17" cm="1">
        <f t="array" ref="AF64">_xll.BDH("DE US Equity","BS_PENSIONS_LT_LIABS","FQ4 2025","FQ4 2025","Currency=USD","Period=FQ","BEST_FPERIOD_OVERRIDE=FQ","FILING_STATUS=MR","SCALING_FORMAT=MLN","Sort=A","Dates=H","DateFormat=P","Fill=—","Direction=H","UseDPDF=Y")</f>
        <v>465</v>
      </c>
    </row>
    <row r="65" spans="1:32" x14ac:dyDescent="0.25">
      <c r="A65" s="11" t="s">
        <v>177</v>
      </c>
      <c r="B65" s="11" t="s">
        <v>178</v>
      </c>
      <c r="C65" s="17" t="str" cm="1">
        <f t="array" ref="C65">_xll.BDH("DE US Equity","BS_OPRB_LT_LIABS","FQ3 2018","FQ3 2018","Currency=USD","Period=FQ","BEST_FPERIOD_OVERRIDE=FQ","FILING_STATUS=MR","SCALING_FORMAT=MLN","Sort=A","Dates=H","DateFormat=P","Fill=—","Direction=H","UseDPDF=Y")</f>
        <v>—</v>
      </c>
      <c r="D65" s="17" t="str" cm="1">
        <f t="array" ref="D65">_xll.BDH("DE US Equity","BS_OPRB_LT_LIABS","FQ4 2018","FQ4 2018","Currency=USD","Period=FQ","BEST_FPERIOD_OVERRIDE=FQ","FILING_STATUS=MR","SCALING_FORMAT=MLN","Sort=A","Dates=H","DateFormat=P","Fill=—","Direction=H","UseDPDF=Y")</f>
        <v>—</v>
      </c>
      <c r="E65" s="17" t="str" cm="1">
        <f t="array" ref="E65">_xll.BDH("DE US Equity","BS_OPRB_LT_LIABS","FQ1 2019","FQ1 2019","Currency=USD","Period=FQ","BEST_FPERIOD_OVERRIDE=FQ","FILING_STATUS=MR","SCALING_FORMAT=MLN","Sort=A","Dates=H","DateFormat=P","Fill=—","Direction=H","UseDPDF=Y")</f>
        <v>—</v>
      </c>
      <c r="F65" s="17" t="str" cm="1">
        <f t="array" ref="F65">_xll.BDH("DE US Equity","BS_OPRB_LT_LIABS","FQ2 2019","FQ2 2019","Currency=USD","Period=FQ","BEST_FPERIOD_OVERRIDE=FQ","FILING_STATUS=MR","SCALING_FORMAT=MLN","Sort=A","Dates=H","DateFormat=P","Fill=—","Direction=H","UseDPDF=Y")</f>
        <v>—</v>
      </c>
      <c r="G65" s="17" t="str" cm="1">
        <f t="array" ref="G65">_xll.BDH("DE US Equity","BS_OPRB_LT_LIABS","FQ3 2019","FQ3 2019","Currency=USD","Period=FQ","BEST_FPERIOD_OVERRIDE=FQ","FILING_STATUS=MR","SCALING_FORMAT=MLN","Sort=A","Dates=H","DateFormat=P","Fill=—","Direction=H","UseDPDF=Y")</f>
        <v>—</v>
      </c>
      <c r="H65" s="17" t="str" cm="1">
        <f t="array" ref="H65">_xll.BDH("DE US Equity","BS_OPRB_LT_LIABS","FQ4 2019","FQ4 2019","Currency=USD","Period=FQ","BEST_FPERIOD_OVERRIDE=FQ","FILING_STATUS=MR","SCALING_FORMAT=MLN","Sort=A","Dates=H","DateFormat=P","Fill=—","Direction=H","UseDPDF=Y")</f>
        <v>—</v>
      </c>
      <c r="I65" s="17" t="str" cm="1">
        <f t="array" ref="I65">_xll.BDH("DE US Equity","BS_OPRB_LT_LIABS","FQ1 2020","FQ1 2020","Currency=USD","Period=FQ","BEST_FPERIOD_OVERRIDE=FQ","FILING_STATUS=MR","SCALING_FORMAT=MLN","Sort=A","Dates=H","DateFormat=P","Fill=—","Direction=H","UseDPDF=Y")</f>
        <v>—</v>
      </c>
      <c r="J65" s="17" t="str" cm="1">
        <f t="array" ref="J65">_xll.BDH("DE US Equity","BS_OPRB_LT_LIABS","FQ2 2020","FQ2 2020","Currency=USD","Period=FQ","BEST_FPERIOD_OVERRIDE=FQ","FILING_STATUS=MR","SCALING_FORMAT=MLN","Sort=A","Dates=H","DateFormat=P","Fill=—","Direction=H","UseDPDF=Y")</f>
        <v>—</v>
      </c>
      <c r="K65" s="17" t="str" cm="1">
        <f t="array" ref="K65">_xll.BDH("DE US Equity","BS_OPRB_LT_LIABS","FQ3 2020","FQ3 2020","Currency=USD","Period=FQ","BEST_FPERIOD_OVERRIDE=FQ","FILING_STATUS=MR","SCALING_FORMAT=MLN","Sort=A","Dates=H","DateFormat=P","Fill=—","Direction=H","UseDPDF=Y")</f>
        <v>—</v>
      </c>
      <c r="L65" s="17" cm="1">
        <f t="array" ref="L65">_xll.BDH("DE US Equity","BS_OPRB_LT_LIABS","FQ4 2020","FQ4 2020","Currency=USD","Period=FQ","BEST_FPERIOD_OVERRIDE=FQ","FILING_STATUS=MR","SCALING_FORMAT=MLN","Sort=A","Dates=H","DateFormat=P","Fill=—","Direction=H","UseDPDF=Y")</f>
        <v>3856</v>
      </c>
      <c r="M65" s="17" t="str" cm="1">
        <f t="array" ref="M65">_xll.BDH("DE US Equity","BS_OPRB_LT_LIABS","FQ1 2021","FQ1 2021","Currency=USD","Period=FQ","BEST_FPERIOD_OVERRIDE=FQ","FILING_STATUS=MR","SCALING_FORMAT=MLN","Sort=A","Dates=H","DateFormat=P","Fill=—","Direction=H","UseDPDF=Y")</f>
        <v>—</v>
      </c>
      <c r="N65" s="17" t="str" cm="1">
        <f t="array" ref="N65">_xll.BDH("DE US Equity","BS_OPRB_LT_LIABS","FQ2 2021","FQ2 2021","Currency=USD","Period=FQ","BEST_FPERIOD_OVERRIDE=FQ","FILING_STATUS=MR","SCALING_FORMAT=MLN","Sort=A","Dates=H","DateFormat=P","Fill=—","Direction=H","UseDPDF=Y")</f>
        <v>—</v>
      </c>
      <c r="O65" s="17" t="str" cm="1">
        <f t="array" ref="O65">_xll.BDH("DE US Equity","BS_OPRB_LT_LIABS","FQ3 2021","FQ3 2021","Currency=USD","Period=FQ","BEST_FPERIOD_OVERRIDE=FQ","FILING_STATUS=MR","SCALING_FORMAT=MLN","Sort=A","Dates=H","DateFormat=P","Fill=—","Direction=H","UseDPDF=Y")</f>
        <v>—</v>
      </c>
      <c r="P65" s="17" cm="1">
        <f t="array" ref="P65">_xll.BDH("DE US Equity","BS_OPRB_LT_LIABS","FQ4 2021","FQ4 2021","Currency=USD","Period=FQ","BEST_FPERIOD_OVERRIDE=FQ","FILING_STATUS=MR","SCALING_FORMAT=MLN","Sort=A","Dates=H","DateFormat=P","Fill=—","Direction=H","UseDPDF=Y")</f>
        <v>3139</v>
      </c>
      <c r="Q65" s="17" t="str" cm="1">
        <f t="array" ref="Q65">_xll.BDH("DE US Equity","BS_OPRB_LT_LIABS","FQ1 2022","FQ1 2022","Currency=USD","Period=FQ","BEST_FPERIOD_OVERRIDE=FQ","FILING_STATUS=MR","SCALING_FORMAT=MLN","Sort=A","Dates=H","DateFormat=P","Fill=—","Direction=H","UseDPDF=Y")</f>
        <v>—</v>
      </c>
      <c r="R65" s="17" t="str" cm="1">
        <f t="array" ref="R65">_xll.BDH("DE US Equity","BS_OPRB_LT_LIABS","FQ2 2022","FQ2 2022","Currency=USD","Period=FQ","BEST_FPERIOD_OVERRIDE=FQ","FILING_STATUS=MR","SCALING_FORMAT=MLN","Sort=A","Dates=H","DateFormat=P","Fill=—","Direction=H","UseDPDF=Y")</f>
        <v>—</v>
      </c>
      <c r="S65" s="17" t="str" cm="1">
        <f t="array" ref="S65">_xll.BDH("DE US Equity","BS_OPRB_LT_LIABS","FQ3 2022","FQ3 2022","Currency=USD","Period=FQ","BEST_FPERIOD_OVERRIDE=FQ","FILING_STATUS=MR","SCALING_FORMAT=MLN","Sort=A","Dates=H","DateFormat=P","Fill=—","Direction=H","UseDPDF=Y")</f>
        <v>—</v>
      </c>
      <c r="T65" s="17" cm="1">
        <f t="array" ref="T65">_xll.BDH("DE US Equity","BS_OPRB_LT_LIABS","FQ4 2022","FQ4 2022","Currency=USD","Period=FQ","BEST_FPERIOD_OVERRIDE=FQ","FILING_STATUS=MR","SCALING_FORMAT=MLN","Sort=A","Dates=H","DateFormat=P","Fill=—","Direction=H","UseDPDF=Y")</f>
        <v>1673</v>
      </c>
      <c r="U65" s="17" t="str" cm="1">
        <f t="array" ref="U65">_xll.BDH("DE US Equity","BS_OPRB_LT_LIABS","FQ1 2023","FQ1 2023","Currency=USD","Period=FQ","BEST_FPERIOD_OVERRIDE=FQ","FILING_STATUS=MR","SCALING_FORMAT=MLN","Sort=A","Dates=H","DateFormat=P","Fill=—","Direction=H","UseDPDF=Y")</f>
        <v>—</v>
      </c>
      <c r="V65" s="17" t="str" cm="1">
        <f t="array" ref="V65">_xll.BDH("DE US Equity","BS_OPRB_LT_LIABS","FQ2 2023","FQ2 2023","Currency=USD","Period=FQ","BEST_FPERIOD_OVERRIDE=FQ","FILING_STATUS=MR","SCALING_FORMAT=MLN","Sort=A","Dates=H","DateFormat=P","Fill=—","Direction=H","UseDPDF=Y")</f>
        <v>—</v>
      </c>
      <c r="W65" s="17" t="str" cm="1">
        <f t="array" ref="W65">_xll.BDH("DE US Equity","BS_OPRB_LT_LIABS","FQ3 2023","FQ3 2023","Currency=USD","Period=FQ","BEST_FPERIOD_OVERRIDE=FQ","FILING_STATUS=MR","SCALING_FORMAT=MLN","Sort=A","Dates=H","DateFormat=P","Fill=—","Direction=H","UseDPDF=Y")</f>
        <v>—</v>
      </c>
      <c r="X65" s="17" cm="1">
        <f t="array" ref="X65">_xll.BDH("DE US Equity","BS_OPRB_LT_LIABS","FQ4 2023","FQ4 2023","Currency=USD","Period=FQ","BEST_FPERIOD_OVERRIDE=FQ","FILING_STATUS=MR","SCALING_FORMAT=MLN","Sort=A","Dates=H","DateFormat=P","Fill=—","Direction=H","UseDPDF=Y")</f>
        <v>1667</v>
      </c>
      <c r="Y65" s="17" t="str" cm="1">
        <f t="array" ref="Y65">_xll.BDH("DE US Equity","BS_OPRB_LT_LIABS","FQ1 2024","FQ1 2024","Currency=USD","Period=FQ","BEST_FPERIOD_OVERRIDE=FQ","FILING_STATUS=MR","SCALING_FORMAT=MLN","Sort=A","Dates=H","DateFormat=P","Fill=—","Direction=H","UseDPDF=Y")</f>
        <v>—</v>
      </c>
      <c r="Z65" s="17" t="str" cm="1">
        <f t="array" ref="Z65">_xll.BDH("DE US Equity","BS_OPRB_LT_LIABS","FQ2 2024","FQ2 2024","Currency=USD","Period=FQ","BEST_FPERIOD_OVERRIDE=FQ","FILING_STATUS=MR","SCALING_FORMAT=MLN","Sort=A","Dates=H","DateFormat=P","Fill=—","Direction=H","UseDPDF=Y")</f>
        <v>—</v>
      </c>
      <c r="AA65" s="17" t="str" cm="1">
        <f t="array" ref="AA65">_xll.BDH("DE US Equity","BS_OPRB_LT_LIABS","FQ3 2024","FQ3 2024","Currency=USD","Period=FQ","BEST_FPERIOD_OVERRIDE=FQ","FILING_STATUS=MR","SCALING_FORMAT=MLN","Sort=A","Dates=H","DateFormat=P","Fill=—","Direction=H","UseDPDF=Y")</f>
        <v>—</v>
      </c>
      <c r="AB65" s="17" cm="1">
        <f t="array" ref="AB65">_xll.BDH("DE US Equity","BS_OPRB_LT_LIABS","FQ4 2024","FQ4 2024","Currency=USD","Period=FQ","BEST_FPERIOD_OVERRIDE=FQ","FILING_STATUS=MR","SCALING_FORMAT=MLN","Sort=A","Dates=H","DateFormat=P","Fill=—","Direction=H","UseDPDF=Y")</f>
        <v>1830</v>
      </c>
      <c r="AC65" s="17" t="str" cm="1">
        <f t="array" ref="AC65">_xll.BDH("DE US Equity","BS_OPRB_LT_LIABS","FQ1 2025","FQ1 2025","Currency=USD","Period=FQ","BEST_FPERIOD_OVERRIDE=FQ","FILING_STATUS=MR","SCALING_FORMAT=MLN","Sort=A","Dates=H","DateFormat=P","Fill=—","Direction=H","UseDPDF=Y")</f>
        <v>—</v>
      </c>
      <c r="AD65" s="17" t="str" cm="1">
        <f t="array" ref="AD65">_xll.BDH("DE US Equity","BS_OPRB_LT_LIABS","FQ2 2025","FQ2 2025","Currency=USD","Period=FQ","BEST_FPERIOD_OVERRIDE=FQ","FILING_STATUS=MR","SCALING_FORMAT=MLN","Sort=A","Dates=H","DateFormat=P","Fill=—","Direction=H","UseDPDF=Y")</f>
        <v>—</v>
      </c>
      <c r="AE65" s="17" t="str" cm="1">
        <f t="array" ref="AE65">_xll.BDH("DE US Equity","BS_OPRB_LT_LIABS","FQ3 2025","FQ3 2025","Currency=USD","Period=FQ","BEST_FPERIOD_OVERRIDE=FQ","FILING_STATUS=MR","SCALING_FORMAT=MLN","Sort=A","Dates=H","DateFormat=P","Fill=—","Direction=H","UseDPDF=Y")</f>
        <v>—</v>
      </c>
      <c r="AF65" s="17" cm="1">
        <f t="array" ref="AF65">_xll.BDH("DE US Equity","BS_OPRB_LT_LIABS","FQ4 2025","FQ4 2025","Currency=USD","Period=FQ","BEST_FPERIOD_OVERRIDE=FQ","FILING_STATUS=MR","SCALING_FORMAT=MLN","Sort=A","Dates=H","DateFormat=P","Fill=—","Direction=H","UseDPDF=Y")</f>
        <v>1245</v>
      </c>
    </row>
    <row r="66" spans="1:32" x14ac:dyDescent="0.25">
      <c r="A66" s="10" t="s">
        <v>151</v>
      </c>
      <c r="B66" s="10" t="s">
        <v>179</v>
      </c>
      <c r="C66" s="13" t="str" cm="1">
        <f t="array" ref="C66">_xll.BDH("DE US Equity","LT_DEFERRED_REVENUE","FQ3 2018","FQ3 2018","Currency=USD","Period=FQ","BEST_FPERIOD_OVERRIDE=FQ","FILING_STATUS=MR","SCALING_FORMAT=MLN","Sort=A","Dates=H","DateFormat=P","Fill=—","Direction=H","UseDPDF=Y")</f>
        <v>—</v>
      </c>
      <c r="D66" s="13" cm="1">
        <f t="array" ref="D66">_xll.BDH("DE US Equity","LT_DEFERRED_REVENUE","FQ4 2018","FQ4 2018","Currency=USD","Period=FQ","BEST_FPERIOD_OVERRIDE=FQ","FILING_STATUS=MR","SCALING_FORMAT=MLN","Sort=A","Dates=H","DateFormat=P","Fill=—","Direction=H","UseDPDF=Y")</f>
        <v>0</v>
      </c>
      <c r="E66" s="13" t="str" cm="1">
        <f t="array" ref="E66">_xll.BDH("DE US Equity","LT_DEFERRED_REVENUE","FQ1 2019","FQ1 2019","Currency=USD","Period=FQ","BEST_FPERIOD_OVERRIDE=FQ","FILING_STATUS=MR","SCALING_FORMAT=MLN","Sort=A","Dates=H","DateFormat=P","Fill=—","Direction=H","UseDPDF=Y")</f>
        <v>—</v>
      </c>
      <c r="F66" s="13" t="str" cm="1">
        <f t="array" ref="F66">_xll.BDH("DE US Equity","LT_DEFERRED_REVENUE","FQ2 2019","FQ2 2019","Currency=USD","Period=FQ","BEST_FPERIOD_OVERRIDE=FQ","FILING_STATUS=MR","SCALING_FORMAT=MLN","Sort=A","Dates=H","DateFormat=P","Fill=—","Direction=H","UseDPDF=Y")</f>
        <v>—</v>
      </c>
      <c r="G66" s="13" t="str" cm="1">
        <f t="array" ref="G66">_xll.BDH("DE US Equity","LT_DEFERRED_REVENUE","FQ3 2019","FQ3 2019","Currency=USD","Period=FQ","BEST_FPERIOD_OVERRIDE=FQ","FILING_STATUS=MR","SCALING_FORMAT=MLN","Sort=A","Dates=H","DateFormat=P","Fill=—","Direction=H","UseDPDF=Y")</f>
        <v>—</v>
      </c>
      <c r="H66" s="13" cm="1">
        <f t="array" ref="H66">_xll.BDH("DE US Equity","LT_DEFERRED_REVENUE","FQ4 2019","FQ4 2019","Currency=USD","Period=FQ","BEST_FPERIOD_OVERRIDE=FQ","FILING_STATUS=MR","SCALING_FORMAT=MLN","Sort=A","Dates=H","DateFormat=P","Fill=—","Direction=H","UseDPDF=Y")</f>
        <v>0</v>
      </c>
      <c r="I66" s="13" t="str" cm="1">
        <f t="array" ref="I66">_xll.BDH("DE US Equity","LT_DEFERRED_REVENUE","FQ1 2020","FQ1 2020","Currency=USD","Period=FQ","BEST_FPERIOD_OVERRIDE=FQ","FILING_STATUS=MR","SCALING_FORMAT=MLN","Sort=A","Dates=H","DateFormat=P","Fill=—","Direction=H","UseDPDF=Y")</f>
        <v>—</v>
      </c>
      <c r="J66" s="13" t="str" cm="1">
        <f t="array" ref="J66">_xll.BDH("DE US Equity","LT_DEFERRED_REVENUE","FQ2 2020","FQ2 2020","Currency=USD","Period=FQ","BEST_FPERIOD_OVERRIDE=FQ","FILING_STATUS=MR","SCALING_FORMAT=MLN","Sort=A","Dates=H","DateFormat=P","Fill=—","Direction=H","UseDPDF=Y")</f>
        <v>—</v>
      </c>
      <c r="K66" s="13" t="str" cm="1">
        <f t="array" ref="K66">_xll.BDH("DE US Equity","LT_DEFERRED_REVENUE","FQ3 2020","FQ3 2020","Currency=USD","Period=FQ","BEST_FPERIOD_OVERRIDE=FQ","FILING_STATUS=MR","SCALING_FORMAT=MLN","Sort=A","Dates=H","DateFormat=P","Fill=—","Direction=H","UseDPDF=Y")</f>
        <v>—</v>
      </c>
      <c r="L66" s="13" cm="1">
        <f t="array" ref="L66">_xll.BDH("DE US Equity","LT_DEFERRED_REVENUE","FQ4 2020","FQ4 2020","Currency=USD","Period=FQ","BEST_FPERIOD_OVERRIDE=FQ","FILING_STATUS=MR","SCALING_FORMAT=MLN","Sort=A","Dates=H","DateFormat=P","Fill=—","Direction=H","UseDPDF=Y")</f>
        <v>0</v>
      </c>
      <c r="M66" s="13" t="str" cm="1">
        <f t="array" ref="M66">_xll.BDH("DE US Equity","LT_DEFERRED_REVENUE","FQ1 2021","FQ1 2021","Currency=USD","Period=FQ","BEST_FPERIOD_OVERRIDE=FQ","FILING_STATUS=MR","SCALING_FORMAT=MLN","Sort=A","Dates=H","DateFormat=P","Fill=—","Direction=H","UseDPDF=Y")</f>
        <v>—</v>
      </c>
      <c r="N66" s="13" t="str" cm="1">
        <f t="array" ref="N66">_xll.BDH("DE US Equity","LT_DEFERRED_REVENUE","FQ2 2021","FQ2 2021","Currency=USD","Period=FQ","BEST_FPERIOD_OVERRIDE=FQ","FILING_STATUS=MR","SCALING_FORMAT=MLN","Sort=A","Dates=H","DateFormat=P","Fill=—","Direction=H","UseDPDF=Y")</f>
        <v>—</v>
      </c>
      <c r="O66" s="13" t="str" cm="1">
        <f t="array" ref="O66">_xll.BDH("DE US Equity","LT_DEFERRED_REVENUE","FQ3 2021","FQ3 2021","Currency=USD","Period=FQ","BEST_FPERIOD_OVERRIDE=FQ","FILING_STATUS=MR","SCALING_FORMAT=MLN","Sort=A","Dates=H","DateFormat=P","Fill=—","Direction=H","UseDPDF=Y")</f>
        <v>—</v>
      </c>
      <c r="P66" s="13" cm="1">
        <f t="array" ref="P66">_xll.BDH("DE US Equity","LT_DEFERRED_REVENUE","FQ4 2021","FQ4 2021","Currency=USD","Period=FQ","BEST_FPERIOD_OVERRIDE=FQ","FILING_STATUS=MR","SCALING_FORMAT=MLN","Sort=A","Dates=H","DateFormat=P","Fill=—","Direction=H","UseDPDF=Y")</f>
        <v>0</v>
      </c>
      <c r="Q66" s="13" t="str" cm="1">
        <f t="array" ref="Q66">_xll.BDH("DE US Equity","LT_DEFERRED_REVENUE","FQ1 2022","FQ1 2022","Currency=USD","Period=FQ","BEST_FPERIOD_OVERRIDE=FQ","FILING_STATUS=MR","SCALING_FORMAT=MLN","Sort=A","Dates=H","DateFormat=P","Fill=—","Direction=H","UseDPDF=Y")</f>
        <v>—</v>
      </c>
      <c r="R66" s="13" t="str" cm="1">
        <f t="array" ref="R66">_xll.BDH("DE US Equity","LT_DEFERRED_REVENUE","FQ2 2022","FQ2 2022","Currency=USD","Period=FQ","BEST_FPERIOD_OVERRIDE=FQ","FILING_STATUS=MR","SCALING_FORMAT=MLN","Sort=A","Dates=H","DateFormat=P","Fill=—","Direction=H","UseDPDF=Y")</f>
        <v>—</v>
      </c>
      <c r="S66" s="13" t="str" cm="1">
        <f t="array" ref="S66">_xll.BDH("DE US Equity","LT_DEFERRED_REVENUE","FQ3 2022","FQ3 2022","Currency=USD","Period=FQ","BEST_FPERIOD_OVERRIDE=FQ","FILING_STATUS=MR","SCALING_FORMAT=MLN","Sort=A","Dates=H","DateFormat=P","Fill=—","Direction=H","UseDPDF=Y")</f>
        <v>—</v>
      </c>
      <c r="T66" s="13" cm="1">
        <f t="array" ref="T66">_xll.BDH("DE US Equity","LT_DEFERRED_REVENUE","FQ4 2022","FQ4 2022","Currency=USD","Period=FQ","BEST_FPERIOD_OVERRIDE=FQ","FILING_STATUS=MR","SCALING_FORMAT=MLN","Sort=A","Dates=H","DateFormat=P","Fill=—","Direction=H","UseDPDF=Y")</f>
        <v>0</v>
      </c>
      <c r="U66" s="13" t="str" cm="1">
        <f t="array" ref="U66">_xll.BDH("DE US Equity","LT_DEFERRED_REVENUE","FQ1 2023","FQ1 2023","Currency=USD","Period=FQ","BEST_FPERIOD_OVERRIDE=FQ","FILING_STATUS=MR","SCALING_FORMAT=MLN","Sort=A","Dates=H","DateFormat=P","Fill=—","Direction=H","UseDPDF=Y")</f>
        <v>—</v>
      </c>
      <c r="V66" s="13" t="str" cm="1">
        <f t="array" ref="V66">_xll.BDH("DE US Equity","LT_DEFERRED_REVENUE","FQ2 2023","FQ2 2023","Currency=USD","Period=FQ","BEST_FPERIOD_OVERRIDE=FQ","FILING_STATUS=MR","SCALING_FORMAT=MLN","Sort=A","Dates=H","DateFormat=P","Fill=—","Direction=H","UseDPDF=Y")</f>
        <v>—</v>
      </c>
      <c r="W66" s="13" t="str" cm="1">
        <f t="array" ref="W66">_xll.BDH("DE US Equity","LT_DEFERRED_REVENUE","FQ3 2023","FQ3 2023","Currency=USD","Period=FQ","BEST_FPERIOD_OVERRIDE=FQ","FILING_STATUS=MR","SCALING_FORMAT=MLN","Sort=A","Dates=H","DateFormat=P","Fill=—","Direction=H","UseDPDF=Y")</f>
        <v>—</v>
      </c>
      <c r="X66" s="13" cm="1">
        <f t="array" ref="X66">_xll.BDH("DE US Equity","LT_DEFERRED_REVENUE","FQ4 2023","FQ4 2023","Currency=USD","Period=FQ","BEST_FPERIOD_OVERRIDE=FQ","FILING_STATUS=MR","SCALING_FORMAT=MLN","Sort=A","Dates=H","DateFormat=P","Fill=—","Direction=H","UseDPDF=Y")</f>
        <v>0</v>
      </c>
      <c r="Y66" s="13" t="str" cm="1">
        <f t="array" ref="Y66">_xll.BDH("DE US Equity","LT_DEFERRED_REVENUE","FQ1 2024","FQ1 2024","Currency=USD","Period=FQ","BEST_FPERIOD_OVERRIDE=FQ","FILING_STATUS=MR","SCALING_FORMAT=MLN","Sort=A","Dates=H","DateFormat=P","Fill=—","Direction=H","UseDPDF=Y")</f>
        <v>—</v>
      </c>
      <c r="Z66" s="13" t="str" cm="1">
        <f t="array" ref="Z66">_xll.BDH("DE US Equity","LT_DEFERRED_REVENUE","FQ2 2024","FQ2 2024","Currency=USD","Period=FQ","BEST_FPERIOD_OVERRIDE=FQ","FILING_STATUS=MR","SCALING_FORMAT=MLN","Sort=A","Dates=H","DateFormat=P","Fill=—","Direction=H","UseDPDF=Y")</f>
        <v>—</v>
      </c>
      <c r="AA66" s="13" t="str" cm="1">
        <f t="array" ref="AA66">_xll.BDH("DE US Equity","LT_DEFERRED_REVENUE","FQ3 2024","FQ3 2024","Currency=USD","Period=FQ","BEST_FPERIOD_OVERRIDE=FQ","FILING_STATUS=MR","SCALING_FORMAT=MLN","Sort=A","Dates=H","DateFormat=P","Fill=—","Direction=H","UseDPDF=Y")</f>
        <v>—</v>
      </c>
      <c r="AB66" s="13" cm="1">
        <f t="array" ref="AB66">_xll.BDH("DE US Equity","LT_DEFERRED_REVENUE","FQ4 2024","FQ4 2024","Currency=USD","Period=FQ","BEST_FPERIOD_OVERRIDE=FQ","FILING_STATUS=MR","SCALING_FORMAT=MLN","Sort=A","Dates=H","DateFormat=P","Fill=—","Direction=H","UseDPDF=Y")</f>
        <v>0</v>
      </c>
      <c r="AC66" s="13" t="str" cm="1">
        <f t="array" ref="AC66">_xll.BDH("DE US Equity","LT_DEFERRED_REVENUE","FQ1 2025","FQ1 2025","Currency=USD","Period=FQ","BEST_FPERIOD_OVERRIDE=FQ","FILING_STATUS=MR","SCALING_FORMAT=MLN","Sort=A","Dates=H","DateFormat=P","Fill=—","Direction=H","UseDPDF=Y")</f>
        <v>—</v>
      </c>
      <c r="AD66" s="13" t="str" cm="1">
        <f t="array" ref="AD66">_xll.BDH("DE US Equity","LT_DEFERRED_REVENUE","FQ2 2025","FQ2 2025","Currency=USD","Period=FQ","BEST_FPERIOD_OVERRIDE=FQ","FILING_STATUS=MR","SCALING_FORMAT=MLN","Sort=A","Dates=H","DateFormat=P","Fill=—","Direction=H","UseDPDF=Y")</f>
        <v>—</v>
      </c>
      <c r="AE66" s="13" t="str" cm="1">
        <f t="array" ref="AE66">_xll.BDH("DE US Equity","LT_DEFERRED_REVENUE","FQ3 2025","FQ3 2025","Currency=USD","Period=FQ","BEST_FPERIOD_OVERRIDE=FQ","FILING_STATUS=MR","SCALING_FORMAT=MLN","Sort=A","Dates=H","DateFormat=P","Fill=—","Direction=H","UseDPDF=Y")</f>
        <v>—</v>
      </c>
      <c r="AF66" s="13" cm="1">
        <f t="array" ref="AF66">_xll.BDH("DE US Equity","LT_DEFERRED_REVENUE","FQ4 2025","FQ4 2025","Currency=USD","Period=FQ","BEST_FPERIOD_OVERRIDE=FQ","FILING_STATUS=MR","SCALING_FORMAT=MLN","Sort=A","Dates=H","DateFormat=P","Fill=—","Direction=H","UseDPDF=Y")</f>
        <v>0</v>
      </c>
    </row>
    <row r="67" spans="1:32" x14ac:dyDescent="0.25">
      <c r="A67" s="10" t="s">
        <v>180</v>
      </c>
      <c r="B67" s="10" t="s">
        <v>181</v>
      </c>
      <c r="C67" s="13" cm="1">
        <f t="array" ref="C67">_xll.BDH("DE US Equity","BS_DEFERRED_TAX_LIABILITIES_LT","FQ3 2018","FQ3 2018","Currency=USD","Period=FQ","BEST_FPERIOD_OVERRIDE=FQ","FILING_STATUS=MR","SCALING_FORMAT=MLN","Sort=A","Dates=H","DateFormat=P","Fill=—","Direction=H","UseDPDF=Y")</f>
        <v>524</v>
      </c>
      <c r="D67" s="13" cm="1">
        <f t="array" ref="D67">_xll.BDH("DE US Equity","BS_DEFERRED_TAX_LIABILITIES_LT","FQ4 2018","FQ4 2018","Currency=USD","Period=FQ","BEST_FPERIOD_OVERRIDE=FQ","FILING_STATUS=MR","SCALING_FORMAT=MLN","Sort=A","Dates=H","DateFormat=P","Fill=—","Direction=H","UseDPDF=Y")</f>
        <v>556</v>
      </c>
      <c r="E67" s="13" cm="1">
        <f t="array" ref="E67">_xll.BDH("DE US Equity","BS_DEFERRED_TAX_LIABILITIES_LT","FQ1 2019","FQ1 2019","Currency=USD","Period=FQ","BEST_FPERIOD_OVERRIDE=FQ","FILING_STATUS=MR","SCALING_FORMAT=MLN","Sort=A","Dates=H","DateFormat=P","Fill=—","Direction=H","UseDPDF=Y")</f>
        <v>525.4</v>
      </c>
      <c r="F67" s="13" cm="1">
        <f t="array" ref="F67">_xll.BDH("DE US Equity","BS_DEFERRED_TAX_LIABILITIES_LT","FQ2 2019","FQ2 2019","Currency=USD","Period=FQ","BEST_FPERIOD_OVERRIDE=FQ","FILING_STATUS=MR","SCALING_FORMAT=MLN","Sort=A","Dates=H","DateFormat=P","Fill=—","Direction=H","UseDPDF=Y")</f>
        <v>514</v>
      </c>
      <c r="G67" s="13" cm="1">
        <f t="array" ref="G67">_xll.BDH("DE US Equity","BS_DEFERRED_TAX_LIABILITIES_LT","FQ3 2019","FQ3 2019","Currency=USD","Period=FQ","BEST_FPERIOD_OVERRIDE=FQ","FILING_STATUS=MR","SCALING_FORMAT=MLN","Sort=A","Dates=H","DateFormat=P","Fill=—","Direction=H","UseDPDF=Y")</f>
        <v>507</v>
      </c>
      <c r="H67" s="13" cm="1">
        <f t="array" ref="H67">_xll.BDH("DE US Equity","BS_DEFERRED_TAX_LIABILITIES_LT","FQ4 2019","FQ4 2019","Currency=USD","Period=FQ","BEST_FPERIOD_OVERRIDE=FQ","FILING_STATUS=MR","SCALING_FORMAT=MLN","Sort=A","Dates=H","DateFormat=P","Fill=—","Direction=H","UseDPDF=Y")</f>
        <v>495</v>
      </c>
      <c r="I67" s="13" cm="1">
        <f t="array" ref="I67">_xll.BDH("DE US Equity","BS_DEFERRED_TAX_LIABILITIES_LT","FQ1 2020","FQ1 2020","Currency=USD","Period=FQ","BEST_FPERIOD_OVERRIDE=FQ","FILING_STATUS=MR","SCALING_FORMAT=MLN","Sort=A","Dates=H","DateFormat=P","Fill=—","Direction=H","UseDPDF=Y")</f>
        <v>491</v>
      </c>
      <c r="J67" s="13" cm="1">
        <f t="array" ref="J67">_xll.BDH("DE US Equity","BS_DEFERRED_TAX_LIABILITIES_LT","FQ2 2020","FQ2 2020","Currency=USD","Period=FQ","BEST_FPERIOD_OVERRIDE=FQ","FILING_STATUS=MR","SCALING_FORMAT=MLN","Sort=A","Dates=H","DateFormat=P","Fill=—","Direction=H","UseDPDF=Y")</f>
        <v>475</v>
      </c>
      <c r="K67" s="13" cm="1">
        <f t="array" ref="K67">_xll.BDH("DE US Equity","BS_DEFERRED_TAX_LIABILITIES_LT","FQ3 2020","FQ3 2020","Currency=USD","Period=FQ","BEST_FPERIOD_OVERRIDE=FQ","FILING_STATUS=MR","SCALING_FORMAT=MLN","Sort=A","Dates=H","DateFormat=P","Fill=—","Direction=H","UseDPDF=Y")</f>
        <v>479</v>
      </c>
      <c r="L67" s="13" cm="1">
        <f t="array" ref="L67">_xll.BDH("DE US Equity","BS_DEFERRED_TAX_LIABILITIES_LT","FQ4 2020","FQ4 2020","Currency=USD","Period=FQ","BEST_FPERIOD_OVERRIDE=FQ","FILING_STATUS=MR","SCALING_FORMAT=MLN","Sort=A","Dates=H","DateFormat=P","Fill=—","Direction=H","UseDPDF=Y")</f>
        <v>519</v>
      </c>
      <c r="M67" s="13" cm="1">
        <f t="array" ref="M67">_xll.BDH("DE US Equity","BS_DEFERRED_TAX_LIABILITIES_LT","FQ1 2021","FQ1 2021","Currency=USD","Period=FQ","BEST_FPERIOD_OVERRIDE=FQ","FILING_STATUS=MR","SCALING_FORMAT=MLN","Sort=A","Dates=H","DateFormat=P","Fill=—","Direction=H","UseDPDF=Y")</f>
        <v>532</v>
      </c>
      <c r="N67" s="13" cm="1">
        <f t="array" ref="N67">_xll.BDH("DE US Equity","BS_DEFERRED_TAX_LIABILITIES_LT","FQ2 2021","FQ2 2021","Currency=USD","Period=FQ","BEST_FPERIOD_OVERRIDE=FQ","FILING_STATUS=MR","SCALING_FORMAT=MLN","Sort=A","Dates=H","DateFormat=P","Fill=—","Direction=H","UseDPDF=Y")</f>
        <v>533</v>
      </c>
      <c r="O67" s="13" cm="1">
        <f t="array" ref="O67">_xll.BDH("DE US Equity","BS_DEFERRED_TAX_LIABILITIES_LT","FQ3 2021","FQ3 2021","Currency=USD","Period=FQ","BEST_FPERIOD_OVERRIDE=FQ","FILING_STATUS=MR","SCALING_FORMAT=MLN","Sort=A","Dates=H","DateFormat=P","Fill=—","Direction=H","UseDPDF=Y")</f>
        <v>515</v>
      </c>
      <c r="P67" s="13" cm="1">
        <f t="array" ref="P67">_xll.BDH("DE US Equity","BS_DEFERRED_TAX_LIABILITIES_LT","FQ4 2021","FQ4 2021","Currency=USD","Period=FQ","BEST_FPERIOD_OVERRIDE=FQ","FILING_STATUS=MR","SCALING_FORMAT=MLN","Sort=A","Dates=H","DateFormat=P","Fill=—","Direction=H","UseDPDF=Y")</f>
        <v>576</v>
      </c>
      <c r="Q67" s="13" cm="1">
        <f t="array" ref="Q67">_xll.BDH("DE US Equity","BS_DEFERRED_TAX_LIABILITIES_LT","FQ1 2022","FQ1 2022","Currency=USD","Period=FQ","BEST_FPERIOD_OVERRIDE=FQ","FILING_STATUS=MR","SCALING_FORMAT=MLN","Sort=A","Dates=H","DateFormat=P","Fill=—","Direction=H","UseDPDF=Y")</f>
        <v>556</v>
      </c>
      <c r="R67" s="13" cm="1">
        <f t="array" ref="R67">_xll.BDH("DE US Equity","BS_DEFERRED_TAX_LIABILITIES_LT","FQ2 2022","FQ2 2022","Currency=USD","Period=FQ","BEST_FPERIOD_OVERRIDE=FQ","FILING_STATUS=MR","SCALING_FORMAT=MLN","Sort=A","Dates=H","DateFormat=P","Fill=—","Direction=H","UseDPDF=Y")</f>
        <v>584</v>
      </c>
      <c r="S67" s="13" cm="1">
        <f t="array" ref="S67">_xll.BDH("DE US Equity","BS_DEFERRED_TAX_LIABILITIES_LT","FQ3 2022","FQ3 2022","Currency=USD","Period=FQ","BEST_FPERIOD_OVERRIDE=FQ","FILING_STATUS=MR","SCALING_FORMAT=MLN","Sort=A","Dates=H","DateFormat=P","Fill=—","Direction=H","UseDPDF=Y")</f>
        <v>561</v>
      </c>
      <c r="T67" s="13" cm="1">
        <f t="array" ref="T67">_xll.BDH("DE US Equity","BS_DEFERRED_TAX_LIABILITIES_LT","FQ4 2022","FQ4 2022","Currency=USD","Period=FQ","BEST_FPERIOD_OVERRIDE=FQ","FILING_STATUS=MR","SCALING_FORMAT=MLN","Sort=A","Dates=H","DateFormat=P","Fill=—","Direction=H","UseDPDF=Y")</f>
        <v>495</v>
      </c>
      <c r="U67" s="13" cm="1">
        <f t="array" ref="U67">_xll.BDH("DE US Equity","BS_DEFERRED_TAX_LIABILITIES_LT","FQ1 2023","FQ1 2023","Currency=USD","Period=FQ","BEST_FPERIOD_OVERRIDE=FQ","FILING_STATUS=MR","SCALING_FORMAT=MLN","Sort=A","Dates=H","DateFormat=P","Fill=—","Direction=H","UseDPDF=Y")</f>
        <v>519</v>
      </c>
      <c r="V67" s="13" cm="1">
        <f t="array" ref="V67">_xll.BDH("DE US Equity","BS_DEFERRED_TAX_LIABILITIES_LT","FQ2 2023","FQ2 2023","Currency=USD","Period=FQ","BEST_FPERIOD_OVERRIDE=FQ","FILING_STATUS=MR","SCALING_FORMAT=MLN","Sort=A","Dates=H","DateFormat=P","Fill=—","Direction=H","UseDPDF=Y")</f>
        <v>511</v>
      </c>
      <c r="W67" s="13" cm="1">
        <f t="array" ref="W67">_xll.BDH("DE US Equity","BS_DEFERRED_TAX_LIABILITIES_LT","FQ3 2023","FQ3 2023","Currency=USD","Period=FQ","BEST_FPERIOD_OVERRIDE=FQ","FILING_STATUS=MR","SCALING_FORMAT=MLN","Sort=A","Dates=H","DateFormat=P","Fill=—","Direction=H","UseDPDF=Y")</f>
        <v>506</v>
      </c>
      <c r="X67" s="13" cm="1">
        <f t="array" ref="X67">_xll.BDH("DE US Equity","BS_DEFERRED_TAX_LIABILITIES_LT","FQ4 2023","FQ4 2023","Currency=USD","Period=FQ","BEST_FPERIOD_OVERRIDE=FQ","FILING_STATUS=MR","SCALING_FORMAT=MLN","Sort=A","Dates=H","DateFormat=P","Fill=—","Direction=H","UseDPDF=Y")</f>
        <v>520</v>
      </c>
      <c r="Y67" s="13" cm="1">
        <f t="array" ref="Y67">_xll.BDH("DE US Equity","BS_DEFERRED_TAX_LIABILITIES_LT","FQ1 2024","FQ1 2024","Currency=USD","Period=FQ","BEST_FPERIOD_OVERRIDE=FQ","FILING_STATUS=MR","SCALING_FORMAT=MLN","Sort=A","Dates=H","DateFormat=P","Fill=—","Direction=H","UseDPDF=Y")</f>
        <v>550</v>
      </c>
      <c r="Z67" s="13" cm="1">
        <f t="array" ref="Z67">_xll.BDH("DE US Equity","BS_DEFERRED_TAX_LIABILITIES_LT","FQ2 2024","FQ2 2024","Currency=USD","Period=FQ","BEST_FPERIOD_OVERRIDE=FQ","FILING_STATUS=MR","SCALING_FORMAT=MLN","Sort=A","Dates=H","DateFormat=P","Fill=—","Direction=H","UseDPDF=Y")</f>
        <v>491</v>
      </c>
      <c r="AA67" s="13" cm="1">
        <f t="array" ref="AA67">_xll.BDH("DE US Equity","BS_DEFERRED_TAX_LIABILITIES_LT","FQ3 2024","FQ3 2024","Currency=USD","Period=FQ","BEST_FPERIOD_OVERRIDE=FQ","FILING_STATUS=MR","SCALING_FORMAT=MLN","Sort=A","Dates=H","DateFormat=P","Fill=—","Direction=H","UseDPDF=Y")</f>
        <v>481</v>
      </c>
      <c r="AB67" s="13" cm="1">
        <f t="array" ref="AB67">_xll.BDH("DE US Equity","BS_DEFERRED_TAX_LIABILITIES_LT","FQ4 2024","FQ4 2024","Currency=USD","Period=FQ","BEST_FPERIOD_OVERRIDE=FQ","FILING_STATUS=MR","SCALING_FORMAT=MLN","Sort=A","Dates=H","DateFormat=P","Fill=—","Direction=H","UseDPDF=Y")</f>
        <v>478</v>
      </c>
      <c r="AC67" s="13" cm="1">
        <f t="array" ref="AC67">_xll.BDH("DE US Equity","BS_DEFERRED_TAX_LIABILITIES_LT","FQ1 2025","FQ1 2025","Currency=USD","Period=FQ","BEST_FPERIOD_OVERRIDE=FQ","FILING_STATUS=MR","SCALING_FORMAT=MLN","Sort=A","Dates=H","DateFormat=P","Fill=—","Direction=H","UseDPDF=Y")</f>
        <v>448</v>
      </c>
      <c r="AD67" s="13" cm="1">
        <f t="array" ref="AD67">_xll.BDH("DE US Equity","BS_DEFERRED_TAX_LIABILITIES_LT","FQ2 2025","FQ2 2025","Currency=USD","Period=FQ","BEST_FPERIOD_OVERRIDE=FQ","FILING_STATUS=MR","SCALING_FORMAT=MLN","Sort=A","Dates=H","DateFormat=P","Fill=—","Direction=H","UseDPDF=Y")</f>
        <v>496</v>
      </c>
      <c r="AE67" s="13" cm="1">
        <f t="array" ref="AE67">_xll.BDH("DE US Equity","BS_DEFERRED_TAX_LIABILITIES_LT","FQ3 2025","FQ3 2025","Currency=USD","Period=FQ","BEST_FPERIOD_OVERRIDE=FQ","FILING_STATUS=MR","SCALING_FORMAT=MLN","Sort=A","Dates=H","DateFormat=P","Fill=—","Direction=H","UseDPDF=Y")</f>
        <v>489</v>
      </c>
      <c r="AF67" s="13" cm="1">
        <f t="array" ref="AF67">_xll.BDH("DE US Equity","BS_DEFERRED_TAX_LIABILITIES_LT","FQ4 2025","FQ4 2025","Currency=USD","Period=FQ","BEST_FPERIOD_OVERRIDE=FQ","FILING_STATUS=MR","SCALING_FORMAT=MLN","Sort=A","Dates=H","DateFormat=P","Fill=—","Direction=H","UseDPDF=Y")</f>
        <v>434</v>
      </c>
    </row>
    <row r="68" spans="1:32" x14ac:dyDescent="0.25">
      <c r="A68" s="10" t="s">
        <v>153</v>
      </c>
      <c r="B68" s="10" t="s">
        <v>182</v>
      </c>
      <c r="C68" s="13" t="str" cm="1">
        <f t="array" ref="C68">_xll.BDH("DE US Equity","BS_DERIV_HEDGING_LIAB_LT","FQ3 2018","FQ3 2018","Currency=USD","Period=FQ","BEST_FPERIOD_OVERRIDE=FQ","FILING_STATUS=MR","SCALING_FORMAT=MLN","Sort=A","Dates=H","DateFormat=P","Fill=—","Direction=H","UseDPDF=Y")</f>
        <v>—</v>
      </c>
      <c r="D68" s="13" t="str" cm="1">
        <f t="array" ref="D68">_xll.BDH("DE US Equity","BS_DERIV_HEDGING_LIAB_LT","FQ4 2018","FQ4 2018","Currency=USD","Period=FQ","BEST_FPERIOD_OVERRIDE=FQ","FILING_STATUS=MR","SCALING_FORMAT=MLN","Sort=A","Dates=H","DateFormat=P","Fill=—","Direction=H","UseDPDF=Y")</f>
        <v>—</v>
      </c>
      <c r="E68" s="13" t="str" cm="1">
        <f t="array" ref="E68">_xll.BDH("DE US Equity","BS_DERIV_HEDGING_LIAB_LT","FQ1 2019","FQ1 2019","Currency=USD","Period=FQ","BEST_FPERIOD_OVERRIDE=FQ","FILING_STATUS=MR","SCALING_FORMAT=MLN","Sort=A","Dates=H","DateFormat=P","Fill=—","Direction=H","UseDPDF=Y")</f>
        <v>—</v>
      </c>
      <c r="F68" s="13" t="str" cm="1">
        <f t="array" ref="F68">_xll.BDH("DE US Equity","BS_DERIV_HEDGING_LIAB_LT","FQ2 2019","FQ2 2019","Currency=USD","Period=FQ","BEST_FPERIOD_OVERRIDE=FQ","FILING_STATUS=MR","SCALING_FORMAT=MLN","Sort=A","Dates=H","DateFormat=P","Fill=—","Direction=H","UseDPDF=Y")</f>
        <v>—</v>
      </c>
      <c r="G68" s="13" t="str" cm="1">
        <f t="array" ref="G68">_xll.BDH("DE US Equity","BS_DERIV_HEDGING_LIAB_LT","FQ3 2019","FQ3 2019","Currency=USD","Period=FQ","BEST_FPERIOD_OVERRIDE=FQ","FILING_STATUS=MR","SCALING_FORMAT=MLN","Sort=A","Dates=H","DateFormat=P","Fill=—","Direction=H","UseDPDF=Y")</f>
        <v>—</v>
      </c>
      <c r="H68" s="13" cm="1">
        <f t="array" ref="H68">_xll.BDH("DE US Equity","BS_DERIV_HEDGING_LIAB_LT","FQ4 2019","FQ4 2019","Currency=USD","Period=FQ","BEST_FPERIOD_OVERRIDE=FQ","FILING_STATUS=MR","SCALING_FORMAT=MLN","Sort=A","Dates=H","DateFormat=P","Fill=—","Direction=H","UseDPDF=Y")</f>
        <v>0</v>
      </c>
      <c r="I68" s="13" t="str" cm="1">
        <f t="array" ref="I68">_xll.BDH("DE US Equity","BS_DERIV_HEDGING_LIAB_LT","FQ1 2020","FQ1 2020","Currency=USD","Period=FQ","BEST_FPERIOD_OVERRIDE=FQ","FILING_STATUS=MR","SCALING_FORMAT=MLN","Sort=A","Dates=H","DateFormat=P","Fill=—","Direction=H","UseDPDF=Y")</f>
        <v>—</v>
      </c>
      <c r="J68" s="13" t="str" cm="1">
        <f t="array" ref="J68">_xll.BDH("DE US Equity","BS_DERIV_HEDGING_LIAB_LT","FQ2 2020","FQ2 2020","Currency=USD","Period=FQ","BEST_FPERIOD_OVERRIDE=FQ","FILING_STATUS=MR","SCALING_FORMAT=MLN","Sort=A","Dates=H","DateFormat=P","Fill=—","Direction=H","UseDPDF=Y")</f>
        <v>—</v>
      </c>
      <c r="K68" s="13" t="str" cm="1">
        <f t="array" ref="K68">_xll.BDH("DE US Equity","BS_DERIV_HEDGING_LIAB_LT","FQ3 2020","FQ3 2020","Currency=USD","Period=FQ","BEST_FPERIOD_OVERRIDE=FQ","FILING_STATUS=MR","SCALING_FORMAT=MLN","Sort=A","Dates=H","DateFormat=P","Fill=—","Direction=H","UseDPDF=Y")</f>
        <v>—</v>
      </c>
      <c r="L68" s="13" cm="1">
        <f t="array" ref="L68">_xll.BDH("DE US Equity","BS_DERIV_HEDGING_LIAB_LT","FQ4 2020","FQ4 2020","Currency=USD","Period=FQ","BEST_FPERIOD_OVERRIDE=FQ","FILING_STATUS=MR","SCALING_FORMAT=MLN","Sort=A","Dates=H","DateFormat=P","Fill=—","Direction=H","UseDPDF=Y")</f>
        <v>0</v>
      </c>
      <c r="M68" s="13" t="str" cm="1">
        <f t="array" ref="M68">_xll.BDH("DE US Equity","BS_DERIV_HEDGING_LIAB_LT","FQ1 2021","FQ1 2021","Currency=USD","Period=FQ","BEST_FPERIOD_OVERRIDE=FQ","FILING_STATUS=MR","SCALING_FORMAT=MLN","Sort=A","Dates=H","DateFormat=P","Fill=—","Direction=H","UseDPDF=Y")</f>
        <v>—</v>
      </c>
      <c r="N68" s="13" t="str" cm="1">
        <f t="array" ref="N68">_xll.BDH("DE US Equity","BS_DERIV_HEDGING_LIAB_LT","FQ2 2021","FQ2 2021","Currency=USD","Period=FQ","BEST_FPERIOD_OVERRIDE=FQ","FILING_STATUS=MR","SCALING_FORMAT=MLN","Sort=A","Dates=H","DateFormat=P","Fill=—","Direction=H","UseDPDF=Y")</f>
        <v>—</v>
      </c>
      <c r="O68" s="13" t="str" cm="1">
        <f t="array" ref="O68">_xll.BDH("DE US Equity","BS_DERIV_HEDGING_LIAB_LT","FQ3 2021","FQ3 2021","Currency=USD","Period=FQ","BEST_FPERIOD_OVERRIDE=FQ","FILING_STATUS=MR","SCALING_FORMAT=MLN","Sort=A","Dates=H","DateFormat=P","Fill=—","Direction=H","UseDPDF=Y")</f>
        <v>—</v>
      </c>
      <c r="P68" s="13" cm="1">
        <f t="array" ref="P68">_xll.BDH("DE US Equity","BS_DERIV_HEDGING_LIAB_LT","FQ4 2021","FQ4 2021","Currency=USD","Period=FQ","BEST_FPERIOD_OVERRIDE=FQ","FILING_STATUS=MR","SCALING_FORMAT=MLN","Sort=A","Dates=H","DateFormat=P","Fill=—","Direction=H","UseDPDF=Y")</f>
        <v>0</v>
      </c>
      <c r="Q68" s="13" t="str" cm="1">
        <f t="array" ref="Q68">_xll.BDH("DE US Equity","BS_DERIV_HEDGING_LIAB_LT","FQ1 2022","FQ1 2022","Currency=USD","Period=FQ","BEST_FPERIOD_OVERRIDE=FQ","FILING_STATUS=MR","SCALING_FORMAT=MLN","Sort=A","Dates=H","DateFormat=P","Fill=—","Direction=H","UseDPDF=Y")</f>
        <v>—</v>
      </c>
      <c r="R68" s="13" t="str" cm="1">
        <f t="array" ref="R68">_xll.BDH("DE US Equity","BS_DERIV_HEDGING_LIAB_LT","FQ2 2022","FQ2 2022","Currency=USD","Period=FQ","BEST_FPERIOD_OVERRIDE=FQ","FILING_STATUS=MR","SCALING_FORMAT=MLN","Sort=A","Dates=H","DateFormat=P","Fill=—","Direction=H","UseDPDF=Y")</f>
        <v>—</v>
      </c>
      <c r="S68" s="13" t="str" cm="1">
        <f t="array" ref="S68">_xll.BDH("DE US Equity","BS_DERIV_HEDGING_LIAB_LT","FQ3 2022","FQ3 2022","Currency=USD","Period=FQ","BEST_FPERIOD_OVERRIDE=FQ","FILING_STATUS=MR","SCALING_FORMAT=MLN","Sort=A","Dates=H","DateFormat=P","Fill=—","Direction=H","UseDPDF=Y")</f>
        <v>—</v>
      </c>
      <c r="T68" s="13" cm="1">
        <f t="array" ref="T68">_xll.BDH("DE US Equity","BS_DERIV_HEDGING_LIAB_LT","FQ4 2022","FQ4 2022","Currency=USD","Period=FQ","BEST_FPERIOD_OVERRIDE=FQ","FILING_STATUS=MR","SCALING_FORMAT=MLN","Sort=A","Dates=H","DateFormat=P","Fill=—","Direction=H","UseDPDF=Y")</f>
        <v>0</v>
      </c>
      <c r="U68" s="13" t="str" cm="1">
        <f t="array" ref="U68">_xll.BDH("DE US Equity","BS_DERIV_HEDGING_LIAB_LT","FQ1 2023","FQ1 2023","Currency=USD","Period=FQ","BEST_FPERIOD_OVERRIDE=FQ","FILING_STATUS=MR","SCALING_FORMAT=MLN","Sort=A","Dates=H","DateFormat=P","Fill=—","Direction=H","UseDPDF=Y")</f>
        <v>—</v>
      </c>
      <c r="V68" s="13" t="str" cm="1">
        <f t="array" ref="V68">_xll.BDH("DE US Equity","BS_DERIV_HEDGING_LIAB_LT","FQ2 2023","FQ2 2023","Currency=USD","Period=FQ","BEST_FPERIOD_OVERRIDE=FQ","FILING_STATUS=MR","SCALING_FORMAT=MLN","Sort=A","Dates=H","DateFormat=P","Fill=—","Direction=H","UseDPDF=Y")</f>
        <v>—</v>
      </c>
      <c r="W68" s="13" t="str" cm="1">
        <f t="array" ref="W68">_xll.BDH("DE US Equity","BS_DERIV_HEDGING_LIAB_LT","FQ3 2023","FQ3 2023","Currency=USD","Period=FQ","BEST_FPERIOD_OVERRIDE=FQ","FILING_STATUS=MR","SCALING_FORMAT=MLN","Sort=A","Dates=H","DateFormat=P","Fill=—","Direction=H","UseDPDF=Y")</f>
        <v>—</v>
      </c>
      <c r="X68" s="13" cm="1">
        <f t="array" ref="X68">_xll.BDH("DE US Equity","BS_DERIV_HEDGING_LIAB_LT","FQ4 2023","FQ4 2023","Currency=USD","Period=FQ","BEST_FPERIOD_OVERRIDE=FQ","FILING_STATUS=MR","SCALING_FORMAT=MLN","Sort=A","Dates=H","DateFormat=P","Fill=—","Direction=H","UseDPDF=Y")</f>
        <v>0</v>
      </c>
      <c r="Y68" s="13" t="str" cm="1">
        <f t="array" ref="Y68">_xll.BDH("DE US Equity","BS_DERIV_HEDGING_LIAB_LT","FQ1 2024","FQ1 2024","Currency=USD","Period=FQ","BEST_FPERIOD_OVERRIDE=FQ","FILING_STATUS=MR","SCALING_FORMAT=MLN","Sort=A","Dates=H","DateFormat=P","Fill=—","Direction=H","UseDPDF=Y")</f>
        <v>—</v>
      </c>
      <c r="Z68" s="13" t="str" cm="1">
        <f t="array" ref="Z68">_xll.BDH("DE US Equity","BS_DERIV_HEDGING_LIAB_LT","FQ2 2024","FQ2 2024","Currency=USD","Period=FQ","BEST_FPERIOD_OVERRIDE=FQ","FILING_STATUS=MR","SCALING_FORMAT=MLN","Sort=A","Dates=H","DateFormat=P","Fill=—","Direction=H","UseDPDF=Y")</f>
        <v>—</v>
      </c>
      <c r="AA68" s="13" t="str" cm="1">
        <f t="array" ref="AA68">_xll.BDH("DE US Equity","BS_DERIV_HEDGING_LIAB_LT","FQ3 2024","FQ3 2024","Currency=USD","Period=FQ","BEST_FPERIOD_OVERRIDE=FQ","FILING_STATUS=MR","SCALING_FORMAT=MLN","Sort=A","Dates=H","DateFormat=P","Fill=—","Direction=H","UseDPDF=Y")</f>
        <v>—</v>
      </c>
      <c r="AB68" s="13" cm="1">
        <f t="array" ref="AB68">_xll.BDH("DE US Equity","BS_DERIV_HEDGING_LIAB_LT","FQ4 2024","FQ4 2024","Currency=USD","Period=FQ","BEST_FPERIOD_OVERRIDE=FQ","FILING_STATUS=MR","SCALING_FORMAT=MLN","Sort=A","Dates=H","DateFormat=P","Fill=—","Direction=H","UseDPDF=Y")</f>
        <v>0</v>
      </c>
      <c r="AC68" s="13" t="str" cm="1">
        <f t="array" ref="AC68">_xll.BDH("DE US Equity","BS_DERIV_HEDGING_LIAB_LT","FQ1 2025","FQ1 2025","Currency=USD","Period=FQ","BEST_FPERIOD_OVERRIDE=FQ","FILING_STATUS=MR","SCALING_FORMAT=MLN","Sort=A","Dates=H","DateFormat=P","Fill=—","Direction=H","UseDPDF=Y")</f>
        <v>—</v>
      </c>
      <c r="AD68" s="13" t="str" cm="1">
        <f t="array" ref="AD68">_xll.BDH("DE US Equity","BS_DERIV_HEDGING_LIAB_LT","FQ2 2025","FQ2 2025","Currency=USD","Period=FQ","BEST_FPERIOD_OVERRIDE=FQ","FILING_STATUS=MR","SCALING_FORMAT=MLN","Sort=A","Dates=H","DateFormat=P","Fill=—","Direction=H","UseDPDF=Y")</f>
        <v>—</v>
      </c>
      <c r="AE68" s="13" t="str" cm="1">
        <f t="array" ref="AE68">_xll.BDH("DE US Equity","BS_DERIV_HEDGING_LIAB_LT","FQ3 2025","FQ3 2025","Currency=USD","Period=FQ","BEST_FPERIOD_OVERRIDE=FQ","FILING_STATUS=MR","SCALING_FORMAT=MLN","Sort=A","Dates=H","DateFormat=P","Fill=—","Direction=H","UseDPDF=Y")</f>
        <v>—</v>
      </c>
      <c r="AF68" s="13" cm="1">
        <f t="array" ref="AF68">_xll.BDH("DE US Equity","BS_DERIV_HEDGING_LIAB_LT","FQ4 2025","FQ4 2025","Currency=USD","Period=FQ","BEST_FPERIOD_OVERRIDE=FQ","FILING_STATUS=MR","SCALING_FORMAT=MLN","Sort=A","Dates=H","DateFormat=P","Fill=—","Direction=H","UseDPDF=Y")</f>
        <v>0</v>
      </c>
    </row>
    <row r="69" spans="1:32" x14ac:dyDescent="0.25">
      <c r="A69" s="10" t="s">
        <v>183</v>
      </c>
      <c r="B69" s="10" t="s">
        <v>184</v>
      </c>
      <c r="C69" s="13" cm="1">
        <f t="array" ref="C69">_xll.BDH("DE US Equity","OTHER_NONCURRENT_LIABS_DETAILED","FQ3 2018","FQ3 2018","Currency=USD","Period=FQ","BEST_FPERIOD_OVERRIDE=FQ","FILING_STATUS=MR","SCALING_FORMAT=MLN","Sort=A","Dates=H","DateFormat=P","Fill=—","Direction=H","UseDPDF=Y")</f>
        <v>0</v>
      </c>
      <c r="D69" s="13" cm="1">
        <f t="array" ref="D69">_xll.BDH("DE US Equity","OTHER_NONCURRENT_LIABS_DETAILED","FQ4 2018","FQ4 2018","Currency=USD","Period=FQ","BEST_FPERIOD_OVERRIDE=FQ","FILING_STATUS=MR","SCALING_FORMAT=MLN","Sort=A","Dates=H","DateFormat=P","Fill=—","Direction=H","UseDPDF=Y")</f>
        <v>0</v>
      </c>
      <c r="E69" s="13" cm="1">
        <f t="array" ref="E69">_xll.BDH("DE US Equity","OTHER_NONCURRENT_LIABS_DETAILED","FQ1 2019","FQ1 2019","Currency=USD","Period=FQ","BEST_FPERIOD_OVERRIDE=FQ","FILING_STATUS=MR","SCALING_FORMAT=MLN","Sort=A","Dates=H","DateFormat=P","Fill=—","Direction=H","UseDPDF=Y")</f>
        <v>0</v>
      </c>
      <c r="F69" s="13" cm="1">
        <f t="array" ref="F69">_xll.BDH("DE US Equity","OTHER_NONCURRENT_LIABS_DETAILED","FQ2 2019","FQ2 2019","Currency=USD","Period=FQ","BEST_FPERIOD_OVERRIDE=FQ","FILING_STATUS=MR","SCALING_FORMAT=MLN","Sort=A","Dates=H","DateFormat=P","Fill=—","Direction=H","UseDPDF=Y")</f>
        <v>0</v>
      </c>
      <c r="G69" s="13" cm="1">
        <f t="array" ref="G69">_xll.BDH("DE US Equity","OTHER_NONCURRENT_LIABS_DETAILED","FQ3 2019","FQ3 2019","Currency=USD","Period=FQ","BEST_FPERIOD_OVERRIDE=FQ","FILING_STATUS=MR","SCALING_FORMAT=MLN","Sort=A","Dates=H","DateFormat=P","Fill=—","Direction=H","UseDPDF=Y")</f>
        <v>0</v>
      </c>
      <c r="H69" s="13" cm="1">
        <f t="array" ref="H69">_xll.BDH("DE US Equity","OTHER_NONCURRENT_LIABS_DETAILED","FQ4 2019","FQ4 2019","Currency=USD","Period=FQ","BEST_FPERIOD_OVERRIDE=FQ","FILING_STATUS=MR","SCALING_FORMAT=MLN","Sort=A","Dates=H","DateFormat=P","Fill=—","Direction=H","UseDPDF=Y")</f>
        <v>0</v>
      </c>
      <c r="I69" s="13" cm="1">
        <f t="array" ref="I69">_xll.BDH("DE US Equity","OTHER_NONCURRENT_LIABS_DETAILED","FQ1 2020","FQ1 2020","Currency=USD","Period=FQ","BEST_FPERIOD_OVERRIDE=FQ","FILING_STATUS=MR","SCALING_FORMAT=MLN","Sort=A","Dates=H","DateFormat=P","Fill=—","Direction=H","UseDPDF=Y")</f>
        <v>5710</v>
      </c>
      <c r="J69" s="13" cm="1">
        <f t="array" ref="J69">_xll.BDH("DE US Equity","OTHER_NONCURRENT_LIABS_DETAILED","FQ2 2020","FQ2 2020","Currency=USD","Period=FQ","BEST_FPERIOD_OVERRIDE=FQ","FILING_STATUS=MR","SCALING_FORMAT=MLN","Sort=A","Dates=H","DateFormat=P","Fill=—","Direction=H","UseDPDF=Y")</f>
        <v>5680</v>
      </c>
      <c r="K69" s="13" cm="1">
        <f t="array" ref="K69">_xll.BDH("DE US Equity","OTHER_NONCURRENT_LIABS_DETAILED","FQ3 2020","FQ3 2020","Currency=USD","Period=FQ","BEST_FPERIOD_OVERRIDE=FQ","FILING_STATUS=MR","SCALING_FORMAT=MLN","Sort=A","Dates=H","DateFormat=P","Fill=—","Direction=H","UseDPDF=Y")</f>
        <v>0</v>
      </c>
      <c r="L69" s="13" cm="1">
        <f t="array" ref="L69">_xll.BDH("DE US Equity","OTHER_NONCURRENT_LIABS_DETAILED","FQ4 2020","FQ4 2020","Currency=USD","Period=FQ","BEST_FPERIOD_OVERRIDE=FQ","FILING_STATUS=MR","SCALING_FORMAT=MLN","Sort=A","Dates=H","DateFormat=P","Fill=—","Direction=H","UseDPDF=Y")</f>
        <v>258</v>
      </c>
      <c r="M69" s="13" cm="1">
        <f t="array" ref="M69">_xll.BDH("DE US Equity","OTHER_NONCURRENT_LIABS_DETAILED","FQ1 2021","FQ1 2021","Currency=USD","Period=FQ","BEST_FPERIOD_OVERRIDE=FQ","FILING_STATUS=MR","SCALING_FORMAT=MLN","Sort=A","Dates=H","DateFormat=P","Fill=—","Direction=H","UseDPDF=Y")</f>
        <v>0</v>
      </c>
      <c r="N69" s="13" cm="1">
        <f t="array" ref="N69">_xll.BDH("DE US Equity","OTHER_NONCURRENT_LIABS_DETAILED","FQ2 2021","FQ2 2021","Currency=USD","Period=FQ","BEST_FPERIOD_OVERRIDE=FQ","FILING_STATUS=MR","SCALING_FORMAT=MLN","Sort=A","Dates=H","DateFormat=P","Fill=—","Direction=H","UseDPDF=Y")</f>
        <v>0</v>
      </c>
      <c r="O69" s="13" cm="1">
        <f t="array" ref="O69">_xll.BDH("DE US Equity","OTHER_NONCURRENT_LIABS_DETAILED","FQ3 2021","FQ3 2021","Currency=USD","Period=FQ","BEST_FPERIOD_OVERRIDE=FQ","FILING_STATUS=MR","SCALING_FORMAT=MLN","Sort=A","Dates=H","DateFormat=P","Fill=—","Direction=H","UseDPDF=Y")</f>
        <v>0</v>
      </c>
      <c r="P69" s="13" cm="1">
        <f t="array" ref="P69">_xll.BDH("DE US Equity","OTHER_NONCURRENT_LIABS_DETAILED","FQ4 2021","FQ4 2021","Currency=USD","Period=FQ","BEST_FPERIOD_OVERRIDE=FQ","FILING_STATUS=MR","SCALING_FORMAT=MLN","Sort=A","Dates=H","DateFormat=P","Fill=—","Direction=H","UseDPDF=Y")</f>
        <v>4344</v>
      </c>
      <c r="Q69" s="13" cm="1">
        <f t="array" ref="Q69">_xll.BDH("DE US Equity","OTHER_NONCURRENT_LIABS_DETAILED","FQ1 2022","FQ1 2022","Currency=USD","Period=FQ","BEST_FPERIOD_OVERRIDE=FQ","FILING_STATUS=MR","SCALING_FORMAT=MLN","Sort=A","Dates=H","DateFormat=P","Fill=—","Direction=H","UseDPDF=Y")</f>
        <v>0</v>
      </c>
      <c r="R69" s="13" cm="1">
        <f t="array" ref="R69">_xll.BDH("DE US Equity","OTHER_NONCURRENT_LIABS_DETAILED","FQ2 2022","FQ2 2022","Currency=USD","Period=FQ","BEST_FPERIOD_OVERRIDE=FQ","FILING_STATUS=MR","SCALING_FORMAT=MLN","Sort=A","Dates=H","DateFormat=P","Fill=—","Direction=H","UseDPDF=Y")</f>
        <v>0</v>
      </c>
      <c r="S69" s="13" cm="1">
        <f t="array" ref="S69">_xll.BDH("DE US Equity","OTHER_NONCURRENT_LIABS_DETAILED","FQ3 2022","FQ3 2022","Currency=USD","Period=FQ","BEST_FPERIOD_OVERRIDE=FQ","FILING_STATUS=MR","SCALING_FORMAT=MLN","Sort=A","Dates=H","DateFormat=P","Fill=—","Direction=H","UseDPDF=Y")</f>
        <v>0</v>
      </c>
      <c r="T69" s="13" cm="1">
        <f t="array" ref="T69">_xll.BDH("DE US Equity","OTHER_NONCURRENT_LIABS_DETAILED","FQ4 2022","FQ4 2022","Currency=USD","Period=FQ","BEST_FPERIOD_OVERRIDE=FQ","FILING_STATUS=MR","SCALING_FORMAT=MLN","Sort=A","Dates=H","DateFormat=P","Fill=—","Direction=H","UseDPDF=Y")</f>
        <v>2457</v>
      </c>
      <c r="U69" s="13" cm="1">
        <f t="array" ref="U69">_xll.BDH("DE US Equity","OTHER_NONCURRENT_LIABS_DETAILED","FQ1 2023","FQ1 2023","Currency=USD","Period=FQ","BEST_FPERIOD_OVERRIDE=FQ","FILING_STATUS=MR","SCALING_FORMAT=MLN","Sort=A","Dates=H","DateFormat=P","Fill=—","Direction=H","UseDPDF=Y")</f>
        <v>0</v>
      </c>
      <c r="V69" s="13" cm="1">
        <f t="array" ref="V69">_xll.BDH("DE US Equity","OTHER_NONCURRENT_LIABS_DETAILED","FQ2 2023","FQ2 2023","Currency=USD","Period=FQ","BEST_FPERIOD_OVERRIDE=FQ","FILING_STATUS=MR","SCALING_FORMAT=MLN","Sort=A","Dates=H","DateFormat=P","Fill=—","Direction=H","UseDPDF=Y")</f>
        <v>0</v>
      </c>
      <c r="W69" s="13" cm="1">
        <f t="array" ref="W69">_xll.BDH("DE US Equity","OTHER_NONCURRENT_LIABS_DETAILED","FQ3 2023","FQ3 2023","Currency=USD","Period=FQ","BEST_FPERIOD_OVERRIDE=FQ","FILING_STATUS=MR","SCALING_FORMAT=MLN","Sort=A","Dates=H","DateFormat=P","Fill=—","Direction=H","UseDPDF=Y")</f>
        <v>0</v>
      </c>
      <c r="X69" s="13" cm="1">
        <f t="array" ref="X69">_xll.BDH("DE US Equity","OTHER_NONCURRENT_LIABS_DETAILED","FQ4 2023","FQ4 2023","Currency=USD","Period=FQ","BEST_FPERIOD_OVERRIDE=FQ","FILING_STATUS=MR","SCALING_FORMAT=MLN","Sort=A","Dates=H","DateFormat=P","Fill=—","Direction=H","UseDPDF=Y")</f>
        <v>0</v>
      </c>
      <c r="Y69" s="13" cm="1">
        <f t="array" ref="Y69">_xll.BDH("DE US Equity","OTHER_NONCURRENT_LIABS_DETAILED","FQ1 2024","FQ1 2024","Currency=USD","Period=FQ","BEST_FPERIOD_OVERRIDE=FQ","FILING_STATUS=MR","SCALING_FORMAT=MLN","Sort=A","Dates=H","DateFormat=P","Fill=—","Direction=H","UseDPDF=Y")</f>
        <v>0</v>
      </c>
      <c r="Z69" s="13" cm="1">
        <f t="array" ref="Z69">_xll.BDH("DE US Equity","OTHER_NONCURRENT_LIABS_DETAILED","FQ2 2024","FQ2 2024","Currency=USD","Period=FQ","BEST_FPERIOD_OVERRIDE=FQ","FILING_STATUS=MR","SCALING_FORMAT=MLN","Sort=A","Dates=H","DateFormat=P","Fill=—","Direction=H","UseDPDF=Y")</f>
        <v>0</v>
      </c>
      <c r="AA69" s="13" cm="1">
        <f t="array" ref="AA69">_xll.BDH("DE US Equity","OTHER_NONCURRENT_LIABS_DETAILED","FQ3 2024","FQ3 2024","Currency=USD","Period=FQ","BEST_FPERIOD_OVERRIDE=FQ","FILING_STATUS=MR","SCALING_FORMAT=MLN","Sort=A","Dates=H","DateFormat=P","Fill=—","Direction=H","UseDPDF=Y")</f>
        <v>0</v>
      </c>
      <c r="AB69" s="13" cm="1">
        <f t="array" ref="AB69">_xll.BDH("DE US Equity","OTHER_NONCURRENT_LIABS_DETAILED","FQ4 2024","FQ4 2024","Currency=USD","Period=FQ","BEST_FPERIOD_OVERRIDE=FQ","FILING_STATUS=MR","SCALING_FORMAT=MLN","Sort=A","Dates=H","DateFormat=P","Fill=—","Direction=H","UseDPDF=Y")</f>
        <v>1827</v>
      </c>
      <c r="AC69" s="13" cm="1">
        <f t="array" ref="AC69">_xll.BDH("DE US Equity","OTHER_NONCURRENT_LIABS_DETAILED","FQ1 2025","FQ1 2025","Currency=USD","Period=FQ","BEST_FPERIOD_OVERRIDE=FQ","FILING_STATUS=MR","SCALING_FORMAT=MLN","Sort=A","Dates=H","DateFormat=P","Fill=—","Direction=H","UseDPDF=Y")</f>
        <v>1830</v>
      </c>
      <c r="AD69" s="13" cm="1">
        <f t="array" ref="AD69">_xll.BDH("DE US Equity","OTHER_NONCURRENT_LIABS_DETAILED","FQ2 2025","FQ2 2025","Currency=USD","Period=FQ","BEST_FPERIOD_OVERRIDE=FQ","FILING_STATUS=MR","SCALING_FORMAT=MLN","Sort=A","Dates=H","DateFormat=P","Fill=—","Direction=H","UseDPDF=Y")</f>
        <v>0</v>
      </c>
      <c r="AE69" s="13" cm="1">
        <f t="array" ref="AE69">_xll.BDH("DE US Equity","OTHER_NONCURRENT_LIABS_DETAILED","FQ3 2025","FQ3 2025","Currency=USD","Period=FQ","BEST_FPERIOD_OVERRIDE=FQ","FILING_STATUS=MR","SCALING_FORMAT=MLN","Sort=A","Dates=H","DateFormat=P","Fill=—","Direction=H","UseDPDF=Y")</f>
        <v>0</v>
      </c>
      <c r="AF69" s="13" cm="1">
        <f t="array" ref="AF69">_xll.BDH("DE US Equity","OTHER_NONCURRENT_LIABS_DETAILED","FQ4 2025","FQ4 2025","Currency=USD","Period=FQ","BEST_FPERIOD_OVERRIDE=FQ","FILING_STATUS=MR","SCALING_FORMAT=MLN","Sort=A","Dates=H","DateFormat=P","Fill=—","Direction=H","UseDPDF=Y")</f>
        <v>0</v>
      </c>
    </row>
    <row r="70" spans="1:32" x14ac:dyDescent="0.25">
      <c r="A70" s="6" t="s">
        <v>185</v>
      </c>
      <c r="B70" s="6" t="s">
        <v>186</v>
      </c>
      <c r="C70" s="16" cm="1">
        <f t="array" ref="C70">_xll.BDH("DE US Equity","NON_CUR_LIAB","FQ3 2018","FQ3 2018","Currency=USD","Period=FQ","BEST_FPERIOD_OVERRIDE=FQ","FILING_STATUS=MR","SCALING_FORMAT=MLN","Sort=A","Dates=H","DateFormat=P","Fill=—","Direction=H","UseDPDF=Y")</f>
        <v>33884</v>
      </c>
      <c r="D70" s="16" cm="1">
        <f t="array" ref="D70">_xll.BDH("DE US Equity","NON_CUR_LIAB","FQ4 2018","FQ4 2018","Currency=USD","Period=FQ","BEST_FPERIOD_OVERRIDE=FQ","FILING_STATUS=MR","SCALING_FORMAT=MLN","Sort=A","Dates=H","DateFormat=P","Fill=—","Direction=H","UseDPDF=Y")</f>
        <v>33544</v>
      </c>
      <c r="E70" s="16" cm="1">
        <f t="array" ref="E70">_xll.BDH("DE US Equity","NON_CUR_LIAB","FQ1 2019","FQ1 2019","Currency=USD","Period=FQ","BEST_FPERIOD_OVERRIDE=FQ","FILING_STATUS=MR","SCALING_FORMAT=MLN","Sort=A","Dates=H","DateFormat=P","Fill=—","Direction=H","UseDPDF=Y")</f>
        <v>34139.5</v>
      </c>
      <c r="F70" s="16" cm="1">
        <f t="array" ref="F70">_xll.BDH("DE US Equity","NON_CUR_LIAB","FQ2 2019","FQ2 2019","Currency=USD","Period=FQ","BEST_FPERIOD_OVERRIDE=FQ","FILING_STATUS=MR","SCALING_FORMAT=MLN","Sort=A","Dates=H","DateFormat=P","Fill=—","Direction=H","UseDPDF=Y")</f>
        <v>34502</v>
      </c>
      <c r="G70" s="16" cm="1">
        <f t="array" ref="G70">_xll.BDH("DE US Equity","NON_CUR_LIAB","FQ3 2019","FQ3 2019","Currency=USD","Period=FQ","BEST_FPERIOD_OVERRIDE=FQ","FILING_STATUS=MR","SCALING_FORMAT=MLN","Sort=A","Dates=H","DateFormat=P","Fill=—","Direction=H","UseDPDF=Y")</f>
        <v>35530</v>
      </c>
      <c r="H70" s="16" cm="1">
        <f t="array" ref="H70">_xll.BDH("DE US Equity","NON_CUR_LIAB","FQ4 2019","FQ4 2019","Currency=USD","Period=FQ","BEST_FPERIOD_OVERRIDE=FQ","FILING_STATUS=MR","SCALING_FORMAT=MLN","Sort=A","Dates=H","DateFormat=P","Fill=—","Direction=H","UseDPDF=Y")</f>
        <v>36677</v>
      </c>
      <c r="I70" s="16" cm="1">
        <f t="array" ref="I70">_xll.BDH("DE US Equity","NON_CUR_LIAB","FQ1 2020","FQ1 2020","Currency=USD","Period=FQ","BEST_FPERIOD_OVERRIDE=FQ","FILING_STATUS=MR","SCALING_FORMAT=MLN","Sort=A","Dates=H","DateFormat=P","Fill=—","Direction=H","UseDPDF=Y")</f>
        <v>36676</v>
      </c>
      <c r="J70" s="16" cm="1">
        <f t="array" ref="J70">_xll.BDH("DE US Equity","NON_CUR_LIAB","FQ2 2020","FQ2 2020","Currency=USD","Period=FQ","BEST_FPERIOD_OVERRIDE=FQ","FILING_STATUS=MR","SCALING_FORMAT=MLN","Sort=A","Dates=H","DateFormat=P","Fill=—","Direction=H","UseDPDF=Y")</f>
        <v>40479</v>
      </c>
      <c r="K70" s="16" cm="1">
        <f t="array" ref="K70">_xll.BDH("DE US Equity","NON_CUR_LIAB","FQ3 2020","FQ3 2020","Currency=USD","Period=FQ","BEST_FPERIOD_OVERRIDE=FQ","FILING_STATUS=MR","SCALING_FORMAT=MLN","Sort=A","Dates=H","DateFormat=P","Fill=—","Direction=H","UseDPDF=Y")</f>
        <v>40292</v>
      </c>
      <c r="L70" s="16" cm="1">
        <f t="array" ref="L70">_xll.BDH("DE US Equity","NON_CUR_LIAB","FQ4 2020","FQ4 2020","Currency=USD","Period=FQ","BEST_FPERIOD_OVERRIDE=FQ","FILING_STATUS=MR","SCALING_FORMAT=MLN","Sort=A","Dates=H","DateFormat=P","Fill=—","Direction=H","UseDPDF=Y")</f>
        <v>38666</v>
      </c>
      <c r="M70" s="16" cm="1">
        <f t="array" ref="M70">_xll.BDH("DE US Equity","NON_CUR_LIAB","FQ1 2021","FQ1 2021","Currency=USD","Period=FQ","BEST_FPERIOD_OVERRIDE=FQ","FILING_STATUS=MR","SCALING_FORMAT=MLN","Sort=A","Dates=H","DateFormat=P","Fill=—","Direction=H","UseDPDF=Y")</f>
        <v>38678</v>
      </c>
      <c r="N70" s="16" cm="1">
        <f t="array" ref="N70">_xll.BDH("DE US Equity","NON_CUR_LIAB","FQ2 2021","FQ2 2021","Currency=USD","Period=FQ","BEST_FPERIOD_OVERRIDE=FQ","FILING_STATUS=MR","SCALING_FORMAT=MLN","Sort=A","Dates=H","DateFormat=P","Fill=—","Direction=H","UseDPDF=Y")</f>
        <v>39184</v>
      </c>
      <c r="O70" s="16" cm="1">
        <f t="array" ref="O70">_xll.BDH("DE US Equity","NON_CUR_LIAB","FQ3 2021","FQ3 2021","Currency=USD","Period=FQ","BEST_FPERIOD_OVERRIDE=FQ","FILING_STATUS=MR","SCALING_FORMAT=MLN","Sort=A","Dates=H","DateFormat=P","Fill=—","Direction=H","UseDPDF=Y")</f>
        <v>38067</v>
      </c>
      <c r="P70" s="16" cm="1">
        <f t="array" ref="P70">_xll.BDH("DE US Equity","NON_CUR_LIAB","FQ4 2021","FQ4 2021","Currency=USD","Period=FQ","BEST_FPERIOD_OVERRIDE=FQ","FILING_STATUS=MR","SCALING_FORMAT=MLN","Sort=A","Dates=H","DateFormat=P","Fill=—","Direction=H","UseDPDF=Y")</f>
        <v>37808</v>
      </c>
      <c r="Q70" s="16" cm="1">
        <f t="array" ref="Q70">_xll.BDH("DE US Equity","NON_CUR_LIAB","FQ1 2022","FQ1 2022","Currency=USD","Period=FQ","BEST_FPERIOD_OVERRIDE=FQ","FILING_STATUS=MR","SCALING_FORMAT=MLN","Sort=A","Dates=H","DateFormat=P","Fill=—","Direction=H","UseDPDF=Y")</f>
        <v>36683</v>
      </c>
      <c r="R70" s="16" cm="1">
        <f t="array" ref="R70">_xll.BDH("DE US Equity","NON_CUR_LIAB","FQ2 2022","FQ2 2022","Currency=USD","Period=FQ","BEST_FPERIOD_OVERRIDE=FQ","FILING_STATUS=MR","SCALING_FORMAT=MLN","Sort=A","Dates=H","DateFormat=P","Fill=—","Direction=H","UseDPDF=Y")</f>
        <v>35995</v>
      </c>
      <c r="S70" s="16" cm="1">
        <f t="array" ref="S70">_xll.BDH("DE US Equity","NON_CUR_LIAB","FQ3 2022","FQ3 2022","Currency=USD","Period=FQ","BEST_FPERIOD_OVERRIDE=FQ","FILING_STATUS=MR","SCALING_FORMAT=MLN","Sort=A","Dates=H","DateFormat=P","Fill=—","Direction=H","UseDPDF=Y")</f>
        <v>35604</v>
      </c>
      <c r="T70" s="16" cm="1">
        <f t="array" ref="T70">_xll.BDH("DE US Equity","NON_CUR_LIAB","FQ4 2022","FQ4 2022","Currency=USD","Period=FQ","BEST_FPERIOD_OVERRIDE=FQ","FILING_STATUS=MR","SCALING_FORMAT=MLN","Sort=A","Dates=H","DateFormat=P","Fill=—","Direction=H","UseDPDF=Y")</f>
        <v>36548</v>
      </c>
      <c r="U70" s="16" cm="1">
        <f t="array" ref="U70">_xll.BDH("DE US Equity","NON_CUR_LIAB","FQ1 2023","FQ1 2023","Currency=USD","Period=FQ","BEST_FPERIOD_OVERRIDE=FQ","FILING_STATUS=MR","SCALING_FORMAT=MLN","Sort=A","Dates=H","DateFormat=P","Fill=—","Direction=H","UseDPDF=Y")</f>
        <v>38083</v>
      </c>
      <c r="V70" s="16" cm="1">
        <f t="array" ref="V70">_xll.BDH("DE US Equity","NON_CUR_LIAB","FQ2 2023","FQ2 2023","Currency=USD","Period=FQ","BEST_FPERIOD_OVERRIDE=FQ","FILING_STATUS=MR","SCALING_FORMAT=MLN","Sort=A","Dates=H","DateFormat=P","Fill=—","Direction=H","UseDPDF=Y")</f>
        <v>38642</v>
      </c>
      <c r="W70" s="16" cm="1">
        <f t="array" ref="W70">_xll.BDH("DE US Equity","NON_CUR_LIAB","FQ3 2023","FQ3 2023","Currency=USD","Period=FQ","BEST_FPERIOD_OVERRIDE=FQ","FILING_STATUS=MR","SCALING_FORMAT=MLN","Sort=A","Dates=H","DateFormat=P","Fill=—","Direction=H","UseDPDF=Y")</f>
        <v>41154</v>
      </c>
      <c r="X70" s="16" cm="1">
        <f t="array" ref="X70">_xll.BDH("DE US Equity","NON_CUR_LIAB","FQ4 2023","FQ4 2023","Currency=USD","Period=FQ","BEST_FPERIOD_OVERRIDE=FQ","FILING_STATUS=MR","SCALING_FORMAT=MLN","Sort=A","Dates=H","DateFormat=P","Fill=—","Direction=H","UseDPDF=Y")</f>
        <v>41137</v>
      </c>
      <c r="Y70" s="16" cm="1">
        <f t="array" ref="Y70">_xll.BDH("DE US Equity","NON_CUR_LIAB","FQ1 2024","FQ1 2024","Currency=USD","Period=FQ","BEST_FPERIOD_OVERRIDE=FQ","FILING_STATUS=MR","SCALING_FORMAT=MLN","Sort=A","Dates=H","DateFormat=P","Fill=—","Direction=H","UseDPDF=Y")</f>
        <v>42598</v>
      </c>
      <c r="Z70" s="16" cm="1">
        <f t="array" ref="Z70">_xll.BDH("DE US Equity","NON_CUR_LIAB","FQ2 2024","FQ2 2024","Currency=USD","Period=FQ","BEST_FPERIOD_OVERRIDE=FQ","FILING_STATUS=MR","SCALING_FORMAT=MLN","Sort=A","Dates=H","DateFormat=P","Fill=—","Direction=H","UseDPDF=Y")</f>
        <v>43558</v>
      </c>
      <c r="AA70" s="16" cm="1">
        <f t="array" ref="AA70">_xll.BDH("DE US Equity","NON_CUR_LIAB","FQ3 2024","FQ3 2024","Currency=USD","Period=FQ","BEST_FPERIOD_OVERRIDE=FQ","FILING_STATUS=MR","SCALING_FORMAT=MLN","Sort=A","Dates=H","DateFormat=P","Fill=—","Direction=H","UseDPDF=Y")</f>
        <v>45329</v>
      </c>
      <c r="AB70" s="16" cm="1">
        <f t="array" ref="AB70">_xll.BDH("DE US Equity","NON_CUR_LIAB","FQ4 2024","FQ4 2024","Currency=USD","Period=FQ","BEST_FPERIOD_OVERRIDE=FQ","FILING_STATUS=MR","SCALING_FORMAT=MLN","Sort=A","Dates=H","DateFormat=P","Fill=—","Direction=H","UseDPDF=Y")</f>
        <v>47888</v>
      </c>
      <c r="AC70" s="16" cm="1">
        <f t="array" ref="AC70">_xll.BDH("DE US Equity","NON_CUR_LIAB","FQ1 2025","FQ1 2025","Currency=USD","Period=FQ","BEST_FPERIOD_OVERRIDE=FQ","FILING_STATUS=MR","SCALING_FORMAT=MLN","Sort=A","Dates=H","DateFormat=P","Fill=—","Direction=H","UseDPDF=Y")</f>
        <v>47568</v>
      </c>
      <c r="AD70" s="16" cm="1">
        <f t="array" ref="AD70">_xll.BDH("DE US Equity","NON_CUR_LIAB","FQ2 2025","FQ2 2025","Currency=USD","Period=FQ","BEST_FPERIOD_OVERRIDE=FQ","FILING_STATUS=MR","SCALING_FORMAT=MLN","Sort=A","Dates=H","DateFormat=P","Fill=—","Direction=H","UseDPDF=Y")</f>
        <v>45070</v>
      </c>
      <c r="AE70" s="16" cm="1">
        <f t="array" ref="AE70">_xll.BDH("DE US Equity","NON_CUR_LIAB","FQ3 2025","FQ3 2025","Currency=USD","Period=FQ","BEST_FPERIOD_OVERRIDE=FQ","FILING_STATUS=MR","SCALING_FORMAT=MLN","Sort=A","Dates=H","DateFormat=P","Fill=—","Direction=H","UseDPDF=Y")</f>
        <v>46754</v>
      </c>
      <c r="AF70" s="16" cm="1">
        <f t="array" ref="AF70">_xll.BDH("DE US Equity","NON_CUR_LIAB","FQ4 2025","FQ4 2025","Currency=USD","Period=FQ","BEST_FPERIOD_OVERRIDE=FQ","FILING_STATUS=MR","SCALING_FORMAT=MLN","Sort=A","Dates=H","DateFormat=P","Fill=—","Direction=H","UseDPDF=Y")</f>
        <v>45688</v>
      </c>
    </row>
    <row r="71" spans="1:32" x14ac:dyDescent="0.25">
      <c r="A71" s="6" t="s">
        <v>187</v>
      </c>
      <c r="B71" s="6" t="s">
        <v>188</v>
      </c>
      <c r="C71" s="16" cm="1">
        <f t="array" ref="C71">_xll.BDH("DE US Equity","BS_TOT_LIAB2","FQ3 2018","FQ3 2018","Currency=USD","Period=FQ","BEST_FPERIOD_OVERRIDE=FQ","FILING_STATUS=MR","SCALING_FORMAT=MLN","Sort=A","Dates=H","DateFormat=P","Fill=—","Direction=H","UseDPDF=Y")</f>
        <v>59010</v>
      </c>
      <c r="D71" s="16" cm="1">
        <f t="array" ref="D71">_xll.BDH("DE US Equity","BS_TOT_LIAB2","FQ4 2018","FQ4 2018","Currency=USD","Period=FQ","BEST_FPERIOD_OVERRIDE=FQ","FILING_STATUS=MR","SCALING_FORMAT=MLN","Sort=A","Dates=H","DateFormat=P","Fill=—","Direction=H","UseDPDF=Y")</f>
        <v>58803</v>
      </c>
      <c r="E71" s="16" cm="1">
        <f t="array" ref="E71">_xll.BDH("DE US Equity","BS_TOT_LIAB2","FQ1 2019","FQ1 2019","Currency=USD","Period=FQ","BEST_FPERIOD_OVERRIDE=FQ","FILING_STATUS=MR","SCALING_FORMAT=MLN","Sort=A","Dates=H","DateFormat=P","Fill=—","Direction=H","UseDPDF=Y")</f>
        <v>58571.5</v>
      </c>
      <c r="F71" s="16" cm="1">
        <f t="array" ref="F71">_xll.BDH("DE US Equity","BS_TOT_LIAB2","FQ2 2019","FQ2 2019","Currency=USD","Period=FQ","BEST_FPERIOD_OVERRIDE=FQ","FILING_STATUS=MR","SCALING_FORMAT=MLN","Sort=A","Dates=H","DateFormat=P","Fill=—","Direction=H","UseDPDF=Y")</f>
        <v>60792</v>
      </c>
      <c r="G71" s="16" cm="1">
        <f t="array" ref="G71">_xll.BDH("DE US Equity","BS_TOT_LIAB2","FQ3 2019","FQ3 2019","Currency=USD","Period=FQ","BEST_FPERIOD_OVERRIDE=FQ","FILING_STATUS=MR","SCALING_FORMAT=MLN","Sort=A","Dates=H","DateFormat=P","Fill=—","Direction=H","UseDPDF=Y")</f>
        <v>61246</v>
      </c>
      <c r="H71" s="16" cm="1">
        <f t="array" ref="H71">_xll.BDH("DE US Equity","BS_TOT_LIAB2","FQ4 2019","FQ4 2019","Currency=USD","Period=FQ","BEST_FPERIOD_OVERRIDE=FQ","FILING_STATUS=MR","SCALING_FORMAT=MLN","Sort=A","Dates=H","DateFormat=P","Fill=—","Direction=H","UseDPDF=Y")</f>
        <v>61580</v>
      </c>
      <c r="I71" s="16" cm="1">
        <f t="array" ref="I71">_xll.BDH("DE US Equity","BS_TOT_LIAB2","FQ1 2020","FQ1 2020","Currency=USD","Period=FQ","BEST_FPERIOD_OVERRIDE=FQ","FILING_STATUS=MR","SCALING_FORMAT=MLN","Sort=A","Dates=H","DateFormat=P","Fill=—","Direction=H","UseDPDF=Y")</f>
        <v>59877</v>
      </c>
      <c r="J71" s="16" cm="1">
        <f t="array" ref="J71">_xll.BDH("DE US Equity","BS_TOT_LIAB2","FQ2 2020","FQ2 2020","Currency=USD","Period=FQ","BEST_FPERIOD_OVERRIDE=FQ","FILING_STATUS=MR","SCALING_FORMAT=MLN","Sort=A","Dates=H","DateFormat=P","Fill=—","Direction=H","UseDPDF=Y")</f>
        <v>65461</v>
      </c>
      <c r="K71" s="16" cm="1">
        <f t="array" ref="K71">_xll.BDH("DE US Equity","BS_TOT_LIAB2","FQ3 2020","FQ3 2020","Currency=USD","Period=FQ","BEST_FPERIOD_OVERRIDE=FQ","FILING_STATUS=MR","SCALING_FORMAT=MLN","Sort=A","Dates=H","DateFormat=P","Fill=—","Direction=H","UseDPDF=Y")</f>
        <v>64373</v>
      </c>
      <c r="L71" s="16" cm="1">
        <f t="array" ref="L71">_xll.BDH("DE US Equity","BS_TOT_LIAB2","FQ4 2020","FQ4 2020","Currency=USD","Period=FQ","BEST_FPERIOD_OVERRIDE=FQ","FILING_STATUS=MR","SCALING_FORMAT=MLN","Sort=A","Dates=H","DateFormat=P","Fill=—","Direction=H","UseDPDF=Y")</f>
        <v>62147</v>
      </c>
      <c r="M71" s="16" cm="1">
        <f t="array" ref="M71">_xll.BDH("DE US Equity","BS_TOT_LIAB2","FQ1 2021","FQ1 2021","Currency=USD","Period=FQ","BEST_FPERIOD_OVERRIDE=FQ","FILING_STATUS=MR","SCALING_FORMAT=MLN","Sort=A","Dates=H","DateFormat=P","Fill=—","Direction=H","UseDPDF=Y")</f>
        <v>61394</v>
      </c>
      <c r="N71" s="16" cm="1">
        <f t="array" ref="N71">_xll.BDH("DE US Equity","BS_TOT_LIAB2","FQ2 2021","FQ2 2021","Currency=USD","Period=FQ","BEST_FPERIOD_OVERRIDE=FQ","FILING_STATUS=MR","SCALING_FORMAT=MLN","Sort=A","Dates=H","DateFormat=P","Fill=—","Direction=H","UseDPDF=Y")</f>
        <v>63883</v>
      </c>
      <c r="O71" s="16" cm="1">
        <f t="array" ref="O71">_xll.BDH("DE US Equity","BS_TOT_LIAB2","FQ3 2021","FQ3 2021","Currency=USD","Period=FQ","BEST_FPERIOD_OVERRIDE=FQ","FILING_STATUS=MR","SCALING_FORMAT=MLN","Sort=A","Dates=H","DateFormat=P","Fill=—","Direction=H","UseDPDF=Y")</f>
        <v>64955</v>
      </c>
      <c r="P71" s="16" cm="1">
        <f t="array" ref="P71">_xll.BDH("DE US Equity","BS_TOT_LIAB2","FQ4 2021","FQ4 2021","Currency=USD","Period=FQ","BEST_FPERIOD_OVERRIDE=FQ","FILING_STATUS=MR","SCALING_FORMAT=MLN","Sort=A","Dates=H","DateFormat=P","Fill=—","Direction=H","UseDPDF=Y")</f>
        <v>65680</v>
      </c>
      <c r="Q71" s="16" cm="1">
        <f t="array" ref="Q71">_xll.BDH("DE US Equity","BS_TOT_LIAB2","FQ1 2022","FQ1 2022","Currency=USD","Period=FQ","BEST_FPERIOD_OVERRIDE=FQ","FILING_STATUS=MR","SCALING_FORMAT=MLN","Sort=A","Dates=H","DateFormat=P","Fill=—","Direction=H","UseDPDF=Y")</f>
        <v>61806</v>
      </c>
      <c r="R71" s="16" cm="1">
        <f t="array" ref="R71">_xll.BDH("DE US Equity","BS_TOT_LIAB2","FQ2 2022","FQ2 2022","Currency=USD","Period=FQ","BEST_FPERIOD_OVERRIDE=FQ","FILING_STATUS=MR","SCALING_FORMAT=MLN","Sort=A","Dates=H","DateFormat=P","Fill=—","Direction=H","UseDPDF=Y")</f>
        <v>65093</v>
      </c>
      <c r="S71" s="16" cm="1">
        <f t="array" ref="S71">_xll.BDH("DE US Equity","BS_TOT_LIAB2","FQ3 2022","FQ3 2022","Currency=USD","Period=FQ","BEST_FPERIOD_OVERRIDE=FQ","FILING_STATUS=MR","SCALING_FORMAT=MLN","Sort=A","Dates=H","DateFormat=P","Fill=—","Direction=H","UseDPDF=Y")</f>
        <v>67686</v>
      </c>
      <c r="T71" s="16" cm="1">
        <f t="array" ref="T71">_xll.BDH("DE US Equity","BS_TOT_LIAB2","FQ4 2022","FQ4 2022","Currency=USD","Period=FQ","BEST_FPERIOD_OVERRIDE=FQ","FILING_STATUS=MR","SCALING_FORMAT=MLN","Sort=A","Dates=H","DateFormat=P","Fill=—","Direction=H","UseDPDF=Y")</f>
        <v>69673</v>
      </c>
      <c r="U71" s="16" cm="1">
        <f t="array" ref="U71">_xll.BDH("DE US Equity","BS_TOT_LIAB2","FQ1 2023","FQ1 2023","Currency=USD","Period=FQ","BEST_FPERIOD_OVERRIDE=FQ","FILING_STATUS=MR","SCALING_FORMAT=MLN","Sort=A","Dates=H","DateFormat=P","Fill=—","Direction=H","UseDPDF=Y")</f>
        <v>70184</v>
      </c>
      <c r="V71" s="16" cm="1">
        <f t="array" ref="V71">_xll.BDH("DE US Equity","BS_TOT_LIAB2","FQ2 2023","FQ2 2023","Currency=USD","Period=FQ","BEST_FPERIOD_OVERRIDE=FQ","FILING_STATUS=MR","SCALING_FORMAT=MLN","Sort=A","Dates=H","DateFormat=P","Fill=—","Direction=H","UseDPDF=Y")</f>
        <v>75846</v>
      </c>
      <c r="W71" s="16" cm="1">
        <f t="array" ref="W71">_xll.BDH("DE US Equity","BS_TOT_LIAB2","FQ3 2023","FQ3 2023","Currency=USD","Period=FQ","BEST_FPERIOD_OVERRIDE=FQ","FILING_STATUS=MR","SCALING_FORMAT=MLN","Sort=A","Dates=H","DateFormat=P","Fill=—","Direction=H","UseDPDF=Y")</f>
        <v>80245</v>
      </c>
      <c r="X71" s="16" cm="1">
        <f t="array" ref="X71">_xll.BDH("DE US Equity","BS_TOT_LIAB2","FQ4 2023","FQ4 2023","Currency=USD","Period=FQ","BEST_FPERIOD_OVERRIDE=FQ","FILING_STATUS=MR","SCALING_FORMAT=MLN","Sort=A","Dates=H","DateFormat=P","Fill=—","Direction=H","UseDPDF=Y")</f>
        <v>82201</v>
      </c>
      <c r="Y71" s="16" cm="1">
        <f t="array" ref="Y71">_xll.BDH("DE US Equity","BS_TOT_LIAB2","FQ1 2024","FQ1 2024","Currency=USD","Period=FQ","BEST_FPERIOD_OVERRIDE=FQ","FILING_STATUS=MR","SCALING_FORMAT=MLN","Sort=A","Dates=H","DateFormat=P","Fill=—","Direction=H","UseDPDF=Y")</f>
        <v>79192</v>
      </c>
      <c r="Z71" s="16" cm="1">
        <f t="array" ref="Z71">_xll.BDH("DE US Equity","BS_TOT_LIAB2","FQ2 2024","FQ2 2024","Currency=USD","Period=FQ","BEST_FPERIOD_OVERRIDE=FQ","FILING_STATUS=MR","SCALING_FORMAT=MLN","Sort=A","Dates=H","DateFormat=P","Fill=—","Direction=H","UseDPDF=Y")</f>
        <v>82842</v>
      </c>
      <c r="AA71" s="16" cm="1">
        <f t="array" ref="AA71">_xll.BDH("DE US Equity","BS_TOT_LIAB2","FQ3 2024","FQ3 2024","Currency=USD","Period=FQ","BEST_FPERIOD_OVERRIDE=FQ","FILING_STATUS=MR","SCALING_FORMAT=MLN","Sort=A","Dates=H","DateFormat=P","Fill=—","Direction=H","UseDPDF=Y")</f>
        <v>84692</v>
      </c>
      <c r="AB71" s="16" cm="1">
        <f t="array" ref="AB71">_xll.BDH("DE US Equity","BS_TOT_LIAB2","FQ4 2024","FQ4 2024","Currency=USD","Period=FQ","BEST_FPERIOD_OVERRIDE=FQ","FILING_STATUS=MR","SCALING_FORMAT=MLN","Sort=A","Dates=H","DateFormat=P","Fill=—","Direction=H","UseDPDF=Y")</f>
        <v>84395</v>
      </c>
      <c r="AC71" s="16" cm="1">
        <f t="array" ref="AC71">_xll.BDH("DE US Equity","BS_TOT_LIAB2","FQ1 2025","FQ1 2025","Currency=USD","Period=FQ","BEST_FPERIOD_OVERRIDE=FQ","FILING_STATUS=MR","SCALING_FORMAT=MLN","Sort=A","Dates=H","DateFormat=P","Fill=—","Direction=H","UseDPDF=Y")</f>
        <v>80555</v>
      </c>
      <c r="AD71" s="16" cm="1">
        <f t="array" ref="AD71">_xll.BDH("DE US Equity","BS_TOT_LIAB2","FQ2 2025","FQ2 2025","Currency=USD","Period=FQ","BEST_FPERIOD_OVERRIDE=FQ","FILING_STATUS=MR","SCALING_FORMAT=MLN","Sort=A","Dates=H","DateFormat=P","Fill=—","Direction=H","UseDPDF=Y")</f>
        <v>81925</v>
      </c>
      <c r="AE71" s="16" cm="1">
        <f t="array" ref="AE71">_xll.BDH("DE US Equity","BS_TOT_LIAB2","FQ3 2025","FQ3 2025","Currency=USD","Period=FQ","BEST_FPERIOD_OVERRIDE=FQ","FILING_STATUS=MR","SCALING_FORMAT=MLN","Sort=A","Dates=H","DateFormat=P","Fill=—","Direction=H","UseDPDF=Y")</f>
        <v>82553</v>
      </c>
      <c r="AF71" s="16" cm="1">
        <f t="array" ref="AF71">_xll.BDH("DE US Equity","BS_TOT_LIAB2","FQ4 2025","FQ4 2025","Currency=USD","Period=FQ","BEST_FPERIOD_OVERRIDE=FQ","FILING_STATUS=MR","SCALING_FORMAT=MLN","Sort=A","Dates=H","DateFormat=P","Fill=—","Direction=H","UseDPDF=Y")</f>
        <v>79989</v>
      </c>
    </row>
    <row r="72" spans="1:32" x14ac:dyDescent="0.25">
      <c r="A72" s="10" t="s">
        <v>189</v>
      </c>
      <c r="B72" s="10" t="s">
        <v>190</v>
      </c>
      <c r="C72" s="13" cm="1">
        <f t="array" ref="C72">_xll.BDH("DE US Equity","PFD_EQTY_HYBRID_CAPITAL","FQ3 2018","FQ3 2018","Currency=USD","Period=FQ","BEST_FPERIOD_OVERRIDE=FQ","FILING_STATUS=MR","SCALING_FORMAT=MLN","Sort=A","Dates=H","DateFormat=P","Fill=—","Direction=H","UseDPDF=Y")</f>
        <v>0</v>
      </c>
      <c r="D72" s="13" cm="1">
        <f t="array" ref="D72">_xll.BDH("DE US Equity","PFD_EQTY_HYBRID_CAPITAL","FQ4 2018","FQ4 2018","Currency=USD","Period=FQ","BEST_FPERIOD_OVERRIDE=FQ","FILING_STATUS=MR","SCALING_FORMAT=MLN","Sort=A","Dates=H","DateFormat=P","Fill=—","Direction=H","UseDPDF=Y")</f>
        <v>0</v>
      </c>
      <c r="E72" s="13" cm="1">
        <f t="array" ref="E72">_xll.BDH("DE US Equity","PFD_EQTY_HYBRID_CAPITAL","FQ1 2019","FQ1 2019","Currency=USD","Period=FQ","BEST_FPERIOD_OVERRIDE=FQ","FILING_STATUS=MR","SCALING_FORMAT=MLN","Sort=A","Dates=H","DateFormat=P","Fill=—","Direction=H","UseDPDF=Y")</f>
        <v>0</v>
      </c>
      <c r="F72" s="13" cm="1">
        <f t="array" ref="F72">_xll.BDH("DE US Equity","PFD_EQTY_HYBRID_CAPITAL","FQ2 2019","FQ2 2019","Currency=USD","Period=FQ","BEST_FPERIOD_OVERRIDE=FQ","FILING_STATUS=MR","SCALING_FORMAT=MLN","Sort=A","Dates=H","DateFormat=P","Fill=—","Direction=H","UseDPDF=Y")</f>
        <v>0</v>
      </c>
      <c r="G72" s="13" cm="1">
        <f t="array" ref="G72">_xll.BDH("DE US Equity","PFD_EQTY_HYBRID_CAPITAL","FQ3 2019","FQ3 2019","Currency=USD","Period=FQ","BEST_FPERIOD_OVERRIDE=FQ","FILING_STATUS=MR","SCALING_FORMAT=MLN","Sort=A","Dates=H","DateFormat=P","Fill=—","Direction=H","UseDPDF=Y")</f>
        <v>0</v>
      </c>
      <c r="H72" s="13" cm="1">
        <f t="array" ref="H72">_xll.BDH("DE US Equity","PFD_EQTY_HYBRID_CAPITAL","FQ4 2019","FQ4 2019","Currency=USD","Period=FQ","BEST_FPERIOD_OVERRIDE=FQ","FILING_STATUS=MR","SCALING_FORMAT=MLN","Sort=A","Dates=H","DateFormat=P","Fill=—","Direction=H","UseDPDF=Y")</f>
        <v>0</v>
      </c>
      <c r="I72" s="13" cm="1">
        <f t="array" ref="I72">_xll.BDH("DE US Equity","PFD_EQTY_HYBRID_CAPITAL","FQ1 2020","FQ1 2020","Currency=USD","Period=FQ","BEST_FPERIOD_OVERRIDE=FQ","FILING_STATUS=MR","SCALING_FORMAT=MLN","Sort=A","Dates=H","DateFormat=P","Fill=—","Direction=H","UseDPDF=Y")</f>
        <v>0</v>
      </c>
      <c r="J72" s="13" cm="1">
        <f t="array" ref="J72">_xll.BDH("DE US Equity","PFD_EQTY_HYBRID_CAPITAL","FQ2 2020","FQ2 2020","Currency=USD","Period=FQ","BEST_FPERIOD_OVERRIDE=FQ","FILING_STATUS=MR","SCALING_FORMAT=MLN","Sort=A","Dates=H","DateFormat=P","Fill=—","Direction=H","UseDPDF=Y")</f>
        <v>0</v>
      </c>
      <c r="K72" s="13" cm="1">
        <f t="array" ref="K72">_xll.BDH("DE US Equity","PFD_EQTY_HYBRID_CAPITAL","FQ3 2020","FQ3 2020","Currency=USD","Period=FQ","BEST_FPERIOD_OVERRIDE=FQ","FILING_STATUS=MR","SCALING_FORMAT=MLN","Sort=A","Dates=H","DateFormat=P","Fill=—","Direction=H","UseDPDF=Y")</f>
        <v>0</v>
      </c>
      <c r="L72" s="13" cm="1">
        <f t="array" ref="L72">_xll.BDH("DE US Equity","PFD_EQTY_HYBRID_CAPITAL","FQ4 2020","FQ4 2020","Currency=USD","Period=FQ","BEST_FPERIOD_OVERRIDE=FQ","FILING_STATUS=MR","SCALING_FORMAT=MLN","Sort=A","Dates=H","DateFormat=P","Fill=—","Direction=H","UseDPDF=Y")</f>
        <v>0</v>
      </c>
      <c r="M72" s="13" cm="1">
        <f t="array" ref="M72">_xll.BDH("DE US Equity","PFD_EQTY_HYBRID_CAPITAL","FQ1 2021","FQ1 2021","Currency=USD","Period=FQ","BEST_FPERIOD_OVERRIDE=FQ","FILING_STATUS=MR","SCALING_FORMAT=MLN","Sort=A","Dates=H","DateFormat=P","Fill=—","Direction=H","UseDPDF=Y")</f>
        <v>0</v>
      </c>
      <c r="N72" s="13" cm="1">
        <f t="array" ref="N72">_xll.BDH("DE US Equity","PFD_EQTY_HYBRID_CAPITAL","FQ2 2021","FQ2 2021","Currency=USD","Period=FQ","BEST_FPERIOD_OVERRIDE=FQ","FILING_STATUS=MR","SCALING_FORMAT=MLN","Sort=A","Dates=H","DateFormat=P","Fill=—","Direction=H","UseDPDF=Y")</f>
        <v>0</v>
      </c>
      <c r="O72" s="13" cm="1">
        <f t="array" ref="O72">_xll.BDH("DE US Equity","PFD_EQTY_HYBRID_CAPITAL","FQ3 2021","FQ3 2021","Currency=USD","Period=FQ","BEST_FPERIOD_OVERRIDE=FQ","FILING_STATUS=MR","SCALING_FORMAT=MLN","Sort=A","Dates=H","DateFormat=P","Fill=—","Direction=H","UseDPDF=Y")</f>
        <v>0</v>
      </c>
      <c r="P72" s="13" cm="1">
        <f t="array" ref="P72">_xll.BDH("DE US Equity","PFD_EQTY_HYBRID_CAPITAL","FQ4 2021","FQ4 2021","Currency=USD","Period=FQ","BEST_FPERIOD_OVERRIDE=FQ","FILING_STATUS=MR","SCALING_FORMAT=MLN","Sort=A","Dates=H","DateFormat=P","Fill=—","Direction=H","UseDPDF=Y")</f>
        <v>0</v>
      </c>
      <c r="Q72" s="13" cm="1">
        <f t="array" ref="Q72">_xll.BDH("DE US Equity","PFD_EQTY_HYBRID_CAPITAL","FQ1 2022","FQ1 2022","Currency=USD","Period=FQ","BEST_FPERIOD_OVERRIDE=FQ","FILING_STATUS=MR","SCALING_FORMAT=MLN","Sort=A","Dates=H","DateFormat=P","Fill=—","Direction=H","UseDPDF=Y")</f>
        <v>0</v>
      </c>
      <c r="R72" s="13" cm="1">
        <f t="array" ref="R72">_xll.BDH("DE US Equity","PFD_EQTY_HYBRID_CAPITAL","FQ2 2022","FQ2 2022","Currency=USD","Period=FQ","BEST_FPERIOD_OVERRIDE=FQ","FILING_STATUS=MR","SCALING_FORMAT=MLN","Sort=A","Dates=H","DateFormat=P","Fill=—","Direction=H","UseDPDF=Y")</f>
        <v>0</v>
      </c>
      <c r="S72" s="13" cm="1">
        <f t="array" ref="S72">_xll.BDH("DE US Equity","PFD_EQTY_HYBRID_CAPITAL","FQ3 2022","FQ3 2022","Currency=USD","Period=FQ","BEST_FPERIOD_OVERRIDE=FQ","FILING_STATUS=MR","SCALING_FORMAT=MLN","Sort=A","Dates=H","DateFormat=P","Fill=—","Direction=H","UseDPDF=Y")</f>
        <v>0</v>
      </c>
      <c r="T72" s="13" cm="1">
        <f t="array" ref="T72">_xll.BDH("DE US Equity","PFD_EQTY_HYBRID_CAPITAL","FQ4 2022","FQ4 2022","Currency=USD","Period=FQ","BEST_FPERIOD_OVERRIDE=FQ","FILING_STATUS=MR","SCALING_FORMAT=MLN","Sort=A","Dates=H","DateFormat=P","Fill=—","Direction=H","UseDPDF=Y")</f>
        <v>0</v>
      </c>
      <c r="U72" s="13" cm="1">
        <f t="array" ref="U72">_xll.BDH("DE US Equity","PFD_EQTY_HYBRID_CAPITAL","FQ1 2023","FQ1 2023","Currency=USD","Period=FQ","BEST_FPERIOD_OVERRIDE=FQ","FILING_STATUS=MR","SCALING_FORMAT=MLN","Sort=A","Dates=H","DateFormat=P","Fill=—","Direction=H","UseDPDF=Y")</f>
        <v>0</v>
      </c>
      <c r="V72" s="13" cm="1">
        <f t="array" ref="V72">_xll.BDH("DE US Equity","PFD_EQTY_HYBRID_CAPITAL","FQ2 2023","FQ2 2023","Currency=USD","Period=FQ","BEST_FPERIOD_OVERRIDE=FQ","FILING_STATUS=MR","SCALING_FORMAT=MLN","Sort=A","Dates=H","DateFormat=P","Fill=—","Direction=H","UseDPDF=Y")</f>
        <v>0</v>
      </c>
      <c r="W72" s="13" cm="1">
        <f t="array" ref="W72">_xll.BDH("DE US Equity","PFD_EQTY_HYBRID_CAPITAL","FQ3 2023","FQ3 2023","Currency=USD","Period=FQ","BEST_FPERIOD_OVERRIDE=FQ","FILING_STATUS=MR","SCALING_FORMAT=MLN","Sort=A","Dates=H","DateFormat=P","Fill=—","Direction=H","UseDPDF=Y")</f>
        <v>0</v>
      </c>
      <c r="X72" s="13" cm="1">
        <f t="array" ref="X72">_xll.BDH("DE US Equity","PFD_EQTY_HYBRID_CAPITAL","FQ4 2023","FQ4 2023","Currency=USD","Period=FQ","BEST_FPERIOD_OVERRIDE=FQ","FILING_STATUS=MR","SCALING_FORMAT=MLN","Sort=A","Dates=H","DateFormat=P","Fill=—","Direction=H","UseDPDF=Y")</f>
        <v>0</v>
      </c>
      <c r="Y72" s="13" cm="1">
        <f t="array" ref="Y72">_xll.BDH("DE US Equity","PFD_EQTY_HYBRID_CAPITAL","FQ1 2024","FQ1 2024","Currency=USD","Period=FQ","BEST_FPERIOD_OVERRIDE=FQ","FILING_STATUS=MR","SCALING_FORMAT=MLN","Sort=A","Dates=H","DateFormat=P","Fill=—","Direction=H","UseDPDF=Y")</f>
        <v>0</v>
      </c>
      <c r="Z72" s="13" cm="1">
        <f t="array" ref="Z72">_xll.BDH("DE US Equity","PFD_EQTY_HYBRID_CAPITAL","FQ2 2024","FQ2 2024","Currency=USD","Period=FQ","BEST_FPERIOD_OVERRIDE=FQ","FILING_STATUS=MR","SCALING_FORMAT=MLN","Sort=A","Dates=H","DateFormat=P","Fill=—","Direction=H","UseDPDF=Y")</f>
        <v>0</v>
      </c>
      <c r="AA72" s="13" cm="1">
        <f t="array" ref="AA72">_xll.BDH("DE US Equity","PFD_EQTY_HYBRID_CAPITAL","FQ3 2024","FQ3 2024","Currency=USD","Period=FQ","BEST_FPERIOD_OVERRIDE=FQ","FILING_STATUS=MR","SCALING_FORMAT=MLN","Sort=A","Dates=H","DateFormat=P","Fill=—","Direction=H","UseDPDF=Y")</f>
        <v>0</v>
      </c>
      <c r="AB72" s="13" cm="1">
        <f t="array" ref="AB72">_xll.BDH("DE US Equity","PFD_EQTY_HYBRID_CAPITAL","FQ4 2024","FQ4 2024","Currency=USD","Period=FQ","BEST_FPERIOD_OVERRIDE=FQ","FILING_STATUS=MR","SCALING_FORMAT=MLN","Sort=A","Dates=H","DateFormat=P","Fill=—","Direction=H","UseDPDF=Y")</f>
        <v>0</v>
      </c>
      <c r="AC72" s="13" cm="1">
        <f t="array" ref="AC72">_xll.BDH("DE US Equity","PFD_EQTY_HYBRID_CAPITAL","FQ1 2025","FQ1 2025","Currency=USD","Period=FQ","BEST_FPERIOD_OVERRIDE=FQ","FILING_STATUS=MR","SCALING_FORMAT=MLN","Sort=A","Dates=H","DateFormat=P","Fill=—","Direction=H","UseDPDF=Y")</f>
        <v>0</v>
      </c>
      <c r="AD72" s="13" cm="1">
        <f t="array" ref="AD72">_xll.BDH("DE US Equity","PFD_EQTY_HYBRID_CAPITAL","FQ2 2025","FQ2 2025","Currency=USD","Period=FQ","BEST_FPERIOD_OVERRIDE=FQ","FILING_STATUS=MR","SCALING_FORMAT=MLN","Sort=A","Dates=H","DateFormat=P","Fill=—","Direction=H","UseDPDF=Y")</f>
        <v>0</v>
      </c>
      <c r="AE72" s="13" cm="1">
        <f t="array" ref="AE72">_xll.BDH("DE US Equity","PFD_EQTY_HYBRID_CAPITAL","FQ3 2025","FQ3 2025","Currency=USD","Period=FQ","BEST_FPERIOD_OVERRIDE=FQ","FILING_STATUS=MR","SCALING_FORMAT=MLN","Sort=A","Dates=H","DateFormat=P","Fill=—","Direction=H","UseDPDF=Y")</f>
        <v>0</v>
      </c>
      <c r="AF72" s="13" cm="1">
        <f t="array" ref="AF72">_xll.BDH("DE US Equity","PFD_EQTY_HYBRID_CAPITAL","FQ4 2025","FQ4 2025","Currency=USD","Period=FQ","BEST_FPERIOD_OVERRIDE=FQ","FILING_STATUS=MR","SCALING_FORMAT=MLN","Sort=A","Dates=H","DateFormat=P","Fill=—","Direction=H","UseDPDF=Y")</f>
        <v>0</v>
      </c>
    </row>
    <row r="73" spans="1:32" x14ac:dyDescent="0.25">
      <c r="A73" s="10" t="s">
        <v>191</v>
      </c>
      <c r="B73" s="10" t="s">
        <v>192</v>
      </c>
      <c r="C73" s="13" cm="1">
        <f t="array" ref="C73">_xll.BDH("DE US Equity","BS_SH_CAP_AND_APIC","FQ3 2018","FQ3 2018","Currency=USD","Period=FQ","BEST_FPERIOD_OVERRIDE=FQ","FILING_STATUS=MR","SCALING_FORMAT=MLN","Sort=A","Dates=H","DateFormat=P","Fill=—","Direction=H","UseDPDF=Y")</f>
        <v>4451</v>
      </c>
      <c r="D73" s="13" cm="1">
        <f t="array" ref="D73">_xll.BDH("DE US Equity","BS_SH_CAP_AND_APIC","FQ4 2018","FQ4 2018","Currency=USD","Period=FQ","BEST_FPERIOD_OVERRIDE=FQ","FILING_STATUS=MR","SCALING_FORMAT=MLN","Sort=A","Dates=H","DateFormat=P","Fill=—","Direction=H","UseDPDF=Y")</f>
        <v>4474</v>
      </c>
      <c r="E73" s="13" cm="1">
        <f t="array" ref="E73">_xll.BDH("DE US Equity","BS_SH_CAP_AND_APIC","FQ1 2019","FQ1 2019","Currency=USD","Period=FQ","BEST_FPERIOD_OVERRIDE=FQ","FILING_STATUS=MR","SCALING_FORMAT=MLN","Sort=A","Dates=H","DateFormat=P","Fill=—","Direction=H","UseDPDF=Y")</f>
        <v>4511.5</v>
      </c>
      <c r="F73" s="13" cm="1">
        <f t="array" ref="F73">_xll.BDH("DE US Equity","BS_SH_CAP_AND_APIC","FQ2 2019","FQ2 2019","Currency=USD","Period=FQ","BEST_FPERIOD_OVERRIDE=FQ","FILING_STATUS=MR","SCALING_FORMAT=MLN","Sort=A","Dates=H","DateFormat=P","Fill=—","Direction=H","UseDPDF=Y")</f>
        <v>4559</v>
      </c>
      <c r="G73" s="13" cm="1">
        <f t="array" ref="G73">_xll.BDH("DE US Equity","BS_SH_CAP_AND_APIC","FQ3 2019","FQ3 2019","Currency=USD","Period=FQ","BEST_FPERIOD_OVERRIDE=FQ","FILING_STATUS=MR","SCALING_FORMAT=MLN","Sort=A","Dates=H","DateFormat=P","Fill=—","Direction=H","UseDPDF=Y")</f>
        <v>4599</v>
      </c>
      <c r="H73" s="13" cm="1">
        <f t="array" ref="H73">_xll.BDH("DE US Equity","BS_SH_CAP_AND_APIC","FQ4 2019","FQ4 2019","Currency=USD","Period=FQ","BEST_FPERIOD_OVERRIDE=FQ","FILING_STATUS=MR","SCALING_FORMAT=MLN","Sort=A","Dates=H","DateFormat=P","Fill=—","Direction=H","UseDPDF=Y")</f>
        <v>4642</v>
      </c>
      <c r="I73" s="13" cm="1">
        <f t="array" ref="I73">_xll.BDH("DE US Equity","BS_SH_CAP_AND_APIC","FQ1 2020","FQ1 2020","Currency=USD","Period=FQ","BEST_FPERIOD_OVERRIDE=FQ","FILING_STATUS=MR","SCALING_FORMAT=MLN","Sort=A","Dates=H","DateFormat=P","Fill=—","Direction=H","UseDPDF=Y")</f>
        <v>4675</v>
      </c>
      <c r="J73" s="13" cm="1">
        <f t="array" ref="J73">_xll.BDH("DE US Equity","BS_SH_CAP_AND_APIC","FQ2 2020","FQ2 2020","Currency=USD","Period=FQ","BEST_FPERIOD_OVERRIDE=FQ","FILING_STATUS=MR","SCALING_FORMAT=MLN","Sort=A","Dates=H","DateFormat=P","Fill=—","Direction=H","UseDPDF=Y")</f>
        <v>4713</v>
      </c>
      <c r="K73" s="13" cm="1">
        <f t="array" ref="K73">_xll.BDH("DE US Equity","BS_SH_CAP_AND_APIC","FQ3 2020","FQ3 2020","Currency=USD","Period=FQ","BEST_FPERIOD_OVERRIDE=FQ","FILING_STATUS=MR","SCALING_FORMAT=MLN","Sort=A","Dates=H","DateFormat=P","Fill=—","Direction=H","UseDPDF=Y")</f>
        <v>4750</v>
      </c>
      <c r="L73" s="13" cm="1">
        <f t="array" ref="L73">_xll.BDH("DE US Equity","BS_SH_CAP_AND_APIC","FQ4 2020","FQ4 2020","Currency=USD","Period=FQ","BEST_FPERIOD_OVERRIDE=FQ","FILING_STATUS=MR","SCALING_FORMAT=MLN","Sort=A","Dates=H","DateFormat=P","Fill=—","Direction=H","UseDPDF=Y")</f>
        <v>4895</v>
      </c>
      <c r="M73" s="13" cm="1">
        <f t="array" ref="M73">_xll.BDH("DE US Equity","BS_SH_CAP_AND_APIC","FQ1 2021","FQ1 2021","Currency=USD","Period=FQ","BEST_FPERIOD_OVERRIDE=FQ","FILING_STATUS=MR","SCALING_FORMAT=MLN","Sort=A","Dates=H","DateFormat=P","Fill=—","Direction=H","UseDPDF=Y")</f>
        <v>4942</v>
      </c>
      <c r="N73" s="13" cm="1">
        <f t="array" ref="N73">_xll.BDH("DE US Equity","BS_SH_CAP_AND_APIC","FQ2 2021","FQ2 2021","Currency=USD","Period=FQ","BEST_FPERIOD_OVERRIDE=FQ","FILING_STATUS=MR","SCALING_FORMAT=MLN","Sort=A","Dates=H","DateFormat=P","Fill=—","Direction=H","UseDPDF=Y")</f>
        <v>4999</v>
      </c>
      <c r="O73" s="13" cm="1">
        <f t="array" ref="O73">_xll.BDH("DE US Equity","BS_SH_CAP_AND_APIC","FQ3 2021","FQ3 2021","Currency=USD","Period=FQ","BEST_FPERIOD_OVERRIDE=FQ","FILING_STATUS=MR","SCALING_FORMAT=MLN","Sort=A","Dates=H","DateFormat=P","Fill=—","Direction=H","UseDPDF=Y")</f>
        <v>5031</v>
      </c>
      <c r="P73" s="13" cm="1">
        <f t="array" ref="P73">_xll.BDH("DE US Equity","BS_SH_CAP_AND_APIC","FQ4 2021","FQ4 2021","Currency=USD","Period=FQ","BEST_FPERIOD_OVERRIDE=FQ","FILING_STATUS=MR","SCALING_FORMAT=MLN","Sort=A","Dates=H","DateFormat=P","Fill=—","Direction=H","UseDPDF=Y")</f>
        <v>5054</v>
      </c>
      <c r="Q73" s="13" cm="1">
        <f t="array" ref="Q73">_xll.BDH("DE US Equity","BS_SH_CAP_AND_APIC","FQ1 2022","FQ1 2022","Currency=USD","Period=FQ","BEST_FPERIOD_OVERRIDE=FQ","FILING_STATUS=MR","SCALING_FORMAT=MLN","Sort=A","Dates=H","DateFormat=P","Fill=—","Direction=H","UseDPDF=Y")</f>
        <v>5066</v>
      </c>
      <c r="R73" s="13" cm="1">
        <f t="array" ref="R73">_xll.BDH("DE US Equity","BS_SH_CAP_AND_APIC","FQ2 2022","FQ2 2022","Currency=USD","Period=FQ","BEST_FPERIOD_OVERRIDE=FQ","FILING_STATUS=MR","SCALING_FORMAT=MLN","Sort=A","Dates=H","DateFormat=P","Fill=—","Direction=H","UseDPDF=Y")</f>
        <v>5117</v>
      </c>
      <c r="S73" s="13" cm="1">
        <f t="array" ref="S73">_xll.BDH("DE US Equity","BS_SH_CAP_AND_APIC","FQ3 2022","FQ3 2022","Currency=USD","Period=FQ","BEST_FPERIOD_OVERRIDE=FQ","FILING_STATUS=MR","SCALING_FORMAT=MLN","Sort=A","Dates=H","DateFormat=P","Fill=—","Direction=H","UseDPDF=Y")</f>
        <v>5139</v>
      </c>
      <c r="T73" s="13" cm="1">
        <f t="array" ref="T73">_xll.BDH("DE US Equity","BS_SH_CAP_AND_APIC","FQ4 2022","FQ4 2022","Currency=USD","Period=FQ","BEST_FPERIOD_OVERRIDE=FQ","FILING_STATUS=MR","SCALING_FORMAT=MLN","Sort=A","Dates=H","DateFormat=P","Fill=—","Direction=H","UseDPDF=Y")</f>
        <v>5165</v>
      </c>
      <c r="U73" s="13" cm="1">
        <f t="array" ref="U73">_xll.BDH("DE US Equity","BS_SH_CAP_AND_APIC","FQ1 2023","FQ1 2023","Currency=USD","Period=FQ","BEST_FPERIOD_OVERRIDE=FQ","FILING_STATUS=MR","SCALING_FORMAT=MLN","Sort=A","Dates=H","DateFormat=P","Fill=—","Direction=H","UseDPDF=Y")</f>
        <v>5191</v>
      </c>
      <c r="V73" s="13" cm="1">
        <f t="array" ref="V73">_xll.BDH("DE US Equity","BS_SH_CAP_AND_APIC","FQ2 2023","FQ2 2023","Currency=USD","Period=FQ","BEST_FPERIOD_OVERRIDE=FQ","FILING_STATUS=MR","SCALING_FORMAT=MLN","Sort=A","Dates=H","DateFormat=P","Fill=—","Direction=H","UseDPDF=Y")</f>
        <v>5227</v>
      </c>
      <c r="W73" s="13" cm="1">
        <f t="array" ref="W73">_xll.BDH("DE US Equity","BS_SH_CAP_AND_APIC","FQ3 2023","FQ3 2023","Currency=USD","Period=FQ","BEST_FPERIOD_OVERRIDE=FQ","FILING_STATUS=MR","SCALING_FORMAT=MLN","Sort=A","Dates=H","DateFormat=P","Fill=—","Direction=H","UseDPDF=Y")</f>
        <v>5272</v>
      </c>
      <c r="X73" s="13" cm="1">
        <f t="array" ref="X73">_xll.BDH("DE US Equity","BS_SH_CAP_AND_APIC","FQ4 2023","FQ4 2023","Currency=USD","Period=FQ","BEST_FPERIOD_OVERRIDE=FQ","FILING_STATUS=MR","SCALING_FORMAT=MLN","Sort=A","Dates=H","DateFormat=P","Fill=—","Direction=H","UseDPDF=Y")</f>
        <v>5303</v>
      </c>
      <c r="Y73" s="13" cm="1">
        <f t="array" ref="Y73">_xll.BDH("DE US Equity","BS_SH_CAP_AND_APIC","FQ1 2024","FQ1 2024","Currency=USD","Period=FQ","BEST_FPERIOD_OVERRIDE=FQ","FILING_STATUS=MR","SCALING_FORMAT=MLN","Sort=A","Dates=H","DateFormat=P","Fill=—","Direction=H","UseDPDF=Y")</f>
        <v>5335</v>
      </c>
      <c r="Z73" s="13" cm="1">
        <f t="array" ref="Z73">_xll.BDH("DE US Equity","BS_SH_CAP_AND_APIC","FQ2 2024","FQ2 2024","Currency=USD","Period=FQ","BEST_FPERIOD_OVERRIDE=FQ","FILING_STATUS=MR","SCALING_FORMAT=MLN","Sort=A","Dates=H","DateFormat=P","Fill=—","Direction=H","UseDPDF=Y")</f>
        <v>5391</v>
      </c>
      <c r="AA73" s="13" cm="1">
        <f t="array" ref="AA73">_xll.BDH("DE US Equity","BS_SH_CAP_AND_APIC","FQ3 2024","FQ3 2024","Currency=USD","Period=FQ","BEST_FPERIOD_OVERRIDE=FQ","FILING_STATUS=MR","SCALING_FORMAT=MLN","Sort=A","Dates=H","DateFormat=P","Fill=—","Direction=H","UseDPDF=Y")</f>
        <v>5441</v>
      </c>
      <c r="AB73" s="13" cm="1">
        <f t="array" ref="AB73">_xll.BDH("DE US Equity","BS_SH_CAP_AND_APIC","FQ4 2024","FQ4 2024","Currency=USD","Period=FQ","BEST_FPERIOD_OVERRIDE=FQ","FILING_STATUS=MR","SCALING_FORMAT=MLN","Sort=A","Dates=H","DateFormat=P","Fill=—","Direction=H","UseDPDF=Y")</f>
        <v>5489</v>
      </c>
      <c r="AC73" s="13" cm="1">
        <f t="array" ref="AC73">_xll.BDH("DE US Equity","BS_SH_CAP_AND_APIC","FQ1 2025","FQ1 2025","Currency=USD","Period=FQ","BEST_FPERIOD_OVERRIDE=FQ","FILING_STATUS=MR","SCALING_FORMAT=MLN","Sort=A","Dates=H","DateFormat=P","Fill=—","Direction=H","UseDPDF=Y")</f>
        <v>5526</v>
      </c>
      <c r="AD73" s="13" cm="1">
        <f t="array" ref="AD73">_xll.BDH("DE US Equity","BS_SH_CAP_AND_APIC","FQ2 2025","FQ2 2025","Currency=USD","Period=FQ","BEST_FPERIOD_OVERRIDE=FQ","FILING_STATUS=MR","SCALING_FORMAT=MLN","Sort=A","Dates=H","DateFormat=P","Fill=—","Direction=H","UseDPDF=Y")</f>
        <v>5565</v>
      </c>
      <c r="AE73" s="13" cm="1">
        <f t="array" ref="AE73">_xll.BDH("DE US Equity","BS_SH_CAP_AND_APIC","FQ3 2025","FQ3 2025","Currency=USD","Period=FQ","BEST_FPERIOD_OVERRIDE=FQ","FILING_STATUS=MR","SCALING_FORMAT=MLN","Sort=A","Dates=H","DateFormat=P","Fill=—","Direction=H","UseDPDF=Y")</f>
        <v>5620</v>
      </c>
      <c r="AF73" s="13" cm="1">
        <f t="array" ref="AF73">_xll.BDH("DE US Equity","BS_SH_CAP_AND_APIC","FQ4 2025","FQ4 2025","Currency=USD","Period=FQ","BEST_FPERIOD_OVERRIDE=FQ","FILING_STATUS=MR","SCALING_FORMAT=MLN","Sort=A","Dates=H","DateFormat=P","Fill=—","Direction=H","UseDPDF=Y")</f>
        <v>5668</v>
      </c>
    </row>
    <row r="74" spans="1:32" x14ac:dyDescent="0.25">
      <c r="A74" s="10" t="s">
        <v>193</v>
      </c>
      <c r="B74" s="10" t="s">
        <v>194</v>
      </c>
      <c r="C74" s="13" cm="1">
        <f t="array" ref="C74">_xll.BDH("DE US Equity","BS_COMMON_STOCK","FQ3 2018","FQ3 2018","Currency=USD","Period=FQ","BEST_FPERIOD_OVERRIDE=FQ","FILING_STATUS=MR","SCALING_FORMAT=MLN","Sort=A","Dates=H","DateFormat=P","Fill=—","Direction=H","UseDPDF=Y")</f>
        <v>321.67349999999999</v>
      </c>
      <c r="D74" s="13" cm="1">
        <f t="array" ref="D74">_xll.BDH("DE US Equity","BS_COMMON_STOCK","FQ4 2018","FQ4 2018","Currency=USD","Period=FQ","BEST_FPERIOD_OVERRIDE=FQ","FILING_STATUS=MR","SCALING_FORMAT=MLN","Sort=A","Dates=H","DateFormat=P","Fill=—","Direction=H","UseDPDF=Y")</f>
        <v>536.43119999999999</v>
      </c>
      <c r="E74" s="13" cm="1">
        <f t="array" ref="E74">_xll.BDH("DE US Equity","BS_COMMON_STOCK","FQ1 2019","FQ1 2019","Currency=USD","Period=FQ","BEST_FPERIOD_OVERRIDE=FQ","FILING_STATUS=MR","SCALING_FORMAT=MLN","Sort=A","Dates=H","DateFormat=P","Fill=—","Direction=H","UseDPDF=Y")</f>
        <v>318.49349999999998</v>
      </c>
      <c r="F74" s="13" cm="1">
        <f t="array" ref="F74">_xll.BDH("DE US Equity","BS_COMMON_STOCK","FQ2 2019","FQ2 2019","Currency=USD","Period=FQ","BEST_FPERIOD_OVERRIDE=FQ","FILING_STATUS=MR","SCALING_FORMAT=MLN","Sort=A","Dates=H","DateFormat=P","Fill=—","Direction=H","UseDPDF=Y")</f>
        <v>316.99549999999999</v>
      </c>
      <c r="G74" s="13" cm="1">
        <f t="array" ref="G74">_xll.BDH("DE US Equity","BS_COMMON_STOCK","FQ3 2019","FQ3 2019","Currency=USD","Period=FQ","BEST_FPERIOD_OVERRIDE=FQ","FILING_STATUS=MR","SCALING_FORMAT=MLN","Sort=A","Dates=H","DateFormat=P","Fill=—","Direction=H","UseDPDF=Y")</f>
        <v>314.87279999999998</v>
      </c>
      <c r="H74" s="13" cm="1">
        <f t="array" ref="H74">_xll.BDH("DE US Equity","BS_COMMON_STOCK","FQ4 2019","FQ4 2019","Currency=USD","Period=FQ","BEST_FPERIOD_OVERRIDE=FQ","FILING_STATUS=MR","SCALING_FORMAT=MLN","Sort=A","Dates=H","DateFormat=P","Fill=—","Direction=H","UseDPDF=Y")</f>
        <v>536.43119999999999</v>
      </c>
      <c r="I74" s="13" cm="1">
        <f t="array" ref="I74">_xll.BDH("DE US Equity","BS_COMMON_STOCK","FQ1 2020","FQ1 2020","Currency=USD","Period=FQ","BEST_FPERIOD_OVERRIDE=FQ","FILING_STATUS=MR","SCALING_FORMAT=MLN","Sort=A","Dates=H","DateFormat=P","Fill=—","Direction=H","UseDPDF=Y")</f>
        <v>313.62</v>
      </c>
      <c r="J74" s="13" cm="1">
        <f t="array" ref="J74">_xll.BDH("DE US Equity","BS_COMMON_STOCK","FQ2 2020","FQ2 2020","Currency=USD","Period=FQ","BEST_FPERIOD_OVERRIDE=FQ","FILING_STATUS=MR","SCALING_FORMAT=MLN","Sort=A","Dates=H","DateFormat=P","Fill=—","Direction=H","UseDPDF=Y")</f>
        <v>312.85860000000002</v>
      </c>
      <c r="K74" s="13" cm="1">
        <f t="array" ref="K74">_xll.BDH("DE US Equity","BS_COMMON_STOCK","FQ3 2020","FQ3 2020","Currency=USD","Period=FQ","BEST_FPERIOD_OVERRIDE=FQ","FILING_STATUS=MR","SCALING_FORMAT=MLN","Sort=A","Dates=H","DateFormat=P","Fill=—","Direction=H","UseDPDF=Y")</f>
        <v>313.37479999999999</v>
      </c>
      <c r="L74" s="13" cm="1">
        <f t="array" ref="L74">_xll.BDH("DE US Equity","BS_COMMON_STOCK","FQ4 2020","FQ4 2020","Currency=USD","Period=FQ","BEST_FPERIOD_OVERRIDE=FQ","FILING_STATUS=MR","SCALING_FORMAT=MLN","Sort=A","Dates=H","DateFormat=P","Fill=—","Direction=H","UseDPDF=Y")</f>
        <v>536.43119999999999</v>
      </c>
      <c r="M74" s="13" cm="1">
        <f t="array" ref="M74">_xll.BDH("DE US Equity","BS_COMMON_STOCK","FQ1 2021","FQ1 2021","Currency=USD","Period=FQ","BEST_FPERIOD_OVERRIDE=FQ","FILING_STATUS=MR","SCALING_FORMAT=MLN","Sort=A","Dates=H","DateFormat=P","Fill=—","Direction=H","UseDPDF=Y")</f>
        <v>313.43889999999999</v>
      </c>
      <c r="N74" s="13" cm="1">
        <f t="array" ref="N74">_xll.BDH("DE US Equity","BS_COMMON_STOCK","FQ2 2021","FQ2 2021","Currency=USD","Period=FQ","BEST_FPERIOD_OVERRIDE=FQ","FILING_STATUS=MR","SCALING_FORMAT=MLN","Sort=A","Dates=H","DateFormat=P","Fill=—","Direction=H","UseDPDF=Y")</f>
        <v>311.94209999999998</v>
      </c>
      <c r="O74" s="13" cm="1">
        <f t="array" ref="O74">_xll.BDH("DE US Equity","BS_COMMON_STOCK","FQ3 2021","FQ3 2021","Currency=USD","Period=FQ","BEST_FPERIOD_OVERRIDE=FQ","FILING_STATUS=MR","SCALING_FORMAT=MLN","Sort=A","Dates=H","DateFormat=P","Fill=—","Direction=H","UseDPDF=Y")</f>
        <v>310.06150000000002</v>
      </c>
      <c r="P74" s="13" cm="1">
        <f t="array" ref="P74">_xll.BDH("DE US Equity","BS_COMMON_STOCK","FQ4 2021","FQ4 2021","Currency=USD","Period=FQ","BEST_FPERIOD_OVERRIDE=FQ","FILING_STATUS=MR","SCALING_FORMAT=MLN","Sort=A","Dates=H","DateFormat=P","Fill=—","Direction=H","UseDPDF=Y")</f>
        <v>536.43119999999999</v>
      </c>
      <c r="Q74" s="13" cm="1">
        <f t="array" ref="Q74">_xll.BDH("DE US Equity","BS_COMMON_STOCK","FQ1 2022","FQ1 2022","Currency=USD","Period=FQ","BEST_FPERIOD_OVERRIDE=FQ","FILING_STATUS=MR","SCALING_FORMAT=MLN","Sort=A","Dates=H","DateFormat=P","Fill=—","Direction=H","UseDPDF=Y")</f>
        <v>306.78429999999997</v>
      </c>
      <c r="R74" s="13" cm="1">
        <f t="array" ref="R74">_xll.BDH("DE US Equity","BS_COMMON_STOCK","FQ2 2022","FQ2 2022","Currency=USD","Period=FQ","BEST_FPERIOD_OVERRIDE=FQ","FILING_STATUS=MR","SCALING_FORMAT=MLN","Sort=A","Dates=H","DateFormat=P","Fill=—","Direction=H","UseDPDF=Y")</f>
        <v>305.63569999999999</v>
      </c>
      <c r="S74" s="13" cm="1">
        <f t="array" ref="S74">_xll.BDH("DE US Equity","BS_COMMON_STOCK","FQ3 2022","FQ3 2022","Currency=USD","Period=FQ","BEST_FPERIOD_OVERRIDE=FQ","FILING_STATUS=MR","SCALING_FORMAT=MLN","Sort=A","Dates=H","DateFormat=P","Fill=—","Direction=H","UseDPDF=Y")</f>
        <v>301.81959999999998</v>
      </c>
      <c r="T74" s="13" cm="1">
        <f t="array" ref="T74">_xll.BDH("DE US Equity","BS_COMMON_STOCK","FQ4 2022","FQ4 2022","Currency=USD","Period=FQ","BEST_FPERIOD_OVERRIDE=FQ","FILING_STATUS=MR","SCALING_FORMAT=MLN","Sort=A","Dates=H","DateFormat=P","Fill=—","Direction=H","UseDPDF=Y")</f>
        <v>536.43119999999999</v>
      </c>
      <c r="U74" s="13" cm="1">
        <f t="array" ref="U74">_xll.BDH("DE US Equity","BS_COMMON_STOCK","FQ1 2023","FQ1 2023","Currency=USD","Period=FQ","BEST_FPERIOD_OVERRIDE=FQ","FILING_STATUS=MR","SCALING_FORMAT=MLN","Sort=A","Dates=H","DateFormat=P","Fill=—","Direction=H","UseDPDF=Y")</f>
        <v>296.32229999999998</v>
      </c>
      <c r="V74" s="13" cm="1">
        <f t="array" ref="V74">_xll.BDH("DE US Equity","BS_COMMON_STOCK","FQ2 2023","FQ2 2023","Currency=USD","Period=FQ","BEST_FPERIOD_OVERRIDE=FQ","FILING_STATUS=MR","SCALING_FORMAT=MLN","Sort=A","Dates=H","DateFormat=P","Fill=—","Direction=H","UseDPDF=Y")</f>
        <v>293.19209999999998</v>
      </c>
      <c r="W74" s="13" cm="1">
        <f t="array" ref="W74">_xll.BDH("DE US Equity","BS_COMMON_STOCK","FQ3 2023","FQ3 2023","Currency=USD","Period=FQ","BEST_FPERIOD_OVERRIDE=FQ","FILING_STATUS=MR","SCALING_FORMAT=MLN","Sort=A","Dates=H","DateFormat=P","Fill=—","Direction=H","UseDPDF=Y")</f>
        <v>288.00060000000002</v>
      </c>
      <c r="X74" s="13" cm="1">
        <f t="array" ref="X74">_xll.BDH("DE US Equity","BS_COMMON_STOCK","FQ4 2023","FQ4 2023","Currency=USD","Period=FQ","BEST_FPERIOD_OVERRIDE=FQ","FILING_STATUS=MR","SCALING_FORMAT=MLN","Sort=A","Dates=H","DateFormat=P","Fill=—","Direction=H","UseDPDF=Y")</f>
        <v>536.43119999999999</v>
      </c>
      <c r="Y74" s="13" cm="1">
        <f t="array" ref="Y74">_xll.BDH("DE US Equity","BS_COMMON_STOCK","FQ1 2024","FQ1 2024","Currency=USD","Period=FQ","BEST_FPERIOD_OVERRIDE=FQ","FILING_STATUS=MR","SCALING_FORMAT=MLN","Sort=A","Dates=H","DateFormat=P","Fill=—","Direction=H","UseDPDF=Y")</f>
        <v>278.35820000000001</v>
      </c>
      <c r="Z74" s="13" cm="1">
        <f t="array" ref="Z74">_xll.BDH("DE US Equity","BS_COMMON_STOCK","FQ2 2024","FQ2 2024","Currency=USD","Period=FQ","BEST_FPERIOD_OVERRIDE=FQ","FILING_STATUS=MR","SCALING_FORMAT=MLN","Sort=A","Dates=H","DateFormat=P","Fill=—","Direction=H","UseDPDF=Y")</f>
        <v>275.57029999999997</v>
      </c>
      <c r="AA74" s="13" cm="1">
        <f t="array" ref="AA74">_xll.BDH("DE US Equity","BS_COMMON_STOCK","FQ3 2024","FQ3 2024","Currency=USD","Period=FQ","BEST_FPERIOD_OVERRIDE=FQ","FILING_STATUS=MR","SCALING_FORMAT=MLN","Sort=A","Dates=H","DateFormat=P","Fill=—","Direction=H","UseDPDF=Y")</f>
        <v>536.43119999999999</v>
      </c>
      <c r="AB74" s="13" cm="1">
        <f t="array" ref="AB74">_xll.BDH("DE US Equity","BS_COMMON_STOCK","FQ4 2024","FQ4 2024","Currency=USD","Period=FQ","BEST_FPERIOD_OVERRIDE=FQ","FILING_STATUS=MR","SCALING_FORMAT=MLN","Sort=A","Dates=H","DateFormat=P","Fill=—","Direction=H","UseDPDF=Y")</f>
        <v>536.43119999999999</v>
      </c>
      <c r="AC74" s="13" cm="1">
        <f t="array" ref="AC74">_xll.BDH("DE US Equity","BS_COMMON_STOCK","FQ1 2025","FQ1 2025","Currency=USD","Period=FQ","BEST_FPERIOD_OVERRIDE=FQ","FILING_STATUS=MR","SCALING_FORMAT=MLN","Sort=A","Dates=H","DateFormat=P","Fill=—","Direction=H","UseDPDF=Y")</f>
        <v>271.41390000000001</v>
      </c>
      <c r="AD74" s="13" cm="1">
        <f t="array" ref="AD74">_xll.BDH("DE US Equity","BS_COMMON_STOCK","FQ2 2025","FQ2 2025","Currency=USD","Period=FQ","BEST_FPERIOD_OVERRIDE=FQ","FILING_STATUS=MR","SCALING_FORMAT=MLN","Sort=A","Dates=H","DateFormat=P","Fill=—","Direction=H","UseDPDF=Y")</f>
        <v>270.82709999999997</v>
      </c>
      <c r="AE74" s="13" cm="1">
        <f t="array" ref="AE74">_xll.BDH("DE US Equity","BS_COMMON_STOCK","FQ3 2025","FQ3 2025","Currency=USD","Period=FQ","BEST_FPERIOD_OVERRIDE=FQ","FILING_STATUS=MR","SCALING_FORMAT=MLN","Sort=A","Dates=H","DateFormat=P","Fill=—","Direction=H","UseDPDF=Y")</f>
        <v>536.43119999999999</v>
      </c>
      <c r="AF74" s="13" cm="1">
        <f t="array" ref="AF74">_xll.BDH("DE US Equity","BS_COMMON_STOCK","FQ4 2025","FQ4 2025","Currency=USD","Period=FQ","BEST_FPERIOD_OVERRIDE=FQ","FILING_STATUS=MR","SCALING_FORMAT=MLN","Sort=A","Dates=H","DateFormat=P","Fill=—","Direction=H","UseDPDF=Y")</f>
        <v>536.43119999999999</v>
      </c>
    </row>
    <row r="75" spans="1:32" x14ac:dyDescent="0.25">
      <c r="A75" s="10" t="s">
        <v>195</v>
      </c>
      <c r="B75" s="10" t="s">
        <v>196</v>
      </c>
      <c r="C75" s="13" cm="1">
        <f t="array" ref="C75">_xll.BDH("DE US Equity","BS_ADD_PAID_IN_CAP","FQ3 2018","FQ3 2018","Currency=USD","Period=FQ","BEST_FPERIOD_OVERRIDE=FQ","FILING_STATUS=MR","SCALING_FORMAT=MLN","Sort=A","Dates=H","DateFormat=P","Fill=—","Direction=H","UseDPDF=Y")</f>
        <v>4129.3265000000001</v>
      </c>
      <c r="D75" s="13" cm="1">
        <f t="array" ref="D75">_xll.BDH("DE US Equity","BS_ADD_PAID_IN_CAP","FQ4 2018","FQ4 2018","Currency=USD","Period=FQ","BEST_FPERIOD_OVERRIDE=FQ","FILING_STATUS=MR","SCALING_FORMAT=MLN","Sort=A","Dates=H","DateFormat=P","Fill=—","Direction=H","UseDPDF=Y")</f>
        <v>3937.5688</v>
      </c>
      <c r="E75" s="13" cm="1">
        <f t="array" ref="E75">_xll.BDH("DE US Equity","BS_ADD_PAID_IN_CAP","FQ1 2019","FQ1 2019","Currency=USD","Period=FQ","BEST_FPERIOD_OVERRIDE=FQ","FILING_STATUS=MR","SCALING_FORMAT=MLN","Sort=A","Dates=H","DateFormat=P","Fill=—","Direction=H","UseDPDF=Y")</f>
        <v>4193.0065000000004</v>
      </c>
      <c r="F75" s="13" cm="1">
        <f t="array" ref="F75">_xll.BDH("DE US Equity","BS_ADD_PAID_IN_CAP","FQ2 2019","FQ2 2019","Currency=USD","Period=FQ","BEST_FPERIOD_OVERRIDE=FQ","FILING_STATUS=MR","SCALING_FORMAT=MLN","Sort=A","Dates=H","DateFormat=P","Fill=—","Direction=H","UseDPDF=Y")</f>
        <v>4242.0045</v>
      </c>
      <c r="G75" s="13" cm="1">
        <f t="array" ref="G75">_xll.BDH("DE US Equity","BS_ADD_PAID_IN_CAP","FQ3 2019","FQ3 2019","Currency=USD","Period=FQ","BEST_FPERIOD_OVERRIDE=FQ","FILING_STATUS=MR","SCALING_FORMAT=MLN","Sort=A","Dates=H","DateFormat=P","Fill=—","Direction=H","UseDPDF=Y")</f>
        <v>4284.1271999999999</v>
      </c>
      <c r="H75" s="13" cm="1">
        <f t="array" ref="H75">_xll.BDH("DE US Equity","BS_ADD_PAID_IN_CAP","FQ4 2019","FQ4 2019","Currency=USD","Period=FQ","BEST_FPERIOD_OVERRIDE=FQ","FILING_STATUS=MR","SCALING_FORMAT=MLN","Sort=A","Dates=H","DateFormat=P","Fill=—","Direction=H","UseDPDF=Y")</f>
        <v>4105.5688</v>
      </c>
      <c r="I75" s="13" cm="1">
        <f t="array" ref="I75">_xll.BDH("DE US Equity","BS_ADD_PAID_IN_CAP","FQ1 2020","FQ1 2020","Currency=USD","Period=FQ","BEST_FPERIOD_OVERRIDE=FQ","FILING_STATUS=MR","SCALING_FORMAT=MLN","Sort=A","Dates=H","DateFormat=P","Fill=—","Direction=H","UseDPDF=Y")</f>
        <v>4361.38</v>
      </c>
      <c r="J75" s="13" cm="1">
        <f t="array" ref="J75">_xll.BDH("DE US Equity","BS_ADD_PAID_IN_CAP","FQ2 2020","FQ2 2020","Currency=USD","Period=FQ","BEST_FPERIOD_OVERRIDE=FQ","FILING_STATUS=MR","SCALING_FORMAT=MLN","Sort=A","Dates=H","DateFormat=P","Fill=—","Direction=H","UseDPDF=Y")</f>
        <v>4400.1414000000004</v>
      </c>
      <c r="K75" s="13" cm="1">
        <f t="array" ref="K75">_xll.BDH("DE US Equity","BS_ADD_PAID_IN_CAP","FQ3 2020","FQ3 2020","Currency=USD","Period=FQ","BEST_FPERIOD_OVERRIDE=FQ","FILING_STATUS=MR","SCALING_FORMAT=MLN","Sort=A","Dates=H","DateFormat=P","Fill=—","Direction=H","UseDPDF=Y")</f>
        <v>4436.6252000000004</v>
      </c>
      <c r="L75" s="13" cm="1">
        <f t="array" ref="L75">_xll.BDH("DE US Equity","BS_ADD_PAID_IN_CAP","FQ4 2020","FQ4 2020","Currency=USD","Period=FQ","BEST_FPERIOD_OVERRIDE=FQ","FILING_STATUS=MR","SCALING_FORMAT=MLN","Sort=A","Dates=H","DateFormat=P","Fill=—","Direction=H","UseDPDF=Y")</f>
        <v>4358.5688</v>
      </c>
      <c r="M75" s="13" cm="1">
        <f t="array" ref="M75">_xll.BDH("DE US Equity","BS_ADD_PAID_IN_CAP","FQ1 2021","FQ1 2021","Currency=USD","Period=FQ","BEST_FPERIOD_OVERRIDE=FQ","FILING_STATUS=MR","SCALING_FORMAT=MLN","Sort=A","Dates=H","DateFormat=P","Fill=—","Direction=H","UseDPDF=Y")</f>
        <v>4628.5610999999999</v>
      </c>
      <c r="N75" s="13" cm="1">
        <f t="array" ref="N75">_xll.BDH("DE US Equity","BS_ADD_PAID_IN_CAP","FQ2 2021","FQ2 2021","Currency=USD","Period=FQ","BEST_FPERIOD_OVERRIDE=FQ","FILING_STATUS=MR","SCALING_FORMAT=MLN","Sort=A","Dates=H","DateFormat=P","Fill=—","Direction=H","UseDPDF=Y")</f>
        <v>4687.0578999999998</v>
      </c>
      <c r="O75" s="13" cm="1">
        <f t="array" ref="O75">_xll.BDH("DE US Equity","BS_ADD_PAID_IN_CAP","FQ3 2021","FQ3 2021","Currency=USD","Period=FQ","BEST_FPERIOD_OVERRIDE=FQ","FILING_STATUS=MR","SCALING_FORMAT=MLN","Sort=A","Dates=H","DateFormat=P","Fill=—","Direction=H","UseDPDF=Y")</f>
        <v>4720.9385000000002</v>
      </c>
      <c r="P75" s="13" cm="1">
        <f t="array" ref="P75">_xll.BDH("DE US Equity","BS_ADD_PAID_IN_CAP","FQ4 2021","FQ4 2021","Currency=USD","Period=FQ","BEST_FPERIOD_OVERRIDE=FQ","FILING_STATUS=MR","SCALING_FORMAT=MLN","Sort=A","Dates=H","DateFormat=P","Fill=—","Direction=H","UseDPDF=Y")</f>
        <v>4517.5688</v>
      </c>
      <c r="Q75" s="13" cm="1">
        <f t="array" ref="Q75">_xll.BDH("DE US Equity","BS_ADD_PAID_IN_CAP","FQ1 2022","FQ1 2022","Currency=USD","Period=FQ","BEST_FPERIOD_OVERRIDE=FQ","FILING_STATUS=MR","SCALING_FORMAT=MLN","Sort=A","Dates=H","DateFormat=P","Fill=—","Direction=H","UseDPDF=Y")</f>
        <v>4759.2156999999997</v>
      </c>
      <c r="R75" s="13" cm="1">
        <f t="array" ref="R75">_xll.BDH("DE US Equity","BS_ADD_PAID_IN_CAP","FQ2 2022","FQ2 2022","Currency=USD","Period=FQ","BEST_FPERIOD_OVERRIDE=FQ","FILING_STATUS=MR","SCALING_FORMAT=MLN","Sort=A","Dates=H","DateFormat=P","Fill=—","Direction=H","UseDPDF=Y")</f>
        <v>4811.3643000000002</v>
      </c>
      <c r="S75" s="13" cm="1">
        <f t="array" ref="S75">_xll.BDH("DE US Equity","BS_ADD_PAID_IN_CAP","FQ3 2022","FQ3 2022","Currency=USD","Period=FQ","BEST_FPERIOD_OVERRIDE=FQ","FILING_STATUS=MR","SCALING_FORMAT=MLN","Sort=A","Dates=H","DateFormat=P","Fill=—","Direction=H","UseDPDF=Y")</f>
        <v>4837.1804000000002</v>
      </c>
      <c r="T75" s="13" cm="1">
        <f t="array" ref="T75">_xll.BDH("DE US Equity","BS_ADD_PAID_IN_CAP","FQ4 2022","FQ4 2022","Currency=USD","Period=FQ","BEST_FPERIOD_OVERRIDE=FQ","FILING_STATUS=MR","SCALING_FORMAT=MLN","Sort=A","Dates=H","DateFormat=P","Fill=—","Direction=H","UseDPDF=Y")</f>
        <v>4628.5688</v>
      </c>
      <c r="U75" s="13" cm="1">
        <f t="array" ref="U75">_xll.BDH("DE US Equity","BS_ADD_PAID_IN_CAP","FQ1 2023","FQ1 2023","Currency=USD","Period=FQ","BEST_FPERIOD_OVERRIDE=FQ","FILING_STATUS=MR","SCALING_FORMAT=MLN","Sort=A","Dates=H","DateFormat=P","Fill=—","Direction=H","UseDPDF=Y")</f>
        <v>4894.6777000000002</v>
      </c>
      <c r="V75" s="13" cm="1">
        <f t="array" ref="V75">_xll.BDH("DE US Equity","BS_ADD_PAID_IN_CAP","FQ2 2023","FQ2 2023","Currency=USD","Period=FQ","BEST_FPERIOD_OVERRIDE=FQ","FILING_STATUS=MR","SCALING_FORMAT=MLN","Sort=A","Dates=H","DateFormat=P","Fill=—","Direction=H","UseDPDF=Y")</f>
        <v>4933.8078999999998</v>
      </c>
      <c r="W75" s="13" cm="1">
        <f t="array" ref="W75">_xll.BDH("DE US Equity","BS_ADD_PAID_IN_CAP","FQ3 2023","FQ3 2023","Currency=USD","Period=FQ","BEST_FPERIOD_OVERRIDE=FQ","FILING_STATUS=MR","SCALING_FORMAT=MLN","Sort=A","Dates=H","DateFormat=P","Fill=—","Direction=H","UseDPDF=Y")</f>
        <v>4983.9993999999997</v>
      </c>
      <c r="X75" s="13" cm="1">
        <f t="array" ref="X75">_xll.BDH("DE US Equity","BS_ADD_PAID_IN_CAP","FQ4 2023","FQ4 2023","Currency=USD","Period=FQ","BEST_FPERIOD_OVERRIDE=FQ","FILING_STATUS=MR","SCALING_FORMAT=MLN","Sort=A","Dates=H","DateFormat=P","Fill=—","Direction=H","UseDPDF=Y")</f>
        <v>4766.5688</v>
      </c>
      <c r="Y75" s="13" cm="1">
        <f t="array" ref="Y75">_xll.BDH("DE US Equity","BS_ADD_PAID_IN_CAP","FQ1 2024","FQ1 2024","Currency=USD","Period=FQ","BEST_FPERIOD_OVERRIDE=FQ","FILING_STATUS=MR","SCALING_FORMAT=MLN","Sort=A","Dates=H","DateFormat=P","Fill=—","Direction=H","UseDPDF=Y")</f>
        <v>5056.6418000000003</v>
      </c>
      <c r="Z75" s="13" cm="1">
        <f t="array" ref="Z75">_xll.BDH("DE US Equity","BS_ADD_PAID_IN_CAP","FQ2 2024","FQ2 2024","Currency=USD","Period=FQ","BEST_FPERIOD_OVERRIDE=FQ","FILING_STATUS=MR","SCALING_FORMAT=MLN","Sort=A","Dates=H","DateFormat=P","Fill=—","Direction=H","UseDPDF=Y")</f>
        <v>5115.4296999999997</v>
      </c>
      <c r="AA75" s="13" cm="1">
        <f t="array" ref="AA75">_xll.BDH("DE US Equity","BS_ADD_PAID_IN_CAP","FQ3 2024","FQ3 2024","Currency=USD","Period=FQ","BEST_FPERIOD_OVERRIDE=FQ","FILING_STATUS=MR","SCALING_FORMAT=MLN","Sort=A","Dates=H","DateFormat=P","Fill=—","Direction=H","UseDPDF=Y")</f>
        <v>4904.5688</v>
      </c>
      <c r="AB75" s="13" cm="1">
        <f t="array" ref="AB75">_xll.BDH("DE US Equity","BS_ADD_PAID_IN_CAP","FQ4 2024","FQ4 2024","Currency=USD","Period=FQ","BEST_FPERIOD_OVERRIDE=FQ","FILING_STATUS=MR","SCALING_FORMAT=MLN","Sort=A","Dates=H","DateFormat=P","Fill=—","Direction=H","UseDPDF=Y")</f>
        <v>4952.5688</v>
      </c>
      <c r="AC75" s="13" cm="1">
        <f t="array" ref="AC75">_xll.BDH("DE US Equity","BS_ADD_PAID_IN_CAP","FQ1 2025","FQ1 2025","Currency=USD","Period=FQ","BEST_FPERIOD_OVERRIDE=FQ","FILING_STATUS=MR","SCALING_FORMAT=MLN","Sort=A","Dates=H","DateFormat=P","Fill=—","Direction=H","UseDPDF=Y")</f>
        <v>5254.5861000000004</v>
      </c>
      <c r="AD75" s="13" cm="1">
        <f t="array" ref="AD75">_xll.BDH("DE US Equity","BS_ADD_PAID_IN_CAP","FQ2 2025","FQ2 2025","Currency=USD","Period=FQ","BEST_FPERIOD_OVERRIDE=FQ","FILING_STATUS=MR","SCALING_FORMAT=MLN","Sort=A","Dates=H","DateFormat=P","Fill=—","Direction=H","UseDPDF=Y")</f>
        <v>5294.1728999999996</v>
      </c>
      <c r="AE75" s="13" cm="1">
        <f t="array" ref="AE75">_xll.BDH("DE US Equity","BS_ADD_PAID_IN_CAP","FQ3 2025","FQ3 2025","Currency=USD","Period=FQ","BEST_FPERIOD_OVERRIDE=FQ","FILING_STATUS=MR","SCALING_FORMAT=MLN","Sort=A","Dates=H","DateFormat=P","Fill=—","Direction=H","UseDPDF=Y")</f>
        <v>5083.5688</v>
      </c>
      <c r="AF75" s="13" cm="1">
        <f t="array" ref="AF75">_xll.BDH("DE US Equity","BS_ADD_PAID_IN_CAP","FQ4 2025","FQ4 2025","Currency=USD","Period=FQ","BEST_FPERIOD_OVERRIDE=FQ","FILING_STATUS=MR","SCALING_FORMAT=MLN","Sort=A","Dates=H","DateFormat=P","Fill=—","Direction=H","UseDPDF=Y")</f>
        <v>5131.5688</v>
      </c>
    </row>
    <row r="76" spans="1:32" x14ac:dyDescent="0.25">
      <c r="A76" s="10" t="s">
        <v>197</v>
      </c>
      <c r="B76" s="10" t="s">
        <v>198</v>
      </c>
      <c r="C76" s="13" cm="1">
        <f t="array" ref="C76">_xll.BDH("DE US Equity","BS_AMT_OF_TSY_STOCK","FQ3 2018","FQ3 2018","Currency=USD","Period=FQ","BEST_FPERIOD_OVERRIDE=FQ","FILING_STATUS=MR","SCALING_FORMAT=MLN","Sort=A","Dates=H","DateFormat=P","Fill=—","Direction=H","UseDPDF=Y")</f>
        <v>15814</v>
      </c>
      <c r="D76" s="13" cm="1">
        <f t="array" ref="D76">_xll.BDH("DE US Equity","BS_AMT_OF_TSY_STOCK","FQ4 2018","FQ4 2018","Currency=USD","Period=FQ","BEST_FPERIOD_OVERRIDE=FQ","FILING_STATUS=MR","SCALING_FORMAT=MLN","Sort=A","Dates=H","DateFormat=P","Fill=—","Direction=H","UseDPDF=Y")</f>
        <v>16312</v>
      </c>
      <c r="E76" s="13" cm="1">
        <f t="array" ref="E76">_xll.BDH("DE US Equity","BS_AMT_OF_TSY_STOCK","FQ1 2019","FQ1 2019","Currency=USD","Period=FQ","BEST_FPERIOD_OVERRIDE=FQ","FILING_STATUS=MR","SCALING_FORMAT=MLN","Sort=A","Dates=H","DateFormat=P","Fill=—","Direction=H","UseDPDF=Y")</f>
        <v>16422.099999999999</v>
      </c>
      <c r="F76" s="13" cm="1">
        <f t="array" ref="F76">_xll.BDH("DE US Equity","BS_AMT_OF_TSY_STOCK","FQ2 2019","FQ2 2019","Currency=USD","Period=FQ","BEST_FPERIOD_OVERRIDE=FQ","FILING_STATUS=MR","SCALING_FORMAT=MLN","Sort=A","Dates=H","DateFormat=P","Fill=—","Direction=H","UseDPDF=Y")</f>
        <v>16739</v>
      </c>
      <c r="G76" s="13" cm="1">
        <f t="array" ref="G76">_xll.BDH("DE US Equity","BS_AMT_OF_TSY_STOCK","FQ3 2019","FQ3 2019","Currency=USD","Period=FQ","BEST_FPERIOD_OVERRIDE=FQ","FILING_STATUS=MR","SCALING_FORMAT=MLN","Sort=A","Dates=H","DateFormat=P","Fill=—","Direction=H","UseDPDF=Y")</f>
        <v>17121</v>
      </c>
      <c r="H76" s="13" cm="1">
        <f t="array" ref="H76">_xll.BDH("DE US Equity","BS_AMT_OF_TSY_STOCK","FQ4 2019","FQ4 2019","Currency=USD","Period=FQ","BEST_FPERIOD_OVERRIDE=FQ","FILING_STATUS=MR","SCALING_FORMAT=MLN","Sort=A","Dates=H","DateFormat=P","Fill=—","Direction=H","UseDPDF=Y")</f>
        <v>17474</v>
      </c>
      <c r="I76" s="13" cm="1">
        <f t="array" ref="I76">_xll.BDH("DE US Equity","BS_AMT_OF_TSY_STOCK","FQ1 2020","FQ1 2020","Currency=USD","Period=FQ","BEST_FPERIOD_OVERRIDE=FQ","FILING_STATUS=MR","SCALING_FORMAT=MLN","Sort=A","Dates=H","DateFormat=P","Fill=—","Direction=H","UseDPDF=Y")</f>
        <v>17549</v>
      </c>
      <c r="J76" s="13" cm="1">
        <f t="array" ref="J76">_xll.BDH("DE US Equity","BS_AMT_OF_TSY_STOCK","FQ2 2020","FQ2 2020","Currency=USD","Period=FQ","BEST_FPERIOD_OVERRIDE=FQ","FILING_STATUS=MR","SCALING_FORMAT=MLN","Sort=A","Dates=H","DateFormat=P","Fill=—","Direction=H","UseDPDF=Y")</f>
        <v>17690</v>
      </c>
      <c r="K76" s="13" cm="1">
        <f t="array" ref="K76">_xll.BDH("DE US Equity","BS_AMT_OF_TSY_STOCK","FQ3 2020","FQ3 2020","Currency=USD","Period=FQ","BEST_FPERIOD_OVERRIDE=FQ","FILING_STATUS=MR","SCALING_FORMAT=MLN","Sort=A","Dates=H","DateFormat=P","Fill=—","Direction=H","UseDPDF=Y")</f>
        <v>17671</v>
      </c>
      <c r="L76" s="13" cm="1">
        <f t="array" ref="L76">_xll.BDH("DE US Equity","BS_AMT_OF_TSY_STOCK","FQ4 2020","FQ4 2020","Currency=USD","Period=FQ","BEST_FPERIOD_OVERRIDE=FQ","FILING_STATUS=MR","SCALING_FORMAT=MLN","Sort=A","Dates=H","DateFormat=P","Fill=—","Direction=H","UseDPDF=Y")</f>
        <v>18065</v>
      </c>
      <c r="M76" s="13" cm="1">
        <f t="array" ref="M76">_xll.BDH("DE US Equity","BS_AMT_OF_TSY_STOCK","FQ1 2021","FQ1 2021","Currency=USD","Period=FQ","BEST_FPERIOD_OVERRIDE=FQ","FILING_STATUS=MR","SCALING_FORMAT=MLN","Sort=A","Dates=H","DateFormat=P","Fill=—","Direction=H","UseDPDF=Y")</f>
        <v>18377</v>
      </c>
      <c r="N76" s="13" cm="1">
        <f t="array" ref="N76">_xll.BDH("DE US Equity","BS_AMT_OF_TSY_STOCK","FQ2 2021","FQ2 2021","Currency=USD","Period=FQ","BEST_FPERIOD_OVERRIDE=FQ","FILING_STATUS=MR","SCALING_FORMAT=MLN","Sort=A","Dates=H","DateFormat=P","Fill=—","Direction=H","UseDPDF=Y")</f>
        <v>19052</v>
      </c>
      <c r="O76" s="13" cm="1">
        <f t="array" ref="O76">_xll.BDH("DE US Equity","BS_AMT_OF_TSY_STOCK","FQ3 2021","FQ3 2021","Currency=USD","Period=FQ","BEST_FPERIOD_OVERRIDE=FQ","FILING_STATUS=MR","SCALING_FORMAT=MLN","Sort=A","Dates=H","DateFormat=P","Fill=—","Direction=H","UseDPDF=Y")</f>
        <v>19780</v>
      </c>
      <c r="P76" s="13" cm="1">
        <f t="array" ref="P76">_xll.BDH("DE US Equity","BS_AMT_OF_TSY_STOCK","FQ4 2021","FQ4 2021","Currency=USD","Period=FQ","BEST_FPERIOD_OVERRIDE=FQ","FILING_STATUS=MR","SCALING_FORMAT=MLN","Sort=A","Dates=H","DateFormat=P","Fill=—","Direction=H","UseDPDF=Y")</f>
        <v>20533</v>
      </c>
      <c r="Q76" s="13" cm="1">
        <f t="array" ref="Q76">_xll.BDH("DE US Equity","BS_AMT_OF_TSY_STOCK","FQ1 2022","FQ1 2022","Currency=USD","Period=FQ","BEST_FPERIOD_OVERRIDE=FQ","FILING_STATUS=MR","SCALING_FORMAT=MLN","Sort=A","Dates=H","DateFormat=P","Fill=—","Direction=H","UseDPDF=Y")</f>
        <v>21139</v>
      </c>
      <c r="R76" s="13" cm="1">
        <f t="array" ref="R76">_xll.BDH("DE US Equity","BS_AMT_OF_TSY_STOCK","FQ2 2022","FQ2 2022","Currency=USD","Period=FQ","BEST_FPERIOD_OVERRIDE=FQ","FILING_STATUS=MR","SCALING_FORMAT=MLN","Sort=A","Dates=H","DateFormat=P","Fill=—","Direction=H","UseDPDF=Y")</f>
        <v>21727</v>
      </c>
      <c r="S76" s="13" cm="1">
        <f t="array" ref="S76">_xll.BDH("DE US Equity","BS_AMT_OF_TSY_STOCK","FQ3 2022","FQ3 2022","Currency=USD","Period=FQ","BEST_FPERIOD_OVERRIDE=FQ","FILING_STATUS=MR","SCALING_FORMAT=MLN","Sort=A","Dates=H","DateFormat=P","Fill=—","Direction=H","UseDPDF=Y")</f>
        <v>22976</v>
      </c>
      <c r="T76" s="13" cm="1">
        <f t="array" ref="T76">_xll.BDH("DE US Equity","BS_AMT_OF_TSY_STOCK","FQ4 2022","FQ4 2022","Currency=USD","Period=FQ","BEST_FPERIOD_OVERRIDE=FQ","FILING_STATUS=MR","SCALING_FORMAT=MLN","Sort=A","Dates=H","DateFormat=P","Fill=—","Direction=H","UseDPDF=Y")</f>
        <v>24094</v>
      </c>
      <c r="U76" s="13" cm="1">
        <f t="array" ref="U76">_xll.BDH("DE US Equity","BS_AMT_OF_TSY_STOCK","FQ1 2023","FQ1 2023","Currency=USD","Period=FQ","BEST_FPERIOD_OVERRIDE=FQ","FILING_STATUS=MR","SCALING_FORMAT=MLN","Sort=A","Dates=H","DateFormat=P","Fill=—","Direction=H","UseDPDF=Y")</f>
        <v>25333</v>
      </c>
      <c r="V76" s="13" cm="1">
        <f t="array" ref="V76">_xll.BDH("DE US Equity","BS_AMT_OF_TSY_STOCK","FQ2 2023","FQ2 2023","Currency=USD","Period=FQ","BEST_FPERIOD_OVERRIDE=FQ","FILING_STATUS=MR","SCALING_FORMAT=MLN","Sort=A","Dates=H","DateFormat=P","Fill=—","Direction=H","UseDPDF=Y")</f>
        <v>26630</v>
      </c>
      <c r="W76" s="13" cm="1">
        <f t="array" ref="W76">_xll.BDH("DE US Equity","BS_AMT_OF_TSY_STOCK","FQ3 2023","FQ3 2023","Currency=USD","Period=FQ","BEST_FPERIOD_OVERRIDE=FQ","FILING_STATUS=MR","SCALING_FORMAT=MLN","Sort=A","Dates=H","DateFormat=P","Fill=—","Direction=H","UseDPDF=Y")</f>
        <v>28760</v>
      </c>
      <c r="X76" s="13" cm="1">
        <f t="array" ref="X76">_xll.BDH("DE US Equity","BS_AMT_OF_TSY_STOCK","FQ4 2023","FQ4 2023","Currency=USD","Period=FQ","BEST_FPERIOD_OVERRIDE=FQ","FILING_STATUS=MR","SCALING_FORMAT=MLN","Sort=A","Dates=H","DateFormat=P","Fill=—","Direction=H","UseDPDF=Y")</f>
        <v>3114</v>
      </c>
      <c r="Y76" s="13" cm="1">
        <f t="array" ref="Y76">_xll.BDH("DE US Equity","BS_AMT_OF_TSY_STOCK","FQ1 2024","FQ1 2024","Currency=USD","Period=FQ","BEST_FPERIOD_OVERRIDE=FQ","FILING_STATUS=MR","SCALING_FORMAT=MLN","Sort=A","Dates=H","DateFormat=P","Fill=—","Direction=H","UseDPDF=Y")</f>
        <v>32663</v>
      </c>
      <c r="Z76" s="13" cm="1">
        <f t="array" ref="Z76">_xll.BDH("DE US Equity","BS_AMT_OF_TSY_STOCK","FQ2 2024","FQ2 2024","Currency=USD","Period=FQ","BEST_FPERIOD_OVERRIDE=FQ","FILING_STATUS=MR","SCALING_FORMAT=MLN","Sort=A","Dates=H","DateFormat=P","Fill=—","Direction=H","UseDPDF=Y")</f>
        <v>33764</v>
      </c>
      <c r="AA76" s="13" cm="1">
        <f t="array" ref="AA76">_xll.BDH("DE US Equity","BS_AMT_OF_TSY_STOCK","FQ3 2024","FQ3 2024","Currency=USD","Period=FQ","BEST_FPERIOD_OVERRIDE=FQ","FILING_STATUS=MR","SCALING_FORMAT=MLN","Sort=A","Dates=H","DateFormat=P","Fill=—","Direction=H","UseDPDF=Y")</f>
        <v>34570</v>
      </c>
      <c r="AB76" s="13" cm="1">
        <f t="array" ref="AB76">_xll.BDH("DE US Equity","BS_AMT_OF_TSY_STOCK","FQ4 2024","FQ4 2024","Currency=USD","Period=FQ","BEST_FPERIOD_OVERRIDE=FQ","FILING_STATUS=MR","SCALING_FORMAT=MLN","Sort=A","Dates=H","DateFormat=P","Fill=—","Direction=H","UseDPDF=Y")</f>
        <v>3706</v>
      </c>
      <c r="AC76" s="13" cm="1">
        <f t="array" ref="AC76">_xll.BDH("DE US Equity","BS_AMT_OF_TSY_STOCK","FQ1 2025","FQ1 2025","Currency=USD","Period=FQ","BEST_FPERIOD_OVERRIDE=FQ","FILING_STATUS=MR","SCALING_FORMAT=MLN","Sort=A","Dates=H","DateFormat=P","Fill=—","Direction=H","UseDPDF=Y")</f>
        <v>35709</v>
      </c>
      <c r="AD76" s="13" cm="1">
        <f t="array" ref="AD76">_xll.BDH("DE US Equity","BS_AMT_OF_TSY_STOCK","FQ2 2025","FQ2 2025","Currency=USD","Period=FQ","BEST_FPERIOD_OVERRIDE=FQ","FILING_STATUS=MR","SCALING_FORMAT=MLN","Sort=A","Dates=H","DateFormat=P","Fill=—","Direction=H","UseDPDF=Y")</f>
        <v>36064</v>
      </c>
      <c r="AE76" s="13" cm="1">
        <f t="array" ref="AE76">_xll.BDH("DE US Equity","BS_AMT_OF_TSY_STOCK","FQ3 2025","FQ3 2025","Currency=USD","Period=FQ","BEST_FPERIOD_OVERRIDE=FQ","FILING_STATUS=MR","SCALING_FORMAT=MLN","Sort=A","Dates=H","DateFormat=P","Fill=—","Direction=H","UseDPDF=Y")</f>
        <v>36361</v>
      </c>
      <c r="AF76" s="13" cm="1">
        <f t="array" ref="AF76">_xll.BDH("DE US Equity","BS_AMT_OF_TSY_STOCK","FQ4 2025","FQ4 2025","Currency=USD","Period=FQ","BEST_FPERIOD_OVERRIDE=FQ","FILING_STATUS=MR","SCALING_FORMAT=MLN","Sort=A","Dates=H","DateFormat=P","Fill=—","Direction=H","UseDPDF=Y")</f>
        <v>3032</v>
      </c>
    </row>
    <row r="77" spans="1:32" x14ac:dyDescent="0.25">
      <c r="A77" s="10" t="s">
        <v>199</v>
      </c>
      <c r="B77" s="10" t="s">
        <v>200</v>
      </c>
      <c r="C77" s="13" cm="1">
        <f t="array" ref="C77">_xll.BDH("DE US Equity","BS_PURE_RETAINED_EARNINGS","FQ3 2018","FQ3 2018","Currency=USD","Period=FQ","BEST_FPERIOD_OVERRIDE=FQ","FILING_STATUS=MR","SCALING_FORMAT=MLN","Sort=A","Dates=H","DateFormat=P","Fill=—","Direction=H","UseDPDF=Y")</f>
        <v>26272</v>
      </c>
      <c r="D77" s="13" cm="1">
        <f t="array" ref="D77">_xll.BDH("DE US Equity","BS_PURE_RETAINED_EARNINGS","FQ4 2018","FQ4 2018","Currency=USD","Period=FQ","BEST_FPERIOD_OVERRIDE=FQ","FILING_STATUS=MR","SCALING_FORMAT=MLN","Sort=A","Dates=H","DateFormat=P","Fill=—","Direction=H","UseDPDF=Y")</f>
        <v>27553</v>
      </c>
      <c r="E77" s="13" cm="1">
        <f t="array" ref="E77">_xll.BDH("DE US Equity","BS_PURE_RETAINED_EARNINGS","FQ1 2019","FQ1 2019","Currency=USD","Period=FQ","BEST_FPERIOD_OVERRIDE=FQ","FILING_STATUS=MR","SCALING_FORMAT=MLN","Sort=A","Dates=H","DateFormat=P","Fill=—","Direction=H","UseDPDF=Y")</f>
        <v>27816.3</v>
      </c>
      <c r="F77" s="13" cm="1">
        <f t="array" ref="F77">_xll.BDH("DE US Equity","BS_PURE_RETAINED_EARNINGS","FQ2 2019","FQ2 2019","Currency=USD","Period=FQ","BEST_FPERIOD_OVERRIDE=FQ","FILING_STATUS=MR","SCALING_FORMAT=MLN","Sort=A","Dates=H","DateFormat=P","Fill=—","Direction=H","UseDPDF=Y")</f>
        <v>28709</v>
      </c>
      <c r="G77" s="13" cm="1">
        <f t="array" ref="G77">_xll.BDH("DE US Equity","BS_PURE_RETAINED_EARNINGS","FQ3 2019","FQ3 2019","Currency=USD","Period=FQ","BEST_FPERIOD_OVERRIDE=FQ","FILING_STATUS=MR","SCALING_FORMAT=MLN","Sort=A","Dates=H","DateFormat=P","Fill=—","Direction=H","UseDPDF=Y")</f>
        <v>29369</v>
      </c>
      <c r="H77" s="13" cm="1">
        <f t="array" ref="H77">_xll.BDH("DE US Equity","BS_PURE_RETAINED_EARNINGS","FQ4 2019","FQ4 2019","Currency=USD","Period=FQ","BEST_FPERIOD_OVERRIDE=FQ","FILING_STATUS=MR","SCALING_FORMAT=MLN","Sort=A","Dates=H","DateFormat=P","Fill=—","Direction=H","UseDPDF=Y")</f>
        <v>29852</v>
      </c>
      <c r="I77" s="13" cm="1">
        <f t="array" ref="I77">_xll.BDH("DE US Equity","BS_PURE_RETAINED_EARNINGS","FQ1 2020","FQ1 2020","Currency=USD","Period=FQ","BEST_FPERIOD_OVERRIDE=FQ","FILING_STATUS=MR","SCALING_FORMAT=MLN","Sort=A","Dates=H","DateFormat=P","Fill=—","Direction=H","UseDPDF=Y")</f>
        <v>30129</v>
      </c>
      <c r="J77" s="13" cm="1">
        <f t="array" ref="J77">_xll.BDH("DE US Equity","BS_PURE_RETAINED_EARNINGS","FQ2 2020","FQ2 2020","Currency=USD","Period=FQ","BEST_FPERIOD_OVERRIDE=FQ","FILING_STATUS=MR","SCALING_FORMAT=MLN","Sort=A","Dates=H","DateFormat=P","Fill=—","Direction=H","UseDPDF=Y")</f>
        <v>30556</v>
      </c>
      <c r="K77" s="13" cm="1">
        <f t="array" ref="K77">_xll.BDH("DE US Equity","BS_PURE_RETAINED_EARNINGS","FQ3 2020","FQ3 2020","Currency=USD","Period=FQ","BEST_FPERIOD_OVERRIDE=FQ","FILING_STATUS=MR","SCALING_FORMAT=MLN","Sort=A","Dates=H","DateFormat=P","Fill=—","Direction=H","UseDPDF=Y")</f>
        <v>31128</v>
      </c>
      <c r="L77" s="13" cm="1">
        <f t="array" ref="L77">_xll.BDH("DE US Equity","BS_PURE_RETAINED_EARNINGS","FQ4 2020","FQ4 2020","Currency=USD","Period=FQ","BEST_FPERIOD_OVERRIDE=FQ","FILING_STATUS=MR","SCALING_FORMAT=MLN","Sort=A","Dates=H","DateFormat=P","Fill=—","Direction=H","UseDPDF=Y")</f>
        <v>31646</v>
      </c>
      <c r="M77" s="13" cm="1">
        <f t="array" ref="M77">_xll.BDH("DE US Equity","BS_PURE_RETAINED_EARNINGS","FQ1 2021","FQ1 2021","Currency=USD","Period=FQ","BEST_FPERIOD_OVERRIDE=FQ","FILING_STATUS=MR","SCALING_FORMAT=MLN","Sort=A","Dates=H","DateFormat=P","Fill=—","Direction=H","UseDPDF=Y")</f>
        <v>32596</v>
      </c>
      <c r="N77" s="13" cm="1">
        <f t="array" ref="N77">_xll.BDH("DE US Equity","BS_PURE_RETAINED_EARNINGS","FQ2 2021","FQ2 2021","Currency=USD","Period=FQ","BEST_FPERIOD_OVERRIDE=FQ","FILING_STATUS=MR","SCALING_FORMAT=MLN","Sort=A","Dates=H","DateFormat=P","Fill=—","Direction=H","UseDPDF=Y")</f>
        <v>34105</v>
      </c>
      <c r="O77" s="13" cm="1">
        <f t="array" ref="O77">_xll.BDH("DE US Equity","BS_PURE_RETAINED_EARNINGS","FQ3 2021","FQ3 2021","Currency=USD","Period=FQ","BEST_FPERIOD_OVERRIDE=FQ","FILING_STATUS=MR","SCALING_FORMAT=MLN","Sort=A","Dates=H","DateFormat=P","Fill=—","Direction=H","UseDPDF=Y")</f>
        <v>35491</v>
      </c>
      <c r="P77" s="13" cm="1">
        <f t="array" ref="P77">_xll.BDH("DE US Equity","BS_PURE_RETAINED_EARNINGS","FQ4 2021","FQ4 2021","Currency=USD","Period=FQ","BEST_FPERIOD_OVERRIDE=FQ","FILING_STATUS=MR","SCALING_FORMAT=MLN","Sort=A","Dates=H","DateFormat=P","Fill=—","Direction=H","UseDPDF=Y")</f>
        <v>36449</v>
      </c>
      <c r="Q77" s="13" cm="1">
        <f t="array" ref="Q77">_xll.BDH("DE US Equity","BS_PURE_RETAINED_EARNINGS","FQ1 2022","FQ1 2022","Currency=USD","Period=FQ","BEST_FPERIOD_OVERRIDE=FQ","FILING_STATUS=MR","SCALING_FORMAT=MLN","Sort=A","Dates=H","DateFormat=P","Fill=—","Direction=H","UseDPDF=Y")</f>
        <v>37029</v>
      </c>
      <c r="R77" s="13" cm="1">
        <f t="array" ref="R77">_xll.BDH("DE US Equity","BS_PURE_RETAINED_EARNINGS","FQ2 2022","FQ2 2022","Currency=USD","Period=FQ","BEST_FPERIOD_OVERRIDE=FQ","FILING_STATUS=MR","SCALING_FORMAT=MLN","Sort=A","Dates=H","DateFormat=P","Fill=—","Direction=H","UseDPDF=Y")</f>
        <v>38805</v>
      </c>
      <c r="S77" s="13" cm="1">
        <f t="array" ref="S77">_xll.BDH("DE US Equity","BS_PURE_RETAINED_EARNINGS","FQ3 2022","FQ3 2022","Currency=USD","Period=FQ","BEST_FPERIOD_OVERRIDE=FQ","FILING_STATUS=MR","SCALING_FORMAT=MLN","Sort=A","Dates=H","DateFormat=P","Fill=—","Direction=H","UseDPDF=Y")</f>
        <v>40346</v>
      </c>
      <c r="T77" s="13" cm="1">
        <f t="array" ref="T77">_xll.BDH("DE US Equity","BS_PURE_RETAINED_EARNINGS","FQ4 2022","FQ4 2022","Currency=USD","Period=FQ","BEST_FPERIOD_OVERRIDE=FQ","FILING_STATUS=MR","SCALING_FORMAT=MLN","Sort=A","Dates=H","DateFormat=P","Fill=—","Direction=H","UseDPDF=Y")</f>
        <v>42247</v>
      </c>
      <c r="U77" s="13" cm="1">
        <f t="array" ref="U77">_xll.BDH("DE US Equity","BS_PURE_RETAINED_EARNINGS","FQ1 2023","FQ1 2023","Currency=USD","Period=FQ","BEST_FPERIOD_OVERRIDE=FQ","FILING_STATUS=MR","SCALING_FORMAT=MLN","Sort=A","Dates=H","DateFormat=P","Fill=—","Direction=H","UseDPDF=Y")</f>
        <v>43846</v>
      </c>
      <c r="V77" s="13" cm="1">
        <f t="array" ref="V77">_xll.BDH("DE US Equity","BS_PURE_RETAINED_EARNINGS","FQ2 2023","FQ2 2023","Currency=USD","Period=FQ","BEST_FPERIOD_OVERRIDE=FQ","FILING_STATUS=MR","SCALING_FORMAT=MLN","Sort=A","Dates=H","DateFormat=P","Fill=—","Direction=H","UseDPDF=Y")</f>
        <v>46336</v>
      </c>
      <c r="W77" s="13" cm="1">
        <f t="array" ref="W77">_xll.BDH("DE US Equity","BS_PURE_RETAINED_EARNINGS","FQ3 2023","FQ3 2023","Currency=USD","Period=FQ","BEST_FPERIOD_OVERRIDE=FQ","FILING_STATUS=MR","SCALING_FORMAT=MLN","Sort=A","Dates=H","DateFormat=P","Fill=—","Direction=H","UseDPDF=Y")</f>
        <v>48947</v>
      </c>
      <c r="X77" s="13" cm="1">
        <f t="array" ref="X77">_xll.BDH("DE US Equity","BS_PURE_RETAINED_EARNINGS","FQ4 2023","FQ4 2023","Currency=USD","Period=FQ","BEST_FPERIOD_OVERRIDE=FQ","FILING_STATUS=MR","SCALING_FORMAT=MLN","Sort=A","Dates=H","DateFormat=P","Fill=—","Direction=H","UseDPDF=Y")</f>
        <v>50931</v>
      </c>
      <c r="Y77" s="13" cm="1">
        <f t="array" ref="Y77">_xll.BDH("DE US Equity","BS_PURE_RETAINED_EARNINGS","FQ1 2024","FQ1 2024","Currency=USD","Period=FQ","BEST_FPERIOD_OVERRIDE=FQ","FILING_STATUS=MR","SCALING_FORMAT=MLN","Sort=A","Dates=H","DateFormat=P","Fill=—","Direction=H","UseDPDF=Y")</f>
        <v>52266</v>
      </c>
      <c r="Z77" s="13" cm="1">
        <f t="array" ref="Z77">_xll.BDH("DE US Equity","BS_PURE_RETAINED_EARNINGS","FQ2 2024","FQ2 2024","Currency=USD","Period=FQ","BEST_FPERIOD_OVERRIDE=FQ","FILING_STATUS=MR","SCALING_FORMAT=MLN","Sort=A","Dates=H","DateFormat=P","Fill=—","Direction=H","UseDPDF=Y")</f>
        <v>54228</v>
      </c>
      <c r="AA77" s="13" cm="1">
        <f t="array" ref="AA77">_xll.BDH("DE US Equity","BS_PURE_RETAINED_EARNINGS","FQ3 2024","FQ3 2024","Currency=USD","Period=FQ","BEST_FPERIOD_OVERRIDE=FQ","FILING_STATUS=MR","SCALING_FORMAT=MLN","Sort=A","Dates=H","DateFormat=P","Fill=—","Direction=H","UseDPDF=Y")</f>
        <v>55559</v>
      </c>
      <c r="AB77" s="13" cm="1">
        <f t="array" ref="AB77">_xll.BDH("DE US Equity","BS_PURE_RETAINED_EARNINGS","FQ4 2024","FQ4 2024","Currency=USD","Period=FQ","BEST_FPERIOD_OVERRIDE=FQ","FILING_STATUS=MR","SCALING_FORMAT=MLN","Sort=A","Dates=H","DateFormat=P","Fill=—","Direction=H","UseDPDF=Y")</f>
        <v>56402</v>
      </c>
      <c r="AC77" s="13" cm="1">
        <f t="array" ref="AC77">_xll.BDH("DE US Equity","BS_PURE_RETAINED_EARNINGS","FQ1 2025","FQ1 2025","Currency=USD","Period=FQ","BEST_FPERIOD_OVERRIDE=FQ","FILING_STATUS=MR","SCALING_FORMAT=MLN","Sort=A","Dates=H","DateFormat=P","Fill=—","Direction=H","UseDPDF=Y")</f>
        <v>56829</v>
      </c>
      <c r="AD77" s="13" cm="1">
        <f t="array" ref="AD77">_xll.BDH("DE US Equity","BS_PURE_RETAINED_EARNINGS","FQ2 2025","FQ2 2025","Currency=USD","Period=FQ","BEST_FPERIOD_OVERRIDE=FQ","FILING_STATUS=MR","SCALING_FORMAT=MLN","Sort=A","Dates=H","DateFormat=P","Fill=—","Direction=H","UseDPDF=Y")</f>
        <v>58191</v>
      </c>
      <c r="AE77" s="13" cm="1">
        <f t="array" ref="AE77">_xll.BDH("DE US Equity","BS_PURE_RETAINED_EARNINGS","FQ3 2025","FQ3 2025","Currency=USD","Period=FQ","BEST_FPERIOD_OVERRIDE=FQ","FILING_STATUS=MR","SCALING_FORMAT=MLN","Sort=A","Dates=H","DateFormat=P","Fill=—","Direction=H","UseDPDF=Y")</f>
        <v>59023</v>
      </c>
      <c r="AF77" s="13" cm="1">
        <f t="array" ref="AF77">_xll.BDH("DE US Equity","BS_PURE_RETAINED_EARNINGS","FQ4 2025","FQ4 2025","Currency=USD","Period=FQ","BEST_FPERIOD_OVERRIDE=FQ","FILING_STATUS=MR","SCALING_FORMAT=MLN","Sort=A","Dates=H","DateFormat=P","Fill=—","Direction=H","UseDPDF=Y")</f>
        <v>59676</v>
      </c>
    </row>
    <row r="78" spans="1:32" x14ac:dyDescent="0.25">
      <c r="A78" s="10" t="s">
        <v>201</v>
      </c>
      <c r="B78" s="10" t="s">
        <v>202</v>
      </c>
      <c r="C78" s="13" cm="1">
        <f t="array" ref="C78">_xll.BDH("DE US Equity","OTHER_EQUITY_RATIO","FQ3 2018","FQ3 2018","Currency=USD","Period=FQ","BEST_FPERIOD_OVERRIDE=FQ","FILING_STATUS=MR","SCALING_FORMAT=MLN","Sort=A","Dates=H","DateFormat=P","Fill=—","Direction=H","UseDPDF=Y")</f>
        <v>-4553</v>
      </c>
      <c r="D78" s="13" cm="1">
        <f t="array" ref="D78">_xll.BDH("DE US Equity","OTHER_EQUITY_RATIO","FQ4 2018","FQ4 2018","Currency=USD","Period=FQ","BEST_FPERIOD_OVERRIDE=FQ","FILING_STATUS=MR","SCALING_FORMAT=MLN","Sort=A","Dates=H","DateFormat=P","Fill=—","Direction=H","UseDPDF=Y")</f>
        <v>-4427</v>
      </c>
      <c r="E78" s="13" cm="1">
        <f t="array" ref="E78">_xll.BDH("DE US Equity","OTHER_EQUITY_RATIO","FQ1 2019","FQ1 2019","Currency=USD","Period=FQ","BEST_FPERIOD_OVERRIDE=FQ","FILING_STATUS=MR","SCALING_FORMAT=MLN","Sort=A","Dates=H","DateFormat=P","Fill=—","Direction=H","UseDPDF=Y")</f>
        <v>-4577.8999999999996</v>
      </c>
      <c r="F78" s="13" cm="1">
        <f t="array" ref="F78">_xll.BDH("DE US Equity","OTHER_EQUITY_RATIO","FQ2 2019","FQ2 2019","Currency=USD","Period=FQ","BEST_FPERIOD_OVERRIDE=FQ","FILING_STATUS=MR","SCALING_FORMAT=MLN","Sort=A","Dates=H","DateFormat=P","Fill=—","Direction=H","UseDPDF=Y")</f>
        <v>-4610</v>
      </c>
      <c r="G78" s="13" cm="1">
        <f t="array" ref="G78">_xll.BDH("DE US Equity","OTHER_EQUITY_RATIO","FQ3 2019","FQ3 2019","Currency=USD","Period=FQ","BEST_FPERIOD_OVERRIDE=FQ","FILING_STATUS=MR","SCALING_FORMAT=MLN","Sort=A","Dates=H","DateFormat=P","Fill=—","Direction=H","UseDPDF=Y")</f>
        <v>-4581</v>
      </c>
      <c r="H78" s="13" cm="1">
        <f t="array" ref="H78">_xll.BDH("DE US Equity","OTHER_EQUITY_RATIO","FQ4 2019","FQ4 2019","Currency=USD","Period=FQ","BEST_FPERIOD_OVERRIDE=FQ","FILING_STATUS=MR","SCALING_FORMAT=MLN","Sort=A","Dates=H","DateFormat=P","Fill=—","Direction=H","UseDPDF=Y")</f>
        <v>-5607</v>
      </c>
      <c r="I78" s="13" cm="1">
        <f t="array" ref="I78">_xll.BDH("DE US Equity","OTHER_EQUITY_RATIO","FQ1 2020","FQ1 2020","Currency=USD","Period=FQ","BEST_FPERIOD_OVERRIDE=FQ","FILING_STATUS=MR","SCALING_FORMAT=MLN","Sort=A","Dates=H","DateFormat=P","Fill=—","Direction=H","UseDPDF=Y")</f>
        <v>-5329</v>
      </c>
      <c r="J78" s="13" cm="1">
        <f t="array" ref="J78">_xll.BDH("DE US Equity","OTHER_EQUITY_RATIO","FQ2 2020","FQ2 2020","Currency=USD","Period=FQ","BEST_FPERIOD_OVERRIDE=FQ","FILING_STATUS=MR","SCALING_FORMAT=MLN","Sort=A","Dates=H","DateFormat=P","Fill=—","Direction=H","UseDPDF=Y")</f>
        <v>-5715</v>
      </c>
      <c r="K78" s="13" cm="1">
        <f t="array" ref="K78">_xll.BDH("DE US Equity","OTHER_EQUITY_RATIO","FQ3 2020","FQ3 2020","Currency=USD","Period=FQ","BEST_FPERIOD_OVERRIDE=FQ","FILING_STATUS=MR","SCALING_FORMAT=MLN","Sort=A","Dates=H","DateFormat=P","Fill=—","Direction=H","UseDPDF=Y")</f>
        <v>-5319</v>
      </c>
      <c r="L78" s="13" cm="1">
        <f t="array" ref="L78">_xll.BDH("DE US Equity","OTHER_EQUITY_RATIO","FQ4 2020","FQ4 2020","Currency=USD","Period=FQ","BEST_FPERIOD_OVERRIDE=FQ","FILING_STATUS=MR","SCALING_FORMAT=MLN","Sort=A","Dates=H","DateFormat=P","Fill=—","Direction=H","UseDPDF=Y")</f>
        <v>-5539</v>
      </c>
      <c r="M78" s="13" cm="1">
        <f t="array" ref="M78">_xll.BDH("DE US Equity","OTHER_EQUITY_RATIO","FQ1 2021","FQ1 2021","Currency=USD","Period=FQ","BEST_FPERIOD_OVERRIDE=FQ","FILING_STATUS=MR","SCALING_FORMAT=MLN","Sort=A","Dates=H","DateFormat=P","Fill=—","Direction=H","UseDPDF=Y")</f>
        <v>-5078</v>
      </c>
      <c r="N78" s="13" cm="1">
        <f t="array" ref="N78">_xll.BDH("DE US Equity","OTHER_EQUITY_RATIO","FQ2 2021","FQ2 2021","Currency=USD","Period=FQ","BEST_FPERIOD_OVERRIDE=FQ","FILING_STATUS=MR","SCALING_FORMAT=MLN","Sort=A","Dates=H","DateFormat=P","Fill=—","Direction=H","UseDPDF=Y")</f>
        <v>-4960</v>
      </c>
      <c r="O78" s="13" cm="1">
        <f t="array" ref="O78">_xll.BDH("DE US Equity","OTHER_EQUITY_RATIO","FQ3 2021","FQ3 2021","Currency=USD","Period=FQ","BEST_FPERIOD_OVERRIDE=FQ","FILING_STATUS=MR","SCALING_FORMAT=MLN","Sort=A","Dates=H","DateFormat=P","Fill=—","Direction=H","UseDPDF=Y")</f>
        <v>-5011</v>
      </c>
      <c r="P78" s="13" cm="1">
        <f t="array" ref="P78">_xll.BDH("DE US Equity","OTHER_EQUITY_RATIO","FQ4 2021","FQ4 2021","Currency=USD","Period=FQ","BEST_FPERIOD_OVERRIDE=FQ","FILING_STATUS=MR","SCALING_FORMAT=MLN","Sort=A","Dates=H","DateFormat=P","Fill=—","Direction=H","UseDPDF=Y")</f>
        <v>-2539</v>
      </c>
      <c r="Q78" s="13" cm="1">
        <f t="array" ref="Q78">_xll.BDH("DE US Equity","OTHER_EQUITY_RATIO","FQ1 2022","FQ1 2022","Currency=USD","Period=FQ","BEST_FPERIOD_OVERRIDE=FQ","FILING_STATUS=MR","SCALING_FORMAT=MLN","Sort=A","Dates=H","DateFormat=P","Fill=—","Direction=H","UseDPDF=Y")</f>
        <v>-3152</v>
      </c>
      <c r="R78" s="13" cm="1">
        <f t="array" ref="R78">_xll.BDH("DE US Equity","OTHER_EQUITY_RATIO","FQ2 2022","FQ2 2022","Currency=USD","Period=FQ","BEST_FPERIOD_OVERRIDE=FQ","FILING_STATUS=MR","SCALING_FORMAT=MLN","Sort=A","Dates=H","DateFormat=P","Fill=—","Direction=H","UseDPDF=Y")</f>
        <v>-3291</v>
      </c>
      <c r="S78" s="13" cm="1">
        <f t="array" ref="S78">_xll.BDH("DE US Equity","OTHER_EQUITY_RATIO","FQ3 2022","FQ3 2022","Currency=USD","Period=FQ","BEST_FPERIOD_OVERRIDE=FQ","FILING_STATUS=MR","SCALING_FORMAT=MLN","Sort=A","Dates=H","DateFormat=P","Fill=—","Direction=H","UseDPDF=Y")</f>
        <v>-3476</v>
      </c>
      <c r="T78" s="13" cm="1">
        <f t="array" ref="T78">_xll.BDH("DE US Equity","OTHER_EQUITY_RATIO","FQ4 2022","FQ4 2022","Currency=USD","Period=FQ","BEST_FPERIOD_OVERRIDE=FQ","FILING_STATUS=MR","SCALING_FORMAT=MLN","Sort=A","Dates=H","DateFormat=P","Fill=—","Direction=H","UseDPDF=Y")</f>
        <v>-3056</v>
      </c>
      <c r="U78" s="13" cm="1">
        <f t="array" ref="U78">_xll.BDH("DE US Equity","OTHER_EQUITY_RATIO","FQ1 2023","FQ1 2023","Currency=USD","Period=FQ","BEST_FPERIOD_OVERRIDE=FQ","FILING_STATUS=MR","SCALING_FORMAT=MLN","Sort=A","Dates=H","DateFormat=P","Fill=—","Direction=H","UseDPDF=Y")</f>
        <v>-2372</v>
      </c>
      <c r="V78" s="13" cm="1">
        <f t="array" ref="V78">_xll.BDH("DE US Equity","OTHER_EQUITY_RATIO","FQ2 2023","FQ2 2023","Currency=USD","Period=FQ","BEST_FPERIOD_OVERRIDE=FQ","FILING_STATUS=MR","SCALING_FORMAT=MLN","Sort=A","Dates=H","DateFormat=P","Fill=—","Direction=H","UseDPDF=Y")</f>
        <v>-2538</v>
      </c>
      <c r="W78" s="13" cm="1">
        <f t="array" ref="W78">_xll.BDH("DE US Equity","OTHER_EQUITY_RATIO","FQ3 2023","FQ3 2023","Currency=USD","Period=FQ","BEST_FPERIOD_OVERRIDE=FQ","FILING_STATUS=MR","SCALING_FORMAT=MLN","Sort=A","Dates=H","DateFormat=P","Fill=—","Direction=H","UseDPDF=Y")</f>
        <v>-2411</v>
      </c>
      <c r="X78" s="13" cm="1">
        <f t="array" ref="X78">_xll.BDH("DE US Equity","OTHER_EQUITY_RATIO","FQ4 2023","FQ4 2023","Currency=USD","Period=FQ","BEST_FPERIOD_OVERRIDE=FQ","FILING_STATUS=MR","SCALING_FORMAT=MLN","Sort=A","Dates=H","DateFormat=P","Fill=—","Direction=H","UseDPDF=Y")</f>
        <v>-31335</v>
      </c>
      <c r="Y78" s="13" cm="1">
        <f t="array" ref="Y78">_xll.BDH("DE US Equity","OTHER_EQUITY_RATIO","FQ1 2024","FQ1 2024","Currency=USD","Period=FQ","BEST_FPERIOD_OVERRIDE=FQ","FILING_STATUS=MR","SCALING_FORMAT=MLN","Sort=A","Dates=H","DateFormat=P","Fill=—","Direction=H","UseDPDF=Y")</f>
        <v>-2863</v>
      </c>
      <c r="Z78" s="13" cm="1">
        <f t="array" ref="Z78">_xll.BDH("DE US Equity","OTHER_EQUITY_RATIO","FQ2 2024","FQ2 2024","Currency=USD","Period=FQ","BEST_FPERIOD_OVERRIDE=FQ","FILING_STATUS=MR","SCALING_FORMAT=MLN","Sort=A","Dates=H","DateFormat=P","Fill=—","Direction=H","UseDPDF=Y")</f>
        <v>-3171</v>
      </c>
      <c r="AA78" s="13" cm="1">
        <f t="array" ref="AA78">_xll.BDH("DE US Equity","OTHER_EQUITY_RATIO","FQ3 2024","FQ3 2024","Currency=USD","Period=FQ","BEST_FPERIOD_OVERRIDE=FQ","FILING_STATUS=MR","SCALING_FORMAT=MLN","Sort=A","Dates=H","DateFormat=P","Fill=—","Direction=H","UseDPDF=Y")</f>
        <v>-3368</v>
      </c>
      <c r="AB78" s="13" cm="1">
        <f t="array" ref="AB78">_xll.BDH("DE US Equity","OTHER_EQUITY_RATIO","FQ4 2024","FQ4 2024","Currency=USD","Period=FQ","BEST_FPERIOD_OVERRIDE=FQ","FILING_STATUS=MR","SCALING_FORMAT=MLN","Sort=A","Dates=H","DateFormat=P","Fill=—","Direction=H","UseDPDF=Y")</f>
        <v>-35349</v>
      </c>
      <c r="AC78" s="13" cm="1">
        <f t="array" ref="AC78">_xll.BDH("DE US Equity","OTHER_EQUITY_RATIO","FQ1 2025","FQ1 2025","Currency=USD","Period=FQ","BEST_FPERIOD_OVERRIDE=FQ","FILING_STATUS=MR","SCALING_FORMAT=MLN","Sort=A","Dates=H","DateFormat=P","Fill=—","Direction=H","UseDPDF=Y")</f>
        <v>-4167</v>
      </c>
      <c r="AD78" s="13" cm="1">
        <f t="array" ref="AD78">_xll.BDH("DE US Equity","OTHER_EQUITY_RATIO","FQ2 2025","FQ2 2025","Currency=USD","Period=FQ","BEST_FPERIOD_OVERRIDE=FQ","FILING_STATUS=MR","SCALING_FORMAT=MLN","Sort=A","Dates=H","DateFormat=P","Fill=—","Direction=H","UseDPDF=Y")</f>
        <v>-3405</v>
      </c>
      <c r="AE78" s="13" cm="1">
        <f t="array" ref="AE78">_xll.BDH("DE US Equity","OTHER_EQUITY_RATIO","FQ3 2025","FQ3 2025","Currency=USD","Period=FQ","BEST_FPERIOD_OVERRIDE=FQ","FILING_STATUS=MR","SCALING_FORMAT=MLN","Sort=A","Dates=H","DateFormat=P","Fill=—","Direction=H","UseDPDF=Y")</f>
        <v>-3107</v>
      </c>
      <c r="AF78" s="13" cm="1">
        <f t="array" ref="AF78">_xll.BDH("DE US Equity","OTHER_EQUITY_RATIO","FQ4 2025","FQ4 2025","Currency=USD","Period=FQ","BEST_FPERIOD_OVERRIDE=FQ","FILING_STATUS=MR","SCALING_FORMAT=MLN","Sort=A","Dates=H","DateFormat=P","Fill=—","Direction=H","UseDPDF=Y")</f>
        <v>-36362</v>
      </c>
    </row>
    <row r="79" spans="1:32" x14ac:dyDescent="0.25">
      <c r="A79" s="6" t="s">
        <v>203</v>
      </c>
      <c r="B79" s="6" t="s">
        <v>204</v>
      </c>
      <c r="C79" s="16" cm="1">
        <f t="array" ref="C79">_xll.BDH("DE US Equity","EQTY_BEF_MINORITY_INT_DETAILED","FQ3 2018","FQ3 2018","Currency=USD","Period=FQ","BEST_FPERIOD_OVERRIDE=FQ","FILING_STATUS=MR","SCALING_FORMAT=MLN","Sort=A","Dates=H","DateFormat=P","Fill=—","Direction=H","UseDPDF=Y")</f>
        <v>10356</v>
      </c>
      <c r="D79" s="16" cm="1">
        <f t="array" ref="D79">_xll.BDH("DE US Equity","EQTY_BEF_MINORITY_INT_DETAILED","FQ4 2018","FQ4 2018","Currency=USD","Period=FQ","BEST_FPERIOD_OVERRIDE=FQ","FILING_STATUS=MR","SCALING_FORMAT=MLN","Sort=A","Dates=H","DateFormat=P","Fill=—","Direction=H","UseDPDF=Y")</f>
        <v>11288</v>
      </c>
      <c r="E79" s="16" cm="1">
        <f t="array" ref="E79">_xll.BDH("DE US Equity","EQTY_BEF_MINORITY_INT_DETAILED","FQ1 2019","FQ1 2019","Currency=USD","Period=FQ","BEST_FPERIOD_OVERRIDE=FQ","FILING_STATUS=MR","SCALING_FORMAT=MLN","Sort=A","Dates=H","DateFormat=P","Fill=—","Direction=H","UseDPDF=Y")</f>
        <v>11327.8</v>
      </c>
      <c r="F79" s="16" cm="1">
        <f t="array" ref="F79">_xll.BDH("DE US Equity","EQTY_BEF_MINORITY_INT_DETAILED","FQ2 2019","FQ2 2019","Currency=USD","Period=FQ","BEST_FPERIOD_OVERRIDE=FQ","FILING_STATUS=MR","SCALING_FORMAT=MLN","Sort=A","Dates=H","DateFormat=P","Fill=—","Direction=H","UseDPDF=Y")</f>
        <v>11919</v>
      </c>
      <c r="G79" s="16" cm="1">
        <f t="array" ref="G79">_xll.BDH("DE US Equity","EQTY_BEF_MINORITY_INT_DETAILED","FQ3 2019","FQ3 2019","Currency=USD","Period=FQ","BEST_FPERIOD_OVERRIDE=FQ","FILING_STATUS=MR","SCALING_FORMAT=MLN","Sort=A","Dates=H","DateFormat=P","Fill=—","Direction=H","UseDPDF=Y")</f>
        <v>12266</v>
      </c>
      <c r="H79" s="16" cm="1">
        <f t="array" ref="H79">_xll.BDH("DE US Equity","EQTY_BEF_MINORITY_INT_DETAILED","FQ4 2019","FQ4 2019","Currency=USD","Period=FQ","BEST_FPERIOD_OVERRIDE=FQ","FILING_STATUS=MR","SCALING_FORMAT=MLN","Sort=A","Dates=H","DateFormat=P","Fill=—","Direction=H","UseDPDF=Y")</f>
        <v>11413</v>
      </c>
      <c r="I79" s="16" cm="1">
        <f t="array" ref="I79">_xll.BDH("DE US Equity","EQTY_BEF_MINORITY_INT_DETAILED","FQ1 2020","FQ1 2020","Currency=USD","Period=FQ","BEST_FPERIOD_OVERRIDE=FQ","FILING_STATUS=MR","SCALING_FORMAT=MLN","Sort=A","Dates=H","DateFormat=P","Fill=—","Direction=H","UseDPDF=Y")</f>
        <v>11926</v>
      </c>
      <c r="J79" s="16" cm="1">
        <f t="array" ref="J79">_xll.BDH("DE US Equity","EQTY_BEF_MINORITY_INT_DETAILED","FQ2 2020","FQ2 2020","Currency=USD","Period=FQ","BEST_FPERIOD_OVERRIDE=FQ","FILING_STATUS=MR","SCALING_FORMAT=MLN","Sort=A","Dates=H","DateFormat=P","Fill=—","Direction=H","UseDPDF=Y")</f>
        <v>11864</v>
      </c>
      <c r="K79" s="16" cm="1">
        <f t="array" ref="K79">_xll.BDH("DE US Equity","EQTY_BEF_MINORITY_INT_DETAILED","FQ3 2020","FQ3 2020","Currency=USD","Period=FQ","BEST_FPERIOD_OVERRIDE=FQ","FILING_STATUS=MR","SCALING_FORMAT=MLN","Sort=A","Dates=H","DateFormat=P","Fill=—","Direction=H","UseDPDF=Y")</f>
        <v>12888</v>
      </c>
      <c r="L79" s="16" cm="1">
        <f t="array" ref="L79">_xll.BDH("DE US Equity","EQTY_BEF_MINORITY_INT_DETAILED","FQ4 2020","FQ4 2020","Currency=USD","Period=FQ","BEST_FPERIOD_OVERRIDE=FQ","FILING_STATUS=MR","SCALING_FORMAT=MLN","Sort=A","Dates=H","DateFormat=P","Fill=—","Direction=H","UseDPDF=Y")</f>
        <v>12937</v>
      </c>
      <c r="M79" s="16" cm="1">
        <f t="array" ref="M79">_xll.BDH("DE US Equity","EQTY_BEF_MINORITY_INT_DETAILED","FQ1 2021","FQ1 2021","Currency=USD","Period=FQ","BEST_FPERIOD_OVERRIDE=FQ","FILING_STATUS=MR","SCALING_FORMAT=MLN","Sort=A","Dates=H","DateFormat=P","Fill=—","Direction=H","UseDPDF=Y")</f>
        <v>14083</v>
      </c>
      <c r="N79" s="16" cm="1">
        <f t="array" ref="N79">_xll.BDH("DE US Equity","EQTY_BEF_MINORITY_INT_DETAILED","FQ2 2021","FQ2 2021","Currency=USD","Period=FQ","BEST_FPERIOD_OVERRIDE=FQ","FILING_STATUS=MR","SCALING_FORMAT=MLN","Sort=A","Dates=H","DateFormat=P","Fill=—","Direction=H","UseDPDF=Y")</f>
        <v>15092</v>
      </c>
      <c r="O79" s="16" cm="1">
        <f t="array" ref="O79">_xll.BDH("DE US Equity","EQTY_BEF_MINORITY_INT_DETAILED","FQ3 2021","FQ3 2021","Currency=USD","Period=FQ","BEST_FPERIOD_OVERRIDE=FQ","FILING_STATUS=MR","SCALING_FORMAT=MLN","Sort=A","Dates=H","DateFormat=P","Fill=—","Direction=H","UseDPDF=Y")</f>
        <v>15731</v>
      </c>
      <c r="P79" s="16" cm="1">
        <f t="array" ref="P79">_xll.BDH("DE US Equity","EQTY_BEF_MINORITY_INT_DETAILED","FQ4 2021","FQ4 2021","Currency=USD","Period=FQ","BEST_FPERIOD_OVERRIDE=FQ","FILING_STATUS=MR","SCALING_FORMAT=MLN","Sort=A","Dates=H","DateFormat=P","Fill=—","Direction=H","UseDPDF=Y")</f>
        <v>18431</v>
      </c>
      <c r="Q79" s="16" cm="1">
        <f t="array" ref="Q79">_xll.BDH("DE US Equity","EQTY_BEF_MINORITY_INT_DETAILED","FQ1 2022","FQ1 2022","Currency=USD","Period=FQ","BEST_FPERIOD_OVERRIDE=FQ","FILING_STATUS=MR","SCALING_FORMAT=MLN","Sort=A","Dates=H","DateFormat=P","Fill=—","Direction=H","UseDPDF=Y")</f>
        <v>17804</v>
      </c>
      <c r="R79" s="16" cm="1">
        <f t="array" ref="R79">_xll.BDH("DE US Equity","EQTY_BEF_MINORITY_INT_DETAILED","FQ2 2022","FQ2 2022","Currency=USD","Period=FQ","BEST_FPERIOD_OVERRIDE=FQ","FILING_STATUS=MR","SCALING_FORMAT=MLN","Sort=A","Dates=H","DateFormat=P","Fill=—","Direction=H","UseDPDF=Y")</f>
        <v>18904</v>
      </c>
      <c r="S79" s="16" cm="1">
        <f t="array" ref="S79">_xll.BDH("DE US Equity","EQTY_BEF_MINORITY_INT_DETAILED","FQ3 2022","FQ3 2022","Currency=USD","Period=FQ","BEST_FPERIOD_OVERRIDE=FQ","FILING_STATUS=MR","SCALING_FORMAT=MLN","Sort=A","Dates=H","DateFormat=P","Fill=—","Direction=H","UseDPDF=Y")</f>
        <v>19033</v>
      </c>
      <c r="T79" s="16" cm="1">
        <f t="array" ref="T79">_xll.BDH("DE US Equity","EQTY_BEF_MINORITY_INT_DETAILED","FQ4 2022","FQ4 2022","Currency=USD","Period=FQ","BEST_FPERIOD_OVERRIDE=FQ","FILING_STATUS=MR","SCALING_FORMAT=MLN","Sort=A","Dates=H","DateFormat=P","Fill=—","Direction=H","UseDPDF=Y")</f>
        <v>20262</v>
      </c>
      <c r="U79" s="16" cm="1">
        <f t="array" ref="U79">_xll.BDH("DE US Equity","EQTY_BEF_MINORITY_INT_DETAILED","FQ1 2023","FQ1 2023","Currency=USD","Period=FQ","BEST_FPERIOD_OVERRIDE=FQ","FILING_STATUS=MR","SCALING_FORMAT=MLN","Sort=A","Dates=H","DateFormat=P","Fill=—","Direction=H","UseDPDF=Y")</f>
        <v>21332</v>
      </c>
      <c r="V79" s="16" cm="1">
        <f t="array" ref="V79">_xll.BDH("DE US Equity","EQTY_BEF_MINORITY_INT_DETAILED","FQ2 2023","FQ2 2023","Currency=USD","Period=FQ","BEST_FPERIOD_OVERRIDE=FQ","FILING_STATUS=MR","SCALING_FORMAT=MLN","Sort=A","Dates=H","DateFormat=P","Fill=—","Direction=H","UseDPDF=Y")</f>
        <v>22395</v>
      </c>
      <c r="W79" s="16" cm="1">
        <f t="array" ref="W79">_xll.BDH("DE US Equity","EQTY_BEF_MINORITY_INT_DETAILED","FQ3 2023","FQ3 2023","Currency=USD","Period=FQ","BEST_FPERIOD_OVERRIDE=FQ","FILING_STATUS=MR","SCALING_FORMAT=MLN","Sort=A","Dates=H","DateFormat=P","Fill=—","Direction=H","UseDPDF=Y")</f>
        <v>23048</v>
      </c>
      <c r="X79" s="16" cm="1">
        <f t="array" ref="X79">_xll.BDH("DE US Equity","EQTY_BEF_MINORITY_INT_DETAILED","FQ4 2023","FQ4 2023","Currency=USD","Period=FQ","BEST_FPERIOD_OVERRIDE=FQ","FILING_STATUS=MR","SCALING_FORMAT=MLN","Sort=A","Dates=H","DateFormat=P","Fill=—","Direction=H","UseDPDF=Y")</f>
        <v>21785</v>
      </c>
      <c r="Y79" s="16" cm="1">
        <f t="array" ref="Y79">_xll.BDH("DE US Equity","EQTY_BEF_MINORITY_INT_DETAILED","FQ1 2024","FQ1 2024","Currency=USD","Period=FQ","BEST_FPERIOD_OVERRIDE=FQ","FILING_STATUS=MR","SCALING_FORMAT=MLN","Sort=A","Dates=H","DateFormat=P","Fill=—","Direction=H","UseDPDF=Y")</f>
        <v>22075</v>
      </c>
      <c r="Z79" s="16" cm="1">
        <f t="array" ref="Z79">_xll.BDH("DE US Equity","EQTY_BEF_MINORITY_INT_DETAILED","FQ2 2024","FQ2 2024","Currency=USD","Period=FQ","BEST_FPERIOD_OVERRIDE=FQ","FILING_STATUS=MR","SCALING_FORMAT=MLN","Sort=A","Dates=H","DateFormat=P","Fill=—","Direction=H","UseDPDF=Y")</f>
        <v>22684</v>
      </c>
      <c r="AA79" s="16" cm="1">
        <f t="array" ref="AA79">_xll.BDH("DE US Equity","EQTY_BEF_MINORITY_INT_DETAILED","FQ3 2024","FQ3 2024","Currency=USD","Period=FQ","BEST_FPERIOD_OVERRIDE=FQ","FILING_STATUS=MR","SCALING_FORMAT=MLN","Sort=A","Dates=H","DateFormat=P","Fill=—","Direction=H","UseDPDF=Y")</f>
        <v>23062</v>
      </c>
      <c r="AB79" s="16" cm="1">
        <f t="array" ref="AB79">_xll.BDH("DE US Equity","EQTY_BEF_MINORITY_INT_DETAILED","FQ4 2024","FQ4 2024","Currency=USD","Period=FQ","BEST_FPERIOD_OVERRIDE=FQ","FILING_STATUS=MR","SCALING_FORMAT=MLN","Sort=A","Dates=H","DateFormat=P","Fill=—","Direction=H","UseDPDF=Y")</f>
        <v>22836</v>
      </c>
      <c r="AC79" s="16" cm="1">
        <f t="array" ref="AC79">_xll.BDH("DE US Equity","EQTY_BEF_MINORITY_INT_DETAILED","FQ1 2025","FQ1 2025","Currency=USD","Period=FQ","BEST_FPERIOD_OVERRIDE=FQ","FILING_STATUS=MR","SCALING_FORMAT=MLN","Sort=A","Dates=H","DateFormat=P","Fill=—","Direction=H","UseDPDF=Y")</f>
        <v>22479</v>
      </c>
      <c r="AD79" s="16" cm="1">
        <f t="array" ref="AD79">_xll.BDH("DE US Equity","EQTY_BEF_MINORITY_INT_DETAILED","FQ2 2025","FQ2 2025","Currency=USD","Period=FQ","BEST_FPERIOD_OVERRIDE=FQ","FILING_STATUS=MR","SCALING_FORMAT=MLN","Sort=A","Dates=H","DateFormat=P","Fill=—","Direction=H","UseDPDF=Y")</f>
        <v>24287</v>
      </c>
      <c r="AE79" s="16" cm="1">
        <f t="array" ref="AE79">_xll.BDH("DE US Equity","EQTY_BEF_MINORITY_INT_DETAILED","FQ3 2025","FQ3 2025","Currency=USD","Period=FQ","BEST_FPERIOD_OVERRIDE=FQ","FILING_STATUS=MR","SCALING_FORMAT=MLN","Sort=A","Dates=H","DateFormat=P","Fill=—","Direction=H","UseDPDF=Y")</f>
        <v>25175</v>
      </c>
      <c r="AF79" s="16" cm="1">
        <f t="array" ref="AF79">_xll.BDH("DE US Equity","EQTY_BEF_MINORITY_INT_DETAILED","FQ4 2025","FQ4 2025","Currency=USD","Period=FQ","BEST_FPERIOD_OVERRIDE=FQ","FILING_STATUS=MR","SCALING_FORMAT=MLN","Sort=A","Dates=H","DateFormat=P","Fill=—","Direction=H","UseDPDF=Y")</f>
        <v>25950</v>
      </c>
    </row>
    <row r="80" spans="1:32" x14ac:dyDescent="0.25">
      <c r="A80" s="10" t="s">
        <v>205</v>
      </c>
      <c r="B80" s="10" t="s">
        <v>206</v>
      </c>
      <c r="C80" s="13" cm="1">
        <f t="array" ref="C80">_xll.BDH("DE US Equity","MINORITY_NONCONTROLLING_INTEREST","FQ3 2018","FQ3 2018","Currency=USD","Period=FQ","BEST_FPERIOD_OVERRIDE=FQ","FILING_STATUS=MR","SCALING_FORMAT=MLN","Sort=A","Dates=H","DateFormat=P","Fill=—","Direction=H","UseDPDF=Y")</f>
        <v>24</v>
      </c>
      <c r="D80" s="13" cm="1">
        <f t="array" ref="D80">_xll.BDH("DE US Equity","MINORITY_NONCONTROLLING_INTEREST","FQ4 2018","FQ4 2018","Currency=USD","Period=FQ","BEST_FPERIOD_OVERRIDE=FQ","FILING_STATUS=MR","SCALING_FORMAT=MLN","Sort=A","Dates=H","DateFormat=P","Fill=—","Direction=H","UseDPDF=Y")</f>
        <v>17</v>
      </c>
      <c r="E80" s="13" cm="1">
        <f t="array" ref="E80">_xll.BDH("DE US Equity","MINORITY_NONCONTROLLING_INTEREST","FQ1 2019","FQ1 2019","Currency=USD","Period=FQ","BEST_FPERIOD_OVERRIDE=FQ","FILING_STATUS=MR","SCALING_FORMAT=MLN","Sort=A","Dates=H","DateFormat=P","Fill=—","Direction=H","UseDPDF=Y")</f>
        <v>18.899999999999999</v>
      </c>
      <c r="F80" s="13" cm="1">
        <f t="array" ref="F80">_xll.BDH("DE US Equity","MINORITY_NONCONTROLLING_INTEREST","FQ2 2019","FQ2 2019","Currency=USD","Period=FQ","BEST_FPERIOD_OVERRIDE=FQ","FILING_STATUS=MR","SCALING_FORMAT=MLN","Sort=A","Dates=H","DateFormat=P","Fill=—","Direction=H","UseDPDF=Y")</f>
        <v>19</v>
      </c>
      <c r="G80" s="13" cm="1">
        <f t="array" ref="G80">_xll.BDH("DE US Equity","MINORITY_NONCONTROLLING_INTEREST","FQ3 2019","FQ3 2019","Currency=USD","Period=FQ","BEST_FPERIOD_OVERRIDE=FQ","FILING_STATUS=MR","SCALING_FORMAT=MLN","Sort=A","Dates=H","DateFormat=P","Fill=—","Direction=H","UseDPDF=Y")</f>
        <v>18</v>
      </c>
      <c r="H80" s="13" cm="1">
        <f t="array" ref="H80">_xll.BDH("DE US Equity","MINORITY_NONCONTROLLING_INTEREST","FQ4 2019","FQ4 2019","Currency=USD","Period=FQ","BEST_FPERIOD_OVERRIDE=FQ","FILING_STATUS=MR","SCALING_FORMAT=MLN","Sort=A","Dates=H","DateFormat=P","Fill=—","Direction=H","UseDPDF=Y")</f>
        <v>18</v>
      </c>
      <c r="I80" s="13" cm="1">
        <f t="array" ref="I80">_xll.BDH("DE US Equity","MINORITY_NONCONTROLLING_INTEREST","FQ1 2020","FQ1 2020","Currency=USD","Period=FQ","BEST_FPERIOD_OVERRIDE=FQ","FILING_STATUS=MR","SCALING_FORMAT=MLN","Sort=A","Dates=H","DateFormat=P","Fill=—","Direction=H","UseDPDF=Y")</f>
        <v>18</v>
      </c>
      <c r="J80" s="13" cm="1">
        <f t="array" ref="J80">_xll.BDH("DE US Equity","MINORITY_NONCONTROLLING_INTEREST","FQ2 2020","FQ2 2020","Currency=USD","Period=FQ","BEST_FPERIOD_OVERRIDE=FQ","FILING_STATUS=MR","SCALING_FORMAT=MLN","Sort=A","Dates=H","DateFormat=P","Fill=—","Direction=H","UseDPDF=Y")</f>
        <v>1</v>
      </c>
      <c r="K80" s="13" cm="1">
        <f t="array" ref="K80">_xll.BDH("DE US Equity","MINORITY_NONCONTROLLING_INTEREST","FQ3 2020","FQ3 2020","Currency=USD","Period=FQ","BEST_FPERIOD_OVERRIDE=FQ","FILING_STATUS=MR","SCALING_FORMAT=MLN","Sort=A","Dates=H","DateFormat=P","Fill=—","Direction=H","UseDPDF=Y")</f>
        <v>3</v>
      </c>
      <c r="L80" s="13" cm="1">
        <f t="array" ref="L80">_xll.BDH("DE US Equity","MINORITY_NONCONTROLLING_INTEREST","FQ4 2020","FQ4 2020","Currency=USD","Period=FQ","BEST_FPERIOD_OVERRIDE=FQ","FILING_STATUS=MR","SCALING_FORMAT=MLN","Sort=A","Dates=H","DateFormat=P","Fill=—","Direction=H","UseDPDF=Y")</f>
        <v>7</v>
      </c>
      <c r="M80" s="13" cm="1">
        <f t="array" ref="M80">_xll.BDH("DE US Equity","MINORITY_NONCONTROLLING_INTEREST","FQ1 2021","FQ1 2021","Currency=USD","Period=FQ","BEST_FPERIOD_OVERRIDE=FQ","FILING_STATUS=MR","SCALING_FORMAT=MLN","Sort=A","Dates=H","DateFormat=P","Fill=—","Direction=H","UseDPDF=Y")</f>
        <v>3</v>
      </c>
      <c r="N80" s="13" cm="1">
        <f t="array" ref="N80">_xll.BDH("DE US Equity","MINORITY_NONCONTROLLING_INTEREST","FQ2 2021","FQ2 2021","Currency=USD","Period=FQ","BEST_FPERIOD_OVERRIDE=FQ","FILING_STATUS=MR","SCALING_FORMAT=MLN","Sort=A","Dates=H","DateFormat=P","Fill=—","Direction=H","UseDPDF=Y")</f>
        <v>4</v>
      </c>
      <c r="O80" s="13" cm="1">
        <f t="array" ref="O80">_xll.BDH("DE US Equity","MINORITY_NONCONTROLLING_INTEREST","FQ3 2021","FQ3 2021","Currency=USD","Period=FQ","BEST_FPERIOD_OVERRIDE=FQ","FILING_STATUS=MR","SCALING_FORMAT=MLN","Sort=A","Dates=H","DateFormat=P","Fill=—","Direction=H","UseDPDF=Y")</f>
        <v>2</v>
      </c>
      <c r="P80" s="13" cm="1">
        <f t="array" ref="P80">_xll.BDH("DE US Equity","MINORITY_NONCONTROLLING_INTEREST","FQ4 2021","FQ4 2021","Currency=USD","Period=FQ","BEST_FPERIOD_OVERRIDE=FQ","FILING_STATUS=MR","SCALING_FORMAT=MLN","Sort=A","Dates=H","DateFormat=P","Fill=—","Direction=H","UseDPDF=Y")</f>
        <v>3</v>
      </c>
      <c r="Q80" s="13" cm="1">
        <f t="array" ref="Q80">_xll.BDH("DE US Equity","MINORITY_NONCONTROLLING_INTEREST","FQ1 2022","FQ1 2022","Currency=USD","Period=FQ","BEST_FPERIOD_OVERRIDE=FQ","FILING_STATUS=MR","SCALING_FORMAT=MLN","Sort=A","Dates=H","DateFormat=P","Fill=—","Direction=H","UseDPDF=Y")</f>
        <v>4</v>
      </c>
      <c r="R80" s="13" cm="1">
        <f t="array" ref="R80">_xll.BDH("DE US Equity","MINORITY_NONCONTROLLING_INTEREST","FQ2 2022","FQ2 2022","Currency=USD","Period=FQ","BEST_FPERIOD_OVERRIDE=FQ","FILING_STATUS=MR","SCALING_FORMAT=MLN","Sort=A","Dates=H","DateFormat=P","Fill=—","Direction=H","UseDPDF=Y")</f>
        <v>102</v>
      </c>
      <c r="S80" s="13" cm="1">
        <f t="array" ref="S80">_xll.BDH("DE US Equity","MINORITY_NONCONTROLLING_INTEREST","FQ3 2022","FQ3 2022","Currency=USD","Period=FQ","BEST_FPERIOD_OVERRIDE=FQ","FILING_STATUS=MR","SCALING_FORMAT=MLN","Sort=A","Dates=H","DateFormat=P","Fill=—","Direction=H","UseDPDF=Y")</f>
        <v>98</v>
      </c>
      <c r="T80" s="13" cm="1">
        <f t="array" ref="T80">_xll.BDH("DE US Equity","MINORITY_NONCONTROLLING_INTEREST","FQ4 2022","FQ4 2022","Currency=USD","Period=FQ","BEST_FPERIOD_OVERRIDE=FQ","FILING_STATUS=MR","SCALING_FORMAT=MLN","Sort=A","Dates=H","DateFormat=P","Fill=—","Direction=H","UseDPDF=Y")</f>
        <v>95</v>
      </c>
      <c r="U80" s="13" cm="1">
        <f t="array" ref="U80">_xll.BDH("DE US Equity","MINORITY_NONCONTROLLING_INTEREST","FQ1 2023","FQ1 2023","Currency=USD","Period=FQ","BEST_FPERIOD_OVERRIDE=FQ","FILING_STATUS=MR","SCALING_FORMAT=MLN","Sort=A","Dates=H","DateFormat=P","Fill=—","Direction=H","UseDPDF=Y")</f>
        <v>104</v>
      </c>
      <c r="V80" s="13" cm="1">
        <f t="array" ref="V80">_xll.BDH("DE US Equity","MINORITY_NONCONTROLLING_INTEREST","FQ2 2023","FQ2 2023","Currency=USD","Period=FQ","BEST_FPERIOD_OVERRIDE=FQ","FILING_STATUS=MR","SCALING_FORMAT=MLN","Sort=A","Dates=H","DateFormat=P","Fill=—","Direction=H","UseDPDF=Y")</f>
        <v>106</v>
      </c>
      <c r="W80" s="13" cm="1">
        <f t="array" ref="W80">_xll.BDH("DE US Equity","MINORITY_NONCONTROLLING_INTEREST","FQ3 2023","FQ3 2023","Currency=USD","Period=FQ","BEST_FPERIOD_OVERRIDE=FQ","FILING_STATUS=MR","SCALING_FORMAT=MLN","Sort=A","Dates=H","DateFormat=P","Fill=—","Direction=H","UseDPDF=Y")</f>
        <v>104</v>
      </c>
      <c r="X80" s="13" cm="1">
        <f t="array" ref="X80">_xll.BDH("DE US Equity","MINORITY_NONCONTROLLING_INTEREST","FQ4 2023","FQ4 2023","Currency=USD","Period=FQ","BEST_FPERIOD_OVERRIDE=FQ","FILING_STATUS=MR","SCALING_FORMAT=MLN","Sort=A","Dates=H","DateFormat=P","Fill=—","Direction=H","UseDPDF=Y")</f>
        <v>101</v>
      </c>
      <c r="Y80" s="13" cm="1">
        <f t="array" ref="Y80">_xll.BDH("DE US Equity","MINORITY_NONCONTROLLING_INTEREST","FQ1 2024","FQ1 2024","Currency=USD","Period=FQ","BEST_FPERIOD_OVERRIDE=FQ","FILING_STATUS=MR","SCALING_FORMAT=MLN","Sort=A","Dates=H","DateFormat=P","Fill=—","Direction=H","UseDPDF=Y")</f>
        <v>104</v>
      </c>
      <c r="Z80" s="13" cm="1">
        <f t="array" ref="Z80">_xll.BDH("DE US Equity","MINORITY_NONCONTROLLING_INTEREST","FQ2 2024","FQ2 2024","Currency=USD","Period=FQ","BEST_FPERIOD_OVERRIDE=FQ","FILING_STATUS=MR","SCALING_FORMAT=MLN","Sort=A","Dates=H","DateFormat=P","Fill=—","Direction=H","UseDPDF=Y")</f>
        <v>102</v>
      </c>
      <c r="AA80" s="13" cm="1">
        <f t="array" ref="AA80">_xll.BDH("DE US Equity","MINORITY_NONCONTROLLING_INTEREST","FQ3 2024","FQ3 2024","Currency=USD","Period=FQ","BEST_FPERIOD_OVERRIDE=FQ","FILING_STATUS=MR","SCALING_FORMAT=MLN","Sort=A","Dates=H","DateFormat=P","Fill=—","Direction=H","UseDPDF=Y")</f>
        <v>87</v>
      </c>
      <c r="AB80" s="13" cm="1">
        <f t="array" ref="AB80">_xll.BDH("DE US Equity","MINORITY_NONCONTROLLING_INTEREST","FQ4 2024","FQ4 2024","Currency=USD","Period=FQ","BEST_FPERIOD_OVERRIDE=FQ","FILING_STATUS=MR","SCALING_FORMAT=MLN","Sort=A","Dates=H","DateFormat=P","Fill=—","Direction=H","UseDPDF=Y")</f>
        <v>89</v>
      </c>
      <c r="AC80" s="13" cm="1">
        <f t="array" ref="AC80">_xll.BDH("DE US Equity","MINORITY_NONCONTROLLING_INTEREST","FQ1 2025","FQ1 2025","Currency=USD","Period=FQ","BEST_FPERIOD_OVERRIDE=FQ","FILING_STATUS=MR","SCALING_FORMAT=MLN","Sort=A","Dates=H","DateFormat=P","Fill=—","Direction=H","UseDPDF=Y")</f>
        <v>85</v>
      </c>
      <c r="AD80" s="13" cm="1">
        <f t="array" ref="AD80">_xll.BDH("DE US Equity","MINORITY_NONCONTROLLING_INTEREST","FQ2 2025","FQ2 2025","Currency=USD","Period=FQ","BEST_FPERIOD_OVERRIDE=FQ","FILING_STATUS=MR","SCALING_FORMAT=MLN","Sort=A","Dates=H","DateFormat=P","Fill=—","Direction=H","UseDPDF=Y")</f>
        <v>91</v>
      </c>
      <c r="AE80" s="13" cm="1">
        <f t="array" ref="AE80">_xll.BDH("DE US Equity","MINORITY_NONCONTROLLING_INTEREST","FQ3 2025","FQ3 2025","Currency=USD","Period=FQ","BEST_FPERIOD_OVERRIDE=FQ","FILING_STATUS=MR","SCALING_FORMAT=MLN","Sort=A","Dates=H","DateFormat=P","Fill=—","Direction=H","UseDPDF=Y")</f>
        <v>89</v>
      </c>
      <c r="AF80" s="13" cm="1">
        <f t="array" ref="AF80">_xll.BDH("DE US Equity","MINORITY_NONCONTROLLING_INTEREST","FQ4 2025","FQ4 2025","Currency=USD","Period=FQ","BEST_FPERIOD_OVERRIDE=FQ","FILING_STATUS=MR","SCALING_FORMAT=MLN","Sort=A","Dates=H","DateFormat=P","Fill=—","Direction=H","UseDPDF=Y")</f>
        <v>57</v>
      </c>
    </row>
    <row r="81" spans="1:32" x14ac:dyDescent="0.25">
      <c r="A81" s="6" t="s">
        <v>207</v>
      </c>
      <c r="B81" s="6" t="s">
        <v>208</v>
      </c>
      <c r="C81" s="16" cm="1">
        <f t="array" ref="C81">_xll.BDH("DE US Equity","TOTAL_EQUITY","FQ3 2018","FQ3 2018","Currency=USD","Period=FQ","BEST_FPERIOD_OVERRIDE=FQ","FILING_STATUS=MR","SCALING_FORMAT=MLN","Sort=A","Dates=H","DateFormat=P","Fill=—","Direction=H","UseDPDF=Y")</f>
        <v>10380</v>
      </c>
      <c r="D81" s="16" cm="1">
        <f t="array" ref="D81">_xll.BDH("DE US Equity","TOTAL_EQUITY","FQ4 2018","FQ4 2018","Currency=USD","Period=FQ","BEST_FPERIOD_OVERRIDE=FQ","FILING_STATUS=MR","SCALING_FORMAT=MLN","Sort=A","Dates=H","DateFormat=P","Fill=—","Direction=H","UseDPDF=Y")</f>
        <v>11305</v>
      </c>
      <c r="E81" s="16" cm="1">
        <f t="array" ref="E81">_xll.BDH("DE US Equity","TOTAL_EQUITY","FQ1 2019","FQ1 2019","Currency=USD","Period=FQ","BEST_FPERIOD_OVERRIDE=FQ","FILING_STATUS=MR","SCALING_FORMAT=MLN","Sort=A","Dates=H","DateFormat=P","Fill=—","Direction=H","UseDPDF=Y")</f>
        <v>11346.7</v>
      </c>
      <c r="F81" s="16" cm="1">
        <f t="array" ref="F81">_xll.BDH("DE US Equity","TOTAL_EQUITY","FQ2 2019","FQ2 2019","Currency=USD","Period=FQ","BEST_FPERIOD_OVERRIDE=FQ","FILING_STATUS=MR","SCALING_FORMAT=MLN","Sort=A","Dates=H","DateFormat=P","Fill=—","Direction=H","UseDPDF=Y")</f>
        <v>11938</v>
      </c>
      <c r="G81" s="16" cm="1">
        <f t="array" ref="G81">_xll.BDH("DE US Equity","TOTAL_EQUITY","FQ3 2019","FQ3 2019","Currency=USD","Period=FQ","BEST_FPERIOD_OVERRIDE=FQ","FILING_STATUS=MR","SCALING_FORMAT=MLN","Sort=A","Dates=H","DateFormat=P","Fill=—","Direction=H","UseDPDF=Y")</f>
        <v>12284</v>
      </c>
      <c r="H81" s="16" cm="1">
        <f t="array" ref="H81">_xll.BDH("DE US Equity","TOTAL_EQUITY","FQ4 2019","FQ4 2019","Currency=USD","Period=FQ","BEST_FPERIOD_OVERRIDE=FQ","FILING_STATUS=MR","SCALING_FORMAT=MLN","Sort=A","Dates=H","DateFormat=P","Fill=—","Direction=H","UseDPDF=Y")</f>
        <v>11431</v>
      </c>
      <c r="I81" s="16" cm="1">
        <f t="array" ref="I81">_xll.BDH("DE US Equity","TOTAL_EQUITY","FQ1 2020","FQ1 2020","Currency=USD","Period=FQ","BEST_FPERIOD_OVERRIDE=FQ","FILING_STATUS=MR","SCALING_FORMAT=MLN","Sort=A","Dates=H","DateFormat=P","Fill=—","Direction=H","UseDPDF=Y")</f>
        <v>11944</v>
      </c>
      <c r="J81" s="16" cm="1">
        <f t="array" ref="J81">_xll.BDH("DE US Equity","TOTAL_EQUITY","FQ2 2020","FQ2 2020","Currency=USD","Period=FQ","BEST_FPERIOD_OVERRIDE=FQ","FILING_STATUS=MR","SCALING_FORMAT=MLN","Sort=A","Dates=H","DateFormat=P","Fill=—","Direction=H","UseDPDF=Y")</f>
        <v>11865</v>
      </c>
      <c r="K81" s="16" cm="1">
        <f t="array" ref="K81">_xll.BDH("DE US Equity","TOTAL_EQUITY","FQ3 2020","FQ3 2020","Currency=USD","Period=FQ","BEST_FPERIOD_OVERRIDE=FQ","FILING_STATUS=MR","SCALING_FORMAT=MLN","Sort=A","Dates=H","DateFormat=P","Fill=—","Direction=H","UseDPDF=Y")</f>
        <v>12891</v>
      </c>
      <c r="L81" s="16" cm="1">
        <f t="array" ref="L81">_xll.BDH("DE US Equity","TOTAL_EQUITY","FQ4 2020","FQ4 2020","Currency=USD","Period=FQ","BEST_FPERIOD_OVERRIDE=FQ","FILING_STATUS=MR","SCALING_FORMAT=MLN","Sort=A","Dates=H","DateFormat=P","Fill=—","Direction=H","UseDPDF=Y")</f>
        <v>12944</v>
      </c>
      <c r="M81" s="16" cm="1">
        <f t="array" ref="M81">_xll.BDH("DE US Equity","TOTAL_EQUITY","FQ1 2021","FQ1 2021","Currency=USD","Period=FQ","BEST_FPERIOD_OVERRIDE=FQ","FILING_STATUS=MR","SCALING_FORMAT=MLN","Sort=A","Dates=H","DateFormat=P","Fill=—","Direction=H","UseDPDF=Y")</f>
        <v>14086</v>
      </c>
      <c r="N81" s="16" cm="1">
        <f t="array" ref="N81">_xll.BDH("DE US Equity","TOTAL_EQUITY","FQ2 2021","FQ2 2021","Currency=USD","Period=FQ","BEST_FPERIOD_OVERRIDE=FQ","FILING_STATUS=MR","SCALING_FORMAT=MLN","Sort=A","Dates=H","DateFormat=P","Fill=—","Direction=H","UseDPDF=Y")</f>
        <v>15096</v>
      </c>
      <c r="O81" s="16" cm="1">
        <f t="array" ref="O81">_xll.BDH("DE US Equity","TOTAL_EQUITY","FQ3 2021","FQ3 2021","Currency=USD","Period=FQ","BEST_FPERIOD_OVERRIDE=FQ","FILING_STATUS=MR","SCALING_FORMAT=MLN","Sort=A","Dates=H","DateFormat=P","Fill=—","Direction=H","UseDPDF=Y")</f>
        <v>15733</v>
      </c>
      <c r="P81" s="16" cm="1">
        <f t="array" ref="P81">_xll.BDH("DE US Equity","TOTAL_EQUITY","FQ4 2021","FQ4 2021","Currency=USD","Period=FQ","BEST_FPERIOD_OVERRIDE=FQ","FILING_STATUS=MR","SCALING_FORMAT=MLN","Sort=A","Dates=H","DateFormat=P","Fill=—","Direction=H","UseDPDF=Y")</f>
        <v>18434</v>
      </c>
      <c r="Q81" s="16" cm="1">
        <f t="array" ref="Q81">_xll.BDH("DE US Equity","TOTAL_EQUITY","FQ1 2022","FQ1 2022","Currency=USD","Period=FQ","BEST_FPERIOD_OVERRIDE=FQ","FILING_STATUS=MR","SCALING_FORMAT=MLN","Sort=A","Dates=H","DateFormat=P","Fill=—","Direction=H","UseDPDF=Y")</f>
        <v>17808</v>
      </c>
      <c r="R81" s="16" cm="1">
        <f t="array" ref="R81">_xll.BDH("DE US Equity","TOTAL_EQUITY","FQ2 2022","FQ2 2022","Currency=USD","Period=FQ","BEST_FPERIOD_OVERRIDE=FQ","FILING_STATUS=MR","SCALING_FORMAT=MLN","Sort=A","Dates=H","DateFormat=P","Fill=—","Direction=H","UseDPDF=Y")</f>
        <v>19006</v>
      </c>
      <c r="S81" s="16" cm="1">
        <f t="array" ref="S81">_xll.BDH("DE US Equity","TOTAL_EQUITY","FQ3 2022","FQ3 2022","Currency=USD","Period=FQ","BEST_FPERIOD_OVERRIDE=FQ","FILING_STATUS=MR","SCALING_FORMAT=MLN","Sort=A","Dates=H","DateFormat=P","Fill=—","Direction=H","UseDPDF=Y")</f>
        <v>19131</v>
      </c>
      <c r="T81" s="16" cm="1">
        <f t="array" ref="T81">_xll.BDH("DE US Equity","TOTAL_EQUITY","FQ4 2022","FQ4 2022","Currency=USD","Period=FQ","BEST_FPERIOD_OVERRIDE=FQ","FILING_STATUS=MR","SCALING_FORMAT=MLN","Sort=A","Dates=H","DateFormat=P","Fill=—","Direction=H","UseDPDF=Y")</f>
        <v>20357</v>
      </c>
      <c r="U81" s="16" cm="1">
        <f t="array" ref="U81">_xll.BDH("DE US Equity","TOTAL_EQUITY","FQ1 2023","FQ1 2023","Currency=USD","Period=FQ","BEST_FPERIOD_OVERRIDE=FQ","FILING_STATUS=MR","SCALING_FORMAT=MLN","Sort=A","Dates=H","DateFormat=P","Fill=—","Direction=H","UseDPDF=Y")</f>
        <v>21436</v>
      </c>
      <c r="V81" s="16" cm="1">
        <f t="array" ref="V81">_xll.BDH("DE US Equity","TOTAL_EQUITY","FQ2 2023","FQ2 2023","Currency=USD","Period=FQ","BEST_FPERIOD_OVERRIDE=FQ","FILING_STATUS=MR","SCALING_FORMAT=MLN","Sort=A","Dates=H","DateFormat=P","Fill=—","Direction=H","UseDPDF=Y")</f>
        <v>22501</v>
      </c>
      <c r="W81" s="16" cm="1">
        <f t="array" ref="W81">_xll.BDH("DE US Equity","TOTAL_EQUITY","FQ3 2023","FQ3 2023","Currency=USD","Period=FQ","BEST_FPERIOD_OVERRIDE=FQ","FILING_STATUS=MR","SCALING_FORMAT=MLN","Sort=A","Dates=H","DateFormat=P","Fill=—","Direction=H","UseDPDF=Y")</f>
        <v>23152</v>
      </c>
      <c r="X81" s="16" cm="1">
        <f t="array" ref="X81">_xll.BDH("DE US Equity","TOTAL_EQUITY","FQ4 2023","FQ4 2023","Currency=USD","Period=FQ","BEST_FPERIOD_OVERRIDE=FQ","FILING_STATUS=MR","SCALING_FORMAT=MLN","Sort=A","Dates=H","DateFormat=P","Fill=—","Direction=H","UseDPDF=Y")</f>
        <v>21886</v>
      </c>
      <c r="Y81" s="16" cm="1">
        <f t="array" ref="Y81">_xll.BDH("DE US Equity","TOTAL_EQUITY","FQ1 2024","FQ1 2024","Currency=USD","Period=FQ","BEST_FPERIOD_OVERRIDE=FQ","FILING_STATUS=MR","SCALING_FORMAT=MLN","Sort=A","Dates=H","DateFormat=P","Fill=—","Direction=H","UseDPDF=Y")</f>
        <v>22179</v>
      </c>
      <c r="Z81" s="16" cm="1">
        <f t="array" ref="Z81">_xll.BDH("DE US Equity","TOTAL_EQUITY","FQ2 2024","FQ2 2024","Currency=USD","Period=FQ","BEST_FPERIOD_OVERRIDE=FQ","FILING_STATUS=MR","SCALING_FORMAT=MLN","Sort=A","Dates=H","DateFormat=P","Fill=—","Direction=H","UseDPDF=Y")</f>
        <v>22786</v>
      </c>
      <c r="AA81" s="16" cm="1">
        <f t="array" ref="AA81">_xll.BDH("DE US Equity","TOTAL_EQUITY","FQ3 2024","FQ3 2024","Currency=USD","Period=FQ","BEST_FPERIOD_OVERRIDE=FQ","FILING_STATUS=MR","SCALING_FORMAT=MLN","Sort=A","Dates=H","DateFormat=P","Fill=—","Direction=H","UseDPDF=Y")</f>
        <v>23149</v>
      </c>
      <c r="AB81" s="16" cm="1">
        <f t="array" ref="AB81">_xll.BDH("DE US Equity","TOTAL_EQUITY","FQ4 2024","FQ4 2024","Currency=USD","Period=FQ","BEST_FPERIOD_OVERRIDE=FQ","FILING_STATUS=MR","SCALING_FORMAT=MLN","Sort=A","Dates=H","DateFormat=P","Fill=—","Direction=H","UseDPDF=Y")</f>
        <v>22925</v>
      </c>
      <c r="AC81" s="16" cm="1">
        <f t="array" ref="AC81">_xll.BDH("DE US Equity","TOTAL_EQUITY","FQ1 2025","FQ1 2025","Currency=USD","Period=FQ","BEST_FPERIOD_OVERRIDE=FQ","FILING_STATUS=MR","SCALING_FORMAT=MLN","Sort=A","Dates=H","DateFormat=P","Fill=—","Direction=H","UseDPDF=Y")</f>
        <v>22564</v>
      </c>
      <c r="AD81" s="16" cm="1">
        <f t="array" ref="AD81">_xll.BDH("DE US Equity","TOTAL_EQUITY","FQ2 2025","FQ2 2025","Currency=USD","Period=FQ","BEST_FPERIOD_OVERRIDE=FQ","FILING_STATUS=MR","SCALING_FORMAT=MLN","Sort=A","Dates=H","DateFormat=P","Fill=—","Direction=H","UseDPDF=Y")</f>
        <v>24378</v>
      </c>
      <c r="AE81" s="16" cm="1">
        <f t="array" ref="AE81">_xll.BDH("DE US Equity","TOTAL_EQUITY","FQ3 2025","FQ3 2025","Currency=USD","Period=FQ","BEST_FPERIOD_OVERRIDE=FQ","FILING_STATUS=MR","SCALING_FORMAT=MLN","Sort=A","Dates=H","DateFormat=P","Fill=—","Direction=H","UseDPDF=Y")</f>
        <v>25264</v>
      </c>
      <c r="AF81" s="16" cm="1">
        <f t="array" ref="AF81">_xll.BDH("DE US Equity","TOTAL_EQUITY","FQ4 2025","FQ4 2025","Currency=USD","Period=FQ","BEST_FPERIOD_OVERRIDE=FQ","FILING_STATUS=MR","SCALING_FORMAT=MLN","Sort=A","Dates=H","DateFormat=P","Fill=—","Direction=H","UseDPDF=Y")</f>
        <v>26007</v>
      </c>
    </row>
    <row r="82" spans="1:32" x14ac:dyDescent="0.25">
      <c r="A82" s="6" t="s">
        <v>209</v>
      </c>
      <c r="B82" s="6" t="s">
        <v>210</v>
      </c>
      <c r="C82" s="16" cm="1">
        <f t="array" ref="C82">_xll.BDH("DE US Equity","TOT_LIAB_AND_EQY","FQ3 2018","FQ3 2018","Currency=USD","Period=FQ","BEST_FPERIOD_OVERRIDE=FQ","FILING_STATUS=MR","SCALING_FORMAT=MLN","Sort=A","Dates=H","DateFormat=P","Fill=—","Direction=H","UseDPDF=Y")</f>
        <v>69390</v>
      </c>
      <c r="D82" s="16" cm="1">
        <f t="array" ref="D82">_xll.BDH("DE US Equity","TOT_LIAB_AND_EQY","FQ4 2018","FQ4 2018","Currency=USD","Period=FQ","BEST_FPERIOD_OVERRIDE=FQ","FILING_STATUS=MR","SCALING_FORMAT=MLN","Sort=A","Dates=H","DateFormat=P","Fill=—","Direction=H","UseDPDF=Y")</f>
        <v>70108</v>
      </c>
      <c r="E82" s="16" cm="1">
        <f t="array" ref="E82">_xll.BDH("DE US Equity","TOT_LIAB_AND_EQY","FQ1 2019","FQ1 2019","Currency=USD","Period=FQ","BEST_FPERIOD_OVERRIDE=FQ","FILING_STATUS=MR","SCALING_FORMAT=MLN","Sort=A","Dates=H","DateFormat=P","Fill=—","Direction=H","UseDPDF=Y")</f>
        <v>69918.2</v>
      </c>
      <c r="F82" s="16" cm="1">
        <f t="array" ref="F82">_xll.BDH("DE US Equity","TOT_LIAB_AND_EQY","FQ2 2019","FQ2 2019","Currency=USD","Period=FQ","BEST_FPERIOD_OVERRIDE=FQ","FILING_STATUS=MR","SCALING_FORMAT=MLN","Sort=A","Dates=H","DateFormat=P","Fill=—","Direction=H","UseDPDF=Y")</f>
        <v>72730</v>
      </c>
      <c r="G82" s="16" cm="1">
        <f t="array" ref="G82">_xll.BDH("DE US Equity","TOT_LIAB_AND_EQY","FQ3 2019","FQ3 2019","Currency=USD","Period=FQ","BEST_FPERIOD_OVERRIDE=FQ","FILING_STATUS=MR","SCALING_FORMAT=MLN","Sort=A","Dates=H","DateFormat=P","Fill=—","Direction=H","UseDPDF=Y")</f>
        <v>73530</v>
      </c>
      <c r="H82" s="16" cm="1">
        <f t="array" ref="H82">_xll.BDH("DE US Equity","TOT_LIAB_AND_EQY","FQ4 2019","FQ4 2019","Currency=USD","Period=FQ","BEST_FPERIOD_OVERRIDE=FQ","FILING_STATUS=MR","SCALING_FORMAT=MLN","Sort=A","Dates=H","DateFormat=P","Fill=—","Direction=H","UseDPDF=Y")</f>
        <v>73011</v>
      </c>
      <c r="I82" s="16" cm="1">
        <f t="array" ref="I82">_xll.BDH("DE US Equity","TOT_LIAB_AND_EQY","FQ1 2020","FQ1 2020","Currency=USD","Period=FQ","BEST_FPERIOD_OVERRIDE=FQ","FILING_STATUS=MR","SCALING_FORMAT=MLN","Sort=A","Dates=H","DateFormat=P","Fill=—","Direction=H","UseDPDF=Y")</f>
        <v>71821</v>
      </c>
      <c r="J82" s="16" cm="1">
        <f t="array" ref="J82">_xll.BDH("DE US Equity","TOT_LIAB_AND_EQY","FQ2 2020","FQ2 2020","Currency=USD","Period=FQ","BEST_FPERIOD_OVERRIDE=FQ","FILING_STATUS=MR","SCALING_FORMAT=MLN","Sort=A","Dates=H","DateFormat=P","Fill=—","Direction=H","UseDPDF=Y")</f>
        <v>77326</v>
      </c>
      <c r="K82" s="16" cm="1">
        <f t="array" ref="K82">_xll.BDH("DE US Equity","TOT_LIAB_AND_EQY","FQ3 2020","FQ3 2020","Currency=USD","Period=FQ","BEST_FPERIOD_OVERRIDE=FQ","FILING_STATUS=MR","SCALING_FORMAT=MLN","Sort=A","Dates=H","DateFormat=P","Fill=—","Direction=H","UseDPDF=Y")</f>
        <v>77264</v>
      </c>
      <c r="L82" s="16" cm="1">
        <f t="array" ref="L82">_xll.BDH("DE US Equity","TOT_LIAB_AND_EQY","FQ4 2020","FQ4 2020","Currency=USD","Period=FQ","BEST_FPERIOD_OVERRIDE=FQ","FILING_STATUS=MR","SCALING_FORMAT=MLN","Sort=A","Dates=H","DateFormat=P","Fill=—","Direction=H","UseDPDF=Y")</f>
        <v>75091</v>
      </c>
      <c r="M82" s="16" cm="1">
        <f t="array" ref="M82">_xll.BDH("DE US Equity","TOT_LIAB_AND_EQY","FQ1 2021","FQ1 2021","Currency=USD","Period=FQ","BEST_FPERIOD_OVERRIDE=FQ","FILING_STATUS=MR","SCALING_FORMAT=MLN","Sort=A","Dates=H","DateFormat=P","Fill=—","Direction=H","UseDPDF=Y")</f>
        <v>75480</v>
      </c>
      <c r="N82" s="16" cm="1">
        <f t="array" ref="N82">_xll.BDH("DE US Equity","TOT_LIAB_AND_EQY","FQ2 2021","FQ2 2021","Currency=USD","Period=FQ","BEST_FPERIOD_OVERRIDE=FQ","FILING_STATUS=MR","SCALING_FORMAT=MLN","Sort=A","Dates=H","DateFormat=P","Fill=—","Direction=H","UseDPDF=Y")</f>
        <v>78979</v>
      </c>
      <c r="O82" s="16" cm="1">
        <f t="array" ref="O82">_xll.BDH("DE US Equity","TOT_LIAB_AND_EQY","FQ3 2021","FQ3 2021","Currency=USD","Period=FQ","BEST_FPERIOD_OVERRIDE=FQ","FILING_STATUS=MR","SCALING_FORMAT=MLN","Sort=A","Dates=H","DateFormat=P","Fill=—","Direction=H","UseDPDF=Y")</f>
        <v>80688</v>
      </c>
      <c r="P82" s="16" cm="1">
        <f t="array" ref="P82">_xll.BDH("DE US Equity","TOT_LIAB_AND_EQY","FQ4 2021","FQ4 2021","Currency=USD","Period=FQ","BEST_FPERIOD_OVERRIDE=FQ","FILING_STATUS=MR","SCALING_FORMAT=MLN","Sort=A","Dates=H","DateFormat=P","Fill=—","Direction=H","UseDPDF=Y")</f>
        <v>84114</v>
      </c>
      <c r="Q82" s="16" cm="1">
        <f t="array" ref="Q82">_xll.BDH("DE US Equity","TOT_LIAB_AND_EQY","FQ1 2022","FQ1 2022","Currency=USD","Period=FQ","BEST_FPERIOD_OVERRIDE=FQ","FILING_STATUS=MR","SCALING_FORMAT=MLN","Sort=A","Dates=H","DateFormat=P","Fill=—","Direction=H","UseDPDF=Y")</f>
        <v>79614</v>
      </c>
      <c r="R82" s="16" cm="1">
        <f t="array" ref="R82">_xll.BDH("DE US Equity","TOT_LIAB_AND_EQY","FQ2 2022","FQ2 2022","Currency=USD","Period=FQ","BEST_FPERIOD_OVERRIDE=FQ","FILING_STATUS=MR","SCALING_FORMAT=MLN","Sort=A","Dates=H","DateFormat=P","Fill=—","Direction=H","UseDPDF=Y")</f>
        <v>84099</v>
      </c>
      <c r="S82" s="16" cm="1">
        <f t="array" ref="S82">_xll.BDH("DE US Equity","TOT_LIAB_AND_EQY","FQ3 2022","FQ3 2022","Currency=USD","Period=FQ","BEST_FPERIOD_OVERRIDE=FQ","FILING_STATUS=MR","SCALING_FORMAT=MLN","Sort=A","Dates=H","DateFormat=P","Fill=—","Direction=H","UseDPDF=Y")</f>
        <v>86817</v>
      </c>
      <c r="T82" s="16" cm="1">
        <f t="array" ref="T82">_xll.BDH("DE US Equity","TOT_LIAB_AND_EQY","FQ4 2022","FQ4 2022","Currency=USD","Period=FQ","BEST_FPERIOD_OVERRIDE=FQ","FILING_STATUS=MR","SCALING_FORMAT=MLN","Sort=A","Dates=H","DateFormat=P","Fill=—","Direction=H","UseDPDF=Y")</f>
        <v>90030</v>
      </c>
      <c r="U82" s="16" cm="1">
        <f t="array" ref="U82">_xll.BDH("DE US Equity","TOT_LIAB_AND_EQY","FQ1 2023","FQ1 2023","Currency=USD","Period=FQ","BEST_FPERIOD_OVERRIDE=FQ","FILING_STATUS=MR","SCALING_FORMAT=MLN","Sort=A","Dates=H","DateFormat=P","Fill=—","Direction=H","UseDPDF=Y")</f>
        <v>91620</v>
      </c>
      <c r="V82" s="16" cm="1">
        <f t="array" ref="V82">_xll.BDH("DE US Equity","TOT_LIAB_AND_EQY","FQ2 2023","FQ2 2023","Currency=USD","Period=FQ","BEST_FPERIOD_OVERRIDE=FQ","FILING_STATUS=MR","SCALING_FORMAT=MLN","Sort=A","Dates=H","DateFormat=P","Fill=—","Direction=H","UseDPDF=Y")</f>
        <v>98347</v>
      </c>
      <c r="W82" s="16" cm="1">
        <f t="array" ref="W82">_xll.BDH("DE US Equity","TOT_LIAB_AND_EQY","FQ3 2023","FQ3 2023","Currency=USD","Period=FQ","BEST_FPERIOD_OVERRIDE=FQ","FILING_STATUS=MR","SCALING_FORMAT=MLN","Sort=A","Dates=H","DateFormat=P","Fill=—","Direction=H","UseDPDF=Y")</f>
        <v>103397</v>
      </c>
      <c r="X82" s="16" cm="1">
        <f t="array" ref="X82">_xll.BDH("DE US Equity","TOT_LIAB_AND_EQY","FQ4 2023","FQ4 2023","Currency=USD","Period=FQ","BEST_FPERIOD_OVERRIDE=FQ","FILING_STATUS=MR","SCALING_FORMAT=MLN","Sort=A","Dates=H","DateFormat=P","Fill=—","Direction=H","UseDPDF=Y")</f>
        <v>104087</v>
      </c>
      <c r="Y82" s="16" cm="1">
        <f t="array" ref="Y82">_xll.BDH("DE US Equity","TOT_LIAB_AND_EQY","FQ1 2024","FQ1 2024","Currency=USD","Period=FQ","BEST_FPERIOD_OVERRIDE=FQ","FILING_STATUS=MR","SCALING_FORMAT=MLN","Sort=A","Dates=H","DateFormat=P","Fill=—","Direction=H","UseDPDF=Y")</f>
        <v>101371</v>
      </c>
      <c r="Z82" s="16" cm="1">
        <f t="array" ref="Z82">_xll.BDH("DE US Equity","TOT_LIAB_AND_EQY","FQ2 2024","FQ2 2024","Currency=USD","Period=FQ","BEST_FPERIOD_OVERRIDE=FQ","FILING_STATUS=MR","SCALING_FORMAT=MLN","Sort=A","Dates=H","DateFormat=P","Fill=—","Direction=H","UseDPDF=Y")</f>
        <v>105628</v>
      </c>
      <c r="AA82" s="16" cm="1">
        <f t="array" ref="AA82">_xll.BDH("DE US Equity","TOT_LIAB_AND_EQY","FQ3 2024","FQ3 2024","Currency=USD","Period=FQ","BEST_FPERIOD_OVERRIDE=FQ","FILING_STATUS=MR","SCALING_FORMAT=MLN","Sort=A","Dates=H","DateFormat=P","Fill=—","Direction=H","UseDPDF=Y")</f>
        <v>107841</v>
      </c>
      <c r="AB82" s="16" cm="1">
        <f t="array" ref="AB82">_xll.BDH("DE US Equity","TOT_LIAB_AND_EQY","FQ4 2024","FQ4 2024","Currency=USD","Period=FQ","BEST_FPERIOD_OVERRIDE=FQ","FILING_STATUS=MR","SCALING_FORMAT=MLN","Sort=A","Dates=H","DateFormat=P","Fill=—","Direction=H","UseDPDF=Y")</f>
        <v>107320</v>
      </c>
      <c r="AC82" s="16" cm="1">
        <f t="array" ref="AC82">_xll.BDH("DE US Equity","TOT_LIAB_AND_EQY","FQ1 2025","FQ1 2025","Currency=USD","Period=FQ","BEST_FPERIOD_OVERRIDE=FQ","FILING_STATUS=MR","SCALING_FORMAT=MLN","Sort=A","Dates=H","DateFormat=P","Fill=—","Direction=H","UseDPDF=Y")</f>
        <v>103119</v>
      </c>
      <c r="AD82" s="16" cm="1">
        <f t="array" ref="AD82">_xll.BDH("DE US Equity","TOT_LIAB_AND_EQY","FQ2 2025","FQ2 2025","Currency=USD","Period=FQ","BEST_FPERIOD_OVERRIDE=FQ","FILING_STATUS=MR","SCALING_FORMAT=MLN","Sort=A","Dates=H","DateFormat=P","Fill=—","Direction=H","UseDPDF=Y")</f>
        <v>106303</v>
      </c>
      <c r="AE82" s="16" cm="1">
        <f t="array" ref="AE82">_xll.BDH("DE US Equity","TOT_LIAB_AND_EQY","FQ3 2025","FQ3 2025","Currency=USD","Period=FQ","BEST_FPERIOD_OVERRIDE=FQ","FILING_STATUS=MR","SCALING_FORMAT=MLN","Sort=A","Dates=H","DateFormat=P","Fill=—","Direction=H","UseDPDF=Y")</f>
        <v>107817</v>
      </c>
      <c r="AF82" s="16" cm="1">
        <f t="array" ref="AF82">_xll.BDH("DE US Equity","TOT_LIAB_AND_EQY","FQ4 2025","FQ4 2025","Currency=USD","Period=FQ","BEST_FPERIOD_OVERRIDE=FQ","FILING_STATUS=MR","SCALING_FORMAT=MLN","Sort=A","Dates=H","DateFormat=P","Fill=—","Direction=H","UseDPDF=Y")</f>
        <v>105996</v>
      </c>
    </row>
    <row r="83" spans="1:32" x14ac:dyDescent="0.25">
      <c r="A83" s="6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spans="1:32" x14ac:dyDescent="0.25">
      <c r="A84" s="6" t="s">
        <v>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spans="1:32" x14ac:dyDescent="0.25">
      <c r="A85" s="10" t="s">
        <v>211</v>
      </c>
      <c r="B85" s="10" t="s">
        <v>212</v>
      </c>
      <c r="C85" s="12" t="s">
        <v>213</v>
      </c>
      <c r="D85" s="12" t="s">
        <v>213</v>
      </c>
      <c r="E85" s="12" t="s">
        <v>213</v>
      </c>
      <c r="F85" s="12" t="s">
        <v>213</v>
      </c>
      <c r="G85" s="12" t="s">
        <v>213</v>
      </c>
      <c r="H85" s="12" t="s">
        <v>213</v>
      </c>
      <c r="I85" s="12" t="s">
        <v>213</v>
      </c>
      <c r="J85" s="12" t="s">
        <v>213</v>
      </c>
      <c r="K85" s="12" t="s">
        <v>213</v>
      </c>
      <c r="L85" s="12" t="s">
        <v>213</v>
      </c>
      <c r="M85" s="12" t="s">
        <v>213</v>
      </c>
      <c r="N85" s="12" t="s">
        <v>213</v>
      </c>
      <c r="O85" s="12" t="s">
        <v>213</v>
      </c>
      <c r="P85" s="12" t="s">
        <v>213</v>
      </c>
      <c r="Q85" s="12" t="s">
        <v>213</v>
      </c>
      <c r="R85" s="12" t="s">
        <v>213</v>
      </c>
      <c r="S85" s="12" t="s">
        <v>213</v>
      </c>
      <c r="T85" s="12" t="s">
        <v>213</v>
      </c>
      <c r="U85" s="12" t="s">
        <v>213</v>
      </c>
      <c r="V85" s="12" t="s">
        <v>213</v>
      </c>
      <c r="W85" s="12" t="s">
        <v>213</v>
      </c>
      <c r="X85" s="12" t="s">
        <v>213</v>
      </c>
      <c r="Y85" s="12" t="s">
        <v>213</v>
      </c>
      <c r="Z85" s="12" t="s">
        <v>213</v>
      </c>
      <c r="AA85" s="12" t="s">
        <v>213</v>
      </c>
      <c r="AB85" s="12" t="s">
        <v>213</v>
      </c>
      <c r="AC85" s="12" t="s">
        <v>213</v>
      </c>
      <c r="AD85" s="12" t="s">
        <v>213</v>
      </c>
      <c r="AE85" s="12" t="s">
        <v>213</v>
      </c>
      <c r="AF85" s="12" t="s">
        <v>213</v>
      </c>
    </row>
    <row r="86" spans="1:32" x14ac:dyDescent="0.25">
      <c r="A86" s="10" t="s">
        <v>214</v>
      </c>
      <c r="B86" s="10" t="s">
        <v>215</v>
      </c>
      <c r="C86" s="13" cm="1">
        <f t="array" ref="C86">_xll.BDH("DE US Equity","BS_SH_OUT","FQ3 2018","FQ3 2018","Currency=USD","Period=FQ","BEST_FPERIOD_OVERRIDE=FQ","FILING_STATUS=MR","Sort=A","Dates=H","DateFormat=P","Fill=—","Direction=H","UseDPDF=Y")</f>
        <v>321.67349999999999</v>
      </c>
      <c r="D86" s="13" cm="1">
        <f t="array" ref="D86">_xll.BDH("DE US Equity","BS_SH_OUT","FQ4 2018","FQ4 2018","Currency=USD","Period=FQ","BEST_FPERIOD_OVERRIDE=FQ","FILING_STATUS=MR","Sort=A","Dates=H","DateFormat=P","Fill=—","Direction=H","UseDPDF=Y")</f>
        <v>318.4554</v>
      </c>
      <c r="E86" s="13" cm="1">
        <f t="array" ref="E86">_xll.BDH("DE US Equity","BS_SH_OUT","FQ1 2019","FQ1 2019","Currency=USD","Period=FQ","BEST_FPERIOD_OVERRIDE=FQ","FILING_STATUS=MR","Sort=A","Dates=H","DateFormat=P","Fill=—","Direction=H","UseDPDF=Y")</f>
        <v>318.49349999999998</v>
      </c>
      <c r="F86" s="13" cm="1">
        <f t="array" ref="F86">_xll.BDH("DE US Equity","BS_SH_OUT","FQ2 2019","FQ2 2019","Currency=USD","Period=FQ","BEST_FPERIOD_OVERRIDE=FQ","FILING_STATUS=MR","Sort=A","Dates=H","DateFormat=P","Fill=—","Direction=H","UseDPDF=Y")</f>
        <v>316.99549999999999</v>
      </c>
      <c r="G86" s="13" cm="1">
        <f t="array" ref="G86">_xll.BDH("DE US Equity","BS_SH_OUT","FQ3 2019","FQ3 2019","Currency=USD","Period=FQ","BEST_FPERIOD_OVERRIDE=FQ","FILING_STATUS=MR","Sort=A","Dates=H","DateFormat=P","Fill=—","Direction=H","UseDPDF=Y")</f>
        <v>314.87279999999998</v>
      </c>
      <c r="H86" s="13" cm="1">
        <f t="array" ref="H86">_xll.BDH("DE US Equity","BS_SH_OUT","FQ4 2019","FQ4 2019","Currency=USD","Period=FQ","BEST_FPERIOD_OVERRIDE=FQ","FILING_STATUS=MR","Sort=A","Dates=H","DateFormat=P","Fill=—","Direction=H","UseDPDF=Y")</f>
        <v>313.1404</v>
      </c>
      <c r="I86" s="13" cm="1">
        <f t="array" ref="I86">_xll.BDH("DE US Equity","BS_SH_OUT","FQ1 2020","FQ1 2020","Currency=USD","Period=FQ","BEST_FPERIOD_OVERRIDE=FQ","FILING_STATUS=MR","Sort=A","Dates=H","DateFormat=P","Fill=—","Direction=H","UseDPDF=Y")</f>
        <v>313.62</v>
      </c>
      <c r="J86" s="13" cm="1">
        <f t="array" ref="J86">_xll.BDH("DE US Equity","BS_SH_OUT","FQ2 2020","FQ2 2020","Currency=USD","Period=FQ","BEST_FPERIOD_OVERRIDE=FQ","FILING_STATUS=MR","Sort=A","Dates=H","DateFormat=P","Fill=—","Direction=H","UseDPDF=Y")</f>
        <v>312.85860000000002</v>
      </c>
      <c r="K86" s="13" cm="1">
        <f t="array" ref="K86">_xll.BDH("DE US Equity","BS_SH_OUT","FQ3 2020","FQ3 2020","Currency=USD","Period=FQ","BEST_FPERIOD_OVERRIDE=FQ","FILING_STATUS=MR","Sort=A","Dates=H","DateFormat=P","Fill=—","Direction=H","UseDPDF=Y")</f>
        <v>313.37479999999999</v>
      </c>
      <c r="L86" s="13" cm="1">
        <f t="array" ref="L86">_xll.BDH("DE US Equity","BS_SH_OUT","FQ4 2020","FQ4 2020","Currency=USD","Period=FQ","BEST_FPERIOD_OVERRIDE=FQ","FILING_STATUS=MR","Sort=A","Dates=H","DateFormat=P","Fill=—","Direction=H","UseDPDF=Y")</f>
        <v>308.06509999999997</v>
      </c>
      <c r="M86" s="13" cm="1">
        <f t="array" ref="M86">_xll.BDH("DE US Equity","BS_SH_OUT","FQ1 2021","FQ1 2021","Currency=USD","Period=FQ","BEST_FPERIOD_OVERRIDE=FQ","FILING_STATUS=MR","Sort=A","Dates=H","DateFormat=P","Fill=—","Direction=H","UseDPDF=Y")</f>
        <v>313.43889999999999</v>
      </c>
      <c r="N86" s="13" cm="1">
        <f t="array" ref="N86">_xll.BDH("DE US Equity","BS_SH_OUT","FQ2 2021","FQ2 2021","Currency=USD","Period=FQ","BEST_FPERIOD_OVERRIDE=FQ","FILING_STATUS=MR","Sort=A","Dates=H","DateFormat=P","Fill=—","Direction=H","UseDPDF=Y")</f>
        <v>311.94209999999998</v>
      </c>
      <c r="O86" s="13" cm="1">
        <f t="array" ref="O86">_xll.BDH("DE US Equity","BS_SH_OUT","FQ3 2021","FQ3 2021","Currency=USD","Period=FQ","BEST_FPERIOD_OVERRIDE=FQ","FILING_STATUS=MR","Sort=A","Dates=H","DateFormat=P","Fill=—","Direction=H","UseDPDF=Y")</f>
        <v>310.06150000000002</v>
      </c>
      <c r="P86" s="13" cm="1">
        <f t="array" ref="P86">_xll.BDH("DE US Equity","BS_SH_OUT","FQ4 2021","FQ4 2021","Currency=USD","Period=FQ","BEST_FPERIOD_OVERRIDE=FQ","FILING_STATUS=MR","Sort=A","Dates=H","DateFormat=P","Fill=—","Direction=H","UseDPDF=Y")</f>
        <v>308.06509999999997</v>
      </c>
      <c r="Q86" s="13" cm="1">
        <f t="array" ref="Q86">_xll.BDH("DE US Equity","BS_SH_OUT","FQ1 2022","FQ1 2022","Currency=USD","Period=FQ","BEST_FPERIOD_OVERRIDE=FQ","FILING_STATUS=MR","Sort=A","Dates=H","DateFormat=P","Fill=—","Direction=H","UseDPDF=Y")</f>
        <v>306.78429999999997</v>
      </c>
      <c r="R86" s="13" cm="1">
        <f t="array" ref="R86">_xll.BDH("DE US Equity","BS_SH_OUT","FQ2 2022","FQ2 2022","Currency=USD","Period=FQ","BEST_FPERIOD_OVERRIDE=FQ","FILING_STATUS=MR","Sort=A","Dates=H","DateFormat=P","Fill=—","Direction=H","UseDPDF=Y")</f>
        <v>305.63569999999999</v>
      </c>
      <c r="S86" s="13" cm="1">
        <f t="array" ref="S86">_xll.BDH("DE US Equity","BS_SH_OUT","FQ3 2022","FQ3 2022","Currency=USD","Period=FQ","BEST_FPERIOD_OVERRIDE=FQ","FILING_STATUS=MR","Sort=A","Dates=H","DateFormat=P","Fill=—","Direction=H","UseDPDF=Y")</f>
        <v>301.81959999999998</v>
      </c>
      <c r="T86" s="13" cm="1">
        <f t="array" ref="T86">_xll.BDH("DE US Equity","BS_SH_OUT","FQ4 2022","FQ4 2022","Currency=USD","Period=FQ","BEST_FPERIOD_OVERRIDE=FQ","FILING_STATUS=MR","Sort=A","Dates=H","DateFormat=P","Fill=—","Direction=H","UseDPDF=Y")</f>
        <v>298.77190000000002</v>
      </c>
      <c r="U86" s="13" cm="1">
        <f t="array" ref="U86">_xll.BDH("DE US Equity","BS_SH_OUT","FQ1 2023","FQ1 2023","Currency=USD","Period=FQ","BEST_FPERIOD_OVERRIDE=FQ","FILING_STATUS=MR","Sort=A","Dates=H","DateFormat=P","Fill=—","Direction=H","UseDPDF=Y")</f>
        <v>296.32229999999998</v>
      </c>
      <c r="V86" s="13" cm="1">
        <f t="array" ref="V86">_xll.BDH("DE US Equity","BS_SH_OUT","FQ2 2023","FQ2 2023","Currency=USD","Period=FQ","BEST_FPERIOD_OVERRIDE=FQ","FILING_STATUS=MR","Sort=A","Dates=H","DateFormat=P","Fill=—","Direction=H","UseDPDF=Y")</f>
        <v>293.19209999999998</v>
      </c>
      <c r="W86" s="13" cm="1">
        <f t="array" ref="W86">_xll.BDH("DE US Equity","BS_SH_OUT","FQ3 2023","FQ3 2023","Currency=USD","Period=FQ","BEST_FPERIOD_OVERRIDE=FQ","FILING_STATUS=MR","Sort=A","Dates=H","DateFormat=P","Fill=—","Direction=H","UseDPDF=Y")</f>
        <v>288.00060000000002</v>
      </c>
      <c r="X86" s="13" cm="1">
        <f t="array" ref="X86">_xll.BDH("DE US Equity","BS_SH_OUT","FQ4 2023","FQ4 2023","Currency=USD","Period=FQ","BEST_FPERIOD_OVERRIDE=FQ","FILING_STATUS=MR","Sort=A","Dates=H","DateFormat=P","Fill=—","Direction=H","UseDPDF=Y")</f>
        <v>281.58429999999998</v>
      </c>
      <c r="Y86" s="13" cm="1">
        <f t="array" ref="Y86">_xll.BDH("DE US Equity","BS_SH_OUT","FQ1 2024","FQ1 2024","Currency=USD","Period=FQ","BEST_FPERIOD_OVERRIDE=FQ","FILING_STATUS=MR","Sort=A","Dates=H","DateFormat=P","Fill=—","Direction=H","UseDPDF=Y")</f>
        <v>278.35820000000001</v>
      </c>
      <c r="Z86" s="13" cm="1">
        <f t="array" ref="Z86">_xll.BDH("DE US Equity","BS_SH_OUT","FQ2 2024","FQ2 2024","Currency=USD","Period=FQ","BEST_FPERIOD_OVERRIDE=FQ","FILING_STATUS=MR","Sort=A","Dates=H","DateFormat=P","Fill=—","Direction=H","UseDPDF=Y")</f>
        <v>275.57029999999997</v>
      </c>
      <c r="AA86" s="13" cm="1">
        <f t="array" ref="AA86">_xll.BDH("DE US Equity","BS_SH_OUT","FQ3 2024","FQ3 2024","Currency=USD","Period=FQ","BEST_FPERIOD_OVERRIDE=FQ","FILING_STATUS=MR","Sort=A","Dates=H","DateFormat=P","Fill=—","Direction=H","UseDPDF=Y")</f>
        <v>275.57029999999997</v>
      </c>
      <c r="AB86" s="13" cm="1">
        <f t="array" ref="AB86">_xll.BDH("DE US Equity","BS_SH_OUT","FQ4 2024","FQ4 2024","Currency=USD","Period=FQ","BEST_FPERIOD_OVERRIDE=FQ","FILING_STATUS=MR","Sort=A","Dates=H","DateFormat=P","Fill=—","Direction=H","UseDPDF=Y")</f>
        <v>271.75229999999999</v>
      </c>
      <c r="AC86" s="13" cm="1">
        <f t="array" ref="AC86">_xll.BDH("DE US Equity","BS_SH_OUT","FQ1 2025","FQ1 2025","Currency=USD","Period=FQ","BEST_FPERIOD_OVERRIDE=FQ","FILING_STATUS=MR","Sort=A","Dates=H","DateFormat=P","Fill=—","Direction=H","UseDPDF=Y")</f>
        <v>271.41390000000001</v>
      </c>
      <c r="AD86" s="13" cm="1">
        <f t="array" ref="AD86">_xll.BDH("DE US Equity","BS_SH_OUT","FQ2 2025","FQ2 2025","Currency=USD","Period=FQ","BEST_FPERIOD_OVERRIDE=FQ","FILING_STATUS=MR","Sort=A","Dates=H","DateFormat=P","Fill=—","Direction=H","UseDPDF=Y")</f>
        <v>270.82709999999997</v>
      </c>
      <c r="AE86" s="13" cm="1">
        <f t="array" ref="AE86">_xll.BDH("DE US Equity","BS_SH_OUT","FQ3 2025","FQ3 2025","Currency=USD","Period=FQ","BEST_FPERIOD_OVERRIDE=FQ","FILING_STATUS=MR","Sort=A","Dates=H","DateFormat=P","Fill=—","Direction=H","UseDPDF=Y")</f>
        <v>270.32940000000002</v>
      </c>
      <c r="AF86" s="13" cm="1">
        <f t="array" ref="AF86">_xll.BDH("DE US Equity","BS_SH_OUT","FQ4 2025","FQ4 2025","Currency=USD","Period=FQ","BEST_FPERIOD_OVERRIDE=FQ","FILING_STATUS=MR","Sort=A","Dates=H","DateFormat=P","Fill=—","Direction=H","UseDPDF=Y")</f>
        <v>270.35199999999998</v>
      </c>
    </row>
    <row r="87" spans="1:32" x14ac:dyDescent="0.25">
      <c r="A87" s="10" t="s">
        <v>216</v>
      </c>
      <c r="B87" s="10" t="s">
        <v>217</v>
      </c>
      <c r="C87" s="13" t="str" cm="1">
        <f t="array" ref="C87">_xll.BDH("DE US Equity","BS_NUM_OF_TSY_SH","FQ3 2018","FQ3 2018","Currency=USD","Period=FQ","BEST_FPERIOD_OVERRIDE=FQ","FILING_STATUS=MR","Sort=A","Dates=H","DateFormat=P","Fill=—","Direction=H","UseDPDF=Y")</f>
        <v>—</v>
      </c>
      <c r="D87" s="13" cm="1">
        <f t="array" ref="D87">_xll.BDH("DE US Equity","BS_NUM_OF_TSY_SH","FQ4 2018","FQ4 2018","Currency=USD","Period=FQ","BEST_FPERIOD_OVERRIDE=FQ","FILING_STATUS=MR","Sort=A","Dates=H","DateFormat=P","Fill=—","Direction=H","UseDPDF=Y")</f>
        <v>217.97579999999999</v>
      </c>
      <c r="E87" s="13" t="str" cm="1">
        <f t="array" ref="E87">_xll.BDH("DE US Equity","BS_NUM_OF_TSY_SH","FQ1 2019","FQ1 2019","Currency=USD","Period=FQ","BEST_FPERIOD_OVERRIDE=FQ","FILING_STATUS=MR","Sort=A","Dates=H","DateFormat=P","Fill=—","Direction=H","UseDPDF=Y")</f>
        <v>—</v>
      </c>
      <c r="F87" s="13" t="str" cm="1">
        <f t="array" ref="F87">_xll.BDH("DE US Equity","BS_NUM_OF_TSY_SH","FQ2 2019","FQ2 2019","Currency=USD","Period=FQ","BEST_FPERIOD_OVERRIDE=FQ","FILING_STATUS=MR","Sort=A","Dates=H","DateFormat=P","Fill=—","Direction=H","UseDPDF=Y")</f>
        <v>—</v>
      </c>
      <c r="G87" s="13" t="str" cm="1">
        <f t="array" ref="G87">_xll.BDH("DE US Equity","BS_NUM_OF_TSY_SH","FQ3 2019","FQ3 2019","Currency=USD","Period=FQ","BEST_FPERIOD_OVERRIDE=FQ","FILING_STATUS=MR","Sort=A","Dates=H","DateFormat=P","Fill=—","Direction=H","UseDPDF=Y")</f>
        <v>—</v>
      </c>
      <c r="H87" s="13" cm="1">
        <f t="array" ref="H87">_xll.BDH("DE US Equity","BS_NUM_OF_TSY_SH","FQ4 2019","FQ4 2019","Currency=USD","Period=FQ","BEST_FPERIOD_OVERRIDE=FQ","FILING_STATUS=MR","Sort=A","Dates=H","DateFormat=P","Fill=—","Direction=H","UseDPDF=Y")</f>
        <v>223.29079999999999</v>
      </c>
      <c r="I87" s="13" t="str" cm="1">
        <f t="array" ref="I87">_xll.BDH("DE US Equity","BS_NUM_OF_TSY_SH","FQ1 2020","FQ1 2020","Currency=USD","Period=FQ","BEST_FPERIOD_OVERRIDE=FQ","FILING_STATUS=MR","Sort=A","Dates=H","DateFormat=P","Fill=—","Direction=H","UseDPDF=Y")</f>
        <v>—</v>
      </c>
      <c r="J87" s="13" t="str" cm="1">
        <f t="array" ref="J87">_xll.BDH("DE US Equity","BS_NUM_OF_TSY_SH","FQ2 2020","FQ2 2020","Currency=USD","Period=FQ","BEST_FPERIOD_OVERRIDE=FQ","FILING_STATUS=MR","Sort=A","Dates=H","DateFormat=P","Fill=—","Direction=H","UseDPDF=Y")</f>
        <v>—</v>
      </c>
      <c r="K87" s="13" t="str" cm="1">
        <f t="array" ref="K87">_xll.BDH("DE US Equity","BS_NUM_OF_TSY_SH","FQ3 2020","FQ3 2020","Currency=USD","Period=FQ","BEST_FPERIOD_OVERRIDE=FQ","FILING_STATUS=MR","Sort=A","Dates=H","DateFormat=P","Fill=—","Direction=H","UseDPDF=Y")</f>
        <v>—</v>
      </c>
      <c r="L87" s="13" cm="1">
        <f t="array" ref="L87">_xll.BDH("DE US Equity","BS_NUM_OF_TSY_SH","FQ4 2020","FQ4 2020","Currency=USD","Period=FQ","BEST_FPERIOD_OVERRIDE=FQ","FILING_STATUS=MR","Sort=A","Dates=H","DateFormat=P","Fill=—","Direction=H","UseDPDF=Y")</f>
        <v>228.36609999999999</v>
      </c>
      <c r="M87" s="13" t="str" cm="1">
        <f t="array" ref="M87">_xll.BDH("DE US Equity","BS_NUM_OF_TSY_SH","FQ1 2021","FQ1 2021","Currency=USD","Period=FQ","BEST_FPERIOD_OVERRIDE=FQ","FILING_STATUS=MR","Sort=A","Dates=H","DateFormat=P","Fill=—","Direction=H","UseDPDF=Y")</f>
        <v>—</v>
      </c>
      <c r="N87" s="13" t="str" cm="1">
        <f t="array" ref="N87">_xll.BDH("DE US Equity","BS_NUM_OF_TSY_SH","FQ2 2021","FQ2 2021","Currency=USD","Period=FQ","BEST_FPERIOD_OVERRIDE=FQ","FILING_STATUS=MR","Sort=A","Dates=H","DateFormat=P","Fill=—","Direction=H","UseDPDF=Y")</f>
        <v>—</v>
      </c>
      <c r="O87" s="13" t="str" cm="1">
        <f t="array" ref="O87">_xll.BDH("DE US Equity","BS_NUM_OF_TSY_SH","FQ3 2021","FQ3 2021","Currency=USD","Period=FQ","BEST_FPERIOD_OVERRIDE=FQ","FILING_STATUS=MR","Sort=A","Dates=H","DateFormat=P","Fill=—","Direction=H","UseDPDF=Y")</f>
        <v>—</v>
      </c>
      <c r="P87" s="13" cm="1">
        <f t="array" ref="P87">_xll.BDH("DE US Equity","BS_NUM_OF_TSY_SH","FQ4 2021","FQ4 2021","Currency=USD","Period=FQ","BEST_FPERIOD_OVERRIDE=FQ","FILING_STATUS=MR","Sort=A","Dates=H","DateFormat=P","Fill=—","Direction=H","UseDPDF=Y")</f>
        <v>228.36609999999999</v>
      </c>
      <c r="Q87" s="13" t="str" cm="1">
        <f t="array" ref="Q87">_xll.BDH("DE US Equity","BS_NUM_OF_TSY_SH","FQ1 2022","FQ1 2022","Currency=USD","Period=FQ","BEST_FPERIOD_OVERRIDE=FQ","FILING_STATUS=MR","Sort=A","Dates=H","DateFormat=P","Fill=—","Direction=H","UseDPDF=Y")</f>
        <v>—</v>
      </c>
      <c r="R87" s="13" t="str" cm="1">
        <f t="array" ref="R87">_xll.BDH("DE US Equity","BS_NUM_OF_TSY_SH","FQ2 2022","FQ2 2022","Currency=USD","Period=FQ","BEST_FPERIOD_OVERRIDE=FQ","FILING_STATUS=MR","Sort=A","Dates=H","DateFormat=P","Fill=—","Direction=H","UseDPDF=Y")</f>
        <v>—</v>
      </c>
      <c r="S87" s="13" t="str" cm="1">
        <f t="array" ref="S87">_xll.BDH("DE US Equity","BS_NUM_OF_TSY_SH","FQ3 2022","FQ3 2022","Currency=USD","Period=FQ","BEST_FPERIOD_OVERRIDE=FQ","FILING_STATUS=MR","Sort=A","Dates=H","DateFormat=P","Fill=—","Direction=H","UseDPDF=Y")</f>
        <v>—</v>
      </c>
      <c r="T87" s="13" cm="1">
        <f t="array" ref="T87">_xll.BDH("DE US Equity","BS_NUM_OF_TSY_SH","FQ4 2022","FQ4 2022","Currency=USD","Period=FQ","BEST_FPERIOD_OVERRIDE=FQ","FILING_STATUS=MR","Sort=A","Dates=H","DateFormat=P","Fill=—","Direction=H","UseDPDF=Y")</f>
        <v>237.6593</v>
      </c>
      <c r="U87" s="13" t="str" cm="1">
        <f t="array" ref="U87">_xll.BDH("DE US Equity","BS_NUM_OF_TSY_SH","FQ1 2023","FQ1 2023","Currency=USD","Period=FQ","BEST_FPERIOD_OVERRIDE=FQ","FILING_STATUS=MR","Sort=A","Dates=H","DateFormat=P","Fill=—","Direction=H","UseDPDF=Y")</f>
        <v>—</v>
      </c>
      <c r="V87" s="13" t="str" cm="1">
        <f t="array" ref="V87">_xll.BDH("DE US Equity","BS_NUM_OF_TSY_SH","FQ2 2023","FQ2 2023","Currency=USD","Period=FQ","BEST_FPERIOD_OVERRIDE=FQ","FILING_STATUS=MR","Sort=A","Dates=H","DateFormat=P","Fill=—","Direction=H","UseDPDF=Y")</f>
        <v>—</v>
      </c>
      <c r="W87" s="13" t="str" cm="1">
        <f t="array" ref="W87">_xll.BDH("DE US Equity","BS_NUM_OF_TSY_SH","FQ3 2023","FQ3 2023","Currency=USD","Period=FQ","BEST_FPERIOD_OVERRIDE=FQ","FILING_STATUS=MR","Sort=A","Dates=H","DateFormat=P","Fill=—","Direction=H","UseDPDF=Y")</f>
        <v>—</v>
      </c>
      <c r="X87" s="13" cm="1">
        <f t="array" ref="X87">_xll.BDH("DE US Equity","BS_NUM_OF_TSY_SH","FQ4 2023","FQ4 2023","Currency=USD","Period=FQ","BEST_FPERIOD_OVERRIDE=FQ","FILING_STATUS=MR","Sort=A","Dates=H","DateFormat=P","Fill=—","Direction=H","UseDPDF=Y")</f>
        <v>254.84690000000001</v>
      </c>
      <c r="Y87" s="13" t="str" cm="1">
        <f t="array" ref="Y87">_xll.BDH("DE US Equity","BS_NUM_OF_TSY_SH","FQ1 2024","FQ1 2024","Currency=USD","Period=FQ","BEST_FPERIOD_OVERRIDE=FQ","FILING_STATUS=MR","Sort=A","Dates=H","DateFormat=P","Fill=—","Direction=H","UseDPDF=Y")</f>
        <v>—</v>
      </c>
      <c r="Z87" s="13" t="str" cm="1">
        <f t="array" ref="Z87">_xll.BDH("DE US Equity","BS_NUM_OF_TSY_SH","FQ2 2024","FQ2 2024","Currency=USD","Period=FQ","BEST_FPERIOD_OVERRIDE=FQ","FILING_STATUS=MR","Sort=A","Dates=H","DateFormat=P","Fill=—","Direction=H","UseDPDF=Y")</f>
        <v>—</v>
      </c>
      <c r="AA87" s="13" cm="1">
        <f t="array" ref="AA87">_xll.BDH("DE US Equity","BS_NUM_OF_TSY_SH","FQ3 2024","FQ3 2024","Currency=USD","Period=FQ","BEST_FPERIOD_OVERRIDE=FQ","FILING_STATUS=MR","Sort=A","Dates=H","DateFormat=P","Fill=—","Direction=H","UseDPDF=Y")</f>
        <v>260.86090000000002</v>
      </c>
      <c r="AB87" s="13" cm="1">
        <f t="array" ref="AB87">_xll.BDH("DE US Equity","BS_NUM_OF_TSY_SH","FQ4 2024","FQ4 2024","Currency=USD","Period=FQ","BEST_FPERIOD_OVERRIDE=FQ","FILING_STATUS=MR","Sort=A","Dates=H","DateFormat=P","Fill=—","Direction=H","UseDPDF=Y")</f>
        <v>264.6789</v>
      </c>
      <c r="AC87" s="13" t="str" cm="1">
        <f t="array" ref="AC87">_xll.BDH("DE US Equity","BS_NUM_OF_TSY_SH","FQ1 2025","FQ1 2025","Currency=USD","Period=FQ","BEST_FPERIOD_OVERRIDE=FQ","FILING_STATUS=MR","Sort=A","Dates=H","DateFormat=P","Fill=—","Direction=H","UseDPDF=Y")</f>
        <v>—</v>
      </c>
      <c r="AD87" s="13" t="str" cm="1">
        <f t="array" ref="AD87">_xll.BDH("DE US Equity","BS_NUM_OF_TSY_SH","FQ2 2025","FQ2 2025","Currency=USD","Period=FQ","BEST_FPERIOD_OVERRIDE=FQ","FILING_STATUS=MR","Sort=A","Dates=H","DateFormat=P","Fill=—","Direction=H","UseDPDF=Y")</f>
        <v>—</v>
      </c>
      <c r="AE87" s="13" cm="1">
        <f t="array" ref="AE87">_xll.BDH("DE US Equity","BS_NUM_OF_TSY_SH","FQ3 2025","FQ3 2025","Currency=USD","Period=FQ","BEST_FPERIOD_OVERRIDE=FQ","FILING_STATUS=MR","Sort=A","Dates=H","DateFormat=P","Fill=—","Direction=H","UseDPDF=Y")</f>
        <v>266.10180000000003</v>
      </c>
      <c r="AF87" s="13" cm="1">
        <f t="array" ref="AF87">_xll.BDH("DE US Equity","BS_NUM_OF_TSY_SH","FQ4 2025","FQ4 2025","Currency=USD","Period=FQ","BEST_FPERIOD_OVERRIDE=FQ","FILING_STATUS=MR","Sort=A","Dates=H","DateFormat=P","Fill=—","Direction=H","UseDPDF=Y")</f>
        <v>266.07920000000001</v>
      </c>
    </row>
    <row r="88" spans="1:32" x14ac:dyDescent="0.25">
      <c r="A88" s="10" t="s">
        <v>218</v>
      </c>
      <c r="B88" s="10" t="s">
        <v>219</v>
      </c>
      <c r="C88" s="13" cm="1">
        <f t="array" ref="C88">_xll.BDH("DE US Equity","BS_PENSION_RSRV","FQ3 2018","FQ3 2018","Currency=USD","Period=FQ","BEST_FPERIOD_OVERRIDE=FQ","FILING_STATUS=MR","SCALING_FORMAT=MLN","Sort=A","Dates=H","DateFormat=P","Fill=—","Direction=H","UseDPDF=Y")</f>
        <v>6522</v>
      </c>
      <c r="D88" s="13" cm="1">
        <f t="array" ref="D88">_xll.BDH("DE US Equity","BS_PENSION_RSRV","FQ4 2018","FQ4 2018","Currency=USD","Period=FQ","BEST_FPERIOD_OVERRIDE=FQ","FILING_STATUS=MR","SCALING_FORMAT=MLN","Sort=A","Dates=H","DateFormat=P","Fill=—","Direction=H","UseDPDF=Y")</f>
        <v>5751</v>
      </c>
      <c r="E88" s="13" cm="1">
        <f t="array" ref="E88">_xll.BDH("DE US Equity","BS_PENSION_RSRV","FQ1 2019","FQ1 2019","Currency=USD","Period=FQ","BEST_FPERIOD_OVERRIDE=FQ","FILING_STATUS=MR","SCALING_FORMAT=MLN","Sort=A","Dates=H","DateFormat=P","Fill=—","Direction=H","UseDPDF=Y")</f>
        <v>5758.9</v>
      </c>
      <c r="F88" s="13" cm="1">
        <f t="array" ref="F88">_xll.BDH("DE US Equity","BS_PENSION_RSRV","FQ2 2019","FQ2 2019","Currency=USD","Period=FQ","BEST_FPERIOD_OVERRIDE=FQ","FILING_STATUS=MR","SCALING_FORMAT=MLN","Sort=A","Dates=H","DateFormat=P","Fill=—","Direction=H","UseDPDF=Y")</f>
        <v>5733</v>
      </c>
      <c r="G88" s="13" cm="1">
        <f t="array" ref="G88">_xll.BDH("DE US Equity","BS_PENSION_RSRV","FQ3 2019","FQ3 2019","Currency=USD","Period=FQ","BEST_FPERIOD_OVERRIDE=FQ","FILING_STATUS=MR","SCALING_FORMAT=MLN","Sort=A","Dates=H","DateFormat=P","Fill=—","Direction=H","UseDPDF=Y")</f>
        <v>5781</v>
      </c>
      <c r="H88" s="13" cm="1">
        <f t="array" ref="H88">_xll.BDH("DE US Equity","BS_PENSION_RSRV","FQ4 2019","FQ4 2019","Currency=USD","Period=FQ","BEST_FPERIOD_OVERRIDE=FQ","FILING_STATUS=MR","SCALING_FORMAT=MLN","Sort=A","Dates=H","DateFormat=P","Fill=—","Direction=H","UseDPDF=Y")</f>
        <v>5953</v>
      </c>
      <c r="I88" s="13" t="str" cm="1">
        <f t="array" ref="I88">_xll.BDH("DE US Equity","BS_PENSION_RSRV","FQ1 2020","FQ1 2020","Currency=USD","Period=FQ","BEST_FPERIOD_OVERRIDE=FQ","FILING_STATUS=MR","SCALING_FORMAT=MLN","Sort=A","Dates=H","DateFormat=P","Fill=—","Direction=H","UseDPDF=Y")</f>
        <v>—</v>
      </c>
      <c r="J88" s="13" t="str" cm="1">
        <f t="array" ref="J88">_xll.BDH("DE US Equity","BS_PENSION_RSRV","FQ2 2020","FQ2 2020","Currency=USD","Period=FQ","BEST_FPERIOD_OVERRIDE=FQ","FILING_STATUS=MR","SCALING_FORMAT=MLN","Sort=A","Dates=H","DateFormat=P","Fill=—","Direction=H","UseDPDF=Y")</f>
        <v>—</v>
      </c>
      <c r="K88" s="13" cm="1">
        <f t="array" ref="K88">_xll.BDH("DE US Equity","BS_PENSION_RSRV","FQ3 2020","FQ3 2020","Currency=USD","Period=FQ","BEST_FPERIOD_OVERRIDE=FQ","FILING_STATUS=MR","SCALING_FORMAT=MLN","Sort=A","Dates=H","DateFormat=P","Fill=—","Direction=H","UseDPDF=Y")</f>
        <v>5776</v>
      </c>
      <c r="L88" s="13" cm="1">
        <f t="array" ref="L88">_xll.BDH("DE US Equity","BS_PENSION_RSRV","FQ4 2020","FQ4 2020","Currency=USD","Period=FQ","BEST_FPERIOD_OVERRIDE=FQ","FILING_STATUS=MR","SCALING_FORMAT=MLN","Sort=A","Dates=H","DateFormat=P","Fill=—","Direction=H","UseDPDF=Y")</f>
        <v>5094</v>
      </c>
      <c r="M88" s="13" cm="1">
        <f t="array" ref="M88">_xll.BDH("DE US Equity","BS_PENSION_RSRV","FQ1 2021","FQ1 2021","Currency=USD","Period=FQ","BEST_FPERIOD_OVERRIDE=FQ","FILING_STATUS=MR","SCALING_FORMAT=MLN","Sort=A","Dates=H","DateFormat=P","Fill=—","Direction=H","UseDPDF=Y")</f>
        <v>5374</v>
      </c>
      <c r="N88" s="13" cm="1">
        <f t="array" ref="N88">_xll.BDH("DE US Equity","BS_PENSION_RSRV","FQ2 2021","FQ2 2021","Currency=USD","Period=FQ","BEST_FPERIOD_OVERRIDE=FQ","FILING_STATUS=MR","SCALING_FORMAT=MLN","Sort=A","Dates=H","DateFormat=P","Fill=—","Direction=H","UseDPDF=Y")</f>
        <v>5305</v>
      </c>
      <c r="O88" s="13" cm="1">
        <f t="array" ref="O88">_xll.BDH("DE US Equity","BS_PENSION_RSRV","FQ3 2021","FQ3 2021","Currency=USD","Period=FQ","BEST_FPERIOD_OVERRIDE=FQ","FILING_STATUS=MR","SCALING_FORMAT=MLN","Sort=A","Dates=H","DateFormat=P","Fill=—","Direction=H","UseDPDF=Y")</f>
        <v>5272</v>
      </c>
      <c r="P88" s="13" cm="1">
        <f t="array" ref="P88">_xll.BDH("DE US Equity","BS_PENSION_RSRV","FQ4 2021","FQ4 2021","Currency=USD","Period=FQ","BEST_FPERIOD_OVERRIDE=FQ","FILING_STATUS=MR","SCALING_FORMAT=MLN","Sort=A","Dates=H","DateFormat=P","Fill=—","Direction=H","UseDPDF=Y")</f>
        <v>4024</v>
      </c>
      <c r="Q88" s="13" cm="1">
        <f t="array" ref="Q88">_xll.BDH("DE US Equity","BS_PENSION_RSRV","FQ1 2022","FQ1 2022","Currency=USD","Period=FQ","BEST_FPERIOD_OVERRIDE=FQ","FILING_STATUS=MR","SCALING_FORMAT=MLN","Sort=A","Dates=H","DateFormat=P","Fill=—","Direction=H","UseDPDF=Y")</f>
        <v>3289</v>
      </c>
      <c r="R88" s="13" cm="1">
        <f t="array" ref="R88">_xll.BDH("DE US Equity","BS_PENSION_RSRV","FQ2 2022","FQ2 2022","Currency=USD","Period=FQ","BEST_FPERIOD_OVERRIDE=FQ","FILING_STATUS=MR","SCALING_FORMAT=MLN","Sort=A","Dates=H","DateFormat=P","Fill=—","Direction=H","UseDPDF=Y")</f>
        <v>2964</v>
      </c>
      <c r="S88" s="13" cm="1">
        <f t="array" ref="S88">_xll.BDH("DE US Equity","BS_PENSION_RSRV","FQ3 2022","FQ3 2022","Currency=USD","Period=FQ","BEST_FPERIOD_OVERRIDE=FQ","FILING_STATUS=MR","SCALING_FORMAT=MLN","Sort=A","Dates=H","DateFormat=P","Fill=—","Direction=H","UseDPDF=Y")</f>
        <v>2911</v>
      </c>
      <c r="T88" s="13" cm="1">
        <f t="array" ref="T88">_xll.BDH("DE US Equity","BS_PENSION_RSRV","FQ4 2022","FQ4 2022","Currency=USD","Period=FQ","BEST_FPERIOD_OVERRIDE=FQ","FILING_STATUS=MR","SCALING_FORMAT=MLN","Sort=A","Dates=H","DateFormat=P","Fill=—","Direction=H","UseDPDF=Y")</f>
        <v>2123</v>
      </c>
      <c r="U88" s="13" cm="1">
        <f t="array" ref="U88">_xll.BDH("DE US Equity","BS_PENSION_RSRV","FQ1 2023","FQ1 2023","Currency=USD","Period=FQ","BEST_FPERIOD_OVERRIDE=FQ","FILING_STATUS=MR","SCALING_FORMAT=MLN","Sort=A","Dates=H","DateFormat=P","Fill=—","Direction=H","UseDPDF=Y")</f>
        <v>2493</v>
      </c>
      <c r="V88" s="13" cm="1">
        <f t="array" ref="V88">_xll.BDH("DE US Equity","BS_PENSION_RSRV","FQ2 2023","FQ2 2023","Currency=USD","Period=FQ","BEST_FPERIOD_OVERRIDE=FQ","FILING_STATUS=MR","SCALING_FORMAT=MLN","Sort=A","Dates=H","DateFormat=P","Fill=—","Direction=H","UseDPDF=Y")</f>
        <v>2520</v>
      </c>
      <c r="W88" s="13" cm="1">
        <f t="array" ref="W88">_xll.BDH("DE US Equity","BS_PENSION_RSRV","FQ3 2023","FQ3 2023","Currency=USD","Period=FQ","BEST_FPERIOD_OVERRIDE=FQ","FILING_STATUS=MR","SCALING_FORMAT=MLN","Sort=A","Dates=H","DateFormat=P","Fill=—","Direction=H","UseDPDF=Y")</f>
        <v>2536</v>
      </c>
      <c r="X88" s="13" cm="1">
        <f t="array" ref="X88">_xll.BDH("DE US Equity","BS_PENSION_RSRV","FQ4 2023","FQ4 2023","Currency=USD","Period=FQ","BEST_FPERIOD_OVERRIDE=FQ","FILING_STATUS=MR","SCALING_FORMAT=MLN","Sort=A","Dates=H","DateFormat=P","Fill=—","Direction=H","UseDPDF=Y")</f>
        <v>2140</v>
      </c>
      <c r="Y88" s="13" cm="1">
        <f t="array" ref="Y88">_xll.BDH("DE US Equity","BS_PENSION_RSRV","FQ1 2024","FQ1 2024","Currency=USD","Period=FQ","BEST_FPERIOD_OVERRIDE=FQ","FILING_STATUS=MR","SCALING_FORMAT=MLN","Sort=A","Dates=H","DateFormat=P","Fill=—","Direction=H","UseDPDF=Y")</f>
        <v>2115</v>
      </c>
      <c r="Z88" s="13" cm="1">
        <f t="array" ref="Z88">_xll.BDH("DE US Equity","BS_PENSION_RSRV","FQ2 2024","FQ2 2024","Currency=USD","Period=FQ","BEST_FPERIOD_OVERRIDE=FQ","FILING_STATUS=MR","SCALING_FORMAT=MLN","Sort=A","Dates=H","DateFormat=P","Fill=—","Direction=H","UseDPDF=Y")</f>
        <v>2105</v>
      </c>
      <c r="AA88" s="13" cm="1">
        <f t="array" ref="AA88">_xll.BDH("DE US Equity","BS_PENSION_RSRV","FQ3 2024","FQ3 2024","Currency=USD","Period=FQ","BEST_FPERIOD_OVERRIDE=FQ","FILING_STATUS=MR","SCALING_FORMAT=MLN","Sort=A","Dates=H","DateFormat=P","Fill=—","Direction=H","UseDPDF=Y")</f>
        <v>2156</v>
      </c>
      <c r="AB88" s="13" cm="1">
        <f t="array" ref="AB88">_xll.BDH("DE US Equity","BS_PENSION_RSRV","FQ4 2024","FQ4 2024","Currency=USD","Period=FQ","BEST_FPERIOD_OVERRIDE=FQ","FILING_STATUS=MR","SCALING_FORMAT=MLN","Sort=A","Dates=H","DateFormat=P","Fill=—","Direction=H","UseDPDF=Y")</f>
        <v>2354</v>
      </c>
      <c r="AC88" s="13" cm="1">
        <f t="array" ref="AC88">_xll.BDH("DE US Equity","BS_PENSION_RSRV","FQ1 2025","FQ1 2025","Currency=USD","Period=FQ","BEST_FPERIOD_OVERRIDE=FQ","FILING_STATUS=MR","SCALING_FORMAT=MLN","Sort=A","Dates=H","DateFormat=P","Fill=—","Direction=H","UseDPDF=Y")</f>
        <v>1734</v>
      </c>
      <c r="AD88" s="13" cm="1">
        <f t="array" ref="AD88">_xll.BDH("DE US Equity","BS_PENSION_RSRV","FQ2 2025","FQ2 2025","Currency=USD","Period=FQ","BEST_FPERIOD_OVERRIDE=FQ","FILING_STATUS=MR","SCALING_FORMAT=MLN","Sort=A","Dates=H","DateFormat=P","Fill=—","Direction=H","UseDPDF=Y")</f>
        <v>1763</v>
      </c>
      <c r="AE88" s="13" cm="1">
        <f t="array" ref="AE88">_xll.BDH("DE US Equity","BS_PENSION_RSRV","FQ3 2025","FQ3 2025","Currency=USD","Period=FQ","BEST_FPERIOD_OVERRIDE=FQ","FILING_STATUS=MR","SCALING_FORMAT=MLN","Sort=A","Dates=H","DateFormat=P","Fill=—","Direction=H","UseDPDF=Y")</f>
        <v>1836</v>
      </c>
      <c r="AF88" s="13" cm="1">
        <f t="array" ref="AF88">_xll.BDH("DE US Equity","BS_PENSION_RSRV","FQ4 2025","FQ4 2025","Currency=USD","Period=FQ","BEST_FPERIOD_OVERRIDE=FQ","FILING_STATUS=MR","SCALING_FORMAT=MLN","Sort=A","Dates=H","DateFormat=P","Fill=—","Direction=H","UseDPDF=Y")</f>
        <v>1710</v>
      </c>
    </row>
    <row r="89" spans="1:32" x14ac:dyDescent="0.25">
      <c r="A89" s="10" t="s">
        <v>220</v>
      </c>
      <c r="B89" s="10" t="s">
        <v>221</v>
      </c>
      <c r="C89" s="13" t="str" cm="1">
        <f t="array" ref="C89">_xll.BDH("DE US Equity","BS_FUTURE_MIN_OPER_LEASE_OBLIG","FQ3 2018","FQ3 2018","Currency=USD","Period=FQ","BEST_FPERIOD_OVERRIDE=FQ","FILING_STATUS=MR","SCALING_FORMAT=MLN","Sort=A","Dates=H","DateFormat=P","Fill=—","Direction=H","UseDPDF=Y")</f>
        <v>—</v>
      </c>
      <c r="D89" s="13" cm="1">
        <f t="array" ref="D89">_xll.BDH("DE US Equity","BS_FUTURE_MIN_OPER_LEASE_OBLIG","FQ4 2018","FQ4 2018","Currency=USD","Period=FQ","BEST_FPERIOD_OVERRIDE=FQ","FILING_STATUS=MR","SCALING_FORMAT=MLN","Sort=A","Dates=H","DateFormat=P","Fill=—","Direction=H","UseDPDF=Y")</f>
        <v>383</v>
      </c>
      <c r="E89" s="13" t="str" cm="1">
        <f t="array" ref="E89">_xll.BDH("DE US Equity","BS_FUTURE_MIN_OPER_LEASE_OBLIG","FQ1 2019","FQ1 2019","Currency=USD","Period=FQ","BEST_FPERIOD_OVERRIDE=FQ","FILING_STATUS=MR","SCALING_FORMAT=MLN","Sort=A","Dates=H","DateFormat=P","Fill=—","Direction=H","UseDPDF=Y")</f>
        <v>—</v>
      </c>
      <c r="F89" s="13" t="str" cm="1">
        <f t="array" ref="F89">_xll.BDH("DE US Equity","BS_FUTURE_MIN_OPER_LEASE_OBLIG","FQ2 2019","FQ2 2019","Currency=USD","Period=FQ","BEST_FPERIOD_OVERRIDE=FQ","FILING_STATUS=MR","SCALING_FORMAT=MLN","Sort=A","Dates=H","DateFormat=P","Fill=—","Direction=H","UseDPDF=Y")</f>
        <v>—</v>
      </c>
      <c r="G89" s="13" t="str" cm="1">
        <f t="array" ref="G89">_xll.BDH("DE US Equity","BS_FUTURE_MIN_OPER_LEASE_OBLIG","FQ3 2019","FQ3 2019","Currency=USD","Period=FQ","BEST_FPERIOD_OVERRIDE=FQ","FILING_STATUS=MR","SCALING_FORMAT=MLN","Sort=A","Dates=H","DateFormat=P","Fill=—","Direction=H","UseDPDF=Y")</f>
        <v>—</v>
      </c>
      <c r="H89" s="13" cm="1">
        <f t="array" ref="H89">_xll.BDH("DE US Equity","BS_FUTURE_MIN_OPER_LEASE_OBLIG","FQ4 2019","FQ4 2019","Currency=USD","Period=FQ","BEST_FPERIOD_OVERRIDE=FQ","FILING_STATUS=MR","SCALING_FORMAT=MLN","Sort=A","Dates=H","DateFormat=P","Fill=—","Direction=H","UseDPDF=Y")</f>
        <v>337</v>
      </c>
      <c r="I89" s="13" cm="1">
        <f t="array" ref="I89">_xll.BDH("DE US Equity","BS_FUTURE_MIN_OPER_LEASE_OBLIG","FQ1 2020","FQ1 2020","Currency=USD","Period=FQ","BEST_FPERIOD_OVERRIDE=FQ","FILING_STATUS=MR","SCALING_FORMAT=MLN","Sort=A","Dates=H","DateFormat=P","Fill=—","Direction=H","UseDPDF=Y")</f>
        <v>385</v>
      </c>
      <c r="J89" s="13" cm="1">
        <f t="array" ref="J89">_xll.BDH("DE US Equity","BS_FUTURE_MIN_OPER_LEASE_OBLIG","FQ2 2020","FQ2 2020","Currency=USD","Period=FQ","BEST_FPERIOD_OVERRIDE=FQ","FILING_STATUS=MR","SCALING_FORMAT=MLN","Sort=A","Dates=H","DateFormat=P","Fill=—","Direction=H","UseDPDF=Y")</f>
        <v>340</v>
      </c>
      <c r="K89" s="13" cm="1">
        <f t="array" ref="K89">_xll.BDH("DE US Equity","BS_FUTURE_MIN_OPER_LEASE_OBLIG","FQ3 2020","FQ3 2020","Currency=USD","Period=FQ","BEST_FPERIOD_OVERRIDE=FQ","FILING_STATUS=MR","SCALING_FORMAT=MLN","Sort=A","Dates=H","DateFormat=P","Fill=—","Direction=H","UseDPDF=Y")</f>
        <v>338</v>
      </c>
      <c r="L89" s="13" cm="1">
        <f t="array" ref="L89">_xll.BDH("DE US Equity","BS_FUTURE_MIN_OPER_LEASE_OBLIG","FQ4 2020","FQ4 2020","Currency=USD","Period=FQ","BEST_FPERIOD_OVERRIDE=FQ","FILING_STATUS=MR","SCALING_FORMAT=MLN","Sort=A","Dates=H","DateFormat=P","Fill=—","Direction=H","UseDPDF=Y")</f>
        <v>323</v>
      </c>
      <c r="M89" s="13" t="str" cm="1">
        <f t="array" ref="M89">_xll.BDH("DE US Equity","BS_FUTURE_MIN_OPER_LEASE_OBLIG","FQ1 2021","FQ1 2021","Currency=USD","Period=FQ","BEST_FPERIOD_OVERRIDE=FQ","FILING_STATUS=MR","SCALING_FORMAT=MLN","Sort=A","Dates=H","DateFormat=P","Fill=—","Direction=H","UseDPDF=Y")</f>
        <v>—</v>
      </c>
      <c r="N89" s="13" t="str" cm="1">
        <f t="array" ref="N89">_xll.BDH("DE US Equity","BS_FUTURE_MIN_OPER_LEASE_OBLIG","FQ2 2021","FQ2 2021","Currency=USD","Period=FQ","BEST_FPERIOD_OVERRIDE=FQ","FILING_STATUS=MR","SCALING_FORMAT=MLN","Sort=A","Dates=H","DateFormat=P","Fill=—","Direction=H","UseDPDF=Y")</f>
        <v>—</v>
      </c>
      <c r="O89" s="13" t="str" cm="1">
        <f t="array" ref="O89">_xll.BDH("DE US Equity","BS_FUTURE_MIN_OPER_LEASE_OBLIG","FQ3 2021","FQ3 2021","Currency=USD","Period=FQ","BEST_FPERIOD_OVERRIDE=FQ","FILING_STATUS=MR","SCALING_FORMAT=MLN","Sort=A","Dates=H","DateFormat=P","Fill=—","Direction=H","UseDPDF=Y")</f>
        <v>—</v>
      </c>
      <c r="P89" s="13" cm="1">
        <f t="array" ref="P89">_xll.BDH("DE US Equity","BS_FUTURE_MIN_OPER_LEASE_OBLIG","FQ4 2021","FQ4 2021","Currency=USD","Period=FQ","BEST_FPERIOD_OVERRIDE=FQ","FILING_STATUS=MR","SCALING_FORMAT=MLN","Sort=A","Dates=H","DateFormat=P","Fill=—","Direction=H","UseDPDF=Y")</f>
        <v>294</v>
      </c>
      <c r="Q89" s="13" t="str" cm="1">
        <f t="array" ref="Q89">_xll.BDH("DE US Equity","BS_FUTURE_MIN_OPER_LEASE_OBLIG","FQ1 2022","FQ1 2022","Currency=USD","Period=FQ","BEST_FPERIOD_OVERRIDE=FQ","FILING_STATUS=MR","SCALING_FORMAT=MLN","Sort=A","Dates=H","DateFormat=P","Fill=—","Direction=H","UseDPDF=Y")</f>
        <v>—</v>
      </c>
      <c r="R89" s="13" t="str" cm="1">
        <f t="array" ref="R89">_xll.BDH("DE US Equity","BS_FUTURE_MIN_OPER_LEASE_OBLIG","FQ2 2022","FQ2 2022","Currency=USD","Period=FQ","BEST_FPERIOD_OVERRIDE=FQ","FILING_STATUS=MR","SCALING_FORMAT=MLN","Sort=A","Dates=H","DateFormat=P","Fill=—","Direction=H","UseDPDF=Y")</f>
        <v>—</v>
      </c>
      <c r="S89" s="13" t="str" cm="1">
        <f t="array" ref="S89">_xll.BDH("DE US Equity","BS_FUTURE_MIN_OPER_LEASE_OBLIG","FQ3 2022","FQ3 2022","Currency=USD","Period=FQ","BEST_FPERIOD_OVERRIDE=FQ","FILING_STATUS=MR","SCALING_FORMAT=MLN","Sort=A","Dates=H","DateFormat=P","Fill=—","Direction=H","UseDPDF=Y")</f>
        <v>—</v>
      </c>
      <c r="T89" s="13" cm="1">
        <f t="array" ref="T89">_xll.BDH("DE US Equity","BS_FUTURE_MIN_OPER_LEASE_OBLIG","FQ4 2022","FQ4 2022","Currency=USD","Period=FQ","BEST_FPERIOD_OVERRIDE=FQ","FILING_STATUS=MR","SCALING_FORMAT=MLN","Sort=A","Dates=H","DateFormat=P","Fill=—","Direction=H","UseDPDF=Y")</f>
        <v>323</v>
      </c>
      <c r="U89" s="13" t="str" cm="1">
        <f t="array" ref="U89">_xll.BDH("DE US Equity","BS_FUTURE_MIN_OPER_LEASE_OBLIG","FQ1 2023","FQ1 2023","Currency=USD","Period=FQ","BEST_FPERIOD_OVERRIDE=FQ","FILING_STATUS=MR","SCALING_FORMAT=MLN","Sort=A","Dates=H","DateFormat=P","Fill=—","Direction=H","UseDPDF=Y")</f>
        <v>—</v>
      </c>
      <c r="V89" s="13" t="str" cm="1">
        <f t="array" ref="V89">_xll.BDH("DE US Equity","BS_FUTURE_MIN_OPER_LEASE_OBLIG","FQ2 2023","FQ2 2023","Currency=USD","Period=FQ","BEST_FPERIOD_OVERRIDE=FQ","FILING_STATUS=MR","SCALING_FORMAT=MLN","Sort=A","Dates=H","DateFormat=P","Fill=—","Direction=H","UseDPDF=Y")</f>
        <v>—</v>
      </c>
      <c r="W89" s="13" t="str" cm="1">
        <f t="array" ref="W89">_xll.BDH("DE US Equity","BS_FUTURE_MIN_OPER_LEASE_OBLIG","FQ3 2023","FQ3 2023","Currency=USD","Period=FQ","BEST_FPERIOD_OVERRIDE=FQ","FILING_STATUS=MR","SCALING_FORMAT=MLN","Sort=A","Dates=H","DateFormat=P","Fill=—","Direction=H","UseDPDF=Y")</f>
        <v>—</v>
      </c>
      <c r="X89" s="13" cm="1">
        <f t="array" ref="X89">_xll.BDH("DE US Equity","BS_FUTURE_MIN_OPER_LEASE_OBLIG","FQ4 2023","FQ4 2023","Currency=USD","Period=FQ","BEST_FPERIOD_OVERRIDE=FQ","FILING_STATUS=MR","SCALING_FORMAT=MLN","Sort=A","Dates=H","DateFormat=P","Fill=—","Direction=H","UseDPDF=Y")</f>
        <v>301</v>
      </c>
      <c r="Y89" s="13" t="str" cm="1">
        <f t="array" ref="Y89">_xll.BDH("DE US Equity","BS_FUTURE_MIN_OPER_LEASE_OBLIG","FQ1 2024","FQ1 2024","Currency=USD","Period=FQ","BEST_FPERIOD_OVERRIDE=FQ","FILING_STATUS=MR","SCALING_FORMAT=MLN","Sort=A","Dates=H","DateFormat=P","Fill=—","Direction=H","UseDPDF=Y")</f>
        <v>—</v>
      </c>
      <c r="Z89" s="13" t="str" cm="1">
        <f t="array" ref="Z89">_xll.BDH("DE US Equity","BS_FUTURE_MIN_OPER_LEASE_OBLIG","FQ2 2024","FQ2 2024","Currency=USD","Period=FQ","BEST_FPERIOD_OVERRIDE=FQ","FILING_STATUS=MR","SCALING_FORMAT=MLN","Sort=A","Dates=H","DateFormat=P","Fill=—","Direction=H","UseDPDF=Y")</f>
        <v>—</v>
      </c>
      <c r="AA89" s="13" t="str" cm="1">
        <f t="array" ref="AA89">_xll.BDH("DE US Equity","BS_FUTURE_MIN_OPER_LEASE_OBLIG","FQ3 2024","FQ3 2024","Currency=USD","Period=FQ","BEST_FPERIOD_OVERRIDE=FQ","FILING_STATUS=MR","SCALING_FORMAT=MLN","Sort=A","Dates=H","DateFormat=P","Fill=—","Direction=H","UseDPDF=Y")</f>
        <v>—</v>
      </c>
      <c r="AB89" s="13" cm="1">
        <f t="array" ref="AB89">_xll.BDH("DE US Equity","BS_FUTURE_MIN_OPER_LEASE_OBLIG","FQ4 2024","FQ4 2024","Currency=USD","Period=FQ","BEST_FPERIOD_OVERRIDE=FQ","FILING_STATUS=MR","SCALING_FORMAT=MLN","Sort=A","Dates=H","DateFormat=P","Fill=—","Direction=H","UseDPDF=Y")</f>
        <v>289</v>
      </c>
      <c r="AC89" s="13" t="str" cm="1">
        <f t="array" ref="AC89">_xll.BDH("DE US Equity","BS_FUTURE_MIN_OPER_LEASE_OBLIG","FQ1 2025","FQ1 2025","Currency=USD","Period=FQ","BEST_FPERIOD_OVERRIDE=FQ","FILING_STATUS=MR","SCALING_FORMAT=MLN","Sort=A","Dates=H","DateFormat=P","Fill=—","Direction=H","UseDPDF=Y")</f>
        <v>—</v>
      </c>
      <c r="AD89" s="13" t="str" cm="1">
        <f t="array" ref="AD89">_xll.BDH("DE US Equity","BS_FUTURE_MIN_OPER_LEASE_OBLIG","FQ2 2025","FQ2 2025","Currency=USD","Period=FQ","BEST_FPERIOD_OVERRIDE=FQ","FILING_STATUS=MR","SCALING_FORMAT=MLN","Sort=A","Dates=H","DateFormat=P","Fill=—","Direction=H","UseDPDF=Y")</f>
        <v>—</v>
      </c>
      <c r="AE89" s="13" t="str" cm="1">
        <f t="array" ref="AE89">_xll.BDH("DE US Equity","BS_FUTURE_MIN_OPER_LEASE_OBLIG","FQ3 2025","FQ3 2025","Currency=USD","Period=FQ","BEST_FPERIOD_OVERRIDE=FQ","FILING_STATUS=MR","SCALING_FORMAT=MLN","Sort=A","Dates=H","DateFormat=P","Fill=—","Direction=H","UseDPDF=Y")</f>
        <v>—</v>
      </c>
      <c r="AF89" s="13" cm="1">
        <f t="array" ref="AF89">_xll.BDH("DE US Equity","BS_FUTURE_MIN_OPER_LEASE_OBLIG","FQ4 2025","FQ4 2025","Currency=USD","Period=FQ","BEST_FPERIOD_OVERRIDE=FQ","FILING_STATUS=MR","SCALING_FORMAT=MLN","Sort=A","Dates=H","DateFormat=P","Fill=—","Direction=H","UseDPDF=Y")</f>
        <v>345</v>
      </c>
    </row>
    <row r="90" spans="1:32" x14ac:dyDescent="0.25">
      <c r="A90" s="10" t="s">
        <v>222</v>
      </c>
      <c r="B90" s="10" t="s">
        <v>223</v>
      </c>
      <c r="C90" s="13" t="str" cm="1">
        <f t="array" ref="C90">_xll.BDH("DE US Equity","BS_TOTAL_CAPITAL_LEASES","FQ3 2018","FQ3 2018","Currency=USD","Period=FQ","BEST_FPERIOD_OVERRIDE=FQ","FILING_STATUS=MR","SCALING_FORMAT=MLN","Sort=A","Dates=H","DateFormat=P","Fill=—","Direction=H","UseDPDF=Y")</f>
        <v>—</v>
      </c>
      <c r="D90" s="13" t="str" cm="1">
        <f t="array" ref="D90">_xll.BDH("DE US Equity","BS_TOTAL_CAPITAL_LEASES","FQ4 2018","FQ4 2018","Currency=USD","Period=FQ","BEST_FPERIOD_OVERRIDE=FQ","FILING_STATUS=MR","SCALING_FORMAT=MLN","Sort=A","Dates=H","DateFormat=P","Fill=—","Direction=H","UseDPDF=Y")</f>
        <v>—</v>
      </c>
      <c r="E90" s="13" t="str" cm="1">
        <f t="array" ref="E90">_xll.BDH("DE US Equity","BS_TOTAL_CAPITAL_LEASES","FQ1 2019","FQ1 2019","Currency=USD","Period=FQ","BEST_FPERIOD_OVERRIDE=FQ","FILING_STATUS=MR","SCALING_FORMAT=MLN","Sort=A","Dates=H","DateFormat=P","Fill=—","Direction=H","UseDPDF=Y")</f>
        <v>—</v>
      </c>
      <c r="F90" s="13" t="str" cm="1">
        <f t="array" ref="F90">_xll.BDH("DE US Equity","BS_TOTAL_CAPITAL_LEASES","FQ2 2019","FQ2 2019","Currency=USD","Period=FQ","BEST_FPERIOD_OVERRIDE=FQ","FILING_STATUS=MR","SCALING_FORMAT=MLN","Sort=A","Dates=H","DateFormat=P","Fill=—","Direction=H","UseDPDF=Y")</f>
        <v>—</v>
      </c>
      <c r="G90" s="13" t="str" cm="1">
        <f t="array" ref="G90">_xll.BDH("DE US Equity","BS_TOTAL_CAPITAL_LEASES","FQ3 2019","FQ3 2019","Currency=USD","Period=FQ","BEST_FPERIOD_OVERRIDE=FQ","FILING_STATUS=MR","SCALING_FORMAT=MLN","Sort=A","Dates=H","DateFormat=P","Fill=—","Direction=H","UseDPDF=Y")</f>
        <v>—</v>
      </c>
      <c r="H90" s="13" t="str" cm="1">
        <f t="array" ref="H90">_xll.BDH("DE US Equity","BS_TOTAL_CAPITAL_LEASES","FQ4 2019","FQ4 2019","Currency=USD","Period=FQ","BEST_FPERIOD_OVERRIDE=FQ","FILING_STATUS=MR","SCALING_FORMAT=MLN","Sort=A","Dates=H","DateFormat=P","Fill=—","Direction=H","UseDPDF=Y")</f>
        <v>—</v>
      </c>
      <c r="I90" s="13" cm="1">
        <f t="array" ref="I90">_xll.BDH("DE US Equity","BS_TOTAL_CAPITAL_LEASES","FQ1 2020","FQ1 2020","Currency=USD","Period=FQ","BEST_FPERIOD_OVERRIDE=FQ","FILING_STATUS=MR","SCALING_FORMAT=MLN","Sort=A","Dates=H","DateFormat=P","Fill=—","Direction=H","UseDPDF=Y")</f>
        <v>35</v>
      </c>
      <c r="J90" s="13" cm="1">
        <f t="array" ref="J90">_xll.BDH("DE US Equity","BS_TOTAL_CAPITAL_LEASES","FQ2 2020","FQ2 2020","Currency=USD","Period=FQ","BEST_FPERIOD_OVERRIDE=FQ","FILING_STATUS=MR","SCALING_FORMAT=MLN","Sort=A","Dates=H","DateFormat=P","Fill=—","Direction=H","UseDPDF=Y")</f>
        <v>39</v>
      </c>
      <c r="K90" s="13" cm="1">
        <f t="array" ref="K90">_xll.BDH("DE US Equity","BS_TOTAL_CAPITAL_LEASES","FQ3 2020","FQ3 2020","Currency=USD","Period=FQ","BEST_FPERIOD_OVERRIDE=FQ","FILING_STATUS=MR","SCALING_FORMAT=MLN","Sort=A","Dates=H","DateFormat=P","Fill=—","Direction=H","UseDPDF=Y")</f>
        <v>51</v>
      </c>
      <c r="L90" s="13" cm="1">
        <f t="array" ref="L90">_xll.BDH("DE US Equity","BS_TOTAL_CAPITAL_LEASES","FQ4 2020","FQ4 2020","Currency=USD","Period=FQ","BEST_FPERIOD_OVERRIDE=FQ","FILING_STATUS=MR","SCALING_FORMAT=MLN","Sort=A","Dates=H","DateFormat=P","Fill=—","Direction=H","UseDPDF=Y")</f>
        <v>60</v>
      </c>
      <c r="M90" s="13" cm="1">
        <f t="array" ref="M90">_xll.BDH("DE US Equity","BS_TOTAL_CAPITAL_LEASES","FQ1 2021","FQ1 2021","Currency=USD","Period=FQ","BEST_FPERIOD_OVERRIDE=FQ","FILING_STATUS=MR","SCALING_FORMAT=MLN","Sort=A","Dates=H","DateFormat=P","Fill=—","Direction=H","UseDPDF=Y")</f>
        <v>56</v>
      </c>
      <c r="N90" s="13" cm="1">
        <f t="array" ref="N90">_xll.BDH("DE US Equity","BS_TOTAL_CAPITAL_LEASES","FQ2 2021","FQ2 2021","Currency=USD","Period=FQ","BEST_FPERIOD_OVERRIDE=FQ","FILING_STATUS=MR","SCALING_FORMAT=MLN","Sort=A","Dates=H","DateFormat=P","Fill=—","Direction=H","UseDPDF=Y")</f>
        <v>69</v>
      </c>
      <c r="O90" s="13" cm="1">
        <f t="array" ref="O90">_xll.BDH("DE US Equity","BS_TOTAL_CAPITAL_LEASES","FQ3 2021","FQ3 2021","Currency=USD","Period=FQ","BEST_FPERIOD_OVERRIDE=FQ","FILING_STATUS=MR","SCALING_FORMAT=MLN","Sort=A","Dates=H","DateFormat=P","Fill=—","Direction=H","UseDPDF=Y")</f>
        <v>65</v>
      </c>
      <c r="P90" s="13" cm="1">
        <f t="array" ref="P90">_xll.BDH("DE US Equity","BS_TOTAL_CAPITAL_LEASES","FQ4 2021","FQ4 2021","Currency=USD","Period=FQ","BEST_FPERIOD_OVERRIDE=FQ","FILING_STATUS=MR","SCALING_FORMAT=MLN","Sort=A","Dates=H","DateFormat=P","Fill=—","Direction=H","UseDPDF=Y")</f>
        <v>61</v>
      </c>
      <c r="Q90" s="13" cm="1">
        <f t="array" ref="Q90">_xll.BDH("DE US Equity","BS_TOTAL_CAPITAL_LEASES","FQ1 2022","FQ1 2022","Currency=USD","Period=FQ","BEST_FPERIOD_OVERRIDE=FQ","FILING_STATUS=MR","SCALING_FORMAT=MLN","Sort=A","Dates=H","DateFormat=P","Fill=—","Direction=H","UseDPDF=Y")</f>
        <v>55</v>
      </c>
      <c r="R90" s="13" t="str" cm="1">
        <f t="array" ref="R90">_xll.BDH("DE US Equity","BS_TOTAL_CAPITAL_LEASES","FQ2 2022","FQ2 2022","Currency=USD","Period=FQ","BEST_FPERIOD_OVERRIDE=FQ","FILING_STATUS=MR","SCALING_FORMAT=MLN","Sort=A","Dates=H","DateFormat=P","Fill=—","Direction=H","UseDPDF=Y")</f>
        <v>—</v>
      </c>
      <c r="S90" s="13" t="str" cm="1">
        <f t="array" ref="S90">_xll.BDH("DE US Equity","BS_TOTAL_CAPITAL_LEASES","FQ3 2022","FQ3 2022","Currency=USD","Period=FQ","BEST_FPERIOD_OVERRIDE=FQ","FILING_STATUS=MR","SCALING_FORMAT=MLN","Sort=A","Dates=H","DateFormat=P","Fill=—","Direction=H","UseDPDF=Y")</f>
        <v>—</v>
      </c>
      <c r="T90" s="13" cm="1">
        <f t="array" ref="T90">_xll.BDH("DE US Equity","BS_TOTAL_CAPITAL_LEASES","FQ4 2022","FQ4 2022","Currency=USD","Period=FQ","BEST_FPERIOD_OVERRIDE=FQ","FILING_STATUS=MR","SCALING_FORMAT=MLN","Sort=A","Dates=H","DateFormat=P","Fill=—","Direction=H","UseDPDF=Y")</f>
        <v>51</v>
      </c>
      <c r="U90" s="13" t="str" cm="1">
        <f t="array" ref="U90">_xll.BDH("DE US Equity","BS_TOTAL_CAPITAL_LEASES","FQ1 2023","FQ1 2023","Currency=USD","Period=FQ","BEST_FPERIOD_OVERRIDE=FQ","FILING_STATUS=MR","SCALING_FORMAT=MLN","Sort=A","Dates=H","DateFormat=P","Fill=—","Direction=H","UseDPDF=Y")</f>
        <v>—</v>
      </c>
      <c r="V90" s="13" t="str" cm="1">
        <f t="array" ref="V90">_xll.BDH("DE US Equity","BS_TOTAL_CAPITAL_LEASES","FQ2 2023","FQ2 2023","Currency=USD","Period=FQ","BEST_FPERIOD_OVERRIDE=FQ","FILING_STATUS=MR","SCALING_FORMAT=MLN","Sort=A","Dates=H","DateFormat=P","Fill=—","Direction=H","UseDPDF=Y")</f>
        <v>—</v>
      </c>
      <c r="W90" s="13" t="str" cm="1">
        <f t="array" ref="W90">_xll.BDH("DE US Equity","BS_TOTAL_CAPITAL_LEASES","FQ3 2023","FQ3 2023","Currency=USD","Period=FQ","BEST_FPERIOD_OVERRIDE=FQ","FILING_STATUS=MR","SCALING_FORMAT=MLN","Sort=A","Dates=H","DateFormat=P","Fill=—","Direction=H","UseDPDF=Y")</f>
        <v>—</v>
      </c>
      <c r="X90" s="13" cm="1">
        <f t="array" ref="X90">_xll.BDH("DE US Equity","BS_TOTAL_CAPITAL_LEASES","FQ4 2023","FQ4 2023","Currency=USD","Period=FQ","BEST_FPERIOD_OVERRIDE=FQ","FILING_STATUS=MR","SCALING_FORMAT=MLN","Sort=A","Dates=H","DateFormat=P","Fill=—","Direction=H","UseDPDF=Y")</f>
        <v>74</v>
      </c>
      <c r="Y90" s="13" t="str" cm="1">
        <f t="array" ref="Y90">_xll.BDH("DE US Equity","BS_TOTAL_CAPITAL_LEASES","FQ1 2024","FQ1 2024","Currency=USD","Period=FQ","BEST_FPERIOD_OVERRIDE=FQ","FILING_STATUS=MR","SCALING_FORMAT=MLN","Sort=A","Dates=H","DateFormat=P","Fill=—","Direction=H","UseDPDF=Y")</f>
        <v>—</v>
      </c>
      <c r="Z90" s="13" t="str" cm="1">
        <f t="array" ref="Z90">_xll.BDH("DE US Equity","BS_TOTAL_CAPITAL_LEASES","FQ2 2024","FQ2 2024","Currency=USD","Period=FQ","BEST_FPERIOD_OVERRIDE=FQ","FILING_STATUS=MR","SCALING_FORMAT=MLN","Sort=A","Dates=H","DateFormat=P","Fill=—","Direction=H","UseDPDF=Y")</f>
        <v>—</v>
      </c>
      <c r="AA90" s="13" t="str" cm="1">
        <f t="array" ref="AA90">_xll.BDH("DE US Equity","BS_TOTAL_CAPITAL_LEASES","FQ3 2024","FQ3 2024","Currency=USD","Period=FQ","BEST_FPERIOD_OVERRIDE=FQ","FILING_STATUS=MR","SCALING_FORMAT=MLN","Sort=A","Dates=H","DateFormat=P","Fill=—","Direction=H","UseDPDF=Y")</f>
        <v>—</v>
      </c>
      <c r="AB90" s="13" cm="1">
        <f t="array" ref="AB90">_xll.BDH("DE US Equity","BS_TOTAL_CAPITAL_LEASES","FQ4 2024","FQ4 2024","Currency=USD","Period=FQ","BEST_FPERIOD_OVERRIDE=FQ","FILING_STATUS=MR","SCALING_FORMAT=MLN","Sort=A","Dates=H","DateFormat=P","Fill=—","Direction=H","UseDPDF=Y")</f>
        <v>105</v>
      </c>
      <c r="AC90" s="13" t="str" cm="1">
        <f t="array" ref="AC90">_xll.BDH("DE US Equity","BS_TOTAL_CAPITAL_LEASES","FQ1 2025","FQ1 2025","Currency=USD","Period=FQ","BEST_FPERIOD_OVERRIDE=FQ","FILING_STATUS=MR","SCALING_FORMAT=MLN","Sort=A","Dates=H","DateFormat=P","Fill=—","Direction=H","UseDPDF=Y")</f>
        <v>—</v>
      </c>
      <c r="AD90" s="13" t="str" cm="1">
        <f t="array" ref="AD90">_xll.BDH("DE US Equity","BS_TOTAL_CAPITAL_LEASES","FQ2 2025","FQ2 2025","Currency=USD","Period=FQ","BEST_FPERIOD_OVERRIDE=FQ","FILING_STATUS=MR","SCALING_FORMAT=MLN","Sort=A","Dates=H","DateFormat=P","Fill=—","Direction=H","UseDPDF=Y")</f>
        <v>—</v>
      </c>
      <c r="AE90" s="13" t="str" cm="1">
        <f t="array" ref="AE90">_xll.BDH("DE US Equity","BS_TOTAL_CAPITAL_LEASES","FQ3 2025","FQ3 2025","Currency=USD","Period=FQ","BEST_FPERIOD_OVERRIDE=FQ","FILING_STATUS=MR","SCALING_FORMAT=MLN","Sort=A","Dates=H","DateFormat=P","Fill=—","Direction=H","UseDPDF=Y")</f>
        <v>—</v>
      </c>
      <c r="AF90" s="13" cm="1">
        <f t="array" ref="AF90">_xll.BDH("DE US Equity","BS_TOTAL_CAPITAL_LEASES","FQ4 2025","FQ4 2025","Currency=USD","Period=FQ","BEST_FPERIOD_OVERRIDE=FQ","FILING_STATUS=MR","SCALING_FORMAT=MLN","Sort=A","Dates=H","DateFormat=P","Fill=—","Direction=H","UseDPDF=Y")</f>
        <v>112</v>
      </c>
    </row>
    <row r="91" spans="1:32" x14ac:dyDescent="0.25">
      <c r="A91" s="10" t="s">
        <v>224</v>
      </c>
      <c r="B91" s="10" t="s">
        <v>225</v>
      </c>
      <c r="C91" s="13" t="str" cm="1">
        <f t="array" ref="C91">_xll.BDH("DE US Equity","BS_OPTIONS_GRANTED","FQ3 2018","FQ3 2018","Currency=USD","Period=FQ","BEST_FPERIOD_OVERRIDE=FQ","FILING_STATUS=MR","Sort=A","Dates=H","DateFormat=P","Fill=—","Direction=H","UseDPDF=Y")</f>
        <v>—</v>
      </c>
      <c r="D91" s="13" t="str" cm="1">
        <f t="array" ref="D91">_xll.BDH("DE US Equity","BS_OPTIONS_GRANTED","FQ4 2018","FQ4 2018","Currency=USD","Period=FQ","BEST_FPERIOD_OVERRIDE=FQ","FILING_STATUS=MR","Sort=A","Dates=H","DateFormat=P","Fill=—","Direction=H","UseDPDF=Y")</f>
        <v>—</v>
      </c>
      <c r="E91" s="13" t="str" cm="1">
        <f t="array" ref="E91">_xll.BDH("DE US Equity","BS_OPTIONS_GRANTED","FQ1 2019","FQ1 2019","Currency=USD","Period=FQ","BEST_FPERIOD_OVERRIDE=FQ","FILING_STATUS=MR","Sort=A","Dates=H","DateFormat=P","Fill=—","Direction=H","UseDPDF=Y")</f>
        <v>—</v>
      </c>
      <c r="F91" s="13" t="str" cm="1">
        <f t="array" ref="F91">_xll.BDH("DE US Equity","BS_OPTIONS_GRANTED","FQ2 2019","FQ2 2019","Currency=USD","Period=FQ","BEST_FPERIOD_OVERRIDE=FQ","FILING_STATUS=MR","Sort=A","Dates=H","DateFormat=P","Fill=—","Direction=H","UseDPDF=Y")</f>
        <v>—</v>
      </c>
      <c r="G91" s="13" t="str" cm="1">
        <f t="array" ref="G91">_xll.BDH("DE US Equity","BS_OPTIONS_GRANTED","FQ3 2019","FQ3 2019","Currency=USD","Period=FQ","BEST_FPERIOD_OVERRIDE=FQ","FILING_STATUS=MR","Sort=A","Dates=H","DateFormat=P","Fill=—","Direction=H","UseDPDF=Y")</f>
        <v>—</v>
      </c>
      <c r="H91" s="13" t="str" cm="1">
        <f t="array" ref="H91">_xll.BDH("DE US Equity","BS_OPTIONS_GRANTED","FQ4 2019","FQ4 2019","Currency=USD","Period=FQ","BEST_FPERIOD_OVERRIDE=FQ","FILING_STATUS=MR","Sort=A","Dates=H","DateFormat=P","Fill=—","Direction=H","UseDPDF=Y")</f>
        <v>—</v>
      </c>
      <c r="I91" s="13" t="str" cm="1">
        <f t="array" ref="I91">_xll.BDH("DE US Equity","BS_OPTIONS_GRANTED","FQ1 2020","FQ1 2020","Currency=USD","Period=FQ","BEST_FPERIOD_OVERRIDE=FQ","FILING_STATUS=MR","Sort=A","Dates=H","DateFormat=P","Fill=—","Direction=H","UseDPDF=Y")</f>
        <v>—</v>
      </c>
      <c r="J91" s="13" t="str" cm="1">
        <f t="array" ref="J91">_xll.BDH("DE US Equity","BS_OPTIONS_GRANTED","FQ2 2020","FQ2 2020","Currency=USD","Period=FQ","BEST_FPERIOD_OVERRIDE=FQ","FILING_STATUS=MR","Sort=A","Dates=H","DateFormat=P","Fill=—","Direction=H","UseDPDF=Y")</f>
        <v>—</v>
      </c>
      <c r="K91" s="13" t="str" cm="1">
        <f t="array" ref="K91">_xll.BDH("DE US Equity","BS_OPTIONS_GRANTED","FQ3 2020","FQ3 2020","Currency=USD","Period=FQ","BEST_FPERIOD_OVERRIDE=FQ","FILING_STATUS=MR","Sort=A","Dates=H","DateFormat=P","Fill=—","Direction=H","UseDPDF=Y")</f>
        <v>—</v>
      </c>
      <c r="L91" s="13" t="str" cm="1">
        <f t="array" ref="L91">_xll.BDH("DE US Equity","BS_OPTIONS_GRANTED","FQ4 2020","FQ4 2020","Currency=USD","Period=FQ","BEST_FPERIOD_OVERRIDE=FQ","FILING_STATUS=MR","Sort=A","Dates=H","DateFormat=P","Fill=—","Direction=H","UseDPDF=Y")</f>
        <v>—</v>
      </c>
      <c r="M91" s="13" t="str" cm="1">
        <f t="array" ref="M91">_xll.BDH("DE US Equity","BS_OPTIONS_GRANTED","FQ1 2021","FQ1 2021","Currency=USD","Period=FQ","BEST_FPERIOD_OVERRIDE=FQ","FILING_STATUS=MR","Sort=A","Dates=H","DateFormat=P","Fill=—","Direction=H","UseDPDF=Y")</f>
        <v>—</v>
      </c>
      <c r="N91" s="13" t="str" cm="1">
        <f t="array" ref="N91">_xll.BDH("DE US Equity","BS_OPTIONS_GRANTED","FQ2 2021","FQ2 2021","Currency=USD","Period=FQ","BEST_FPERIOD_OVERRIDE=FQ","FILING_STATUS=MR","Sort=A","Dates=H","DateFormat=P","Fill=—","Direction=H","UseDPDF=Y")</f>
        <v>—</v>
      </c>
      <c r="O91" s="13" t="str" cm="1">
        <f t="array" ref="O91">_xll.BDH("DE US Equity","BS_OPTIONS_GRANTED","FQ3 2021","FQ3 2021","Currency=USD","Period=FQ","BEST_FPERIOD_OVERRIDE=FQ","FILING_STATUS=MR","Sort=A","Dates=H","DateFormat=P","Fill=—","Direction=H","UseDPDF=Y")</f>
        <v>—</v>
      </c>
      <c r="P91" s="13" t="str" cm="1">
        <f t="array" ref="P91">_xll.BDH("DE US Equity","BS_OPTIONS_GRANTED","FQ4 2021","FQ4 2021","Currency=USD","Period=FQ","BEST_FPERIOD_OVERRIDE=FQ","FILING_STATUS=MR","Sort=A","Dates=H","DateFormat=P","Fill=—","Direction=H","UseDPDF=Y")</f>
        <v>—</v>
      </c>
      <c r="Q91" s="13" cm="1">
        <f t="array" ref="Q91">_xll.BDH("DE US Equity","BS_OPTIONS_GRANTED","FQ1 2022","FQ1 2022","Currency=USD","Period=FQ","BEST_FPERIOD_OVERRIDE=FQ","FILING_STATUS=MR","Sort=A","Dates=H","DateFormat=P","Fill=—","Direction=H","UseDPDF=Y")</f>
        <v>0.1</v>
      </c>
      <c r="R91" s="13" cm="1">
        <f t="array" ref="R91">_xll.BDH("DE US Equity","BS_OPTIONS_GRANTED","FQ2 2022","FQ2 2022","Currency=USD","Period=FQ","BEST_FPERIOD_OVERRIDE=FQ","FILING_STATUS=MR","Sort=A","Dates=H","DateFormat=P","Fill=—","Direction=H","UseDPDF=Y")</f>
        <v>0</v>
      </c>
      <c r="S91" s="13" t="str" cm="1">
        <f t="array" ref="S91">_xll.BDH("DE US Equity","BS_OPTIONS_GRANTED","FQ3 2022","FQ3 2022","Currency=USD","Period=FQ","BEST_FPERIOD_OVERRIDE=FQ","FILING_STATUS=MR","Sort=A","Dates=H","DateFormat=P","Fill=—","Direction=H","UseDPDF=Y")</f>
        <v>—</v>
      </c>
      <c r="T91" s="13" cm="1">
        <f t="array" ref="T91">_xll.BDH("DE US Equity","BS_OPTIONS_GRANTED","FQ4 2022","FQ4 2022","Currency=USD","Period=FQ","BEST_FPERIOD_OVERRIDE=FQ","FILING_STATUS=MR","Sort=A","Dates=H","DateFormat=P","Fill=—","Direction=H","UseDPDF=Y")</f>
        <v>0</v>
      </c>
      <c r="U91" s="13" t="str" cm="1">
        <f t="array" ref="U91">_xll.BDH("DE US Equity","BS_OPTIONS_GRANTED","FQ1 2023","FQ1 2023","Currency=USD","Period=FQ","BEST_FPERIOD_OVERRIDE=FQ","FILING_STATUS=MR","Sort=A","Dates=H","DateFormat=P","Fill=—","Direction=H","UseDPDF=Y")</f>
        <v>—</v>
      </c>
      <c r="V91" s="13" t="str" cm="1">
        <f t="array" ref="V91">_xll.BDH("DE US Equity","BS_OPTIONS_GRANTED","FQ2 2023","FQ2 2023","Currency=USD","Period=FQ","BEST_FPERIOD_OVERRIDE=FQ","FILING_STATUS=MR","Sort=A","Dates=H","DateFormat=P","Fill=—","Direction=H","UseDPDF=Y")</f>
        <v>—</v>
      </c>
      <c r="W91" s="13" t="str" cm="1">
        <f t="array" ref="W91">_xll.BDH("DE US Equity","BS_OPTIONS_GRANTED","FQ3 2023","FQ3 2023","Currency=USD","Period=FQ","BEST_FPERIOD_OVERRIDE=FQ","FILING_STATUS=MR","Sort=A","Dates=H","DateFormat=P","Fill=—","Direction=H","UseDPDF=Y")</f>
        <v>—</v>
      </c>
      <c r="X91" s="13" t="str" cm="1">
        <f t="array" ref="X91">_xll.BDH("DE US Equity","BS_OPTIONS_GRANTED","FQ4 2023","FQ4 2023","Currency=USD","Period=FQ","BEST_FPERIOD_OVERRIDE=FQ","FILING_STATUS=MR","Sort=A","Dates=H","DateFormat=P","Fill=—","Direction=H","UseDPDF=Y")</f>
        <v>—</v>
      </c>
      <c r="Y91" s="13" t="str" cm="1">
        <f t="array" ref="Y91">_xll.BDH("DE US Equity","BS_OPTIONS_GRANTED","FQ1 2024","FQ1 2024","Currency=USD","Period=FQ","BEST_FPERIOD_OVERRIDE=FQ","FILING_STATUS=MR","Sort=A","Dates=H","DateFormat=P","Fill=—","Direction=H","UseDPDF=Y")</f>
        <v>—</v>
      </c>
      <c r="Z91" s="13" t="str" cm="1">
        <f t="array" ref="Z91">_xll.BDH("DE US Equity","BS_OPTIONS_GRANTED","FQ2 2024","FQ2 2024","Currency=USD","Period=FQ","BEST_FPERIOD_OVERRIDE=FQ","FILING_STATUS=MR","Sort=A","Dates=H","DateFormat=P","Fill=—","Direction=H","UseDPDF=Y")</f>
        <v>—</v>
      </c>
      <c r="AA91" s="13" t="str" cm="1">
        <f t="array" ref="AA91">_xll.BDH("DE US Equity","BS_OPTIONS_GRANTED","FQ3 2024","FQ3 2024","Currency=USD","Period=FQ","BEST_FPERIOD_OVERRIDE=FQ","FILING_STATUS=MR","Sort=A","Dates=H","DateFormat=P","Fill=—","Direction=H","UseDPDF=Y")</f>
        <v>—</v>
      </c>
      <c r="AB91" s="13" t="str" cm="1">
        <f t="array" ref="AB91">_xll.BDH("DE US Equity","BS_OPTIONS_GRANTED","FQ4 2024","FQ4 2024","Currency=USD","Period=FQ","BEST_FPERIOD_OVERRIDE=FQ","FILING_STATUS=MR","Sort=A","Dates=H","DateFormat=P","Fill=—","Direction=H","UseDPDF=Y")</f>
        <v>—</v>
      </c>
      <c r="AC91" s="13" t="str" cm="1">
        <f t="array" ref="AC91">_xll.BDH("DE US Equity","BS_OPTIONS_GRANTED","FQ1 2025","FQ1 2025","Currency=USD","Period=FQ","BEST_FPERIOD_OVERRIDE=FQ","FILING_STATUS=MR","Sort=A","Dates=H","DateFormat=P","Fill=—","Direction=H","UseDPDF=Y")</f>
        <v>—</v>
      </c>
      <c r="AD91" s="13" t="str" cm="1">
        <f t="array" ref="AD91">_xll.BDH("DE US Equity","BS_OPTIONS_GRANTED","FQ2 2025","FQ2 2025","Currency=USD","Period=FQ","BEST_FPERIOD_OVERRIDE=FQ","FILING_STATUS=MR","Sort=A","Dates=H","DateFormat=P","Fill=—","Direction=H","UseDPDF=Y")</f>
        <v>—</v>
      </c>
      <c r="AE91" s="13" t="str" cm="1">
        <f t="array" ref="AE91">_xll.BDH("DE US Equity","BS_OPTIONS_GRANTED","FQ3 2025","FQ3 2025","Currency=USD","Period=FQ","BEST_FPERIOD_OVERRIDE=FQ","FILING_STATUS=MR","Sort=A","Dates=H","DateFormat=P","Fill=—","Direction=H","UseDPDF=Y")</f>
        <v>—</v>
      </c>
      <c r="AF91" s="13" t="str" cm="1">
        <f t="array" ref="AF91">_xll.BDH("DE US Equity","BS_OPTIONS_GRANTED","FQ4 2025","FQ4 2025","Currency=USD","Period=FQ","BEST_FPERIOD_OVERRIDE=FQ","FILING_STATUS=MR","Sort=A","Dates=H","DateFormat=P","Fill=—","Direction=H","UseDPDF=Y")</f>
        <v>—</v>
      </c>
    </row>
    <row r="92" spans="1:32" x14ac:dyDescent="0.25">
      <c r="A92" s="10" t="s">
        <v>226</v>
      </c>
      <c r="B92" s="10" t="s">
        <v>227</v>
      </c>
      <c r="C92" s="13" cm="1">
        <f t="array" ref="C92">_xll.BDH("DE US Equity","BS_OPTIONS_OUTSTANDING","FQ3 2018","FQ3 2018","Currency=USD","Period=FQ","BEST_FPERIOD_OVERRIDE=FQ","FILING_STATUS=MR","Sort=A","Dates=H","DateFormat=P","Fill=—","Direction=H","UseDPDF=Y")</f>
        <v>8.9</v>
      </c>
      <c r="D92" s="13" cm="1">
        <f t="array" ref="D92">_xll.BDH("DE US Equity","BS_OPTIONS_OUTSTANDING","FQ4 2018","FQ4 2018","Currency=USD","Period=FQ","BEST_FPERIOD_OVERRIDE=FQ","FILING_STATUS=MR","Sort=A","Dates=H","DateFormat=P","Fill=—","Direction=H","UseDPDF=Y")</f>
        <v>8.8000000000000007</v>
      </c>
      <c r="E92" s="13" cm="1">
        <f t="array" ref="E92">_xll.BDH("DE US Equity","BS_OPTIONS_OUTSTANDING","FQ1 2019","FQ1 2019","Currency=USD","Period=FQ","BEST_FPERIOD_OVERRIDE=FQ","FILING_STATUS=MR","Sort=A","Dates=H","DateFormat=P","Fill=—","Direction=H","UseDPDF=Y")</f>
        <v>8.6</v>
      </c>
      <c r="F92" s="13" cm="1">
        <f t="array" ref="F92">_xll.BDH("DE US Equity","BS_OPTIONS_OUTSTANDING","FQ2 2019","FQ2 2019","Currency=USD","Period=FQ","BEST_FPERIOD_OVERRIDE=FQ","FILING_STATUS=MR","Sort=A","Dates=H","DateFormat=P","Fill=—","Direction=H","UseDPDF=Y")</f>
        <v>8</v>
      </c>
      <c r="G92" s="13" cm="1">
        <f t="array" ref="G92">_xll.BDH("DE US Equity","BS_OPTIONS_OUTSTANDING","FQ3 2019","FQ3 2019","Currency=USD","Period=FQ","BEST_FPERIOD_OVERRIDE=FQ","FILING_STATUS=MR","Sort=A","Dates=H","DateFormat=P","Fill=—","Direction=H","UseDPDF=Y")</f>
        <v>7.5</v>
      </c>
      <c r="H92" s="13" cm="1">
        <f t="array" ref="H92">_xll.BDH("DE US Equity","BS_OPTIONS_OUTSTANDING","FQ4 2019","FQ4 2019","Currency=USD","Period=FQ","BEST_FPERIOD_OVERRIDE=FQ","FILING_STATUS=MR","Sort=A","Dates=H","DateFormat=P","Fill=—","Direction=H","UseDPDF=Y")</f>
        <v>7</v>
      </c>
      <c r="I92" s="13" cm="1">
        <f t="array" ref="I92">_xll.BDH("DE US Equity","BS_OPTIONS_OUTSTANDING","FQ1 2020","FQ1 2020","Currency=USD","Period=FQ","BEST_FPERIOD_OVERRIDE=FQ","FILING_STATUS=MR","Sort=A","Dates=H","DateFormat=P","Fill=—","Direction=H","UseDPDF=Y")</f>
        <v>6.8</v>
      </c>
      <c r="J92" s="13" cm="1">
        <f t="array" ref="J92">_xll.BDH("DE US Equity","BS_OPTIONS_OUTSTANDING","FQ2 2020","FQ2 2020","Currency=USD","Period=FQ","BEST_FPERIOD_OVERRIDE=FQ","FILING_STATUS=MR","Sort=A","Dates=H","DateFormat=P","Fill=—","Direction=H","UseDPDF=Y")</f>
        <v>6.6</v>
      </c>
      <c r="K92" s="13" cm="1">
        <f t="array" ref="K92">_xll.BDH("DE US Equity","BS_OPTIONS_OUTSTANDING","FQ3 2020","FQ3 2020","Currency=USD","Period=FQ","BEST_FPERIOD_OVERRIDE=FQ","FILING_STATUS=MR","Sort=A","Dates=H","DateFormat=P","Fill=—","Direction=H","UseDPDF=Y")</f>
        <v>6.1</v>
      </c>
      <c r="L92" s="13" cm="1">
        <f t="array" ref="L92">_xll.BDH("DE US Equity","BS_OPTIONS_OUTSTANDING","FQ4 2020","FQ4 2020","Currency=USD","Period=FQ","BEST_FPERIOD_OVERRIDE=FQ","FILING_STATUS=MR","Sort=A","Dates=H","DateFormat=P","Fill=—","Direction=H","UseDPDF=Y")</f>
        <v>3.7</v>
      </c>
      <c r="M92" s="13" cm="1">
        <f t="array" ref="M92">_xll.BDH("DE US Equity","BS_OPTIONS_OUTSTANDING","FQ1 2021","FQ1 2021","Currency=USD","Period=FQ","BEST_FPERIOD_OVERRIDE=FQ","FILING_STATUS=MR","Sort=A","Dates=H","DateFormat=P","Fill=—","Direction=H","UseDPDF=Y")</f>
        <v>3.2</v>
      </c>
      <c r="N92" s="13" cm="1">
        <f t="array" ref="N92">_xll.BDH("DE US Equity","BS_OPTIONS_OUTSTANDING","FQ2 2021","FQ2 2021","Currency=USD","Period=FQ","BEST_FPERIOD_OVERRIDE=FQ","FILING_STATUS=MR","Sort=A","Dates=H","DateFormat=P","Fill=—","Direction=H","UseDPDF=Y")</f>
        <v>2.8</v>
      </c>
      <c r="O92" s="13" cm="1">
        <f t="array" ref="O92">_xll.BDH("DE US Equity","BS_OPTIONS_OUTSTANDING","FQ3 2021","FQ3 2021","Currency=USD","Period=FQ","BEST_FPERIOD_OVERRIDE=FQ","FILING_STATUS=MR","Sort=A","Dates=H","DateFormat=P","Fill=—","Direction=H","UseDPDF=Y")</f>
        <v>2.6</v>
      </c>
      <c r="P92" s="13" cm="1">
        <f t="array" ref="P92">_xll.BDH("DE US Equity","BS_OPTIONS_OUTSTANDING","FQ4 2021","FQ4 2021","Currency=USD","Period=FQ","BEST_FPERIOD_OVERRIDE=FQ","FILING_STATUS=MR","Sort=A","Dates=H","DateFormat=P","Fill=—","Direction=H","UseDPDF=Y")</f>
        <v>2.5</v>
      </c>
      <c r="Q92" s="13" cm="1">
        <f t="array" ref="Q92">_xll.BDH("DE US Equity","BS_OPTIONS_OUTSTANDING","FQ1 2022","FQ1 2022","Currency=USD","Period=FQ","BEST_FPERIOD_OVERRIDE=FQ","FILING_STATUS=MR","Sort=A","Dates=H","DateFormat=P","Fill=—","Direction=H","UseDPDF=Y")</f>
        <v>2.6</v>
      </c>
      <c r="R92" s="13" cm="1">
        <f t="array" ref="R92">_xll.BDH("DE US Equity","BS_OPTIONS_OUTSTANDING","FQ2 2022","FQ2 2022","Currency=USD","Period=FQ","BEST_FPERIOD_OVERRIDE=FQ","FILING_STATUS=MR","Sort=A","Dates=H","DateFormat=P","Fill=—","Direction=H","UseDPDF=Y")</f>
        <v>2.2000000000000002</v>
      </c>
      <c r="S92" s="13" cm="1">
        <f t="array" ref="S92">_xll.BDH("DE US Equity","BS_OPTIONS_OUTSTANDING","FQ3 2022","FQ3 2022","Currency=USD","Period=FQ","BEST_FPERIOD_OVERRIDE=FQ","FILING_STATUS=MR","Sort=A","Dates=H","DateFormat=P","Fill=—","Direction=H","UseDPDF=Y")</f>
        <v>2.1</v>
      </c>
      <c r="T92" s="13" cm="1">
        <f t="array" ref="T92">_xll.BDH("DE US Equity","BS_OPTIONS_OUTSTANDING","FQ4 2022","FQ4 2022","Currency=USD","Period=FQ","BEST_FPERIOD_OVERRIDE=FQ","FILING_STATUS=MR","Sort=A","Dates=H","DateFormat=P","Fill=—","Direction=H","UseDPDF=Y")</f>
        <v>2.1</v>
      </c>
      <c r="U92" s="13" cm="1">
        <f t="array" ref="U92">_xll.BDH("DE US Equity","BS_OPTIONS_OUTSTANDING","FQ1 2023","FQ1 2023","Currency=USD","Period=FQ","BEST_FPERIOD_OVERRIDE=FQ","FILING_STATUS=MR","Sort=A","Dates=H","DateFormat=P","Fill=—","Direction=H","UseDPDF=Y")</f>
        <v>2</v>
      </c>
      <c r="V92" s="13" cm="1">
        <f t="array" ref="V92">_xll.BDH("DE US Equity","BS_OPTIONS_OUTSTANDING","FQ2 2023","FQ2 2023","Currency=USD","Period=FQ","BEST_FPERIOD_OVERRIDE=FQ","FILING_STATUS=MR","Sort=A","Dates=H","DateFormat=P","Fill=—","Direction=H","UseDPDF=Y")</f>
        <v>1.9</v>
      </c>
      <c r="W92" s="13" cm="1">
        <f t="array" ref="W92">_xll.BDH("DE US Equity","BS_OPTIONS_OUTSTANDING","FQ3 2023","FQ3 2023","Currency=USD","Period=FQ","BEST_FPERIOD_OVERRIDE=FQ","FILING_STATUS=MR","Sort=A","Dates=H","DateFormat=P","Fill=—","Direction=H","UseDPDF=Y")</f>
        <v>1.8</v>
      </c>
      <c r="X92" s="13" cm="1">
        <f t="array" ref="X92">_xll.BDH("DE US Equity","BS_OPTIONS_OUTSTANDING","FQ4 2023","FQ4 2023","Currency=USD","Period=FQ","BEST_FPERIOD_OVERRIDE=FQ","FILING_STATUS=MR","Sort=A","Dates=H","DateFormat=P","Fill=—","Direction=H","UseDPDF=Y")</f>
        <v>1.7</v>
      </c>
      <c r="Y92" s="13" cm="1">
        <f t="array" ref="Y92">_xll.BDH("DE US Equity","BS_OPTIONS_OUTSTANDING","FQ1 2024","FQ1 2024","Currency=USD","Period=FQ","BEST_FPERIOD_OVERRIDE=FQ","FILING_STATUS=MR","Sort=A","Dates=H","DateFormat=P","Fill=—","Direction=H","UseDPDF=Y")</f>
        <v>1.9</v>
      </c>
      <c r="Z92" s="13" cm="1">
        <f t="array" ref="Z92">_xll.BDH("DE US Equity","BS_OPTIONS_OUTSTANDING","FQ2 2024","FQ2 2024","Currency=USD","Period=FQ","BEST_FPERIOD_OVERRIDE=FQ","FILING_STATUS=MR","Sort=A","Dates=H","DateFormat=P","Fill=—","Direction=H","UseDPDF=Y")</f>
        <v>1.8</v>
      </c>
      <c r="AA92" s="13" cm="1">
        <f t="array" ref="AA92">_xll.BDH("DE US Equity","BS_OPTIONS_OUTSTANDING","FQ3 2024","FQ3 2024","Currency=USD","Period=FQ","BEST_FPERIOD_OVERRIDE=FQ","FILING_STATUS=MR","Sort=A","Dates=H","DateFormat=P","Fill=—","Direction=H","UseDPDF=Y")</f>
        <v>1.7</v>
      </c>
      <c r="AB92" s="13" cm="1">
        <f t="array" ref="AB92">_xll.BDH("DE US Equity","BS_OPTIONS_OUTSTANDING","FQ4 2024","FQ4 2024","Currency=USD","Period=FQ","BEST_FPERIOD_OVERRIDE=FQ","FILING_STATUS=MR","Sort=A","Dates=H","DateFormat=P","Fill=—","Direction=H","UseDPDF=Y")</f>
        <v>1.5</v>
      </c>
      <c r="AC92" s="13" cm="1">
        <f t="array" ref="AC92">_xll.BDH("DE US Equity","BS_OPTIONS_OUTSTANDING","FQ1 2025","FQ1 2025","Currency=USD","Period=FQ","BEST_FPERIOD_OVERRIDE=FQ","FILING_STATUS=MR","Sort=A","Dates=H","DateFormat=P","Fill=—","Direction=H","UseDPDF=Y")</f>
        <v>1.4</v>
      </c>
      <c r="AD92" s="13" cm="1">
        <f t="array" ref="AD92">_xll.BDH("DE US Equity","BS_OPTIONS_OUTSTANDING","FQ2 2025","FQ2 2025","Currency=USD","Period=FQ","BEST_FPERIOD_OVERRIDE=FQ","FILING_STATUS=MR","Sort=A","Dates=H","DateFormat=P","Fill=—","Direction=H","UseDPDF=Y")</f>
        <v>1.2</v>
      </c>
      <c r="AE92" s="13" cm="1">
        <f t="array" ref="AE92">_xll.BDH("DE US Equity","BS_OPTIONS_OUTSTANDING","FQ3 2025","FQ3 2025","Currency=USD","Period=FQ","BEST_FPERIOD_OVERRIDE=FQ","FILING_STATUS=MR","Sort=A","Dates=H","DateFormat=P","Fill=—","Direction=H","UseDPDF=Y")</f>
        <v>1.1000000000000001</v>
      </c>
      <c r="AF92" s="13" cm="1">
        <f t="array" ref="AF92">_xll.BDH("DE US Equity","BS_OPTIONS_OUTSTANDING","FQ4 2025","FQ4 2025","Currency=USD","Period=FQ","BEST_FPERIOD_OVERRIDE=FQ","FILING_STATUS=MR","Sort=A","Dates=H","DateFormat=P","Fill=—","Direction=H","UseDPDF=Y")</f>
        <v>1.1120000000000001</v>
      </c>
    </row>
    <row r="93" spans="1:32" x14ac:dyDescent="0.25">
      <c r="A93" s="10" t="s">
        <v>228</v>
      </c>
      <c r="B93" s="10" t="s">
        <v>229</v>
      </c>
      <c r="C93" s="13" cm="1">
        <f t="array" ref="C93">_xll.BDH("DE US Equity","NET_DEBT","FQ3 2018","FQ3 2018","Currency=USD","Period=FQ","BEST_FPERIOD_OVERRIDE=FQ","FILING_STATUS=MR","SCALING_FORMAT=MLN","Sort=A","Dates=H","DateFormat=P","Fill=—","Direction=H","UseDPDF=Y")</f>
        <v>3591</v>
      </c>
      <c r="D93" s="13" cm="1">
        <f t="array" ref="D93">_xll.BDH("DE US Equity","NET_DEBT","FQ4 2018","FQ4 2018","Currency=USD","Period=FQ","BEST_FPERIOD_OVERRIDE=FQ","FILING_STATUS=MR","SCALING_FORMAT=MLN","Sort=A","Dates=H","DateFormat=P","Fill=—","Direction=H","UseDPDF=Y")</f>
        <v>3020</v>
      </c>
      <c r="E93" s="13" cm="1">
        <f t="array" ref="E93">_xll.BDH("DE US Equity","NET_DEBT","FQ1 2019","FQ1 2019","Currency=USD","Period=FQ","BEST_FPERIOD_OVERRIDE=FQ","FILING_STATUS=MR","SCALING_FORMAT=MLN","Sort=A","Dates=H","DateFormat=P","Fill=—","Direction=H","UseDPDF=Y")</f>
        <v>3593.8</v>
      </c>
      <c r="F93" s="13" cm="1">
        <f t="array" ref="F93">_xll.BDH("DE US Equity","NET_DEBT","FQ2 2019","FQ2 2019","Currency=USD","Period=FQ","BEST_FPERIOD_OVERRIDE=FQ","FILING_STATUS=MR","SCALING_FORMAT=MLN","Sort=A","Dates=H","DateFormat=P","Fill=—","Direction=H","UseDPDF=Y")</f>
        <v>3173</v>
      </c>
      <c r="G93" s="13" cm="1">
        <f t="array" ref="G93">_xll.BDH("DE US Equity","NET_DEBT","FQ3 2019","FQ3 2019","Currency=USD","Period=FQ","BEST_FPERIOD_OVERRIDE=FQ","FILING_STATUS=MR","SCALING_FORMAT=MLN","Sort=A","Dates=H","DateFormat=P","Fill=—","Direction=H","UseDPDF=Y")</f>
        <v>4090</v>
      </c>
      <c r="H93" s="13" cm="1">
        <f t="array" ref="H93">_xll.BDH("DE US Equity","NET_DEBT","FQ4 2019","FQ4 2019","Currency=USD","Period=FQ","BEST_FPERIOD_OVERRIDE=FQ","FILING_STATUS=MR","SCALING_FORMAT=MLN","Sort=A","Dates=H","DateFormat=P","Fill=—","Direction=H","UseDPDF=Y")</f>
        <v>3270</v>
      </c>
      <c r="I93" s="13" cm="1">
        <f t="array" ref="I93">_xll.BDH("DE US Equity","NET_DEBT","FQ1 2020","FQ1 2020","Currency=USD","Period=FQ","BEST_FPERIOD_OVERRIDE=FQ","FILING_STATUS=MR","SCALING_FORMAT=MLN","Sort=A","Dates=H","DateFormat=P","Fill=—","Direction=H","UseDPDF=Y")</f>
        <v>3690</v>
      </c>
      <c r="J93" s="13" cm="1">
        <f t="array" ref="J93">_xll.BDH("DE US Equity","NET_DEBT","FQ2 2020","FQ2 2020","Currency=USD","Period=FQ","BEST_FPERIOD_OVERRIDE=FQ","FILING_STATUS=MR","SCALING_FORMAT=MLN","Sort=A","Dates=H","DateFormat=P","Fill=—","Direction=H","UseDPDF=Y")</f>
        <v>3913</v>
      </c>
      <c r="K93" s="13" cm="1">
        <f t="array" ref="K93">_xll.BDH("DE US Equity","NET_DEBT","FQ3 2020","FQ3 2020","Currency=USD","Period=FQ","BEST_FPERIOD_OVERRIDE=FQ","FILING_STATUS=MR","SCALING_FORMAT=MLN","Sort=A","Dates=H","DateFormat=P","Fill=—","Direction=H","UseDPDF=Y")</f>
        <v>3659</v>
      </c>
      <c r="L93" s="13" cm="1">
        <f t="array" ref="L93">_xll.BDH("DE US Equity","NET_DEBT","FQ4 2020","FQ4 2020","Currency=USD","Period=FQ","BEST_FPERIOD_OVERRIDE=FQ","FILING_STATUS=MR","SCALING_FORMAT=MLN","Sort=A","Dates=H","DateFormat=P","Fill=—","Direction=H","UseDPDF=Y")</f>
        <v>4290</v>
      </c>
      <c r="M93" s="13" cm="1">
        <f t="array" ref="M93">_xll.BDH("DE US Equity","NET_DEBT","FQ1 2021","FQ1 2021","Currency=USD","Period=FQ","BEST_FPERIOD_OVERRIDE=FQ","FILING_STATUS=MR","SCALING_FORMAT=MLN","Sort=A","Dates=H","DateFormat=P","Fill=—","Direction=H","UseDPDF=Y")</f>
        <v>4468</v>
      </c>
      <c r="N93" s="13" cm="1">
        <f t="array" ref="N93">_xll.BDH("DE US Equity","NET_DEBT","FQ2 2021","FQ2 2021","Currency=USD","Period=FQ","BEST_FPERIOD_OVERRIDE=FQ","FILING_STATUS=MR","SCALING_FORMAT=MLN","Sort=A","Dates=H","DateFormat=P","Fill=—","Direction=H","UseDPDF=Y")</f>
        <v>4203</v>
      </c>
      <c r="O93" s="13" cm="1">
        <f t="array" ref="O93">_xll.BDH("DE US Equity","NET_DEBT","FQ3 2021","FQ3 2021","Currency=USD","Period=FQ","BEST_FPERIOD_OVERRIDE=FQ","FILING_STATUS=MR","SCALING_FORMAT=MLN","Sort=A","Dates=H","DateFormat=P","Fill=—","Direction=H","UseDPDF=Y")</f>
        <v>3729</v>
      </c>
      <c r="P93" s="13" cm="1">
        <f t="array" ref="P93">_xll.BDH("DE US Equity","NET_DEBT","FQ4 2021","FQ4 2021","Currency=USD","Period=FQ","BEST_FPERIOD_OVERRIDE=FQ","FILING_STATUS=MR","SCALING_FORMAT=MLN","Sort=A","Dates=H","DateFormat=P","Fill=—","Direction=H","UseDPDF=Y")</f>
        <v>3243</v>
      </c>
      <c r="Q93" s="13" cm="1">
        <f t="array" ref="Q93">_xll.BDH("DE US Equity","NET_DEBT","FQ1 2022","FQ1 2022","Currency=USD","Period=FQ","BEST_FPERIOD_OVERRIDE=FQ","FILING_STATUS=MR","SCALING_FORMAT=MLN","Sort=A","Dates=H","DateFormat=P","Fill=—","Direction=H","UseDPDF=Y")</f>
        <v>6686</v>
      </c>
      <c r="R93" s="13" cm="1">
        <f t="array" ref="R93">_xll.BDH("DE US Equity","NET_DEBT","FQ2 2022","FQ2 2022","Currency=USD","Period=FQ","BEST_FPERIOD_OVERRIDE=FQ","FILING_STATUS=MR","SCALING_FORMAT=MLN","Sort=A","Dates=H","DateFormat=P","Fill=—","Direction=H","UseDPDF=Y")</f>
        <v>6946</v>
      </c>
      <c r="S93" s="13" cm="1">
        <f t="array" ref="S93">_xll.BDH("DE US Equity","NET_DEBT","FQ3 2022","FQ3 2022","Currency=USD","Period=FQ","BEST_FPERIOD_OVERRIDE=FQ","FILING_STATUS=MR","SCALING_FORMAT=MLN","Sort=A","Dates=H","DateFormat=P","Fill=—","Direction=H","UseDPDF=Y")</f>
        <v>5412</v>
      </c>
      <c r="T93" s="13" cm="1">
        <f t="array" ref="T93">_xll.BDH("DE US Equity","NET_DEBT","FQ4 2022","FQ4 2022","Currency=USD","Period=FQ","BEST_FPERIOD_OVERRIDE=FQ","FILING_STATUS=MR","SCALING_FORMAT=MLN","Sort=A","Dates=H","DateFormat=P","Fill=—","Direction=H","UseDPDF=Y")</f>
        <v>5129</v>
      </c>
      <c r="U93" s="13" cm="1">
        <f t="array" ref="U93">_xll.BDH("DE US Equity","NET_DEBT","FQ1 2023","FQ1 2023","Currency=USD","Period=FQ","BEST_FPERIOD_OVERRIDE=FQ","FILING_STATUS=MR","SCALING_FORMAT=MLN","Sort=A","Dates=H","DateFormat=P","Fill=—","Direction=H","UseDPDF=Y")</f>
        <v>6441</v>
      </c>
      <c r="V93" s="13" cm="1">
        <f t="array" ref="V93">_xll.BDH("DE US Equity","NET_DEBT","FQ2 2023","FQ2 2023","Currency=USD","Period=FQ","BEST_FPERIOD_OVERRIDE=FQ","FILING_STATUS=MR","SCALING_FORMAT=MLN","Sort=A","Dates=H","DateFormat=P","Fill=—","Direction=H","UseDPDF=Y")</f>
        <v>5464</v>
      </c>
      <c r="W93" s="13" cm="1">
        <f t="array" ref="W93">_xll.BDH("DE US Equity","NET_DEBT","FQ3 2023","FQ3 2023","Currency=USD","Period=FQ","BEST_FPERIOD_OVERRIDE=FQ","FILING_STATUS=MR","SCALING_FORMAT=MLN","Sort=A","Dates=H","DateFormat=P","Fill=—","Direction=H","UseDPDF=Y")</f>
        <v>-3085</v>
      </c>
      <c r="X93" s="13" cm="1">
        <f t="array" ref="X93">_xll.BDH("DE US Equity","NET_DEBT","FQ4 2023","FQ4 2023","Currency=USD","Period=FQ","BEST_FPERIOD_OVERRIDE=FQ","FILING_STATUS=MR","SCALING_FORMAT=MLN","Sort=A","Dates=H","DateFormat=P","Fill=—","Direction=H","UseDPDF=Y")</f>
        <v>2616</v>
      </c>
      <c r="Y93" s="13" cm="1">
        <f t="array" ref="Y93">_xll.BDH("DE US Equity","NET_DEBT","FQ1 2024","FQ1 2024","Currency=USD","Period=FQ","BEST_FPERIOD_OVERRIDE=FQ","FILING_STATUS=MR","SCALING_FORMAT=MLN","Sort=A","Dates=H","DateFormat=P","Fill=—","Direction=H","UseDPDF=Y")</f>
        <v>4859</v>
      </c>
      <c r="Z93" s="13" cm="1">
        <f t="array" ref="Z93">_xll.BDH("DE US Equity","NET_DEBT","FQ2 2024","FQ2 2024","Currency=USD","Period=FQ","BEST_FPERIOD_OVERRIDE=FQ","FILING_STATUS=MR","SCALING_FORMAT=MLN","Sort=A","Dates=H","DateFormat=P","Fill=—","Direction=H","UseDPDF=Y")</f>
        <v>3682</v>
      </c>
      <c r="AA93" s="13" cm="1">
        <f t="array" ref="AA93">_xll.BDH("DE US Equity","NET_DEBT","FQ3 2024","FQ3 2024","Currency=USD","Period=FQ","BEST_FPERIOD_OVERRIDE=FQ","FILING_STATUS=MR","SCALING_FORMAT=MLN","Sort=A","Dates=H","DateFormat=P","Fill=—","Direction=H","UseDPDF=Y")</f>
        <v>2035</v>
      </c>
      <c r="AB93" s="13" cm="1">
        <f t="array" ref="AB93">_xll.BDH("DE US Equity","NET_DEBT","FQ4 2024","FQ4 2024","Currency=USD","Period=FQ","BEST_FPERIOD_OVERRIDE=FQ","FILING_STATUS=MR","SCALING_FORMAT=MLN","Sort=A","Dates=H","DateFormat=P","Fill=—","Direction=H","UseDPDF=Y")</f>
        <v>1774</v>
      </c>
      <c r="AC93" s="13" cm="1">
        <f t="array" ref="AC93">_xll.BDH("DE US Equity","NET_DEBT","FQ1 2025","FQ1 2025","Currency=USD","Period=FQ","BEST_FPERIOD_OVERRIDE=FQ","FILING_STATUS=MR","SCALING_FORMAT=MLN","Sort=A","Dates=H","DateFormat=P","Fill=—","Direction=H","UseDPDF=Y")</f>
        <v>4654</v>
      </c>
      <c r="AD93" s="13" cm="1">
        <f t="array" ref="AD93">_xll.BDH("DE US Equity","NET_DEBT","FQ2 2025","FQ2 2025","Currency=USD","Period=FQ","BEST_FPERIOD_OVERRIDE=FQ","FILING_STATUS=MR","SCALING_FORMAT=MLN","Sort=A","Dates=H","DateFormat=P","Fill=—","Direction=H","UseDPDF=Y")</f>
        <v>2456</v>
      </c>
      <c r="AE93" s="13" cm="1">
        <f t="array" ref="AE93">_xll.BDH("DE US Equity","NET_DEBT","FQ3 2025","FQ3 2025","Currency=USD","Period=FQ","BEST_FPERIOD_OVERRIDE=FQ","FILING_STATUS=MR","SCALING_FORMAT=MLN","Sort=A","Dates=H","DateFormat=P","Fill=—","Direction=H","UseDPDF=Y")</f>
        <v>2369</v>
      </c>
      <c r="AF93" s="13" cm="1">
        <f t="array" ref="AF93">_xll.BDH("DE US Equity","NET_DEBT","FQ4 2025","FQ4 2025","Currency=USD","Period=FQ","BEST_FPERIOD_OVERRIDE=FQ","FILING_STATUS=MR","SCALING_FORMAT=MLN","Sort=A","Dates=H","DateFormat=P","Fill=—","Direction=H","UseDPDF=Y")</f>
        <v>2614</v>
      </c>
    </row>
    <row r="94" spans="1:32" x14ac:dyDescent="0.25">
      <c r="A94" s="10" t="s">
        <v>230</v>
      </c>
      <c r="B94" s="10" t="s">
        <v>231</v>
      </c>
      <c r="C94" s="14" cm="1">
        <f t="array" ref="C94">_xll.BDH("DE US Equity","NET_DEBT_TO_SHRHLDR_EQTY","FQ3 2018","FQ3 2018","Currency=USD","Period=FQ","BEST_FPERIOD_OVERRIDE=FQ","FILING_STATUS=MR","Sort=A","Dates=H","DateFormat=P","Fill=—","Direction=H","UseDPDF=Y")</f>
        <v>34.595399999999998</v>
      </c>
      <c r="D94" s="14" cm="1">
        <f t="array" ref="D94">_xll.BDH("DE US Equity","NET_DEBT_TO_SHRHLDR_EQTY","FQ4 2018","FQ4 2018","Currency=USD","Period=FQ","BEST_FPERIOD_OVERRIDE=FQ","FILING_STATUS=MR","Sort=A","Dates=H","DateFormat=P","Fill=—","Direction=H","UseDPDF=Y")</f>
        <v>26.713799999999999</v>
      </c>
      <c r="E94" s="14" cm="1">
        <f t="array" ref="E94">_xll.BDH("DE US Equity","NET_DEBT_TO_SHRHLDR_EQTY","FQ1 2019","FQ1 2019","Currency=USD","Period=FQ","BEST_FPERIOD_OVERRIDE=FQ","FILING_STATUS=MR","Sort=A","Dates=H","DateFormat=P","Fill=—","Direction=H","UseDPDF=Y")</f>
        <v>31.672599999999999</v>
      </c>
      <c r="F94" s="14" cm="1">
        <f t="array" ref="F94">_xll.BDH("DE US Equity","NET_DEBT_TO_SHRHLDR_EQTY","FQ2 2019","FQ2 2019","Currency=USD","Period=FQ","BEST_FPERIOD_OVERRIDE=FQ","FILING_STATUS=MR","Sort=A","Dates=H","DateFormat=P","Fill=—","Direction=H","UseDPDF=Y")</f>
        <v>26.579000000000001</v>
      </c>
      <c r="G94" s="14" cm="1">
        <f t="array" ref="G94">_xll.BDH("DE US Equity","NET_DEBT_TO_SHRHLDR_EQTY","FQ3 2019","FQ3 2019","Currency=USD","Period=FQ","BEST_FPERIOD_OVERRIDE=FQ","FILING_STATUS=MR","Sort=A","Dates=H","DateFormat=P","Fill=—","Direction=H","UseDPDF=Y")</f>
        <v>33.295299999999997</v>
      </c>
      <c r="H94" s="14" cm="1">
        <f t="array" ref="H94">_xll.BDH("DE US Equity","NET_DEBT_TO_SHRHLDR_EQTY","FQ4 2019","FQ4 2019","Currency=USD","Period=FQ","BEST_FPERIOD_OVERRIDE=FQ","FILING_STATUS=MR","Sort=A","Dates=H","DateFormat=P","Fill=—","Direction=H","UseDPDF=Y")</f>
        <v>28.606400000000001</v>
      </c>
      <c r="I94" s="14" cm="1">
        <f t="array" ref="I94">_xll.BDH("DE US Equity","NET_DEBT_TO_SHRHLDR_EQTY","FQ1 2020","FQ1 2020","Currency=USD","Period=FQ","BEST_FPERIOD_OVERRIDE=FQ","FILING_STATUS=MR","Sort=A","Dates=H","DateFormat=P","Fill=—","Direction=H","UseDPDF=Y")</f>
        <v>30.894200000000001</v>
      </c>
      <c r="J94" s="14" cm="1">
        <f t="array" ref="J94">_xll.BDH("DE US Equity","NET_DEBT_TO_SHRHLDR_EQTY","FQ2 2020","FQ2 2020","Currency=USD","Period=FQ","BEST_FPERIOD_OVERRIDE=FQ","FILING_STATUS=MR","Sort=A","Dates=H","DateFormat=P","Fill=—","Direction=H","UseDPDF=Y")</f>
        <v>32.979399999999998</v>
      </c>
      <c r="K94" s="14" cm="1">
        <f t="array" ref="K94">_xll.BDH("DE US Equity","NET_DEBT_TO_SHRHLDR_EQTY","FQ3 2020","FQ3 2020","Currency=USD","Period=FQ","BEST_FPERIOD_OVERRIDE=FQ","FILING_STATUS=MR","Sort=A","Dates=H","DateFormat=P","Fill=—","Direction=H","UseDPDF=Y")</f>
        <v>28.3841</v>
      </c>
      <c r="L94" s="14" cm="1">
        <f t="array" ref="L94">_xll.BDH("DE US Equity","NET_DEBT_TO_SHRHLDR_EQTY","FQ4 2020","FQ4 2020","Currency=USD","Period=FQ","BEST_FPERIOD_OVERRIDE=FQ","FILING_STATUS=MR","Sort=A","Dates=H","DateFormat=P","Fill=—","Direction=H","UseDPDF=Y")</f>
        <v>33.142800000000001</v>
      </c>
      <c r="M94" s="14" cm="1">
        <f t="array" ref="M94">_xll.BDH("DE US Equity","NET_DEBT_TO_SHRHLDR_EQTY","FQ1 2021","FQ1 2021","Currency=USD","Period=FQ","BEST_FPERIOD_OVERRIDE=FQ","FILING_STATUS=MR","Sort=A","Dates=H","DateFormat=P","Fill=—","Direction=H","UseDPDF=Y")</f>
        <v>31.7194</v>
      </c>
      <c r="N94" s="14" cm="1">
        <f t="array" ref="N94">_xll.BDH("DE US Equity","NET_DEBT_TO_SHRHLDR_EQTY","FQ2 2021","FQ2 2021","Currency=USD","Period=FQ","BEST_FPERIOD_OVERRIDE=FQ","FILING_STATUS=MR","Sort=A","Dates=H","DateFormat=P","Fill=—","Direction=H","UseDPDF=Y")</f>
        <v>27.841799999999999</v>
      </c>
      <c r="O94" s="14" cm="1">
        <f t="array" ref="O94">_xll.BDH("DE US Equity","NET_DEBT_TO_SHRHLDR_EQTY","FQ3 2021","FQ3 2021","Currency=USD","Period=FQ","BEST_FPERIOD_OVERRIDE=FQ","FILING_STATUS=MR","Sort=A","Dates=H","DateFormat=P","Fill=—","Direction=H","UseDPDF=Y")</f>
        <v>23.701799999999999</v>
      </c>
      <c r="P94" s="14" cm="1">
        <f t="array" ref="P94">_xll.BDH("DE US Equity","NET_DEBT_TO_SHRHLDR_EQTY","FQ4 2021","FQ4 2021","Currency=USD","Period=FQ","BEST_FPERIOD_OVERRIDE=FQ","FILING_STATUS=MR","Sort=A","Dates=H","DateFormat=P","Fill=—","Direction=H","UseDPDF=Y")</f>
        <v>17.592500000000001</v>
      </c>
      <c r="Q94" s="14" cm="1">
        <f t="array" ref="Q94">_xll.BDH("DE US Equity","NET_DEBT_TO_SHRHLDR_EQTY","FQ1 2022","FQ1 2022","Currency=USD","Period=FQ","BEST_FPERIOD_OVERRIDE=FQ","FILING_STATUS=MR","Sort=A","Dates=H","DateFormat=P","Fill=—","Direction=H","UseDPDF=Y")</f>
        <v>37.544899999999998</v>
      </c>
      <c r="R94" s="14" cm="1">
        <f t="array" ref="R94">_xll.BDH("DE US Equity","NET_DEBT_TO_SHRHLDR_EQTY","FQ2 2022","FQ2 2022","Currency=USD","Period=FQ","BEST_FPERIOD_OVERRIDE=FQ","FILING_STATUS=MR","Sort=A","Dates=H","DateFormat=P","Fill=—","Direction=H","UseDPDF=Y")</f>
        <v>36.546399999999998</v>
      </c>
      <c r="S94" s="14" cm="1">
        <f t="array" ref="S94">_xll.BDH("DE US Equity","NET_DEBT_TO_SHRHLDR_EQTY","FQ3 2022","FQ3 2022","Currency=USD","Period=FQ","BEST_FPERIOD_OVERRIDE=FQ","FILING_STATUS=MR","Sort=A","Dates=H","DateFormat=P","Fill=—","Direction=H","UseDPDF=Y")</f>
        <v>28.289200000000001</v>
      </c>
      <c r="T94" s="14" cm="1">
        <f t="array" ref="T94">_xll.BDH("DE US Equity","NET_DEBT_TO_SHRHLDR_EQTY","FQ4 2022","FQ4 2022","Currency=USD","Period=FQ","BEST_FPERIOD_OVERRIDE=FQ","FILING_STATUS=MR","Sort=A","Dates=H","DateFormat=P","Fill=—","Direction=H","UseDPDF=Y")</f>
        <v>25.1953</v>
      </c>
      <c r="U94" s="14" cm="1">
        <f t="array" ref="U94">_xll.BDH("DE US Equity","NET_DEBT_TO_SHRHLDR_EQTY","FQ1 2023","FQ1 2023","Currency=USD","Period=FQ","BEST_FPERIOD_OVERRIDE=FQ","FILING_STATUS=MR","Sort=A","Dates=H","DateFormat=P","Fill=—","Direction=H","UseDPDF=Y")</f>
        <v>30.047599999999999</v>
      </c>
      <c r="V94" s="14" cm="1">
        <f t="array" ref="V94">_xll.BDH("DE US Equity","NET_DEBT_TO_SHRHLDR_EQTY","FQ2 2023","FQ2 2023","Currency=USD","Period=FQ","BEST_FPERIOD_OVERRIDE=FQ","FILING_STATUS=MR","Sort=A","Dates=H","DateFormat=P","Fill=—","Direction=H","UseDPDF=Y")</f>
        <v>24.2834</v>
      </c>
      <c r="W94" s="14" cm="1">
        <f t="array" ref="W94">_xll.BDH("DE US Equity","NET_DEBT_TO_SHRHLDR_EQTY","FQ3 2023","FQ3 2023","Currency=USD","Period=FQ","BEST_FPERIOD_OVERRIDE=FQ","FILING_STATUS=MR","Sort=A","Dates=H","DateFormat=P","Fill=—","Direction=H","UseDPDF=Y")</f>
        <v>-13.324999999999999</v>
      </c>
      <c r="X94" s="14" cm="1">
        <f t="array" ref="X94">_xll.BDH("DE US Equity","NET_DEBT_TO_SHRHLDR_EQTY","FQ4 2023","FQ4 2023","Currency=USD","Period=FQ","BEST_FPERIOD_OVERRIDE=FQ","FILING_STATUS=MR","Sort=A","Dates=H","DateFormat=P","Fill=—","Direction=H","UseDPDF=Y")</f>
        <v>11.9528</v>
      </c>
      <c r="Y94" s="14" cm="1">
        <f t="array" ref="Y94">_xll.BDH("DE US Equity","NET_DEBT_TO_SHRHLDR_EQTY","FQ1 2024","FQ1 2024","Currency=USD","Period=FQ","BEST_FPERIOD_OVERRIDE=FQ","FILING_STATUS=MR","Sort=A","Dates=H","DateFormat=P","Fill=—","Direction=H","UseDPDF=Y")</f>
        <v>21.908100000000001</v>
      </c>
      <c r="Z94" s="14" cm="1">
        <f t="array" ref="Z94">_xll.BDH("DE US Equity","NET_DEBT_TO_SHRHLDR_EQTY","FQ2 2024","FQ2 2024","Currency=USD","Period=FQ","BEST_FPERIOD_OVERRIDE=FQ","FILING_STATUS=MR","Sort=A","Dates=H","DateFormat=P","Fill=—","Direction=H","UseDPDF=Y")</f>
        <v>16.158999999999999</v>
      </c>
      <c r="AA94" s="14" cm="1">
        <f t="array" ref="AA94">_xll.BDH("DE US Equity","NET_DEBT_TO_SHRHLDR_EQTY","FQ3 2024","FQ3 2024","Currency=USD","Period=FQ","BEST_FPERIOD_OVERRIDE=FQ","FILING_STATUS=MR","Sort=A","Dates=H","DateFormat=P","Fill=—","Direction=H","UseDPDF=Y")</f>
        <v>8.7909000000000006</v>
      </c>
      <c r="AB94" s="14" cm="1">
        <f t="array" ref="AB94">_xll.BDH("DE US Equity","NET_DEBT_TO_SHRHLDR_EQTY","FQ4 2024","FQ4 2024","Currency=USD","Period=FQ","BEST_FPERIOD_OVERRIDE=FQ","FILING_STATUS=MR","Sort=A","Dates=H","DateFormat=P","Fill=—","Direction=H","UseDPDF=Y")</f>
        <v>7.7382999999999997</v>
      </c>
      <c r="AC94" s="14" cm="1">
        <f t="array" ref="AC94">_xll.BDH("DE US Equity","NET_DEBT_TO_SHRHLDR_EQTY","FQ1 2025","FQ1 2025","Currency=USD","Period=FQ","BEST_FPERIOD_OVERRIDE=FQ","FILING_STATUS=MR","Sort=A","Dates=H","DateFormat=P","Fill=—","Direction=H","UseDPDF=Y")</f>
        <v>20.625800000000002</v>
      </c>
      <c r="AD94" s="14" cm="1">
        <f t="array" ref="AD94">_xll.BDH("DE US Equity","NET_DEBT_TO_SHRHLDR_EQTY","FQ2 2025","FQ2 2025","Currency=USD","Period=FQ","BEST_FPERIOD_OVERRIDE=FQ","FILING_STATUS=MR","Sort=A","Dates=H","DateFormat=P","Fill=—","Direction=H","UseDPDF=Y")</f>
        <v>10.0747</v>
      </c>
      <c r="AE94" s="14" cm="1">
        <f t="array" ref="AE94">_xll.BDH("DE US Equity","NET_DEBT_TO_SHRHLDR_EQTY","FQ3 2025","FQ3 2025","Currency=USD","Period=FQ","BEST_FPERIOD_OVERRIDE=FQ","FILING_STATUS=MR","Sort=A","Dates=H","DateFormat=P","Fill=—","Direction=H","UseDPDF=Y")</f>
        <v>9.3770000000000007</v>
      </c>
      <c r="AF94" s="14" cm="1">
        <f t="array" ref="AF94">_xll.BDH("DE US Equity","NET_DEBT_TO_SHRHLDR_EQTY","FQ4 2025","FQ4 2025","Currency=USD","Period=FQ","BEST_FPERIOD_OVERRIDE=FQ","FILING_STATUS=MR","Sort=A","Dates=H","DateFormat=P","Fill=—","Direction=H","UseDPDF=Y")</f>
        <v>10.0511</v>
      </c>
    </row>
    <row r="95" spans="1:32" x14ac:dyDescent="0.25">
      <c r="A95" s="10" t="s">
        <v>232</v>
      </c>
      <c r="B95" s="10" t="s">
        <v>233</v>
      </c>
      <c r="C95" s="14" cm="1">
        <f t="array" ref="C95">_xll.BDH("DE US Equity","TCE_RATIO","FQ3 2018","FQ3 2018","Currency=USD","Period=FQ","BEST_FPERIOD_OVERRIDE=FQ","FILING_STATUS=MR","Sort=A","Dates=H","DateFormat=P","Fill=—","Direction=H","UseDPDF=Y")</f>
        <v>8.8446999999999996</v>
      </c>
      <c r="D95" s="14" cm="1">
        <f t="array" ref="D95">_xll.BDH("DE US Equity","TCE_RATIO","FQ4 2018","FQ4 2018","Currency=USD","Period=FQ","BEST_FPERIOD_OVERRIDE=FQ","FILING_STATUS=MR","Sort=A","Dates=H","DateFormat=P","Fill=—","Direction=H","UseDPDF=Y")</f>
        <v>10.122999999999999</v>
      </c>
      <c r="E95" s="14" cm="1">
        <f t="array" ref="E95">_xll.BDH("DE US Equity","TCE_RATIO","FQ1 2019","FQ1 2019","Currency=USD","Period=FQ","BEST_FPERIOD_OVERRIDE=FQ","FILING_STATUS=MR","Sort=A","Dates=H","DateFormat=P","Fill=—","Direction=H","UseDPDF=Y")</f>
        <v>10.361700000000001</v>
      </c>
      <c r="F95" s="14" cm="1">
        <f t="array" ref="F95">_xll.BDH("DE US Equity","TCE_RATIO","FQ2 2019","FQ2 2019","Currency=USD","Period=FQ","BEST_FPERIOD_OVERRIDE=FQ","FILING_STATUS=MR","Sort=A","Dates=H","DateFormat=P","Fill=—","Direction=H","UseDPDF=Y")</f>
        <v>10.8721</v>
      </c>
      <c r="G95" s="14" cm="1">
        <f t="array" ref="G95">_xll.BDH("DE US Equity","TCE_RATIO","FQ3 2019","FQ3 2019","Currency=USD","Period=FQ","BEST_FPERIOD_OVERRIDE=FQ","FILING_STATUS=MR","Sort=A","Dates=H","DateFormat=P","Fill=—","Direction=H","UseDPDF=Y")</f>
        <v>11.305400000000001</v>
      </c>
      <c r="H95" s="14" cm="1">
        <f t="array" ref="H95">_xll.BDH("DE US Equity","TCE_RATIO","FQ4 2019","FQ4 2019","Currency=USD","Period=FQ","BEST_FPERIOD_OVERRIDE=FQ","FILING_STATUS=MR","Sort=A","Dates=H","DateFormat=P","Fill=—","Direction=H","UseDPDF=Y")</f>
        <v>10.356</v>
      </c>
      <c r="I95" s="14" cm="1">
        <f t="array" ref="I95">_xll.BDH("DE US Equity","TCE_RATIO","FQ1 2020","FQ1 2020","Currency=USD","Period=FQ","BEST_FPERIOD_OVERRIDE=FQ","FILING_STATUS=MR","Sort=A","Dates=H","DateFormat=P","Fill=—","Direction=H","UseDPDF=Y")</f>
        <v>11.302099999999999</v>
      </c>
      <c r="J95" s="14" cm="1">
        <f t="array" ref="J95">_xll.BDH("DE US Equity","TCE_RATIO","FQ2 2020","FQ2 2020","Currency=USD","Period=FQ","BEST_FPERIOD_OVERRIDE=FQ","FILING_STATUS=MR","Sort=A","Dates=H","DateFormat=P","Fill=—","Direction=H","UseDPDF=Y")</f>
        <v>10.446300000000001</v>
      </c>
      <c r="K95" s="14" cm="1">
        <f t="array" ref="K95">_xll.BDH("DE US Equity","TCE_RATIO","FQ3 2020","FQ3 2020","Currency=USD","Period=FQ","BEST_FPERIOD_OVERRIDE=FQ","FILING_STATUS=MR","Sort=A","Dates=H","DateFormat=P","Fill=—","Direction=H","UseDPDF=Y")</f>
        <v>11.7883</v>
      </c>
      <c r="L95" s="14" cm="1">
        <f t="array" ref="L95">_xll.BDH("DE US Equity","TCE_RATIO","FQ4 2020","FQ4 2020","Currency=USD","Period=FQ","BEST_FPERIOD_OVERRIDE=FQ","FILING_STATUS=MR","Sort=A","Dates=H","DateFormat=P","Fill=—","Direction=H","UseDPDF=Y")</f>
        <v>12.066599999999999</v>
      </c>
      <c r="M95" s="14" cm="1">
        <f t="array" ref="M95">_xll.BDH("DE US Equity","TCE_RATIO","FQ1 2021","FQ1 2021","Currency=USD","Period=FQ","BEST_FPERIOD_OVERRIDE=FQ","FILING_STATUS=MR","Sort=A","Dates=H","DateFormat=P","Fill=—","Direction=H","UseDPDF=Y")</f>
        <v>13.457100000000001</v>
      </c>
      <c r="N95" s="14" cm="1">
        <f t="array" ref="N95">_xll.BDH("DE US Equity","TCE_RATIO","FQ2 2021","FQ2 2021","Currency=USD","Period=FQ","BEST_FPERIOD_OVERRIDE=FQ","FILING_STATUS=MR","Sort=A","Dates=H","DateFormat=P","Fill=—","Direction=H","UseDPDF=Y")</f>
        <v>14.221500000000001</v>
      </c>
      <c r="O95" s="14" cm="1">
        <f t="array" ref="O95">_xll.BDH("DE US Equity","TCE_RATIO","FQ3 2021","FQ3 2021","Currency=USD","Period=FQ","BEST_FPERIOD_OVERRIDE=FQ","FILING_STATUS=MR","Sort=A","Dates=H","DateFormat=P","Fill=—","Direction=H","UseDPDF=Y")</f>
        <v>14.8362</v>
      </c>
      <c r="P95" s="14" cm="1">
        <f t="array" ref="P95">_xll.BDH("DE US Equity","TCE_RATIO","FQ4 2021","FQ4 2021","Currency=USD","Period=FQ","BEST_FPERIOD_OVERRIDE=FQ","FILING_STATUS=MR","Sort=A","Dates=H","DateFormat=P","Fill=—","Direction=H","UseDPDF=Y")</f>
        <v>17.4297</v>
      </c>
      <c r="Q95" s="14" cm="1">
        <f t="array" ref="Q95">_xll.BDH("DE US Equity","TCE_RATIO","FQ1 2022","FQ1 2022","Currency=USD","Period=FQ","BEST_FPERIOD_OVERRIDE=FQ","FILING_STATUS=MR","Sort=A","Dates=H","DateFormat=P","Fill=—","Direction=H","UseDPDF=Y")</f>
        <v>17.8201</v>
      </c>
      <c r="R95" s="14" cm="1">
        <f t="array" ref="R95">_xll.BDH("DE US Equity","TCE_RATIO","FQ2 2022","FQ2 2022","Currency=USD","Period=FQ","BEST_FPERIOD_OVERRIDE=FQ","FILING_STATUS=MR","Sort=A","Dates=H","DateFormat=P","Fill=—","Direction=H","UseDPDF=Y")</f>
        <v>17.406700000000001</v>
      </c>
      <c r="S95" s="14" cm="1">
        <f t="array" ref="S95">_xll.BDH("DE US Equity","TCE_RATIO","FQ3 2022","FQ3 2022","Currency=USD","Period=FQ","BEST_FPERIOD_OVERRIDE=FQ","FILING_STATUS=MR","Sort=A","Dates=H","DateFormat=P","Fill=—","Direction=H","UseDPDF=Y")</f>
        <v>17.116199999999999</v>
      </c>
      <c r="T95" s="14" cm="1">
        <f t="array" ref="T95">_xll.BDH("DE US Equity","TCE_RATIO","FQ4 2022","FQ4 2022","Currency=USD","Period=FQ","BEST_FPERIOD_OVERRIDE=FQ","FILING_STATUS=MR","Sort=A","Dates=H","DateFormat=P","Fill=—","Direction=H","UseDPDF=Y")</f>
        <v>18.040500000000002</v>
      </c>
      <c r="U95" s="14" cm="1">
        <f t="array" ref="U95">_xll.BDH("DE US Equity","TCE_RATIO","FQ1 2023","FQ1 2023","Currency=USD","Period=FQ","BEST_FPERIOD_OVERRIDE=FQ","FILING_STATUS=MR","Sort=A","Dates=H","DateFormat=P","Fill=—","Direction=H","UseDPDF=Y")</f>
        <v>18.7178</v>
      </c>
      <c r="V95" s="14" cm="1">
        <f t="array" ref="V95">_xll.BDH("DE US Equity","TCE_RATIO","FQ2 2023","FQ2 2023","Currency=USD","Period=FQ","BEST_FPERIOD_OVERRIDE=FQ","FILING_STATUS=MR","Sort=A","Dates=H","DateFormat=P","Fill=—","Direction=H","UseDPDF=Y")</f>
        <v>18.473199999999999</v>
      </c>
      <c r="W95" s="14" cm="1">
        <f t="array" ref="W95">_xll.BDH("DE US Equity","TCE_RATIO","FQ3 2023","FQ3 2023","Currency=USD","Period=FQ","BEST_FPERIOD_OVERRIDE=FQ","FILING_STATUS=MR","Sort=A","Dates=H","DateFormat=P","Fill=—","Direction=H","UseDPDF=Y")</f>
        <v>18.1815</v>
      </c>
      <c r="X95" s="14" cm="1">
        <f t="array" ref="X95">_xll.BDH("DE US Equity","TCE_RATIO","FQ4 2023","FQ4 2023","Currency=USD","Period=FQ","BEST_FPERIOD_OVERRIDE=FQ","FILING_STATUS=MR","Sort=A","Dates=H","DateFormat=P","Fill=—","Direction=H","UseDPDF=Y")</f>
        <v>16.911999999999999</v>
      </c>
      <c r="Y95" s="14" cm="1">
        <f t="array" ref="Y95">_xll.BDH("DE US Equity","TCE_RATIO","FQ1 2024","FQ1 2024","Currency=USD","Period=FQ","BEST_FPERIOD_OVERRIDE=FQ","FILING_STATUS=MR","Sort=A","Dates=H","DateFormat=P","Fill=—","Direction=H","UseDPDF=Y")</f>
        <v>17.651299999999999</v>
      </c>
      <c r="Z95" s="14" cm="1">
        <f t="array" ref="Z95">_xll.BDH("DE US Equity","TCE_RATIO","FQ2 2024","FQ2 2024","Currency=USD","Period=FQ","BEST_FPERIOD_OVERRIDE=FQ","FILING_STATUS=MR","Sort=A","Dates=H","DateFormat=P","Fill=—","Direction=H","UseDPDF=Y")</f>
        <v>17.573599999999999</v>
      </c>
      <c r="AA95" s="14" cm="1">
        <f t="array" ref="AA95">_xll.BDH("DE US Equity","TCE_RATIO","FQ3 2024","FQ3 2024","Currency=USD","Period=FQ","BEST_FPERIOD_OVERRIDE=FQ","FILING_STATUS=MR","Sort=A","Dates=H","DateFormat=P","Fill=—","Direction=H","UseDPDF=Y")</f>
        <v>17.571000000000002</v>
      </c>
      <c r="AB95" s="14" cm="1">
        <f t="array" ref="AB95">_xll.BDH("DE US Equity","TCE_RATIO","FQ4 2024","FQ4 2024","Currency=USD","Period=FQ","BEST_FPERIOD_OVERRIDE=FQ","FILING_STATUS=MR","Sort=A","Dates=H","DateFormat=P","Fill=—","Direction=H","UseDPDF=Y")</f>
        <v>17.465499999999999</v>
      </c>
      <c r="AC95" s="14" cm="1">
        <f t="array" ref="AC95">_xll.BDH("DE US Equity","TCE_RATIO","FQ1 2025","FQ1 2025","Currency=USD","Period=FQ","BEST_FPERIOD_OVERRIDE=FQ","FILING_STATUS=MR","Sort=A","Dates=H","DateFormat=P","Fill=—","Direction=H","UseDPDF=Y")</f>
        <v>17.973800000000001</v>
      </c>
      <c r="AD95" s="14" cm="1">
        <f t="array" ref="AD95">_xll.BDH("DE US Equity","TCE_RATIO","FQ2 2025","FQ2 2025","Currency=USD","Period=FQ","BEST_FPERIOD_OVERRIDE=FQ","FILING_STATUS=MR","Sort=A","Dates=H","DateFormat=P","Fill=—","Direction=H","UseDPDF=Y")</f>
        <v>18.9925</v>
      </c>
      <c r="AE95" s="14" cm="1">
        <f t="array" ref="AE95">_xll.BDH("DE US Equity","TCE_RATIO","FQ3 2025","FQ3 2025","Currency=USD","Period=FQ","BEST_FPERIOD_OVERRIDE=FQ","FILING_STATUS=MR","Sort=A","Dates=H","DateFormat=P","Fill=—","Direction=H","UseDPDF=Y")</f>
        <v>19.5166</v>
      </c>
      <c r="AF95" s="14" cm="1">
        <f t="array" ref="AF95">_xll.BDH("DE US Equity","TCE_RATIO","FQ4 2025","FQ4 2025","Currency=USD","Period=FQ","BEST_FPERIOD_OVERRIDE=FQ","FILING_STATUS=MR","Sort=A","Dates=H","DateFormat=P","Fill=—","Direction=H","UseDPDF=Y")</f>
        <v>20.680599999999998</v>
      </c>
    </row>
    <row r="96" spans="1:32" x14ac:dyDescent="0.25">
      <c r="A96" s="10" t="s">
        <v>234</v>
      </c>
      <c r="B96" s="10" t="s">
        <v>235</v>
      </c>
      <c r="C96" s="14" cm="1">
        <f t="array" ref="C96">_xll.BDH("DE US Equity","CUR_RATIO","FQ3 2018","FQ3 2018","Currency=USD","Period=FQ","BEST_FPERIOD_OVERRIDE=FQ","FILING_STATUS=MR","Sort=A","Dates=H","DateFormat=P","Fill=—","Direction=H","UseDPDF=Y")</f>
        <v>0.7238</v>
      </c>
      <c r="D96" s="14" cm="1">
        <f t="array" ref="D96">_xll.BDH("DE US Equity","CUR_RATIO","FQ4 2018","FQ4 2018","Currency=USD","Period=FQ","BEST_FPERIOD_OVERRIDE=FQ","FILING_STATUS=MR","Sort=A","Dates=H","DateFormat=P","Fill=—","Direction=H","UseDPDF=Y")</f>
        <v>0.68510000000000004</v>
      </c>
      <c r="E96" s="14" cm="1">
        <f t="array" ref="E96">_xll.BDH("DE US Equity","CUR_RATIO","FQ1 2019","FQ1 2019","Currency=USD","Period=FQ","BEST_FPERIOD_OVERRIDE=FQ","FILING_STATUS=MR","Sort=A","Dates=H","DateFormat=P","Fill=—","Direction=H","UseDPDF=Y")</f>
        <v>0.76680000000000004</v>
      </c>
      <c r="F96" s="14" cm="1">
        <f t="array" ref="F96">_xll.BDH("DE US Equity","CUR_RATIO","FQ2 2019","FQ2 2019","Currency=USD","Period=FQ","BEST_FPERIOD_OVERRIDE=FQ","FILING_STATUS=MR","Sort=A","Dates=H","DateFormat=P","Fill=—","Direction=H","UseDPDF=Y")</f>
        <v>0.76910000000000001</v>
      </c>
      <c r="G96" s="14" cm="1">
        <f t="array" ref="G96">_xll.BDH("DE US Equity","CUR_RATIO","FQ3 2019","FQ3 2019","Currency=USD","Period=FQ","BEST_FPERIOD_OVERRIDE=FQ","FILING_STATUS=MR","Sort=A","Dates=H","DateFormat=P","Fill=—","Direction=H","UseDPDF=Y")</f>
        <v>0.74050000000000005</v>
      </c>
      <c r="H96" s="14" cm="1">
        <f t="array" ref="H96">_xll.BDH("DE US Equity","CUR_RATIO","FQ4 2019","FQ4 2019","Currency=USD","Period=FQ","BEST_FPERIOD_OVERRIDE=FQ","FILING_STATUS=MR","Sort=A","Dates=H","DateFormat=P","Fill=—","Direction=H","UseDPDF=Y")</f>
        <v>0.68969999999999998</v>
      </c>
      <c r="I96" s="14" cm="1">
        <f t="array" ref="I96">_xll.BDH("DE US Equity","CUR_RATIO","FQ1 2020","FQ1 2020","Currency=USD","Period=FQ","BEST_FPERIOD_OVERRIDE=FQ","FILING_STATUS=MR","Sort=A","Dates=H","DateFormat=P","Fill=—","Direction=H","UseDPDF=Y")</f>
        <v>0.75249999999999995</v>
      </c>
      <c r="J96" s="14" cm="1">
        <f t="array" ref="J96">_xll.BDH("DE US Equity","CUR_RATIO","FQ2 2020","FQ2 2020","Currency=USD","Period=FQ","BEST_FPERIOD_OVERRIDE=FQ","FILING_STATUS=MR","Sort=A","Dates=H","DateFormat=P","Fill=—","Direction=H","UseDPDF=Y")</f>
        <v>0.91769999999999996</v>
      </c>
      <c r="K96" s="14" cm="1">
        <f t="array" ref="K96">_xll.BDH("DE US Equity","CUR_RATIO","FQ3 2020","FQ3 2020","Currency=USD","Period=FQ","BEST_FPERIOD_OVERRIDE=FQ","FILING_STATUS=MR","Sort=A","Dates=H","DateFormat=P","Fill=—","Direction=H","UseDPDF=Y")</f>
        <v>0.88019999999999998</v>
      </c>
      <c r="L96" s="14" cm="1">
        <f t="array" ref="L96">_xll.BDH("DE US Equity","CUR_RATIO","FQ4 2020","FQ4 2020","Currency=USD","Period=FQ","BEST_FPERIOD_OVERRIDE=FQ","FILING_STATUS=MR","Sort=A","Dates=H","DateFormat=P","Fill=—","Direction=H","UseDPDF=Y")</f>
        <v>0.77200000000000002</v>
      </c>
      <c r="M96" s="14" cm="1">
        <f t="array" ref="M96">_xll.BDH("DE US Equity","CUR_RATIO","FQ1 2021","FQ1 2021","Currency=USD","Period=FQ","BEST_FPERIOD_OVERRIDE=FQ","FILING_STATUS=MR","Sort=A","Dates=H","DateFormat=P","Fill=—","Direction=H","UseDPDF=Y")</f>
        <v>0.87119999999999997</v>
      </c>
      <c r="N96" s="14" cm="1">
        <f t="array" ref="N96">_xll.BDH("DE US Equity","CUR_RATIO","FQ2 2021","FQ2 2021","Currency=USD","Period=FQ","BEST_FPERIOD_OVERRIDE=FQ","FILING_STATUS=MR","Sort=A","Dates=H","DateFormat=P","Fill=—","Direction=H","UseDPDF=Y")</f>
        <v>0.87270000000000003</v>
      </c>
      <c r="O96" s="14" cm="1">
        <f t="array" ref="O96">_xll.BDH("DE US Equity","CUR_RATIO","FQ3 2021","FQ3 2021","Currency=USD","Period=FQ","BEST_FPERIOD_OVERRIDE=FQ","FILING_STATUS=MR","Sort=A","Dates=H","DateFormat=P","Fill=—","Direction=H","UseDPDF=Y")</f>
        <v>0.80279999999999996</v>
      </c>
      <c r="P96" s="14" cm="1">
        <f t="array" ref="P96">_xll.BDH("DE US Equity","CUR_RATIO","FQ4 2021","FQ4 2021","Currency=USD","Period=FQ","BEST_FPERIOD_OVERRIDE=FQ","FILING_STATUS=MR","Sort=A","Dates=H","DateFormat=P","Fill=—","Direction=H","UseDPDF=Y")</f>
        <v>0.77129999999999999</v>
      </c>
      <c r="Q96" s="14" cm="1">
        <f t="array" ref="Q96">_xll.BDH("DE US Equity","CUR_RATIO","FQ1 2022","FQ1 2022","Currency=USD","Period=FQ","BEST_FPERIOD_OVERRIDE=FQ","FILING_STATUS=MR","Sort=A","Dates=H","DateFormat=P","Fill=—","Direction=H","UseDPDF=Y")</f>
        <v>0.79339999999999999</v>
      </c>
      <c r="R96" s="14" cm="1">
        <f t="array" ref="R96">_xll.BDH("DE US Equity","CUR_RATIO","FQ2 2022","FQ2 2022","Currency=USD","Period=FQ","BEST_FPERIOD_OVERRIDE=FQ","FILING_STATUS=MR","Sort=A","Dates=H","DateFormat=P","Fill=—","Direction=H","UseDPDF=Y")</f>
        <v>0.76139999999999997</v>
      </c>
      <c r="S96" s="14" cm="1">
        <f t="array" ref="S96">_xll.BDH("DE US Equity","CUR_RATIO","FQ3 2022","FQ3 2022","Currency=USD","Period=FQ","BEST_FPERIOD_OVERRIDE=FQ","FILING_STATUS=MR","Sort=A","Dates=H","DateFormat=P","Fill=—","Direction=H","UseDPDF=Y")</f>
        <v>0.71360000000000001</v>
      </c>
      <c r="T96" s="14" cm="1">
        <f t="array" ref="T96">_xll.BDH("DE US Equity","CUR_RATIO","FQ4 2022","FQ4 2022","Currency=USD","Period=FQ","BEST_FPERIOD_OVERRIDE=FQ","FILING_STATUS=MR","Sort=A","Dates=H","DateFormat=P","Fill=—","Direction=H","UseDPDF=Y")</f>
        <v>0.6915</v>
      </c>
      <c r="U96" s="14" cm="1">
        <f t="array" ref="U96">_xll.BDH("DE US Equity","CUR_RATIO","FQ1 2023","FQ1 2023","Currency=USD","Period=FQ","BEST_FPERIOD_OVERRIDE=FQ","FILING_STATUS=MR","Sort=A","Dates=H","DateFormat=P","Fill=—","Direction=H","UseDPDF=Y")</f>
        <v>0.76270000000000004</v>
      </c>
      <c r="V96" s="14" cm="1">
        <f t="array" ref="V96">_xll.BDH("DE US Equity","CUR_RATIO","FQ2 2023","FQ2 2023","Currency=USD","Period=FQ","BEST_FPERIOD_OVERRIDE=FQ","FILING_STATUS=MR","Sort=A","Dates=H","DateFormat=P","Fill=—","Direction=H","UseDPDF=Y")</f>
        <v>0.76339999999999997</v>
      </c>
      <c r="W96" s="14" cm="1">
        <f t="array" ref="W96">_xll.BDH("DE US Equity","CUR_RATIO","FQ3 2023","FQ3 2023","Currency=USD","Period=FQ","BEST_FPERIOD_OVERRIDE=FQ","FILING_STATUS=MR","Sort=A","Dates=H","DateFormat=P","Fill=—","Direction=H","UseDPDF=Y")</f>
        <v>0.74650000000000005</v>
      </c>
      <c r="X96" s="14" cm="1">
        <f t="array" ref="X96">_xll.BDH("DE US Equity","CUR_RATIO","FQ4 2023","FQ4 2023","Currency=USD","Period=FQ","BEST_FPERIOD_OVERRIDE=FQ","FILING_STATUS=MR","Sort=A","Dates=H","DateFormat=P","Fill=—","Direction=H","UseDPDF=Y")</f>
        <v>0.65569999999999995</v>
      </c>
      <c r="Y96" s="14" cm="1">
        <f t="array" ref="Y96">_xll.BDH("DE US Equity","CUR_RATIO","FQ1 2024","FQ1 2024","Currency=USD","Period=FQ","BEST_FPERIOD_OVERRIDE=FQ","FILING_STATUS=MR","Sort=A","Dates=H","DateFormat=P","Fill=—","Direction=H","UseDPDF=Y")</f>
        <v>0.68379999999999996</v>
      </c>
      <c r="Z96" s="14" cm="1">
        <f t="array" ref="Z96">_xll.BDH("DE US Equity","CUR_RATIO","FQ2 2024","FQ2 2024","Currency=USD","Period=FQ","BEST_FPERIOD_OVERRIDE=FQ","FILING_STATUS=MR","Sort=A","Dates=H","DateFormat=P","Fill=—","Direction=H","UseDPDF=Y")</f>
        <v>0.67469999999999997</v>
      </c>
      <c r="AA96" s="14" cm="1">
        <f t="array" ref="AA96">_xll.BDH("DE US Equity","CUR_RATIO","FQ3 2024","FQ3 2024","Currency=USD","Period=FQ","BEST_FPERIOD_OVERRIDE=FQ","FILING_STATUS=MR","Sort=A","Dates=H","DateFormat=P","Fill=—","Direction=H","UseDPDF=Y")</f>
        <v>0.72509999999999997</v>
      </c>
      <c r="AB96" s="14" cm="1">
        <f t="array" ref="AB96">_xll.BDH("DE US Equity","CUR_RATIO","FQ4 2024","FQ4 2024","Currency=USD","Period=FQ","BEST_FPERIOD_OVERRIDE=FQ","FILING_STATUS=MR","Sort=A","Dates=H","DateFormat=P","Fill=—","Direction=H","UseDPDF=Y")</f>
        <v>0.7228</v>
      </c>
      <c r="AC96" s="14" cm="1">
        <f t="array" ref="AC96">_xll.BDH("DE US Equity","CUR_RATIO","FQ1 2025","FQ1 2025","Currency=USD","Period=FQ","BEST_FPERIOD_OVERRIDE=FQ","FILING_STATUS=MR","Sort=A","Dates=H","DateFormat=P","Fill=—","Direction=H","UseDPDF=Y")</f>
        <v>0.80030000000000001</v>
      </c>
      <c r="AD96" s="14" cm="1">
        <f t="array" ref="AD96">_xll.BDH("DE US Equity","CUR_RATIO","FQ2 2025","FQ2 2025","Currency=USD","Period=FQ","BEST_FPERIOD_OVERRIDE=FQ","FILING_STATUS=MR","Sort=A","Dates=H","DateFormat=P","Fill=—","Direction=H","UseDPDF=Y")</f>
        <v>0.72870000000000001</v>
      </c>
      <c r="AE96" s="14" cm="1">
        <f t="array" ref="AE96">_xll.BDH("DE US Equity","CUR_RATIO","FQ3 2025","FQ3 2025","Currency=USD","Period=FQ","BEST_FPERIOD_OVERRIDE=FQ","FILING_STATUS=MR","Sort=A","Dates=H","DateFormat=P","Fill=—","Direction=H","UseDPDF=Y")</f>
        <v>0.74380000000000002</v>
      </c>
      <c r="AF96" s="14" cm="1">
        <f t="array" ref="AF96">_xll.BDH("DE US Equity","CUR_RATIO","FQ4 2025","FQ4 2025","Currency=USD","Period=FQ","BEST_FPERIOD_OVERRIDE=FQ","FILING_STATUS=MR","Sort=A","Dates=H","DateFormat=P","Fill=—","Direction=H","UseDPDF=Y")</f>
        <v>0.72340000000000004</v>
      </c>
    </row>
    <row r="97" spans="1:32" x14ac:dyDescent="0.25">
      <c r="A97" s="10" t="s">
        <v>236</v>
      </c>
      <c r="B97" s="10" t="s">
        <v>237</v>
      </c>
      <c r="C97" s="14" t="str" cm="1">
        <f t="array" ref="C97">_xll.BDH("DE US Equity","CASH_CONVERSION_CYCLE","FQ3 2018","FQ3 2018","Currency=USD","Period=FQ","BEST_FPERIOD_OVERRIDE=FQ","FILING_STATUS=MR","FA_ADJUSTED=GAAP","Sort=A","Dates=H","DateFormat=P","Fill=—","Direction=H","UseDPDF=Y")</f>
        <v>—</v>
      </c>
      <c r="D97" s="14" cm="1">
        <f t="array" ref="D97">_xll.BDH("DE US Equity","CASH_CONVERSION_CYCLE","FQ4 2018","FQ4 2018","Currency=USD","Period=FQ","BEST_FPERIOD_OVERRIDE=FQ","FILING_STATUS=MR","FA_ADJUSTED=GAAP","Sort=A","Dates=H","DateFormat=P","Fill=—","Direction=H","UseDPDF=Y")</f>
        <v>85.380300000000005</v>
      </c>
      <c r="E97" s="14" t="str" cm="1">
        <f t="array" ref="E97">_xll.BDH("DE US Equity","CASH_CONVERSION_CYCLE","FQ1 2019","FQ1 2019","Currency=USD","Period=FQ","BEST_FPERIOD_OVERRIDE=FQ","FILING_STATUS=MR","FA_ADJUSTED=GAAP","Sort=A","Dates=H","DateFormat=P","Fill=—","Direction=H","UseDPDF=Y")</f>
        <v>—</v>
      </c>
      <c r="F97" s="14" t="str" cm="1">
        <f t="array" ref="F97">_xll.BDH("DE US Equity","CASH_CONVERSION_CYCLE","FQ2 2019","FQ2 2019","Currency=USD","Period=FQ","BEST_FPERIOD_OVERRIDE=FQ","FILING_STATUS=MR","FA_ADJUSTED=GAAP","Sort=A","Dates=H","DateFormat=P","Fill=—","Direction=H","UseDPDF=Y")</f>
        <v>—</v>
      </c>
      <c r="G97" s="14" t="str" cm="1">
        <f t="array" ref="G97">_xll.BDH("DE US Equity","CASH_CONVERSION_CYCLE","FQ3 2019","FQ3 2019","Currency=USD","Period=FQ","BEST_FPERIOD_OVERRIDE=FQ","FILING_STATUS=MR","FA_ADJUSTED=GAAP","Sort=A","Dates=H","DateFormat=P","Fill=—","Direction=H","UseDPDF=Y")</f>
        <v>—</v>
      </c>
      <c r="H97" s="14" cm="1">
        <f t="array" ref="H97">_xll.BDH("DE US Equity","CASH_CONVERSION_CYCLE","FQ4 2019","FQ4 2019","Currency=USD","Period=FQ","BEST_FPERIOD_OVERRIDE=FQ","FILING_STATUS=MR","FA_ADJUSTED=GAAP","Sort=A","Dates=H","DateFormat=P","Fill=—","Direction=H","UseDPDF=Y")</f>
        <v>101.2047</v>
      </c>
      <c r="I97" s="14" t="str" cm="1">
        <f t="array" ref="I97">_xll.BDH("DE US Equity","CASH_CONVERSION_CYCLE","FQ1 2020","FQ1 2020","Currency=USD","Period=FQ","BEST_FPERIOD_OVERRIDE=FQ","FILING_STATUS=MR","FA_ADJUSTED=GAAP","Sort=A","Dates=H","DateFormat=P","Fill=—","Direction=H","UseDPDF=Y")</f>
        <v>—</v>
      </c>
      <c r="J97" s="14" t="str" cm="1">
        <f t="array" ref="J97">_xll.BDH("DE US Equity","CASH_CONVERSION_CYCLE","FQ2 2020","FQ2 2020","Currency=USD","Period=FQ","BEST_FPERIOD_OVERRIDE=FQ","FILING_STATUS=MR","FA_ADJUSTED=GAAP","Sort=A","Dates=H","DateFormat=P","Fill=—","Direction=H","UseDPDF=Y")</f>
        <v>—</v>
      </c>
      <c r="K97" s="14" t="str" cm="1">
        <f t="array" ref="K97">_xll.BDH("DE US Equity","CASH_CONVERSION_CYCLE","FQ3 2020","FQ3 2020","Currency=USD","Period=FQ","BEST_FPERIOD_OVERRIDE=FQ","FILING_STATUS=MR","FA_ADJUSTED=GAAP","Sort=A","Dates=H","DateFormat=P","Fill=—","Direction=H","UseDPDF=Y")</f>
        <v>—</v>
      </c>
      <c r="L97" s="14" cm="1">
        <f t="array" ref="L97">_xll.BDH("DE US Equity","CASH_CONVERSION_CYCLE","FQ4 2020","FQ4 2020","Currency=USD","Period=FQ","BEST_FPERIOD_OVERRIDE=FQ","FILING_STATUS=MR","FA_ADJUSTED=GAAP","Sort=A","Dates=H","DateFormat=P","Fill=—","Direction=H","UseDPDF=Y")</f>
        <v>94.160499999999999</v>
      </c>
      <c r="M97" s="14" t="str" cm="1">
        <f t="array" ref="M97">_xll.BDH("DE US Equity","CASH_CONVERSION_CYCLE","FQ1 2021","FQ1 2021","Currency=USD","Period=FQ","BEST_FPERIOD_OVERRIDE=FQ","FILING_STATUS=MR","FA_ADJUSTED=GAAP","Sort=A","Dates=H","DateFormat=P","Fill=—","Direction=H","UseDPDF=Y")</f>
        <v>—</v>
      </c>
      <c r="N97" s="14" t="str" cm="1">
        <f t="array" ref="N97">_xll.BDH("DE US Equity","CASH_CONVERSION_CYCLE","FQ2 2021","FQ2 2021","Currency=USD","Period=FQ","BEST_FPERIOD_OVERRIDE=FQ","FILING_STATUS=MR","FA_ADJUSTED=GAAP","Sort=A","Dates=H","DateFormat=P","Fill=—","Direction=H","UseDPDF=Y")</f>
        <v>—</v>
      </c>
      <c r="O97" s="14" t="str" cm="1">
        <f t="array" ref="O97">_xll.BDH("DE US Equity","CASH_CONVERSION_CYCLE","FQ3 2021","FQ3 2021","Currency=USD","Period=FQ","BEST_FPERIOD_OVERRIDE=FQ","FILING_STATUS=MR","FA_ADJUSTED=GAAP","Sort=A","Dates=H","DateFormat=P","Fill=—","Direction=H","UseDPDF=Y")</f>
        <v>—</v>
      </c>
      <c r="P97" s="14" cm="1">
        <f t="array" ref="P97">_xll.BDH("DE US Equity","CASH_CONVERSION_CYCLE","FQ4 2021","FQ4 2021","Currency=USD","Period=FQ","BEST_FPERIOD_OVERRIDE=FQ","FILING_STATUS=MR","FA_ADJUSTED=GAAP","Sort=A","Dates=H","DateFormat=P","Fill=—","Direction=H","UseDPDF=Y")</f>
        <v>72.237700000000004</v>
      </c>
      <c r="Q97" s="14" t="str" cm="1">
        <f t="array" ref="Q97">_xll.BDH("DE US Equity","CASH_CONVERSION_CYCLE","FQ1 2022","FQ1 2022","Currency=USD","Period=FQ","BEST_FPERIOD_OVERRIDE=FQ","FILING_STATUS=MR","FA_ADJUSTED=GAAP","Sort=A","Dates=H","DateFormat=P","Fill=—","Direction=H","UseDPDF=Y")</f>
        <v>—</v>
      </c>
      <c r="R97" s="14" t="str" cm="1">
        <f t="array" ref="R97">_xll.BDH("DE US Equity","CASH_CONVERSION_CYCLE","FQ2 2022","FQ2 2022","Currency=USD","Period=FQ","BEST_FPERIOD_OVERRIDE=FQ","FILING_STATUS=MR","FA_ADJUSTED=GAAP","Sort=A","Dates=H","DateFormat=P","Fill=—","Direction=H","UseDPDF=Y")</f>
        <v>—</v>
      </c>
      <c r="S97" s="14" cm="1">
        <f t="array" ref="S97">_xll.BDH("DE US Equity","CASH_CONVERSION_CYCLE","FQ3 2022","FQ3 2022","Currency=USD","Period=FQ","BEST_FPERIOD_OVERRIDE=FQ","FILING_STATUS=MR","FA_ADJUSTED=GAAP","Sort=A","Dates=H","DateFormat=P","Fill=—","Direction=H","UseDPDF=Y")</f>
        <v>11.499700000000001</v>
      </c>
      <c r="T97" s="14" cm="1">
        <f t="array" ref="T97">_xll.BDH("DE US Equity","CASH_CONVERSION_CYCLE","FQ4 2022","FQ4 2022","Currency=USD","Period=FQ","BEST_FPERIOD_OVERRIDE=FQ","FILING_STATUS=MR","FA_ADJUSTED=GAAP","Sort=A","Dates=H","DateFormat=P","Fill=—","Direction=H","UseDPDF=Y")</f>
        <v>78.885199999999998</v>
      </c>
      <c r="U97" s="14" cm="1">
        <f t="array" ref="U97">_xll.BDH("DE US Equity","CASH_CONVERSION_CYCLE","FQ1 2023","FQ1 2023","Currency=USD","Period=FQ","BEST_FPERIOD_OVERRIDE=FQ","FILING_STATUS=MR","FA_ADJUSTED=GAAP","Sort=A","Dates=H","DateFormat=P","Fill=—","Direction=H","UseDPDF=Y")</f>
        <v>97.508700000000005</v>
      </c>
      <c r="V97" s="14" cm="1">
        <f t="array" ref="V97">_xll.BDH("DE US Equity","CASH_CONVERSION_CYCLE","FQ2 2023","FQ2 2023","Currency=USD","Period=FQ","BEST_FPERIOD_OVERRIDE=FQ","FILING_STATUS=MR","FA_ADJUSTED=GAAP","Sort=A","Dates=H","DateFormat=P","Fill=—","Direction=H","UseDPDF=Y")</f>
        <v>61.542299999999997</v>
      </c>
      <c r="W97" s="14" cm="1">
        <f t="array" ref="W97">_xll.BDH("DE US Equity","CASH_CONVERSION_CYCLE","FQ3 2023","FQ3 2023","Currency=USD","Period=FQ","BEST_FPERIOD_OVERRIDE=FQ","FILING_STATUS=MR","FA_ADJUSTED=GAAP","Sort=A","Dates=H","DateFormat=P","Fill=—","Direction=H","UseDPDF=Y")</f>
        <v>60.491999999999997</v>
      </c>
      <c r="X97" s="14" cm="1">
        <f t="array" ref="X97">_xll.BDH("DE US Equity","CASH_CONVERSION_CYCLE","FQ4 2023","FQ4 2023","Currency=USD","Period=FQ","BEST_FPERIOD_OVERRIDE=FQ","FILING_STATUS=MR","FA_ADJUSTED=GAAP","Sort=A","Dates=H","DateFormat=P","Fill=—","Direction=H","UseDPDF=Y")</f>
        <v>84.785899999999998</v>
      </c>
      <c r="Y97" s="14" cm="1">
        <f t="array" ref="Y97">_xll.BDH("DE US Equity","CASH_CONVERSION_CYCLE","FQ1 2024","FQ1 2024","Currency=USD","Period=FQ","BEST_FPERIOD_OVERRIDE=FQ","FILING_STATUS=MR","FA_ADJUSTED=GAAP","Sort=A","Dates=H","DateFormat=P","Fill=—","Direction=H","UseDPDF=Y")</f>
        <v>104.2933</v>
      </c>
      <c r="Z97" s="14" cm="1">
        <f t="array" ref="Z97">_xll.BDH("DE US Equity","CASH_CONVERSION_CYCLE","FQ2 2024","FQ2 2024","Currency=USD","Period=FQ","BEST_FPERIOD_OVERRIDE=FQ","FILING_STATUS=MR","FA_ADJUSTED=GAAP","Sort=A","Dates=H","DateFormat=P","Fill=—","Direction=H","UseDPDF=Y")</f>
        <v>114.71599999999999</v>
      </c>
      <c r="AA97" s="14" cm="1">
        <f t="array" ref="AA97">_xll.BDH("DE US Equity","CASH_CONVERSION_CYCLE","FQ3 2024","FQ3 2024","Currency=USD","Period=FQ","BEST_FPERIOD_OVERRIDE=FQ","FILING_STATUS=MR","FA_ADJUSTED=GAAP","Sort=A","Dates=H","DateFormat=P","Fill=—","Direction=H","UseDPDF=Y")</f>
        <v>111.26949999999999</v>
      </c>
      <c r="AB97" s="14" cm="1">
        <f t="array" ref="AB97">_xll.BDH("DE US Equity","CASH_CONVERSION_CYCLE","FQ4 2024","FQ4 2024","Currency=USD","Period=FQ","BEST_FPERIOD_OVERRIDE=FQ","FILING_STATUS=MR","FA_ADJUSTED=GAAP","Sort=A","Dates=H","DateFormat=P","Fill=—","Direction=H","UseDPDF=Y")</f>
        <v>96.226799999999997</v>
      </c>
      <c r="AC97" s="14" cm="1">
        <f t="array" ref="AC97">_xll.BDH("DE US Equity","CASH_CONVERSION_CYCLE","FQ1 2025","FQ1 2025","Currency=USD","Period=FQ","BEST_FPERIOD_OVERRIDE=FQ","FILING_STATUS=MR","FA_ADJUSTED=GAAP","Sort=A","Dates=H","DateFormat=P","Fill=—","Direction=H","UseDPDF=Y")</f>
        <v>117.3009</v>
      </c>
      <c r="AD97" s="14" cm="1">
        <f t="array" ref="AD97">_xll.BDH("DE US Equity","CASH_CONVERSION_CYCLE","FQ2 2025","FQ2 2025","Currency=USD","Period=FQ","BEST_FPERIOD_OVERRIDE=FQ","FILING_STATUS=MR","FA_ADJUSTED=GAAP","Sort=A","Dates=H","DateFormat=P","Fill=—","Direction=H","UseDPDF=Y")</f>
        <v>129.7861</v>
      </c>
      <c r="AE97" s="14" cm="1">
        <f t="array" ref="AE97">_xll.BDH("DE US Equity","CASH_CONVERSION_CYCLE","FQ3 2025","FQ3 2025","Currency=USD","Period=FQ","BEST_FPERIOD_OVERRIDE=FQ","FILING_STATUS=MR","FA_ADJUSTED=GAAP","Sort=A","Dates=H","DateFormat=P","Fill=—","Direction=H","UseDPDF=Y")</f>
        <v>121.6788</v>
      </c>
      <c r="AF97" s="14" cm="1">
        <f t="array" ref="AF97">_xll.BDH("DE US Equity","CASH_CONVERSION_CYCLE","FQ4 2025","FQ4 2025","Currency=USD","Period=FQ","BEST_FPERIOD_OVERRIDE=FQ","FILING_STATUS=MR","FA_ADJUSTED=GAAP","Sort=A","Dates=H","DateFormat=P","Fill=—","Direction=H","UseDPDF=Y")</f>
        <v>99.129099999999994</v>
      </c>
    </row>
    <row r="98" spans="1:32" x14ac:dyDescent="0.25">
      <c r="A98" s="10" t="s">
        <v>238</v>
      </c>
      <c r="B98" s="10" t="s">
        <v>239</v>
      </c>
      <c r="C98" s="13" cm="1">
        <f t="array" ref="C98">_xll.BDH("DE US Equity","BS_CASH_HELD_OVERSEAS","FQ3 2018","FQ3 2018","Currency=USD","Period=FQ","BEST_FPERIOD_OVERRIDE=FQ","FILING_STATUS=MR","SCALING_FORMAT=MLN","Sort=A","Dates=H","DateFormat=P","Fill=—","Direction=H","UseDPDF=Y")</f>
        <v>2299</v>
      </c>
      <c r="D98" s="13" cm="1">
        <f t="array" ref="D98">_xll.BDH("DE US Equity","BS_CASH_HELD_OVERSEAS","FQ4 2018","FQ4 2018","Currency=USD","Period=FQ","BEST_FPERIOD_OVERRIDE=FQ","FILING_STATUS=MR","SCALING_FORMAT=MLN","Sort=A","Dates=H","DateFormat=P","Fill=—","Direction=H","UseDPDF=Y")</f>
        <v>2433</v>
      </c>
      <c r="E98" s="13" cm="1">
        <f t="array" ref="E98">_xll.BDH("DE US Equity","BS_CASH_HELD_OVERSEAS","FQ1 2019","FQ1 2019","Currency=USD","Period=FQ","BEST_FPERIOD_OVERRIDE=FQ","FILING_STATUS=MR","SCALING_FORMAT=MLN","Sort=A","Dates=H","DateFormat=P","Fill=—","Direction=H","UseDPDF=Y")</f>
        <v>2076</v>
      </c>
      <c r="F98" s="13" cm="1">
        <f t="array" ref="F98">_xll.BDH("DE US Equity","BS_CASH_HELD_OVERSEAS","FQ2 2019","FQ2 2019","Currency=USD","Period=FQ","BEST_FPERIOD_OVERRIDE=FQ","FILING_STATUS=MR","SCALING_FORMAT=MLN","Sort=A","Dates=H","DateFormat=P","Fill=—","Direction=H","UseDPDF=Y")</f>
        <v>2252</v>
      </c>
      <c r="G98" s="13" cm="1">
        <f t="array" ref="G98">_xll.BDH("DE US Equity","BS_CASH_HELD_OVERSEAS","FQ3 2019","FQ3 2019","Currency=USD","Period=FQ","BEST_FPERIOD_OVERRIDE=FQ","FILING_STATUS=MR","SCALING_FORMAT=MLN","Sort=A","Dates=H","DateFormat=P","Fill=—","Direction=H","UseDPDF=Y")</f>
        <v>2038</v>
      </c>
      <c r="H98" s="13" cm="1">
        <f t="array" ref="H98">_xll.BDH("DE US Equity","BS_CASH_HELD_OVERSEAS","FQ4 2019","FQ4 2019","Currency=USD","Period=FQ","BEST_FPERIOD_OVERRIDE=FQ","FILING_STATUS=MR","SCALING_FORMAT=MLN","Sort=A","Dates=H","DateFormat=P","Fill=—","Direction=H","UseDPDF=Y")</f>
        <v>2731</v>
      </c>
      <c r="I98" s="13" cm="1">
        <f t="array" ref="I98">_xll.BDH("DE US Equity","BS_CASH_HELD_OVERSEAS","FQ1 2020","FQ1 2020","Currency=USD","Period=FQ","BEST_FPERIOD_OVERRIDE=FQ","FILING_STATUS=MR","SCALING_FORMAT=MLN","Sort=A","Dates=H","DateFormat=P","Fill=—","Direction=H","UseDPDF=Y")</f>
        <v>2572</v>
      </c>
      <c r="J98" s="13" cm="1">
        <f t="array" ref="J98">_xll.BDH("DE US Equity","BS_CASH_HELD_OVERSEAS","FQ2 2020","FQ2 2020","Currency=USD","Period=FQ","BEST_FPERIOD_OVERRIDE=FQ","FILING_STATUS=MR","SCALING_FORMAT=MLN","Sort=A","Dates=H","DateFormat=P","Fill=—","Direction=H","UseDPDF=Y")</f>
        <v>4034</v>
      </c>
      <c r="K98" s="13" cm="1">
        <f t="array" ref="K98">_xll.BDH("DE US Equity","BS_CASH_HELD_OVERSEAS","FQ3 2020","FQ3 2020","Currency=USD","Period=FQ","BEST_FPERIOD_OVERRIDE=FQ","FILING_STATUS=MR","SCALING_FORMAT=MLN","Sort=A","Dates=H","DateFormat=P","Fill=—","Direction=H","UseDPDF=Y")</f>
        <v>4816</v>
      </c>
      <c r="L98" s="13" cm="1">
        <f t="array" ref="L98">_xll.BDH("DE US Equity","BS_CASH_HELD_OVERSEAS","FQ4 2020","FQ4 2020","Currency=USD","Period=FQ","BEST_FPERIOD_OVERRIDE=FQ","FILING_STATUS=MR","SCALING_FORMAT=MLN","Sort=A","Dates=H","DateFormat=P","Fill=—","Direction=H","UseDPDF=Y")</f>
        <v>5010</v>
      </c>
      <c r="M98" s="13" cm="1">
        <f t="array" ref="M98">_xll.BDH("DE US Equity","BS_CASH_HELD_OVERSEAS","FQ1 2021","FQ1 2021","Currency=USD","Period=FQ","BEST_FPERIOD_OVERRIDE=FQ","FILING_STATUS=MR","SCALING_FORMAT=MLN","Sort=A","Dates=H","DateFormat=P","Fill=—","Direction=H","UseDPDF=Y")</f>
        <v>4956</v>
      </c>
      <c r="N98" s="13" cm="1">
        <f t="array" ref="N98">_xll.BDH("DE US Equity","BS_CASH_HELD_OVERSEAS","FQ2 2021","FQ2 2021","Currency=USD","Period=FQ","BEST_FPERIOD_OVERRIDE=FQ","FILING_STATUS=MR","SCALING_FORMAT=MLN","Sort=A","Dates=H","DateFormat=P","Fill=—","Direction=H","UseDPDF=Y")</f>
        <v>4972</v>
      </c>
      <c r="O98" s="13" cm="1">
        <f t="array" ref="O98">_xll.BDH("DE US Equity","BS_CASH_HELD_OVERSEAS","FQ3 2021","FQ3 2021","Currency=USD","Period=FQ","BEST_FPERIOD_OVERRIDE=FQ","FILING_STATUS=MR","SCALING_FORMAT=MLN","Sort=A","Dates=H","DateFormat=P","Fill=—","Direction=H","UseDPDF=Y")</f>
        <v>5690</v>
      </c>
      <c r="P98" s="13" cm="1">
        <f t="array" ref="P98">_xll.BDH("DE US Equity","BS_CASH_HELD_OVERSEAS","FQ4 2021","FQ4 2021","Currency=USD","Period=FQ","BEST_FPERIOD_OVERRIDE=FQ","FILING_STATUS=MR","SCALING_FORMAT=MLN","Sort=A","Dates=H","DateFormat=P","Fill=—","Direction=H","UseDPDF=Y")</f>
        <v>5817</v>
      </c>
      <c r="Q98" s="13" cm="1">
        <f t="array" ref="Q98">_xll.BDH("DE US Equity","BS_CASH_HELD_OVERSEAS","FQ1 2022","FQ1 2022","Currency=USD","Period=FQ","BEST_FPERIOD_OVERRIDE=FQ","FILING_STATUS=MR","SCALING_FORMAT=MLN","Sort=A","Dates=H","DateFormat=P","Fill=—","Direction=H","UseDPDF=Y")</f>
        <v>3047</v>
      </c>
      <c r="R98" s="13" cm="1">
        <f t="array" ref="R98">_xll.BDH("DE US Equity","BS_CASH_HELD_OVERSEAS","FQ2 2022","FQ2 2022","Currency=USD","Period=FQ","BEST_FPERIOD_OVERRIDE=FQ","FILING_STATUS=MR","SCALING_FORMAT=MLN","Sort=A","Dates=H","DateFormat=P","Fill=—","Direction=H","UseDPDF=Y")</f>
        <v>2606</v>
      </c>
      <c r="S98" s="13" cm="1">
        <f t="array" ref="S98">_xll.BDH("DE US Equity","BS_CASH_HELD_OVERSEAS","FQ3 2022","FQ3 2022","Currency=USD","Period=FQ","BEST_FPERIOD_OVERRIDE=FQ","FILING_STATUS=MR","SCALING_FORMAT=MLN","Sort=A","Dates=H","DateFormat=P","Fill=—","Direction=H","UseDPDF=Y")</f>
        <v>2713</v>
      </c>
      <c r="T98" s="13" cm="1">
        <f t="array" ref="T98">_xll.BDH("DE US Equity","BS_CASH_HELD_OVERSEAS","FQ4 2022","FQ4 2022","Currency=USD","Period=FQ","BEST_FPERIOD_OVERRIDE=FQ","FILING_STATUS=MR","SCALING_FORMAT=MLN","Sort=A","Dates=H","DateFormat=P","Fill=—","Direction=H","UseDPDF=Y")</f>
        <v>3379</v>
      </c>
      <c r="U98" s="13" t="str" cm="1">
        <f t="array" ref="U98">_xll.BDH("DE US Equity","BS_CASH_HELD_OVERSEAS","FQ1 2023","FQ1 2023","Currency=USD","Period=FQ","BEST_FPERIOD_OVERRIDE=FQ","FILING_STATUS=MR","SCALING_FORMAT=MLN","Sort=A","Dates=H","DateFormat=P","Fill=—","Direction=H","UseDPDF=Y")</f>
        <v>—</v>
      </c>
      <c r="V98" s="13" t="str" cm="1">
        <f t="array" ref="V98">_xll.BDH("DE US Equity","BS_CASH_HELD_OVERSEAS","FQ2 2023","FQ2 2023","Currency=USD","Period=FQ","BEST_FPERIOD_OVERRIDE=FQ","FILING_STATUS=MR","SCALING_FORMAT=MLN","Sort=A","Dates=H","DateFormat=P","Fill=—","Direction=H","UseDPDF=Y")</f>
        <v>—</v>
      </c>
      <c r="W98" s="13" t="str" cm="1">
        <f t="array" ref="W98">_xll.BDH("DE US Equity","BS_CASH_HELD_OVERSEAS","FQ3 2023","FQ3 2023","Currency=USD","Period=FQ","BEST_FPERIOD_OVERRIDE=FQ","FILING_STATUS=MR","SCALING_FORMAT=MLN","Sort=A","Dates=H","DateFormat=P","Fill=—","Direction=H","UseDPDF=Y")</f>
        <v>—</v>
      </c>
      <c r="X98" s="13" t="str" cm="1">
        <f t="array" ref="X98">_xll.BDH("DE US Equity","BS_CASH_HELD_OVERSEAS","FQ4 2023","FQ4 2023","Currency=USD","Period=FQ","BEST_FPERIOD_OVERRIDE=FQ","FILING_STATUS=MR","SCALING_FORMAT=MLN","Sort=A","Dates=H","DateFormat=P","Fill=—","Direction=H","UseDPDF=Y")</f>
        <v>—</v>
      </c>
      <c r="Y98" s="13" t="str" cm="1">
        <f t="array" ref="Y98">_xll.BDH("DE US Equity","BS_CASH_HELD_OVERSEAS","FQ1 2024","FQ1 2024","Currency=USD","Period=FQ","BEST_FPERIOD_OVERRIDE=FQ","FILING_STATUS=MR","SCALING_FORMAT=MLN","Sort=A","Dates=H","DateFormat=P","Fill=—","Direction=H","UseDPDF=Y")</f>
        <v>—</v>
      </c>
      <c r="Z98" s="13" t="str" cm="1">
        <f t="array" ref="Z98">_xll.BDH("DE US Equity","BS_CASH_HELD_OVERSEAS","FQ2 2024","FQ2 2024","Currency=USD","Period=FQ","BEST_FPERIOD_OVERRIDE=FQ","FILING_STATUS=MR","SCALING_FORMAT=MLN","Sort=A","Dates=H","DateFormat=P","Fill=—","Direction=H","UseDPDF=Y")</f>
        <v>—</v>
      </c>
      <c r="AA98" s="13" t="str" cm="1">
        <f t="array" ref="AA98">_xll.BDH("DE US Equity","BS_CASH_HELD_OVERSEAS","FQ3 2024","FQ3 2024","Currency=USD","Period=FQ","BEST_FPERIOD_OVERRIDE=FQ","FILING_STATUS=MR","SCALING_FORMAT=MLN","Sort=A","Dates=H","DateFormat=P","Fill=—","Direction=H","UseDPDF=Y")</f>
        <v>—</v>
      </c>
      <c r="AB98" s="13" t="str" cm="1">
        <f t="array" ref="AB98">_xll.BDH("DE US Equity","BS_CASH_HELD_OVERSEAS","FQ4 2024","FQ4 2024","Currency=USD","Period=FQ","BEST_FPERIOD_OVERRIDE=FQ","FILING_STATUS=MR","SCALING_FORMAT=MLN","Sort=A","Dates=H","DateFormat=P","Fill=—","Direction=H","UseDPDF=Y")</f>
        <v>—</v>
      </c>
      <c r="AC98" s="13" t="str" cm="1">
        <f t="array" ref="AC98">_xll.BDH("DE US Equity","BS_CASH_HELD_OVERSEAS","FQ1 2025","FQ1 2025","Currency=USD","Period=FQ","BEST_FPERIOD_OVERRIDE=FQ","FILING_STATUS=MR","SCALING_FORMAT=MLN","Sort=A","Dates=H","DateFormat=P","Fill=—","Direction=H","UseDPDF=Y")</f>
        <v>—</v>
      </c>
      <c r="AD98" s="13" t="str" cm="1">
        <f t="array" ref="AD98">_xll.BDH("DE US Equity","BS_CASH_HELD_OVERSEAS","FQ2 2025","FQ2 2025","Currency=USD","Period=FQ","BEST_FPERIOD_OVERRIDE=FQ","FILING_STATUS=MR","SCALING_FORMAT=MLN","Sort=A","Dates=H","DateFormat=P","Fill=—","Direction=H","UseDPDF=Y")</f>
        <v>—</v>
      </c>
      <c r="AE98" s="13" t="str" cm="1">
        <f t="array" ref="AE98">_xll.BDH("DE US Equity","BS_CASH_HELD_OVERSEAS","FQ3 2025","FQ3 2025","Currency=USD","Period=FQ","BEST_FPERIOD_OVERRIDE=FQ","FILING_STATUS=MR","SCALING_FORMAT=MLN","Sort=A","Dates=H","DateFormat=P","Fill=—","Direction=H","UseDPDF=Y")</f>
        <v>—</v>
      </c>
      <c r="AF98" s="13" t="str" cm="1">
        <f t="array" ref="AF98">_xll.BDH("DE US Equity","BS_CASH_HELD_OVERSEAS","FQ4 2025","FQ4 2025","Currency=USD","Period=FQ","BEST_FPERIOD_OVERRIDE=FQ","FILING_STATUS=MR","SCALING_FORMAT=MLN","Sort=A","Dates=H","DateFormat=P","Fill=—","Direction=H","UseDPDF=Y")</f>
        <v>—</v>
      </c>
    </row>
    <row r="99" spans="1:32" x14ac:dyDescent="0.25">
      <c r="A99" s="10" t="s">
        <v>240</v>
      </c>
      <c r="B99" s="10" t="s">
        <v>241</v>
      </c>
      <c r="C99" s="14" t="str" cm="1">
        <f t="array" ref="C99">_xll.BDH("DE US Equity","NUM_OF_EMPLOYEES","FQ3 2018","FQ3 2018","Currency=USD","Period=FQ","BEST_FPERIOD_OVERRIDE=FQ","FILING_STATUS=MR","Sort=A","Dates=H","DateFormat=P","Fill=—","Direction=H","UseDPDF=Y")</f>
        <v>—</v>
      </c>
      <c r="D99" s="14" cm="1">
        <f t="array" ref="D99">_xll.BDH("DE US Equity","NUM_OF_EMPLOYEES","FQ4 2018","FQ4 2018","Currency=USD","Period=FQ","BEST_FPERIOD_OVERRIDE=FQ","FILING_STATUS=MR","Sort=A","Dates=H","DateFormat=P","Fill=—","Direction=H","UseDPDF=Y")</f>
        <v>74000</v>
      </c>
      <c r="E99" s="14" t="str" cm="1">
        <f t="array" ref="E99">_xll.BDH("DE US Equity","NUM_OF_EMPLOYEES","FQ1 2019","FQ1 2019","Currency=USD","Period=FQ","BEST_FPERIOD_OVERRIDE=FQ","FILING_STATUS=MR","Sort=A","Dates=H","DateFormat=P","Fill=—","Direction=H","UseDPDF=Y")</f>
        <v>—</v>
      </c>
      <c r="F99" s="14" t="str" cm="1">
        <f t="array" ref="F99">_xll.BDH("DE US Equity","NUM_OF_EMPLOYEES","FQ2 2019","FQ2 2019","Currency=USD","Period=FQ","BEST_FPERIOD_OVERRIDE=FQ","FILING_STATUS=MR","Sort=A","Dates=H","DateFormat=P","Fill=—","Direction=H","UseDPDF=Y")</f>
        <v>—</v>
      </c>
      <c r="G99" s="14" t="str" cm="1">
        <f t="array" ref="G99">_xll.BDH("DE US Equity","NUM_OF_EMPLOYEES","FQ3 2019","FQ3 2019","Currency=USD","Period=FQ","BEST_FPERIOD_OVERRIDE=FQ","FILING_STATUS=MR","Sort=A","Dates=H","DateFormat=P","Fill=—","Direction=H","UseDPDF=Y")</f>
        <v>—</v>
      </c>
      <c r="H99" s="14" cm="1">
        <f t="array" ref="H99">_xll.BDH("DE US Equity","NUM_OF_EMPLOYEES","FQ4 2019","FQ4 2019","Currency=USD","Period=FQ","BEST_FPERIOD_OVERRIDE=FQ","FILING_STATUS=MR","Sort=A","Dates=H","DateFormat=P","Fill=—","Direction=H","UseDPDF=Y")</f>
        <v>73489</v>
      </c>
      <c r="I99" s="14" t="str" cm="1">
        <f t="array" ref="I99">_xll.BDH("DE US Equity","NUM_OF_EMPLOYEES","FQ1 2020","FQ1 2020","Currency=USD","Period=FQ","BEST_FPERIOD_OVERRIDE=FQ","FILING_STATUS=MR","Sort=A","Dates=H","DateFormat=P","Fill=—","Direction=H","UseDPDF=Y")</f>
        <v>—</v>
      </c>
      <c r="J99" s="14" t="str" cm="1">
        <f t="array" ref="J99">_xll.BDH("DE US Equity","NUM_OF_EMPLOYEES","FQ2 2020","FQ2 2020","Currency=USD","Period=FQ","BEST_FPERIOD_OVERRIDE=FQ","FILING_STATUS=MR","Sort=A","Dates=H","DateFormat=P","Fill=—","Direction=H","UseDPDF=Y")</f>
        <v>—</v>
      </c>
      <c r="K99" s="14" t="str" cm="1">
        <f t="array" ref="K99">_xll.BDH("DE US Equity","NUM_OF_EMPLOYEES","FQ3 2020","FQ3 2020","Currency=USD","Period=FQ","BEST_FPERIOD_OVERRIDE=FQ","FILING_STATUS=MR","Sort=A","Dates=H","DateFormat=P","Fill=—","Direction=H","UseDPDF=Y")</f>
        <v>—</v>
      </c>
      <c r="L99" s="14" cm="1">
        <f t="array" ref="L99">_xll.BDH("DE US Equity","NUM_OF_EMPLOYEES","FQ4 2020","FQ4 2020","Currency=USD","Period=FQ","BEST_FPERIOD_OVERRIDE=FQ","FILING_STATUS=MR","Sort=A","Dates=H","DateFormat=P","Fill=—","Direction=H","UseDPDF=Y")</f>
        <v>69634</v>
      </c>
      <c r="M99" s="14" t="str" cm="1">
        <f t="array" ref="M99">_xll.BDH("DE US Equity","NUM_OF_EMPLOYEES","FQ1 2021","FQ1 2021","Currency=USD","Period=FQ","BEST_FPERIOD_OVERRIDE=FQ","FILING_STATUS=MR","Sort=A","Dates=H","DateFormat=P","Fill=—","Direction=H","UseDPDF=Y")</f>
        <v>—</v>
      </c>
      <c r="N99" s="14" t="str" cm="1">
        <f t="array" ref="N99">_xll.BDH("DE US Equity","NUM_OF_EMPLOYEES","FQ2 2021","FQ2 2021","Currency=USD","Period=FQ","BEST_FPERIOD_OVERRIDE=FQ","FILING_STATUS=MR","Sort=A","Dates=H","DateFormat=P","Fill=—","Direction=H","UseDPDF=Y")</f>
        <v>—</v>
      </c>
      <c r="O99" s="14" t="str" cm="1">
        <f t="array" ref="O99">_xll.BDH("DE US Equity","NUM_OF_EMPLOYEES","FQ3 2021","FQ3 2021","Currency=USD","Period=FQ","BEST_FPERIOD_OVERRIDE=FQ","FILING_STATUS=MR","Sort=A","Dates=H","DateFormat=P","Fill=—","Direction=H","UseDPDF=Y")</f>
        <v>—</v>
      </c>
      <c r="P99" s="14" cm="1">
        <f t="array" ref="P99">_xll.BDH("DE US Equity","NUM_OF_EMPLOYEES","FQ4 2021","FQ4 2021","Currency=USD","Period=FQ","BEST_FPERIOD_OVERRIDE=FQ","FILING_STATUS=MR","Sort=A","Dates=H","DateFormat=P","Fill=—","Direction=H","UseDPDF=Y")</f>
        <v>75550</v>
      </c>
      <c r="Q99" s="14" t="str" cm="1">
        <f t="array" ref="Q99">_xll.BDH("DE US Equity","NUM_OF_EMPLOYEES","FQ1 2022","FQ1 2022","Currency=USD","Period=FQ","BEST_FPERIOD_OVERRIDE=FQ","FILING_STATUS=MR","Sort=A","Dates=H","DateFormat=P","Fill=—","Direction=H","UseDPDF=Y")</f>
        <v>—</v>
      </c>
      <c r="R99" s="14" t="str" cm="1">
        <f t="array" ref="R99">_xll.BDH("DE US Equity","NUM_OF_EMPLOYEES","FQ2 2022","FQ2 2022","Currency=USD","Period=FQ","BEST_FPERIOD_OVERRIDE=FQ","FILING_STATUS=MR","Sort=A","Dates=H","DateFormat=P","Fill=—","Direction=H","UseDPDF=Y")</f>
        <v>—</v>
      </c>
      <c r="S99" s="14" t="str" cm="1">
        <f t="array" ref="S99">_xll.BDH("DE US Equity","NUM_OF_EMPLOYEES","FQ3 2022","FQ3 2022","Currency=USD","Period=FQ","BEST_FPERIOD_OVERRIDE=FQ","FILING_STATUS=MR","Sort=A","Dates=H","DateFormat=P","Fill=—","Direction=H","UseDPDF=Y")</f>
        <v>—</v>
      </c>
      <c r="T99" s="14" cm="1">
        <f t="array" ref="T99">_xll.BDH("DE US Equity","NUM_OF_EMPLOYEES","FQ4 2022","FQ4 2022","Currency=USD","Period=FQ","BEST_FPERIOD_OVERRIDE=FQ","FILING_STATUS=MR","Sort=A","Dates=H","DateFormat=P","Fill=—","Direction=H","UseDPDF=Y")</f>
        <v>82239</v>
      </c>
      <c r="U99" s="14" t="str" cm="1">
        <f t="array" ref="U99">_xll.BDH("DE US Equity","NUM_OF_EMPLOYEES","FQ1 2023","FQ1 2023","Currency=USD","Period=FQ","BEST_FPERIOD_OVERRIDE=FQ","FILING_STATUS=MR","Sort=A","Dates=H","DateFormat=P","Fill=—","Direction=H","UseDPDF=Y")</f>
        <v>—</v>
      </c>
      <c r="V99" s="14" t="str" cm="1">
        <f t="array" ref="V99">_xll.BDH("DE US Equity","NUM_OF_EMPLOYEES","FQ2 2023","FQ2 2023","Currency=USD","Period=FQ","BEST_FPERIOD_OVERRIDE=FQ","FILING_STATUS=MR","Sort=A","Dates=H","DateFormat=P","Fill=—","Direction=H","UseDPDF=Y")</f>
        <v>—</v>
      </c>
      <c r="W99" s="14" t="str" cm="1">
        <f t="array" ref="W99">_xll.BDH("DE US Equity","NUM_OF_EMPLOYEES","FQ3 2023","FQ3 2023","Currency=USD","Period=FQ","BEST_FPERIOD_OVERRIDE=FQ","FILING_STATUS=MR","Sort=A","Dates=H","DateFormat=P","Fill=—","Direction=H","UseDPDF=Y")</f>
        <v>—</v>
      </c>
      <c r="X99" s="14" cm="1">
        <f t="array" ref="X99">_xll.BDH("DE US Equity","NUM_OF_EMPLOYEES","FQ4 2023","FQ4 2023","Currency=USD","Period=FQ","BEST_FPERIOD_OVERRIDE=FQ","FILING_STATUS=MR","Sort=A","Dates=H","DateFormat=P","Fill=—","Direction=H","UseDPDF=Y")</f>
        <v>82956</v>
      </c>
      <c r="Y99" s="14" t="str" cm="1">
        <f t="array" ref="Y99">_xll.BDH("DE US Equity","NUM_OF_EMPLOYEES","FQ1 2024","FQ1 2024","Currency=USD","Period=FQ","BEST_FPERIOD_OVERRIDE=FQ","FILING_STATUS=MR","Sort=A","Dates=H","DateFormat=P","Fill=—","Direction=H","UseDPDF=Y")</f>
        <v>—</v>
      </c>
      <c r="Z99" s="14" t="str" cm="1">
        <f t="array" ref="Z99">_xll.BDH("DE US Equity","NUM_OF_EMPLOYEES","FQ2 2024","FQ2 2024","Currency=USD","Period=FQ","BEST_FPERIOD_OVERRIDE=FQ","FILING_STATUS=MR","Sort=A","Dates=H","DateFormat=P","Fill=—","Direction=H","UseDPDF=Y")</f>
        <v>—</v>
      </c>
      <c r="AA99" s="14" t="str" cm="1">
        <f t="array" ref="AA99">_xll.BDH("DE US Equity","NUM_OF_EMPLOYEES","FQ3 2024","FQ3 2024","Currency=USD","Period=FQ","BEST_FPERIOD_OVERRIDE=FQ","FILING_STATUS=MR","Sort=A","Dates=H","DateFormat=P","Fill=—","Direction=H","UseDPDF=Y")</f>
        <v>—</v>
      </c>
      <c r="AB99" s="14" t="str" cm="1">
        <f t="array" ref="AB99">_xll.BDH("DE US Equity","NUM_OF_EMPLOYEES","FQ4 2024","FQ4 2024","Currency=USD","Period=FQ","BEST_FPERIOD_OVERRIDE=FQ","FILING_STATUS=MR","Sort=A","Dates=H","DateFormat=P","Fill=—","Direction=H","UseDPDF=Y")</f>
        <v>—</v>
      </c>
      <c r="AC99" s="14" t="str" cm="1">
        <f t="array" ref="AC99">_xll.BDH("DE US Equity","NUM_OF_EMPLOYEES","FQ1 2025","FQ1 2025","Currency=USD","Period=FQ","BEST_FPERIOD_OVERRIDE=FQ","FILING_STATUS=MR","Sort=A","Dates=H","DateFormat=P","Fill=—","Direction=H","UseDPDF=Y")</f>
        <v>—</v>
      </c>
      <c r="AD99" s="14" t="str" cm="1">
        <f t="array" ref="AD99">_xll.BDH("DE US Equity","NUM_OF_EMPLOYEES","FQ2 2025","FQ2 2025","Currency=USD","Period=FQ","BEST_FPERIOD_OVERRIDE=FQ","FILING_STATUS=MR","Sort=A","Dates=H","DateFormat=P","Fill=—","Direction=H","UseDPDF=Y")</f>
        <v>—</v>
      </c>
      <c r="AE99" s="14" t="str" cm="1">
        <f t="array" ref="AE99">_xll.BDH("DE US Equity","NUM_OF_EMPLOYEES","FQ3 2025","FQ3 2025","Currency=USD","Period=FQ","BEST_FPERIOD_OVERRIDE=FQ","FILING_STATUS=MR","Sort=A","Dates=H","DateFormat=P","Fill=—","Direction=H","UseDPDF=Y")</f>
        <v>—</v>
      </c>
      <c r="AF99" s="14" t="str" cm="1">
        <f t="array" ref="AF99">_xll.BDH("DE US Equity","NUM_OF_EMPLOYEES","FQ4 2025","FQ4 2025","Currency=USD","Period=FQ","BEST_FPERIOD_OVERRIDE=FQ","FILING_STATUS=MR","Sort=A","Dates=H","DateFormat=P","Fill=—","Direction=H","UseDPDF=Y")</f>
        <v>—</v>
      </c>
    </row>
    <row r="100" spans="1:32" x14ac:dyDescent="0.25">
      <c r="A100" s="7" t="s">
        <v>242</v>
      </c>
      <c r="B100" s="7"/>
      <c r="C100" s="7" t="s">
        <v>1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2026-02-19T01:54:05Z</dcterms:modified>
</cp:coreProperties>
</file>