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0D8062F4-A7D4-4320-A512-DCEB5E81732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sh Flow - Standardiz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2" l="1" a="1"/>
  <c r="AE7" i="2" a="1"/>
  <c r="F42" i="2" a="1"/>
  <c r="AE22" i="2" a="1"/>
  <c r="G18" i="2" a="1"/>
  <c r="G7" i="2" a="1"/>
  <c r="AD16" i="2" a="1"/>
  <c r="AD38" i="2" a="1"/>
  <c r="W12" i="2" a="1"/>
  <c r="I15" i="2" a="1"/>
  <c r="E10" i="2" a="1"/>
  <c r="S7" i="2" a="1"/>
  <c r="O46" i="2" a="1"/>
  <c r="Y29" i="2" a="1"/>
  <c r="U7" i="2" a="1"/>
  <c r="U61" i="2" a="1"/>
  <c r="U64" i="2" a="1"/>
  <c r="C61" i="2" a="1"/>
  <c r="C30" i="2" a="1"/>
  <c r="C51" i="2" a="1"/>
  <c r="C26" i="2" a="1"/>
  <c r="V17" i="2" a="1"/>
  <c r="I25" i="2" a="1"/>
  <c r="I22" i="2" a="1"/>
  <c r="I10" i="2" a="1"/>
  <c r="I12" i="2" a="1"/>
  <c r="D11" i="2" a="1"/>
  <c r="O42" i="2" a="1"/>
  <c r="O35" i="2" a="1"/>
  <c r="O13" i="2" a="1"/>
  <c r="O41" i="2" a="1"/>
  <c r="AA24" i="2" a="1"/>
  <c r="AA31" i="2" a="1"/>
  <c r="AA8" i="2" a="1"/>
  <c r="AA18" i="2" a="1"/>
  <c r="P8" i="2" a="1"/>
  <c r="C60" i="2" a="1"/>
  <c r="U18" i="2" a="1"/>
  <c r="U45" i="2" a="1"/>
  <c r="U33" i="2" a="1"/>
  <c r="U50" i="2" a="1"/>
  <c r="C53" i="2" a="1"/>
  <c r="C55" i="2" a="1"/>
  <c r="C34" i="2" a="1"/>
  <c r="C18" i="2" a="1"/>
  <c r="AA41" i="2" a="1"/>
  <c r="AA64" i="2" a="1"/>
  <c r="AA38" i="2" a="1"/>
  <c r="AA62" i="2" a="1"/>
  <c r="I65" i="2" a="1"/>
  <c r="O23" i="2" a="1"/>
  <c r="O26" i="2" a="1"/>
  <c r="O48" i="2" a="1"/>
  <c r="I44" i="2" a="1"/>
  <c r="I16" i="2" a="1"/>
  <c r="I31" i="2" a="1"/>
  <c r="I37" i="2" a="1"/>
  <c r="V26" i="2" a="1"/>
  <c r="V44" i="2" a="1"/>
  <c r="V34" i="2" a="1"/>
  <c r="V7" i="2" a="1"/>
  <c r="J28" i="2" a="1"/>
  <c r="J44" i="2" a="1"/>
  <c r="J22" i="2" a="1"/>
  <c r="J17" i="2" a="1"/>
  <c r="V9" i="2" a="1"/>
  <c r="I34" i="2" a="1"/>
  <c r="D10" i="2" a="1"/>
  <c r="O49" i="2" a="1"/>
  <c r="AA44" i="2" a="1"/>
  <c r="P16" i="2" a="1"/>
  <c r="U24" i="2" a="1"/>
  <c r="U26" i="2" a="1"/>
  <c r="C15" i="2" a="1"/>
  <c r="AA32" i="2" a="1"/>
  <c r="O50" i="2" a="1"/>
  <c r="I43" i="2" a="1"/>
  <c r="V8" i="2" a="1"/>
  <c r="V22" i="2" a="1"/>
  <c r="J26" i="2" a="1"/>
  <c r="Z30" i="2" a="1"/>
  <c r="C64" i="2" a="1"/>
  <c r="I7" i="2" a="1"/>
  <c r="T7" i="2" a="1"/>
  <c r="O22" i="2" a="1"/>
  <c r="U38" i="2" a="1"/>
  <c r="C7" i="2" a="1"/>
  <c r="AA13" i="2" a="1"/>
  <c r="O28" i="2" a="1"/>
  <c r="V32" i="2" a="1"/>
  <c r="J8" i="2" a="1"/>
  <c r="U44" i="2" a="1"/>
  <c r="C16" i="2" a="1"/>
  <c r="I61" i="2" a="1"/>
  <c r="O8" i="2" a="1"/>
  <c r="W15" i="2" a="1"/>
  <c r="I46" i="2" a="1"/>
  <c r="E23" i="2" a="1"/>
  <c r="S10" i="2" a="1"/>
  <c r="O16" i="2" a="1"/>
  <c r="Y15" i="2" a="1"/>
  <c r="U14" i="2" a="1"/>
  <c r="U36" i="2" a="1"/>
  <c r="U47" i="2" a="1"/>
  <c r="C49" i="2" a="1"/>
  <c r="C17" i="2" a="1"/>
  <c r="C14" i="2" a="1"/>
  <c r="C27" i="2" a="1"/>
  <c r="I18" i="2" a="1"/>
  <c r="I24" i="2" a="1"/>
  <c r="O19" i="2" a="1"/>
  <c r="AA61" i="2" a="1"/>
  <c r="C22" i="2" a="1"/>
  <c r="AA50" i="2" a="1"/>
  <c r="I66" i="2" a="1"/>
  <c r="I30" i="2" a="1"/>
  <c r="V38" i="2" a="1"/>
  <c r="J7" i="2" a="1"/>
  <c r="U13" i="2" a="1"/>
  <c r="C41" i="2" a="1"/>
  <c r="X9" i="2" a="1"/>
  <c r="AB8" i="2" a="1"/>
  <c r="O43" i="2" a="1"/>
  <c r="R36" i="2" a="1"/>
  <c r="U30" i="2" a="1"/>
  <c r="AA12" i="2" a="1"/>
  <c r="K8" i="2" a="1"/>
  <c r="U48" i="2" a="1"/>
  <c r="R7" i="2" a="1"/>
  <c r="U9" i="2" a="1"/>
  <c r="AA25" i="2" a="1"/>
  <c r="K22" i="2" a="1"/>
  <c r="Z8" i="2" a="1"/>
  <c r="U19" i="2" a="1"/>
  <c r="U17" i="2" a="1"/>
  <c r="U16" i="2" a="1"/>
  <c r="U42" i="2" a="1"/>
  <c r="C8" i="2" a="1"/>
  <c r="C25" i="2" a="1"/>
  <c r="C29" i="2" a="1"/>
  <c r="C23" i="2" a="1"/>
  <c r="C10" i="2" a="1"/>
  <c r="M13" i="2" a="1"/>
  <c r="Q19" i="2" a="1"/>
  <c r="AF25" i="2" a="1"/>
  <c r="L35" i="2" a="1"/>
  <c r="U11" i="2" a="1"/>
  <c r="U43" i="2" a="1"/>
  <c r="U35" i="2" a="1"/>
  <c r="I9" i="2" a="1"/>
  <c r="O38" i="2" a="1"/>
  <c r="AA36" i="2" a="1"/>
  <c r="AA48" i="2" a="1"/>
  <c r="C67" i="2" a="1"/>
  <c r="U15" i="2" a="1"/>
  <c r="C46" i="2" a="1"/>
  <c r="AA19" i="2" a="1"/>
  <c r="O45" i="2" a="1"/>
  <c r="I45" i="2" a="1"/>
  <c r="I36" i="2" a="1"/>
  <c r="J11" i="2" a="1"/>
  <c r="U34" i="2" a="1"/>
  <c r="C11" i="2" a="1"/>
  <c r="I38" i="2" a="1"/>
  <c r="O53" i="2" a="1"/>
  <c r="I49" i="2" a="1"/>
  <c r="N16" i="2" a="1"/>
  <c r="O51" i="2" a="1"/>
  <c r="AA30" i="2" a="1"/>
  <c r="AA27" i="2" a="1"/>
  <c r="I67" i="2" a="1"/>
  <c r="C19" i="2" a="1"/>
  <c r="C48" i="2" a="1"/>
  <c r="AA7" i="2" a="1"/>
  <c r="U66" i="2" a="1"/>
  <c r="O7" i="2" a="1"/>
  <c r="I48" i="2" a="1"/>
  <c r="V15" i="2" a="1"/>
  <c r="V30" i="2" a="1"/>
  <c r="J14" i="2" a="1"/>
  <c r="O66" i="2" a="1"/>
  <c r="O62" i="2" a="1"/>
  <c r="X29" i="2" a="1"/>
  <c r="O27" i="2" a="1"/>
  <c r="M8" i="2" a="1"/>
  <c r="U55" i="2" a="1"/>
  <c r="C33" i="2" a="1"/>
  <c r="I64" i="2" a="1"/>
  <c r="N8" i="2" a="1"/>
  <c r="O33" i="2" a="1"/>
  <c r="AA29" i="2" a="1"/>
  <c r="I60" i="2" a="1"/>
  <c r="U8" i="2" a="1"/>
  <c r="C45" i="2" a="1"/>
  <c r="AA33" i="2" a="1"/>
  <c r="U65" i="2" a="1"/>
  <c r="O31" i="2" a="1"/>
  <c r="I32" i="2" a="1"/>
  <c r="V28" i="2" a="1"/>
  <c r="V61" i="2" a="1"/>
  <c r="Q17" i="2" a="1"/>
  <c r="O59" i="2" a="1"/>
  <c r="U12" i="2" a="1"/>
  <c r="AA22" i="2" a="1"/>
  <c r="O24" i="2" a="1"/>
  <c r="I62" i="2" a="1"/>
  <c r="AC13" i="2" a="1"/>
  <c r="H25" i="2" a="1"/>
  <c r="AA37" i="2" a="1"/>
  <c r="U31" i="2" a="1"/>
  <c r="C66" i="2" a="1"/>
  <c r="O17" i="2" a="1"/>
  <c r="I14" i="2" a="1"/>
  <c r="J13" i="2" a="1"/>
  <c r="AF13" i="2" a="1"/>
  <c r="I42" i="2" a="1"/>
  <c r="AA55" i="2" a="1"/>
  <c r="U23" i="2" a="1"/>
  <c r="C65" i="2" a="1"/>
  <c r="I28" i="2" a="1"/>
  <c r="J10" i="2" a="1"/>
  <c r="I11" i="2" a="1"/>
  <c r="O47" i="2" a="1"/>
  <c r="I63" i="2" a="1"/>
  <c r="U29" i="2" a="1"/>
  <c r="O29" i="2" a="1"/>
  <c r="V12" i="2" a="1"/>
  <c r="C47" i="2" a="1"/>
  <c r="I51" i="2" a="1"/>
  <c r="T9" i="2" a="1"/>
  <c r="O18" i="2" a="1"/>
  <c r="AA15" i="2" a="1"/>
  <c r="O63" i="2" a="1"/>
  <c r="U25" i="2" a="1"/>
  <c r="C62" i="2" a="1"/>
  <c r="C42" i="2" a="1"/>
  <c r="AA16" i="2" a="1"/>
  <c r="O37" i="2" a="1"/>
  <c r="I29" i="2" a="1"/>
  <c r="I53" i="2" a="1"/>
  <c r="V42" i="2" a="1"/>
  <c r="V18" i="2" a="1"/>
  <c r="J34" i="2" a="1"/>
  <c r="AA67" i="2" a="1"/>
  <c r="U49" i="2" a="1"/>
  <c r="AA9" i="2" a="1"/>
  <c r="U37" i="2" a="1"/>
  <c r="C44" i="2" a="1"/>
  <c r="AA59" i="2" a="1"/>
  <c r="V10" i="2" a="1"/>
  <c r="U46" i="2" a="1"/>
  <c r="I41" i="2" a="1"/>
  <c r="O55" i="2" a="1"/>
  <c r="U53" i="2" a="1"/>
  <c r="C36" i="2" a="1"/>
  <c r="AA63" i="2" a="1"/>
  <c r="I55" i="2" a="1"/>
  <c r="J18" i="2" a="1"/>
  <c r="AA60" i="2" a="1"/>
  <c r="AC7" i="2" a="1"/>
  <c r="H23" i="2" a="1"/>
  <c r="O34" i="2" a="1"/>
  <c r="I59" i="2" a="1"/>
  <c r="C43" i="2" a="1"/>
  <c r="AA47" i="2" a="1"/>
  <c r="I8" i="2" a="1"/>
  <c r="V13" i="2" a="1"/>
  <c r="J32" i="2" a="1"/>
  <c r="C38" i="2" a="1"/>
  <c r="O12" i="2" a="1"/>
  <c r="U41" i="2" a="1"/>
  <c r="C9" i="2" a="1"/>
  <c r="AA43" i="2" a="1"/>
  <c r="L43" i="2" a="1"/>
  <c r="C31" i="2" a="1"/>
  <c r="O61" i="2" a="1"/>
  <c r="AA35" i="2" a="1"/>
  <c r="J9" i="2" a="1"/>
  <c r="U62" i="2" a="1"/>
  <c r="C35" i="2" a="1"/>
  <c r="AA11" i="2" a="1"/>
  <c r="AA17" i="2" a="1"/>
  <c r="O10" i="2" a="1"/>
  <c r="I47" i="2" a="1"/>
  <c r="O60" i="2" a="1"/>
  <c r="J30" i="2" a="1"/>
  <c r="U51" i="2" a="1"/>
  <c r="I23" i="2" a="1"/>
  <c r="AA51" i="2" a="1"/>
  <c r="AA65" i="2" a="1"/>
  <c r="AA45" i="2" a="1"/>
  <c r="O30" i="2" a="1"/>
  <c r="V14" i="2" a="1"/>
  <c r="O9" i="2" a="1"/>
  <c r="U63" i="2" a="1"/>
  <c r="AA53" i="2" a="1"/>
  <c r="O14" i="2" a="1"/>
  <c r="O65" i="2" a="1"/>
  <c r="J38" i="2" a="1"/>
  <c r="I26" i="2" a="1"/>
  <c r="I17" i="2" a="1"/>
  <c r="O64" i="2" a="1"/>
  <c r="AA14" i="2" a="1"/>
  <c r="U59" i="2" a="1"/>
  <c r="U27" i="2" a="1"/>
  <c r="AA66" i="2" a="1"/>
  <c r="AA34" i="2" a="1"/>
  <c r="AA49" i="2" a="1"/>
  <c r="O32" i="2" a="1"/>
  <c r="O44" i="2" a="1"/>
  <c r="O67" i="2" a="1"/>
  <c r="V24" i="2" a="1"/>
  <c r="J36" i="2" a="1"/>
  <c r="C28" i="2" a="1"/>
  <c r="O25" i="2" a="1"/>
  <c r="AA46" i="2" a="1"/>
  <c r="U28" i="2" a="1"/>
  <c r="C12" i="2" a="1"/>
  <c r="O11" i="2" a="1"/>
  <c r="V11" i="2" a="1"/>
  <c r="J16" i="2" a="1"/>
  <c r="AA23" i="2" a="1"/>
  <c r="C13" i="2" a="1"/>
  <c r="AA42" i="2" a="1"/>
  <c r="V16" i="2" a="1"/>
  <c r="O15" i="2" a="1"/>
  <c r="I35" i="2" a="1"/>
  <c r="I27" i="2" a="1"/>
  <c r="I13" i="2" a="1"/>
  <c r="I50" i="2" a="1"/>
  <c r="J42" i="2" a="1"/>
  <c r="J12" i="2" a="1"/>
  <c r="J24" i="2" a="1"/>
  <c r="C32" i="2" a="1"/>
  <c r="I33" i="2" a="1"/>
  <c r="AB12" i="2" a="1"/>
  <c r="AA26" i="2" a="1"/>
  <c r="U22" i="2" a="1"/>
  <c r="O36" i="2" a="1"/>
  <c r="J46" i="2" a="1"/>
  <c r="V36" i="2" a="1"/>
  <c r="U10" i="2" a="1"/>
  <c r="C24" i="2" a="1"/>
  <c r="AA28" i="2" a="1"/>
  <c r="J15" i="2" a="1"/>
  <c r="U32" i="2" a="1"/>
  <c r="C37" i="2" a="1"/>
  <c r="C50" i="2" a="1"/>
  <c r="AA10" i="2" a="1"/>
  <c r="I19" i="2" a="1"/>
  <c r="U67" i="2" a="1"/>
  <c r="P25" i="2" a="1"/>
  <c r="P12" i="2" a="1"/>
  <c r="P41" i="2" a="1"/>
  <c r="D17" i="2" a="1"/>
  <c r="D15" i="2" a="1"/>
  <c r="D23" i="2" a="1"/>
  <c r="D33" i="2" a="1"/>
  <c r="E9" i="2" a="1"/>
  <c r="E45" i="2" a="1"/>
  <c r="E43" i="2" a="1"/>
  <c r="E7" i="2" a="1"/>
  <c r="K17" i="2" a="1"/>
  <c r="K24" i="2" a="1"/>
  <c r="K10" i="2" a="1"/>
  <c r="W38" i="2" a="1"/>
  <c r="W17" i="2" a="1"/>
  <c r="W8" i="2" a="1"/>
  <c r="W13" i="2" a="1"/>
  <c r="AB33" i="2" a="1"/>
  <c r="AB23" i="2" a="1"/>
  <c r="AB16" i="2" a="1"/>
  <c r="AB49" i="2" a="1"/>
  <c r="AC29" i="2" a="1"/>
  <c r="AC37" i="2" a="1"/>
  <c r="AC31" i="2" a="1"/>
  <c r="AC8" i="2" a="1"/>
  <c r="Q41" i="2" a="1"/>
  <c r="Q29" i="2" a="1"/>
  <c r="Q10" i="2" a="1"/>
  <c r="M22" i="2" a="1"/>
  <c r="M29" i="2" a="1"/>
  <c r="M15" i="2" a="1"/>
  <c r="M35" i="2" a="1"/>
  <c r="V63" i="2" a="1"/>
  <c r="AD9" i="2" a="1"/>
  <c r="AD11" i="2" a="1"/>
  <c r="AD32" i="2" a="1"/>
  <c r="AD22" i="2" a="1"/>
  <c r="L27" i="2" a="1"/>
  <c r="L29" i="2" a="1"/>
  <c r="L24" i="2" a="1"/>
  <c r="X35" i="2" a="1"/>
  <c r="X17" i="2" a="1"/>
  <c r="D30" i="2" a="1"/>
  <c r="D50" i="2" a="1"/>
  <c r="D26" i="2" a="1"/>
  <c r="X31" i="2" a="1"/>
  <c r="D47" i="2" a="1"/>
  <c r="Y9" i="2" a="1"/>
  <c r="Y16" i="2" a="1"/>
  <c r="Y24" i="2" a="1"/>
  <c r="Y25" i="2" a="1"/>
  <c r="R44" i="2" a="1"/>
  <c r="R12" i="2" a="1"/>
  <c r="R9" i="2" a="1"/>
  <c r="R32" i="2" a="1"/>
  <c r="AE9" i="2" a="1"/>
  <c r="AE23" i="2" a="1"/>
  <c r="AE18" i="2" a="1"/>
  <c r="F13" i="2" a="1"/>
  <c r="F10" i="2" a="1"/>
  <c r="F8" i="2" a="1"/>
  <c r="F28" i="2" a="1"/>
  <c r="H9" i="2" a="1"/>
  <c r="H11" i="2" a="1"/>
  <c r="H15" i="2" a="1"/>
  <c r="H37" i="2" a="1"/>
  <c r="S15" i="2" a="1"/>
  <c r="S18" i="2" a="1"/>
  <c r="S30" i="2" a="1"/>
  <c r="S34" i="2" a="1"/>
  <c r="G26" i="2" a="1"/>
  <c r="G36" i="2" a="1"/>
  <c r="G13" i="2" a="1"/>
  <c r="G14" i="2" a="1"/>
  <c r="N59" i="2" a="1"/>
  <c r="T13" i="2" a="1"/>
  <c r="T43" i="2" a="1"/>
  <c r="L19" i="2" a="1"/>
  <c r="D51" i="2" a="1"/>
  <c r="Y12" i="2" a="1"/>
  <c r="Y43" i="2" a="1"/>
  <c r="R30" i="2" a="1"/>
  <c r="R42" i="2" a="1"/>
  <c r="U60" i="2" a="1"/>
  <c r="P17" i="2" a="1"/>
  <c r="P9" i="2" a="1"/>
  <c r="P45" i="2" a="1"/>
  <c r="D18" i="2" a="1"/>
  <c r="D35" i="2" a="1"/>
  <c r="D45" i="2" a="1"/>
  <c r="D37" i="2" a="1"/>
  <c r="E12" i="2" a="1"/>
  <c r="E25" i="2" a="1"/>
  <c r="E31" i="2" a="1"/>
  <c r="E33" i="2" a="1"/>
  <c r="K11" i="2" a="1"/>
  <c r="K13" i="2" a="1"/>
  <c r="K12" i="2" a="1"/>
  <c r="W14" i="2" a="1"/>
  <c r="W9" i="2" a="1"/>
  <c r="W50" i="2" a="1"/>
  <c r="W34" i="2" a="1"/>
  <c r="AB10" i="2" a="1"/>
  <c r="AB17" i="2" a="1"/>
  <c r="AB13" i="2" a="1"/>
  <c r="AB27" i="2" a="1"/>
  <c r="AC41" i="2" a="1"/>
  <c r="AC16" i="2" a="1"/>
  <c r="AC15" i="2" a="1"/>
  <c r="AC10" i="2" a="1"/>
  <c r="Q25" i="2" a="1"/>
  <c r="Q7" i="2" a="1"/>
  <c r="Q15" i="2" a="1"/>
  <c r="M17" i="2" a="1"/>
  <c r="M33" i="2" a="1"/>
  <c r="M16" i="2" a="1"/>
  <c r="M19" i="2" a="1"/>
  <c r="V59" i="2" a="1"/>
  <c r="AD36" i="2" a="1"/>
  <c r="AD26" i="2" a="1"/>
  <c r="AD23" i="2" a="1"/>
  <c r="L9" i="2" a="1"/>
  <c r="L17" i="2" a="1"/>
  <c r="L15" i="2" a="1"/>
  <c r="X14" i="2" a="1"/>
  <c r="X32" i="2" a="1"/>
  <c r="X19" i="2" a="1"/>
  <c r="X13" i="2" a="1"/>
  <c r="D61" i="2" a="1"/>
  <c r="D42" i="2" a="1"/>
  <c r="Y35" i="2" a="1"/>
  <c r="Y7" i="2" a="1"/>
  <c r="R34" i="2" a="1"/>
  <c r="R8" i="2" a="1"/>
  <c r="P33" i="2" a="1"/>
  <c r="P7" i="2" a="1"/>
  <c r="P43" i="2" a="1"/>
  <c r="P15" i="2" a="1"/>
  <c r="D9" i="2" a="1"/>
  <c r="D16" i="2" a="1"/>
  <c r="D8" i="2" a="1"/>
  <c r="D14" i="2" a="1"/>
  <c r="E47" i="2" a="1"/>
  <c r="E37" i="2" a="1"/>
  <c r="E15" i="2" a="1"/>
  <c r="H7" i="2" a="1"/>
  <c r="K63" i="2" a="1"/>
  <c r="G42" i="2" a="1"/>
  <c r="T23" i="2" a="1"/>
  <c r="T41" i="2" a="1"/>
  <c r="Y63" i="2" a="1"/>
  <c r="P14" i="2" a="1"/>
  <c r="P11" i="2" a="1"/>
  <c r="P19" i="2" a="1"/>
  <c r="P31" i="2" a="1"/>
  <c r="D29" i="2" a="1"/>
  <c r="D13" i="2" a="1"/>
  <c r="D7" i="2" a="1"/>
  <c r="D12" i="2" a="1"/>
  <c r="E35" i="2" a="1"/>
  <c r="E19" i="2" a="1"/>
  <c r="E16" i="2" a="1"/>
  <c r="K7" i="2" a="1"/>
  <c r="K42" i="2" a="1"/>
  <c r="K9" i="2" a="1"/>
  <c r="K38" i="2" a="1"/>
  <c r="W18" i="2" a="1"/>
  <c r="W28" i="2" a="1"/>
  <c r="W26" i="2" a="1"/>
  <c r="AB11" i="2" a="1"/>
  <c r="AB18" i="2" a="1"/>
  <c r="AB29" i="2" a="1"/>
  <c r="AB19" i="2" a="1"/>
  <c r="C63" i="2" a="1"/>
  <c r="AC9" i="2" a="1"/>
  <c r="AC19" i="2" a="1"/>
  <c r="AC43" i="2" a="1"/>
  <c r="Q31" i="2" a="1"/>
  <c r="Q35" i="2" a="1"/>
  <c r="Q43" i="2" a="1"/>
  <c r="Q13" i="2" a="1"/>
  <c r="M37" i="2" a="1"/>
  <c r="M31" i="2" a="1"/>
  <c r="M27" i="2" a="1"/>
  <c r="M41" i="2" a="1"/>
  <c r="AD18" i="2" a="1"/>
  <c r="AD30" i="2" a="1"/>
  <c r="AD14" i="2" a="1"/>
  <c r="AD15" i="2" a="1"/>
  <c r="L10" i="2" a="1"/>
  <c r="L37" i="2" a="1"/>
  <c r="L31" i="2" a="1"/>
  <c r="L8" i="2" a="1"/>
  <c r="X37" i="2" a="1"/>
  <c r="D38" i="2" a="1"/>
  <c r="D32" i="2" a="1"/>
  <c r="D46" i="2" a="1"/>
  <c r="X16" i="2" a="1"/>
  <c r="D62" i="2" a="1"/>
  <c r="D64" i="2" a="1"/>
  <c r="Y10" i="2" a="1"/>
  <c r="Y27" i="2" a="1"/>
  <c r="Y31" i="2" a="1"/>
  <c r="Y41" i="2" a="1"/>
  <c r="R38" i="2" a="1"/>
  <c r="R13" i="2" a="1"/>
  <c r="R28" i="2" a="1"/>
  <c r="AE32" i="2" a="1"/>
  <c r="AE11" i="2" a="1"/>
  <c r="AE8" i="2" a="1"/>
  <c r="AE13" i="2" a="1"/>
  <c r="F15" i="2" a="1"/>
  <c r="F12" i="2" a="1"/>
  <c r="F32" i="2" a="1"/>
  <c r="F19" i="2" a="1"/>
  <c r="H27" i="2" a="1"/>
  <c r="H43" i="2" a="1"/>
  <c r="H51" i="2" a="1"/>
  <c r="S19" i="2" a="1"/>
  <c r="S13" i="2" a="1"/>
  <c r="S26" i="2" a="1"/>
  <c r="G32" i="2" a="1"/>
  <c r="G34" i="2" a="1"/>
  <c r="G11" i="2" a="1"/>
  <c r="T11" i="2" a="1"/>
  <c r="T35" i="2" a="1"/>
  <c r="Q37" i="2" a="1"/>
  <c r="M11" i="2" a="1"/>
  <c r="P29" i="2" a="1"/>
  <c r="P37" i="2" a="1"/>
  <c r="P13" i="2" a="1"/>
  <c r="P18" i="2" a="1"/>
  <c r="D27" i="2" a="1"/>
  <c r="D41" i="2" a="1"/>
  <c r="D43" i="2" a="1"/>
  <c r="E13" i="2" a="1"/>
  <c r="E8" i="2" a="1"/>
  <c r="E14" i="2" a="1"/>
  <c r="E17" i="2" a="1"/>
  <c r="K16" i="2" a="1"/>
  <c r="K44" i="2" a="1"/>
  <c r="K30" i="2" a="1"/>
  <c r="K14" i="2" a="1"/>
  <c r="W42" i="2" a="1"/>
  <c r="W36" i="2" a="1"/>
  <c r="W44" i="2" a="1"/>
  <c r="W16" i="2" a="1"/>
  <c r="AB31" i="2" a="1"/>
  <c r="AB43" i="2" a="1"/>
  <c r="AB37" i="2" a="1"/>
  <c r="AC25" i="2" a="1"/>
  <c r="AC17" i="2" a="1"/>
  <c r="AC35" i="2" a="1"/>
  <c r="AC27" i="2" a="1"/>
  <c r="Q11" i="2" a="1"/>
  <c r="Q16" i="2" a="1"/>
  <c r="Q33" i="2" a="1"/>
  <c r="M14" i="2" a="1"/>
  <c r="M25" i="2" a="1"/>
  <c r="P23" i="2" a="1"/>
  <c r="P10" i="2" a="1"/>
  <c r="E11" i="2" a="1"/>
  <c r="K36" i="2" a="1"/>
  <c r="W10" i="2" a="1"/>
  <c r="AB9" i="2" a="1"/>
  <c r="AC23" i="2" a="1"/>
  <c r="Q12" i="2" a="1"/>
  <c r="M23" i="2" a="1"/>
  <c r="AD24" i="2" a="1"/>
  <c r="L23" i="2" a="1"/>
  <c r="X10" i="2" a="1"/>
  <c r="X18" i="2" a="1"/>
  <c r="D34" i="2" a="1"/>
  <c r="Y23" i="2" a="1"/>
  <c r="R22" i="2" a="1"/>
  <c r="R11" i="2" a="1"/>
  <c r="T37" i="2" a="1"/>
  <c r="AC14" i="2" a="1"/>
  <c r="AD12" i="2" a="1"/>
  <c r="D36" i="2" a="1"/>
  <c r="D49" i="2" a="1"/>
  <c r="R23" i="2" a="1"/>
  <c r="M63" i="2" a="1"/>
  <c r="AB15" i="2" a="1"/>
  <c r="X8" i="2" a="1"/>
  <c r="AE38" i="2" a="1"/>
  <c r="H45" i="2" a="1"/>
  <c r="G22" i="2" a="1"/>
  <c r="M59" i="2" a="1"/>
  <c r="S22" i="2" a="1"/>
  <c r="T49" i="2" a="1"/>
  <c r="G28" i="2" a="1"/>
  <c r="R26" i="2" a="1"/>
  <c r="AE14" i="2" a="1"/>
  <c r="F18" i="2" a="1"/>
  <c r="F36" i="2" a="1"/>
  <c r="H29" i="2" a="1"/>
  <c r="H62" i="2" a="1"/>
  <c r="S12" i="2" a="1"/>
  <c r="S36" i="2" a="1"/>
  <c r="G12" i="2" a="1"/>
  <c r="G10" i="2" a="1"/>
  <c r="N63" i="2" a="1"/>
  <c r="T51" i="2" a="1"/>
  <c r="P35" i="2" a="1"/>
  <c r="E27" i="2" a="1"/>
  <c r="K46" i="2" a="1"/>
  <c r="W30" i="2" a="1"/>
  <c r="AB7" i="2" a="1"/>
  <c r="Q23" i="2" a="1"/>
  <c r="M7" i="2" a="1"/>
  <c r="L12" i="2" a="1"/>
  <c r="X27" i="2" a="1"/>
  <c r="Y18" i="2" a="1"/>
  <c r="K15" i="2" a="1"/>
  <c r="AC11" i="2" a="1"/>
  <c r="J63" i="2" a="1"/>
  <c r="X33" i="2" a="1"/>
  <c r="AE24" i="2" a="1"/>
  <c r="H47" i="2" a="1"/>
  <c r="T47" i="2" a="1"/>
  <c r="F11" i="2" a="1"/>
  <c r="T25" i="2" a="1"/>
  <c r="G30" i="2" a="1"/>
  <c r="P27" i="2" a="1"/>
  <c r="E18" i="2" a="1"/>
  <c r="J59" i="2" a="1"/>
  <c r="AD8" i="2" a="1"/>
  <c r="L16" i="2" a="1"/>
  <c r="X25" i="2" a="1"/>
  <c r="X23" i="2" a="1"/>
  <c r="D22" i="2" a="1"/>
  <c r="Y17" i="2" a="1"/>
  <c r="AE17" i="2" a="1"/>
  <c r="AE30" i="2" a="1"/>
  <c r="F17" i="2" a="1"/>
  <c r="F26" i="2" a="1"/>
  <c r="H35" i="2" a="1"/>
  <c r="H17" i="2" a="1"/>
  <c r="S11" i="2" a="1"/>
  <c r="S24" i="2" a="1"/>
  <c r="G17" i="2" a="1"/>
  <c r="G16" i="2" a="1"/>
  <c r="T17" i="2" a="1"/>
  <c r="T19" i="2" a="1"/>
  <c r="D53" i="2" a="1"/>
  <c r="L25" i="2" a="1"/>
  <c r="X11" i="2" a="1"/>
  <c r="Y37" i="2" a="1"/>
  <c r="R17" i="2" a="1"/>
  <c r="H55" i="2" a="1"/>
  <c r="K59" i="2" a="1"/>
  <c r="K34" i="2" a="1"/>
  <c r="W7" i="2" a="1"/>
  <c r="C59" i="2" a="1"/>
  <c r="Q27" i="2" a="1"/>
  <c r="M10" i="2" a="1"/>
  <c r="R10" i="2" a="1"/>
  <c r="AE28" i="2" a="1"/>
  <c r="AE10" i="2" a="1"/>
  <c r="F38" i="2" a="1"/>
  <c r="F9" i="2" a="1"/>
  <c r="H8" i="2" a="1"/>
  <c r="H49" i="2" a="1"/>
  <c r="S8" i="2" a="1"/>
  <c r="S17" i="2" a="1"/>
  <c r="G8" i="2" a="1"/>
  <c r="G9" i="2" a="1"/>
  <c r="T29" i="2" a="1"/>
  <c r="T27" i="2" a="1"/>
  <c r="Y59" i="2" a="1"/>
  <c r="D25" i="2" a="1"/>
  <c r="E29" i="2" a="1"/>
  <c r="K26" i="2" a="1"/>
  <c r="AB41" i="2" a="1"/>
  <c r="AC12" i="2" a="1"/>
  <c r="Q8" i="2" a="1"/>
  <c r="M18" i="2" a="1"/>
  <c r="AD28" i="2" a="1"/>
  <c r="AD13" i="2" a="1"/>
  <c r="L33" i="2" a="1"/>
  <c r="X15" i="2" a="1"/>
  <c r="Y19" i="2" a="1"/>
  <c r="R15" i="2" a="1"/>
  <c r="AD44" i="2" a="1"/>
  <c r="L18" i="2" a="1"/>
  <c r="D55" i="2" a="1"/>
  <c r="Y33" i="2" a="1"/>
  <c r="AE44" i="2" a="1"/>
  <c r="F16" i="2" a="1"/>
  <c r="G38" i="2" a="1"/>
  <c r="H13" i="2" a="1"/>
  <c r="D19" i="2" a="1"/>
  <c r="K18" i="2" a="1"/>
  <c r="W32" i="2" a="1"/>
  <c r="AB14" i="2" a="1"/>
  <c r="AC45" i="2" a="1"/>
  <c r="Q9" i="2" a="1"/>
  <c r="M43" i="2" a="1"/>
  <c r="AD7" i="2" a="1"/>
  <c r="AD42" i="2" a="1"/>
  <c r="L41" i="2" a="1"/>
  <c r="X43" i="2" a="1"/>
  <c r="D44" i="2" a="1"/>
  <c r="Y14" i="2" a="1"/>
  <c r="R18" i="2" a="1"/>
  <c r="T55" i="2" a="1"/>
  <c r="K32" i="2" a="1"/>
  <c r="W22" i="2" a="1"/>
  <c r="AB35" i="2" a="1"/>
  <c r="AC33" i="2" a="1"/>
  <c r="Q18" i="2" a="1"/>
  <c r="M12" i="2" a="1"/>
  <c r="R24" i="2" a="1"/>
  <c r="AE12" i="2" a="1"/>
  <c r="AE42" i="2" a="1"/>
  <c r="F14" i="2" a="1"/>
  <c r="H33" i="2" a="1"/>
  <c r="D31" i="2" a="1"/>
  <c r="AD17" i="2" a="1"/>
  <c r="L14" i="2" a="1"/>
  <c r="L13" i="2" a="1"/>
  <c r="D24" i="2" a="1"/>
  <c r="X7" i="2" a="1"/>
  <c r="Y11" i="2" a="1"/>
  <c r="R14" i="2" a="1"/>
  <c r="AE36" i="2" a="1"/>
  <c r="AE26" i="2" a="1"/>
  <c r="F34" i="2" a="1"/>
  <c r="W63" i="2" a="1"/>
  <c r="H19" i="2" a="1"/>
  <c r="S9" i="2" a="1"/>
  <c r="S38" i="2" a="1"/>
  <c r="L59" i="2" a="1"/>
  <c r="G24" i="2" a="1"/>
  <c r="X63" i="2" a="1"/>
  <c r="T62" i="2" a="1"/>
  <c r="T15" i="2" a="1"/>
  <c r="T31" i="2" a="1"/>
  <c r="W11" i="2" a="1"/>
  <c r="L7" i="2" a="1"/>
  <c r="Y8" i="2" a="1"/>
  <c r="F44" i="2" a="1"/>
  <c r="S44" i="2" a="1"/>
  <c r="G15" i="2" a="1"/>
  <c r="AE16" i="2" a="1"/>
  <c r="S28" i="2" a="1"/>
  <c r="F30" i="2" a="1"/>
  <c r="T33" i="2" a="1"/>
  <c r="K28" i="2" a="1"/>
  <c r="W24" i="2" a="1"/>
  <c r="AB25" i="2" a="1"/>
  <c r="AC18" i="2" a="1"/>
  <c r="Q51" i="2" a="1"/>
  <c r="M9" i="2" a="1"/>
  <c r="AD34" i="2" a="1"/>
  <c r="L11" i="2" a="1"/>
  <c r="X41" i="2" a="1"/>
  <c r="X12" i="2" a="1"/>
  <c r="D48" i="2" a="1"/>
  <c r="Y13" i="2" a="1"/>
  <c r="R16" i="2" a="1"/>
  <c r="AE15" i="2" a="1"/>
  <c r="AE34" i="2" a="1"/>
  <c r="F24" i="2" a="1"/>
  <c r="W59" i="2" a="1"/>
  <c r="H41" i="2" a="1"/>
  <c r="S32" i="2" a="1"/>
  <c r="S16" i="2" a="1"/>
  <c r="L63" i="2" a="1"/>
  <c r="G44" i="2" a="1"/>
  <c r="X59" i="2" a="1"/>
  <c r="T45" i="2" a="1"/>
  <c r="Q14" i="2" a="1"/>
  <c r="AD10" i="2" a="1"/>
  <c r="D28" i="2" a="1"/>
  <c r="F22" i="2" a="1"/>
  <c r="S42" i="2" a="1"/>
  <c r="T64" i="2" a="1"/>
  <c r="H31" i="2" a="1"/>
  <c r="G19" i="2" a="1"/>
  <c r="S14" i="2" a="1"/>
  <c r="AF7" i="2" a="1"/>
  <c r="AF27" i="2" a="1"/>
  <c r="AF31" i="2" a="1"/>
  <c r="AF55" i="2" a="1"/>
  <c r="Z59" i="2" a="1"/>
  <c r="AB42" i="2" a="1"/>
  <c r="AB55" i="2" a="1"/>
  <c r="AB50" i="2" a="1"/>
  <c r="P49" i="2" a="1"/>
  <c r="P42" i="2" a="1"/>
  <c r="P53" i="2" a="1"/>
  <c r="P47" i="2" a="1"/>
  <c r="J35" i="2" a="1"/>
  <c r="J47" i="2" a="1"/>
  <c r="J49" i="2" a="1"/>
  <c r="J64" i="2" a="1"/>
  <c r="E42" i="2" a="1"/>
  <c r="E64" i="2" a="1"/>
  <c r="E49" i="2" a="1"/>
  <c r="E48" i="2" a="1"/>
  <c r="V33" i="2" a="1"/>
  <c r="V64" i="2" a="1"/>
  <c r="V51" i="2" a="1"/>
  <c r="J60" i="2" a="1"/>
  <c r="P67" i="2" a="1"/>
  <c r="AC44" i="2" a="1"/>
  <c r="AC32" i="2" a="1"/>
  <c r="AC28" i="2" a="1"/>
  <c r="AC30" i="2" a="1"/>
  <c r="AB66" i="2" a="1"/>
  <c r="K48" i="2" a="1"/>
  <c r="K62" i="2" a="1"/>
  <c r="K61" i="2" a="1"/>
  <c r="Q45" i="2" a="1"/>
  <c r="Q24" i="2" a="1"/>
  <c r="Q49" i="2" a="1"/>
  <c r="Q64" i="2" a="1"/>
  <c r="W25" i="2" a="1"/>
  <c r="W19" i="2" a="1"/>
  <c r="W48" i="2" a="1"/>
  <c r="W27" i="2" a="1"/>
  <c r="AC63" i="2" a="1"/>
  <c r="W67" i="2" a="1"/>
  <c r="K65" i="2" a="1"/>
  <c r="AF51" i="2" a="1"/>
  <c r="AF23" i="2" a="1"/>
  <c r="AF17" i="2" a="1"/>
  <c r="AB61" i="2" a="1"/>
  <c r="AB45" i="2" a="1"/>
  <c r="P28" i="2" a="1"/>
  <c r="P22" i="2" a="1"/>
  <c r="J61" i="2" a="1"/>
  <c r="J55" i="2" a="1"/>
  <c r="E26" i="2" a="1"/>
  <c r="E55" i="2" a="1"/>
  <c r="V55" i="2" a="1"/>
  <c r="P60" i="2" a="1"/>
  <c r="AC48" i="2" a="1"/>
  <c r="AC51" i="2" a="1"/>
  <c r="AB65" i="2" a="1"/>
  <c r="K29" i="2" a="1"/>
  <c r="Q55" i="2" a="1"/>
  <c r="Q34" i="2" a="1"/>
  <c r="W23" i="2" a="1"/>
  <c r="W49" i="2" a="1"/>
  <c r="AC59" i="2" a="1"/>
  <c r="K66" i="2" a="1"/>
  <c r="AF64" i="2" a="1"/>
  <c r="AF33" i="2" a="1"/>
  <c r="AF37" i="2" a="1"/>
  <c r="AF9" i="2" a="1"/>
  <c r="AB32" i="2" a="1"/>
  <c r="AB36" i="2" a="1"/>
  <c r="AB44" i="2" a="1"/>
  <c r="AF35" i="2" a="1"/>
  <c r="AF49" i="2" a="1"/>
  <c r="AF43" i="2" a="1"/>
  <c r="AF19" i="2" a="1"/>
  <c r="AB48" i="2" a="1"/>
  <c r="AB22" i="2" a="1"/>
  <c r="AF62" i="2" a="1"/>
  <c r="AF15" i="2" a="1"/>
  <c r="AF45" i="2" a="1"/>
  <c r="P59" i="2" a="1"/>
  <c r="AB34" i="2" a="1"/>
  <c r="AB24" i="2" a="1"/>
  <c r="AB28" i="2" a="1"/>
  <c r="AB47" i="2" a="1"/>
  <c r="AF11" i="2" a="1"/>
  <c r="AF41" i="2" a="1"/>
  <c r="AF29" i="2" a="1"/>
  <c r="P63" i="2" a="1"/>
  <c r="AB64" i="2" a="1"/>
  <c r="AB30" i="2" a="1"/>
  <c r="AB53" i="2" a="1"/>
  <c r="AF47" i="2" a="1"/>
  <c r="Z63" i="2" a="1"/>
  <c r="AB26" i="2" a="1"/>
  <c r="P51" i="2" a="1"/>
  <c r="P61" i="2" a="1"/>
  <c r="J27" i="2" a="1"/>
  <c r="J31" i="2" a="1"/>
  <c r="E62" i="2" a="1"/>
  <c r="E24" i="2" a="1"/>
  <c r="V27" i="2" a="1"/>
  <c r="V43" i="2" a="1"/>
  <c r="J67" i="2" a="1"/>
  <c r="AC46" i="2" a="1"/>
  <c r="AC53" i="2" a="1"/>
  <c r="K45" i="2" a="1"/>
  <c r="K51" i="2" a="1"/>
  <c r="Q47" i="2" a="1"/>
  <c r="Q32" i="2" a="1"/>
  <c r="W43" i="2" a="1"/>
  <c r="W47" i="2" a="1"/>
  <c r="W60" i="2" a="1"/>
  <c r="P55" i="2" a="1"/>
  <c r="P62" i="2" a="1"/>
  <c r="J41" i="2" a="1"/>
  <c r="AB59" i="2" a="1"/>
  <c r="V31" i="2" a="1"/>
  <c r="V50" i="2" a="1"/>
  <c r="AC34" i="2" a="1"/>
  <c r="Q28" i="2" a="1"/>
  <c r="Q38" i="2" a="1"/>
  <c r="W51" i="2" a="1"/>
  <c r="W62" i="2" a="1"/>
  <c r="D66" i="2" a="1"/>
  <c r="E59" i="2" a="1"/>
  <c r="J66" i="2" a="1"/>
  <c r="Q42" i="2" a="1"/>
  <c r="Q61" i="2" a="1"/>
  <c r="E51" i="2" a="1"/>
  <c r="V62" i="2" a="1"/>
  <c r="K27" i="2" a="1"/>
  <c r="W29" i="2" a="1"/>
  <c r="P26" i="2" a="1"/>
  <c r="E44" i="2" a="1"/>
  <c r="V47" i="2" a="1"/>
  <c r="K19" i="2" a="1"/>
  <c r="Q53" i="2" a="1"/>
  <c r="P46" i="2" a="1"/>
  <c r="E34" i="2" a="1"/>
  <c r="V45" i="2" a="1"/>
  <c r="K55" i="2" a="1"/>
  <c r="Q48" i="2" a="1"/>
  <c r="P65" i="2" a="1"/>
  <c r="K35" i="2" a="1"/>
  <c r="P36" i="2" a="1"/>
  <c r="J51" i="2" a="1"/>
  <c r="E30" i="2" a="1"/>
  <c r="E41" i="2" a="1"/>
  <c r="V37" i="2" a="1"/>
  <c r="AC42" i="2" a="1"/>
  <c r="AC38" i="2" a="1"/>
  <c r="K47" i="2" a="1"/>
  <c r="K50" i="2" a="1"/>
  <c r="Q36" i="2" a="1"/>
  <c r="P50" i="2" a="1"/>
  <c r="K53" i="2" a="1"/>
  <c r="W55" i="2" a="1"/>
  <c r="K67" i="2" a="1"/>
  <c r="J37" i="2" a="1"/>
  <c r="AC49" i="2" a="1"/>
  <c r="P38" i="2" a="1"/>
  <c r="P32" i="2" a="1"/>
  <c r="J48" i="2" a="1"/>
  <c r="E61" i="2" a="1"/>
  <c r="V35" i="2" a="1"/>
  <c r="V41" i="2" a="1"/>
  <c r="AC55" i="2" a="1"/>
  <c r="K37" i="2" a="1"/>
  <c r="Q26" i="2" a="1"/>
  <c r="W33" i="2" a="1"/>
  <c r="W37" i="2" a="1"/>
  <c r="D59" i="2" a="1"/>
  <c r="K60" i="2" a="1"/>
  <c r="P44" i="2" a="1"/>
  <c r="J45" i="2" a="1"/>
  <c r="E36" i="2" a="1"/>
  <c r="E22" i="2" a="1"/>
  <c r="V67" i="2" a="1"/>
  <c r="AC22" i="2" a="1"/>
  <c r="AC36" i="2" a="1"/>
  <c r="K23" i="2" a="1"/>
  <c r="K49" i="2" a="1"/>
  <c r="P48" i="2" a="1"/>
  <c r="E38" i="2" a="1"/>
  <c r="D60" i="2" a="1"/>
  <c r="D63" i="2" a="1"/>
  <c r="J19" i="2" a="1"/>
  <c r="V60" i="2" a="1"/>
  <c r="AC62" i="2" a="1"/>
  <c r="Q50" i="2" a="1"/>
  <c r="AB38" i="2" a="1"/>
  <c r="J50" i="2" a="1"/>
  <c r="E32" i="2" a="1"/>
  <c r="AC24" i="2" a="1"/>
  <c r="K64" i="2" a="1"/>
  <c r="W53" i="2" a="1"/>
  <c r="W41" i="2" a="1"/>
  <c r="AB67" i="2" a="1"/>
  <c r="Q63" i="2" a="1"/>
  <c r="P34" i="2" a="1"/>
  <c r="J29" i="2" a="1"/>
  <c r="J25" i="2" a="1"/>
  <c r="V46" i="2" a="1"/>
  <c r="V49" i="2" a="1"/>
  <c r="D67" i="2" a="1"/>
  <c r="AC61" i="2" a="1"/>
  <c r="V66" i="2" a="1"/>
  <c r="Q46" i="2" a="1"/>
  <c r="W46" i="2" a="1"/>
  <c r="AB62" i="2" a="1"/>
  <c r="J53" i="2" a="1"/>
  <c r="J33" i="2" a="1"/>
  <c r="E53" i="2" a="1"/>
  <c r="V23" i="2" a="1"/>
  <c r="P66" i="2" a="1"/>
  <c r="AC64" i="2" a="1"/>
  <c r="K25" i="2" a="1"/>
  <c r="K31" i="2" a="1"/>
  <c r="Q22" i="2" a="1"/>
  <c r="Q62" i="2" a="1"/>
  <c r="W31" i="2" a="1"/>
  <c r="W61" i="2" a="1"/>
  <c r="AB60" i="2" a="1"/>
  <c r="Q59" i="2" a="1"/>
  <c r="AB46" i="2" a="1"/>
  <c r="P64" i="2" a="1"/>
  <c r="J43" i="2" a="1"/>
  <c r="E46" i="2" a="1"/>
  <c r="V48" i="2" a="1"/>
  <c r="V29" i="2" a="1"/>
  <c r="V65" i="2" a="1"/>
  <c r="V19" i="2" a="1"/>
  <c r="P24" i="2" a="1"/>
  <c r="AC47" i="2" a="1"/>
  <c r="Q30" i="2" a="1"/>
  <c r="AC26" i="2" a="1"/>
  <c r="J62" i="2" a="1"/>
  <c r="E50" i="2" a="1"/>
  <c r="V53" i="2" a="1"/>
  <c r="V25" i="2" a="1"/>
  <c r="P30" i="2" a="1"/>
  <c r="AC50" i="2" a="1"/>
  <c r="E63" i="2" a="1"/>
  <c r="W45" i="2" a="1"/>
  <c r="J65" i="2" a="1"/>
  <c r="K43" i="2" a="1"/>
  <c r="W35" i="2" a="1"/>
  <c r="AB51" i="2" a="1"/>
  <c r="J23" i="2" a="1"/>
  <c r="AB63" i="2" a="1"/>
  <c r="K41" i="2" a="1"/>
  <c r="K33" i="2" a="1"/>
  <c r="D65" i="2" a="1"/>
  <c r="W64" i="2" a="1"/>
  <c r="E28" i="2" a="1"/>
  <c r="Q44" i="2" a="1"/>
  <c r="E60" i="2" a="1"/>
  <c r="Q65" i="2" a="1"/>
  <c r="F47" i="2" a="1"/>
  <c r="F61" i="2" a="1"/>
  <c r="F46" i="2" a="1"/>
  <c r="F49" i="2" a="1"/>
  <c r="L34" i="2" a="1"/>
  <c r="L36" i="2" a="1"/>
  <c r="L26" i="2" a="1"/>
  <c r="L49" i="2" a="1"/>
  <c r="X53" i="2" a="1"/>
  <c r="X62" i="2" a="1"/>
  <c r="X26" i="2" a="1"/>
  <c r="X34" i="2" a="1"/>
  <c r="R29" i="2" a="1"/>
  <c r="R45" i="2" a="1"/>
  <c r="R62" i="2" a="1"/>
  <c r="R50" i="2" a="1"/>
  <c r="G47" i="2" a="1"/>
  <c r="G62" i="2" a="1"/>
  <c r="R67" i="2" a="1"/>
  <c r="G29" i="2" a="1"/>
  <c r="L60" i="2" a="1"/>
  <c r="AD48" i="2" a="1"/>
  <c r="AD51" i="2" a="1"/>
  <c r="AD64" i="2" a="1"/>
  <c r="S64" i="2" a="1"/>
  <c r="S27" i="2" a="1"/>
  <c r="S46" i="2" a="1"/>
  <c r="S62" i="2" a="1"/>
  <c r="L65" i="2" a="1"/>
  <c r="R66" i="2" a="1"/>
  <c r="AE48" i="2" a="1"/>
  <c r="AE53" i="2" a="1"/>
  <c r="AE62" i="2" a="1"/>
  <c r="AE61" i="2" a="1"/>
  <c r="F67" i="2" a="1"/>
  <c r="L66" i="2" a="1"/>
  <c r="AE19" i="2" a="1"/>
  <c r="F60" i="2" a="1"/>
  <c r="AD47" i="2" a="1"/>
  <c r="S47" i="2" a="1"/>
  <c r="AE64" i="2" a="1"/>
  <c r="AC67" i="2" a="1"/>
  <c r="X36" i="2" a="1"/>
  <c r="G50" i="2" a="1"/>
  <c r="G35" i="2" a="1"/>
  <c r="L67" i="2" a="1"/>
  <c r="AD37" i="2" a="1"/>
  <c r="S41" i="2" a="1"/>
  <c r="S45" i="2" a="1"/>
  <c r="R65" i="2" a="1"/>
  <c r="AE35" i="2" a="1"/>
  <c r="R60" i="2" a="1"/>
  <c r="AD43" i="2" a="1"/>
  <c r="Y60" i="2" a="1"/>
  <c r="G59" i="2" a="1"/>
  <c r="F45" i="2" a="1"/>
  <c r="X46" i="2" a="1"/>
  <c r="G46" i="2" a="1"/>
  <c r="S43" i="2" a="1"/>
  <c r="AE50" i="2" a="1"/>
  <c r="X45" i="2" a="1"/>
  <c r="G64" i="2" a="1"/>
  <c r="S53" i="2" a="1"/>
  <c r="E67" i="2" a="1"/>
  <c r="Q66" i="2" a="1"/>
  <c r="F53" i="2" a="1"/>
  <c r="F50" i="2" a="1"/>
  <c r="F31" i="2" a="1"/>
  <c r="F37" i="2" a="1"/>
  <c r="L32" i="2" a="1"/>
  <c r="L62" i="2" a="1"/>
  <c r="L48" i="2" a="1"/>
  <c r="L64" i="2" a="1"/>
  <c r="X50" i="2" a="1"/>
  <c r="X49" i="2" a="1"/>
  <c r="X48" i="2" a="1"/>
  <c r="X64" i="2" a="1"/>
  <c r="R47" i="2" a="1"/>
  <c r="R46" i="2" a="1"/>
  <c r="R49" i="2" a="1"/>
  <c r="R41" i="2" a="1"/>
  <c r="G23" i="2" a="1"/>
  <c r="G37" i="2" a="1"/>
  <c r="G51" i="2" a="1"/>
  <c r="AD35" i="2" a="1"/>
  <c r="AD62" i="2" a="1"/>
  <c r="S37" i="2" a="1"/>
  <c r="S48" i="2" a="1"/>
  <c r="AE45" i="2" a="1"/>
  <c r="AE43" i="2" a="1"/>
  <c r="X65" i="2" a="1"/>
  <c r="S61" i="2" a="1"/>
  <c r="X67" i="2" a="1"/>
  <c r="AD60" i="2" a="1"/>
  <c r="F29" i="2" a="1"/>
  <c r="L28" i="2" a="1"/>
  <c r="R37" i="2" a="1"/>
  <c r="AD29" i="2" a="1"/>
  <c r="X60" i="2" a="1"/>
  <c r="L46" i="2" a="1"/>
  <c r="G53" i="2" a="1"/>
  <c r="S49" i="2" a="1"/>
  <c r="L42" i="2" a="1"/>
  <c r="X44" i="2" a="1"/>
  <c r="Q60" i="2" a="1"/>
  <c r="R48" i="2" a="1"/>
  <c r="R51" i="2" a="1"/>
  <c r="G45" i="2" a="1"/>
  <c r="G48" i="2" a="1"/>
  <c r="AD45" i="2" a="1"/>
  <c r="S23" i="2" a="1"/>
  <c r="AE27" i="2" a="1"/>
  <c r="F51" i="2" a="1"/>
  <c r="R33" i="2" a="1"/>
  <c r="AD25" i="2" a="1"/>
  <c r="AE41" i="2" a="1"/>
  <c r="X55" i="2" a="1"/>
  <c r="G55" i="2" a="1"/>
  <c r="S55" i="2" a="1"/>
  <c r="M67" i="2" a="1"/>
  <c r="AC65" i="2" a="1"/>
  <c r="AC60" i="2" a="1"/>
  <c r="F48" i="2" a="1"/>
  <c r="F64" i="2" a="1"/>
  <c r="F41" i="2" a="1"/>
  <c r="F35" i="2" a="1"/>
  <c r="L53" i="2" a="1"/>
  <c r="L44" i="2" a="1"/>
  <c r="L51" i="2" a="1"/>
  <c r="X51" i="2" a="1"/>
  <c r="X38" i="2" a="1"/>
  <c r="R19" i="2" a="1"/>
  <c r="G61" i="2" a="1"/>
  <c r="AD61" i="2" a="1"/>
  <c r="S29" i="2" a="1"/>
  <c r="AE31" i="2" a="1"/>
  <c r="F62" i="2" a="1"/>
  <c r="R35" i="2" a="1"/>
  <c r="X66" i="2" a="1"/>
  <c r="S35" i="2" a="1"/>
  <c r="AD67" i="2" a="1"/>
  <c r="X24" i="2" a="1"/>
  <c r="F66" i="2" a="1"/>
  <c r="AE37" i="2" a="1"/>
  <c r="Y67" i="2" a="1"/>
  <c r="R61" i="2" a="1"/>
  <c r="AD41" i="2" a="1"/>
  <c r="AE51" i="2" a="1"/>
  <c r="AC66" i="2" a="1"/>
  <c r="L61" i="2" a="1"/>
  <c r="AD27" i="2" a="1"/>
  <c r="AE33" i="2" a="1"/>
  <c r="R25" i="2" a="1"/>
  <c r="AD55" i="2" a="1"/>
  <c r="AE29" i="2" a="1"/>
  <c r="L55" i="2" a="1"/>
  <c r="F59" i="2" a="1"/>
  <c r="E66" i="2" a="1"/>
  <c r="R63" i="2" a="1"/>
  <c r="F33" i="2" a="1"/>
  <c r="F43" i="2" a="1"/>
  <c r="F55" i="2" a="1"/>
  <c r="W65" i="2" a="1"/>
  <c r="L45" i="2" a="1"/>
  <c r="R64" i="2" a="1"/>
  <c r="AD33" i="2" a="1"/>
  <c r="AD65" i="2" a="1"/>
  <c r="AD53" i="2" a="1"/>
  <c r="F63" i="2" a="1"/>
  <c r="AE47" i="2" a="1"/>
  <c r="AD66" i="2" a="1"/>
  <c r="L47" i="2" a="1"/>
  <c r="X22" i="2" a="1"/>
  <c r="G25" i="2" a="1"/>
  <c r="S31" i="2" a="1"/>
  <c r="X47" i="2" a="1"/>
  <c r="G43" i="2" a="1"/>
  <c r="AD63" i="2" a="1"/>
  <c r="E65" i="2" a="1"/>
  <c r="R59" i="2" a="1"/>
  <c r="F23" i="2" a="1"/>
  <c r="F27" i="2" a="1"/>
  <c r="F25" i="2" a="1"/>
  <c r="W66" i="2" a="1"/>
  <c r="L50" i="2" a="1"/>
  <c r="L30" i="2" a="1"/>
  <c r="L22" i="2" a="1"/>
  <c r="X28" i="2" a="1"/>
  <c r="X30" i="2" a="1"/>
  <c r="X42" i="2" a="1"/>
  <c r="X61" i="2" a="1"/>
  <c r="R55" i="2" a="1"/>
  <c r="R31" i="2" a="1"/>
  <c r="R27" i="2" a="1"/>
  <c r="R53" i="2" a="1"/>
  <c r="G33" i="2" a="1"/>
  <c r="G31" i="2" a="1"/>
  <c r="G41" i="2" a="1"/>
  <c r="G27" i="2" a="1"/>
  <c r="F65" i="2" a="1"/>
  <c r="AD19" i="2" a="1"/>
  <c r="AD31" i="2" a="1"/>
  <c r="AD50" i="2" a="1"/>
  <c r="S33" i="2" a="1"/>
  <c r="S51" i="2" a="1"/>
  <c r="S25" i="2" a="1"/>
  <c r="AD59" i="2" a="1"/>
  <c r="AE49" i="2" a="1"/>
  <c r="AE25" i="2" a="1"/>
  <c r="AE55" i="2" a="1"/>
  <c r="M60" i="2" a="1"/>
  <c r="L38" i="2" a="1"/>
  <c r="Q67" i="2" a="1"/>
  <c r="G49" i="2" a="1"/>
  <c r="AD46" i="2" a="1"/>
  <c r="S50" i="2" a="1"/>
  <c r="G63" i="2" a="1"/>
  <c r="R43" i="2" a="1"/>
  <c r="AD49" i="2" a="1"/>
  <c r="AE46" i="2" a="1"/>
  <c r="Z10" i="2" a="1"/>
  <c r="Z15" i="2" a="1"/>
  <c r="Z16" i="2" a="1"/>
  <c r="Z38" i="2" a="1"/>
  <c r="N32" i="2" a="1"/>
  <c r="N34" i="2" a="1"/>
  <c r="N18" i="2" a="1"/>
  <c r="N48" i="2" a="1"/>
  <c r="Y36" i="2" a="1"/>
  <c r="Y48" i="2" a="1"/>
  <c r="Y47" i="2" a="1"/>
  <c r="T48" i="2" a="1"/>
  <c r="T50" i="2" a="1"/>
  <c r="T34" i="2" a="1"/>
  <c r="T46" i="2" a="1"/>
  <c r="M62" i="2" a="1"/>
  <c r="M38" i="2" a="1"/>
  <c r="M61" i="2" a="1"/>
  <c r="M26" i="2" a="1"/>
  <c r="N43" i="2" a="1"/>
  <c r="N47" i="2" a="1"/>
  <c r="N13" i="2" a="1"/>
  <c r="H50" i="2" a="1"/>
  <c r="H44" i="2" a="1"/>
  <c r="H34" i="2" a="1"/>
  <c r="H38" i="2" a="1"/>
  <c r="AF50" i="2" a="1"/>
  <c r="AF12" i="2" a="1"/>
  <c r="AF61" i="2" a="1"/>
  <c r="AF48" i="2" a="1"/>
  <c r="Z61" i="2" a="1"/>
  <c r="Z24" i="2" a="1"/>
  <c r="N30" i="2" a="1"/>
  <c r="N38" i="2" a="1"/>
  <c r="Y62" i="2" a="1"/>
  <c r="T32" i="2" a="1"/>
  <c r="T36" i="2" a="1"/>
  <c r="M53" i="2" a="1"/>
  <c r="M45" i="2" a="1"/>
  <c r="N35" i="2" a="1"/>
  <c r="H22" i="2" a="1"/>
  <c r="H30" i="2" a="1"/>
  <c r="H18" i="2" a="1"/>
  <c r="AF46" i="2" a="1"/>
  <c r="H12" i="2" a="1"/>
  <c r="AF44" i="2" a="1"/>
  <c r="Z7" i="2" a="1"/>
  <c r="N26" i="2" a="1"/>
  <c r="Y51" i="2" a="1"/>
  <c r="M64" i="2" a="1"/>
  <c r="N37" i="2" a="1"/>
  <c r="AF16" i="2" a="1"/>
  <c r="N36" i="2" a="1"/>
  <c r="Y45" i="2" a="1"/>
  <c r="M32" i="2" a="1"/>
  <c r="H14" i="2" a="1"/>
  <c r="AF26" i="2" a="1"/>
  <c r="T14" i="2" a="1"/>
  <c r="N62" i="2" a="1"/>
  <c r="AF10" i="2" a="1"/>
  <c r="T16" i="2" a="1"/>
  <c r="M24" i="2" a="1"/>
  <c r="AF8" i="2" a="1"/>
  <c r="T12" i="2" a="1"/>
  <c r="T42" i="2" a="1"/>
  <c r="Y22" i="2" a="1"/>
  <c r="T53" i="2" a="1"/>
  <c r="T22" i="2" a="1"/>
  <c r="T38" i="2" a="1"/>
  <c r="M28" i="2" a="1"/>
  <c r="N33" i="2" a="1"/>
  <c r="N23" i="2" a="1"/>
  <c r="H64" i="2" a="1"/>
  <c r="H61" i="2" a="1"/>
  <c r="Z36" i="2" a="1"/>
  <c r="Y32" i="2" a="1"/>
  <c r="T30" i="2" a="1"/>
  <c r="N49" i="2" a="1"/>
  <c r="H46" i="2" a="1"/>
  <c r="AF34" i="2" a="1"/>
  <c r="Y55" i="2" a="1"/>
  <c r="T61" i="2" a="1"/>
  <c r="N19" i="2" a="1"/>
  <c r="H53" i="2" a="1"/>
  <c r="Y53" i="2" a="1"/>
  <c r="N29" i="2" a="1"/>
  <c r="Z50" i="2" a="1"/>
  <c r="Z28" i="2" a="1"/>
  <c r="Z12" i="2" a="1"/>
  <c r="Z18" i="2" a="1"/>
  <c r="N7" i="2" a="1"/>
  <c r="N50" i="2" a="1"/>
  <c r="N61" i="2" a="1"/>
  <c r="Y46" i="2" a="1"/>
  <c r="Y30" i="2" a="1"/>
  <c r="Y26" i="2" a="1"/>
  <c r="T10" i="2" a="1"/>
  <c r="M51" i="2" a="1"/>
  <c r="M48" i="2" a="1"/>
  <c r="N11" i="2" a="1"/>
  <c r="N55" i="2" a="1"/>
  <c r="H36" i="2" a="1"/>
  <c r="Z22" i="2" a="1"/>
  <c r="Y50" i="2" a="1"/>
  <c r="M47" i="2" a="1"/>
  <c r="N27" i="2" a="1"/>
  <c r="H32" i="2" a="1"/>
  <c r="N28" i="2" a="1"/>
  <c r="T28" i="2" a="1"/>
  <c r="H10" i="2" a="1"/>
  <c r="Y49" i="2" a="1"/>
  <c r="M36" i="2" a="1"/>
  <c r="AF18" i="2" a="1"/>
  <c r="N17" i="2" a="1"/>
  <c r="N44" i="2" a="1"/>
  <c r="M50" i="2" a="1"/>
  <c r="N41" i="2" a="1"/>
  <c r="Y38" i="2" a="1"/>
  <c r="H24" i="2" a="1"/>
  <c r="Z48" i="2" a="1"/>
  <c r="T8" i="2" a="1"/>
  <c r="H28" i="2" a="1"/>
  <c r="Y64" i="2" a="1"/>
  <c r="M55" i="2" a="1"/>
  <c r="N25" i="2" a="1"/>
  <c r="AF22" i="2" a="1"/>
  <c r="M49" i="2" a="1"/>
  <c r="N64" i="2" a="1"/>
  <c r="M34" i="2" a="1"/>
  <c r="H48" i="2" a="1"/>
  <c r="Z14" i="2" a="1"/>
  <c r="Z53" i="2" a="1"/>
  <c r="Z46" i="2" a="1"/>
  <c r="Y61" i="2" a="1"/>
  <c r="AF42" i="2" a="1"/>
  <c r="N22" i="2" a="1"/>
  <c r="H16" i="2" a="1"/>
  <c r="Z44" i="2" a="1"/>
  <c r="Z42" i="2" a="1"/>
  <c r="Z32" i="2" a="1"/>
  <c r="N53" i="2" a="1"/>
  <c r="N42" i="2" a="1"/>
  <c r="N12" i="2" a="1"/>
  <c r="T44" i="2" a="1"/>
  <c r="M42" i="2" a="1"/>
  <c r="Z34" i="2" a="1"/>
  <c r="Z26" i="2" a="1"/>
  <c r="N9" i="2" a="1"/>
  <c r="N14" i="2" a="1"/>
  <c r="Y28" i="2" a="1"/>
  <c r="Y44" i="2" a="1"/>
  <c r="T26" i="2" a="1"/>
  <c r="T24" i="2" a="1"/>
  <c r="M44" i="2" a="1"/>
  <c r="M46" i="2" a="1"/>
  <c r="N31" i="2" a="1"/>
  <c r="N51" i="2" a="1"/>
  <c r="H26" i="2" a="1"/>
  <c r="AF30" i="2" a="1"/>
  <c r="AF32" i="2" a="1"/>
  <c r="AF24" i="2" a="1"/>
  <c r="AF14" i="2" a="1"/>
  <c r="AF38" i="2" a="1"/>
  <c r="N10" i="2" a="1"/>
  <c r="N46" i="2" a="1"/>
  <c r="Y34" i="2" a="1"/>
  <c r="M30" i="2" a="1"/>
  <c r="H42" i="2" a="1"/>
  <c r="AF36" i="2" a="1"/>
  <c r="N24" i="2" a="1"/>
  <c r="T18" i="2" a="1"/>
  <c r="N15" i="2" a="1"/>
  <c r="AF53" i="2" a="1"/>
  <c r="Y42" i="2" a="1"/>
  <c r="N45" i="2" a="1"/>
  <c r="AF28" i="2" a="1"/>
  <c r="Z31" i="2" a="1"/>
  <c r="Z27" i="2" a="1"/>
  <c r="Z9" i="2" a="1"/>
  <c r="Z55" i="2" a="1"/>
  <c r="AF59" i="2" a="1"/>
  <c r="M66" i="2" a="1"/>
  <c r="G60" i="2" a="1"/>
  <c r="AE66" i="2" a="1"/>
  <c r="AF65" i="2" a="1"/>
  <c r="AE67" i="2" a="1"/>
  <c r="Z19" i="2" a="1"/>
  <c r="Z13" i="2" a="1"/>
  <c r="Z17" i="2" a="1"/>
  <c r="G67" i="2" a="1"/>
  <c r="AF66" i="2" a="1"/>
  <c r="Z33" i="2" a="1"/>
  <c r="T67" i="2" a="1"/>
  <c r="S65" i="2" a="1"/>
  <c r="Z11" i="2" a="1"/>
  <c r="N67" i="2" a="1"/>
  <c r="G66" i="2" a="1"/>
  <c r="H66" i="2" a="1"/>
  <c r="G65" i="2" a="1"/>
  <c r="T59" i="2" a="1"/>
  <c r="Z47" i="2" a="1"/>
  <c r="S63" i="2" a="1"/>
  <c r="S59" i="2" a="1"/>
  <c r="Z45" i="2" a="1"/>
  <c r="M65" i="2" a="1"/>
  <c r="Z49" i="2" a="1"/>
  <c r="T66" i="2" a="1"/>
  <c r="T63" i="2" a="1"/>
  <c r="T60" i="2" a="1"/>
  <c r="N60" i="2" a="1"/>
  <c r="Z64" i="2" a="1"/>
  <c r="Y65" i="2" a="1"/>
  <c r="AE63" i="2" a="1"/>
  <c r="AE59" i="2" a="1"/>
  <c r="AF67" i="2" a="1"/>
  <c r="Z37" i="2" a="1"/>
  <c r="T65" i="2" a="1"/>
  <c r="H63" i="2" a="1"/>
  <c r="Z25" i="2" a="1"/>
  <c r="AF60" i="2" a="1"/>
  <c r="Z23" i="2" a="1"/>
  <c r="H65" i="2" a="1"/>
  <c r="Z62" i="2" a="1"/>
  <c r="Z29" i="2" a="1"/>
  <c r="AF63" i="2" a="1"/>
  <c r="AE65" i="2" a="1"/>
  <c r="AE60" i="2" a="1"/>
  <c r="Z41" i="2" a="1"/>
  <c r="H59" i="2" a="1"/>
  <c r="Y66" i="2" a="1"/>
  <c r="Z43" i="2" a="1"/>
  <c r="S66" i="2" a="1"/>
  <c r="Z35" i="2" a="1"/>
  <c r="N66" i="2" a="1"/>
  <c r="Z51" i="2" a="1"/>
  <c r="N65" i="2" a="1"/>
  <c r="S60" i="2" a="1"/>
  <c r="H67" i="2" a="1"/>
  <c r="H60" i="2" a="1"/>
  <c r="Z66" i="2" a="1"/>
  <c r="Z60" i="2" a="1"/>
  <c r="S67" i="2" a="1"/>
  <c r="Z65" i="2" a="1"/>
  <c r="Z67" i="2" a="1"/>
  <c r="AD38" i="2" l="1"/>
  <c r="AD16" i="2"/>
  <c r="G7" i="2"/>
  <c r="G18" i="2"/>
  <c r="AE22" i="2"/>
  <c r="F42" i="2"/>
  <c r="AE7" i="2"/>
  <c r="F7" i="2"/>
  <c r="I19" i="2"/>
  <c r="AA10" i="2"/>
  <c r="C50" i="2"/>
  <c r="C37" i="2"/>
  <c r="U32" i="2"/>
  <c r="J15" i="2"/>
  <c r="AA28" i="2"/>
  <c r="C24" i="2"/>
  <c r="U10" i="2"/>
  <c r="V36" i="2"/>
  <c r="J46" i="2"/>
  <c r="O36" i="2"/>
  <c r="U22" i="2"/>
  <c r="AA26" i="2"/>
  <c r="AB12" i="2"/>
  <c r="I33" i="2"/>
  <c r="C32" i="2"/>
  <c r="J24" i="2"/>
  <c r="J12" i="2"/>
  <c r="J42" i="2"/>
  <c r="I50" i="2"/>
  <c r="I13" i="2"/>
  <c r="I27" i="2"/>
  <c r="I35" i="2"/>
  <c r="O15" i="2"/>
  <c r="V16" i="2"/>
  <c r="AA42" i="2"/>
  <c r="C13" i="2"/>
  <c r="AA23" i="2"/>
  <c r="J16" i="2"/>
  <c r="V11" i="2"/>
  <c r="O11" i="2"/>
  <c r="C12" i="2"/>
  <c r="U28" i="2"/>
  <c r="AA46" i="2"/>
  <c r="O25" i="2"/>
  <c r="C28" i="2"/>
  <c r="J36" i="2"/>
  <c r="V24" i="2"/>
  <c r="O67" i="2"/>
  <c r="O44" i="2"/>
  <c r="O32" i="2"/>
  <c r="AA49" i="2"/>
  <c r="AA34" i="2"/>
  <c r="AA66" i="2"/>
  <c r="U27" i="2"/>
  <c r="U59" i="2"/>
  <c r="AA14" i="2"/>
  <c r="O64" i="2"/>
  <c r="I17" i="2"/>
  <c r="I26" i="2"/>
  <c r="J38" i="2"/>
  <c r="O65" i="2"/>
  <c r="O14" i="2"/>
  <c r="AA53" i="2"/>
  <c r="U63" i="2"/>
  <c r="O9" i="2"/>
  <c r="V14" i="2"/>
  <c r="O30" i="2"/>
  <c r="AA45" i="2"/>
  <c r="AA65" i="2"/>
  <c r="AA51" i="2"/>
  <c r="I23" i="2"/>
  <c r="U51" i="2"/>
  <c r="J30" i="2"/>
  <c r="O60" i="2"/>
  <c r="I47" i="2"/>
  <c r="O10" i="2"/>
  <c r="AA17" i="2"/>
  <c r="AA11" i="2"/>
  <c r="C35" i="2"/>
  <c r="U62" i="2"/>
  <c r="J9" i="2"/>
  <c r="AA35" i="2"/>
  <c r="O61" i="2"/>
  <c r="C31" i="2"/>
  <c r="L43" i="2"/>
  <c r="AA43" i="2"/>
  <c r="C9" i="2"/>
  <c r="U41" i="2"/>
  <c r="O12" i="2"/>
  <c r="C38" i="2"/>
  <c r="J32" i="2"/>
  <c r="V13" i="2"/>
  <c r="I8" i="2"/>
  <c r="AA47" i="2"/>
  <c r="C43" i="2"/>
  <c r="I59" i="2"/>
  <c r="O34" i="2"/>
  <c r="H23" i="2"/>
  <c r="AC7" i="2"/>
  <c r="AA60" i="2"/>
  <c r="J18" i="2"/>
  <c r="I55" i="2"/>
  <c r="AA63" i="2"/>
  <c r="C36" i="2"/>
  <c r="U53" i="2"/>
  <c r="O55" i="2"/>
  <c r="I41" i="2"/>
  <c r="U46" i="2"/>
  <c r="V10" i="2"/>
  <c r="AA59" i="2"/>
  <c r="C44" i="2"/>
  <c r="U37" i="2"/>
  <c r="AA9" i="2"/>
  <c r="U49" i="2"/>
  <c r="AA67" i="2"/>
  <c r="J34" i="2"/>
  <c r="V18" i="2"/>
  <c r="V42" i="2"/>
  <c r="I53" i="2"/>
  <c r="I29" i="2"/>
  <c r="O37" i="2"/>
  <c r="AA16" i="2"/>
  <c r="C42" i="2"/>
  <c r="C62" i="2"/>
  <c r="U25" i="2"/>
  <c r="O63" i="2"/>
  <c r="AA15" i="2"/>
  <c r="O18" i="2"/>
  <c r="T9" i="2"/>
  <c r="I51" i="2"/>
  <c r="C47" i="2"/>
  <c r="V12" i="2"/>
  <c r="O29" i="2"/>
  <c r="U29" i="2"/>
  <c r="I63" i="2"/>
  <c r="O47" i="2"/>
  <c r="I11" i="2"/>
  <c r="J10" i="2"/>
  <c r="I28" i="2"/>
  <c r="C65" i="2"/>
  <c r="U23" i="2"/>
  <c r="AA55" i="2"/>
  <c r="I42" i="2"/>
  <c r="AF13" i="2"/>
  <c r="J13" i="2"/>
  <c r="I14" i="2"/>
  <c r="O17" i="2"/>
  <c r="C66" i="2"/>
  <c r="U31" i="2"/>
  <c r="AA37" i="2"/>
  <c r="H25" i="2"/>
  <c r="AC13" i="2"/>
  <c r="I62" i="2"/>
  <c r="O24" i="2"/>
  <c r="AA22" i="2"/>
  <c r="U12" i="2"/>
  <c r="O59" i="2"/>
  <c r="Q17" i="2"/>
  <c r="V61" i="2"/>
  <c r="V28" i="2"/>
  <c r="I32" i="2"/>
  <c r="O31" i="2"/>
  <c r="U65" i="2"/>
  <c r="AA33" i="2"/>
  <c r="C45" i="2"/>
  <c r="U8" i="2"/>
  <c r="I60" i="2"/>
  <c r="AA29" i="2"/>
  <c r="O33" i="2"/>
  <c r="N8" i="2"/>
  <c r="I64" i="2"/>
  <c r="C33" i="2"/>
  <c r="U55" i="2"/>
  <c r="M8" i="2"/>
  <c r="O27" i="2"/>
  <c r="X29" i="2"/>
  <c r="O62" i="2"/>
  <c r="O66" i="2"/>
  <c r="J14" i="2"/>
  <c r="V30" i="2"/>
  <c r="V15" i="2"/>
  <c r="I48" i="2"/>
  <c r="O7" i="2"/>
  <c r="U66" i="2"/>
  <c r="AA7" i="2"/>
  <c r="C48" i="2"/>
  <c r="C19" i="2"/>
  <c r="I67" i="2"/>
  <c r="AA27" i="2"/>
  <c r="AA30" i="2"/>
  <c r="O51" i="2"/>
  <c r="N16" i="2"/>
  <c r="I49" i="2"/>
  <c r="O53" i="2"/>
  <c r="I38" i="2"/>
  <c r="C11" i="2"/>
  <c r="U34" i="2"/>
  <c r="J11" i="2"/>
  <c r="I36" i="2"/>
  <c r="I45" i="2"/>
  <c r="O45" i="2"/>
  <c r="AA19" i="2"/>
  <c r="C46" i="2"/>
  <c r="U15" i="2"/>
  <c r="C67" i="2"/>
  <c r="AA48" i="2"/>
  <c r="AA36" i="2"/>
  <c r="O38" i="2"/>
  <c r="I9" i="2"/>
  <c r="U35" i="2"/>
  <c r="U43" i="2"/>
  <c r="U11" i="2"/>
  <c r="L35" i="2"/>
  <c r="AF25" i="2"/>
  <c r="Q19" i="2"/>
  <c r="M13" i="2"/>
  <c r="C10" i="2"/>
  <c r="C23" i="2"/>
  <c r="C29" i="2"/>
  <c r="C25" i="2"/>
  <c r="C8" i="2"/>
  <c r="U42" i="2"/>
  <c r="U16" i="2"/>
  <c r="U17" i="2"/>
  <c r="U19" i="2"/>
  <c r="Z8" i="2"/>
  <c r="K22" i="2"/>
  <c r="AA25" i="2"/>
  <c r="U9" i="2"/>
  <c r="R7" i="2"/>
  <c r="U48" i="2"/>
  <c r="K8" i="2"/>
  <c r="AA12" i="2"/>
  <c r="U30" i="2"/>
  <c r="R36" i="2"/>
  <c r="O43" i="2"/>
  <c r="AB8" i="2"/>
  <c r="X9" i="2"/>
  <c r="C41" i="2"/>
  <c r="U13" i="2"/>
  <c r="J7" i="2"/>
  <c r="V38" i="2"/>
  <c r="I30" i="2"/>
  <c r="I66" i="2"/>
  <c r="AA50" i="2"/>
  <c r="C22" i="2"/>
  <c r="AA61" i="2"/>
  <c r="O19" i="2"/>
  <c r="I24" i="2"/>
  <c r="I18" i="2"/>
  <c r="C27" i="2"/>
  <c r="C14" i="2"/>
  <c r="C17" i="2"/>
  <c r="C49" i="2"/>
  <c r="U47" i="2"/>
  <c r="U36" i="2"/>
  <c r="U14" i="2"/>
  <c r="Y15" i="2"/>
  <c r="O16" i="2"/>
  <c r="S10" i="2"/>
  <c r="E23" i="2"/>
  <c r="I46" i="2"/>
  <c r="W15" i="2"/>
  <c r="O8" i="2"/>
  <c r="I61" i="2"/>
  <c r="C16" i="2"/>
  <c r="U44" i="2"/>
  <c r="J8" i="2"/>
  <c r="V32" i="2"/>
  <c r="O28" i="2"/>
  <c r="AA13" i="2"/>
  <c r="C7" i="2"/>
  <c r="U38" i="2"/>
  <c r="O22" i="2"/>
  <c r="T7" i="2"/>
  <c r="I7" i="2"/>
  <c r="C64" i="2"/>
  <c r="Z30" i="2"/>
  <c r="J26" i="2"/>
  <c r="V22" i="2"/>
  <c r="V8" i="2"/>
  <c r="I43" i="2"/>
  <c r="O50" i="2"/>
  <c r="AA32" i="2"/>
  <c r="C15" i="2"/>
  <c r="U26" i="2"/>
  <c r="U24" i="2"/>
  <c r="P16" i="2"/>
  <c r="AA44" i="2"/>
  <c r="O49" i="2"/>
  <c r="D10" i="2"/>
  <c r="I34" i="2"/>
  <c r="V9" i="2"/>
  <c r="J17" i="2"/>
  <c r="J22" i="2"/>
  <c r="J44" i="2"/>
  <c r="J28" i="2"/>
  <c r="V7" i="2"/>
  <c r="V34" i="2"/>
  <c r="V44" i="2"/>
  <c r="V26" i="2"/>
  <c r="I37" i="2"/>
  <c r="I31" i="2"/>
  <c r="I16" i="2"/>
  <c r="I44" i="2"/>
  <c r="O48" i="2"/>
  <c r="O26" i="2"/>
  <c r="O23" i="2"/>
  <c r="I65" i="2"/>
  <c r="AA62" i="2"/>
  <c r="AA38" i="2"/>
  <c r="AA64" i="2"/>
  <c r="AA41" i="2"/>
  <c r="C18" i="2"/>
  <c r="C34" i="2"/>
  <c r="C55" i="2"/>
  <c r="C53" i="2"/>
  <c r="U50" i="2"/>
  <c r="U33" i="2"/>
  <c r="U45" i="2"/>
  <c r="U18" i="2"/>
  <c r="C60" i="2"/>
  <c r="P8" i="2"/>
  <c r="AA18" i="2"/>
  <c r="AA8" i="2"/>
  <c r="AA31" i="2"/>
  <c r="AA24" i="2"/>
  <c r="O41" i="2"/>
  <c r="O13" i="2"/>
  <c r="O35" i="2"/>
  <c r="O42" i="2"/>
  <c r="D11" i="2"/>
  <c r="I12" i="2"/>
  <c r="I10" i="2"/>
  <c r="I22" i="2"/>
  <c r="I25" i="2"/>
  <c r="V17" i="2"/>
  <c r="C26" i="2"/>
  <c r="C51" i="2"/>
  <c r="C30" i="2"/>
  <c r="C61" i="2"/>
  <c r="U64" i="2"/>
  <c r="U61" i="2"/>
  <c r="U7" i="2"/>
  <c r="Y29" i="2"/>
  <c r="O46" i="2"/>
  <c r="S7" i="2"/>
  <c r="E10" i="2"/>
  <c r="I15" i="2"/>
  <c r="W12" i="2"/>
  <c r="S14" i="2"/>
  <c r="G19" i="2"/>
  <c r="H31" i="2"/>
  <c r="T64" i="2"/>
  <c r="S42" i="2"/>
  <c r="F22" i="2"/>
  <c r="D28" i="2"/>
  <c r="AD10" i="2"/>
  <c r="Q14" i="2"/>
  <c r="T45" i="2"/>
  <c r="X59" i="2"/>
  <c r="G44" i="2"/>
  <c r="L63" i="2"/>
  <c r="S16" i="2"/>
  <c r="S32" i="2"/>
  <c r="H41" i="2"/>
  <c r="W59" i="2"/>
  <c r="F24" i="2"/>
  <c r="AE34" i="2"/>
  <c r="AE15" i="2"/>
  <c r="R16" i="2"/>
  <c r="Y13" i="2"/>
  <c r="D48" i="2"/>
  <c r="X12" i="2"/>
  <c r="X41" i="2"/>
  <c r="L11" i="2"/>
  <c r="AD34" i="2"/>
  <c r="M9" i="2"/>
  <c r="Q51" i="2"/>
  <c r="AC18" i="2"/>
  <c r="AB25" i="2"/>
  <c r="W24" i="2"/>
  <c r="K28" i="2"/>
  <c r="T33" i="2"/>
  <c r="F30" i="2"/>
  <c r="S28" i="2"/>
  <c r="AE16" i="2"/>
  <c r="G15" i="2"/>
  <c r="S44" i="2"/>
  <c r="F44" i="2"/>
  <c r="Y8" i="2"/>
  <c r="L7" i="2"/>
  <c r="W11" i="2"/>
  <c r="T31" i="2"/>
  <c r="T15" i="2"/>
  <c r="T62" i="2"/>
  <c r="X63" i="2"/>
  <c r="G24" i="2"/>
  <c r="L59" i="2"/>
  <c r="S38" i="2"/>
  <c r="S9" i="2"/>
  <c r="H19" i="2"/>
  <c r="W63" i="2"/>
  <c r="F34" i="2"/>
  <c r="AE26" i="2"/>
  <c r="AE36" i="2"/>
  <c r="R14" i="2"/>
  <c r="Y11" i="2"/>
  <c r="X7" i="2"/>
  <c r="D24" i="2"/>
  <c r="L13" i="2"/>
  <c r="L14" i="2"/>
  <c r="AD17" i="2"/>
  <c r="D31" i="2"/>
  <c r="H33" i="2"/>
  <c r="F14" i="2"/>
  <c r="AE42" i="2"/>
  <c r="AE12" i="2"/>
  <c r="R24" i="2"/>
  <c r="M12" i="2"/>
  <c r="Q18" i="2"/>
  <c r="AC33" i="2"/>
  <c r="AB35" i="2"/>
  <c r="W22" i="2"/>
  <c r="K32" i="2"/>
  <c r="T55" i="2"/>
  <c r="R18" i="2"/>
  <c r="Y14" i="2"/>
  <c r="D44" i="2"/>
  <c r="X43" i="2"/>
  <c r="L41" i="2"/>
  <c r="AD42" i="2"/>
  <c r="AD7" i="2"/>
  <c r="M43" i="2"/>
  <c r="Q9" i="2"/>
  <c r="AC45" i="2"/>
  <c r="AB14" i="2"/>
  <c r="W32" i="2"/>
  <c r="K18" i="2"/>
  <c r="D19" i="2"/>
  <c r="H13" i="2"/>
  <c r="G38" i="2"/>
  <c r="F16" i="2"/>
  <c r="AE44" i="2"/>
  <c r="Y33" i="2"/>
  <c r="D55" i="2"/>
  <c r="L18" i="2"/>
  <c r="AD44" i="2"/>
  <c r="R15" i="2"/>
  <c r="Y19" i="2"/>
  <c r="X15" i="2"/>
  <c r="L33" i="2"/>
  <c r="AD13" i="2"/>
  <c r="AD28" i="2"/>
  <c r="M18" i="2"/>
  <c r="Q8" i="2"/>
  <c r="AC12" i="2"/>
  <c r="AB41" i="2"/>
  <c r="K26" i="2"/>
  <c r="E29" i="2"/>
  <c r="D25" i="2"/>
  <c r="Y59" i="2"/>
  <c r="T27" i="2"/>
  <c r="T29" i="2"/>
  <c r="G9" i="2"/>
  <c r="G8" i="2"/>
  <c r="S17" i="2"/>
  <c r="S8" i="2"/>
  <c r="H49" i="2"/>
  <c r="H8" i="2"/>
  <c r="F9" i="2"/>
  <c r="F38" i="2"/>
  <c r="AE10" i="2"/>
  <c r="AE28" i="2"/>
  <c r="R10" i="2"/>
  <c r="M10" i="2"/>
  <c r="Q27" i="2"/>
  <c r="C59" i="2"/>
  <c r="W7" i="2"/>
  <c r="K34" i="2"/>
  <c r="K59" i="2"/>
  <c r="H55" i="2"/>
  <c r="R17" i="2"/>
  <c r="Y37" i="2"/>
  <c r="X11" i="2"/>
  <c r="L25" i="2"/>
  <c r="D53" i="2"/>
  <c r="T19" i="2"/>
  <c r="T17" i="2"/>
  <c r="G16" i="2"/>
  <c r="G17" i="2"/>
  <c r="S24" i="2"/>
  <c r="S11" i="2"/>
  <c r="H17" i="2"/>
  <c r="H35" i="2"/>
  <c r="F26" i="2"/>
  <c r="F17" i="2"/>
  <c r="AE30" i="2"/>
  <c r="AE17" i="2"/>
  <c r="Y17" i="2"/>
  <c r="D22" i="2"/>
  <c r="X23" i="2"/>
  <c r="X25" i="2"/>
  <c r="L16" i="2"/>
  <c r="AD8" i="2"/>
  <c r="J59" i="2"/>
  <c r="E18" i="2"/>
  <c r="P27" i="2"/>
  <c r="G30" i="2"/>
  <c r="T25" i="2"/>
  <c r="F11" i="2"/>
  <c r="T47" i="2"/>
  <c r="H47" i="2"/>
  <c r="AE24" i="2"/>
  <c r="X33" i="2"/>
  <c r="J63" i="2"/>
  <c r="AC11" i="2"/>
  <c r="K15" i="2"/>
  <c r="Y18" i="2"/>
  <c r="X27" i="2"/>
  <c r="L12" i="2"/>
  <c r="M7" i="2"/>
  <c r="Q23" i="2"/>
  <c r="AB7" i="2"/>
  <c r="W30" i="2"/>
  <c r="K46" i="2"/>
  <c r="E27" i="2"/>
  <c r="P35" i="2"/>
  <c r="T51" i="2"/>
  <c r="N63" i="2"/>
  <c r="G10" i="2"/>
  <c r="G12" i="2"/>
  <c r="S36" i="2"/>
  <c r="S12" i="2"/>
  <c r="H62" i="2"/>
  <c r="H29" i="2"/>
  <c r="F36" i="2"/>
  <c r="F18" i="2"/>
  <c r="AE14" i="2"/>
  <c r="R26" i="2"/>
  <c r="G28" i="2"/>
  <c r="T49" i="2"/>
  <c r="S22" i="2"/>
  <c r="M59" i="2"/>
  <c r="G22" i="2"/>
  <c r="H45" i="2"/>
  <c r="AE38" i="2"/>
  <c r="X8" i="2"/>
  <c r="AB15" i="2"/>
  <c r="M63" i="2"/>
  <c r="R23" i="2"/>
  <c r="D49" i="2"/>
  <c r="D36" i="2"/>
  <c r="AD12" i="2"/>
  <c r="AC14" i="2"/>
  <c r="T37" i="2"/>
  <c r="R11" i="2"/>
  <c r="R22" i="2"/>
  <c r="Y23" i="2"/>
  <c r="D34" i="2"/>
  <c r="X18" i="2"/>
  <c r="X10" i="2"/>
  <c r="L23" i="2"/>
  <c r="AD24" i="2"/>
  <c r="M23" i="2"/>
  <c r="Q12" i="2"/>
  <c r="AC23" i="2"/>
  <c r="AB9" i="2"/>
  <c r="W10" i="2"/>
  <c r="K36" i="2"/>
  <c r="E11" i="2"/>
  <c r="P10" i="2"/>
  <c r="P23" i="2"/>
  <c r="M25" i="2"/>
  <c r="M14" i="2"/>
  <c r="Q33" i="2"/>
  <c r="Q16" i="2"/>
  <c r="Q11" i="2"/>
  <c r="AC27" i="2"/>
  <c r="AC35" i="2"/>
  <c r="AC17" i="2"/>
  <c r="AC25" i="2"/>
  <c r="AB37" i="2"/>
  <c r="AB43" i="2"/>
  <c r="AB31" i="2"/>
  <c r="W16" i="2"/>
  <c r="W44" i="2"/>
  <c r="W36" i="2"/>
  <c r="W42" i="2"/>
  <c r="K14" i="2"/>
  <c r="K30" i="2"/>
  <c r="K44" i="2"/>
  <c r="K16" i="2"/>
  <c r="E17" i="2"/>
  <c r="E14" i="2"/>
  <c r="E8" i="2"/>
  <c r="E13" i="2"/>
  <c r="D43" i="2"/>
  <c r="D41" i="2"/>
  <c r="D27" i="2"/>
  <c r="P18" i="2"/>
  <c r="P13" i="2"/>
  <c r="P37" i="2"/>
  <c r="P29" i="2"/>
  <c r="M11" i="2"/>
  <c r="Q37" i="2"/>
  <c r="T35" i="2"/>
  <c r="T11" i="2"/>
  <c r="G11" i="2"/>
  <c r="G34" i="2"/>
  <c r="G32" i="2"/>
  <c r="S26" i="2"/>
  <c r="S13" i="2"/>
  <c r="S19" i="2"/>
  <c r="H51" i="2"/>
  <c r="H43" i="2"/>
  <c r="H27" i="2"/>
  <c r="F19" i="2"/>
  <c r="F32" i="2"/>
  <c r="F12" i="2"/>
  <c r="F15" i="2"/>
  <c r="AE13" i="2"/>
  <c r="AE8" i="2"/>
  <c r="AE11" i="2"/>
  <c r="AE32" i="2"/>
  <c r="R28" i="2"/>
  <c r="R13" i="2"/>
  <c r="R38" i="2"/>
  <c r="Y41" i="2"/>
  <c r="Y31" i="2"/>
  <c r="Y27" i="2"/>
  <c r="Y10" i="2"/>
  <c r="D64" i="2"/>
  <c r="D62" i="2"/>
  <c r="X16" i="2"/>
  <c r="D46" i="2"/>
  <c r="D32" i="2"/>
  <c r="D38" i="2"/>
  <c r="X37" i="2"/>
  <c r="L8" i="2"/>
  <c r="L31" i="2"/>
  <c r="L37" i="2"/>
  <c r="L10" i="2"/>
  <c r="AD15" i="2"/>
  <c r="AD14" i="2"/>
  <c r="AD30" i="2"/>
  <c r="AD18" i="2"/>
  <c r="M41" i="2"/>
  <c r="M27" i="2"/>
  <c r="M31" i="2"/>
  <c r="M37" i="2"/>
  <c r="Q13" i="2"/>
  <c r="Q43" i="2"/>
  <c r="Q35" i="2"/>
  <c r="Q31" i="2"/>
  <c r="AC43" i="2"/>
  <c r="AC19" i="2"/>
  <c r="AC9" i="2"/>
  <c r="C63" i="2"/>
  <c r="AB19" i="2"/>
  <c r="AB29" i="2"/>
  <c r="AB18" i="2"/>
  <c r="AB11" i="2"/>
  <c r="W26" i="2"/>
  <c r="W28" i="2"/>
  <c r="W18" i="2"/>
  <c r="K38" i="2"/>
  <c r="K9" i="2"/>
  <c r="K42" i="2"/>
  <c r="K7" i="2"/>
  <c r="E16" i="2"/>
  <c r="E19" i="2"/>
  <c r="E35" i="2"/>
  <c r="D12" i="2"/>
  <c r="D7" i="2"/>
  <c r="D13" i="2"/>
  <c r="D29" i="2"/>
  <c r="P31" i="2"/>
  <c r="P19" i="2"/>
  <c r="P11" i="2"/>
  <c r="P14" i="2"/>
  <c r="Y63" i="2"/>
  <c r="T41" i="2"/>
  <c r="T23" i="2"/>
  <c r="G42" i="2"/>
  <c r="K63" i="2"/>
  <c r="H7" i="2"/>
  <c r="E15" i="2"/>
  <c r="E37" i="2"/>
  <c r="E47" i="2"/>
  <c r="D14" i="2"/>
  <c r="D8" i="2"/>
  <c r="D16" i="2"/>
  <c r="D9" i="2"/>
  <c r="P15" i="2"/>
  <c r="P43" i="2"/>
  <c r="P7" i="2"/>
  <c r="P33" i="2"/>
  <c r="R8" i="2"/>
  <c r="R34" i="2"/>
  <c r="Y7" i="2"/>
  <c r="Y35" i="2"/>
  <c r="D42" i="2"/>
  <c r="D61" i="2"/>
  <c r="X13" i="2"/>
  <c r="X19" i="2"/>
  <c r="X32" i="2"/>
  <c r="X14" i="2"/>
  <c r="L15" i="2"/>
  <c r="L17" i="2"/>
  <c r="L9" i="2"/>
  <c r="AD23" i="2"/>
  <c r="AD26" i="2"/>
  <c r="AD36" i="2"/>
  <c r="V59" i="2"/>
  <c r="M19" i="2"/>
  <c r="M16" i="2"/>
  <c r="M33" i="2"/>
  <c r="M17" i="2"/>
  <c r="Q15" i="2"/>
  <c r="Q7" i="2"/>
  <c r="Q25" i="2"/>
  <c r="AC10" i="2"/>
  <c r="AC15" i="2"/>
  <c r="AC16" i="2"/>
  <c r="AC41" i="2"/>
  <c r="AB27" i="2"/>
  <c r="AB13" i="2"/>
  <c r="AB17" i="2"/>
  <c r="AB10" i="2"/>
  <c r="W34" i="2"/>
  <c r="W50" i="2"/>
  <c r="W9" i="2"/>
  <c r="W14" i="2"/>
  <c r="K12" i="2"/>
  <c r="K13" i="2"/>
  <c r="K11" i="2"/>
  <c r="E33" i="2"/>
  <c r="E31" i="2"/>
  <c r="E25" i="2"/>
  <c r="E12" i="2"/>
  <c r="D37" i="2"/>
  <c r="D45" i="2"/>
  <c r="D35" i="2"/>
  <c r="D18" i="2"/>
  <c r="P45" i="2"/>
  <c r="P9" i="2"/>
  <c r="P17" i="2"/>
  <c r="U60" i="2"/>
  <c r="R42" i="2"/>
  <c r="R30" i="2"/>
  <c r="Y43" i="2"/>
  <c r="Y12" i="2"/>
  <c r="D51" i="2"/>
  <c r="L19" i="2"/>
  <c r="T43" i="2"/>
  <c r="T13" i="2"/>
  <c r="N59" i="2"/>
  <c r="G14" i="2"/>
  <c r="G13" i="2"/>
  <c r="G36" i="2"/>
  <c r="G26" i="2"/>
  <c r="S34" i="2"/>
  <c r="S30" i="2"/>
  <c r="S18" i="2"/>
  <c r="S15" i="2"/>
  <c r="H37" i="2"/>
  <c r="H15" i="2"/>
  <c r="H11" i="2"/>
  <c r="H9" i="2"/>
  <c r="F28" i="2"/>
  <c r="F8" i="2"/>
  <c r="F10" i="2"/>
  <c r="F13" i="2"/>
  <c r="AE18" i="2"/>
  <c r="AE23" i="2"/>
  <c r="AE9" i="2"/>
  <c r="R32" i="2"/>
  <c r="R9" i="2"/>
  <c r="R12" i="2"/>
  <c r="R44" i="2"/>
  <c r="Y25" i="2"/>
  <c r="Y24" i="2"/>
  <c r="Y16" i="2"/>
  <c r="Y9" i="2"/>
  <c r="D47" i="2"/>
  <c r="X31" i="2"/>
  <c r="D26" i="2"/>
  <c r="D50" i="2"/>
  <c r="D30" i="2"/>
  <c r="X17" i="2"/>
  <c r="X35" i="2"/>
  <c r="L24" i="2"/>
  <c r="L29" i="2"/>
  <c r="L27" i="2"/>
  <c r="AD22" i="2"/>
  <c r="AD32" i="2"/>
  <c r="AD11" i="2"/>
  <c r="AD9" i="2"/>
  <c r="V63" i="2"/>
  <c r="M35" i="2"/>
  <c r="M15" i="2"/>
  <c r="M29" i="2"/>
  <c r="M22" i="2"/>
  <c r="Q10" i="2"/>
  <c r="Q29" i="2"/>
  <c r="Q41" i="2"/>
  <c r="AC8" i="2"/>
  <c r="AC31" i="2"/>
  <c r="AC37" i="2"/>
  <c r="AC29" i="2"/>
  <c r="AB49" i="2"/>
  <c r="AB16" i="2"/>
  <c r="AB23" i="2"/>
  <c r="AB33" i="2"/>
  <c r="W13" i="2"/>
  <c r="W8" i="2"/>
  <c r="W17" i="2"/>
  <c r="W38" i="2"/>
  <c r="K10" i="2"/>
  <c r="K24" i="2"/>
  <c r="K17" i="2"/>
  <c r="E7" i="2"/>
  <c r="E43" i="2"/>
  <c r="E45" i="2"/>
  <c r="E9" i="2"/>
  <c r="D33" i="2"/>
  <c r="D23" i="2"/>
  <c r="D15" i="2"/>
  <c r="D17" i="2"/>
  <c r="P41" i="2"/>
  <c r="P12" i="2"/>
  <c r="P25" i="2"/>
  <c r="U67" i="2"/>
  <c r="Q44" i="2"/>
  <c r="E28" i="2"/>
  <c r="W64" i="2"/>
  <c r="D65" i="2"/>
  <c r="K33" i="2"/>
  <c r="K41" i="2"/>
  <c r="AB63" i="2"/>
  <c r="J23" i="2"/>
  <c r="AB51" i="2"/>
  <c r="W35" i="2"/>
  <c r="K43" i="2"/>
  <c r="J65" i="2"/>
  <c r="W45" i="2"/>
  <c r="E63" i="2"/>
  <c r="AC50" i="2"/>
  <c r="P30" i="2"/>
  <c r="V25" i="2"/>
  <c r="V53" i="2"/>
  <c r="E50" i="2"/>
  <c r="J62" i="2"/>
  <c r="AC26" i="2"/>
  <c r="Q30" i="2"/>
  <c r="AC47" i="2"/>
  <c r="P24" i="2"/>
  <c r="V19" i="2"/>
  <c r="V65" i="2"/>
  <c r="V29" i="2"/>
  <c r="V48" i="2"/>
  <c r="E46" i="2"/>
  <c r="J43" i="2"/>
  <c r="P64" i="2"/>
  <c r="AB46" i="2"/>
  <c r="Q59" i="2"/>
  <c r="AB60" i="2"/>
  <c r="W61" i="2"/>
  <c r="W31" i="2"/>
  <c r="Q62" i="2"/>
  <c r="Q22" i="2"/>
  <c r="K31" i="2"/>
  <c r="K25" i="2"/>
  <c r="AC64" i="2"/>
  <c r="P66" i="2"/>
  <c r="V23" i="2"/>
  <c r="E53" i="2"/>
  <c r="J33" i="2"/>
  <c r="J53" i="2"/>
  <c r="AB62" i="2"/>
  <c r="W46" i="2"/>
  <c r="Q46" i="2"/>
  <c r="V66" i="2"/>
  <c r="AC61" i="2"/>
  <c r="D67" i="2"/>
  <c r="V49" i="2"/>
  <c r="V46" i="2"/>
  <c r="J25" i="2"/>
  <c r="J29" i="2"/>
  <c r="P34" i="2"/>
  <c r="Q63" i="2"/>
  <c r="AB67" i="2"/>
  <c r="W41" i="2"/>
  <c r="W53" i="2"/>
  <c r="K64" i="2"/>
  <c r="AC24" i="2"/>
  <c r="E32" i="2"/>
  <c r="J50" i="2"/>
  <c r="AB38" i="2"/>
  <c r="Q50" i="2"/>
  <c r="AC62" i="2"/>
  <c r="V60" i="2"/>
  <c r="J19" i="2"/>
  <c r="D63" i="2"/>
  <c r="D60" i="2"/>
  <c r="E38" i="2"/>
  <c r="P48" i="2"/>
  <c r="K49" i="2"/>
  <c r="K23" i="2"/>
  <c r="AC36" i="2"/>
  <c r="AC22" i="2"/>
  <c r="V67" i="2"/>
  <c r="E22" i="2"/>
  <c r="E36" i="2"/>
  <c r="J45" i="2"/>
  <c r="P44" i="2"/>
  <c r="K60" i="2"/>
  <c r="D59" i="2"/>
  <c r="W37" i="2"/>
  <c r="W33" i="2"/>
  <c r="Q26" i="2"/>
  <c r="K37" i="2"/>
  <c r="AC55" i="2"/>
  <c r="V41" i="2"/>
  <c r="V35" i="2"/>
  <c r="E61" i="2"/>
  <c r="J48" i="2"/>
  <c r="P32" i="2"/>
  <c r="P38" i="2"/>
  <c r="AC49" i="2"/>
  <c r="J37" i="2"/>
  <c r="K67" i="2"/>
  <c r="W55" i="2"/>
  <c r="K53" i="2"/>
  <c r="P50" i="2"/>
  <c r="Q36" i="2"/>
  <c r="K50" i="2"/>
  <c r="K47" i="2"/>
  <c r="AC38" i="2"/>
  <c r="AC42" i="2"/>
  <c r="V37" i="2"/>
  <c r="E41" i="2"/>
  <c r="E30" i="2"/>
  <c r="J51" i="2"/>
  <c r="P36" i="2"/>
  <c r="K35" i="2"/>
  <c r="P65" i="2"/>
  <c r="Q48" i="2"/>
  <c r="K55" i="2"/>
  <c r="V45" i="2"/>
  <c r="E34" i="2"/>
  <c r="P46" i="2"/>
  <c r="Q53" i="2"/>
  <c r="K19" i="2"/>
  <c r="V47" i="2"/>
  <c r="E44" i="2"/>
  <c r="P26" i="2"/>
  <c r="W29" i="2"/>
  <c r="K27" i="2"/>
  <c r="V62" i="2"/>
  <c r="E51" i="2"/>
  <c r="Q61" i="2"/>
  <c r="Q42" i="2"/>
  <c r="J66" i="2"/>
  <c r="E59" i="2"/>
  <c r="D66" i="2"/>
  <c r="W62" i="2"/>
  <c r="W51" i="2"/>
  <c r="Q38" i="2"/>
  <c r="Q28" i="2"/>
  <c r="AC34" i="2"/>
  <c r="V50" i="2"/>
  <c r="V31" i="2"/>
  <c r="AB59" i="2"/>
  <c r="J41" i="2"/>
  <c r="P62" i="2"/>
  <c r="P55" i="2"/>
  <c r="W60" i="2"/>
  <c r="W47" i="2"/>
  <c r="W43" i="2"/>
  <c r="Q32" i="2"/>
  <c r="Q47" i="2"/>
  <c r="K51" i="2"/>
  <c r="K45" i="2"/>
  <c r="AC53" i="2"/>
  <c r="AC46" i="2"/>
  <c r="J67" i="2"/>
  <c r="V43" i="2"/>
  <c r="V27" i="2"/>
  <c r="E24" i="2"/>
  <c r="E62" i="2"/>
  <c r="J31" i="2"/>
  <c r="J27" i="2"/>
  <c r="P61" i="2"/>
  <c r="P51" i="2"/>
  <c r="AB26" i="2"/>
  <c r="Z63" i="2"/>
  <c r="AF47" i="2"/>
  <c r="AB53" i="2"/>
  <c r="AB30" i="2"/>
  <c r="AB64" i="2"/>
  <c r="P63" i="2"/>
  <c r="AF29" i="2"/>
  <c r="AF41" i="2"/>
  <c r="AF11" i="2"/>
  <c r="AB47" i="2"/>
  <c r="AB28" i="2"/>
  <c r="AB24" i="2"/>
  <c r="AB34" i="2"/>
  <c r="P59" i="2"/>
  <c r="AF45" i="2"/>
  <c r="AF15" i="2"/>
  <c r="AF62" i="2"/>
  <c r="AB22" i="2"/>
  <c r="AB48" i="2"/>
  <c r="AF19" i="2"/>
  <c r="AF43" i="2"/>
  <c r="AF49" i="2"/>
  <c r="AF35" i="2"/>
  <c r="AB44" i="2"/>
  <c r="AB36" i="2"/>
  <c r="AB32" i="2"/>
  <c r="AF9" i="2"/>
  <c r="AF37" i="2"/>
  <c r="AF33" i="2"/>
  <c r="AF64" i="2"/>
  <c r="K66" i="2"/>
  <c r="AC59" i="2"/>
  <c r="W49" i="2"/>
  <c r="W23" i="2"/>
  <c r="Q34" i="2"/>
  <c r="Q55" i="2"/>
  <c r="K29" i="2"/>
  <c r="AB65" i="2"/>
  <c r="AC51" i="2"/>
  <c r="AC48" i="2"/>
  <c r="P60" i="2"/>
  <c r="V55" i="2"/>
  <c r="E55" i="2"/>
  <c r="E26" i="2"/>
  <c r="J55" i="2"/>
  <c r="J61" i="2"/>
  <c r="P22" i="2"/>
  <c r="P28" i="2"/>
  <c r="AB45" i="2"/>
  <c r="AB61" i="2"/>
  <c r="AF17" i="2"/>
  <c r="AF23" i="2"/>
  <c r="AF51" i="2"/>
  <c r="K65" i="2"/>
  <c r="W67" i="2"/>
  <c r="AC63" i="2"/>
  <c r="W27" i="2"/>
  <c r="W48" i="2"/>
  <c r="W19" i="2"/>
  <c r="W25" i="2"/>
  <c r="Q64" i="2"/>
  <c r="Q49" i="2"/>
  <c r="Q24" i="2"/>
  <c r="Q45" i="2"/>
  <c r="K61" i="2"/>
  <c r="K62" i="2"/>
  <c r="K48" i="2"/>
  <c r="AB66" i="2"/>
  <c r="AC30" i="2"/>
  <c r="AC28" i="2"/>
  <c r="AC32" i="2"/>
  <c r="AC44" i="2"/>
  <c r="P67" i="2"/>
  <c r="J60" i="2"/>
  <c r="V51" i="2"/>
  <c r="V64" i="2"/>
  <c r="V33" i="2"/>
  <c r="E48" i="2"/>
  <c r="E49" i="2"/>
  <c r="E64" i="2"/>
  <c r="E42" i="2"/>
  <c r="J64" i="2"/>
  <c r="J49" i="2"/>
  <c r="J47" i="2"/>
  <c r="J35" i="2"/>
  <c r="P47" i="2"/>
  <c r="P53" i="2"/>
  <c r="P42" i="2"/>
  <c r="P49" i="2"/>
  <c r="AB50" i="2"/>
  <c r="AB55" i="2"/>
  <c r="AB42" i="2"/>
  <c r="Z59" i="2"/>
  <c r="AF55" i="2"/>
  <c r="AF31" i="2"/>
  <c r="AF27" i="2"/>
  <c r="AF7" i="2"/>
  <c r="AE46" i="2"/>
  <c r="AD49" i="2"/>
  <c r="R43" i="2"/>
  <c r="G63" i="2"/>
  <c r="S50" i="2"/>
  <c r="AD46" i="2"/>
  <c r="G49" i="2"/>
  <c r="Q67" i="2"/>
  <c r="L38" i="2"/>
  <c r="M60" i="2"/>
  <c r="AE55" i="2"/>
  <c r="AE25" i="2"/>
  <c r="AE49" i="2"/>
  <c r="AD59" i="2"/>
  <c r="S25" i="2"/>
  <c r="S51" i="2"/>
  <c r="S33" i="2"/>
  <c r="AD50" i="2"/>
  <c r="AD31" i="2"/>
  <c r="AD19" i="2"/>
  <c r="F65" i="2"/>
  <c r="G27" i="2"/>
  <c r="G41" i="2"/>
  <c r="G31" i="2"/>
  <c r="G33" i="2"/>
  <c r="R53" i="2"/>
  <c r="R27" i="2"/>
  <c r="R31" i="2"/>
  <c r="R55" i="2"/>
  <c r="X61" i="2"/>
  <c r="X42" i="2"/>
  <c r="X30" i="2"/>
  <c r="X28" i="2"/>
  <c r="L22" i="2"/>
  <c r="L30" i="2"/>
  <c r="L50" i="2"/>
  <c r="W66" i="2"/>
  <c r="F25" i="2"/>
  <c r="F27" i="2"/>
  <c r="F23" i="2"/>
  <c r="R59" i="2"/>
  <c r="E65" i="2"/>
  <c r="AD63" i="2"/>
  <c r="G43" i="2"/>
  <c r="X47" i="2"/>
  <c r="S31" i="2"/>
  <c r="G25" i="2"/>
  <c r="X22" i="2"/>
  <c r="L47" i="2"/>
  <c r="AD66" i="2"/>
  <c r="AE47" i="2"/>
  <c r="F63" i="2"/>
  <c r="AD53" i="2"/>
  <c r="AD65" i="2"/>
  <c r="AD33" i="2"/>
  <c r="R64" i="2"/>
  <c r="L45" i="2"/>
  <c r="W65" i="2"/>
  <c r="F55" i="2"/>
  <c r="F43" i="2"/>
  <c r="F33" i="2"/>
  <c r="R63" i="2"/>
  <c r="E66" i="2"/>
  <c r="F59" i="2"/>
  <c r="L55" i="2"/>
  <c r="AE29" i="2"/>
  <c r="AD55" i="2"/>
  <c r="R25" i="2"/>
  <c r="AE33" i="2"/>
  <c r="AD27" i="2"/>
  <c r="L61" i="2"/>
  <c r="AC66" i="2"/>
  <c r="AE51" i="2"/>
  <c r="AD41" i="2"/>
  <c r="R61" i="2"/>
  <c r="Y67" i="2"/>
  <c r="AE37" i="2"/>
  <c r="F66" i="2"/>
  <c r="X24" i="2"/>
  <c r="AD67" i="2"/>
  <c r="S35" i="2"/>
  <c r="X66" i="2"/>
  <c r="R35" i="2"/>
  <c r="F62" i="2"/>
  <c r="AE31" i="2"/>
  <c r="S29" i="2"/>
  <c r="AD61" i="2"/>
  <c r="G61" i="2"/>
  <c r="R19" i="2"/>
  <c r="X38" i="2"/>
  <c r="X51" i="2"/>
  <c r="L51" i="2"/>
  <c r="L44" i="2"/>
  <c r="L53" i="2"/>
  <c r="F35" i="2"/>
  <c r="F41" i="2"/>
  <c r="F64" i="2"/>
  <c r="F48" i="2"/>
  <c r="AC60" i="2"/>
  <c r="AC65" i="2"/>
  <c r="M67" i="2"/>
  <c r="S55" i="2"/>
  <c r="G55" i="2"/>
  <c r="X55" i="2"/>
  <c r="AE41" i="2"/>
  <c r="AD25" i="2"/>
  <c r="R33" i="2"/>
  <c r="F51" i="2"/>
  <c r="AE27" i="2"/>
  <c r="S23" i="2"/>
  <c r="AD45" i="2"/>
  <c r="G48" i="2"/>
  <c r="G45" i="2"/>
  <c r="R51" i="2"/>
  <c r="R48" i="2"/>
  <c r="Q60" i="2"/>
  <c r="X44" i="2"/>
  <c r="L42" i="2"/>
  <c r="S49" i="2"/>
  <c r="G53" i="2"/>
  <c r="L46" i="2"/>
  <c r="X60" i="2"/>
  <c r="AD29" i="2"/>
  <c r="R37" i="2"/>
  <c r="L28" i="2"/>
  <c r="F29" i="2"/>
  <c r="AD60" i="2"/>
  <c r="X67" i="2"/>
  <c r="S61" i="2"/>
  <c r="X65" i="2"/>
  <c r="AE43" i="2"/>
  <c r="AE45" i="2"/>
  <c r="S48" i="2"/>
  <c r="S37" i="2"/>
  <c r="AD62" i="2"/>
  <c r="AD35" i="2"/>
  <c r="G51" i="2"/>
  <c r="G37" i="2"/>
  <c r="G23" i="2"/>
  <c r="R41" i="2"/>
  <c r="R49" i="2"/>
  <c r="R46" i="2"/>
  <c r="R47" i="2"/>
  <c r="X64" i="2"/>
  <c r="X48" i="2"/>
  <c r="X49" i="2"/>
  <c r="X50" i="2"/>
  <c r="L64" i="2"/>
  <c r="L48" i="2"/>
  <c r="L62" i="2"/>
  <c r="L32" i="2"/>
  <c r="F37" i="2"/>
  <c r="F31" i="2"/>
  <c r="F50" i="2"/>
  <c r="F53" i="2"/>
  <c r="Q66" i="2"/>
  <c r="E67" i="2"/>
  <c r="S53" i="2"/>
  <c r="G64" i="2"/>
  <c r="X45" i="2"/>
  <c r="AE50" i="2"/>
  <c r="S43" i="2"/>
  <c r="G46" i="2"/>
  <c r="X46" i="2"/>
  <c r="F45" i="2"/>
  <c r="G59" i="2"/>
  <c r="Y60" i="2"/>
  <c r="AD43" i="2"/>
  <c r="R60" i="2"/>
  <c r="AE35" i="2"/>
  <c r="R65" i="2"/>
  <c r="S45" i="2"/>
  <c r="S41" i="2"/>
  <c r="AD37" i="2"/>
  <c r="L67" i="2"/>
  <c r="G35" i="2"/>
  <c r="G50" i="2"/>
  <c r="X36" i="2"/>
  <c r="AC67" i="2"/>
  <c r="AE64" i="2"/>
  <c r="S47" i="2"/>
  <c r="AD47" i="2"/>
  <c r="F60" i="2"/>
  <c r="AE19" i="2"/>
  <c r="L66" i="2"/>
  <c r="F67" i="2"/>
  <c r="AE61" i="2"/>
  <c r="AE62" i="2"/>
  <c r="AE53" i="2"/>
  <c r="AE48" i="2"/>
  <c r="R66" i="2"/>
  <c r="L65" i="2"/>
  <c r="S62" i="2"/>
  <c r="S46" i="2"/>
  <c r="S27" i="2"/>
  <c r="S64" i="2"/>
  <c r="AD64" i="2"/>
  <c r="AD51" i="2"/>
  <c r="AD48" i="2"/>
  <c r="L60" i="2"/>
  <c r="G29" i="2"/>
  <c r="R67" i="2"/>
  <c r="G62" i="2"/>
  <c r="G47" i="2"/>
  <c r="R50" i="2"/>
  <c r="R62" i="2"/>
  <c r="R45" i="2"/>
  <c r="R29" i="2"/>
  <c r="X34" i="2"/>
  <c r="X26" i="2"/>
  <c r="X62" i="2"/>
  <c r="X53" i="2"/>
  <c r="L49" i="2"/>
  <c r="L26" i="2"/>
  <c r="L36" i="2"/>
  <c r="L34" i="2"/>
  <c r="F49" i="2"/>
  <c r="F46" i="2"/>
  <c r="F61" i="2"/>
  <c r="F47" i="2"/>
  <c r="Q65" i="2"/>
  <c r="E60" i="2"/>
  <c r="AF28" i="2"/>
  <c r="N45" i="2"/>
  <c r="Y42" i="2"/>
  <c r="AF53" i="2"/>
  <c r="N15" i="2"/>
  <c r="T18" i="2"/>
  <c r="N24" i="2"/>
  <c r="AF36" i="2"/>
  <c r="H42" i="2"/>
  <c r="M30" i="2"/>
  <c r="Y34" i="2"/>
  <c r="N46" i="2"/>
  <c r="N10" i="2"/>
  <c r="AF38" i="2"/>
  <c r="AF14" i="2"/>
  <c r="AF24" i="2"/>
  <c r="AF32" i="2"/>
  <c r="AF30" i="2"/>
  <c r="H26" i="2"/>
  <c r="N51" i="2"/>
  <c r="N31" i="2"/>
  <c r="M46" i="2"/>
  <c r="M44" i="2"/>
  <c r="T24" i="2"/>
  <c r="T26" i="2"/>
  <c r="Y44" i="2"/>
  <c r="Y28" i="2"/>
  <c r="N14" i="2"/>
  <c r="N9" i="2"/>
  <c r="Z26" i="2"/>
  <c r="Z34" i="2"/>
  <c r="M42" i="2"/>
  <c r="T44" i="2"/>
  <c r="N12" i="2"/>
  <c r="N42" i="2"/>
  <c r="N53" i="2"/>
  <c r="Z32" i="2"/>
  <c r="Z42" i="2"/>
  <c r="Z44" i="2"/>
  <c r="H16" i="2"/>
  <c r="N22" i="2"/>
  <c r="AF42" i="2"/>
  <c r="Y61" i="2"/>
  <c r="Z46" i="2"/>
  <c r="Z53" i="2"/>
  <c r="Z14" i="2"/>
  <c r="H48" i="2"/>
  <c r="M34" i="2"/>
  <c r="N64" i="2"/>
  <c r="M49" i="2"/>
  <c r="AF22" i="2"/>
  <c r="N25" i="2"/>
  <c r="M55" i="2"/>
  <c r="Y64" i="2"/>
  <c r="H28" i="2"/>
  <c r="T8" i="2"/>
  <c r="Z48" i="2"/>
  <c r="H24" i="2"/>
  <c r="Y38" i="2"/>
  <c r="N41" i="2"/>
  <c r="M50" i="2"/>
  <c r="N44" i="2"/>
  <c r="N17" i="2"/>
  <c r="AF18" i="2"/>
  <c r="M36" i="2"/>
  <c r="Y49" i="2"/>
  <c r="H10" i="2"/>
  <c r="T28" i="2"/>
  <c r="N28" i="2"/>
  <c r="H32" i="2"/>
  <c r="N27" i="2"/>
  <c r="M47" i="2"/>
  <c r="Y50" i="2"/>
  <c r="Z22" i="2"/>
  <c r="H36" i="2"/>
  <c r="N55" i="2"/>
  <c r="N11" i="2"/>
  <c r="M48" i="2"/>
  <c r="M51" i="2"/>
  <c r="T10" i="2"/>
  <c r="Y26" i="2"/>
  <c r="Y30" i="2"/>
  <c r="Y46" i="2"/>
  <c r="N61" i="2"/>
  <c r="N50" i="2"/>
  <c r="N7" i="2"/>
  <c r="Z18" i="2"/>
  <c r="Z12" i="2"/>
  <c r="Z28" i="2"/>
  <c r="Z50" i="2"/>
  <c r="N29" i="2"/>
  <c r="Y53" i="2"/>
  <c r="H53" i="2"/>
  <c r="N19" i="2"/>
  <c r="T61" i="2"/>
  <c r="Y55" i="2"/>
  <c r="AF34" i="2"/>
  <c r="H46" i="2"/>
  <c r="N49" i="2"/>
  <c r="T30" i="2"/>
  <c r="Y32" i="2"/>
  <c r="Z36" i="2"/>
  <c r="H61" i="2"/>
  <c r="H64" i="2"/>
  <c r="N23" i="2"/>
  <c r="N33" i="2"/>
  <c r="M28" i="2"/>
  <c r="T38" i="2"/>
  <c r="T22" i="2"/>
  <c r="T53" i="2"/>
  <c r="Y22" i="2"/>
  <c r="T42" i="2"/>
  <c r="T12" i="2"/>
  <c r="AF8" i="2"/>
  <c r="M24" i="2"/>
  <c r="T16" i="2"/>
  <c r="AF10" i="2"/>
  <c r="N62" i="2"/>
  <c r="T14" i="2"/>
  <c r="AF26" i="2"/>
  <c r="H14" i="2"/>
  <c r="M32" i="2"/>
  <c r="Y45" i="2"/>
  <c r="N36" i="2"/>
  <c r="AF16" i="2"/>
  <c r="N37" i="2"/>
  <c r="M64" i="2"/>
  <c r="Y51" i="2"/>
  <c r="N26" i="2"/>
  <c r="Z7" i="2"/>
  <c r="AF44" i="2"/>
  <c r="H12" i="2"/>
  <c r="AF46" i="2"/>
  <c r="H18" i="2"/>
  <c r="H30" i="2"/>
  <c r="H22" i="2"/>
  <c r="N35" i="2"/>
  <c r="M45" i="2"/>
  <c r="M53" i="2"/>
  <c r="T36" i="2"/>
  <c r="T32" i="2"/>
  <c r="Y62" i="2"/>
  <c r="N38" i="2"/>
  <c r="N30" i="2"/>
  <c r="Z24" i="2"/>
  <c r="Z61" i="2"/>
  <c r="AF48" i="2"/>
  <c r="AF61" i="2"/>
  <c r="AF12" i="2"/>
  <c r="AF50" i="2"/>
  <c r="H38" i="2"/>
  <c r="H34" i="2"/>
  <c r="H44" i="2"/>
  <c r="H50" i="2"/>
  <c r="N13" i="2"/>
  <c r="N47" i="2"/>
  <c r="N43" i="2"/>
  <c r="M26" i="2"/>
  <c r="M61" i="2"/>
  <c r="M38" i="2"/>
  <c r="M62" i="2"/>
  <c r="T46" i="2"/>
  <c r="T34" i="2"/>
  <c r="T50" i="2"/>
  <c r="T48" i="2"/>
  <c r="Y47" i="2"/>
  <c r="Y48" i="2"/>
  <c r="Y36" i="2"/>
  <c r="N48" i="2"/>
  <c r="N18" i="2"/>
  <c r="N34" i="2"/>
  <c r="N32" i="2"/>
  <c r="Z38" i="2"/>
  <c r="Z16" i="2"/>
  <c r="Z15" i="2"/>
  <c r="Z10" i="2"/>
  <c r="N65" i="2"/>
  <c r="Z51" i="2"/>
  <c r="N66" i="2"/>
  <c r="Z35" i="2"/>
  <c r="S66" i="2"/>
  <c r="Z43" i="2"/>
  <c r="Y66" i="2"/>
  <c r="H59" i="2"/>
  <c r="Z41" i="2"/>
  <c r="AE60" i="2"/>
  <c r="AE65" i="2"/>
  <c r="AF63" i="2"/>
  <c r="Z29" i="2"/>
  <c r="Z62" i="2"/>
  <c r="H65" i="2"/>
  <c r="Z23" i="2"/>
  <c r="AF60" i="2"/>
  <c r="Z25" i="2"/>
  <c r="H63" i="2"/>
  <c r="T65" i="2"/>
  <c r="Z37" i="2"/>
  <c r="AF67" i="2"/>
  <c r="AE59" i="2"/>
  <c r="AE63" i="2"/>
  <c r="Y65" i="2"/>
  <c r="Z64" i="2"/>
  <c r="N60" i="2"/>
  <c r="T60" i="2"/>
  <c r="T63" i="2"/>
  <c r="T66" i="2"/>
  <c r="Z49" i="2"/>
  <c r="M65" i="2"/>
  <c r="Z45" i="2"/>
  <c r="S59" i="2"/>
  <c r="S63" i="2"/>
  <c r="Z47" i="2"/>
  <c r="T59" i="2"/>
  <c r="G65" i="2"/>
  <c r="H66" i="2"/>
  <c r="G66" i="2"/>
  <c r="N67" i="2"/>
  <c r="Z11" i="2"/>
  <c r="S65" i="2"/>
  <c r="T67" i="2"/>
  <c r="Z33" i="2"/>
  <c r="AF66" i="2"/>
  <c r="G67" i="2"/>
  <c r="Z17" i="2"/>
  <c r="Z13" i="2"/>
  <c r="Z19" i="2"/>
  <c r="AE67" i="2"/>
  <c r="AF65" i="2"/>
  <c r="AE66" i="2"/>
  <c r="G60" i="2"/>
  <c r="M66" i="2"/>
  <c r="AF59" i="2"/>
  <c r="Z55" i="2"/>
  <c r="Z9" i="2"/>
  <c r="Z27" i="2"/>
  <c r="Z31" i="2"/>
  <c r="Z67" i="2"/>
  <c r="Z65" i="2"/>
  <c r="S67" i="2"/>
  <c r="Z60" i="2"/>
  <c r="Z66" i="2"/>
  <c r="H60" i="2"/>
  <c r="H67" i="2"/>
  <c r="S6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<sst xmlns="http://schemas.openxmlformats.org/spreadsheetml/2006/main" count="173" uniqueCount="167">
  <si>
    <t>Reference Items</t>
  </si>
  <si>
    <t>Right click to show data transparency (not supported for all values)</t>
  </si>
  <si>
    <t>Cummins Inc (CMI US) - Standardized</t>
  </si>
  <si>
    <t>In Millions of USD except Per Share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</si>
  <si>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</si>
  <si>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</si>
  <si>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</si>
  <si>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</si>
  <si>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</si>
  <si>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</si>
  <si>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</si>
  <si>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</si>
  <si>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</si>
  <si>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</si>
  <si>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</si>
  <si>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</si>
  <si>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</si>
  <si>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</si>
  <si>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</si>
  <si>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</si>
  <si>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</si>
  <si>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</si>
  <si>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</si>
  <si>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</si>
  <si>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</si>
  <si>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</si>
  <si>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</si>
  <si>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</si>
  <si>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</si>
  <si>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</si>
  <si>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</si>
  <si>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</si>
  <si>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</si>
  <si>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</si>
  <si>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3 Months Ending</t>
  </si>
  <si>
    <t>09/30/2018</t>
  </si>
  <si>
    <t>12/31/2018</t>
  </si>
  <si>
    <t>03/31/2019</t>
  </si>
  <si>
    <t>06/30/2019</t>
  </si>
  <si>
    <t>09/29/2019</t>
  </si>
  <si>
    <t>12/31/2019</t>
  </si>
  <si>
    <t>03/29/2020</t>
  </si>
  <si>
    <t>06/28/2020</t>
  </si>
  <si>
    <t>09/27/2020</t>
  </si>
  <si>
    <t>12/31/2020</t>
  </si>
  <si>
    <t>04/04/2021</t>
  </si>
  <si>
    <t>07/04/2021</t>
  </si>
  <si>
    <t>10/03/2021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</si>
  <si>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</si>
  <si>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</si>
  <si>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</si>
  <si>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</si>
  <si>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</si>
  <si>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</si>
  <si>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</si>
  <si>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</si>
  <si>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</si>
  <si>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</si>
  <si>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</si>
  <si>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</si>
  <si>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</si>
  <si>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</si>
  <si>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</si>
  <si>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</si>
  <si>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</si>
  <si>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</si>
  <si>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</si>
  <si>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</si>
  <si>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</si>
  <si>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</si>
  <si>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</si>
  <si>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</si>
  <si>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</si>
  <si>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</si>
  <si>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</si>
  <si>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</si>
  <si>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</si>
  <si>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</si>
  <si>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</si>
  <si>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</si>
  <si>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</si>
  <si>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</si>
  <si>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</si>
  <si>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</si>
  <si>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</si>
  <si>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</si>
  <si>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</si>
  <si>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</si>
  <si>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</si>
  <si>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</si>
  <si>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CF_CASH_FROM_OPER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</si>
  <si>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</si>
  <si>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</si>
  <si>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</si>
  <si>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</si>
  <si>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</si>
  <si>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</si>
  <si>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</si>
  <si>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</si>
  <si>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</si>
  <si>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</si>
  <si>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</si>
  <si>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</si>
  <si>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</si>
  <si>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</si>
  <si>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</si>
  <si>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</si>
  <si>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</si>
  <si>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</si>
  <si>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</si>
  <si>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</si>
  <si>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</si>
  <si>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</si>
  <si>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</si>
  <si>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</si>
  <si>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</si>
  <si>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</si>
  <si>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</si>
  <si>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</si>
  <si>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</si>
  <si>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</si>
  <si>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</si>
  <si>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</si>
  <si>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</si>
  <si>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</si>
  <si>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</si>
  <si>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</si>
  <si>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</si>
  <si>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</si>
  <si>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</si>
  <si>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</si>
  <si>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</si>
  <si>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</si>
  <si>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</si>
  <si>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</si>
  <si>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</si>
  <si>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</si>
  <si>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</si>
  <si>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</si>
  <si>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</si>
  <si>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</si>
  <si>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</si>
  <si>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</si>
  <si>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</si>
  <si>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</si>
  <si>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</si>
  <si>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</si>
  <si>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</si>
  <si>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</si>
  <si>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EBITDA</t>
  </si>
  <si>
    <t>Trailing 12M EBITDA Margin</t>
  </si>
  <si>
    <t>EBITDA_MARGIN</t>
  </si>
  <si>
    <t>Net Cash Paid for Acquisitions</t>
  </si>
  <si>
    <t>CF_NET_CASH_PAID_FOR_AQUIS</t>
  </si>
  <si>
    <t>Free Cash Flow</t>
  </si>
  <si>
    <t>CF_FREE_CASH_FLOW</t>
  </si>
  <si>
    <t>Free Cash Flow to Firm</t>
  </si>
  <si>
    <t>CF_FREE_CASH_FLOW_FIRM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</si>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</sst>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171" fontId="11" fillId="34" borderId="2">
      <alignment horizontal="right"/>
    </xf>
  </cellStyleXfs>
  <cellXfs count="17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4" fontId="1" fillId="34" borderId="2" xfId="54" applyNumberFormat="1" applyFont="1" applyFill="1" applyBorder="1" applyAlignment="1" applyProtection="1">
      <alignment horizontal="right"/>
    </xf>
    <xf numFmtId="3" fontId="8" fillId="34" borderId="2" xfId="55" applyNumberFormat="1" applyFont="1" applyFill="1" applyBorder="1" applyAlignment="1" applyProtection="1">
      <alignment horizontal="right"/>
    </xf>
    <xf numFmtId="171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5" xr:uid="{00000000-0005-0000-0000-000023000000}"/>
    <cellStyle name="fa_data_bold_1_grouped" xfId="56" xr:uid="{00000000-0005-0000-0000-000024000000}"/>
    <cellStyle name="fa_data_italic_1_grouped" xfId="57" xr:uid="{00000000-0005-0000-0000-000025000000}"/>
    <cellStyle name="fa_data_standard_1_grouped" xfId="53" xr:uid="{00000000-0005-0000-0000-000026000000}"/>
    <cellStyle name="fa_data_standard_2_grouped" xfId="54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BDH|15175676409660707994</stp>
        <tr r="M44" s="2"/>
      </tp>
      <tp t="s">
        <v>#N/A N/A</v>
        <stp/>
        <stp>BDH|12279912022426257537</stp>
        <tr r="P10" s="2"/>
      </tp>
      <tp t="s">
        <v>#N/A N/A</v>
        <stp/>
        <stp>BDH|14307503448466332983</stp>
        <tr r="W33" s="2"/>
      </tp>
      <tp t="s">
        <v>#N/A N/A</v>
        <stp/>
        <stp>BDH|12720688035065883818</stp>
        <tr r="C23" s="2"/>
      </tp>
      <tp t="s">
        <v>#N/A N/A</v>
        <stp/>
        <stp>BDH|16282430494554180570</stp>
        <tr r="R66" s="2"/>
      </tp>
      <tp t="s">
        <v>#N/A N/A</v>
        <stp/>
        <stp>BDH|16116912817686636230</stp>
        <tr r="Q31" s="2"/>
      </tp>
      <tp t="s">
        <v>#N/A N/A</v>
        <stp/>
        <stp>BDH|15884374981266480282</stp>
        <tr r="H44" s="2"/>
      </tp>
      <tp t="s">
        <v>#N/A N/A</v>
        <stp/>
        <stp>BDH|11340014913148630238</stp>
        <tr r="R43" s="2"/>
      </tp>
      <tp t="s">
        <v>#N/A N/A</v>
        <stp/>
        <stp>BDH|12898698885402751472</stp>
        <tr r="N45" s="2"/>
      </tp>
      <tp t="s">
        <v>#N/A N/A</v>
        <stp/>
        <stp>BDH|12373803917261377000</stp>
        <tr r="F51" s="2"/>
      </tp>
      <tp t="s">
        <v>#N/A N/A</v>
        <stp/>
        <stp>BDH|14401983915766951067</stp>
        <tr r="K47" s="2"/>
      </tp>
      <tp t="s">
        <v>#N/A N/A</v>
        <stp/>
        <stp>BDH|13030743306696549814</stp>
        <tr r="C36" s="2"/>
      </tp>
      <tp t="s">
        <v>#N/A N/A</v>
        <stp/>
        <stp>BDH|12942675293322393563</stp>
        <tr r="X44" s="2"/>
      </tp>
      <tp t="s">
        <v>#N/A N/A</v>
        <stp/>
        <stp>BDH|15279581357557559809</stp>
        <tr r="O46" s="2"/>
      </tp>
      <tp t="s">
        <v>#N/A N/A</v>
        <stp/>
        <stp>BDH|12281899173421153612</stp>
        <tr r="C43" s="2"/>
      </tp>
      <tp t="s">
        <v>#N/A N/A</v>
        <stp/>
        <stp>BDH|11118641084804836133</stp>
        <tr r="E10" s="2"/>
      </tp>
      <tp t="s">
        <v>#N/A N/A</v>
        <stp/>
        <stp>BDH|15368717799432400327</stp>
        <tr r="AB10" s="2"/>
      </tp>
      <tp t="s">
        <v>#N/A N/A</v>
        <stp/>
        <stp>BDH|17558025255249942162</stp>
        <tr r="G12" s="2"/>
      </tp>
      <tp t="s">
        <v>#N/A N/A</v>
        <stp/>
        <stp>BDH|13239738385454164291</stp>
        <tr r="U28" s="2"/>
      </tp>
      <tp t="s">
        <v>#N/A N/A</v>
        <stp/>
        <stp>BDH|12492727202358269780</stp>
        <tr r="K62" s="2"/>
      </tp>
      <tp t="s">
        <v>#N/A N/A</v>
        <stp/>
        <stp>BDH|10921453656912168957</stp>
        <tr r="AE64" s="2"/>
      </tp>
      <tp t="s">
        <v>#N/A N/A</v>
        <stp/>
        <stp>BDH|15267349064189825345</stp>
        <tr r="F38" s="2"/>
      </tp>
      <tp t="s">
        <v>#N/A N/A</v>
        <stp/>
        <stp>BDH|16063726368004289965</stp>
        <tr r="O22" s="2"/>
      </tp>
      <tp t="s">
        <v>#N/A N/A</v>
        <stp/>
        <stp>BDH|12391877855944963160</stp>
        <tr r="M29" s="2"/>
      </tp>
      <tp t="s">
        <v>#N/A N/A</v>
        <stp/>
        <stp>BDH|11904989342891237609</stp>
        <tr r="Q17" s="2"/>
      </tp>
      <tp t="s">
        <v>#N/A N/A</v>
        <stp/>
        <stp>BDH|17003112752608485065</stp>
        <tr r="N10" s="2"/>
      </tp>
      <tp t="s">
        <v>#N/A N/A</v>
        <stp/>
        <stp>BDH|16793584081397602793</stp>
        <tr r="Z10" s="2"/>
      </tp>
      <tp t="s">
        <v>#N/A N/A</v>
        <stp/>
        <stp>BDH|10514560233129011409</stp>
        <tr r="AB30" s="2"/>
      </tp>
      <tp t="s">
        <v>#N/A N/A</v>
        <stp/>
        <stp>BDH|16468530807628970096</stp>
        <tr r="D24" s="2"/>
      </tp>
      <tp t="s">
        <v>#N/A N/A</v>
        <stp/>
        <stp>BDH|13306208649196943839</stp>
        <tr r="D16" s="2"/>
      </tp>
      <tp t="s">
        <v>#N/A N/A</v>
        <stp/>
        <stp>BDH|12088086854385629991</stp>
        <tr r="K29" s="2"/>
      </tp>
      <tp t="s">
        <v>#N/A N/A</v>
        <stp/>
        <stp>BDH|12894678318267210961</stp>
        <tr r="C30" s="2"/>
      </tp>
      <tp t="s">
        <v>#N/A N/A</v>
        <stp/>
        <stp>BDH|16004962684954853899</stp>
        <tr r="D9" s="2"/>
      </tp>
      <tp t="s">
        <v>#N/A N/A</v>
        <stp/>
        <stp>BDH|13985202961254325897</stp>
        <tr r="Y28" s="2"/>
      </tp>
      <tp t="s">
        <v>#N/A N/A</v>
        <stp/>
        <stp>BDH|10895309476636512995</stp>
        <tr r="V37" s="2"/>
      </tp>
      <tp t="s">
        <v>#N/A N/A</v>
        <stp/>
        <stp>BDH|13504380628970636918</stp>
        <tr r="U23" s="2"/>
      </tp>
      <tp t="s">
        <v>#N/A N/A</v>
        <stp/>
        <stp>BDH|14118059398754953204</stp>
        <tr r="Z44" s="2"/>
      </tp>
      <tp t="s">
        <v>#N/A N/A</v>
        <stp/>
        <stp>BDH|12478226681187781455</stp>
        <tr r="T25" s="2"/>
      </tp>
      <tp t="s">
        <v>#N/A N/A</v>
        <stp/>
        <stp>BDH|12322203180204156771</stp>
        <tr r="R34" s="2"/>
      </tp>
      <tp t="s">
        <v>#N/A N/A</v>
        <stp/>
        <stp>BDH|16237220825695120812</stp>
        <tr r="E9" s="2"/>
      </tp>
      <tp t="s">
        <v>#N/A N/A</v>
        <stp/>
        <stp>BDH|17114903744484268525</stp>
        <tr r="T32" s="2"/>
      </tp>
      <tp t="s">
        <v>#N/A N/A</v>
        <stp/>
        <stp>BDH|17481954615200993483</stp>
        <tr r="Y46" s="2"/>
      </tp>
      <tp t="s">
        <v>#N/A N/A</v>
        <stp/>
        <stp>BDH|17530986647535751493</stp>
        <tr r="W45" s="2"/>
      </tp>
      <tp t="s">
        <v>#N/A N/A</v>
        <stp/>
        <stp>BDH|15957822811585587281</stp>
        <tr r="AC41" s="2"/>
      </tp>
      <tp t="s">
        <v>#N/A N/A</v>
        <stp/>
        <stp>BDH|18407039140084976391</stp>
        <tr r="AC47" s="2"/>
      </tp>
      <tp t="s">
        <v>#N/A N/A</v>
        <stp/>
        <stp>BDH|15179766374259470707</stp>
        <tr r="T13" s="2"/>
      </tp>
      <tp t="s">
        <v>#N/A N/A</v>
        <stp/>
        <stp>BDH|11118310190398564825</stp>
        <tr r="Q24" s="2"/>
      </tp>
      <tp t="s">
        <v>#N/A N/A</v>
        <stp/>
        <stp>BDH|10203656814699310567</stp>
        <tr r="V63" s="2"/>
      </tp>
      <tp t="s">
        <v>#N/A N/A</v>
        <stp/>
        <stp>BDH|11101955124250656106</stp>
        <tr r="AB12" s="2"/>
      </tp>
      <tp t="s">
        <v>#N/A N/A</v>
        <stp/>
        <stp>BDH|13982143782090397159</stp>
        <tr r="D27" s="2"/>
      </tp>
      <tp t="s">
        <v>#N/A N/A</v>
        <stp/>
        <stp>BDH|15533095137995091824</stp>
        <tr r="D67" s="2"/>
      </tp>
      <tp t="s">
        <v>#N/A N/A</v>
        <stp/>
        <stp>BDH|17769060293316215395</stp>
        <tr r="W14" s="2"/>
      </tp>
      <tp t="s">
        <v>#N/A N/A</v>
        <stp/>
        <stp>BDH|10467037580675963674</stp>
        <tr r="AC16" s="2"/>
      </tp>
      <tp t="s">
        <v>#N/A N/A</v>
        <stp/>
        <stp>BDH|16652390223709660526</stp>
        <tr r="D65" s="2"/>
      </tp>
      <tp t="s">
        <v>#N/A N/A</v>
        <stp/>
        <stp>BDH|12171358810803704885</stp>
        <tr r="F43" s="2"/>
      </tp>
      <tp t="s">
        <v>#N/A N/A</v>
        <stp/>
        <stp>BDH|15371115086790743781</stp>
        <tr r="N16" s="2"/>
      </tp>
      <tp t="s">
        <v>#N/A N/A</v>
        <stp/>
        <stp>BDH|13889567879883912948</stp>
        <tr r="I33" s="2"/>
      </tp>
      <tp t="s">
        <v>#N/A N/A</v>
        <stp/>
        <stp>BDH|10868938501393993198</stp>
        <tr r="E19" s="2"/>
      </tp>
      <tp t="s">
        <v>#N/A N/A</v>
        <stp/>
        <stp>BDH|18410456761226932733</stp>
        <tr r="N66" s="2"/>
      </tp>
      <tp t="s">
        <v>#N/A N/A</v>
        <stp/>
        <stp>BDH|10983382675699149684</stp>
        <tr r="R46" s="2"/>
      </tp>
      <tp t="s">
        <v>#N/A N/A</v>
        <stp/>
        <stp>BDH|14332388387730944489</stp>
        <tr r="M38" s="2"/>
      </tp>
      <tp t="s">
        <v>#N/A N/A</v>
        <stp/>
        <stp>BDH|17535791066179350440</stp>
        <tr r="Z66" s="2"/>
      </tp>
      <tp t="s">
        <v>#N/A N/A</v>
        <stp/>
        <stp>BDH|12970725456579767263</stp>
        <tr r="F12" s="2"/>
      </tp>
      <tp t="s">
        <v>#N/A N/A</v>
        <stp/>
        <stp>BDH|17494199384671563404</stp>
        <tr r="V67" s="2"/>
      </tp>
      <tp t="s">
        <v>#N/A N/A</v>
        <stp/>
        <stp>BDH|13066614995652385587</stp>
        <tr r="Y19" s="2"/>
      </tp>
      <tp t="s">
        <v>#N/A N/A</v>
        <stp/>
        <stp>BDH|17484436975496824942</stp>
        <tr r="I44" s="2"/>
      </tp>
      <tp t="s">
        <v>#N/A N/A</v>
        <stp/>
        <stp>BDH|15895246313034642978</stp>
        <tr r="T29" s="2"/>
      </tp>
      <tp t="s">
        <v>#N/A N/A</v>
        <stp/>
        <stp>BDH|10569215616789471182</stp>
        <tr r="J61" s="2"/>
      </tp>
      <tp t="s">
        <v>#N/A N/A</v>
        <stp/>
        <stp>BDH|17525355786306192267</stp>
        <tr r="Q27" s="2"/>
      </tp>
      <tp t="s">
        <v>#N/A N/A</v>
        <stp/>
        <stp>BDH|10579711032915585920</stp>
        <tr r="S8" s="2"/>
      </tp>
      <tp t="s">
        <v>#N/A N/A</v>
        <stp/>
        <stp>BDH|17360897168220034135</stp>
        <tr r="AC25" s="2"/>
      </tp>
      <tp t="s">
        <v>#N/A N/A</v>
        <stp/>
        <stp>BDH|10970899337073461039</stp>
        <tr r="F36" s="2"/>
      </tp>
      <tp t="s">
        <v>#N/A N/A</v>
        <stp/>
        <stp>BDH|17682949019100203791</stp>
        <tr r="F53" s="2"/>
      </tp>
      <tp t="s">
        <v>#N/A N/A</v>
        <stp/>
        <stp>BDH|16225357025079281609</stp>
        <tr r="Y12" s="2"/>
      </tp>
      <tp t="s">
        <v>#N/A N/A</v>
        <stp/>
        <stp>BDH|12405857164986511230</stp>
        <tr r="S55" s="2"/>
      </tp>
      <tp t="s">
        <v>#N/A N/A</v>
        <stp/>
        <stp>BDH|16182928871578427858</stp>
        <tr r="S43" s="2"/>
      </tp>
      <tp t="s">
        <v>#N/A N/A</v>
        <stp/>
        <stp>BDH|14630061591863698645</stp>
        <tr r="T44" s="2"/>
      </tp>
      <tp t="s">
        <v>#N/A N/A</v>
        <stp/>
        <stp>BDH|13064865811603399166</stp>
        <tr r="AB35" s="2"/>
      </tp>
      <tp t="s">
        <v>#N/A N/A</v>
        <stp/>
        <stp>BDH|17245787152619208484</stp>
        <tr r="Y50" s="2"/>
      </tp>
      <tp t="s">
        <v>#N/A N/A</v>
        <stp/>
        <stp>BDH|18272086120696856478</stp>
        <tr r="R25" s="2"/>
      </tp>
      <tp t="s">
        <v>#N/A N/A</v>
        <stp/>
        <stp>BDH|11616855956776125218</stp>
        <tr r="Y32" s="2"/>
      </tp>
      <tp t="s">
        <v>#N/A N/A</v>
        <stp/>
        <stp>BDH|13521616538936053899</stp>
        <tr r="E44" s="2"/>
      </tp>
      <tp t="s">
        <v>#N/A N/A</v>
        <stp/>
        <stp>BDH|12554819923548675851</stp>
        <tr r="AB22" s="2"/>
      </tp>
      <tp t="s">
        <v>#N/A N/A</v>
        <stp/>
        <stp>BDH|17200637769976993957</stp>
        <tr r="W32" s="2"/>
      </tp>
      <tp t="s">
        <v>#N/A N/A</v>
        <stp/>
        <stp>BDH|10640340607498105305</stp>
        <tr r="L36" s="2"/>
      </tp>
      <tp t="s">
        <v>#N/A N/A</v>
        <stp/>
        <stp>BDH|15992828078845743735</stp>
        <tr r="AA36" s="2"/>
      </tp>
      <tp t="s">
        <v>#N/A N/A</v>
        <stp/>
        <stp>BDH|17124825821037262270</stp>
        <tr r="E42" s="2"/>
      </tp>
      <tp t="s">
        <v>#N/A N/A</v>
        <stp/>
        <stp>BDH|13351326142195313968</stp>
        <tr r="AD55" s="2"/>
      </tp>
      <tp t="s">
        <v>#N/A N/A</v>
        <stp/>
        <stp>BDH|13326313788762990257</stp>
        <tr r="T50" s="2"/>
      </tp>
      <tp t="s">
        <v>#N/A N/A</v>
        <stp/>
        <stp>BDH|16978469338120197902</stp>
        <tr r="M24" s="2"/>
      </tp>
      <tp t="s">
        <v>#N/A N/A</v>
        <stp/>
        <stp>BDH|13674267587715926474</stp>
        <tr r="AC22" s="2"/>
      </tp>
      <tp t="s">
        <v>#N/A N/A</v>
        <stp/>
        <stp>BDH|15784857639890353603</stp>
        <tr r="K55" s="2"/>
      </tp>
      <tp t="s">
        <v>#N/A N/A</v>
        <stp/>
        <stp>BDH|14463760634099748192</stp>
        <tr r="O53" s="2"/>
      </tp>
      <tp t="s">
        <v>#N/A N/A</v>
        <stp/>
        <stp>BDH|11286455293455738196</stp>
        <tr r="AF49" s="2"/>
      </tp>
      <tp t="s">
        <v>#N/A N/A</v>
        <stp/>
        <stp>BDH|16356479711529658299</stp>
        <tr r="V53" s="2"/>
      </tp>
      <tp t="s">
        <v>#N/A N/A</v>
        <stp/>
        <stp>BDH|17394470296944796689</stp>
        <tr r="N19" s="2"/>
      </tp>
      <tp t="s">
        <v>#N/A N/A</v>
        <stp/>
        <stp>BDH|13099439412277837959</stp>
        <tr r="H28" s="2"/>
      </tp>
      <tp t="s">
        <v>#N/A N/A</v>
        <stp/>
        <stp>BDH|14647782934590710828</stp>
        <tr r="N42" s="2"/>
      </tp>
      <tp t="s">
        <v>#N/A N/A</v>
        <stp/>
        <stp>BDH|17833930901852538401</stp>
        <tr r="N53" s="2"/>
      </tp>
      <tp t="s">
        <v>#N/A N/A</v>
        <stp/>
        <stp>BDH|12251417290097876045</stp>
        <tr r="AA15" s="2"/>
      </tp>
      <tp t="s">
        <v>#N/A N/A</v>
        <stp/>
        <stp>BDH|16922156001856747942</stp>
        <tr r="V23" s="2"/>
      </tp>
      <tp t="s">
        <v>#N/A N/A</v>
        <stp/>
        <stp>BDH|15644408695100601141</stp>
        <tr r="P60" s="2"/>
      </tp>
      <tp t="s">
        <v>#N/A N/A</v>
        <stp/>
        <stp>BDH|10978167893147558686</stp>
        <tr r="M42" s="2"/>
      </tp>
      <tp t="s">
        <v>#N/A N/A</v>
        <stp/>
        <stp>BDH|12483294443819605490</stp>
        <tr r="AF27" s="2"/>
      </tp>
      <tp t="s">
        <v>#N/A N/A</v>
        <stp/>
        <stp>BDH|15454789073119951552</stp>
        <tr r="V60" s="2"/>
      </tp>
      <tp t="s">
        <v>#N/A N/A</v>
        <stp/>
        <stp>BDH|12266862721211087061</stp>
        <tr r="AF42" s="2"/>
      </tp>
      <tp t="s">
        <v>#N/A N/A</v>
        <stp/>
        <stp>BDH|16740877665541637008</stp>
        <tr r="X51" s="2"/>
      </tp>
      <tp t="s">
        <v>#N/A N/A</v>
        <stp/>
        <stp>BDH|10560213052358404609</stp>
        <tr r="Q29" s="2"/>
      </tp>
      <tp t="s">
        <v>#N/A N/A</v>
        <stp/>
        <stp>BDH|17184485033561186897</stp>
        <tr r="O27" s="2"/>
      </tp>
      <tp t="s">
        <v>#N/A N/A</v>
        <stp/>
        <stp>BDH|14424201780833322423</stp>
        <tr r="I25" s="2"/>
      </tp>
      <tp t="s">
        <v>#N/A N/A</v>
        <stp/>
        <stp>BDH|14341436087645604441</stp>
        <tr r="Q65" s="2"/>
      </tp>
      <tp t="s">
        <v>#N/A N/A</v>
        <stp/>
        <stp>BDH|13696352262598471711</stp>
        <tr r="N34" s="2"/>
      </tp>
      <tp t="s">
        <v>#N/A N/A</v>
        <stp/>
        <stp>BDH|14078799089222649026</stp>
        <tr r="P66" s="2"/>
      </tp>
      <tp t="s">
        <v>#N/A N/A</v>
        <stp/>
        <stp>BDH|12388386598500003177</stp>
        <tr r="AB66" s="2"/>
      </tp>
      <tp t="s">
        <v>#N/A N/A</v>
        <stp/>
        <stp>BDH|17237822894846784972</stp>
        <tr r="J19" s="2"/>
      </tp>
      <tp t="s">
        <v>#N/A N/A</v>
        <stp/>
        <stp>BDH|15496736321348407168</stp>
        <tr r="P29" s="2"/>
      </tp>
      <tp t="s">
        <v>#N/A N/A</v>
        <stp/>
        <stp>BDH|11929915447907167293</stp>
        <tr r="R22" s="2"/>
      </tp>
      <tp t="s">
        <v>#N/A N/A</v>
        <stp/>
        <stp>BDH|17404052679759756089</stp>
        <tr r="N27" s="2"/>
      </tp>
      <tp t="s">
        <v>#N/A N/A</v>
        <stp/>
        <stp>BDH|17020971760875833480</stp>
        <tr r="C60" s="2"/>
      </tp>
      <tp t="s">
        <v>#N/A N/A</v>
        <stp/>
        <stp>BDH|15169303100756255944</stp>
        <tr r="X30" s="2"/>
      </tp>
      <tp t="s">
        <v>#N/A N/A</v>
        <stp/>
        <stp>BDH|15477252742519301362</stp>
        <tr r="P25" s="2"/>
      </tp>
      <tp t="s">
        <v>#N/A N/A</v>
        <stp/>
        <stp>BDH|11020131393042054267</stp>
        <tr r="K36" s="2"/>
      </tp>
      <tp t="s">
        <v>#N/A N/A</v>
        <stp/>
        <stp>BDH|16050202634387508970</stp>
        <tr r="H42" s="2"/>
      </tp>
      <tp t="s">
        <v>#N/A N/A</v>
        <stp/>
        <stp>BDH|17843948837247073325</stp>
        <tr r="J60" s="2"/>
      </tp>
      <tp t="s">
        <v>#N/A N/A</v>
        <stp/>
        <stp>BDH|14171110109629711567</stp>
        <tr r="AA33" s="2"/>
      </tp>
      <tp t="s">
        <v>#N/A N/A</v>
        <stp/>
        <stp>BDH|14158235327415606884</stp>
        <tr r="AC55" s="2"/>
      </tp>
      <tp t="s">
        <v>#N/A N/A</v>
        <stp/>
        <stp>BDH|15148106690075804124</stp>
        <tr r="AB8" s="2"/>
      </tp>
      <tp t="s">
        <v>#N/A N/A</v>
        <stp/>
        <stp>BDH|11497149537512558888</stp>
        <tr r="W53" s="2"/>
      </tp>
      <tp t="s">
        <v>#N/A N/A</v>
        <stp/>
        <stp>BDH|16311440612373935966</stp>
        <tr r="E30" s="2"/>
      </tp>
      <tp t="s">
        <v>#N/A N/A</v>
        <stp/>
        <stp>BDH|18235877608641762802</stp>
        <tr r="S15" s="2"/>
      </tp>
      <tp t="s">
        <v>#N/A N/A</v>
        <stp/>
        <stp>BDH|15770184761352416970</stp>
        <tr r="F62" s="2"/>
      </tp>
      <tp t="s">
        <v>#N/A N/A</v>
        <stp/>
        <stp>BDH|15986829411730076570</stp>
        <tr r="K27" s="2"/>
      </tp>
      <tp t="s">
        <v>#N/A N/A</v>
        <stp/>
        <stp>BDH|17536499095901474204</stp>
        <tr r="AE32" s="2"/>
      </tp>
      <tp t="s">
        <v>#N/A N/A</v>
        <stp/>
        <stp>BDH|12585839812257160583</stp>
        <tr r="AB36" s="2"/>
      </tp>
      <tp t="s">
        <v>#N/A N/A</v>
        <stp/>
        <stp>BDH|17095125248482749912</stp>
        <tr r="AF50" s="2"/>
      </tp>
      <tp t="s">
        <v>#N/A N/A</v>
        <stp/>
        <stp>BDH|16727368592630669596</stp>
        <tr r="AD60" s="2"/>
      </tp>
      <tp t="s">
        <v>#N/A N/A</v>
        <stp/>
        <stp>BDH|17119389773699317361</stp>
        <tr r="Z19" s="2"/>
      </tp>
      <tp t="s">
        <v>#N/A N/A</v>
        <stp/>
        <stp>BDH|14295413881035456486</stp>
        <tr r="AB14" s="2"/>
      </tp>
      <tp t="s">
        <v>#N/A N/A</v>
        <stp/>
        <stp>BDH|16313858124620925553</stp>
        <tr r="U11" s="2"/>
      </tp>
      <tp t="s">
        <v>#N/A N/A</v>
        <stp/>
        <stp>BDH|11636022983497895718</stp>
        <tr r="G25" s="2"/>
      </tp>
      <tp t="s">
        <v>#N/A N/A</v>
        <stp/>
        <stp>BDH|13911938517325947057</stp>
        <tr r="H35" s="2"/>
      </tp>
      <tp t="s">
        <v>#N/A N/A</v>
        <stp/>
        <stp>BDH|14688111853467234977</stp>
        <tr r="Q8" s="2"/>
      </tp>
      <tp t="s">
        <v>#N/A N/A</v>
        <stp/>
        <stp>BDH|10695995274988209886</stp>
        <tr r="I22" s="2"/>
      </tp>
      <tp t="s">
        <v>#N/A N/A</v>
        <stp/>
        <stp>BDH|18282141597028843688</stp>
        <tr r="S32" s="2"/>
      </tp>
      <tp t="s">
        <v>#N/A N/A</v>
        <stp/>
        <stp>BDH|18255064828374475081</stp>
        <tr r="F47" s="2"/>
      </tp>
      <tp t="s">
        <v>#N/A N/A</v>
        <stp/>
        <stp>BDH|16963525775563495985</stp>
        <tr r="Y64" s="2"/>
      </tp>
      <tp t="s">
        <v>#N/A N/A</v>
        <stp/>
        <stp>BDH|14631906656556479064</stp>
        <tr r="T33" s="2"/>
      </tp>
      <tp t="s">
        <v>#N/A N/A</v>
        <stp/>
        <stp>BDH|12559901966232318123</stp>
        <tr r="H14" s="2"/>
      </tp>
      <tp t="s">
        <v>#N/A N/A</v>
        <stp/>
        <stp>BDH|11226239805199623477</stp>
        <tr r="AD63" s="2"/>
      </tp>
      <tp t="s">
        <v>#N/A N/A</v>
        <stp/>
        <stp>BDH|10761631387325167577</stp>
        <tr r="AD51" s="2"/>
      </tp>
      <tp t="s">
        <v>#N/A N/A</v>
        <stp/>
        <stp>BDH|15293155546778677632</stp>
        <tr r="W22" s="2"/>
      </tp>
      <tp t="s">
        <v>#N/A N/A</v>
        <stp/>
        <stp>BDH|14731874364644075004</stp>
        <tr r="M49" s="2"/>
      </tp>
      <tp t="s">
        <v>#N/A N/A</v>
        <stp/>
        <stp>BDH|14057031899056890569</stp>
        <tr r="Z11" s="2"/>
      </tp>
      <tp t="s">
        <v>#N/A N/A</v>
        <stp/>
        <stp>BDH|16577959171634064265</stp>
        <tr r="Z31" s="2"/>
      </tp>
      <tp t="s">
        <v>#N/A N/A</v>
        <stp/>
        <stp>BDH|16141522974252875889</stp>
        <tr r="D32" s="2"/>
      </tp>
      <tp t="s">
        <v>#N/A N/A</v>
        <stp/>
        <stp>BDH|15597116496077047451</stp>
        <tr r="Q48" s="2"/>
      </tp>
      <tp t="s">
        <v>#N/A N/A</v>
        <stp/>
        <stp>BDH|14431457191486328142</stp>
        <tr r="E38" s="2"/>
      </tp>
      <tp t="s">
        <v>#N/A N/A</v>
        <stp/>
        <stp>BDH|17481564372262342952</stp>
        <tr r="V14" s="2"/>
      </tp>
      <tp t="s">
        <v>#N/A N/A</v>
        <stp/>
        <stp>BDH|12189958608880222585</stp>
        <tr r="D13" s="2"/>
      </tp>
      <tp t="s">
        <v>#N/A N/A</v>
        <stp/>
        <stp>BDH|14732044023519098169</stp>
        <tr r="O23" s="2"/>
      </tp>
      <tp t="s">
        <v>#N/A N/A</v>
        <stp/>
        <stp>BDH|17962774495791464697</stp>
        <tr r="V26" s="2"/>
      </tp>
      <tp t="s">
        <v>#N/A N/A</v>
        <stp/>
        <stp>BDH|17322564635857899818</stp>
        <tr r="M50" s="2"/>
      </tp>
      <tp t="s">
        <v>#N/A N/A</v>
        <stp/>
        <stp>BDH|15980986939505696476</stp>
        <tr r="S11" s="2"/>
      </tp>
      <tp t="s">
        <v>#N/A N/A</v>
        <stp/>
        <stp>BDH|16962498056601643881</stp>
        <tr r="R60" s="2"/>
      </tp>
      <tp t="s">
        <v>#N/A N/A</v>
        <stp/>
        <stp>BDH|12749105756621926909</stp>
        <tr r="P11" s="2"/>
      </tp>
      <tp t="s">
        <v>#N/A N/A</v>
        <stp/>
        <stp>BDH|11633802524351930430</stp>
        <tr r="N65" s="2"/>
      </tp>
      <tp t="s">
        <v>#N/A N/A</v>
        <stp/>
        <stp>BDH|14227633529276595864</stp>
        <tr r="M8" s="2"/>
      </tp>
      <tp t="s">
        <v>#N/A N/A</v>
        <stp/>
        <stp>BDH|17864717478401886832</stp>
        <tr r="K59" s="2"/>
      </tp>
      <tp t="s">
        <v>#N/A N/A</v>
        <stp/>
        <stp>BDH|12943251678530654985</stp>
        <tr r="V48" s="2"/>
      </tp>
      <tp t="s">
        <v>#N/A N/A</v>
        <stp/>
        <stp>BDH|10528135394410785680</stp>
        <tr r="Q42" s="2"/>
      </tp>
      <tp t="s">
        <v>#N/A N/A</v>
        <stp/>
        <stp>BDH|13173847377777954567</stp>
        <tr r="AF14" s="2"/>
      </tp>
      <tp t="s">
        <v>#N/A N/A</v>
        <stp/>
        <stp>BDH|14016739846780137984</stp>
        <tr r="C38" s="2"/>
      </tp>
      <tp t="s">
        <v>#N/A N/A</v>
        <stp/>
        <stp>BDH|16288847302801969136</stp>
        <tr r="N43" s="2"/>
      </tp>
      <tp t="s">
        <v>#N/A N/A</v>
        <stp/>
        <stp>BDH|15195447405786124808</stp>
        <tr r="C53" s="2"/>
      </tp>
      <tp t="s">
        <v>#N/A N/A</v>
        <stp/>
        <stp>BDH|15992913043987938033</stp>
        <tr r="C19" s="2"/>
      </tp>
      <tp t="s">
        <v>#N/A N/A</v>
        <stp/>
        <stp>BDH|10516871665425635407</stp>
        <tr r="R26" s="2"/>
      </tp>
      <tp t="s">
        <v>#N/A N/A</v>
        <stp/>
        <stp>BDH|17196859413052796319</stp>
        <tr r="L34" s="2"/>
      </tp>
      <tp t="s">
        <v>#N/A N/A</v>
        <stp/>
        <stp>BDH|11253061193202130575</stp>
        <tr r="R38" s="2"/>
      </tp>
      <tp t="s">
        <v>#N/A N/A</v>
        <stp/>
        <stp>BDH|13488677943467261925</stp>
        <tr r="Z62" s="2"/>
      </tp>
      <tp t="s">
        <v>#N/A N/A</v>
        <stp/>
        <stp>BDH|13572328458373855978</stp>
        <tr r="O36" s="2"/>
      </tp>
      <tp t="s">
        <v>#N/A N/A</v>
        <stp/>
        <stp>BDH|17330329275488372440</stp>
        <tr r="Z61" s="2"/>
      </tp>
      <tp t="s">
        <v>#N/A N/A</v>
        <stp/>
        <stp>BDH|12286968261072734008</stp>
        <tr r="O25" s="2"/>
      </tp>
      <tp t="s">
        <v>#N/A N/A</v>
        <stp/>
        <stp>BDH|16602050380157349629</stp>
        <tr r="K7" s="2"/>
      </tp>
      <tp t="s">
        <v>#N/A N/A</v>
        <stp/>
        <stp>BDH|16826682425544161964</stp>
        <tr r="X50" s="2"/>
      </tp>
      <tp t="s">
        <v>#N/A N/A</v>
        <stp/>
        <stp>BDH|14646045354448022630</stp>
        <tr r="AA53" s="2"/>
      </tp>
      <tp t="s">
        <v>#N/A N/A</v>
        <stp/>
        <stp>BDH|12729466862789512626</stp>
        <tr r="W29" s="2"/>
      </tp>
      <tp t="s">
        <v>#N/A N/A</v>
        <stp/>
        <stp>BDH|12980600588004200743</stp>
        <tr r="M18" s="2"/>
      </tp>
      <tp t="s">
        <v>#N/A N/A</v>
        <stp/>
        <stp>BDH|12512854442391777029</stp>
        <tr r="AC9" s="2"/>
      </tp>
      <tp t="s">
        <v>#N/A N/A</v>
        <stp/>
        <stp>BDH|14726777780783545738</stp>
        <tr r="AA45" s="2"/>
      </tp>
      <tp t="s">
        <v>#N/A N/A</v>
        <stp/>
        <stp>BDH|13153157680816461360</stp>
        <tr r="D66" s="2"/>
      </tp>
      <tp t="s">
        <v>#N/A N/A</v>
        <stp/>
        <stp>BDH|16478035896566716602</stp>
        <tr r="I26" s="2"/>
      </tp>
      <tp t="s">
        <v>#N/A N/A</v>
        <stp/>
        <stp>BDH|12223853046337186697</stp>
        <tr r="T7" s="2"/>
      </tp>
      <tp t="s">
        <v>#N/A N/A</v>
        <stp/>
        <stp>BDH|15853118195972261055</stp>
        <tr r="J35" s="2"/>
      </tp>
      <tp t="s">
        <v>#N/A N/A</v>
        <stp/>
        <stp>BDH|12219743991761484293</stp>
        <tr r="R65" s="2"/>
      </tp>
      <tp t="s">
        <v>#N/A N/A</v>
        <stp/>
        <stp>BDH|14539339139372706924</stp>
        <tr r="J24" s="2"/>
      </tp>
      <tp t="s">
        <v>#N/A N/A</v>
        <stp/>
        <stp>BDH|15147523943273365892</stp>
        <tr r="AA50" s="2"/>
      </tp>
      <tp t="s">
        <v>#N/A N/A</v>
        <stp/>
        <stp>BDH|13952318893755860398</stp>
        <tr r="AB18" s="2"/>
      </tp>
      <tp t="s">
        <v>#N/A N/A</v>
        <stp/>
        <stp>BDH|13807822159169843866</stp>
        <tr r="D25" s="2"/>
      </tp>
      <tp t="s">
        <v>#N/A N/A</v>
        <stp/>
        <stp>BDH|13868122297355920195</stp>
        <tr r="J53" s="2"/>
      </tp>
      <tp t="s">
        <v>#N/A N/A</v>
        <stp/>
        <stp>BDH|14666537849518928283</stp>
        <tr r="AF30" s="2"/>
      </tp>
      <tp t="s">
        <v>#N/A N/A</v>
        <stp/>
        <stp>BDH|15313433703387815964</stp>
        <tr r="W18" s="2"/>
      </tp>
      <tp t="s">
        <v>#N/A N/A</v>
        <stp/>
        <stp>BDH|17929116205949068014</stp>
        <tr r="T48" s="2"/>
      </tp>
      <tp t="s">
        <v>#N/A N/A</v>
        <stp/>
        <stp>BDH|17970456777259677211</stp>
        <tr r="AC44" s="2"/>
      </tp>
      <tp t="s">
        <v>#N/A N/A</v>
        <stp/>
        <stp>BDH|10076307388484710031</stp>
        <tr r="AD17" s="2"/>
      </tp>
      <tp t="s">
        <v>#N/A N/A</v>
        <stp/>
        <stp>BDH|14890062231389706176</stp>
        <tr r="AC42" s="2"/>
      </tp>
      <tp t="s">
        <v>#N/A N/A</v>
        <stp/>
        <stp>BDH|10348974534271898476</stp>
        <tr r="H31" s="2"/>
      </tp>
      <tp t="s">
        <v>#N/A N/A</v>
        <stp/>
        <stp>BDH|18327804429145566813</stp>
        <tr r="S9" s="2"/>
      </tp>
      <tp t="s">
        <v>#N/A N/A</v>
        <stp/>
        <stp>BDH|11216817194974407821</stp>
        <tr r="I64" s="2"/>
      </tp>
      <tp t="s">
        <v>#N/A N/A</v>
        <stp/>
        <stp>BDH|16459124246329382628</stp>
        <tr r="M14" s="2"/>
      </tp>
      <tp t="s">
        <v>#N/A N/A</v>
        <stp/>
        <stp>BDH|14326347144739281613</stp>
        <tr r="O12" s="2"/>
      </tp>
      <tp t="s">
        <v>#N/A N/A</v>
        <stp/>
        <stp>BDH|17819384106349199170</stp>
        <tr r="N32" s="2"/>
      </tp>
      <tp t="s">
        <v>#N/A N/A</v>
        <stp/>
        <stp>BDH|15661011802680472916</stp>
        <tr r="Z37" s="2"/>
      </tp>
      <tp t="s">
        <v>#N/A N/A</v>
        <stp/>
        <stp>BDH|17590796374258943322</stp>
        <tr r="T17" s="2"/>
      </tp>
      <tp t="s">
        <v>#N/A N/A</v>
        <stp/>
        <stp>BDH|16668976323064898593</stp>
        <tr r="Q45" s="2"/>
      </tp>
      <tp t="s">
        <v>#N/A N/A</v>
        <stp/>
        <stp>BDH|13016647064729282611</stp>
        <tr r="O16" s="2"/>
      </tp>
      <tp t="s">
        <v>#N/A N/A</v>
        <stp/>
        <stp>BDH|14482831421331223377</stp>
        <tr r="Q25" s="2"/>
      </tp>
      <tp t="s">
        <v>#N/A N/A</v>
        <stp/>
        <stp>BDH|17147772594761105401</stp>
        <tr r="N29" s="2"/>
      </tp>
      <tp t="s">
        <v>#N/A N/A</v>
        <stp/>
        <stp>BDH|18251578542196766321</stp>
        <tr r="G49" s="2"/>
      </tp>
      <tp t="s">
        <v>#N/A N/A</v>
        <stp/>
        <stp>BDH|16064366597161702148</stp>
        <tr r="W23" s="2"/>
      </tp>
      <tp t="s">
        <v>#N/A N/A</v>
        <stp/>
        <stp>BDH|17104569603496418820</stp>
        <tr r="K18" s="2"/>
      </tp>
      <tp t="s">
        <v>#N/A N/A</v>
        <stp/>
        <stp>BDH|10974107581530809522</stp>
        <tr r="F27" s="2"/>
      </tp>
      <tp t="s">
        <v>#N/A N/A</v>
        <stp/>
        <stp>BDH|14757804946766592268</stp>
        <tr r="P48" s="2"/>
      </tp>
      <tp t="s">
        <v>#N/A N/A</v>
        <stp/>
        <stp>BDH|12767191386557823025</stp>
        <tr r="E53" s="2"/>
      </tp>
      <tp t="s">
        <v>#N/A N/A</v>
        <stp/>
        <stp>BDH|13010898312066607089</stp>
        <tr r="AA64" s="2"/>
      </tp>
      <tp t="s">
        <v>#N/A N/A</v>
        <stp/>
        <stp>BDH|10726485267359873757</stp>
        <tr r="AF28" s="2"/>
      </tp>
      <tp t="s">
        <v>#N/A N/A</v>
        <stp/>
        <stp>BDH|12195670396460122155</stp>
        <tr r="AF47" s="2"/>
      </tp>
      <tp t="s">
        <v>#N/A N/A</v>
        <stp/>
        <stp>BDH|13789747272706587908</stp>
        <tr r="F16" s="2"/>
      </tp>
      <tp t="s">
        <v>#N/A N/A</v>
        <stp/>
        <stp>BDH|11143253292361408767</stp>
        <tr r="Q47" s="2"/>
      </tp>
      <tp t="s">
        <v>#N/A N/A</v>
        <stp/>
        <stp>BDH|14701451621176545821</stp>
        <tr r="D29" s="2"/>
      </tp>
      <tp t="s">
        <v>#N/A N/A</v>
        <stp/>
        <stp>BDH|12464815013053741469</stp>
        <tr r="T11" s="2"/>
      </tp>
      <tp t="s">
        <v>#N/A N/A</v>
        <stp/>
        <stp>BDH|17638223244965272852</stp>
        <tr r="AD47" s="2"/>
      </tp>
      <tp t="s">
        <v>#N/A N/A</v>
        <stp/>
        <stp>BDH|18042560275782515417</stp>
        <tr r="P67" s="2"/>
      </tp>
      <tp t="s">
        <v>#N/A N/A</v>
        <stp/>
        <stp>BDH|17896986455917771054</stp>
        <tr r="G26" s="2"/>
      </tp>
      <tp t="s">
        <v>#N/A N/A</v>
        <stp/>
        <stp>BDH|17806255988535463478</stp>
        <tr r="AF7" s="2"/>
      </tp>
      <tp t="s">
        <v>#N/A N/A</v>
        <stp/>
        <stp>BDH|18374346891547635962</stp>
        <tr r="D38" s="2"/>
      </tp>
      <tp t="s">
        <v>#N/A N/A</v>
        <stp/>
        <stp>BDH|15290798931754774943</stp>
        <tr r="Q59" s="2"/>
      </tp>
      <tp t="s">
        <v>#N/A N/A</v>
        <stp/>
        <stp>BDH|11491911124251936706</stp>
        <tr r="AD9" s="2"/>
      </tp>
      <tp t="s">
        <v>#N/A N/A</v>
        <stp/>
        <stp>BDH|15397633327695878875</stp>
        <tr r="AA41" s="2"/>
      </tp>
      <tp t="s">
        <v>#N/A N/A</v>
        <stp/>
        <stp>BDH|12332199966440171955</stp>
        <tr r="G66" s="2"/>
      </tp>
      <tp t="s">
        <v>#N/A N/A</v>
        <stp/>
        <stp>BDH|16059114678044833894</stp>
        <tr r="C37" s="2"/>
      </tp>
      <tp t="s">
        <v>#N/A N/A</v>
        <stp/>
        <stp>BDH|11440730850186579991</stp>
        <tr r="L50" s="2"/>
      </tp>
      <tp t="s">
        <v>#N/A N/A</v>
        <stp/>
        <stp>BDH|10954234198634803316</stp>
        <tr r="AE44" s="2"/>
      </tp>
      <tp t="s">
        <v>#N/A N/A</v>
        <stp/>
        <stp>BDH|13742046079000797871</stp>
        <tr r="J43" s="2"/>
      </tp>
      <tp t="s">
        <v>#N/A N/A</v>
        <stp/>
        <stp>BDH|13032713206168933042</stp>
        <tr r="N49" s="2"/>
      </tp>
      <tp t="s">
        <v>#N/A N/A</v>
        <stp/>
        <stp>BDH|12988664554499534433</stp>
        <tr r="L23" s="2"/>
      </tp>
      <tp t="s">
        <v>#N/A N/A</v>
        <stp/>
        <stp>BDH|10720401194587905678</stp>
        <tr r="M46" s="2"/>
      </tp>
      <tp t="s">
        <v>#N/A N/A</v>
        <stp/>
        <stp>BDH|15442862398308616008</stp>
        <tr r="D46" s="2"/>
      </tp>
      <tp t="s">
        <v>#N/A N/A</v>
        <stp/>
        <stp>BDH|16880561841859145224</stp>
        <tr r="AD19" s="2"/>
      </tp>
      <tp t="s">
        <v>#N/A N/A</v>
        <stp/>
        <stp>BDH|16877326996032806285</stp>
        <tr r="U31" s="2"/>
      </tp>
      <tp t="s">
        <v>#N/A N/A</v>
        <stp/>
        <stp>BDH|17607917558705552261</stp>
        <tr r="AD27" s="2"/>
      </tp>
      <tp t="s">
        <v>#N/A N/A</v>
        <stp/>
        <stp>BDH|17301759832197985827</stp>
        <tr r="S44" s="2"/>
      </tp>
      <tp t="s">
        <v>#N/A N/A</v>
        <stp/>
        <stp>BDH|11392914730765963253</stp>
        <tr r="AC49" s="2"/>
      </tp>
      <tp t="s">
        <v>#N/A N/A</v>
        <stp/>
        <stp>BDH|17282994705305489746</stp>
        <tr r="AB67" s="2"/>
      </tp>
      <tp t="s">
        <v>#N/A N/A</v>
        <stp/>
        <stp>BDH|10807237533908056486</stp>
        <tr r="X37" s="2"/>
      </tp>
      <tp t="s">
        <v>#N/A N/A</v>
        <stp/>
        <stp>BDH|17799361615628267053</stp>
        <tr r="AA46" s="2"/>
      </tp>
      <tp t="s">
        <v>#N/A N/A</v>
        <stp/>
        <stp>BDH|10027414689762950328</stp>
        <tr r="P53" s="2"/>
      </tp>
      <tp t="s">
        <v>#N/A N/A</v>
        <stp/>
        <stp>BDH|17313943751273706527</stp>
        <tr r="N7" s="2"/>
      </tp>
      <tp t="s">
        <v>#N/A N/A</v>
        <stp/>
        <stp>BDH|11724122602558283572</stp>
        <tr r="AC33" s="2"/>
      </tp>
      <tp t="s">
        <v>#N/A N/A</v>
        <stp/>
        <stp>BDH|13478653061687279908</stp>
        <tr r="AA9" s="2"/>
      </tp>
      <tp t="s">
        <v>#N/A N/A</v>
        <stp/>
        <stp>BDH|18312084406473835673</stp>
        <tr r="G61" s="2"/>
      </tp>
      <tp t="s">
        <v>#N/A N/A</v>
        <stp/>
        <stp>BDH|12049553221088022064</stp>
        <tr r="AA47" s="2"/>
      </tp>
      <tp t="s">
        <v>#N/A N/A</v>
        <stp/>
        <stp>BDH|12170283387015575094</stp>
        <tr r="J47" s="2"/>
      </tp>
      <tp t="s">
        <v>#N/A N/A</v>
        <stp/>
        <stp>BDH|11426575292486162623</stp>
        <tr r="X9" s="2"/>
      </tp>
      <tp t="s">
        <v>#N/A N/A</v>
        <stp/>
        <stp>BDH|17987865557617801050</stp>
        <tr r="V17" s="2"/>
      </tp>
      <tp t="s">
        <v>#N/A N/A</v>
        <stp/>
        <stp>BDH|15809592083664464138</stp>
        <tr r="E47" s="2"/>
      </tp>
      <tp t="s">
        <v>#N/A N/A</v>
        <stp/>
        <stp>BDH|16528731280265696155</stp>
        <tr r="J18" s="2"/>
      </tp>
      <tp t="s">
        <v>#N/A N/A</v>
        <stp/>
        <stp>BDH|10556263162988590115</stp>
        <tr r="E64" s="2"/>
      </tp>
      <tp t="s">
        <v>#N/A N/A</v>
        <stp/>
        <stp>BDH|12346726367917356910</stp>
        <tr r="W9" s="2"/>
      </tp>
      <tp t="s">
        <v>#N/A N/A</v>
        <stp/>
        <stp>BDH|10206103176583938894</stp>
        <tr r="P8" s="2"/>
      </tp>
      <tp t="s">
        <v>#N/A N/A</v>
        <stp/>
        <stp>BDH|13868566771905164997</stp>
        <tr r="Z15" s="2"/>
      </tp>
      <tp t="s">
        <v>#N/A N/A</v>
        <stp/>
        <stp>BDH|14807388120590389840</stp>
        <tr r="Y36" s="2"/>
      </tp>
      <tp t="s">
        <v>#N/A N/A</v>
        <stp/>
        <stp>BDH|18129403829303628094</stp>
        <tr r="U12" s="2"/>
      </tp>
      <tp t="s">
        <v>#N/A N/A</v>
        <stp/>
        <stp>BDH|15570645515919107630</stp>
        <tr r="K25" s="2"/>
      </tp>
      <tp t="s">
        <v>#N/A N/A</v>
        <stp/>
        <stp>BDH|16866641219839717542</stp>
        <tr r="M10" s="2"/>
      </tp>
      <tp t="s">
        <v>#N/A N/A</v>
        <stp/>
        <stp>BDH|17855572082062649528</stp>
        <tr r="AC59" s="2"/>
      </tp>
      <tp t="s">
        <v>#N/A N/A</v>
        <stp/>
        <stp>BDH|15306960856317241386</stp>
        <tr r="W64" s="2"/>
      </tp>
      <tp t="s">
        <v>#N/A N/A</v>
        <stp/>
        <stp>BDH|14513711273559608095</stp>
        <tr r="P17" s="2"/>
      </tp>
      <tp t="s">
        <v>#N/A N/A</v>
        <stp/>
        <stp>BDH|11083800703695388182</stp>
        <tr r="I16" s="2"/>
      </tp>
      <tp t="s">
        <v>#N/A N/A</v>
        <stp/>
        <stp>BDH|11908017633197503858</stp>
        <tr r="U66" s="2"/>
      </tp>
      <tp t="s">
        <v>#N/A N/A</v>
        <stp/>
        <stp>BDH|11051418464468808664</stp>
        <tr r="D19" s="2"/>
      </tp>
      <tp t="s">
        <v>#N/A N/A</v>
        <stp/>
        <stp>BDH|15125740929535042874</stp>
        <tr r="D36" s="2"/>
      </tp>
      <tp t="s">
        <v>#N/A N/A</v>
        <stp/>
        <stp>BDH|11045706812449127393</stp>
        <tr r="T51" s="2"/>
      </tp>
      <tp t="s">
        <v>#N/A N/A</v>
        <stp/>
        <stp>BDH|15586174199547392725</stp>
        <tr r="O30" s="2"/>
      </tp>
      <tp t="s">
        <v>#N/A N/A</v>
        <stp/>
        <stp>BDH|16051967831175395497</stp>
        <tr r="K11" s="2"/>
      </tp>
      <tp t="s">
        <v>#N/A N/A</v>
        <stp/>
        <stp>BDH|15459787674910483810</stp>
        <tr r="AD35" s="2"/>
      </tp>
      <tp t="s">
        <v>#N/A N/A</v>
        <stp/>
        <stp>BDH|13374831918481474617</stp>
        <tr r="P7" s="2"/>
      </tp>
      <tp t="s">
        <v>#N/A N/A</v>
        <stp/>
        <stp>BDH|11261485999180761194</stp>
        <tr r="AC37" s="2"/>
      </tp>
      <tp t="s">
        <v>#N/A N/A</v>
        <stp/>
        <stp>BDH|11204387686962497542</stp>
        <tr r="W60" s="2"/>
      </tp>
      <tp t="s">
        <v>#N/A N/A</v>
        <stp/>
        <stp>BDH|11980441867387589909</stp>
        <tr r="P63" s="2"/>
      </tp>
      <tp t="s">
        <v>#N/A N/A</v>
        <stp/>
        <stp>BDH|13530390001914704957</stp>
        <tr r="F61" s="2"/>
      </tp>
      <tp t="s">
        <v>#N/A N/A</v>
        <stp/>
        <stp>BDH|18243591904617952797</stp>
        <tr r="X24" s="2"/>
      </tp>
      <tp t="s">
        <v>#N/A N/A</v>
        <stp/>
        <stp>BDH|12957799390573680290</stp>
        <tr r="M28" s="2"/>
      </tp>
      <tp t="s">
        <v>#N/A N/A</v>
        <stp/>
        <stp>BDH|15360682893116045174</stp>
        <tr r="S61" s="2"/>
      </tp>
      <tp t="s">
        <v>#N/A N/A</v>
        <stp/>
        <stp>BDH|13356086533499144474</stp>
        <tr r="Q9" s="2"/>
      </tp>
      <tp t="s">
        <v>#N/A N/A</v>
        <stp/>
        <stp>BDH|17187375994996149929</stp>
        <tr r="AE49" s="2"/>
      </tp>
      <tp t="s">
        <v>#N/A N/A</v>
        <stp/>
        <stp>BDH|12559833678618899778</stp>
        <tr r="F60" s="2"/>
      </tp>
      <tp t="s">
        <v>#N/A N/A</v>
        <stp/>
        <stp>BDH|13779191664883984526</stp>
        <tr r="AD61" s="2"/>
      </tp>
      <tp t="s">
        <v>#N/A N/A</v>
        <stp/>
        <stp>BDH|15971096491708495655</stp>
        <tr r="X35" s="2"/>
      </tp>
      <tp t="s">
        <v>#N/A N/A</v>
        <stp/>
        <stp>BDH|15639381315011861435</stp>
        <tr r="Q67" s="2"/>
      </tp>
      <tp t="s">
        <v>#N/A N/A</v>
        <stp/>
        <stp>BDH|15556067446451499218</stp>
        <tr r="AB34" s="2"/>
      </tp>
      <tp t="s">
        <v>#N/A N/A</v>
        <stp/>
        <stp>BDH|12126265760881548512</stp>
        <tr r="AA16" s="2"/>
      </tp>
      <tp t="s">
        <v>#N/A N/A</v>
        <stp/>
        <stp>BDH|13424747575235236442</stp>
        <tr r="Z23" s="2"/>
      </tp>
      <tp t="s">
        <v>#N/A N/A</v>
        <stp/>
        <stp>BDH|11700025316347704572</stp>
        <tr r="T60" s="2"/>
      </tp>
      <tp t="s">
        <v>#N/A N/A</v>
        <stp/>
        <stp>BDH|10326296018855619466</stp>
        <tr r="AF12" s="2"/>
      </tp>
      <tp t="s">
        <v>#N/A N/A</v>
        <stp/>
        <stp>BDH|15386461781523218847</stp>
        <tr r="P38" s="2"/>
      </tp>
      <tp t="s">
        <v>#N/A N/A</v>
        <stp/>
        <stp>BDH|16857266508486057042</stp>
        <tr r="G22" s="2"/>
      </tp>
      <tp t="s">
        <v>#N/A N/A</v>
        <stp/>
        <stp>BDH|12584218953653637431</stp>
        <tr r="F64" s="2"/>
      </tp>
      <tp t="s">
        <v>#N/A N/A</v>
        <stp/>
        <stp>BDH|11461503721632791671</stp>
        <tr r="T10" s="2"/>
      </tp>
      <tp t="s">
        <v>#N/A N/A</v>
        <stp/>
        <stp>BDH|13227830828799957258</stp>
        <tr r="K23" s="2"/>
      </tp>
      <tp t="s">
        <v>#N/A N/A</v>
        <stp/>
        <stp>BDH|13589534051098110932</stp>
        <tr r="L11" s="2"/>
      </tp>
      <tp t="s">
        <v>#N/A N/A</v>
        <stp/>
        <stp>BDH|13263026777295627342</stp>
        <tr r="AF35" s="2"/>
      </tp>
      <tp t="s">
        <v>#N/A N/A</v>
        <stp/>
        <stp>BDH|12315481216582850705</stp>
        <tr r="P46" s="2"/>
      </tp>
      <tp t="s">
        <v>#N/A N/A</v>
        <stp/>
        <stp>BDH|15616836668760820919</stp>
        <tr r="F33" s="2"/>
      </tp>
      <tp t="s">
        <v>#N/A N/A</v>
        <stp/>
        <stp>BDH|12624820961207552946</stp>
        <tr r="W19" s="2"/>
      </tp>
      <tp t="s">
        <v>#N/A N/A</v>
        <stp/>
        <stp>BDH|16370230552636317551</stp>
        <tr r="AD44" s="2"/>
      </tp>
      <tp t="s">
        <v>#N/A N/A</v>
        <stp/>
        <stp>BDH|16183258277646469735</stp>
        <tr r="D60" s="2"/>
      </tp>
      <tp t="s">
        <v>#N/A N/A</v>
        <stp/>
        <stp>BDH|14160158590049422776</stp>
        <tr r="H30" s="2"/>
      </tp>
      <tp t="s">
        <v>#N/A N/A</v>
        <stp/>
        <stp>BDH|15307958057962706919</stp>
        <tr r="T18" s="2"/>
      </tp>
      <tp t="s">
        <v>#N/A N/A</v>
        <stp/>
        <stp>BDH|12157012910809762818</stp>
        <tr r="AE17" s="2"/>
      </tp>
      <tp t="s">
        <v>#N/A N/A</v>
        <stp/>
        <stp>BDH|15907131378558407904</stp>
        <tr r="AD48" s="2"/>
      </tp>
      <tp t="s">
        <v>#N/A N/A</v>
        <stp/>
        <stp>BDH|17155883173352547891</stp>
        <tr r="AE48" s="2"/>
      </tp>
      <tp t="s">
        <v>#N/A N/A</v>
        <stp/>
        <stp>BDH|13586832098585409535</stp>
        <tr r="Q41" s="2"/>
      </tp>
      <tp t="s">
        <v>#N/A N/A</v>
        <stp/>
        <stp>BDH|13503101698630273963</stp>
        <tr r="Q44" s="2"/>
      </tp>
      <tp t="s">
        <v>#N/A N/A</v>
        <stp/>
        <stp>BDH|15140785215945097451</stp>
        <tr r="E8" s="2"/>
      </tp>
      <tp t="s">
        <v>#N/A N/A</v>
        <stp/>
        <stp>BDH|17925599640480153496</stp>
        <tr r="N28" s="2"/>
      </tp>
      <tp t="s">
        <v>#N/A N/A</v>
        <stp/>
        <stp>BDH|17672386303302118479</stp>
        <tr r="C49" s="2"/>
      </tp>
      <tp t="s">
        <v>#N/A N/A</v>
        <stp/>
        <stp>BDH|12818546149584932578</stp>
        <tr r="U30" s="2"/>
      </tp>
      <tp t="s">
        <v>#N/A N/A</v>
        <stp/>
        <stp>BDH|16158538228806813597</stp>
        <tr r="U18" s="2"/>
      </tp>
      <tp t="s">
        <v>#N/A N/A</v>
        <stp/>
        <stp>BDH|12614591735253421556</stp>
        <tr r="V33" s="2"/>
      </tp>
      <tp t="s">
        <v>#N/A N/A</v>
        <stp/>
        <stp>BDH|15407294241378718914</stp>
        <tr r="K17" s="2"/>
      </tp>
      <tp t="s">
        <v>#N/A N/A</v>
        <stp/>
        <stp>BDH|10256093246485358342</stp>
        <tr r="P64" s="2"/>
      </tp>
      <tp t="s">
        <v>#N/A N/A</v>
        <stp/>
        <stp>BDH|12759791713707409142</stp>
        <tr r="Y22" s="2"/>
      </tp>
      <tp t="s">
        <v>#N/A N/A</v>
        <stp/>
        <stp>BDH|18429883257045347240</stp>
        <tr r="I27" s="2"/>
      </tp>
      <tp t="s">
        <v>#N/A N/A</v>
        <stp/>
        <stp>BDH|18437929565113913651</stp>
        <tr r="T47" s="2"/>
      </tp>
      <tp t="s">
        <v>#N/A N/A</v>
        <stp/>
        <stp>BDH|16268538231242755087</stp>
        <tr r="R19" s="2"/>
      </tp>
      <tp t="s">
        <v>#N/A N/A</v>
        <stp/>
        <stp>BDH|11782984782176278409</stp>
        <tr r="AE28" s="2"/>
      </tp>
      <tp t="s">
        <v>#N/A N/A</v>
        <stp/>
        <stp>BDH|17048336854191832200</stp>
        <tr r="R55" s="2"/>
      </tp>
      <tp t="s">
        <v>#N/A N/A</v>
        <stp/>
        <stp>BDH|17350544723172856035</stp>
        <tr r="AD41" s="2"/>
      </tp>
      <tp t="s">
        <v>#N/A N/A</v>
        <stp/>
        <stp>BDH|12965382353597500193</stp>
        <tr r="X14" s="2"/>
      </tp>
      <tp t="s">
        <v>#N/A N/A</v>
        <stp/>
        <stp>BDH|11469206141924363077</stp>
        <tr r="AF13" s="2"/>
      </tp>
      <tp t="s">
        <v>#N/A N/A</v>
        <stp/>
        <stp>BDH|10101807660969748460</stp>
        <tr r="L42" s="2"/>
      </tp>
      <tp t="s">
        <v>#N/A N/A</v>
        <stp/>
        <stp>BDH|14933329407031522597</stp>
        <tr r="M51" s="2"/>
      </tp>
      <tp t="s">
        <v>#N/A N/A</v>
        <stp/>
        <stp>BDH|13170417316736481322</stp>
        <tr r="F17" s="2"/>
      </tp>
      <tp t="s">
        <v>#N/A N/A</v>
        <stp/>
        <stp>BDH|17458105117574687051</stp>
        <tr r="N9" s="2"/>
      </tp>
      <tp t="s">
        <v>#N/A N/A</v>
        <stp/>
        <stp>BDH|11329785962351166283</stp>
        <tr r="V16" s="2"/>
      </tp>
      <tp t="s">
        <v>#N/A N/A</v>
        <stp/>
        <stp>BDH|12247576776316302504</stp>
        <tr r="L38" s="2"/>
      </tp>
      <tp t="s">
        <v>#N/A N/A</v>
        <stp/>
        <stp>BDH|18377742151431646838</stp>
        <tr r="L25" s="2"/>
      </tp>
      <tp t="s">
        <v>#N/A N/A</v>
        <stp/>
        <stp>BDH|14485584938477251651</stp>
        <tr r="AC45" s="2"/>
      </tp>
      <tp t="s">
        <v>#N/A N/A</v>
        <stp/>
        <stp>BDH|12845307931739951831</stp>
        <tr r="I8" s="2"/>
      </tp>
      <tp t="s">
        <v>#N/A N/A</v>
        <stp/>
        <stp>BDH|15853695365084799210</stp>
        <tr r="AE24" s="2"/>
      </tp>
      <tp t="s">
        <v>#N/A N/A</v>
        <stp/>
        <stp>BDH|15555693510344661580</stp>
        <tr r="AC46" s="2"/>
      </tp>
      <tp t="s">
        <v>#N/A N/A</v>
        <stp/>
        <stp>BDH|16022767681222513806</stp>
        <tr r="T53" s="2"/>
      </tp>
      <tp t="s">
        <v>#N/A N/A</v>
        <stp/>
        <stp>BDH|11212233634072427137</stp>
        <tr r="L12" s="2"/>
      </tp>
      <tp t="s">
        <v>#N/A N/A</v>
        <stp/>
        <stp>BDH|13566338532882524230</stp>
        <tr r="P26" s="2"/>
      </tp>
      <tp t="s">
        <v>#N/A N/A</v>
        <stp/>
        <stp>BDH|18239357787883471310</stp>
        <tr r="L9" s="2"/>
      </tp>
      <tp t="s">
        <v>#N/A N/A</v>
        <stp/>
        <stp>BDH|12761349244797451167</stp>
        <tr r="E45" s="2"/>
      </tp>
      <tp t="s">
        <v>#N/A N/A</v>
        <stp/>
        <stp>BDH|16461112006137508338</stp>
        <tr r="R29" s="2"/>
      </tp>
      <tp t="s">
        <v>#N/A N/A</v>
        <stp/>
        <stp>BDH|17778565418949472989</stp>
        <tr r="U67" s="2"/>
      </tp>
      <tp t="s">
        <v>#N/A N/A</v>
        <stp/>
        <stp>BDH|12657223754347625125</stp>
        <tr r="X27" s="2"/>
      </tp>
      <tp t="s">
        <v>#N/A N/A</v>
        <stp/>
        <stp>BDH|15022779503525309405</stp>
        <tr r="G55" s="2"/>
      </tp>
      <tp t="s">
        <v>#N/A N/A</v>
        <stp/>
        <stp>BDH|15752105202613386415</stp>
        <tr r="P36" s="2"/>
      </tp>
      <tp t="s">
        <v>#N/A N/A</v>
        <stp/>
        <stp>BDH|13776248601433005154</stp>
        <tr r="L65" s="2"/>
      </tp>
      <tp t="s">
        <v>#N/A N/A</v>
        <stp/>
        <stp>BDH|17508341917477149101</stp>
        <tr r="U34" s="2"/>
      </tp>
      <tp t="s">
        <v>#N/A N/A</v>
        <stp/>
        <stp>BDH|13556239484972484805</stp>
        <tr r="C45" s="2"/>
      </tp>
      <tp t="s">
        <v>#N/A N/A</v>
        <stp/>
        <stp>BDH|14606071418857877176</stp>
        <tr r="AA28" s="2"/>
      </tp>
      <tp t="s">
        <v>#N/A N/A</v>
        <stp/>
        <stp>BDH|15947232901121919548</stp>
        <tr r="J28" s="2"/>
      </tp>
      <tp t="s">
        <v>#N/A N/A</v>
        <stp/>
        <stp>BDH|17902779229551937083</stp>
        <tr r="H22" s="2"/>
      </tp>
      <tp t="s">
        <v>#N/A N/A</v>
        <stp/>
        <stp>BDH|14024581925944754437</stp>
        <tr r="F10" s="2"/>
      </tp>
      <tp t="s">
        <v>#N/A N/A</v>
        <stp/>
        <stp>BDH|11057074183139429397</stp>
        <tr r="AB17" s="2"/>
      </tp>
      <tp t="s">
        <v>#N/A N/A</v>
        <stp/>
        <stp>BDH|17149426170697307089</stp>
        <tr r="I32" s="2"/>
      </tp>
      <tp t="s">
        <v>#N/A N/A</v>
        <stp/>
        <stp>BDH|16028826658311532974</stp>
        <tr r="K37" s="2"/>
      </tp>
      <tp t="s">
        <v>#N/A N/A</v>
        <stp/>
        <stp>BDH|10886375508873498384</stp>
        <tr r="W31" s="2"/>
      </tp>
      <tp t="s">
        <v>#N/A N/A</v>
        <stp/>
        <stp>BDH|14952809552079946397</stp>
        <tr r="X55" s="2"/>
      </tp>
      <tp t="s">
        <v>#N/A N/A</v>
        <stp/>
        <stp>BDH|14480355189288159433</stp>
        <tr r="F23" s="2"/>
      </tp>
      <tp t="s">
        <v>#N/A N/A</v>
        <stp/>
        <stp>BDH|14301979656679122295</stp>
        <tr r="Y53" s="2"/>
      </tp>
      <tp t="s">
        <v>#N/A N/A</v>
        <stp/>
        <stp>BDH|17460726898598696222</stp>
        <tr r="O42" s="2"/>
      </tp>
      <tp t="s">
        <v>#N/A N/A</v>
        <stp/>
        <stp>BDH|16973948808069977510</stp>
        <tr r="X53" s="2"/>
      </tp>
      <tp t="s">
        <v>#N/A N/A</v>
        <stp/>
        <stp>BDH|10718812819263349914</stp>
        <tr r="C46" s="2"/>
      </tp>
      <tp t="s">
        <v>#N/A N/A</v>
        <stp/>
        <stp>BDH|12877717031177508200</stp>
        <tr r="AF16" s="2"/>
      </tp>
      <tp t="s">
        <v>#N/A N/A</v>
        <stp/>
        <stp>BDH|12773290796993644920</stp>
        <tr r="Q37" s="2"/>
      </tp>
      <tp t="s">
        <v>#N/A N/A</v>
        <stp/>
        <stp>BDH|14923482311265490784</stp>
        <tr r="M47" s="2"/>
      </tp>
      <tp t="s">
        <v>#N/A N/A</v>
        <stp/>
        <stp>BDH|11166126263677980250</stp>
        <tr r="AE9" s="2"/>
      </tp>
      <tp t="s">
        <v>#N/A N/A</v>
        <stp/>
        <stp>BDH|11724457587026149882</stp>
        <tr r="T45" s="2"/>
      </tp>
      <tp t="s">
        <v>#N/A N/A</v>
        <stp/>
        <stp>BDH|16465033360101849232</stp>
        <tr r="P14" s="2"/>
      </tp>
      <tp t="s">
        <v>#N/A N/A</v>
        <stp/>
        <stp>BDH|16856404050454706034</stp>
        <tr r="AB41" s="2"/>
      </tp>
      <tp t="s">
        <v>#N/A N/A</v>
        <stp/>
        <stp>BDH|17311399472735334543</stp>
        <tr r="AA11" s="2"/>
      </tp>
      <tp t="s">
        <v>#N/A N/A</v>
        <stp/>
        <stp>BDH|17575657133777946656</stp>
        <tr r="Y9" s="2"/>
      </tp>
      <tp t="s">
        <v>#N/A N/A</v>
        <stp/>
        <stp>BDH|13635424828684247208</stp>
        <tr r="P42" s="2"/>
      </tp>
      <tp t="s">
        <v>#N/A N/A</v>
        <stp/>
        <stp>BDH|11606561851957984562</stp>
        <tr r="AA31" s="2"/>
      </tp>
      <tp t="s">
        <v>#N/A N/A</v>
        <stp/>
        <stp>BDH|16978489673851840745</stp>
        <tr r="AC65" s="2"/>
      </tp>
      <tp t="s">
        <v>#N/A N/A</v>
        <stp/>
        <stp>BDH|13505687925573012490</stp>
        <tr r="F14" s="2"/>
      </tp>
      <tp t="s">
        <v>#N/A N/A</v>
        <stp/>
        <stp>BDH|13526794578577261476</stp>
        <tr r="F7" s="2"/>
      </tp>
      <tp t="s">
        <v>#N/A N/A</v>
        <stp/>
        <stp>BDH|14562435735344636742</stp>
        <tr r="E62" s="2"/>
      </tp>
      <tp t="s">
        <v>#N/A N/A</v>
        <stp/>
        <stp>BDH|15125338825850539436</stp>
        <tr r="E27" s="2"/>
      </tp>
      <tp t="s">
        <v>#N/A N/A</v>
        <stp/>
        <stp>BDH|17156596865230833458</stp>
        <tr r="E13" s="2"/>
      </tp>
      <tp t="s">
        <v>#N/A N/A</v>
        <stp/>
        <stp>BDH|11274943260097474929</stp>
        <tr r="O35" s="2"/>
      </tp>
      <tp t="s">
        <v>#N/A N/A</v>
        <stp/>
        <stp>BDH|10777375367381594421</stp>
        <tr r="AE11" s="2"/>
      </tp>
      <tp t="s">
        <v>#N/A N/A</v>
        <stp/>
        <stp>BDH|14684729134938891889</stp>
        <tr r="K43" s="2"/>
      </tp>
      <tp t="s">
        <v>#N/A N/A</v>
        <stp/>
        <stp>BDH|17005945579811502881</stp>
        <tr r="AB33" s="2"/>
      </tp>
      <tp t="s">
        <v>#N/A N/A</v>
        <stp/>
        <stp>BDH|11666193129613309151</stp>
        <tr r="K65" s="2"/>
      </tp>
      <tp t="s">
        <v>#N/A N/A</v>
        <stp/>
        <stp>BDH|11568355007454519620</stp>
        <tr r="C55" s="2"/>
      </tp>
      <tp t="s">
        <v>#N/A N/A</v>
        <stp/>
        <stp>BDH|10125055800284284468</stp>
        <tr r="M43" s="2"/>
      </tp>
      <tp t="s">
        <v>#N/A N/A</v>
        <stp/>
        <stp>BDH|18237820531787466456</stp>
        <tr r="W38" s="2"/>
      </tp>
      <tp t="s">
        <v>#N/A N/A</v>
        <stp/>
        <stp>BDH|18262729984187456032</stp>
        <tr r="F18" s="2"/>
      </tp>
      <tp t="s">
        <v>#N/A N/A</v>
        <stp/>
        <stp>BDH|11113348663067040352</stp>
        <tr r="R45" s="2"/>
      </tp>
      <tp t="s">
        <v>#N/A N/A</v>
        <stp/>
        <stp>BDH|13929773068363603130</stp>
        <tr r="J63" s="2"/>
      </tp>
      <tp t="s">
        <v>#N/A N/A</v>
        <stp/>
        <stp>BDH|16497869897190225741</stp>
        <tr r="X63" s="2"/>
      </tp>
      <tp t="s">
        <v>#N/A N/A</v>
        <stp/>
        <stp>BDH|12306853584267635575</stp>
        <tr r="T67" s="2"/>
      </tp>
      <tp t="s">
        <v>#N/A N/A</v>
        <stp/>
        <stp>BDH|14294303266045048478</stp>
        <tr r="L53" s="2"/>
      </tp>
      <tp t="s">
        <v>#N/A N/A</v>
        <stp/>
        <stp>BDH|10078836315190261970</stp>
        <tr r="N8" s="2"/>
      </tp>
      <tp t="s">
        <v>#N/A N/A</v>
        <stp/>
        <stp>BDH|13593080956991811704</stp>
        <tr r="AD7" s="2"/>
      </tp>
      <tp t="s">
        <v>#N/A N/A</v>
        <stp/>
        <stp>BDH|11336244434510426058</stp>
        <tr r="K53" s="2"/>
      </tp>
      <tp t="s">
        <v>#N/A N/A</v>
        <stp/>
        <stp>BDH|11329462757822268226</stp>
        <tr r="K28" s="2"/>
      </tp>
      <tp t="s">
        <v>#N/A N/A</v>
        <stp/>
        <stp>BDH|12508753085775241853</stp>
        <tr r="H8" s="2"/>
      </tp>
      <tp t="s">
        <v>#N/A N/A</v>
        <stp/>
        <stp>BDH|16921067724801091596</stp>
        <tr r="AD18" s="2"/>
      </tp>
      <tp t="s">
        <v>#N/A N/A</v>
        <stp/>
        <stp>BDH|15103146565323347110</stp>
        <tr r="U59" s="2"/>
      </tp>
      <tp t="s">
        <v>#N/A N/A</v>
        <stp/>
        <stp>BDH|16948722040614032195</stp>
        <tr r="F22" s="2"/>
      </tp>
      <tp t="s">
        <v>#N/A N/A</v>
        <stp/>
        <stp>BDH|15722405808310867129</stp>
        <tr r="X36" s="2"/>
      </tp>
      <tp t="s">
        <v>#N/A N/A</v>
        <stp/>
        <stp>BDH|12434239443924664077</stp>
        <tr r="E25" s="2"/>
      </tp>
      <tp t="s">
        <v>#N/A N/A</v>
        <stp/>
        <stp>BDH|10106583378416415404</stp>
        <tr r="V15" s="2"/>
      </tp>
      <tp t="s">
        <v>#N/A N/A</v>
        <stp/>
        <stp>BDH|16184810522374099872</stp>
        <tr r="S19" s="2"/>
      </tp>
      <tp t="s">
        <v>#N/A N/A</v>
        <stp/>
        <stp>BDH|11498029725473738012</stp>
        <tr r="L17" s="2"/>
      </tp>
      <tp t="s">
        <v>#N/A N/A</v>
        <stp/>
        <stp>BDH|12329244280998563062</stp>
        <tr r="AC17" s="2"/>
      </tp>
      <tp t="s">
        <v>#N/A N/A</v>
        <stp/>
        <stp>BDH|12783170797823186923</stp>
        <tr r="J41" s="2"/>
      </tp>
      <tp t="s">
        <v>#N/A N/A</v>
        <stp/>
        <stp>BDH|17199325673277044440</stp>
        <tr r="AF53" s="2"/>
      </tp>
      <tp t="s">
        <v>#N/A N/A</v>
        <stp/>
        <stp>BDH|11125004152791393544</stp>
        <tr r="S37" s="2"/>
      </tp>
      <tp t="s">
        <v>#N/A N/A</v>
        <stp/>
        <stp>BDH|13442361461433597511</stp>
        <tr r="H66" s="2"/>
      </tp>
      <tp t="s">
        <v>#N/A N/A</v>
        <stp/>
        <stp>BDH|13821588134567382209</stp>
        <tr r="AB31" s="2"/>
      </tp>
      <tp t="s">
        <v>#N/A N/A</v>
        <stp/>
        <stp>BDH|11927187007255469556</stp>
        <tr r="G59" s="2"/>
      </tp>
      <tp t="s">
        <v>#N/A N/A</v>
        <stp/>
        <stp>BDH|10303068454915415024</stp>
        <tr r="O31" s="2"/>
      </tp>
      <tp t="s">
        <v>#N/A N/A</v>
        <stp/>
        <stp>BDH|17159169451792224126</stp>
        <tr r="I45" s="2"/>
      </tp>
      <tp t="s">
        <v>#N/A N/A</v>
        <stp/>
        <stp>BDH|13607639886094705926</stp>
        <tr r="AA30" s="2"/>
      </tp>
      <tp t="s">
        <v>#N/A N/A</v>
        <stp/>
        <stp>BDH|12017259700859658958</stp>
        <tr r="X22" s="2"/>
      </tp>
      <tp t="s">
        <v>#N/A N/A</v>
        <stp/>
        <stp>BDH|17404575405596388434</stp>
        <tr r="F13" s="2"/>
      </tp>
      <tp t="s">
        <v>#N/A N/A</v>
        <stp/>
        <stp>BDH|16055311650384103464</stp>
        <tr r="AF18" s="2"/>
      </tp>
      <tp t="s">
        <v>#N/A N/A</v>
        <stp/>
        <stp>BDH|13813393922616966430</stp>
        <tr r="AB42" s="2"/>
      </tp>
      <tp t="s">
        <v>#N/A N/A</v>
        <stp/>
        <stp>BDH|12085549174266824614</stp>
        <tr r="AF33" s="2"/>
      </tp>
      <tp t="s">
        <v>#N/A N/A</v>
        <stp/>
        <stp>BDH|15919155715657915281</stp>
        <tr r="H45" s="2"/>
      </tp>
      <tp t="s">
        <v>#N/A N/A</v>
        <stp/>
        <stp>BDH|13207386994841662809</stp>
        <tr r="Q35" s="2"/>
      </tp>
      <tp t="s">
        <v>#N/A N/A</v>
        <stp/>
        <stp>BDH|12023998690567225504</stp>
        <tr r="L27" s="2"/>
      </tp>
      <tp t="s">
        <v>#N/A N/A</v>
        <stp/>
        <stp>BDH|10906421520214919293</stp>
        <tr r="Y66" s="2"/>
      </tp>
      <tp t="s">
        <v>#N/A N/A</v>
        <stp/>
        <stp>BDH|11236327308674117623</stp>
        <tr r="R31" s="2"/>
      </tp>
      <tp t="s">
        <v>#N/A N/A</v>
        <stp/>
        <stp>BDH|15926451607837444654</stp>
        <tr r="G32" s="2"/>
      </tp>
      <tp t="s">
        <v>#N/A N/A</v>
        <stp/>
        <stp>BDH|11130595374827292445</stp>
        <tr r="F24" s="2"/>
      </tp>
      <tp t="s">
        <v>#N/A N/A</v>
        <stp/>
        <stp>BDH|16949405325472991284</stp>
        <tr r="L10" s="2"/>
      </tp>
      <tp t="s">
        <v>#N/A N/A</v>
        <stp/>
        <stp>BDH|15112508628412616021</stp>
        <tr r="Q11" s="2"/>
      </tp>
      <tp t="s">
        <v>#N/A N/A</v>
        <stp/>
        <stp>BDH|10506101225022492198</stp>
        <tr r="AB29" s="2"/>
      </tp>
      <tp t="s">
        <v>#N/A N/A</v>
        <stp/>
        <stp>BDH|11502395343167796146</stp>
        <tr r="Y10" s="2"/>
      </tp>
      <tp t="s">
        <v>#N/A N/A</v>
        <stp/>
        <stp>BDH|16228994677568295027</stp>
        <tr r="P51" s="2"/>
      </tp>
      <tp t="s">
        <v>#N/A N/A</v>
        <stp/>
        <stp>BDH|10431412824115915340</stp>
        <tr r="Z65" s="2"/>
      </tp>
      <tp t="s">
        <v>#N/A N/A</v>
        <stp/>
        <stp>BDH|12039534594628342684</stp>
        <tr r="U44" s="2"/>
      </tp>
      <tp t="s">
        <v>#N/A N/A</v>
        <stp/>
        <stp>BDH|18115395783716240556</stp>
        <tr r="X28" s="2"/>
      </tp>
      <tp t="s">
        <v>#N/A N/A</v>
        <stp/>
        <stp>BDH|13949671256937788734</stp>
        <tr r="N15" s="2"/>
      </tp>
      <tp t="s">
        <v>#N/A N/A</v>
        <stp/>
        <stp>BDH|17453124708073103537</stp>
        <tr r="AF65" s="2"/>
      </tp>
      <tp t="s">
        <v>#N/A N/A</v>
        <stp/>
        <stp>BDH|17192923690494426261</stp>
        <tr r="F48" s="2"/>
      </tp>
      <tp t="s">
        <v>#N/A N/A</v>
        <stp/>
        <stp>BDH|15085642378542494794</stp>
        <tr r="K48" s="2"/>
      </tp>
      <tp t="s">
        <v>#N/A N/A</v>
        <stp/>
        <stp>BDH|13415652311056554342</stp>
        <tr r="D15" s="2"/>
      </tp>
      <tp t="s">
        <v>#N/A N/A</v>
        <stp/>
        <stp>BDH|15072125383179330429</stp>
        <tr r="C22" s="2"/>
      </tp>
      <tp t="s">
        <v>#N/A N/A</v>
        <stp/>
        <stp>BDH|12968990136981452825</stp>
        <tr r="AE63" s="2"/>
      </tp>
      <tp t="s">
        <v>#N/A N/A</v>
        <stp/>
        <stp>BDH|13111587749631006203</stp>
        <tr r="AF11" s="2"/>
      </tp>
      <tp t="s">
        <v>#N/A N/A</v>
        <stp/>
        <stp>BDH|12087754663351466313</stp>
        <tr r="N30" s="2"/>
      </tp>
      <tp t="s">
        <v>#N/A N/A</v>
        <stp/>
        <stp>BDH|13718910301029061249</stp>
        <tr r="AF62" s="2"/>
      </tp>
      <tp t="s">
        <v>#N/A N/A</v>
        <stp/>
        <stp>BDH|10092977819391850854</stp>
        <tr r="H13" s="2"/>
      </tp>
      <tp t="s">
        <v>#N/A N/A</v>
        <stp/>
        <stp>BDH|15345646534450501156</stp>
        <tr r="J9" s="2"/>
      </tp>
      <tp t="s">
        <v>#N/A N/A</v>
        <stp/>
        <stp>BDH|15483865542049305112</stp>
        <tr r="F15" s="2"/>
      </tp>
      <tp t="s">
        <v>#N/A N/A</v>
        <stp/>
        <stp>BDH|12790832329609159091</stp>
        <tr r="K42" s="2"/>
      </tp>
      <tp t="s">
        <v>#N/A N/A</v>
        <stp/>
        <stp>BDH|16088981499142129553</stp>
        <tr r="J10" s="2"/>
      </tp>
      <tp t="s">
        <v>#N/A N/A</v>
        <stp/>
        <stp>BDH|15140778571643263704</stp>
        <tr r="J27" s="2"/>
      </tp>
      <tp t="s">
        <v>#N/A N/A</v>
        <stp/>
        <stp>BDH|13143375666886420114</stp>
        <tr r="R36" s="2"/>
      </tp>
      <tp t="s">
        <v>#N/A N/A</v>
        <stp/>
        <stp>BDH|15837081733157523030</stp>
        <tr r="H27" s="2"/>
      </tp>
      <tp t="s">
        <v>#N/A N/A</v>
        <stp/>
        <stp>BDH|14312232801747238061</stp>
        <tr r="U7" s="2"/>
      </tp>
      <tp t="s">
        <v>#N/A N/A</v>
        <stp/>
        <stp>BDH|11457384581598044399</stp>
        <tr r="J59" s="2"/>
      </tp>
      <tp t="s">
        <v>#N/A N/A</v>
        <stp/>
        <stp>BDH|16093763243377943383</stp>
        <tr r="Z48" s="2"/>
      </tp>
      <tp t="s">
        <v>#N/A N/A</v>
        <stp/>
        <stp>BDH|13410933592303989185</stp>
        <tr r="J30" s="2"/>
      </tp>
      <tp t="s">
        <v>#N/A N/A</v>
        <stp/>
        <stp>BDH|14674428185150578905</stp>
        <tr r="T12" s="2"/>
      </tp>
      <tp t="s">
        <v>#N/A N/A</v>
        <stp/>
        <stp>BDH|10125503015193404645</stp>
        <tr r="T64" s="2"/>
      </tp>
      <tp t="s">
        <v>#N/A N/A</v>
        <stp/>
        <stp>BDH|17018735246387735254</stp>
        <tr r="R18" s="2"/>
      </tp>
      <tp t="s">
        <v>#N/A N/A</v>
        <stp/>
        <stp>BDH|11605526224881030662</stp>
        <tr r="U10" s="2"/>
      </tp>
      <tp t="s">
        <v>#N/A N/A</v>
        <stp/>
        <stp>BDH|16637670301912009367</stp>
        <tr r="J29" s="2"/>
      </tp>
      <tp t="s">
        <v>#N/A N/A</v>
        <stp/>
        <stp>BDH|14747648064686269339</stp>
        <tr r="K45" s="2"/>
      </tp>
      <tp t="s">
        <v>#N/A N/A</v>
        <stp/>
        <stp>BDH|14516708215857011464</stp>
        <tr r="G17" s="2"/>
      </tp>
      <tp t="s">
        <v>#N/A N/A</v>
        <stp/>
        <stp>BDH|11043100561195942211</stp>
        <tr r="Z67" s="2"/>
      </tp>
      <tp t="s">
        <v>#N/A N/A</v>
        <stp/>
        <stp>BDH|11797934928192505914</stp>
        <tr r="P34" s="2"/>
      </tp>
      <tp t="s">
        <v>#N/A N/A</v>
        <stp/>
        <stp>BDH|13546834068249244546</stp>
        <tr r="J23" s="2"/>
      </tp>
      <tp t="s">
        <v>#N/A N/A</v>
        <stp/>
        <stp>BDH|12554350859760227535</stp>
        <tr r="W43" s="2"/>
      </tp>
      <tp t="s">
        <v>#N/A N/A</v>
        <stp/>
        <stp>BDH|18388496185615480019</stp>
        <tr r="O62" s="2"/>
      </tp>
      <tp t="s">
        <v>#N/A N/A</v>
        <stp/>
        <stp>BDH|16459175667053790390</stp>
        <tr r="D17" s="2"/>
      </tp>
      <tp t="s">
        <v>#N/A N/A</v>
        <stp/>
        <stp>BDH|16923054291557241954</stp>
        <tr r="H9" s="2"/>
      </tp>
      <tp t="s">
        <v>#N/A N/A</v>
        <stp/>
        <stp>BDH|11767344073214920032</stp>
        <tr r="T62" s="2"/>
      </tp>
      <tp t="s">
        <v>#N/A N/A</v>
        <stp/>
        <stp>BDH|12317179649064673218</stp>
        <tr r="AB60" s="2"/>
      </tp>
      <tp t="s">
        <v>#N/A N/A</v>
        <stp/>
        <stp>BDH|11185059865392504492</stp>
        <tr r="G60" s="2"/>
      </tp>
      <tp t="s">
        <v>#N/A N/A</v>
        <stp/>
        <stp>BDH|10785331701924844602</stp>
        <tr r="AC32" s="2"/>
      </tp>
      <tp t="s">
        <v>#N/A N/A</v>
        <stp/>
        <stp>BDH|12233410952276919449</stp>
        <tr r="G38" s="2"/>
      </tp>
      <tp t="s">
        <v>#N/A N/A</v>
        <stp/>
        <stp>BDH|16369366138163763455</stp>
        <tr r="U51" s="2"/>
      </tp>
      <tp t="s">
        <v>#N/A N/A</v>
        <stp/>
        <stp>BDH|12941028636787734759</stp>
        <tr r="M64" s="2"/>
      </tp>
      <tp t="s">
        <v>#N/A N/A</v>
        <stp/>
        <stp>BDH|18355126567836096894</stp>
        <tr r="T23" s="2"/>
      </tp>
      <tp t="s">
        <v>#N/A N/A</v>
        <stp/>
        <stp>BDH|15303438783270515885</stp>
        <tr r="H24" s="2"/>
      </tp>
      <tp t="s">
        <v>#N/A N/A</v>
        <stp/>
        <stp>BDH|12270594942264049678</stp>
        <tr r="AD36" s="2"/>
      </tp>
      <tp t="s">
        <v>#N/A N/A</v>
        <stp/>
        <stp>BDH|12842238118035079220</stp>
        <tr r="AD29" s="2"/>
      </tp>
      <tp t="s">
        <v>#N/A N/A</v>
        <stp/>
        <stp>BDH|15205726077810674300</stp>
        <tr r="W67" s="2"/>
      </tp>
      <tp t="s">
        <v>#N/A N/A</v>
        <stp/>
        <stp>BDH|15264980918208503365</stp>
        <tr r="X10" s="2"/>
      </tp>
      <tp t="s">
        <v>#N/A N/A</v>
        <stp/>
        <stp>BDH|16397723943654053738</stp>
        <tr r="E12" s="2"/>
      </tp>
      <tp t="s">
        <v>#N/A N/A</v>
        <stp/>
        <stp>BDH|17976546489475483905</stp>
        <tr r="AB32" s="2"/>
      </tp>
      <tp t="s">
        <v>#N/A N/A</v>
        <stp/>
        <stp>BDH|11320783466725586383</stp>
        <tr r="V27" s="2"/>
      </tp>
      <tp t="s">
        <v>#N/A N/A</v>
        <stp/>
        <stp>BDH|11624157136682340764</stp>
        <tr r="AD53" s="2"/>
      </tp>
      <tp t="s">
        <v>#N/A N/A</v>
        <stp/>
        <stp>BDH|11111485813251339392</stp>
        <tr r="Y37" s="2"/>
      </tp>
      <tp t="s">
        <v>#N/A N/A</v>
        <stp/>
        <stp>BDH|10098143766576032728</stp>
        <tr r="Q66" s="2"/>
      </tp>
      <tp t="s">
        <v>#N/A N/A</v>
        <stp/>
        <stp>BDH|10488216077126487558</stp>
        <tr r="C25" s="2"/>
      </tp>
      <tp t="s">
        <v>#N/A N/A</v>
        <stp/>
        <stp>BDH|17721680259837776539</stp>
        <tr r="AB11" s="2"/>
      </tp>
      <tp t="s">
        <v>#N/A N/A</v>
        <stp/>
        <stp>BDH|18022401278084506986</stp>
        <tr r="AC34" s="2"/>
      </tp>
      <tp t="s">
        <v>#N/A N/A</v>
        <stp/>
        <stp>BDH|11947574902786923413</stp>
        <tr r="AB23" s="2"/>
      </tp>
      <tp t="s">
        <v>#N/A N/A</v>
        <stp/>
        <stp>BDH|16840587375611610372</stp>
        <tr r="Y60" s="2"/>
      </tp>
      <tp t="s">
        <v>#N/A N/A</v>
        <stp/>
        <stp>BDH|12195320221601374463</stp>
        <tr r="AA19" s="2"/>
      </tp>
      <tp t="s">
        <v>#N/A N/A</v>
        <stp/>
        <stp>BDH|13640646437935025526</stp>
        <tr r="O45" s="2"/>
      </tp>
      <tp t="s">
        <v>#N/A N/A</v>
        <stp/>
        <stp>BDH|16948791261429674817</stp>
        <tr r="O32" s="2"/>
      </tp>
      <tp t="s">
        <v>#N/A N/A</v>
        <stp/>
        <stp>BDH|16928903595810388091</stp>
        <tr r="H64" s="2"/>
      </tp>
      <tp t="s">
        <v>#N/A N/A</v>
        <stp/>
        <stp>BDH|11695610335737996527</stp>
        <tr r="T16" s="2"/>
      </tp>
      <tp t="s">
        <v>#N/A N/A</v>
        <stp/>
        <stp>BDH|10422113382478948777</stp>
        <tr r="AD16" s="2"/>
      </tp>
      <tp t="s">
        <v>#N/A N/A</v>
        <stp/>
        <stp>BDH|12469785012344737605</stp>
        <tr r="U14" s="2"/>
      </tp>
      <tp t="s">
        <v>#N/A N/A</v>
        <stp/>
        <stp>BDH|10272728648890560545</stp>
        <tr r="N47" s="2"/>
      </tp>
      <tp t="s">
        <v>#N/A N/A</v>
        <stp/>
        <stp>BDH|10349607964901764787</stp>
        <tr r="AD37" s="2"/>
      </tp>
      <tp t="s">
        <v>#N/A N/A</v>
        <stp/>
        <stp>BDH|14333146313852842046</stp>
        <tr r="W51" s="2"/>
      </tp>
      <tp t="s">
        <v>#N/A N/A</v>
        <stp/>
        <stp>BDH|11373635809190563149</stp>
        <tr r="Z28" s="2"/>
      </tp>
      <tp t="s">
        <v>#N/A N/A</v>
        <stp/>
        <stp>BDH|15686514318847452030</stp>
        <tr r="M62" s="2"/>
      </tp>
      <tp t="s">
        <v>#N/A N/A</v>
        <stp/>
        <stp>BDH|17546104638457534439</stp>
        <tr r="M17" s="2"/>
      </tp>
      <tp t="s">
        <v>#N/A N/A</v>
        <stp/>
        <stp>BDH|12017133216261691585</stp>
        <tr r="O59" s="2"/>
      </tp>
      <tp t="s">
        <v>#N/A N/A</v>
        <stp/>
        <stp>BDH|11645769708575337510</stp>
        <tr r="AA38" s="2"/>
      </tp>
      <tp t="s">
        <v>#N/A N/A</v>
        <stp/>
        <stp>BDH|13356485396491392943</stp>
        <tr r="G36" s="2"/>
      </tp>
      <tp t="s">
        <v>#N/A N/A</v>
        <stp/>
        <stp>BDH|15185993987651787329</stp>
        <tr r="R47" s="2"/>
      </tp>
      <tp t="s">
        <v>#N/A N/A</v>
        <stp/>
        <stp>BDH|12006521608650144111</stp>
        <tr r="H16" s="2"/>
      </tp>
      <tp t="s">
        <v>#N/A N/A</v>
        <stp/>
        <stp>BDH|13065858069628489325</stp>
        <tr r="C62" s="2"/>
      </tp>
      <tp t="s">
        <v>#N/A N/A</v>
        <stp/>
        <stp>BDH|14964205533517818482</stp>
        <tr r="AB64" s="2"/>
      </tp>
      <tp t="s">
        <v>#N/A N/A</v>
        <stp/>
        <stp>BDH|17377200488919587230</stp>
        <tr r="N33" s="2"/>
      </tp>
      <tp t="s">
        <v>#N/A N/A</v>
        <stp/>
        <stp>BDH|11259789310574091575</stp>
        <tr r="M34" s="2"/>
      </tp>
      <tp t="s">
        <v>#N/A N/A</v>
        <stp/>
        <stp>BDH|11528115865960827050</stp>
        <tr r="AD67" s="2"/>
      </tp>
      <tp t="s">
        <v>#N/A N/A</v>
        <stp/>
        <stp>BDH|10277272219924103126</stp>
        <tr r="C9" s="2"/>
      </tp>
      <tp t="s">
        <v>#N/A N/A</v>
        <stp/>
        <stp>BDH|13522587730130485281</stp>
        <tr r="K32" s="2"/>
      </tp>
      <tp t="s">
        <v>#N/A N/A</v>
        <stp/>
        <stp>BDH|10691279503011359404</stp>
        <tr r="K24" s="2"/>
      </tp>
      <tp t="s">
        <v>#N/A N/A</v>
        <stp/>
        <stp>BDH|10108444910070041246</stp>
        <tr r="O9" s="2"/>
      </tp>
      <tp t="s">
        <v>#N/A N/A</v>
        <stp/>
        <stp>BDH|11109769492538512006</stp>
        <tr r="O38" s="2"/>
      </tp>
      <tp t="s">
        <v>#N/A N/A</v>
        <stp/>
        <stp>BDH|15230695705344762098</stp>
        <tr r="S41" s="2"/>
      </tp>
      <tp t="s">
        <v>#N/A N/A</v>
        <stp/>
        <stp>BDH|11427068810124401362</stp>
        <tr r="J51" s="2"/>
      </tp>
      <tp t="s">
        <v>#N/A N/A</v>
        <stp/>
        <stp>BDH|11813619090711891815</stp>
        <tr r="C17" s="2"/>
      </tp>
      <tp t="s">
        <v>#N/A N/A</v>
        <stp/>
        <stp>BDH|12677335040025149747</stp>
        <tr r="G47" s="2"/>
      </tp>
      <tp t="s">
        <v>#N/A N/A</v>
        <stp/>
        <stp>BDH|11673502609480935363</stp>
        <tr r="AA22" s="2"/>
      </tp>
      <tp t="s">
        <v>#N/A N/A</v>
        <stp/>
        <stp>BDH|17831864321323422988</stp>
        <tr r="D30" s="2"/>
      </tp>
      <tp t="s">
        <v>#N/A N/A</v>
        <stp/>
        <stp>BDH|12234467374616040031</stp>
        <tr r="D51" s="2"/>
      </tp>
      <tp t="s">
        <v>#N/A N/A</v>
        <stp/>
        <stp>BDH|12134734604991387360</stp>
        <tr r="X8" s="2"/>
      </tp>
      <tp t="s">
        <v>#N/A N/A</v>
        <stp/>
        <stp>BDH|16697878544025512828</stp>
        <tr r="AA24" s="2"/>
      </tp>
      <tp t="s">
        <v>#N/A N/A</v>
        <stp/>
        <stp>BDH|11278057991297173859</stp>
        <tr r="K44" s="2"/>
      </tp>
      <tp t="s">
        <v>#N/A N/A</v>
        <stp/>
        <stp>BDH|13645666916113745034</stp>
        <tr r="M53" s="2"/>
      </tp>
      <tp t="s">
        <v>#N/A N/A</v>
        <stp/>
        <stp>BDH|12427937295675083078</stp>
        <tr r="AA12" s="2"/>
      </tp>
      <tp t="s">
        <v>#N/A N/A</v>
        <stp/>
        <stp>BDH|14582564523032648638</stp>
        <tr r="Q22" s="2"/>
      </tp>
      <tp t="s">
        <v>#N/A N/A</v>
        <stp/>
        <stp>BDH|13136450926915368754</stp>
        <tr r="F67" s="2"/>
      </tp>
      <tp t="s">
        <v>#N/A N/A</v>
        <stp/>
        <stp>BDH|17530847782542351246</stp>
        <tr r="V8" s="2"/>
      </tp>
      <tp t="s">
        <v>#N/A N/A</v>
        <stp/>
        <stp>BDH|10576603371800059608</stp>
        <tr r="AE60" s="2"/>
      </tp>
      <tp t="s">
        <v>#N/A N/A</v>
        <stp/>
        <stp>BDH|16093265215194691614</stp>
        <tr r="AC12" s="2"/>
      </tp>
      <tp t="s">
        <v>#N/A N/A</v>
        <stp/>
        <stp>BDH|17395458321303248511</stp>
        <tr r="X41" s="2"/>
      </tp>
      <tp t="s">
        <v>#N/A N/A</v>
        <stp/>
        <stp>BDH|15151054905302291042</stp>
        <tr r="Q55" s="2"/>
      </tp>
      <tp t="s">
        <v>#N/A N/A</v>
        <stp/>
        <stp>BDH|15885022441150933651</stp>
        <tr r="AC29" s="2"/>
      </tp>
      <tp t="s">
        <v>#N/A N/A</v>
        <stp/>
        <stp>BDH|17649047436870737352</stp>
        <tr r="W46" s="2"/>
      </tp>
      <tp t="s">
        <v>#N/A N/A</v>
        <stp/>
        <stp>BDH|16035365114642556118</stp>
        <tr r="H29" s="2"/>
      </tp>
      <tp t="s">
        <v>#N/A N/A</v>
        <stp/>
        <stp>BDH|15796041883682358859</stp>
        <tr r="R24" s="2"/>
      </tp>
      <tp t="s">
        <v>#N/A N/A</v>
        <stp/>
        <stp>BDH|16044606380818118779</stp>
        <tr r="AA23" s="2"/>
      </tp>
      <tp t="s">
        <v>#N/A N/A</v>
        <stp/>
        <stp>BDH|16831429158913442306</stp>
        <tr r="AF59" s="2"/>
      </tp>
      <tp t="s">
        <v>#N/A N/A</v>
        <stp/>
        <stp>BDH|13362797806357153448</stp>
        <tr r="G8" s="2"/>
      </tp>
      <tp t="s">
        <v>#N/A N/A</v>
        <stp/>
        <stp>BDH|13979660624408310812</stp>
        <tr r="K16" s="2"/>
      </tp>
      <tp t="s">
        <v>#N/A N/A</v>
        <stp/>
        <stp>BDH|14900054896369549366</stp>
        <tr r="S33" s="2"/>
      </tp>
      <tp t="s">
        <v>#N/A N/A</v>
        <stp/>
        <stp>BDH|13568516948975051047</stp>
        <tr r="J16" s="2"/>
      </tp>
      <tp t="s">
        <v>#N/A N/A</v>
        <stp/>
        <stp>BDH|12988049720284192342</stp>
        <tr r="R44" s="2"/>
      </tp>
      <tp t="s">
        <v>#N/A N/A</v>
        <stp/>
        <stp>BDH|10209930537074864967</stp>
        <tr r="L7" s="2"/>
      </tp>
      <tp t="s">
        <v>#N/A N/A</v>
        <stp/>
        <stp>BDH|11182127437641882547</stp>
        <tr r="T65" s="2"/>
      </tp>
      <tp t="s">
        <v>#N/A N/A</v>
        <stp/>
        <stp>BDH|13317458204777824712</stp>
        <tr r="D35" s="2"/>
      </tp>
      <tp t="s">
        <v>#N/A N/A</v>
        <stp/>
        <stp>BDH|10378262245198330982</stp>
        <tr r="H11" s="2"/>
      </tp>
      <tp t="s">
        <v>#N/A N/A</v>
        <stp/>
        <stp>BDH|15950666712282328757</stp>
        <tr r="P55" s="2"/>
      </tp>
      <tp t="s">
        <v>#N/A N/A</v>
        <stp/>
        <stp>BDH|10744268158444112420</stp>
        <tr r="L43" s="2"/>
      </tp>
      <tp t="s">
        <v>#N/A N/A</v>
        <stp/>
        <stp>BDH|10902197958365025620</stp>
        <tr r="L37" s="2"/>
      </tp>
      <tp t="s">
        <v>#N/A N/A</v>
        <stp/>
        <stp>BDH|12362369119467206036</stp>
        <tr r="Q28" s="2"/>
      </tp>
      <tp t="s">
        <v>#N/A N/A</v>
        <stp/>
        <stp>BDH|17616309262155120096</stp>
        <tr r="AB48" s="2"/>
      </tp>
      <tp t="s">
        <v>#N/A N/A</v>
        <stp/>
        <stp>BDH|11660930112436212896</stp>
        <tr r="C11" s="2"/>
      </tp>
      <tp t="s">
        <v>#N/A N/A</v>
        <stp/>
        <stp>BDH|18044793894429194835</stp>
        <tr r="M22" s="2"/>
      </tp>
      <tp t="s">
        <v>#N/A N/A</v>
        <stp/>
        <stp>BDH|16828024352711198569</stp>
        <tr r="E11" s="2"/>
      </tp>
      <tp t="s">
        <v>#N/A N/A</v>
        <stp/>
        <stp>BDH|13637193160142649165</stp>
        <tr r="X62" s="2"/>
      </tp>
      <tp t="s">
        <v>#N/A N/A</v>
        <stp/>
        <stp>BDH|10494829584317578083</stp>
        <tr r="X25" s="2"/>
      </tp>
      <tp t="s">
        <v>#N/A N/A</v>
        <stp/>
        <stp>BDH|15909429459104535791</stp>
        <tr r="N31" s="2"/>
      </tp>
      <tp t="s">
        <v>#N/A N/A</v>
        <stp/>
        <stp>BDH|16822399327665079582</stp>
        <tr r="AA34" s="2"/>
      </tp>
      <tp t="s">
        <v>#N/A N/A</v>
        <stp/>
        <stp>BDH|12133157623236084091</stp>
        <tr r="Z34" s="2"/>
      </tp>
      <tp t="s">
        <v>#N/A N/A</v>
        <stp/>
        <stp>BDH|10348484542321734605</stp>
        <tr r="Y55" s="2"/>
      </tp>
      <tp t="s">
        <v>#N/A N/A</v>
        <stp/>
        <stp>BDH|10212332281407419859</stp>
        <tr r="AC18" s="2"/>
      </tp>
      <tp t="s">
        <v>#N/A N/A</v>
        <stp/>
        <stp>BDH|16095091527125939569</stp>
        <tr r="P23" s="2"/>
      </tp>
      <tp t="s">
        <v>#N/A N/A</v>
        <stp/>
        <stp>BDH|14958527547368466993</stp>
        <tr r="C8" s="2"/>
      </tp>
      <tp t="s">
        <v>#N/A N/A</v>
        <stp/>
        <stp>BDH|12896746670584987250</stp>
        <tr r="H12" s="2"/>
      </tp>
      <tp t="s">
        <v>#N/A N/A</v>
        <stp/>
        <stp>BDH|11136501250800196501</stp>
        <tr r="G31" s="2"/>
      </tp>
      <tp t="s">
        <v>#N/A N/A</v>
        <stp/>
        <stp>BDH|17557194420739466981</stp>
        <tr r="V46" s="2"/>
      </tp>
      <tp t="s">
        <v>#N/A N/A</v>
        <stp/>
        <stp>BDH|12328063865060203026</stp>
        <tr r="P37" s="2"/>
      </tp>
      <tp t="s">
        <v>#N/A N/A</v>
        <stp/>
        <stp>BDH|10916269711473926479</stp>
        <tr r="AE12" s="2"/>
      </tp>
      <tp t="s">
        <v>#N/A N/A</v>
        <stp/>
        <stp>BDH|14768318723636385758</stp>
        <tr r="D18" s="2"/>
      </tp>
      <tp t="s">
        <v>#N/A N/A</v>
        <stp/>
        <stp>BDH|13749017004900640779</stp>
        <tr r="I9" s="2"/>
      </tp>
      <tp t="s">
        <v>#N/A N/A</v>
        <stp/>
        <stp>BDH|12626172244697694409</stp>
        <tr r="P65" s="2"/>
      </tp>
      <tp t="s">
        <v>#N/A N/A</v>
        <stp/>
        <stp>BDH|10456564846400725502</stp>
        <tr r="I43" s="2"/>
      </tp>
      <tp t="s">
        <v>#N/A N/A</v>
        <stp/>
        <stp>BDH|11881556939014197774</stp>
        <tr r="U17" s="2"/>
      </tp>
      <tp t="s">
        <v>#N/A N/A</v>
        <stp/>
        <stp>BDH|11137349979318798996</stp>
        <tr r="T43" s="2"/>
      </tp>
      <tp t="s">
        <v>#N/A N/A</v>
        <stp/>
        <stp>BDH|12009766997700176822</stp>
        <tr r="C66" s="2"/>
      </tp>
      <tp t="s">
        <v>#N/A N/A</v>
        <stp/>
        <stp>BDH|14443758960114015544</stp>
        <tr r="I29" s="2"/>
      </tp>
      <tp t="s">
        <v>#N/A N/A</v>
        <stp/>
        <stp>BDH|12299064574541306064</stp>
        <tr r="L66" s="2"/>
      </tp>
      <tp t="s">
        <v>#N/A N/A</v>
        <stp/>
        <stp>BDH|13605347100965318143</stp>
        <tr r="X49" s="2"/>
      </tp>
      <tp t="s">
        <v>#N/A N/A</v>
        <stp/>
        <stp>BDH|15976762379288605956</stp>
        <tr r="Z14" s="2"/>
      </tp>
      <tp t="s">
        <v>#N/A N/A</v>
        <stp/>
        <stp>BDH|10488442407057780756</stp>
        <tr r="Y14" s="2"/>
      </tp>
      <tp t="s">
        <v>#N/A N/A</v>
        <stp/>
        <stp>BDH|14542151211911340161</stp>
        <tr r="AA7" s="2"/>
      </tp>
      <tp t="s">
        <v>#N/A N/A</v>
        <stp/>
        <stp>BDH|11616787192682022983</stp>
        <tr r="M33" s="2"/>
      </tp>
      <tp t="s">
        <v>#N/A N/A</v>
        <stp/>
        <stp>BDH|14927045361966842031</stp>
        <tr r="R35" s="2"/>
      </tp>
      <tp t="s">
        <v>#N/A N/A</v>
        <stp/>
        <stp>BDH|10577460227946123428</stp>
        <tr r="Q18" s="2"/>
      </tp>
      <tp t="s">
        <v>#N/A N/A</v>
        <stp/>
        <stp>BDH|15967587013760796537</stp>
        <tr r="H10" s="2"/>
      </tp>
      <tp t="s">
        <v>#N/A N/A</v>
        <stp/>
        <stp>BDH|15758172580450447820</stp>
        <tr r="D50" s="2"/>
      </tp>
      <tp t="s">
        <v>#N/A N/A</v>
        <stp/>
        <stp>BDH|18236967822330343736</stp>
        <tr r="H50" s="2"/>
      </tp>
      <tp t="s">
        <v>#N/A N/A</v>
        <stp/>
        <stp>BDH|14631862380900169084</stp>
        <tr r="U24" s="2"/>
      </tp>
      <tp t="s">
        <v>#N/A N/A</v>
        <stp/>
        <stp>BDH|11817030989524262993</stp>
        <tr r="G45" s="2"/>
      </tp>
      <tp t="s">
        <v>#N/A N/A</v>
        <stp/>
        <stp>BDH|11532232845014210780</stp>
        <tr r="E37" s="2"/>
      </tp>
      <tp t="s">
        <v>#N/A N/A</v>
        <stp/>
        <stp>BDH|14301635233520297591</stp>
        <tr r="G33" s="2"/>
      </tp>
      <tp t="s">
        <v>#N/A N/A</v>
        <stp/>
        <stp>BDH|12889787469811492658</stp>
        <tr r="O14" s="2"/>
      </tp>
      <tp t="s">
        <v>#N/A N/A</v>
        <stp/>
        <stp>BDH|16697531518316403027</stp>
        <tr r="L32" s="2"/>
      </tp>
      <tp t="s">
        <v>#N/A N/A</v>
        <stp/>
        <stp>BDH|11474202244700926320</stp>
        <tr r="D41" s="2"/>
      </tp>
      <tp t="s">
        <v>#N/A N/A</v>
        <stp/>
        <stp>BDH|17283074545967301080</stp>
        <tr r="P33" s="2"/>
      </tp>
      <tp t="s">
        <v>#N/A N/A</v>
        <stp/>
        <stp>BDH|11513867890165835118</stp>
        <tr r="AB24" s="2"/>
      </tp>
      <tp t="s">
        <v>#N/A N/A</v>
        <stp/>
        <stp>BDH|10115672860472457684</stp>
        <tr r="I49" s="2"/>
      </tp>
      <tp t="s">
        <v>#N/A N/A</v>
        <stp/>
        <stp>BDH|17595240549846438366</stp>
        <tr r="U19" s="2"/>
      </tp>
      <tp t="s">
        <v>#N/A N/A</v>
        <stp/>
        <stp>BDH|14944807723882648814</stp>
        <tr r="C41" s="2"/>
      </tp>
      <tp t="s">
        <v>#N/A N/A</v>
        <stp/>
        <stp>BDH|12292897860279305158</stp>
        <tr r="O64" s="2"/>
      </tp>
      <tp t="s">
        <v>#N/A N/A</v>
        <stp/>
        <stp>BDH|13946239893098402409</stp>
        <tr r="I38" s="2"/>
      </tp>
      <tp t="s">
        <v>#N/A N/A</v>
        <stp/>
        <stp>BDH|17980931217749324225</stp>
        <tr r="AE37" s="2"/>
      </tp>
      <tp t="s">
        <v>#N/A N/A</v>
        <stp/>
        <stp>BDH|10927591298229283154</stp>
        <tr r="N24" s="2"/>
      </tp>
      <tp t="s">
        <v>#N/A N/A</v>
        <stp/>
        <stp>BDH|11470050740566688791</stp>
        <tr r="P12" s="2"/>
      </tp>
      <tp t="s">
        <v>#N/A N/A</v>
        <stp/>
        <stp>BDH|11426129455039924841</stp>
        <tr r="G64" s="2"/>
      </tp>
      <tp t="s">
        <v>#N/A N/A</v>
        <stp/>
        <stp>BDH|17673799252588672952</stp>
        <tr r="C61" s="2"/>
      </tp>
      <tp t="s">
        <v>#N/A N/A</v>
        <stp/>
        <stp>BDH|11796943101878994459</stp>
        <tr r="N50" s="2"/>
      </tp>
      <tp t="s">
        <v>#N/A N/A</v>
        <stp/>
        <stp>BDH|17244378703932862205</stp>
        <tr r="AF51" s="2"/>
      </tp>
      <tp t="s">
        <v>#N/A N/A</v>
        <stp/>
        <stp>BDH|13199095879778903990</stp>
        <tr r="C31" s="2"/>
      </tp>
      <tp t="s">
        <v>#N/A N/A</v>
        <stp/>
        <stp>BDH|16194111233462331310</stp>
        <tr r="Q63" s="2"/>
      </tp>
      <tp t="s">
        <v>#N/A N/A</v>
        <stp/>
        <stp>BDH|12483368077527682421</stp>
        <tr r="G35" s="2"/>
      </tp>
      <tp t="s">
        <v>#N/A N/A</v>
        <stp/>
        <stp>BDH|13558422740373772512</stp>
        <tr r="AC63" s="2"/>
      </tp>
      <tp t="s">
        <v>#N/A N/A</v>
        <stp/>
        <stp>BDH|16428304925997671573</stp>
        <tr r="E36" s="2"/>
      </tp>
      <tp t="s">
        <v>#N/A N/A</v>
        <stp/>
        <stp>BDH|16165347613521387056</stp>
        <tr r="P49" s="2"/>
      </tp>
      <tp t="s">
        <v>#N/A N/A</v>
        <stp/>
        <stp>BDH|12650197358396790507</stp>
        <tr r="F34" s="2"/>
      </tp>
      <tp t="s">
        <v>#N/A N/A</v>
        <stp/>
        <stp>BDH|14609647154986412420</stp>
        <tr r="L60" s="2"/>
      </tp>
      <tp t="s">
        <v>#N/A N/A</v>
        <stp/>
        <stp>BDH|17306257638940718391</stp>
        <tr r="P59" s="2"/>
      </tp>
      <tp t="s">
        <v>#N/A N/A</v>
        <stp/>
        <stp>BDH|16780244051790158432</stp>
        <tr r="Z50" s="2"/>
      </tp>
      <tp t="s">
        <v>#N/A N/A</v>
        <stp/>
        <stp>BDH|14355460434930877699</stp>
        <tr r="N36" s="2"/>
      </tp>
      <tp t="s">
        <v>#N/A N/A</v>
        <stp/>
        <stp>BDH|17745417173141066051</stp>
        <tr r="O60" s="2"/>
      </tp>
      <tp t="s">
        <v>#N/A N/A</v>
        <stp/>
        <stp>BDH|15485991459924585820</stp>
        <tr r="N11" s="2"/>
      </tp>
      <tp t="s">
        <v>#N/A N/A</v>
        <stp/>
        <stp>BDH|12908598643447957195</stp>
        <tr r="AB61" s="2"/>
      </tp>
      <tp t="s">
        <v>#N/A N/A</v>
        <stp/>
        <stp>BDH|10537062744835015449</stp>
        <tr r="AB25" s="2"/>
      </tp>
      <tp t="s">
        <v>#N/A N/A</v>
        <stp/>
        <stp>BDH|10061976480420752436</stp>
        <tr r="AE33" s="2"/>
      </tp>
      <tp t="s">
        <v>#N/A N/A</v>
        <stp/>
        <stp>BDH|10682541704784485406</stp>
        <tr r="O43" s="2"/>
      </tp>
      <tp t="s">
        <v>#N/A N/A</v>
        <stp/>
        <stp>BDH|16071288171915594395</stp>
        <tr r="W42" s="2"/>
      </tp>
      <tp t="s">
        <v>#N/A N/A</v>
        <stp/>
        <stp>BDH|14197271714281637311</stp>
        <tr r="M37" s="2"/>
      </tp>
      <tp t="s">
        <v>#N/A N/A</v>
        <stp/>
        <stp>BDH|13214057711657148026</stp>
        <tr r="P28" s="2"/>
      </tp>
      <tp t="s">
        <v>#N/A N/A</v>
        <stp/>
        <stp>BDH|13262503555865722358</stp>
        <tr r="M67" s="2"/>
      </tp>
      <tp t="s">
        <v>#N/A N/A</v>
        <stp/>
        <stp>BDH|14730869069437914849</stp>
        <tr r="K35" s="2"/>
      </tp>
      <tp t="s">
        <v>#N/A N/A</v>
        <stp/>
        <stp>BDH|14589366846573775579</stp>
        <tr r="O67" s="2"/>
      </tp>
      <tp t="s">
        <v>#N/A N/A</v>
        <stp/>
        <stp>BDH|13499056655960226330</stp>
        <tr r="I55" s="2"/>
      </tp>
      <tp t="s">
        <v>#N/A N/A</v>
        <stp/>
        <stp>BDH|14001861131808137211</stp>
        <tr r="M55" s="2"/>
      </tp>
      <tp t="s">
        <v>#N/A N/A</v>
        <stp/>
        <stp>BDH|12903694480698582127</stp>
        <tr r="F50" s="2"/>
      </tp>
      <tp t="s">
        <v>#N/A N/A</v>
        <stp/>
        <stp>BDH|14249500081374536818</stp>
        <tr r="AF64" s="2"/>
      </tp>
      <tp t="s">
        <v>#N/A N/A</v>
        <stp/>
        <stp>BDH|17501014276392650729</stp>
        <tr r="W25" s="2"/>
      </tp>
      <tp t="s">
        <v>#N/A N/A</v>
        <stp/>
        <stp>BDH|16503937274965125857</stp>
        <tr r="S64" s="2"/>
      </tp>
      <tp t="s">
        <v>#N/A N/A</v>
        <stp/>
        <stp>BDH|15200478611400572575</stp>
        <tr r="E35" s="2"/>
      </tp>
      <tp t="s">
        <v>#N/A N/A</v>
        <stp/>
        <stp>BDH|13326536589093749878</stp>
        <tr r="U41" s="2"/>
      </tp>
      <tp t="s">
        <v>#N/A N/A</v>
        <stp/>
        <stp>BDH|11961849681456021246</stp>
        <tr r="V31" s="2"/>
      </tp>
      <tp t="s">
        <v>#N/A N/A</v>
        <stp/>
        <stp>BDH|13304261613387823263</stp>
        <tr r="U27" s="2"/>
      </tp>
      <tp t="s">
        <v>#N/A N/A</v>
        <stp/>
        <stp>BDH|12740436553386728082</stp>
        <tr r="AE45" s="2"/>
      </tp>
      <tp t="s">
        <v>#N/A N/A</v>
        <stp/>
        <stp>BDH|17772320461582400586</stp>
        <tr r="L14" s="2"/>
      </tp>
      <tp t="s">
        <v>#N/A N/A</v>
        <stp/>
        <stp>BDH|17404146156264751295</stp>
        <tr r="S12" s="2"/>
      </tp>
      <tp t="s">
        <v>#N/A N/A</v>
        <stp/>
        <stp>BDH|12642172628951644542</stp>
        <tr r="E63" s="2"/>
      </tp>
      <tp t="s">
        <v>#N/A N/A</v>
        <stp/>
        <stp>BDH|17534189917787247523</stp>
        <tr r="AD28" s="2"/>
      </tp>
      <tp t="s">
        <v>#N/A N/A</v>
        <stp/>
        <stp>BDH|16039451766082825363</stp>
        <tr r="H67" s="2"/>
      </tp>
      <tp t="s">
        <v>#N/A N/A</v>
        <stp/>
        <stp>BDH|15506524835354701280</stp>
        <tr r="J11" s="2"/>
      </tp>
      <tp t="s">
        <v>#N/A N/A</v>
        <stp/>
        <stp>BDH|13205280340083412320</stp>
        <tr r="T26" s="2"/>
      </tp>
      <tp t="s">
        <v>#N/A N/A</v>
        <stp/>
        <stp>BDH|15490113396079901153</stp>
        <tr r="X59" s="2"/>
      </tp>
      <tp t="s">
        <v>#N/A N/A</v>
        <stp/>
        <stp>BDH|11724754977586283287</stp>
        <tr r="L55" s="2"/>
      </tp>
      <tp t="s">
        <v>#N/A N/A</v>
        <stp/>
        <stp>BDH|18348499107618366118</stp>
        <tr r="V65" s="2"/>
      </tp>
      <tp t="s">
        <v>#N/A N/A</v>
        <stp/>
        <stp>BDH|12560200018694768041</stp>
        <tr r="D11" s="2"/>
      </tp>
      <tp t="s">
        <v>#N/A N/A</v>
        <stp/>
        <stp>BDH|13236585476120422463</stp>
        <tr r="J42" s="2"/>
      </tp>
    </main>
    <main first="bofaddin.rtdserver">
      <tp t="s">
        <v>#N/A N/A</v>
        <stp/>
        <stp>BDH|8760200499616381</stp>
        <tr r="W47" s="2"/>
      </tp>
      <tp t="s">
        <v>#N/A N/A</v>
        <stp/>
        <stp>BDH|9176883227499728628</stp>
        <tr r="L47" s="2"/>
      </tp>
      <tp t="s">
        <v>#N/A N/A</v>
        <stp/>
        <stp>BDH|4979923906211532038</stp>
        <tr r="AD8" s="2"/>
      </tp>
      <tp t="s">
        <v>#N/A N/A</v>
        <stp/>
        <stp>BDH|2876044426478530472</stp>
        <tr r="V49" s="2"/>
      </tp>
      <tp t="s">
        <v>#N/A N/A</v>
        <stp/>
        <stp>BDH|3191701918679640077</stp>
        <tr r="AA26" s="2"/>
      </tp>
      <tp t="s">
        <v>#N/A N/A</v>
        <stp/>
        <stp>BDH|4600185913268062041</stp>
        <tr r="I66" s="2"/>
      </tp>
      <tp t="s">
        <v>#N/A N/A</v>
        <stp/>
        <stp>BDH|5968190139018987395</stp>
        <tr r="AA17" s="2"/>
      </tp>
      <tp t="s">
        <v>#N/A N/A</v>
        <stp/>
        <stp>BDH|3925124482930172679</stp>
        <tr r="J33" s="2"/>
      </tp>
      <tp t="s">
        <v>#N/A N/A</v>
        <stp/>
        <stp>BDH|7967722713439420434</stp>
        <tr r="O33" s="2"/>
      </tp>
      <tp t="s">
        <v>#N/A N/A</v>
        <stp/>
        <stp>BDH|6689437818069332614</stp>
        <tr r="M30" s="2"/>
      </tp>
      <tp t="s">
        <v>#N/A N/A</v>
        <stp/>
        <stp>BDH|2519740819590759834</stp>
        <tr r="G28" s="2"/>
      </tp>
      <tp t="s">
        <v>#N/A N/A</v>
        <stp/>
        <stp>BDH|9345684650163728509</stp>
        <tr r="G30" s="2"/>
      </tp>
      <tp t="s">
        <v>#N/A N/A</v>
        <stp/>
        <stp>BDH|7710931154946152139</stp>
        <tr r="C15" s="2"/>
      </tp>
      <tp t="s">
        <v>#N/A N/A</v>
        <stp/>
        <stp>BDH|9586660037060143072</stp>
        <tr r="X47" s="2"/>
      </tp>
      <tp t="s">
        <v>#N/A N/A</v>
        <stp/>
        <stp>BDH|6925550209797546835</stp>
        <tr r="M16" s="2"/>
      </tp>
      <tp t="s">
        <v>#N/A N/A</v>
        <stp/>
        <stp>BDH|4371049574546895984</stp>
        <tr r="H61" s="2"/>
      </tp>
      <tp t="s">
        <v>#N/A N/A</v>
        <stp/>
        <stp>BDH|1651739492171233263</stp>
        <tr r="Y45" s="2"/>
      </tp>
      <tp t="s">
        <v>#N/A N/A</v>
        <stp/>
        <stp>BDH|1692341386690433631</stp>
        <tr r="M35" s="2"/>
      </tp>
      <tp t="s">
        <v>#N/A N/A</v>
        <stp/>
        <stp>BDH|8821059093098785584</stp>
        <tr r="C12" s="2"/>
      </tp>
      <tp t="s">
        <v>#N/A N/A</v>
        <stp/>
        <stp>BDH|9455364277666548763</stp>
        <tr r="W28" s="2"/>
      </tp>
      <tp t="s">
        <v>#N/A N/A</v>
        <stp/>
        <stp>BDH|5142780904219901723</stp>
        <tr r="L61" s="2"/>
      </tp>
      <tp t="s">
        <v>#N/A N/A</v>
        <stp/>
        <stp>BDH|2510282195301716499</stp>
        <tr r="V25" s="2"/>
      </tp>
      <tp t="s">
        <v>#N/A N/A</v>
        <stp/>
        <stp>BDH|8922124144239970808</stp>
        <tr r="F55" s="2"/>
      </tp>
      <tp t="s">
        <v>#N/A N/A</v>
        <stp/>
        <stp>BDH|5230873575185448331</stp>
        <tr r="V12" s="2"/>
      </tp>
      <tp t="s">
        <v>#N/A N/A</v>
        <stp/>
        <stp>BDH|2493954153901414313</stp>
        <tr r="O34" s="2"/>
      </tp>
      <tp t="s">
        <v>#N/A N/A</v>
        <stp/>
        <stp>BDH|1934939649780436032</stp>
        <tr r="P31" s="2"/>
      </tp>
      <tp t="s">
        <v>#N/A N/A</v>
        <stp/>
        <stp>BDH|4459272496142744176</stp>
        <tr r="E65" s="2"/>
      </tp>
      <tp t="s">
        <v>#N/A N/A</v>
        <stp/>
        <stp>BDH|7949176491836864528</stp>
        <tr r="D8" s="2"/>
      </tp>
      <tp t="s">
        <v>#N/A N/A</v>
        <stp/>
        <stp>BDH|7326830257687180134</stp>
        <tr r="AB13" s="2"/>
      </tp>
      <tp t="s">
        <v>#N/A N/A</v>
        <stp/>
        <stp>BDH|2731041580337028168</stp>
        <tr r="V7" s="2"/>
      </tp>
      <tp t="s">
        <v>#N/A N/A</v>
        <stp/>
        <stp>BDH|1276974931164588340</stp>
        <tr r="D64" s="2"/>
      </tp>
      <tp t="s">
        <v>#N/A N/A</v>
        <stp/>
        <stp>BDH|1189538695730489162</stp>
        <tr r="Z49" s="2"/>
      </tp>
      <tp t="s">
        <v>#N/A N/A</v>
        <stp/>
        <stp>BDH|89710147253392149</stp>
        <tr r="G67" s="2"/>
      </tp>
      <tp t="s">
        <v>#N/A N/A</v>
        <stp/>
        <stp>BDH|2228317659081107816</stp>
        <tr r="Q36" s="2"/>
      </tp>
      <tp t="s">
        <v>#N/A N/A</v>
        <stp/>
        <stp>BDH|8340811588745704070</stp>
        <tr r="E46" s="2"/>
      </tp>
      <tp t="s">
        <v>#N/A N/A</v>
        <stp/>
        <stp>BDH|9237524619237146725</stp>
        <tr r="W65" s="2"/>
      </tp>
      <tp t="s">
        <v>#N/A N/A</v>
        <stp/>
        <stp>BDH|8038087064583633005</stp>
        <tr r="P13" s="2"/>
      </tp>
      <tp t="s">
        <v>#N/A N/A</v>
        <stp/>
        <stp>BDH|7127843616946902502</stp>
        <tr r="P35" s="2"/>
      </tp>
      <tp t="s">
        <v>#N/A N/A</v>
        <stp/>
        <stp>BDH|9256770228644194564</stp>
        <tr r="T28" s="2"/>
      </tp>
      <tp t="s">
        <v>#N/A N/A</v>
        <stp/>
        <stp>BDH|1129047808694706815</stp>
        <tr r="J62" s="2"/>
      </tp>
      <tp t="s">
        <v>#N/A N/A</v>
        <stp/>
        <stp>BDH|8402605508995010670</stp>
        <tr r="Z41" s="2"/>
      </tp>
      <tp t="s">
        <v>#N/A N/A</v>
        <stp/>
        <stp>BDH|5600215820809910151</stp>
        <tr r="F25" s="2"/>
      </tp>
      <tp t="s">
        <v>#N/A N/A</v>
        <stp/>
        <stp>BDH|4890878377843174519</stp>
        <tr r="Z9" s="2"/>
      </tp>
      <tp t="s">
        <v>#N/A N/A</v>
        <stp/>
        <stp>BDH|3928297052210331993</stp>
        <tr r="AD23" s="2"/>
      </tp>
      <tp t="s">
        <v>#N/A N/A</v>
        <stp/>
        <stp>BDH|9258191406151708451</stp>
        <tr r="Y16" s="2"/>
      </tp>
      <tp t="s">
        <v>#N/A N/A</v>
        <stp/>
        <stp>BDH|8072609871795660184</stp>
        <tr r="E28" s="2"/>
      </tp>
      <tp t="s">
        <v>#N/A N/A</v>
        <stp/>
        <stp>BDH|7090861749447362135</stp>
        <tr r="AC35" s="2"/>
      </tp>
      <tp t="s">
        <v>#N/A N/A</v>
        <stp/>
        <stp>BDH|8858988549619304154</stp>
        <tr r="D26" s="2"/>
      </tp>
      <tp t="s">
        <v>#N/A N/A</v>
        <stp/>
        <stp>BDH|9589180146968419921</stp>
        <tr r="J48" s="2"/>
      </tp>
      <tp t="s">
        <v>#N/A N/A</v>
        <stp/>
        <stp>BDH|6808511650623271863</stp>
        <tr r="AF44" s="2"/>
      </tp>
      <tp t="s">
        <v>#N/A N/A</v>
        <stp/>
        <stp>BDH|9553160101591885471</stp>
        <tr r="AE25" s="2"/>
      </tp>
      <tp t="s">
        <v>#N/A N/A</v>
        <stp/>
        <stp>BDH|4646301724930925861</stp>
        <tr r="E51" s="2"/>
      </tp>
      <tp t="s">
        <v>#N/A N/A</v>
        <stp/>
        <stp>BDH|2148811785748107766</stp>
        <tr r="AE42" s="2"/>
      </tp>
      <tp t="s">
        <v>#N/A N/A</v>
        <stp/>
        <stp>BDH|5659539431398304656</stp>
        <tr r="T8" s="2"/>
      </tp>
      <tp t="s">
        <v>#N/A N/A</v>
        <stp/>
        <stp>BDH|3277065786273584554</stp>
        <tr r="Y47" s="2"/>
      </tp>
      <tp t="s">
        <v>#N/A N/A</v>
        <stp/>
        <stp>BDH|8533277936874782004</stp>
        <tr r="U22" s="2"/>
      </tp>
      <tp t="s">
        <v>#N/A N/A</v>
        <stp/>
        <stp>BDH|5685633642713638925</stp>
        <tr r="I30" s="2"/>
      </tp>
      <tp t="s">
        <v>#N/A N/A</v>
        <stp/>
        <stp>BDH|9475673822356121638</stp>
        <tr r="AE53" s="2"/>
      </tp>
      <tp t="s">
        <v>#N/A N/A</v>
        <stp/>
        <stp>BDH|5781943443621359428</stp>
        <tr r="M63" s="2"/>
      </tp>
      <tp t="s">
        <v>#N/A N/A</v>
        <stp/>
        <stp>BDH|4786938400916032659</stp>
        <tr r="Y65" s="2"/>
      </tp>
      <tp t="s">
        <v>#N/A N/A</v>
        <stp/>
        <stp>BDH|8614113842486295668</stp>
        <tr r="S47" s="2"/>
      </tp>
      <tp t="s">
        <v>#N/A N/A</v>
        <stp/>
        <stp>BDH|8655250039515535196</stp>
        <tr r="X32" s="2"/>
      </tp>
      <tp t="s">
        <v>#N/A N/A</v>
        <stp/>
        <stp>BDH|5007152696628400811</stp>
        <tr r="O8" s="2"/>
      </tp>
      <tp t="s">
        <v>#N/A N/A</v>
        <stp/>
        <stp>BDH|9254745264476105352</stp>
        <tr r="O17" s="2"/>
      </tp>
      <tp t="s">
        <v>#N/A N/A</v>
        <stp/>
        <stp>BDH|6450065443278167777</stp>
        <tr r="D62" s="2"/>
      </tp>
      <tp t="s">
        <v>#N/A N/A</v>
        <stp/>
        <stp>BDH|8394850655781712936</stp>
        <tr r="U61" s="2"/>
      </tp>
      <tp t="s">
        <v>#N/A N/A</v>
        <stp/>
        <stp>BDH|9865832668653070949</stp>
        <tr r="T19" s="2"/>
      </tp>
      <tp t="s">
        <v>#N/A N/A</v>
        <stp/>
        <stp>BDH|4591192321329105389</stp>
        <tr r="AD66" s="2"/>
      </tp>
      <tp t="s">
        <v>#N/A N/A</v>
        <stp/>
        <stp>BDH|3751044900279754705</stp>
        <tr r="X33" s="2"/>
      </tp>
      <tp t="s">
        <v>#N/A N/A</v>
        <stp/>
        <stp>BDH|8286374705550188655</stp>
        <tr r="P43" s="2"/>
      </tp>
      <tp t="s">
        <v>#N/A N/A</v>
        <stp/>
        <stp>BDH|1453524687773396264</stp>
        <tr r="Z63" s="2"/>
      </tp>
      <tp t="s">
        <v>#N/A N/A</v>
        <stp/>
        <stp>BDH|1322966329603016488</stp>
        <tr r="K12" s="2"/>
      </tp>
      <tp t="s">
        <v>#N/A N/A</v>
        <stp/>
        <stp>BDH|9089938914809566560</stp>
        <tr r="H19" s="2"/>
      </tp>
      <tp t="s">
        <v>#N/A N/A</v>
        <stp/>
        <stp>BDH|5290995519187535730</stp>
        <tr r="M32" s="2"/>
      </tp>
      <tp t="s">
        <v>#N/A N/A</v>
        <stp/>
        <stp>BDH|95749411797283120</stp>
        <tr r="D22" s="2"/>
      </tp>
      <tp t="s">
        <v>#N/A N/A</v>
        <stp/>
        <stp>BDH|7193779831174449996</stp>
        <tr r="Y11" s="2"/>
      </tp>
      <tp t="s">
        <v>#N/A N/A</v>
        <stp/>
        <stp>BDH|7179883495919704113</stp>
        <tr r="H15" s="2"/>
      </tp>
      <tp t="s">
        <v>#N/A N/A</v>
        <stp/>
        <stp>BDH|9650042709633720475</stp>
        <tr r="Z36" s="2"/>
      </tp>
      <tp t="s">
        <v>#N/A N/A</v>
        <stp/>
        <stp>BDH|3580998945382103238</stp>
        <tr r="K66" s="2"/>
      </tp>
      <tp t="s">
        <v>#N/A N/A</v>
        <stp/>
        <stp>BDH|7946304283773651178</stp>
        <tr r="D61" s="2"/>
      </tp>
      <tp t="s">
        <v>#N/A N/A</v>
        <stp/>
        <stp>BDH|5891898078923028720</stp>
        <tr r="AC15" s="2"/>
      </tp>
      <tp t="s">
        <v>#N/A N/A</v>
        <stp/>
        <stp>BDH|7288775183055803360</stp>
        <tr r="W12" s="2"/>
      </tp>
      <tp t="s">
        <v>#N/A N/A</v>
        <stp/>
        <stp>BDH|3019168423517517983</stp>
        <tr r="AE50" s="2"/>
      </tp>
      <tp t="s">
        <v>#N/A N/A</v>
        <stp/>
        <stp>BDH|7809210382705006622</stp>
        <tr r="U8" s="2"/>
      </tp>
      <tp t="s">
        <v>#N/A N/A</v>
        <stp/>
        <stp>BDH|1313409894257840568</stp>
        <tr r="D49" s="2"/>
      </tp>
      <tp t="s">
        <v>#N/A N/A</v>
        <stp/>
        <stp>BDH|3101808764607522490</stp>
        <tr r="AE35" s="2"/>
      </tp>
      <tp t="s">
        <v>#N/A N/A</v>
        <stp/>
        <stp>BDH|2094693745107147941</stp>
        <tr r="G46" s="2"/>
      </tp>
      <tp t="s">
        <v>#N/A N/A</v>
        <stp/>
        <stp>BDH|1947654285873475237</stp>
        <tr r="T38" s="2"/>
      </tp>
      <tp t="s">
        <v>#N/A N/A</v>
        <stp/>
        <stp>BDH|4596913705402626196</stp>
        <tr r="AF32" s="2"/>
      </tp>
      <tp t="s">
        <v>#N/A N/A</v>
        <stp/>
        <stp>BDH|9596068669686187752</stp>
        <tr r="S31" s="2"/>
      </tp>
      <tp t="s">
        <v>#N/A N/A</v>
        <stp/>
        <stp>BDH|2274983344554854595</stp>
        <tr r="Y63" s="2"/>
      </tp>
      <tp t="s">
        <v>#N/A N/A</v>
        <stp/>
        <stp>BDH|8962560346040355764</stp>
        <tr r="AC24" s="2"/>
      </tp>
      <tp t="s">
        <v>#N/A N/A</v>
        <stp/>
        <stp>BDH|3173963859064147537</stp>
        <tr r="T46" s="2"/>
      </tp>
      <tp t="s">
        <v>#N/A N/A</v>
        <stp/>
        <stp>BDH|7948867900634496572</stp>
        <tr r="AB44" s="2"/>
      </tp>
      <tp t="s">
        <v>#N/A N/A</v>
        <stp/>
        <stp>BDH|8326734544457974205</stp>
        <tr r="H32" s="2"/>
      </tp>
      <tp t="s">
        <v>#N/A N/A</v>
        <stp/>
        <stp>BDH|2502595891765381534</stp>
        <tr r="I42" s="2"/>
      </tp>
      <tp t="s">
        <v>#N/A N/A</v>
        <stp/>
        <stp>BDH|4578415287914381223</stp>
        <tr r="I60" s="2"/>
      </tp>
      <tp t="s">
        <v>#N/A N/A</v>
        <stp/>
        <stp>BDH|5272493138368319422</stp>
        <tr r="R49" s="2"/>
      </tp>
      <tp t="s">
        <v>#N/A N/A</v>
        <stp/>
        <stp>BDH|6961975286518994135</stp>
        <tr r="S16" s="2"/>
      </tp>
      <tp t="s">
        <v>#N/A N/A</v>
        <stp/>
        <stp>BDH|1664972869432938239</stp>
        <tr r="Q33" s="2"/>
      </tp>
      <tp t="s">
        <v>#N/A N/A</v>
        <stp/>
        <stp>BDH|7382665325204117929</stp>
        <tr r="AD11" s="2"/>
      </tp>
      <tp t="s">
        <v>#N/A N/A</v>
        <stp/>
        <stp>BDH|1693308099703482689</stp>
        <tr r="AF48" s="2"/>
      </tp>
      <tp t="s">
        <v>#N/A N/A</v>
        <stp/>
        <stp>BDH|4612748197042305653</stp>
        <tr r="M9" s="2"/>
      </tp>
      <tp t="s">
        <v>#N/A N/A</v>
        <stp/>
        <stp>BDH|3722853159795084581</stp>
        <tr r="U48" s="2"/>
      </tp>
      <tp t="s">
        <v>#N/A N/A</v>
        <stp/>
        <stp>BDH|6285944325031582264</stp>
        <tr r="X38" s="2"/>
      </tp>
      <tp t="s">
        <v>#N/A N/A</v>
        <stp/>
        <stp>BDH|6084307352689787755</stp>
        <tr r="P41" s="2"/>
      </tp>
      <tp t="s">
        <v>#N/A N/A</v>
        <stp/>
        <stp>BDH|7387892079262597466</stp>
        <tr r="O19" s="2"/>
      </tp>
      <tp t="s">
        <v>#N/A N/A</v>
        <stp/>
        <stp>BDH|4563904693182267843</stp>
        <tr r="Y42" s="2"/>
      </tp>
      <tp t="s">
        <v>#N/A N/A</v>
        <stp/>
        <stp>BDH|4026569280005359252</stp>
        <tr r="W15" s="2"/>
      </tp>
      <tp t="s">
        <v>#N/A N/A</v>
        <stp/>
        <stp>BDH|1927957400503581589</stp>
        <tr r="AA29" s="2"/>
      </tp>
      <tp t="s">
        <v>#N/A N/A</v>
        <stp/>
        <stp>BDH|3999945401714465098</stp>
        <tr r="T27" s="2"/>
      </tp>
      <tp t="s">
        <v>#N/A N/A</v>
        <stp/>
        <stp>BDH|6308168577509451770</stp>
        <tr r="K41" s="2"/>
      </tp>
      <tp t="s">
        <v>#N/A N/A</v>
        <stp/>
        <stp>BDH|7797417267922492934</stp>
        <tr r="J14" s="2"/>
      </tp>
      <tp t="s">
        <v>#N/A N/A</v>
        <stp/>
        <stp>BDH|9261148379980882113</stp>
        <tr r="AA59" s="2"/>
      </tp>
      <tp t="s">
        <v>#N/A N/A</v>
        <stp/>
        <stp>BDH|8503587534019972977</stp>
        <tr r="S14" s="2"/>
      </tp>
      <tp t="s">
        <v>#N/A N/A</v>
        <stp/>
        <stp>BDH|3451069285244250122</stp>
        <tr r="R63" s="2"/>
      </tp>
      <tp t="s">
        <v>#N/A N/A</v>
        <stp/>
        <stp>BDH|9956578258414192334</stp>
        <tr r="M66" s="2"/>
      </tp>
      <tp t="s">
        <v>#N/A N/A</v>
        <stp/>
        <stp>BDH|6434975372183634530</stp>
        <tr r="F11" s="2"/>
      </tp>
      <tp t="s">
        <v>#N/A N/A</v>
        <stp/>
        <stp>BDH|1070544025318108047</stp>
        <tr r="AF9" s="2"/>
      </tp>
      <tp t="s">
        <v>#N/A N/A</v>
        <stp/>
        <stp>BDH|4413854044297760167</stp>
        <tr r="R9" s="2"/>
      </tp>
      <tp t="s">
        <v>#N/A N/A</v>
        <stp/>
        <stp>BDH|7523547245938046000</stp>
        <tr r="Z43" s="2"/>
      </tp>
      <tp t="s">
        <v>#N/A N/A</v>
        <stp/>
        <stp>BDH|8648126209943139482</stp>
        <tr r="AF31" s="2"/>
      </tp>
      <tp t="s">
        <v>#N/A N/A</v>
        <stp/>
        <stp>BDH|1752447274924685840</stp>
        <tr r="F29" s="2"/>
      </tp>
      <tp t="s">
        <v>#N/A N/A</v>
        <stp/>
        <stp>BDH|9441899998757249128</stp>
        <tr r="T41" s="2"/>
      </tp>
      <tp t="s">
        <v>#N/A N/A</v>
        <stp/>
        <stp>BDH|5851333086139129993</stp>
        <tr r="T63" s="2"/>
      </tp>
      <tp t="s">
        <v>#N/A N/A</v>
        <stp/>
        <stp>BDH|9433716375791227678</stp>
        <tr r="AB43" s="2"/>
      </tp>
      <tp t="s">
        <v>#N/A N/A</v>
        <stp/>
        <stp>BDH|1941343039226265939</stp>
        <tr r="H46" s="2"/>
      </tp>
      <tp t="s">
        <v>#N/A N/A</v>
        <stp/>
        <stp>BDH|2369744230859674147</stp>
        <tr r="Z12" s="2"/>
      </tp>
      <tp t="s">
        <v>#N/A N/A</v>
        <stp/>
        <stp>BDH|72538880528426627</stp>
        <tr r="S50" s="2"/>
      </tp>
      <tp t="s">
        <v>#N/A N/A</v>
        <stp/>
        <stp>BDH|43862513939425308</stp>
        <tr r="L63" s="2"/>
      </tp>
      <tp t="s">
        <v>#N/A N/A</v>
        <stp/>
        <stp>BDH|3527680132539540005</stp>
        <tr r="X66" s="2"/>
      </tp>
      <tp t="s">
        <v>#N/A N/A</v>
        <stp/>
        <stp>BDH|6988909126854194646</stp>
        <tr r="L15" s="2"/>
      </tp>
      <tp t="s">
        <v>#N/A N/A</v>
        <stp/>
        <stp>BDH|3795714077535981929</stp>
        <tr r="G7" s="2"/>
      </tp>
      <tp t="s">
        <v>#N/A N/A</v>
        <stp/>
        <stp>BDH|8497057075887838775</stp>
        <tr r="W48" s="2"/>
      </tp>
      <tp t="s">
        <v>#N/A N/A</v>
        <stp/>
        <stp>BDH|4207484511996492872</stp>
        <tr r="I46" s="2"/>
      </tp>
      <tp t="s">
        <v>#N/A N/A</v>
        <stp/>
        <stp>BDH|1393730180338019980</stp>
        <tr r="H37" s="2"/>
      </tp>
      <tp t="s">
        <v>#N/A N/A</v>
        <stp/>
        <stp>BDH|5018344635928606298</stp>
        <tr r="AD14" s="2"/>
      </tp>
      <tp t="s">
        <v>#N/A N/A</v>
        <stp/>
        <stp>BDH|8226781544070632469</stp>
        <tr r="Y48" s="2"/>
      </tp>
      <tp t="s">
        <v>#N/A N/A</v>
        <stp/>
        <stp>BDH|7446462769223316970</stp>
        <tr r="S30" s="2"/>
      </tp>
      <tp t="s">
        <v>#N/A N/A</v>
        <stp/>
        <stp>BDH|2108891924760758747</stp>
        <tr r="AB65" s="2"/>
      </tp>
      <tp t="s">
        <v>#N/A N/A</v>
        <stp/>
        <stp>BDH|9232581021850220166</stp>
        <tr r="C28" s="2"/>
      </tp>
      <tp t="s">
        <v>#N/A N/A</v>
        <stp/>
        <stp>BDH|2245507794718277985</stp>
        <tr r="N46" s="2"/>
      </tp>
      <tp t="s">
        <v>#N/A N/A</v>
        <stp/>
        <stp>BDH|8627769323462598048</stp>
        <tr r="I47" s="2"/>
      </tp>
      <tp t="s">
        <v>#N/A N/A</v>
        <stp/>
        <stp>BDH|6281956316440679148</stp>
        <tr r="K51" s="2"/>
      </tp>
      <tp t="s">
        <v>#N/A N/A</v>
        <stp/>
        <stp>BDH|6539870002486395709</stp>
        <tr r="N14" s="2"/>
      </tp>
      <tp t="s">
        <v>#N/A N/A</v>
        <stp/>
        <stp>BDH|4715368385666012679</stp>
        <tr r="N13" s="2"/>
      </tp>
      <tp t="s">
        <v>#N/A N/A</v>
        <stp/>
        <stp>BDH|1991249334408892727</stp>
        <tr r="D42" s="2"/>
      </tp>
      <tp t="s">
        <v>#N/A N/A</v>
        <stp/>
        <stp>BDH|8539209244555489452</stp>
        <tr r="S22" s="2"/>
      </tp>
      <tp t="s">
        <v>#N/A N/A</v>
        <stp/>
        <stp>BDH|1690030781576076059</stp>
        <tr r="AE22" s="2"/>
      </tp>
      <tp t="s">
        <v>#N/A N/A</v>
        <stp/>
        <stp>BDH|1679929469222299394</stp>
        <tr r="G43" s="2"/>
      </tp>
      <tp t="s">
        <v>#N/A N/A</v>
        <stp/>
        <stp>BDH|4295852351340078607</stp>
        <tr r="K67" s="2"/>
      </tp>
      <tp t="s">
        <v>#N/A N/A</v>
        <stp/>
        <stp>BDH|2543352674060399914</stp>
        <tr r="AE18" s="2"/>
      </tp>
      <tp t="s">
        <v>#N/A N/A</v>
        <stp/>
        <stp>BDH|2647009345341520837</stp>
        <tr r="L64" s="2"/>
      </tp>
      <tp t="s">
        <v>#N/A N/A</v>
        <stp/>
        <stp>BDH|6305788981877676198</stp>
        <tr r="L31" s="2"/>
      </tp>
      <tp t="s">
        <v>#N/A N/A</v>
        <stp/>
        <stp>BDH|67208078066830145</stp>
        <tr r="AF24" s="2"/>
      </tp>
      <tp t="s">
        <v>#N/A N/A</v>
        <stp/>
        <stp>BDH|22370739201440368</stp>
        <tr r="R32" s="2"/>
      </tp>
      <tp t="s">
        <v>#N/A N/A</v>
        <stp/>
        <stp>BDH|6306389388736197387</stp>
        <tr r="S59" s="2"/>
      </tp>
      <tp t="s">
        <v>#N/A N/A</v>
        <stp/>
        <stp>BDH|4907015361589061335</stp>
        <tr r="E22" s="2"/>
      </tp>
      <tp t="s">
        <v>#N/A N/A</v>
        <stp/>
        <stp>BDH|9460852287776947753</stp>
        <tr r="M25" s="2"/>
      </tp>
      <tp t="s">
        <v>#N/A N/A</v>
        <stp/>
        <stp>BDH|4987840478447767493</stp>
        <tr r="S42" s="2"/>
      </tp>
      <tp t="s">
        <v>#N/A N/A</v>
        <stp/>
        <stp>BDH|7790936899269477621</stp>
        <tr r="AB28" s="2"/>
      </tp>
      <tp t="s">
        <v>#N/A N/A</v>
        <stp/>
        <stp>BDH|2186816290742358982</stp>
        <tr r="Z46" s="2"/>
      </tp>
      <tp t="s">
        <v>#N/A N/A</v>
        <stp/>
        <stp>BDH|4581898872605707614</stp>
        <tr r="Q43" s="2"/>
      </tp>
      <tp t="s">
        <v>#N/A N/A</v>
        <stp/>
        <stp>BDH|8833754664601872092</stp>
        <tr r="M48" s="2"/>
      </tp>
      <tp t="s">
        <v>#N/A N/A</v>
        <stp/>
        <stp>BDH|4023807844797936756</stp>
        <tr r="Z64" s="2"/>
      </tp>
      <tp t="s">
        <v>#N/A N/A</v>
        <stp/>
        <stp>BDH|3853456816538060621</stp>
        <tr r="S67" s="2"/>
      </tp>
      <tp t="s">
        <v>#N/A N/A</v>
        <stp/>
        <stp>BDH|5497753695802538186</stp>
        <tr r="F37" s="2"/>
      </tp>
      <tp t="s">
        <v>#N/A N/A</v>
        <stp/>
        <stp>BDH|5576146508008309440</stp>
        <tr r="N59" s="2"/>
      </tp>
      <tp t="s">
        <v>#N/A N/A</v>
        <stp/>
        <stp>BDH|1139565544090949844</stp>
        <tr r="O44" s="2"/>
      </tp>
      <tp t="s">
        <v>#N/A N/A</v>
        <stp/>
        <stp>BDH|5205148169839080303</stp>
        <tr r="AC23" s="2"/>
      </tp>
      <tp t="s">
        <v>#N/A N/A</v>
        <stp/>
        <stp>BDH|5001261919918127616</stp>
        <tr r="K60" s="2"/>
      </tp>
      <tp t="s">
        <v>#N/A N/A</v>
        <stp/>
        <stp>BDH|4545141793687916372</stp>
        <tr r="S45" s="2"/>
      </tp>
      <tp t="s">
        <v>#N/A N/A</v>
        <stp/>
        <stp>BDH|9438703131423978601</stp>
        <tr r="V44" s="2"/>
      </tp>
      <tp t="s">
        <v>#N/A N/A</v>
        <stp/>
        <stp>BDH|2849037932899338061</stp>
        <tr r="U9" s="2"/>
      </tp>
      <tp t="s">
        <v>#N/A N/A</v>
        <stp/>
        <stp>BDH|1099489795734646078</stp>
        <tr r="Z32" s="2"/>
      </tp>
      <tp t="s">
        <v>#N/A N/A</v>
        <stp/>
        <stp>BDH|4602473074688894710</stp>
        <tr r="AE14" s="2"/>
      </tp>
      <tp t="s">
        <v>#N/A N/A</v>
        <stp/>
        <stp>BDH|8511484663685336701</stp>
        <tr r="H36" s="2"/>
      </tp>
      <tp t="s">
        <v>#N/A N/A</v>
        <stp/>
        <stp>BDH|4953628007023621979</stp>
        <tr r="AE38" s="2"/>
      </tp>
      <tp t="s">
        <v>#N/A N/A</v>
        <stp/>
        <stp>BDH|4830299417226434901</stp>
        <tr r="L46" s="2"/>
      </tp>
      <tp t="s">
        <v>#N/A N/A</v>
        <stp/>
        <stp>BDH|5591097549548509121</stp>
        <tr r="AA49" s="2"/>
      </tp>
      <tp t="s">
        <v>#N/A N/A</v>
        <stp/>
        <stp>BDH|1004829516081717116</stp>
        <tr r="AD42" s="2"/>
      </tp>
      <tp t="s">
        <v>#N/A N/A</v>
        <stp/>
        <stp>BDH|6862862028531375564</stp>
        <tr r="Q7" s="2"/>
      </tp>
      <tp t="s">
        <v>#N/A N/A</v>
        <stp/>
        <stp>BDH|2688547693477192137</stp>
        <tr r="AD22" s="2"/>
      </tp>
      <tp t="s">
        <v>#N/A N/A</v>
        <stp/>
        <stp>BDH|4332951517640757458</stp>
        <tr r="X12" s="2"/>
      </tp>
      <tp t="s">
        <v>#N/A N/A</v>
        <stp/>
        <stp>BDH|8955599893594508853</stp>
        <tr r="X15" s="2"/>
      </tp>
      <tp t="s">
        <v>#N/A N/A</v>
        <stp/>
        <stp>BDH|1608107097042468350</stp>
        <tr r="AA63" s="2"/>
      </tp>
      <tp t="s">
        <v>#N/A N/A</v>
        <stp/>
        <stp>BDH|6457479493682235128</stp>
        <tr r="Q38" s="2"/>
      </tp>
      <tp t="s">
        <v>#N/A N/A</v>
        <stp/>
        <stp>BDH|7523263844258511122</stp>
        <tr r="Y62" s="2"/>
      </tp>
      <tp t="s">
        <v>#N/A N/A</v>
        <stp/>
        <stp>BDH|1208043097150168000</stp>
        <tr r="Z47" s="2"/>
      </tp>
      <tp t="s">
        <v>#N/A N/A</v>
        <stp/>
        <stp>BDH|1805244808059177257</stp>
        <tr r="AB46" s="2"/>
      </tp>
      <tp t="s">
        <v>#N/A N/A</v>
        <stp/>
        <stp>BDH|9630023680771697828</stp>
        <tr r="E34" s="2"/>
      </tp>
      <tp t="s">
        <v>#N/A N/A</v>
        <stp/>
        <stp>BDH|3580205525673726873</stp>
        <tr r="K33" s="2"/>
      </tp>
      <tp t="s">
        <v>#N/A N/A</v>
        <stp/>
        <stp>BDH|5085086497466634293</stp>
        <tr r="W26" s="2"/>
      </tp>
      <tp t="s">
        <v>#N/A N/A</v>
        <stp/>
        <stp>BDH|3120876415970197234</stp>
        <tr r="D34" s="2"/>
      </tp>
      <tp t="s">
        <v>#N/A N/A</v>
        <stp/>
        <stp>BDH|9442832103520617934</stp>
        <tr r="P9" s="2"/>
      </tp>
      <tp t="s">
        <v>#N/A N/A</v>
        <stp/>
        <stp>BDH|1061866051847210340</stp>
        <tr r="J64" s="2"/>
      </tp>
      <tp t="s">
        <v>#N/A N/A</v>
        <stp/>
        <stp>BDH|8652031827822170023</stp>
        <tr r="W36" s="2"/>
      </tp>
      <tp t="s">
        <v>#N/A N/A</v>
        <stp/>
        <stp>BDH|3517303186242582277</stp>
        <tr r="Q26" s="2"/>
      </tp>
      <tp t="s">
        <v>#N/A N/A</v>
        <stp/>
        <stp>BDH|8199044754230825582</stp>
        <tr r="AC7" s="2"/>
      </tp>
      <tp t="s">
        <v>#N/A N/A</v>
        <stp/>
        <stp>BDH|4895874234691984642</stp>
        <tr r="J65" s="2"/>
      </tp>
      <tp t="s">
        <v>#N/A N/A</v>
        <stp/>
        <stp>BDH|6395210482096195278</stp>
        <tr r="AE7" s="2"/>
      </tp>
      <tp t="s">
        <v>#N/A N/A</v>
        <stp/>
        <stp>BDH|9048238218115401792</stp>
        <tr r="H34" s="2"/>
      </tp>
      <tp t="s">
        <v>#N/A N/A</v>
        <stp/>
        <stp>BDH|8761129445092181763</stp>
        <tr r="AD45" s="2"/>
      </tp>
      <tp t="s">
        <v>#N/A N/A</v>
        <stp/>
        <stp>BDH|6856597072904491809</stp>
        <tr r="E41" s="2"/>
      </tp>
      <tp t="s">
        <v>#N/A N/A</v>
        <stp/>
        <stp>BDH|9456188309872716267</stp>
        <tr r="K13" s="2"/>
      </tp>
      <tp t="s">
        <v>#N/A N/A</v>
        <stp/>
        <stp>BDH|2136331483117220673</stp>
        <tr r="E48" s="2"/>
      </tp>
      <tp t="s">
        <v>#N/A N/A</v>
        <stp/>
        <stp>BDH|9618388068853026727</stp>
        <tr r="I18" s="2"/>
      </tp>
      <tp t="s">
        <v>#N/A N/A</v>
        <stp/>
        <stp>BDH|7657061992080476628</stp>
        <tr r="AC19" s="2"/>
      </tp>
      <tp t="s">
        <v>#N/A N/A</v>
        <stp/>
        <stp>BDH|2585228941484196828</stp>
        <tr r="Q64" s="2"/>
      </tp>
      <tp t="s">
        <v>#N/A N/A</v>
        <stp/>
        <stp>BDH|4036938790648036469</stp>
        <tr r="Q19" s="2"/>
      </tp>
      <tp t="s">
        <v>#N/A N/A</v>
        <stp/>
        <stp>BDH|4715839351736517758</stp>
        <tr r="W11" s="2"/>
      </tp>
      <tp t="s">
        <v>#N/A N/A</v>
        <stp/>
        <stp>BDH|8393083348277010362</stp>
        <tr r="F8" s="2"/>
      </tp>
      <tp t="s">
        <v>#N/A N/A</v>
        <stp/>
        <stp>BDH|3041097424580057989</stp>
        <tr r="H17" s="2"/>
      </tp>
      <tp t="s">
        <v>#N/A N/A</v>
        <stp/>
        <stp>BDH|3227714477072183901</stp>
        <tr r="Z25" s="2"/>
      </tp>
      <tp t="s">
        <v>#N/A N/A</v>
        <stp/>
        <stp>BDH|5860180680964442014</stp>
        <tr r="E24" s="2"/>
      </tp>
      <tp t="s">
        <v>#N/A N/A</v>
        <stp/>
        <stp>BDH|14266777001455120</stp>
        <tr r="V18" s="2"/>
      </tp>
      <tp t="s">
        <v>#N/A N/A</v>
        <stp/>
        <stp>BDH|31835528687188898</stp>
        <tr r="AE43" s="2"/>
      </tp>
      <tp t="s">
        <v>#N/A N/A</v>
        <stp/>
        <stp>BDH|39085450424008446</stp>
        <tr r="C29" s="2"/>
      </tp>
      <tp t="s">
        <v>#N/A N/A</v>
        <stp/>
        <stp>BDH|96935023267937926</stp>
        <tr r="Y38" s="2"/>
      </tp>
      <tp t="s">
        <v>#N/A N/A</v>
        <stp/>
        <stp>BDH|8445381377652193701</stp>
        <tr r="G42" s="2"/>
      </tp>
      <tp t="s">
        <v>#N/A N/A</v>
        <stp/>
        <stp>BDH|8523055196800503890</stp>
        <tr r="AD34" s="2"/>
      </tp>
      <tp t="s">
        <v>#N/A N/A</v>
        <stp/>
        <stp>BDH|5566923448866417713</stp>
        <tr r="E61" s="2"/>
      </tp>
      <tp t="s">
        <v>#N/A N/A</v>
        <stp/>
        <stp>BDH|5073987414360565427</stp>
        <tr r="J38" s="2"/>
      </tp>
      <tp t="s">
        <v>#N/A N/A</v>
        <stp/>
        <stp>BDH|3926951572301245545</stp>
        <tr r="AE62" s="2"/>
      </tp>
      <tp t="s">
        <v>#N/A N/A</v>
        <stp/>
        <stp>BDH|9409143168727441047</stp>
        <tr r="K31" s="2"/>
      </tp>
      <tp t="s">
        <v>#N/A N/A</v>
        <stp/>
        <stp>BDH|8590649213671373799</stp>
        <tr r="J67" s="2"/>
      </tp>
      <tp t="s">
        <v>#N/A N/A</v>
        <stp/>
        <stp>BDH|3098003398353450047</stp>
        <tr r="AB62" s="2"/>
      </tp>
      <tp t="s">
        <v>#N/A N/A</v>
        <stp/>
        <stp>BDH|2845629776519503312</stp>
        <tr r="P45" s="2"/>
      </tp>
      <tp t="s">
        <v>#N/A N/A</v>
        <stp/>
        <stp>BDH|8988450440233510209</stp>
        <tr r="E18" s="2"/>
      </tp>
      <tp t="s">
        <v>#N/A N/A</v>
        <stp/>
        <stp>BDH|8685596920717593140</stp>
        <tr r="W62" s="2"/>
      </tp>
      <tp t="s">
        <v>#N/A N/A</v>
        <stp/>
        <stp>BDH|3308245809288165013</stp>
        <tr r="AA48" s="2"/>
      </tp>
      <tp t="s">
        <v>#N/A N/A</v>
        <stp/>
        <stp>BDH|3350649062023895932</stp>
        <tr r="AE31" s="2"/>
      </tp>
      <tp t="s">
        <v>#N/A N/A</v>
        <stp/>
        <stp>BDH|5187020787056376291</stp>
        <tr r="U37" s="2"/>
      </tp>
      <tp t="s">
        <v>#N/A N/A</v>
        <stp/>
        <stp>BDH|3029099959137615892</stp>
        <tr r="J15" s="2"/>
      </tp>
      <tp t="s">
        <v>#N/A N/A</v>
        <stp/>
        <stp>BDH|2260895901755598602</stp>
        <tr r="I10" s="2"/>
      </tp>
      <tp t="s">
        <v>#N/A N/A</v>
        <stp/>
        <stp>BDH|5525206898617824093</stp>
        <tr r="AD64" s="2"/>
      </tp>
      <tp t="s">
        <v>#N/A N/A</v>
        <stp/>
        <stp>BDH|6882772724822257846</stp>
        <tr r="M15" s="2"/>
      </tp>
      <tp t="s">
        <v>#N/A N/A</v>
        <stp/>
        <stp>BDH|2570295789005807407</stp>
        <tr r="Z22" s="2"/>
      </tp>
      <tp t="s">
        <v>#N/A N/A</v>
        <stp/>
        <stp>BDH|8735667870609014936</stp>
        <tr r="C10" s="2"/>
      </tp>
      <tp t="s">
        <v>#N/A N/A</v>
        <stp/>
        <stp>BDH|5624013900914484817</stp>
        <tr r="AD12" s="2"/>
      </tp>
      <tp t="s">
        <v>#N/A N/A</v>
        <stp/>
        <stp>BDH|7143847086989493759</stp>
        <tr r="G50" s="2"/>
      </tp>
      <tp t="s">
        <v>#N/A N/A</v>
        <stp/>
        <stp>BDH|9359239564986237255</stp>
        <tr r="V32" s="2"/>
      </tp>
      <tp t="s">
        <v>#N/A N/A</v>
        <stp/>
        <stp>BDH|6012745234602220914</stp>
        <tr r="E31" s="2"/>
      </tp>
      <tp t="s">
        <v>#N/A N/A</v>
        <stp/>
        <stp>BDH|8421070581718746165</stp>
        <tr r="J37" s="2"/>
      </tp>
      <tp t="s">
        <v>#N/A N/A</v>
        <stp/>
        <stp>BDH|1089760593681307758</stp>
        <tr r="AF67" s="2"/>
      </tp>
      <tp t="s">
        <v>#N/A N/A</v>
        <stp/>
        <stp>BDH|8798474477853691127</stp>
        <tr r="J8" s="2"/>
      </tp>
      <tp t="s">
        <v>#N/A N/A</v>
        <stp/>
        <stp>BDH|6647906813903355454</stp>
        <tr r="F41" s="2"/>
      </tp>
      <tp t="s">
        <v>#N/A N/A</v>
        <stp/>
        <stp>BDH|9425158750307601346</stp>
        <tr r="AB9" s="2"/>
      </tp>
      <tp t="s">
        <v>#N/A N/A</v>
        <stp/>
        <stp>BDH|9520099617297869601</stp>
        <tr r="N35" s="2"/>
      </tp>
      <tp t="s">
        <v>#N/A N/A</v>
        <stp/>
        <stp>BDH|6021525126761157955</stp>
        <tr r="V10" s="2"/>
      </tp>
      <tp t="s">
        <v>#N/A N/A</v>
        <stp/>
        <stp>BDH|6285804960995050424</stp>
        <tr r="O29" s="2"/>
      </tp>
      <tp t="s">
        <v>#N/A N/A</v>
        <stp/>
        <stp>BDH|2607991835154368586</stp>
        <tr r="I41" s="2"/>
      </tp>
      <tp t="s">
        <v>#N/A N/A</v>
        <stp/>
        <stp>BDH|4475077212329991591</stp>
        <tr r="W34" s="2"/>
      </tp>
      <tp t="s">
        <v>#N/A N/A</v>
        <stp/>
        <stp>BDH|9277341550607198162</stp>
        <tr r="AB63" s="2"/>
      </tp>
      <tp t="s">
        <v>#N/A N/A</v>
        <stp/>
        <stp>BDH|7480410704638611265</stp>
        <tr r="AA37" s="2"/>
      </tp>
      <tp t="s">
        <v>#N/A N/A</v>
        <stp/>
        <stp>BDH|7589342691734953087</stp>
        <tr r="R48" s="2"/>
      </tp>
      <tp t="s">
        <v>#N/A N/A</v>
        <stp/>
        <stp>BDH|2804796767263340933</stp>
        <tr r="L19" s="2"/>
      </tp>
      <tp t="s">
        <v>#N/A N/A</v>
        <stp/>
        <stp>BDH|5882729393543948165</stp>
        <tr r="G13" s="2"/>
      </tp>
      <tp t="s">
        <v>#N/A N/A</v>
        <stp/>
        <stp>BDH|1381508130468441617</stp>
        <tr r="U46" s="2"/>
      </tp>
      <tp t="s">
        <v>#N/A N/A</v>
        <stp/>
        <stp>BDH|3406823615937536407</stp>
        <tr r="S35" s="2"/>
      </tp>
      <tp t="s">
        <v>#N/A N/A</v>
        <stp/>
        <stp>BDH|2601463939634601885</stp>
        <tr r="X23" s="2"/>
      </tp>
      <tp t="s">
        <v>#N/A N/A</v>
        <stp/>
        <stp>BDH|7093471197956410533</stp>
        <tr r="F45" s="2"/>
      </tp>
      <tp t="s">
        <v>#N/A N/A</v>
        <stp/>
        <stp>BDH|5537867947321630153</stp>
        <tr r="L24" s="2"/>
      </tp>
      <tp t="s">
        <v>#N/A N/A</v>
        <stp/>
        <stp>BDH|5063280681047969155</stp>
        <tr r="C24" s="2"/>
      </tp>
      <tp t="s">
        <v>#N/A N/A</v>
        <stp/>
        <stp>BDH|3083427971320254941</stp>
        <tr r="C33" s="2"/>
      </tp>
      <tp t="s">
        <v>#N/A N/A</v>
        <stp/>
        <stp>BDH|3351909605640130322</stp>
        <tr r="AF60" s="2"/>
      </tp>
      <tp t="s">
        <v>#N/A N/A</v>
        <stp/>
        <stp>BDH|1936125980804879566</stp>
        <tr r="S28" s="2"/>
      </tp>
      <tp t="s">
        <v>#N/A N/A</v>
        <stp/>
        <stp>BDH|2743874351450803530</stp>
        <tr r="L51" s="2"/>
      </tp>
      <tp t="s">
        <v>#N/A N/A</v>
        <stp/>
        <stp>BDH|5311110848702925892</stp>
        <tr r="T42" s="2"/>
      </tp>
      <tp t="s">
        <v>#N/A N/A</v>
        <stp/>
        <stp>BDH|2279224788804315616</stp>
        <tr r="W41" s="2"/>
      </tp>
      <tp t="s">
        <v>#N/A N/A</v>
        <stp/>
        <stp>BDH|2407523894073892710</stp>
        <tr r="L28" s="2"/>
      </tp>
      <tp t="s">
        <v>#N/A N/A</v>
        <stp/>
        <stp>BDH|5061898040015304612</stp>
        <tr r="C42" s="2"/>
      </tp>
      <tp t="s">
        <v>#N/A N/A</v>
        <stp/>
        <stp>BDH|4842016481535953390</stp>
        <tr r="AC26" s="2"/>
      </tp>
      <tp t="s">
        <v>#N/A N/A</v>
        <stp/>
        <stp>BDH|6229930656938639892</stp>
        <tr r="K49" s="2"/>
      </tp>
      <tp t="s">
        <v>#N/A N/A</v>
        <stp/>
        <stp>BDH|7686886075775601753</stp>
        <tr r="Q34" s="2"/>
      </tp>
      <tp t="s">
        <v>#N/A N/A</v>
        <stp/>
        <stp>BDH|5653031693566732089</stp>
        <tr r="E67" s="2"/>
      </tp>
      <tp t="s">
        <v>#N/A N/A</v>
        <stp/>
        <stp>BDH|3002096492147163747</stp>
        <tr r="Y26" s="2"/>
      </tp>
      <tp t="s">
        <v>#N/A N/A</v>
        <stp/>
        <stp>BDH|9901950812683054815</stp>
        <tr r="U43" s="2"/>
      </tp>
      <tp t="s">
        <v>#N/A N/A</v>
        <stp/>
        <stp>BDH|6595114979869253308</stp>
        <tr r="AA43" s="2"/>
      </tp>
      <tp t="s">
        <v>#N/A N/A</v>
        <stp/>
        <stp>BDH|8344630346824193488</stp>
        <tr r="AE27" s="2"/>
      </tp>
      <tp t="s">
        <v>#N/A N/A</v>
        <stp/>
        <stp>BDH|1627886520765322410</stp>
        <tr r="N38" s="2"/>
      </tp>
      <tp t="s">
        <v>#N/A N/A</v>
        <stp/>
        <stp>BDH|9620510460206266692</stp>
        <tr r="L62" s="2"/>
      </tp>
      <tp t="s">
        <v>#N/A N/A</v>
        <stp/>
        <stp>BDH|4755252029739018778</stp>
        <tr r="X61" s="2"/>
      </tp>
      <tp t="s">
        <v>#N/A N/A</v>
        <stp/>
        <stp>BDH|4493897272279524864</stp>
        <tr r="X34" s="2"/>
      </tp>
      <tp t="s">
        <v>#N/A N/A</v>
        <stp/>
        <stp>BDH|8401590145936088555</stp>
        <tr r="Q46" s="2"/>
      </tp>
      <tp t="s">
        <v>#N/A N/A</v>
        <stp/>
        <stp>BDH|4893872830356742389</stp>
        <tr r="O55" s="2"/>
      </tp>
      <tp t="s">
        <v>#N/A N/A</v>
        <stp/>
        <stp>BDH|4957519758759258722</stp>
        <tr r="R37" s="2"/>
      </tp>
      <tp t="s">
        <v>#N/A N/A</v>
        <stp/>
        <stp>BDH|2466907843311424424</stp>
        <tr r="E59" s="2"/>
      </tp>
      <tp t="s">
        <v>#N/A N/A</v>
        <stp/>
        <stp>BDH|1899072614619234385</stp>
        <tr r="M23" s="2"/>
      </tp>
      <tp t="s">
        <v>#N/A N/A</v>
        <stp/>
        <stp>BDH|7310358415037573874</stp>
        <tr r="Q62" s="2"/>
      </tp>
      <tp t="s">
        <v>#N/A N/A</v>
        <stp/>
        <stp>BDH|6715851342423326329</stp>
        <tr r="E49" s="2"/>
      </tp>
      <tp t="s">
        <v>#N/A N/A</v>
        <stp/>
        <stp>BDH|5186660581846638766</stp>
        <tr r="AE51" s="2"/>
      </tp>
      <tp t="s">
        <v>#N/A N/A</v>
        <stp/>
        <stp>BDH|6323956801263357637</stp>
        <tr r="O66" s="2"/>
      </tp>
      <tp t="s">
        <v>#N/A N/A</v>
        <stp/>
        <stp>BDH|9765636249092844329</stp>
        <tr r="O37" s="2"/>
      </tp>
      <tp t="s">
        <v>#N/A N/A</v>
        <stp/>
        <stp>BDH|9772989296645900649</stp>
        <tr r="O65" s="2"/>
      </tp>
      <tp t="s">
        <v>#N/A N/A</v>
        <stp/>
        <stp>BDH|6171564636673346961</stp>
        <tr r="AE19" s="2"/>
      </tp>
      <tp t="s">
        <v>#N/A N/A</v>
        <stp/>
        <stp>BDH|6158769285914312750</stp>
        <tr r="V59" s="2"/>
      </tp>
      <tp t="s">
        <v>#N/A N/A</v>
        <stp/>
        <stp>BDH|4608793948069225400</stp>
        <tr r="AD25" s="2"/>
      </tp>
      <tp t="s">
        <v>#N/A N/A</v>
        <stp/>
        <stp>BDH|6917931799615226947</stp>
        <tr r="H38" s="2"/>
      </tp>
      <tp t="s">
        <v>#N/A N/A</v>
        <stp/>
        <stp>BDH|1008229954898116425</stp>
        <tr r="AC67" s="2"/>
      </tp>
      <tp t="s">
        <v>#N/A N/A</v>
        <stp/>
        <stp>BDH|3653310085270108263</stp>
        <tr r="J50" s="2"/>
      </tp>
      <tp t="s">
        <v>#N/A N/A</v>
        <stp/>
        <stp>BDH|9882283160990727729</stp>
        <tr r="V28" s="2"/>
      </tp>
      <tp t="s">
        <v>#N/A N/A</v>
        <stp/>
        <stp>BDH|5900409142658967771</stp>
        <tr r="Z16" s="2"/>
      </tp>
      <tp t="s">
        <v>#N/A N/A</v>
        <stp/>
        <stp>BDH|8142661424475297344</stp>
        <tr r="U38" s="2"/>
      </tp>
      <tp t="s">
        <v>#N/A N/A</v>
        <stp/>
        <stp>BDH|9437505020255949077</stp>
        <tr r="H43" s="2"/>
      </tp>
      <tp t="s">
        <v>#N/A N/A</v>
        <stp/>
        <stp>BDH|9080470700567834152</stp>
        <tr r="F31" s="2"/>
      </tp>
      <tp t="s">
        <v>#N/A N/A</v>
        <stp/>
        <stp>BDH|4700556559929275625</stp>
        <tr r="R14" s="2"/>
      </tp>
      <tp t="s">
        <v>#N/A N/A</v>
        <stp/>
        <stp>BDH|8286853563325866872</stp>
        <tr r="AF63" s="2"/>
      </tp>
      <tp t="s">
        <v>#N/A N/A</v>
        <stp/>
        <stp>BDH|6209426116468933074</stp>
        <tr r="L44" s="2"/>
      </tp>
      <tp t="s">
        <v>#N/A N/A</v>
        <stp/>
        <stp>BDH|8570554932134347190</stp>
        <tr r="P24" s="2"/>
      </tp>
      <tp t="s">
        <v>#N/A N/A</v>
        <stp/>
        <stp>BDH|9794709879090330259</stp>
        <tr r="S27" s="2"/>
      </tp>
      <tp t="s">
        <v>#N/A N/A</v>
        <stp/>
        <stp>BDH|1116615692057364286</stp>
        <tr r="D12" s="2"/>
      </tp>
      <tp t="s">
        <v>#N/A N/A</v>
        <stp/>
        <stp>BDH|7494416479108148742</stp>
        <tr r="E43" s="2"/>
      </tp>
      <tp t="s">
        <v>#N/A N/A</v>
        <stp/>
        <stp>BDH|5993153094071328722</stp>
        <tr r="AE41" s="2"/>
      </tp>
      <tp t="s">
        <v>#N/A N/A</v>
        <stp/>
        <stp>BDH|7981440866299576770</stp>
        <tr r="AE66" s="2"/>
      </tp>
      <tp t="s">
        <v>#N/A N/A</v>
        <stp/>
        <stp>BDH|6021521156925887827</stp>
        <tr r="K30" s="2"/>
      </tp>
      <tp t="s">
        <v>#N/A N/A</v>
        <stp/>
        <stp>BDH|7844936232200252652</stp>
        <tr r="X42" s="2"/>
      </tp>
      <tp t="s">
        <v>#N/A N/A</v>
        <stp/>
        <stp>BDH|7304735196416972418</stp>
        <tr r="AA55" s="2"/>
      </tp>
      <tp t="s">
        <v>#N/A N/A</v>
        <stp/>
        <stp>BDH|5055419592204914757</stp>
        <tr r="AC60" s="2"/>
      </tp>
      <tp t="s">
        <v>#N/A N/A</v>
        <stp/>
        <stp>BDH|7274450398947733671</stp>
        <tr r="S51" s="2"/>
      </tp>
      <tp t="s">
        <v>#N/A N/A</v>
        <stp/>
        <stp>BDH|3235940919190855089</stp>
        <tr r="G63" s="2"/>
      </tp>
      <tp t="s">
        <v>#N/A N/A</v>
        <stp/>
        <stp>BDH|6346748166068424496</stp>
        <tr r="AD31" s="2"/>
      </tp>
      <tp t="s">
        <v>#N/A N/A</v>
        <stp/>
        <stp>BDH|7843410024908667268</stp>
        <tr r="S38" s="2"/>
      </tp>
      <tp t="s">
        <v>#N/A N/A</v>
        <stp/>
        <stp>BDH|6652964825253130598</stp>
        <tr r="AA32" s="2"/>
      </tp>
      <tp t="s">
        <v>#N/A N/A</v>
        <stp/>
        <stp>BDH|5787977771398294816</stp>
        <tr r="D47" s="2"/>
      </tp>
      <tp t="s">
        <v>#N/A N/A</v>
        <stp/>
        <stp>BDH|1039390269987097826</stp>
        <tr r="Y25" s="2"/>
      </tp>
      <tp t="s">
        <v>#N/A N/A</v>
        <stp/>
        <stp>BDH|3222624323624866890</stp>
        <tr r="G41" s="2"/>
      </tp>
      <tp t="s">
        <v>#N/A N/A</v>
        <stp/>
        <stp>BDH|1394143835489709177</stp>
        <tr r="J26" s="2"/>
      </tp>
      <tp t="s">
        <v>#N/A N/A</v>
        <stp/>
        <stp>BDH|4049631316590638805</stp>
        <tr r="AE16" s="2"/>
      </tp>
      <tp t="s">
        <v>#N/A N/A</v>
        <stp/>
        <stp>BDH|8904251378071040778</stp>
        <tr r="J45" s="2"/>
      </tp>
      <tp t="s">
        <v>#N/A N/A</v>
        <stp/>
        <stp>BDH|4608255480877227220</stp>
        <tr r="R13" s="2"/>
      </tp>
      <tp t="s">
        <v>#N/A N/A</v>
        <stp/>
        <stp>BDH|9977868267784823834</stp>
        <tr r="K64" s="2"/>
      </tp>
      <tp t="s">
        <v>#N/A N/A</v>
        <stp/>
        <stp>BDH|4734717137788003316</stp>
        <tr r="AD62" s="2"/>
      </tp>
      <tp t="s">
        <v>#N/A N/A</v>
        <stp/>
        <stp>BDH|8800051107404882727</stp>
        <tr r="L45" s="2"/>
      </tp>
      <tp t="s">
        <v>#N/A N/A</v>
        <stp/>
        <stp>BDH|7351526361638587750</stp>
        <tr r="H53" s="2"/>
      </tp>
      <tp t="s">
        <v>#N/A N/A</v>
        <stp/>
        <stp>BDH|9530377976457547119</stp>
        <tr r="Q61" s="2"/>
      </tp>
      <tp t="s">
        <v>#N/A N/A</v>
        <stp/>
        <stp>BDH|5785971665722621332</stp>
        <tr r="D48" s="2"/>
      </tp>
      <tp t="s">
        <v>#N/A N/A</v>
        <stp/>
        <stp>BDH|8494762312953453651</stp>
        <tr r="L30" s="2"/>
      </tp>
      <tp t="s">
        <v>#N/A N/A</v>
        <stp/>
        <stp>BDH|5777118034069588516</stp>
        <tr r="AE10" s="2"/>
      </tp>
      <tp t="s">
        <v>#N/A N/A</v>
        <stp/>
        <stp>BDH|4225916012494057375</stp>
        <tr r="T59" s="2"/>
      </tp>
      <tp t="s">
        <v>#N/A N/A</v>
        <stp/>
        <stp>BDH|9320121547292426541</stp>
        <tr r="S63" s="2"/>
      </tp>
      <tp t="s">
        <v>#N/A N/A</v>
        <stp/>
        <stp>BDH|5746814402756725050</stp>
        <tr r="AC51" s="2"/>
      </tp>
      <tp t="s">
        <v>#N/A N/A</v>
        <stp/>
        <stp>BDH|9497704744992214341</stp>
        <tr r="Z59" s="2"/>
      </tp>
      <tp t="s">
        <v>#N/A N/A</v>
        <stp/>
        <stp>BDH|3087637482242532424</stp>
        <tr r="Q15" s="2"/>
      </tp>
      <tp t="s">
        <v>#N/A N/A</v>
        <stp/>
        <stp>BDH|4690474769895746882</stp>
        <tr r="V38" s="2"/>
      </tp>
      <tp t="s">
        <v>#N/A N/A</v>
        <stp/>
        <stp>BDH|9642676252901290067</stp>
        <tr r="F44" s="2"/>
      </tp>
      <tp t="s">
        <v>#N/A N/A</v>
        <stp/>
        <stp>BDH|5623606052758439541</stp>
        <tr r="H60" s="2"/>
      </tp>
      <tp t="s">
        <v>#N/A N/A</v>
        <stp/>
        <stp>BDH|8306378346337793312</stp>
        <tr r="J12" s="2"/>
      </tp>
      <tp t="s">
        <v>#N/A N/A</v>
        <stp/>
        <stp>BDH|6405342405919250732</stp>
        <tr r="N18" s="2"/>
      </tp>
      <tp t="s">
        <v>#N/A N/A</v>
        <stp/>
        <stp>BDH|9020270601801274103</stp>
        <tr r="R59" s="2"/>
      </tp>
      <tp t="s">
        <v>#N/A N/A</v>
        <stp/>
        <stp>BDH|3956804871072550586</stp>
        <tr r="C47" s="2"/>
      </tp>
      <tp t="s">
        <v>#N/A N/A</v>
        <stp/>
        <stp>BDH|6602329191825283221</stp>
        <tr r="R17" s="2"/>
      </tp>
      <tp t="s">
        <v>#N/A N/A</v>
        <stp/>
        <stp>BDH|4121475095590582230</stp>
        <tr r="T61" s="2"/>
      </tp>
      <tp t="s">
        <v>#N/A N/A</v>
        <stp/>
        <stp>BDH|4923949944143440183</stp>
        <tr r="V45" s="2"/>
      </tp>
      <tp t="s">
        <v>#N/A N/A</v>
        <stp/>
        <stp>BDH|5949727670755123407</stp>
        <tr r="G44" s="2"/>
      </tp>
      <tp t="s">
        <v>#N/A N/A</v>
        <stp/>
        <stp>BDH|8444722930438801042</stp>
        <tr r="X26" s="2"/>
      </tp>
      <tp t="s">
        <v>#N/A N/A</v>
        <stp/>
        <stp>BDH|3451853529435198838</stp>
        <tr r="AC43" s="2"/>
      </tp>
      <tp t="s">
        <v>#N/A N/A</v>
        <stp/>
        <stp>BDH|3683363969604309609</stp>
        <tr r="H62" s="2"/>
      </tp>
      <tp t="s">
        <v>#N/A N/A</v>
        <stp/>
        <stp>BDH|5137146632280880359</stp>
        <tr r="AA10" s="2"/>
      </tp>
      <tp t="s">
        <v>#N/A N/A</v>
        <stp/>
        <stp>BDH|5807493609257493263</stp>
        <tr r="AF22" s="2"/>
      </tp>
      <tp t="s">
        <v>#N/A N/A</v>
        <stp/>
        <stp>BDH|9242898565565668622</stp>
        <tr r="AB16" s="2"/>
      </tp>
      <tp t="s">
        <v>#N/A N/A</v>
        <stp/>
        <stp>BDH|7514662859082049228</stp>
        <tr r="W50" s="2"/>
      </tp>
      <tp t="s">
        <v>#N/A N/A</v>
        <stp/>
        <stp>BDH|1601853151169946138</stp>
        <tr r="V22" s="2"/>
      </tp>
      <tp t="s">
        <v>#N/A N/A</v>
        <stp/>
        <stp>BDH|7854567652501512218</stp>
        <tr r="P32" s="2"/>
      </tp>
      <tp t="s">
        <v>#N/A N/A</v>
        <stp/>
        <stp>BDH|1701045518940488464</stp>
        <tr r="C26" s="2"/>
      </tp>
      <tp t="s">
        <v>#N/A N/A</v>
        <stp/>
        <stp>BDH|8974081884340471480</stp>
        <tr r="Q50" s="2"/>
      </tp>
      <tp t="s">
        <v>#N/A N/A</v>
        <stp/>
        <stp>BDH|6528936268304441937</stp>
        <tr r="I15" s="2"/>
      </tp>
      <tp t="s">
        <v>#N/A N/A</v>
        <stp/>
        <stp>BDH|2666586270593676718</stp>
        <tr r="M27" s="2"/>
      </tp>
      <tp t="s">
        <v>#N/A N/A</v>
        <stp/>
        <stp>BDH|1726967584397862333</stp>
        <tr r="Y34" s="2"/>
      </tp>
      <tp t="s">
        <v>#N/A N/A</v>
        <stp/>
        <stp>BDH|6732173864244968139</stp>
        <tr r="Z35" s="2"/>
      </tp>
      <tp t="s">
        <v>#N/A N/A</v>
        <stp/>
        <stp>BDH|4844938887923086230</stp>
        <tr r="S65" s="2"/>
      </tp>
      <tp t="s">
        <v>#N/A N/A</v>
        <stp/>
        <stp>BDH|1225058087318840572</stp>
        <tr r="L13" s="2"/>
      </tp>
      <tp t="s">
        <v>#N/A N/A</v>
        <stp/>
        <stp>BDH|4708719531387960326</stp>
        <tr r="W66" s="2"/>
      </tp>
      <tp t="s">
        <v>#N/A N/A</v>
        <stp/>
        <stp>BDH|1889452988839045099</stp>
        <tr r="T37" s="2"/>
      </tp>
      <tp t="s">
        <v>#N/A N/A</v>
        <stp/>
        <stp>BDH|2512009648294766663</stp>
        <tr r="T31" s="2"/>
      </tp>
      <tp t="s">
        <v>#N/A N/A</v>
        <stp/>
        <stp>BDH|3557121789437588968</stp>
        <tr r="I19" s="2"/>
      </tp>
      <tp t="s">
        <v>#N/A N/A</v>
        <stp/>
        <stp>BDH|9897653295063051154</stp>
        <tr r="M31" s="2"/>
      </tp>
      <tp t="s">
        <v>#N/A N/A</v>
        <stp/>
        <stp>BDH|8451597676138297641</stp>
        <tr r="I65" s="2"/>
      </tp>
      <tp t="s">
        <v>#N/A N/A</v>
        <stp/>
        <stp>BDH|9063936924393066554</stp>
        <tr r="U45" s="2"/>
      </tp>
      <tp t="s">
        <v>#N/A N/A</v>
        <stp/>
        <stp>BDH|8127535671096837893</stp>
        <tr r="J66" s="2"/>
      </tp>
      <tp t="s">
        <v>#N/A N/A</v>
        <stp/>
        <stp>BDH|2154818227279336564</stp>
        <tr r="Y67" s="2"/>
      </tp>
      <tp t="s">
        <v>#N/A N/A</v>
        <stp/>
        <stp>BDH|8128825213894630147</stp>
        <tr r="R23" s="2"/>
      </tp>
      <tp t="s">
        <v>#N/A N/A</v>
        <stp/>
        <stp>BDH|2426103973836055657</stp>
        <tr r="D37" s="2"/>
      </tp>
      <tp t="s">
        <v>#N/A N/A</v>
        <stp/>
        <stp>BDH|5012678342065180677</stp>
        <tr r="N22" s="2"/>
      </tp>
      <tp t="s">
        <v>#N/A N/A</v>
        <stp/>
        <stp>BDH|3415789037472935112</stp>
        <tr r="U47" s="2"/>
      </tp>
      <tp t="s">
        <v>#N/A N/A</v>
        <stp/>
        <stp>BDH|9744132851671534802</stp>
        <tr r="AA67" s="2"/>
      </tp>
      <tp t="s">
        <v>#N/A N/A</v>
        <stp/>
        <stp>BDH|6579175055621647714</stp>
        <tr r="R62" s="2"/>
      </tp>
      <tp t="s">
        <v>#N/A N/A</v>
        <stp/>
        <stp>BDH|9546551565558058652</stp>
        <tr r="J44" s="2"/>
      </tp>
      <tp t="s">
        <v>#N/A N/A</v>
        <stp/>
        <stp>BDH|8340171551319694134</stp>
        <tr r="M12" s="2"/>
      </tp>
      <tp t="s">
        <v>#N/A N/A</v>
        <stp/>
        <stp>BDH|7329341765650265613</stp>
        <tr r="W30" s="2"/>
      </tp>
      <tp t="s">
        <v>#N/A N/A</v>
        <stp/>
        <stp>BDH|5435320714210550367</stp>
        <tr r="AB50" s="2"/>
      </tp>
      <tp t="s">
        <v>#N/A N/A</v>
        <stp/>
        <stp>BDH|5635068670445888394</stp>
        <tr r="J25" s="2"/>
      </tp>
      <tp t="s">
        <v>#N/A N/A</v>
        <stp/>
        <stp>BDH|1302591591341856820</stp>
        <tr r="AA65" s="2"/>
      </tp>
      <tp t="s">
        <v>#N/A N/A</v>
        <stp/>
        <stp>BDH|9293039981605187005</stp>
        <tr r="K46" s="2"/>
      </tp>
      <tp t="s">
        <v>#N/A N/A</v>
        <stp/>
        <stp>BDH|1181579070451010600</stp>
        <tr r="AE46" s="2"/>
      </tp>
      <tp t="s">
        <v>#N/A N/A</v>
        <stp/>
        <stp>BDH|9375422385369257808</stp>
        <tr r="AD38" s="2"/>
      </tp>
      <tp t="s">
        <v>#N/A N/A</v>
        <stp/>
        <stp>BDH|4313469435057479024</stp>
        <tr r="U35" s="2"/>
      </tp>
      <tp t="s">
        <v>#N/A N/A</v>
        <stp/>
        <stp>BDH|6680776835710747653</stp>
        <tr r="Q51" s="2"/>
      </tp>
      <tp t="s">
        <v>#N/A N/A</v>
        <stp/>
        <stp>BDH|9301577803800683864</stp>
        <tr r="AB55" s="2"/>
      </tp>
      <tp t="s">
        <v>#N/A N/A</v>
        <stp/>
        <stp>BDH|7812003721900800163</stp>
        <tr r="W8" s="2"/>
      </tp>
      <tp t="s">
        <v>#N/A N/A</v>
        <stp/>
        <stp>BDH|9184773000529320324</stp>
        <tr r="AE59" s="2"/>
      </tp>
      <tp t="s">
        <v>#N/A N/A</v>
        <stp/>
        <stp>BDH|1418322561365088502</stp>
        <tr r="E29" s="2"/>
      </tp>
      <tp t="s">
        <v>#N/A N/A</v>
        <stp/>
        <stp>BDH|9962642996334926659</stp>
        <tr r="W17" s="2"/>
      </tp>
      <tp t="s">
        <v>#N/A N/A</v>
        <stp/>
        <stp>BDH|2002020285636220812</stp>
        <tr r="E17" s="2"/>
      </tp>
      <tp t="s">
        <v>#N/A N/A</v>
        <stp/>
        <stp>BDH|2390699719811446037</stp>
        <tr r="Y43" s="2"/>
      </tp>
      <tp t="s">
        <v>#N/A N/A</v>
        <stp/>
        <stp>BDH|2156726386611924888</stp>
        <tr r="N51" s="2"/>
      </tp>
      <tp t="s">
        <v>#N/A N/A</v>
        <stp/>
        <stp>BDH|8193041791962352724</stp>
        <tr r="C34" s="2"/>
      </tp>
      <tp t="s">
        <v>#N/A N/A</v>
        <stp/>
        <stp>BDH|7865100743457855167</stp>
        <tr r="F32" s="2"/>
      </tp>
      <tp t="s">
        <v>#N/A N/A</v>
        <stp/>
        <stp>BDH|5709453640653441232</stp>
        <tr r="C67" s="2"/>
      </tp>
      <tp t="s">
        <v>#N/A N/A</v>
        <stp/>
        <stp>BDH|1559621702257115415</stp>
        <tr r="I61" s="2"/>
      </tp>
      <tp t="s">
        <v>#N/A N/A</v>
        <stp/>
        <stp>BDH|1916088146146006721</stp>
        <tr r="C65" s="2"/>
      </tp>
      <tp t="s">
        <v>#N/A N/A</v>
        <stp/>
        <stp>BDH|8914822917977819213</stp>
        <tr r="N23" s="2"/>
      </tp>
      <tp t="s">
        <v>#N/A N/A</v>
        <stp/>
        <stp>BDH|9663968264871924275</stp>
        <tr r="H25" s="2"/>
      </tp>
      <tp t="s">
        <v>#N/A N/A</v>
        <stp/>
        <stp>BDH|9959155896510390434</stp>
        <tr r="Z30" s="2"/>
      </tp>
      <tp t="s">
        <v>#N/A N/A</v>
        <stp/>
        <stp>BDH|3130065053737693486</stp>
        <tr r="J46" s="2"/>
      </tp>
      <tp t="s">
        <v>#N/A N/A</v>
        <stp/>
        <stp>BDH|6501325444016166292</stp>
        <tr r="AC50" s="2"/>
      </tp>
      <tp t="s">
        <v>#N/A N/A</v>
        <stp/>
        <stp>BDH|1997913334616147868</stp>
        <tr r="AE13" s="2"/>
      </tp>
      <tp t="s">
        <v>#N/A N/A</v>
        <stp/>
        <stp>BDH|9733886113292636713</stp>
        <tr r="L16" s="2"/>
      </tp>
      <tp t="s">
        <v>#N/A N/A</v>
        <stp/>
        <stp>BDH|9346710248497604876</stp>
        <tr r="K61" s="2"/>
      </tp>
      <tp t="s">
        <v>#N/A N/A</v>
        <stp/>
        <stp>BDH|5912047849463883773</stp>
        <tr r="J49" s="2"/>
      </tp>
      <tp t="s">
        <v>#N/A N/A</v>
        <stp/>
        <stp>BDH|1413243229216156207</stp>
        <tr r="G27" s="2"/>
      </tp>
      <tp t="s">
        <v>#N/A N/A</v>
        <stp/>
        <stp>BDH|1217808009609595563</stp>
        <tr r="E7" s="2"/>
      </tp>
      <tp t="s">
        <v>#N/A N/A</v>
        <stp/>
        <stp>BDH|7884284693038377185</stp>
        <tr r="H48" s="2"/>
      </tp>
      <tp t="s">
        <v>#N/A N/A</v>
        <stp/>
        <stp>BDH|6582062032372978218</stp>
        <tr r="AF36" s="2"/>
      </tp>
      <tp t="s">
        <v>#N/A N/A</v>
        <stp/>
        <stp>BDH|7881655454852511325</stp>
        <tr r="H65" s="2"/>
      </tp>
      <tp t="s">
        <v>#N/A N/A</v>
        <stp/>
        <stp>BDH|3995825725385120906</stp>
        <tr r="M36" s="2"/>
      </tp>
      <tp t="s">
        <v>#N/A N/A</v>
        <stp/>
        <stp>BDH|2018591788508722298</stp>
        <tr r="X31" s="2"/>
      </tp>
      <tp t="s">
        <v>#N/A N/A</v>
        <stp/>
        <stp>BDH|6296207338520408215</stp>
        <tr r="C14" s="2"/>
      </tp>
      <tp t="s">
        <v>#N/A N/A</v>
        <stp/>
        <stp>BDH|3945045905082729435</stp>
        <tr r="C18" s="2"/>
      </tp>
      <tp t="s">
        <v>#N/A N/A</v>
        <stp/>
        <stp>BDH|1737179919051314563</stp>
        <tr r="K19" s="2"/>
      </tp>
      <tp t="s">
        <v>#N/A N/A</v>
        <stp/>
        <stp>BDH|7980220461152027472</stp>
        <tr r="X65" s="2"/>
      </tp>
      <tp t="s">
        <v>#N/A N/A</v>
        <stp/>
        <stp>BDH|6911851188876106583</stp>
        <tr r="U13" s="2"/>
      </tp>
      <tp t="s">
        <v>#N/A N/A</v>
        <stp/>
        <stp>BDH|4515006756676961282</stp>
        <tr r="AC66" s="2"/>
      </tp>
      <tp t="s">
        <v>#N/A N/A</v>
        <stp/>
        <stp>BDH|1439224564588289821</stp>
        <tr r="V61" s="2"/>
      </tp>
      <tp t="s">
        <v>#N/A N/A</v>
        <stp/>
        <stp>BDH|5770341621989638866</stp>
        <tr r="I53" s="2"/>
      </tp>
      <tp t="s">
        <v>#N/A N/A</v>
        <stp/>
        <stp>BDH|9087900857514555407</stp>
        <tr r="N12" s="2"/>
      </tp>
      <tp t="s">
        <v>#N/A N/A</v>
        <stp/>
        <stp>BDH|1215191692388931430</stp>
        <tr r="Q14" s="2"/>
      </tp>
      <tp t="s">
        <v>#N/A N/A</v>
        <stp/>
        <stp>BDH|3780629202992595214</stp>
        <tr r="X13" s="2"/>
      </tp>
      <tp t="s">
        <v>#N/A N/A</v>
        <stp/>
        <stp>BDH|8659412801699141040</stp>
        <tr r="AB26" s="2"/>
      </tp>
      <tp t="s">
        <v>#N/A N/A</v>
        <stp/>
        <stp>BDH|4290928926503640939</stp>
        <tr r="V43" s="2"/>
      </tp>
      <tp t="s">
        <v>#N/A N/A</v>
        <stp/>
        <stp>BDH|4281666974399626957</stp>
        <tr r="F28" s="2"/>
      </tp>
      <tp t="s">
        <v>#N/A N/A</v>
        <stp/>
        <stp>BDH|6746641232977107132</stp>
        <tr r="R10" s="2"/>
      </tp>
      <tp t="s">
        <v>#N/A N/A</v>
        <stp/>
        <stp>BDH|8415560860217394919</stp>
        <tr r="O50" s="2"/>
      </tp>
      <tp t="s">
        <v>#N/A N/A</v>
        <stp/>
        <stp>BDH|9190779660314613909</stp>
        <tr r="G23" s="2"/>
      </tp>
      <tp t="s">
        <v>#N/A N/A</v>
        <stp/>
        <stp>BDH|2741928943428200242</stp>
        <tr r="S34" s="2"/>
      </tp>
      <tp t="s">
        <v>#N/A N/A</v>
        <stp/>
        <stp>BDH|7591536800327295049</stp>
        <tr r="S53" s="2"/>
      </tp>
      <tp t="s">
        <v>#N/A N/A</v>
        <stp/>
        <stp>BDH|5692489918271096470</stp>
        <tr r="X48" s="2"/>
      </tp>
      <tp t="s">
        <v>#N/A N/A</v>
        <stp/>
        <stp>BDH|9522644722090010829</stp>
        <tr r="O26" s="2"/>
      </tp>
      <tp t="s">
        <v>#N/A N/A</v>
        <stp/>
        <stp>BDH|9444729455128683635</stp>
        <tr r="Q60" s="2"/>
      </tp>
      <tp t="s">
        <v>#N/A N/A</v>
        <stp/>
        <stp>BDH|6235536605695756357</stp>
        <tr r="W37" s="2"/>
      </tp>
      <tp t="s">
        <v>#N/A N/A</v>
        <stp/>
        <stp>BDH|7629165771794382048</stp>
        <tr r="P19" s="2"/>
      </tp>
      <tp t="s">
        <v>#N/A N/A</v>
        <stp/>
        <stp>BDH|2411060801082019550</stp>
        <tr r="U49" s="2"/>
      </tp>
      <tp t="s">
        <v>#N/A N/A</v>
        <stp/>
        <stp>BDH|7300379000892225301</stp>
        <tr r="M61" s="2"/>
      </tp>
      <tp t="s">
        <v>#N/A N/A</v>
        <stp/>
        <stp>BDH|2274644556893370751</stp>
        <tr r="H49" s="2"/>
      </tp>
      <tp t="s">
        <v>#N/A N/A</v>
        <stp/>
        <stp>BDH|6739464216864884299</stp>
        <tr r="G53" s="2"/>
      </tp>
      <tp t="s">
        <v>#N/A N/A</v>
        <stp/>
        <stp>BDH|3638480829108514853</stp>
        <tr r="AD15" s="2"/>
      </tp>
      <tp t="s">
        <v>#N/A N/A</v>
        <stp/>
        <stp>BDH|9052652892702642164</stp>
        <tr r="AC13" s="2"/>
      </tp>
      <tp t="s">
        <v>#N/A N/A</v>
        <stp/>
        <stp>BDH|8398019575793241927</stp>
        <tr r="W10" s="2"/>
      </tp>
      <tp t="s">
        <v>#N/A N/A</v>
        <stp/>
        <stp>BDH|8897921924381039795</stp>
        <tr r="I67" s="2"/>
      </tp>
      <tp t="s">
        <v>#N/A N/A</v>
        <stp/>
        <stp>BDH|8431655203258237379</stp>
        <tr r="T34" s="2"/>
      </tp>
      <tp t="s">
        <v>#N/A N/A</v>
        <stp/>
        <stp>BDH|7026583979134723423</stp>
        <tr r="R33" s="2"/>
      </tp>
      <tp t="s">
        <v>#N/A N/A</v>
        <stp/>
        <stp>BDH|4575962093300763132</stp>
        <tr r="G34" s="2"/>
      </tp>
      <tp t="s">
        <v>#N/A N/A</v>
        <stp/>
        <stp>BDH|4617309536943231260</stp>
        <tr r="Y24" s="2"/>
      </tp>
      <tp t="s">
        <v>#N/A N/A</v>
        <stp/>
        <stp>BDH|5326556602666440342</stp>
        <tr r="V13" s="2"/>
      </tp>
      <tp t="s">
        <v>#N/A N/A</v>
        <stp/>
        <stp>BDH|3254730918018873856</stp>
        <tr r="AC11" s="2"/>
      </tp>
      <tp t="s">
        <v>#N/A N/A</v>
        <stp/>
        <stp>BDH|4979242277633905775</stp>
        <tr r="S7" s="2"/>
      </tp>
      <tp t="s">
        <v>#N/A N/A</v>
        <stp/>
        <stp>BDH|1564687629051406148</stp>
        <tr r="V9" s="2"/>
      </tp>
      <tp t="s">
        <v>#N/A N/A</v>
        <stp/>
        <stp>BDH|4782670279189453995</stp>
        <tr r="S36" s="2"/>
      </tp>
      <tp t="s">
        <v>#N/A N/A</v>
        <stp/>
        <stp>BDH|8385717396585074607</stp>
        <tr r="D44" s="2"/>
      </tp>
      <tp t="s">
        <v>#N/A N/A</v>
        <stp/>
        <stp>BDH|9211615977265312838</stp>
        <tr r="F46" s="2"/>
      </tp>
      <tp t="s">
        <v>#N/A N/A</v>
        <stp/>
        <stp>BDH|1847281853132674106</stp>
        <tr r="Y15" s="2"/>
      </tp>
      <tp t="s">
        <v>#N/A N/A</v>
        <stp/>
        <stp>BDH|9469600270439328427</stp>
        <tr r="AE15" s="2"/>
      </tp>
      <tp t="s">
        <v>#N/A N/A</v>
        <stp/>
        <stp>BDH|2446337749806527512</stp>
        <tr r="G37" s="2"/>
      </tp>
      <tp t="s">
        <v>#N/A N/A</v>
        <stp/>
        <stp>BDH|7464581924985043321</stp>
        <tr r="D43" s="2"/>
      </tp>
      <tp t="s">
        <v>#N/A N/A</v>
        <stp/>
        <stp>BDH|6098622960929147987</stp>
        <tr r="L41" s="2"/>
      </tp>
      <tp t="s">
        <v>#N/A N/A</v>
        <stp/>
        <stp>BDH|2852076910083619621</stp>
        <tr r="AD13" s="2"/>
      </tp>
      <tp t="s">
        <v>#N/A N/A</v>
        <stp/>
        <stp>BDH|2516804443109572186</stp>
        <tr r="F35" s="2"/>
      </tp>
      <tp t="s">
        <v>#N/A N/A</v>
        <stp/>
        <stp>BDH|4000382864363626415</stp>
        <tr r="AC14" s="2"/>
      </tp>
      <tp t="s">
        <v>#N/A N/A</v>
        <stp/>
        <stp>BDH|7116568788498119450</stp>
        <tr r="AF46" s="2"/>
      </tp>
      <tp t="s">
        <v>#N/A N/A</v>
        <stp/>
        <stp>BDH|1465989104919384735</stp>
        <tr r="O28" s="2"/>
      </tp>
      <tp t="s">
        <v>#N/A N/A</v>
        <stp/>
        <stp>BDH|4239512796878961643</stp>
        <tr r="AF29" s="2"/>
      </tp>
      <tp t="s">
        <v>#N/A N/A</v>
        <stp/>
        <stp>BDH|2777532900047891643</stp>
        <tr r="AF10" s="2"/>
      </tp>
      <tp t="s">
        <v>#N/A N/A</v>
        <stp/>
        <stp>BDH|8667057925349971560</stp>
        <tr r="AD46" s="2"/>
      </tp>
      <tp t="s">
        <v>#N/A N/A</v>
        <stp/>
        <stp>BDH|4812168973800605425</stp>
        <tr r="Y23" s="2"/>
      </tp>
      <tp t="s">
        <v>#N/A N/A</v>
        <stp/>
        <stp>BDH|8676103958082485837</stp>
        <tr r="D53" s="2"/>
      </tp>
      <tp t="s">
        <v>#N/A N/A</v>
        <stp/>
        <stp>BDH|7060681782699372673</stp>
        <tr r="F26" s="2"/>
      </tp>
      <tp t="s">
        <v>#N/A N/A</v>
        <stp/>
        <stp>BDH|8190588084760692358</stp>
        <tr r="V62" s="2"/>
      </tp>
      <tp t="s">
        <v>#N/A N/A</v>
        <stp/>
        <stp>BDH|1893245326810056748</stp>
        <tr r="O49" s="2"/>
      </tp>
      <tp t="s">
        <v>#N/A N/A</v>
        <stp/>
        <stp>BDH|1976367555448188953</stp>
        <tr r="G19" s="2"/>
      </tp>
      <tp t="s">
        <v>#N/A N/A</v>
        <stp/>
        <stp>BDH|8127298306275834999</stp>
        <tr r="Q49" s="2"/>
      </tp>
      <tp t="s">
        <v>#N/A N/A</v>
        <stp/>
        <stp>BDH|6754327799359239319</stp>
        <tr r="D59" s="2"/>
      </tp>
      <tp t="s">
        <v>#N/A N/A</v>
        <stp/>
        <stp>BDH|6029139899611156971</stp>
        <tr r="AC28" s="2"/>
      </tp>
      <tp t="s">
        <v>#N/A N/A</v>
        <stp/>
        <stp>BDH|9488616521512829906</stp>
        <tr r="G65" s="2"/>
      </tp>
      <tp t="s">
        <v>#N/A N/A</v>
        <stp/>
        <stp>BDH|3943309375769409845</stp>
        <tr r="P62" s="2"/>
      </tp>
      <tp t="s">
        <v>#N/A N/A</v>
        <stp/>
        <stp>BDH|6738401521303968521</stp>
        <tr r="G24" s="2"/>
      </tp>
      <tp t="s">
        <v>#N/A N/A</v>
        <stp/>
        <stp>BDH|4094238384638292087</stp>
        <tr r="X18" s="2"/>
      </tp>
      <tp t="s">
        <v>#N/A N/A</v>
        <stp/>
        <stp>BDH|5633587038263013645</stp>
        <tr r="U16" s="2"/>
      </tp>
      <tp t="s">
        <v>#N/A N/A</v>
        <stp/>
        <stp>BDH|7981806786362543380</stp>
        <tr r="AC64" s="2"/>
      </tp>
      <tp t="s">
        <v>#N/A N/A</v>
        <stp/>
        <stp>BDH|6360519235431555704</stp>
        <tr r="O10" s="2"/>
      </tp>
      <tp t="s">
        <v>#N/A N/A</v>
        <stp/>
        <stp>BDH|1601520147367986181</stp>
        <tr r="Y8" s="2"/>
      </tp>
      <tp t="s">
        <v>#N/A N/A</v>
        <stp/>
        <stp>BDH|1224129858816390595</stp>
        <tr r="O47" s="2"/>
      </tp>
      <tp t="s">
        <v>#N/A N/A</v>
        <stp/>
        <stp>BDH|7006502692659139419</stp>
        <tr r="N62" s="2"/>
      </tp>
      <tp t="s">
        <v>#N/A N/A</v>
        <stp/>
        <stp>BDH|4132355526090901387</stp>
        <tr r="M65" s="2"/>
      </tp>
      <tp t="s">
        <v>#N/A N/A</v>
        <stp/>
        <stp>BDH|4466646814702505724</stp>
        <tr r="H51" s="2"/>
      </tp>
      <tp t="s">
        <v>#N/A N/A</v>
        <stp/>
        <stp>BDH|9522332342280308846</stp>
        <tr r="AE29" s="2"/>
      </tp>
      <tp t="s">
        <v>#N/A N/A</v>
        <stp/>
        <stp>BDH|5192486605080715781</stp>
        <tr r="AE30" s="2"/>
      </tp>
      <tp t="s">
        <v>#N/A N/A</v>
        <stp/>
        <stp>BDH|1178656860013409400</stp>
        <tr r="I36" s="2"/>
      </tp>
      <tp t="s">
        <v>#N/A N/A</v>
        <stp/>
        <stp>BDH|3158754645402101401</stp>
        <tr r="T35" s="2"/>
      </tp>
      <tp t="s">
        <v>#N/A N/A</v>
        <stp/>
        <stp>BDH|4756481354562932128</stp>
        <tr r="Q30" s="2"/>
      </tp>
      <tp t="s">
        <v>#N/A N/A</v>
        <stp/>
        <stp>BDH|6275679183399223743</stp>
        <tr r="K9" s="2"/>
      </tp>
      <tp t="s">
        <v>#N/A N/A</v>
        <stp/>
        <stp>BDH|3164533237363410018</stp>
        <tr r="G9" s="2"/>
      </tp>
      <tp t="s">
        <v>#N/A N/A</v>
        <stp/>
        <stp>BDH|9561007897014057237</stp>
        <tr r="AC48" s="2"/>
      </tp>
      <tp t="s">
        <v>#N/A N/A</v>
        <stp/>
        <stp>BDH|6762036667117737150</stp>
        <tr r="J34" s="2"/>
      </tp>
      <tp t="s">
        <v>#N/A N/A</v>
        <stp/>
        <stp>BDH|7022698211193983506</stp>
        <tr r="AA35" s="2"/>
      </tp>
      <tp t="s">
        <v>#N/A N/A</v>
        <stp/>
        <stp>BDH|4629981162765983845</stp>
        <tr r="S26" s="2"/>
      </tp>
      <tp t="s">
        <v>#N/A N/A</v>
        <stp/>
        <stp>BDH|4115168167142715763</stp>
        <tr r="V30" s="2"/>
      </tp>
      <tp t="s">
        <v>#N/A N/A</v>
        <stp/>
        <stp>BDH|4391691045583052399</stp>
        <tr r="N44" s="2"/>
      </tp>
      <tp t="s">
        <v>#N/A N/A</v>
        <stp/>
        <stp>BDH|6434094365015872367</stp>
        <tr r="AA14" s="2"/>
      </tp>
      <tp t="s">
        <v>#N/A N/A</v>
        <stp/>
        <stp>BDH|1670541480702272860</stp>
        <tr r="R16" s="2"/>
      </tp>
      <tp t="s">
        <v>#N/A N/A</v>
        <stp/>
        <stp>BDH|3626623682698985392</stp>
        <tr r="K14" s="2"/>
      </tp>
      <tp t="s">
        <v>#N/A N/A</v>
        <stp/>
        <stp>BDH|9842005666289893019</stp>
        <tr r="X17" s="2"/>
      </tp>
      <tp t="s">
        <v>#N/A N/A</v>
        <stp/>
        <stp>BDH|6320717775359724973</stp>
        <tr r="I50" s="2"/>
      </tp>
      <tp t="s">
        <v>#N/A N/A</v>
        <stp/>
        <stp>BDH|1806925800816516885</stp>
        <tr r="Y17" s="2"/>
      </tp>
      <tp t="s">
        <v>#N/A N/A</v>
        <stp/>
        <stp>BDH|8883225748769738121</stp>
        <tr r="C32" s="2"/>
      </tp>
      <tp t="s">
        <v>#N/A N/A</v>
        <stp/>
        <stp>BDH|7454484142938066994</stp>
        <tr r="U36" s="2"/>
      </tp>
      <tp t="s">
        <v>#N/A N/A</v>
        <stp/>
        <stp>BDH|6452085508810235014</stp>
        <tr r="AB53" s="2"/>
      </tp>
      <tp t="s">
        <v>#N/A N/A</v>
        <stp/>
        <stp>BDH|3128879565373622824</stp>
        <tr r="Q32" s="2"/>
      </tp>
      <tp t="s">
        <v>#N/A N/A</v>
        <stp/>
        <stp>BDH|1138810336105550949</stp>
        <tr r="R50" s="2"/>
      </tp>
      <tp t="s">
        <v>#N/A N/A</v>
        <stp/>
        <stp>BDH|7474173139940664385</stp>
        <tr r="H41" s="2"/>
      </tp>
      <tp t="s">
        <v>#N/A N/A</v>
        <stp/>
        <stp>BDH|4373637804576123219</stp>
        <tr r="V34" s="2"/>
      </tp>
      <tp t="s">
        <v>#N/A N/A</v>
        <stp/>
        <stp>BDH|4693050546577227128</stp>
        <tr r="W13" s="2"/>
      </tp>
      <tp t="s">
        <v>#N/A N/A</v>
        <stp/>
        <stp>BDH|9015825103916337176</stp>
        <tr r="E26" s="2"/>
      </tp>
      <tp t="s">
        <v>#N/A N/A</v>
        <stp/>
        <stp>BDH|4302097855255039354</stp>
        <tr r="S29" s="2"/>
      </tp>
      <tp t="s">
        <v>#N/A N/A</v>
        <stp/>
        <stp>BDH|1819151937267522359</stp>
        <tr r="U60" s="2"/>
      </tp>
      <tp t="s">
        <v>#N/A N/A</v>
        <stp/>
        <stp>BDH|7985821937608225345</stp>
        <tr r="U32" s="2"/>
      </tp>
      <tp t="s">
        <v>#N/A N/A</v>
        <stp/>
        <stp>BDH|3470699014080295301</stp>
        <tr r="S49" s="2"/>
      </tp>
      <tp t="s">
        <v>#N/A N/A</v>
        <stp/>
        <stp>BDH|5683777056392800240</stp>
        <tr r="J31" s="2"/>
      </tp>
      <tp t="s">
        <v>#N/A N/A</v>
        <stp/>
        <stp>BDH|5456612768005084760</stp>
        <tr r="U55" s="2"/>
      </tp>
      <tp t="s">
        <v>#N/A N/A</v>
        <stp/>
        <stp>BDH|8006725060816295886</stp>
        <tr r="V64" s="2"/>
      </tp>
      <tp t="s">
        <v>#N/A N/A</v>
        <stp/>
        <stp>BDH|5207034529157009703</stp>
        <tr r="R64" s="2"/>
      </tp>
      <tp t="s">
        <v>#N/A N/A</v>
        <stp/>
        <stp>BDH|6995572343910660025</stp>
        <tr r="AE23" s="2"/>
      </tp>
      <tp t="s">
        <v>#N/A N/A</v>
        <stp/>
        <stp>BDH|8826547688555812752</stp>
        <tr r="T14" s="2"/>
      </tp>
      <tp t="s">
        <v>#N/A N/A</v>
        <stp/>
        <stp>BDH|1223595172255813182</stp>
        <tr r="G29" s="2"/>
      </tp>
      <tp t="s">
        <v>#N/A N/A</v>
        <stp/>
        <stp>BDH|3156423297398929148</stp>
        <tr r="J36" s="2"/>
      </tp>
      <tp t="s">
        <v>#N/A N/A</v>
        <stp/>
        <stp>BDH|6866502458013695299</stp>
        <tr r="X43" s="2"/>
      </tp>
      <tp t="s">
        <v>#N/A N/A</v>
        <stp/>
        <stp>BDH|6233209637002877222</stp>
        <tr r="L18" s="2"/>
      </tp>
      <tp t="s">
        <v>#N/A N/A</v>
        <stp/>
        <stp>BDH|8179891172396418624</stp>
        <tr r="I31" s="2"/>
      </tp>
      <tp t="s">
        <v>#N/A N/A</v>
        <stp/>
        <stp>BDH|7358644595586838964</stp>
        <tr r="Y51" s="2"/>
      </tp>
      <tp t="s">
        <v>#N/A N/A</v>
        <stp/>
        <stp>BDH|9423762558739679511</stp>
        <tr r="V35" s="2"/>
      </tp>
      <tp t="s">
        <v>#N/A N/A</v>
        <stp/>
        <stp>BDH|3284779351630065693</stp>
        <tr r="G14" s="2"/>
      </tp>
      <tp t="s">
        <v>#N/A N/A</v>
        <stp/>
        <stp>BDH|1524645626255219782</stp>
        <tr r="AA18" s="2"/>
      </tp>
      <tp t="s">
        <v>#N/A N/A</v>
        <stp/>
        <stp>BDH|6785278323872647383</stp>
        <tr r="U15" s="2"/>
      </tp>
      <tp t="s">
        <v>#N/A N/A</v>
        <stp/>
        <stp>BDH|5868905907142091925</stp>
        <tr r="C51" s="2"/>
      </tp>
      <tp t="s">
        <v>#N/A N/A</v>
        <stp/>
        <stp>BDH|6339714043615155727</stp>
        <tr r="AF8" s="2"/>
      </tp>
      <tp t="s">
        <v>#N/A N/A</v>
        <stp/>
        <stp>BDH|1978199283669256639</stp>
        <tr r="K63" s="2"/>
      </tp>
      <tp t="s">
        <v>#N/A N/A</v>
        <stp/>
        <stp>BDH|3475379336594696004</stp>
        <tr r="P44" s="2"/>
      </tp>
      <tp t="s">
        <v>#N/A N/A</v>
        <stp/>
        <stp>BDH|3736418259967927259</stp>
        <tr r="V29" s="2"/>
      </tp>
      <tp t="s">
        <v>#N/A N/A</v>
        <stp/>
        <stp>BDH|5258149453653179540</stp>
        <tr r="AF25" s="2"/>
      </tp>
      <tp t="s">
        <v>#N/A N/A</v>
        <stp/>
        <stp>BDH|9349922214125622325</stp>
        <tr r="C35" s="2"/>
      </tp>
      <tp t="s">
        <v>#N/A N/A</v>
        <stp/>
        <stp>BDH|2305006823801646679</stp>
        <tr r="AA27" s="2"/>
      </tp>
      <tp t="s">
        <v>#N/A N/A</v>
        <stp/>
        <stp>BDH|8312831505406111157</stp>
        <tr r="X67" s="2"/>
      </tp>
      <tp t="s">
        <v>#N/A N/A</v>
        <stp/>
        <stp>BDH|3178060372190738337</stp>
        <tr r="R15" s="2"/>
      </tp>
      <tp t="s">
        <v>#N/A N/A</v>
        <stp/>
        <stp>BDH|9657986967147932615</stp>
        <tr r="E14" s="2"/>
      </tp>
      <tp t="s">
        <v>#N/A N/A</v>
        <stp/>
        <stp>BDH|5247206842702486656</stp>
        <tr r="Y61" s="2"/>
      </tp>
      <tp t="s">
        <v>#N/A N/A</v>
        <stp/>
        <stp>BDH|1263439407155717705</stp>
        <tr r="D14" s="2"/>
      </tp>
      <tp t="s">
        <v>#N/A N/A</v>
        <stp/>
        <stp>BDH|2173954412994283920</stp>
        <tr r="U53" s="2"/>
      </tp>
      <tp t="s">
        <v>#N/A N/A</v>
        <stp/>
        <stp>BDH|3379221886248932680</stp>
        <tr r="AF34" s="2"/>
      </tp>
      <tp t="s">
        <v>#N/A N/A</v>
        <stp/>
        <stp>BDH|1652283165054560686</stp>
        <tr r="AB47" s="2"/>
      </tp>
      <tp t="s">
        <v>#N/A N/A</v>
        <stp/>
        <stp>BDH|4573257345076444362</stp>
        <tr r="G16" s="2"/>
      </tp>
      <tp t="s">
        <v>#N/A N/A</v>
        <stp/>
        <stp>BDH|4611543360958630835</stp>
        <tr r="K34" s="2"/>
      </tp>
      <tp t="s">
        <v>#N/A N/A</v>
        <stp/>
        <stp>BDH|3835012670346477594</stp>
        <tr r="Q12" s="2"/>
      </tp>
      <tp t="s">
        <v>#N/A N/A</v>
        <stp/>
        <stp>BDH|2925019640820539199</stp>
        <tr r="J17" s="2"/>
      </tp>
      <tp t="s">
        <v>#N/A N/A</v>
        <stp/>
        <stp>BDH|5370006716612933191</stp>
        <tr r="AD59" s="2"/>
      </tp>
      <tp t="s">
        <v>#N/A N/A</v>
        <stp/>
        <stp>BDH|9499847766956738641</stp>
        <tr r="AF15" s="2"/>
      </tp>
      <tp t="s">
        <v>#N/A N/A</v>
        <stp/>
        <stp>BDH|1398342292159465548</stp>
        <tr r="G11" s="2"/>
      </tp>
      <tp t="s">
        <v>#N/A N/A</v>
        <stp/>
        <stp>BDH|8656318482696144214</stp>
        <tr r="W49" s="2"/>
      </tp>
      <tp t="s">
        <v>#N/A N/A</v>
        <stp/>
        <stp>BDH|4826656659516850698</stp>
        <tr r="AD43" s="2"/>
      </tp>
      <tp t="s">
        <v>#N/A N/A</v>
        <stp/>
        <stp>BDH|6271912549038706377</stp>
        <tr r="T55" s="2"/>
      </tp>
      <tp t="s">
        <v>#N/A N/A</v>
        <stp/>
        <stp>BDH|3842445868376853765</stp>
        <tr r="L35" s="2"/>
      </tp>
      <tp t="s">
        <v>#N/A N/A</v>
        <stp/>
        <stp>BDH|8731488254069181006</stp>
        <tr r="AA44" s="2"/>
      </tp>
      <tp t="s">
        <v>#N/A N/A</v>
        <stp/>
        <stp>BDH|2832201769923273594</stp>
        <tr r="S17" s="2"/>
      </tp>
      <tp t="s">
        <v>#N/A N/A</v>
        <stp/>
        <stp>BDH|9641025245755201899</stp>
        <tr r="O51" s="2"/>
      </tp>
      <tp t="s">
        <v>#N/A N/A</v>
        <stp/>
        <stp>BDH|7754539647814111298</stp>
        <tr r="L48" s="2"/>
      </tp>
      <tp t="s">
        <v>#N/A N/A</v>
        <stp/>
        <stp>BDH|4842390760716992701</stp>
        <tr r="K15" s="2"/>
      </tp>
      <tp t="s">
        <v>#N/A N/A</v>
        <stp/>
        <stp>BDH|6204793833816043403</stp>
        <tr r="V42" s="2"/>
      </tp>
      <tp t="s">
        <v>#N/A N/A</v>
        <stp/>
        <stp>BDH|2101792861374685776</stp>
        <tr r="M59" s="2"/>
      </tp>
      <tp t="s">
        <v>#N/A N/A</v>
        <stp/>
        <stp>BDH|4070351827066201397</stp>
        <tr r="U64" s="2"/>
      </tp>
      <tp t="s">
        <v>#N/A N/A</v>
        <stp/>
        <stp>BDH|6984308902916103339</stp>
        <tr r="S60" s="2"/>
      </tp>
      <tp t="s">
        <v>#N/A N/A</v>
        <stp/>
        <stp>BDH|3064953149829056753</stp>
        <tr r="Q23" s="2"/>
      </tp>
      <tp t="s">
        <v>#N/A N/A</v>
        <stp/>
        <stp>BDH|6181580578160130491</stp>
        <tr r="I7" s="2"/>
      </tp>
      <tp t="s">
        <v>#N/A N/A</v>
        <stp/>
        <stp>BDH|1909200000893426039</stp>
        <tr r="Y44" s="2"/>
      </tp>
      <tp t="s">
        <v>#N/A N/A</v>
        <stp/>
        <stp>BDH|7073685555941589560</stp>
        <tr r="N25" s="2"/>
      </tp>
      <tp t="s">
        <v>#N/A N/A</v>
        <stp/>
        <stp>BDH|6977499168861338552</stp>
        <tr r="R30" s="2"/>
      </tp>
      <tp t="s">
        <v>#N/A N/A</v>
        <stp/>
        <stp>BDH|1517690663388183907</stp>
        <tr r="H63" s="2"/>
      </tp>
      <tp t="s">
        <v>#N/A N/A</v>
        <stp/>
        <stp>BDH|4516137119836453254</stp>
        <tr r="AF45" s="2"/>
      </tp>
      <tp t="s">
        <v>#N/A N/A</v>
        <stp/>
        <stp>BDH|4251119218511394571</stp>
        <tr r="K38" s="2"/>
      </tp>
      <tp t="s">
        <v>#N/A N/A</v>
        <stp/>
        <stp>BDH|7568617896279851152</stp>
        <tr r="S46" s="2"/>
      </tp>
      <tp t="s">
        <v>#N/A N/A</v>
        <stp/>
        <stp>BDH|6274868928448212413</stp>
        <tr r="H47" s="2"/>
      </tp>
      <tp t="s">
        <v>#N/A N/A</v>
        <stp/>
        <stp>BDH|5736543482630457892</stp>
        <tr r="W59" s="2"/>
      </tp>
      <tp t="s">
        <v>#N/A N/A</v>
        <stp/>
        <stp>BDH|1794383633865215422</stp>
        <tr r="V36" s="2"/>
      </tp>
      <tp t="s">
        <v>#N/A N/A</v>
        <stp/>
        <stp>BDH|6524443954760803715</stp>
        <tr r="Q16" s="2"/>
      </tp>
      <tp t="s">
        <v>#N/A N/A</v>
        <stp/>
        <stp>BDH|7474062077285019586</stp>
        <tr r="D7" s="2"/>
      </tp>
      <tp t="s">
        <v>#N/A N/A</v>
        <stp/>
        <stp>BDH|7015710598080314973</stp>
        <tr r="P16" s="2"/>
      </tp>
      <tp t="s">
        <v>#N/A N/A</v>
        <stp/>
        <stp>BDH|1283994391431748006</stp>
        <tr r="P18" s="2"/>
      </tp>
      <tp t="s">
        <v>#N/A N/A</v>
        <stp/>
        <stp>BDH|6616499125342833209</stp>
        <tr r="S13" s="2"/>
      </tp>
      <tp t="s">
        <v>#N/A N/A</v>
        <stp/>
        <stp>BDH|4159731431331930181</stp>
        <tr r="AA60" s="2"/>
      </tp>
      <tp t="s">
        <v>#N/A N/A</v>
        <stp/>
        <stp>BDH|2347156372335678109</stp>
        <tr r="X16" s="2"/>
      </tp>
      <tp t="s">
        <v>#N/A N/A</v>
        <stp/>
        <stp>BDH|8053634448038875206</stp>
        <tr r="AA25" s="2"/>
      </tp>
      <tp t="s">
        <v>#N/A N/A</v>
        <stp/>
        <stp>BDH|1531737763627104777</stp>
        <tr r="V41" s="2"/>
      </tp>
      <tp t="s">
        <v>#N/A N/A</v>
        <stp/>
        <stp>BDH|3016269988768548180</stp>
        <tr r="S66" s="2"/>
      </tp>
      <tp t="s">
        <v>#N/A N/A</v>
        <stp/>
        <stp>BDH|3555802114618527279</stp>
        <tr r="T66" s="2"/>
      </tp>
      <tp t="s">
        <v>#N/A N/A</v>
        <stp/>
        <stp>BDH|2416705907157392236</stp>
        <tr r="Z45" s="2"/>
      </tp>
      <tp t="s">
        <v>#N/A N/A</v>
        <stp/>
        <stp>BDH|2389579866102223300</stp>
        <tr r="AA51" s="2"/>
      </tp>
      <tp t="s">
        <v>#N/A N/A</v>
        <stp/>
        <stp>BDH|1811237308866005534</stp>
        <tr r="M19" s="2"/>
      </tp>
      <tp t="s">
        <v>#N/A N/A</v>
        <stp/>
        <stp>BDH|1492231615284480678</stp>
        <tr r="AC62" s="2"/>
      </tp>
      <tp t="s">
        <v>#N/A N/A</v>
        <stp/>
        <stp>BDH|9260313043507301959</stp>
        <tr r="Y29" s="2"/>
      </tp>
      <tp t="s">
        <v>#N/A N/A</v>
        <stp/>
        <stp>BDH|1370539311690081579</stp>
        <tr r="AC30" s="2"/>
      </tp>
      <tp t="s">
        <v>#N/A N/A</v>
        <stp/>
        <stp>BDH|4357138657950118017</stp>
        <tr r="Z33" s="2"/>
      </tp>
      <tp t="s">
        <v>#N/A N/A</v>
        <stp/>
        <stp>BDH|4983362415583986541</stp>
        <tr r="N48" s="2"/>
      </tp>
      <tp t="s">
        <v>#N/A N/A</v>
        <stp/>
        <stp>BDH|3094506834594336101</stp>
        <tr r="V66" s="2"/>
      </tp>
      <tp t="s">
        <v>#N/A N/A</v>
        <stp/>
        <stp>BDH|8434079349225532985</stp>
        <tr r="W55" s="2"/>
      </tp>
      <tp t="s">
        <v>#N/A N/A</v>
        <stp/>
        <stp>BDH|3491197826753688394</stp>
        <tr r="AD33" s="2"/>
      </tp>
      <tp t="s">
        <v>#N/A N/A</v>
        <stp/>
        <stp>BDH|9616304032791882885</stp>
        <tr r="F66" s="2"/>
      </tp>
      <tp t="s">
        <v>#N/A N/A</v>
        <stp/>
        <stp>BDH|4582207850132790169</stp>
        <tr r="H59" s="2"/>
      </tp>
      <tp t="s">
        <v>#N/A N/A</v>
        <stp/>
        <stp>BDH|6014614513726305747</stp>
        <tr r="AA8" s="2"/>
      </tp>
      <tp t="s">
        <v>#N/A N/A</v>
        <stp/>
        <stp>BDH|5782071642422212350</stp>
        <tr r="AB15" s="2"/>
      </tp>
      <tp t="s">
        <v>#N/A N/A</v>
        <stp/>
        <stp>BDH|1146058010111237132</stp>
        <tr r="N41" s="2"/>
      </tp>
      <tp t="s">
        <v>#N/A N/A</v>
        <stp/>
        <stp>BDH|59121081005192186</stp>
        <tr r="R42" s="2"/>
      </tp>
      <tp t="s">
        <v>#N/A N/A</v>
        <stp/>
        <stp>BDH|4668269386416886943</stp>
        <tr r="P15" s="2"/>
      </tp>
      <tp t="s">
        <v>#N/A N/A</v>
        <stp/>
        <stp>BDH|6747424148286680110</stp>
        <tr r="L33" s="2"/>
      </tp>
      <tp t="s">
        <v>#N/A N/A</v>
        <stp/>
        <stp>BDH|7235796206745687409</stp>
        <tr r="E66" s="2"/>
      </tp>
      <tp t="s">
        <v>#N/A N/A</v>
        <stp/>
        <stp>BDH|7905542900522289147</stp>
        <tr r="AB7" s="2"/>
      </tp>
      <tp t="s">
        <v>#N/A N/A</v>
        <stp/>
        <stp>BDH|1484736769635489418</stp>
        <tr r="C63" s="2"/>
      </tp>
      <tp t="s">
        <v>#N/A N/A</v>
        <stp/>
        <stp>BDH|5403187827215480246</stp>
        <tr r="O13" s="2"/>
      </tp>
      <tp t="s">
        <v>#N/A N/A</v>
        <stp/>
        <stp>BDH|6890283956835563589</stp>
        <tr r="R27" s="2"/>
      </tp>
      <tp t="s">
        <v>#N/A N/A</v>
        <stp/>
        <stp>BDH|4881016043810209106</stp>
        <tr r="AD32" s="2"/>
      </tp>
      <tp t="s">
        <v>#N/A N/A</v>
        <stp/>
        <stp>BDH|1655301121315874476</stp>
        <tr r="Y31" s="2"/>
      </tp>
      <tp t="s">
        <v>#N/A N/A</v>
        <stp/>
        <stp>BDH|4811108998514197993</stp>
        <tr r="F59" s="2"/>
      </tp>
      <tp t="s">
        <v>#N/A N/A</v>
        <stp/>
        <stp>BDH|9038882043276575272</stp>
        <tr r="S18" s="2"/>
      </tp>
      <tp t="s">
        <v>#N/A N/A</v>
        <stp/>
        <stp>BDH|3103855801232964859</stp>
        <tr r="V24" s="2"/>
      </tp>
      <tp t="s">
        <v>#N/A N/A</v>
        <stp/>
        <stp>BDH|9597383518323801942</stp>
        <tr r="F65" s="2"/>
      </tp>
      <tp t="s">
        <v>#N/A N/A</v>
        <stp/>
        <stp>BDH|4877835956799779146</stp>
        <tr r="G10" s="2"/>
      </tp>
      <tp t="s">
        <v>#N/A N/A</v>
        <stp/>
        <stp>BDH|3510603078902232111</stp>
        <tr r="W7" s="2"/>
      </tp>
      <tp t="s">
        <v>#N/A N/A</v>
        <stp/>
        <stp>BDH|6095852302767137884</stp>
        <tr r="T22" s="2"/>
      </tp>
      <tp t="s">
        <v>#N/A N/A</v>
        <stp/>
        <stp>BDH|2786966943239904751</stp>
        <tr r="P47" s="2"/>
      </tp>
      <tp t="s">
        <v>#N/A N/A</v>
        <stp/>
        <stp>BDH|3500127965415469091</stp>
        <tr r="L22" s="2"/>
      </tp>
      <tp t="s">
        <v>#N/A N/A</v>
        <stp/>
        <stp>BDH|2018193084082729858</stp>
        <tr r="Z8" s="2"/>
      </tp>
      <tp t="s">
        <v>#N/A N/A</v>
        <stp/>
        <stp>BDH|4599785256594727330</stp>
        <tr r="Z13" s="2"/>
      </tp>
      <tp t="s">
        <v>#N/A N/A</v>
        <stp/>
        <stp>BDH|3921329247222043732</stp>
        <tr r="E16" s="2"/>
      </tp>
      <tp t="s">
        <v>#N/A N/A</v>
        <stp/>
        <stp>BDH|5719710499508178228</stp>
        <tr r="H18" s="2"/>
      </tp>
      <tp t="s">
        <v>#N/A N/A</v>
        <stp/>
        <stp>BDH|9613033446559662582</stp>
        <tr r="G62" s="2"/>
      </tp>
      <tp t="s">
        <v>#N/A N/A</v>
        <stp/>
        <stp>BDH|2671304601826295680</stp>
        <tr r="Z24" s="2"/>
      </tp>
      <tp t="s">
        <v>#N/A N/A</v>
        <stp/>
        <stp>BDH|1082711177076980626</stp>
        <tr r="AA13" s="2"/>
      </tp>
      <tp t="s">
        <v>#N/A N/A</v>
        <stp/>
        <stp>BDH|9805864376020118743</stp>
        <tr r="W24" s="2"/>
      </tp>
      <tp t="s">
        <v>#N/A N/A</v>
        <stp/>
        <stp>BDH|8587969204204165449</stp>
        <tr r="AF41" s="2"/>
      </tp>
      <tp t="s">
        <v>#N/A N/A</v>
        <stp/>
        <stp>BDH|6120036224861411419</stp>
        <tr r="R7" s="2"/>
      </tp>
      <tp t="s">
        <v>#N/A N/A</v>
        <stp/>
        <stp>BDH|3326792070072191082</stp>
        <tr r="S25" s="2"/>
      </tp>
      <tp t="s">
        <v>#N/A N/A</v>
        <stp/>
        <stp>BDH|8721069584749141874</stp>
        <tr r="D23" s="2"/>
      </tp>
      <tp t="s">
        <v>#N/A N/A</v>
        <stp/>
        <stp>BDH|4593589608332104243</stp>
        <tr r="I48" s="2"/>
      </tp>
      <tp t="s">
        <v>#N/A N/A</v>
        <stp/>
        <stp>BDH|5177237327541048552</stp>
        <tr r="X46" s="2"/>
      </tp>
      <tp t="s">
        <v>#N/A N/A</v>
        <stp/>
        <stp>BDH|3037450124423141706</stp>
        <tr r="E15" s="2"/>
      </tp>
      <tp t="s">
        <v>#N/A N/A</v>
        <stp/>
        <stp>BDH|6331148573431368071</stp>
        <tr r="O48" s="2"/>
      </tp>
      <tp t="s">
        <v>#N/A N/A</v>
        <stp/>
        <stp>BDH|1498805526749460366</stp>
        <tr r="R67" s="2"/>
      </tp>
      <tp t="s">
        <v>#N/A N/A</v>
        <stp/>
        <stp>BDH|7193726616147566702</stp>
        <tr r="E60" s="2"/>
      </tp>
      <tp t="s">
        <v>#N/A N/A</v>
        <stp/>
        <stp>BDH|1576154865901750623</stp>
        <tr r="Z17" s="2"/>
      </tp>
      <tp t="s">
        <v>#N/A N/A</v>
        <stp/>
        <stp>BDH|8453269404039340256</stp>
        <tr r="X11" s="2"/>
      </tp>
      <tp t="s">
        <v>#N/A N/A</v>
        <stp/>
        <stp>BDH|8455548090234014100</stp>
        <tr r="AF23" s="2"/>
      </tp>
      <tp t="s">
        <v>#N/A N/A</v>
        <stp/>
        <stp>BDH|4994583285848717022</stp>
        <tr r="V11" s="2"/>
      </tp>
      <tp t="s">
        <v>#N/A N/A</v>
        <stp/>
        <stp>BDH|6530957590993668479</stp>
        <tr r="R51" s="2"/>
      </tp>
      <tp t="s">
        <v>#N/A N/A</v>
        <stp/>
        <stp>BDH|2466814021381267870</stp>
        <tr r="AC27" s="2"/>
      </tp>
      <tp t="s">
        <v>#N/A N/A</v>
        <stp/>
        <stp>BDH|7584560745674301344</stp>
        <tr r="N26" s="2"/>
      </tp>
      <tp t="s">
        <v>#N/A N/A</v>
        <stp/>
        <stp>BDH|3606082438989437832</stp>
        <tr r="AB45" s="2"/>
      </tp>
      <tp t="s">
        <v>#N/A N/A</v>
        <stp/>
        <stp>BDH|4111666323732315314</stp>
        <tr r="O11" s="2"/>
      </tp>
      <tp t="s">
        <v>#N/A N/A</v>
        <stp/>
        <stp>BDH|7154295663917535582</stp>
        <tr r="I59" s="2"/>
      </tp>
      <tp t="s">
        <v>#N/A N/A</v>
        <stp/>
        <stp>BDH|7289602515383924299</stp>
        <tr r="W44" s="2"/>
      </tp>
      <tp t="s">
        <v>#N/A N/A</v>
        <stp/>
        <stp>BDH|5176756022772298339</stp>
        <tr r="V47" s="2"/>
      </tp>
      <tp t="s">
        <v>#N/A N/A</v>
        <stp/>
        <stp>BDH|2291955227598244056</stp>
        <tr r="AF55" s="2"/>
      </tp>
      <tp t="s">
        <v>#N/A N/A</v>
        <stp/>
        <stp>BDH|4926099955427750756</stp>
        <tr r="G15" s="2"/>
      </tp>
      <tp t="s">
        <v>#N/A N/A</v>
        <stp/>
        <stp>BDH|8945572969712790876</stp>
        <tr r="Y35" s="2"/>
      </tp>
      <tp t="s">
        <v>#N/A N/A</v>
        <stp/>
        <stp>BDH|5892097223246268043</stp>
        <tr r="AE8" s="2"/>
      </tp>
      <tp t="s">
        <v>#N/A N/A</v>
        <stp/>
        <stp>BDH|4062372123570955499</stp>
        <tr r="AD10" s="2"/>
      </tp>
      <tp t="s">
        <v>#N/A N/A</v>
        <stp/>
        <stp>BDH|1738104147926687328</stp>
        <tr r="C27" s="2"/>
      </tp>
      <tp t="s">
        <v>#N/A N/A</v>
        <stp/>
        <stp>BDH|3345295819489112874</stp>
        <tr r="AF26" s="2"/>
      </tp>
      <tp t="s">
        <v>#N/A N/A</v>
        <stp/>
        <stp>BDH|9789808664183344556</stp>
        <tr r="AE36" s="2"/>
      </tp>
      <tp t="s">
        <v>#N/A N/A</v>
        <stp/>
        <stp>BDH|5867183712772535625</stp>
        <tr r="G48" s="2"/>
      </tp>
      <tp t="s">
        <v>#N/A N/A</v>
        <stp/>
        <stp>BDH|8468314260834185816</stp>
        <tr r="Z29" s="2"/>
      </tp>
      <tp t="s">
        <v>#N/A N/A</v>
        <stp/>
        <stp>BDH|8593292960619594735</stp>
        <tr r="D55" s="2"/>
      </tp>
      <tp t="s">
        <v>#N/A N/A</v>
        <stp/>
        <stp>BDH|7905671545986596141</stp>
        <tr r="X29" s="2"/>
      </tp>
      <tp t="s">
        <v>#N/A N/A</v>
        <stp/>
        <stp>BDH|9910431981587876096</stp>
        <tr r="Z27" s="2"/>
      </tp>
      <tp t="s">
        <v>#N/A N/A</v>
        <stp/>
        <stp>BDH|9459931724661113184</stp>
        <tr r="D45" s="2"/>
      </tp>
      <tp t="s">
        <v>#N/A N/A</v>
        <stp/>
        <stp>BDH|7260253469927388672</stp>
        <tr r="L26" s="2"/>
      </tp>
      <tp t="s">
        <v>#N/A N/A</v>
        <stp/>
        <stp>BDH|3211754004636876018</stp>
        <tr r="S24" s="2"/>
      </tp>
      <tp t="s">
        <v>#N/A N/A</v>
        <stp/>
        <stp>BDH|5748753135266567593</stp>
        <tr r="C48" s="2"/>
      </tp>
      <tp t="s">
        <v>#N/A N/A</v>
        <stp/>
        <stp>BDH|7443022836201269791</stp>
        <tr r="U25" s="2"/>
      </tp>
      <tp t="s">
        <v>#N/A N/A</v>
        <stp/>
        <stp>BDH|4346282422785103335</stp>
        <tr r="N63" s="2"/>
      </tp>
      <tp t="s">
        <v>#N/A N/A</v>
        <stp/>
        <stp>BDH|3654124757434822132</stp>
        <tr r="D31" s="2"/>
      </tp>
      <tp t="s">
        <v>#N/A N/A</v>
        <stp/>
        <stp>BDH|4898824284447540139</stp>
        <tr r="X45" s="2"/>
      </tp>
      <tp t="s">
        <v>#N/A N/A</v>
        <stp/>
        <stp>BDH|5281963828374105856</stp>
        <tr r="T15" s="2"/>
      </tp>
      <tp t="s">
        <v>#N/A N/A</v>
        <stp/>
        <stp>BDH|5092867445052445998</stp>
        <tr r="N61" s="2"/>
      </tp>
      <tp t="s">
        <v>#N/A N/A</v>
        <stp/>
        <stp>BDH|1994459152360558252</stp>
        <tr r="O41" s="2"/>
      </tp>
      <tp t="s">
        <v>#N/A N/A</v>
        <stp/>
        <stp>BDH|1309402908873473414</stp>
        <tr r="N67" s="2"/>
      </tp>
      <tp t="s">
        <v>#N/A N/A</v>
        <stp/>
        <stp>BDH|8150838163461928564</stp>
        <tr r="AF37" s="2"/>
      </tp>
      <tp t="s">
        <v>#N/A N/A</v>
        <stp/>
        <stp>BDH|5274393737962476578</stp>
        <tr r="M13" s="2"/>
      </tp>
      <tp t="s">
        <v>#N/A N/A</v>
        <stp/>
        <stp>BDH|5688017249946672573</stp>
        <tr r="R8" s="2"/>
      </tp>
      <tp t="s">
        <v>#N/A N/A</v>
        <stp/>
        <stp>BDH|4386244539936134103</stp>
        <tr r="Q10" s="2"/>
      </tp>
      <tp t="s">
        <v>#N/A N/A</v>
        <stp/>
        <stp>BDH|6665898912914217901</stp>
        <tr r="F42" s="2"/>
      </tp>
      <tp t="s">
        <v>#N/A N/A</v>
        <stp/>
        <stp>BDH|1336341722193987133</stp>
        <tr r="T9" s="2"/>
      </tp>
      <tp t="s">
        <v>#N/A N/A</v>
        <stp/>
        <stp>BDH|7721415264107593085</stp>
        <tr r="W63" s="2"/>
      </tp>
      <tp t="s">
        <v>#N/A N/A</v>
        <stp/>
        <stp>BDH|5941998822008466496</stp>
        <tr r="AF43" s="2"/>
      </tp>
      <tp t="s">
        <v>#N/A N/A</v>
        <stp/>
        <stp>BDH|2129006595701993819</stp>
        <tr r="AC8" s="2"/>
      </tp>
      <tp t="s">
        <v>#N/A N/A</v>
        <stp/>
        <stp>BDH|5292697474675580364</stp>
        <tr r="C59" s="2"/>
      </tp>
      <tp t="s">
        <v>#N/A N/A</v>
        <stp/>
        <stp>BDH|2655428604643974756</stp>
        <tr r="U42" s="2"/>
      </tp>
      <tp t="s">
        <v>#N/A N/A</v>
        <stp/>
        <stp>BDH|6506317776480725083</stp>
        <tr r="AD26" s="2"/>
      </tp>
      <tp t="s">
        <v>#N/A N/A</v>
        <stp/>
        <stp>BDH|6586170724951102650</stp>
        <tr r="X19" s="2"/>
      </tp>
      <tp t="s">
        <v>#N/A N/A</v>
        <stp/>
        <stp>BDH|7804222751551096397</stp>
        <tr r="E50" s="2"/>
      </tp>
      <tp t="s">
        <v>#N/A N/A</v>
        <stp/>
        <stp>BDH|5624373460891406370</stp>
        <tr r="J22" s="2"/>
      </tp>
      <tp t="s">
        <v>#N/A N/A</v>
        <stp/>
        <stp>BDH|4810518847514541390</stp>
        <tr r="D63" s="2"/>
      </tp>
      <tp t="s">
        <v>#N/A N/A</v>
        <stp/>
        <stp>BDH|4502191675870258091</stp>
        <tr r="Z60" s="2"/>
      </tp>
      <tp t="s">
        <v>#N/A N/A</v>
        <stp/>
        <stp>BDH|1650866497844615636</stp>
        <tr r="N55" s="2"/>
      </tp>
      <tp t="s">
        <v>#N/A N/A</v>
        <stp/>
        <stp>BDH|4643516224753220238</stp>
        <tr r="G18" s="2"/>
      </tp>
      <tp t="s">
        <v>#N/A N/A</v>
        <stp/>
        <stp>BDH|5503366057901369056</stp>
        <tr r="L67" s="2"/>
      </tp>
      <tp t="s">
        <v>#N/A N/A</v>
        <stp/>
        <stp>BDH|2277803372777087825</stp>
        <tr r="E32" s="2"/>
      </tp>
      <tp t="s">
        <v>#N/A N/A</v>
        <stp/>
        <stp>BDH|2017044915211301017</stp>
        <tr r="K50" s="2"/>
      </tp>
      <tp t="s">
        <v>#N/A N/A</v>
        <stp/>
        <stp>BDH|2678367391169130335</stp>
        <tr r="I51" s="2"/>
      </tp>
      <tp t="s">
        <v>#N/A N/A</v>
        <stp/>
        <stp>BDH|2171005853260554543</stp>
        <tr r="V50" s="2"/>
      </tp>
      <tp t="s">
        <v>#N/A N/A</v>
        <stp/>
        <stp>BDH|9854802922943018294</stp>
        <tr r="W35" s="2"/>
      </tp>
      <tp t="s">
        <v>#N/A N/A</v>
        <stp/>
        <stp>BDH|7425553844857777321</stp>
        <tr r="Y30" s="2"/>
      </tp>
      <tp t="s">
        <v>#N/A N/A</v>
        <stp/>
        <stp>BDH|4398459025506040621</stp>
        <tr r="S10" s="2"/>
      </tp>
      <tp t="s">
        <v>#N/A N/A</v>
        <stp/>
        <stp>BDH|2206237821325710560</stp>
        <tr r="Y18" s="2"/>
      </tp>
      <tp t="s">
        <v>#N/A N/A</v>
        <stp/>
        <stp>BDH|8702013946236473826</stp>
        <tr r="Z53" s="2"/>
      </tp>
      <tp t="s">
        <v>#N/A N/A</v>
        <stp/>
        <stp>BDH|2309505134151203732</stp>
        <tr r="V19" s="2"/>
      </tp>
      <tp t="s">
        <v>#N/A N/A</v>
        <stp/>
        <stp>BDH|2728181836524688698</stp>
        <tr r="C7" s="2"/>
      </tp>
      <tp t="s">
        <v>#N/A N/A</v>
        <stp/>
        <stp>BDH|1759239168600950736</stp>
        <tr r="I11" s="2"/>
      </tp>
      <tp t="s">
        <v>#N/A N/A</v>
        <stp/>
        <stp>BDH|7573098434524718293</stp>
        <tr r="AB19" s="2"/>
      </tp>
      <tp t="s">
        <v>#N/A N/A</v>
        <stp/>
        <stp>BDH|6995290303753103541</stp>
        <tr r="Y59" s="2"/>
      </tp>
      <tp t="s">
        <v>#N/A N/A</v>
        <stp/>
        <stp>BDH|7438401592198618073</stp>
        <tr r="AD24" s="2"/>
      </tp>
      <tp t="s">
        <v>#N/A N/A</v>
        <stp/>
        <stp>BDH|1048161451972490547</stp>
        <tr r="AE67" s="2"/>
      </tp>
      <tp t="s">
        <v>#N/A N/A</v>
        <stp/>
        <stp>BDH|2006307750954640210</stp>
        <tr r="I24" s="2"/>
      </tp>
      <tp t="s">
        <v>#N/A N/A</v>
        <stp/>
        <stp>BDH|3084752434196503337</stp>
        <tr r="V51" s="2"/>
      </tp>
      <tp t="s">
        <v>#N/A N/A</v>
        <stp/>
        <stp>BDH|7804915868409549305</stp>
        <tr r="N37" s="2"/>
      </tp>
      <tp t="s">
        <v>#N/A N/A</v>
        <stp/>
        <stp>BDH|2621308271233397707</stp>
        <tr r="AC38" s="2"/>
      </tp>
      <tp t="s">
        <v>#N/A N/A</v>
        <stp/>
        <stp>BDH|5077433831192307253</stp>
        <tr r="K8" s="2"/>
      </tp>
      <tp t="s">
        <v>#N/A N/A</v>
        <stp/>
        <stp>BDH|2076372661491217408</stp>
        <tr r="Z38" s="2"/>
      </tp>
      <tp t="s">
        <v>#N/A N/A</v>
        <stp/>
        <stp>BDH|3621739294409405613</stp>
        <tr r="T49" s="2"/>
      </tp>
      <tp t="s">
        <v>#N/A N/A</v>
        <stp/>
        <stp>BDH|5748660805229944882</stp>
        <tr r="R61" s="2"/>
      </tp>
      <tp t="s">
        <v>#N/A N/A</v>
        <stp/>
        <stp>BDH|5995190549105442789</stp>
        <tr r="J13" s="2"/>
      </tp>
      <tp t="s">
        <v>#N/A N/A</v>
        <stp/>
        <stp>BDH|3299724621592483604</stp>
        <tr r="O18" s="2"/>
      </tp>
      <tp t="s">
        <v>#N/A N/A</v>
        <stp/>
        <stp>BDH|2700305759417276065</stp>
        <tr r="Z42" s="2"/>
      </tp>
      <tp t="s">
        <v>#N/A N/A</v>
        <stp/>
        <stp>BDH|7718524538096480439</stp>
        <tr r="O24" s="2"/>
      </tp>
      <tp t="s">
        <v>#N/A N/A</v>
        <stp/>
        <stp>BDH|6256436033110868208</stp>
        <tr r="D33" s="2"/>
      </tp>
      <tp t="s">
        <v>#N/A N/A</v>
        <stp/>
        <stp>BDH|7497082625386707046</stp>
        <tr r="U63" s="2"/>
      </tp>
      <tp t="s">
        <v>#N/A N/A</v>
        <stp/>
        <stp>BDH|8542322796050813127</stp>
        <tr r="H26" s="2"/>
      </tp>
      <tp t="s">
        <v>#N/A N/A</v>
        <stp/>
        <stp>BDH|9119354159944275847</stp>
        <tr r="U65" s="2"/>
      </tp>
      <tp t="s">
        <v>#N/A N/A</v>
        <stp/>
        <stp>BDH|6665484161246659115</stp>
        <tr r="Y27" s="2"/>
      </tp>
      <tp t="s">
        <v>#N/A N/A</v>
        <stp/>
        <stp>BDH|1734580060120504121</stp>
        <tr r="Z55" s="2"/>
      </tp>
      <tp t="s">
        <v>#N/A N/A</v>
        <stp/>
        <stp>BDH|6055433577445820347</stp>
        <tr r="V55" s="2"/>
      </tp>
      <tp t="s">
        <v>#N/A N/A</v>
        <stp/>
        <stp>BDH|6588985267428432261</stp>
        <tr r="C64" s="2"/>
      </tp>
      <tp t="s">
        <v>#N/A N/A</v>
        <stp/>
        <stp>BDH|4346658511920736088</stp>
        <tr r="F49" s="2"/>
      </tp>
      <tp t="s">
        <v>#N/A N/A</v>
        <stp/>
        <stp>BDH|1692246116950243180</stp>
        <tr r="R11" s="2"/>
      </tp>
      <tp t="s">
        <v>#N/A N/A</v>
        <stp/>
        <stp>BDH|7650408849542889692</stp>
        <tr r="L29" s="2"/>
      </tp>
      <tp t="s">
        <v>#N/A N/A</v>
        <stp/>
        <stp>BDH|7592345669152777318</stp>
        <tr r="E23" s="2"/>
      </tp>
      <tp t="s">
        <v>#N/A N/A</v>
        <stp/>
        <stp>BDH|6280896610704354865</stp>
        <tr r="X60" s="2"/>
      </tp>
      <tp t="s">
        <v>#N/A N/A</v>
        <stp/>
        <stp>BDH|2169077965374547392</stp>
        <tr r="AB49" s="2"/>
      </tp>
      <tp t="s">
        <v>#N/A N/A</v>
        <stp/>
        <stp>BDH|5140516591839925377</stp>
        <tr r="J32" s="2"/>
      </tp>
      <tp t="s">
        <v>#N/A N/A</v>
        <stp/>
        <stp>BDH|6851032773122240065</stp>
        <tr r="C13" s="2"/>
      </tp>
      <tp t="s">
        <v>#N/A N/A</v>
        <stp/>
        <stp>BDH|5587292601332704679</stp>
        <tr r="AC31" s="2"/>
      </tp>
      <tp t="s">
        <v>#N/A N/A</v>
        <stp/>
        <stp>BDH|5774248444914246481</stp>
        <tr r="P30" s="2"/>
      </tp>
      <tp t="s">
        <v>#N/A N/A</v>
        <stp/>
        <stp>BDH|2068001011750402083</stp>
        <tr r="Q13" s="2"/>
      </tp>
      <tp t="s">
        <v>#N/A N/A</v>
        <stp/>
        <stp>BDH|8417030875228772481</stp>
        <tr r="Y49" s="2"/>
      </tp>
      <tp t="s">
        <v>#N/A N/A</v>
        <stp/>
        <stp>BDH|7726812722079222747</stp>
        <tr r="AD30" s="2"/>
      </tp>
      <tp t="s">
        <v>#N/A N/A</v>
        <stp/>
        <stp>BDH|3600035742063632732</stp>
        <tr r="I62" s="2"/>
      </tp>
      <tp t="s">
        <v>#N/A N/A</v>
        <stp/>
        <stp>BDH|5473550213757081501</stp>
        <tr r="Z51" s="2"/>
      </tp>
      <tp t="s">
        <v>#N/A N/A</v>
        <stp/>
        <stp>BDH|8439043893966770463</stp>
        <tr r="I13" s="2"/>
      </tp>
      <tp t="s">
        <v>#N/A N/A</v>
        <stp/>
        <stp>BDH|4967772659125504015</stp>
        <tr r="AE47" s="2"/>
      </tp>
      <tp t="s">
        <v>#N/A N/A</v>
        <stp/>
        <stp>BDH|3086377132349084967</stp>
        <tr r="I37" s="2"/>
      </tp>
      <tp t="s">
        <v>#N/A N/A</v>
        <stp/>
        <stp>BDH|3527487992778466589</stp>
        <tr r="L49" s="2"/>
      </tp>
      <tp t="s">
        <v>#N/A N/A</v>
        <stp/>
        <stp>BDH|3500392349880143773</stp>
        <tr r="AA42" s="2"/>
      </tp>
      <tp t="s">
        <v>#N/A N/A</v>
        <stp/>
        <stp>BDH|9134668546561466950</stp>
        <tr r="I35" s="2"/>
      </tp>
      <tp t="s">
        <v>#N/A N/A</v>
        <stp/>
        <stp>BDH|6795970882486265219</stp>
        <tr r="U33" s="2"/>
      </tp>
      <tp t="s">
        <v>#N/A N/A</v>
        <stp/>
        <stp>BDH|5706119430842434637</stp>
        <tr r="C44" s="2"/>
      </tp>
      <tp t="s">
        <v>#N/A N/A</v>
        <stp/>
        <stp>BDH|6098314263251519168</stp>
        <tr r="Y13" s="2"/>
      </tp>
      <tp t="s">
        <v>#N/A N/A</v>
        <stp/>
        <stp>BDH|3427475330677152032</stp>
        <tr r="D10" s="2"/>
      </tp>
      <tp t="s">
        <v>#N/A N/A</v>
        <stp/>
        <stp>BDH|3669341822024212539</stp>
        <tr r="M11" s="2"/>
      </tp>
      <tp t="s">
        <v>#N/A N/A</v>
        <stp/>
        <stp>BDH|5594669006690711046</stp>
        <tr r="J7" s="2"/>
      </tp>
      <tp t="s">
        <v>#N/A N/A</v>
        <stp/>
        <stp>BDH|2823289925353004239</stp>
        <tr r="AA62" s="2"/>
      </tp>
      <tp t="s">
        <v>#N/A N/A</v>
        <stp/>
        <stp>BDH|7799515293098131025</stp>
        <tr r="AB38" s="2"/>
      </tp>
      <tp t="s">
        <v>#N/A N/A</v>
        <stp/>
        <stp>BDH|8190801434490724042</stp>
        <tr r="AD49" s="2"/>
      </tp>
      <tp t="s">
        <v>#N/A N/A</v>
        <stp/>
        <stp>BDH|6560746944342561474</stp>
        <tr r="T36" s="2"/>
      </tp>
      <tp t="s">
        <v>#N/A N/A</v>
        <stp/>
        <stp>BDH|1260061033740650165</stp>
        <tr r="H55" s="2"/>
      </tp>
      <tp t="s">
        <v>#N/A N/A</v>
        <stp/>
        <stp>BDH|5787421731597105629</stp>
        <tr r="C50" s="2"/>
      </tp>
      <tp t="s">
        <v>#N/A N/A</v>
        <stp/>
        <stp>BDH|8210233946219572451</stp>
        <tr r="AA66" s="2"/>
      </tp>
      <tp t="s">
        <v>#N/A N/A</v>
        <stp/>
        <stp>BDH|4027736968266488085</stp>
        <tr r="AF38" s="2"/>
      </tp>
      <tp t="s">
        <v>#N/A N/A</v>
        <stp/>
        <stp>BDH|2209271400891668244</stp>
        <tr r="AF17" s="2"/>
      </tp>
      <tp t="s">
        <v>#N/A N/A</v>
        <stp/>
        <stp>BDH|8260927883762126858</stp>
        <tr r="AC61" s="2"/>
      </tp>
      <tp t="s">
        <v>#N/A N/A</v>
        <stp/>
        <stp>BDH|4151265245419697807</stp>
        <tr r="AC36" s="2"/>
      </tp>
      <tp t="s">
        <v>#N/A N/A</v>
        <stp/>
        <stp>BDH|4605009364391182078</stp>
        <tr r="AF61" s="2"/>
      </tp>
      <tp t="s">
        <v>#N/A N/A</v>
        <stp/>
        <stp>BDH|6688447393948636038</stp>
        <tr r="AB37" s="2"/>
      </tp>
      <tp t="s">
        <v>#N/A N/A</v>
        <stp/>
        <stp>BDH|8738450535355742948</stp>
        <tr r="R12" s="2"/>
      </tp>
      <tp t="s">
        <v>#N/A N/A</v>
        <stp/>
        <stp>BDH|3443255178740837541</stp>
        <tr r="U29" s="2"/>
      </tp>
      <tp t="s">
        <v>#N/A N/A</v>
        <stp/>
        <stp>BDH|9146120051349496734</stp>
        <tr r="P61" s="2"/>
      </tp>
      <tp t="s">
        <v>#N/A N/A</v>
        <stp/>
        <stp>BDH|7095931490531215543</stp>
        <tr r="AE65" s="2"/>
      </tp>
      <tp t="s">
        <v>#N/A N/A</v>
        <stp/>
        <stp>BDH|31251995661270458</stp>
        <tr r="O63" s="2"/>
      </tp>
      <tp t="s">
        <v>#N/A N/A</v>
        <stp/>
        <stp>BDH|90818866027718785</stp>
        <tr r="E33" s="2"/>
      </tp>
      <tp t="s">
        <v>#N/A N/A</v>
        <stp/>
        <stp>BDH|643790245743459519</stp>
        <tr r="F9" s="2"/>
      </tp>
      <tp t="s">
        <v>#N/A N/A</v>
        <stp/>
        <stp>BDH|660296773446554665</stp>
        <tr r="J55" s="2"/>
      </tp>
      <tp t="s">
        <v>#N/A N/A</v>
        <stp/>
        <stp>BDH|509247207364501395</stp>
        <tr r="N60" s="2"/>
      </tp>
      <tp t="s">
        <v>#N/A N/A</v>
        <stp/>
        <stp>BDH|289758716612961042</stp>
        <tr r="O15" s="2"/>
      </tp>
      <tp t="s">
        <v>#N/A N/A</v>
        <stp/>
        <stp>BDH|203962298024696048</stp>
        <tr r="AB51" s="2"/>
      </tp>
      <tp t="s">
        <v>#N/A N/A</v>
        <stp/>
        <stp>BDH|760411369815033376</stp>
        <tr r="AC53" s="2"/>
      </tp>
      <tp t="s">
        <v>#N/A N/A</v>
        <stp/>
        <stp>BDH|102262076670881103</stp>
        <tr r="N64" s="2"/>
      </tp>
      <tp t="s">
        <v>#N/A N/A</v>
        <stp/>
        <stp>BDH|876742532687636729</stp>
        <tr r="AF66" s="2"/>
      </tp>
      <tp t="s">
        <v>#N/A N/A</v>
        <stp/>
        <stp>BDH|495759403902300106</stp>
        <tr r="F30" s="2"/>
      </tp>
      <tp t="s">
        <v>#N/A N/A</v>
        <stp/>
        <stp>BDH|201522787228787126</stp>
        <tr r="M41" s="2"/>
      </tp>
      <tp t="s">
        <v>#N/A N/A</v>
        <stp/>
        <stp>BDH|387527929378114858</stp>
        <tr r="AE61" s="2"/>
      </tp>
      <tp t="s">
        <v>#N/A N/A</v>
        <stp/>
        <stp>BDH|311508429664071410</stp>
        <tr r="R53" s="2"/>
      </tp>
      <tp t="s">
        <v>#N/A N/A</v>
        <stp/>
        <stp>BDH|905204052530986068</stp>
        <tr r="W16" s="2"/>
      </tp>
      <tp t="s">
        <v>#N/A N/A</v>
        <stp/>
        <stp>BDH|247042443140258334</stp>
        <tr r="AC10" s="2"/>
      </tp>
      <tp t="s">
        <v>#N/A N/A</v>
        <stp/>
        <stp>BDH|213011636716295215</stp>
        <tr r="O7" s="2"/>
      </tp>
      <tp t="s">
        <v>#N/A N/A</v>
        <stp/>
        <stp>BDH|646468606707739469</stp>
        <tr r="Y7" s="2"/>
      </tp>
      <tp t="s">
        <v>#N/A N/A</v>
        <stp/>
        <stp>BDH|101997005987465809</stp>
        <tr r="F63" s="2"/>
      </tp>
      <tp t="s">
        <v>#N/A N/A</v>
        <stp/>
        <stp>BDH|922099036943406688</stp>
        <tr r="H33" s="2"/>
      </tp>
      <tp t="s">
        <v>#N/A N/A</v>
        <stp/>
        <stp>BDH|858435009986149497</stp>
        <tr r="I23" s="2"/>
      </tp>
      <tp t="s">
        <v>#N/A N/A</v>
        <stp/>
        <stp>BDH|385341560296950599</stp>
        <tr r="I28" s="2"/>
      </tp>
      <tp t="s">
        <v>#N/A N/A</v>
        <stp/>
        <stp>BDH|906028319132131526</stp>
        <tr r="M26" s="2"/>
      </tp>
      <tp t="s">
        <v>#N/A N/A</v>
        <stp/>
        <stp>BDH|900596746834018345</stp>
        <tr r="Q53" s="2"/>
      </tp>
      <tp t="s">
        <v>#N/A N/A</v>
        <stp/>
        <stp>BDH|599422735070721163</stp>
        <tr r="Y33" s="2"/>
      </tp>
      <tp t="s">
        <v>#N/A N/A</v>
        <stp/>
        <stp>BDH|717123102623761434</stp>
        <tr r="K22" s="2"/>
      </tp>
      <tp t="s">
        <v>#N/A N/A</v>
        <stp/>
        <stp>BDH|637655558984526632</stp>
        <tr r="AE26" s="2"/>
      </tp>
      <tp t="s">
        <v>#N/A N/A</v>
        <stp/>
        <stp>BDH|548457128143324458</stp>
        <tr r="S48" s="2"/>
      </tp>
      <tp t="s">
        <v>#N/A N/A</v>
        <stp/>
        <stp>BDH|332607567559860824</stp>
        <tr r="AA61" s="2"/>
      </tp>
      <tp t="s">
        <v>#N/A N/A</v>
        <stp/>
        <stp>BDH|398510842966755689</stp>
        <tr r="I14" s="2"/>
      </tp>
      <tp t="s">
        <v>#N/A N/A</v>
        <stp/>
        <stp>BDH|500371282798846217</stp>
        <tr r="AB27" s="2"/>
      </tp>
      <tp t="s">
        <v>#N/A N/A</v>
        <stp/>
        <stp>BDH|367024653133596719</stp>
        <tr r="T24" s="2"/>
      </tp>
      <tp t="s">
        <v>#N/A N/A</v>
        <stp/>
        <stp>BDH|297201557066012056</stp>
        <tr r="R41" s="2"/>
      </tp>
      <tp t="s">
        <v>#N/A N/A</v>
        <stp/>
        <stp>BDH|424674559061500233</stp>
        <tr r="I63" s="2"/>
      </tp>
      <tp t="s">
        <v>#N/A N/A</v>
        <stp/>
        <stp>BDH|808830623193600949</stp>
        <tr r="U50" s="2"/>
      </tp>
      <tp t="s">
        <v>#N/A N/A</v>
        <stp/>
        <stp>BDH|400787109857370072</stp>
        <tr r="O61" s="2"/>
      </tp>
      <tp t="s">
        <v>#N/A N/A</v>
        <stp/>
        <stp>BDH|269749771042634229</stp>
        <tr r="Z7" s="2"/>
      </tp>
      <tp t="s">
        <v>#N/A N/A</v>
        <stp/>
        <stp>BDH|514034039248338826</stp>
        <tr r="R28" s="2"/>
      </tp>
      <tp t="s">
        <v>#N/A N/A</v>
        <stp/>
        <stp>BDH|289549625222750615</stp>
        <tr r="L8" s="2"/>
      </tp>
      <tp t="s">
        <v>#N/A N/A</v>
        <stp/>
        <stp>BDH|658595459744395735</stp>
        <tr r="Z18" s="2"/>
      </tp>
      <tp t="s">
        <v>#N/A N/A</v>
        <stp/>
        <stp>BDH|221318192471307850</stp>
        <tr r="AB59" s="2"/>
      </tp>
      <tp t="s">
        <v>#N/A N/A</v>
        <stp/>
        <stp>BDH|809725038330249777</stp>
        <tr r="X7" s="2"/>
      </tp>
      <tp t="s">
        <v>#N/A N/A</v>
        <stp/>
        <stp>BDH|294204665540332777</stp>
        <tr r="I12" s="2"/>
      </tp>
      <tp t="s">
        <v>#N/A N/A</v>
        <stp/>
        <stp>BDH|768365878696189053</stp>
        <tr r="M60" s="2"/>
      </tp>
      <tp t="s">
        <v>#N/A N/A</v>
        <stp/>
        <stp>BDH|448431808073598525</stp>
        <tr r="AD65" s="2"/>
      </tp>
      <tp t="s">
        <v>#N/A N/A</v>
        <stp/>
        <stp>BDH|459069319691633256</stp>
        <tr r="L59" s="2"/>
      </tp>
      <tp t="s">
        <v>#N/A N/A</v>
        <stp/>
        <stp>BDH|257407543530374267</stp>
        <tr r="F19" s="2"/>
      </tp>
      <tp t="s">
        <v>#N/A N/A</v>
        <stp/>
        <stp>BDH|614618323445522340</stp>
        <tr r="I17" s="2"/>
      </tp>
      <tp t="s">
        <v>#N/A N/A</v>
        <stp/>
        <stp>BDH|489286612692136396</stp>
        <tr r="W27" s="2"/>
      </tp>
      <tp t="s">
        <v>#N/A N/A</v>
        <stp/>
        <stp>BDH|377657997955355806</stp>
        <tr r="U26" s="2"/>
      </tp>
      <tp t="s">
        <v>#N/A N/A</v>
        <stp/>
        <stp>BDH|576939276128267418</stp>
        <tr r="M7" s="2"/>
      </tp>
      <tp t="s">
        <v>#N/A N/A</v>
        <stp/>
        <stp>BDH|514638774428373499</stp>
        <tr r="H23" s="2"/>
      </tp>
      <tp t="s">
        <v>#N/A N/A</v>
        <stp/>
        <stp>BDH|514338493980393731</stp>
        <tr r="D28" s="2"/>
      </tp>
      <tp t="s">
        <v>#N/A N/A</v>
        <stp/>
        <stp>BDH|184134596185345019</stp>
        <tr r="I34" s="2"/>
      </tp>
      <tp t="s">
        <v>#N/A N/A</v>
        <stp/>
        <stp>BDH|307474395267147707</stp>
        <tr r="E55" s="2"/>
      </tp>
      <tp t="s">
        <v>#N/A N/A</v>
        <stp/>
        <stp>BDH|393501083185414488</stp>
        <tr r="P50" s="2"/>
      </tp>
      <tp t="s">
        <v>#N/A N/A</v>
        <stp/>
        <stp>BDH|489946421113783499</stp>
        <tr r="AE34" s="2"/>
      </tp>
      <tp t="s">
        <v>#N/A N/A</v>
        <stp/>
        <stp>BDH|303319497515184326</stp>
        <tr r="Z26" s="2"/>
      </tp>
      <tp t="s">
        <v>#N/A N/A</v>
        <stp/>
        <stp>BDH|397907112763754767</stp>
        <tr r="AD50" s="2"/>
      </tp>
      <tp t="s">
        <v>#N/A N/A</v>
        <stp/>
        <stp>BDH|234678961839370684</stp>
        <tr r="Y41" s="2"/>
      </tp>
      <tp t="s">
        <v>#N/A N/A</v>
        <stp/>
        <stp>BDH|285899122992251705</stp>
        <tr r="S62" s="2"/>
      </tp>
      <tp t="s">
        <v>#N/A N/A</v>
        <stp/>
        <stp>BDH|930276322527997825</stp>
        <tr r="P22" s="2"/>
      </tp>
      <tp t="s">
        <v>#N/A N/A</v>
        <stp/>
        <stp>BDH|196709891193806295</stp>
        <tr r="T30" s="2"/>
      </tp>
      <tp t="s">
        <v>#N/A N/A</v>
        <stp/>
        <stp>BDH|202610148099772509</stp>
        <tr r="S23" s="2"/>
      </tp>
      <tp t="s">
        <v>#N/A N/A</v>
        <stp/>
        <stp>BDH|371800036452985762</stp>
        <tr r="AE55" s="2"/>
      </tp>
      <tp t="s">
        <v>#N/A N/A</v>
        <stp/>
        <stp>BDH|724917624877434231</stp>
        <tr r="K10" s="2"/>
      </tp>
      <tp t="s">
        <v>#N/A N/A</v>
        <stp/>
        <stp>BDH|284142870861386955</stp>
        <tr r="G51" s="2"/>
      </tp>
      <tp t="s">
        <v>#N/A N/A</v>
        <stp/>
        <stp>BDH|794943691556035810</stp>
        <tr r="N17" s="2"/>
      </tp>
      <tp t="s">
        <v>#N/A N/A</v>
        <stp/>
        <stp>BDH|488137941139820569</stp>
        <tr r="AF19" s="2"/>
      </tp>
      <tp t="s">
        <v>#N/A N/A</v>
        <stp/>
        <stp>BDH|331855874287082119</stp>
        <tr r="K26" s="2"/>
      </tp>
      <tp t="s">
        <v>#N/A N/A</v>
        <stp/>
        <stp>BDH|233901142610570595</stp>
        <tr r="M45" s="2"/>
      </tp>
      <tp t="s">
        <v>#N/A N/A</v>
        <stp/>
        <stp>BDH|702984341221469411</stp>
        <tr r="X64" s="2"/>
      </tp>
      <tp t="s">
        <v>#N/A N/A</v>
        <stp/>
        <stp>BDH|367653150399151110</stp>
        <tr r="C16" s="2"/>
      </tp>
      <tp t="s">
        <v>#N/A N/A</v>
        <stp/>
        <stp>BDH|877906881922178954</stp>
        <tr r="U62" s="2"/>
      </tp>
      <tp t="s">
        <v>#N/A N/A</v>
        <stp/>
        <stp>BDH|718696845300717826</stp>
        <tr r="H7" s="2"/>
      </tp>
      <tp t="s">
        <v>#N/A N/A</v>
        <stp/>
        <stp>BDH|726815832935110436</stp>
        <tr r="W61" s="2"/>
      </tp>
      <tp t="s">
        <v>#N/A N/A</v>
        <stp/>
        <stp>BDH|377133903562510915</stp>
        <tr r="P2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8"/>
  <sheetViews>
    <sheetView tabSelected="1" workbookViewId="0"/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3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34</v>
      </c>
      <c r="B5" s="9"/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65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x14ac:dyDescent="0.25">
      <c r="A7" s="10" t="s">
        <v>66</v>
      </c>
      <c r="B7" s="10" t="s">
        <v>67</v>
      </c>
      <c r="C7" s="12" cm="1">
        <f t="array" ref="C7">_xll.BDH("CMI US Equity","CF_NET_INC","FQ3 2018","FQ3 2018","Currency=USD","Period=FQ","BEST_FPERIOD_OVERRIDE=FQ","FILING_STATUS=MR","SCALING_FORMAT=MLN","Sort=A","Dates=H","DateFormat=P","Fill=—","Direction=H","UseDPDF=Y")</f>
        <v>692</v>
      </c>
      <c r="D7" s="12" cm="1">
        <f t="array" ref="D7">_xll.BDH("CMI US Equity","CF_NET_INC","FQ4 2018","FQ4 2018","Currency=USD","Period=FQ","BEST_FPERIOD_OVERRIDE=FQ","FILING_STATUS=MR","SCALING_FORMAT=MLN","Sort=A","Dates=H","DateFormat=P","Fill=—","Direction=H","UseDPDF=Y")</f>
        <v>579</v>
      </c>
      <c r="E7" s="12" cm="1">
        <f t="array" ref="E7">_xll.BDH("CMI US Equity","CF_NET_INC","FQ1 2019","FQ1 2019","Currency=USD","Period=FQ","BEST_FPERIOD_OVERRIDE=FQ","FILING_STATUS=MR","SCALING_FORMAT=MLN","Sort=A","Dates=H","DateFormat=P","Fill=—","Direction=H","UseDPDF=Y")</f>
        <v>663</v>
      </c>
      <c r="F7" s="12" cm="1">
        <f t="array" ref="F7">_xll.BDH("CMI US Equity","CF_NET_INC","FQ2 2019","FQ2 2019","Currency=USD","Period=FQ","BEST_FPERIOD_OVERRIDE=FQ","FILING_STATUS=MR","SCALING_FORMAT=MLN","Sort=A","Dates=H","DateFormat=P","Fill=—","Direction=H","UseDPDF=Y")</f>
        <v>675</v>
      </c>
      <c r="G7" s="12" cm="1">
        <f t="array" ref="G7">_xll.BDH("CMI US Equity","CF_NET_INC","FQ3 2019","FQ3 2019","Currency=USD","Period=FQ","BEST_FPERIOD_OVERRIDE=FQ","FILING_STATUS=MR","SCALING_FORMAT=MLN","Sort=A","Dates=H","DateFormat=P","Fill=—","Direction=H","UseDPDF=Y")</f>
        <v>622</v>
      </c>
      <c r="H7" s="12" cm="1">
        <f t="array" ref="H7">_xll.BDH("CMI US Equity","CF_NET_INC","FQ4 2019","FQ4 2019","Currency=USD","Period=FQ","BEST_FPERIOD_OVERRIDE=FQ","FILING_STATUS=MR","SCALING_FORMAT=MLN","Sort=A","Dates=H","DateFormat=P","Fill=—","Direction=H","UseDPDF=Y")</f>
        <v>300</v>
      </c>
      <c r="I7" s="12" cm="1">
        <f t="array" ref="I7">_xll.BDH("CMI US Equity","CF_NET_INC","FQ1 2020","FQ1 2020","Currency=USD","Period=FQ","BEST_FPERIOD_OVERRIDE=FQ","FILING_STATUS=MR","SCALING_FORMAT=MLN","Sort=A","Dates=H","DateFormat=P","Fill=—","Direction=H","UseDPDF=Y")</f>
        <v>511</v>
      </c>
      <c r="J7" s="12" cm="1">
        <f t="array" ref="J7">_xll.BDH("CMI US Equity","CF_NET_INC","FQ2 2020","FQ2 2020","Currency=USD","Period=FQ","BEST_FPERIOD_OVERRIDE=FQ","FILING_STATUS=MR","SCALING_FORMAT=MLN","Sort=A","Dates=H","DateFormat=P","Fill=—","Direction=H","UseDPDF=Y")</f>
        <v>276</v>
      </c>
      <c r="K7" s="12" cm="1">
        <f t="array" ref="K7">_xll.BDH("CMI US Equity","CF_NET_INC","FQ3 2020","FQ3 2020","Currency=USD","Period=FQ","BEST_FPERIOD_OVERRIDE=FQ","FILING_STATUS=MR","SCALING_FORMAT=MLN","Sort=A","Dates=H","DateFormat=P","Fill=—","Direction=H","UseDPDF=Y")</f>
        <v>501</v>
      </c>
      <c r="L7" s="12" cm="1">
        <f t="array" ref="L7">_xll.BDH("CMI US Equity","CF_NET_INC","FQ4 2020","FQ4 2020","Currency=USD","Period=FQ","BEST_FPERIOD_OVERRIDE=FQ","FILING_STATUS=MR","SCALING_FORMAT=MLN","Sort=A","Dates=H","DateFormat=P","Fill=—","Direction=H","UseDPDF=Y")</f>
        <v>501</v>
      </c>
      <c r="M7" s="12" cm="1">
        <f t="array" ref="M7">_xll.BDH("CMI US Equity","CF_NET_INC","FQ1 2021","FQ1 2021","Currency=USD","Period=FQ","BEST_FPERIOD_OVERRIDE=FQ","FILING_STATUS=MR","SCALING_FORMAT=MLN","Sort=A","Dates=H","DateFormat=P","Fill=—","Direction=H","UseDPDF=Y")</f>
        <v>603</v>
      </c>
      <c r="N7" s="12" cm="1">
        <f t="array" ref="N7">_xll.BDH("CMI US Equity","CF_NET_INC","FQ2 2021","FQ2 2021","Currency=USD","Period=FQ","BEST_FPERIOD_OVERRIDE=FQ","FILING_STATUS=MR","SCALING_FORMAT=MLN","Sort=A","Dates=H","DateFormat=P","Fill=—","Direction=H","UseDPDF=Y")</f>
        <v>600</v>
      </c>
      <c r="O7" s="12" cm="1">
        <f t="array" ref="O7">_xll.BDH("CMI US Equity","CF_NET_INC","FQ3 2021","FQ3 2021","Currency=USD","Period=FQ","BEST_FPERIOD_OVERRIDE=FQ","FILING_STATUS=MR","SCALING_FORMAT=MLN","Sort=A","Dates=H","DateFormat=P","Fill=—","Direction=H","UseDPDF=Y")</f>
        <v>534</v>
      </c>
      <c r="P7" s="12" cm="1">
        <f t="array" ref="P7">_xll.BDH("CMI US Equity","CF_NET_INC","FQ4 2021","FQ4 2021","Currency=USD","Period=FQ","BEST_FPERIOD_OVERRIDE=FQ","FILING_STATUS=MR","SCALING_FORMAT=MLN","Sort=A","Dates=H","DateFormat=P","Fill=—","Direction=H","UseDPDF=Y")</f>
        <v>394</v>
      </c>
      <c r="Q7" s="12" cm="1">
        <f t="array" ref="Q7">_xll.BDH("CMI US Equity","CF_NET_INC","FQ1 2022","FQ1 2022","Currency=USD","Period=FQ","BEST_FPERIOD_OVERRIDE=FQ","FILING_STATUS=MR","SCALING_FORMAT=MLN","Sort=A","Dates=H","DateFormat=P","Fill=—","Direction=H","UseDPDF=Y")</f>
        <v>418</v>
      </c>
      <c r="R7" s="12" cm="1">
        <f t="array" ref="R7">_xll.BDH("CMI US Equity","CF_NET_INC","FQ2 2022","FQ2 2022","Currency=USD","Period=FQ","BEST_FPERIOD_OVERRIDE=FQ","FILING_STATUS=MR","SCALING_FORMAT=MLN","Sort=A","Dates=H","DateFormat=P","Fill=—","Direction=H","UseDPDF=Y")</f>
        <v>702</v>
      </c>
      <c r="S7" s="12" cm="1">
        <f t="array" ref="S7">_xll.BDH("CMI US Equity","CF_NET_INC","FQ3 2022","FQ3 2022","Currency=USD","Period=FQ","BEST_FPERIOD_OVERRIDE=FQ","FILING_STATUS=MR","SCALING_FORMAT=MLN","Sort=A","Dates=H","DateFormat=P","Fill=—","Direction=H","UseDPDF=Y")</f>
        <v>400</v>
      </c>
      <c r="T7" s="12" cm="1">
        <f t="array" ref="T7">_xll.BDH("CMI US Equity","CF_NET_INC","FQ4 2022","FQ4 2022","Currency=USD","Period=FQ","BEST_FPERIOD_OVERRIDE=FQ","FILING_STATUS=MR","SCALING_FORMAT=MLN","Sort=A","Dates=H","DateFormat=P","Fill=—","Direction=H","UseDPDF=Y")</f>
        <v>631</v>
      </c>
      <c r="U7" s="12" cm="1">
        <f t="array" ref="U7">_xll.BDH("CMI US Equity","CF_NET_INC","FQ1 2023","FQ1 2023","Currency=USD","Period=FQ","BEST_FPERIOD_OVERRIDE=FQ","FILING_STATUS=MR","SCALING_FORMAT=MLN","Sort=A","Dates=H","DateFormat=P","Fill=—","Direction=H","UseDPDF=Y")</f>
        <v>790</v>
      </c>
      <c r="V7" s="12" cm="1">
        <f t="array" ref="V7">_xll.BDH("CMI US Equity","CF_NET_INC","FQ2 2023","FQ2 2023","Currency=USD","Period=FQ","BEST_FPERIOD_OVERRIDE=FQ","FILING_STATUS=MR","SCALING_FORMAT=MLN","Sort=A","Dates=H","DateFormat=P","Fill=—","Direction=H","UseDPDF=Y")</f>
        <v>720</v>
      </c>
      <c r="W7" s="12" cm="1">
        <f t="array" ref="W7">_xll.BDH("CMI US Equity","CF_NET_INC","FQ3 2023","FQ3 2023","Currency=USD","Period=FQ","BEST_FPERIOD_OVERRIDE=FQ","FILING_STATUS=MR","SCALING_FORMAT=MLN","Sort=A","Dates=H","DateFormat=P","Fill=—","Direction=H","UseDPDF=Y")</f>
        <v>656</v>
      </c>
      <c r="X7" s="12" cm="1">
        <f t="array" ref="X7">_xll.BDH("CMI US Equity","CF_NET_INC","FQ4 2023","FQ4 2023","Currency=USD","Period=FQ","BEST_FPERIOD_OVERRIDE=FQ","FILING_STATUS=MR","SCALING_FORMAT=MLN","Sort=A","Dates=H","DateFormat=P","Fill=—","Direction=H","UseDPDF=Y")</f>
        <v>-1431</v>
      </c>
      <c r="Y7" s="12" cm="1">
        <f t="array" ref="Y7">_xll.BDH("CMI US Equity","CF_NET_INC","FQ1 2024","FQ1 2024","Currency=USD","Period=FQ","BEST_FPERIOD_OVERRIDE=FQ","FILING_STATUS=MR","SCALING_FORMAT=MLN","Sort=A","Dates=H","DateFormat=P","Fill=—","Direction=H","UseDPDF=Y")</f>
        <v>1993</v>
      </c>
      <c r="Z7" s="12" cm="1">
        <f t="array" ref="Z7">_xll.BDH("CMI US Equity","CF_NET_INC","FQ2 2024","FQ2 2024","Currency=USD","Period=FQ","BEST_FPERIOD_OVERRIDE=FQ","FILING_STATUS=MR","SCALING_FORMAT=MLN","Sort=A","Dates=H","DateFormat=P","Fill=—","Direction=H","UseDPDF=Y")</f>
        <v>726</v>
      </c>
      <c r="AA7" s="12" cm="1">
        <f t="array" ref="AA7">_xll.BDH("CMI US Equity","CF_NET_INC","FQ3 2024","FQ3 2024","Currency=USD","Period=FQ","BEST_FPERIOD_OVERRIDE=FQ","FILING_STATUS=MR","SCALING_FORMAT=MLN","Sort=A","Dates=H","DateFormat=P","Fill=—","Direction=H","UseDPDF=Y")</f>
        <v>809</v>
      </c>
      <c r="AB7" s="12" cm="1">
        <f t="array" ref="AB7">_xll.BDH("CMI US Equity","CF_NET_INC","FQ4 2024","FQ4 2024","Currency=USD","Period=FQ","BEST_FPERIOD_OVERRIDE=FQ","FILING_STATUS=MR","SCALING_FORMAT=MLN","Sort=A","Dates=H","DateFormat=P","Fill=—","Direction=H","UseDPDF=Y")</f>
        <v>418</v>
      </c>
      <c r="AC7" s="12" cm="1">
        <f t="array" ref="AC7">_xll.BDH("CMI US Equity","CF_NET_INC","FQ1 2025","FQ1 2025","Currency=USD","Period=FQ","BEST_FPERIOD_OVERRIDE=FQ","FILING_STATUS=MR","SCALING_FORMAT=MLN","Sort=A","Dates=H","DateFormat=P","Fill=—","Direction=H","UseDPDF=Y")</f>
        <v>824</v>
      </c>
      <c r="AD7" s="12" cm="1">
        <f t="array" ref="AD7">_xll.BDH("CMI US Equity","CF_NET_INC","FQ2 2025","FQ2 2025","Currency=USD","Period=FQ","BEST_FPERIOD_OVERRIDE=FQ","FILING_STATUS=MR","SCALING_FORMAT=MLN","Sort=A","Dates=H","DateFormat=P","Fill=—","Direction=H","UseDPDF=Y")</f>
        <v>890</v>
      </c>
      <c r="AE7" s="12" cm="1">
        <f t="array" ref="AE7">_xll.BDH("CMI US Equity","CF_NET_INC","FQ3 2025","FQ3 2025","Currency=USD","Period=FQ","BEST_FPERIOD_OVERRIDE=FQ","FILING_STATUS=MR","SCALING_FORMAT=MLN","Sort=A","Dates=H","DateFormat=P","Fill=—","Direction=H","UseDPDF=Y")</f>
        <v>536</v>
      </c>
      <c r="AF7" s="12" cm="1">
        <f t="array" ref="AF7">_xll.BDH("CMI US Equity","CF_NET_INC","FQ4 2025","FQ4 2025","Currency=USD","Period=FQ","BEST_FPERIOD_OVERRIDE=FQ","FILING_STATUS=MR","SCALING_FORMAT=MLN","Sort=A","Dates=H","DateFormat=P","Fill=—","Direction=H","UseDPDF=Y")</f>
        <v>593</v>
      </c>
    </row>
    <row r="8" spans="1:32" x14ac:dyDescent="0.25">
      <c r="A8" s="10" t="s">
        <v>68</v>
      </c>
      <c r="B8" s="10" t="s">
        <v>69</v>
      </c>
      <c r="C8" s="12" cm="1">
        <f t="array" ref="C8">_xll.BDH("CMI US Equity","CF_DEPR_AMORT","FQ3 2018","FQ3 2018","Currency=USD","Period=FQ","BEST_FPERIOD_OVERRIDE=FQ","FILING_STATUS=MR","SCALING_FORMAT=MLN","Sort=A","Dates=H","DateFormat=P","Fill=—","Direction=H","UseDPDF=Y")</f>
        <v>148</v>
      </c>
      <c r="D8" s="12" cm="1">
        <f t="array" ref="D8">_xll.BDH("CMI US Equity","CF_DEPR_AMORT","FQ4 2018","FQ4 2018","Currency=USD","Period=FQ","BEST_FPERIOD_OVERRIDE=FQ","FILING_STATUS=MR","SCALING_FORMAT=MLN","Sort=A","Dates=H","DateFormat=P","Fill=—","Direction=H","UseDPDF=Y")</f>
        <v>155</v>
      </c>
      <c r="E8" s="12" cm="1">
        <f t="array" ref="E8">_xll.BDH("CMI US Equity","CF_DEPR_AMORT","FQ1 2019","FQ1 2019","Currency=USD","Period=FQ","BEST_FPERIOD_OVERRIDE=FQ","FILING_STATUS=MR","SCALING_FORMAT=MLN","Sort=A","Dates=H","DateFormat=P","Fill=—","Direction=H","UseDPDF=Y")</f>
        <v>157</v>
      </c>
      <c r="F8" s="12" cm="1">
        <f t="array" ref="F8">_xll.BDH("CMI US Equity","CF_DEPR_AMORT","FQ2 2019","FQ2 2019","Currency=USD","Period=FQ","BEST_FPERIOD_OVERRIDE=FQ","FILING_STATUS=MR","SCALING_FORMAT=MLN","Sort=A","Dates=H","DateFormat=P","Fill=—","Direction=H","UseDPDF=Y")</f>
        <v>158</v>
      </c>
      <c r="G8" s="12" cm="1">
        <f t="array" ref="G8">_xll.BDH("CMI US Equity","CF_DEPR_AMORT","FQ3 2019","FQ3 2019","Currency=USD","Period=FQ","BEST_FPERIOD_OVERRIDE=FQ","FILING_STATUS=MR","SCALING_FORMAT=MLN","Sort=A","Dates=H","DateFormat=P","Fill=—","Direction=H","UseDPDF=Y")</f>
        <v>178</v>
      </c>
      <c r="H8" s="12" cm="1">
        <f t="array" ref="H8">_xll.BDH("CMI US Equity","CF_DEPR_AMORT","FQ4 2019","FQ4 2019","Currency=USD","Period=FQ","BEST_FPERIOD_OVERRIDE=FQ","FILING_STATUS=MR","SCALING_FORMAT=MLN","Sort=A","Dates=H","DateFormat=P","Fill=—","Direction=H","UseDPDF=Y")</f>
        <v>179</v>
      </c>
      <c r="I8" s="12" cm="1">
        <f t="array" ref="I8">_xll.BDH("CMI US Equity","CF_DEPR_AMORT","FQ1 2020","FQ1 2020","Currency=USD","Period=FQ","BEST_FPERIOD_OVERRIDE=FQ","FILING_STATUS=MR","SCALING_FORMAT=MLN","Sort=A","Dates=H","DateFormat=P","Fill=—","Direction=H","UseDPDF=Y")</f>
        <v>168</v>
      </c>
      <c r="J8" s="12" cm="1">
        <f t="array" ref="J8">_xll.BDH("CMI US Equity","CF_DEPR_AMORT","FQ2 2020","FQ2 2020","Currency=USD","Period=FQ","BEST_FPERIOD_OVERRIDE=FQ","FILING_STATUS=MR","SCALING_FORMAT=MLN","Sort=A","Dates=H","DateFormat=P","Fill=—","Direction=H","UseDPDF=Y")</f>
        <v>165</v>
      </c>
      <c r="K8" s="12" cm="1">
        <f t="array" ref="K8">_xll.BDH("CMI US Equity","CF_DEPR_AMORT","FQ3 2020","FQ3 2020","Currency=USD","Period=FQ","BEST_FPERIOD_OVERRIDE=FQ","FILING_STATUS=MR","SCALING_FORMAT=MLN","Sort=A","Dates=H","DateFormat=P","Fill=—","Direction=H","UseDPDF=Y")</f>
        <v>166</v>
      </c>
      <c r="L8" s="12" cm="1">
        <f t="array" ref="L8">_xll.BDH("CMI US Equity","CF_DEPR_AMORT","FQ4 2020","FQ4 2020","Currency=USD","Period=FQ","BEST_FPERIOD_OVERRIDE=FQ","FILING_STATUS=MR","SCALING_FORMAT=MLN","Sort=A","Dates=H","DateFormat=P","Fill=—","Direction=H","UseDPDF=Y")</f>
        <v>174</v>
      </c>
      <c r="M8" s="12" cm="1">
        <f t="array" ref="M8">_xll.BDH("CMI US Equity","CF_DEPR_AMORT","FQ1 2021","FQ1 2021","Currency=USD","Period=FQ","BEST_FPERIOD_OVERRIDE=FQ","FILING_STATUS=MR","SCALING_FORMAT=MLN","Sort=A","Dates=H","DateFormat=P","Fill=—","Direction=H","UseDPDF=Y")</f>
        <v>170</v>
      </c>
      <c r="N8" s="12" cm="1">
        <f t="array" ref="N8">_xll.BDH("CMI US Equity","CF_DEPR_AMORT","FQ2 2021","FQ2 2021","Currency=USD","Period=FQ","BEST_FPERIOD_OVERRIDE=FQ","FILING_STATUS=MR","SCALING_FORMAT=MLN","Sort=A","Dates=H","DateFormat=P","Fill=—","Direction=H","UseDPDF=Y")</f>
        <v>167</v>
      </c>
      <c r="O8" s="12" cm="1">
        <f t="array" ref="O8">_xll.BDH("CMI US Equity","CF_DEPR_AMORT","FQ3 2021","FQ3 2021","Currency=USD","Period=FQ","BEST_FPERIOD_OVERRIDE=FQ","FILING_STATUS=MR","SCALING_FORMAT=MLN","Sort=A","Dates=H","DateFormat=P","Fill=—","Direction=H","UseDPDF=Y")</f>
        <v>160</v>
      </c>
      <c r="P8" s="12" cm="1">
        <f t="array" ref="P8">_xll.BDH("CMI US Equity","CF_DEPR_AMORT","FQ4 2021","FQ4 2021","Currency=USD","Period=FQ","BEST_FPERIOD_OVERRIDE=FQ","FILING_STATUS=MR","SCALING_FORMAT=MLN","Sort=A","Dates=H","DateFormat=P","Fill=—","Direction=H","UseDPDF=Y")</f>
        <v>165</v>
      </c>
      <c r="Q8" s="12" cm="1">
        <f t="array" ref="Q8">_xll.BDH("CMI US Equity","CF_DEPR_AMORT","FQ1 2022","FQ1 2022","Currency=USD","Period=FQ","BEST_FPERIOD_OVERRIDE=FQ","FILING_STATUS=MR","SCALING_FORMAT=MLN","Sort=A","Dates=H","DateFormat=P","Fill=—","Direction=H","UseDPDF=Y")</f>
        <v>161</v>
      </c>
      <c r="R8" s="12" cm="1">
        <f t="array" ref="R8">_xll.BDH("CMI US Equity","CF_DEPR_AMORT","FQ2 2022","FQ2 2022","Currency=USD","Period=FQ","BEST_FPERIOD_OVERRIDE=FQ","FILING_STATUS=MR","SCALING_FORMAT=MLN","Sort=A","Dates=H","DateFormat=P","Fill=—","Direction=H","UseDPDF=Y")</f>
        <v>167</v>
      </c>
      <c r="S8" s="12" cm="1">
        <f t="array" ref="S8">_xll.BDH("CMI US Equity","CF_DEPR_AMORT","FQ3 2022","FQ3 2022","Currency=USD","Period=FQ","BEST_FPERIOD_OVERRIDE=FQ","FILING_STATUS=MR","SCALING_FORMAT=MLN","Sort=A","Dates=H","DateFormat=P","Fill=—","Direction=H","UseDPDF=Y")</f>
        <v>216</v>
      </c>
      <c r="T8" s="12" cm="1">
        <f t="array" ref="T8">_xll.BDH("CMI US Equity","CF_DEPR_AMORT","FQ4 2022","FQ4 2022","Currency=USD","Period=FQ","BEST_FPERIOD_OVERRIDE=FQ","FILING_STATUS=MR","SCALING_FORMAT=MLN","Sort=A","Dates=H","DateFormat=P","Fill=—","Direction=H","UseDPDF=Y")</f>
        <v>240</v>
      </c>
      <c r="U8" s="12" cm="1">
        <f t="array" ref="U8">_xll.BDH("CMI US Equity","CF_DEPR_AMORT","FQ1 2023","FQ1 2023","Currency=USD","Period=FQ","BEST_FPERIOD_OVERRIDE=FQ","FILING_STATUS=MR","SCALING_FORMAT=MLN","Sort=A","Dates=H","DateFormat=P","Fill=—","Direction=H","UseDPDF=Y")</f>
        <v>246</v>
      </c>
      <c r="V8" s="12" cm="1">
        <f t="array" ref="V8">_xll.BDH("CMI US Equity","CF_DEPR_AMORT","FQ2 2023","FQ2 2023","Currency=USD","Period=FQ","BEST_FPERIOD_OVERRIDE=FQ","FILING_STATUS=MR","SCALING_FORMAT=MLN","Sort=A","Dates=H","DateFormat=P","Fill=—","Direction=H","UseDPDF=Y")</f>
        <v>257</v>
      </c>
      <c r="W8" s="12" cm="1">
        <f t="array" ref="W8">_xll.BDH("CMI US Equity","CF_DEPR_AMORT","FQ3 2023","FQ3 2023","Currency=USD","Period=FQ","BEST_FPERIOD_OVERRIDE=FQ","FILING_STATUS=MR","SCALING_FORMAT=MLN","Sort=A","Dates=H","DateFormat=P","Fill=—","Direction=H","UseDPDF=Y")</f>
        <v>257</v>
      </c>
      <c r="X8" s="12" cm="1">
        <f t="array" ref="X8">_xll.BDH("CMI US Equity","CF_DEPR_AMORT","FQ4 2023","FQ4 2023","Currency=USD","Period=FQ","BEST_FPERIOD_OVERRIDE=FQ","FILING_STATUS=MR","SCALING_FORMAT=MLN","Sort=A","Dates=H","DateFormat=P","Fill=—","Direction=H","UseDPDF=Y")</f>
        <v>264</v>
      </c>
      <c r="Y8" s="12" cm="1">
        <f t="array" ref="Y8">_xll.BDH("CMI US Equity","CF_DEPR_AMORT","FQ1 2024","FQ1 2024","Currency=USD","Period=FQ","BEST_FPERIOD_OVERRIDE=FQ","FILING_STATUS=MR","SCALING_FORMAT=MLN","Sort=A","Dates=H","DateFormat=P","Fill=—","Direction=H","UseDPDF=Y")</f>
        <v>265</v>
      </c>
      <c r="Z8" s="12" cm="1">
        <f t="array" ref="Z8">_xll.BDH("CMI US Equity","CF_DEPR_AMORT","FQ2 2024","FQ2 2024","Currency=USD","Period=FQ","BEST_FPERIOD_OVERRIDE=FQ","FILING_STATUS=MR","SCALING_FORMAT=MLN","Sort=A","Dates=H","DateFormat=P","Fill=—","Direction=H","UseDPDF=Y")</f>
        <v>263</v>
      </c>
      <c r="AA8" s="12" cm="1">
        <f t="array" ref="AA8">_xll.BDH("CMI US Equity","CF_DEPR_AMORT","FQ3 2024","FQ3 2024","Currency=USD","Period=FQ","BEST_FPERIOD_OVERRIDE=FQ","FILING_STATUS=MR","SCALING_FORMAT=MLN","Sort=A","Dates=H","DateFormat=P","Fill=—","Direction=H","UseDPDF=Y")</f>
        <v>266</v>
      </c>
      <c r="AB8" s="12" cm="1">
        <f t="array" ref="AB8">_xll.BDH("CMI US Equity","CF_DEPR_AMORT","FQ4 2024","FQ4 2024","Currency=USD","Period=FQ","BEST_FPERIOD_OVERRIDE=FQ","FILING_STATUS=MR","SCALING_FORMAT=MLN","Sort=A","Dates=H","DateFormat=P","Fill=—","Direction=H","UseDPDF=Y")</f>
        <v>271</v>
      </c>
      <c r="AC8" s="12" cm="1">
        <f t="array" ref="AC8">_xll.BDH("CMI US Equity","CF_DEPR_AMORT","FQ1 2025","FQ1 2025","Currency=USD","Period=FQ","BEST_FPERIOD_OVERRIDE=FQ","FILING_STATUS=MR","SCALING_FORMAT=MLN","Sort=A","Dates=H","DateFormat=P","Fill=—","Direction=H","UseDPDF=Y")</f>
        <v>269</v>
      </c>
      <c r="AD8" s="12" cm="1">
        <f t="array" ref="AD8">_xll.BDH("CMI US Equity","CF_DEPR_AMORT","FQ2 2025","FQ2 2025","Currency=USD","Period=FQ","BEST_FPERIOD_OVERRIDE=FQ","FILING_STATUS=MR","SCALING_FORMAT=MLN","Sort=A","Dates=H","DateFormat=P","Fill=—","Direction=H","UseDPDF=Y")</f>
        <v>279</v>
      </c>
      <c r="AE8" s="12" cm="1">
        <f t="array" ref="AE8">_xll.BDH("CMI US Equity","CF_DEPR_AMORT","FQ3 2025","FQ3 2025","Currency=USD","Period=FQ","BEST_FPERIOD_OVERRIDE=FQ","FILING_STATUS=MR","SCALING_FORMAT=MLN","Sort=A","Dates=H","DateFormat=P","Fill=—","Direction=H","UseDPDF=Y")</f>
        <v>277</v>
      </c>
      <c r="AF8" s="12" cm="1">
        <f t="array" ref="AF8">_xll.BDH("CMI US Equity","CF_DEPR_AMORT","FQ4 2025","FQ4 2025","Currency=USD","Period=FQ","BEST_FPERIOD_OVERRIDE=FQ","FILING_STATUS=MR","SCALING_FORMAT=MLN","Sort=A","Dates=H","DateFormat=P","Fill=—","Direction=H","UseDPDF=Y")</f>
        <v>280</v>
      </c>
    </row>
    <row r="9" spans="1:32" x14ac:dyDescent="0.25">
      <c r="A9" s="10" t="s">
        <v>70</v>
      </c>
      <c r="B9" s="10" t="s">
        <v>71</v>
      </c>
      <c r="C9" s="12" cm="1">
        <f t="array" ref="C9">_xll.BDH("CMI US Equity","NON_CASH_ITEMS_DETAILED","FQ3 2018","FQ3 2018","Currency=USD","Period=FQ","BEST_FPERIOD_OVERRIDE=FQ","FILING_STATUS=MR","SCALING_FORMAT=MLN","Sort=A","Dates=H","DateFormat=P","Fill=—","Direction=H","UseDPDF=Y")</f>
        <v>98</v>
      </c>
      <c r="D9" s="12" cm="1">
        <f t="array" ref="D9">_xll.BDH("CMI US Equity","NON_CASH_ITEMS_DETAILED","FQ4 2018","FQ4 2018","Currency=USD","Period=FQ","BEST_FPERIOD_OVERRIDE=FQ","FILING_STATUS=MR","SCALING_FORMAT=MLN","Sort=A","Dates=H","DateFormat=P","Fill=—","Direction=H","UseDPDF=Y")</f>
        <v>124</v>
      </c>
      <c r="E9" s="12" cm="1">
        <f t="array" ref="E9">_xll.BDH("CMI US Equity","NON_CASH_ITEMS_DETAILED","FQ1 2019","FQ1 2019","Currency=USD","Period=FQ","BEST_FPERIOD_OVERRIDE=FQ","FILING_STATUS=MR","SCALING_FORMAT=MLN","Sort=A","Dates=H","DateFormat=P","Fill=—","Direction=H","UseDPDF=Y")</f>
        <v>-106</v>
      </c>
      <c r="F9" s="12" cm="1">
        <f t="array" ref="F9">_xll.BDH("CMI US Equity","NON_CASH_ITEMS_DETAILED","FQ2 2019","FQ2 2019","Currency=USD","Period=FQ","BEST_FPERIOD_OVERRIDE=FQ","FILING_STATUS=MR","SCALING_FORMAT=MLN","Sort=A","Dates=H","DateFormat=P","Fill=—","Direction=H","UseDPDF=Y")</f>
        <v>141</v>
      </c>
      <c r="G9" s="12" cm="1">
        <f t="array" ref="G9">_xll.BDH("CMI US Equity","NON_CASH_ITEMS_DETAILED","FQ3 2019","FQ3 2019","Currency=USD","Period=FQ","BEST_FPERIOD_OVERRIDE=FQ","FILING_STATUS=MR","SCALING_FORMAT=MLN","Sort=A","Dates=H","DateFormat=P","Fill=—","Direction=H","UseDPDF=Y")</f>
        <v>47</v>
      </c>
      <c r="H9" s="12" cm="1">
        <f t="array" ref="H9">_xll.BDH("CMI US Equity","NON_CASH_ITEMS_DETAILED","FQ4 2019","FQ4 2019","Currency=USD","Period=FQ","BEST_FPERIOD_OVERRIDE=FQ","FILING_STATUS=MR","SCALING_FORMAT=MLN","Sort=A","Dates=H","DateFormat=P","Fill=—","Direction=H","UseDPDF=Y")</f>
        <v>198</v>
      </c>
      <c r="I9" s="12" cm="1">
        <f t="array" ref="I9">_xll.BDH("CMI US Equity","NON_CASH_ITEMS_DETAILED","FQ1 2020","FQ1 2020","Currency=USD","Period=FQ","BEST_FPERIOD_OVERRIDE=FQ","FILING_STATUS=MR","SCALING_FORMAT=MLN","Sort=A","Dates=H","DateFormat=P","Fill=—","Direction=H","UseDPDF=Y")</f>
        <v>-165</v>
      </c>
      <c r="J9" s="12" cm="1">
        <f t="array" ref="J9">_xll.BDH("CMI US Equity","NON_CASH_ITEMS_DETAILED","FQ2 2020","FQ2 2020","Currency=USD","Period=FQ","BEST_FPERIOD_OVERRIDE=FQ","FILING_STATUS=MR","SCALING_FORMAT=MLN","Sort=A","Dates=H","DateFormat=P","Fill=—","Direction=H","UseDPDF=Y")</f>
        <v>3</v>
      </c>
      <c r="K9" s="12" cm="1">
        <f t="array" ref="K9">_xll.BDH("CMI US Equity","NON_CASH_ITEMS_DETAILED","FQ3 2020","FQ3 2020","Currency=USD","Period=FQ","BEST_FPERIOD_OVERRIDE=FQ","FILING_STATUS=MR","SCALING_FORMAT=MLN","Sort=A","Dates=H","DateFormat=P","Fill=—","Direction=H","UseDPDF=Y")</f>
        <v>12</v>
      </c>
      <c r="L9" s="12" cm="1">
        <f t="array" ref="L9">_xll.BDH("CMI US Equity","NON_CASH_ITEMS_DETAILED","FQ4 2020","FQ4 2020","Currency=USD","Period=FQ","BEST_FPERIOD_OVERRIDE=FQ","FILING_STATUS=MR","SCALING_FORMAT=MLN","Sort=A","Dates=H","DateFormat=P","Fill=—","Direction=H","UseDPDF=Y")</f>
        <v>45</v>
      </c>
      <c r="M9" s="12" cm="1">
        <f t="array" ref="M9">_xll.BDH("CMI US Equity","NON_CASH_ITEMS_DETAILED","FQ1 2021","FQ1 2021","Currency=USD","Period=FQ","BEST_FPERIOD_OVERRIDE=FQ","FILING_STATUS=MR","SCALING_FORMAT=MLN","Sort=A","Dates=H","DateFormat=P","Fill=—","Direction=H","UseDPDF=Y")</f>
        <v>-141</v>
      </c>
      <c r="N9" s="12" cm="1">
        <f t="array" ref="N9">_xll.BDH("CMI US Equity","NON_CASH_ITEMS_DETAILED","FQ2 2021","FQ2 2021","Currency=USD","Period=FQ","BEST_FPERIOD_OVERRIDE=FQ","FILING_STATUS=MR","SCALING_FORMAT=MLN","Sort=A","Dates=H","DateFormat=P","Fill=—","Direction=H","UseDPDF=Y")</f>
        <v>-13</v>
      </c>
      <c r="O9" s="12" cm="1">
        <f t="array" ref="O9">_xll.BDH("CMI US Equity","NON_CASH_ITEMS_DETAILED","FQ3 2021","FQ3 2021","Currency=USD","Period=FQ","BEST_FPERIOD_OVERRIDE=FQ","FILING_STATUS=MR","SCALING_FORMAT=MLN","Sort=A","Dates=H","DateFormat=P","Fill=—","Direction=H","UseDPDF=Y")</f>
        <v>-90</v>
      </c>
      <c r="P9" s="12" cm="1">
        <f t="array" ref="P9">_xll.BDH("CMI US Equity","NON_CASH_ITEMS_DETAILED","FQ4 2021","FQ4 2021","Currency=USD","Period=FQ","BEST_FPERIOD_OVERRIDE=FQ","FILING_STATUS=MR","SCALING_FORMAT=MLN","Sort=A","Dates=H","DateFormat=P","Fill=—","Direction=H","UseDPDF=Y")</f>
        <v>66</v>
      </c>
      <c r="Q9" s="12" cm="1">
        <f t="array" ref="Q9">_xll.BDH("CMI US Equity","NON_CASH_ITEMS_DETAILED","FQ1 2022","FQ1 2022","Currency=USD","Period=FQ","BEST_FPERIOD_OVERRIDE=FQ","FILING_STATUS=MR","SCALING_FORMAT=MLN","Sort=A","Dates=H","DateFormat=P","Fill=—","Direction=H","UseDPDF=Y")</f>
        <v>115</v>
      </c>
      <c r="R9" s="12" cm="1">
        <f t="array" ref="R9">_xll.BDH("CMI US Equity","NON_CASH_ITEMS_DETAILED","FQ2 2022","FQ2 2022","Currency=USD","Period=FQ","BEST_FPERIOD_OVERRIDE=FQ","FILING_STATUS=MR","SCALING_FORMAT=MLN","Sort=A","Dates=H","DateFormat=P","Fill=—","Direction=H","UseDPDF=Y")</f>
        <v>-130</v>
      </c>
      <c r="S9" s="12" cm="1">
        <f t="array" ref="S9">_xll.BDH("CMI US Equity","NON_CASH_ITEMS_DETAILED","FQ3 2022","FQ3 2022","Currency=USD","Period=FQ","BEST_FPERIOD_OVERRIDE=FQ","FILING_STATUS=MR","SCALING_FORMAT=MLN","Sort=A","Dates=H","DateFormat=P","Fill=—","Direction=H","UseDPDF=Y")</f>
        <v>-185</v>
      </c>
      <c r="T9" s="12" cm="1">
        <f t="array" ref="T9">_xll.BDH("CMI US Equity","NON_CASH_ITEMS_DETAILED","FQ4 2022","FQ4 2022","Currency=USD","Period=FQ","BEST_FPERIOD_OVERRIDE=FQ","FILING_STATUS=MR","SCALING_FORMAT=MLN","Sort=A","Dates=H","DateFormat=P","Fill=—","Direction=H","UseDPDF=Y")</f>
        <v>232</v>
      </c>
      <c r="U9" s="12" cm="1">
        <f t="array" ref="U9">_xll.BDH("CMI US Equity","NON_CASH_ITEMS_DETAILED","FQ1 2023","FQ1 2023","Currency=USD","Period=FQ","BEST_FPERIOD_OVERRIDE=FQ","FILING_STATUS=MR","SCALING_FORMAT=MLN","Sort=A","Dates=H","DateFormat=P","Fill=—","Direction=H","UseDPDF=Y")</f>
        <v>-47</v>
      </c>
      <c r="V9" s="12" cm="1">
        <f t="array" ref="V9">_xll.BDH("CMI US Equity","NON_CASH_ITEMS_DETAILED","FQ2 2023","FQ2 2023","Currency=USD","Period=FQ","BEST_FPERIOD_OVERRIDE=FQ","FILING_STATUS=MR","SCALING_FORMAT=MLN","Sort=A","Dates=H","DateFormat=P","Fill=—","Direction=H","UseDPDF=Y")</f>
        <v>-139</v>
      </c>
      <c r="W9" s="12" cm="1">
        <f t="array" ref="W9">_xll.BDH("CMI US Equity","NON_CASH_ITEMS_DETAILED","FQ3 2023","FQ3 2023","Currency=USD","Period=FQ","BEST_FPERIOD_OVERRIDE=FQ","FILING_STATUS=MR","SCALING_FORMAT=MLN","Sort=A","Dates=H","DateFormat=P","Fill=—","Direction=H","UseDPDF=Y")</f>
        <v>137</v>
      </c>
      <c r="X9" s="12" cm="1">
        <f t="array" ref="X9">_xll.BDH("CMI US Equity","NON_CASH_ITEMS_DETAILED","FQ4 2023","FQ4 2023","Currency=USD","Period=FQ","BEST_FPERIOD_OVERRIDE=FQ","FILING_STATUS=MR","SCALING_FORMAT=MLN","Sort=A","Dates=H","DateFormat=P","Fill=—","Direction=H","UseDPDF=Y")</f>
        <v>-162</v>
      </c>
      <c r="Y9" s="12" cm="1">
        <f t="array" ref="Y9">_xll.BDH("CMI US Equity","NON_CASH_ITEMS_DETAILED","FQ1 2024","FQ1 2024","Currency=USD","Period=FQ","BEST_FPERIOD_OVERRIDE=FQ","FILING_STATUS=MR","SCALING_FORMAT=MLN","Sort=A","Dates=H","DateFormat=P","Fill=—","Direction=H","UseDPDF=Y")</f>
        <v>-1376</v>
      </c>
      <c r="Z9" s="12" cm="1">
        <f t="array" ref="Z9">_xll.BDH("CMI US Equity","NON_CASH_ITEMS_DETAILED","FQ2 2024","FQ2 2024","Currency=USD","Period=FQ","BEST_FPERIOD_OVERRIDE=FQ","FILING_STATUS=MR","SCALING_FORMAT=MLN","Sort=A","Dates=H","DateFormat=P","Fill=—","Direction=H","UseDPDF=Y")</f>
        <v>5</v>
      </c>
      <c r="AA9" s="12" cm="1">
        <f t="array" ref="AA9">_xll.BDH("CMI US Equity","NON_CASH_ITEMS_DETAILED","FQ3 2024","FQ3 2024","Currency=USD","Period=FQ","BEST_FPERIOD_OVERRIDE=FQ","FILING_STATUS=MR","SCALING_FORMAT=MLN","Sort=A","Dates=H","DateFormat=P","Fill=—","Direction=H","UseDPDF=Y")</f>
        <v>74</v>
      </c>
      <c r="AB9" s="12" cm="1">
        <f t="array" ref="AB9">_xll.BDH("CMI US Equity","NON_CASH_ITEMS_DETAILED","FQ4 2024","FQ4 2024","Currency=USD","Period=FQ","BEST_FPERIOD_OVERRIDE=FQ","FILING_STATUS=MR","SCALING_FORMAT=MLN","Sort=A","Dates=H","DateFormat=P","Fill=—","Direction=H","UseDPDF=Y")</f>
        <v>-62</v>
      </c>
      <c r="AC9" s="12" cm="1">
        <f t="array" ref="AC9">_xll.BDH("CMI US Equity","NON_CASH_ITEMS_DETAILED","FQ1 2025","FQ1 2025","Currency=USD","Period=FQ","BEST_FPERIOD_OVERRIDE=FQ","FILING_STATUS=MR","SCALING_FORMAT=MLN","Sort=A","Dates=H","DateFormat=P","Fill=—","Direction=H","UseDPDF=Y")</f>
        <v>-115</v>
      </c>
      <c r="AD9" s="12" cm="1">
        <f t="array" ref="AD9">_xll.BDH("CMI US Equity","NON_CASH_ITEMS_DETAILED","FQ2 2025","FQ2 2025","Currency=USD","Period=FQ","BEST_FPERIOD_OVERRIDE=FQ","FILING_STATUS=MR","SCALING_FORMAT=MLN","Sort=A","Dates=H","DateFormat=P","Fill=—","Direction=H","UseDPDF=Y")</f>
        <v>-18</v>
      </c>
      <c r="AE9" s="12" cm="1">
        <f t="array" ref="AE9">_xll.BDH("CMI US Equity","NON_CASH_ITEMS_DETAILED","FQ3 2025","FQ3 2025","Currency=USD","Period=FQ","BEST_FPERIOD_OVERRIDE=FQ","FILING_STATUS=MR","SCALING_FORMAT=MLN","Sort=A","Dates=H","DateFormat=P","Fill=—","Direction=H","UseDPDF=Y")</f>
        <v>551</v>
      </c>
      <c r="AF9" s="12" cm="1">
        <f t="array" ref="AF9">_xll.BDH("CMI US Equity","NON_CASH_ITEMS_DETAILED","FQ4 2025","FQ4 2025","Currency=USD","Period=FQ","BEST_FPERIOD_OVERRIDE=FQ","FILING_STATUS=MR","SCALING_FORMAT=MLN","Sort=A","Dates=H","DateFormat=P","Fill=—","Direction=H","UseDPDF=Y")</f>
        <v>116</v>
      </c>
    </row>
    <row r="10" spans="1:32" x14ac:dyDescent="0.25">
      <c r="A10" s="10" t="s">
        <v>72</v>
      </c>
      <c r="B10" s="10" t="s">
        <v>73</v>
      </c>
      <c r="C10" s="12" cm="1">
        <f t="array" ref="C10">_xll.BDH("CMI US Equity","CF_STOCK_BASED_COMPENSATION","FQ3 2018","FQ3 2018","Currency=USD","Period=FQ","BEST_FPERIOD_OVERRIDE=FQ","FILING_STATUS=MR","SCALING_FORMAT=MLN","Sort=A","Dates=H","DateFormat=P","Fill=—","Direction=H","UseDPDF=Y")</f>
        <v>10</v>
      </c>
      <c r="D10" s="12" cm="1">
        <f t="array" ref="D10">_xll.BDH("CMI US Equity","CF_STOCK_BASED_COMPENSATION","FQ4 2018","FQ4 2018","Currency=USD","Period=FQ","BEST_FPERIOD_OVERRIDE=FQ","FILING_STATUS=MR","SCALING_FORMAT=MLN","Sort=A","Dates=H","DateFormat=P","Fill=—","Direction=H","UseDPDF=Y")</f>
        <v>15</v>
      </c>
      <c r="E10" s="12" cm="1">
        <f t="array" ref="E10">_xll.BDH("CMI US Equity","CF_STOCK_BASED_COMPENSATION","FQ1 2019","FQ1 2019","Currency=USD","Period=FQ","BEST_FPERIOD_OVERRIDE=FQ","FILING_STATUS=MR","SCALING_FORMAT=MLN","Sort=A","Dates=H","DateFormat=P","Fill=—","Direction=H","UseDPDF=Y")</f>
        <v>9</v>
      </c>
      <c r="F10" s="12" cm="1">
        <f t="array" ref="F10">_xll.BDH("CMI US Equity","CF_STOCK_BASED_COMPENSATION","FQ2 2019","FQ2 2019","Currency=USD","Period=FQ","BEST_FPERIOD_OVERRIDE=FQ","FILING_STATUS=MR","SCALING_FORMAT=MLN","Sort=A","Dates=H","DateFormat=P","Fill=—","Direction=H","UseDPDF=Y")</f>
        <v>19</v>
      </c>
      <c r="G10" s="12" cm="1">
        <f t="array" ref="G10">_xll.BDH("CMI US Equity","CF_STOCK_BASED_COMPENSATION","FQ3 2019","FQ3 2019","Currency=USD","Period=FQ","BEST_FPERIOD_OVERRIDE=FQ","FILING_STATUS=MR","SCALING_FORMAT=MLN","Sort=A","Dates=H","DateFormat=P","Fill=—","Direction=H","UseDPDF=Y")</f>
        <v>9</v>
      </c>
      <c r="H10" s="12" cm="1">
        <f t="array" ref="H10">_xll.BDH("CMI US Equity","CF_STOCK_BASED_COMPENSATION","FQ4 2019","FQ4 2019","Currency=USD","Period=FQ","BEST_FPERIOD_OVERRIDE=FQ","FILING_STATUS=MR","SCALING_FORMAT=MLN","Sort=A","Dates=H","DateFormat=P","Fill=—","Direction=H","UseDPDF=Y")</f>
        <v>12</v>
      </c>
      <c r="I10" s="12" cm="1">
        <f t="array" ref="I10">_xll.BDH("CMI US Equity","CF_STOCK_BASED_COMPENSATION","FQ1 2020","FQ1 2020","Currency=USD","Period=FQ","BEST_FPERIOD_OVERRIDE=FQ","FILING_STATUS=MR","SCALING_FORMAT=MLN","Sort=A","Dates=H","DateFormat=P","Fill=—","Direction=H","UseDPDF=Y")</f>
        <v>4</v>
      </c>
      <c r="J10" s="12" cm="1">
        <f t="array" ref="J10">_xll.BDH("CMI US Equity","CF_STOCK_BASED_COMPENSATION","FQ2 2020","FQ2 2020","Currency=USD","Period=FQ","BEST_FPERIOD_OVERRIDE=FQ","FILING_STATUS=MR","SCALING_FORMAT=MLN","Sort=A","Dates=H","DateFormat=P","Fill=—","Direction=H","UseDPDF=Y")</f>
        <v>8</v>
      </c>
      <c r="K10" s="12" cm="1">
        <f t="array" ref="K10">_xll.BDH("CMI US Equity","CF_STOCK_BASED_COMPENSATION","FQ3 2020","FQ3 2020","Currency=USD","Period=FQ","BEST_FPERIOD_OVERRIDE=FQ","FILING_STATUS=MR","SCALING_FORMAT=MLN","Sort=A","Dates=H","DateFormat=P","Fill=—","Direction=H","UseDPDF=Y")</f>
        <v>10</v>
      </c>
      <c r="L10" s="12" cm="1">
        <f t="array" ref="L10">_xll.BDH("CMI US Equity","CF_STOCK_BASED_COMPENSATION","FQ4 2020","FQ4 2020","Currency=USD","Period=FQ","BEST_FPERIOD_OVERRIDE=FQ","FILING_STATUS=MR","SCALING_FORMAT=MLN","Sort=A","Dates=H","DateFormat=P","Fill=—","Direction=H","UseDPDF=Y")</f>
        <v>9</v>
      </c>
      <c r="M10" s="12" cm="1">
        <f t="array" ref="M10">_xll.BDH("CMI US Equity","CF_STOCK_BASED_COMPENSATION","FQ1 2021","FQ1 2021","Currency=USD","Period=FQ","BEST_FPERIOD_OVERRIDE=FQ","FILING_STATUS=MR","SCALING_FORMAT=MLN","Sort=A","Dates=H","DateFormat=P","Fill=—","Direction=H","UseDPDF=Y")</f>
        <v>8</v>
      </c>
      <c r="N10" s="12" cm="1">
        <f t="array" ref="N10">_xll.BDH("CMI US Equity","CF_STOCK_BASED_COMPENSATION","FQ2 2021","FQ2 2021","Currency=USD","Period=FQ","BEST_FPERIOD_OVERRIDE=FQ","FILING_STATUS=MR","SCALING_FORMAT=MLN","Sort=A","Dates=H","DateFormat=P","Fill=—","Direction=H","UseDPDF=Y")</f>
        <v>10</v>
      </c>
      <c r="O10" s="12" cm="1">
        <f t="array" ref="O10">_xll.BDH("CMI US Equity","CF_STOCK_BASED_COMPENSATION","FQ3 2021","FQ3 2021","Currency=USD","Period=FQ","BEST_FPERIOD_OVERRIDE=FQ","FILING_STATUS=MR","SCALING_FORMAT=MLN","Sort=A","Dates=H","DateFormat=P","Fill=—","Direction=H","UseDPDF=Y")</f>
        <v>7</v>
      </c>
      <c r="P10" s="12" cm="1">
        <f t="array" ref="P10">_xll.BDH("CMI US Equity","CF_STOCK_BASED_COMPENSATION","FQ4 2021","FQ4 2021","Currency=USD","Period=FQ","BEST_FPERIOD_OVERRIDE=FQ","FILING_STATUS=MR","SCALING_FORMAT=MLN","Sort=A","Dates=H","DateFormat=P","Fill=—","Direction=H","UseDPDF=Y")</f>
        <v>12</v>
      </c>
      <c r="Q10" s="12" cm="1">
        <f t="array" ref="Q10">_xll.BDH("CMI US Equity","CF_STOCK_BASED_COMPENSATION","FQ1 2022","FQ1 2022","Currency=USD","Period=FQ","BEST_FPERIOD_OVERRIDE=FQ","FILING_STATUS=MR","SCALING_FORMAT=MLN","Sort=A","Dates=H","DateFormat=P","Fill=—","Direction=H","UseDPDF=Y")</f>
        <v>5</v>
      </c>
      <c r="R10" s="12" cm="1">
        <f t="array" ref="R10">_xll.BDH("CMI US Equity","CF_STOCK_BASED_COMPENSATION","FQ2 2022","FQ2 2022","Currency=USD","Period=FQ","BEST_FPERIOD_OVERRIDE=FQ","FILING_STATUS=MR","SCALING_FORMAT=MLN","Sort=A","Dates=H","DateFormat=P","Fill=—","Direction=H","UseDPDF=Y")</f>
        <v>9</v>
      </c>
      <c r="S10" s="12" cm="1">
        <f t="array" ref="S10">_xll.BDH("CMI US Equity","CF_STOCK_BASED_COMPENSATION","FQ3 2022","FQ3 2022","Currency=USD","Period=FQ","BEST_FPERIOD_OVERRIDE=FQ","FILING_STATUS=MR","SCALING_FORMAT=MLN","Sort=A","Dates=H","DateFormat=P","Fill=—","Direction=H","UseDPDF=Y")</f>
        <v>10</v>
      </c>
      <c r="T10" s="12" t="str" cm="1">
        <f t="array" ref="T10">_xll.BDH("CMI US Equity","CF_STOCK_BASED_COMPENSATION","FQ4 2022","FQ4 2022","Currency=USD","Period=FQ","BEST_FPERIOD_OVERRIDE=FQ","FILING_STATUS=MR","SCALING_FORMAT=MLN","Sort=A","Dates=H","DateFormat=P","Fill=—","Direction=H","UseDPDF=Y")</f>
        <v>—</v>
      </c>
      <c r="U10" s="12" t="str" cm="1">
        <f t="array" ref="U10">_xll.BDH("CMI US Equity","CF_STOCK_BASED_COMPENSATION","FQ1 2023","FQ1 2023","Currency=USD","Period=FQ","BEST_FPERIOD_OVERRIDE=FQ","FILING_STATUS=MR","SCALING_FORMAT=MLN","Sort=A","Dates=H","DateFormat=P","Fill=—","Direction=H","UseDPDF=Y")</f>
        <v>—</v>
      </c>
      <c r="V10" s="12" t="str" cm="1">
        <f t="array" ref="V10">_xll.BDH("CMI US Equity","CF_STOCK_BASED_COMPENSATION","FQ2 2023","FQ2 2023","Currency=USD","Period=FQ","BEST_FPERIOD_OVERRIDE=FQ","FILING_STATUS=MR","SCALING_FORMAT=MLN","Sort=A","Dates=H","DateFormat=P","Fill=—","Direction=H","UseDPDF=Y")</f>
        <v>—</v>
      </c>
      <c r="W10" s="12" t="str" cm="1">
        <f t="array" ref="W10">_xll.BDH("CMI US Equity","CF_STOCK_BASED_COMPENSATION","FQ3 2023","FQ3 2023","Currency=USD","Period=FQ","BEST_FPERIOD_OVERRIDE=FQ","FILING_STATUS=MR","SCALING_FORMAT=MLN","Sort=A","Dates=H","DateFormat=P","Fill=—","Direction=H","UseDPDF=Y")</f>
        <v>—</v>
      </c>
      <c r="X10" s="12" t="str" cm="1">
        <f t="array" ref="X10">_xll.BDH("CMI US Equity","CF_STOCK_BASED_COMPENSATION","FQ4 2023","FQ4 2023","Currency=USD","Period=FQ","BEST_FPERIOD_OVERRIDE=FQ","FILING_STATUS=MR","SCALING_FORMAT=MLN","Sort=A","Dates=H","DateFormat=P","Fill=—","Direction=H","UseDPDF=Y")</f>
        <v>—</v>
      </c>
      <c r="Y10" s="12" t="str" cm="1">
        <f t="array" ref="Y10">_xll.BDH("CMI US Equity","CF_STOCK_BASED_COMPENSATION","FQ1 2024","FQ1 2024","Currency=USD","Period=FQ","BEST_FPERIOD_OVERRIDE=FQ","FILING_STATUS=MR","SCALING_FORMAT=MLN","Sort=A","Dates=H","DateFormat=P","Fill=—","Direction=H","UseDPDF=Y")</f>
        <v>—</v>
      </c>
      <c r="Z10" s="12" t="str" cm="1">
        <f t="array" ref="Z10">_xll.BDH("CMI US Equity","CF_STOCK_BASED_COMPENSATION","FQ2 2024","FQ2 2024","Currency=USD","Period=FQ","BEST_FPERIOD_OVERRIDE=FQ","FILING_STATUS=MR","SCALING_FORMAT=MLN","Sort=A","Dates=H","DateFormat=P","Fill=—","Direction=H","UseDPDF=Y")</f>
        <v>—</v>
      </c>
      <c r="AA10" s="12" t="str" cm="1">
        <f t="array" ref="AA10">_xll.BDH("CMI US Equity","CF_STOCK_BASED_COMPENSATION","FQ3 2024","FQ3 2024","Currency=USD","Period=FQ","BEST_FPERIOD_OVERRIDE=FQ","FILING_STATUS=MR","SCALING_FORMAT=MLN","Sort=A","Dates=H","DateFormat=P","Fill=—","Direction=H","UseDPDF=Y")</f>
        <v>—</v>
      </c>
      <c r="AB10" s="12" t="str" cm="1">
        <f t="array" ref="AB10">_xll.BDH("CMI US Equity","CF_STOCK_BASED_COMPENSATION","FQ4 2024","FQ4 2024","Currency=USD","Period=FQ","BEST_FPERIOD_OVERRIDE=FQ","FILING_STATUS=MR","SCALING_FORMAT=MLN","Sort=A","Dates=H","DateFormat=P","Fill=—","Direction=H","UseDPDF=Y")</f>
        <v>—</v>
      </c>
      <c r="AC10" s="12" t="str" cm="1">
        <f t="array" ref="AC10">_xll.BDH("CMI US Equity","CF_STOCK_BASED_COMPENSATION","FQ1 2025","FQ1 2025","Currency=USD","Period=FQ","BEST_FPERIOD_OVERRIDE=FQ","FILING_STATUS=MR","SCALING_FORMAT=MLN","Sort=A","Dates=H","DateFormat=P","Fill=—","Direction=H","UseDPDF=Y")</f>
        <v>—</v>
      </c>
      <c r="AD10" s="12" t="str" cm="1">
        <f t="array" ref="AD10">_xll.BDH("CMI US Equity","CF_STOCK_BASED_COMPENSATION","FQ2 2025","FQ2 2025","Currency=USD","Period=FQ","BEST_FPERIOD_OVERRIDE=FQ","FILING_STATUS=MR","SCALING_FORMAT=MLN","Sort=A","Dates=H","DateFormat=P","Fill=—","Direction=H","UseDPDF=Y")</f>
        <v>—</v>
      </c>
      <c r="AE10" s="12" t="str" cm="1">
        <f t="array" ref="AE10">_xll.BDH("CMI US Equity","CF_STOCK_BASED_COMPENSATION","FQ3 2025","FQ3 2025","Currency=USD","Period=FQ","BEST_FPERIOD_OVERRIDE=FQ","FILING_STATUS=MR","SCALING_FORMAT=MLN","Sort=A","Dates=H","DateFormat=P","Fill=—","Direction=H","UseDPDF=Y")</f>
        <v>—</v>
      </c>
      <c r="AF10" s="12" t="str" cm="1">
        <f t="array" ref="AF10">_xll.BDH("CMI US Equity","CF_STOCK_BASED_COMPENSATION","FQ4 2025","FQ4 2025","Currency=USD","Period=FQ","BEST_FPERIOD_OVERRIDE=FQ","FILING_STATUS=MR","SCALING_FORMAT=MLN","Sort=A","Dates=H","DateFormat=P","Fill=—","Direction=H","UseDPDF=Y")</f>
        <v>—</v>
      </c>
    </row>
    <row r="11" spans="1:32" x14ac:dyDescent="0.25">
      <c r="A11" s="10" t="s">
        <v>74</v>
      </c>
      <c r="B11" s="10" t="s">
        <v>75</v>
      </c>
      <c r="C11" s="12" cm="1">
        <f t="array" ref="C11">_xll.BDH("CMI US Equity","CF_DEF_INC_TAX","FQ3 2018","FQ3 2018","Currency=USD","Period=FQ","BEST_FPERIOD_OVERRIDE=FQ","FILING_STATUS=MR","SCALING_FORMAT=MLN","Sort=A","Dates=H","DateFormat=P","Fill=—","Direction=H","UseDPDF=Y")</f>
        <v>-146</v>
      </c>
      <c r="D11" s="12" cm="1">
        <f t="array" ref="D11">_xll.BDH("CMI US Equity","CF_DEF_INC_TAX","FQ4 2018","FQ4 2018","Currency=USD","Period=FQ","BEST_FPERIOD_OVERRIDE=FQ","FILING_STATUS=MR","SCALING_FORMAT=MLN","Sort=A","Dates=H","DateFormat=P","Fill=—","Direction=H","UseDPDF=Y")</f>
        <v>-71</v>
      </c>
      <c r="E11" s="12" cm="1">
        <f t="array" ref="E11">_xll.BDH("CMI US Equity","CF_DEF_INC_TAX","FQ1 2019","FQ1 2019","Currency=USD","Period=FQ","BEST_FPERIOD_OVERRIDE=FQ","FILING_STATUS=MR","SCALING_FORMAT=MLN","Sort=A","Dates=H","DateFormat=P","Fill=—","Direction=H","UseDPDF=Y")</f>
        <v>11</v>
      </c>
      <c r="F11" s="12" cm="1">
        <f t="array" ref="F11">_xll.BDH("CMI US Equity","CF_DEF_INC_TAX","FQ2 2019","FQ2 2019","Currency=USD","Period=FQ","BEST_FPERIOD_OVERRIDE=FQ","FILING_STATUS=MR","SCALING_FORMAT=MLN","Sort=A","Dates=H","DateFormat=P","Fill=—","Direction=H","UseDPDF=Y")</f>
        <v>6</v>
      </c>
      <c r="G11" s="12" cm="1">
        <f t="array" ref="G11">_xll.BDH("CMI US Equity","CF_DEF_INC_TAX","FQ3 2019","FQ3 2019","Currency=USD","Period=FQ","BEST_FPERIOD_OVERRIDE=FQ","FILING_STATUS=MR","SCALING_FORMAT=MLN","Sort=A","Dates=H","DateFormat=P","Fill=—","Direction=H","UseDPDF=Y")</f>
        <v>-31</v>
      </c>
      <c r="H11" s="12" cm="1">
        <f t="array" ref="H11">_xll.BDH("CMI US Equity","CF_DEF_INC_TAX","FQ4 2019","FQ4 2019","Currency=USD","Period=FQ","BEST_FPERIOD_OVERRIDE=FQ","FILING_STATUS=MR","SCALING_FORMAT=MLN","Sort=A","Dates=H","DateFormat=P","Fill=—","Direction=H","UseDPDF=Y")</f>
        <v>10</v>
      </c>
      <c r="I11" s="12" cm="1">
        <f t="array" ref="I11">_xll.BDH("CMI US Equity","CF_DEF_INC_TAX","FQ1 2020","FQ1 2020","Currency=USD","Period=FQ","BEST_FPERIOD_OVERRIDE=FQ","FILING_STATUS=MR","SCALING_FORMAT=MLN","Sort=A","Dates=H","DateFormat=P","Fill=—","Direction=H","UseDPDF=Y")</f>
        <v>-11</v>
      </c>
      <c r="J11" s="12" cm="1">
        <f t="array" ref="J11">_xll.BDH("CMI US Equity","CF_DEF_INC_TAX","FQ2 2020","FQ2 2020","Currency=USD","Period=FQ","BEST_FPERIOD_OVERRIDE=FQ","FILING_STATUS=MR","SCALING_FORMAT=MLN","Sort=A","Dates=H","DateFormat=P","Fill=—","Direction=H","UseDPDF=Y")</f>
        <v>0</v>
      </c>
      <c r="K11" s="12" cm="1">
        <f t="array" ref="K11">_xll.BDH("CMI US Equity","CF_DEF_INC_TAX","FQ3 2020","FQ3 2020","Currency=USD","Period=FQ","BEST_FPERIOD_OVERRIDE=FQ","FILING_STATUS=MR","SCALING_FORMAT=MLN","Sort=A","Dates=H","DateFormat=P","Fill=—","Direction=H","UseDPDF=Y")</f>
        <v>4</v>
      </c>
      <c r="L11" s="12" cm="1">
        <f t="array" ref="L11">_xll.BDH("CMI US Equity","CF_DEF_INC_TAX","FQ4 2020","FQ4 2020","Currency=USD","Period=FQ","BEST_FPERIOD_OVERRIDE=FQ","FILING_STATUS=MR","SCALING_FORMAT=MLN","Sort=A","Dates=H","DateFormat=P","Fill=—","Direction=H","UseDPDF=Y")</f>
        <v>14</v>
      </c>
      <c r="M11" s="12" cm="1">
        <f t="array" ref="M11">_xll.BDH("CMI US Equity","CF_DEF_INC_TAX","FQ1 2021","FQ1 2021","Currency=USD","Period=FQ","BEST_FPERIOD_OVERRIDE=FQ","FILING_STATUS=MR","SCALING_FORMAT=MLN","Sort=A","Dates=H","DateFormat=P","Fill=—","Direction=H","UseDPDF=Y")</f>
        <v>8</v>
      </c>
      <c r="N11" s="12" cm="1">
        <f t="array" ref="N11">_xll.BDH("CMI US Equity","CF_DEF_INC_TAX","FQ2 2021","FQ2 2021","Currency=USD","Period=FQ","BEST_FPERIOD_OVERRIDE=FQ","FILING_STATUS=MR","SCALING_FORMAT=MLN","Sort=A","Dates=H","DateFormat=P","Fill=—","Direction=H","UseDPDF=Y")</f>
        <v>9</v>
      </c>
      <c r="O11" s="12" cm="1">
        <f t="array" ref="O11">_xll.BDH("CMI US Equity","CF_DEF_INC_TAX","FQ3 2021","FQ3 2021","Currency=USD","Period=FQ","BEST_FPERIOD_OVERRIDE=FQ","FILING_STATUS=MR","SCALING_FORMAT=MLN","Sort=A","Dates=H","DateFormat=P","Fill=—","Direction=H","UseDPDF=Y")</f>
        <v>27</v>
      </c>
      <c r="P11" s="12" cm="1">
        <f t="array" ref="P11">_xll.BDH("CMI US Equity","CF_DEF_INC_TAX","FQ4 2021","FQ4 2021","Currency=USD","Period=FQ","BEST_FPERIOD_OVERRIDE=FQ","FILING_STATUS=MR","SCALING_FORMAT=MLN","Sort=A","Dates=H","DateFormat=P","Fill=—","Direction=H","UseDPDF=Y")</f>
        <v>-37</v>
      </c>
      <c r="Q11" s="12" cm="1">
        <f t="array" ref="Q11">_xll.BDH("CMI US Equity","CF_DEF_INC_TAX","FQ1 2022","FQ1 2022","Currency=USD","Period=FQ","BEST_FPERIOD_OVERRIDE=FQ","FILING_STATUS=MR","SCALING_FORMAT=MLN","Sort=A","Dates=H","DateFormat=P","Fill=—","Direction=H","UseDPDF=Y")</f>
        <v>-66</v>
      </c>
      <c r="R11" s="12" cm="1">
        <f t="array" ref="R11">_xll.BDH("CMI US Equity","CF_DEF_INC_TAX","FQ2 2022","FQ2 2022","Currency=USD","Period=FQ","BEST_FPERIOD_OVERRIDE=FQ","FILING_STATUS=MR","SCALING_FORMAT=MLN","Sort=A","Dates=H","DateFormat=P","Fill=—","Direction=H","UseDPDF=Y")</f>
        <v>-46</v>
      </c>
      <c r="S11" s="12" cm="1">
        <f t="array" ref="S11">_xll.BDH("CMI US Equity","CF_DEF_INC_TAX","FQ3 2022","FQ3 2022","Currency=USD","Period=FQ","BEST_FPERIOD_OVERRIDE=FQ","FILING_STATUS=MR","SCALING_FORMAT=MLN","Sort=A","Dates=H","DateFormat=P","Fill=—","Direction=H","UseDPDF=Y")</f>
        <v>-82</v>
      </c>
      <c r="T11" s="12" cm="1">
        <f t="array" ref="T11">_xll.BDH("CMI US Equity","CF_DEF_INC_TAX","FQ4 2022","FQ4 2022","Currency=USD","Period=FQ","BEST_FPERIOD_OVERRIDE=FQ","FILING_STATUS=MR","SCALING_FORMAT=MLN","Sort=A","Dates=H","DateFormat=P","Fill=—","Direction=H","UseDPDF=Y")</f>
        <v>-80</v>
      </c>
      <c r="U11" s="12" cm="1">
        <f t="array" ref="U11">_xll.BDH("CMI US Equity","CF_DEF_INC_TAX","FQ1 2023","FQ1 2023","Currency=USD","Period=FQ","BEST_FPERIOD_OVERRIDE=FQ","FILING_STATUS=MR","SCALING_FORMAT=MLN","Sort=A","Dates=H","DateFormat=P","Fill=—","Direction=H","UseDPDF=Y")</f>
        <v>-38</v>
      </c>
      <c r="V11" s="12" cm="1">
        <f t="array" ref="V11">_xll.BDH("CMI US Equity","CF_DEF_INC_TAX","FQ2 2023","FQ2 2023","Currency=USD","Period=FQ","BEST_FPERIOD_OVERRIDE=FQ","FILING_STATUS=MR","SCALING_FORMAT=MLN","Sort=A","Dates=H","DateFormat=P","Fill=—","Direction=H","UseDPDF=Y")</f>
        <v>-94</v>
      </c>
      <c r="W11" s="12" cm="1">
        <f t="array" ref="W11">_xll.BDH("CMI US Equity","CF_DEF_INC_TAX","FQ3 2023","FQ3 2023","Currency=USD","Period=FQ","BEST_FPERIOD_OVERRIDE=FQ","FILING_STATUS=MR","SCALING_FORMAT=MLN","Sort=A","Dates=H","DateFormat=P","Fill=—","Direction=H","UseDPDF=Y")</f>
        <v>-106</v>
      </c>
      <c r="X11" s="12" cm="1">
        <f t="array" ref="X11">_xll.BDH("CMI US Equity","CF_DEF_INC_TAX","FQ4 2023","FQ4 2023","Currency=USD","Period=FQ","BEST_FPERIOD_OVERRIDE=FQ","FILING_STATUS=MR","SCALING_FORMAT=MLN","Sort=A","Dates=H","DateFormat=P","Fill=—","Direction=H","UseDPDF=Y")</f>
        <v>-219</v>
      </c>
      <c r="Y11" s="12" cm="1">
        <f t="array" ref="Y11">_xll.BDH("CMI US Equity","CF_DEF_INC_TAX","FQ1 2024","FQ1 2024","Currency=USD","Period=FQ","BEST_FPERIOD_OVERRIDE=FQ","FILING_STATUS=MR","SCALING_FORMAT=MLN","Sort=A","Dates=H","DateFormat=P","Fill=—","Direction=H","UseDPDF=Y")</f>
        <v>-38</v>
      </c>
      <c r="Z11" s="12" cm="1">
        <f t="array" ref="Z11">_xll.BDH("CMI US Equity","CF_DEF_INC_TAX","FQ2 2024","FQ2 2024","Currency=USD","Period=FQ","BEST_FPERIOD_OVERRIDE=FQ","FILING_STATUS=MR","SCALING_FORMAT=MLN","Sort=A","Dates=H","DateFormat=P","Fill=—","Direction=H","UseDPDF=Y")</f>
        <v>-61</v>
      </c>
      <c r="AA11" s="12" cm="1">
        <f t="array" ref="AA11">_xll.BDH("CMI US Equity","CF_DEF_INC_TAX","FQ3 2024","FQ3 2024","Currency=USD","Period=FQ","BEST_FPERIOD_OVERRIDE=FQ","FILING_STATUS=MR","SCALING_FORMAT=MLN","Sort=A","Dates=H","DateFormat=P","Fill=—","Direction=H","UseDPDF=Y")</f>
        <v>-7</v>
      </c>
      <c r="AB11" s="12" cm="1">
        <f t="array" ref="AB11">_xll.BDH("CMI US Equity","CF_DEF_INC_TAX","FQ4 2024","FQ4 2024","Currency=USD","Period=FQ","BEST_FPERIOD_OVERRIDE=FQ","FILING_STATUS=MR","SCALING_FORMAT=MLN","Sort=A","Dates=H","DateFormat=P","Fill=—","Direction=H","UseDPDF=Y")</f>
        <v>-103</v>
      </c>
      <c r="AC11" s="12" cm="1">
        <f t="array" ref="AC11">_xll.BDH("CMI US Equity","CF_DEF_INC_TAX","FQ1 2025","FQ1 2025","Currency=USD","Period=FQ","BEST_FPERIOD_OVERRIDE=FQ","FILING_STATUS=MR","SCALING_FORMAT=MLN","Sort=A","Dates=H","DateFormat=P","Fill=—","Direction=H","UseDPDF=Y")</f>
        <v>-25</v>
      </c>
      <c r="AD11" s="12" cm="1">
        <f t="array" ref="AD11">_xll.BDH("CMI US Equity","CF_DEF_INC_TAX","FQ2 2025","FQ2 2025","Currency=USD","Period=FQ","BEST_FPERIOD_OVERRIDE=FQ","FILING_STATUS=MR","SCALING_FORMAT=MLN","Sort=A","Dates=H","DateFormat=P","Fill=—","Direction=H","UseDPDF=Y")</f>
        <v>-113</v>
      </c>
      <c r="AE11" s="12" cm="1">
        <f t="array" ref="AE11">_xll.BDH("CMI US Equity","CF_DEF_INC_TAX","FQ3 2025","FQ3 2025","Currency=USD","Period=FQ","BEST_FPERIOD_OVERRIDE=FQ","FILING_STATUS=MR","SCALING_FORMAT=MLN","Sort=A","Dates=H","DateFormat=P","Fill=—","Direction=H","UseDPDF=Y")</f>
        <v>206</v>
      </c>
      <c r="AF11" s="12" cm="1">
        <f t="array" ref="AF11">_xll.BDH("CMI US Equity","CF_DEF_INC_TAX","FQ4 2025","FQ4 2025","Currency=USD","Period=FQ","BEST_FPERIOD_OVERRIDE=FQ","FILING_STATUS=MR","SCALING_FORMAT=MLN","Sort=A","Dates=H","DateFormat=P","Fill=—","Direction=H","UseDPDF=Y")</f>
        <v>18</v>
      </c>
    </row>
    <row r="12" spans="1:32" x14ac:dyDescent="0.25">
      <c r="A12" s="10" t="s">
        <v>76</v>
      </c>
      <c r="B12" s="10" t="s">
        <v>77</v>
      </c>
      <c r="C12" s="12" cm="1">
        <f t="array" ref="C12">_xll.BDH("CMI US Equity","OTHER_NON_CASH_ADJ_LESS_DETAILED","FQ3 2018","FQ3 2018","Currency=USD","Period=FQ","BEST_FPERIOD_OVERRIDE=FQ","FILING_STATUS=MR","SCALING_FORMAT=MLN","Sort=A","Dates=H","DateFormat=P","Fill=—","Direction=H","UseDPDF=Y")</f>
        <v>234</v>
      </c>
      <c r="D12" s="12" cm="1">
        <f t="array" ref="D12">_xll.BDH("CMI US Equity","OTHER_NON_CASH_ADJ_LESS_DETAILED","FQ4 2018","FQ4 2018","Currency=USD","Period=FQ","BEST_FPERIOD_OVERRIDE=FQ","FILING_STATUS=MR","SCALING_FORMAT=MLN","Sort=A","Dates=H","DateFormat=P","Fill=—","Direction=H","UseDPDF=Y")</f>
        <v>180</v>
      </c>
      <c r="E12" s="12" cm="1">
        <f t="array" ref="E12">_xll.BDH("CMI US Equity","OTHER_NON_CASH_ADJ_LESS_DETAILED","FQ1 2019","FQ1 2019","Currency=USD","Period=FQ","BEST_FPERIOD_OVERRIDE=FQ","FILING_STATUS=MR","SCALING_FORMAT=MLN","Sort=A","Dates=H","DateFormat=P","Fill=—","Direction=H","UseDPDF=Y")</f>
        <v>-126</v>
      </c>
      <c r="F12" s="12" cm="1">
        <f t="array" ref="F12">_xll.BDH("CMI US Equity","OTHER_NON_CASH_ADJ_LESS_DETAILED","FQ2 2019","FQ2 2019","Currency=USD","Period=FQ","BEST_FPERIOD_OVERRIDE=FQ","FILING_STATUS=MR","SCALING_FORMAT=MLN","Sort=A","Dates=H","DateFormat=P","Fill=—","Direction=H","UseDPDF=Y")</f>
        <v>116</v>
      </c>
      <c r="G12" s="12" cm="1">
        <f t="array" ref="G12">_xll.BDH("CMI US Equity","OTHER_NON_CASH_ADJ_LESS_DETAILED","FQ3 2019","FQ3 2019","Currency=USD","Period=FQ","BEST_FPERIOD_OVERRIDE=FQ","FILING_STATUS=MR","SCALING_FORMAT=MLN","Sort=A","Dates=H","DateFormat=P","Fill=—","Direction=H","UseDPDF=Y")</f>
        <v>69</v>
      </c>
      <c r="H12" s="12" cm="1">
        <f t="array" ref="H12">_xll.BDH("CMI US Equity","OTHER_NON_CASH_ADJ_LESS_DETAILED","FQ4 2019","FQ4 2019","Currency=USD","Period=FQ","BEST_FPERIOD_OVERRIDE=FQ","FILING_STATUS=MR","SCALING_FORMAT=MLN","Sort=A","Dates=H","DateFormat=P","Fill=—","Direction=H","UseDPDF=Y")</f>
        <v>176</v>
      </c>
      <c r="I12" s="12" cm="1">
        <f t="array" ref="I12">_xll.BDH("CMI US Equity","OTHER_NON_CASH_ADJ_LESS_DETAILED","FQ1 2020","FQ1 2020","Currency=USD","Period=FQ","BEST_FPERIOD_OVERRIDE=FQ","FILING_STATUS=MR","SCALING_FORMAT=MLN","Sort=A","Dates=H","DateFormat=P","Fill=—","Direction=H","UseDPDF=Y")</f>
        <v>-158</v>
      </c>
      <c r="J12" s="12" cm="1">
        <f t="array" ref="J12">_xll.BDH("CMI US Equity","OTHER_NON_CASH_ADJ_LESS_DETAILED","FQ2 2020","FQ2 2020","Currency=USD","Period=FQ","BEST_FPERIOD_OVERRIDE=FQ","FILING_STATUS=MR","SCALING_FORMAT=MLN","Sort=A","Dates=H","DateFormat=P","Fill=—","Direction=H","UseDPDF=Y")</f>
        <v>-5</v>
      </c>
      <c r="K12" s="12" cm="1">
        <f t="array" ref="K12">_xll.BDH("CMI US Equity","OTHER_NON_CASH_ADJ_LESS_DETAILED","FQ3 2020","FQ3 2020","Currency=USD","Period=FQ","BEST_FPERIOD_OVERRIDE=FQ","FILING_STATUS=MR","SCALING_FORMAT=MLN","Sort=A","Dates=H","DateFormat=P","Fill=—","Direction=H","UseDPDF=Y")</f>
        <v>-2</v>
      </c>
      <c r="L12" s="12" cm="1">
        <f t="array" ref="L12">_xll.BDH("CMI US Equity","OTHER_NON_CASH_ADJ_LESS_DETAILED","FQ4 2020","FQ4 2020","Currency=USD","Period=FQ","BEST_FPERIOD_OVERRIDE=FQ","FILING_STATUS=MR","SCALING_FORMAT=MLN","Sort=A","Dates=H","DateFormat=P","Fill=—","Direction=H","UseDPDF=Y")</f>
        <v>22</v>
      </c>
      <c r="M12" s="12" cm="1">
        <f t="array" ref="M12">_xll.BDH("CMI US Equity","OTHER_NON_CASH_ADJ_LESS_DETAILED","FQ1 2021","FQ1 2021","Currency=USD","Period=FQ","BEST_FPERIOD_OVERRIDE=FQ","FILING_STATUS=MR","SCALING_FORMAT=MLN","Sort=A","Dates=H","DateFormat=P","Fill=—","Direction=H","UseDPDF=Y")</f>
        <v>-157</v>
      </c>
      <c r="N12" s="12" cm="1">
        <f t="array" ref="N12">_xll.BDH("CMI US Equity","OTHER_NON_CASH_ADJ_LESS_DETAILED","FQ2 2021","FQ2 2021","Currency=USD","Period=FQ","BEST_FPERIOD_OVERRIDE=FQ","FILING_STATUS=MR","SCALING_FORMAT=MLN","Sort=A","Dates=H","DateFormat=P","Fill=—","Direction=H","UseDPDF=Y")</f>
        <v>-32</v>
      </c>
      <c r="O12" s="12" cm="1">
        <f t="array" ref="O12">_xll.BDH("CMI US Equity","OTHER_NON_CASH_ADJ_LESS_DETAILED","FQ3 2021","FQ3 2021","Currency=USD","Period=FQ","BEST_FPERIOD_OVERRIDE=FQ","FILING_STATUS=MR","SCALING_FORMAT=MLN","Sort=A","Dates=H","DateFormat=P","Fill=—","Direction=H","UseDPDF=Y")</f>
        <v>-124</v>
      </c>
      <c r="P12" s="12" cm="1">
        <f t="array" ref="P12">_xll.BDH("CMI US Equity","OTHER_NON_CASH_ADJ_LESS_DETAILED","FQ4 2021","FQ4 2021","Currency=USD","Period=FQ","BEST_FPERIOD_OVERRIDE=FQ","FILING_STATUS=MR","SCALING_FORMAT=MLN","Sort=A","Dates=H","DateFormat=P","Fill=—","Direction=H","UseDPDF=Y")</f>
        <v>91</v>
      </c>
      <c r="Q12" s="12" cm="1">
        <f t="array" ref="Q12">_xll.BDH("CMI US Equity","OTHER_NON_CASH_ADJ_LESS_DETAILED","FQ1 2022","FQ1 2022","Currency=USD","Period=FQ","BEST_FPERIOD_OVERRIDE=FQ","FILING_STATUS=MR","SCALING_FORMAT=MLN","Sort=A","Dates=H","DateFormat=P","Fill=—","Direction=H","UseDPDF=Y")</f>
        <v>176</v>
      </c>
      <c r="R12" s="12" cm="1">
        <f t="array" ref="R12">_xll.BDH("CMI US Equity","OTHER_NON_CASH_ADJ_LESS_DETAILED","FQ2 2022","FQ2 2022","Currency=USD","Period=FQ","BEST_FPERIOD_OVERRIDE=FQ","FILING_STATUS=MR","SCALING_FORMAT=MLN","Sort=A","Dates=H","DateFormat=P","Fill=—","Direction=H","UseDPDF=Y")</f>
        <v>-93</v>
      </c>
      <c r="S12" s="12" cm="1">
        <f t="array" ref="S12">_xll.BDH("CMI US Equity","OTHER_NON_CASH_ADJ_LESS_DETAILED","FQ3 2022","FQ3 2022","Currency=USD","Period=FQ","BEST_FPERIOD_OVERRIDE=FQ","FILING_STATUS=MR","SCALING_FORMAT=MLN","Sort=A","Dates=H","DateFormat=P","Fill=—","Direction=H","UseDPDF=Y")</f>
        <v>-113</v>
      </c>
      <c r="T12" s="12" cm="1">
        <f t="array" ref="T12">_xll.BDH("CMI US Equity","OTHER_NON_CASH_ADJ_LESS_DETAILED","FQ4 2022","FQ4 2022","Currency=USD","Period=FQ","BEST_FPERIOD_OVERRIDE=FQ","FILING_STATUS=MR","SCALING_FORMAT=MLN","Sort=A","Dates=H","DateFormat=P","Fill=—","Direction=H","UseDPDF=Y")</f>
        <v>312</v>
      </c>
      <c r="U12" s="12" cm="1">
        <f t="array" ref="U12">_xll.BDH("CMI US Equity","OTHER_NON_CASH_ADJ_LESS_DETAILED","FQ1 2023","FQ1 2023","Currency=USD","Period=FQ","BEST_FPERIOD_OVERRIDE=FQ","FILING_STATUS=MR","SCALING_FORMAT=MLN","Sort=A","Dates=H","DateFormat=P","Fill=—","Direction=H","UseDPDF=Y")</f>
        <v>-9</v>
      </c>
      <c r="V12" s="12" cm="1">
        <f t="array" ref="V12">_xll.BDH("CMI US Equity","OTHER_NON_CASH_ADJ_LESS_DETAILED","FQ2 2023","FQ2 2023","Currency=USD","Period=FQ","BEST_FPERIOD_OVERRIDE=FQ","FILING_STATUS=MR","SCALING_FORMAT=MLN","Sort=A","Dates=H","DateFormat=P","Fill=—","Direction=H","UseDPDF=Y")</f>
        <v>-45</v>
      </c>
      <c r="W12" s="12" cm="1">
        <f t="array" ref="W12">_xll.BDH("CMI US Equity","OTHER_NON_CASH_ADJ_LESS_DETAILED","FQ3 2023","FQ3 2023","Currency=USD","Period=FQ","BEST_FPERIOD_OVERRIDE=FQ","FILING_STATUS=MR","SCALING_FORMAT=MLN","Sort=A","Dates=H","DateFormat=P","Fill=—","Direction=H","UseDPDF=Y")</f>
        <v>243</v>
      </c>
      <c r="X12" s="12" cm="1">
        <f t="array" ref="X12">_xll.BDH("CMI US Equity","OTHER_NON_CASH_ADJ_LESS_DETAILED","FQ4 2023","FQ4 2023","Currency=USD","Period=FQ","BEST_FPERIOD_OVERRIDE=FQ","FILING_STATUS=MR","SCALING_FORMAT=MLN","Sort=A","Dates=H","DateFormat=P","Fill=—","Direction=H","UseDPDF=Y")</f>
        <v>57</v>
      </c>
      <c r="Y12" s="12" cm="1">
        <f t="array" ref="Y12">_xll.BDH("CMI US Equity","OTHER_NON_CASH_ADJ_LESS_DETAILED","FQ1 2024","FQ1 2024","Currency=USD","Period=FQ","BEST_FPERIOD_OVERRIDE=FQ","FILING_STATUS=MR","SCALING_FORMAT=MLN","Sort=A","Dates=H","DateFormat=P","Fill=—","Direction=H","UseDPDF=Y")</f>
        <v>-1338</v>
      </c>
      <c r="Z12" s="12" cm="1">
        <f t="array" ref="Z12">_xll.BDH("CMI US Equity","OTHER_NON_CASH_ADJ_LESS_DETAILED","FQ2 2024","FQ2 2024","Currency=USD","Period=FQ","BEST_FPERIOD_OVERRIDE=FQ","FILING_STATUS=MR","SCALING_FORMAT=MLN","Sort=A","Dates=H","DateFormat=P","Fill=—","Direction=H","UseDPDF=Y")</f>
        <v>66</v>
      </c>
      <c r="AA12" s="12" cm="1">
        <f t="array" ref="AA12">_xll.BDH("CMI US Equity","OTHER_NON_CASH_ADJ_LESS_DETAILED","FQ3 2024","FQ3 2024","Currency=USD","Period=FQ","BEST_FPERIOD_OVERRIDE=FQ","FILING_STATUS=MR","SCALING_FORMAT=MLN","Sort=A","Dates=H","DateFormat=P","Fill=—","Direction=H","UseDPDF=Y")</f>
        <v>81</v>
      </c>
      <c r="AB12" s="12" cm="1">
        <f t="array" ref="AB12">_xll.BDH("CMI US Equity","OTHER_NON_CASH_ADJ_LESS_DETAILED","FQ4 2024","FQ4 2024","Currency=USD","Period=FQ","BEST_FPERIOD_OVERRIDE=FQ","FILING_STATUS=MR","SCALING_FORMAT=MLN","Sort=A","Dates=H","DateFormat=P","Fill=—","Direction=H","UseDPDF=Y")</f>
        <v>41</v>
      </c>
      <c r="AC12" s="12" cm="1">
        <f t="array" ref="AC12">_xll.BDH("CMI US Equity","OTHER_NON_CASH_ADJ_LESS_DETAILED","FQ1 2025","FQ1 2025","Currency=USD","Period=FQ","BEST_FPERIOD_OVERRIDE=FQ","FILING_STATUS=MR","SCALING_FORMAT=MLN","Sort=A","Dates=H","DateFormat=P","Fill=—","Direction=H","UseDPDF=Y")</f>
        <v>-90</v>
      </c>
      <c r="AD12" s="12" cm="1">
        <f t="array" ref="AD12">_xll.BDH("CMI US Equity","OTHER_NON_CASH_ADJ_LESS_DETAILED","FQ2 2025","FQ2 2025","Currency=USD","Period=FQ","BEST_FPERIOD_OVERRIDE=FQ","FILING_STATUS=MR","SCALING_FORMAT=MLN","Sort=A","Dates=H","DateFormat=P","Fill=—","Direction=H","UseDPDF=Y")</f>
        <v>95</v>
      </c>
      <c r="AE12" s="12" cm="1">
        <f t="array" ref="AE12">_xll.BDH("CMI US Equity","OTHER_NON_CASH_ADJ_LESS_DETAILED","FQ3 2025","FQ3 2025","Currency=USD","Period=FQ","BEST_FPERIOD_OVERRIDE=FQ","FILING_STATUS=MR","SCALING_FORMAT=MLN","Sort=A","Dates=H","DateFormat=P","Fill=—","Direction=H","UseDPDF=Y")</f>
        <v>345</v>
      </c>
      <c r="AF12" s="12" cm="1">
        <f t="array" ref="AF12">_xll.BDH("CMI US Equity","OTHER_NON_CASH_ADJ_LESS_DETAILED","FQ4 2025","FQ4 2025","Currency=USD","Period=FQ","BEST_FPERIOD_OVERRIDE=FQ","FILING_STATUS=MR","SCALING_FORMAT=MLN","Sort=A","Dates=H","DateFormat=P","Fill=—","Direction=H","UseDPDF=Y")</f>
        <v>98</v>
      </c>
    </row>
    <row r="13" spans="1:32" x14ac:dyDescent="0.25">
      <c r="A13" s="10" t="s">
        <v>78</v>
      </c>
      <c r="B13" s="10" t="s">
        <v>79</v>
      </c>
      <c r="C13" s="12" cm="1">
        <f t="array" ref="C13">_xll.BDH("CMI US Equity","CF_CHNG_NON_CASH_WORK_CAP","FQ3 2018","FQ3 2018","Currency=USD","Period=FQ","BEST_FPERIOD_OVERRIDE=FQ","FILING_STATUS=MR","SCALING_FORMAT=MLN","Sort=A","Dates=H","DateFormat=P","Fill=—","Direction=H","UseDPDF=Y")</f>
        <v>-23</v>
      </c>
      <c r="D13" s="12" cm="1">
        <f t="array" ref="D13">_xll.BDH("CMI US Equity","CF_CHNG_NON_CASH_WORK_CAP","FQ4 2018","FQ4 2018","Currency=USD","Period=FQ","BEST_FPERIOD_OVERRIDE=FQ","FILING_STATUS=MR","SCALING_FORMAT=MLN","Sort=A","Dates=H","DateFormat=P","Fill=—","Direction=H","UseDPDF=Y")</f>
        <v>132</v>
      </c>
      <c r="E13" s="12" cm="1">
        <f t="array" ref="E13">_xll.BDH("CMI US Equity","CF_CHNG_NON_CASH_WORK_CAP","FQ1 2019","FQ1 2019","Currency=USD","Period=FQ","BEST_FPERIOD_OVERRIDE=FQ","FILING_STATUS=MR","SCALING_FORMAT=MLN","Sort=A","Dates=H","DateFormat=P","Fill=—","Direction=H","UseDPDF=Y")</f>
        <v>-302</v>
      </c>
      <c r="F13" s="12" cm="1">
        <f t="array" ref="F13">_xll.BDH("CMI US Equity","CF_CHNG_NON_CASH_WORK_CAP","FQ2 2019","FQ2 2019","Currency=USD","Period=FQ","BEST_FPERIOD_OVERRIDE=FQ","FILING_STATUS=MR","SCALING_FORMAT=MLN","Sort=A","Dates=H","DateFormat=P","Fill=—","Direction=H","UseDPDF=Y")</f>
        <v>-166</v>
      </c>
      <c r="G13" s="12" cm="1">
        <f t="array" ref="G13">_xll.BDH("CMI US Equity","CF_CHNG_NON_CASH_WORK_CAP","FQ3 2019","FQ3 2019","Currency=USD","Period=FQ","BEST_FPERIOD_OVERRIDE=FQ","FILING_STATUS=MR","SCALING_FORMAT=MLN","Sort=A","Dates=H","DateFormat=P","Fill=—","Direction=H","UseDPDF=Y")</f>
        <v>228</v>
      </c>
      <c r="H13" s="12" cm="1">
        <f t="array" ref="H13">_xll.BDH("CMI US Equity","CF_CHNG_NON_CASH_WORK_CAP","FQ4 2019","FQ4 2019","Currency=USD","Period=FQ","BEST_FPERIOD_OVERRIDE=FQ","FILING_STATUS=MR","SCALING_FORMAT=MLN","Sort=A","Dates=H","DateFormat=P","Fill=—","Direction=H","UseDPDF=Y")</f>
        <v>161</v>
      </c>
      <c r="I13" s="12" cm="1">
        <f t="array" ref="I13">_xll.BDH("CMI US Equity","CF_CHNG_NON_CASH_WORK_CAP","FQ1 2020","FQ1 2020","Currency=USD","Period=FQ","BEST_FPERIOD_OVERRIDE=FQ","FILING_STATUS=MR","SCALING_FORMAT=MLN","Sort=A","Dates=H","DateFormat=P","Fill=—","Direction=H","UseDPDF=Y")</f>
        <v>-135</v>
      </c>
      <c r="J13" s="12" cm="1">
        <f t="array" ref="J13">_xll.BDH("CMI US Equity","CF_CHNG_NON_CASH_WORK_CAP","FQ2 2020","FQ2 2020","Currency=USD","Period=FQ","BEST_FPERIOD_OVERRIDE=FQ","FILING_STATUS=MR","SCALING_FORMAT=MLN","Sort=A","Dates=H","DateFormat=P","Fill=—","Direction=H","UseDPDF=Y")</f>
        <v>-466</v>
      </c>
      <c r="K13" s="12" cm="1">
        <f t="array" ref="K13">_xll.BDH("CMI US Equity","CF_CHNG_NON_CASH_WORK_CAP","FQ3 2020","FQ3 2020","Currency=USD","Period=FQ","BEST_FPERIOD_OVERRIDE=FQ","FILING_STATUS=MR","SCALING_FORMAT=MLN","Sort=A","Dates=H","DateFormat=P","Fill=—","Direction=H","UseDPDF=Y")</f>
        <v>544</v>
      </c>
      <c r="L13" s="12" cm="1">
        <f t="array" ref="L13">_xll.BDH("CMI US Equity","CF_CHNG_NON_CASH_WORK_CAP","FQ4 2020","FQ4 2020","Currency=USD","Period=FQ","BEST_FPERIOD_OVERRIDE=FQ","FILING_STATUS=MR","SCALING_FORMAT=MLN","Sort=A","Dates=H","DateFormat=P","Fill=—","Direction=H","UseDPDF=Y")</f>
        <v>422</v>
      </c>
      <c r="M13" s="12" cm="1">
        <f t="array" ref="M13">_xll.BDH("CMI US Equity","CF_CHNG_NON_CASH_WORK_CAP","FQ1 2021","FQ1 2021","Currency=USD","Period=FQ","BEST_FPERIOD_OVERRIDE=FQ","FILING_STATUS=MR","SCALING_FORMAT=MLN","Sort=A","Dates=H","DateFormat=P","Fill=—","Direction=H","UseDPDF=Y")</f>
        <v>-293</v>
      </c>
      <c r="N13" s="12" cm="1">
        <f t="array" ref="N13">_xll.BDH("CMI US Equity","CF_CHNG_NON_CASH_WORK_CAP","FQ2 2021","FQ2 2021","Currency=USD","Period=FQ","BEST_FPERIOD_OVERRIDE=FQ","FILING_STATUS=MR","SCALING_FORMAT=MLN","Sort=A","Dates=H","DateFormat=P","Fill=—","Direction=H","UseDPDF=Y")</f>
        <v>-138</v>
      </c>
      <c r="O13" s="12" cm="1">
        <f t="array" ref="O13">_xll.BDH("CMI US Equity","CF_CHNG_NON_CASH_WORK_CAP","FQ3 2021","FQ3 2021","Currency=USD","Period=FQ","BEST_FPERIOD_OVERRIDE=FQ","FILING_STATUS=MR","SCALING_FORMAT=MLN","Sort=A","Dates=H","DateFormat=P","Fill=—","Direction=H","UseDPDF=Y")</f>
        <v>-35</v>
      </c>
      <c r="P13" s="12" cm="1">
        <f t="array" ref="P13">_xll.BDH("CMI US Equity","CF_CHNG_NON_CASH_WORK_CAP","FQ4 2021","FQ4 2021","Currency=USD","Period=FQ","BEST_FPERIOD_OVERRIDE=FQ","FILING_STATUS=MR","SCALING_FORMAT=MLN","Sort=A","Dates=H","DateFormat=P","Fill=—","Direction=H","UseDPDF=Y")</f>
        <v>107</v>
      </c>
      <c r="Q13" s="12" cm="1">
        <f t="array" ref="Q13">_xll.BDH("CMI US Equity","CF_CHNG_NON_CASH_WORK_CAP","FQ1 2022","FQ1 2022","Currency=USD","Period=FQ","BEST_FPERIOD_OVERRIDE=FQ","FILING_STATUS=MR","SCALING_FORMAT=MLN","Sort=A","Dates=H","DateFormat=P","Fill=—","Direction=H","UseDPDF=Y")</f>
        <v>-530</v>
      </c>
      <c r="R13" s="12" cm="1">
        <f t="array" ref="R13">_xll.BDH("CMI US Equity","CF_CHNG_NON_CASH_WORK_CAP","FQ2 2022","FQ2 2022","Currency=USD","Period=FQ","BEST_FPERIOD_OVERRIDE=FQ","FILING_STATUS=MR","SCALING_FORMAT=MLN","Sort=A","Dates=H","DateFormat=P","Fill=—","Direction=H","UseDPDF=Y")</f>
        <v>-140</v>
      </c>
      <c r="S13" s="12" cm="1">
        <f t="array" ref="S13">_xll.BDH("CMI US Equity","CF_CHNG_NON_CASH_WORK_CAP","FQ3 2022","FQ3 2022","Currency=USD","Period=FQ","BEST_FPERIOD_OVERRIDE=FQ","FILING_STATUS=MR","SCALING_FORMAT=MLN","Sort=A","Dates=H","DateFormat=P","Fill=—","Direction=H","UseDPDF=Y")</f>
        <v>-49</v>
      </c>
      <c r="T13" s="12" cm="1">
        <f t="array" ref="T13">_xll.BDH("CMI US Equity","CF_CHNG_NON_CASH_WORK_CAP","FQ4 2022","FQ4 2022","Currency=USD","Period=FQ","BEST_FPERIOD_OVERRIDE=FQ","FILING_STATUS=MR","SCALING_FORMAT=MLN","Sort=A","Dates=H","DateFormat=P","Fill=—","Direction=H","UseDPDF=Y")</f>
        <v>-286</v>
      </c>
      <c r="U13" s="12" cm="1">
        <f t="array" ref="U13">_xll.BDH("CMI US Equity","CF_CHNG_NON_CASH_WORK_CAP","FQ1 2023","FQ1 2023","Currency=USD","Period=FQ","BEST_FPERIOD_OVERRIDE=FQ","FILING_STATUS=MR","SCALING_FORMAT=MLN","Sort=A","Dates=H","DateFormat=P","Fill=—","Direction=H","UseDPDF=Y")</f>
        <v>-494</v>
      </c>
      <c r="V13" s="12" cm="1">
        <f t="array" ref="V13">_xll.BDH("CMI US Equity","CF_CHNG_NON_CASH_WORK_CAP","FQ2 2023","FQ2 2023","Currency=USD","Period=FQ","BEST_FPERIOD_OVERRIDE=FQ","FILING_STATUS=MR","SCALING_FORMAT=MLN","Sort=A","Dates=H","DateFormat=P","Fill=—","Direction=H","UseDPDF=Y")</f>
        <v>-355</v>
      </c>
      <c r="W13" s="12" cm="1">
        <f t="array" ref="W13">_xll.BDH("CMI US Equity","CF_CHNG_NON_CASH_WORK_CAP","FQ3 2023","FQ3 2023","Currency=USD","Period=FQ","BEST_FPERIOD_OVERRIDE=FQ","FILING_STATUS=MR","SCALING_FORMAT=MLN","Sort=A","Dates=H","DateFormat=P","Fill=—","Direction=H","UseDPDF=Y")</f>
        <v>479</v>
      </c>
      <c r="X13" s="12" cm="1">
        <f t="array" ref="X13">_xll.BDH("CMI US Equity","CF_CHNG_NON_CASH_WORK_CAP","FQ4 2023","FQ4 2023","Currency=USD","Period=FQ","BEST_FPERIOD_OVERRIDE=FQ","FILING_STATUS=MR","SCALING_FORMAT=MLN","Sort=A","Dates=H","DateFormat=P","Fill=—","Direction=H","UseDPDF=Y")</f>
        <v>2788</v>
      </c>
      <c r="Y13" s="12" cm="1">
        <f t="array" ref="Y13">_xll.BDH("CMI US Equity","CF_CHNG_NON_CASH_WORK_CAP","FQ1 2024","FQ1 2024","Currency=USD","Period=FQ","BEST_FPERIOD_OVERRIDE=FQ","FILING_STATUS=MR","SCALING_FORMAT=MLN","Sort=A","Dates=H","DateFormat=P","Fill=—","Direction=H","UseDPDF=Y")</f>
        <v>-606</v>
      </c>
      <c r="Z13" s="12" cm="1">
        <f t="array" ref="Z13">_xll.BDH("CMI US Equity","CF_CHNG_NON_CASH_WORK_CAP","FQ2 2024","FQ2 2024","Currency=USD","Period=FQ","BEST_FPERIOD_OVERRIDE=FQ","FILING_STATUS=MR","SCALING_FORMAT=MLN","Sort=A","Dates=H","DateFormat=P","Fill=—","Direction=H","UseDPDF=Y")</f>
        <v>-1845</v>
      </c>
      <c r="AA13" s="12" cm="1">
        <f t="array" ref="AA13">_xll.BDH("CMI US Equity","CF_CHNG_NON_CASH_WORK_CAP","FQ3 2024","FQ3 2024","Currency=USD","Period=FQ","BEST_FPERIOD_OVERRIDE=FQ","FILING_STATUS=MR","SCALING_FORMAT=MLN","Sort=A","Dates=H","DateFormat=P","Fill=—","Direction=H","UseDPDF=Y")</f>
        <v>-509</v>
      </c>
      <c r="AB13" s="12" cm="1">
        <f t="array" ref="AB13">_xll.BDH("CMI US Equity","CF_CHNG_NON_CASH_WORK_CAP","FQ4 2024","FQ4 2024","Currency=USD","Period=FQ","BEST_FPERIOD_OVERRIDE=FQ","FILING_STATUS=MR","SCALING_FORMAT=MLN","Sort=A","Dates=H","DateFormat=P","Fill=—","Direction=H","UseDPDF=Y")</f>
        <v>795</v>
      </c>
      <c r="AC13" s="12" cm="1">
        <f t="array" ref="AC13">_xll.BDH("CMI US Equity","CF_CHNG_NON_CASH_WORK_CAP","FQ1 2025","FQ1 2025","Currency=USD","Period=FQ","BEST_FPERIOD_OVERRIDE=FQ","FILING_STATUS=MR","SCALING_FORMAT=MLN","Sort=A","Dates=H","DateFormat=P","Fill=—","Direction=H","UseDPDF=Y")</f>
        <v>-981</v>
      </c>
      <c r="AD13" s="12" cm="1">
        <f t="array" ref="AD13">_xll.BDH("CMI US Equity","CF_CHNG_NON_CASH_WORK_CAP","FQ2 2025","FQ2 2025","Currency=USD","Period=FQ","BEST_FPERIOD_OVERRIDE=FQ","FILING_STATUS=MR","SCALING_FORMAT=MLN","Sort=A","Dates=H","DateFormat=P","Fill=—","Direction=H","UseDPDF=Y")</f>
        <v>-366</v>
      </c>
      <c r="AE13" s="12" cm="1">
        <f t="array" ref="AE13">_xll.BDH("CMI US Equity","CF_CHNG_NON_CASH_WORK_CAP","FQ3 2025","FQ3 2025","Currency=USD","Period=FQ","BEST_FPERIOD_OVERRIDE=FQ","FILING_STATUS=MR","SCALING_FORMAT=MLN","Sort=A","Dates=H","DateFormat=P","Fill=—","Direction=H","UseDPDF=Y")</f>
        <v>-59</v>
      </c>
      <c r="AF13" s="12" cm="1">
        <f t="array" ref="AF13">_xll.BDH("CMI US Equity","CF_CHNG_NON_CASH_WORK_CAP","FQ4 2025","FQ4 2025","Currency=USD","Period=FQ","BEST_FPERIOD_OVERRIDE=FQ","FILING_STATUS=MR","SCALING_FORMAT=MLN","Sort=A","Dates=H","DateFormat=P","Fill=—","Direction=H","UseDPDF=Y")</f>
        <v>545</v>
      </c>
    </row>
    <row r="14" spans="1:32" x14ac:dyDescent="0.25">
      <c r="A14" s="10" t="s">
        <v>80</v>
      </c>
      <c r="B14" s="10" t="s">
        <v>81</v>
      </c>
      <c r="C14" s="12" cm="1">
        <f t="array" ref="C14">_xll.BDH("CMI US Equity","CF_ACCT_RCV_UNBILLED_REV","FQ3 2018","FQ3 2018","Currency=USD","Period=FQ","BEST_FPERIOD_OVERRIDE=FQ","FILING_STATUS=MR","SCALING_FORMAT=MLN","Sort=A","Dates=H","DateFormat=P","Fill=—","Direction=H","UseDPDF=Y")</f>
        <v>126</v>
      </c>
      <c r="D14" s="12" cm="1">
        <f t="array" ref="D14">_xll.BDH("CMI US Equity","CF_ACCT_RCV_UNBILLED_REV","FQ4 2018","FQ4 2018","Currency=USD","Period=FQ","BEST_FPERIOD_OVERRIDE=FQ","FILING_STATUS=MR","SCALING_FORMAT=MLN","Sort=A","Dates=H","DateFormat=P","Fill=—","Direction=H","UseDPDF=Y")</f>
        <v>66</v>
      </c>
      <c r="E14" s="12" cm="1">
        <f t="array" ref="E14">_xll.BDH("CMI US Equity","CF_ACCT_RCV_UNBILLED_REV","FQ1 2019","FQ1 2019","Currency=USD","Period=FQ","BEST_FPERIOD_OVERRIDE=FQ","FILING_STATUS=MR","SCALING_FORMAT=MLN","Sort=A","Dates=H","DateFormat=P","Fill=—","Direction=H","UseDPDF=Y")</f>
        <v>-135</v>
      </c>
      <c r="F14" s="12" cm="1">
        <f t="array" ref="F14">_xll.BDH("CMI US Equity","CF_ACCT_RCV_UNBILLED_REV","FQ2 2019","FQ2 2019","Currency=USD","Period=FQ","BEST_FPERIOD_OVERRIDE=FQ","FILING_STATUS=MR","SCALING_FORMAT=MLN","Sort=A","Dates=H","DateFormat=P","Fill=—","Direction=H","UseDPDF=Y")</f>
        <v>-177</v>
      </c>
      <c r="G14" s="12" cm="1">
        <f t="array" ref="G14">_xll.BDH("CMI US Equity","CF_ACCT_RCV_UNBILLED_REV","FQ3 2019","FQ3 2019","Currency=USD","Period=FQ","BEST_FPERIOD_OVERRIDE=FQ","FILING_STATUS=MR","SCALING_FORMAT=MLN","Sort=A","Dates=H","DateFormat=P","Fill=—","Direction=H","UseDPDF=Y")</f>
        <v>211</v>
      </c>
      <c r="H14" s="12" cm="1">
        <f t="array" ref="H14">_xll.BDH("CMI US Equity","CF_ACCT_RCV_UNBILLED_REV","FQ4 2019","FQ4 2019","Currency=USD","Period=FQ","BEST_FPERIOD_OVERRIDE=FQ","FILING_STATUS=MR","SCALING_FORMAT=MLN","Sort=A","Dates=H","DateFormat=P","Fill=—","Direction=H","UseDPDF=Y")</f>
        <v>296</v>
      </c>
      <c r="I14" s="12" cm="1">
        <f t="array" ref="I14">_xll.BDH("CMI US Equity","CF_ACCT_RCV_UNBILLED_REV","FQ1 2020","FQ1 2020","Currency=USD","Period=FQ","BEST_FPERIOD_OVERRIDE=FQ","FILING_STATUS=MR","SCALING_FORMAT=MLN","Sort=A","Dates=H","DateFormat=P","Fill=—","Direction=H","UseDPDF=Y")</f>
        <v>107</v>
      </c>
      <c r="J14" s="12" cm="1">
        <f t="array" ref="J14">_xll.BDH("CMI US Equity","CF_ACCT_RCV_UNBILLED_REV","FQ2 2020","FQ2 2020","Currency=USD","Period=FQ","BEST_FPERIOD_OVERRIDE=FQ","FILING_STATUS=MR","SCALING_FORMAT=MLN","Sort=A","Dates=H","DateFormat=P","Fill=—","Direction=H","UseDPDF=Y")</f>
        <v>63</v>
      </c>
      <c r="K14" s="12" cm="1">
        <f t="array" ref="K14">_xll.BDH("CMI US Equity","CF_ACCT_RCV_UNBILLED_REV","FQ3 2020","FQ3 2020","Currency=USD","Period=FQ","BEST_FPERIOD_OVERRIDE=FQ","FILING_STATUS=MR","SCALING_FORMAT=MLN","Sort=A","Dates=H","DateFormat=P","Fill=—","Direction=H","UseDPDF=Y")</f>
        <v>-123</v>
      </c>
      <c r="L14" s="12" cm="1">
        <f t="array" ref="L14">_xll.BDH("CMI US Equity","CF_ACCT_RCV_UNBILLED_REV","FQ4 2020","FQ4 2020","Currency=USD","Period=FQ","BEST_FPERIOD_OVERRIDE=FQ","FILING_STATUS=MR","SCALING_FORMAT=MLN","Sort=A","Dates=H","DateFormat=P","Fill=—","Direction=H","UseDPDF=Y")</f>
        <v>-98</v>
      </c>
      <c r="M14" s="12" cm="1">
        <f t="array" ref="M14">_xll.BDH("CMI US Equity","CF_ACCT_RCV_UNBILLED_REV","FQ1 2021","FQ1 2021","Currency=USD","Period=FQ","BEST_FPERIOD_OVERRIDE=FQ","FILING_STATUS=MR","SCALING_FORMAT=MLN","Sort=A","Dates=H","DateFormat=P","Fill=—","Direction=H","UseDPDF=Y")</f>
        <v>-374</v>
      </c>
      <c r="N14" s="12" cm="1">
        <f t="array" ref="N14">_xll.BDH("CMI US Equity","CF_ACCT_RCV_UNBILLED_REV","FQ2 2021","FQ2 2021","Currency=USD","Period=FQ","BEST_FPERIOD_OVERRIDE=FQ","FILING_STATUS=MR","SCALING_FORMAT=MLN","Sort=A","Dates=H","DateFormat=P","Fill=—","Direction=H","UseDPDF=Y")</f>
        <v>43</v>
      </c>
      <c r="O14" s="12" cm="1">
        <f t="array" ref="O14">_xll.BDH("CMI US Equity","CF_ACCT_RCV_UNBILLED_REV","FQ3 2021","FQ3 2021","Currency=USD","Period=FQ","BEST_FPERIOD_OVERRIDE=FQ","FILING_STATUS=MR","SCALING_FORMAT=MLN","Sort=A","Dates=H","DateFormat=P","Fill=—","Direction=H","UseDPDF=Y")</f>
        <v>-22</v>
      </c>
      <c r="P14" s="12" cm="1">
        <f t="array" ref="P14">_xll.BDH("CMI US Equity","CF_ACCT_RCV_UNBILLED_REV","FQ4 2021","FQ4 2021","Currency=USD","Period=FQ","BEST_FPERIOD_OVERRIDE=FQ","FILING_STATUS=MR","SCALING_FORMAT=MLN","Sort=A","Dates=H","DateFormat=P","Fill=—","Direction=H","UseDPDF=Y")</f>
        <v>179</v>
      </c>
      <c r="Q14" s="12" cm="1">
        <f t="array" ref="Q14">_xll.BDH("CMI US Equity","CF_ACCT_RCV_UNBILLED_REV","FQ1 2022","FQ1 2022","Currency=USD","Period=FQ","BEST_FPERIOD_OVERRIDE=FQ","FILING_STATUS=MR","SCALING_FORMAT=MLN","Sort=A","Dates=H","DateFormat=P","Fill=—","Direction=H","UseDPDF=Y")</f>
        <v>-417</v>
      </c>
      <c r="R14" s="12" cm="1">
        <f t="array" ref="R14">_xll.BDH("CMI US Equity","CF_ACCT_RCV_UNBILLED_REV","FQ2 2022","FQ2 2022","Currency=USD","Period=FQ","BEST_FPERIOD_OVERRIDE=FQ","FILING_STATUS=MR","SCALING_FORMAT=MLN","Sort=A","Dates=H","DateFormat=P","Fill=—","Direction=H","UseDPDF=Y")</f>
        <v>165</v>
      </c>
      <c r="S14" s="12" cm="1">
        <f t="array" ref="S14">_xll.BDH("CMI US Equity","CF_ACCT_RCV_UNBILLED_REV","FQ3 2022","FQ3 2022","Currency=USD","Period=FQ","BEST_FPERIOD_OVERRIDE=FQ","FILING_STATUS=MR","SCALING_FORMAT=MLN","Sort=A","Dates=H","DateFormat=P","Fill=—","Direction=H","UseDPDF=Y")</f>
        <v>-81</v>
      </c>
      <c r="T14" s="12" cm="1">
        <f t="array" ref="T14">_xll.BDH("CMI US Equity","CF_ACCT_RCV_UNBILLED_REV","FQ4 2022","FQ4 2022","Currency=USD","Period=FQ","BEST_FPERIOD_OVERRIDE=FQ","FILING_STATUS=MR","SCALING_FORMAT=MLN","Sort=A","Dates=H","DateFormat=P","Fill=—","Direction=H","UseDPDF=Y")</f>
        <v>-364</v>
      </c>
      <c r="U14" s="12" cm="1">
        <f t="array" ref="U14">_xll.BDH("CMI US Equity","CF_ACCT_RCV_UNBILLED_REV","FQ1 2023","FQ1 2023","Currency=USD","Period=FQ","BEST_FPERIOD_OVERRIDE=FQ","FILING_STATUS=MR","SCALING_FORMAT=MLN","Sort=A","Dates=H","DateFormat=P","Fill=—","Direction=H","UseDPDF=Y")</f>
        <v>-621</v>
      </c>
      <c r="V14" s="12" cm="1">
        <f t="array" ref="V14">_xll.BDH("CMI US Equity","CF_ACCT_RCV_UNBILLED_REV","FQ2 2023","FQ2 2023","Currency=USD","Period=FQ","BEST_FPERIOD_OVERRIDE=FQ","FILING_STATUS=MR","SCALING_FORMAT=MLN","Sort=A","Dates=H","DateFormat=P","Fill=—","Direction=H","UseDPDF=Y")</f>
        <v>-14</v>
      </c>
      <c r="W14" s="12" cm="1">
        <f t="array" ref="W14">_xll.BDH("CMI US Equity","CF_ACCT_RCV_UNBILLED_REV","FQ3 2023","FQ3 2023","Currency=USD","Period=FQ","BEST_FPERIOD_OVERRIDE=FQ","FILING_STATUS=MR","SCALING_FORMAT=MLN","Sort=A","Dates=H","DateFormat=P","Fill=—","Direction=H","UseDPDF=Y")</f>
        <v>188</v>
      </c>
      <c r="X14" s="12" cm="1">
        <f t="array" ref="X14">_xll.BDH("CMI US Equity","CF_ACCT_RCV_UNBILLED_REV","FQ4 2023","FQ4 2023","Currency=USD","Period=FQ","BEST_FPERIOD_OVERRIDE=FQ","FILING_STATUS=MR","SCALING_FORMAT=MLN","Sort=A","Dates=H","DateFormat=P","Fill=—","Direction=H","UseDPDF=Y")</f>
        <v>117</v>
      </c>
      <c r="Y14" s="12" cm="1">
        <f t="array" ref="Y14">_xll.BDH("CMI US Equity","CF_ACCT_RCV_UNBILLED_REV","FQ1 2024","FQ1 2024","Currency=USD","Period=FQ","BEST_FPERIOD_OVERRIDE=FQ","FILING_STATUS=MR","SCALING_FORMAT=MLN","Sort=A","Dates=H","DateFormat=P","Fill=—","Direction=H","UseDPDF=Y")</f>
        <v>-11</v>
      </c>
      <c r="Z14" s="12" cm="1">
        <f t="array" ref="Z14">_xll.BDH("CMI US Equity","CF_ACCT_RCV_UNBILLED_REV","FQ2 2024","FQ2 2024","Currency=USD","Period=FQ","BEST_FPERIOD_OVERRIDE=FQ","FILING_STATUS=MR","SCALING_FORMAT=MLN","Sort=A","Dates=H","DateFormat=P","Fill=—","Direction=H","UseDPDF=Y")</f>
        <v>-150</v>
      </c>
      <c r="AA14" s="12" cm="1">
        <f t="array" ref="AA14">_xll.BDH("CMI US Equity","CF_ACCT_RCV_UNBILLED_REV","FQ3 2024","FQ3 2024","Currency=USD","Period=FQ","BEST_FPERIOD_OVERRIDE=FQ","FILING_STATUS=MR","SCALING_FORMAT=MLN","Sort=A","Dates=H","DateFormat=P","Fill=—","Direction=H","UseDPDF=Y")</f>
        <v>270</v>
      </c>
      <c r="AB14" s="12" cm="1">
        <f t="array" ref="AB14">_xll.BDH("CMI US Equity","CF_ACCT_RCV_UNBILLED_REV","FQ4 2024","FQ4 2024","Currency=USD","Period=FQ","BEST_FPERIOD_OVERRIDE=FQ","FILING_STATUS=MR","SCALING_FORMAT=MLN","Sort=A","Dates=H","DateFormat=P","Fill=—","Direction=H","UseDPDF=Y")</f>
        <v>189</v>
      </c>
      <c r="AC14" s="12" cm="1">
        <f t="array" ref="AC14">_xll.BDH("CMI US Equity","CF_ACCT_RCV_UNBILLED_REV","FQ1 2025","FQ1 2025","Currency=USD","Period=FQ","BEST_FPERIOD_OVERRIDE=FQ","FILING_STATUS=MR","SCALING_FORMAT=MLN","Sort=A","Dates=H","DateFormat=P","Fill=—","Direction=H","UseDPDF=Y")</f>
        <v>-457</v>
      </c>
      <c r="AD14" s="12" cm="1">
        <f t="array" ref="AD14">_xll.BDH("CMI US Equity","CF_ACCT_RCV_UNBILLED_REV","FQ2 2025","FQ2 2025","Currency=USD","Period=FQ","BEST_FPERIOD_OVERRIDE=FQ","FILING_STATUS=MR","SCALING_FORMAT=MLN","Sort=A","Dates=H","DateFormat=P","Fill=—","Direction=H","UseDPDF=Y")</f>
        <v>-186</v>
      </c>
      <c r="AE14" s="12" cm="1">
        <f t="array" ref="AE14">_xll.BDH("CMI US Equity","CF_ACCT_RCV_UNBILLED_REV","FQ3 2025","FQ3 2025","Currency=USD","Period=FQ","BEST_FPERIOD_OVERRIDE=FQ","FILING_STATUS=MR","SCALING_FORMAT=MLN","Sort=A","Dates=H","DateFormat=P","Fill=—","Direction=H","UseDPDF=Y")</f>
        <v>177</v>
      </c>
      <c r="AF14" s="12" cm="1">
        <f t="array" ref="AF14">_xll.BDH("CMI US Equity","CF_ACCT_RCV_UNBILLED_REV","FQ4 2025","FQ4 2025","Currency=USD","Period=FQ","BEST_FPERIOD_OVERRIDE=FQ","FILING_STATUS=MR","SCALING_FORMAT=MLN","Sort=A","Dates=H","DateFormat=P","Fill=—","Direction=H","UseDPDF=Y")</f>
        <v>-146</v>
      </c>
    </row>
    <row r="15" spans="1:32" x14ac:dyDescent="0.25">
      <c r="A15" s="10" t="s">
        <v>82</v>
      </c>
      <c r="B15" s="10" t="s">
        <v>83</v>
      </c>
      <c r="C15" s="12" cm="1">
        <f t="array" ref="C15">_xll.BDH("CMI US Equity","CF_CHANGE_IN_INVENTORIES","FQ3 2018","FQ3 2018","Currency=USD","Period=FQ","BEST_FPERIOD_OVERRIDE=FQ","FILING_STATUS=MR","SCALING_FORMAT=MLN","Sort=A","Dates=H","DateFormat=P","Fill=—","Direction=H","UseDPDF=Y")</f>
        <v>-298</v>
      </c>
      <c r="D15" s="12" cm="1">
        <f t="array" ref="D15">_xll.BDH("CMI US Equity","CF_CHANGE_IN_INVENTORIES","FQ4 2018","FQ4 2018","Currency=USD","Period=FQ","BEST_FPERIOD_OVERRIDE=FQ","FILING_STATUS=MR","SCALING_FORMAT=MLN","Sort=A","Dates=H","DateFormat=P","Fill=—","Direction=H","UseDPDF=Y")</f>
        <v>78</v>
      </c>
      <c r="E15" s="12" cm="1">
        <f t="array" ref="E15">_xll.BDH("CMI US Equity","CF_CHANGE_IN_INVENTORIES","FQ1 2019","FQ1 2019","Currency=USD","Period=FQ","BEST_FPERIOD_OVERRIDE=FQ","FILING_STATUS=MR","SCALING_FORMAT=MLN","Sort=A","Dates=H","DateFormat=P","Fill=—","Direction=H","UseDPDF=Y")</f>
        <v>-107</v>
      </c>
      <c r="F15" s="12" cm="1">
        <f t="array" ref="F15">_xll.BDH("CMI US Equity","CF_CHANGE_IN_INVENTORIES","FQ2 2019","FQ2 2019","Currency=USD","Period=FQ","BEST_FPERIOD_OVERRIDE=FQ","FILING_STATUS=MR","SCALING_FORMAT=MLN","Sort=A","Dates=H","DateFormat=P","Fill=—","Direction=H","UseDPDF=Y")</f>
        <v>-18</v>
      </c>
      <c r="G15" s="12" cm="1">
        <f t="array" ref="G15">_xll.BDH("CMI US Equity","CF_CHANGE_IN_INVENTORIES","FQ3 2019","FQ3 2019","Currency=USD","Period=FQ","BEST_FPERIOD_OVERRIDE=FQ","FILING_STATUS=MR","SCALING_FORMAT=MLN","Sort=A","Dates=H","DateFormat=P","Fill=—","Direction=H","UseDPDF=Y")</f>
        <v>63</v>
      </c>
      <c r="H15" s="12" cm="1">
        <f t="array" ref="H15">_xll.BDH("CMI US Equity","CF_CHANGE_IN_INVENTORIES","FQ4 2019","FQ4 2019","Currency=USD","Period=FQ","BEST_FPERIOD_OVERRIDE=FQ","FILING_STATUS=MR","SCALING_FORMAT=MLN","Sort=A","Dates=H","DateFormat=P","Fill=—","Direction=H","UseDPDF=Y")</f>
        <v>353</v>
      </c>
      <c r="I15" s="12" cm="1">
        <f t="array" ref="I15">_xll.BDH("CMI US Equity","CF_CHANGE_IN_INVENTORIES","FQ1 2020","FQ1 2020","Currency=USD","Period=FQ","BEST_FPERIOD_OVERRIDE=FQ","FILING_STATUS=MR","SCALING_FORMAT=MLN","Sort=A","Dates=H","DateFormat=P","Fill=—","Direction=H","UseDPDF=Y")</f>
        <v>-171</v>
      </c>
      <c r="J15" s="12" cm="1">
        <f t="array" ref="J15">_xll.BDH("CMI US Equity","CF_CHANGE_IN_INVENTORIES","FQ2 2020","FQ2 2020","Currency=USD","Period=FQ","BEST_FPERIOD_OVERRIDE=FQ","FILING_STATUS=MR","SCALING_FORMAT=MLN","Sort=A","Dates=H","DateFormat=P","Fill=—","Direction=H","UseDPDF=Y")</f>
        <v>-53</v>
      </c>
      <c r="K15" s="12" cm="1">
        <f t="array" ref="K15">_xll.BDH("CMI US Equity","CF_CHANGE_IN_INVENTORIES","FQ3 2020","FQ3 2020","Currency=USD","Period=FQ","BEST_FPERIOD_OVERRIDE=FQ","FILING_STATUS=MR","SCALING_FORMAT=MLN","Sort=A","Dates=H","DateFormat=P","Fill=—","Direction=H","UseDPDF=Y")</f>
        <v>174</v>
      </c>
      <c r="L15" s="12" cm="1">
        <f t="array" ref="L15">_xll.BDH("CMI US Equity","CF_CHANGE_IN_INVENTORIES","FQ4 2020","FQ4 2020","Currency=USD","Period=FQ","BEST_FPERIOD_OVERRIDE=FQ","FILING_STATUS=MR","SCALING_FORMAT=MLN","Sort=A","Dates=H","DateFormat=P","Fill=—","Direction=H","UseDPDF=Y")</f>
        <v>96</v>
      </c>
      <c r="M15" s="12" cm="1">
        <f t="array" ref="M15">_xll.BDH("CMI US Equity","CF_CHANGE_IN_INVENTORIES","FQ1 2021","FQ1 2021","Currency=USD","Period=FQ","BEST_FPERIOD_OVERRIDE=FQ","FILING_STATUS=MR","SCALING_FORMAT=MLN","Sort=A","Dates=H","DateFormat=P","Fill=—","Direction=H","UseDPDF=Y")</f>
        <v>-336</v>
      </c>
      <c r="N15" s="12" cm="1">
        <f t="array" ref="N15">_xll.BDH("CMI US Equity","CF_CHANGE_IN_INVENTORIES","FQ2 2021","FQ2 2021","Currency=USD","Period=FQ","BEST_FPERIOD_OVERRIDE=FQ","FILING_STATUS=MR","SCALING_FORMAT=MLN","Sort=A","Dates=H","DateFormat=P","Fill=—","Direction=H","UseDPDF=Y")</f>
        <v>-292</v>
      </c>
      <c r="O15" s="12" cm="1">
        <f t="array" ref="O15">_xll.BDH("CMI US Equity","CF_CHANGE_IN_INVENTORIES","FQ3 2021","FQ3 2021","Currency=USD","Period=FQ","BEST_FPERIOD_OVERRIDE=FQ","FILING_STATUS=MR","SCALING_FORMAT=MLN","Sort=A","Dates=H","DateFormat=P","Fill=—","Direction=H","UseDPDF=Y")</f>
        <v>-291</v>
      </c>
      <c r="P15" s="12" cm="1">
        <f t="array" ref="P15">_xll.BDH("CMI US Equity","CF_CHANGE_IN_INVENTORIES","FQ4 2021","FQ4 2021","Currency=USD","Period=FQ","BEST_FPERIOD_OVERRIDE=FQ","FILING_STATUS=MR","SCALING_FORMAT=MLN","Sort=A","Dates=H","DateFormat=P","Fill=—","Direction=H","UseDPDF=Y")</f>
        <v>-26</v>
      </c>
      <c r="Q15" s="12" cm="1">
        <f t="array" ref="Q15">_xll.BDH("CMI US Equity","CF_CHANGE_IN_INVENTORIES","FQ1 2022","FQ1 2022","Currency=USD","Period=FQ","BEST_FPERIOD_OVERRIDE=FQ","FILING_STATUS=MR","SCALING_FORMAT=MLN","Sort=A","Dates=H","DateFormat=P","Fill=—","Direction=H","UseDPDF=Y")</f>
        <v>-289</v>
      </c>
      <c r="R15" s="12" cm="1">
        <f t="array" ref="R15">_xll.BDH("CMI US Equity","CF_CHANGE_IN_INVENTORIES","FQ2 2022","FQ2 2022","Currency=USD","Period=FQ","BEST_FPERIOD_OVERRIDE=FQ","FILING_STATUS=MR","SCALING_FORMAT=MLN","Sort=A","Dates=H","DateFormat=P","Fill=—","Direction=H","UseDPDF=Y")</f>
        <v>-209</v>
      </c>
      <c r="S15" s="12" cm="1">
        <f t="array" ref="S15">_xll.BDH("CMI US Equity","CF_CHANGE_IN_INVENTORIES","FQ3 2022","FQ3 2022","Currency=USD","Period=FQ","BEST_FPERIOD_OVERRIDE=FQ","FILING_STATUS=MR","SCALING_FORMAT=MLN","Sort=A","Dates=H","DateFormat=P","Fill=—","Direction=H","UseDPDF=Y")</f>
        <v>-99</v>
      </c>
      <c r="T15" s="12" cm="1">
        <f t="array" ref="T15">_xll.BDH("CMI US Equity","CF_CHANGE_IN_INVENTORIES","FQ4 2022","FQ4 2022","Currency=USD","Period=FQ","BEST_FPERIOD_OVERRIDE=FQ","FILING_STATUS=MR","SCALING_FORMAT=MLN","Sort=A","Dates=H","DateFormat=P","Fill=—","Direction=H","UseDPDF=Y")</f>
        <v>30</v>
      </c>
      <c r="U15" s="12" cm="1">
        <f t="array" ref="U15">_xll.BDH("CMI US Equity","CF_CHANGE_IN_INVENTORIES","FQ1 2023","FQ1 2023","Currency=USD","Period=FQ","BEST_FPERIOD_OVERRIDE=FQ","FILING_STATUS=MR","SCALING_FORMAT=MLN","Sort=A","Dates=H","DateFormat=P","Fill=—","Direction=H","UseDPDF=Y")</f>
        <v>-263</v>
      </c>
      <c r="V15" s="12" cm="1">
        <f t="array" ref="V15">_xll.BDH("CMI US Equity","CF_CHANGE_IN_INVENTORIES","FQ2 2023","FQ2 2023","Currency=USD","Period=FQ","BEST_FPERIOD_OVERRIDE=FQ","FILING_STATUS=MR","SCALING_FORMAT=MLN","Sort=A","Dates=H","DateFormat=P","Fill=—","Direction=H","UseDPDF=Y")</f>
        <v>-140</v>
      </c>
      <c r="W15" s="12" cm="1">
        <f t="array" ref="W15">_xll.BDH("CMI US Equity","CF_CHANGE_IN_INVENTORIES","FQ3 2023","FQ3 2023","Currency=USD","Period=FQ","BEST_FPERIOD_OVERRIDE=FQ","FILING_STATUS=MR","SCALING_FORMAT=MLN","Sort=A","Dates=H","DateFormat=P","Fill=—","Direction=H","UseDPDF=Y")</f>
        <v>85</v>
      </c>
      <c r="X15" s="12" cm="1">
        <f t="array" ref="X15">_xll.BDH("CMI US Equity","CF_CHANGE_IN_INVENTORIES","FQ4 2023","FQ4 2023","Currency=USD","Period=FQ","BEST_FPERIOD_OVERRIDE=FQ","FILING_STATUS=MR","SCALING_FORMAT=MLN","Sort=A","Dates=H","DateFormat=P","Fill=—","Direction=H","UseDPDF=Y")</f>
        <v>318</v>
      </c>
      <c r="Y15" s="12" cm="1">
        <f t="array" ref="Y15">_xll.BDH("CMI US Equity","CF_CHANGE_IN_INVENTORIES","FQ1 2024","FQ1 2024","Currency=USD","Period=FQ","BEST_FPERIOD_OVERRIDE=FQ","FILING_STATUS=MR","SCALING_FORMAT=MLN","Sort=A","Dates=H","DateFormat=P","Fill=—","Direction=H","UseDPDF=Y")</f>
        <v>-354</v>
      </c>
      <c r="Z15" s="12" cm="1">
        <f t="array" ref="Z15">_xll.BDH("CMI US Equity","CF_CHANGE_IN_INVENTORIES","FQ2 2024","FQ2 2024","Currency=USD","Period=FQ","BEST_FPERIOD_OVERRIDE=FQ","FILING_STATUS=MR","SCALING_FORMAT=MLN","Sort=A","Dates=H","DateFormat=P","Fill=—","Direction=H","UseDPDF=Y")</f>
        <v>-115</v>
      </c>
      <c r="AA15" s="12" cm="1">
        <f t="array" ref="AA15">_xll.BDH("CMI US Equity","CF_CHANGE_IN_INVENTORIES","FQ3 2024","FQ3 2024","Currency=USD","Period=FQ","BEST_FPERIOD_OVERRIDE=FQ","FILING_STATUS=MR","SCALING_FORMAT=MLN","Sort=A","Dates=H","DateFormat=P","Fill=—","Direction=H","UseDPDF=Y")</f>
        <v>-257</v>
      </c>
      <c r="AB15" s="12" cm="1">
        <f t="array" ref="AB15">_xll.BDH("CMI US Equity","CF_CHANGE_IN_INVENTORIES","FQ4 2024","FQ4 2024","Currency=USD","Period=FQ","BEST_FPERIOD_OVERRIDE=FQ","FILING_STATUS=MR","SCALING_FORMAT=MLN","Sort=A","Dates=H","DateFormat=P","Fill=—","Direction=H","UseDPDF=Y")</f>
        <v>324</v>
      </c>
      <c r="AC15" s="12" cm="1">
        <f t="array" ref="AC15">_xll.BDH("CMI US Equity","CF_CHANGE_IN_INVENTORIES","FQ1 2025","FQ1 2025","Currency=USD","Period=FQ","BEST_FPERIOD_OVERRIDE=FQ","FILING_STATUS=MR","SCALING_FORMAT=MLN","Sort=A","Dates=H","DateFormat=P","Fill=—","Direction=H","UseDPDF=Y")</f>
        <v>-331</v>
      </c>
      <c r="AD15" s="12" cm="1">
        <f t="array" ref="AD15">_xll.BDH("CMI US Equity","CF_CHANGE_IN_INVENTORIES","FQ2 2025","FQ2 2025","Currency=USD","Period=FQ","BEST_FPERIOD_OVERRIDE=FQ","FILING_STATUS=MR","SCALING_FORMAT=MLN","Sort=A","Dates=H","DateFormat=P","Fill=—","Direction=H","UseDPDF=Y")</f>
        <v>-105</v>
      </c>
      <c r="AE15" s="12" cm="1">
        <f t="array" ref="AE15">_xll.BDH("CMI US Equity","CF_CHANGE_IN_INVENTORIES","FQ3 2025","FQ3 2025","Currency=USD","Period=FQ","BEST_FPERIOD_OVERRIDE=FQ","FILING_STATUS=MR","SCALING_FORMAT=MLN","Sort=A","Dates=H","DateFormat=P","Fill=—","Direction=H","UseDPDF=Y")</f>
        <v>-10</v>
      </c>
      <c r="AF15" s="12" cm="1">
        <f t="array" ref="AF15">_xll.BDH("CMI US Equity","CF_CHANGE_IN_INVENTORIES","FQ4 2025","FQ4 2025","Currency=USD","Period=FQ","BEST_FPERIOD_OVERRIDE=FQ","FILING_STATUS=MR","SCALING_FORMAT=MLN","Sort=A","Dates=H","DateFormat=P","Fill=—","Direction=H","UseDPDF=Y")</f>
        <v>407</v>
      </c>
    </row>
    <row r="16" spans="1:32" x14ac:dyDescent="0.25">
      <c r="A16" s="10" t="s">
        <v>84</v>
      </c>
      <c r="B16" s="10" t="s">
        <v>85</v>
      </c>
      <c r="C16" s="12" cm="1">
        <f t="array" ref="C16">_xll.BDH("CMI US Equity","CF_CHANGE_IN_ACCOUNTS_PAYABLE","FQ3 2018","FQ3 2018","Currency=USD","Period=FQ","BEST_FPERIOD_OVERRIDE=FQ","FILING_STATUS=MR","SCALING_FORMAT=MLN","Sort=A","Dates=H","DateFormat=P","Fill=—","Direction=H","UseDPDF=Y")</f>
        <v>25</v>
      </c>
      <c r="D16" s="12" cm="1">
        <f t="array" ref="D16">_xll.BDH("CMI US Equity","CF_CHANGE_IN_ACCOUNTS_PAYABLE","FQ4 2018","FQ4 2018","Currency=USD","Period=FQ","BEST_FPERIOD_OVERRIDE=FQ","FILING_STATUS=MR","SCALING_FORMAT=MLN","Sort=A","Dates=H","DateFormat=P","Fill=—","Direction=H","UseDPDF=Y")</f>
        <v>-165</v>
      </c>
      <c r="E16" s="12" cm="1">
        <f t="array" ref="E16">_xll.BDH("CMI US Equity","CF_CHANGE_IN_ACCOUNTS_PAYABLE","FQ1 2019","FQ1 2019","Currency=USD","Period=FQ","BEST_FPERIOD_OVERRIDE=FQ","FILING_STATUS=MR","SCALING_FORMAT=MLN","Sort=A","Dates=H","DateFormat=P","Fill=—","Direction=H","UseDPDF=Y")</f>
        <v>166</v>
      </c>
      <c r="F16" s="12" cm="1">
        <f t="array" ref="F16">_xll.BDH("CMI US Equity","CF_CHANGE_IN_ACCOUNTS_PAYABLE","FQ2 2019","FQ2 2019","Currency=USD","Period=FQ","BEST_FPERIOD_OVERRIDE=FQ","FILING_STATUS=MR","SCALING_FORMAT=MLN","Sort=A","Dates=H","DateFormat=P","Fill=—","Direction=H","UseDPDF=Y")</f>
        <v>-18</v>
      </c>
      <c r="G16" s="12" cm="1">
        <f t="array" ref="G16">_xll.BDH("CMI US Equity","CF_CHANGE_IN_ACCOUNTS_PAYABLE","FQ3 2019","FQ3 2019","Currency=USD","Period=FQ","BEST_FPERIOD_OVERRIDE=FQ","FILING_STATUS=MR","SCALING_FORMAT=MLN","Sort=A","Dates=H","DateFormat=P","Fill=—","Direction=H","UseDPDF=Y")</f>
        <v>-151</v>
      </c>
      <c r="H16" s="12" cm="1">
        <f t="array" ref="H16">_xll.BDH("CMI US Equity","CF_CHANGE_IN_ACCOUNTS_PAYABLE","FQ4 2019","FQ4 2019","Currency=USD","Period=FQ","BEST_FPERIOD_OVERRIDE=FQ","FILING_STATUS=MR","SCALING_FORMAT=MLN","Sort=A","Dates=H","DateFormat=P","Fill=—","Direction=H","UseDPDF=Y")</f>
        <v>-307</v>
      </c>
      <c r="I16" s="12" cm="1">
        <f t="array" ref="I16">_xll.BDH("CMI US Equity","CF_CHANGE_IN_ACCOUNTS_PAYABLE","FQ1 2020","FQ1 2020","Currency=USD","Period=FQ","BEST_FPERIOD_OVERRIDE=FQ","FILING_STATUS=MR","SCALING_FORMAT=MLN","Sort=A","Dates=H","DateFormat=P","Fill=—","Direction=H","UseDPDF=Y")</f>
        <v>171</v>
      </c>
      <c r="J16" s="12" cm="1">
        <f t="array" ref="J16">_xll.BDH("CMI US Equity","CF_CHANGE_IN_ACCOUNTS_PAYABLE","FQ2 2020","FQ2 2020","Currency=USD","Period=FQ","BEST_FPERIOD_OVERRIDE=FQ","FILING_STATUS=MR","SCALING_FORMAT=MLN","Sort=A","Dates=H","DateFormat=P","Fill=—","Direction=H","UseDPDF=Y")</f>
        <v>-391</v>
      </c>
      <c r="K16" s="12" cm="1">
        <f t="array" ref="K16">_xll.BDH("CMI US Equity","CF_CHANGE_IN_ACCOUNTS_PAYABLE","FQ3 2020","FQ3 2020","Currency=USD","Period=FQ","BEST_FPERIOD_OVERRIDE=FQ","FILING_STATUS=MR","SCALING_FORMAT=MLN","Sort=A","Dates=H","DateFormat=P","Fill=—","Direction=H","UseDPDF=Y")</f>
        <v>329</v>
      </c>
      <c r="L16" s="12" cm="1">
        <f t="array" ref="L16">_xll.BDH("CMI US Equity","CF_CHANGE_IN_ACCOUNTS_PAYABLE","FQ4 2020","FQ4 2020","Currency=USD","Period=FQ","BEST_FPERIOD_OVERRIDE=FQ","FILING_STATUS=MR","SCALING_FORMAT=MLN","Sort=A","Dates=H","DateFormat=P","Fill=—","Direction=H","UseDPDF=Y")</f>
        <v>179</v>
      </c>
      <c r="M16" s="12" cm="1">
        <f t="array" ref="M16">_xll.BDH("CMI US Equity","CF_CHANGE_IN_ACCOUNTS_PAYABLE","FQ1 2021","FQ1 2021","Currency=USD","Period=FQ","BEST_FPERIOD_OVERRIDE=FQ","FILING_STATUS=MR","SCALING_FORMAT=MLN","Sort=A","Dates=H","DateFormat=P","Fill=—","Direction=H","UseDPDF=Y")</f>
        <v>465</v>
      </c>
      <c r="N16" s="12" cm="1">
        <f t="array" ref="N16">_xll.BDH("CMI US Equity","CF_CHANGE_IN_ACCOUNTS_PAYABLE","FQ2 2021","FQ2 2021","Currency=USD","Period=FQ","BEST_FPERIOD_OVERRIDE=FQ","FILING_STATUS=MR","SCALING_FORMAT=MLN","Sort=A","Dates=H","DateFormat=P","Fill=—","Direction=H","UseDPDF=Y")</f>
        <v>-88</v>
      </c>
      <c r="O16" s="12" cm="1">
        <f t="array" ref="O16">_xll.BDH("CMI US Equity","CF_CHANGE_IN_ACCOUNTS_PAYABLE","FQ3 2021","FQ3 2021","Currency=USD","Period=FQ","BEST_FPERIOD_OVERRIDE=FQ","FILING_STATUS=MR","SCALING_FORMAT=MLN","Sort=A","Dates=H","DateFormat=P","Fill=—","Direction=H","UseDPDF=Y")</f>
        <v>39</v>
      </c>
      <c r="P16" s="12" cm="1">
        <f t="array" ref="P16">_xll.BDH("CMI US Equity","CF_CHANGE_IN_ACCOUNTS_PAYABLE","FQ4 2021","FQ4 2021","Currency=USD","Period=FQ","BEST_FPERIOD_OVERRIDE=FQ","FILING_STATUS=MR","SCALING_FORMAT=MLN","Sort=A","Dates=H","DateFormat=P","Fill=—","Direction=H","UseDPDF=Y")</f>
        <v>-199</v>
      </c>
      <c r="Q16" s="12" cm="1">
        <f t="array" ref="Q16">_xll.BDH("CMI US Equity","CF_CHANGE_IN_ACCOUNTS_PAYABLE","FQ1 2022","FQ1 2022","Currency=USD","Period=FQ","BEST_FPERIOD_OVERRIDE=FQ","FILING_STATUS=MR","SCALING_FORMAT=MLN","Sort=A","Dates=H","DateFormat=P","Fill=—","Direction=H","UseDPDF=Y")</f>
        <v>484</v>
      </c>
      <c r="R16" s="12" cm="1">
        <f t="array" ref="R16">_xll.BDH("CMI US Equity","CF_CHANGE_IN_ACCOUNTS_PAYABLE","FQ2 2022","FQ2 2022","Currency=USD","Period=FQ","BEST_FPERIOD_OVERRIDE=FQ","FILING_STATUS=MR","SCALING_FORMAT=MLN","Sort=A","Dates=H","DateFormat=P","Fill=—","Direction=H","UseDPDF=Y")</f>
        <v>-58</v>
      </c>
      <c r="S16" s="12" cm="1">
        <f t="array" ref="S16">_xll.BDH("CMI US Equity","CF_CHANGE_IN_ACCOUNTS_PAYABLE","FQ3 2022","FQ3 2022","Currency=USD","Period=FQ","BEST_FPERIOD_OVERRIDE=FQ","FILING_STATUS=MR","SCALING_FORMAT=MLN","Sort=A","Dates=H","DateFormat=P","Fill=—","Direction=H","UseDPDF=Y")</f>
        <v>-73</v>
      </c>
      <c r="T16" s="12" cm="1">
        <f t="array" ref="T16">_xll.BDH("CMI US Equity","CF_CHANGE_IN_ACCOUNTS_PAYABLE","FQ4 2022","FQ4 2022","Currency=USD","Period=FQ","BEST_FPERIOD_OVERRIDE=FQ","FILING_STATUS=MR","SCALING_FORMAT=MLN","Sort=A","Dates=H","DateFormat=P","Fill=—","Direction=H","UseDPDF=Y")</f>
        <v>185</v>
      </c>
      <c r="U16" s="12" cm="1">
        <f t="array" ref="U16">_xll.BDH("CMI US Equity","CF_CHANGE_IN_ACCOUNTS_PAYABLE","FQ1 2023","FQ1 2023","Currency=USD","Period=FQ","BEST_FPERIOD_OVERRIDE=FQ","FILING_STATUS=MR","SCALING_FORMAT=MLN","Sort=A","Dates=H","DateFormat=P","Fill=—","Direction=H","UseDPDF=Y")</f>
        <v>381</v>
      </c>
      <c r="V16" s="12" cm="1">
        <f t="array" ref="V16">_xll.BDH("CMI US Equity","CF_CHANGE_IN_ACCOUNTS_PAYABLE","FQ2 2023","FQ2 2023","Currency=USD","Period=FQ","BEST_FPERIOD_OVERRIDE=FQ","FILING_STATUS=MR","SCALING_FORMAT=MLN","Sort=A","Dates=H","DateFormat=P","Fill=—","Direction=H","UseDPDF=Y")</f>
        <v>-316</v>
      </c>
      <c r="W16" s="12" cm="1">
        <f t="array" ref="W16">_xll.BDH("CMI US Equity","CF_CHANGE_IN_ACCOUNTS_PAYABLE","FQ3 2023","FQ3 2023","Currency=USD","Period=FQ","BEST_FPERIOD_OVERRIDE=FQ","FILING_STATUS=MR","SCALING_FORMAT=MLN","Sort=A","Dates=H","DateFormat=P","Fill=—","Direction=H","UseDPDF=Y")</f>
        <v>-22</v>
      </c>
      <c r="X16" s="12" cm="1">
        <f t="array" ref="X16">_xll.BDH("CMI US Equity","CF_CHANGE_IN_ACCOUNTS_PAYABLE","FQ4 2023","FQ4 2023","Currency=USD","Period=FQ","BEST_FPERIOD_OVERRIDE=FQ","FILING_STATUS=MR","SCALING_FORMAT=MLN","Sort=A","Dates=H","DateFormat=P","Fill=—","Direction=H","UseDPDF=Y")</f>
        <v>-109</v>
      </c>
      <c r="Y16" s="12" cm="1">
        <f t="array" ref="Y16">_xll.BDH("CMI US Equity","CF_CHANGE_IN_ACCOUNTS_PAYABLE","FQ1 2024","FQ1 2024","Currency=USD","Period=FQ","BEST_FPERIOD_OVERRIDE=FQ","FILING_STATUS=MR","SCALING_FORMAT=MLN","Sort=A","Dates=H","DateFormat=P","Fill=—","Direction=H","UseDPDF=Y")</f>
        <v>327</v>
      </c>
      <c r="Z16" s="12" cm="1">
        <f t="array" ref="Z16">_xll.BDH("CMI US Equity","CF_CHANGE_IN_ACCOUNTS_PAYABLE","FQ2 2024","FQ2 2024","Currency=USD","Period=FQ","BEST_FPERIOD_OVERRIDE=FQ","FILING_STATUS=MR","SCALING_FORMAT=MLN","Sort=A","Dates=H","DateFormat=P","Fill=—","Direction=H","UseDPDF=Y")</f>
        <v>-64</v>
      </c>
      <c r="AA16" s="12" cm="1">
        <f t="array" ref="AA16">_xll.BDH("CMI US Equity","CF_CHANGE_IN_ACCOUNTS_PAYABLE","FQ3 2024","FQ3 2024","Currency=USD","Period=FQ","BEST_FPERIOD_OVERRIDE=FQ","FILING_STATUS=MR","SCALING_FORMAT=MLN","Sort=A","Dates=H","DateFormat=P","Fill=—","Direction=H","UseDPDF=Y")</f>
        <v>-236</v>
      </c>
      <c r="AB16" s="12" cm="1">
        <f t="array" ref="AB16">_xll.BDH("CMI US Equity","CF_CHANGE_IN_ACCOUNTS_PAYABLE","FQ4 2024","FQ4 2024","Currency=USD","Period=FQ","BEST_FPERIOD_OVERRIDE=FQ","FILING_STATUS=MR","SCALING_FORMAT=MLN","Sort=A","Dates=H","DateFormat=P","Fill=—","Direction=H","UseDPDF=Y")</f>
        <v>-210</v>
      </c>
      <c r="AC16" s="12" cm="1">
        <f t="array" ref="AC16">_xll.BDH("CMI US Equity","CF_CHANGE_IN_ACCOUNTS_PAYABLE","FQ1 2025","FQ1 2025","Currency=USD","Period=FQ","BEST_FPERIOD_OVERRIDE=FQ","FILING_STATUS=MR","SCALING_FORMAT=MLN","Sort=A","Dates=H","DateFormat=P","Fill=—","Direction=H","UseDPDF=Y")</f>
        <v>330</v>
      </c>
      <c r="AD16" s="12" cm="1">
        <f t="array" ref="AD16">_xll.BDH("CMI US Equity","CF_CHANGE_IN_ACCOUNTS_PAYABLE","FQ2 2025","FQ2 2025","Currency=USD","Period=FQ","BEST_FPERIOD_OVERRIDE=FQ","FILING_STATUS=MR","SCALING_FORMAT=MLN","Sort=A","Dates=H","DateFormat=P","Fill=—","Direction=H","UseDPDF=Y")</f>
        <v>-182</v>
      </c>
      <c r="AE16" s="12" cm="1">
        <f t="array" ref="AE16">_xll.BDH("CMI US Equity","CF_CHANGE_IN_ACCOUNTS_PAYABLE","FQ3 2025","FQ3 2025","Currency=USD","Period=FQ","BEST_FPERIOD_OVERRIDE=FQ","FILING_STATUS=MR","SCALING_FORMAT=MLN","Sort=A","Dates=H","DateFormat=P","Fill=—","Direction=H","UseDPDF=Y")</f>
        <v>-295</v>
      </c>
      <c r="AF16" s="12" cm="1">
        <f t="array" ref="AF16">_xll.BDH("CMI US Equity","CF_CHANGE_IN_ACCOUNTS_PAYABLE","FQ4 2025","FQ4 2025","Currency=USD","Period=FQ","BEST_FPERIOD_OVERRIDE=FQ","FILING_STATUS=MR","SCALING_FORMAT=MLN","Sort=A","Dates=H","DateFormat=P","Fill=—","Direction=H","UseDPDF=Y")</f>
        <v>-1</v>
      </c>
    </row>
    <row r="17" spans="1:32" x14ac:dyDescent="0.25">
      <c r="A17" s="10" t="s">
        <v>86</v>
      </c>
      <c r="B17" s="10" t="s">
        <v>87</v>
      </c>
      <c r="C17" s="12" cm="1">
        <f t="array" ref="C17">_xll.BDH("CMI US Equity","INC_DEC_IN_OT_OP_AST_LIAB_DETAIL","FQ3 2018","FQ3 2018","Currency=USD","Period=FQ","BEST_FPERIOD_OVERRIDE=FQ","FILING_STATUS=MR","SCALING_FORMAT=MLN","Sort=A","Dates=H","DateFormat=P","Fill=—","Direction=H","UseDPDF=Y")</f>
        <v>124</v>
      </c>
      <c r="D17" s="12" cm="1">
        <f t="array" ref="D17">_xll.BDH("CMI US Equity","INC_DEC_IN_OT_OP_AST_LIAB_DETAIL","FQ4 2018","FQ4 2018","Currency=USD","Period=FQ","BEST_FPERIOD_OVERRIDE=FQ","FILING_STATUS=MR","SCALING_FORMAT=MLN","Sort=A","Dates=H","DateFormat=P","Fill=—","Direction=H","UseDPDF=Y")</f>
        <v>153</v>
      </c>
      <c r="E17" s="12" cm="1">
        <f t="array" ref="E17">_xll.BDH("CMI US Equity","INC_DEC_IN_OT_OP_AST_LIAB_DETAIL","FQ1 2019","FQ1 2019","Currency=USD","Period=FQ","BEST_FPERIOD_OVERRIDE=FQ","FILING_STATUS=MR","SCALING_FORMAT=MLN","Sort=A","Dates=H","DateFormat=P","Fill=—","Direction=H","UseDPDF=Y")</f>
        <v>-226</v>
      </c>
      <c r="F17" s="12" cm="1">
        <f t="array" ref="F17">_xll.BDH("CMI US Equity","INC_DEC_IN_OT_OP_AST_LIAB_DETAIL","FQ2 2019","FQ2 2019","Currency=USD","Period=FQ","BEST_FPERIOD_OVERRIDE=FQ","FILING_STATUS=MR","SCALING_FORMAT=MLN","Sort=A","Dates=H","DateFormat=P","Fill=—","Direction=H","UseDPDF=Y")</f>
        <v>47</v>
      </c>
      <c r="G17" s="12" cm="1">
        <f t="array" ref="G17">_xll.BDH("CMI US Equity","INC_DEC_IN_OT_OP_AST_LIAB_DETAIL","FQ3 2019","FQ3 2019","Currency=USD","Period=FQ","BEST_FPERIOD_OVERRIDE=FQ","FILING_STATUS=MR","SCALING_FORMAT=MLN","Sort=A","Dates=H","DateFormat=P","Fill=—","Direction=H","UseDPDF=Y")</f>
        <v>105</v>
      </c>
      <c r="H17" s="12" cm="1">
        <f t="array" ref="H17">_xll.BDH("CMI US Equity","INC_DEC_IN_OT_OP_AST_LIAB_DETAIL","FQ4 2019","FQ4 2019","Currency=USD","Period=FQ","BEST_FPERIOD_OVERRIDE=FQ","FILING_STATUS=MR","SCALING_FORMAT=MLN","Sort=A","Dates=H","DateFormat=P","Fill=—","Direction=H","UseDPDF=Y")</f>
        <v>-181</v>
      </c>
      <c r="I17" s="12" cm="1">
        <f t="array" ref="I17">_xll.BDH("CMI US Equity","INC_DEC_IN_OT_OP_AST_LIAB_DETAIL","FQ1 2020","FQ1 2020","Currency=USD","Period=FQ","BEST_FPERIOD_OVERRIDE=FQ","FILING_STATUS=MR","SCALING_FORMAT=MLN","Sort=A","Dates=H","DateFormat=P","Fill=—","Direction=H","UseDPDF=Y")</f>
        <v>-242</v>
      </c>
      <c r="J17" s="12" cm="1">
        <f t="array" ref="J17">_xll.BDH("CMI US Equity","INC_DEC_IN_OT_OP_AST_LIAB_DETAIL","FQ2 2020","FQ2 2020","Currency=USD","Period=FQ","BEST_FPERIOD_OVERRIDE=FQ","FILING_STATUS=MR","SCALING_FORMAT=MLN","Sort=A","Dates=H","DateFormat=P","Fill=—","Direction=H","UseDPDF=Y")</f>
        <v>-85</v>
      </c>
      <c r="K17" s="12" cm="1">
        <f t="array" ref="K17">_xll.BDH("CMI US Equity","INC_DEC_IN_OT_OP_AST_LIAB_DETAIL","FQ3 2020","FQ3 2020","Currency=USD","Period=FQ","BEST_FPERIOD_OVERRIDE=FQ","FILING_STATUS=MR","SCALING_FORMAT=MLN","Sort=A","Dates=H","DateFormat=P","Fill=—","Direction=H","UseDPDF=Y")</f>
        <v>164</v>
      </c>
      <c r="L17" s="12" cm="1">
        <f t="array" ref="L17">_xll.BDH("CMI US Equity","INC_DEC_IN_OT_OP_AST_LIAB_DETAIL","FQ4 2020","FQ4 2020","Currency=USD","Period=FQ","BEST_FPERIOD_OVERRIDE=FQ","FILING_STATUS=MR","SCALING_FORMAT=MLN","Sort=A","Dates=H","DateFormat=P","Fill=—","Direction=H","UseDPDF=Y")</f>
        <v>245</v>
      </c>
      <c r="M17" s="12" cm="1">
        <f t="array" ref="M17">_xll.BDH("CMI US Equity","INC_DEC_IN_OT_OP_AST_LIAB_DETAIL","FQ1 2021","FQ1 2021","Currency=USD","Period=FQ","BEST_FPERIOD_OVERRIDE=FQ","FILING_STATUS=MR","SCALING_FORMAT=MLN","Sort=A","Dates=H","DateFormat=P","Fill=—","Direction=H","UseDPDF=Y")</f>
        <v>-48</v>
      </c>
      <c r="N17" s="12" cm="1">
        <f t="array" ref="N17">_xll.BDH("CMI US Equity","INC_DEC_IN_OT_OP_AST_LIAB_DETAIL","FQ2 2021","FQ2 2021","Currency=USD","Period=FQ","BEST_FPERIOD_OVERRIDE=FQ","FILING_STATUS=MR","SCALING_FORMAT=MLN","Sort=A","Dates=H","DateFormat=P","Fill=—","Direction=H","UseDPDF=Y")</f>
        <v>199</v>
      </c>
      <c r="O17" s="12" cm="1">
        <f t="array" ref="O17">_xll.BDH("CMI US Equity","INC_DEC_IN_OT_OP_AST_LIAB_DETAIL","FQ3 2021","FQ3 2021","Currency=USD","Period=FQ","BEST_FPERIOD_OVERRIDE=FQ","FILING_STATUS=MR","SCALING_FORMAT=MLN","Sort=A","Dates=H","DateFormat=P","Fill=—","Direction=H","UseDPDF=Y")</f>
        <v>239</v>
      </c>
      <c r="P17" s="12" cm="1">
        <f t="array" ref="P17">_xll.BDH("CMI US Equity","INC_DEC_IN_OT_OP_AST_LIAB_DETAIL","FQ4 2021","FQ4 2021","Currency=USD","Period=FQ","BEST_FPERIOD_OVERRIDE=FQ","FILING_STATUS=MR","SCALING_FORMAT=MLN","Sort=A","Dates=H","DateFormat=P","Fill=—","Direction=H","UseDPDF=Y")</f>
        <v>153</v>
      </c>
      <c r="Q17" s="12" cm="1">
        <f t="array" ref="Q17">_xll.BDH("CMI US Equity","INC_DEC_IN_OT_OP_AST_LIAB_DETAIL","FQ1 2022","FQ1 2022","Currency=USD","Period=FQ","BEST_FPERIOD_OVERRIDE=FQ","FILING_STATUS=MR","SCALING_FORMAT=MLN","Sort=A","Dates=H","DateFormat=P","Fill=—","Direction=H","UseDPDF=Y")</f>
        <v>-308</v>
      </c>
      <c r="R17" s="12" cm="1">
        <f t="array" ref="R17">_xll.BDH("CMI US Equity","INC_DEC_IN_OT_OP_AST_LIAB_DETAIL","FQ2 2022","FQ2 2022","Currency=USD","Period=FQ","BEST_FPERIOD_OVERRIDE=FQ","FILING_STATUS=MR","SCALING_FORMAT=MLN","Sort=A","Dates=H","DateFormat=P","Fill=—","Direction=H","UseDPDF=Y")</f>
        <v>-38</v>
      </c>
      <c r="S17" s="12" cm="1">
        <f t="array" ref="S17">_xll.BDH("CMI US Equity","INC_DEC_IN_OT_OP_AST_LIAB_DETAIL","FQ3 2022","FQ3 2022","Currency=USD","Period=FQ","BEST_FPERIOD_OVERRIDE=FQ","FILING_STATUS=MR","SCALING_FORMAT=MLN","Sort=A","Dates=H","DateFormat=P","Fill=—","Direction=H","UseDPDF=Y")</f>
        <v>204</v>
      </c>
      <c r="T17" s="12" cm="1">
        <f t="array" ref="T17">_xll.BDH("CMI US Equity","INC_DEC_IN_OT_OP_AST_LIAB_DETAIL","FQ4 2022","FQ4 2022","Currency=USD","Period=FQ","BEST_FPERIOD_OVERRIDE=FQ","FILING_STATUS=MR","SCALING_FORMAT=MLN","Sort=A","Dates=H","DateFormat=P","Fill=—","Direction=H","UseDPDF=Y")</f>
        <v>-137</v>
      </c>
      <c r="U17" s="12" cm="1">
        <f t="array" ref="U17">_xll.BDH("CMI US Equity","INC_DEC_IN_OT_OP_AST_LIAB_DETAIL","FQ1 2023","FQ1 2023","Currency=USD","Period=FQ","BEST_FPERIOD_OVERRIDE=FQ","FILING_STATUS=MR","SCALING_FORMAT=MLN","Sort=A","Dates=H","DateFormat=P","Fill=—","Direction=H","UseDPDF=Y")</f>
        <v>9</v>
      </c>
      <c r="V17" s="12" cm="1">
        <f t="array" ref="V17">_xll.BDH("CMI US Equity","INC_DEC_IN_OT_OP_AST_LIAB_DETAIL","FQ2 2023","FQ2 2023","Currency=USD","Period=FQ","BEST_FPERIOD_OVERRIDE=FQ","FILING_STATUS=MR","SCALING_FORMAT=MLN","Sort=A","Dates=H","DateFormat=P","Fill=—","Direction=H","UseDPDF=Y")</f>
        <v>115</v>
      </c>
      <c r="W17" s="12" cm="1">
        <f t="array" ref="W17">_xll.BDH("CMI US Equity","INC_DEC_IN_OT_OP_AST_LIAB_DETAIL","FQ3 2023","FQ3 2023","Currency=USD","Period=FQ","BEST_FPERIOD_OVERRIDE=FQ","FILING_STATUS=MR","SCALING_FORMAT=MLN","Sort=A","Dates=H","DateFormat=P","Fill=—","Direction=H","UseDPDF=Y")</f>
        <v>228</v>
      </c>
      <c r="X17" s="12" cm="1">
        <f t="array" ref="X17">_xll.BDH("CMI US Equity","INC_DEC_IN_OT_OP_AST_LIAB_DETAIL","FQ4 2023","FQ4 2023","Currency=USD","Period=FQ","BEST_FPERIOD_OVERRIDE=FQ","FILING_STATUS=MR","SCALING_FORMAT=MLN","Sort=A","Dates=H","DateFormat=P","Fill=—","Direction=H","UseDPDF=Y")</f>
        <v>2462</v>
      </c>
      <c r="Y17" s="12" cm="1">
        <f t="array" ref="Y17">_xll.BDH("CMI US Equity","INC_DEC_IN_OT_OP_AST_LIAB_DETAIL","FQ1 2024","FQ1 2024","Currency=USD","Period=FQ","BEST_FPERIOD_OVERRIDE=FQ","FILING_STATUS=MR","SCALING_FORMAT=MLN","Sort=A","Dates=H","DateFormat=P","Fill=—","Direction=H","UseDPDF=Y")</f>
        <v>-568</v>
      </c>
      <c r="Z17" s="12" cm="1">
        <f t="array" ref="Z17">_xll.BDH("CMI US Equity","INC_DEC_IN_OT_OP_AST_LIAB_DETAIL","FQ2 2024","FQ2 2024","Currency=USD","Period=FQ","BEST_FPERIOD_OVERRIDE=FQ","FILING_STATUS=MR","SCALING_FORMAT=MLN","Sort=A","Dates=H","DateFormat=P","Fill=—","Direction=H","UseDPDF=Y")</f>
        <v>-1516</v>
      </c>
      <c r="AA17" s="12" cm="1">
        <f t="array" ref="AA17">_xll.BDH("CMI US Equity","INC_DEC_IN_OT_OP_AST_LIAB_DETAIL","FQ3 2024","FQ3 2024","Currency=USD","Period=FQ","BEST_FPERIOD_OVERRIDE=FQ","FILING_STATUS=MR","SCALING_FORMAT=MLN","Sort=A","Dates=H","DateFormat=P","Fill=—","Direction=H","UseDPDF=Y")</f>
        <v>-286</v>
      </c>
      <c r="AB17" s="12" cm="1">
        <f t="array" ref="AB17">_xll.BDH("CMI US Equity","INC_DEC_IN_OT_OP_AST_LIAB_DETAIL","FQ4 2024","FQ4 2024","Currency=USD","Period=FQ","BEST_FPERIOD_OVERRIDE=FQ","FILING_STATUS=MR","SCALING_FORMAT=MLN","Sort=A","Dates=H","DateFormat=P","Fill=—","Direction=H","UseDPDF=Y")</f>
        <v>492</v>
      </c>
      <c r="AC17" s="12" cm="1">
        <f t="array" ref="AC17">_xll.BDH("CMI US Equity","INC_DEC_IN_OT_OP_AST_LIAB_DETAIL","FQ1 2025","FQ1 2025","Currency=USD","Period=FQ","BEST_FPERIOD_OVERRIDE=FQ","FILING_STATUS=MR","SCALING_FORMAT=MLN","Sort=A","Dates=H","DateFormat=P","Fill=—","Direction=H","UseDPDF=Y")</f>
        <v>-523</v>
      </c>
      <c r="AD17" s="12" cm="1">
        <f t="array" ref="AD17">_xll.BDH("CMI US Equity","INC_DEC_IN_OT_OP_AST_LIAB_DETAIL","FQ2 2025","FQ2 2025","Currency=USD","Period=FQ","BEST_FPERIOD_OVERRIDE=FQ","FILING_STATUS=MR","SCALING_FORMAT=MLN","Sort=A","Dates=H","DateFormat=P","Fill=—","Direction=H","UseDPDF=Y")</f>
        <v>107</v>
      </c>
      <c r="AE17" s="12" cm="1">
        <f t="array" ref="AE17">_xll.BDH("CMI US Equity","INC_DEC_IN_OT_OP_AST_LIAB_DETAIL","FQ3 2025","FQ3 2025","Currency=USD","Period=FQ","BEST_FPERIOD_OVERRIDE=FQ","FILING_STATUS=MR","SCALING_FORMAT=MLN","Sort=A","Dates=H","DateFormat=P","Fill=—","Direction=H","UseDPDF=Y")</f>
        <v>69</v>
      </c>
      <c r="AF17" s="12" cm="1">
        <f t="array" ref="AF17">_xll.BDH("CMI US Equity","INC_DEC_IN_OT_OP_AST_LIAB_DETAIL","FQ4 2025","FQ4 2025","Currency=USD","Period=FQ","BEST_FPERIOD_OVERRIDE=FQ","FILING_STATUS=MR","SCALING_FORMAT=MLN","Sort=A","Dates=H","DateFormat=P","Fill=—","Direction=H","UseDPDF=Y")</f>
        <v>285</v>
      </c>
    </row>
    <row r="18" spans="1:32" x14ac:dyDescent="0.25">
      <c r="A18" s="10" t="s">
        <v>88</v>
      </c>
      <c r="B18" s="10" t="s">
        <v>89</v>
      </c>
      <c r="C18" s="12" cm="1">
        <f t="array" ref="C18">_xll.BDH("CMI US Equity","CF_NET_CASH_DISCONT_OPS_OPER","FQ3 2018","FQ3 2018","Currency=USD","Period=FQ","BEST_FPERIOD_OVERRIDE=FQ","FILING_STATUS=MR","SCALING_FORMAT=MLN","Sort=A","Dates=H","DateFormat=P","Fill=—","Direction=H","UseDPDF=Y")</f>
        <v>0</v>
      </c>
      <c r="D18" s="12" cm="1">
        <f t="array" ref="D18">_xll.BDH("CMI US Equity","CF_NET_CASH_DISCONT_OPS_OPER","FQ4 2018","FQ4 2018","Currency=USD","Period=FQ","BEST_FPERIOD_OVERRIDE=FQ","FILING_STATUS=MR","SCALING_FORMAT=MLN","Sort=A","Dates=H","DateFormat=P","Fill=—","Direction=H","UseDPDF=Y")</f>
        <v>0</v>
      </c>
      <c r="E18" s="12" cm="1">
        <f t="array" ref="E18">_xll.BDH("CMI US Equity","CF_NET_CASH_DISCONT_OPS_OPER","FQ1 2019","FQ1 2019","Currency=USD","Period=FQ","BEST_FPERIOD_OVERRIDE=FQ","FILING_STATUS=MR","SCALING_FORMAT=MLN","Sort=A","Dates=H","DateFormat=P","Fill=—","Direction=H","UseDPDF=Y")</f>
        <v>0</v>
      </c>
      <c r="F18" s="12" cm="1">
        <f t="array" ref="F18">_xll.BDH("CMI US Equity","CF_NET_CASH_DISCONT_OPS_OPER","FQ2 2019","FQ2 2019","Currency=USD","Period=FQ","BEST_FPERIOD_OVERRIDE=FQ","FILING_STATUS=MR","SCALING_FORMAT=MLN","Sort=A","Dates=H","DateFormat=P","Fill=—","Direction=H","UseDPDF=Y")</f>
        <v>0</v>
      </c>
      <c r="G18" s="12" cm="1">
        <f t="array" ref="G18">_xll.BDH("CMI US Equity","CF_NET_CASH_DISCONT_OPS_OPER","FQ3 2019","FQ3 2019","Currency=USD","Period=FQ","BEST_FPERIOD_OVERRIDE=FQ","FILING_STATUS=MR","SCALING_FORMAT=MLN","Sort=A","Dates=H","DateFormat=P","Fill=—","Direction=H","UseDPDF=Y")</f>
        <v>0</v>
      </c>
      <c r="H18" s="12" cm="1">
        <f t="array" ref="H18">_xll.BDH("CMI US Equity","CF_NET_CASH_DISCONT_OPS_OPER","FQ4 2019","FQ4 2019","Currency=USD","Period=FQ","BEST_FPERIOD_OVERRIDE=FQ","FILING_STATUS=MR","SCALING_FORMAT=MLN","Sort=A","Dates=H","DateFormat=P","Fill=—","Direction=H","UseDPDF=Y")</f>
        <v>0</v>
      </c>
      <c r="I18" s="12" cm="1">
        <f t="array" ref="I18">_xll.BDH("CMI US Equity","CF_NET_CASH_DISCONT_OPS_OPER","FQ1 2020","FQ1 2020","Currency=USD","Period=FQ","BEST_FPERIOD_OVERRIDE=FQ","FILING_STATUS=MR","SCALING_FORMAT=MLN","Sort=A","Dates=H","DateFormat=P","Fill=—","Direction=H","UseDPDF=Y")</f>
        <v>0</v>
      </c>
      <c r="J18" s="12" cm="1">
        <f t="array" ref="J18">_xll.BDH("CMI US Equity","CF_NET_CASH_DISCONT_OPS_OPER","FQ2 2020","FQ2 2020","Currency=USD","Period=FQ","BEST_FPERIOD_OVERRIDE=FQ","FILING_STATUS=MR","SCALING_FORMAT=MLN","Sort=A","Dates=H","DateFormat=P","Fill=—","Direction=H","UseDPDF=Y")</f>
        <v>0</v>
      </c>
      <c r="K18" s="12" cm="1">
        <f t="array" ref="K18">_xll.BDH("CMI US Equity","CF_NET_CASH_DISCONT_OPS_OPER","FQ3 2020","FQ3 2020","Currency=USD","Period=FQ","BEST_FPERIOD_OVERRIDE=FQ","FILING_STATUS=MR","SCALING_FORMAT=MLN","Sort=A","Dates=H","DateFormat=P","Fill=—","Direction=H","UseDPDF=Y")</f>
        <v>0</v>
      </c>
      <c r="L18" s="12" cm="1">
        <f t="array" ref="L18">_xll.BDH("CMI US Equity","CF_NET_CASH_DISCONT_OPS_OPER","FQ4 2020","FQ4 2020","Currency=USD","Period=FQ","BEST_FPERIOD_OVERRIDE=FQ","FILING_STATUS=MR","SCALING_FORMAT=MLN","Sort=A","Dates=H","DateFormat=P","Fill=—","Direction=H","UseDPDF=Y")</f>
        <v>0</v>
      </c>
      <c r="M18" s="12" cm="1">
        <f t="array" ref="M18">_xll.BDH("CMI US Equity","CF_NET_CASH_DISCONT_OPS_OPER","FQ1 2021","FQ1 2021","Currency=USD","Period=FQ","BEST_FPERIOD_OVERRIDE=FQ","FILING_STATUS=MR","SCALING_FORMAT=MLN","Sort=A","Dates=H","DateFormat=P","Fill=—","Direction=H","UseDPDF=Y")</f>
        <v>0</v>
      </c>
      <c r="N18" s="12" cm="1">
        <f t="array" ref="N18">_xll.BDH("CMI US Equity","CF_NET_CASH_DISCONT_OPS_OPER","FQ2 2021","FQ2 2021","Currency=USD","Period=FQ","BEST_FPERIOD_OVERRIDE=FQ","FILING_STATUS=MR","SCALING_FORMAT=MLN","Sort=A","Dates=H","DateFormat=P","Fill=—","Direction=H","UseDPDF=Y")</f>
        <v>0</v>
      </c>
      <c r="O18" s="12" cm="1">
        <f t="array" ref="O18">_xll.BDH("CMI US Equity","CF_NET_CASH_DISCONT_OPS_OPER","FQ3 2021","FQ3 2021","Currency=USD","Period=FQ","BEST_FPERIOD_OVERRIDE=FQ","FILING_STATUS=MR","SCALING_FORMAT=MLN","Sort=A","Dates=H","DateFormat=P","Fill=—","Direction=H","UseDPDF=Y")</f>
        <v>0</v>
      </c>
      <c r="P18" s="12" cm="1">
        <f t="array" ref="P18">_xll.BDH("CMI US Equity","CF_NET_CASH_DISCONT_OPS_OPER","FQ4 2021","FQ4 2021","Currency=USD","Period=FQ","BEST_FPERIOD_OVERRIDE=FQ","FILING_STATUS=MR","SCALING_FORMAT=MLN","Sort=A","Dates=H","DateFormat=P","Fill=—","Direction=H","UseDPDF=Y")</f>
        <v>0</v>
      </c>
      <c r="Q18" s="12" cm="1">
        <f t="array" ref="Q18">_xll.BDH("CMI US Equity","CF_NET_CASH_DISCONT_OPS_OPER","FQ1 2022","FQ1 2022","Currency=USD","Period=FQ","BEST_FPERIOD_OVERRIDE=FQ","FILING_STATUS=MR","SCALING_FORMAT=MLN","Sort=A","Dates=H","DateFormat=P","Fill=—","Direction=H","UseDPDF=Y")</f>
        <v>0</v>
      </c>
      <c r="R18" s="12" cm="1">
        <f t="array" ref="R18">_xll.BDH("CMI US Equity","CF_NET_CASH_DISCONT_OPS_OPER","FQ2 2022","FQ2 2022","Currency=USD","Period=FQ","BEST_FPERIOD_OVERRIDE=FQ","FILING_STATUS=MR","SCALING_FORMAT=MLN","Sort=A","Dates=H","DateFormat=P","Fill=—","Direction=H","UseDPDF=Y")</f>
        <v>0</v>
      </c>
      <c r="S18" s="12" cm="1">
        <f t="array" ref="S18">_xll.BDH("CMI US Equity","CF_NET_CASH_DISCONT_OPS_OPER","FQ3 2022","FQ3 2022","Currency=USD","Period=FQ","BEST_FPERIOD_OVERRIDE=FQ","FILING_STATUS=MR","SCALING_FORMAT=MLN","Sort=A","Dates=H","DateFormat=P","Fill=—","Direction=H","UseDPDF=Y")</f>
        <v>0</v>
      </c>
      <c r="T18" s="12" cm="1">
        <f t="array" ref="T18">_xll.BDH("CMI US Equity","CF_NET_CASH_DISCONT_OPS_OPER","FQ4 2022","FQ4 2022","Currency=USD","Period=FQ","BEST_FPERIOD_OVERRIDE=FQ","FILING_STATUS=MR","SCALING_FORMAT=MLN","Sort=A","Dates=H","DateFormat=P","Fill=—","Direction=H","UseDPDF=Y")</f>
        <v>0</v>
      </c>
      <c r="U18" s="12" cm="1">
        <f t="array" ref="U18">_xll.BDH("CMI US Equity","CF_NET_CASH_DISCONT_OPS_OPER","FQ1 2023","FQ1 2023","Currency=USD","Period=FQ","BEST_FPERIOD_OVERRIDE=FQ","FILING_STATUS=MR","SCALING_FORMAT=MLN","Sort=A","Dates=H","DateFormat=P","Fill=—","Direction=H","UseDPDF=Y")</f>
        <v>0</v>
      </c>
      <c r="V18" s="12" cm="1">
        <f t="array" ref="V18">_xll.BDH("CMI US Equity","CF_NET_CASH_DISCONT_OPS_OPER","FQ2 2023","FQ2 2023","Currency=USD","Period=FQ","BEST_FPERIOD_OVERRIDE=FQ","FILING_STATUS=MR","SCALING_FORMAT=MLN","Sort=A","Dates=H","DateFormat=P","Fill=—","Direction=H","UseDPDF=Y")</f>
        <v>0</v>
      </c>
      <c r="W18" s="12" cm="1">
        <f t="array" ref="W18">_xll.BDH("CMI US Equity","CF_NET_CASH_DISCONT_OPS_OPER","FQ3 2023","FQ3 2023","Currency=USD","Period=FQ","BEST_FPERIOD_OVERRIDE=FQ","FILING_STATUS=MR","SCALING_FORMAT=MLN","Sort=A","Dates=H","DateFormat=P","Fill=—","Direction=H","UseDPDF=Y")</f>
        <v>0</v>
      </c>
      <c r="X18" s="12" cm="1">
        <f t="array" ref="X18">_xll.BDH("CMI US Equity","CF_NET_CASH_DISCONT_OPS_OPER","FQ4 2023","FQ4 2023","Currency=USD","Period=FQ","BEST_FPERIOD_OVERRIDE=FQ","FILING_STATUS=MR","SCALING_FORMAT=MLN","Sort=A","Dates=H","DateFormat=P","Fill=—","Direction=H","UseDPDF=Y")</f>
        <v>0</v>
      </c>
      <c r="Y18" s="12" cm="1">
        <f t="array" ref="Y18">_xll.BDH("CMI US Equity","CF_NET_CASH_DISCONT_OPS_OPER","FQ1 2024","FQ1 2024","Currency=USD","Period=FQ","BEST_FPERIOD_OVERRIDE=FQ","FILING_STATUS=MR","SCALING_FORMAT=MLN","Sort=A","Dates=H","DateFormat=P","Fill=—","Direction=H","UseDPDF=Y")</f>
        <v>0</v>
      </c>
      <c r="Z18" s="12" cm="1">
        <f t="array" ref="Z18">_xll.BDH("CMI US Equity","CF_NET_CASH_DISCONT_OPS_OPER","FQ2 2024","FQ2 2024","Currency=USD","Period=FQ","BEST_FPERIOD_OVERRIDE=FQ","FILING_STATUS=MR","SCALING_FORMAT=MLN","Sort=A","Dates=H","DateFormat=P","Fill=—","Direction=H","UseDPDF=Y")</f>
        <v>0</v>
      </c>
      <c r="AA18" s="12" cm="1">
        <f t="array" ref="AA18">_xll.BDH("CMI US Equity","CF_NET_CASH_DISCONT_OPS_OPER","FQ3 2024","FQ3 2024","Currency=USD","Period=FQ","BEST_FPERIOD_OVERRIDE=FQ","FILING_STATUS=MR","SCALING_FORMAT=MLN","Sort=A","Dates=H","DateFormat=P","Fill=—","Direction=H","UseDPDF=Y")</f>
        <v>0</v>
      </c>
      <c r="AB18" s="12" cm="1">
        <f t="array" ref="AB18">_xll.BDH("CMI US Equity","CF_NET_CASH_DISCONT_OPS_OPER","FQ4 2024","FQ4 2024","Currency=USD","Period=FQ","BEST_FPERIOD_OVERRIDE=FQ","FILING_STATUS=MR","SCALING_FORMAT=MLN","Sort=A","Dates=H","DateFormat=P","Fill=—","Direction=H","UseDPDF=Y")</f>
        <v>0</v>
      </c>
      <c r="AC18" s="12" cm="1">
        <f t="array" ref="AC18">_xll.BDH("CMI US Equity","CF_NET_CASH_DISCONT_OPS_OPER","FQ1 2025","FQ1 2025","Currency=USD","Period=FQ","BEST_FPERIOD_OVERRIDE=FQ","FILING_STATUS=MR","SCALING_FORMAT=MLN","Sort=A","Dates=H","DateFormat=P","Fill=—","Direction=H","UseDPDF=Y")</f>
        <v>0</v>
      </c>
      <c r="AD18" s="12" cm="1">
        <f t="array" ref="AD18">_xll.BDH("CMI US Equity","CF_NET_CASH_DISCONT_OPS_OPER","FQ2 2025","FQ2 2025","Currency=USD","Period=FQ","BEST_FPERIOD_OVERRIDE=FQ","FILING_STATUS=MR","SCALING_FORMAT=MLN","Sort=A","Dates=H","DateFormat=P","Fill=—","Direction=H","UseDPDF=Y")</f>
        <v>0</v>
      </c>
      <c r="AE18" s="12" cm="1">
        <f t="array" ref="AE18">_xll.BDH("CMI US Equity","CF_NET_CASH_DISCONT_OPS_OPER","FQ3 2025","FQ3 2025","Currency=USD","Period=FQ","BEST_FPERIOD_OVERRIDE=FQ","FILING_STATUS=MR","SCALING_FORMAT=MLN","Sort=A","Dates=H","DateFormat=P","Fill=—","Direction=H","UseDPDF=Y")</f>
        <v>0</v>
      </c>
      <c r="AF18" s="12" cm="1">
        <f t="array" ref="AF18">_xll.BDH("CMI US Equity","CF_NET_CASH_DISCONT_OPS_OPER","FQ4 2025","FQ4 2025","Currency=USD","Period=FQ","BEST_FPERIOD_OVERRIDE=FQ","FILING_STATUS=MR","SCALING_FORMAT=MLN","Sort=A","Dates=H","DateFormat=P","Fill=—","Direction=H","UseDPDF=Y")</f>
        <v>0</v>
      </c>
    </row>
    <row r="19" spans="1:32" x14ac:dyDescent="0.25">
      <c r="A19" s="6" t="s">
        <v>65</v>
      </c>
      <c r="B19" s="6" t="s">
        <v>90</v>
      </c>
      <c r="C19" s="15" cm="1">
        <f t="array" ref="C19">_xll.BDH("CMI US Equity","CF_CASH_FROM_OPER","FQ3 2018","FQ3 2018","Currency=USD","Period=FQ","BEST_FPERIOD_OVERRIDE=FQ","FILING_STATUS=MR","SCALING_FORMAT=MLN","Sort=A","Dates=H","DateFormat=P","Fill=—","Direction=H","UseDPDF=Y")</f>
        <v>915</v>
      </c>
      <c r="D19" s="15" cm="1">
        <f t="array" ref="D19">_xll.BDH("CMI US Equity","CF_CASH_FROM_OPER","FQ4 2018","FQ4 2018","Currency=USD","Period=FQ","BEST_FPERIOD_OVERRIDE=FQ","FILING_STATUS=MR","SCALING_FORMAT=MLN","Sort=A","Dates=H","DateFormat=P","Fill=—","Direction=H","UseDPDF=Y")</f>
        <v>990</v>
      </c>
      <c r="E19" s="15" cm="1">
        <f t="array" ref="E19">_xll.BDH("CMI US Equity","CF_CASH_FROM_OPER","FQ1 2019","FQ1 2019","Currency=USD","Period=FQ","BEST_FPERIOD_OVERRIDE=FQ","FILING_STATUS=MR","SCALING_FORMAT=MLN","Sort=A","Dates=H","DateFormat=P","Fill=—","Direction=H","UseDPDF=Y")</f>
        <v>412</v>
      </c>
      <c r="F19" s="15" cm="1">
        <f t="array" ref="F19">_xll.BDH("CMI US Equity","CF_CASH_FROM_OPER","FQ2 2019","FQ2 2019","Currency=USD","Period=FQ","BEST_FPERIOD_OVERRIDE=FQ","FILING_STATUS=MR","SCALING_FORMAT=MLN","Sort=A","Dates=H","DateFormat=P","Fill=—","Direction=H","UseDPDF=Y")</f>
        <v>808</v>
      </c>
      <c r="G19" s="15" cm="1">
        <f t="array" ref="G19">_xll.BDH("CMI US Equity","CF_CASH_FROM_OPER","FQ3 2019","FQ3 2019","Currency=USD","Period=FQ","BEST_FPERIOD_OVERRIDE=FQ","FILING_STATUS=MR","SCALING_FORMAT=MLN","Sort=A","Dates=H","DateFormat=P","Fill=—","Direction=H","UseDPDF=Y")</f>
        <v>1075</v>
      </c>
      <c r="H19" s="15" cm="1">
        <f t="array" ref="H19">_xll.BDH("CMI US Equity","CF_CASH_FROM_OPER","FQ4 2019","FQ4 2019","Currency=USD","Period=FQ","BEST_FPERIOD_OVERRIDE=FQ","FILING_STATUS=MR","SCALING_FORMAT=MLN","Sort=A","Dates=H","DateFormat=P","Fill=—","Direction=H","UseDPDF=Y")</f>
        <v>838</v>
      </c>
      <c r="I19" s="15" cm="1">
        <f t="array" ref="I19">_xll.BDH("CMI US Equity","CF_CASH_FROM_OPER","FQ1 2020","FQ1 2020","Currency=USD","Period=FQ","BEST_FPERIOD_OVERRIDE=FQ","FILING_STATUS=MR","SCALING_FORMAT=MLN","Sort=A","Dates=H","DateFormat=P","Fill=—","Direction=H","UseDPDF=Y")</f>
        <v>379</v>
      </c>
      <c r="J19" s="15" cm="1">
        <f t="array" ref="J19">_xll.BDH("CMI US Equity","CF_CASH_FROM_OPER","FQ2 2020","FQ2 2020","Currency=USD","Period=FQ","BEST_FPERIOD_OVERRIDE=FQ","FILING_STATUS=MR","SCALING_FORMAT=MLN","Sort=A","Dates=H","DateFormat=P","Fill=—","Direction=H","UseDPDF=Y")</f>
        <v>-22</v>
      </c>
      <c r="K19" s="15" cm="1">
        <f t="array" ref="K19">_xll.BDH("CMI US Equity","CF_CASH_FROM_OPER","FQ3 2020","FQ3 2020","Currency=USD","Period=FQ","BEST_FPERIOD_OVERRIDE=FQ","FILING_STATUS=MR","SCALING_FORMAT=MLN","Sort=A","Dates=H","DateFormat=P","Fill=—","Direction=H","UseDPDF=Y")</f>
        <v>1223</v>
      </c>
      <c r="L19" s="15" cm="1">
        <f t="array" ref="L19">_xll.BDH("CMI US Equity","CF_CASH_FROM_OPER","FQ4 2020","FQ4 2020","Currency=USD","Period=FQ","BEST_FPERIOD_OVERRIDE=FQ","FILING_STATUS=MR","SCALING_FORMAT=MLN","Sort=A","Dates=H","DateFormat=P","Fill=—","Direction=H","UseDPDF=Y")</f>
        <v>1142</v>
      </c>
      <c r="M19" s="15" cm="1">
        <f t="array" ref="M19">_xll.BDH("CMI US Equity","CF_CASH_FROM_OPER","FQ1 2021","FQ1 2021","Currency=USD","Period=FQ","BEST_FPERIOD_OVERRIDE=FQ","FILING_STATUS=MR","SCALING_FORMAT=MLN","Sort=A","Dates=H","DateFormat=P","Fill=—","Direction=H","UseDPDF=Y")</f>
        <v>339</v>
      </c>
      <c r="N19" s="15" cm="1">
        <f t="array" ref="N19">_xll.BDH("CMI US Equity","CF_CASH_FROM_OPER","FQ2 2021","FQ2 2021","Currency=USD","Period=FQ","BEST_FPERIOD_OVERRIDE=FQ","FILING_STATUS=MR","SCALING_FORMAT=MLN","Sort=A","Dates=H","DateFormat=P","Fill=—","Direction=H","UseDPDF=Y")</f>
        <v>616</v>
      </c>
      <c r="O19" s="15" cm="1">
        <f t="array" ref="O19">_xll.BDH("CMI US Equity","CF_CASH_FROM_OPER","FQ3 2021","FQ3 2021","Currency=USD","Period=FQ","BEST_FPERIOD_OVERRIDE=FQ","FILING_STATUS=MR","SCALING_FORMAT=MLN","Sort=A","Dates=H","DateFormat=P","Fill=—","Direction=H","UseDPDF=Y")</f>
        <v>569</v>
      </c>
      <c r="P19" s="15" cm="1">
        <f t="array" ref="P19">_xll.BDH("CMI US Equity","CF_CASH_FROM_OPER","FQ4 2021","FQ4 2021","Currency=USD","Period=FQ","BEST_FPERIOD_OVERRIDE=FQ","FILING_STATUS=MR","SCALING_FORMAT=MLN","Sort=A","Dates=H","DateFormat=P","Fill=—","Direction=H","UseDPDF=Y")</f>
        <v>732</v>
      </c>
      <c r="Q19" s="15" cm="1">
        <f t="array" ref="Q19">_xll.BDH("CMI US Equity","CF_CASH_FROM_OPER","FQ1 2022","FQ1 2022","Currency=USD","Period=FQ","BEST_FPERIOD_OVERRIDE=FQ","FILING_STATUS=MR","SCALING_FORMAT=MLN","Sort=A","Dates=H","DateFormat=P","Fill=—","Direction=H","UseDPDF=Y")</f>
        <v>164</v>
      </c>
      <c r="R19" s="15" cm="1">
        <f t="array" ref="R19">_xll.BDH("CMI US Equity","CF_CASH_FROM_OPER","FQ2 2022","FQ2 2022","Currency=USD","Period=FQ","BEST_FPERIOD_OVERRIDE=FQ","FILING_STATUS=MR","SCALING_FORMAT=MLN","Sort=A","Dates=H","DateFormat=P","Fill=—","Direction=H","UseDPDF=Y")</f>
        <v>599</v>
      </c>
      <c r="S19" s="15" cm="1">
        <f t="array" ref="S19">_xll.BDH("CMI US Equity","CF_CASH_FROM_OPER","FQ3 2022","FQ3 2022","Currency=USD","Period=FQ","BEST_FPERIOD_OVERRIDE=FQ","FILING_STATUS=MR","SCALING_FORMAT=MLN","Sort=A","Dates=H","DateFormat=P","Fill=—","Direction=H","UseDPDF=Y")</f>
        <v>382</v>
      </c>
      <c r="T19" s="15" cm="1">
        <f t="array" ref="T19">_xll.BDH("CMI US Equity","CF_CASH_FROM_OPER","FQ4 2022","FQ4 2022","Currency=USD","Period=FQ","BEST_FPERIOD_OVERRIDE=FQ","FILING_STATUS=MR","SCALING_FORMAT=MLN","Sort=A","Dates=H","DateFormat=P","Fill=—","Direction=H","UseDPDF=Y")</f>
        <v>817</v>
      </c>
      <c r="U19" s="15" cm="1">
        <f t="array" ref="U19">_xll.BDH("CMI US Equity","CF_CASH_FROM_OPER","FQ1 2023","FQ1 2023","Currency=USD","Period=FQ","BEST_FPERIOD_OVERRIDE=FQ","FILING_STATUS=MR","SCALING_FORMAT=MLN","Sort=A","Dates=H","DateFormat=P","Fill=—","Direction=H","UseDPDF=Y")</f>
        <v>495</v>
      </c>
      <c r="V19" s="15" cm="1">
        <f t="array" ref="V19">_xll.BDH("CMI US Equity","CF_CASH_FROM_OPER","FQ2 2023","FQ2 2023","Currency=USD","Period=FQ","BEST_FPERIOD_OVERRIDE=FQ","FILING_STATUS=MR","SCALING_FORMAT=MLN","Sort=A","Dates=H","DateFormat=P","Fill=—","Direction=H","UseDPDF=Y")</f>
        <v>483</v>
      </c>
      <c r="W19" s="15" cm="1">
        <f t="array" ref="W19">_xll.BDH("CMI US Equity","CF_CASH_FROM_OPER","FQ3 2023","FQ3 2023","Currency=USD","Period=FQ","BEST_FPERIOD_OVERRIDE=FQ","FILING_STATUS=MR","SCALING_FORMAT=MLN","Sort=A","Dates=H","DateFormat=P","Fill=—","Direction=H","UseDPDF=Y")</f>
        <v>1529</v>
      </c>
      <c r="X19" s="15" cm="1">
        <f t="array" ref="X19">_xll.BDH("CMI US Equity","CF_CASH_FROM_OPER","FQ4 2023","FQ4 2023","Currency=USD","Period=FQ","BEST_FPERIOD_OVERRIDE=FQ","FILING_STATUS=MR","SCALING_FORMAT=MLN","Sort=A","Dates=H","DateFormat=P","Fill=—","Direction=H","UseDPDF=Y")</f>
        <v>1459</v>
      </c>
      <c r="Y19" s="15" cm="1">
        <f t="array" ref="Y19">_xll.BDH("CMI US Equity","CF_CASH_FROM_OPER","FQ1 2024","FQ1 2024","Currency=USD","Period=FQ","BEST_FPERIOD_OVERRIDE=FQ","FILING_STATUS=MR","SCALING_FORMAT=MLN","Sort=A","Dates=H","DateFormat=P","Fill=—","Direction=H","UseDPDF=Y")</f>
        <v>276</v>
      </c>
      <c r="Z19" s="15" cm="1">
        <f t="array" ref="Z19">_xll.BDH("CMI US Equity","CF_CASH_FROM_OPER","FQ2 2024","FQ2 2024","Currency=USD","Period=FQ","BEST_FPERIOD_OVERRIDE=FQ","FILING_STATUS=MR","SCALING_FORMAT=MLN","Sort=A","Dates=H","DateFormat=P","Fill=—","Direction=H","UseDPDF=Y")</f>
        <v>-851</v>
      </c>
      <c r="AA19" s="15" cm="1">
        <f t="array" ref="AA19">_xll.BDH("CMI US Equity","CF_CASH_FROM_OPER","FQ3 2024","FQ3 2024","Currency=USD","Period=FQ","BEST_FPERIOD_OVERRIDE=FQ","FILING_STATUS=MR","SCALING_FORMAT=MLN","Sort=A","Dates=H","DateFormat=P","Fill=—","Direction=H","UseDPDF=Y")</f>
        <v>640</v>
      </c>
      <c r="AB19" s="15" cm="1">
        <f t="array" ref="AB19">_xll.BDH("CMI US Equity","CF_CASH_FROM_OPER","FQ4 2024","FQ4 2024","Currency=USD","Period=FQ","BEST_FPERIOD_OVERRIDE=FQ","FILING_STATUS=MR","SCALING_FORMAT=MLN","Sort=A","Dates=H","DateFormat=P","Fill=—","Direction=H","UseDPDF=Y")</f>
        <v>1422</v>
      </c>
      <c r="AC19" s="15" cm="1">
        <f t="array" ref="AC19">_xll.BDH("CMI US Equity","CF_CASH_FROM_OPER","FQ1 2025","FQ1 2025","Currency=USD","Period=FQ","BEST_FPERIOD_OVERRIDE=FQ","FILING_STATUS=MR","SCALING_FORMAT=MLN","Sort=A","Dates=H","DateFormat=P","Fill=—","Direction=H","UseDPDF=Y")</f>
        <v>-3</v>
      </c>
      <c r="AD19" s="15" cm="1">
        <f t="array" ref="AD19">_xll.BDH("CMI US Equity","CF_CASH_FROM_OPER","FQ2 2025","FQ2 2025","Currency=USD","Period=FQ","BEST_FPERIOD_OVERRIDE=FQ","FILING_STATUS=MR","SCALING_FORMAT=MLN","Sort=A","Dates=H","DateFormat=P","Fill=—","Direction=H","UseDPDF=Y")</f>
        <v>785</v>
      </c>
      <c r="AE19" s="15" cm="1">
        <f t="array" ref="AE19">_xll.BDH("CMI US Equity","CF_CASH_FROM_OPER","FQ3 2025","FQ3 2025","Currency=USD","Period=FQ","BEST_FPERIOD_OVERRIDE=FQ","FILING_STATUS=MR","SCALING_FORMAT=MLN","Sort=A","Dates=H","DateFormat=P","Fill=—","Direction=H","UseDPDF=Y")</f>
        <v>1305</v>
      </c>
      <c r="AF19" s="15" cm="1">
        <f t="array" ref="AF19">_xll.BDH("CMI US Equity","CF_CASH_FROM_OPER","FQ4 2025","FQ4 2025","Currency=USD","Period=FQ","BEST_FPERIOD_OVERRIDE=FQ","FILING_STATUS=MR","SCALING_FORMAT=MLN","Sort=A","Dates=H","DateFormat=P","Fill=—","Direction=H","UseDPDF=Y")</f>
        <v>1534</v>
      </c>
    </row>
    <row r="20" spans="1:32" x14ac:dyDescent="0.25">
      <c r="A20" s="6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x14ac:dyDescent="0.25">
      <c r="A21" s="6" t="s">
        <v>91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x14ac:dyDescent="0.25">
      <c r="A22" s="10" t="s">
        <v>92</v>
      </c>
      <c r="B22" s="10" t="s">
        <v>93</v>
      </c>
      <c r="C22" s="12" cm="1">
        <f t="array" ref="C22">_xll.BDH("CMI US Equity","FIXED_INTANG_ASST_CHANGE","FQ3 2018","FQ3 2018","Currency=USD","Period=FQ","BEST_FPERIOD_OVERRIDE=FQ","FILING_STATUS=MR","SCALING_FORMAT=MLN","Sort=A","Dates=H","DateFormat=P","Fill=—","Direction=H","UseDPDF=Y")</f>
        <v>-195</v>
      </c>
      <c r="D22" s="12" cm="1">
        <f t="array" ref="D22">_xll.BDH("CMI US Equity","FIXED_INTANG_ASST_CHANGE","FQ4 2018","FQ4 2018","Currency=USD","Period=FQ","BEST_FPERIOD_OVERRIDE=FQ","FILING_STATUS=MR","SCALING_FORMAT=MLN","Sort=A","Dates=H","DateFormat=P","Fill=—","Direction=H","UseDPDF=Y")</f>
        <v>-312</v>
      </c>
      <c r="E22" s="12" cm="1">
        <f t="array" ref="E22">_xll.BDH("CMI US Equity","FIXED_INTANG_ASST_CHANGE","FQ1 2019","FQ1 2019","Currency=USD","Period=FQ","BEST_FPERIOD_OVERRIDE=FQ","FILING_STATUS=MR","SCALING_FORMAT=MLN","Sort=A","Dates=H","DateFormat=P","Fill=—","Direction=H","UseDPDF=Y")</f>
        <v>-129</v>
      </c>
      <c r="F22" s="12" cm="1">
        <f t="array" ref="F22">_xll.BDH("CMI US Equity","FIXED_INTANG_ASST_CHANGE","FQ2 2019","FQ2 2019","Currency=USD","Period=FQ","BEST_FPERIOD_OVERRIDE=FQ","FILING_STATUS=MR","SCALING_FORMAT=MLN","Sort=A","Dates=H","DateFormat=P","Fill=—","Direction=H","UseDPDF=Y")</f>
        <v>-147</v>
      </c>
      <c r="G22" s="12" cm="1">
        <f t="array" ref="G22">_xll.BDH("CMI US Equity","FIXED_INTANG_ASST_CHANGE","FQ3 2019","FQ3 2019","Currency=USD","Period=FQ","BEST_FPERIOD_OVERRIDE=FQ","FILING_STATUS=MR","SCALING_FORMAT=MLN","Sort=A","Dates=H","DateFormat=P","Fill=—","Direction=H","UseDPDF=Y")</f>
        <v>-169</v>
      </c>
      <c r="H22" s="12" cm="1">
        <f t="array" ref="H22">_xll.BDH("CMI US Equity","FIXED_INTANG_ASST_CHANGE","FQ4 2019","FQ4 2019","Currency=USD","Period=FQ","BEST_FPERIOD_OVERRIDE=FQ","FILING_STATUS=MR","SCALING_FORMAT=MLN","Sort=A","Dates=H","DateFormat=P","Fill=—","Direction=H","UseDPDF=Y")</f>
        <v>-298</v>
      </c>
      <c r="I22" s="12" cm="1">
        <f t="array" ref="I22">_xll.BDH("CMI US Equity","FIXED_INTANG_ASST_CHANGE","FQ1 2020","FQ1 2020","Currency=USD","Period=FQ","BEST_FPERIOD_OVERRIDE=FQ","FILING_STATUS=MR","SCALING_FORMAT=MLN","Sort=A","Dates=H","DateFormat=P","Fill=—","Direction=H","UseDPDF=Y")</f>
        <v>-83</v>
      </c>
      <c r="J22" s="12" cm="1">
        <f t="array" ref="J22">_xll.BDH("CMI US Equity","FIXED_INTANG_ASST_CHANGE","FQ2 2020","FQ2 2020","Currency=USD","Period=FQ","BEST_FPERIOD_OVERRIDE=FQ","FILING_STATUS=MR","SCALING_FORMAT=MLN","Sort=A","Dates=H","DateFormat=P","Fill=—","Direction=H","UseDPDF=Y")</f>
        <v>-90</v>
      </c>
      <c r="K22" s="12" cm="1">
        <f t="array" ref="K22">_xll.BDH("CMI US Equity","FIXED_INTANG_ASST_CHANGE","FQ3 2020","FQ3 2020","Currency=USD","Period=FQ","BEST_FPERIOD_OVERRIDE=FQ","FILING_STATUS=MR","SCALING_FORMAT=MLN","Sort=A","Dates=H","DateFormat=P","Fill=—","Direction=H","UseDPDF=Y")</f>
        <v>-128</v>
      </c>
      <c r="L22" s="12" cm="1">
        <f t="array" ref="L22">_xll.BDH("CMI US Equity","FIXED_INTANG_ASST_CHANGE","FQ4 2020","FQ4 2020","Currency=USD","Period=FQ","BEST_FPERIOD_OVERRIDE=FQ","FILING_STATUS=MR","SCALING_FORMAT=MLN","Sort=A","Dates=H","DateFormat=P","Fill=—","Direction=H","UseDPDF=Y")</f>
        <v>-247</v>
      </c>
      <c r="M22" s="12" cm="1">
        <f t="array" ref="M22">_xll.BDH("CMI US Equity","FIXED_INTANG_ASST_CHANGE","FQ1 2021","FQ1 2021","Currency=USD","Period=FQ","BEST_FPERIOD_OVERRIDE=FQ","FILING_STATUS=MR","SCALING_FORMAT=MLN","Sort=A","Dates=H","DateFormat=P","Fill=—","Direction=H","UseDPDF=Y")</f>
        <v>-98</v>
      </c>
      <c r="N22" s="12" cm="1">
        <f t="array" ref="N22">_xll.BDH("CMI US Equity","FIXED_INTANG_ASST_CHANGE","FQ2 2021","FQ2 2021","Currency=USD","Period=FQ","BEST_FPERIOD_OVERRIDE=FQ","FILING_STATUS=MR","SCALING_FORMAT=MLN","Sort=A","Dates=H","DateFormat=P","Fill=—","Direction=H","UseDPDF=Y")</f>
        <v>-116</v>
      </c>
      <c r="O22" s="12" cm="1">
        <f t="array" ref="O22">_xll.BDH("CMI US Equity","FIXED_INTANG_ASST_CHANGE","FQ3 2021","FQ3 2021","Currency=USD","Period=FQ","BEST_FPERIOD_OVERRIDE=FQ","FILING_STATUS=MR","SCALING_FORMAT=MLN","Sort=A","Dates=H","DateFormat=P","Fill=—","Direction=H","UseDPDF=Y")</f>
        <v>-164</v>
      </c>
      <c r="P22" s="12" cm="1">
        <f t="array" ref="P22">_xll.BDH("CMI US Equity","FIXED_INTANG_ASST_CHANGE","FQ4 2021","FQ4 2021","Currency=USD","Period=FQ","BEST_FPERIOD_OVERRIDE=FQ","FILING_STATUS=MR","SCALING_FORMAT=MLN","Sort=A","Dates=H","DateFormat=P","Fill=—","Direction=H","UseDPDF=Y")</f>
        <v>-388</v>
      </c>
      <c r="Q22" s="12" cm="1">
        <f t="array" ref="Q22">_xll.BDH("CMI US Equity","FIXED_INTANG_ASST_CHANGE","FQ1 2022","FQ1 2022","Currency=USD","Period=FQ","BEST_FPERIOD_OVERRIDE=FQ","FILING_STATUS=MR","SCALING_FORMAT=MLN","Sort=A","Dates=H","DateFormat=P","Fill=—","Direction=H","UseDPDF=Y")</f>
        <v>-115</v>
      </c>
      <c r="R22" s="12" cm="1">
        <f t="array" ref="R22">_xll.BDH("CMI US Equity","FIXED_INTANG_ASST_CHANGE","FQ2 2022","FQ2 2022","Currency=USD","Period=FQ","BEST_FPERIOD_OVERRIDE=FQ","FILING_STATUS=MR","SCALING_FORMAT=MLN","Sort=A","Dates=H","DateFormat=P","Fill=—","Direction=H","UseDPDF=Y")</f>
        <v>-160</v>
      </c>
      <c r="S22" s="12" cm="1">
        <f t="array" ref="S22">_xll.BDH("CMI US Equity","FIXED_INTANG_ASST_CHANGE","FQ3 2022","FQ3 2022","Currency=USD","Period=FQ","BEST_FPERIOD_OVERRIDE=FQ","FILING_STATUS=MR","SCALING_FORMAT=MLN","Sort=A","Dates=H","DateFormat=P","Fill=—","Direction=H","UseDPDF=Y")</f>
        <v>-222</v>
      </c>
      <c r="T22" s="12" cm="1">
        <f t="array" ref="T22">_xll.BDH("CMI US Equity","FIXED_INTANG_ASST_CHANGE","FQ4 2022","FQ4 2022","Currency=USD","Period=FQ","BEST_FPERIOD_OVERRIDE=FQ","FILING_STATUS=MR","SCALING_FORMAT=MLN","Sort=A","Dates=H","DateFormat=P","Fill=—","Direction=H","UseDPDF=Y")</f>
        <v>-419</v>
      </c>
      <c r="U22" s="12" cm="1">
        <f t="array" ref="U22">_xll.BDH("CMI US Equity","FIXED_INTANG_ASST_CHANGE","FQ1 2023","FQ1 2023","Currency=USD","Period=FQ","BEST_FPERIOD_OVERRIDE=FQ","FILING_STATUS=MR","SCALING_FORMAT=MLN","Sort=A","Dates=H","DateFormat=P","Fill=—","Direction=H","UseDPDF=Y")</f>
        <v>-193</v>
      </c>
      <c r="V22" s="12" cm="1">
        <f t="array" ref="V22">_xll.BDH("CMI US Equity","FIXED_INTANG_ASST_CHANGE","FQ2 2023","FQ2 2023","Currency=USD","Period=FQ","BEST_FPERIOD_OVERRIDE=FQ","FILING_STATUS=MR","SCALING_FORMAT=MLN","Sort=A","Dates=H","DateFormat=P","Fill=—","Direction=H","UseDPDF=Y")</f>
        <v>-221</v>
      </c>
      <c r="W22" s="12" cm="1">
        <f t="array" ref="W22">_xll.BDH("CMI US Equity","FIXED_INTANG_ASST_CHANGE","FQ3 2023","FQ3 2023","Currency=USD","Period=FQ","BEST_FPERIOD_OVERRIDE=FQ","FILING_STATUS=MR","SCALING_FORMAT=MLN","Sort=A","Dates=H","DateFormat=P","Fill=—","Direction=H","UseDPDF=Y")</f>
        <v>-280</v>
      </c>
      <c r="X22" s="12" cm="1">
        <f t="array" ref="X22">_xll.BDH("CMI US Equity","FIXED_INTANG_ASST_CHANGE","FQ4 2023","FQ4 2023","Currency=USD","Period=FQ","BEST_FPERIOD_OVERRIDE=FQ","FILING_STATUS=MR","SCALING_FORMAT=MLN","Sort=A","Dates=H","DateFormat=P","Fill=—","Direction=H","UseDPDF=Y")</f>
        <v>-519</v>
      </c>
      <c r="Y22" s="12" cm="1">
        <f t="array" ref="Y22">_xll.BDH("CMI US Equity","FIXED_INTANG_ASST_CHANGE","FQ1 2024","FQ1 2024","Currency=USD","Period=FQ","BEST_FPERIOD_OVERRIDE=FQ","FILING_STATUS=MR","SCALING_FORMAT=MLN","Sort=A","Dates=H","DateFormat=P","Fill=—","Direction=H","UseDPDF=Y")</f>
        <v>-169</v>
      </c>
      <c r="Z22" s="12" cm="1">
        <f t="array" ref="Z22">_xll.BDH("CMI US Equity","FIXED_INTANG_ASST_CHANGE","FQ2 2024","FQ2 2024","Currency=USD","Period=FQ","BEST_FPERIOD_OVERRIDE=FQ","FILING_STATUS=MR","SCALING_FORMAT=MLN","Sort=A","Dates=H","DateFormat=P","Fill=—","Direction=H","UseDPDF=Y")</f>
        <v>-240</v>
      </c>
      <c r="AA22" s="12" cm="1">
        <f t="array" ref="AA22">_xll.BDH("CMI US Equity","FIXED_INTANG_ASST_CHANGE","FQ3 2024","FQ3 2024","Currency=USD","Period=FQ","BEST_FPERIOD_OVERRIDE=FQ","FILING_STATUS=MR","SCALING_FORMAT=MLN","Sort=A","Dates=H","DateFormat=P","Fill=—","Direction=H","UseDPDF=Y")</f>
        <v>-259</v>
      </c>
      <c r="AB22" s="12" cm="1">
        <f t="array" ref="AB22">_xll.BDH("CMI US Equity","FIXED_INTANG_ASST_CHANGE","FQ4 2024","FQ4 2024","Currency=USD","Period=FQ","BEST_FPERIOD_OVERRIDE=FQ","FILING_STATUS=MR","SCALING_FORMAT=MLN","Sort=A","Dates=H","DateFormat=P","Fill=—","Direction=H","UseDPDF=Y")</f>
        <v>-540</v>
      </c>
      <c r="AC22" s="12" cm="1">
        <f t="array" ref="AC22">_xll.BDH("CMI US Equity","FIXED_INTANG_ASST_CHANGE","FQ1 2025","FQ1 2025","Currency=USD","Period=FQ","BEST_FPERIOD_OVERRIDE=FQ","FILING_STATUS=MR","SCALING_FORMAT=MLN","Sort=A","Dates=H","DateFormat=P","Fill=—","Direction=H","UseDPDF=Y")</f>
        <v>-162</v>
      </c>
      <c r="AD22" s="12" cm="1">
        <f t="array" ref="AD22">_xll.BDH("CMI US Equity","FIXED_INTANG_ASST_CHANGE","FQ2 2025","FQ2 2025","Currency=USD","Period=FQ","BEST_FPERIOD_OVERRIDE=FQ","FILING_STATUS=MR","SCALING_FORMAT=MLN","Sort=A","Dates=H","DateFormat=P","Fill=—","Direction=H","UseDPDF=Y")</f>
        <v>-231</v>
      </c>
      <c r="AE22" s="12" cm="1">
        <f t="array" ref="AE22">_xll.BDH("CMI US Equity","FIXED_INTANG_ASST_CHANGE","FQ3 2025","FQ3 2025","Currency=USD","Period=FQ","BEST_FPERIOD_OVERRIDE=FQ","FILING_STATUS=MR","SCALING_FORMAT=MLN","Sort=A","Dates=H","DateFormat=P","Fill=—","Direction=H","UseDPDF=Y")</f>
        <v>-298</v>
      </c>
      <c r="AF22" s="12" cm="1">
        <f t="array" ref="AF22">_xll.BDH("CMI US Equity","FIXED_INTANG_ASST_CHANGE","FQ4 2025","FQ4 2025","Currency=USD","Period=FQ","BEST_FPERIOD_OVERRIDE=FQ","FILING_STATUS=MR","SCALING_FORMAT=MLN","Sort=A","Dates=H","DateFormat=P","Fill=—","Direction=H","UseDPDF=Y")</f>
        <v>-544</v>
      </c>
    </row>
    <row r="23" spans="1:32" x14ac:dyDescent="0.25">
      <c r="A23" s="10" t="s">
        <v>94</v>
      </c>
      <c r="B23" s="10" t="s">
        <v>95</v>
      </c>
      <c r="C23" s="12" cm="1">
        <f t="array" ref="C23">_xll.BDH("CMI US Equity","DISPOSAL_OF_FIXED_INTANG","FQ3 2018","FQ3 2018","Currency=USD","Period=FQ","BEST_FPERIOD_OVERRIDE=FQ","FILING_STATUS=MR","SCALING_FORMAT=MLN","Sort=A","Dates=H","DateFormat=P","Fill=—","Direction=H","UseDPDF=Y")</f>
        <v>0</v>
      </c>
      <c r="D23" s="12" cm="1">
        <f t="array" ref="D23">_xll.BDH("CMI US Equity","DISPOSAL_OF_FIXED_INTANG","FQ4 2018","FQ4 2018","Currency=USD","Period=FQ","BEST_FPERIOD_OVERRIDE=FQ","FILING_STATUS=MR","SCALING_FORMAT=MLN","Sort=A","Dates=H","DateFormat=P","Fill=—","Direction=H","UseDPDF=Y")</f>
        <v>56</v>
      </c>
      <c r="E23" s="12" cm="1">
        <f t="array" ref="E23">_xll.BDH("CMI US Equity","DISPOSAL_OF_FIXED_INTANG","FQ1 2019","FQ1 2019","Currency=USD","Period=FQ","BEST_FPERIOD_OVERRIDE=FQ","FILING_STATUS=MR","SCALING_FORMAT=MLN","Sort=A","Dates=H","DateFormat=P","Fill=—","Direction=H","UseDPDF=Y")</f>
        <v>0</v>
      </c>
      <c r="F23" s="12" cm="1">
        <f t="array" ref="F23">_xll.BDH("CMI US Equity","DISPOSAL_OF_FIXED_INTANG","FQ2 2019","FQ2 2019","Currency=USD","Period=FQ","BEST_FPERIOD_OVERRIDE=FQ","FILING_STATUS=MR","SCALING_FORMAT=MLN","Sort=A","Dates=H","DateFormat=P","Fill=—","Direction=H","UseDPDF=Y")</f>
        <v>0</v>
      </c>
      <c r="G23" s="12" cm="1">
        <f t="array" ref="G23">_xll.BDH("CMI US Equity","DISPOSAL_OF_FIXED_INTANG","FQ3 2019","FQ3 2019","Currency=USD","Period=FQ","BEST_FPERIOD_OVERRIDE=FQ","FILING_STATUS=MR","SCALING_FORMAT=MLN","Sort=A","Dates=H","DateFormat=P","Fill=—","Direction=H","UseDPDF=Y")</f>
        <v>0</v>
      </c>
      <c r="H23" s="12" cm="1">
        <f t="array" ref="H23">_xll.BDH("CMI US Equity","DISPOSAL_OF_FIXED_INTANG","FQ4 2019","FQ4 2019","Currency=USD","Period=FQ","BEST_FPERIOD_OVERRIDE=FQ","FILING_STATUS=MR","SCALING_FORMAT=MLN","Sort=A","Dates=H","DateFormat=P","Fill=—","Direction=H","UseDPDF=Y")</f>
        <v>32</v>
      </c>
      <c r="I23" s="12" cm="1">
        <f t="array" ref="I23">_xll.BDH("CMI US Equity","DISPOSAL_OF_FIXED_INTANG","FQ1 2020","FQ1 2020","Currency=USD","Period=FQ","BEST_FPERIOD_OVERRIDE=FQ","FILING_STATUS=MR","SCALING_FORMAT=MLN","Sort=A","Dates=H","DateFormat=P","Fill=—","Direction=H","UseDPDF=Y")</f>
        <v>0</v>
      </c>
      <c r="J23" s="12" cm="1">
        <f t="array" ref="J23">_xll.BDH("CMI US Equity","DISPOSAL_OF_FIXED_INTANG","FQ2 2020","FQ2 2020","Currency=USD","Period=FQ","BEST_FPERIOD_OVERRIDE=FQ","FILING_STATUS=MR","SCALING_FORMAT=MLN","Sort=A","Dates=H","DateFormat=P","Fill=—","Direction=H","UseDPDF=Y")</f>
        <v>0</v>
      </c>
      <c r="K23" s="12" cm="1">
        <f t="array" ref="K23">_xll.BDH("CMI US Equity","DISPOSAL_OF_FIXED_INTANG","FQ3 2020","FQ3 2020","Currency=USD","Period=FQ","BEST_FPERIOD_OVERRIDE=FQ","FILING_STATUS=MR","SCALING_FORMAT=MLN","Sort=A","Dates=H","DateFormat=P","Fill=—","Direction=H","UseDPDF=Y")</f>
        <v>0</v>
      </c>
      <c r="L23" s="12" cm="1">
        <f t="array" ref="L23">_xll.BDH("CMI US Equity","DISPOSAL_OF_FIXED_INTANG","FQ4 2020","FQ4 2020","Currency=USD","Period=FQ","BEST_FPERIOD_OVERRIDE=FQ","FILING_STATUS=MR","SCALING_FORMAT=MLN","Sort=A","Dates=H","DateFormat=P","Fill=—","Direction=H","UseDPDF=Y")</f>
        <v>27</v>
      </c>
      <c r="M23" s="12" cm="1">
        <f t="array" ref="M23">_xll.BDH("CMI US Equity","DISPOSAL_OF_FIXED_INTANG","FQ1 2021","FQ1 2021","Currency=USD","Period=FQ","BEST_FPERIOD_OVERRIDE=FQ","FILING_STATUS=MR","SCALING_FORMAT=MLN","Sort=A","Dates=H","DateFormat=P","Fill=—","Direction=H","UseDPDF=Y")</f>
        <v>0</v>
      </c>
      <c r="N23" s="12" cm="1">
        <f t="array" ref="N23">_xll.BDH("CMI US Equity","DISPOSAL_OF_FIXED_INTANG","FQ2 2021","FQ2 2021","Currency=USD","Period=FQ","BEST_FPERIOD_OVERRIDE=FQ","FILING_STATUS=MR","SCALING_FORMAT=MLN","Sort=A","Dates=H","DateFormat=P","Fill=—","Direction=H","UseDPDF=Y")</f>
        <v>20</v>
      </c>
      <c r="O23" s="12" cm="1">
        <f t="array" ref="O23">_xll.BDH("CMI US Equity","DISPOSAL_OF_FIXED_INTANG","FQ3 2021","FQ3 2021","Currency=USD","Period=FQ","BEST_FPERIOD_OVERRIDE=FQ","FILING_STATUS=MR","SCALING_FORMAT=MLN","Sort=A","Dates=H","DateFormat=P","Fill=—","Direction=H","UseDPDF=Y")</f>
        <v>0</v>
      </c>
      <c r="P23" s="12" cm="1">
        <f t="array" ref="P23">_xll.BDH("CMI US Equity","DISPOSAL_OF_FIXED_INTANG","FQ4 2021","FQ4 2021","Currency=USD","Period=FQ","BEST_FPERIOD_OVERRIDE=FQ","FILING_STATUS=MR","SCALING_FORMAT=MLN","Sort=A","Dates=H","DateFormat=P","Fill=—","Direction=H","UseDPDF=Y")</f>
        <v>0</v>
      </c>
      <c r="Q23" s="12" cm="1">
        <f t="array" ref="Q23">_xll.BDH("CMI US Equity","DISPOSAL_OF_FIXED_INTANG","FQ1 2022","FQ1 2022","Currency=USD","Period=FQ","BEST_FPERIOD_OVERRIDE=FQ","FILING_STATUS=MR","SCALING_FORMAT=MLN","Sort=A","Dates=H","DateFormat=P","Fill=—","Direction=H","UseDPDF=Y")</f>
        <v>0</v>
      </c>
      <c r="R23" s="12" cm="1">
        <f t="array" ref="R23">_xll.BDH("CMI US Equity","DISPOSAL_OF_FIXED_INTANG","FQ2 2022","FQ2 2022","Currency=USD","Period=FQ","BEST_FPERIOD_OVERRIDE=FQ","FILING_STATUS=MR","SCALING_FORMAT=MLN","Sort=A","Dates=H","DateFormat=P","Fill=—","Direction=H","UseDPDF=Y")</f>
        <v>0</v>
      </c>
      <c r="S23" s="12" cm="1">
        <f t="array" ref="S23">_xll.BDH("CMI US Equity","DISPOSAL_OF_FIXED_INTANG","FQ3 2022","FQ3 2022","Currency=USD","Period=FQ","BEST_FPERIOD_OVERRIDE=FQ","FILING_STATUS=MR","SCALING_FORMAT=MLN","Sort=A","Dates=H","DateFormat=P","Fill=—","Direction=H","UseDPDF=Y")</f>
        <v>0</v>
      </c>
      <c r="T23" s="12" cm="1">
        <f t="array" ref="T23">_xll.BDH("CMI US Equity","DISPOSAL_OF_FIXED_INTANG","FQ4 2022","FQ4 2022","Currency=USD","Period=FQ","BEST_FPERIOD_OVERRIDE=FQ","FILING_STATUS=MR","SCALING_FORMAT=MLN","Sort=A","Dates=H","DateFormat=P","Fill=—","Direction=H","UseDPDF=Y")</f>
        <v>0</v>
      </c>
      <c r="U23" s="12" cm="1">
        <f t="array" ref="U23">_xll.BDH("CMI US Equity","DISPOSAL_OF_FIXED_INTANG","FQ1 2023","FQ1 2023","Currency=USD","Period=FQ","BEST_FPERIOD_OVERRIDE=FQ","FILING_STATUS=MR","SCALING_FORMAT=MLN","Sort=A","Dates=H","DateFormat=P","Fill=—","Direction=H","UseDPDF=Y")</f>
        <v>0</v>
      </c>
      <c r="V23" s="12" cm="1">
        <f t="array" ref="V23">_xll.BDH("CMI US Equity","DISPOSAL_OF_FIXED_INTANG","FQ2 2023","FQ2 2023","Currency=USD","Period=FQ","BEST_FPERIOD_OVERRIDE=FQ","FILING_STATUS=MR","SCALING_FORMAT=MLN","Sort=A","Dates=H","DateFormat=P","Fill=—","Direction=H","UseDPDF=Y")</f>
        <v>0</v>
      </c>
      <c r="W23" s="12" cm="1">
        <f t="array" ref="W23">_xll.BDH("CMI US Equity","DISPOSAL_OF_FIXED_INTANG","FQ3 2023","FQ3 2023","Currency=USD","Period=FQ","BEST_FPERIOD_OVERRIDE=FQ","FILING_STATUS=MR","SCALING_FORMAT=MLN","Sort=A","Dates=H","DateFormat=P","Fill=—","Direction=H","UseDPDF=Y")</f>
        <v>0</v>
      </c>
      <c r="X23" s="12" cm="1">
        <f t="array" ref="X23">_xll.BDH("CMI US Equity","DISPOSAL_OF_FIXED_INTANG","FQ4 2023","FQ4 2023","Currency=USD","Period=FQ","BEST_FPERIOD_OVERRIDE=FQ","FILING_STATUS=MR","SCALING_FORMAT=MLN","Sort=A","Dates=H","DateFormat=P","Fill=—","Direction=H","UseDPDF=Y")</f>
        <v>0</v>
      </c>
      <c r="Y23" s="12" cm="1">
        <f t="array" ref="Y23">_xll.BDH("CMI US Equity","DISPOSAL_OF_FIXED_INTANG","FQ1 2024","FQ1 2024","Currency=USD","Period=FQ","BEST_FPERIOD_OVERRIDE=FQ","FILING_STATUS=MR","SCALING_FORMAT=MLN","Sort=A","Dates=H","DateFormat=P","Fill=—","Direction=H","UseDPDF=Y")</f>
        <v>0</v>
      </c>
      <c r="Z23" s="12" cm="1">
        <f t="array" ref="Z23">_xll.BDH("CMI US Equity","DISPOSAL_OF_FIXED_INTANG","FQ2 2024","FQ2 2024","Currency=USD","Period=FQ","BEST_FPERIOD_OVERRIDE=FQ","FILING_STATUS=MR","SCALING_FORMAT=MLN","Sort=A","Dates=H","DateFormat=P","Fill=—","Direction=H","UseDPDF=Y")</f>
        <v>0</v>
      </c>
      <c r="AA23" s="12" cm="1">
        <f t="array" ref="AA23">_xll.BDH("CMI US Equity","DISPOSAL_OF_FIXED_INTANG","FQ3 2024","FQ3 2024","Currency=USD","Period=FQ","BEST_FPERIOD_OVERRIDE=FQ","FILING_STATUS=MR","SCALING_FORMAT=MLN","Sort=A","Dates=H","DateFormat=P","Fill=—","Direction=H","UseDPDF=Y")</f>
        <v>0</v>
      </c>
      <c r="AB23" s="12" cm="1">
        <f t="array" ref="AB23">_xll.BDH("CMI US Equity","DISPOSAL_OF_FIXED_INTANG","FQ4 2024","FQ4 2024","Currency=USD","Period=FQ","BEST_FPERIOD_OVERRIDE=FQ","FILING_STATUS=MR","SCALING_FORMAT=MLN","Sort=A","Dates=H","DateFormat=P","Fill=—","Direction=H","UseDPDF=Y")</f>
        <v>0</v>
      </c>
      <c r="AC23" s="12" cm="1">
        <f t="array" ref="AC23">_xll.BDH("CMI US Equity","DISPOSAL_OF_FIXED_INTANG","FQ1 2025","FQ1 2025","Currency=USD","Period=FQ","BEST_FPERIOD_OVERRIDE=FQ","FILING_STATUS=MR","SCALING_FORMAT=MLN","Sort=A","Dates=H","DateFormat=P","Fill=—","Direction=H","UseDPDF=Y")</f>
        <v>0</v>
      </c>
      <c r="AD23" s="12" cm="1">
        <f t="array" ref="AD23">_xll.BDH("CMI US Equity","DISPOSAL_OF_FIXED_INTANG","FQ2 2025","FQ2 2025","Currency=USD","Period=FQ","BEST_FPERIOD_OVERRIDE=FQ","FILING_STATUS=MR","SCALING_FORMAT=MLN","Sort=A","Dates=H","DateFormat=P","Fill=—","Direction=H","UseDPDF=Y")</f>
        <v>0</v>
      </c>
      <c r="AE23" s="12" cm="1">
        <f t="array" ref="AE23">_xll.BDH("CMI US Equity","DISPOSAL_OF_FIXED_INTANG","FQ3 2025","FQ3 2025","Currency=USD","Period=FQ","BEST_FPERIOD_OVERRIDE=FQ","FILING_STATUS=MR","SCALING_FORMAT=MLN","Sort=A","Dates=H","DateFormat=P","Fill=—","Direction=H","UseDPDF=Y")</f>
        <v>0</v>
      </c>
      <c r="AF23" s="12" cm="1">
        <f t="array" ref="AF23">_xll.BDH("CMI US Equity","DISPOSAL_OF_FIXED_INTANG","FQ4 2025","FQ4 2025","Currency=USD","Period=FQ","BEST_FPERIOD_OVERRIDE=FQ","FILING_STATUS=MR","SCALING_FORMAT=MLN","Sort=A","Dates=H","DateFormat=P","Fill=—","Direction=H","UseDPDF=Y")</f>
        <v>0</v>
      </c>
    </row>
    <row r="24" spans="1:32" x14ac:dyDescent="0.25">
      <c r="A24" s="11" t="s">
        <v>96</v>
      </c>
      <c r="B24" s="11" t="s">
        <v>97</v>
      </c>
      <c r="C24" s="16" t="str" cm="1">
        <f t="array" ref="C24">_xll.BDH("CMI US Equity","CF_DISPOSAL_OF_FIXED_PROD_ASSETS","FQ3 2018","FQ3 2018","Currency=USD","Period=FQ","BEST_FPERIOD_OVERRIDE=FQ","FILING_STATUS=MR","SCALING_FORMAT=MLN","Sort=A","Dates=H","DateFormat=P","Fill=—","Direction=H","UseDPDF=Y")</f>
        <v>—</v>
      </c>
      <c r="D24" s="16" cm="1">
        <f t="array" ref="D24">_xll.BDH("CMI US Equity","CF_DISPOSAL_OF_FIXED_PROD_ASSETS","FQ4 2018","FQ4 2018","Currency=USD","Period=FQ","BEST_FPERIOD_OVERRIDE=FQ","FILING_STATUS=MR","SCALING_FORMAT=MLN","Sort=A","Dates=H","DateFormat=P","Fill=—","Direction=H","UseDPDF=Y")</f>
        <v>56</v>
      </c>
      <c r="E24" s="16" cm="1">
        <f t="array" ref="E24">_xll.BDH("CMI US Equity","CF_DISPOSAL_OF_FIXED_PROD_ASSETS","FQ1 2019","FQ1 2019","Currency=USD","Period=FQ","BEST_FPERIOD_OVERRIDE=FQ","FILING_STATUS=MR","SCALING_FORMAT=MLN","Sort=A","Dates=H","DateFormat=P","Fill=—","Direction=H","UseDPDF=Y")</f>
        <v>0</v>
      </c>
      <c r="F24" s="16" cm="1">
        <f t="array" ref="F24">_xll.BDH("CMI US Equity","CF_DISPOSAL_OF_FIXED_PROD_ASSETS","FQ2 2019","FQ2 2019","Currency=USD","Period=FQ","BEST_FPERIOD_OVERRIDE=FQ","FILING_STATUS=MR","SCALING_FORMAT=MLN","Sort=A","Dates=H","DateFormat=P","Fill=—","Direction=H","UseDPDF=Y")</f>
        <v>0</v>
      </c>
      <c r="G24" s="16" cm="1">
        <f t="array" ref="G24">_xll.BDH("CMI US Equity","CF_DISPOSAL_OF_FIXED_PROD_ASSETS","FQ3 2019","FQ3 2019","Currency=USD","Period=FQ","BEST_FPERIOD_OVERRIDE=FQ","FILING_STATUS=MR","SCALING_FORMAT=MLN","Sort=A","Dates=H","DateFormat=P","Fill=—","Direction=H","UseDPDF=Y")</f>
        <v>0</v>
      </c>
      <c r="H24" s="16" cm="1">
        <f t="array" ref="H24">_xll.BDH("CMI US Equity","CF_DISPOSAL_OF_FIXED_PROD_ASSETS","FQ4 2019","FQ4 2019","Currency=USD","Period=FQ","BEST_FPERIOD_OVERRIDE=FQ","FILING_STATUS=MR","SCALING_FORMAT=MLN","Sort=A","Dates=H","DateFormat=P","Fill=—","Direction=H","UseDPDF=Y")</f>
        <v>32</v>
      </c>
      <c r="I24" s="16" cm="1">
        <f t="array" ref="I24">_xll.BDH("CMI US Equity","CF_DISPOSAL_OF_FIXED_PROD_ASSETS","FQ1 2020","FQ1 2020","Currency=USD","Period=FQ","BEST_FPERIOD_OVERRIDE=FQ","FILING_STATUS=MR","SCALING_FORMAT=MLN","Sort=A","Dates=H","DateFormat=P","Fill=—","Direction=H","UseDPDF=Y")</f>
        <v>0</v>
      </c>
      <c r="J24" s="16" cm="1">
        <f t="array" ref="J24">_xll.BDH("CMI US Equity","CF_DISPOSAL_OF_FIXED_PROD_ASSETS","FQ2 2020","FQ2 2020","Currency=USD","Period=FQ","BEST_FPERIOD_OVERRIDE=FQ","FILING_STATUS=MR","SCALING_FORMAT=MLN","Sort=A","Dates=H","DateFormat=P","Fill=—","Direction=H","UseDPDF=Y")</f>
        <v>0</v>
      </c>
      <c r="K24" s="16" cm="1">
        <f t="array" ref="K24">_xll.BDH("CMI US Equity","CF_DISPOSAL_OF_FIXED_PROD_ASSETS","FQ3 2020","FQ3 2020","Currency=USD","Period=FQ","BEST_FPERIOD_OVERRIDE=FQ","FILING_STATUS=MR","SCALING_FORMAT=MLN","Sort=A","Dates=H","DateFormat=P","Fill=—","Direction=H","UseDPDF=Y")</f>
        <v>0</v>
      </c>
      <c r="L24" s="16" cm="1">
        <f t="array" ref="L24">_xll.BDH("CMI US Equity","CF_DISPOSAL_OF_FIXED_PROD_ASSETS","FQ4 2020","FQ4 2020","Currency=USD","Period=FQ","BEST_FPERIOD_OVERRIDE=FQ","FILING_STATUS=MR","SCALING_FORMAT=MLN","Sort=A","Dates=H","DateFormat=P","Fill=—","Direction=H","UseDPDF=Y")</f>
        <v>27</v>
      </c>
      <c r="M24" s="16" cm="1">
        <f t="array" ref="M24">_xll.BDH("CMI US Equity","CF_DISPOSAL_OF_FIXED_PROD_ASSETS","FQ1 2021","FQ1 2021","Currency=USD","Period=FQ","BEST_FPERIOD_OVERRIDE=FQ","FILING_STATUS=MR","SCALING_FORMAT=MLN","Sort=A","Dates=H","DateFormat=P","Fill=—","Direction=H","UseDPDF=Y")</f>
        <v>0</v>
      </c>
      <c r="N24" s="16" cm="1">
        <f t="array" ref="N24">_xll.BDH("CMI US Equity","CF_DISPOSAL_OF_FIXED_PROD_ASSETS","FQ2 2021","FQ2 2021","Currency=USD","Period=FQ","BEST_FPERIOD_OVERRIDE=FQ","FILING_STATUS=MR","SCALING_FORMAT=MLN","Sort=A","Dates=H","DateFormat=P","Fill=—","Direction=H","UseDPDF=Y")</f>
        <v>20</v>
      </c>
      <c r="O24" s="16" cm="1">
        <f t="array" ref="O24">_xll.BDH("CMI US Equity","CF_DISPOSAL_OF_FIXED_PROD_ASSETS","FQ3 2021","FQ3 2021","Currency=USD","Period=FQ","BEST_FPERIOD_OVERRIDE=FQ","FILING_STATUS=MR","SCALING_FORMAT=MLN","Sort=A","Dates=H","DateFormat=P","Fill=—","Direction=H","UseDPDF=Y")</f>
        <v>0</v>
      </c>
      <c r="P24" s="16" cm="1">
        <f t="array" ref="P24">_xll.BDH("CMI US Equity","CF_DISPOSAL_OF_FIXED_PROD_ASSETS","FQ4 2021","FQ4 2021","Currency=USD","Period=FQ","BEST_FPERIOD_OVERRIDE=FQ","FILING_STATUS=MR","SCALING_FORMAT=MLN","Sort=A","Dates=H","DateFormat=P","Fill=—","Direction=H","UseDPDF=Y")</f>
        <v>0</v>
      </c>
      <c r="Q24" s="16" cm="1">
        <f t="array" ref="Q24">_xll.BDH("CMI US Equity","CF_DISPOSAL_OF_FIXED_PROD_ASSETS","FQ1 2022","FQ1 2022","Currency=USD","Period=FQ","BEST_FPERIOD_OVERRIDE=FQ","FILING_STATUS=MR","SCALING_FORMAT=MLN","Sort=A","Dates=H","DateFormat=P","Fill=—","Direction=H","UseDPDF=Y")</f>
        <v>0</v>
      </c>
      <c r="R24" s="16" cm="1">
        <f t="array" ref="R24">_xll.BDH("CMI US Equity","CF_DISPOSAL_OF_FIXED_PROD_ASSETS","FQ2 2022","FQ2 2022","Currency=USD","Period=FQ","BEST_FPERIOD_OVERRIDE=FQ","FILING_STATUS=MR","SCALING_FORMAT=MLN","Sort=A","Dates=H","DateFormat=P","Fill=—","Direction=H","UseDPDF=Y")</f>
        <v>0</v>
      </c>
      <c r="S24" s="16" cm="1">
        <f t="array" ref="S24">_xll.BDH("CMI US Equity","CF_DISPOSAL_OF_FIXED_PROD_ASSETS","FQ3 2022","FQ3 2022","Currency=USD","Period=FQ","BEST_FPERIOD_OVERRIDE=FQ","FILING_STATUS=MR","SCALING_FORMAT=MLN","Sort=A","Dates=H","DateFormat=P","Fill=—","Direction=H","UseDPDF=Y")</f>
        <v>0</v>
      </c>
      <c r="T24" s="16" cm="1">
        <f t="array" ref="T24">_xll.BDH("CMI US Equity","CF_DISPOSAL_OF_FIXED_PROD_ASSETS","FQ4 2022","FQ4 2022","Currency=USD","Period=FQ","BEST_FPERIOD_OVERRIDE=FQ","FILING_STATUS=MR","SCALING_FORMAT=MLN","Sort=A","Dates=H","DateFormat=P","Fill=—","Direction=H","UseDPDF=Y")</f>
        <v>0</v>
      </c>
      <c r="U24" s="16" cm="1">
        <f t="array" ref="U24">_xll.BDH("CMI US Equity","CF_DISPOSAL_OF_FIXED_PROD_ASSETS","FQ1 2023","FQ1 2023","Currency=USD","Period=FQ","BEST_FPERIOD_OVERRIDE=FQ","FILING_STATUS=MR","SCALING_FORMAT=MLN","Sort=A","Dates=H","DateFormat=P","Fill=—","Direction=H","UseDPDF=Y")</f>
        <v>0</v>
      </c>
      <c r="V24" s="16" cm="1">
        <f t="array" ref="V24">_xll.BDH("CMI US Equity","CF_DISPOSAL_OF_FIXED_PROD_ASSETS","FQ2 2023","FQ2 2023","Currency=USD","Period=FQ","BEST_FPERIOD_OVERRIDE=FQ","FILING_STATUS=MR","SCALING_FORMAT=MLN","Sort=A","Dates=H","DateFormat=P","Fill=—","Direction=H","UseDPDF=Y")</f>
        <v>0</v>
      </c>
      <c r="W24" s="16" cm="1">
        <f t="array" ref="W24">_xll.BDH("CMI US Equity","CF_DISPOSAL_OF_FIXED_PROD_ASSETS","FQ3 2023","FQ3 2023","Currency=USD","Period=FQ","BEST_FPERIOD_OVERRIDE=FQ","FILING_STATUS=MR","SCALING_FORMAT=MLN","Sort=A","Dates=H","DateFormat=P","Fill=—","Direction=H","UseDPDF=Y")</f>
        <v>0</v>
      </c>
      <c r="X24" s="16" cm="1">
        <f t="array" ref="X24">_xll.BDH("CMI US Equity","CF_DISPOSAL_OF_FIXED_PROD_ASSETS","FQ4 2023","FQ4 2023","Currency=USD","Period=FQ","BEST_FPERIOD_OVERRIDE=FQ","FILING_STATUS=MR","SCALING_FORMAT=MLN","Sort=A","Dates=H","DateFormat=P","Fill=—","Direction=H","UseDPDF=Y")</f>
        <v>0</v>
      </c>
      <c r="Y24" s="16" cm="1">
        <f t="array" ref="Y24">_xll.BDH("CMI US Equity","CF_DISPOSAL_OF_FIXED_PROD_ASSETS","FQ1 2024","FQ1 2024","Currency=USD","Period=FQ","BEST_FPERIOD_OVERRIDE=FQ","FILING_STATUS=MR","SCALING_FORMAT=MLN","Sort=A","Dates=H","DateFormat=P","Fill=—","Direction=H","UseDPDF=Y")</f>
        <v>0</v>
      </c>
      <c r="Z24" s="16" cm="1">
        <f t="array" ref="Z24">_xll.BDH("CMI US Equity","CF_DISPOSAL_OF_FIXED_PROD_ASSETS","FQ2 2024","FQ2 2024","Currency=USD","Period=FQ","BEST_FPERIOD_OVERRIDE=FQ","FILING_STATUS=MR","SCALING_FORMAT=MLN","Sort=A","Dates=H","DateFormat=P","Fill=—","Direction=H","UseDPDF=Y")</f>
        <v>0</v>
      </c>
      <c r="AA24" s="16" cm="1">
        <f t="array" ref="AA24">_xll.BDH("CMI US Equity","CF_DISPOSAL_OF_FIXED_PROD_ASSETS","FQ3 2024","FQ3 2024","Currency=USD","Period=FQ","BEST_FPERIOD_OVERRIDE=FQ","FILING_STATUS=MR","SCALING_FORMAT=MLN","Sort=A","Dates=H","DateFormat=P","Fill=—","Direction=H","UseDPDF=Y")</f>
        <v>0</v>
      </c>
      <c r="AB24" s="16" cm="1">
        <f t="array" ref="AB24">_xll.BDH("CMI US Equity","CF_DISPOSAL_OF_FIXED_PROD_ASSETS","FQ4 2024","FQ4 2024","Currency=USD","Period=FQ","BEST_FPERIOD_OVERRIDE=FQ","FILING_STATUS=MR","SCALING_FORMAT=MLN","Sort=A","Dates=H","DateFormat=P","Fill=—","Direction=H","UseDPDF=Y")</f>
        <v>0</v>
      </c>
      <c r="AC24" s="16" cm="1">
        <f t="array" ref="AC24">_xll.BDH("CMI US Equity","CF_DISPOSAL_OF_FIXED_PROD_ASSETS","FQ1 2025","FQ1 2025","Currency=USD","Period=FQ","BEST_FPERIOD_OVERRIDE=FQ","FILING_STATUS=MR","SCALING_FORMAT=MLN","Sort=A","Dates=H","DateFormat=P","Fill=—","Direction=H","UseDPDF=Y")</f>
        <v>0</v>
      </c>
      <c r="AD24" s="16" cm="1">
        <f t="array" ref="AD24">_xll.BDH("CMI US Equity","CF_DISPOSAL_OF_FIXED_PROD_ASSETS","FQ2 2025","FQ2 2025","Currency=USD","Period=FQ","BEST_FPERIOD_OVERRIDE=FQ","FILING_STATUS=MR","SCALING_FORMAT=MLN","Sort=A","Dates=H","DateFormat=P","Fill=—","Direction=H","UseDPDF=Y")</f>
        <v>0</v>
      </c>
      <c r="AE24" s="16" cm="1">
        <f t="array" ref="AE24">_xll.BDH("CMI US Equity","CF_DISPOSAL_OF_FIXED_PROD_ASSETS","FQ3 2025","FQ3 2025","Currency=USD","Period=FQ","BEST_FPERIOD_OVERRIDE=FQ","FILING_STATUS=MR","SCALING_FORMAT=MLN","Sort=A","Dates=H","DateFormat=P","Fill=—","Direction=H","UseDPDF=Y")</f>
        <v>0</v>
      </c>
      <c r="AF24" s="16" cm="1">
        <f t="array" ref="AF24">_xll.BDH("CMI US Equity","CF_DISPOSAL_OF_FIXED_PROD_ASSETS","FQ4 2025","FQ4 2025","Currency=USD","Period=FQ","BEST_FPERIOD_OVERRIDE=FQ","FILING_STATUS=MR","SCALING_FORMAT=MLN","Sort=A","Dates=H","DateFormat=P","Fill=—","Direction=H","UseDPDF=Y")</f>
        <v>0</v>
      </c>
    </row>
    <row r="25" spans="1:32" x14ac:dyDescent="0.25">
      <c r="A25" s="11" t="s">
        <v>98</v>
      </c>
      <c r="B25" s="11" t="s">
        <v>99</v>
      </c>
      <c r="C25" s="16" cm="1">
        <f t="array" ref="C25">_xll.BDH("CMI US Equity","CF_DISPOSAL_OF_INTANGIBLE_ASSETS","FQ3 2018","FQ3 2018","Currency=USD","Period=FQ","BEST_FPERIOD_OVERRIDE=FQ","FILING_STATUS=MR","SCALING_FORMAT=MLN","Sort=A","Dates=H","DateFormat=P","Fill=—","Direction=H","UseDPDF=Y")</f>
        <v>0</v>
      </c>
      <c r="D25" s="16" cm="1">
        <f t="array" ref="D25">_xll.BDH("CMI US Equity","CF_DISPOSAL_OF_INTANGIBLE_ASSETS","FQ4 2018","FQ4 2018","Currency=USD","Period=FQ","BEST_FPERIOD_OVERRIDE=FQ","FILING_STATUS=MR","SCALING_FORMAT=MLN","Sort=A","Dates=H","DateFormat=P","Fill=—","Direction=H","UseDPDF=Y")</f>
        <v>0</v>
      </c>
      <c r="E25" s="16" cm="1">
        <f t="array" ref="E25">_xll.BDH("CMI US Equity","CF_DISPOSAL_OF_INTANGIBLE_ASSETS","FQ1 2019","FQ1 2019","Currency=USD","Period=FQ","BEST_FPERIOD_OVERRIDE=FQ","FILING_STATUS=MR","SCALING_FORMAT=MLN","Sort=A","Dates=H","DateFormat=P","Fill=—","Direction=H","UseDPDF=Y")</f>
        <v>0</v>
      </c>
      <c r="F25" s="16" cm="1">
        <f t="array" ref="F25">_xll.BDH("CMI US Equity","CF_DISPOSAL_OF_INTANGIBLE_ASSETS","FQ2 2019","FQ2 2019","Currency=USD","Period=FQ","BEST_FPERIOD_OVERRIDE=FQ","FILING_STATUS=MR","SCALING_FORMAT=MLN","Sort=A","Dates=H","DateFormat=P","Fill=—","Direction=H","UseDPDF=Y")</f>
        <v>0</v>
      </c>
      <c r="G25" s="16" cm="1">
        <f t="array" ref="G25">_xll.BDH("CMI US Equity","CF_DISPOSAL_OF_INTANGIBLE_ASSETS","FQ3 2019","FQ3 2019","Currency=USD","Period=FQ","BEST_FPERIOD_OVERRIDE=FQ","FILING_STATUS=MR","SCALING_FORMAT=MLN","Sort=A","Dates=H","DateFormat=P","Fill=—","Direction=H","UseDPDF=Y")</f>
        <v>0</v>
      </c>
      <c r="H25" s="16" cm="1">
        <f t="array" ref="H25">_xll.BDH("CMI US Equity","CF_DISPOSAL_OF_INTANGIBLE_ASSETS","FQ4 2019","FQ4 2019","Currency=USD","Period=FQ","BEST_FPERIOD_OVERRIDE=FQ","FILING_STATUS=MR","SCALING_FORMAT=MLN","Sort=A","Dates=H","DateFormat=P","Fill=—","Direction=H","UseDPDF=Y")</f>
        <v>0</v>
      </c>
      <c r="I25" s="16" cm="1">
        <f t="array" ref="I25">_xll.BDH("CMI US Equity","CF_DISPOSAL_OF_INTANGIBLE_ASSETS","FQ1 2020","FQ1 2020","Currency=USD","Period=FQ","BEST_FPERIOD_OVERRIDE=FQ","FILING_STATUS=MR","SCALING_FORMAT=MLN","Sort=A","Dates=H","DateFormat=P","Fill=—","Direction=H","UseDPDF=Y")</f>
        <v>0</v>
      </c>
      <c r="J25" s="16" cm="1">
        <f t="array" ref="J25">_xll.BDH("CMI US Equity","CF_DISPOSAL_OF_INTANGIBLE_ASSETS","FQ2 2020","FQ2 2020","Currency=USD","Period=FQ","BEST_FPERIOD_OVERRIDE=FQ","FILING_STATUS=MR","SCALING_FORMAT=MLN","Sort=A","Dates=H","DateFormat=P","Fill=—","Direction=H","UseDPDF=Y")</f>
        <v>0</v>
      </c>
      <c r="K25" s="16" cm="1">
        <f t="array" ref="K25">_xll.BDH("CMI US Equity","CF_DISPOSAL_OF_INTANGIBLE_ASSETS","FQ3 2020","FQ3 2020","Currency=USD","Period=FQ","BEST_FPERIOD_OVERRIDE=FQ","FILING_STATUS=MR","SCALING_FORMAT=MLN","Sort=A","Dates=H","DateFormat=P","Fill=—","Direction=H","UseDPDF=Y")</f>
        <v>0</v>
      </c>
      <c r="L25" s="16" cm="1">
        <f t="array" ref="L25">_xll.BDH("CMI US Equity","CF_DISPOSAL_OF_INTANGIBLE_ASSETS","FQ4 2020","FQ4 2020","Currency=USD","Period=FQ","BEST_FPERIOD_OVERRIDE=FQ","FILING_STATUS=MR","SCALING_FORMAT=MLN","Sort=A","Dates=H","DateFormat=P","Fill=—","Direction=H","UseDPDF=Y")</f>
        <v>0</v>
      </c>
      <c r="M25" s="16" cm="1">
        <f t="array" ref="M25">_xll.BDH("CMI US Equity","CF_DISPOSAL_OF_INTANGIBLE_ASSETS","FQ1 2021","FQ1 2021","Currency=USD","Period=FQ","BEST_FPERIOD_OVERRIDE=FQ","FILING_STATUS=MR","SCALING_FORMAT=MLN","Sort=A","Dates=H","DateFormat=P","Fill=—","Direction=H","UseDPDF=Y")</f>
        <v>0</v>
      </c>
      <c r="N25" s="16" cm="1">
        <f t="array" ref="N25">_xll.BDH("CMI US Equity","CF_DISPOSAL_OF_INTANGIBLE_ASSETS","FQ2 2021","FQ2 2021","Currency=USD","Period=FQ","BEST_FPERIOD_OVERRIDE=FQ","FILING_STATUS=MR","SCALING_FORMAT=MLN","Sort=A","Dates=H","DateFormat=P","Fill=—","Direction=H","UseDPDF=Y")</f>
        <v>0</v>
      </c>
      <c r="O25" s="16" cm="1">
        <f t="array" ref="O25">_xll.BDH("CMI US Equity","CF_DISPOSAL_OF_INTANGIBLE_ASSETS","FQ3 2021","FQ3 2021","Currency=USD","Period=FQ","BEST_FPERIOD_OVERRIDE=FQ","FILING_STATUS=MR","SCALING_FORMAT=MLN","Sort=A","Dates=H","DateFormat=P","Fill=—","Direction=H","UseDPDF=Y")</f>
        <v>0</v>
      </c>
      <c r="P25" s="16" cm="1">
        <f t="array" ref="P25">_xll.BDH("CMI US Equity","CF_DISPOSAL_OF_INTANGIBLE_ASSETS","FQ4 2021","FQ4 2021","Currency=USD","Period=FQ","BEST_FPERIOD_OVERRIDE=FQ","FILING_STATUS=MR","SCALING_FORMAT=MLN","Sort=A","Dates=H","DateFormat=P","Fill=—","Direction=H","UseDPDF=Y")</f>
        <v>0</v>
      </c>
      <c r="Q25" s="16" cm="1">
        <f t="array" ref="Q25">_xll.BDH("CMI US Equity","CF_DISPOSAL_OF_INTANGIBLE_ASSETS","FQ1 2022","FQ1 2022","Currency=USD","Period=FQ","BEST_FPERIOD_OVERRIDE=FQ","FILING_STATUS=MR","SCALING_FORMAT=MLN","Sort=A","Dates=H","DateFormat=P","Fill=—","Direction=H","UseDPDF=Y")</f>
        <v>0</v>
      </c>
      <c r="R25" s="16" cm="1">
        <f t="array" ref="R25">_xll.BDH("CMI US Equity","CF_DISPOSAL_OF_INTANGIBLE_ASSETS","FQ2 2022","FQ2 2022","Currency=USD","Period=FQ","BEST_FPERIOD_OVERRIDE=FQ","FILING_STATUS=MR","SCALING_FORMAT=MLN","Sort=A","Dates=H","DateFormat=P","Fill=—","Direction=H","UseDPDF=Y")</f>
        <v>0</v>
      </c>
      <c r="S25" s="16" cm="1">
        <f t="array" ref="S25">_xll.BDH("CMI US Equity","CF_DISPOSAL_OF_INTANGIBLE_ASSETS","FQ3 2022","FQ3 2022","Currency=USD","Period=FQ","BEST_FPERIOD_OVERRIDE=FQ","FILING_STATUS=MR","SCALING_FORMAT=MLN","Sort=A","Dates=H","DateFormat=P","Fill=—","Direction=H","UseDPDF=Y")</f>
        <v>0</v>
      </c>
      <c r="T25" s="16" cm="1">
        <f t="array" ref="T25">_xll.BDH("CMI US Equity","CF_DISPOSAL_OF_INTANGIBLE_ASSETS","FQ4 2022","FQ4 2022","Currency=USD","Period=FQ","BEST_FPERIOD_OVERRIDE=FQ","FILING_STATUS=MR","SCALING_FORMAT=MLN","Sort=A","Dates=H","DateFormat=P","Fill=—","Direction=H","UseDPDF=Y")</f>
        <v>0</v>
      </c>
      <c r="U25" s="16" cm="1">
        <f t="array" ref="U25">_xll.BDH("CMI US Equity","CF_DISPOSAL_OF_INTANGIBLE_ASSETS","FQ1 2023","FQ1 2023","Currency=USD","Period=FQ","BEST_FPERIOD_OVERRIDE=FQ","FILING_STATUS=MR","SCALING_FORMAT=MLN","Sort=A","Dates=H","DateFormat=P","Fill=—","Direction=H","UseDPDF=Y")</f>
        <v>0</v>
      </c>
      <c r="V25" s="16" cm="1">
        <f t="array" ref="V25">_xll.BDH("CMI US Equity","CF_DISPOSAL_OF_INTANGIBLE_ASSETS","FQ2 2023","FQ2 2023","Currency=USD","Period=FQ","BEST_FPERIOD_OVERRIDE=FQ","FILING_STATUS=MR","SCALING_FORMAT=MLN","Sort=A","Dates=H","DateFormat=P","Fill=—","Direction=H","UseDPDF=Y")</f>
        <v>0</v>
      </c>
      <c r="W25" s="16" cm="1">
        <f t="array" ref="W25">_xll.BDH("CMI US Equity","CF_DISPOSAL_OF_INTANGIBLE_ASSETS","FQ3 2023","FQ3 2023","Currency=USD","Period=FQ","BEST_FPERIOD_OVERRIDE=FQ","FILING_STATUS=MR","SCALING_FORMAT=MLN","Sort=A","Dates=H","DateFormat=P","Fill=—","Direction=H","UseDPDF=Y")</f>
        <v>0</v>
      </c>
      <c r="X25" s="16" cm="1">
        <f t="array" ref="X25">_xll.BDH("CMI US Equity","CF_DISPOSAL_OF_INTANGIBLE_ASSETS","FQ4 2023","FQ4 2023","Currency=USD","Period=FQ","BEST_FPERIOD_OVERRIDE=FQ","FILING_STATUS=MR","SCALING_FORMAT=MLN","Sort=A","Dates=H","DateFormat=P","Fill=—","Direction=H","UseDPDF=Y")</f>
        <v>0</v>
      </c>
      <c r="Y25" s="16" cm="1">
        <f t="array" ref="Y25">_xll.BDH("CMI US Equity","CF_DISPOSAL_OF_INTANGIBLE_ASSETS","FQ1 2024","FQ1 2024","Currency=USD","Period=FQ","BEST_FPERIOD_OVERRIDE=FQ","FILING_STATUS=MR","SCALING_FORMAT=MLN","Sort=A","Dates=H","DateFormat=P","Fill=—","Direction=H","UseDPDF=Y")</f>
        <v>0</v>
      </c>
      <c r="Z25" s="16" cm="1">
        <f t="array" ref="Z25">_xll.BDH("CMI US Equity","CF_DISPOSAL_OF_INTANGIBLE_ASSETS","FQ2 2024","FQ2 2024","Currency=USD","Period=FQ","BEST_FPERIOD_OVERRIDE=FQ","FILING_STATUS=MR","SCALING_FORMAT=MLN","Sort=A","Dates=H","DateFormat=P","Fill=—","Direction=H","UseDPDF=Y")</f>
        <v>0</v>
      </c>
      <c r="AA25" s="16" cm="1">
        <f t="array" ref="AA25">_xll.BDH("CMI US Equity","CF_DISPOSAL_OF_INTANGIBLE_ASSETS","FQ3 2024","FQ3 2024","Currency=USD","Period=FQ","BEST_FPERIOD_OVERRIDE=FQ","FILING_STATUS=MR","SCALING_FORMAT=MLN","Sort=A","Dates=H","DateFormat=P","Fill=—","Direction=H","UseDPDF=Y")</f>
        <v>0</v>
      </c>
      <c r="AB25" s="16" cm="1">
        <f t="array" ref="AB25">_xll.BDH("CMI US Equity","CF_DISPOSAL_OF_INTANGIBLE_ASSETS","FQ4 2024","FQ4 2024","Currency=USD","Period=FQ","BEST_FPERIOD_OVERRIDE=FQ","FILING_STATUS=MR","SCALING_FORMAT=MLN","Sort=A","Dates=H","DateFormat=P","Fill=—","Direction=H","UseDPDF=Y")</f>
        <v>0</v>
      </c>
      <c r="AC25" s="16" cm="1">
        <f t="array" ref="AC25">_xll.BDH("CMI US Equity","CF_DISPOSAL_OF_INTANGIBLE_ASSETS","FQ1 2025","FQ1 2025","Currency=USD","Period=FQ","BEST_FPERIOD_OVERRIDE=FQ","FILING_STATUS=MR","SCALING_FORMAT=MLN","Sort=A","Dates=H","DateFormat=P","Fill=—","Direction=H","UseDPDF=Y")</f>
        <v>0</v>
      </c>
      <c r="AD25" s="16" cm="1">
        <f t="array" ref="AD25">_xll.BDH("CMI US Equity","CF_DISPOSAL_OF_INTANGIBLE_ASSETS","FQ2 2025","FQ2 2025","Currency=USD","Period=FQ","BEST_FPERIOD_OVERRIDE=FQ","FILING_STATUS=MR","SCALING_FORMAT=MLN","Sort=A","Dates=H","DateFormat=P","Fill=—","Direction=H","UseDPDF=Y")</f>
        <v>0</v>
      </c>
      <c r="AE25" s="16" cm="1">
        <f t="array" ref="AE25">_xll.BDH("CMI US Equity","CF_DISPOSAL_OF_INTANGIBLE_ASSETS","FQ3 2025","FQ3 2025","Currency=USD","Period=FQ","BEST_FPERIOD_OVERRIDE=FQ","FILING_STATUS=MR","SCALING_FORMAT=MLN","Sort=A","Dates=H","DateFormat=P","Fill=—","Direction=H","UseDPDF=Y")</f>
        <v>0</v>
      </c>
      <c r="AF25" s="16" cm="1">
        <f t="array" ref="AF25">_xll.BDH("CMI US Equity","CF_DISPOSAL_OF_INTANGIBLE_ASSETS","FQ4 2025","FQ4 2025","Currency=USD","Period=FQ","BEST_FPERIOD_OVERRIDE=FQ","FILING_STATUS=MR","SCALING_FORMAT=MLN","Sort=A","Dates=H","DateFormat=P","Fill=—","Direction=H","UseDPDF=Y")</f>
        <v>0</v>
      </c>
    </row>
    <row r="26" spans="1:32" x14ac:dyDescent="0.25">
      <c r="A26" s="10" t="s">
        <v>100</v>
      </c>
      <c r="B26" s="10" t="s">
        <v>101</v>
      </c>
      <c r="C26" s="12" cm="1">
        <f t="array" ref="C26">_xll.BDH("CMI US Equity","ACQUIS_OF_FIXED_INTANG","FQ3 2018","FQ3 2018","Currency=USD","Period=FQ","BEST_FPERIOD_OVERRIDE=FQ","FILING_STATUS=MR","SCALING_FORMAT=MLN","Sort=A","Dates=H","DateFormat=P","Fill=—","Direction=H","UseDPDF=Y")</f>
        <v>-195</v>
      </c>
      <c r="D26" s="12" cm="1">
        <f t="array" ref="D26">_xll.BDH("CMI US Equity","ACQUIS_OF_FIXED_INTANG","FQ4 2018","FQ4 2018","Currency=USD","Period=FQ","BEST_FPERIOD_OVERRIDE=FQ","FILING_STATUS=MR","SCALING_FORMAT=MLN","Sort=A","Dates=H","DateFormat=P","Fill=—","Direction=H","UseDPDF=Y")</f>
        <v>-368</v>
      </c>
      <c r="E26" s="12" cm="1">
        <f t="array" ref="E26">_xll.BDH("CMI US Equity","ACQUIS_OF_FIXED_INTANG","FQ1 2019","FQ1 2019","Currency=USD","Period=FQ","BEST_FPERIOD_OVERRIDE=FQ","FILING_STATUS=MR","SCALING_FORMAT=MLN","Sort=A","Dates=H","DateFormat=P","Fill=—","Direction=H","UseDPDF=Y")</f>
        <v>-129</v>
      </c>
      <c r="F26" s="12" cm="1">
        <f t="array" ref="F26">_xll.BDH("CMI US Equity","ACQUIS_OF_FIXED_INTANG","FQ2 2019","FQ2 2019","Currency=USD","Period=FQ","BEST_FPERIOD_OVERRIDE=FQ","FILING_STATUS=MR","SCALING_FORMAT=MLN","Sort=A","Dates=H","DateFormat=P","Fill=—","Direction=H","UseDPDF=Y")</f>
        <v>-147</v>
      </c>
      <c r="G26" s="12" cm="1">
        <f t="array" ref="G26">_xll.BDH("CMI US Equity","ACQUIS_OF_FIXED_INTANG","FQ3 2019","FQ3 2019","Currency=USD","Period=FQ","BEST_FPERIOD_OVERRIDE=FQ","FILING_STATUS=MR","SCALING_FORMAT=MLN","Sort=A","Dates=H","DateFormat=P","Fill=—","Direction=H","UseDPDF=Y")</f>
        <v>-169</v>
      </c>
      <c r="H26" s="12" cm="1">
        <f t="array" ref="H26">_xll.BDH("CMI US Equity","ACQUIS_OF_FIXED_INTANG","FQ4 2019","FQ4 2019","Currency=USD","Period=FQ","BEST_FPERIOD_OVERRIDE=FQ","FILING_STATUS=MR","SCALING_FORMAT=MLN","Sort=A","Dates=H","DateFormat=P","Fill=—","Direction=H","UseDPDF=Y")</f>
        <v>-330</v>
      </c>
      <c r="I26" s="12" cm="1">
        <f t="array" ref="I26">_xll.BDH("CMI US Equity","ACQUIS_OF_FIXED_INTANG","FQ1 2020","FQ1 2020","Currency=USD","Period=FQ","BEST_FPERIOD_OVERRIDE=FQ","FILING_STATUS=MR","SCALING_FORMAT=MLN","Sort=A","Dates=H","DateFormat=P","Fill=—","Direction=H","UseDPDF=Y")</f>
        <v>-83</v>
      </c>
      <c r="J26" s="12" cm="1">
        <f t="array" ref="J26">_xll.BDH("CMI US Equity","ACQUIS_OF_FIXED_INTANG","FQ2 2020","FQ2 2020","Currency=USD","Period=FQ","BEST_FPERIOD_OVERRIDE=FQ","FILING_STATUS=MR","SCALING_FORMAT=MLN","Sort=A","Dates=H","DateFormat=P","Fill=—","Direction=H","UseDPDF=Y")</f>
        <v>-90</v>
      </c>
      <c r="K26" s="12" cm="1">
        <f t="array" ref="K26">_xll.BDH("CMI US Equity","ACQUIS_OF_FIXED_INTANG","FQ3 2020","FQ3 2020","Currency=USD","Period=FQ","BEST_FPERIOD_OVERRIDE=FQ","FILING_STATUS=MR","SCALING_FORMAT=MLN","Sort=A","Dates=H","DateFormat=P","Fill=—","Direction=H","UseDPDF=Y")</f>
        <v>-128</v>
      </c>
      <c r="L26" s="12" cm="1">
        <f t="array" ref="L26">_xll.BDH("CMI US Equity","ACQUIS_OF_FIXED_INTANG","FQ4 2020","FQ4 2020","Currency=USD","Period=FQ","BEST_FPERIOD_OVERRIDE=FQ","FILING_STATUS=MR","SCALING_FORMAT=MLN","Sort=A","Dates=H","DateFormat=P","Fill=—","Direction=H","UseDPDF=Y")</f>
        <v>-274</v>
      </c>
      <c r="M26" s="12" cm="1">
        <f t="array" ref="M26">_xll.BDH("CMI US Equity","ACQUIS_OF_FIXED_INTANG","FQ1 2021","FQ1 2021","Currency=USD","Period=FQ","BEST_FPERIOD_OVERRIDE=FQ","FILING_STATUS=MR","SCALING_FORMAT=MLN","Sort=A","Dates=H","DateFormat=P","Fill=—","Direction=H","UseDPDF=Y")</f>
        <v>-98</v>
      </c>
      <c r="N26" s="12" cm="1">
        <f t="array" ref="N26">_xll.BDH("CMI US Equity","ACQUIS_OF_FIXED_INTANG","FQ2 2021","FQ2 2021","Currency=USD","Period=FQ","BEST_FPERIOD_OVERRIDE=FQ","FILING_STATUS=MR","SCALING_FORMAT=MLN","Sort=A","Dates=H","DateFormat=P","Fill=—","Direction=H","UseDPDF=Y")</f>
        <v>-136</v>
      </c>
      <c r="O26" s="12" cm="1">
        <f t="array" ref="O26">_xll.BDH("CMI US Equity","ACQUIS_OF_FIXED_INTANG","FQ3 2021","FQ3 2021","Currency=USD","Period=FQ","BEST_FPERIOD_OVERRIDE=FQ","FILING_STATUS=MR","SCALING_FORMAT=MLN","Sort=A","Dates=H","DateFormat=P","Fill=—","Direction=H","UseDPDF=Y")</f>
        <v>-164</v>
      </c>
      <c r="P26" s="12" cm="1">
        <f t="array" ref="P26">_xll.BDH("CMI US Equity","ACQUIS_OF_FIXED_INTANG","FQ4 2021","FQ4 2021","Currency=USD","Period=FQ","BEST_FPERIOD_OVERRIDE=FQ","FILING_STATUS=MR","SCALING_FORMAT=MLN","Sort=A","Dates=H","DateFormat=P","Fill=—","Direction=H","UseDPDF=Y")</f>
        <v>-388</v>
      </c>
      <c r="Q26" s="12" cm="1">
        <f t="array" ref="Q26">_xll.BDH("CMI US Equity","ACQUIS_OF_FIXED_INTANG","FQ1 2022","FQ1 2022","Currency=USD","Period=FQ","BEST_FPERIOD_OVERRIDE=FQ","FILING_STATUS=MR","SCALING_FORMAT=MLN","Sort=A","Dates=H","DateFormat=P","Fill=—","Direction=H","UseDPDF=Y")</f>
        <v>-115</v>
      </c>
      <c r="R26" s="12" cm="1">
        <f t="array" ref="R26">_xll.BDH("CMI US Equity","ACQUIS_OF_FIXED_INTANG","FQ2 2022","FQ2 2022","Currency=USD","Period=FQ","BEST_FPERIOD_OVERRIDE=FQ","FILING_STATUS=MR","SCALING_FORMAT=MLN","Sort=A","Dates=H","DateFormat=P","Fill=—","Direction=H","UseDPDF=Y")</f>
        <v>-160</v>
      </c>
      <c r="S26" s="12" cm="1">
        <f t="array" ref="S26">_xll.BDH("CMI US Equity","ACQUIS_OF_FIXED_INTANG","FQ3 2022","FQ3 2022","Currency=USD","Period=FQ","BEST_FPERIOD_OVERRIDE=FQ","FILING_STATUS=MR","SCALING_FORMAT=MLN","Sort=A","Dates=H","DateFormat=P","Fill=—","Direction=H","UseDPDF=Y")</f>
        <v>-222</v>
      </c>
      <c r="T26" s="12" cm="1">
        <f t="array" ref="T26">_xll.BDH("CMI US Equity","ACQUIS_OF_FIXED_INTANG","FQ4 2022","FQ4 2022","Currency=USD","Period=FQ","BEST_FPERIOD_OVERRIDE=FQ","FILING_STATUS=MR","SCALING_FORMAT=MLN","Sort=A","Dates=H","DateFormat=P","Fill=—","Direction=H","UseDPDF=Y")</f>
        <v>-419</v>
      </c>
      <c r="U26" s="12" cm="1">
        <f t="array" ref="U26">_xll.BDH("CMI US Equity","ACQUIS_OF_FIXED_INTANG","FQ1 2023","FQ1 2023","Currency=USD","Period=FQ","BEST_FPERIOD_OVERRIDE=FQ","FILING_STATUS=MR","SCALING_FORMAT=MLN","Sort=A","Dates=H","DateFormat=P","Fill=—","Direction=H","UseDPDF=Y")</f>
        <v>-193</v>
      </c>
      <c r="V26" s="12" cm="1">
        <f t="array" ref="V26">_xll.BDH("CMI US Equity","ACQUIS_OF_FIXED_INTANG","FQ2 2023","FQ2 2023","Currency=USD","Period=FQ","BEST_FPERIOD_OVERRIDE=FQ","FILING_STATUS=MR","SCALING_FORMAT=MLN","Sort=A","Dates=H","DateFormat=P","Fill=—","Direction=H","UseDPDF=Y")</f>
        <v>-221</v>
      </c>
      <c r="W26" s="12" cm="1">
        <f t="array" ref="W26">_xll.BDH("CMI US Equity","ACQUIS_OF_FIXED_INTANG","FQ3 2023","FQ3 2023","Currency=USD","Period=FQ","BEST_FPERIOD_OVERRIDE=FQ","FILING_STATUS=MR","SCALING_FORMAT=MLN","Sort=A","Dates=H","DateFormat=P","Fill=—","Direction=H","UseDPDF=Y")</f>
        <v>-280</v>
      </c>
      <c r="X26" s="12" cm="1">
        <f t="array" ref="X26">_xll.BDH("CMI US Equity","ACQUIS_OF_FIXED_INTANG","FQ4 2023","FQ4 2023","Currency=USD","Period=FQ","BEST_FPERIOD_OVERRIDE=FQ","FILING_STATUS=MR","SCALING_FORMAT=MLN","Sort=A","Dates=H","DateFormat=P","Fill=—","Direction=H","UseDPDF=Y")</f>
        <v>-519</v>
      </c>
      <c r="Y26" s="12" cm="1">
        <f t="array" ref="Y26">_xll.BDH("CMI US Equity","ACQUIS_OF_FIXED_INTANG","FQ1 2024","FQ1 2024","Currency=USD","Period=FQ","BEST_FPERIOD_OVERRIDE=FQ","FILING_STATUS=MR","SCALING_FORMAT=MLN","Sort=A","Dates=H","DateFormat=P","Fill=—","Direction=H","UseDPDF=Y")</f>
        <v>-169</v>
      </c>
      <c r="Z26" s="12" cm="1">
        <f t="array" ref="Z26">_xll.BDH("CMI US Equity","ACQUIS_OF_FIXED_INTANG","FQ2 2024","FQ2 2024","Currency=USD","Period=FQ","BEST_FPERIOD_OVERRIDE=FQ","FILING_STATUS=MR","SCALING_FORMAT=MLN","Sort=A","Dates=H","DateFormat=P","Fill=—","Direction=H","UseDPDF=Y")</f>
        <v>-240</v>
      </c>
      <c r="AA26" s="12" cm="1">
        <f t="array" ref="AA26">_xll.BDH("CMI US Equity","ACQUIS_OF_FIXED_INTANG","FQ3 2024","FQ3 2024","Currency=USD","Period=FQ","BEST_FPERIOD_OVERRIDE=FQ","FILING_STATUS=MR","SCALING_FORMAT=MLN","Sort=A","Dates=H","DateFormat=P","Fill=—","Direction=H","UseDPDF=Y")</f>
        <v>-259</v>
      </c>
      <c r="AB26" s="12" cm="1">
        <f t="array" ref="AB26">_xll.BDH("CMI US Equity","ACQUIS_OF_FIXED_INTANG","FQ4 2024","FQ4 2024","Currency=USD","Period=FQ","BEST_FPERIOD_OVERRIDE=FQ","FILING_STATUS=MR","SCALING_FORMAT=MLN","Sort=A","Dates=H","DateFormat=P","Fill=—","Direction=H","UseDPDF=Y")</f>
        <v>-540</v>
      </c>
      <c r="AC26" s="12" cm="1">
        <f t="array" ref="AC26">_xll.BDH("CMI US Equity","ACQUIS_OF_FIXED_INTANG","FQ1 2025","FQ1 2025","Currency=USD","Period=FQ","BEST_FPERIOD_OVERRIDE=FQ","FILING_STATUS=MR","SCALING_FORMAT=MLN","Sort=A","Dates=H","DateFormat=P","Fill=—","Direction=H","UseDPDF=Y")</f>
        <v>-162</v>
      </c>
      <c r="AD26" s="12" cm="1">
        <f t="array" ref="AD26">_xll.BDH("CMI US Equity","ACQUIS_OF_FIXED_INTANG","FQ2 2025","FQ2 2025","Currency=USD","Period=FQ","BEST_FPERIOD_OVERRIDE=FQ","FILING_STATUS=MR","SCALING_FORMAT=MLN","Sort=A","Dates=H","DateFormat=P","Fill=—","Direction=H","UseDPDF=Y")</f>
        <v>-231</v>
      </c>
      <c r="AE26" s="12" cm="1">
        <f t="array" ref="AE26">_xll.BDH("CMI US Equity","ACQUIS_OF_FIXED_INTANG","FQ3 2025","FQ3 2025","Currency=USD","Period=FQ","BEST_FPERIOD_OVERRIDE=FQ","FILING_STATUS=MR","SCALING_FORMAT=MLN","Sort=A","Dates=H","DateFormat=P","Fill=—","Direction=H","UseDPDF=Y")</f>
        <v>-298</v>
      </c>
      <c r="AF26" s="12" cm="1">
        <f t="array" ref="AF26">_xll.BDH("CMI US Equity","ACQUIS_OF_FIXED_INTANG","FQ4 2025","FQ4 2025","Currency=USD","Period=FQ","BEST_FPERIOD_OVERRIDE=FQ","FILING_STATUS=MR","SCALING_FORMAT=MLN","Sort=A","Dates=H","DateFormat=P","Fill=—","Direction=H","UseDPDF=Y")</f>
        <v>-544</v>
      </c>
    </row>
    <row r="27" spans="1:32" x14ac:dyDescent="0.25">
      <c r="A27" s="11" t="s">
        <v>102</v>
      </c>
      <c r="B27" s="11" t="s">
        <v>103</v>
      </c>
      <c r="C27" s="16" cm="1">
        <f t="array" ref="C27">_xll.BDH("CMI US Equity","CF_PURCHASE_OF_FIXED_PROD_ASSETS","FQ3 2018","FQ3 2018","Currency=USD","Period=FQ","BEST_FPERIOD_OVERRIDE=FQ","FILING_STATUS=MR","SCALING_FORMAT=MLN","Sort=A","Dates=H","DateFormat=P","Fill=—","Direction=H","UseDPDF=Y")</f>
        <v>-175</v>
      </c>
      <c r="D27" s="16" cm="1">
        <f t="array" ref="D27">_xll.BDH("CMI US Equity","CF_PURCHASE_OF_FIXED_PROD_ASSETS","FQ4 2018","FQ4 2018","Currency=USD","Period=FQ","BEST_FPERIOD_OVERRIDE=FQ","FILING_STATUS=MR","SCALING_FORMAT=MLN","Sort=A","Dates=H","DateFormat=P","Fill=—","Direction=H","UseDPDF=Y")</f>
        <v>-348</v>
      </c>
      <c r="E27" s="16" cm="1">
        <f t="array" ref="E27">_xll.BDH("CMI US Equity","CF_PURCHASE_OF_FIXED_PROD_ASSETS","FQ1 2019","FQ1 2019","Currency=USD","Period=FQ","BEST_FPERIOD_OVERRIDE=FQ","FILING_STATUS=MR","SCALING_FORMAT=MLN","Sort=A","Dates=H","DateFormat=P","Fill=—","Direction=H","UseDPDF=Y")</f>
        <v>-109</v>
      </c>
      <c r="F27" s="16" cm="1">
        <f t="array" ref="F27">_xll.BDH("CMI US Equity","CF_PURCHASE_OF_FIXED_PROD_ASSETS","FQ2 2019","FQ2 2019","Currency=USD","Period=FQ","BEST_FPERIOD_OVERRIDE=FQ","FILING_STATUS=MR","SCALING_FORMAT=MLN","Sort=A","Dates=H","DateFormat=P","Fill=—","Direction=H","UseDPDF=Y")</f>
        <v>-133</v>
      </c>
      <c r="G27" s="16" cm="1">
        <f t="array" ref="G27">_xll.BDH("CMI US Equity","CF_PURCHASE_OF_FIXED_PROD_ASSETS","FQ3 2019","FQ3 2019","Currency=USD","Period=FQ","BEST_FPERIOD_OVERRIDE=FQ","FILING_STATUS=MR","SCALING_FORMAT=MLN","Sort=A","Dates=H","DateFormat=P","Fill=—","Direction=H","UseDPDF=Y")</f>
        <v>-153</v>
      </c>
      <c r="H27" s="16" cm="1">
        <f t="array" ref="H27">_xll.BDH("CMI US Equity","CF_PURCHASE_OF_FIXED_PROD_ASSETS","FQ4 2019","FQ4 2019","Currency=USD","Period=FQ","BEST_FPERIOD_OVERRIDE=FQ","FILING_STATUS=MR","SCALING_FORMAT=MLN","Sort=A","Dates=H","DateFormat=P","Fill=—","Direction=H","UseDPDF=Y")</f>
        <v>-305</v>
      </c>
      <c r="I27" s="16" cm="1">
        <f t="array" ref="I27">_xll.BDH("CMI US Equity","CF_PURCHASE_OF_FIXED_PROD_ASSETS","FQ1 2020","FQ1 2020","Currency=USD","Period=FQ","BEST_FPERIOD_OVERRIDE=FQ","FILING_STATUS=MR","SCALING_FORMAT=MLN","Sort=A","Dates=H","DateFormat=P","Fill=—","Direction=H","UseDPDF=Y")</f>
        <v>-75</v>
      </c>
      <c r="J27" s="16" cm="1">
        <f t="array" ref="J27">_xll.BDH("CMI US Equity","CF_PURCHASE_OF_FIXED_PROD_ASSETS","FQ2 2020","FQ2 2020","Currency=USD","Period=FQ","BEST_FPERIOD_OVERRIDE=FQ","FILING_STATUS=MR","SCALING_FORMAT=MLN","Sort=A","Dates=H","DateFormat=P","Fill=—","Direction=H","UseDPDF=Y")</f>
        <v>-77</v>
      </c>
      <c r="K27" s="16" cm="1">
        <f t="array" ref="K27">_xll.BDH("CMI US Equity","CF_PURCHASE_OF_FIXED_PROD_ASSETS","FQ3 2020","FQ3 2020","Currency=USD","Period=FQ","BEST_FPERIOD_OVERRIDE=FQ","FILING_STATUS=MR","SCALING_FORMAT=MLN","Sort=A","Dates=H","DateFormat=P","Fill=—","Direction=H","UseDPDF=Y")</f>
        <v>-116</v>
      </c>
      <c r="L27" s="16" cm="1">
        <f t="array" ref="L27">_xll.BDH("CMI US Equity","CF_PURCHASE_OF_FIXED_PROD_ASSETS","FQ4 2020","FQ4 2020","Currency=USD","Period=FQ","BEST_FPERIOD_OVERRIDE=FQ","FILING_STATUS=MR","SCALING_FORMAT=MLN","Sort=A","Dates=H","DateFormat=P","Fill=—","Direction=H","UseDPDF=Y")</f>
        <v>-260</v>
      </c>
      <c r="M27" s="16" cm="1">
        <f t="array" ref="M27">_xll.BDH("CMI US Equity","CF_PURCHASE_OF_FIXED_PROD_ASSETS","FQ1 2021","FQ1 2021","Currency=USD","Period=FQ","BEST_FPERIOD_OVERRIDE=FQ","FILING_STATUS=MR","SCALING_FORMAT=MLN","Sort=A","Dates=H","DateFormat=P","Fill=—","Direction=H","UseDPDF=Y")</f>
        <v>-87</v>
      </c>
      <c r="N27" s="16" cm="1">
        <f t="array" ref="N27">_xll.BDH("CMI US Equity","CF_PURCHASE_OF_FIXED_PROD_ASSETS","FQ2 2021","FQ2 2021","Currency=USD","Period=FQ","BEST_FPERIOD_OVERRIDE=FQ","FILING_STATUS=MR","SCALING_FORMAT=MLN","Sort=A","Dates=H","DateFormat=P","Fill=—","Direction=H","UseDPDF=Y")</f>
        <v>-125</v>
      </c>
      <c r="O27" s="16" cm="1">
        <f t="array" ref="O27">_xll.BDH("CMI US Equity","CF_PURCHASE_OF_FIXED_PROD_ASSETS","FQ3 2021","FQ3 2021","Currency=USD","Period=FQ","BEST_FPERIOD_OVERRIDE=FQ","FILING_STATUS=MR","SCALING_FORMAT=MLN","Sort=A","Dates=H","DateFormat=P","Fill=—","Direction=H","UseDPDF=Y")</f>
        <v>-150</v>
      </c>
      <c r="P27" s="16" cm="1">
        <f t="array" ref="P27">_xll.BDH("CMI US Equity","CF_PURCHASE_OF_FIXED_PROD_ASSETS","FQ4 2021","FQ4 2021","Currency=USD","Period=FQ","BEST_FPERIOD_OVERRIDE=FQ","FILING_STATUS=MR","SCALING_FORMAT=MLN","Sort=A","Dates=H","DateFormat=P","Fill=—","Direction=H","UseDPDF=Y")</f>
        <v>-372</v>
      </c>
      <c r="Q27" s="16" cm="1">
        <f t="array" ref="Q27">_xll.BDH("CMI US Equity","CF_PURCHASE_OF_FIXED_PROD_ASSETS","FQ1 2022","FQ1 2022","Currency=USD","Period=FQ","BEST_FPERIOD_OVERRIDE=FQ","FILING_STATUS=MR","SCALING_FORMAT=MLN","Sort=A","Dates=H","DateFormat=P","Fill=—","Direction=H","UseDPDF=Y")</f>
        <v>-104</v>
      </c>
      <c r="R27" s="16" cm="1">
        <f t="array" ref="R27">_xll.BDH("CMI US Equity","CF_PURCHASE_OF_FIXED_PROD_ASSETS","FQ2 2022","FQ2 2022","Currency=USD","Period=FQ","BEST_FPERIOD_OVERRIDE=FQ","FILING_STATUS=MR","SCALING_FORMAT=MLN","Sort=A","Dates=H","DateFormat=P","Fill=—","Direction=H","UseDPDF=Y")</f>
        <v>-147</v>
      </c>
      <c r="S27" s="16" cm="1">
        <f t="array" ref="S27">_xll.BDH("CMI US Equity","CF_PURCHASE_OF_FIXED_PROD_ASSETS","FQ3 2022","FQ3 2022","Currency=USD","Period=FQ","BEST_FPERIOD_OVERRIDE=FQ","FILING_STATUS=MR","SCALING_FORMAT=MLN","Sort=A","Dates=H","DateFormat=P","Fill=—","Direction=H","UseDPDF=Y")</f>
        <v>-202</v>
      </c>
      <c r="T27" s="16" cm="1">
        <f t="array" ref="T27">_xll.BDH("CMI US Equity","CF_PURCHASE_OF_FIXED_PROD_ASSETS","FQ4 2022","FQ4 2022","Currency=USD","Period=FQ","BEST_FPERIOD_OVERRIDE=FQ","FILING_STATUS=MR","SCALING_FORMAT=MLN","Sort=A","Dates=H","DateFormat=P","Fill=—","Direction=H","UseDPDF=Y")</f>
        <v>-419</v>
      </c>
      <c r="U27" s="16" cm="1">
        <f t="array" ref="U27">_xll.BDH("CMI US Equity","CF_PURCHASE_OF_FIXED_PROD_ASSETS","FQ1 2023","FQ1 2023","Currency=USD","Period=FQ","BEST_FPERIOD_OVERRIDE=FQ","FILING_STATUS=MR","SCALING_FORMAT=MLN","Sort=A","Dates=H","DateFormat=P","Fill=—","Direction=H","UseDPDF=Y")</f>
        <v>-193</v>
      </c>
      <c r="V27" s="16" cm="1">
        <f t="array" ref="V27">_xll.BDH("CMI US Equity","CF_PURCHASE_OF_FIXED_PROD_ASSETS","FQ2 2023","FQ2 2023","Currency=USD","Period=FQ","BEST_FPERIOD_OVERRIDE=FQ","FILING_STATUS=MR","SCALING_FORMAT=MLN","Sort=A","Dates=H","DateFormat=P","Fill=—","Direction=H","UseDPDF=Y")</f>
        <v>-221</v>
      </c>
      <c r="W27" s="16" cm="1">
        <f t="array" ref="W27">_xll.BDH("CMI US Equity","CF_PURCHASE_OF_FIXED_PROD_ASSETS","FQ3 2023","FQ3 2023","Currency=USD","Period=FQ","BEST_FPERIOD_OVERRIDE=FQ","FILING_STATUS=MR","SCALING_FORMAT=MLN","Sort=A","Dates=H","DateFormat=P","Fill=—","Direction=H","UseDPDF=Y")</f>
        <v>-280</v>
      </c>
      <c r="X27" s="16" cm="1">
        <f t="array" ref="X27">_xll.BDH("CMI US Equity","CF_PURCHASE_OF_FIXED_PROD_ASSETS","FQ4 2023","FQ4 2023","Currency=USD","Period=FQ","BEST_FPERIOD_OVERRIDE=FQ","FILING_STATUS=MR","SCALING_FORMAT=MLN","Sort=A","Dates=H","DateFormat=P","Fill=—","Direction=H","UseDPDF=Y")</f>
        <v>-519</v>
      </c>
      <c r="Y27" s="16" cm="1">
        <f t="array" ref="Y27">_xll.BDH("CMI US Equity","CF_PURCHASE_OF_FIXED_PROD_ASSETS","FQ1 2024","FQ1 2024","Currency=USD","Period=FQ","BEST_FPERIOD_OVERRIDE=FQ","FILING_STATUS=MR","SCALING_FORMAT=MLN","Sort=A","Dates=H","DateFormat=P","Fill=—","Direction=H","UseDPDF=Y")</f>
        <v>-169</v>
      </c>
      <c r="Z27" s="16" cm="1">
        <f t="array" ref="Z27">_xll.BDH("CMI US Equity","CF_PURCHASE_OF_FIXED_PROD_ASSETS","FQ2 2024","FQ2 2024","Currency=USD","Period=FQ","BEST_FPERIOD_OVERRIDE=FQ","FILING_STATUS=MR","SCALING_FORMAT=MLN","Sort=A","Dates=H","DateFormat=P","Fill=—","Direction=H","UseDPDF=Y")</f>
        <v>-240</v>
      </c>
      <c r="AA27" s="16" cm="1">
        <f t="array" ref="AA27">_xll.BDH("CMI US Equity","CF_PURCHASE_OF_FIXED_PROD_ASSETS","FQ3 2024","FQ3 2024","Currency=USD","Period=FQ","BEST_FPERIOD_OVERRIDE=FQ","FILING_STATUS=MR","SCALING_FORMAT=MLN","Sort=A","Dates=H","DateFormat=P","Fill=—","Direction=H","UseDPDF=Y")</f>
        <v>-259</v>
      </c>
      <c r="AB27" s="16" cm="1">
        <f t="array" ref="AB27">_xll.BDH("CMI US Equity","CF_PURCHASE_OF_FIXED_PROD_ASSETS","FQ4 2024","FQ4 2024","Currency=USD","Period=FQ","BEST_FPERIOD_OVERRIDE=FQ","FILING_STATUS=MR","SCALING_FORMAT=MLN","Sort=A","Dates=H","DateFormat=P","Fill=—","Direction=H","UseDPDF=Y")</f>
        <v>-540</v>
      </c>
      <c r="AC27" s="16" cm="1">
        <f t="array" ref="AC27">_xll.BDH("CMI US Equity","CF_PURCHASE_OF_FIXED_PROD_ASSETS","FQ1 2025","FQ1 2025","Currency=USD","Period=FQ","BEST_FPERIOD_OVERRIDE=FQ","FILING_STATUS=MR","SCALING_FORMAT=MLN","Sort=A","Dates=H","DateFormat=P","Fill=—","Direction=H","UseDPDF=Y")</f>
        <v>-162</v>
      </c>
      <c r="AD27" s="16" cm="1">
        <f t="array" ref="AD27">_xll.BDH("CMI US Equity","CF_PURCHASE_OF_FIXED_PROD_ASSETS","FQ2 2025","FQ2 2025","Currency=USD","Period=FQ","BEST_FPERIOD_OVERRIDE=FQ","FILING_STATUS=MR","SCALING_FORMAT=MLN","Sort=A","Dates=H","DateFormat=P","Fill=—","Direction=H","UseDPDF=Y")</f>
        <v>-231</v>
      </c>
      <c r="AE27" s="16" cm="1">
        <f t="array" ref="AE27">_xll.BDH("CMI US Equity","CF_PURCHASE_OF_FIXED_PROD_ASSETS","FQ3 2025","FQ3 2025","Currency=USD","Period=FQ","BEST_FPERIOD_OVERRIDE=FQ","FILING_STATUS=MR","SCALING_FORMAT=MLN","Sort=A","Dates=H","DateFormat=P","Fill=—","Direction=H","UseDPDF=Y")</f>
        <v>-298</v>
      </c>
      <c r="AF27" s="16" cm="1">
        <f t="array" ref="AF27">_xll.BDH("CMI US Equity","CF_PURCHASE_OF_FIXED_PROD_ASSETS","FQ4 2025","FQ4 2025","Currency=USD","Period=FQ","BEST_FPERIOD_OVERRIDE=FQ","FILING_STATUS=MR","SCALING_FORMAT=MLN","Sort=A","Dates=H","DateFormat=P","Fill=—","Direction=H","UseDPDF=Y")</f>
        <v>-544</v>
      </c>
    </row>
    <row r="28" spans="1:32" x14ac:dyDescent="0.25">
      <c r="A28" s="11" t="s">
        <v>104</v>
      </c>
      <c r="B28" s="11" t="s">
        <v>105</v>
      </c>
      <c r="C28" s="16" cm="1">
        <f t="array" ref="C28">_xll.BDH("CMI US Equity","CF_ACQUISITION_OF_INTANG_ASSETS","FQ3 2018","FQ3 2018","Currency=USD","Period=FQ","BEST_FPERIOD_OVERRIDE=FQ","FILING_STATUS=MR","SCALING_FORMAT=MLN","Sort=A","Dates=H","DateFormat=P","Fill=—","Direction=H","UseDPDF=Y")</f>
        <v>-20</v>
      </c>
      <c r="D28" s="16" cm="1">
        <f t="array" ref="D28">_xll.BDH("CMI US Equity","CF_ACQUISITION_OF_INTANG_ASSETS","FQ4 2018","FQ4 2018","Currency=USD","Period=FQ","BEST_FPERIOD_OVERRIDE=FQ","FILING_STATUS=MR","SCALING_FORMAT=MLN","Sort=A","Dates=H","DateFormat=P","Fill=—","Direction=H","UseDPDF=Y")</f>
        <v>-20</v>
      </c>
      <c r="E28" s="16" cm="1">
        <f t="array" ref="E28">_xll.BDH("CMI US Equity","CF_ACQUISITION_OF_INTANG_ASSETS","FQ1 2019","FQ1 2019","Currency=USD","Period=FQ","BEST_FPERIOD_OVERRIDE=FQ","FILING_STATUS=MR","SCALING_FORMAT=MLN","Sort=A","Dates=H","DateFormat=P","Fill=—","Direction=H","UseDPDF=Y")</f>
        <v>-20</v>
      </c>
      <c r="F28" s="16" cm="1">
        <f t="array" ref="F28">_xll.BDH("CMI US Equity","CF_ACQUISITION_OF_INTANG_ASSETS","FQ2 2019","FQ2 2019","Currency=USD","Period=FQ","BEST_FPERIOD_OVERRIDE=FQ","FILING_STATUS=MR","SCALING_FORMAT=MLN","Sort=A","Dates=H","DateFormat=P","Fill=—","Direction=H","UseDPDF=Y")</f>
        <v>-14</v>
      </c>
      <c r="G28" s="16" cm="1">
        <f t="array" ref="G28">_xll.BDH("CMI US Equity","CF_ACQUISITION_OF_INTANG_ASSETS","FQ3 2019","FQ3 2019","Currency=USD","Period=FQ","BEST_FPERIOD_OVERRIDE=FQ","FILING_STATUS=MR","SCALING_FORMAT=MLN","Sort=A","Dates=H","DateFormat=P","Fill=—","Direction=H","UseDPDF=Y")</f>
        <v>-16</v>
      </c>
      <c r="H28" s="16" cm="1">
        <f t="array" ref="H28">_xll.BDH("CMI US Equity","CF_ACQUISITION_OF_INTANG_ASSETS","FQ4 2019","FQ4 2019","Currency=USD","Period=FQ","BEST_FPERIOD_OVERRIDE=FQ","FILING_STATUS=MR","SCALING_FORMAT=MLN","Sort=A","Dates=H","DateFormat=P","Fill=—","Direction=H","UseDPDF=Y")</f>
        <v>-25</v>
      </c>
      <c r="I28" s="16" cm="1">
        <f t="array" ref="I28">_xll.BDH("CMI US Equity","CF_ACQUISITION_OF_INTANG_ASSETS","FQ1 2020","FQ1 2020","Currency=USD","Period=FQ","BEST_FPERIOD_OVERRIDE=FQ","FILING_STATUS=MR","SCALING_FORMAT=MLN","Sort=A","Dates=H","DateFormat=P","Fill=—","Direction=H","UseDPDF=Y")</f>
        <v>-8</v>
      </c>
      <c r="J28" s="16" cm="1">
        <f t="array" ref="J28">_xll.BDH("CMI US Equity","CF_ACQUISITION_OF_INTANG_ASSETS","FQ2 2020","FQ2 2020","Currency=USD","Period=FQ","BEST_FPERIOD_OVERRIDE=FQ","FILING_STATUS=MR","SCALING_FORMAT=MLN","Sort=A","Dates=H","DateFormat=P","Fill=—","Direction=H","UseDPDF=Y")</f>
        <v>-13</v>
      </c>
      <c r="K28" s="16" cm="1">
        <f t="array" ref="K28">_xll.BDH("CMI US Equity","CF_ACQUISITION_OF_INTANG_ASSETS","FQ3 2020","FQ3 2020","Currency=USD","Period=FQ","BEST_FPERIOD_OVERRIDE=FQ","FILING_STATUS=MR","SCALING_FORMAT=MLN","Sort=A","Dates=H","DateFormat=P","Fill=—","Direction=H","UseDPDF=Y")</f>
        <v>-12</v>
      </c>
      <c r="L28" s="16" cm="1">
        <f t="array" ref="L28">_xll.BDH("CMI US Equity","CF_ACQUISITION_OF_INTANG_ASSETS","FQ4 2020","FQ4 2020","Currency=USD","Period=FQ","BEST_FPERIOD_OVERRIDE=FQ","FILING_STATUS=MR","SCALING_FORMAT=MLN","Sort=A","Dates=H","DateFormat=P","Fill=—","Direction=H","UseDPDF=Y")</f>
        <v>-14</v>
      </c>
      <c r="M28" s="16" cm="1">
        <f t="array" ref="M28">_xll.BDH("CMI US Equity","CF_ACQUISITION_OF_INTANG_ASSETS","FQ1 2021","FQ1 2021","Currency=USD","Period=FQ","BEST_FPERIOD_OVERRIDE=FQ","FILING_STATUS=MR","SCALING_FORMAT=MLN","Sort=A","Dates=H","DateFormat=P","Fill=—","Direction=H","UseDPDF=Y")</f>
        <v>-11</v>
      </c>
      <c r="N28" s="16" cm="1">
        <f t="array" ref="N28">_xll.BDH("CMI US Equity","CF_ACQUISITION_OF_INTANG_ASSETS","FQ2 2021","FQ2 2021","Currency=USD","Period=FQ","BEST_FPERIOD_OVERRIDE=FQ","FILING_STATUS=MR","SCALING_FORMAT=MLN","Sort=A","Dates=H","DateFormat=P","Fill=—","Direction=H","UseDPDF=Y")</f>
        <v>-11</v>
      </c>
      <c r="O28" s="16" cm="1">
        <f t="array" ref="O28">_xll.BDH("CMI US Equity","CF_ACQUISITION_OF_INTANG_ASSETS","FQ3 2021","FQ3 2021","Currency=USD","Period=FQ","BEST_FPERIOD_OVERRIDE=FQ","FILING_STATUS=MR","SCALING_FORMAT=MLN","Sort=A","Dates=H","DateFormat=P","Fill=—","Direction=H","UseDPDF=Y")</f>
        <v>-14</v>
      </c>
      <c r="P28" s="16" cm="1">
        <f t="array" ref="P28">_xll.BDH("CMI US Equity","CF_ACQUISITION_OF_INTANG_ASSETS","FQ4 2021","FQ4 2021","Currency=USD","Period=FQ","BEST_FPERIOD_OVERRIDE=FQ","FILING_STATUS=MR","SCALING_FORMAT=MLN","Sort=A","Dates=H","DateFormat=P","Fill=—","Direction=H","UseDPDF=Y")</f>
        <v>-16</v>
      </c>
      <c r="Q28" s="16" cm="1">
        <f t="array" ref="Q28">_xll.BDH("CMI US Equity","CF_ACQUISITION_OF_INTANG_ASSETS","FQ1 2022","FQ1 2022","Currency=USD","Period=FQ","BEST_FPERIOD_OVERRIDE=FQ","FILING_STATUS=MR","SCALING_FORMAT=MLN","Sort=A","Dates=H","DateFormat=P","Fill=—","Direction=H","UseDPDF=Y")</f>
        <v>-11</v>
      </c>
      <c r="R28" s="16" cm="1">
        <f t="array" ref="R28">_xll.BDH("CMI US Equity","CF_ACQUISITION_OF_INTANG_ASSETS","FQ2 2022","FQ2 2022","Currency=USD","Period=FQ","BEST_FPERIOD_OVERRIDE=FQ","FILING_STATUS=MR","SCALING_FORMAT=MLN","Sort=A","Dates=H","DateFormat=P","Fill=—","Direction=H","UseDPDF=Y")</f>
        <v>-13</v>
      </c>
      <c r="S28" s="16" cm="1">
        <f t="array" ref="S28">_xll.BDH("CMI US Equity","CF_ACQUISITION_OF_INTANG_ASSETS","FQ3 2022","FQ3 2022","Currency=USD","Period=FQ","BEST_FPERIOD_OVERRIDE=FQ","FILING_STATUS=MR","SCALING_FORMAT=MLN","Sort=A","Dates=H","DateFormat=P","Fill=—","Direction=H","UseDPDF=Y")</f>
        <v>-20</v>
      </c>
      <c r="T28" s="16" cm="1">
        <f t="array" ref="T28">_xll.BDH("CMI US Equity","CF_ACQUISITION_OF_INTANG_ASSETS","FQ4 2022","FQ4 2022","Currency=USD","Period=FQ","BEST_FPERIOD_OVERRIDE=FQ","FILING_STATUS=MR","SCALING_FORMAT=MLN","Sort=A","Dates=H","DateFormat=P","Fill=—","Direction=H","UseDPDF=Y")</f>
        <v>0</v>
      </c>
      <c r="U28" s="16" cm="1">
        <f t="array" ref="U28">_xll.BDH("CMI US Equity","CF_ACQUISITION_OF_INTANG_ASSETS","FQ1 2023","FQ1 2023","Currency=USD","Period=FQ","BEST_FPERIOD_OVERRIDE=FQ","FILING_STATUS=MR","SCALING_FORMAT=MLN","Sort=A","Dates=H","DateFormat=P","Fill=—","Direction=H","UseDPDF=Y")</f>
        <v>0</v>
      </c>
      <c r="V28" s="16" cm="1">
        <f t="array" ref="V28">_xll.BDH("CMI US Equity","CF_ACQUISITION_OF_INTANG_ASSETS","FQ2 2023","FQ2 2023","Currency=USD","Period=FQ","BEST_FPERIOD_OVERRIDE=FQ","FILING_STATUS=MR","SCALING_FORMAT=MLN","Sort=A","Dates=H","DateFormat=P","Fill=—","Direction=H","UseDPDF=Y")</f>
        <v>0</v>
      </c>
      <c r="W28" s="16" cm="1">
        <f t="array" ref="W28">_xll.BDH("CMI US Equity","CF_ACQUISITION_OF_INTANG_ASSETS","FQ3 2023","FQ3 2023","Currency=USD","Period=FQ","BEST_FPERIOD_OVERRIDE=FQ","FILING_STATUS=MR","SCALING_FORMAT=MLN","Sort=A","Dates=H","DateFormat=P","Fill=—","Direction=H","UseDPDF=Y")</f>
        <v>0</v>
      </c>
      <c r="X28" s="16" cm="1">
        <f t="array" ref="X28">_xll.BDH("CMI US Equity","CF_ACQUISITION_OF_INTANG_ASSETS","FQ4 2023","FQ4 2023","Currency=USD","Period=FQ","BEST_FPERIOD_OVERRIDE=FQ","FILING_STATUS=MR","SCALING_FORMAT=MLN","Sort=A","Dates=H","DateFormat=P","Fill=—","Direction=H","UseDPDF=Y")</f>
        <v>0</v>
      </c>
      <c r="Y28" s="16" cm="1">
        <f t="array" ref="Y28">_xll.BDH("CMI US Equity","CF_ACQUISITION_OF_INTANG_ASSETS","FQ1 2024","FQ1 2024","Currency=USD","Period=FQ","BEST_FPERIOD_OVERRIDE=FQ","FILING_STATUS=MR","SCALING_FORMAT=MLN","Sort=A","Dates=H","DateFormat=P","Fill=—","Direction=H","UseDPDF=Y")</f>
        <v>0</v>
      </c>
      <c r="Z28" s="16" cm="1">
        <f t="array" ref="Z28">_xll.BDH("CMI US Equity","CF_ACQUISITION_OF_INTANG_ASSETS","FQ2 2024","FQ2 2024","Currency=USD","Period=FQ","BEST_FPERIOD_OVERRIDE=FQ","FILING_STATUS=MR","SCALING_FORMAT=MLN","Sort=A","Dates=H","DateFormat=P","Fill=—","Direction=H","UseDPDF=Y")</f>
        <v>0</v>
      </c>
      <c r="AA28" s="16" cm="1">
        <f t="array" ref="AA28">_xll.BDH("CMI US Equity","CF_ACQUISITION_OF_INTANG_ASSETS","FQ3 2024","FQ3 2024","Currency=USD","Period=FQ","BEST_FPERIOD_OVERRIDE=FQ","FILING_STATUS=MR","SCALING_FORMAT=MLN","Sort=A","Dates=H","DateFormat=P","Fill=—","Direction=H","UseDPDF=Y")</f>
        <v>0</v>
      </c>
      <c r="AB28" s="16" cm="1">
        <f t="array" ref="AB28">_xll.BDH("CMI US Equity","CF_ACQUISITION_OF_INTANG_ASSETS","FQ4 2024","FQ4 2024","Currency=USD","Period=FQ","BEST_FPERIOD_OVERRIDE=FQ","FILING_STATUS=MR","SCALING_FORMAT=MLN","Sort=A","Dates=H","DateFormat=P","Fill=—","Direction=H","UseDPDF=Y")</f>
        <v>0</v>
      </c>
      <c r="AC28" s="16" cm="1">
        <f t="array" ref="AC28">_xll.BDH("CMI US Equity","CF_ACQUISITION_OF_INTANG_ASSETS","FQ1 2025","FQ1 2025","Currency=USD","Period=FQ","BEST_FPERIOD_OVERRIDE=FQ","FILING_STATUS=MR","SCALING_FORMAT=MLN","Sort=A","Dates=H","DateFormat=P","Fill=—","Direction=H","UseDPDF=Y")</f>
        <v>0</v>
      </c>
      <c r="AD28" s="16" cm="1">
        <f t="array" ref="AD28">_xll.BDH("CMI US Equity","CF_ACQUISITION_OF_INTANG_ASSETS","FQ2 2025","FQ2 2025","Currency=USD","Period=FQ","BEST_FPERIOD_OVERRIDE=FQ","FILING_STATUS=MR","SCALING_FORMAT=MLN","Sort=A","Dates=H","DateFormat=P","Fill=—","Direction=H","UseDPDF=Y")</f>
        <v>0</v>
      </c>
      <c r="AE28" s="16" cm="1">
        <f t="array" ref="AE28">_xll.BDH("CMI US Equity","CF_ACQUISITION_OF_INTANG_ASSETS","FQ3 2025","FQ3 2025","Currency=USD","Period=FQ","BEST_FPERIOD_OVERRIDE=FQ","FILING_STATUS=MR","SCALING_FORMAT=MLN","Sort=A","Dates=H","DateFormat=P","Fill=—","Direction=H","UseDPDF=Y")</f>
        <v>0</v>
      </c>
      <c r="AF28" s="16" cm="1">
        <f t="array" ref="AF28">_xll.BDH("CMI US Equity","CF_ACQUISITION_OF_INTANG_ASSETS","FQ4 2025","FQ4 2025","Currency=USD","Period=FQ","BEST_FPERIOD_OVERRIDE=FQ","FILING_STATUS=MR","SCALING_FORMAT=MLN","Sort=A","Dates=H","DateFormat=P","Fill=—","Direction=H","UseDPDF=Y")</f>
        <v>0</v>
      </c>
    </row>
    <row r="29" spans="1:32" x14ac:dyDescent="0.25">
      <c r="A29" s="10" t="s">
        <v>106</v>
      </c>
      <c r="B29" s="10" t="s">
        <v>107</v>
      </c>
      <c r="C29" s="12" cm="1">
        <f t="array" ref="C29">_xll.BDH("CMI US Equity","NET_CHG_IN_LT_INVEST_DETAILED","FQ3 2018","FQ3 2018","Currency=USD","Period=FQ","BEST_FPERIOD_OVERRIDE=FQ","FILING_STATUS=MR","SCALING_FORMAT=MLN","Sort=A","Dates=H","DateFormat=P","Fill=—","Direction=H","UseDPDF=Y")</f>
        <v>0</v>
      </c>
      <c r="D29" s="12" cm="1">
        <f t="array" ref="D29">_xll.BDH("CMI US Equity","NET_CHG_IN_LT_INVEST_DETAILED","FQ4 2018","FQ4 2018","Currency=USD","Period=FQ","BEST_FPERIOD_OVERRIDE=FQ","FILING_STATUS=MR","SCALING_FORMAT=MLN","Sort=A","Dates=H","DateFormat=P","Fill=—","Direction=H","UseDPDF=Y")</f>
        <v>0</v>
      </c>
      <c r="E29" s="12" cm="1">
        <f t="array" ref="E29">_xll.BDH("CMI US Equity","NET_CHG_IN_LT_INVEST_DETAILED","FQ1 2019","FQ1 2019","Currency=USD","Period=FQ","BEST_FPERIOD_OVERRIDE=FQ","FILING_STATUS=MR","SCALING_FORMAT=MLN","Sort=A","Dates=H","DateFormat=P","Fill=—","Direction=H","UseDPDF=Y")</f>
        <v>0</v>
      </c>
      <c r="F29" s="12" cm="1">
        <f t="array" ref="F29">_xll.BDH("CMI US Equity","NET_CHG_IN_LT_INVEST_DETAILED","FQ2 2019","FQ2 2019","Currency=USD","Period=FQ","BEST_FPERIOD_OVERRIDE=FQ","FILING_STATUS=MR","SCALING_FORMAT=MLN","Sort=A","Dates=H","DateFormat=P","Fill=—","Direction=H","UseDPDF=Y")</f>
        <v>0</v>
      </c>
      <c r="G29" s="12" cm="1">
        <f t="array" ref="G29">_xll.BDH("CMI US Equity","NET_CHG_IN_LT_INVEST_DETAILED","FQ3 2019","FQ3 2019","Currency=USD","Period=FQ","BEST_FPERIOD_OVERRIDE=FQ","FILING_STATUS=MR","SCALING_FORMAT=MLN","Sort=A","Dates=H","DateFormat=P","Fill=—","Direction=H","UseDPDF=Y")</f>
        <v>0</v>
      </c>
      <c r="H29" s="12" cm="1">
        <f t="array" ref="H29">_xll.BDH("CMI US Equity","NET_CHG_IN_LT_INVEST_DETAILED","FQ4 2019","FQ4 2019","Currency=USD","Period=FQ","BEST_FPERIOD_OVERRIDE=FQ","FILING_STATUS=MR","SCALING_FORMAT=MLN","Sort=A","Dates=H","DateFormat=P","Fill=—","Direction=H","UseDPDF=Y")</f>
        <v>0</v>
      </c>
      <c r="I29" s="12" cm="1">
        <f t="array" ref="I29">_xll.BDH("CMI US Equity","NET_CHG_IN_LT_INVEST_DETAILED","FQ1 2020","FQ1 2020","Currency=USD","Period=FQ","BEST_FPERIOD_OVERRIDE=FQ","FILING_STATUS=MR","SCALING_FORMAT=MLN","Sort=A","Dates=H","DateFormat=P","Fill=—","Direction=H","UseDPDF=Y")</f>
        <v>0</v>
      </c>
      <c r="J29" s="12" cm="1">
        <f t="array" ref="J29">_xll.BDH("CMI US Equity","NET_CHG_IN_LT_INVEST_DETAILED","FQ2 2020","FQ2 2020","Currency=USD","Period=FQ","BEST_FPERIOD_OVERRIDE=FQ","FILING_STATUS=MR","SCALING_FORMAT=MLN","Sort=A","Dates=H","DateFormat=P","Fill=—","Direction=H","UseDPDF=Y")</f>
        <v>0</v>
      </c>
      <c r="K29" s="12" cm="1">
        <f t="array" ref="K29">_xll.BDH("CMI US Equity","NET_CHG_IN_LT_INVEST_DETAILED","FQ3 2020","FQ3 2020","Currency=USD","Period=FQ","BEST_FPERIOD_OVERRIDE=FQ","FILING_STATUS=MR","SCALING_FORMAT=MLN","Sort=A","Dates=H","DateFormat=P","Fill=—","Direction=H","UseDPDF=Y")</f>
        <v>0</v>
      </c>
      <c r="L29" s="12" cm="1">
        <f t="array" ref="L29">_xll.BDH("CMI US Equity","NET_CHG_IN_LT_INVEST_DETAILED","FQ4 2020","FQ4 2020","Currency=USD","Period=FQ","BEST_FPERIOD_OVERRIDE=FQ","FILING_STATUS=MR","SCALING_FORMAT=MLN","Sort=A","Dates=H","DateFormat=P","Fill=—","Direction=H","UseDPDF=Y")</f>
        <v>0</v>
      </c>
      <c r="M29" s="12" cm="1">
        <f t="array" ref="M29">_xll.BDH("CMI US Equity","NET_CHG_IN_LT_INVEST_DETAILED","FQ1 2021","FQ1 2021","Currency=USD","Period=FQ","BEST_FPERIOD_OVERRIDE=FQ","FILING_STATUS=MR","SCALING_FORMAT=MLN","Sort=A","Dates=H","DateFormat=P","Fill=—","Direction=H","UseDPDF=Y")</f>
        <v>0</v>
      </c>
      <c r="N29" s="12" cm="1">
        <f t="array" ref="N29">_xll.BDH("CMI US Equity","NET_CHG_IN_LT_INVEST_DETAILED","FQ2 2021","FQ2 2021","Currency=USD","Period=FQ","BEST_FPERIOD_OVERRIDE=FQ","FILING_STATUS=MR","SCALING_FORMAT=MLN","Sort=A","Dates=H","DateFormat=P","Fill=—","Direction=H","UseDPDF=Y")</f>
        <v>0</v>
      </c>
      <c r="O29" s="12" cm="1">
        <f t="array" ref="O29">_xll.BDH("CMI US Equity","NET_CHG_IN_LT_INVEST_DETAILED","FQ3 2021","FQ3 2021","Currency=USD","Period=FQ","BEST_FPERIOD_OVERRIDE=FQ","FILING_STATUS=MR","SCALING_FORMAT=MLN","Sort=A","Dates=H","DateFormat=P","Fill=—","Direction=H","UseDPDF=Y")</f>
        <v>0</v>
      </c>
      <c r="P29" s="12" cm="1">
        <f t="array" ref="P29">_xll.BDH("CMI US Equity","NET_CHG_IN_LT_INVEST_DETAILED","FQ4 2021","FQ4 2021","Currency=USD","Period=FQ","BEST_FPERIOD_OVERRIDE=FQ","FILING_STATUS=MR","SCALING_FORMAT=MLN","Sort=A","Dates=H","DateFormat=P","Fill=—","Direction=H","UseDPDF=Y")</f>
        <v>0</v>
      </c>
      <c r="Q29" s="12" cm="1">
        <f t="array" ref="Q29">_xll.BDH("CMI US Equity","NET_CHG_IN_LT_INVEST_DETAILED","FQ1 2022","FQ1 2022","Currency=USD","Period=FQ","BEST_FPERIOD_OVERRIDE=FQ","FILING_STATUS=MR","SCALING_FORMAT=MLN","Sort=A","Dates=H","DateFormat=P","Fill=—","Direction=H","UseDPDF=Y")</f>
        <v>0</v>
      </c>
      <c r="R29" s="12" cm="1">
        <f t="array" ref="R29">_xll.BDH("CMI US Equity","NET_CHG_IN_LT_INVEST_DETAILED","FQ2 2022","FQ2 2022","Currency=USD","Period=FQ","BEST_FPERIOD_OVERRIDE=FQ","FILING_STATUS=MR","SCALING_FORMAT=MLN","Sort=A","Dates=H","DateFormat=P","Fill=—","Direction=H","UseDPDF=Y")</f>
        <v>0</v>
      </c>
      <c r="S29" s="12" cm="1">
        <f t="array" ref="S29">_xll.BDH("CMI US Equity","NET_CHG_IN_LT_INVEST_DETAILED","FQ3 2022","FQ3 2022","Currency=USD","Period=FQ","BEST_FPERIOD_OVERRIDE=FQ","FILING_STATUS=MR","SCALING_FORMAT=MLN","Sort=A","Dates=H","DateFormat=P","Fill=—","Direction=H","UseDPDF=Y")</f>
        <v>0</v>
      </c>
      <c r="T29" s="12" cm="1">
        <f t="array" ref="T29">_xll.BDH("CMI US Equity","NET_CHG_IN_LT_INVEST_DETAILED","FQ4 2022","FQ4 2022","Currency=USD","Period=FQ","BEST_FPERIOD_OVERRIDE=FQ","FILING_STATUS=MR","SCALING_FORMAT=MLN","Sort=A","Dates=H","DateFormat=P","Fill=—","Direction=H","UseDPDF=Y")</f>
        <v>0</v>
      </c>
      <c r="U29" s="12" cm="1">
        <f t="array" ref="U29">_xll.BDH("CMI US Equity","NET_CHG_IN_LT_INVEST_DETAILED","FQ1 2023","FQ1 2023","Currency=USD","Period=FQ","BEST_FPERIOD_OVERRIDE=FQ","FILING_STATUS=MR","SCALING_FORMAT=MLN","Sort=A","Dates=H","DateFormat=P","Fill=—","Direction=H","UseDPDF=Y")</f>
        <v>0</v>
      </c>
      <c r="V29" s="12" cm="1">
        <f t="array" ref="V29">_xll.BDH("CMI US Equity","NET_CHG_IN_LT_INVEST_DETAILED","FQ2 2023","FQ2 2023","Currency=USD","Period=FQ","BEST_FPERIOD_OVERRIDE=FQ","FILING_STATUS=MR","SCALING_FORMAT=MLN","Sort=A","Dates=H","DateFormat=P","Fill=—","Direction=H","UseDPDF=Y")</f>
        <v>0</v>
      </c>
      <c r="W29" s="12" cm="1">
        <f t="array" ref="W29">_xll.BDH("CMI US Equity","NET_CHG_IN_LT_INVEST_DETAILED","FQ3 2023","FQ3 2023","Currency=USD","Period=FQ","BEST_FPERIOD_OVERRIDE=FQ","FILING_STATUS=MR","SCALING_FORMAT=MLN","Sort=A","Dates=H","DateFormat=P","Fill=—","Direction=H","UseDPDF=Y")</f>
        <v>0</v>
      </c>
      <c r="X29" s="12" cm="1">
        <f t="array" ref="X29">_xll.BDH("CMI US Equity","NET_CHG_IN_LT_INVEST_DETAILED","FQ4 2023","FQ4 2023","Currency=USD","Period=FQ","BEST_FPERIOD_OVERRIDE=FQ","FILING_STATUS=MR","SCALING_FORMAT=MLN","Sort=A","Dates=H","DateFormat=P","Fill=—","Direction=H","UseDPDF=Y")</f>
        <v>0</v>
      </c>
      <c r="Y29" s="12" cm="1">
        <f t="array" ref="Y29">_xll.BDH("CMI US Equity","NET_CHG_IN_LT_INVEST_DETAILED","FQ1 2024","FQ1 2024","Currency=USD","Period=FQ","BEST_FPERIOD_OVERRIDE=FQ","FILING_STATUS=MR","SCALING_FORMAT=MLN","Sort=A","Dates=H","DateFormat=P","Fill=—","Direction=H","UseDPDF=Y")</f>
        <v>0</v>
      </c>
      <c r="Z29" s="12" cm="1">
        <f t="array" ref="Z29">_xll.BDH("CMI US Equity","NET_CHG_IN_LT_INVEST_DETAILED","FQ2 2024","FQ2 2024","Currency=USD","Period=FQ","BEST_FPERIOD_OVERRIDE=FQ","FILING_STATUS=MR","SCALING_FORMAT=MLN","Sort=A","Dates=H","DateFormat=P","Fill=—","Direction=H","UseDPDF=Y")</f>
        <v>0</v>
      </c>
      <c r="AA29" s="12" cm="1">
        <f t="array" ref="AA29">_xll.BDH("CMI US Equity","NET_CHG_IN_LT_INVEST_DETAILED","FQ3 2024","FQ3 2024","Currency=USD","Period=FQ","BEST_FPERIOD_OVERRIDE=FQ","FILING_STATUS=MR","SCALING_FORMAT=MLN","Sort=A","Dates=H","DateFormat=P","Fill=—","Direction=H","UseDPDF=Y")</f>
        <v>0</v>
      </c>
      <c r="AB29" s="12" cm="1">
        <f t="array" ref="AB29">_xll.BDH("CMI US Equity","NET_CHG_IN_LT_INVEST_DETAILED","FQ4 2024","FQ4 2024","Currency=USD","Period=FQ","BEST_FPERIOD_OVERRIDE=FQ","FILING_STATUS=MR","SCALING_FORMAT=MLN","Sort=A","Dates=H","DateFormat=P","Fill=—","Direction=H","UseDPDF=Y")</f>
        <v>0</v>
      </c>
      <c r="AC29" s="12" cm="1">
        <f t="array" ref="AC29">_xll.BDH("CMI US Equity","NET_CHG_IN_LT_INVEST_DETAILED","FQ1 2025","FQ1 2025","Currency=USD","Period=FQ","BEST_FPERIOD_OVERRIDE=FQ","FILING_STATUS=MR","SCALING_FORMAT=MLN","Sort=A","Dates=H","DateFormat=P","Fill=—","Direction=H","UseDPDF=Y")</f>
        <v>0</v>
      </c>
      <c r="AD29" s="12" cm="1">
        <f t="array" ref="AD29">_xll.BDH("CMI US Equity","NET_CHG_IN_LT_INVEST_DETAILED","FQ2 2025","FQ2 2025","Currency=USD","Period=FQ","BEST_FPERIOD_OVERRIDE=FQ","FILING_STATUS=MR","SCALING_FORMAT=MLN","Sort=A","Dates=H","DateFormat=P","Fill=—","Direction=H","UseDPDF=Y")</f>
        <v>0</v>
      </c>
      <c r="AE29" s="12" cm="1">
        <f t="array" ref="AE29">_xll.BDH("CMI US Equity","NET_CHG_IN_LT_INVEST_DETAILED","FQ3 2025","FQ3 2025","Currency=USD","Period=FQ","BEST_FPERIOD_OVERRIDE=FQ","FILING_STATUS=MR","SCALING_FORMAT=MLN","Sort=A","Dates=H","DateFormat=P","Fill=—","Direction=H","UseDPDF=Y")</f>
        <v>0</v>
      </c>
      <c r="AF29" s="12" cm="1">
        <f t="array" ref="AF29">_xll.BDH("CMI US Equity","NET_CHG_IN_LT_INVEST_DETAILED","FQ4 2025","FQ4 2025","Currency=USD","Period=FQ","BEST_FPERIOD_OVERRIDE=FQ","FILING_STATUS=MR","SCALING_FORMAT=MLN","Sort=A","Dates=H","DateFormat=P","Fill=—","Direction=H","UseDPDF=Y")</f>
        <v>0</v>
      </c>
    </row>
    <row r="30" spans="1:32" x14ac:dyDescent="0.25">
      <c r="A30" s="10" t="s">
        <v>108</v>
      </c>
      <c r="B30" s="10" t="s">
        <v>109</v>
      </c>
      <c r="C30" s="12" cm="1">
        <f t="array" ref="C30">_xll.BDH("CMI US Equity","CF_DECR_INVEST","FQ3 2018","FQ3 2018","Currency=USD","Period=FQ","BEST_FPERIOD_OVERRIDE=FQ","FILING_STATUS=MR","SCALING_FORMAT=MLN","Sort=A","Dates=H","DateFormat=P","Fill=—","Direction=H","UseDPDF=Y")</f>
        <v>0</v>
      </c>
      <c r="D30" s="12" cm="1">
        <f t="array" ref="D30">_xll.BDH("CMI US Equity","CF_DECR_INVEST","FQ4 2018","FQ4 2018","Currency=USD","Period=FQ","BEST_FPERIOD_OVERRIDE=FQ","FILING_STATUS=MR","SCALING_FORMAT=MLN","Sort=A","Dates=H","DateFormat=P","Fill=—","Direction=H","UseDPDF=Y")</f>
        <v>0</v>
      </c>
      <c r="E30" s="12" cm="1">
        <f t="array" ref="E30">_xll.BDH("CMI US Equity","CF_DECR_INVEST","FQ1 2019","FQ1 2019","Currency=USD","Period=FQ","BEST_FPERIOD_OVERRIDE=FQ","FILING_STATUS=MR","SCALING_FORMAT=MLN","Sort=A","Dates=H","DateFormat=P","Fill=—","Direction=H","UseDPDF=Y")</f>
        <v>0</v>
      </c>
      <c r="F30" s="12" cm="1">
        <f t="array" ref="F30">_xll.BDH("CMI US Equity","CF_DECR_INVEST","FQ2 2019","FQ2 2019","Currency=USD","Period=FQ","BEST_FPERIOD_OVERRIDE=FQ","FILING_STATUS=MR","SCALING_FORMAT=MLN","Sort=A","Dates=H","DateFormat=P","Fill=—","Direction=H","UseDPDF=Y")</f>
        <v>0</v>
      </c>
      <c r="G30" s="12" cm="1">
        <f t="array" ref="G30">_xll.BDH("CMI US Equity","CF_DECR_INVEST","FQ3 2019","FQ3 2019","Currency=USD","Period=FQ","BEST_FPERIOD_OVERRIDE=FQ","FILING_STATUS=MR","SCALING_FORMAT=MLN","Sort=A","Dates=H","DateFormat=P","Fill=—","Direction=H","UseDPDF=Y")</f>
        <v>0</v>
      </c>
      <c r="H30" s="12" cm="1">
        <f t="array" ref="H30">_xll.BDH("CMI US Equity","CF_DECR_INVEST","FQ4 2019","FQ4 2019","Currency=USD","Period=FQ","BEST_FPERIOD_OVERRIDE=FQ","FILING_STATUS=MR","SCALING_FORMAT=MLN","Sort=A","Dates=H","DateFormat=P","Fill=—","Direction=H","UseDPDF=Y")</f>
        <v>0</v>
      </c>
      <c r="I30" s="12" cm="1">
        <f t="array" ref="I30">_xll.BDH("CMI US Equity","CF_DECR_INVEST","FQ1 2020","FQ1 2020","Currency=USD","Period=FQ","BEST_FPERIOD_OVERRIDE=FQ","FILING_STATUS=MR","SCALING_FORMAT=MLN","Sort=A","Dates=H","DateFormat=P","Fill=—","Direction=H","UseDPDF=Y")</f>
        <v>0</v>
      </c>
      <c r="J30" s="12" cm="1">
        <f t="array" ref="J30">_xll.BDH("CMI US Equity","CF_DECR_INVEST","FQ2 2020","FQ2 2020","Currency=USD","Period=FQ","BEST_FPERIOD_OVERRIDE=FQ","FILING_STATUS=MR","SCALING_FORMAT=MLN","Sort=A","Dates=H","DateFormat=P","Fill=—","Direction=H","UseDPDF=Y")</f>
        <v>0</v>
      </c>
      <c r="K30" s="12" cm="1">
        <f t="array" ref="K30">_xll.BDH("CMI US Equity","CF_DECR_INVEST","FQ3 2020","FQ3 2020","Currency=USD","Period=FQ","BEST_FPERIOD_OVERRIDE=FQ","FILING_STATUS=MR","SCALING_FORMAT=MLN","Sort=A","Dates=H","DateFormat=P","Fill=—","Direction=H","UseDPDF=Y")</f>
        <v>0</v>
      </c>
      <c r="L30" s="12" cm="1">
        <f t="array" ref="L30">_xll.BDH("CMI US Equity","CF_DECR_INVEST","FQ4 2020","FQ4 2020","Currency=USD","Period=FQ","BEST_FPERIOD_OVERRIDE=FQ","FILING_STATUS=MR","SCALING_FORMAT=MLN","Sort=A","Dates=H","DateFormat=P","Fill=—","Direction=H","UseDPDF=Y")</f>
        <v>0</v>
      </c>
      <c r="M30" s="12" cm="1">
        <f t="array" ref="M30">_xll.BDH("CMI US Equity","CF_DECR_INVEST","FQ1 2021","FQ1 2021","Currency=USD","Period=FQ","BEST_FPERIOD_OVERRIDE=FQ","FILING_STATUS=MR","SCALING_FORMAT=MLN","Sort=A","Dates=H","DateFormat=P","Fill=—","Direction=H","UseDPDF=Y")</f>
        <v>0</v>
      </c>
      <c r="N30" s="12" cm="1">
        <f t="array" ref="N30">_xll.BDH("CMI US Equity","CF_DECR_INVEST","FQ2 2021","FQ2 2021","Currency=USD","Period=FQ","BEST_FPERIOD_OVERRIDE=FQ","FILING_STATUS=MR","SCALING_FORMAT=MLN","Sort=A","Dates=H","DateFormat=P","Fill=—","Direction=H","UseDPDF=Y")</f>
        <v>0</v>
      </c>
      <c r="O30" s="12" cm="1">
        <f t="array" ref="O30">_xll.BDH("CMI US Equity","CF_DECR_INVEST","FQ3 2021","FQ3 2021","Currency=USD","Period=FQ","BEST_FPERIOD_OVERRIDE=FQ","FILING_STATUS=MR","SCALING_FORMAT=MLN","Sort=A","Dates=H","DateFormat=P","Fill=—","Direction=H","UseDPDF=Y")</f>
        <v>0</v>
      </c>
      <c r="P30" s="12" cm="1">
        <f t="array" ref="P30">_xll.BDH("CMI US Equity","CF_DECR_INVEST","FQ4 2021","FQ4 2021","Currency=USD","Period=FQ","BEST_FPERIOD_OVERRIDE=FQ","FILING_STATUS=MR","SCALING_FORMAT=MLN","Sort=A","Dates=H","DateFormat=P","Fill=—","Direction=H","UseDPDF=Y")</f>
        <v>0</v>
      </c>
      <c r="Q30" s="12" cm="1">
        <f t="array" ref="Q30">_xll.BDH("CMI US Equity","CF_DECR_INVEST","FQ1 2022","FQ1 2022","Currency=USD","Period=FQ","BEST_FPERIOD_OVERRIDE=FQ","FILING_STATUS=MR","SCALING_FORMAT=MLN","Sort=A","Dates=H","DateFormat=P","Fill=—","Direction=H","UseDPDF=Y")</f>
        <v>0</v>
      </c>
      <c r="R30" s="12" cm="1">
        <f t="array" ref="R30">_xll.BDH("CMI US Equity","CF_DECR_INVEST","FQ2 2022","FQ2 2022","Currency=USD","Period=FQ","BEST_FPERIOD_OVERRIDE=FQ","FILING_STATUS=MR","SCALING_FORMAT=MLN","Sort=A","Dates=H","DateFormat=P","Fill=—","Direction=H","UseDPDF=Y")</f>
        <v>0</v>
      </c>
      <c r="S30" s="12" cm="1">
        <f t="array" ref="S30">_xll.BDH("CMI US Equity","CF_DECR_INVEST","FQ3 2022","FQ3 2022","Currency=USD","Period=FQ","BEST_FPERIOD_OVERRIDE=FQ","FILING_STATUS=MR","SCALING_FORMAT=MLN","Sort=A","Dates=H","DateFormat=P","Fill=—","Direction=H","UseDPDF=Y")</f>
        <v>0</v>
      </c>
      <c r="T30" s="12" cm="1">
        <f t="array" ref="T30">_xll.BDH("CMI US Equity","CF_DECR_INVEST","FQ4 2022","FQ4 2022","Currency=USD","Period=FQ","BEST_FPERIOD_OVERRIDE=FQ","FILING_STATUS=MR","SCALING_FORMAT=MLN","Sort=A","Dates=H","DateFormat=P","Fill=—","Direction=H","UseDPDF=Y")</f>
        <v>0</v>
      </c>
      <c r="U30" s="12" cm="1">
        <f t="array" ref="U30">_xll.BDH("CMI US Equity","CF_DECR_INVEST","FQ1 2023","FQ1 2023","Currency=USD","Period=FQ","BEST_FPERIOD_OVERRIDE=FQ","FILING_STATUS=MR","SCALING_FORMAT=MLN","Sort=A","Dates=H","DateFormat=P","Fill=—","Direction=H","UseDPDF=Y")</f>
        <v>0</v>
      </c>
      <c r="V30" s="12" cm="1">
        <f t="array" ref="V30">_xll.BDH("CMI US Equity","CF_DECR_INVEST","FQ2 2023","FQ2 2023","Currency=USD","Period=FQ","BEST_FPERIOD_OVERRIDE=FQ","FILING_STATUS=MR","SCALING_FORMAT=MLN","Sort=A","Dates=H","DateFormat=P","Fill=—","Direction=H","UseDPDF=Y")</f>
        <v>0</v>
      </c>
      <c r="W30" s="12" cm="1">
        <f t="array" ref="W30">_xll.BDH("CMI US Equity","CF_DECR_INVEST","FQ3 2023","FQ3 2023","Currency=USD","Period=FQ","BEST_FPERIOD_OVERRIDE=FQ","FILING_STATUS=MR","SCALING_FORMAT=MLN","Sort=A","Dates=H","DateFormat=P","Fill=—","Direction=H","UseDPDF=Y")</f>
        <v>0</v>
      </c>
      <c r="X30" s="12" cm="1">
        <f t="array" ref="X30">_xll.BDH("CMI US Equity","CF_DECR_INVEST","FQ4 2023","FQ4 2023","Currency=USD","Period=FQ","BEST_FPERIOD_OVERRIDE=FQ","FILING_STATUS=MR","SCALING_FORMAT=MLN","Sort=A","Dates=H","DateFormat=P","Fill=—","Direction=H","UseDPDF=Y")</f>
        <v>0</v>
      </c>
      <c r="Y30" s="12" cm="1">
        <f t="array" ref="Y30">_xll.BDH("CMI US Equity","CF_DECR_INVEST","FQ1 2024","FQ1 2024","Currency=USD","Period=FQ","BEST_FPERIOD_OVERRIDE=FQ","FILING_STATUS=MR","SCALING_FORMAT=MLN","Sort=A","Dates=H","DateFormat=P","Fill=—","Direction=H","UseDPDF=Y")</f>
        <v>0</v>
      </c>
      <c r="Z30" s="12" cm="1">
        <f t="array" ref="Z30">_xll.BDH("CMI US Equity","CF_DECR_INVEST","FQ2 2024","FQ2 2024","Currency=USD","Period=FQ","BEST_FPERIOD_OVERRIDE=FQ","FILING_STATUS=MR","SCALING_FORMAT=MLN","Sort=A","Dates=H","DateFormat=P","Fill=—","Direction=H","UseDPDF=Y")</f>
        <v>0</v>
      </c>
      <c r="AA30" s="12" cm="1">
        <f t="array" ref="AA30">_xll.BDH("CMI US Equity","CF_DECR_INVEST","FQ3 2024","FQ3 2024","Currency=USD","Period=FQ","BEST_FPERIOD_OVERRIDE=FQ","FILING_STATUS=MR","SCALING_FORMAT=MLN","Sort=A","Dates=H","DateFormat=P","Fill=—","Direction=H","UseDPDF=Y")</f>
        <v>0</v>
      </c>
      <c r="AB30" s="12" cm="1">
        <f t="array" ref="AB30">_xll.BDH("CMI US Equity","CF_DECR_INVEST","FQ4 2024","FQ4 2024","Currency=USD","Period=FQ","BEST_FPERIOD_OVERRIDE=FQ","FILING_STATUS=MR","SCALING_FORMAT=MLN","Sort=A","Dates=H","DateFormat=P","Fill=—","Direction=H","UseDPDF=Y")</f>
        <v>0</v>
      </c>
      <c r="AC30" s="12" cm="1">
        <f t="array" ref="AC30">_xll.BDH("CMI US Equity","CF_DECR_INVEST","FQ1 2025","FQ1 2025","Currency=USD","Period=FQ","BEST_FPERIOD_OVERRIDE=FQ","FILING_STATUS=MR","SCALING_FORMAT=MLN","Sort=A","Dates=H","DateFormat=P","Fill=—","Direction=H","UseDPDF=Y")</f>
        <v>0</v>
      </c>
      <c r="AD30" s="12" cm="1">
        <f t="array" ref="AD30">_xll.BDH("CMI US Equity","CF_DECR_INVEST","FQ2 2025","FQ2 2025","Currency=USD","Period=FQ","BEST_FPERIOD_OVERRIDE=FQ","FILING_STATUS=MR","SCALING_FORMAT=MLN","Sort=A","Dates=H","DateFormat=P","Fill=—","Direction=H","UseDPDF=Y")</f>
        <v>0</v>
      </c>
      <c r="AE30" s="12" cm="1">
        <f t="array" ref="AE30">_xll.BDH("CMI US Equity","CF_DECR_INVEST","FQ3 2025","FQ3 2025","Currency=USD","Period=FQ","BEST_FPERIOD_OVERRIDE=FQ","FILING_STATUS=MR","SCALING_FORMAT=MLN","Sort=A","Dates=H","DateFormat=P","Fill=—","Direction=H","UseDPDF=Y")</f>
        <v>0</v>
      </c>
      <c r="AF30" s="12" cm="1">
        <f t="array" ref="AF30">_xll.BDH("CMI US Equity","CF_DECR_INVEST","FQ4 2025","FQ4 2025","Currency=USD","Period=FQ","BEST_FPERIOD_OVERRIDE=FQ","FILING_STATUS=MR","SCALING_FORMAT=MLN","Sort=A","Dates=H","DateFormat=P","Fill=—","Direction=H","UseDPDF=Y")</f>
        <v>0</v>
      </c>
    </row>
    <row r="31" spans="1:32" x14ac:dyDescent="0.25">
      <c r="A31" s="10" t="s">
        <v>110</v>
      </c>
      <c r="B31" s="10" t="s">
        <v>111</v>
      </c>
      <c r="C31" s="12" cm="1">
        <f t="array" ref="C31">_xll.BDH("CMI US Equity","CF_INCR_INVEST","FQ3 2018","FQ3 2018","Currency=USD","Period=FQ","BEST_FPERIOD_OVERRIDE=FQ","FILING_STATUS=MR","SCALING_FORMAT=MLN","Sort=A","Dates=H","DateFormat=P","Fill=—","Direction=H","UseDPDF=Y")</f>
        <v>0</v>
      </c>
      <c r="D31" s="12" cm="1">
        <f t="array" ref="D31">_xll.BDH("CMI US Equity","CF_INCR_INVEST","FQ4 2018","FQ4 2018","Currency=USD","Period=FQ","BEST_FPERIOD_OVERRIDE=FQ","FILING_STATUS=MR","SCALING_FORMAT=MLN","Sort=A","Dates=H","DateFormat=P","Fill=—","Direction=H","UseDPDF=Y")</f>
        <v>0</v>
      </c>
      <c r="E31" s="12" cm="1">
        <f t="array" ref="E31">_xll.BDH("CMI US Equity","CF_INCR_INVEST","FQ1 2019","FQ1 2019","Currency=USD","Period=FQ","BEST_FPERIOD_OVERRIDE=FQ","FILING_STATUS=MR","SCALING_FORMAT=MLN","Sort=A","Dates=H","DateFormat=P","Fill=—","Direction=H","UseDPDF=Y")</f>
        <v>0</v>
      </c>
      <c r="F31" s="12" cm="1">
        <f t="array" ref="F31">_xll.BDH("CMI US Equity","CF_INCR_INVEST","FQ2 2019","FQ2 2019","Currency=USD","Period=FQ","BEST_FPERIOD_OVERRIDE=FQ","FILING_STATUS=MR","SCALING_FORMAT=MLN","Sort=A","Dates=H","DateFormat=P","Fill=—","Direction=H","UseDPDF=Y")</f>
        <v>0</v>
      </c>
      <c r="G31" s="12" cm="1">
        <f t="array" ref="G31">_xll.BDH("CMI US Equity","CF_INCR_INVEST","FQ3 2019","FQ3 2019","Currency=USD","Period=FQ","BEST_FPERIOD_OVERRIDE=FQ","FILING_STATUS=MR","SCALING_FORMAT=MLN","Sort=A","Dates=H","DateFormat=P","Fill=—","Direction=H","UseDPDF=Y")</f>
        <v>0</v>
      </c>
      <c r="H31" s="12" cm="1">
        <f t="array" ref="H31">_xll.BDH("CMI US Equity","CF_INCR_INVEST","FQ4 2019","FQ4 2019","Currency=USD","Period=FQ","BEST_FPERIOD_OVERRIDE=FQ","FILING_STATUS=MR","SCALING_FORMAT=MLN","Sort=A","Dates=H","DateFormat=P","Fill=—","Direction=H","UseDPDF=Y")</f>
        <v>0</v>
      </c>
      <c r="I31" s="12" cm="1">
        <f t="array" ref="I31">_xll.BDH("CMI US Equity","CF_INCR_INVEST","FQ1 2020","FQ1 2020","Currency=USD","Period=FQ","BEST_FPERIOD_OVERRIDE=FQ","FILING_STATUS=MR","SCALING_FORMAT=MLN","Sort=A","Dates=H","DateFormat=P","Fill=—","Direction=H","UseDPDF=Y")</f>
        <v>0</v>
      </c>
      <c r="J31" s="12" cm="1">
        <f t="array" ref="J31">_xll.BDH("CMI US Equity","CF_INCR_INVEST","FQ2 2020","FQ2 2020","Currency=USD","Period=FQ","BEST_FPERIOD_OVERRIDE=FQ","FILING_STATUS=MR","SCALING_FORMAT=MLN","Sort=A","Dates=H","DateFormat=P","Fill=—","Direction=H","UseDPDF=Y")</f>
        <v>0</v>
      </c>
      <c r="K31" s="12" cm="1">
        <f t="array" ref="K31">_xll.BDH("CMI US Equity","CF_INCR_INVEST","FQ3 2020","FQ3 2020","Currency=USD","Period=FQ","BEST_FPERIOD_OVERRIDE=FQ","FILING_STATUS=MR","SCALING_FORMAT=MLN","Sort=A","Dates=H","DateFormat=P","Fill=—","Direction=H","UseDPDF=Y")</f>
        <v>0</v>
      </c>
      <c r="L31" s="12" cm="1">
        <f t="array" ref="L31">_xll.BDH("CMI US Equity","CF_INCR_INVEST","FQ4 2020","FQ4 2020","Currency=USD","Period=FQ","BEST_FPERIOD_OVERRIDE=FQ","FILING_STATUS=MR","SCALING_FORMAT=MLN","Sort=A","Dates=H","DateFormat=P","Fill=—","Direction=H","UseDPDF=Y")</f>
        <v>0</v>
      </c>
      <c r="M31" s="12" cm="1">
        <f t="array" ref="M31">_xll.BDH("CMI US Equity","CF_INCR_INVEST","FQ1 2021","FQ1 2021","Currency=USD","Period=FQ","BEST_FPERIOD_OVERRIDE=FQ","FILING_STATUS=MR","SCALING_FORMAT=MLN","Sort=A","Dates=H","DateFormat=P","Fill=—","Direction=H","UseDPDF=Y")</f>
        <v>0</v>
      </c>
      <c r="N31" s="12" cm="1">
        <f t="array" ref="N31">_xll.BDH("CMI US Equity","CF_INCR_INVEST","FQ2 2021","FQ2 2021","Currency=USD","Period=FQ","BEST_FPERIOD_OVERRIDE=FQ","FILING_STATUS=MR","SCALING_FORMAT=MLN","Sort=A","Dates=H","DateFormat=P","Fill=—","Direction=H","UseDPDF=Y")</f>
        <v>0</v>
      </c>
      <c r="O31" s="12" cm="1">
        <f t="array" ref="O31">_xll.BDH("CMI US Equity","CF_INCR_INVEST","FQ3 2021","FQ3 2021","Currency=USD","Period=FQ","BEST_FPERIOD_OVERRIDE=FQ","FILING_STATUS=MR","SCALING_FORMAT=MLN","Sort=A","Dates=H","DateFormat=P","Fill=—","Direction=H","UseDPDF=Y")</f>
        <v>0</v>
      </c>
      <c r="P31" s="12" cm="1">
        <f t="array" ref="P31">_xll.BDH("CMI US Equity","CF_INCR_INVEST","FQ4 2021","FQ4 2021","Currency=USD","Period=FQ","BEST_FPERIOD_OVERRIDE=FQ","FILING_STATUS=MR","SCALING_FORMAT=MLN","Sort=A","Dates=H","DateFormat=P","Fill=—","Direction=H","UseDPDF=Y")</f>
        <v>0</v>
      </c>
      <c r="Q31" s="12" cm="1">
        <f t="array" ref="Q31">_xll.BDH("CMI US Equity","CF_INCR_INVEST","FQ1 2022","FQ1 2022","Currency=USD","Period=FQ","BEST_FPERIOD_OVERRIDE=FQ","FILING_STATUS=MR","SCALING_FORMAT=MLN","Sort=A","Dates=H","DateFormat=P","Fill=—","Direction=H","UseDPDF=Y")</f>
        <v>0</v>
      </c>
      <c r="R31" s="12" cm="1">
        <f t="array" ref="R31">_xll.BDH("CMI US Equity","CF_INCR_INVEST","FQ2 2022","FQ2 2022","Currency=USD","Period=FQ","BEST_FPERIOD_OVERRIDE=FQ","FILING_STATUS=MR","SCALING_FORMAT=MLN","Sort=A","Dates=H","DateFormat=P","Fill=—","Direction=H","UseDPDF=Y")</f>
        <v>0</v>
      </c>
      <c r="S31" s="12" cm="1">
        <f t="array" ref="S31">_xll.BDH("CMI US Equity","CF_INCR_INVEST","FQ3 2022","FQ3 2022","Currency=USD","Period=FQ","BEST_FPERIOD_OVERRIDE=FQ","FILING_STATUS=MR","SCALING_FORMAT=MLN","Sort=A","Dates=H","DateFormat=P","Fill=—","Direction=H","UseDPDF=Y")</f>
        <v>0</v>
      </c>
      <c r="T31" s="12" cm="1">
        <f t="array" ref="T31">_xll.BDH("CMI US Equity","CF_INCR_INVEST","FQ4 2022","FQ4 2022","Currency=USD","Period=FQ","BEST_FPERIOD_OVERRIDE=FQ","FILING_STATUS=MR","SCALING_FORMAT=MLN","Sort=A","Dates=H","DateFormat=P","Fill=—","Direction=H","UseDPDF=Y")</f>
        <v>0</v>
      </c>
      <c r="U31" s="12" cm="1">
        <f t="array" ref="U31">_xll.BDH("CMI US Equity","CF_INCR_INVEST","FQ1 2023","FQ1 2023","Currency=USD","Period=FQ","BEST_FPERIOD_OVERRIDE=FQ","FILING_STATUS=MR","SCALING_FORMAT=MLN","Sort=A","Dates=H","DateFormat=P","Fill=—","Direction=H","UseDPDF=Y")</f>
        <v>0</v>
      </c>
      <c r="V31" s="12" cm="1">
        <f t="array" ref="V31">_xll.BDH("CMI US Equity","CF_INCR_INVEST","FQ2 2023","FQ2 2023","Currency=USD","Period=FQ","BEST_FPERIOD_OVERRIDE=FQ","FILING_STATUS=MR","SCALING_FORMAT=MLN","Sort=A","Dates=H","DateFormat=P","Fill=—","Direction=H","UseDPDF=Y")</f>
        <v>0</v>
      </c>
      <c r="W31" s="12" cm="1">
        <f t="array" ref="W31">_xll.BDH("CMI US Equity","CF_INCR_INVEST","FQ3 2023","FQ3 2023","Currency=USD","Period=FQ","BEST_FPERIOD_OVERRIDE=FQ","FILING_STATUS=MR","SCALING_FORMAT=MLN","Sort=A","Dates=H","DateFormat=P","Fill=—","Direction=H","UseDPDF=Y")</f>
        <v>0</v>
      </c>
      <c r="X31" s="12" cm="1">
        <f t="array" ref="X31">_xll.BDH("CMI US Equity","CF_INCR_INVEST","FQ4 2023","FQ4 2023","Currency=USD","Period=FQ","BEST_FPERIOD_OVERRIDE=FQ","FILING_STATUS=MR","SCALING_FORMAT=MLN","Sort=A","Dates=H","DateFormat=P","Fill=—","Direction=H","UseDPDF=Y")</f>
        <v>0</v>
      </c>
      <c r="Y31" s="12" cm="1">
        <f t="array" ref="Y31">_xll.BDH("CMI US Equity","CF_INCR_INVEST","FQ1 2024","FQ1 2024","Currency=USD","Period=FQ","BEST_FPERIOD_OVERRIDE=FQ","FILING_STATUS=MR","SCALING_FORMAT=MLN","Sort=A","Dates=H","DateFormat=P","Fill=—","Direction=H","UseDPDF=Y")</f>
        <v>0</v>
      </c>
      <c r="Z31" s="12" cm="1">
        <f t="array" ref="Z31">_xll.BDH("CMI US Equity","CF_INCR_INVEST","FQ2 2024","FQ2 2024","Currency=USD","Period=FQ","BEST_FPERIOD_OVERRIDE=FQ","FILING_STATUS=MR","SCALING_FORMAT=MLN","Sort=A","Dates=H","DateFormat=P","Fill=—","Direction=H","UseDPDF=Y")</f>
        <v>0</v>
      </c>
      <c r="AA31" s="12" cm="1">
        <f t="array" ref="AA31">_xll.BDH("CMI US Equity","CF_INCR_INVEST","FQ3 2024","FQ3 2024","Currency=USD","Period=FQ","BEST_FPERIOD_OVERRIDE=FQ","FILING_STATUS=MR","SCALING_FORMAT=MLN","Sort=A","Dates=H","DateFormat=P","Fill=—","Direction=H","UseDPDF=Y")</f>
        <v>0</v>
      </c>
      <c r="AB31" s="12" cm="1">
        <f t="array" ref="AB31">_xll.BDH("CMI US Equity","CF_INCR_INVEST","FQ4 2024","FQ4 2024","Currency=USD","Period=FQ","BEST_FPERIOD_OVERRIDE=FQ","FILING_STATUS=MR","SCALING_FORMAT=MLN","Sort=A","Dates=H","DateFormat=P","Fill=—","Direction=H","UseDPDF=Y")</f>
        <v>0</v>
      </c>
      <c r="AC31" s="12" cm="1">
        <f t="array" ref="AC31">_xll.BDH("CMI US Equity","CF_INCR_INVEST","FQ1 2025","FQ1 2025","Currency=USD","Period=FQ","BEST_FPERIOD_OVERRIDE=FQ","FILING_STATUS=MR","SCALING_FORMAT=MLN","Sort=A","Dates=H","DateFormat=P","Fill=—","Direction=H","UseDPDF=Y")</f>
        <v>0</v>
      </c>
      <c r="AD31" s="12" cm="1">
        <f t="array" ref="AD31">_xll.BDH("CMI US Equity","CF_INCR_INVEST","FQ2 2025","FQ2 2025","Currency=USD","Period=FQ","BEST_FPERIOD_OVERRIDE=FQ","FILING_STATUS=MR","SCALING_FORMAT=MLN","Sort=A","Dates=H","DateFormat=P","Fill=—","Direction=H","UseDPDF=Y")</f>
        <v>0</v>
      </c>
      <c r="AE31" s="12" cm="1">
        <f t="array" ref="AE31">_xll.BDH("CMI US Equity","CF_INCR_INVEST","FQ3 2025","FQ3 2025","Currency=USD","Period=FQ","BEST_FPERIOD_OVERRIDE=FQ","FILING_STATUS=MR","SCALING_FORMAT=MLN","Sort=A","Dates=H","DateFormat=P","Fill=—","Direction=H","UseDPDF=Y")</f>
        <v>0</v>
      </c>
      <c r="AF31" s="12" cm="1">
        <f t="array" ref="AF31">_xll.BDH("CMI US Equity","CF_INCR_INVEST","FQ4 2025","FQ4 2025","Currency=USD","Period=FQ","BEST_FPERIOD_OVERRIDE=FQ","FILING_STATUS=MR","SCALING_FORMAT=MLN","Sort=A","Dates=H","DateFormat=P","Fill=—","Direction=H","UseDPDF=Y")</f>
        <v>0</v>
      </c>
    </row>
    <row r="32" spans="1:32" x14ac:dyDescent="0.25">
      <c r="A32" s="10" t="s">
        <v>112</v>
      </c>
      <c r="B32" s="10" t="s">
        <v>113</v>
      </c>
      <c r="C32" s="12" cm="1">
        <f t="array" ref="C32">_xll.BDH("CMI US Equity","CF_NT_CSH_RCVD_PD_FOR_ACQUIS_DIV","FQ3 2018","FQ3 2018","Currency=USD","Period=FQ","BEST_FPERIOD_OVERRIDE=FQ","FILING_STATUS=MR","SCALING_FORMAT=MLN","Sort=A","Dates=H","DateFormat=P","Fill=—","Direction=H","UseDPDF=Y")</f>
        <v>-70</v>
      </c>
      <c r="D32" s="12" cm="1">
        <f t="array" ref="D32">_xll.BDH("CMI US Equity","CF_NT_CSH_RCVD_PD_FOR_ACQUIS_DIV","FQ4 2018","FQ4 2018","Currency=USD","Period=FQ","BEST_FPERIOD_OVERRIDE=FQ","FILING_STATUS=MR","SCALING_FORMAT=MLN","Sort=A","Dates=H","DateFormat=P","Fill=—","Direction=H","UseDPDF=Y")</f>
        <v>0</v>
      </c>
      <c r="E32" s="12" cm="1">
        <f t="array" ref="E32">_xll.BDH("CMI US Equity","CF_NT_CSH_RCVD_PD_FOR_ACQUIS_DIV","FQ1 2019","FQ1 2019","Currency=USD","Period=FQ","BEST_FPERIOD_OVERRIDE=FQ","FILING_STATUS=MR","SCALING_FORMAT=MLN","Sort=A","Dates=H","DateFormat=P","Fill=—","Direction=H","UseDPDF=Y")</f>
        <v>0</v>
      </c>
      <c r="F32" s="12" cm="1">
        <f t="array" ref="F32">_xll.BDH("CMI US Equity","CF_NT_CSH_RCVD_PD_FOR_ACQUIS_DIV","FQ2 2019","FQ2 2019","Currency=USD","Period=FQ","BEST_FPERIOD_OVERRIDE=FQ","FILING_STATUS=MR","SCALING_FORMAT=MLN","Sort=A","Dates=H","DateFormat=P","Fill=—","Direction=H","UseDPDF=Y")</f>
        <v>0</v>
      </c>
      <c r="G32" s="12" cm="1">
        <f t="array" ref="G32">_xll.BDH("CMI US Equity","CF_NT_CSH_RCVD_PD_FOR_ACQUIS_DIV","FQ3 2019","FQ3 2019","Currency=USD","Period=FQ","BEST_FPERIOD_OVERRIDE=FQ","FILING_STATUS=MR","SCALING_FORMAT=MLN","Sort=A","Dates=H","DateFormat=P","Fill=—","Direction=H","UseDPDF=Y")</f>
        <v>-237</v>
      </c>
      <c r="H32" s="12" cm="1">
        <f t="array" ref="H32">_xll.BDH("CMI US Equity","CF_NT_CSH_RCVD_PD_FOR_ACQUIS_DIV","FQ4 2019","FQ4 2019","Currency=USD","Period=FQ","BEST_FPERIOD_OVERRIDE=FQ","FILING_STATUS=MR","SCALING_FORMAT=MLN","Sort=A","Dates=H","DateFormat=P","Fill=—","Direction=H","UseDPDF=Y")</f>
        <v>0</v>
      </c>
      <c r="I32" s="12" cm="1">
        <f t="array" ref="I32">_xll.BDH("CMI US Equity","CF_NT_CSH_RCVD_PD_FOR_ACQUIS_DIV","FQ1 2020","FQ1 2020","Currency=USD","Period=FQ","BEST_FPERIOD_OVERRIDE=FQ","FILING_STATUS=MR","SCALING_FORMAT=MLN","Sort=A","Dates=H","DateFormat=P","Fill=—","Direction=H","UseDPDF=Y")</f>
        <v>0</v>
      </c>
      <c r="J32" s="12" cm="1">
        <f t="array" ref="J32">_xll.BDH("CMI US Equity","CF_NT_CSH_RCVD_PD_FOR_ACQUIS_DIV","FQ2 2020","FQ2 2020","Currency=USD","Period=FQ","BEST_FPERIOD_OVERRIDE=FQ","FILING_STATUS=MR","SCALING_FORMAT=MLN","Sort=A","Dates=H","DateFormat=P","Fill=—","Direction=H","UseDPDF=Y")</f>
        <v>0</v>
      </c>
      <c r="K32" s="12" cm="1">
        <f t="array" ref="K32">_xll.BDH("CMI US Equity","CF_NT_CSH_RCVD_PD_FOR_ACQUIS_DIV","FQ3 2020","FQ3 2020","Currency=USD","Period=FQ","BEST_FPERIOD_OVERRIDE=FQ","FILING_STATUS=MR","SCALING_FORMAT=MLN","Sort=A","Dates=H","DateFormat=P","Fill=—","Direction=H","UseDPDF=Y")</f>
        <v>0</v>
      </c>
      <c r="L32" s="12" cm="1">
        <f t="array" ref="L32">_xll.BDH("CMI US Equity","CF_NT_CSH_RCVD_PD_FOR_ACQUIS_DIV","FQ4 2020","FQ4 2020","Currency=USD","Period=FQ","BEST_FPERIOD_OVERRIDE=FQ","FILING_STATUS=MR","SCALING_FORMAT=MLN","Sort=A","Dates=H","DateFormat=P","Fill=—","Direction=H","UseDPDF=Y")</f>
        <v>0</v>
      </c>
      <c r="M32" s="12" cm="1">
        <f t="array" ref="M32">_xll.BDH("CMI US Equity","CF_NT_CSH_RCVD_PD_FOR_ACQUIS_DIV","FQ1 2021","FQ1 2021","Currency=USD","Period=FQ","BEST_FPERIOD_OVERRIDE=FQ","FILING_STATUS=MR","SCALING_FORMAT=MLN","Sort=A","Dates=H","DateFormat=P","Fill=—","Direction=H","UseDPDF=Y")</f>
        <v>0</v>
      </c>
      <c r="N32" s="12" cm="1">
        <f t="array" ref="N32">_xll.BDH("CMI US Equity","CF_NT_CSH_RCVD_PD_FOR_ACQUIS_DIV","FQ2 2021","FQ2 2021","Currency=USD","Period=FQ","BEST_FPERIOD_OVERRIDE=FQ","FILING_STATUS=MR","SCALING_FORMAT=MLN","Sort=A","Dates=H","DateFormat=P","Fill=—","Direction=H","UseDPDF=Y")</f>
        <v>0</v>
      </c>
      <c r="O32" s="12" cm="1">
        <f t="array" ref="O32">_xll.BDH("CMI US Equity","CF_NT_CSH_RCVD_PD_FOR_ACQUIS_DIV","FQ3 2021","FQ3 2021","Currency=USD","Period=FQ","BEST_FPERIOD_OVERRIDE=FQ","FILING_STATUS=MR","SCALING_FORMAT=MLN","Sort=A","Dates=H","DateFormat=P","Fill=—","Direction=H","UseDPDF=Y")</f>
        <v>0</v>
      </c>
      <c r="P32" s="12" cm="1">
        <f t="array" ref="P32">_xll.BDH("CMI US Equity","CF_NT_CSH_RCVD_PD_FOR_ACQUIS_DIV","FQ4 2021","FQ4 2021","Currency=USD","Period=FQ","BEST_FPERIOD_OVERRIDE=FQ","FILING_STATUS=MR","SCALING_FORMAT=MLN","Sort=A","Dates=H","DateFormat=P","Fill=—","Direction=H","UseDPDF=Y")</f>
        <v>0</v>
      </c>
      <c r="Q32" s="12" cm="1">
        <f t="array" ref="Q32">_xll.BDH("CMI US Equity","CF_NT_CSH_RCVD_PD_FOR_ACQUIS_DIV","FQ1 2022","FQ1 2022","Currency=USD","Period=FQ","BEST_FPERIOD_OVERRIDE=FQ","FILING_STATUS=MR","SCALING_FORMAT=MLN","Sort=A","Dates=H","DateFormat=P","Fill=—","Direction=H","UseDPDF=Y")</f>
        <v>83</v>
      </c>
      <c r="R32" s="12" cm="1">
        <f t="array" ref="R32">_xll.BDH("CMI US Equity","CF_NT_CSH_RCVD_PD_FOR_ACQUIS_DIV","FQ2 2022","FQ2 2022","Currency=USD","Period=FQ","BEST_FPERIOD_OVERRIDE=FQ","FILING_STATUS=MR","SCALING_FORMAT=MLN","Sort=A","Dates=H","DateFormat=P","Fill=—","Direction=H","UseDPDF=Y")</f>
        <v>-328</v>
      </c>
      <c r="S32" s="12" cm="1">
        <f t="array" ref="S32">_xll.BDH("CMI US Equity","CF_NT_CSH_RCVD_PD_FOR_ACQUIS_DIV","FQ3 2022","FQ3 2022","Currency=USD","Period=FQ","BEST_FPERIOD_OVERRIDE=FQ","FILING_STATUS=MR","SCALING_FORMAT=MLN","Sort=A","Dates=H","DateFormat=P","Fill=—","Direction=H","UseDPDF=Y")</f>
        <v>-2763</v>
      </c>
      <c r="T32" s="12" cm="1">
        <f t="array" ref="T32">_xll.BDH("CMI US Equity","CF_NT_CSH_RCVD_PD_FOR_ACQUIS_DIV","FQ4 2022","FQ4 2022","Currency=USD","Period=FQ","BEST_FPERIOD_OVERRIDE=FQ","FILING_STATUS=MR","SCALING_FORMAT=MLN","Sort=A","Dates=H","DateFormat=P","Fill=—","Direction=H","UseDPDF=Y")</f>
        <v>-183</v>
      </c>
      <c r="U32" s="12" cm="1">
        <f t="array" ref="U32">_xll.BDH("CMI US Equity","CF_NT_CSH_RCVD_PD_FOR_ACQUIS_DIV","FQ1 2023","FQ1 2023","Currency=USD","Period=FQ","BEST_FPERIOD_OVERRIDE=FQ","FILING_STATUS=MR","SCALING_FORMAT=MLN","Sort=A","Dates=H","DateFormat=P","Fill=—","Direction=H","UseDPDF=Y")</f>
        <v>0</v>
      </c>
      <c r="V32" s="12" cm="1">
        <f t="array" ref="V32">_xll.BDH("CMI US Equity","CF_NT_CSH_RCVD_PD_FOR_ACQUIS_DIV","FQ2 2023","FQ2 2023","Currency=USD","Period=FQ","BEST_FPERIOD_OVERRIDE=FQ","FILING_STATUS=MR","SCALING_FORMAT=MLN","Sort=A","Dates=H","DateFormat=P","Fill=—","Direction=H","UseDPDF=Y")</f>
        <v>192</v>
      </c>
      <c r="W32" s="12" cm="1">
        <f t="array" ref="W32">_xll.BDH("CMI US Equity","CF_NT_CSH_RCVD_PD_FOR_ACQUIS_DIV","FQ3 2023","FQ3 2023","Currency=USD","Period=FQ","BEST_FPERIOD_OVERRIDE=FQ","FILING_STATUS=MR","SCALING_FORMAT=MLN","Sort=A","Dates=H","DateFormat=P","Fill=—","Direction=H","UseDPDF=Y")</f>
        <v>7</v>
      </c>
      <c r="X32" s="12" cm="1">
        <f t="array" ref="X32">_xll.BDH("CMI US Equity","CF_NT_CSH_RCVD_PD_FOR_ACQUIS_DIV","FQ4 2023","FQ4 2023","Currency=USD","Period=FQ","BEST_FPERIOD_OVERRIDE=FQ","FILING_STATUS=MR","SCALING_FORMAT=MLN","Sort=A","Dates=H","DateFormat=P","Fill=—","Direction=H","UseDPDF=Y")</f>
        <v>-165</v>
      </c>
      <c r="Y32" s="12" cm="1">
        <f t="array" ref="Y32">_xll.BDH("CMI US Equity","CF_NT_CSH_RCVD_PD_FOR_ACQUIS_DIV","FQ1 2024","FQ1 2024","Currency=USD","Period=FQ","BEST_FPERIOD_OVERRIDE=FQ","FILING_STATUS=MR","SCALING_FORMAT=MLN","Sort=A","Dates=H","DateFormat=P","Fill=—","Direction=H","UseDPDF=Y")</f>
        <v>-59</v>
      </c>
      <c r="Z32" s="12" cm="1">
        <f t="array" ref="Z32">_xll.BDH("CMI US Equity","CF_NT_CSH_RCVD_PD_FOR_ACQUIS_DIV","FQ2 2024","FQ2 2024","Currency=USD","Period=FQ","BEST_FPERIOD_OVERRIDE=FQ","FILING_STATUS=MR","SCALING_FORMAT=MLN","Sort=A","Dates=H","DateFormat=P","Fill=—","Direction=H","UseDPDF=Y")</f>
        <v>1</v>
      </c>
      <c r="AA32" s="12" cm="1">
        <f t="array" ref="AA32">_xll.BDH("CMI US Equity","CF_NT_CSH_RCVD_PD_FOR_ACQUIS_DIV","FQ3 2024","FQ3 2024","Currency=USD","Period=FQ","BEST_FPERIOD_OVERRIDE=FQ","FILING_STATUS=MR","SCALING_FORMAT=MLN","Sort=A","Dates=H","DateFormat=P","Fill=—","Direction=H","UseDPDF=Y")</f>
        <v>0</v>
      </c>
      <c r="AB32" s="12" cm="1">
        <f t="array" ref="AB32">_xll.BDH("CMI US Equity","CF_NT_CSH_RCVD_PD_FOR_ACQUIS_DIV","FQ4 2024","FQ4 2024","Currency=USD","Period=FQ","BEST_FPERIOD_OVERRIDE=FQ","FILING_STATUS=MR","SCALING_FORMAT=MLN","Sort=A","Dates=H","DateFormat=P","Fill=—","Direction=H","UseDPDF=Y")</f>
        <v>-174</v>
      </c>
      <c r="AC32" s="12" cm="1">
        <f t="array" ref="AC32">_xll.BDH("CMI US Equity","CF_NT_CSH_RCVD_PD_FOR_ACQUIS_DIV","FQ1 2025","FQ1 2025","Currency=USD","Period=FQ","BEST_FPERIOD_OVERRIDE=FQ","FILING_STATUS=MR","SCALING_FORMAT=MLN","Sort=A","Dates=H","DateFormat=P","Fill=—","Direction=H","UseDPDF=Y")</f>
        <v>-12</v>
      </c>
      <c r="AD32" s="12" cm="1">
        <f t="array" ref="AD32">_xll.BDH("CMI US Equity","CF_NT_CSH_RCVD_PD_FOR_ACQUIS_DIV","FQ2 2025","FQ2 2025","Currency=USD","Period=FQ","BEST_FPERIOD_OVERRIDE=FQ","FILING_STATUS=MR","SCALING_FORMAT=MLN","Sort=A","Dates=H","DateFormat=P","Fill=—","Direction=H","UseDPDF=Y")</f>
        <v>0</v>
      </c>
      <c r="AE32" s="12" cm="1">
        <f t="array" ref="AE32">_xll.BDH("CMI US Equity","CF_NT_CSH_RCVD_PD_FOR_ACQUIS_DIV","FQ3 2025","FQ3 2025","Currency=USD","Period=FQ","BEST_FPERIOD_OVERRIDE=FQ","FILING_STATUS=MR","SCALING_FORMAT=MLN","Sort=A","Dates=H","DateFormat=P","Fill=—","Direction=H","UseDPDF=Y")</f>
        <v>0</v>
      </c>
      <c r="AF32" s="12" cm="1">
        <f t="array" ref="AF32">_xll.BDH("CMI US Equity","CF_NT_CSH_RCVD_PD_FOR_ACQUIS_DIV","FQ4 2025","FQ4 2025","Currency=USD","Period=FQ","BEST_FPERIOD_OVERRIDE=FQ","FILING_STATUS=MR","SCALING_FORMAT=MLN","Sort=A","Dates=H","DateFormat=P","Fill=—","Direction=H","UseDPDF=Y")</f>
        <v>0</v>
      </c>
    </row>
    <row r="33" spans="1:32" x14ac:dyDescent="0.25">
      <c r="A33" s="10" t="s">
        <v>114</v>
      </c>
      <c r="B33" s="10" t="s">
        <v>115</v>
      </c>
      <c r="C33" s="12" cm="1">
        <f t="array" ref="C33">_xll.BDH("CMI US Equity","CF_CASH_FOR_DIVESTITURES","FQ3 2018","FQ3 2018","Currency=USD","Period=FQ","BEST_FPERIOD_OVERRIDE=FQ","FILING_STATUS=MR","SCALING_FORMAT=MLN","Sort=A","Dates=H","DateFormat=P","Fill=—","Direction=H","UseDPDF=Y")</f>
        <v>0</v>
      </c>
      <c r="D33" s="12" cm="1">
        <f t="array" ref="D33">_xll.BDH("CMI US Equity","CF_CASH_FOR_DIVESTITURES","FQ4 2018","FQ4 2018","Currency=USD","Period=FQ","BEST_FPERIOD_OVERRIDE=FQ","FILING_STATUS=MR","SCALING_FORMAT=MLN","Sort=A","Dates=H","DateFormat=P","Fill=—","Direction=H","UseDPDF=Y")</f>
        <v>0</v>
      </c>
      <c r="E33" s="12" cm="1">
        <f t="array" ref="E33">_xll.BDH("CMI US Equity","CF_CASH_FOR_DIVESTITURES","FQ1 2019","FQ1 2019","Currency=USD","Period=FQ","BEST_FPERIOD_OVERRIDE=FQ","FILING_STATUS=MR","SCALING_FORMAT=MLN","Sort=A","Dates=H","DateFormat=P","Fill=—","Direction=H","UseDPDF=Y")</f>
        <v>0</v>
      </c>
      <c r="F33" s="12" cm="1">
        <f t="array" ref="F33">_xll.BDH("CMI US Equity","CF_CASH_FOR_DIVESTITURES","FQ2 2019","FQ2 2019","Currency=USD","Period=FQ","BEST_FPERIOD_OVERRIDE=FQ","FILING_STATUS=MR","SCALING_FORMAT=MLN","Sort=A","Dates=H","DateFormat=P","Fill=—","Direction=H","UseDPDF=Y")</f>
        <v>0</v>
      </c>
      <c r="G33" s="12" cm="1">
        <f t="array" ref="G33">_xll.BDH("CMI US Equity","CF_CASH_FOR_DIVESTITURES","FQ3 2019","FQ3 2019","Currency=USD","Period=FQ","BEST_FPERIOD_OVERRIDE=FQ","FILING_STATUS=MR","SCALING_FORMAT=MLN","Sort=A","Dates=H","DateFormat=P","Fill=—","Direction=H","UseDPDF=Y")</f>
        <v>0</v>
      </c>
      <c r="H33" s="12" cm="1">
        <f t="array" ref="H33">_xll.BDH("CMI US Equity","CF_CASH_FOR_DIVESTITURES","FQ4 2019","FQ4 2019","Currency=USD","Period=FQ","BEST_FPERIOD_OVERRIDE=FQ","FILING_STATUS=MR","SCALING_FORMAT=MLN","Sort=A","Dates=H","DateFormat=P","Fill=—","Direction=H","UseDPDF=Y")</f>
        <v>0</v>
      </c>
      <c r="I33" s="12" cm="1">
        <f t="array" ref="I33">_xll.BDH("CMI US Equity","CF_CASH_FOR_DIVESTITURES","FQ1 2020","FQ1 2020","Currency=USD","Period=FQ","BEST_FPERIOD_OVERRIDE=FQ","FILING_STATUS=MR","SCALING_FORMAT=MLN","Sort=A","Dates=H","DateFormat=P","Fill=—","Direction=H","UseDPDF=Y")</f>
        <v>0</v>
      </c>
      <c r="J33" s="12" cm="1">
        <f t="array" ref="J33">_xll.BDH("CMI US Equity","CF_CASH_FOR_DIVESTITURES","FQ2 2020","FQ2 2020","Currency=USD","Period=FQ","BEST_FPERIOD_OVERRIDE=FQ","FILING_STATUS=MR","SCALING_FORMAT=MLN","Sort=A","Dates=H","DateFormat=P","Fill=—","Direction=H","UseDPDF=Y")</f>
        <v>0</v>
      </c>
      <c r="K33" s="12" cm="1">
        <f t="array" ref="K33">_xll.BDH("CMI US Equity","CF_CASH_FOR_DIVESTITURES","FQ3 2020","FQ3 2020","Currency=USD","Period=FQ","BEST_FPERIOD_OVERRIDE=FQ","FILING_STATUS=MR","SCALING_FORMAT=MLN","Sort=A","Dates=H","DateFormat=P","Fill=—","Direction=H","UseDPDF=Y")</f>
        <v>0</v>
      </c>
      <c r="L33" s="12" cm="1">
        <f t="array" ref="L33">_xll.BDH("CMI US Equity","CF_CASH_FOR_DIVESTITURES","FQ4 2020","FQ4 2020","Currency=USD","Period=FQ","BEST_FPERIOD_OVERRIDE=FQ","FILING_STATUS=MR","SCALING_FORMAT=MLN","Sort=A","Dates=H","DateFormat=P","Fill=—","Direction=H","UseDPDF=Y")</f>
        <v>0</v>
      </c>
      <c r="M33" s="12" cm="1">
        <f t="array" ref="M33">_xll.BDH("CMI US Equity","CF_CASH_FOR_DIVESTITURES","FQ1 2021","FQ1 2021","Currency=USD","Period=FQ","BEST_FPERIOD_OVERRIDE=FQ","FILING_STATUS=MR","SCALING_FORMAT=MLN","Sort=A","Dates=H","DateFormat=P","Fill=—","Direction=H","UseDPDF=Y")</f>
        <v>0</v>
      </c>
      <c r="N33" s="12" cm="1">
        <f t="array" ref="N33">_xll.BDH("CMI US Equity","CF_CASH_FOR_DIVESTITURES","FQ2 2021","FQ2 2021","Currency=USD","Period=FQ","BEST_FPERIOD_OVERRIDE=FQ","FILING_STATUS=MR","SCALING_FORMAT=MLN","Sort=A","Dates=H","DateFormat=P","Fill=—","Direction=H","UseDPDF=Y")</f>
        <v>0</v>
      </c>
      <c r="O33" s="12" cm="1">
        <f t="array" ref="O33">_xll.BDH("CMI US Equity","CF_CASH_FOR_DIVESTITURES","FQ3 2021","FQ3 2021","Currency=USD","Period=FQ","BEST_FPERIOD_OVERRIDE=FQ","FILING_STATUS=MR","SCALING_FORMAT=MLN","Sort=A","Dates=H","DateFormat=P","Fill=—","Direction=H","UseDPDF=Y")</f>
        <v>0</v>
      </c>
      <c r="P33" s="12" cm="1">
        <f t="array" ref="P33">_xll.BDH("CMI US Equity","CF_CASH_FOR_DIVESTITURES","FQ4 2021","FQ4 2021","Currency=USD","Period=FQ","BEST_FPERIOD_OVERRIDE=FQ","FILING_STATUS=MR","SCALING_FORMAT=MLN","Sort=A","Dates=H","DateFormat=P","Fill=—","Direction=H","UseDPDF=Y")</f>
        <v>0</v>
      </c>
      <c r="Q33" s="12" cm="1">
        <f t="array" ref="Q33">_xll.BDH("CMI US Equity","CF_CASH_FOR_DIVESTITURES","FQ1 2022","FQ1 2022","Currency=USD","Period=FQ","BEST_FPERIOD_OVERRIDE=FQ","FILING_STATUS=MR","SCALING_FORMAT=MLN","Sort=A","Dates=H","DateFormat=P","Fill=—","Direction=H","UseDPDF=Y")</f>
        <v>0</v>
      </c>
      <c r="R33" s="12" cm="1">
        <f t="array" ref="R33">_xll.BDH("CMI US Equity","CF_CASH_FOR_DIVESTITURES","FQ2 2022","FQ2 2022","Currency=USD","Period=FQ","BEST_FPERIOD_OVERRIDE=FQ","FILING_STATUS=MR","SCALING_FORMAT=MLN","Sort=A","Dates=H","DateFormat=P","Fill=—","Direction=H","UseDPDF=Y")</f>
        <v>0</v>
      </c>
      <c r="S33" s="12" cm="1">
        <f t="array" ref="S33">_xll.BDH("CMI US Equity","CF_CASH_FOR_DIVESTITURES","FQ3 2022","FQ3 2022","Currency=USD","Period=FQ","BEST_FPERIOD_OVERRIDE=FQ","FILING_STATUS=MR","SCALING_FORMAT=MLN","Sort=A","Dates=H","DateFormat=P","Fill=—","Direction=H","UseDPDF=Y")</f>
        <v>0</v>
      </c>
      <c r="T33" s="12" cm="1">
        <f t="array" ref="T33">_xll.BDH("CMI US Equity","CF_CASH_FOR_DIVESTITURES","FQ4 2022","FQ4 2022","Currency=USD","Period=FQ","BEST_FPERIOD_OVERRIDE=FQ","FILING_STATUS=MR","SCALING_FORMAT=MLN","Sort=A","Dates=H","DateFormat=P","Fill=—","Direction=H","UseDPDF=Y")</f>
        <v>0</v>
      </c>
      <c r="U33" s="12" cm="1">
        <f t="array" ref="U33">_xll.BDH("CMI US Equity","CF_CASH_FOR_DIVESTITURES","FQ1 2023","FQ1 2023","Currency=USD","Period=FQ","BEST_FPERIOD_OVERRIDE=FQ","FILING_STATUS=MR","SCALING_FORMAT=MLN","Sort=A","Dates=H","DateFormat=P","Fill=—","Direction=H","UseDPDF=Y")</f>
        <v>0</v>
      </c>
      <c r="V33" s="12" cm="1">
        <f t="array" ref="V33">_xll.BDH("CMI US Equity","CF_CASH_FOR_DIVESTITURES","FQ2 2023","FQ2 2023","Currency=USD","Period=FQ","BEST_FPERIOD_OVERRIDE=FQ","FILING_STATUS=MR","SCALING_FORMAT=MLN","Sort=A","Dates=H","DateFormat=P","Fill=—","Direction=H","UseDPDF=Y")</f>
        <v>0</v>
      </c>
      <c r="W33" s="12" cm="1">
        <f t="array" ref="W33">_xll.BDH("CMI US Equity","CF_CASH_FOR_DIVESTITURES","FQ3 2023","FQ3 2023","Currency=USD","Period=FQ","BEST_FPERIOD_OVERRIDE=FQ","FILING_STATUS=MR","SCALING_FORMAT=MLN","Sort=A","Dates=H","DateFormat=P","Fill=—","Direction=H","UseDPDF=Y")</f>
        <v>0</v>
      </c>
      <c r="X33" s="12" cm="1">
        <f t="array" ref="X33">_xll.BDH("CMI US Equity","CF_CASH_FOR_DIVESTITURES","FQ4 2023","FQ4 2023","Currency=USD","Period=FQ","BEST_FPERIOD_OVERRIDE=FQ","FILING_STATUS=MR","SCALING_FORMAT=MLN","Sort=A","Dates=H","DateFormat=P","Fill=—","Direction=H","UseDPDF=Y")</f>
        <v>0</v>
      </c>
      <c r="Y33" s="12" cm="1">
        <f t="array" ref="Y33">_xll.BDH("CMI US Equity","CF_CASH_FOR_DIVESTITURES","FQ1 2024","FQ1 2024","Currency=USD","Period=FQ","BEST_FPERIOD_OVERRIDE=FQ","FILING_STATUS=MR","SCALING_FORMAT=MLN","Sort=A","Dates=H","DateFormat=P","Fill=—","Direction=H","UseDPDF=Y")</f>
        <v>0</v>
      </c>
      <c r="Z33" s="12" cm="1">
        <f t="array" ref="Z33">_xll.BDH("CMI US Equity","CF_CASH_FOR_DIVESTITURES","FQ2 2024","FQ2 2024","Currency=USD","Period=FQ","BEST_FPERIOD_OVERRIDE=FQ","FILING_STATUS=MR","SCALING_FORMAT=MLN","Sort=A","Dates=H","DateFormat=P","Fill=—","Direction=H","UseDPDF=Y")</f>
        <v>0</v>
      </c>
      <c r="AA33" s="12" cm="1">
        <f t="array" ref="AA33">_xll.BDH("CMI US Equity","CF_CASH_FOR_DIVESTITURES","FQ3 2024","FQ3 2024","Currency=USD","Period=FQ","BEST_FPERIOD_OVERRIDE=FQ","FILING_STATUS=MR","SCALING_FORMAT=MLN","Sort=A","Dates=H","DateFormat=P","Fill=—","Direction=H","UseDPDF=Y")</f>
        <v>0</v>
      </c>
      <c r="AB33" s="12" cm="1">
        <f t="array" ref="AB33">_xll.BDH("CMI US Equity","CF_CASH_FOR_DIVESTITURES","FQ4 2024","FQ4 2024","Currency=USD","Period=FQ","BEST_FPERIOD_OVERRIDE=FQ","FILING_STATUS=MR","SCALING_FORMAT=MLN","Sort=A","Dates=H","DateFormat=P","Fill=—","Direction=H","UseDPDF=Y")</f>
        <v>0</v>
      </c>
      <c r="AC33" s="12" cm="1">
        <f t="array" ref="AC33">_xll.BDH("CMI US Equity","CF_CASH_FOR_DIVESTITURES","FQ1 2025","FQ1 2025","Currency=USD","Period=FQ","BEST_FPERIOD_OVERRIDE=FQ","FILING_STATUS=MR","SCALING_FORMAT=MLN","Sort=A","Dates=H","DateFormat=P","Fill=—","Direction=H","UseDPDF=Y")</f>
        <v>0</v>
      </c>
      <c r="AD33" s="12" cm="1">
        <f t="array" ref="AD33">_xll.BDH("CMI US Equity","CF_CASH_FOR_DIVESTITURES","FQ2 2025","FQ2 2025","Currency=USD","Period=FQ","BEST_FPERIOD_OVERRIDE=FQ","FILING_STATUS=MR","SCALING_FORMAT=MLN","Sort=A","Dates=H","DateFormat=P","Fill=—","Direction=H","UseDPDF=Y")</f>
        <v>0</v>
      </c>
      <c r="AE33" s="12" cm="1">
        <f t="array" ref="AE33">_xll.BDH("CMI US Equity","CF_CASH_FOR_DIVESTITURES","FQ3 2025","FQ3 2025","Currency=USD","Period=FQ","BEST_FPERIOD_OVERRIDE=FQ","FILING_STATUS=MR","SCALING_FORMAT=MLN","Sort=A","Dates=H","DateFormat=P","Fill=—","Direction=H","UseDPDF=Y")</f>
        <v>0</v>
      </c>
      <c r="AF33" s="12" cm="1">
        <f t="array" ref="AF33">_xll.BDH("CMI US Equity","CF_CASH_FOR_DIVESTITURES","FQ4 2025","FQ4 2025","Currency=USD","Period=FQ","BEST_FPERIOD_OVERRIDE=FQ","FILING_STATUS=MR","SCALING_FORMAT=MLN","Sort=A","Dates=H","DateFormat=P","Fill=—","Direction=H","UseDPDF=Y")</f>
        <v>0</v>
      </c>
    </row>
    <row r="34" spans="1:32" x14ac:dyDescent="0.25">
      <c r="A34" s="10" t="s">
        <v>116</v>
      </c>
      <c r="B34" s="10" t="s">
        <v>117</v>
      </c>
      <c r="C34" s="12" cm="1">
        <f t="array" ref="C34">_xll.BDH("CMI US Equity","CF_CASH_FOR_ACQUIS_SUBSIDIARIES","FQ3 2018","FQ3 2018","Currency=USD","Period=FQ","BEST_FPERIOD_OVERRIDE=FQ","FILING_STATUS=MR","SCALING_FORMAT=MLN","Sort=A","Dates=H","DateFormat=P","Fill=—","Direction=H","UseDPDF=Y")</f>
        <v>-70</v>
      </c>
      <c r="D34" s="12" cm="1">
        <f t="array" ref="D34">_xll.BDH("CMI US Equity","CF_CASH_FOR_ACQUIS_SUBSIDIARIES","FQ4 2018","FQ4 2018","Currency=USD","Period=FQ","BEST_FPERIOD_OVERRIDE=FQ","FILING_STATUS=MR","SCALING_FORMAT=MLN","Sort=A","Dates=H","DateFormat=P","Fill=—","Direction=H","UseDPDF=Y")</f>
        <v>0</v>
      </c>
      <c r="E34" s="12" cm="1">
        <f t="array" ref="E34">_xll.BDH("CMI US Equity","CF_CASH_FOR_ACQUIS_SUBSIDIARIES","FQ1 2019","FQ1 2019","Currency=USD","Period=FQ","BEST_FPERIOD_OVERRIDE=FQ","FILING_STATUS=MR","SCALING_FORMAT=MLN","Sort=A","Dates=H","DateFormat=P","Fill=—","Direction=H","UseDPDF=Y")</f>
        <v>0</v>
      </c>
      <c r="F34" s="12" cm="1">
        <f t="array" ref="F34">_xll.BDH("CMI US Equity","CF_CASH_FOR_ACQUIS_SUBSIDIARIES","FQ2 2019","FQ2 2019","Currency=USD","Period=FQ","BEST_FPERIOD_OVERRIDE=FQ","FILING_STATUS=MR","SCALING_FORMAT=MLN","Sort=A","Dates=H","DateFormat=P","Fill=—","Direction=H","UseDPDF=Y")</f>
        <v>0</v>
      </c>
      <c r="G34" s="12" cm="1">
        <f t="array" ref="G34">_xll.BDH("CMI US Equity","CF_CASH_FOR_ACQUIS_SUBSIDIARIES","FQ3 2019","FQ3 2019","Currency=USD","Period=FQ","BEST_FPERIOD_OVERRIDE=FQ","FILING_STATUS=MR","SCALING_FORMAT=MLN","Sort=A","Dates=H","DateFormat=P","Fill=—","Direction=H","UseDPDF=Y")</f>
        <v>-237</v>
      </c>
      <c r="H34" s="12" cm="1">
        <f t="array" ref="H34">_xll.BDH("CMI US Equity","CF_CASH_FOR_ACQUIS_SUBSIDIARIES","FQ4 2019","FQ4 2019","Currency=USD","Period=FQ","BEST_FPERIOD_OVERRIDE=FQ","FILING_STATUS=MR","SCALING_FORMAT=MLN","Sort=A","Dates=H","DateFormat=P","Fill=—","Direction=H","UseDPDF=Y")</f>
        <v>0</v>
      </c>
      <c r="I34" s="12" cm="1">
        <f t="array" ref="I34">_xll.BDH("CMI US Equity","CF_CASH_FOR_ACQUIS_SUBSIDIARIES","FQ1 2020","FQ1 2020","Currency=USD","Period=FQ","BEST_FPERIOD_OVERRIDE=FQ","FILING_STATUS=MR","SCALING_FORMAT=MLN","Sort=A","Dates=H","DateFormat=P","Fill=—","Direction=H","UseDPDF=Y")</f>
        <v>0</v>
      </c>
      <c r="J34" s="12" cm="1">
        <f t="array" ref="J34">_xll.BDH("CMI US Equity","CF_CASH_FOR_ACQUIS_SUBSIDIARIES","FQ2 2020","FQ2 2020","Currency=USD","Period=FQ","BEST_FPERIOD_OVERRIDE=FQ","FILING_STATUS=MR","SCALING_FORMAT=MLN","Sort=A","Dates=H","DateFormat=P","Fill=—","Direction=H","UseDPDF=Y")</f>
        <v>0</v>
      </c>
      <c r="K34" s="12" cm="1">
        <f t="array" ref="K34">_xll.BDH("CMI US Equity","CF_CASH_FOR_ACQUIS_SUBSIDIARIES","FQ3 2020","FQ3 2020","Currency=USD","Period=FQ","BEST_FPERIOD_OVERRIDE=FQ","FILING_STATUS=MR","SCALING_FORMAT=MLN","Sort=A","Dates=H","DateFormat=P","Fill=—","Direction=H","UseDPDF=Y")</f>
        <v>0</v>
      </c>
      <c r="L34" s="12" cm="1">
        <f t="array" ref="L34">_xll.BDH("CMI US Equity","CF_CASH_FOR_ACQUIS_SUBSIDIARIES","FQ4 2020","FQ4 2020","Currency=USD","Period=FQ","BEST_FPERIOD_OVERRIDE=FQ","FILING_STATUS=MR","SCALING_FORMAT=MLN","Sort=A","Dates=H","DateFormat=P","Fill=—","Direction=H","UseDPDF=Y")</f>
        <v>0</v>
      </c>
      <c r="M34" s="12" cm="1">
        <f t="array" ref="M34">_xll.BDH("CMI US Equity","CF_CASH_FOR_ACQUIS_SUBSIDIARIES","FQ1 2021","FQ1 2021","Currency=USD","Period=FQ","BEST_FPERIOD_OVERRIDE=FQ","FILING_STATUS=MR","SCALING_FORMAT=MLN","Sort=A","Dates=H","DateFormat=P","Fill=—","Direction=H","UseDPDF=Y")</f>
        <v>0</v>
      </c>
      <c r="N34" s="12" cm="1">
        <f t="array" ref="N34">_xll.BDH("CMI US Equity","CF_CASH_FOR_ACQUIS_SUBSIDIARIES","FQ2 2021","FQ2 2021","Currency=USD","Period=FQ","BEST_FPERIOD_OVERRIDE=FQ","FILING_STATUS=MR","SCALING_FORMAT=MLN","Sort=A","Dates=H","DateFormat=P","Fill=—","Direction=H","UseDPDF=Y")</f>
        <v>0</v>
      </c>
      <c r="O34" s="12" cm="1">
        <f t="array" ref="O34">_xll.BDH("CMI US Equity","CF_CASH_FOR_ACQUIS_SUBSIDIARIES","FQ3 2021","FQ3 2021","Currency=USD","Period=FQ","BEST_FPERIOD_OVERRIDE=FQ","FILING_STATUS=MR","SCALING_FORMAT=MLN","Sort=A","Dates=H","DateFormat=P","Fill=—","Direction=H","UseDPDF=Y")</f>
        <v>0</v>
      </c>
      <c r="P34" s="12" cm="1">
        <f t="array" ref="P34">_xll.BDH("CMI US Equity","CF_CASH_FOR_ACQUIS_SUBSIDIARIES","FQ4 2021","FQ4 2021","Currency=USD","Period=FQ","BEST_FPERIOD_OVERRIDE=FQ","FILING_STATUS=MR","SCALING_FORMAT=MLN","Sort=A","Dates=H","DateFormat=P","Fill=—","Direction=H","UseDPDF=Y")</f>
        <v>0</v>
      </c>
      <c r="Q34" s="12" cm="1">
        <f t="array" ref="Q34">_xll.BDH("CMI US Equity","CF_CASH_FOR_ACQUIS_SUBSIDIARIES","FQ1 2022","FQ1 2022","Currency=USD","Period=FQ","BEST_FPERIOD_OVERRIDE=FQ","FILING_STATUS=MR","SCALING_FORMAT=MLN","Sort=A","Dates=H","DateFormat=P","Fill=—","Direction=H","UseDPDF=Y")</f>
        <v>83</v>
      </c>
      <c r="R34" s="12" cm="1">
        <f t="array" ref="R34">_xll.BDH("CMI US Equity","CF_CASH_FOR_ACQUIS_SUBSIDIARIES","FQ2 2022","FQ2 2022","Currency=USD","Period=FQ","BEST_FPERIOD_OVERRIDE=FQ","FILING_STATUS=MR","SCALING_FORMAT=MLN","Sort=A","Dates=H","DateFormat=P","Fill=—","Direction=H","UseDPDF=Y")</f>
        <v>-328</v>
      </c>
      <c r="S34" s="12" cm="1">
        <f t="array" ref="S34">_xll.BDH("CMI US Equity","CF_CASH_FOR_ACQUIS_SUBSIDIARIES","FQ3 2022","FQ3 2022","Currency=USD","Period=FQ","BEST_FPERIOD_OVERRIDE=FQ","FILING_STATUS=MR","SCALING_FORMAT=MLN","Sort=A","Dates=H","DateFormat=P","Fill=—","Direction=H","UseDPDF=Y")</f>
        <v>-2763</v>
      </c>
      <c r="T34" s="12" cm="1">
        <f t="array" ref="T34">_xll.BDH("CMI US Equity","CF_CASH_FOR_ACQUIS_SUBSIDIARIES","FQ4 2022","FQ4 2022","Currency=USD","Period=FQ","BEST_FPERIOD_OVERRIDE=FQ","FILING_STATUS=MR","SCALING_FORMAT=MLN","Sort=A","Dates=H","DateFormat=P","Fill=—","Direction=H","UseDPDF=Y")</f>
        <v>-183</v>
      </c>
      <c r="U34" s="12" cm="1">
        <f t="array" ref="U34">_xll.BDH("CMI US Equity","CF_CASH_FOR_ACQUIS_SUBSIDIARIES","FQ1 2023","FQ1 2023","Currency=USD","Period=FQ","BEST_FPERIOD_OVERRIDE=FQ","FILING_STATUS=MR","SCALING_FORMAT=MLN","Sort=A","Dates=H","DateFormat=P","Fill=—","Direction=H","UseDPDF=Y")</f>
        <v>0</v>
      </c>
      <c r="V34" s="12" cm="1">
        <f t="array" ref="V34">_xll.BDH("CMI US Equity","CF_CASH_FOR_ACQUIS_SUBSIDIARIES","FQ2 2023","FQ2 2023","Currency=USD","Period=FQ","BEST_FPERIOD_OVERRIDE=FQ","FILING_STATUS=MR","SCALING_FORMAT=MLN","Sort=A","Dates=H","DateFormat=P","Fill=—","Direction=H","UseDPDF=Y")</f>
        <v>192</v>
      </c>
      <c r="W34" s="12" cm="1">
        <f t="array" ref="W34">_xll.BDH("CMI US Equity","CF_CASH_FOR_ACQUIS_SUBSIDIARIES","FQ3 2023","FQ3 2023","Currency=USD","Period=FQ","BEST_FPERIOD_OVERRIDE=FQ","FILING_STATUS=MR","SCALING_FORMAT=MLN","Sort=A","Dates=H","DateFormat=P","Fill=—","Direction=H","UseDPDF=Y")</f>
        <v>7</v>
      </c>
      <c r="X34" s="12" cm="1">
        <f t="array" ref="X34">_xll.BDH("CMI US Equity","CF_CASH_FOR_ACQUIS_SUBSIDIARIES","FQ4 2023","FQ4 2023","Currency=USD","Period=FQ","BEST_FPERIOD_OVERRIDE=FQ","FILING_STATUS=MR","SCALING_FORMAT=MLN","Sort=A","Dates=H","DateFormat=P","Fill=—","Direction=H","UseDPDF=Y")</f>
        <v>-165</v>
      </c>
      <c r="Y34" s="12" cm="1">
        <f t="array" ref="Y34">_xll.BDH("CMI US Equity","CF_CASH_FOR_ACQUIS_SUBSIDIARIES","FQ1 2024","FQ1 2024","Currency=USD","Period=FQ","BEST_FPERIOD_OVERRIDE=FQ","FILING_STATUS=MR","SCALING_FORMAT=MLN","Sort=A","Dates=H","DateFormat=P","Fill=—","Direction=H","UseDPDF=Y")</f>
        <v>-59</v>
      </c>
      <c r="Z34" s="12" cm="1">
        <f t="array" ref="Z34">_xll.BDH("CMI US Equity","CF_CASH_FOR_ACQUIS_SUBSIDIARIES","FQ2 2024","FQ2 2024","Currency=USD","Period=FQ","BEST_FPERIOD_OVERRIDE=FQ","FILING_STATUS=MR","SCALING_FORMAT=MLN","Sort=A","Dates=H","DateFormat=P","Fill=—","Direction=H","UseDPDF=Y")</f>
        <v>1</v>
      </c>
      <c r="AA34" s="12" cm="1">
        <f t="array" ref="AA34">_xll.BDH("CMI US Equity","CF_CASH_FOR_ACQUIS_SUBSIDIARIES","FQ3 2024","FQ3 2024","Currency=USD","Period=FQ","BEST_FPERIOD_OVERRIDE=FQ","FILING_STATUS=MR","SCALING_FORMAT=MLN","Sort=A","Dates=H","DateFormat=P","Fill=—","Direction=H","UseDPDF=Y")</f>
        <v>0</v>
      </c>
      <c r="AB34" s="12" cm="1">
        <f t="array" ref="AB34">_xll.BDH("CMI US Equity","CF_CASH_FOR_ACQUIS_SUBSIDIARIES","FQ4 2024","FQ4 2024","Currency=USD","Period=FQ","BEST_FPERIOD_OVERRIDE=FQ","FILING_STATUS=MR","SCALING_FORMAT=MLN","Sort=A","Dates=H","DateFormat=P","Fill=—","Direction=H","UseDPDF=Y")</f>
        <v>-174</v>
      </c>
      <c r="AC34" s="12" cm="1">
        <f t="array" ref="AC34">_xll.BDH("CMI US Equity","CF_CASH_FOR_ACQUIS_SUBSIDIARIES","FQ1 2025","FQ1 2025","Currency=USD","Period=FQ","BEST_FPERIOD_OVERRIDE=FQ","FILING_STATUS=MR","SCALING_FORMAT=MLN","Sort=A","Dates=H","DateFormat=P","Fill=—","Direction=H","UseDPDF=Y")</f>
        <v>-12</v>
      </c>
      <c r="AD34" s="12" cm="1">
        <f t="array" ref="AD34">_xll.BDH("CMI US Equity","CF_CASH_FOR_ACQUIS_SUBSIDIARIES","FQ2 2025","FQ2 2025","Currency=USD","Period=FQ","BEST_FPERIOD_OVERRIDE=FQ","FILING_STATUS=MR","SCALING_FORMAT=MLN","Sort=A","Dates=H","DateFormat=P","Fill=—","Direction=H","UseDPDF=Y")</f>
        <v>0</v>
      </c>
      <c r="AE34" s="12" cm="1">
        <f t="array" ref="AE34">_xll.BDH("CMI US Equity","CF_CASH_FOR_ACQUIS_SUBSIDIARIES","FQ3 2025","FQ3 2025","Currency=USD","Period=FQ","BEST_FPERIOD_OVERRIDE=FQ","FILING_STATUS=MR","SCALING_FORMAT=MLN","Sort=A","Dates=H","DateFormat=P","Fill=—","Direction=H","UseDPDF=Y")</f>
        <v>0</v>
      </c>
      <c r="AF34" s="12" cm="1">
        <f t="array" ref="AF34">_xll.BDH("CMI US Equity","CF_CASH_FOR_ACQUIS_SUBSIDIARIES","FQ4 2025","FQ4 2025","Currency=USD","Period=FQ","BEST_FPERIOD_OVERRIDE=FQ","FILING_STATUS=MR","SCALING_FORMAT=MLN","Sort=A","Dates=H","DateFormat=P","Fill=—","Direction=H","UseDPDF=Y")</f>
        <v>0</v>
      </c>
    </row>
    <row r="35" spans="1:32" x14ac:dyDescent="0.25">
      <c r="A35" s="10" t="s">
        <v>118</v>
      </c>
      <c r="B35" s="10" t="s">
        <v>119</v>
      </c>
      <c r="C35" s="12" cm="1">
        <f t="array" ref="C35">_xll.BDH("CMI US Equity","CF_CASH_FOR_JOINT_VENTURES_ASSOC","FQ3 2018","FQ3 2018","Currency=USD","Period=FQ","BEST_FPERIOD_OVERRIDE=FQ","FILING_STATUS=MR","SCALING_FORMAT=MLN","Sort=A","Dates=H","DateFormat=P","Fill=—","Direction=H","UseDPDF=Y")</f>
        <v>0</v>
      </c>
      <c r="D35" s="12" cm="1">
        <f t="array" ref="D35">_xll.BDH("CMI US Equity","CF_CASH_FOR_JOINT_VENTURES_ASSOC","FQ4 2018","FQ4 2018","Currency=USD","Period=FQ","BEST_FPERIOD_OVERRIDE=FQ","FILING_STATUS=MR","SCALING_FORMAT=MLN","Sort=A","Dates=H","DateFormat=P","Fill=—","Direction=H","UseDPDF=Y")</f>
        <v>0</v>
      </c>
      <c r="E35" s="12" cm="1">
        <f t="array" ref="E35">_xll.BDH("CMI US Equity","CF_CASH_FOR_JOINT_VENTURES_ASSOC","FQ1 2019","FQ1 2019","Currency=USD","Period=FQ","BEST_FPERIOD_OVERRIDE=FQ","FILING_STATUS=MR","SCALING_FORMAT=MLN","Sort=A","Dates=H","DateFormat=P","Fill=—","Direction=H","UseDPDF=Y")</f>
        <v>0</v>
      </c>
      <c r="F35" s="12" cm="1">
        <f t="array" ref="F35">_xll.BDH("CMI US Equity","CF_CASH_FOR_JOINT_VENTURES_ASSOC","FQ2 2019","FQ2 2019","Currency=USD","Period=FQ","BEST_FPERIOD_OVERRIDE=FQ","FILING_STATUS=MR","SCALING_FORMAT=MLN","Sort=A","Dates=H","DateFormat=P","Fill=—","Direction=H","UseDPDF=Y")</f>
        <v>0</v>
      </c>
      <c r="G35" s="12" cm="1">
        <f t="array" ref="G35">_xll.BDH("CMI US Equity","CF_CASH_FOR_JOINT_VENTURES_ASSOC","FQ3 2019","FQ3 2019","Currency=USD","Period=FQ","BEST_FPERIOD_OVERRIDE=FQ","FILING_STATUS=MR","SCALING_FORMAT=MLN","Sort=A","Dates=H","DateFormat=P","Fill=—","Direction=H","UseDPDF=Y")</f>
        <v>0</v>
      </c>
      <c r="H35" s="12" cm="1">
        <f t="array" ref="H35">_xll.BDH("CMI US Equity","CF_CASH_FOR_JOINT_VENTURES_ASSOC","FQ4 2019","FQ4 2019","Currency=USD","Period=FQ","BEST_FPERIOD_OVERRIDE=FQ","FILING_STATUS=MR","SCALING_FORMAT=MLN","Sort=A","Dates=H","DateFormat=P","Fill=—","Direction=H","UseDPDF=Y")</f>
        <v>0</v>
      </c>
      <c r="I35" s="12" cm="1">
        <f t="array" ref="I35">_xll.BDH("CMI US Equity","CF_CASH_FOR_JOINT_VENTURES_ASSOC","FQ1 2020","FQ1 2020","Currency=USD","Period=FQ","BEST_FPERIOD_OVERRIDE=FQ","FILING_STATUS=MR","SCALING_FORMAT=MLN","Sort=A","Dates=H","DateFormat=P","Fill=—","Direction=H","UseDPDF=Y")</f>
        <v>0</v>
      </c>
      <c r="J35" s="12" cm="1">
        <f t="array" ref="J35">_xll.BDH("CMI US Equity","CF_CASH_FOR_JOINT_VENTURES_ASSOC","FQ2 2020","FQ2 2020","Currency=USD","Period=FQ","BEST_FPERIOD_OVERRIDE=FQ","FILING_STATUS=MR","SCALING_FORMAT=MLN","Sort=A","Dates=H","DateFormat=P","Fill=—","Direction=H","UseDPDF=Y")</f>
        <v>0</v>
      </c>
      <c r="K35" s="12" cm="1">
        <f t="array" ref="K35">_xll.BDH("CMI US Equity","CF_CASH_FOR_JOINT_VENTURES_ASSOC","FQ3 2020","FQ3 2020","Currency=USD","Period=FQ","BEST_FPERIOD_OVERRIDE=FQ","FILING_STATUS=MR","SCALING_FORMAT=MLN","Sort=A","Dates=H","DateFormat=P","Fill=—","Direction=H","UseDPDF=Y")</f>
        <v>0</v>
      </c>
      <c r="L35" s="12" cm="1">
        <f t="array" ref="L35">_xll.BDH("CMI US Equity","CF_CASH_FOR_JOINT_VENTURES_ASSOC","FQ4 2020","FQ4 2020","Currency=USD","Period=FQ","BEST_FPERIOD_OVERRIDE=FQ","FILING_STATUS=MR","SCALING_FORMAT=MLN","Sort=A","Dates=H","DateFormat=P","Fill=—","Direction=H","UseDPDF=Y")</f>
        <v>0</v>
      </c>
      <c r="M35" s="12" cm="1">
        <f t="array" ref="M35">_xll.BDH("CMI US Equity","CF_CASH_FOR_JOINT_VENTURES_ASSOC","FQ1 2021","FQ1 2021","Currency=USD","Period=FQ","BEST_FPERIOD_OVERRIDE=FQ","FILING_STATUS=MR","SCALING_FORMAT=MLN","Sort=A","Dates=H","DateFormat=P","Fill=—","Direction=H","UseDPDF=Y")</f>
        <v>0</v>
      </c>
      <c r="N35" s="12" cm="1">
        <f t="array" ref="N35">_xll.BDH("CMI US Equity","CF_CASH_FOR_JOINT_VENTURES_ASSOC","FQ2 2021","FQ2 2021","Currency=USD","Period=FQ","BEST_FPERIOD_OVERRIDE=FQ","FILING_STATUS=MR","SCALING_FORMAT=MLN","Sort=A","Dates=H","DateFormat=P","Fill=—","Direction=H","UseDPDF=Y")</f>
        <v>0</v>
      </c>
      <c r="O35" s="12" cm="1">
        <f t="array" ref="O35">_xll.BDH("CMI US Equity","CF_CASH_FOR_JOINT_VENTURES_ASSOC","FQ3 2021","FQ3 2021","Currency=USD","Period=FQ","BEST_FPERIOD_OVERRIDE=FQ","FILING_STATUS=MR","SCALING_FORMAT=MLN","Sort=A","Dates=H","DateFormat=P","Fill=—","Direction=H","UseDPDF=Y")</f>
        <v>0</v>
      </c>
      <c r="P35" s="12" cm="1">
        <f t="array" ref="P35">_xll.BDH("CMI US Equity","CF_CASH_FOR_JOINT_VENTURES_ASSOC","FQ4 2021","FQ4 2021","Currency=USD","Period=FQ","BEST_FPERIOD_OVERRIDE=FQ","FILING_STATUS=MR","SCALING_FORMAT=MLN","Sort=A","Dates=H","DateFormat=P","Fill=—","Direction=H","UseDPDF=Y")</f>
        <v>0</v>
      </c>
      <c r="Q35" s="12" cm="1">
        <f t="array" ref="Q35">_xll.BDH("CMI US Equity","CF_CASH_FOR_JOINT_VENTURES_ASSOC","FQ1 2022","FQ1 2022","Currency=USD","Period=FQ","BEST_FPERIOD_OVERRIDE=FQ","FILING_STATUS=MR","SCALING_FORMAT=MLN","Sort=A","Dates=H","DateFormat=P","Fill=—","Direction=H","UseDPDF=Y")</f>
        <v>0</v>
      </c>
      <c r="R35" s="12" cm="1">
        <f t="array" ref="R35">_xll.BDH("CMI US Equity","CF_CASH_FOR_JOINT_VENTURES_ASSOC","FQ2 2022","FQ2 2022","Currency=USD","Period=FQ","BEST_FPERIOD_OVERRIDE=FQ","FILING_STATUS=MR","SCALING_FORMAT=MLN","Sort=A","Dates=H","DateFormat=P","Fill=—","Direction=H","UseDPDF=Y")</f>
        <v>0</v>
      </c>
      <c r="S35" s="12" cm="1">
        <f t="array" ref="S35">_xll.BDH("CMI US Equity","CF_CASH_FOR_JOINT_VENTURES_ASSOC","FQ3 2022","FQ3 2022","Currency=USD","Period=FQ","BEST_FPERIOD_OVERRIDE=FQ","FILING_STATUS=MR","SCALING_FORMAT=MLN","Sort=A","Dates=H","DateFormat=P","Fill=—","Direction=H","UseDPDF=Y")</f>
        <v>0</v>
      </c>
      <c r="T35" s="12" cm="1">
        <f t="array" ref="T35">_xll.BDH("CMI US Equity","CF_CASH_FOR_JOINT_VENTURES_ASSOC","FQ4 2022","FQ4 2022","Currency=USD","Period=FQ","BEST_FPERIOD_OVERRIDE=FQ","FILING_STATUS=MR","SCALING_FORMAT=MLN","Sort=A","Dates=H","DateFormat=P","Fill=—","Direction=H","UseDPDF=Y")</f>
        <v>0</v>
      </c>
      <c r="U35" s="12" cm="1">
        <f t="array" ref="U35">_xll.BDH("CMI US Equity","CF_CASH_FOR_JOINT_VENTURES_ASSOC","FQ1 2023","FQ1 2023","Currency=USD","Period=FQ","BEST_FPERIOD_OVERRIDE=FQ","FILING_STATUS=MR","SCALING_FORMAT=MLN","Sort=A","Dates=H","DateFormat=P","Fill=—","Direction=H","UseDPDF=Y")</f>
        <v>0</v>
      </c>
      <c r="V35" s="12" cm="1">
        <f t="array" ref="V35">_xll.BDH("CMI US Equity","CF_CASH_FOR_JOINT_VENTURES_ASSOC","FQ2 2023","FQ2 2023","Currency=USD","Period=FQ","BEST_FPERIOD_OVERRIDE=FQ","FILING_STATUS=MR","SCALING_FORMAT=MLN","Sort=A","Dates=H","DateFormat=P","Fill=—","Direction=H","UseDPDF=Y")</f>
        <v>0</v>
      </c>
      <c r="W35" s="12" cm="1">
        <f t="array" ref="W35">_xll.BDH("CMI US Equity","CF_CASH_FOR_JOINT_VENTURES_ASSOC","FQ3 2023","FQ3 2023","Currency=USD","Period=FQ","BEST_FPERIOD_OVERRIDE=FQ","FILING_STATUS=MR","SCALING_FORMAT=MLN","Sort=A","Dates=H","DateFormat=P","Fill=—","Direction=H","UseDPDF=Y")</f>
        <v>0</v>
      </c>
      <c r="X35" s="12" cm="1">
        <f t="array" ref="X35">_xll.BDH("CMI US Equity","CF_CASH_FOR_JOINT_VENTURES_ASSOC","FQ4 2023","FQ4 2023","Currency=USD","Period=FQ","BEST_FPERIOD_OVERRIDE=FQ","FILING_STATUS=MR","SCALING_FORMAT=MLN","Sort=A","Dates=H","DateFormat=P","Fill=—","Direction=H","UseDPDF=Y")</f>
        <v>0</v>
      </c>
      <c r="Y35" s="12" cm="1">
        <f t="array" ref="Y35">_xll.BDH("CMI US Equity","CF_CASH_FOR_JOINT_VENTURES_ASSOC","FQ1 2024","FQ1 2024","Currency=USD","Period=FQ","BEST_FPERIOD_OVERRIDE=FQ","FILING_STATUS=MR","SCALING_FORMAT=MLN","Sort=A","Dates=H","DateFormat=P","Fill=—","Direction=H","UseDPDF=Y")</f>
        <v>0</v>
      </c>
      <c r="Z35" s="12" cm="1">
        <f t="array" ref="Z35">_xll.BDH("CMI US Equity","CF_CASH_FOR_JOINT_VENTURES_ASSOC","FQ2 2024","FQ2 2024","Currency=USD","Period=FQ","BEST_FPERIOD_OVERRIDE=FQ","FILING_STATUS=MR","SCALING_FORMAT=MLN","Sort=A","Dates=H","DateFormat=P","Fill=—","Direction=H","UseDPDF=Y")</f>
        <v>0</v>
      </c>
      <c r="AA35" s="12" cm="1">
        <f t="array" ref="AA35">_xll.BDH("CMI US Equity","CF_CASH_FOR_JOINT_VENTURES_ASSOC","FQ3 2024","FQ3 2024","Currency=USD","Period=FQ","BEST_FPERIOD_OVERRIDE=FQ","FILING_STATUS=MR","SCALING_FORMAT=MLN","Sort=A","Dates=H","DateFormat=P","Fill=—","Direction=H","UseDPDF=Y")</f>
        <v>0</v>
      </c>
      <c r="AB35" s="12" cm="1">
        <f t="array" ref="AB35">_xll.BDH("CMI US Equity","CF_CASH_FOR_JOINT_VENTURES_ASSOC","FQ4 2024","FQ4 2024","Currency=USD","Period=FQ","BEST_FPERIOD_OVERRIDE=FQ","FILING_STATUS=MR","SCALING_FORMAT=MLN","Sort=A","Dates=H","DateFormat=P","Fill=—","Direction=H","UseDPDF=Y")</f>
        <v>0</v>
      </c>
      <c r="AC35" s="12" cm="1">
        <f t="array" ref="AC35">_xll.BDH("CMI US Equity","CF_CASH_FOR_JOINT_VENTURES_ASSOC","FQ1 2025","FQ1 2025","Currency=USD","Period=FQ","BEST_FPERIOD_OVERRIDE=FQ","FILING_STATUS=MR","SCALING_FORMAT=MLN","Sort=A","Dates=H","DateFormat=P","Fill=—","Direction=H","UseDPDF=Y")</f>
        <v>0</v>
      </c>
      <c r="AD35" s="12" cm="1">
        <f t="array" ref="AD35">_xll.BDH("CMI US Equity","CF_CASH_FOR_JOINT_VENTURES_ASSOC","FQ2 2025","FQ2 2025","Currency=USD","Period=FQ","BEST_FPERIOD_OVERRIDE=FQ","FILING_STATUS=MR","SCALING_FORMAT=MLN","Sort=A","Dates=H","DateFormat=P","Fill=—","Direction=H","UseDPDF=Y")</f>
        <v>0</v>
      </c>
      <c r="AE35" s="12" cm="1">
        <f t="array" ref="AE35">_xll.BDH("CMI US Equity","CF_CASH_FOR_JOINT_VENTURES_ASSOC","FQ3 2025","FQ3 2025","Currency=USD","Period=FQ","BEST_FPERIOD_OVERRIDE=FQ","FILING_STATUS=MR","SCALING_FORMAT=MLN","Sort=A","Dates=H","DateFormat=P","Fill=—","Direction=H","UseDPDF=Y")</f>
        <v>0</v>
      </c>
      <c r="AF35" s="12" cm="1">
        <f t="array" ref="AF35">_xll.BDH("CMI US Equity","CF_CASH_FOR_JOINT_VENTURES_ASSOC","FQ4 2025","FQ4 2025","Currency=USD","Period=FQ","BEST_FPERIOD_OVERRIDE=FQ","FILING_STATUS=MR","SCALING_FORMAT=MLN","Sort=A","Dates=H","DateFormat=P","Fill=—","Direction=H","UseDPDF=Y")</f>
        <v>0</v>
      </c>
    </row>
    <row r="36" spans="1:32" x14ac:dyDescent="0.25">
      <c r="A36" s="10" t="s">
        <v>120</v>
      </c>
      <c r="B36" s="10" t="s">
        <v>121</v>
      </c>
      <c r="C36" s="12" cm="1">
        <f t="array" ref="C36">_xll.BDH("CMI US Equity","OTHER_INVESTING_ACT_DETAILED","FQ3 2018","FQ3 2018","Currency=USD","Period=FQ","BEST_FPERIOD_OVERRIDE=FQ","FILING_STATUS=MR","SCALING_FORMAT=MLN","Sort=A","Dates=H","DateFormat=P","Fill=—","Direction=H","UseDPDF=Y")</f>
        <v>-18</v>
      </c>
      <c r="D36" s="12" cm="1">
        <f t="array" ref="D36">_xll.BDH("CMI US Equity","OTHER_INVESTING_ACT_DETAILED","FQ4 2018","FQ4 2018","Currency=USD","Period=FQ","BEST_FPERIOD_OVERRIDE=FQ","FILING_STATUS=MR","SCALING_FORMAT=MLN","Sort=A","Dates=H","DateFormat=P","Fill=—","Direction=H","UseDPDF=Y")</f>
        <v>-143</v>
      </c>
      <c r="E36" s="12" cm="1">
        <f t="array" ref="E36">_xll.BDH("CMI US Equity","OTHER_INVESTING_ACT_DETAILED","FQ1 2019","FQ1 2019","Currency=USD","Period=FQ","BEST_FPERIOD_OVERRIDE=FQ","FILING_STATUS=MR","SCALING_FORMAT=MLN","Sort=A","Dates=H","DateFormat=P","Fill=—","Direction=H","UseDPDF=Y")</f>
        <v>58</v>
      </c>
      <c r="F36" s="12" cm="1">
        <f t="array" ref="F36">_xll.BDH("CMI US Equity","OTHER_INVESTING_ACT_DETAILED","FQ2 2019","FQ2 2019","Currency=USD","Period=FQ","BEST_FPERIOD_OVERRIDE=FQ","FILING_STATUS=MR","SCALING_FORMAT=MLN","Sort=A","Dates=H","DateFormat=P","Fill=—","Direction=H","UseDPDF=Y")</f>
        <v>-193</v>
      </c>
      <c r="G36" s="12" cm="1">
        <f t="array" ref="G36">_xll.BDH("CMI US Equity","OTHER_INVESTING_ACT_DETAILED","FQ3 2019","FQ3 2019","Currency=USD","Period=FQ","BEST_FPERIOD_OVERRIDE=FQ","FILING_STATUS=MR","SCALING_FORMAT=MLN","Sort=A","Dates=H","DateFormat=P","Fill=—","Direction=H","UseDPDF=Y")</f>
        <v>-12</v>
      </c>
      <c r="H36" s="12" cm="1">
        <f t="array" ref="H36">_xll.BDH("CMI US Equity","OTHER_INVESTING_ACT_DETAILED","FQ4 2019","FQ4 2019","Currency=USD","Period=FQ","BEST_FPERIOD_OVERRIDE=FQ","FILING_STATUS=MR","SCALING_FORMAT=MLN","Sort=A","Dates=H","DateFormat=P","Fill=—","Direction=H","UseDPDF=Y")</f>
        <v>-23</v>
      </c>
      <c r="I36" s="12" cm="1">
        <f t="array" ref="I36">_xll.BDH("CMI US Equity","OTHER_INVESTING_ACT_DETAILED","FQ1 2020","FQ1 2020","Currency=USD","Period=FQ","BEST_FPERIOD_OVERRIDE=FQ","FILING_STATUS=MR","SCALING_FORMAT=MLN","Sort=A","Dates=H","DateFormat=P","Fill=—","Direction=H","UseDPDF=Y")</f>
        <v>-16</v>
      </c>
      <c r="J36" s="12" cm="1">
        <f t="array" ref="J36">_xll.BDH("CMI US Equity","OTHER_INVESTING_ACT_DETAILED","FQ2 2020","FQ2 2020","Currency=USD","Period=FQ","BEST_FPERIOD_OVERRIDE=FQ","FILING_STATUS=MR","SCALING_FORMAT=MLN","Sort=A","Dates=H","DateFormat=P","Fill=—","Direction=H","UseDPDF=Y")</f>
        <v>-45</v>
      </c>
      <c r="K36" s="12" cm="1">
        <f t="array" ref="K36">_xll.BDH("CMI US Equity","OTHER_INVESTING_ACT_DETAILED","FQ3 2020","FQ3 2020","Currency=USD","Period=FQ","BEST_FPERIOD_OVERRIDE=FQ","FILING_STATUS=MR","SCALING_FORMAT=MLN","Sort=A","Dates=H","DateFormat=P","Fill=—","Direction=H","UseDPDF=Y")</f>
        <v>25</v>
      </c>
      <c r="L36" s="12" cm="1">
        <f t="array" ref="L36">_xll.BDH("CMI US Equity","OTHER_INVESTING_ACT_DETAILED","FQ4 2020","FQ4 2020","Currency=USD","Period=FQ","BEST_FPERIOD_OVERRIDE=FQ","FILING_STATUS=MR","SCALING_FORMAT=MLN","Sort=A","Dates=H","DateFormat=P","Fill=—","Direction=H","UseDPDF=Y")</f>
        <v>-135</v>
      </c>
      <c r="M36" s="12" cm="1">
        <f t="array" ref="M36">_xll.BDH("CMI US Equity","OTHER_INVESTING_ACT_DETAILED","FQ1 2021","FQ1 2021","Currency=USD","Period=FQ","BEST_FPERIOD_OVERRIDE=FQ","FILING_STATUS=MR","SCALING_FORMAT=MLN","Sort=A","Dates=H","DateFormat=P","Fill=—","Direction=H","UseDPDF=Y")</f>
        <v>73</v>
      </c>
      <c r="N36" s="12" cm="1">
        <f t="array" ref="N36">_xll.BDH("CMI US Equity","OTHER_INVESTING_ACT_DETAILED","FQ2 2021","FQ2 2021","Currency=USD","Period=FQ","BEST_FPERIOD_OVERRIDE=FQ","FILING_STATUS=MR","SCALING_FORMAT=MLN","Sort=A","Dates=H","DateFormat=P","Fill=—","Direction=H","UseDPDF=Y")</f>
        <v>-5</v>
      </c>
      <c r="O36" s="12" cm="1">
        <f t="array" ref="O36">_xll.BDH("CMI US Equity","OTHER_INVESTING_ACT_DETAILED","FQ3 2021","FQ3 2021","Currency=USD","Period=FQ","BEST_FPERIOD_OVERRIDE=FQ","FILING_STATUS=MR","SCALING_FORMAT=MLN","Sort=A","Dates=H","DateFormat=P","Fill=—","Direction=H","UseDPDF=Y")</f>
        <v>32</v>
      </c>
      <c r="P36" s="12" cm="1">
        <f t="array" ref="P36">_xll.BDH("CMI US Equity","OTHER_INVESTING_ACT_DETAILED","FQ4 2021","FQ4 2021","Currency=USD","Period=FQ","BEST_FPERIOD_OVERRIDE=FQ","FILING_STATUS=MR","SCALING_FORMAT=MLN","Sort=A","Dates=H","DateFormat=P","Fill=—","Direction=H","UseDPDF=Y")</f>
        <v>-207</v>
      </c>
      <c r="Q36" s="12" cm="1">
        <f t="array" ref="Q36">_xll.BDH("CMI US Equity","OTHER_INVESTING_ACT_DETAILED","FQ1 2022","FQ1 2022","Currency=USD","Period=FQ","BEST_FPERIOD_OVERRIDE=FQ","FILING_STATUS=MR","SCALING_FORMAT=MLN","Sort=A","Dates=H","DateFormat=P","Fill=—","Direction=H","UseDPDF=Y")</f>
        <v>22</v>
      </c>
      <c r="R36" s="12" cm="1">
        <f t="array" ref="R36">_xll.BDH("CMI US Equity","OTHER_INVESTING_ACT_DETAILED","FQ2 2022","FQ2 2022","Currency=USD","Period=FQ","BEST_FPERIOD_OVERRIDE=FQ","FILING_STATUS=MR","SCALING_FORMAT=MLN","Sort=A","Dates=H","DateFormat=P","Fill=—","Direction=H","UseDPDF=Y")</f>
        <v>-78</v>
      </c>
      <c r="S36" s="12" cm="1">
        <f t="array" ref="S36">_xll.BDH("CMI US Equity","OTHER_INVESTING_ACT_DETAILED","FQ3 2022","FQ3 2022","Currency=USD","Period=FQ","BEST_FPERIOD_OVERRIDE=FQ","FILING_STATUS=MR","SCALING_FORMAT=MLN","Sort=A","Dates=H","DateFormat=P","Fill=—","Direction=H","UseDPDF=Y")</f>
        <v>65</v>
      </c>
      <c r="T36" s="12" cm="1">
        <f t="array" ref="T36">_xll.BDH("CMI US Equity","OTHER_INVESTING_ACT_DETAILED","FQ4 2022","FQ4 2022","Currency=USD","Period=FQ","BEST_FPERIOD_OVERRIDE=FQ","FILING_STATUS=MR","SCALING_FORMAT=MLN","Sort=A","Dates=H","DateFormat=P","Fill=—","Direction=H","UseDPDF=Y")</f>
        <v>-74</v>
      </c>
      <c r="U36" s="12" cm="1">
        <f t="array" ref="U36">_xll.BDH("CMI US Equity","OTHER_INVESTING_ACT_DETAILED","FQ1 2023","FQ1 2023","Currency=USD","Period=FQ","BEST_FPERIOD_OVERRIDE=FQ","FILING_STATUS=MR","SCALING_FORMAT=MLN","Sort=A","Dates=H","DateFormat=P","Fill=—","Direction=H","UseDPDF=Y")</f>
        <v>-35</v>
      </c>
      <c r="V36" s="12" cm="1">
        <f t="array" ref="V36">_xll.BDH("CMI US Equity","OTHER_INVESTING_ACT_DETAILED","FQ2 2023","FQ2 2023","Currency=USD","Period=FQ","BEST_FPERIOD_OVERRIDE=FQ","FILING_STATUS=MR","SCALING_FORMAT=MLN","Sort=A","Dates=H","DateFormat=P","Fill=—","Direction=H","UseDPDF=Y")</f>
        <v>-349</v>
      </c>
      <c r="W36" s="12" cm="1">
        <f t="array" ref="W36">_xll.BDH("CMI US Equity","OTHER_INVESTING_ACT_DETAILED","FQ3 2023","FQ3 2023","Currency=USD","Period=FQ","BEST_FPERIOD_OVERRIDE=FQ","FILING_STATUS=MR","SCALING_FORMAT=MLN","Sort=A","Dates=H","DateFormat=P","Fill=—","Direction=H","UseDPDF=Y")</f>
        <v>19</v>
      </c>
      <c r="X36" s="12" cm="1">
        <f t="array" ref="X36">_xll.BDH("CMI US Equity","OTHER_INVESTING_ACT_DETAILED","FQ4 2023","FQ4 2023","Currency=USD","Period=FQ","BEST_FPERIOD_OVERRIDE=FQ","FILING_STATUS=MR","SCALING_FORMAT=MLN","Sort=A","Dates=H","DateFormat=P","Fill=—","Direction=H","UseDPDF=Y")</f>
        <v>-99</v>
      </c>
      <c r="Y36" s="12" cm="1">
        <f t="array" ref="Y36">_xll.BDH("CMI US Equity","OTHER_INVESTING_ACT_DETAILED","FQ1 2024","FQ1 2024","Currency=USD","Period=FQ","BEST_FPERIOD_OVERRIDE=FQ","FILING_STATUS=MR","SCALING_FORMAT=MLN","Sort=A","Dates=H","DateFormat=P","Fill=—","Direction=H","UseDPDF=Y")</f>
        <v>-178</v>
      </c>
      <c r="Z36" s="12" cm="1">
        <f t="array" ref="Z36">_xll.BDH("CMI US Equity","OTHER_INVESTING_ACT_DETAILED","FQ2 2024","FQ2 2024","Currency=USD","Period=FQ","BEST_FPERIOD_OVERRIDE=FQ","FILING_STATUS=MR","SCALING_FORMAT=MLN","Sort=A","Dates=H","DateFormat=P","Fill=—","Direction=H","UseDPDF=Y")</f>
        <v>-161</v>
      </c>
      <c r="AA36" s="12" cm="1">
        <f t="array" ref="AA36">_xll.BDH("CMI US Equity","OTHER_INVESTING_ACT_DETAILED","FQ3 2024","FQ3 2024","Currency=USD","Period=FQ","BEST_FPERIOD_OVERRIDE=FQ","FILING_STATUS=MR","SCALING_FORMAT=MLN","Sort=A","Dates=H","DateFormat=P","Fill=—","Direction=H","UseDPDF=Y")</f>
        <v>-4</v>
      </c>
      <c r="AB36" s="12" cm="1">
        <f t="array" ref="AB36">_xll.BDH("CMI US Equity","OTHER_INVESTING_ACT_DETAILED","FQ4 2024","FQ4 2024","Currency=USD","Period=FQ","BEST_FPERIOD_OVERRIDE=FQ","FILING_STATUS=MR","SCALING_FORMAT=MLN","Sort=A","Dates=H","DateFormat=P","Fill=—","Direction=H","UseDPDF=Y")</f>
        <v>1</v>
      </c>
      <c r="AC36" s="12" cm="1">
        <f t="array" ref="AC36">_xll.BDH("CMI US Equity","OTHER_INVESTING_ACT_DETAILED","FQ1 2025","FQ1 2025","Currency=USD","Period=FQ","BEST_FPERIOD_OVERRIDE=FQ","FILING_STATUS=MR","SCALING_FORMAT=MLN","Sort=A","Dates=H","DateFormat=P","Fill=—","Direction=H","UseDPDF=Y")</f>
        <v>-72</v>
      </c>
      <c r="AD36" s="12" cm="1">
        <f t="array" ref="AD36">_xll.BDH("CMI US Equity","OTHER_INVESTING_ACT_DETAILED","FQ2 2025","FQ2 2025","Currency=USD","Period=FQ","BEST_FPERIOD_OVERRIDE=FQ","FILING_STATUS=MR","SCALING_FORMAT=MLN","Sort=A","Dates=H","DateFormat=P","Fill=—","Direction=H","UseDPDF=Y")</f>
        <v>-138</v>
      </c>
      <c r="AE36" s="12" cm="1">
        <f t="array" ref="AE36">_xll.BDH("CMI US Equity","OTHER_INVESTING_ACT_DETAILED","FQ3 2025","FQ3 2025","Currency=USD","Period=FQ","BEST_FPERIOD_OVERRIDE=FQ","FILING_STATUS=MR","SCALING_FORMAT=MLN","Sort=A","Dates=H","DateFormat=P","Fill=—","Direction=H","UseDPDF=Y")</f>
        <v>67</v>
      </c>
      <c r="AF36" s="12" cm="1">
        <f t="array" ref="AF36">_xll.BDH("CMI US Equity","OTHER_INVESTING_ACT_DETAILED","FQ4 2025","FQ4 2025","Currency=USD","Period=FQ","BEST_FPERIOD_OVERRIDE=FQ","FILING_STATUS=MR","SCALING_FORMAT=MLN","Sort=A","Dates=H","DateFormat=P","Fill=—","Direction=H","UseDPDF=Y")</f>
        <v>-341</v>
      </c>
    </row>
    <row r="37" spans="1:32" x14ac:dyDescent="0.25">
      <c r="A37" s="10" t="s">
        <v>88</v>
      </c>
      <c r="B37" s="10" t="s">
        <v>122</v>
      </c>
      <c r="C37" s="12" cm="1">
        <f t="array" ref="C37">_xll.BDH("CMI US Equity","CF_NET_CASH_DISCONTINUED_OPS_INV","FQ3 2018","FQ3 2018","Currency=USD","Period=FQ","BEST_FPERIOD_OVERRIDE=FQ","FILING_STATUS=MR","SCALING_FORMAT=MLN","Sort=A","Dates=H","DateFormat=P","Fill=—","Direction=H","UseDPDF=Y")</f>
        <v>0</v>
      </c>
      <c r="D37" s="12" cm="1">
        <f t="array" ref="D37">_xll.BDH("CMI US Equity","CF_NET_CASH_DISCONTINUED_OPS_INV","FQ4 2018","FQ4 2018","Currency=USD","Period=FQ","BEST_FPERIOD_OVERRIDE=FQ","FILING_STATUS=MR","SCALING_FORMAT=MLN","Sort=A","Dates=H","DateFormat=P","Fill=—","Direction=H","UseDPDF=Y")</f>
        <v>0</v>
      </c>
      <c r="E37" s="12" cm="1">
        <f t="array" ref="E37">_xll.BDH("CMI US Equity","CF_NET_CASH_DISCONTINUED_OPS_INV","FQ1 2019","FQ1 2019","Currency=USD","Period=FQ","BEST_FPERIOD_OVERRIDE=FQ","FILING_STATUS=MR","SCALING_FORMAT=MLN","Sort=A","Dates=H","DateFormat=P","Fill=—","Direction=H","UseDPDF=Y")</f>
        <v>0</v>
      </c>
      <c r="F37" s="12" cm="1">
        <f t="array" ref="F37">_xll.BDH("CMI US Equity","CF_NET_CASH_DISCONTINUED_OPS_INV","FQ2 2019","FQ2 2019","Currency=USD","Period=FQ","BEST_FPERIOD_OVERRIDE=FQ","FILING_STATUS=MR","SCALING_FORMAT=MLN","Sort=A","Dates=H","DateFormat=P","Fill=—","Direction=H","UseDPDF=Y")</f>
        <v>0</v>
      </c>
      <c r="G37" s="12" cm="1">
        <f t="array" ref="G37">_xll.BDH("CMI US Equity","CF_NET_CASH_DISCONTINUED_OPS_INV","FQ3 2019","FQ3 2019","Currency=USD","Period=FQ","BEST_FPERIOD_OVERRIDE=FQ","FILING_STATUS=MR","SCALING_FORMAT=MLN","Sort=A","Dates=H","DateFormat=P","Fill=—","Direction=H","UseDPDF=Y")</f>
        <v>0</v>
      </c>
      <c r="H37" s="12" cm="1">
        <f t="array" ref="H37">_xll.BDH("CMI US Equity","CF_NET_CASH_DISCONTINUED_OPS_INV","FQ4 2019","FQ4 2019","Currency=USD","Period=FQ","BEST_FPERIOD_OVERRIDE=FQ","FILING_STATUS=MR","SCALING_FORMAT=MLN","Sort=A","Dates=H","DateFormat=P","Fill=—","Direction=H","UseDPDF=Y")</f>
        <v>0</v>
      </c>
      <c r="I37" s="12" cm="1">
        <f t="array" ref="I37">_xll.BDH("CMI US Equity","CF_NET_CASH_DISCONTINUED_OPS_INV","FQ1 2020","FQ1 2020","Currency=USD","Period=FQ","BEST_FPERIOD_OVERRIDE=FQ","FILING_STATUS=MR","SCALING_FORMAT=MLN","Sort=A","Dates=H","DateFormat=P","Fill=—","Direction=H","UseDPDF=Y")</f>
        <v>0</v>
      </c>
      <c r="J37" s="12" cm="1">
        <f t="array" ref="J37">_xll.BDH("CMI US Equity","CF_NET_CASH_DISCONTINUED_OPS_INV","FQ2 2020","FQ2 2020","Currency=USD","Period=FQ","BEST_FPERIOD_OVERRIDE=FQ","FILING_STATUS=MR","SCALING_FORMAT=MLN","Sort=A","Dates=H","DateFormat=P","Fill=—","Direction=H","UseDPDF=Y")</f>
        <v>0</v>
      </c>
      <c r="K37" s="12" cm="1">
        <f t="array" ref="K37">_xll.BDH("CMI US Equity","CF_NET_CASH_DISCONTINUED_OPS_INV","FQ3 2020","FQ3 2020","Currency=USD","Period=FQ","BEST_FPERIOD_OVERRIDE=FQ","FILING_STATUS=MR","SCALING_FORMAT=MLN","Sort=A","Dates=H","DateFormat=P","Fill=—","Direction=H","UseDPDF=Y")</f>
        <v>0</v>
      </c>
      <c r="L37" s="12" cm="1">
        <f t="array" ref="L37">_xll.BDH("CMI US Equity","CF_NET_CASH_DISCONTINUED_OPS_INV","FQ4 2020","FQ4 2020","Currency=USD","Period=FQ","BEST_FPERIOD_OVERRIDE=FQ","FILING_STATUS=MR","SCALING_FORMAT=MLN","Sort=A","Dates=H","DateFormat=P","Fill=—","Direction=H","UseDPDF=Y")</f>
        <v>0</v>
      </c>
      <c r="M37" s="12" cm="1">
        <f t="array" ref="M37">_xll.BDH("CMI US Equity","CF_NET_CASH_DISCONTINUED_OPS_INV","FQ1 2021","FQ1 2021","Currency=USD","Period=FQ","BEST_FPERIOD_OVERRIDE=FQ","FILING_STATUS=MR","SCALING_FORMAT=MLN","Sort=A","Dates=H","DateFormat=P","Fill=—","Direction=H","UseDPDF=Y")</f>
        <v>0</v>
      </c>
      <c r="N37" s="12" cm="1">
        <f t="array" ref="N37">_xll.BDH("CMI US Equity","CF_NET_CASH_DISCONTINUED_OPS_INV","FQ2 2021","FQ2 2021","Currency=USD","Period=FQ","BEST_FPERIOD_OVERRIDE=FQ","FILING_STATUS=MR","SCALING_FORMAT=MLN","Sort=A","Dates=H","DateFormat=P","Fill=—","Direction=H","UseDPDF=Y")</f>
        <v>0</v>
      </c>
      <c r="O37" s="12" cm="1">
        <f t="array" ref="O37">_xll.BDH("CMI US Equity","CF_NET_CASH_DISCONTINUED_OPS_INV","FQ3 2021","FQ3 2021","Currency=USD","Period=FQ","BEST_FPERIOD_OVERRIDE=FQ","FILING_STATUS=MR","SCALING_FORMAT=MLN","Sort=A","Dates=H","DateFormat=P","Fill=—","Direction=H","UseDPDF=Y")</f>
        <v>0</v>
      </c>
      <c r="P37" s="12" cm="1">
        <f t="array" ref="P37">_xll.BDH("CMI US Equity","CF_NET_CASH_DISCONTINUED_OPS_INV","FQ4 2021","FQ4 2021","Currency=USD","Period=FQ","BEST_FPERIOD_OVERRIDE=FQ","FILING_STATUS=MR","SCALING_FORMAT=MLN","Sort=A","Dates=H","DateFormat=P","Fill=—","Direction=H","UseDPDF=Y")</f>
        <v>0</v>
      </c>
      <c r="Q37" s="12" cm="1">
        <f t="array" ref="Q37">_xll.BDH("CMI US Equity","CF_NET_CASH_DISCONTINUED_OPS_INV","FQ1 2022","FQ1 2022","Currency=USD","Period=FQ","BEST_FPERIOD_OVERRIDE=FQ","FILING_STATUS=MR","SCALING_FORMAT=MLN","Sort=A","Dates=H","DateFormat=P","Fill=—","Direction=H","UseDPDF=Y")</f>
        <v>0</v>
      </c>
      <c r="R37" s="12" cm="1">
        <f t="array" ref="R37">_xll.BDH("CMI US Equity","CF_NET_CASH_DISCONTINUED_OPS_INV","FQ2 2022","FQ2 2022","Currency=USD","Period=FQ","BEST_FPERIOD_OVERRIDE=FQ","FILING_STATUS=MR","SCALING_FORMAT=MLN","Sort=A","Dates=H","DateFormat=P","Fill=—","Direction=H","UseDPDF=Y")</f>
        <v>0</v>
      </c>
      <c r="S37" s="12" cm="1">
        <f t="array" ref="S37">_xll.BDH("CMI US Equity","CF_NET_CASH_DISCONTINUED_OPS_INV","FQ3 2022","FQ3 2022","Currency=USD","Period=FQ","BEST_FPERIOD_OVERRIDE=FQ","FILING_STATUS=MR","SCALING_FORMAT=MLN","Sort=A","Dates=H","DateFormat=P","Fill=—","Direction=H","UseDPDF=Y")</f>
        <v>0</v>
      </c>
      <c r="T37" s="12" cm="1">
        <f t="array" ref="T37">_xll.BDH("CMI US Equity","CF_NET_CASH_DISCONTINUED_OPS_INV","FQ4 2022","FQ4 2022","Currency=USD","Period=FQ","BEST_FPERIOD_OVERRIDE=FQ","FILING_STATUS=MR","SCALING_FORMAT=MLN","Sort=A","Dates=H","DateFormat=P","Fill=—","Direction=H","UseDPDF=Y")</f>
        <v>0</v>
      </c>
      <c r="U37" s="12" cm="1">
        <f t="array" ref="U37">_xll.BDH("CMI US Equity","CF_NET_CASH_DISCONTINUED_OPS_INV","FQ1 2023","FQ1 2023","Currency=USD","Period=FQ","BEST_FPERIOD_OVERRIDE=FQ","FILING_STATUS=MR","SCALING_FORMAT=MLN","Sort=A","Dates=H","DateFormat=P","Fill=—","Direction=H","UseDPDF=Y")</f>
        <v>0</v>
      </c>
      <c r="V37" s="12" cm="1">
        <f t="array" ref="V37">_xll.BDH("CMI US Equity","CF_NET_CASH_DISCONTINUED_OPS_INV","FQ2 2023","FQ2 2023","Currency=USD","Period=FQ","BEST_FPERIOD_OVERRIDE=FQ","FILING_STATUS=MR","SCALING_FORMAT=MLN","Sort=A","Dates=H","DateFormat=P","Fill=—","Direction=H","UseDPDF=Y")</f>
        <v>0</v>
      </c>
      <c r="W37" s="12" cm="1">
        <f t="array" ref="W37">_xll.BDH("CMI US Equity","CF_NET_CASH_DISCONTINUED_OPS_INV","FQ3 2023","FQ3 2023","Currency=USD","Period=FQ","BEST_FPERIOD_OVERRIDE=FQ","FILING_STATUS=MR","SCALING_FORMAT=MLN","Sort=A","Dates=H","DateFormat=P","Fill=—","Direction=H","UseDPDF=Y")</f>
        <v>0</v>
      </c>
      <c r="X37" s="12" cm="1">
        <f t="array" ref="X37">_xll.BDH("CMI US Equity","CF_NET_CASH_DISCONTINUED_OPS_INV","FQ4 2023","FQ4 2023","Currency=USD","Period=FQ","BEST_FPERIOD_OVERRIDE=FQ","FILING_STATUS=MR","SCALING_FORMAT=MLN","Sort=A","Dates=H","DateFormat=P","Fill=—","Direction=H","UseDPDF=Y")</f>
        <v>0</v>
      </c>
      <c r="Y37" s="12" cm="1">
        <f t="array" ref="Y37">_xll.BDH("CMI US Equity","CF_NET_CASH_DISCONTINUED_OPS_INV","FQ1 2024","FQ1 2024","Currency=USD","Period=FQ","BEST_FPERIOD_OVERRIDE=FQ","FILING_STATUS=MR","SCALING_FORMAT=MLN","Sort=A","Dates=H","DateFormat=P","Fill=—","Direction=H","UseDPDF=Y")</f>
        <v>0</v>
      </c>
      <c r="Z37" s="12" cm="1">
        <f t="array" ref="Z37">_xll.BDH("CMI US Equity","CF_NET_CASH_DISCONTINUED_OPS_INV","FQ2 2024","FQ2 2024","Currency=USD","Period=FQ","BEST_FPERIOD_OVERRIDE=FQ","FILING_STATUS=MR","SCALING_FORMAT=MLN","Sort=A","Dates=H","DateFormat=P","Fill=—","Direction=H","UseDPDF=Y")</f>
        <v>0</v>
      </c>
      <c r="AA37" s="12" cm="1">
        <f t="array" ref="AA37">_xll.BDH("CMI US Equity","CF_NET_CASH_DISCONTINUED_OPS_INV","FQ3 2024","FQ3 2024","Currency=USD","Period=FQ","BEST_FPERIOD_OVERRIDE=FQ","FILING_STATUS=MR","SCALING_FORMAT=MLN","Sort=A","Dates=H","DateFormat=P","Fill=—","Direction=H","UseDPDF=Y")</f>
        <v>0</v>
      </c>
      <c r="AB37" s="12" cm="1">
        <f t="array" ref="AB37">_xll.BDH("CMI US Equity","CF_NET_CASH_DISCONTINUED_OPS_INV","FQ4 2024","FQ4 2024","Currency=USD","Period=FQ","BEST_FPERIOD_OVERRIDE=FQ","FILING_STATUS=MR","SCALING_FORMAT=MLN","Sort=A","Dates=H","DateFormat=P","Fill=—","Direction=H","UseDPDF=Y")</f>
        <v>0</v>
      </c>
      <c r="AC37" s="12" cm="1">
        <f t="array" ref="AC37">_xll.BDH("CMI US Equity","CF_NET_CASH_DISCONTINUED_OPS_INV","FQ1 2025","FQ1 2025","Currency=USD","Period=FQ","BEST_FPERIOD_OVERRIDE=FQ","FILING_STATUS=MR","SCALING_FORMAT=MLN","Sort=A","Dates=H","DateFormat=P","Fill=—","Direction=H","UseDPDF=Y")</f>
        <v>0</v>
      </c>
      <c r="AD37" s="12" cm="1">
        <f t="array" ref="AD37">_xll.BDH("CMI US Equity","CF_NET_CASH_DISCONTINUED_OPS_INV","FQ2 2025","FQ2 2025","Currency=USD","Period=FQ","BEST_FPERIOD_OVERRIDE=FQ","FILING_STATUS=MR","SCALING_FORMAT=MLN","Sort=A","Dates=H","DateFormat=P","Fill=—","Direction=H","UseDPDF=Y")</f>
        <v>0</v>
      </c>
      <c r="AE37" s="12" cm="1">
        <f t="array" ref="AE37">_xll.BDH("CMI US Equity","CF_NET_CASH_DISCONTINUED_OPS_INV","FQ3 2025","FQ3 2025","Currency=USD","Period=FQ","BEST_FPERIOD_OVERRIDE=FQ","FILING_STATUS=MR","SCALING_FORMAT=MLN","Sort=A","Dates=H","DateFormat=P","Fill=—","Direction=H","UseDPDF=Y")</f>
        <v>0</v>
      </c>
      <c r="AF37" s="12" cm="1">
        <f t="array" ref="AF37">_xll.BDH("CMI US Equity","CF_NET_CASH_DISCONTINUED_OPS_INV","FQ4 2025","FQ4 2025","Currency=USD","Period=FQ","BEST_FPERIOD_OVERRIDE=FQ","FILING_STATUS=MR","SCALING_FORMAT=MLN","Sort=A","Dates=H","DateFormat=P","Fill=—","Direction=H","UseDPDF=Y")</f>
        <v>0</v>
      </c>
    </row>
    <row r="38" spans="1:32" x14ac:dyDescent="0.25">
      <c r="A38" s="6" t="s">
        <v>91</v>
      </c>
      <c r="B38" s="6" t="s">
        <v>123</v>
      </c>
      <c r="C38" s="15" cm="1">
        <f t="array" ref="C38">_xll.BDH("CMI US Equity","CF_CASH_FROM_INV_ACT","FQ3 2018","FQ3 2018","Currency=USD","Period=FQ","BEST_FPERIOD_OVERRIDE=FQ","FILING_STATUS=MR","SCALING_FORMAT=MLN","Sort=A","Dates=H","DateFormat=P","Fill=—","Direction=H","UseDPDF=Y")</f>
        <v>-283</v>
      </c>
      <c r="D38" s="15" cm="1">
        <f t="array" ref="D38">_xll.BDH("CMI US Equity","CF_CASH_FROM_INV_ACT","FQ4 2018","FQ4 2018","Currency=USD","Period=FQ","BEST_FPERIOD_OVERRIDE=FQ","FILING_STATUS=MR","SCALING_FORMAT=MLN","Sort=A","Dates=H","DateFormat=P","Fill=—","Direction=H","UseDPDF=Y")</f>
        <v>-455</v>
      </c>
      <c r="E38" s="15" cm="1">
        <f t="array" ref="E38">_xll.BDH("CMI US Equity","CF_CASH_FROM_INV_ACT","FQ1 2019","FQ1 2019","Currency=USD","Period=FQ","BEST_FPERIOD_OVERRIDE=FQ","FILING_STATUS=MR","SCALING_FORMAT=MLN","Sort=A","Dates=H","DateFormat=P","Fill=—","Direction=H","UseDPDF=Y")</f>
        <v>-71</v>
      </c>
      <c r="F38" s="15" cm="1">
        <f t="array" ref="F38">_xll.BDH("CMI US Equity","CF_CASH_FROM_INV_ACT","FQ2 2019","FQ2 2019","Currency=USD","Period=FQ","BEST_FPERIOD_OVERRIDE=FQ","FILING_STATUS=MR","SCALING_FORMAT=MLN","Sort=A","Dates=H","DateFormat=P","Fill=—","Direction=H","UseDPDF=Y")</f>
        <v>-340</v>
      </c>
      <c r="G38" s="15" cm="1">
        <f t="array" ref="G38">_xll.BDH("CMI US Equity","CF_CASH_FROM_INV_ACT","FQ3 2019","FQ3 2019","Currency=USD","Period=FQ","BEST_FPERIOD_OVERRIDE=FQ","FILING_STATUS=MR","SCALING_FORMAT=MLN","Sort=A","Dates=H","DateFormat=P","Fill=—","Direction=H","UseDPDF=Y")</f>
        <v>-418</v>
      </c>
      <c r="H38" s="15" cm="1">
        <f t="array" ref="H38">_xll.BDH("CMI US Equity","CF_CASH_FROM_INV_ACT","FQ4 2019","FQ4 2019","Currency=USD","Period=FQ","BEST_FPERIOD_OVERRIDE=FQ","FILING_STATUS=MR","SCALING_FORMAT=MLN","Sort=A","Dates=H","DateFormat=P","Fill=—","Direction=H","UseDPDF=Y")</f>
        <v>-321</v>
      </c>
      <c r="I38" s="15" cm="1">
        <f t="array" ref="I38">_xll.BDH("CMI US Equity","CF_CASH_FROM_INV_ACT","FQ1 2020","FQ1 2020","Currency=USD","Period=FQ","BEST_FPERIOD_OVERRIDE=FQ","FILING_STATUS=MR","SCALING_FORMAT=MLN","Sort=A","Dates=H","DateFormat=P","Fill=—","Direction=H","UseDPDF=Y")</f>
        <v>-99</v>
      </c>
      <c r="J38" s="15" cm="1">
        <f t="array" ref="J38">_xll.BDH("CMI US Equity","CF_CASH_FROM_INV_ACT","FQ2 2020","FQ2 2020","Currency=USD","Period=FQ","BEST_FPERIOD_OVERRIDE=FQ","FILING_STATUS=MR","SCALING_FORMAT=MLN","Sort=A","Dates=H","DateFormat=P","Fill=—","Direction=H","UseDPDF=Y")</f>
        <v>-135</v>
      </c>
      <c r="K38" s="15" cm="1">
        <f t="array" ref="K38">_xll.BDH("CMI US Equity","CF_CASH_FROM_INV_ACT","FQ3 2020","FQ3 2020","Currency=USD","Period=FQ","BEST_FPERIOD_OVERRIDE=FQ","FILING_STATUS=MR","SCALING_FORMAT=MLN","Sort=A","Dates=H","DateFormat=P","Fill=—","Direction=H","UseDPDF=Y")</f>
        <v>-103</v>
      </c>
      <c r="L38" s="15" cm="1">
        <f t="array" ref="L38">_xll.BDH("CMI US Equity","CF_CASH_FROM_INV_ACT","FQ4 2020","FQ4 2020","Currency=USD","Period=FQ","BEST_FPERIOD_OVERRIDE=FQ","FILING_STATUS=MR","SCALING_FORMAT=MLN","Sort=A","Dates=H","DateFormat=P","Fill=—","Direction=H","UseDPDF=Y")</f>
        <v>-382</v>
      </c>
      <c r="M38" s="15" cm="1">
        <f t="array" ref="M38">_xll.BDH("CMI US Equity","CF_CASH_FROM_INV_ACT","FQ1 2021","FQ1 2021","Currency=USD","Period=FQ","BEST_FPERIOD_OVERRIDE=FQ","FILING_STATUS=MR","SCALING_FORMAT=MLN","Sort=A","Dates=H","DateFormat=P","Fill=—","Direction=H","UseDPDF=Y")</f>
        <v>-25</v>
      </c>
      <c r="N38" s="15" cm="1">
        <f t="array" ref="N38">_xll.BDH("CMI US Equity","CF_CASH_FROM_INV_ACT","FQ2 2021","FQ2 2021","Currency=USD","Period=FQ","BEST_FPERIOD_OVERRIDE=FQ","FILING_STATUS=MR","SCALING_FORMAT=MLN","Sort=A","Dates=H","DateFormat=P","Fill=—","Direction=H","UseDPDF=Y")</f>
        <v>-121</v>
      </c>
      <c r="O38" s="15" cm="1">
        <f t="array" ref="O38">_xll.BDH("CMI US Equity","CF_CASH_FROM_INV_ACT","FQ3 2021","FQ3 2021","Currency=USD","Period=FQ","BEST_FPERIOD_OVERRIDE=FQ","FILING_STATUS=MR","SCALING_FORMAT=MLN","Sort=A","Dates=H","DateFormat=P","Fill=—","Direction=H","UseDPDF=Y")</f>
        <v>-132</v>
      </c>
      <c r="P38" s="15" cm="1">
        <f t="array" ref="P38">_xll.BDH("CMI US Equity","CF_CASH_FROM_INV_ACT","FQ4 2021","FQ4 2021","Currency=USD","Period=FQ","BEST_FPERIOD_OVERRIDE=FQ","FILING_STATUS=MR","SCALING_FORMAT=MLN","Sort=A","Dates=H","DateFormat=P","Fill=—","Direction=H","UseDPDF=Y")</f>
        <v>-595</v>
      </c>
      <c r="Q38" s="15" cm="1">
        <f t="array" ref="Q38">_xll.BDH("CMI US Equity","CF_CASH_FROM_INV_ACT","FQ1 2022","FQ1 2022","Currency=USD","Period=FQ","BEST_FPERIOD_OVERRIDE=FQ","FILING_STATUS=MR","SCALING_FORMAT=MLN","Sort=A","Dates=H","DateFormat=P","Fill=—","Direction=H","UseDPDF=Y")</f>
        <v>-10</v>
      </c>
      <c r="R38" s="15" cm="1">
        <f t="array" ref="R38">_xll.BDH("CMI US Equity","CF_CASH_FROM_INV_ACT","FQ2 2022","FQ2 2022","Currency=USD","Period=FQ","BEST_FPERIOD_OVERRIDE=FQ","FILING_STATUS=MR","SCALING_FORMAT=MLN","Sort=A","Dates=H","DateFormat=P","Fill=—","Direction=H","UseDPDF=Y")</f>
        <v>-566</v>
      </c>
      <c r="S38" s="15" cm="1">
        <f t="array" ref="S38">_xll.BDH("CMI US Equity","CF_CASH_FROM_INV_ACT","FQ3 2022","FQ3 2022","Currency=USD","Period=FQ","BEST_FPERIOD_OVERRIDE=FQ","FILING_STATUS=MR","SCALING_FORMAT=MLN","Sort=A","Dates=H","DateFormat=P","Fill=—","Direction=H","UseDPDF=Y")</f>
        <v>-2920</v>
      </c>
      <c r="T38" s="15" cm="1">
        <f t="array" ref="T38">_xll.BDH("CMI US Equity","CF_CASH_FROM_INV_ACT","FQ4 2022","FQ4 2022","Currency=USD","Period=FQ","BEST_FPERIOD_OVERRIDE=FQ","FILING_STATUS=MR","SCALING_FORMAT=MLN","Sort=A","Dates=H","DateFormat=P","Fill=—","Direction=H","UseDPDF=Y")</f>
        <v>-676</v>
      </c>
      <c r="U38" s="15" cm="1">
        <f t="array" ref="U38">_xll.BDH("CMI US Equity","CF_CASH_FROM_INV_ACT","FQ1 2023","FQ1 2023","Currency=USD","Period=FQ","BEST_FPERIOD_OVERRIDE=FQ","FILING_STATUS=MR","SCALING_FORMAT=MLN","Sort=A","Dates=H","DateFormat=P","Fill=—","Direction=H","UseDPDF=Y")</f>
        <v>-228</v>
      </c>
      <c r="V38" s="15" cm="1">
        <f t="array" ref="V38">_xll.BDH("CMI US Equity","CF_CASH_FROM_INV_ACT","FQ2 2023","FQ2 2023","Currency=USD","Period=FQ","BEST_FPERIOD_OVERRIDE=FQ","FILING_STATUS=MR","SCALING_FORMAT=MLN","Sort=A","Dates=H","DateFormat=P","Fill=—","Direction=H","UseDPDF=Y")</f>
        <v>-378</v>
      </c>
      <c r="W38" s="15" cm="1">
        <f t="array" ref="W38">_xll.BDH("CMI US Equity","CF_CASH_FROM_INV_ACT","FQ3 2023","FQ3 2023","Currency=USD","Period=FQ","BEST_FPERIOD_OVERRIDE=FQ","FILING_STATUS=MR","SCALING_FORMAT=MLN","Sort=A","Dates=H","DateFormat=P","Fill=—","Direction=H","UseDPDF=Y")</f>
        <v>-254</v>
      </c>
      <c r="X38" s="15" cm="1">
        <f t="array" ref="X38">_xll.BDH("CMI US Equity","CF_CASH_FROM_INV_ACT","FQ4 2023","FQ4 2023","Currency=USD","Period=FQ","BEST_FPERIOD_OVERRIDE=FQ","FILING_STATUS=MR","SCALING_FORMAT=MLN","Sort=A","Dates=H","DateFormat=P","Fill=—","Direction=H","UseDPDF=Y")</f>
        <v>-783</v>
      </c>
      <c r="Y38" s="15" cm="1">
        <f t="array" ref="Y38">_xll.BDH("CMI US Equity","CF_CASH_FROM_INV_ACT","FQ1 2024","FQ1 2024","Currency=USD","Period=FQ","BEST_FPERIOD_OVERRIDE=FQ","FILING_STATUS=MR","SCALING_FORMAT=MLN","Sort=A","Dates=H","DateFormat=P","Fill=—","Direction=H","UseDPDF=Y")</f>
        <v>-406</v>
      </c>
      <c r="Z38" s="15" cm="1">
        <f t="array" ref="Z38">_xll.BDH("CMI US Equity","CF_CASH_FROM_INV_ACT","FQ2 2024","FQ2 2024","Currency=USD","Period=FQ","BEST_FPERIOD_OVERRIDE=FQ","FILING_STATUS=MR","SCALING_FORMAT=MLN","Sort=A","Dates=H","DateFormat=P","Fill=—","Direction=H","UseDPDF=Y")</f>
        <v>-400</v>
      </c>
      <c r="AA38" s="15" cm="1">
        <f t="array" ref="AA38">_xll.BDH("CMI US Equity","CF_CASH_FROM_INV_ACT","FQ3 2024","FQ3 2024","Currency=USD","Period=FQ","BEST_FPERIOD_OVERRIDE=FQ","FILING_STATUS=MR","SCALING_FORMAT=MLN","Sort=A","Dates=H","DateFormat=P","Fill=—","Direction=H","UseDPDF=Y")</f>
        <v>-263</v>
      </c>
      <c r="AB38" s="15" cm="1">
        <f t="array" ref="AB38">_xll.BDH("CMI US Equity","CF_CASH_FROM_INV_ACT","FQ4 2024","FQ4 2024","Currency=USD","Period=FQ","BEST_FPERIOD_OVERRIDE=FQ","FILING_STATUS=MR","SCALING_FORMAT=MLN","Sort=A","Dates=H","DateFormat=P","Fill=—","Direction=H","UseDPDF=Y")</f>
        <v>-713</v>
      </c>
      <c r="AC38" s="15" cm="1">
        <f t="array" ref="AC38">_xll.BDH("CMI US Equity","CF_CASH_FROM_INV_ACT","FQ1 2025","FQ1 2025","Currency=USD","Period=FQ","BEST_FPERIOD_OVERRIDE=FQ","FILING_STATUS=MR","SCALING_FORMAT=MLN","Sort=A","Dates=H","DateFormat=P","Fill=—","Direction=H","UseDPDF=Y")</f>
        <v>-246</v>
      </c>
      <c r="AD38" s="15" cm="1">
        <f t="array" ref="AD38">_xll.BDH("CMI US Equity","CF_CASH_FROM_INV_ACT","FQ2 2025","FQ2 2025","Currency=USD","Period=FQ","BEST_FPERIOD_OVERRIDE=FQ","FILING_STATUS=MR","SCALING_FORMAT=MLN","Sort=A","Dates=H","DateFormat=P","Fill=—","Direction=H","UseDPDF=Y")</f>
        <v>-369</v>
      </c>
      <c r="AE38" s="15" cm="1">
        <f t="array" ref="AE38">_xll.BDH("CMI US Equity","CF_CASH_FROM_INV_ACT","FQ3 2025","FQ3 2025","Currency=USD","Period=FQ","BEST_FPERIOD_OVERRIDE=FQ","FILING_STATUS=MR","SCALING_FORMAT=MLN","Sort=A","Dates=H","DateFormat=P","Fill=—","Direction=H","UseDPDF=Y")</f>
        <v>-231</v>
      </c>
      <c r="AF38" s="15" cm="1">
        <f t="array" ref="AF38">_xll.BDH("CMI US Equity","CF_CASH_FROM_INV_ACT","FQ4 2025","FQ4 2025","Currency=USD","Period=FQ","BEST_FPERIOD_OVERRIDE=FQ","FILING_STATUS=MR","SCALING_FORMAT=MLN","Sort=A","Dates=H","DateFormat=P","Fill=—","Direction=H","UseDPDF=Y")</f>
        <v>-885</v>
      </c>
    </row>
    <row r="39" spans="1:32" x14ac:dyDescent="0.25">
      <c r="A39" s="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x14ac:dyDescent="0.25">
      <c r="A40" s="6" t="s">
        <v>124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x14ac:dyDescent="0.25">
      <c r="A41" s="10" t="s">
        <v>125</v>
      </c>
      <c r="B41" s="10" t="s">
        <v>126</v>
      </c>
      <c r="C41" s="12" cm="1">
        <f t="array" ref="C41">_xll.BDH("CMI US Equity","CF_DVD_PAID","FQ3 2018","FQ3 2018","Currency=USD","Period=FQ","BEST_FPERIOD_OVERRIDE=FQ","FILING_STATUS=MR","SCALING_FORMAT=MLN","Sort=A","Dates=H","DateFormat=P","Fill=—","Direction=H","UseDPDF=Y")</f>
        <v>-182</v>
      </c>
      <c r="D41" s="12" cm="1">
        <f t="array" ref="D41">_xll.BDH("CMI US Equity","CF_DVD_PAID","FQ4 2018","FQ4 2018","Currency=USD","Period=FQ","BEST_FPERIOD_OVERRIDE=FQ","FILING_STATUS=MR","SCALING_FORMAT=MLN","Sort=A","Dates=H","DateFormat=P","Fill=—","Direction=H","UseDPDF=Y")</f>
        <v>-181</v>
      </c>
      <c r="E41" s="12" cm="1">
        <f t="array" ref="E41">_xll.BDH("CMI US Equity","CF_DVD_PAID","FQ1 2019","FQ1 2019","Currency=USD","Period=FQ","BEST_FPERIOD_OVERRIDE=FQ","FILING_STATUS=MR","SCALING_FORMAT=MLN","Sort=A","Dates=H","DateFormat=P","Fill=—","Direction=H","UseDPDF=Y")</f>
        <v>-179</v>
      </c>
      <c r="F41" s="12" cm="1">
        <f t="array" ref="F41">_xll.BDH("CMI US Equity","CF_DVD_PAID","FQ2 2019","FQ2 2019","Currency=USD","Period=FQ","BEST_FPERIOD_OVERRIDE=FQ","FILING_STATUS=MR","SCALING_FORMAT=MLN","Sort=A","Dates=H","DateFormat=P","Fill=—","Direction=H","UseDPDF=Y")</f>
        <v>-179</v>
      </c>
      <c r="G41" s="12" cm="1">
        <f t="array" ref="G41">_xll.BDH("CMI US Equity","CF_DVD_PAID","FQ3 2019","FQ3 2019","Currency=USD","Period=FQ","BEST_FPERIOD_OVERRIDE=FQ","FILING_STATUS=MR","SCALING_FORMAT=MLN","Sort=A","Dates=H","DateFormat=P","Fill=—","Direction=H","UseDPDF=Y")</f>
        <v>-204</v>
      </c>
      <c r="H41" s="12" cm="1">
        <f t="array" ref="H41">_xll.BDH("CMI US Equity","CF_DVD_PAID","FQ4 2019","FQ4 2019","Currency=USD","Period=FQ","BEST_FPERIOD_OVERRIDE=FQ","FILING_STATUS=MR","SCALING_FORMAT=MLN","Sort=A","Dates=H","DateFormat=P","Fill=—","Direction=H","UseDPDF=Y")</f>
        <v>-199</v>
      </c>
      <c r="I41" s="12" cm="1">
        <f t="array" ref="I41">_xll.BDH("CMI US Equity","CF_DVD_PAID","FQ1 2020","FQ1 2020","Currency=USD","Period=FQ","BEST_FPERIOD_OVERRIDE=FQ","FILING_STATUS=MR","SCALING_FORMAT=MLN","Sort=A","Dates=H","DateFormat=P","Fill=—","Direction=H","UseDPDF=Y")</f>
        <v>-195</v>
      </c>
      <c r="J41" s="12" cm="1">
        <f t="array" ref="J41">_xll.BDH("CMI US Equity","CF_DVD_PAID","FQ2 2020","FQ2 2020","Currency=USD","Period=FQ","BEST_FPERIOD_OVERRIDE=FQ","FILING_STATUS=MR","SCALING_FORMAT=MLN","Sort=A","Dates=H","DateFormat=P","Fill=—","Direction=H","UseDPDF=Y")</f>
        <v>-193</v>
      </c>
      <c r="K41" s="12" cm="1">
        <f t="array" ref="K41">_xll.BDH("CMI US Equity","CF_DVD_PAID","FQ3 2020","FQ3 2020","Currency=USD","Period=FQ","BEST_FPERIOD_OVERRIDE=FQ","FILING_STATUS=MR","SCALING_FORMAT=MLN","Sort=A","Dates=H","DateFormat=P","Fill=—","Direction=H","UseDPDF=Y")</f>
        <v>-194</v>
      </c>
      <c r="L41" s="12" cm="1">
        <f t="array" ref="L41">_xll.BDH("CMI US Equity","CF_DVD_PAID","FQ4 2020","FQ4 2020","Currency=USD","Period=FQ","BEST_FPERIOD_OVERRIDE=FQ","FILING_STATUS=MR","SCALING_FORMAT=MLN","Sort=A","Dates=H","DateFormat=P","Fill=—","Direction=H","UseDPDF=Y")</f>
        <v>-200</v>
      </c>
      <c r="M41" s="12" cm="1">
        <f t="array" ref="M41">_xll.BDH("CMI US Equity","CF_DVD_PAID","FQ1 2021","FQ1 2021","Currency=USD","Period=FQ","BEST_FPERIOD_OVERRIDE=FQ","FILING_STATUS=MR","SCALING_FORMAT=MLN","Sort=A","Dates=H","DateFormat=P","Fill=—","Direction=H","UseDPDF=Y")</f>
        <v>-197</v>
      </c>
      <c r="N41" s="12" cm="1">
        <f t="array" ref="N41">_xll.BDH("CMI US Equity","CF_DVD_PAID","FQ2 2021","FQ2 2021","Currency=USD","Period=FQ","BEST_FPERIOD_OVERRIDE=FQ","FILING_STATUS=MR","SCALING_FORMAT=MLN","Sort=A","Dates=H","DateFormat=P","Fill=—","Direction=H","UseDPDF=Y")</f>
        <v>-197</v>
      </c>
      <c r="O41" s="12" cm="1">
        <f t="array" ref="O41">_xll.BDH("CMI US Equity","CF_DVD_PAID","FQ3 2021","FQ3 2021","Currency=USD","Period=FQ","BEST_FPERIOD_OVERRIDE=FQ","FILING_STATUS=MR","SCALING_FORMAT=MLN","Sort=A","Dates=H","DateFormat=P","Fill=—","Direction=H","UseDPDF=Y")</f>
        <v>-207</v>
      </c>
      <c r="P41" s="12" cm="1">
        <f t="array" ref="P41">_xll.BDH("CMI US Equity","CF_DVD_PAID","FQ4 2021","FQ4 2021","Currency=USD","Period=FQ","BEST_FPERIOD_OVERRIDE=FQ","FILING_STATUS=MR","SCALING_FORMAT=MLN","Sort=A","Dates=H","DateFormat=P","Fill=—","Direction=H","UseDPDF=Y")</f>
        <v>-208</v>
      </c>
      <c r="Q41" s="12" cm="1">
        <f t="array" ref="Q41">_xll.BDH("CMI US Equity","CF_DVD_PAID","FQ1 2022","FQ1 2022","Currency=USD","Period=FQ","BEST_FPERIOD_OVERRIDE=FQ","FILING_STATUS=MR","SCALING_FORMAT=MLN","Sort=A","Dates=H","DateFormat=P","Fill=—","Direction=H","UseDPDF=Y")</f>
        <v>-207</v>
      </c>
      <c r="R41" s="12" cm="1">
        <f t="array" ref="R41">_xll.BDH("CMI US Equity","CF_DVD_PAID","FQ2 2022","FQ2 2022","Currency=USD","Period=FQ","BEST_FPERIOD_OVERRIDE=FQ","FILING_STATUS=MR","SCALING_FORMAT=MLN","Sort=A","Dates=H","DateFormat=P","Fill=—","Direction=H","UseDPDF=Y")</f>
        <v>-204</v>
      </c>
      <c r="S41" s="12" cm="1">
        <f t="array" ref="S41">_xll.BDH("CMI US Equity","CF_DVD_PAID","FQ3 2022","FQ3 2022","Currency=USD","Period=FQ","BEST_FPERIOD_OVERRIDE=FQ","FILING_STATUS=MR","SCALING_FORMAT=MLN","Sort=A","Dates=H","DateFormat=P","Fill=—","Direction=H","UseDPDF=Y")</f>
        <v>-222</v>
      </c>
      <c r="T41" s="12" cm="1">
        <f t="array" ref="T41">_xll.BDH("CMI US Equity","CF_DVD_PAID","FQ4 2022","FQ4 2022","Currency=USD","Period=FQ","BEST_FPERIOD_OVERRIDE=FQ","FILING_STATUS=MR","SCALING_FORMAT=MLN","Sort=A","Dates=H","DateFormat=P","Fill=—","Direction=H","UseDPDF=Y")</f>
        <v>-222</v>
      </c>
      <c r="U41" s="12" cm="1">
        <f t="array" ref="U41">_xll.BDH("CMI US Equity","CF_DVD_PAID","FQ1 2023","FQ1 2023","Currency=USD","Period=FQ","BEST_FPERIOD_OVERRIDE=FQ","FILING_STATUS=MR","SCALING_FORMAT=MLN","Sort=A","Dates=H","DateFormat=P","Fill=—","Direction=H","UseDPDF=Y")</f>
        <v>-222</v>
      </c>
      <c r="V41" s="12" cm="1">
        <f t="array" ref="V41">_xll.BDH("CMI US Equity","CF_DVD_PAID","FQ2 2023","FQ2 2023","Currency=USD","Period=FQ","BEST_FPERIOD_OVERRIDE=FQ","FILING_STATUS=MR","SCALING_FORMAT=MLN","Sort=A","Dates=H","DateFormat=P","Fill=—","Direction=H","UseDPDF=Y")</f>
        <v>-223</v>
      </c>
      <c r="W41" s="12" cm="1">
        <f t="array" ref="W41">_xll.BDH("CMI US Equity","CF_DVD_PAID","FQ3 2023","FQ3 2023","Currency=USD","Period=FQ","BEST_FPERIOD_OVERRIDE=FQ","FILING_STATUS=MR","SCALING_FORMAT=MLN","Sort=A","Dates=H","DateFormat=P","Fill=—","Direction=H","UseDPDF=Y")</f>
        <v>-238</v>
      </c>
      <c r="X41" s="12" cm="1">
        <f t="array" ref="X41">_xll.BDH("CMI US Equity","CF_DVD_PAID","FQ4 2023","FQ4 2023","Currency=USD","Period=FQ","BEST_FPERIOD_OVERRIDE=FQ","FILING_STATUS=MR","SCALING_FORMAT=MLN","Sort=A","Dates=H","DateFormat=P","Fill=—","Direction=H","UseDPDF=Y")</f>
        <v>-238</v>
      </c>
      <c r="Y41" s="12" cm="1">
        <f t="array" ref="Y41">_xll.BDH("CMI US Equity","CF_DVD_PAID","FQ1 2024","FQ1 2024","Currency=USD","Period=FQ","BEST_FPERIOD_OVERRIDE=FQ","FILING_STATUS=MR","SCALING_FORMAT=MLN","Sort=A","Dates=H","DateFormat=P","Fill=—","Direction=H","UseDPDF=Y")</f>
        <v>-239</v>
      </c>
      <c r="Z41" s="12" cm="1">
        <f t="array" ref="Z41">_xll.BDH("CMI US Equity","CF_DVD_PAID","FQ2 2024","FQ2 2024","Currency=USD","Period=FQ","BEST_FPERIOD_OVERRIDE=FQ","FILING_STATUS=MR","SCALING_FORMAT=MLN","Sort=A","Dates=H","DateFormat=P","Fill=—","Direction=H","UseDPDF=Y")</f>
        <v>-230</v>
      </c>
      <c r="AA41" s="12" cm="1">
        <f t="array" ref="AA41">_xll.BDH("CMI US Equity","CF_DVD_PAID","FQ3 2024","FQ3 2024","Currency=USD","Period=FQ","BEST_FPERIOD_OVERRIDE=FQ","FILING_STATUS=MR","SCALING_FORMAT=MLN","Sort=A","Dates=H","DateFormat=P","Fill=—","Direction=H","UseDPDF=Y")</f>
        <v>-250</v>
      </c>
      <c r="AB41" s="12" cm="1">
        <f t="array" ref="AB41">_xll.BDH("CMI US Equity","CF_DVD_PAID","FQ4 2024","FQ4 2024","Currency=USD","Period=FQ","BEST_FPERIOD_OVERRIDE=FQ","FILING_STATUS=MR","SCALING_FORMAT=MLN","Sort=A","Dates=H","DateFormat=P","Fill=—","Direction=H","UseDPDF=Y")</f>
        <v>-250</v>
      </c>
      <c r="AC41" s="12" cm="1">
        <f t="array" ref="AC41">_xll.BDH("CMI US Equity","CF_DVD_PAID","FQ1 2025","FQ1 2025","Currency=USD","Period=FQ","BEST_FPERIOD_OVERRIDE=FQ","FILING_STATUS=MR","SCALING_FORMAT=MLN","Sort=A","Dates=H","DateFormat=P","Fill=—","Direction=H","UseDPDF=Y")</f>
        <v>-251</v>
      </c>
      <c r="AD41" s="12" cm="1">
        <f t="array" ref="AD41">_xll.BDH("CMI US Equity","CF_DVD_PAID","FQ2 2025","FQ2 2025","Currency=USD","Period=FQ","BEST_FPERIOD_OVERRIDE=FQ","FILING_STATUS=MR","SCALING_FORMAT=MLN","Sort=A","Dates=H","DateFormat=P","Fill=—","Direction=H","UseDPDF=Y")</f>
        <v>-251</v>
      </c>
      <c r="AE41" s="12" cm="1">
        <f t="array" ref="AE41">_xll.BDH("CMI US Equity","CF_DVD_PAID","FQ3 2025","FQ3 2025","Currency=USD","Period=FQ","BEST_FPERIOD_OVERRIDE=FQ","FILING_STATUS=MR","SCALING_FORMAT=MLN","Sort=A","Dates=H","DateFormat=P","Fill=—","Direction=H","UseDPDF=Y")</f>
        <v>-276</v>
      </c>
      <c r="AF41" s="12" cm="1">
        <f t="array" ref="AF41">_xll.BDH("CMI US Equity","CF_DVD_PAID","FQ4 2025","FQ4 2025","Currency=USD","Period=FQ","BEST_FPERIOD_OVERRIDE=FQ","FILING_STATUS=MR","SCALING_FORMAT=MLN","Sort=A","Dates=H","DateFormat=P","Fill=—","Direction=H","UseDPDF=Y")</f>
        <v>-277</v>
      </c>
    </row>
    <row r="42" spans="1:32" x14ac:dyDescent="0.25">
      <c r="A42" s="10" t="s">
        <v>127</v>
      </c>
      <c r="B42" s="10" t="s">
        <v>128</v>
      </c>
      <c r="C42" s="12" cm="1">
        <f t="array" ref="C42">_xll.BDH("CMI US Equity","PROC_FR_REPAYMNTS_BOR_DETAILED","FQ3 2018","FQ3 2018","Currency=USD","Period=FQ","BEST_FPERIOD_OVERRIDE=FQ","FILING_STATUS=MR","SCALING_FORMAT=MLN","Sort=A","Dates=H","DateFormat=P","Fill=—","Direction=H","UseDPDF=Y")</f>
        <v>-13</v>
      </c>
      <c r="D42" s="12" cm="1">
        <f t="array" ref="D42">_xll.BDH("CMI US Equity","PROC_FR_REPAYMNTS_BOR_DETAILED","FQ4 2018","FQ4 2018","Currency=USD","Period=FQ","BEST_FPERIOD_OVERRIDE=FQ","FILING_STATUS=MR","SCALING_FORMAT=MLN","Sort=A","Dates=H","DateFormat=P","Fill=—","Direction=H","UseDPDF=Y")</f>
        <v>0</v>
      </c>
      <c r="E42" s="12" cm="1">
        <f t="array" ref="E42">_xll.BDH("CMI US Equity","PROC_FR_REPAYMNTS_BOR_DETAILED","FQ1 2019","FQ1 2019","Currency=USD","Period=FQ","BEST_FPERIOD_OVERRIDE=FQ","FILING_STATUS=MR","SCALING_FORMAT=MLN","Sort=A","Dates=H","DateFormat=P","Fill=—","Direction=H","UseDPDF=Y")</f>
        <v>-66</v>
      </c>
      <c r="F42" s="12" cm="1">
        <f t="array" ref="F42">_xll.BDH("CMI US Equity","PROC_FR_REPAYMNTS_BOR_DETAILED","FQ2 2019","FQ2 2019","Currency=USD","Period=FQ","BEST_FPERIOD_OVERRIDE=FQ","FILING_STATUS=MR","SCALING_FORMAT=MLN","Sort=A","Dates=H","DateFormat=P","Fill=—","Direction=H","UseDPDF=Y")</f>
        <v>-240</v>
      </c>
      <c r="G42" s="12" cm="1">
        <f t="array" ref="G42">_xll.BDH("CMI US Equity","PROC_FR_REPAYMNTS_BOR_DETAILED","FQ3 2019","FQ3 2019","Currency=USD","Period=FQ","BEST_FPERIOD_OVERRIDE=FQ","FILING_STATUS=MR","SCALING_FORMAT=MLN","Sort=A","Dates=H","DateFormat=P","Fill=—","Direction=H","UseDPDF=Y")</f>
        <v>444</v>
      </c>
      <c r="H42" s="12" cm="1">
        <f t="array" ref="H42">_xll.BDH("CMI US Equity","PROC_FR_REPAYMNTS_BOR_DETAILED","FQ4 2019","FQ4 2019","Currency=USD","Period=FQ","BEST_FPERIOD_OVERRIDE=FQ","FILING_STATUS=MR","SCALING_FORMAT=MLN","Sort=A","Dates=H","DateFormat=P","Fill=—","Direction=H","UseDPDF=Y")</f>
        <v>-290</v>
      </c>
      <c r="I42" s="12" cm="1">
        <f t="array" ref="I42">_xll.BDH("CMI US Equity","PROC_FR_REPAYMNTS_BOR_DETAILED","FQ1 2020","FQ1 2020","Currency=USD","Period=FQ","BEST_FPERIOD_OVERRIDE=FQ","FILING_STATUS=MR","SCALING_FORMAT=MLN","Sort=A","Dates=H","DateFormat=P","Fill=—","Direction=H","UseDPDF=Y")</f>
        <v>972</v>
      </c>
      <c r="J42" s="12" cm="1">
        <f t="array" ref="J42">_xll.BDH("CMI US Equity","PROC_FR_REPAYMNTS_BOR_DETAILED","FQ2 2020","FQ2 2020","Currency=USD","Period=FQ","BEST_FPERIOD_OVERRIDE=FQ","FILING_STATUS=MR","SCALING_FORMAT=MLN","Sort=A","Dates=H","DateFormat=P","Fill=—","Direction=H","UseDPDF=Y")</f>
        <v>374</v>
      </c>
      <c r="K42" s="12" cm="1">
        <f t="array" ref="K42">_xll.BDH("CMI US Equity","PROC_FR_REPAYMNTS_BOR_DETAILED","FQ3 2020","FQ3 2020","Currency=USD","Period=FQ","BEST_FPERIOD_OVERRIDE=FQ","FILING_STATUS=MR","SCALING_FORMAT=MLN","Sort=A","Dates=H","DateFormat=P","Fill=—","Direction=H","UseDPDF=Y")</f>
        <v>274</v>
      </c>
      <c r="L42" s="12" cm="1">
        <f t="array" ref="L42">_xll.BDH("CMI US Equity","PROC_FR_REPAYMNTS_BOR_DETAILED","FQ4 2020","FQ4 2020","Currency=USD","Period=FQ","BEST_FPERIOD_OVERRIDE=FQ","FILING_STATUS=MR","SCALING_FORMAT=MLN","Sort=A","Dates=H","DateFormat=P","Fill=—","Direction=H","UseDPDF=Y")</f>
        <v>-6</v>
      </c>
      <c r="M42" s="12" cm="1">
        <f t="array" ref="M42">_xll.BDH("CMI US Equity","PROC_FR_REPAYMNTS_BOR_DETAILED","FQ1 2021","FQ1 2021","Currency=USD","Period=FQ","BEST_FPERIOD_OVERRIDE=FQ","FILING_STATUS=MR","SCALING_FORMAT=MLN","Sort=A","Dates=H","DateFormat=P","Fill=—","Direction=H","UseDPDF=Y")</f>
        <v>-124</v>
      </c>
      <c r="N42" s="12" cm="1">
        <f t="array" ref="N42">_xll.BDH("CMI US Equity","PROC_FR_REPAYMNTS_BOR_DETAILED","FQ2 2021","FQ2 2021","Currency=USD","Period=FQ","BEST_FPERIOD_OVERRIDE=FQ","FILING_STATUS=MR","SCALING_FORMAT=MLN","Sort=A","Dates=H","DateFormat=P","Fill=—","Direction=H","UseDPDF=Y")</f>
        <v>-114</v>
      </c>
      <c r="O42" s="12" cm="1">
        <f t="array" ref="O42">_xll.BDH("CMI US Equity","PROC_FR_REPAYMNTS_BOR_DETAILED","FQ3 2021","FQ3 2021","Currency=USD","Period=FQ","BEST_FPERIOD_OVERRIDE=FQ","FILING_STATUS=MR","SCALING_FORMAT=MLN","Sort=A","Dates=H","DateFormat=P","Fill=—","Direction=H","UseDPDF=Y")</f>
        <v>0</v>
      </c>
      <c r="P42" s="12" cm="1">
        <f t="array" ref="P42">_xll.BDH("CMI US Equity","PROC_FR_REPAYMNTS_BOR_DETAILED","FQ4 2021","FQ4 2021","Currency=USD","Period=FQ","BEST_FPERIOD_OVERRIDE=FQ","FILING_STATUS=MR","SCALING_FORMAT=MLN","Sort=A","Dates=H","DateFormat=P","Fill=—","Direction=H","UseDPDF=Y")</f>
        <v>206</v>
      </c>
      <c r="Q42" s="12" cm="1">
        <f t="array" ref="Q42">_xll.BDH("CMI US Equity","PROC_FR_REPAYMNTS_BOR_DETAILED","FQ1 2022","FQ1 2022","Currency=USD","Period=FQ","BEST_FPERIOD_OVERRIDE=FQ","FILING_STATUS=MR","SCALING_FORMAT=MLN","Sort=A","Dates=H","DateFormat=P","Fill=—","Direction=H","UseDPDF=Y")</f>
        <v>3</v>
      </c>
      <c r="R42" s="12" cm="1">
        <f t="array" ref="R42">_xll.BDH("CMI US Equity","PROC_FR_REPAYMNTS_BOR_DETAILED","FQ2 2022","FQ2 2022","Currency=USD","Period=FQ","BEST_FPERIOD_OVERRIDE=FQ","FILING_STATUS=MR","SCALING_FORMAT=MLN","Sort=A","Dates=H","DateFormat=P","Fill=—","Direction=H","UseDPDF=Y")</f>
        <v>336</v>
      </c>
      <c r="S42" s="12" cm="1">
        <f t="array" ref="S42">_xll.BDH("CMI US Equity","PROC_FR_REPAYMNTS_BOR_DETAILED","FQ3 2022","FQ3 2022","Currency=USD","Period=FQ","BEST_FPERIOD_OVERRIDE=FQ","FILING_STATUS=MR","SCALING_FORMAT=MLN","Sort=A","Dates=H","DateFormat=P","Fill=—","Direction=H","UseDPDF=Y")</f>
        <v>2754</v>
      </c>
      <c r="T42" s="12" cm="1">
        <f t="array" ref="T42">_xll.BDH("CMI US Equity","PROC_FR_REPAYMNTS_BOR_DETAILED","FQ4 2022","FQ4 2022","Currency=USD","Period=FQ","BEST_FPERIOD_OVERRIDE=FQ","FILING_STATUS=MR","SCALING_FORMAT=MLN","Sort=A","Dates=H","DateFormat=P","Fill=—","Direction=H","UseDPDF=Y")</f>
        <v>-293</v>
      </c>
      <c r="U42" s="12" cm="1">
        <f t="array" ref="U42">_xll.BDH("CMI US Equity","PROC_FR_REPAYMNTS_BOR_DETAILED","FQ1 2023","FQ1 2023","Currency=USD","Period=FQ","BEST_FPERIOD_OVERRIDE=FQ","FILING_STATUS=MR","SCALING_FORMAT=MLN","Sort=A","Dates=H","DateFormat=P","Fill=—","Direction=H","UseDPDF=Y")</f>
        <v>-128</v>
      </c>
      <c r="V42" s="12" cm="1">
        <f t="array" ref="V42">_xll.BDH("CMI US Equity","PROC_FR_REPAYMNTS_BOR_DETAILED","FQ2 2023","FQ2 2023","Currency=USD","Period=FQ","BEST_FPERIOD_OVERRIDE=FQ","FILING_STATUS=MR","SCALING_FORMAT=MLN","Sort=A","Dates=H","DateFormat=P","Fill=—","Direction=H","UseDPDF=Y")</f>
        <v>-21</v>
      </c>
      <c r="W42" s="12" cm="1">
        <f t="array" ref="W42">_xll.BDH("CMI US Equity","PROC_FR_REPAYMNTS_BOR_DETAILED","FQ3 2023","FQ3 2023","Currency=USD","Period=FQ","BEST_FPERIOD_OVERRIDE=FQ","FILING_STATUS=MR","SCALING_FORMAT=MLN","Sort=A","Dates=H","DateFormat=P","Fill=—","Direction=H","UseDPDF=Y")</f>
        <v>-29</v>
      </c>
      <c r="X42" s="12" cm="1">
        <f t="array" ref="X42">_xll.BDH("CMI US Equity","PROC_FR_REPAYMNTS_BOR_DETAILED","FQ4 2023","FQ4 2023","Currency=USD","Period=FQ","BEST_FPERIOD_OVERRIDE=FQ","FILING_STATUS=MR","SCALING_FORMAT=MLN","Sort=A","Dates=H","DateFormat=P","Fill=—","Direction=H","UseDPDF=Y")</f>
        <v>-876</v>
      </c>
      <c r="Y42" s="12" cm="1">
        <f t="array" ref="Y42">_xll.BDH("CMI US Equity","PROC_FR_REPAYMNTS_BOR_DETAILED","FQ1 2024","FQ1 2024","Currency=USD","Period=FQ","BEST_FPERIOD_OVERRIDE=FQ","FILING_STATUS=MR","SCALING_FORMAT=MLN","Sort=A","Dates=H","DateFormat=P","Fill=—","Direction=H","UseDPDF=Y")</f>
        <v>763</v>
      </c>
      <c r="Z42" s="12" cm="1">
        <f t="array" ref="Z42">_xll.BDH("CMI US Equity","PROC_FR_REPAYMNTS_BOR_DETAILED","FQ2 2024","FQ2 2024","Currency=USD","Period=FQ","BEST_FPERIOD_OVERRIDE=FQ","FILING_STATUS=MR","SCALING_FORMAT=MLN","Sort=A","Dates=H","DateFormat=P","Fill=—","Direction=H","UseDPDF=Y")</f>
        <v>581</v>
      </c>
      <c r="AA42" s="12" cm="1">
        <f t="array" ref="AA42">_xll.BDH("CMI US Equity","PROC_FR_REPAYMNTS_BOR_DETAILED","FQ3 2024","FQ3 2024","Currency=USD","Period=FQ","BEST_FPERIOD_OVERRIDE=FQ","FILING_STATUS=MR","SCALING_FORMAT=MLN","Sort=A","Dates=H","DateFormat=P","Fill=—","Direction=H","UseDPDF=Y")</f>
        <v>33</v>
      </c>
      <c r="AB42" s="12" cm="1">
        <f t="array" ref="AB42">_xll.BDH("CMI US Equity","PROC_FR_REPAYMNTS_BOR_DETAILED","FQ4 2024","FQ4 2024","Currency=USD","Period=FQ","BEST_FPERIOD_OVERRIDE=FQ","FILING_STATUS=MR","SCALING_FORMAT=MLN","Sort=A","Dates=H","DateFormat=P","Fill=—","Direction=H","UseDPDF=Y")</f>
        <v>-462</v>
      </c>
      <c r="AC42" s="12" cm="1">
        <f t="array" ref="AC42">_xll.BDH("CMI US Equity","PROC_FR_REPAYMNTS_BOR_DETAILED","FQ1 2025","FQ1 2025","Currency=USD","Period=FQ","BEST_FPERIOD_OVERRIDE=FQ","FILING_STATUS=MR","SCALING_FORMAT=MLN","Sort=A","Dates=H","DateFormat=P","Fill=—","Direction=H","UseDPDF=Y")</f>
        <v>389</v>
      </c>
      <c r="AD42" s="12" cm="1">
        <f t="array" ref="AD42">_xll.BDH("CMI US Equity","PROC_FR_REPAYMNTS_BOR_DETAILED","FQ2 2025","FQ2 2025","Currency=USD","Period=FQ","BEST_FPERIOD_OVERRIDE=FQ","FILING_STATUS=MR","SCALING_FORMAT=MLN","Sort=A","Dates=H","DateFormat=P","Fill=—","Direction=H","UseDPDF=Y")</f>
        <v>641</v>
      </c>
      <c r="AE42" s="12" cm="1">
        <f t="array" ref="AE42">_xll.BDH("CMI US Equity","PROC_FR_REPAYMNTS_BOR_DETAILED","FQ3 2025","FQ3 2025","Currency=USD","Period=FQ","BEST_FPERIOD_OVERRIDE=FQ","FILING_STATUS=MR","SCALING_FORMAT=MLN","Sort=A","Dates=H","DateFormat=P","Fill=—","Direction=H","UseDPDF=Y")</f>
        <v>-531</v>
      </c>
      <c r="AF42" s="12" cm="1">
        <f t="array" ref="AF42">_xll.BDH("CMI US Equity","PROC_FR_REPAYMNTS_BOR_DETAILED","FQ4 2025","FQ4 2025","Currency=USD","Period=FQ","BEST_FPERIOD_OVERRIDE=FQ","FILING_STATUS=MR","SCALING_FORMAT=MLN","Sort=A","Dates=H","DateFormat=P","Fill=—","Direction=H","UseDPDF=Y")</f>
        <v>-45</v>
      </c>
    </row>
    <row r="43" spans="1:32" x14ac:dyDescent="0.25">
      <c r="A43" s="10" t="s">
        <v>129</v>
      </c>
      <c r="B43" s="10" t="s">
        <v>130</v>
      </c>
      <c r="C43" s="12" cm="1">
        <f t="array" ref="C43">_xll.BDH("CMI US Equity","CF_NET_CHG_ST_DEBT_CPTL_LEAS","FQ3 2018","FQ3 2018","Currency=USD","Period=FQ","BEST_FPERIOD_OVERRIDE=FQ","FILING_STATUS=MR","SCALING_FORMAT=MLN","Sort=A","Dates=H","DateFormat=P","Fill=—","Direction=H","UseDPDF=Y")</f>
        <v>8</v>
      </c>
      <c r="D43" s="12" cm="1">
        <f t="array" ref="D43">_xll.BDH("CMI US Equity","CF_NET_CHG_ST_DEBT_CPTL_LEAS","FQ4 2018","FQ4 2018","Currency=USD","Period=FQ","BEST_FPERIOD_OVERRIDE=FQ","FILING_STATUS=MR","SCALING_FORMAT=MLN","Sort=A","Dates=H","DateFormat=P","Fill=—","Direction=H","UseDPDF=Y")</f>
        <v>-510</v>
      </c>
      <c r="E43" s="12" cm="1">
        <f t="array" ref="E43">_xll.BDH("CMI US Equity","CF_NET_CHG_ST_DEBT_CPTL_LEAS","FQ1 2019","FQ1 2019","Currency=USD","Period=FQ","BEST_FPERIOD_OVERRIDE=FQ","FILING_STATUS=MR","SCALING_FORMAT=MLN","Sort=A","Dates=H","DateFormat=P","Fill=—","Direction=H","UseDPDF=Y")</f>
        <v>-56</v>
      </c>
      <c r="F43" s="12" cm="1">
        <f t="array" ref="F43">_xll.BDH("CMI US Equity","CF_NET_CHG_ST_DEBT_CPTL_LEAS","FQ2 2019","FQ2 2019","Currency=USD","Period=FQ","BEST_FPERIOD_OVERRIDE=FQ","FILING_STATUS=MR","SCALING_FORMAT=MLN","Sort=A","Dates=H","DateFormat=P","Fill=—","Direction=H","UseDPDF=Y")</f>
        <v>-233</v>
      </c>
      <c r="G43" s="12" cm="1">
        <f t="array" ref="G43">_xll.BDH("CMI US Equity","CF_NET_CHG_ST_DEBT_CPTL_LEAS","FQ3 2019","FQ3 2019","Currency=USD","Period=FQ","BEST_FPERIOD_OVERRIDE=FQ","FILING_STATUS=MR","SCALING_FORMAT=MLN","Sort=A","Dates=H","DateFormat=P","Fill=—","Direction=H","UseDPDF=Y")</f>
        <v>464</v>
      </c>
      <c r="H43" s="12" cm="1">
        <f t="array" ref="H43">_xll.BDH("CMI US Equity","CF_NET_CHG_ST_DEBT_CPTL_LEAS","FQ4 2019","FQ4 2019","Currency=USD","Period=FQ","BEST_FPERIOD_OVERRIDE=FQ","FILING_STATUS=MR","SCALING_FORMAT=MLN","Sort=A","Dates=H","DateFormat=P","Fill=—","Direction=H","UseDPDF=Y")</f>
        <v>-122</v>
      </c>
      <c r="I43" s="12" cm="1">
        <f t="array" ref="I43">_xll.BDH("CMI US Equity","CF_NET_CHG_ST_DEBT_CPTL_LEAS","FQ1 2020","FQ1 2020","Currency=USD","Period=FQ","BEST_FPERIOD_OVERRIDE=FQ","FILING_STATUS=MR","SCALING_FORMAT=MLN","Sort=A","Dates=H","DateFormat=P","Fill=—","Direction=H","UseDPDF=Y")</f>
        <v>982</v>
      </c>
      <c r="J43" s="12" cm="1">
        <f t="array" ref="J43">_xll.BDH("CMI US Equity","CF_NET_CHG_ST_DEBT_CPTL_LEAS","FQ2 2020","FQ2 2020","Currency=USD","Period=FQ","BEST_FPERIOD_OVERRIDE=FQ","FILING_STATUS=MR","SCALING_FORMAT=MLN","Sort=A","Dates=H","DateFormat=P","Fill=—","Direction=H","UseDPDF=Y")</f>
        <v>389</v>
      </c>
      <c r="K43" s="12" cm="1">
        <f t="array" ref="K43">_xll.BDH("CMI US Equity","CF_NET_CHG_ST_DEBT_CPTL_LEAS","FQ3 2020","FQ3 2020","Currency=USD","Period=FQ","BEST_FPERIOD_OVERRIDE=FQ","FILING_STATUS=MR","SCALING_FORMAT=MLN","Sort=A","Dates=H","DateFormat=P","Fill=—","Direction=H","UseDPDF=Y")</f>
        <v>-1365</v>
      </c>
      <c r="L43" s="12" cm="1">
        <f t="array" ref="L43">_xll.BDH("CMI US Equity","CF_NET_CHG_ST_DEBT_CPTL_LEAS","FQ4 2020","FQ4 2020","Currency=USD","Period=FQ","BEST_FPERIOD_OVERRIDE=FQ","FILING_STATUS=MR","SCALING_FORMAT=MLN","Sort=A","Dates=H","DateFormat=P","Fill=—","Direction=H","UseDPDF=Y")</f>
        <v>4</v>
      </c>
      <c r="M43" s="12" cm="1">
        <f t="array" ref="M43">_xll.BDH("CMI US Equity","CF_NET_CHG_ST_DEBT_CPTL_LEAS","FQ1 2021","FQ1 2021","Currency=USD","Period=FQ","BEST_FPERIOD_OVERRIDE=FQ","FILING_STATUS=MR","SCALING_FORMAT=MLN","Sort=A","Dates=H","DateFormat=P","Fill=—","Direction=H","UseDPDF=Y")</f>
        <v>-108</v>
      </c>
      <c r="N43" s="12" cm="1">
        <f t="array" ref="N43">_xll.BDH("CMI US Equity","CF_NET_CHG_ST_DEBT_CPTL_LEAS","FQ2 2021","FQ2 2021","Currency=USD","Period=FQ","BEST_FPERIOD_OVERRIDE=FQ","FILING_STATUS=MR","SCALING_FORMAT=MLN","Sort=A","Dates=H","DateFormat=P","Fill=—","Direction=H","UseDPDF=Y")</f>
        <v>-117</v>
      </c>
      <c r="O43" s="12" cm="1">
        <f t="array" ref="O43">_xll.BDH("CMI US Equity","CF_NET_CHG_ST_DEBT_CPTL_LEAS","FQ3 2021","FQ3 2021","Currency=USD","Period=FQ","BEST_FPERIOD_OVERRIDE=FQ","FILING_STATUS=MR","SCALING_FORMAT=MLN","Sort=A","Dates=H","DateFormat=P","Fill=—","Direction=H","UseDPDF=Y")</f>
        <v>9</v>
      </c>
      <c r="P43" s="12" cm="1">
        <f t="array" ref="P43">_xll.BDH("CMI US Equity","CF_NET_CHG_ST_DEBT_CPTL_LEAS","FQ4 2021","FQ4 2021","Currency=USD","Period=FQ","BEST_FPERIOD_OVERRIDE=FQ","FILING_STATUS=MR","SCALING_FORMAT=MLN","Sort=A","Dates=H","DateFormat=P","Fill=—","Direction=H","UseDPDF=Y")</f>
        <v>178</v>
      </c>
      <c r="Q43" s="12" cm="1">
        <f t="array" ref="Q43">_xll.BDH("CMI US Equity","CF_NET_CHG_ST_DEBT_CPTL_LEAS","FQ1 2022","FQ1 2022","Currency=USD","Period=FQ","BEST_FPERIOD_OVERRIDE=FQ","FILING_STATUS=MR","SCALING_FORMAT=MLN","Sort=A","Dates=H","DateFormat=P","Fill=—","Direction=H","UseDPDF=Y")</f>
        <v>27</v>
      </c>
      <c r="R43" s="12" cm="1">
        <f t="array" ref="R43">_xll.BDH("CMI US Equity","CF_NET_CHG_ST_DEBT_CPTL_LEAS","FQ2 2022","FQ2 2022","Currency=USD","Period=FQ","BEST_FPERIOD_OVERRIDE=FQ","FILING_STATUS=MR","SCALING_FORMAT=MLN","Sort=A","Dates=H","DateFormat=P","Fill=—","Direction=H","UseDPDF=Y")</f>
        <v>341</v>
      </c>
      <c r="S43" s="12" cm="1">
        <f t="array" ref="S43">_xll.BDH("CMI US Equity","CF_NET_CHG_ST_DEBT_CPTL_LEAS","FQ3 2022","FQ3 2022","Currency=USD","Period=FQ","BEST_FPERIOD_OVERRIDE=FQ","FILING_STATUS=MR","SCALING_FORMAT=MLN","Sort=A","Dates=H","DateFormat=P","Fill=—","Direction=H","UseDPDF=Y")</f>
        <v>1733</v>
      </c>
      <c r="T43" s="12" cm="1">
        <f t="array" ref="T43">_xll.BDH("CMI US Equity","CF_NET_CHG_ST_DEBT_CPTL_LEAS","FQ4 2022","FQ4 2022","Currency=USD","Period=FQ","BEST_FPERIOD_OVERRIDE=FQ","FILING_STATUS=MR","SCALING_FORMAT=MLN","Sort=A","Dates=H","DateFormat=P","Fill=—","Direction=H","UseDPDF=Y")</f>
        <v>160</v>
      </c>
      <c r="U43" s="12" cm="1">
        <f t="array" ref="U43">_xll.BDH("CMI US Equity","CF_NET_CHG_ST_DEBT_CPTL_LEAS","FQ1 2023","FQ1 2023","Currency=USD","Period=FQ","BEST_FPERIOD_OVERRIDE=FQ","FILING_STATUS=MR","SCALING_FORMAT=MLN","Sort=A","Dates=H","DateFormat=P","Fill=—","Direction=H","UseDPDF=Y")</f>
        <v>-29</v>
      </c>
      <c r="V43" s="12" cm="1">
        <f t="array" ref="V43">_xll.BDH("CMI US Equity","CF_NET_CHG_ST_DEBT_CPTL_LEAS","FQ2 2023","FQ2 2023","Currency=USD","Period=FQ","BEST_FPERIOD_OVERRIDE=FQ","FILING_STATUS=MR","SCALING_FORMAT=MLN","Sort=A","Dates=H","DateFormat=P","Fill=—","Direction=H","UseDPDF=Y")</f>
        <v>-629</v>
      </c>
      <c r="W43" s="12" cm="1">
        <f t="array" ref="W43">_xll.BDH("CMI US Equity","CF_NET_CHG_ST_DEBT_CPTL_LEAS","FQ3 2023","FQ3 2023","Currency=USD","Period=FQ","BEST_FPERIOD_OVERRIDE=FQ","FILING_STATUS=MR","SCALING_FORMAT=MLN","Sort=A","Dates=H","DateFormat=P","Fill=—","Direction=H","UseDPDF=Y")</f>
        <v>92</v>
      </c>
      <c r="X43" s="12" cm="1">
        <f t="array" ref="X43">_xll.BDH("CMI US Equity","CF_NET_CHG_ST_DEBT_CPTL_LEAS","FQ4 2023","FQ4 2023","Currency=USD","Period=FQ","BEST_FPERIOD_OVERRIDE=FQ","FILING_STATUS=MR","SCALING_FORMAT=MLN","Sort=A","Dates=H","DateFormat=P","Fill=—","Direction=H","UseDPDF=Y")</f>
        <v>0</v>
      </c>
      <c r="Y43" s="12" cm="1">
        <f t="array" ref="Y43">_xll.BDH("CMI US Equity","CF_NET_CHG_ST_DEBT_CPTL_LEAS","FQ1 2024","FQ1 2024","Currency=USD","Period=FQ","BEST_FPERIOD_OVERRIDE=FQ","FILING_STATUS=MR","SCALING_FORMAT=MLN","Sort=A","Dates=H","DateFormat=P","Fill=—","Direction=H","UseDPDF=Y")</f>
        <v>-887</v>
      </c>
      <c r="Z43" s="12" cm="1">
        <f t="array" ref="Z43">_xll.BDH("CMI US Equity","CF_NET_CHG_ST_DEBT_CPTL_LEAS","FQ2 2024","FQ2 2024","Currency=USD","Period=FQ","BEST_FPERIOD_OVERRIDE=FQ","FILING_STATUS=MR","SCALING_FORMAT=MLN","Sort=A","Dates=H","DateFormat=P","Fill=—","Direction=H","UseDPDF=Y")</f>
        <v>972</v>
      </c>
      <c r="AA43" s="12" cm="1">
        <f t="array" ref="AA43">_xll.BDH("CMI US Equity","CF_NET_CHG_ST_DEBT_CPTL_LEAS","FQ3 2024","FQ3 2024","Currency=USD","Period=FQ","BEST_FPERIOD_OVERRIDE=FQ","FILING_STATUS=MR","SCALING_FORMAT=MLN","Sort=A","Dates=H","DateFormat=P","Fill=—","Direction=H","UseDPDF=Y")</f>
        <v>55</v>
      </c>
      <c r="AB43" s="12" cm="1">
        <f t="array" ref="AB43">_xll.BDH("CMI US Equity","CF_NET_CHG_ST_DEBT_CPTL_LEAS","FQ4 2024","FQ4 2024","Currency=USD","Period=FQ","BEST_FPERIOD_OVERRIDE=FQ","FILING_STATUS=MR","SCALING_FORMAT=MLN","Sort=A","Dates=H","DateFormat=P","Fill=—","Direction=H","UseDPDF=Y")</f>
        <v>-377</v>
      </c>
      <c r="AC43" s="12" cm="1">
        <f t="array" ref="AC43">_xll.BDH("CMI US Equity","CF_NET_CHG_ST_DEBT_CPTL_LEAS","FQ1 2025","FQ1 2025","Currency=USD","Period=FQ","BEST_FPERIOD_OVERRIDE=FQ","FILING_STATUS=MR","SCALING_FORMAT=MLN","Sort=A","Dates=H","DateFormat=P","Fill=—","Direction=H","UseDPDF=Y")</f>
        <v>481</v>
      </c>
      <c r="AD43" s="12" cm="1">
        <f t="array" ref="AD43">_xll.BDH("CMI US Equity","CF_NET_CHG_ST_DEBT_CPTL_LEAS","FQ2 2025","FQ2 2025","Currency=USD","Period=FQ","BEST_FPERIOD_OVERRIDE=FQ","FILING_STATUS=MR","SCALING_FORMAT=MLN","Sort=A","Dates=H","DateFormat=P","Fill=—","Direction=H","UseDPDF=Y")</f>
        <v>-1387</v>
      </c>
      <c r="AE43" s="12" cm="1">
        <f t="array" ref="AE43">_xll.BDH("CMI US Equity","CF_NET_CHG_ST_DEBT_CPTL_LEAS","FQ3 2025","FQ3 2025","Currency=USD","Period=FQ","BEST_FPERIOD_OVERRIDE=FQ","FILING_STATUS=MR","SCALING_FORMAT=MLN","Sort=A","Dates=H","DateFormat=P","Fill=—","Direction=H","UseDPDF=Y")</f>
        <v>0</v>
      </c>
      <c r="AF43" s="12" cm="1">
        <f t="array" ref="AF43">_xll.BDH("CMI US Equity","CF_NET_CHG_ST_DEBT_CPTL_LEAS","FQ4 2025","FQ4 2025","Currency=USD","Period=FQ","BEST_FPERIOD_OVERRIDE=FQ","FILING_STATUS=MR","SCALING_FORMAT=MLN","Sort=A","Dates=H","DateFormat=P","Fill=—","Direction=H","UseDPDF=Y")</f>
        <v>0</v>
      </c>
    </row>
    <row r="44" spans="1:32" x14ac:dyDescent="0.25">
      <c r="A44" s="10" t="s">
        <v>131</v>
      </c>
      <c r="B44" s="10" t="s">
        <v>132</v>
      </c>
      <c r="C44" s="12" cm="1">
        <f t="array" ref="C44">_xll.BDH("CMI US Equity","CF_LT_DEBT_CAP_LEAS_PROCEEDS","FQ3 2018","FQ3 2018","Currency=USD","Period=FQ","BEST_FPERIOD_OVERRIDE=FQ","FILING_STATUS=MR","SCALING_FORMAT=MLN","Sort=A","Dates=H","DateFormat=P","Fill=—","Direction=H","UseDPDF=Y")</f>
        <v>0</v>
      </c>
      <c r="D44" s="12" cm="1">
        <f t="array" ref="D44">_xll.BDH("CMI US Equity","CF_LT_DEBT_CAP_LEAS_PROCEEDS","FQ4 2018","FQ4 2018","Currency=USD","Period=FQ","BEST_FPERIOD_OVERRIDE=FQ","FILING_STATUS=MR","SCALING_FORMAT=MLN","Sort=A","Dates=H","DateFormat=P","Fill=—","Direction=H","UseDPDF=Y")</f>
        <v>518</v>
      </c>
      <c r="E44" s="12" cm="1">
        <f t="array" ref="E44">_xll.BDH("CMI US Equity","CF_LT_DEBT_CAP_LEAS_PROCEEDS","FQ1 2019","FQ1 2019","Currency=USD","Period=FQ","BEST_FPERIOD_OVERRIDE=FQ","FILING_STATUS=MR","SCALING_FORMAT=MLN","Sort=A","Dates=H","DateFormat=P","Fill=—","Direction=H","UseDPDF=Y")</f>
        <v>0</v>
      </c>
      <c r="F44" s="12" cm="1">
        <f t="array" ref="F44">_xll.BDH("CMI US Equity","CF_LT_DEBT_CAP_LEAS_PROCEEDS","FQ2 2019","FQ2 2019","Currency=USD","Period=FQ","BEST_FPERIOD_OVERRIDE=FQ","FILING_STATUS=MR","SCALING_FORMAT=MLN","Sort=A","Dates=H","DateFormat=P","Fill=—","Direction=H","UseDPDF=Y")</f>
        <v>0</v>
      </c>
      <c r="G44" s="12" cm="1">
        <f t="array" ref="G44">_xll.BDH("CMI US Equity","CF_LT_DEBT_CAP_LEAS_PROCEEDS","FQ3 2019","FQ3 2019","Currency=USD","Period=FQ","BEST_FPERIOD_OVERRIDE=FQ","FILING_STATUS=MR","SCALING_FORMAT=MLN","Sort=A","Dates=H","DateFormat=P","Fill=—","Direction=H","UseDPDF=Y")</f>
        <v>10</v>
      </c>
      <c r="H44" s="12" cm="1">
        <f t="array" ref="H44">_xll.BDH("CMI US Equity","CF_LT_DEBT_CAP_LEAS_PROCEEDS","FQ4 2019","FQ4 2019","Currency=USD","Period=FQ","BEST_FPERIOD_OVERRIDE=FQ","FILING_STATUS=MR","SCALING_FORMAT=MLN","Sort=A","Dates=H","DateFormat=P","Fill=—","Direction=H","UseDPDF=Y")</f>
        <v>1</v>
      </c>
      <c r="I44" s="12" cm="1">
        <f t="array" ref="I44">_xll.BDH("CMI US Equity","CF_LT_DEBT_CAP_LEAS_PROCEEDS","FQ1 2020","FQ1 2020","Currency=USD","Period=FQ","BEST_FPERIOD_OVERRIDE=FQ","FILING_STATUS=MR","SCALING_FORMAT=MLN","Sort=A","Dates=H","DateFormat=P","Fill=—","Direction=H","UseDPDF=Y")</f>
        <v>0</v>
      </c>
      <c r="J44" s="12" cm="1">
        <f t="array" ref="J44">_xll.BDH("CMI US Equity","CF_LT_DEBT_CAP_LEAS_PROCEEDS","FQ2 2020","FQ2 2020","Currency=USD","Period=FQ","BEST_FPERIOD_OVERRIDE=FQ","FILING_STATUS=MR","SCALING_FORMAT=MLN","Sort=A","Dates=H","DateFormat=P","Fill=—","Direction=H","UseDPDF=Y")</f>
        <v>0</v>
      </c>
      <c r="K44" s="12" cm="1">
        <f t="array" ref="K44">_xll.BDH("CMI US Equity","CF_LT_DEBT_CAP_LEAS_PROCEEDS","FQ3 2020","FQ3 2020","Currency=USD","Period=FQ","BEST_FPERIOD_OVERRIDE=FQ","FILING_STATUS=MR","SCALING_FORMAT=MLN","Sort=A","Dates=H","DateFormat=P","Fill=—","Direction=H","UseDPDF=Y")</f>
        <v>1999</v>
      </c>
      <c r="L44" s="12" cm="1">
        <f t="array" ref="L44">_xll.BDH("CMI US Equity","CF_LT_DEBT_CAP_LEAS_PROCEEDS","FQ4 2020","FQ4 2020","Currency=USD","Period=FQ","BEST_FPERIOD_OVERRIDE=FQ","FILING_STATUS=MR","SCALING_FORMAT=MLN","Sort=A","Dates=H","DateFormat=P","Fill=—","Direction=H","UseDPDF=Y")</f>
        <v>15</v>
      </c>
      <c r="M44" s="12" cm="1">
        <f t="array" ref="M44">_xll.BDH("CMI US Equity","CF_LT_DEBT_CAP_LEAS_PROCEEDS","FQ1 2021","FQ1 2021","Currency=USD","Period=FQ","BEST_FPERIOD_OVERRIDE=FQ","FILING_STATUS=MR","SCALING_FORMAT=MLN","Sort=A","Dates=H","DateFormat=P","Fill=—","Direction=H","UseDPDF=Y")</f>
        <v>0</v>
      </c>
      <c r="N44" s="12" cm="1">
        <f t="array" ref="N44">_xll.BDH("CMI US Equity","CF_LT_DEBT_CAP_LEAS_PROCEEDS","FQ2 2021","FQ2 2021","Currency=USD","Period=FQ","BEST_FPERIOD_OVERRIDE=FQ","FILING_STATUS=MR","SCALING_FORMAT=MLN","Sort=A","Dates=H","DateFormat=P","Fill=—","Direction=H","UseDPDF=Y")</f>
        <v>20</v>
      </c>
      <c r="O44" s="12" cm="1">
        <f t="array" ref="O44">_xll.BDH("CMI US Equity","CF_LT_DEBT_CAP_LEAS_PROCEEDS","FQ3 2021","FQ3 2021","Currency=USD","Period=FQ","BEST_FPERIOD_OVERRIDE=FQ","FILING_STATUS=MR","SCALING_FORMAT=MLN","Sort=A","Dates=H","DateFormat=P","Fill=—","Direction=H","UseDPDF=Y")</f>
        <v>15</v>
      </c>
      <c r="P44" s="12" cm="1">
        <f t="array" ref="P44">_xll.BDH("CMI US Equity","CF_LT_DEBT_CAP_LEAS_PROCEEDS","FQ4 2021","FQ4 2021","Currency=USD","Period=FQ","BEST_FPERIOD_OVERRIDE=FQ","FILING_STATUS=MR","SCALING_FORMAT=MLN","Sort=A","Dates=H","DateFormat=P","Fill=—","Direction=H","UseDPDF=Y")</f>
        <v>44</v>
      </c>
      <c r="Q44" s="12" cm="1">
        <f t="array" ref="Q44">_xll.BDH("CMI US Equity","CF_LT_DEBT_CAP_LEAS_PROCEEDS","FQ1 2022","FQ1 2022","Currency=USD","Period=FQ","BEST_FPERIOD_OVERRIDE=FQ","FILING_STATUS=MR","SCALING_FORMAT=MLN","Sort=A","Dates=H","DateFormat=P","Fill=—","Direction=H","UseDPDF=Y")</f>
        <v>0</v>
      </c>
      <c r="R44" s="12" cm="1">
        <f t="array" ref="R44">_xll.BDH("CMI US Equity","CF_LT_DEBT_CAP_LEAS_PROCEEDS","FQ2 2022","FQ2 2022","Currency=USD","Period=FQ","BEST_FPERIOD_OVERRIDE=FQ","FILING_STATUS=MR","SCALING_FORMAT=MLN","Sort=A","Dates=H","DateFormat=P","Fill=—","Direction=H","UseDPDF=Y")</f>
        <v>42</v>
      </c>
      <c r="S44" s="12" cm="1">
        <f t="array" ref="S44">_xll.BDH("CMI US Equity","CF_LT_DEBT_CAP_LEAS_PROCEEDS","FQ3 2022","FQ3 2022","Currency=USD","Period=FQ","BEST_FPERIOD_OVERRIDE=FQ","FILING_STATUS=MR","SCALING_FORMAT=MLN","Sort=A","Dates=H","DateFormat=P","Fill=—","Direction=H","UseDPDF=Y")</f>
        <v>2020</v>
      </c>
      <c r="T44" s="12" cm="1">
        <f t="array" ref="T44">_xll.BDH("CMI US Equity","CF_LT_DEBT_CAP_LEAS_PROCEEDS","FQ4 2022","FQ4 2022","Currency=USD","Period=FQ","BEST_FPERIOD_OVERRIDE=FQ","FILING_STATUS=MR","SCALING_FORMAT=MLN","Sort=A","Dates=H","DateFormat=P","Fill=—","Direction=H","UseDPDF=Y")</f>
        <v>27</v>
      </c>
      <c r="U44" s="12" cm="1">
        <f t="array" ref="U44">_xll.BDH("CMI US Equity","CF_LT_DEBT_CAP_LEAS_PROCEEDS","FQ1 2023","FQ1 2023","Currency=USD","Period=FQ","BEST_FPERIOD_OVERRIDE=FQ","FILING_STATUS=MR","SCALING_FORMAT=MLN","Sort=A","Dates=H","DateFormat=P","Fill=—","Direction=H","UseDPDF=Y")</f>
        <v>43</v>
      </c>
      <c r="V44" s="12" cm="1">
        <f t="array" ref="V44">_xll.BDH("CMI US Equity","CF_LT_DEBT_CAP_LEAS_PROCEEDS","FQ2 2023","FQ2 2023","Currency=USD","Period=FQ","BEST_FPERIOD_OVERRIDE=FQ","FILING_STATUS=MR","SCALING_FORMAT=MLN","Sort=A","Dates=H","DateFormat=P","Fill=—","Direction=H","UseDPDF=Y")</f>
        <v>694</v>
      </c>
      <c r="W44" s="12" cm="1">
        <f t="array" ref="W44">_xll.BDH("CMI US Equity","CF_LT_DEBT_CAP_LEAS_PROCEEDS","FQ3 2023","FQ3 2023","Currency=USD","Period=FQ","BEST_FPERIOD_OVERRIDE=FQ","FILING_STATUS=MR","SCALING_FORMAT=MLN","Sort=A","Dates=H","DateFormat=P","Fill=—","Direction=H","UseDPDF=Y")</f>
        <v>42</v>
      </c>
      <c r="X44" s="12" cm="1">
        <f t="array" ref="X44">_xll.BDH("CMI US Equity","CF_LT_DEBT_CAP_LEAS_PROCEEDS","FQ4 2023","FQ4 2023","Currency=USD","Period=FQ","BEST_FPERIOD_OVERRIDE=FQ","FILING_STATUS=MR","SCALING_FORMAT=MLN","Sort=A","Dates=H","DateFormat=P","Fill=—","Direction=H","UseDPDF=Y")</f>
        <v>82</v>
      </c>
      <c r="Y44" s="12" cm="1">
        <f t="array" ref="Y44">_xll.BDH("CMI US Equity","CF_LT_DEBT_CAP_LEAS_PROCEEDS","FQ1 2024","FQ1 2024","Currency=USD","Period=FQ","BEST_FPERIOD_OVERRIDE=FQ","FILING_STATUS=MR","SCALING_FORMAT=MLN","Sort=A","Dates=H","DateFormat=P","Fill=—","Direction=H","UseDPDF=Y")</f>
        <v>2398</v>
      </c>
      <c r="Z44" s="12" cm="1">
        <f t="array" ref="Z44">_xll.BDH("CMI US Equity","CF_LT_DEBT_CAP_LEAS_PROCEEDS","FQ2 2024","FQ2 2024","Currency=USD","Period=FQ","BEST_FPERIOD_OVERRIDE=FQ","FILING_STATUS=MR","SCALING_FORMAT=MLN","Sort=A","Dates=H","DateFormat=P","Fill=—","Direction=H","UseDPDF=Y")</f>
        <v>84</v>
      </c>
      <c r="AA44" s="12" cm="1">
        <f t="array" ref="AA44">_xll.BDH("CMI US Equity","CF_LT_DEBT_CAP_LEAS_PROCEEDS","FQ3 2024","FQ3 2024","Currency=USD","Period=FQ","BEST_FPERIOD_OVERRIDE=FQ","FILING_STATUS=MR","SCALING_FORMAT=MLN","Sort=A","Dates=H","DateFormat=P","Fill=—","Direction=H","UseDPDF=Y")</f>
        <v>141</v>
      </c>
      <c r="AB44" s="12" cm="1">
        <f t="array" ref="AB44">_xll.BDH("CMI US Equity","CF_LT_DEBT_CAP_LEAS_PROCEEDS","FQ4 2024","FQ4 2024","Currency=USD","Period=FQ","BEST_FPERIOD_OVERRIDE=FQ","FILING_STATUS=MR","SCALING_FORMAT=MLN","Sort=A","Dates=H","DateFormat=P","Fill=—","Direction=H","UseDPDF=Y")</f>
        <v>97</v>
      </c>
      <c r="AC44" s="12" cm="1">
        <f t="array" ref="AC44">_xll.BDH("CMI US Equity","CF_LT_DEBT_CAP_LEAS_PROCEEDS","FQ1 2025","FQ1 2025","Currency=USD","Period=FQ","BEST_FPERIOD_OVERRIDE=FQ","FILING_STATUS=MR","SCALING_FORMAT=MLN","Sort=A","Dates=H","DateFormat=P","Fill=—","Direction=H","UseDPDF=Y")</f>
        <v>52</v>
      </c>
      <c r="AD44" s="12" cm="1">
        <f t="array" ref="AD44">_xll.BDH("CMI US Equity","CF_LT_DEBT_CAP_LEAS_PROCEEDS","FQ2 2025","FQ2 2025","Currency=USD","Period=FQ","BEST_FPERIOD_OVERRIDE=FQ","FILING_STATUS=MR","SCALING_FORMAT=MLN","Sort=A","Dates=H","DateFormat=P","Fill=—","Direction=H","UseDPDF=Y")</f>
        <v>2094</v>
      </c>
      <c r="AE44" s="12" cm="1">
        <f t="array" ref="AE44">_xll.BDH("CMI US Equity","CF_LT_DEBT_CAP_LEAS_PROCEEDS","FQ3 2025","FQ3 2025","Currency=USD","Period=FQ","BEST_FPERIOD_OVERRIDE=FQ","FILING_STATUS=MR","SCALING_FORMAT=MLN","Sort=A","Dates=H","DateFormat=P","Fill=—","Direction=H","UseDPDF=Y")</f>
        <v>86</v>
      </c>
      <c r="AF44" s="12" cm="1">
        <f t="array" ref="AF44">_xll.BDH("CMI US Equity","CF_LT_DEBT_CAP_LEAS_PROCEEDS","FQ4 2025","FQ4 2025","Currency=USD","Period=FQ","BEST_FPERIOD_OVERRIDE=FQ","FILING_STATUS=MR","SCALING_FORMAT=MLN","Sort=A","Dates=H","DateFormat=P","Fill=—","Direction=H","UseDPDF=Y")</f>
        <v>103</v>
      </c>
    </row>
    <row r="45" spans="1:32" x14ac:dyDescent="0.25">
      <c r="A45" s="10" t="s">
        <v>133</v>
      </c>
      <c r="B45" s="10" t="s">
        <v>134</v>
      </c>
      <c r="C45" s="12" cm="1">
        <f t="array" ref="C45">_xll.BDH("CMI US Equity","CF_LT_DEBT_CAP_LEAS_PAYMENT","FQ3 2018","FQ3 2018","Currency=USD","Period=FQ","BEST_FPERIOD_OVERRIDE=FQ","FILING_STATUS=MR","SCALING_FORMAT=MLN","Sort=A","Dates=H","DateFormat=P","Fill=—","Direction=H","UseDPDF=Y")</f>
        <v>-21</v>
      </c>
      <c r="D45" s="12" cm="1">
        <f t="array" ref="D45">_xll.BDH("CMI US Equity","CF_LT_DEBT_CAP_LEAS_PAYMENT","FQ4 2018","FQ4 2018","Currency=USD","Period=FQ","BEST_FPERIOD_OVERRIDE=FQ","FILING_STATUS=MR","SCALING_FORMAT=MLN","Sort=A","Dates=H","DateFormat=P","Fill=—","Direction=H","UseDPDF=Y")</f>
        <v>-8</v>
      </c>
      <c r="E45" s="12" cm="1">
        <f t="array" ref="E45">_xll.BDH("CMI US Equity","CF_LT_DEBT_CAP_LEAS_PAYMENT","FQ1 2019","FQ1 2019","Currency=USD","Period=FQ","BEST_FPERIOD_OVERRIDE=FQ","FILING_STATUS=MR","SCALING_FORMAT=MLN","Sort=A","Dates=H","DateFormat=P","Fill=—","Direction=H","UseDPDF=Y")</f>
        <v>-10</v>
      </c>
      <c r="F45" s="12" cm="1">
        <f t="array" ref="F45">_xll.BDH("CMI US Equity","CF_LT_DEBT_CAP_LEAS_PAYMENT","FQ2 2019","FQ2 2019","Currency=USD","Period=FQ","BEST_FPERIOD_OVERRIDE=FQ","FILING_STATUS=MR","SCALING_FORMAT=MLN","Sort=A","Dates=H","DateFormat=P","Fill=—","Direction=H","UseDPDF=Y")</f>
        <v>-7</v>
      </c>
      <c r="G45" s="12" cm="1">
        <f t="array" ref="G45">_xll.BDH("CMI US Equity","CF_LT_DEBT_CAP_LEAS_PAYMENT","FQ3 2019","FQ3 2019","Currency=USD","Period=FQ","BEST_FPERIOD_OVERRIDE=FQ","FILING_STATUS=MR","SCALING_FORMAT=MLN","Sort=A","Dates=H","DateFormat=P","Fill=—","Direction=H","UseDPDF=Y")</f>
        <v>-30</v>
      </c>
      <c r="H45" s="12" cm="1">
        <f t="array" ref="H45">_xll.BDH("CMI US Equity","CF_LT_DEBT_CAP_LEAS_PAYMENT","FQ4 2019","FQ4 2019","Currency=USD","Period=FQ","BEST_FPERIOD_OVERRIDE=FQ","FILING_STATUS=MR","SCALING_FORMAT=MLN","Sort=A","Dates=H","DateFormat=P","Fill=—","Direction=H","UseDPDF=Y")</f>
        <v>-169</v>
      </c>
      <c r="I45" s="12" cm="1">
        <f t="array" ref="I45">_xll.BDH("CMI US Equity","CF_LT_DEBT_CAP_LEAS_PAYMENT","FQ1 2020","FQ1 2020","Currency=USD","Period=FQ","BEST_FPERIOD_OVERRIDE=FQ","FILING_STATUS=MR","SCALING_FORMAT=MLN","Sort=A","Dates=H","DateFormat=P","Fill=—","Direction=H","UseDPDF=Y")</f>
        <v>-10</v>
      </c>
      <c r="J45" s="12" cm="1">
        <f t="array" ref="J45">_xll.BDH("CMI US Equity","CF_LT_DEBT_CAP_LEAS_PAYMENT","FQ2 2020","FQ2 2020","Currency=USD","Period=FQ","BEST_FPERIOD_OVERRIDE=FQ","FILING_STATUS=MR","SCALING_FORMAT=MLN","Sort=A","Dates=H","DateFormat=P","Fill=—","Direction=H","UseDPDF=Y")</f>
        <v>-15</v>
      </c>
      <c r="K45" s="12" cm="1">
        <f t="array" ref="K45">_xll.BDH("CMI US Equity","CF_LT_DEBT_CAP_LEAS_PAYMENT","FQ3 2020","FQ3 2020","Currency=USD","Period=FQ","BEST_FPERIOD_OVERRIDE=FQ","FILING_STATUS=MR","SCALING_FORMAT=MLN","Sort=A","Dates=H","DateFormat=P","Fill=—","Direction=H","UseDPDF=Y")</f>
        <v>-360</v>
      </c>
      <c r="L45" s="12" cm="1">
        <f t="array" ref="L45">_xll.BDH("CMI US Equity","CF_LT_DEBT_CAP_LEAS_PAYMENT","FQ4 2020","FQ4 2020","Currency=USD","Period=FQ","BEST_FPERIOD_OVERRIDE=FQ","FILING_STATUS=MR","SCALING_FORMAT=MLN","Sort=A","Dates=H","DateFormat=P","Fill=—","Direction=H","UseDPDF=Y")</f>
        <v>-25</v>
      </c>
      <c r="M45" s="12" cm="1">
        <f t="array" ref="M45">_xll.BDH("CMI US Equity","CF_LT_DEBT_CAP_LEAS_PAYMENT","FQ1 2021","FQ1 2021","Currency=USD","Period=FQ","BEST_FPERIOD_OVERRIDE=FQ","FILING_STATUS=MR","SCALING_FORMAT=MLN","Sort=A","Dates=H","DateFormat=P","Fill=—","Direction=H","UseDPDF=Y")</f>
        <v>-16</v>
      </c>
      <c r="N45" s="12" cm="1">
        <f t="array" ref="N45">_xll.BDH("CMI US Equity","CF_LT_DEBT_CAP_LEAS_PAYMENT","FQ2 2021","FQ2 2021","Currency=USD","Period=FQ","BEST_FPERIOD_OVERRIDE=FQ","FILING_STATUS=MR","SCALING_FORMAT=MLN","Sort=A","Dates=H","DateFormat=P","Fill=—","Direction=H","UseDPDF=Y")</f>
        <v>-17</v>
      </c>
      <c r="O45" s="12" cm="1">
        <f t="array" ref="O45">_xll.BDH("CMI US Equity","CF_LT_DEBT_CAP_LEAS_PAYMENT","FQ3 2021","FQ3 2021","Currency=USD","Period=FQ","BEST_FPERIOD_OVERRIDE=FQ","FILING_STATUS=MR","SCALING_FORMAT=MLN","Sort=A","Dates=H","DateFormat=P","Fill=—","Direction=H","UseDPDF=Y")</f>
        <v>-24</v>
      </c>
      <c r="P45" s="12" cm="1">
        <f t="array" ref="P45">_xll.BDH("CMI US Equity","CF_LT_DEBT_CAP_LEAS_PAYMENT","FQ4 2021","FQ4 2021","Currency=USD","Period=FQ","BEST_FPERIOD_OVERRIDE=FQ","FILING_STATUS=MR","SCALING_FORMAT=MLN","Sort=A","Dates=H","DateFormat=P","Fill=—","Direction=H","UseDPDF=Y")</f>
        <v>-16</v>
      </c>
      <c r="Q45" s="12" cm="1">
        <f t="array" ref="Q45">_xll.BDH("CMI US Equity","CF_LT_DEBT_CAP_LEAS_PAYMENT","FQ1 2022","FQ1 2022","Currency=USD","Period=FQ","BEST_FPERIOD_OVERRIDE=FQ","FILING_STATUS=MR","SCALING_FORMAT=MLN","Sort=A","Dates=H","DateFormat=P","Fill=—","Direction=H","UseDPDF=Y")</f>
        <v>-24</v>
      </c>
      <c r="R45" s="12" cm="1">
        <f t="array" ref="R45">_xll.BDH("CMI US Equity","CF_LT_DEBT_CAP_LEAS_PAYMENT","FQ2 2022","FQ2 2022","Currency=USD","Period=FQ","BEST_FPERIOD_OVERRIDE=FQ","FILING_STATUS=MR","SCALING_FORMAT=MLN","Sort=A","Dates=H","DateFormat=P","Fill=—","Direction=H","UseDPDF=Y")</f>
        <v>-47</v>
      </c>
      <c r="S45" s="12" cm="1">
        <f t="array" ref="S45">_xll.BDH("CMI US Equity","CF_LT_DEBT_CAP_LEAS_PAYMENT","FQ3 2022","FQ3 2022","Currency=USD","Period=FQ","BEST_FPERIOD_OVERRIDE=FQ","FILING_STATUS=MR","SCALING_FORMAT=MLN","Sort=A","Dates=H","DateFormat=P","Fill=—","Direction=H","UseDPDF=Y")</f>
        <v>-999</v>
      </c>
      <c r="T45" s="12" cm="1">
        <f t="array" ref="T45">_xll.BDH("CMI US Equity","CF_LT_DEBT_CAP_LEAS_PAYMENT","FQ4 2022","FQ4 2022","Currency=USD","Period=FQ","BEST_FPERIOD_OVERRIDE=FQ","FILING_STATUS=MR","SCALING_FORMAT=MLN","Sort=A","Dates=H","DateFormat=P","Fill=—","Direction=H","UseDPDF=Y")</f>
        <v>-480</v>
      </c>
      <c r="U45" s="12" cm="1">
        <f t="array" ref="U45">_xll.BDH("CMI US Equity","CF_LT_DEBT_CAP_LEAS_PAYMENT","FQ1 2023","FQ1 2023","Currency=USD","Period=FQ","BEST_FPERIOD_OVERRIDE=FQ","FILING_STATUS=MR","SCALING_FORMAT=MLN","Sort=A","Dates=H","DateFormat=P","Fill=—","Direction=H","UseDPDF=Y")</f>
        <v>-142</v>
      </c>
      <c r="V45" s="12" cm="1">
        <f t="array" ref="V45">_xll.BDH("CMI US Equity","CF_LT_DEBT_CAP_LEAS_PAYMENT","FQ2 2023","FQ2 2023","Currency=USD","Period=FQ","BEST_FPERIOD_OVERRIDE=FQ","FILING_STATUS=MR","SCALING_FORMAT=MLN","Sort=A","Dates=H","DateFormat=P","Fill=—","Direction=H","UseDPDF=Y")</f>
        <v>-86</v>
      </c>
      <c r="W45" s="12" cm="1">
        <f t="array" ref="W45">_xll.BDH("CMI US Equity","CF_LT_DEBT_CAP_LEAS_PAYMENT","FQ3 2023","FQ3 2023","Currency=USD","Period=FQ","BEST_FPERIOD_OVERRIDE=FQ","FILING_STATUS=MR","SCALING_FORMAT=MLN","Sort=A","Dates=H","DateFormat=P","Fill=—","Direction=H","UseDPDF=Y")</f>
        <v>-163</v>
      </c>
      <c r="X45" s="12" cm="1">
        <f t="array" ref="X45">_xll.BDH("CMI US Equity","CF_LT_DEBT_CAP_LEAS_PAYMENT","FQ4 2023","FQ4 2023","Currency=USD","Period=FQ","BEST_FPERIOD_OVERRIDE=FQ","FILING_STATUS=MR","SCALING_FORMAT=MLN","Sort=A","Dates=H","DateFormat=P","Fill=—","Direction=H","UseDPDF=Y")</f>
        <v>-958</v>
      </c>
      <c r="Y45" s="12" cm="1">
        <f t="array" ref="Y45">_xll.BDH("CMI US Equity","CF_LT_DEBT_CAP_LEAS_PAYMENT","FQ1 2024","FQ1 2024","Currency=USD","Period=FQ","BEST_FPERIOD_OVERRIDE=FQ","FILING_STATUS=MR","SCALING_FORMAT=MLN","Sort=A","Dates=H","DateFormat=P","Fill=—","Direction=H","UseDPDF=Y")</f>
        <v>-748</v>
      </c>
      <c r="Z45" s="12" cm="1">
        <f t="array" ref="Z45">_xll.BDH("CMI US Equity","CF_LT_DEBT_CAP_LEAS_PAYMENT","FQ2 2024","FQ2 2024","Currency=USD","Period=FQ","BEST_FPERIOD_OVERRIDE=FQ","FILING_STATUS=MR","SCALING_FORMAT=MLN","Sort=A","Dates=H","DateFormat=P","Fill=—","Direction=H","UseDPDF=Y")</f>
        <v>-475</v>
      </c>
      <c r="AA45" s="12" cm="1">
        <f t="array" ref="AA45">_xll.BDH("CMI US Equity","CF_LT_DEBT_CAP_LEAS_PAYMENT","FQ3 2024","FQ3 2024","Currency=USD","Period=FQ","BEST_FPERIOD_OVERRIDE=FQ","FILING_STATUS=MR","SCALING_FORMAT=MLN","Sort=A","Dates=H","DateFormat=P","Fill=—","Direction=H","UseDPDF=Y")</f>
        <v>-163</v>
      </c>
      <c r="AB45" s="12" cm="1">
        <f t="array" ref="AB45">_xll.BDH("CMI US Equity","CF_LT_DEBT_CAP_LEAS_PAYMENT","FQ4 2024","FQ4 2024","Currency=USD","Period=FQ","BEST_FPERIOD_OVERRIDE=FQ","FILING_STATUS=MR","SCALING_FORMAT=MLN","Sort=A","Dates=H","DateFormat=P","Fill=—","Direction=H","UseDPDF=Y")</f>
        <v>-182</v>
      </c>
      <c r="AC45" s="12" cm="1">
        <f t="array" ref="AC45">_xll.BDH("CMI US Equity","CF_LT_DEBT_CAP_LEAS_PAYMENT","FQ1 2025","FQ1 2025","Currency=USD","Period=FQ","BEST_FPERIOD_OVERRIDE=FQ","FILING_STATUS=MR","SCALING_FORMAT=MLN","Sort=A","Dates=H","DateFormat=P","Fill=—","Direction=H","UseDPDF=Y")</f>
        <v>-144</v>
      </c>
      <c r="AD45" s="12" cm="1">
        <f t="array" ref="AD45">_xll.BDH("CMI US Equity","CF_LT_DEBT_CAP_LEAS_PAYMENT","FQ2 2025","FQ2 2025","Currency=USD","Period=FQ","BEST_FPERIOD_OVERRIDE=FQ","FILING_STATUS=MR","SCALING_FORMAT=MLN","Sort=A","Dates=H","DateFormat=P","Fill=—","Direction=H","UseDPDF=Y")</f>
        <v>-66</v>
      </c>
      <c r="AE45" s="12" cm="1">
        <f t="array" ref="AE45">_xll.BDH("CMI US Equity","CF_LT_DEBT_CAP_LEAS_PAYMENT","FQ3 2025","FQ3 2025","Currency=USD","Period=FQ","BEST_FPERIOD_OVERRIDE=FQ","FILING_STATUS=MR","SCALING_FORMAT=MLN","Sort=A","Dates=H","DateFormat=P","Fill=—","Direction=H","UseDPDF=Y")</f>
        <v>-617</v>
      </c>
      <c r="AF45" s="12" cm="1">
        <f t="array" ref="AF45">_xll.BDH("CMI US Equity","CF_LT_DEBT_CAP_LEAS_PAYMENT","FQ4 2025","FQ4 2025","Currency=USD","Period=FQ","BEST_FPERIOD_OVERRIDE=FQ","FILING_STATUS=MR","SCALING_FORMAT=MLN","Sort=A","Dates=H","DateFormat=P","Fill=—","Direction=H","UseDPDF=Y")</f>
        <v>-148</v>
      </c>
    </row>
    <row r="46" spans="1:32" x14ac:dyDescent="0.25">
      <c r="A46" s="10" t="s">
        <v>135</v>
      </c>
      <c r="B46" s="10" t="s">
        <v>136</v>
      </c>
      <c r="C46" s="12" cm="1">
        <f t="array" ref="C46">_xll.BDH("CMI US Equity","PROC_FR_REPURCH_EQTY_DETAILED","FQ3 2018","FQ3 2018","Currency=USD","Period=FQ","BEST_FPERIOD_OVERRIDE=FQ","FILING_STATUS=MR","SCALING_FORMAT=MLN","Sort=A","Dates=H","DateFormat=P","Fill=—","Direction=H","UseDPDF=Y")</f>
        <v>-500</v>
      </c>
      <c r="D46" s="12" cm="1">
        <f t="array" ref="D46">_xll.BDH("CMI US Equity","PROC_FR_REPURCH_EQTY_DETAILED","FQ4 2018","FQ4 2018","Currency=USD","Period=FQ","BEST_FPERIOD_OVERRIDE=FQ","FILING_STATUS=MR","SCALING_FORMAT=MLN","Sort=A","Dates=H","DateFormat=P","Fill=—","Direction=H","UseDPDF=Y")</f>
        <v>-248</v>
      </c>
      <c r="E46" s="12" cm="1">
        <f t="array" ref="E46">_xll.BDH("CMI US Equity","PROC_FR_REPURCH_EQTY_DETAILED","FQ1 2019","FQ1 2019","Currency=USD","Period=FQ","BEST_FPERIOD_OVERRIDE=FQ","FILING_STATUS=MR","SCALING_FORMAT=MLN","Sort=A","Dates=H","DateFormat=P","Fill=—","Direction=H","UseDPDF=Y")</f>
        <v>-100</v>
      </c>
      <c r="F46" s="12" cm="1">
        <f t="array" ref="F46">_xll.BDH("CMI US Equity","PROC_FR_REPURCH_EQTY_DETAILED","FQ2 2019","FQ2 2019","Currency=USD","Period=FQ","BEST_FPERIOD_OVERRIDE=FQ","FILING_STATUS=MR","SCALING_FORMAT=MLN","Sort=A","Dates=H","DateFormat=P","Fill=—","Direction=H","UseDPDF=Y")</f>
        <v>0</v>
      </c>
      <c r="G46" s="12" cm="1">
        <f t="array" ref="G46">_xll.BDH("CMI US Equity","PROC_FR_REPURCH_EQTY_DETAILED","FQ3 2019","FQ3 2019","Currency=USD","Period=FQ","BEST_FPERIOD_OVERRIDE=FQ","FILING_STATUS=MR","SCALING_FORMAT=MLN","Sort=A","Dates=H","DateFormat=P","Fill=—","Direction=H","UseDPDF=Y")</f>
        <v>-706</v>
      </c>
      <c r="H46" s="12" cm="1">
        <f t="array" ref="H46">_xll.BDH("CMI US Equity","PROC_FR_REPURCH_EQTY_DETAILED","FQ4 2019","FQ4 2019","Currency=USD","Period=FQ","BEST_FPERIOD_OVERRIDE=FQ","FILING_STATUS=MR","SCALING_FORMAT=MLN","Sort=A","Dates=H","DateFormat=P","Fill=—","Direction=H","UseDPDF=Y")</f>
        <v>-389</v>
      </c>
      <c r="I46" s="12" cm="1">
        <f t="array" ref="I46">_xll.BDH("CMI US Equity","PROC_FR_REPURCH_EQTY_DETAILED","FQ1 2020","FQ1 2020","Currency=USD","Period=FQ","BEST_FPERIOD_OVERRIDE=FQ","FILING_STATUS=MR","SCALING_FORMAT=MLN","Sort=A","Dates=H","DateFormat=P","Fill=—","Direction=H","UseDPDF=Y")</f>
        <v>-537</v>
      </c>
      <c r="J46" s="12" cm="1">
        <f t="array" ref="J46">_xll.BDH("CMI US Equity","PROC_FR_REPURCH_EQTY_DETAILED","FQ2 2020","FQ2 2020","Currency=USD","Period=FQ","BEST_FPERIOD_OVERRIDE=FQ","FILING_STATUS=MR","SCALING_FORMAT=MLN","Sort=A","Dates=H","DateFormat=P","Fill=—","Direction=H","UseDPDF=Y")</f>
        <v>32</v>
      </c>
      <c r="K46" s="12" cm="1">
        <f t="array" ref="K46">_xll.BDH("CMI US Equity","PROC_FR_REPURCH_EQTY_DETAILED","FQ3 2020","FQ3 2020","Currency=USD","Period=FQ","BEST_FPERIOD_OVERRIDE=FQ","FILING_STATUS=MR","SCALING_FORMAT=MLN","Sort=A","Dates=H","DateFormat=P","Fill=—","Direction=H","UseDPDF=Y")</f>
        <v>33</v>
      </c>
      <c r="L46" s="12" cm="1">
        <f t="array" ref="L46">_xll.BDH("CMI US Equity","PROC_FR_REPURCH_EQTY_DETAILED","FQ4 2020","FQ4 2020","Currency=USD","Period=FQ","BEST_FPERIOD_OVERRIDE=FQ","FILING_STATUS=MR","SCALING_FORMAT=MLN","Sort=A","Dates=H","DateFormat=P","Fill=—","Direction=H","UseDPDF=Y")</f>
        <v>-81</v>
      </c>
      <c r="M46" s="12" cm="1">
        <f t="array" ref="M46">_xll.BDH("CMI US Equity","PROC_FR_REPURCH_EQTY_DETAILED","FQ1 2021","FQ1 2021","Currency=USD","Period=FQ","BEST_FPERIOD_OVERRIDE=FQ","FILING_STATUS=MR","SCALING_FORMAT=MLN","Sort=A","Dates=H","DateFormat=P","Fill=—","Direction=H","UseDPDF=Y")</f>
        <v>-400</v>
      </c>
      <c r="N46" s="12" cm="1">
        <f t="array" ref="N46">_xll.BDH("CMI US Equity","PROC_FR_REPURCH_EQTY_DETAILED","FQ2 2021","FQ2 2021","Currency=USD","Period=FQ","BEST_FPERIOD_OVERRIDE=FQ","FILING_STATUS=MR","SCALING_FORMAT=MLN","Sort=A","Dates=H","DateFormat=P","Fill=—","Direction=H","UseDPDF=Y")</f>
        <v>-664</v>
      </c>
      <c r="O46" s="12" cm="1">
        <f t="array" ref="O46">_xll.BDH("CMI US Equity","PROC_FR_REPURCH_EQTY_DETAILED","FQ3 2021","FQ3 2021","Currency=USD","Period=FQ","BEST_FPERIOD_OVERRIDE=FQ","FILING_STATUS=MR","SCALING_FORMAT=MLN","Sort=A","Dates=H","DateFormat=P","Fill=—","Direction=H","UseDPDF=Y")</f>
        <v>-137</v>
      </c>
      <c r="P46" s="12" cm="1">
        <f t="array" ref="P46">_xll.BDH("CMI US Equity","PROC_FR_REPURCH_EQTY_DETAILED","FQ4 2021","FQ4 2021","Currency=USD","Period=FQ","BEST_FPERIOD_OVERRIDE=FQ","FILING_STATUS=MR","SCALING_FORMAT=MLN","Sort=A","Dates=H","DateFormat=P","Fill=—","Direction=H","UseDPDF=Y")</f>
        <v>-145</v>
      </c>
      <c r="Q46" s="12" cm="1">
        <f t="array" ref="Q46">_xll.BDH("CMI US Equity","PROC_FR_REPURCH_EQTY_DETAILED","FQ1 2022","FQ1 2022","Currency=USD","Period=FQ","BEST_FPERIOD_OVERRIDE=FQ","FILING_STATUS=MR","SCALING_FORMAT=MLN","Sort=A","Dates=H","DateFormat=P","Fill=—","Direction=H","UseDPDF=Y")</f>
        <v>-302</v>
      </c>
      <c r="R46" s="12" cm="1">
        <f t="array" ref="R46">_xll.BDH("CMI US Equity","PROC_FR_REPURCH_EQTY_DETAILED","FQ2 2022","FQ2 2022","Currency=USD","Period=FQ","BEST_FPERIOD_OVERRIDE=FQ","FILING_STATUS=MR","SCALING_FORMAT=MLN","Sort=A","Dates=H","DateFormat=P","Fill=—","Direction=H","UseDPDF=Y")</f>
        <v>-26</v>
      </c>
      <c r="S46" s="12" cm="1">
        <f t="array" ref="S46">_xll.BDH("CMI US Equity","PROC_FR_REPURCH_EQTY_DETAILED","FQ3 2022","FQ3 2022","Currency=USD","Period=FQ","BEST_FPERIOD_OVERRIDE=FQ","FILING_STATUS=MR","SCALING_FORMAT=MLN","Sort=A","Dates=H","DateFormat=P","Fill=—","Direction=H","UseDPDF=Y")</f>
        <v>-6</v>
      </c>
      <c r="T46" s="12" cm="1">
        <f t="array" ref="T46">_xll.BDH("CMI US Equity","PROC_FR_REPURCH_EQTY_DETAILED","FQ4 2022","FQ4 2022","Currency=USD","Period=FQ","BEST_FPERIOD_OVERRIDE=FQ","FILING_STATUS=MR","SCALING_FORMAT=MLN","Sort=A","Dates=H","DateFormat=P","Fill=—","Direction=H","UseDPDF=Y")</f>
        <v>-40</v>
      </c>
      <c r="U46" s="12" cm="1">
        <f t="array" ref="U46">_xll.BDH("CMI US Equity","PROC_FR_REPURCH_EQTY_DETAILED","FQ1 2023","FQ1 2023","Currency=USD","Period=FQ","BEST_FPERIOD_OVERRIDE=FQ","FILING_STATUS=MR","SCALING_FORMAT=MLN","Sort=A","Dates=H","DateFormat=P","Fill=—","Direction=H","UseDPDF=Y")</f>
        <v>0</v>
      </c>
      <c r="V46" s="12" cm="1">
        <f t="array" ref="V46">_xll.BDH("CMI US Equity","PROC_FR_REPURCH_EQTY_DETAILED","FQ2 2023","FQ2 2023","Currency=USD","Period=FQ","BEST_FPERIOD_OVERRIDE=FQ","FILING_STATUS=MR","SCALING_FORMAT=MLN","Sort=A","Dates=H","DateFormat=P","Fill=—","Direction=H","UseDPDF=Y")</f>
        <v>0</v>
      </c>
      <c r="W46" s="12" cm="1">
        <f t="array" ref="W46">_xll.BDH("CMI US Equity","PROC_FR_REPURCH_EQTY_DETAILED","FQ3 2023","FQ3 2023","Currency=USD","Period=FQ","BEST_FPERIOD_OVERRIDE=FQ","FILING_STATUS=MR","SCALING_FORMAT=MLN","Sort=A","Dates=H","DateFormat=P","Fill=—","Direction=H","UseDPDF=Y")</f>
        <v>0</v>
      </c>
      <c r="X46" s="12" cm="1">
        <f t="array" ref="X46">_xll.BDH("CMI US Equity","PROC_FR_REPURCH_EQTY_DETAILED","FQ4 2023","FQ4 2023","Currency=USD","Period=FQ","BEST_FPERIOD_OVERRIDE=FQ","FILING_STATUS=MR","SCALING_FORMAT=MLN","Sort=A","Dates=H","DateFormat=P","Fill=—","Direction=H","UseDPDF=Y")</f>
        <v>0</v>
      </c>
      <c r="Y46" s="12" cm="1">
        <f t="array" ref="Y46">_xll.BDH("CMI US Equity","PROC_FR_REPURCH_EQTY_DETAILED","FQ1 2024","FQ1 2024","Currency=USD","Period=FQ","BEST_FPERIOD_OVERRIDE=FQ","FILING_STATUS=MR","SCALING_FORMAT=MLN","Sort=A","Dates=H","DateFormat=P","Fill=—","Direction=H","UseDPDF=Y")</f>
        <v>0</v>
      </c>
      <c r="Z46" s="12" cm="1">
        <f t="array" ref="Z46">_xll.BDH("CMI US Equity","PROC_FR_REPURCH_EQTY_DETAILED","FQ2 2024","FQ2 2024","Currency=USD","Period=FQ","BEST_FPERIOD_OVERRIDE=FQ","FILING_STATUS=MR","SCALING_FORMAT=MLN","Sort=A","Dates=H","DateFormat=P","Fill=—","Direction=H","UseDPDF=Y")</f>
        <v>0</v>
      </c>
      <c r="AA46" s="12" cm="1">
        <f t="array" ref="AA46">_xll.BDH("CMI US Equity","PROC_FR_REPURCH_EQTY_DETAILED","FQ3 2024","FQ3 2024","Currency=USD","Period=FQ","BEST_FPERIOD_OVERRIDE=FQ","FILING_STATUS=MR","SCALING_FORMAT=MLN","Sort=A","Dates=H","DateFormat=P","Fill=—","Direction=H","UseDPDF=Y")</f>
        <v>0</v>
      </c>
      <c r="AB46" s="12" cm="1">
        <f t="array" ref="AB46">_xll.BDH("CMI US Equity","PROC_FR_REPURCH_EQTY_DETAILED","FQ4 2024","FQ4 2024","Currency=USD","Period=FQ","BEST_FPERIOD_OVERRIDE=FQ","FILING_STATUS=MR","SCALING_FORMAT=MLN","Sort=A","Dates=H","DateFormat=P","Fill=—","Direction=H","UseDPDF=Y")</f>
        <v>0</v>
      </c>
      <c r="AC46" s="12" cm="1">
        <f t="array" ref="AC46">_xll.BDH("CMI US Equity","PROC_FR_REPURCH_EQTY_DETAILED","FQ1 2025","FQ1 2025","Currency=USD","Period=FQ","BEST_FPERIOD_OVERRIDE=FQ","FILING_STATUS=MR","SCALING_FORMAT=MLN","Sort=A","Dates=H","DateFormat=P","Fill=—","Direction=H","UseDPDF=Y")</f>
        <v>0</v>
      </c>
      <c r="AD46" s="12" cm="1">
        <f t="array" ref="AD46">_xll.BDH("CMI US Equity","PROC_FR_REPURCH_EQTY_DETAILED","FQ2 2025","FQ2 2025","Currency=USD","Period=FQ","BEST_FPERIOD_OVERRIDE=FQ","FILING_STATUS=MR","SCALING_FORMAT=MLN","Sort=A","Dates=H","DateFormat=P","Fill=—","Direction=H","UseDPDF=Y")</f>
        <v>0</v>
      </c>
      <c r="AE46" s="12" cm="1">
        <f t="array" ref="AE46">_xll.BDH("CMI US Equity","PROC_FR_REPURCH_EQTY_DETAILED","FQ3 2025","FQ3 2025","Currency=USD","Period=FQ","BEST_FPERIOD_OVERRIDE=FQ","FILING_STATUS=MR","SCALING_FORMAT=MLN","Sort=A","Dates=H","DateFormat=P","Fill=—","Direction=H","UseDPDF=Y")</f>
        <v>0</v>
      </c>
      <c r="AF46" s="12" cm="1">
        <f t="array" ref="AF46">_xll.BDH("CMI US Equity","PROC_FR_REPURCH_EQTY_DETAILED","FQ4 2025","FQ4 2025","Currency=USD","Period=FQ","BEST_FPERIOD_OVERRIDE=FQ","FILING_STATUS=MR","SCALING_FORMAT=MLN","Sort=A","Dates=H","DateFormat=P","Fill=—","Direction=H","UseDPDF=Y")</f>
        <v>0</v>
      </c>
    </row>
    <row r="47" spans="1:32" x14ac:dyDescent="0.25">
      <c r="A47" s="10" t="s">
        <v>137</v>
      </c>
      <c r="B47" s="10" t="s">
        <v>138</v>
      </c>
      <c r="C47" s="12" cm="1">
        <f t="array" ref="C47">_xll.BDH("CMI US Equity","CF_INCR_CAP_STOCK","FQ3 2018","FQ3 2018","Currency=USD","Period=FQ","BEST_FPERIOD_OVERRIDE=FQ","FILING_STATUS=MR","SCALING_FORMAT=MLN","Sort=A","Dates=H","DateFormat=P","Fill=—","Direction=H","UseDPDF=Y")</f>
        <v>0</v>
      </c>
      <c r="D47" s="12" cm="1">
        <f t="array" ref="D47">_xll.BDH("CMI US Equity","CF_INCR_CAP_STOCK","FQ4 2018","FQ4 2018","Currency=USD","Period=FQ","BEST_FPERIOD_OVERRIDE=FQ","FILING_STATUS=MR","SCALING_FORMAT=MLN","Sort=A","Dates=H","DateFormat=P","Fill=—","Direction=H","UseDPDF=Y")</f>
        <v>13</v>
      </c>
      <c r="E47" s="12" cm="1">
        <f t="array" ref="E47">_xll.BDH("CMI US Equity","CF_INCR_CAP_STOCK","FQ1 2019","FQ1 2019","Currency=USD","Period=FQ","BEST_FPERIOD_OVERRIDE=FQ","FILING_STATUS=MR","SCALING_FORMAT=MLN","Sort=A","Dates=H","DateFormat=P","Fill=—","Direction=H","UseDPDF=Y")</f>
        <v>0</v>
      </c>
      <c r="F47" s="12" cm="1">
        <f t="array" ref="F47">_xll.BDH("CMI US Equity","CF_INCR_CAP_STOCK","FQ2 2019","FQ2 2019","Currency=USD","Period=FQ","BEST_FPERIOD_OVERRIDE=FQ","FILING_STATUS=MR","SCALING_FORMAT=MLN","Sort=A","Dates=H","DateFormat=P","Fill=—","Direction=H","UseDPDF=Y")</f>
        <v>0</v>
      </c>
      <c r="G47" s="12" cm="1">
        <f t="array" ref="G47">_xll.BDH("CMI US Equity","CF_INCR_CAP_STOCK","FQ3 2019","FQ3 2019","Currency=USD","Period=FQ","BEST_FPERIOD_OVERRIDE=FQ","FILING_STATUS=MR","SCALING_FORMAT=MLN","Sort=A","Dates=H","DateFormat=P","Fill=—","Direction=H","UseDPDF=Y")</f>
        <v>0</v>
      </c>
      <c r="H47" s="12" cm="1">
        <f t="array" ref="H47">_xll.BDH("CMI US Equity","CF_INCR_CAP_STOCK","FQ4 2019","FQ4 2019","Currency=USD","Period=FQ","BEST_FPERIOD_OVERRIDE=FQ","FILING_STATUS=MR","SCALING_FORMAT=MLN","Sort=A","Dates=H","DateFormat=P","Fill=—","Direction=H","UseDPDF=Y")</f>
        <v>76</v>
      </c>
      <c r="I47" s="12" cm="1">
        <f t="array" ref="I47">_xll.BDH("CMI US Equity","CF_INCR_CAP_STOCK","FQ1 2020","FQ1 2020","Currency=USD","Period=FQ","BEST_FPERIOD_OVERRIDE=FQ","FILING_STATUS=MR","SCALING_FORMAT=MLN","Sort=A","Dates=H","DateFormat=P","Fill=—","Direction=H","UseDPDF=Y")</f>
        <v>13</v>
      </c>
      <c r="J47" s="12" cm="1">
        <f t="array" ref="J47">_xll.BDH("CMI US Equity","CF_INCR_CAP_STOCK","FQ2 2020","FQ2 2020","Currency=USD","Period=FQ","BEST_FPERIOD_OVERRIDE=FQ","FILING_STATUS=MR","SCALING_FORMAT=MLN","Sort=A","Dates=H","DateFormat=P","Fill=—","Direction=H","UseDPDF=Y")</f>
        <v>32</v>
      </c>
      <c r="K47" s="12" cm="1">
        <f t="array" ref="K47">_xll.BDH("CMI US Equity","CF_INCR_CAP_STOCK","FQ3 2020","FQ3 2020","Currency=USD","Period=FQ","BEST_FPERIOD_OVERRIDE=FQ","FILING_STATUS=MR","SCALING_FORMAT=MLN","Sort=A","Dates=H","DateFormat=P","Fill=—","Direction=H","UseDPDF=Y")</f>
        <v>33</v>
      </c>
      <c r="L47" s="12" cm="1">
        <f t="array" ref="L47">_xll.BDH("CMI US Equity","CF_INCR_CAP_STOCK","FQ4 2020","FQ4 2020","Currency=USD","Period=FQ","BEST_FPERIOD_OVERRIDE=FQ","FILING_STATUS=MR","SCALING_FORMAT=MLN","Sort=A","Dates=H","DateFormat=P","Fill=—","Direction=H","UseDPDF=Y")</f>
        <v>10</v>
      </c>
      <c r="M47" s="12" cm="1">
        <f t="array" ref="M47">_xll.BDH("CMI US Equity","CF_INCR_CAP_STOCK","FQ1 2021","FQ1 2021","Currency=USD","Period=FQ","BEST_FPERIOD_OVERRIDE=FQ","FILING_STATUS=MR","SCALING_FORMAT=MLN","Sort=A","Dates=H","DateFormat=P","Fill=—","Direction=H","UseDPDF=Y")</f>
        <v>18</v>
      </c>
      <c r="N47" s="12" cm="1">
        <f t="array" ref="N47">_xll.BDH("CMI US Equity","CF_INCR_CAP_STOCK","FQ2 2021","FQ2 2021","Currency=USD","Period=FQ","BEST_FPERIOD_OVERRIDE=FQ","FILING_STATUS=MR","SCALING_FORMAT=MLN","Sort=A","Dates=H","DateFormat=P","Fill=—","Direction=H","UseDPDF=Y")</f>
        <v>8</v>
      </c>
      <c r="O47" s="12" cm="1">
        <f t="array" ref="O47">_xll.BDH("CMI US Equity","CF_INCR_CAP_STOCK","FQ3 2021","FQ3 2021","Currency=USD","Period=FQ","BEST_FPERIOD_OVERRIDE=FQ","FILING_STATUS=MR","SCALING_FORMAT=MLN","Sort=A","Dates=H","DateFormat=P","Fill=—","Direction=H","UseDPDF=Y")</f>
        <v>1</v>
      </c>
      <c r="P47" s="12" cm="1">
        <f t="array" ref="P47">_xll.BDH("CMI US Equity","CF_INCR_CAP_STOCK","FQ4 2021","FQ4 2021","Currency=USD","Period=FQ","BEST_FPERIOD_OVERRIDE=FQ","FILING_STATUS=MR","SCALING_FORMAT=MLN","Sort=A","Dates=H","DateFormat=P","Fill=—","Direction=H","UseDPDF=Y")</f>
        <v>29</v>
      </c>
      <c r="Q47" s="12" cm="1">
        <f t="array" ref="Q47">_xll.BDH("CMI US Equity","CF_INCR_CAP_STOCK","FQ1 2022","FQ1 2022","Currency=USD","Period=FQ","BEST_FPERIOD_OVERRIDE=FQ","FILING_STATUS=MR","SCALING_FORMAT=MLN","Sort=A","Dates=H","DateFormat=P","Fill=—","Direction=H","UseDPDF=Y")</f>
        <v>9</v>
      </c>
      <c r="R47" s="12" cm="1">
        <f t="array" ref="R47">_xll.BDH("CMI US Equity","CF_INCR_CAP_STOCK","FQ2 2022","FQ2 2022","Currency=USD","Period=FQ","BEST_FPERIOD_OVERRIDE=FQ","FILING_STATUS=MR","SCALING_FORMAT=MLN","Sort=A","Dates=H","DateFormat=P","Fill=—","Direction=H","UseDPDF=Y")</f>
        <v>10</v>
      </c>
      <c r="S47" s="12" cm="1">
        <f t="array" ref="S47">_xll.BDH("CMI US Equity","CF_INCR_CAP_STOCK","FQ3 2022","FQ3 2022","Currency=USD","Period=FQ","BEST_FPERIOD_OVERRIDE=FQ","FILING_STATUS=MR","SCALING_FORMAT=MLN","Sort=A","Dates=H","DateFormat=P","Fill=—","Direction=H","UseDPDF=Y")</f>
        <v>17</v>
      </c>
      <c r="T47" s="12" cm="1">
        <f t="array" ref="T47">_xll.BDH("CMI US Equity","CF_INCR_CAP_STOCK","FQ4 2022","FQ4 2022","Currency=USD","Period=FQ","BEST_FPERIOD_OVERRIDE=FQ","FILING_STATUS=MR","SCALING_FORMAT=MLN","Sort=A","Dates=H","DateFormat=P","Fill=—","Direction=H","UseDPDF=Y")</f>
        <v>0</v>
      </c>
      <c r="U47" s="12" cm="1">
        <f t="array" ref="U47">_xll.BDH("CMI US Equity","CF_INCR_CAP_STOCK","FQ1 2023","FQ1 2023","Currency=USD","Period=FQ","BEST_FPERIOD_OVERRIDE=FQ","FILING_STATUS=MR","SCALING_FORMAT=MLN","Sort=A","Dates=H","DateFormat=P","Fill=—","Direction=H","UseDPDF=Y")</f>
        <v>0</v>
      </c>
      <c r="V47" s="12" cm="1">
        <f t="array" ref="V47">_xll.BDH("CMI US Equity","CF_INCR_CAP_STOCK","FQ2 2023","FQ2 2023","Currency=USD","Period=FQ","BEST_FPERIOD_OVERRIDE=FQ","FILING_STATUS=MR","SCALING_FORMAT=MLN","Sort=A","Dates=H","DateFormat=P","Fill=—","Direction=H","UseDPDF=Y")</f>
        <v>0</v>
      </c>
      <c r="W47" s="12" cm="1">
        <f t="array" ref="W47">_xll.BDH("CMI US Equity","CF_INCR_CAP_STOCK","FQ3 2023","FQ3 2023","Currency=USD","Period=FQ","BEST_FPERIOD_OVERRIDE=FQ","FILING_STATUS=MR","SCALING_FORMAT=MLN","Sort=A","Dates=H","DateFormat=P","Fill=—","Direction=H","UseDPDF=Y")</f>
        <v>0</v>
      </c>
      <c r="X47" s="12" cm="1">
        <f t="array" ref="X47">_xll.BDH("CMI US Equity","CF_INCR_CAP_STOCK","FQ4 2023","FQ4 2023","Currency=USD","Period=FQ","BEST_FPERIOD_OVERRIDE=FQ","FILING_STATUS=MR","SCALING_FORMAT=MLN","Sort=A","Dates=H","DateFormat=P","Fill=—","Direction=H","UseDPDF=Y")</f>
        <v>0</v>
      </c>
      <c r="Y47" s="12" cm="1">
        <f t="array" ref="Y47">_xll.BDH("CMI US Equity","CF_INCR_CAP_STOCK","FQ1 2024","FQ1 2024","Currency=USD","Period=FQ","BEST_FPERIOD_OVERRIDE=FQ","FILING_STATUS=MR","SCALING_FORMAT=MLN","Sort=A","Dates=H","DateFormat=P","Fill=—","Direction=H","UseDPDF=Y")</f>
        <v>0</v>
      </c>
      <c r="Z47" s="12" cm="1">
        <f t="array" ref="Z47">_xll.BDH("CMI US Equity","CF_INCR_CAP_STOCK","FQ2 2024","FQ2 2024","Currency=USD","Period=FQ","BEST_FPERIOD_OVERRIDE=FQ","FILING_STATUS=MR","SCALING_FORMAT=MLN","Sort=A","Dates=H","DateFormat=P","Fill=—","Direction=H","UseDPDF=Y")</f>
        <v>0</v>
      </c>
      <c r="AA47" s="12" cm="1">
        <f t="array" ref="AA47">_xll.BDH("CMI US Equity","CF_INCR_CAP_STOCK","FQ3 2024","FQ3 2024","Currency=USD","Period=FQ","BEST_FPERIOD_OVERRIDE=FQ","FILING_STATUS=MR","SCALING_FORMAT=MLN","Sort=A","Dates=H","DateFormat=P","Fill=—","Direction=H","UseDPDF=Y")</f>
        <v>0</v>
      </c>
      <c r="AB47" s="12" cm="1">
        <f t="array" ref="AB47">_xll.BDH("CMI US Equity","CF_INCR_CAP_STOCK","FQ4 2024","FQ4 2024","Currency=USD","Period=FQ","BEST_FPERIOD_OVERRIDE=FQ","FILING_STATUS=MR","SCALING_FORMAT=MLN","Sort=A","Dates=H","DateFormat=P","Fill=—","Direction=H","UseDPDF=Y")</f>
        <v>0</v>
      </c>
      <c r="AC47" s="12" cm="1">
        <f t="array" ref="AC47">_xll.BDH("CMI US Equity","CF_INCR_CAP_STOCK","FQ1 2025","FQ1 2025","Currency=USD","Period=FQ","BEST_FPERIOD_OVERRIDE=FQ","FILING_STATUS=MR","SCALING_FORMAT=MLN","Sort=A","Dates=H","DateFormat=P","Fill=—","Direction=H","UseDPDF=Y")</f>
        <v>0</v>
      </c>
      <c r="AD47" s="12" cm="1">
        <f t="array" ref="AD47">_xll.BDH("CMI US Equity","CF_INCR_CAP_STOCK","FQ2 2025","FQ2 2025","Currency=USD","Period=FQ","BEST_FPERIOD_OVERRIDE=FQ","FILING_STATUS=MR","SCALING_FORMAT=MLN","Sort=A","Dates=H","DateFormat=P","Fill=—","Direction=H","UseDPDF=Y")</f>
        <v>0</v>
      </c>
      <c r="AE47" s="12" cm="1">
        <f t="array" ref="AE47">_xll.BDH("CMI US Equity","CF_INCR_CAP_STOCK","FQ3 2025","FQ3 2025","Currency=USD","Period=FQ","BEST_FPERIOD_OVERRIDE=FQ","FILING_STATUS=MR","SCALING_FORMAT=MLN","Sort=A","Dates=H","DateFormat=P","Fill=—","Direction=H","UseDPDF=Y")</f>
        <v>0</v>
      </c>
      <c r="AF47" s="12" cm="1">
        <f t="array" ref="AF47">_xll.BDH("CMI US Equity","CF_INCR_CAP_STOCK","FQ4 2025","FQ4 2025","Currency=USD","Period=FQ","BEST_FPERIOD_OVERRIDE=FQ","FILING_STATUS=MR","SCALING_FORMAT=MLN","Sort=A","Dates=H","DateFormat=P","Fill=—","Direction=H","UseDPDF=Y")</f>
        <v>0</v>
      </c>
    </row>
    <row r="48" spans="1:32" x14ac:dyDescent="0.25">
      <c r="A48" s="10" t="s">
        <v>139</v>
      </c>
      <c r="B48" s="10" t="s">
        <v>140</v>
      </c>
      <c r="C48" s="12" cm="1">
        <f t="array" ref="C48">_xll.BDH("CMI US Equity","CF_DECR_CAP_STOCK","FQ3 2018","FQ3 2018","Currency=USD","Period=FQ","BEST_FPERIOD_OVERRIDE=FQ","FILING_STATUS=MR","SCALING_FORMAT=MLN","Sort=A","Dates=H","DateFormat=P","Fill=—","Direction=H","UseDPDF=Y")</f>
        <v>-500</v>
      </c>
      <c r="D48" s="12" cm="1">
        <f t="array" ref="D48">_xll.BDH("CMI US Equity","CF_DECR_CAP_STOCK","FQ4 2018","FQ4 2018","Currency=USD","Period=FQ","BEST_FPERIOD_OVERRIDE=FQ","FILING_STATUS=MR","SCALING_FORMAT=MLN","Sort=A","Dates=H","DateFormat=P","Fill=—","Direction=H","UseDPDF=Y")</f>
        <v>-261</v>
      </c>
      <c r="E48" s="12" cm="1">
        <f t="array" ref="E48">_xll.BDH("CMI US Equity","CF_DECR_CAP_STOCK","FQ1 2019","FQ1 2019","Currency=USD","Period=FQ","BEST_FPERIOD_OVERRIDE=FQ","FILING_STATUS=MR","SCALING_FORMAT=MLN","Sort=A","Dates=H","DateFormat=P","Fill=—","Direction=H","UseDPDF=Y")</f>
        <v>-100</v>
      </c>
      <c r="F48" s="12" cm="1">
        <f t="array" ref="F48">_xll.BDH("CMI US Equity","CF_DECR_CAP_STOCK","FQ2 2019","FQ2 2019","Currency=USD","Period=FQ","BEST_FPERIOD_OVERRIDE=FQ","FILING_STATUS=MR","SCALING_FORMAT=MLN","Sort=A","Dates=H","DateFormat=P","Fill=—","Direction=H","UseDPDF=Y")</f>
        <v>0</v>
      </c>
      <c r="G48" s="12" cm="1">
        <f t="array" ref="G48">_xll.BDH("CMI US Equity","CF_DECR_CAP_STOCK","FQ3 2019","FQ3 2019","Currency=USD","Period=FQ","BEST_FPERIOD_OVERRIDE=FQ","FILING_STATUS=MR","SCALING_FORMAT=MLN","Sort=A","Dates=H","DateFormat=P","Fill=—","Direction=H","UseDPDF=Y")</f>
        <v>-706</v>
      </c>
      <c r="H48" s="12" cm="1">
        <f t="array" ref="H48">_xll.BDH("CMI US Equity","CF_DECR_CAP_STOCK","FQ4 2019","FQ4 2019","Currency=USD","Period=FQ","BEST_FPERIOD_OVERRIDE=FQ","FILING_STATUS=MR","SCALING_FORMAT=MLN","Sort=A","Dates=H","DateFormat=P","Fill=—","Direction=H","UseDPDF=Y")</f>
        <v>-465</v>
      </c>
      <c r="I48" s="12" cm="1">
        <f t="array" ref="I48">_xll.BDH("CMI US Equity","CF_DECR_CAP_STOCK","FQ1 2020","FQ1 2020","Currency=USD","Period=FQ","BEST_FPERIOD_OVERRIDE=FQ","FILING_STATUS=MR","SCALING_FORMAT=MLN","Sort=A","Dates=H","DateFormat=P","Fill=—","Direction=H","UseDPDF=Y")</f>
        <v>-550</v>
      </c>
      <c r="J48" s="12" cm="1">
        <f t="array" ref="J48">_xll.BDH("CMI US Equity","CF_DECR_CAP_STOCK","FQ2 2020","FQ2 2020","Currency=USD","Period=FQ","BEST_FPERIOD_OVERRIDE=FQ","FILING_STATUS=MR","SCALING_FORMAT=MLN","Sort=A","Dates=H","DateFormat=P","Fill=—","Direction=H","UseDPDF=Y")</f>
        <v>0</v>
      </c>
      <c r="K48" s="12" cm="1">
        <f t="array" ref="K48">_xll.BDH("CMI US Equity","CF_DECR_CAP_STOCK","FQ3 2020","FQ3 2020","Currency=USD","Period=FQ","BEST_FPERIOD_OVERRIDE=FQ","FILING_STATUS=MR","SCALING_FORMAT=MLN","Sort=A","Dates=H","DateFormat=P","Fill=—","Direction=H","UseDPDF=Y")</f>
        <v>0</v>
      </c>
      <c r="L48" s="12" cm="1">
        <f t="array" ref="L48">_xll.BDH("CMI US Equity","CF_DECR_CAP_STOCK","FQ4 2020","FQ4 2020","Currency=USD","Period=FQ","BEST_FPERIOD_OVERRIDE=FQ","FILING_STATUS=MR","SCALING_FORMAT=MLN","Sort=A","Dates=H","DateFormat=P","Fill=—","Direction=H","UseDPDF=Y")</f>
        <v>-91</v>
      </c>
      <c r="M48" s="12" cm="1">
        <f t="array" ref="M48">_xll.BDH("CMI US Equity","CF_DECR_CAP_STOCK","FQ1 2021","FQ1 2021","Currency=USD","Period=FQ","BEST_FPERIOD_OVERRIDE=FQ","FILING_STATUS=MR","SCALING_FORMAT=MLN","Sort=A","Dates=H","DateFormat=P","Fill=—","Direction=H","UseDPDF=Y")</f>
        <v>-418</v>
      </c>
      <c r="N48" s="12" cm="1">
        <f t="array" ref="N48">_xll.BDH("CMI US Equity","CF_DECR_CAP_STOCK","FQ2 2021","FQ2 2021","Currency=USD","Period=FQ","BEST_FPERIOD_OVERRIDE=FQ","FILING_STATUS=MR","SCALING_FORMAT=MLN","Sort=A","Dates=H","DateFormat=P","Fill=—","Direction=H","UseDPDF=Y")</f>
        <v>-672</v>
      </c>
      <c r="O48" s="12" cm="1">
        <f t="array" ref="O48">_xll.BDH("CMI US Equity","CF_DECR_CAP_STOCK","FQ3 2021","FQ3 2021","Currency=USD","Period=FQ","BEST_FPERIOD_OVERRIDE=FQ","FILING_STATUS=MR","SCALING_FORMAT=MLN","Sort=A","Dates=H","DateFormat=P","Fill=—","Direction=H","UseDPDF=Y")</f>
        <v>-138</v>
      </c>
      <c r="P48" s="12" cm="1">
        <f t="array" ref="P48">_xll.BDH("CMI US Equity","CF_DECR_CAP_STOCK","FQ4 2021","FQ4 2021","Currency=USD","Period=FQ","BEST_FPERIOD_OVERRIDE=FQ","FILING_STATUS=MR","SCALING_FORMAT=MLN","Sort=A","Dates=H","DateFormat=P","Fill=—","Direction=H","UseDPDF=Y")</f>
        <v>-174</v>
      </c>
      <c r="Q48" s="12" cm="1">
        <f t="array" ref="Q48">_xll.BDH("CMI US Equity","CF_DECR_CAP_STOCK","FQ1 2022","FQ1 2022","Currency=USD","Period=FQ","BEST_FPERIOD_OVERRIDE=FQ","FILING_STATUS=MR","SCALING_FORMAT=MLN","Sort=A","Dates=H","DateFormat=P","Fill=—","Direction=H","UseDPDF=Y")</f>
        <v>-311</v>
      </c>
      <c r="R48" s="12" cm="1">
        <f t="array" ref="R48">_xll.BDH("CMI US Equity","CF_DECR_CAP_STOCK","FQ2 2022","FQ2 2022","Currency=USD","Period=FQ","BEST_FPERIOD_OVERRIDE=FQ","FILING_STATUS=MR","SCALING_FORMAT=MLN","Sort=A","Dates=H","DateFormat=P","Fill=—","Direction=H","UseDPDF=Y")</f>
        <v>-36</v>
      </c>
      <c r="S48" s="12" cm="1">
        <f t="array" ref="S48">_xll.BDH("CMI US Equity","CF_DECR_CAP_STOCK","FQ3 2022","FQ3 2022","Currency=USD","Period=FQ","BEST_FPERIOD_OVERRIDE=FQ","FILING_STATUS=MR","SCALING_FORMAT=MLN","Sort=A","Dates=H","DateFormat=P","Fill=—","Direction=H","UseDPDF=Y")</f>
        <v>-23</v>
      </c>
      <c r="T48" s="12" cm="1">
        <f t="array" ref="T48">_xll.BDH("CMI US Equity","CF_DECR_CAP_STOCK","FQ4 2022","FQ4 2022","Currency=USD","Period=FQ","BEST_FPERIOD_OVERRIDE=FQ","FILING_STATUS=MR","SCALING_FORMAT=MLN","Sort=A","Dates=H","DateFormat=P","Fill=—","Direction=H","UseDPDF=Y")</f>
        <v>-40</v>
      </c>
      <c r="U48" s="12" cm="1">
        <f t="array" ref="U48">_xll.BDH("CMI US Equity","CF_DECR_CAP_STOCK","FQ1 2023","FQ1 2023","Currency=USD","Period=FQ","BEST_FPERIOD_OVERRIDE=FQ","FILING_STATUS=MR","SCALING_FORMAT=MLN","Sort=A","Dates=H","DateFormat=P","Fill=—","Direction=H","UseDPDF=Y")</f>
        <v>0</v>
      </c>
      <c r="V48" s="12" cm="1">
        <f t="array" ref="V48">_xll.BDH("CMI US Equity","CF_DECR_CAP_STOCK","FQ2 2023","FQ2 2023","Currency=USD","Period=FQ","BEST_FPERIOD_OVERRIDE=FQ","FILING_STATUS=MR","SCALING_FORMAT=MLN","Sort=A","Dates=H","DateFormat=P","Fill=—","Direction=H","UseDPDF=Y")</f>
        <v>0</v>
      </c>
      <c r="W48" s="12" cm="1">
        <f t="array" ref="W48">_xll.BDH("CMI US Equity","CF_DECR_CAP_STOCK","FQ3 2023","FQ3 2023","Currency=USD","Period=FQ","BEST_FPERIOD_OVERRIDE=FQ","FILING_STATUS=MR","SCALING_FORMAT=MLN","Sort=A","Dates=H","DateFormat=P","Fill=—","Direction=H","UseDPDF=Y")</f>
        <v>0</v>
      </c>
      <c r="X48" s="12" cm="1">
        <f t="array" ref="X48">_xll.BDH("CMI US Equity","CF_DECR_CAP_STOCK","FQ4 2023","FQ4 2023","Currency=USD","Period=FQ","BEST_FPERIOD_OVERRIDE=FQ","FILING_STATUS=MR","SCALING_FORMAT=MLN","Sort=A","Dates=H","DateFormat=P","Fill=—","Direction=H","UseDPDF=Y")</f>
        <v>0</v>
      </c>
      <c r="Y48" s="12" cm="1">
        <f t="array" ref="Y48">_xll.BDH("CMI US Equity","CF_DECR_CAP_STOCK","FQ1 2024","FQ1 2024","Currency=USD","Period=FQ","BEST_FPERIOD_OVERRIDE=FQ","FILING_STATUS=MR","SCALING_FORMAT=MLN","Sort=A","Dates=H","DateFormat=P","Fill=—","Direction=H","UseDPDF=Y")</f>
        <v>0</v>
      </c>
      <c r="Z48" s="12" cm="1">
        <f t="array" ref="Z48">_xll.BDH("CMI US Equity","CF_DECR_CAP_STOCK","FQ2 2024","FQ2 2024","Currency=USD","Period=FQ","BEST_FPERIOD_OVERRIDE=FQ","FILING_STATUS=MR","SCALING_FORMAT=MLN","Sort=A","Dates=H","DateFormat=P","Fill=—","Direction=H","UseDPDF=Y")</f>
        <v>0</v>
      </c>
      <c r="AA48" s="12" cm="1">
        <f t="array" ref="AA48">_xll.BDH("CMI US Equity","CF_DECR_CAP_STOCK","FQ3 2024","FQ3 2024","Currency=USD","Period=FQ","BEST_FPERIOD_OVERRIDE=FQ","FILING_STATUS=MR","SCALING_FORMAT=MLN","Sort=A","Dates=H","DateFormat=P","Fill=—","Direction=H","UseDPDF=Y")</f>
        <v>0</v>
      </c>
      <c r="AB48" s="12" cm="1">
        <f t="array" ref="AB48">_xll.BDH("CMI US Equity","CF_DECR_CAP_STOCK","FQ4 2024","FQ4 2024","Currency=USD","Period=FQ","BEST_FPERIOD_OVERRIDE=FQ","FILING_STATUS=MR","SCALING_FORMAT=MLN","Sort=A","Dates=H","DateFormat=P","Fill=—","Direction=H","UseDPDF=Y")</f>
        <v>0</v>
      </c>
      <c r="AC48" s="12" cm="1">
        <f t="array" ref="AC48">_xll.BDH("CMI US Equity","CF_DECR_CAP_STOCK","FQ1 2025","FQ1 2025","Currency=USD","Period=FQ","BEST_FPERIOD_OVERRIDE=FQ","FILING_STATUS=MR","SCALING_FORMAT=MLN","Sort=A","Dates=H","DateFormat=P","Fill=—","Direction=H","UseDPDF=Y")</f>
        <v>0</v>
      </c>
      <c r="AD48" s="12" cm="1">
        <f t="array" ref="AD48">_xll.BDH("CMI US Equity","CF_DECR_CAP_STOCK","FQ2 2025","FQ2 2025","Currency=USD","Period=FQ","BEST_FPERIOD_OVERRIDE=FQ","FILING_STATUS=MR","SCALING_FORMAT=MLN","Sort=A","Dates=H","DateFormat=P","Fill=—","Direction=H","UseDPDF=Y")</f>
        <v>0</v>
      </c>
      <c r="AE48" s="12" cm="1">
        <f t="array" ref="AE48">_xll.BDH("CMI US Equity","CF_DECR_CAP_STOCK","FQ3 2025","FQ3 2025","Currency=USD","Period=FQ","BEST_FPERIOD_OVERRIDE=FQ","FILING_STATUS=MR","SCALING_FORMAT=MLN","Sort=A","Dates=H","DateFormat=P","Fill=—","Direction=H","UseDPDF=Y")</f>
        <v>0</v>
      </c>
      <c r="AF48" s="12" cm="1">
        <f t="array" ref="AF48">_xll.BDH("CMI US Equity","CF_DECR_CAP_STOCK","FQ4 2025","FQ4 2025","Currency=USD","Period=FQ","BEST_FPERIOD_OVERRIDE=FQ","FILING_STATUS=MR","SCALING_FORMAT=MLN","Sort=A","Dates=H","DateFormat=P","Fill=—","Direction=H","UseDPDF=Y")</f>
        <v>0</v>
      </c>
    </row>
    <row r="49" spans="1:32" x14ac:dyDescent="0.25">
      <c r="A49" s="10" t="s">
        <v>141</v>
      </c>
      <c r="B49" s="10" t="s">
        <v>142</v>
      </c>
      <c r="C49" s="12" cm="1">
        <f t="array" ref="C49">_xll.BDH("CMI US Equity","OTHER_FIN_AND_DEC_CAP","FQ3 2018","FQ3 2018","Currency=USD","Period=FQ","BEST_FPERIOD_OVERRIDE=FQ","FILING_STATUS=MR","SCALING_FORMAT=MLN","Sort=A","Dates=H","DateFormat=P","Fill=—","Direction=H","UseDPDF=Y")</f>
        <v>-12</v>
      </c>
      <c r="D49" s="12" cm="1">
        <f t="array" ref="D49">_xll.BDH("CMI US Equity","OTHER_FIN_AND_DEC_CAP","FQ4 2018","FQ4 2018","Currency=USD","Period=FQ","BEST_FPERIOD_OVERRIDE=FQ","FILING_STATUS=MR","SCALING_FORMAT=MLN","Sort=A","Dates=H","DateFormat=P","Fill=—","Direction=H","UseDPDF=Y")</f>
        <v>-11</v>
      </c>
      <c r="E49" s="12" cm="1">
        <f t="array" ref="E49">_xll.BDH("CMI US Equity","OTHER_FIN_AND_DEC_CAP","FQ1 2019","FQ1 2019","Currency=USD","Period=FQ","BEST_FPERIOD_OVERRIDE=FQ","FILING_STATUS=MR","SCALING_FORMAT=MLN","Sort=A","Dates=H","DateFormat=P","Fill=—","Direction=H","UseDPDF=Y")</f>
        <v>-2</v>
      </c>
      <c r="F49" s="12" cm="1">
        <f t="array" ref="F49">_xll.BDH("CMI US Equity","OTHER_FIN_AND_DEC_CAP","FQ2 2019","FQ2 2019","Currency=USD","Period=FQ","BEST_FPERIOD_OVERRIDE=FQ","FILING_STATUS=MR","SCALING_FORMAT=MLN","Sort=A","Dates=H","DateFormat=P","Fill=—","Direction=H","UseDPDF=Y")</f>
        <v>55</v>
      </c>
      <c r="G49" s="12" cm="1">
        <f t="array" ref="G49">_xll.BDH("CMI US Equity","OTHER_FIN_AND_DEC_CAP","FQ3 2019","FQ3 2019","Currency=USD","Period=FQ","BEST_FPERIOD_OVERRIDE=FQ","FILING_STATUS=MR","SCALING_FORMAT=MLN","Sort=A","Dates=H","DateFormat=P","Fill=—","Direction=H","UseDPDF=Y")</f>
        <v>-21</v>
      </c>
      <c r="H49" s="12" cm="1">
        <f t="array" ref="H49">_xll.BDH("CMI US Equity","OTHER_FIN_AND_DEC_CAP","FQ4 2019","FQ4 2019","Currency=USD","Period=FQ","BEST_FPERIOD_OVERRIDE=FQ","FILING_STATUS=MR","SCALING_FORMAT=MLN","Sort=A","Dates=H","DateFormat=P","Fill=—","Direction=H","UseDPDF=Y")</f>
        <v>-19</v>
      </c>
      <c r="I49" s="12" cm="1">
        <f t="array" ref="I49">_xll.BDH("CMI US Equity","OTHER_FIN_AND_DEC_CAP","FQ1 2020","FQ1 2020","Currency=USD","Period=FQ","BEST_FPERIOD_OVERRIDE=FQ","FILING_STATUS=MR","SCALING_FORMAT=MLN","Sort=A","Dates=H","DateFormat=P","Fill=—","Direction=H","UseDPDF=Y")</f>
        <v>-6</v>
      </c>
      <c r="J49" s="12" cm="1">
        <f t="array" ref="J49">_xll.BDH("CMI US Equity","OTHER_FIN_AND_DEC_CAP","FQ2 2020","FQ2 2020","Currency=USD","Period=FQ","BEST_FPERIOD_OVERRIDE=FQ","FILING_STATUS=MR","SCALING_FORMAT=MLN","Sort=A","Dates=H","DateFormat=P","Fill=—","Direction=H","UseDPDF=Y")</f>
        <v>13</v>
      </c>
      <c r="K49" s="12" cm="1">
        <f t="array" ref="K49">_xll.BDH("CMI US Equity","OTHER_FIN_AND_DEC_CAP","FQ3 2020","FQ3 2020","Currency=USD","Period=FQ","BEST_FPERIOD_OVERRIDE=FQ","FILING_STATUS=MR","SCALING_FORMAT=MLN","Sort=A","Dates=H","DateFormat=P","Fill=—","Direction=H","UseDPDF=Y")</f>
        <v>-9</v>
      </c>
      <c r="L49" s="12" cm="1">
        <f t="array" ref="L49">_xll.BDH("CMI US Equity","OTHER_FIN_AND_DEC_CAP","FQ4 2020","FQ4 2020","Currency=USD","Period=FQ","BEST_FPERIOD_OVERRIDE=FQ","FILING_STATUS=MR","SCALING_FORMAT=MLN","Sort=A","Dates=H","DateFormat=P","Fill=—","Direction=H","UseDPDF=Y")</f>
        <v>3</v>
      </c>
      <c r="M49" s="12" cm="1">
        <f t="array" ref="M49">_xll.BDH("CMI US Equity","OTHER_FIN_AND_DEC_CAP","FQ1 2021","FQ1 2021","Currency=USD","Period=FQ","BEST_FPERIOD_OVERRIDE=FQ","FILING_STATUS=MR","SCALING_FORMAT=MLN","Sort=A","Dates=H","DateFormat=P","Fill=—","Direction=H","UseDPDF=Y")</f>
        <v>-24</v>
      </c>
      <c r="N49" s="12" cm="1">
        <f t="array" ref="N49">_xll.BDH("CMI US Equity","OTHER_FIN_AND_DEC_CAP","FQ2 2021","FQ2 2021","Currency=USD","Period=FQ","BEST_FPERIOD_OVERRIDE=FQ","FILING_STATUS=MR","SCALING_FORMAT=MLN","Sort=A","Dates=H","DateFormat=P","Fill=—","Direction=H","UseDPDF=Y")</f>
        <v>-2</v>
      </c>
      <c r="O49" s="12" cm="1">
        <f t="array" ref="O49">_xll.BDH("CMI US Equity","OTHER_FIN_AND_DEC_CAP","FQ3 2021","FQ3 2021","Currency=USD","Period=FQ","BEST_FPERIOD_OVERRIDE=FQ","FILING_STATUS=MR","SCALING_FORMAT=MLN","Sort=A","Dates=H","DateFormat=P","Fill=—","Direction=H","UseDPDF=Y")</f>
        <v>-13</v>
      </c>
      <c r="P49" s="12" cm="1">
        <f t="array" ref="P49">_xll.BDH("CMI US Equity","OTHER_FIN_AND_DEC_CAP","FQ4 2021","FQ4 2021","Currency=USD","Period=FQ","BEST_FPERIOD_OVERRIDE=FQ","FILING_STATUS=MR","SCALING_FORMAT=MLN","Sort=A","Dates=H","DateFormat=P","Fill=—","Direction=H","UseDPDF=Y")</f>
        <v>-1</v>
      </c>
      <c r="Q49" s="12" cm="1">
        <f t="array" ref="Q49">_xll.BDH("CMI US Equity","OTHER_FIN_AND_DEC_CAP","FQ1 2022","FQ1 2022","Currency=USD","Period=FQ","BEST_FPERIOD_OVERRIDE=FQ","FILING_STATUS=MR","SCALING_FORMAT=MLN","Sort=A","Dates=H","DateFormat=P","Fill=—","Direction=H","UseDPDF=Y")</f>
        <v>9</v>
      </c>
      <c r="R49" s="12" cm="1">
        <f t="array" ref="R49">_xll.BDH("CMI US Equity","OTHER_FIN_AND_DEC_CAP","FQ2 2022","FQ2 2022","Currency=USD","Period=FQ","BEST_FPERIOD_OVERRIDE=FQ","FILING_STATUS=MR","SCALING_FORMAT=MLN","Sort=A","Dates=H","DateFormat=P","Fill=—","Direction=H","UseDPDF=Y")</f>
        <v>0</v>
      </c>
      <c r="S49" s="12" cm="1">
        <f t="array" ref="S49">_xll.BDH("CMI US Equity","OTHER_FIN_AND_DEC_CAP","FQ3 2022","FQ3 2022","Currency=USD","Period=FQ","BEST_FPERIOD_OVERRIDE=FQ","FILING_STATUS=MR","SCALING_FORMAT=MLN","Sort=A","Dates=H","DateFormat=P","Fill=—","Direction=H","UseDPDF=Y")</f>
        <v>-24</v>
      </c>
      <c r="T49" s="12" cm="1">
        <f t="array" ref="T49">_xll.BDH("CMI US Equity","OTHER_FIN_AND_DEC_CAP","FQ4 2022","FQ4 2022","Currency=USD","Period=FQ","BEST_FPERIOD_OVERRIDE=FQ","FILING_STATUS=MR","SCALING_FORMAT=MLN","Sort=A","Dates=H","DateFormat=P","Fill=—","Direction=H","UseDPDF=Y")</f>
        <v>113</v>
      </c>
      <c r="U49" s="12" cm="1">
        <f t="array" ref="U49">_xll.BDH("CMI US Equity","OTHER_FIN_AND_DEC_CAP","FQ1 2023","FQ1 2023","Currency=USD","Period=FQ","BEST_FPERIOD_OVERRIDE=FQ","FILING_STATUS=MR","SCALING_FORMAT=MLN","Sort=A","Dates=H","DateFormat=P","Fill=—","Direction=H","UseDPDF=Y")</f>
        <v>-13</v>
      </c>
      <c r="V49" s="12" cm="1">
        <f t="array" ref="V49">_xll.BDH("CMI US Equity","OTHER_FIN_AND_DEC_CAP","FQ2 2023","FQ2 2023","Currency=USD","Period=FQ","BEST_FPERIOD_OVERRIDE=FQ","FILING_STATUS=MR","SCALING_FORMAT=MLN","Sort=A","Dates=H","DateFormat=P","Fill=—","Direction=H","UseDPDF=Y")</f>
        <v>4</v>
      </c>
      <c r="W49" s="12" cm="1">
        <f t="array" ref="W49">_xll.BDH("CMI US Equity","OTHER_FIN_AND_DEC_CAP","FQ3 2023","FQ3 2023","Currency=USD","Period=FQ","BEST_FPERIOD_OVERRIDE=FQ","FILING_STATUS=MR","SCALING_FORMAT=MLN","Sort=A","Dates=H","DateFormat=P","Fill=—","Direction=H","UseDPDF=Y")</f>
        <v>-199</v>
      </c>
      <c r="X49" s="12" cm="1">
        <f t="array" ref="X49">_xll.BDH("CMI US Equity","OTHER_FIN_AND_DEC_CAP","FQ4 2023","FQ4 2023","Currency=USD","Period=FQ","BEST_FPERIOD_OVERRIDE=FQ","FILING_STATUS=MR","SCALING_FORMAT=MLN","Sort=A","Dates=H","DateFormat=P","Fill=—","Direction=H","UseDPDF=Y")</f>
        <v>6</v>
      </c>
      <c r="Y49" s="12" cm="1">
        <f t="array" ref="Y49">_xll.BDH("CMI US Equity","OTHER_FIN_AND_DEC_CAP","FQ1 2024","FQ1 2024","Currency=USD","Period=FQ","BEST_FPERIOD_OVERRIDE=FQ","FILING_STATUS=MR","SCALING_FORMAT=MLN","Sort=A","Dates=H","DateFormat=P","Fill=—","Direction=H","UseDPDF=Y")</f>
        <v>-25</v>
      </c>
      <c r="Z49" s="12" cm="1">
        <f t="array" ref="Z49">_xll.BDH("CMI US Equity","OTHER_FIN_AND_DEC_CAP","FQ2 2024","FQ2 2024","Currency=USD","Period=FQ","BEST_FPERIOD_OVERRIDE=FQ","FILING_STATUS=MR","SCALING_FORMAT=MLN","Sort=A","Dates=H","DateFormat=P","Fill=—","Direction=H","UseDPDF=Y")</f>
        <v>-43</v>
      </c>
      <c r="AA49" s="12" cm="1">
        <f t="array" ref="AA49">_xll.BDH("CMI US Equity","OTHER_FIN_AND_DEC_CAP","FQ3 2024","FQ3 2024","Currency=USD","Period=FQ","BEST_FPERIOD_OVERRIDE=FQ","FILING_STATUS=MR","SCALING_FORMAT=MLN","Sort=A","Dates=H","DateFormat=P","Fill=—","Direction=H","UseDPDF=Y")</f>
        <v>-26</v>
      </c>
      <c r="AB49" s="12" cm="1">
        <f t="array" ref="AB49">_xll.BDH("CMI US Equity","OTHER_FIN_AND_DEC_CAP","FQ4 2024","FQ4 2024","Currency=USD","Period=FQ","BEST_FPERIOD_OVERRIDE=FQ","FILING_STATUS=MR","SCALING_FORMAT=MLN","Sort=A","Dates=H","DateFormat=P","Fill=—","Direction=H","UseDPDF=Y")</f>
        <v>-25</v>
      </c>
      <c r="AC49" s="12" cm="1">
        <f t="array" ref="AC49">_xll.BDH("CMI US Equity","OTHER_FIN_AND_DEC_CAP","FQ1 2025","FQ1 2025","Currency=USD","Period=FQ","BEST_FPERIOD_OVERRIDE=FQ","FILING_STATUS=MR","SCALING_FORMAT=MLN","Sort=A","Dates=H","DateFormat=P","Fill=—","Direction=H","UseDPDF=Y")</f>
        <v>-46</v>
      </c>
      <c r="AD49" s="12" cm="1">
        <f t="array" ref="AD49">_xll.BDH("CMI US Equity","OTHER_FIN_AND_DEC_CAP","FQ2 2025","FQ2 2025","Currency=USD","Period=FQ","BEST_FPERIOD_OVERRIDE=FQ","FILING_STATUS=MR","SCALING_FORMAT=MLN","Sort=A","Dates=H","DateFormat=P","Fill=—","Direction=H","UseDPDF=Y")</f>
        <v>-58</v>
      </c>
      <c r="AE49" s="12" cm="1">
        <f t="array" ref="AE49">_xll.BDH("CMI US Equity","OTHER_FIN_AND_DEC_CAP","FQ3 2025","FQ3 2025","Currency=USD","Period=FQ","BEST_FPERIOD_OVERRIDE=FQ","FILING_STATUS=MR","SCALING_FORMAT=MLN","Sort=A","Dates=H","DateFormat=P","Fill=—","Direction=H","UseDPDF=Y")</f>
        <v>-20</v>
      </c>
      <c r="AF49" s="12" cm="1">
        <f t="array" ref="AF49">_xll.BDH("CMI US Equity","OTHER_FIN_AND_DEC_CAP","FQ4 2025","FQ4 2025","Currency=USD","Period=FQ","BEST_FPERIOD_OVERRIDE=FQ","FILING_STATUS=MR","SCALING_FORMAT=MLN","Sort=A","Dates=H","DateFormat=P","Fill=—","Direction=H","UseDPDF=Y")</f>
        <v>-47</v>
      </c>
    </row>
    <row r="50" spans="1:32" x14ac:dyDescent="0.25">
      <c r="A50" s="10" t="s">
        <v>88</v>
      </c>
      <c r="B50" s="10" t="s">
        <v>143</v>
      </c>
      <c r="C50" s="12" cm="1">
        <f t="array" ref="C50">_xll.BDH("CMI US Equity","CF_NET_CASH_DISCONTINUED_OPS_FIN","FQ3 2018","FQ3 2018","Currency=USD","Period=FQ","BEST_FPERIOD_OVERRIDE=FQ","FILING_STATUS=MR","SCALING_FORMAT=MLN","Sort=A","Dates=H","DateFormat=P","Fill=—","Direction=H","UseDPDF=Y")</f>
        <v>0</v>
      </c>
      <c r="D50" s="12" cm="1">
        <f t="array" ref="D50">_xll.BDH("CMI US Equity","CF_NET_CASH_DISCONTINUED_OPS_FIN","FQ4 2018","FQ4 2018","Currency=USD","Period=FQ","BEST_FPERIOD_OVERRIDE=FQ","FILING_STATUS=MR","SCALING_FORMAT=MLN","Sort=A","Dates=H","DateFormat=P","Fill=—","Direction=H","UseDPDF=Y")</f>
        <v>0</v>
      </c>
      <c r="E50" s="12" cm="1">
        <f t="array" ref="E50">_xll.BDH("CMI US Equity","CF_NET_CASH_DISCONTINUED_OPS_FIN","FQ1 2019","FQ1 2019","Currency=USD","Period=FQ","BEST_FPERIOD_OVERRIDE=FQ","FILING_STATUS=MR","SCALING_FORMAT=MLN","Sort=A","Dates=H","DateFormat=P","Fill=—","Direction=H","UseDPDF=Y")</f>
        <v>0</v>
      </c>
      <c r="F50" s="12" cm="1">
        <f t="array" ref="F50">_xll.BDH("CMI US Equity","CF_NET_CASH_DISCONTINUED_OPS_FIN","FQ2 2019","FQ2 2019","Currency=USD","Period=FQ","BEST_FPERIOD_OVERRIDE=FQ","FILING_STATUS=MR","SCALING_FORMAT=MLN","Sort=A","Dates=H","DateFormat=P","Fill=—","Direction=H","UseDPDF=Y")</f>
        <v>0</v>
      </c>
      <c r="G50" s="12" cm="1">
        <f t="array" ref="G50">_xll.BDH("CMI US Equity","CF_NET_CASH_DISCONTINUED_OPS_FIN","FQ3 2019","FQ3 2019","Currency=USD","Period=FQ","BEST_FPERIOD_OVERRIDE=FQ","FILING_STATUS=MR","SCALING_FORMAT=MLN","Sort=A","Dates=H","DateFormat=P","Fill=—","Direction=H","UseDPDF=Y")</f>
        <v>0</v>
      </c>
      <c r="H50" s="12" cm="1">
        <f t="array" ref="H50">_xll.BDH("CMI US Equity","CF_NET_CASH_DISCONTINUED_OPS_FIN","FQ4 2019","FQ4 2019","Currency=USD","Period=FQ","BEST_FPERIOD_OVERRIDE=FQ","FILING_STATUS=MR","SCALING_FORMAT=MLN","Sort=A","Dates=H","DateFormat=P","Fill=—","Direction=H","UseDPDF=Y")</f>
        <v>0</v>
      </c>
      <c r="I50" s="12" cm="1">
        <f t="array" ref="I50">_xll.BDH("CMI US Equity","CF_NET_CASH_DISCONTINUED_OPS_FIN","FQ1 2020","FQ1 2020","Currency=USD","Period=FQ","BEST_FPERIOD_OVERRIDE=FQ","FILING_STATUS=MR","SCALING_FORMAT=MLN","Sort=A","Dates=H","DateFormat=P","Fill=—","Direction=H","UseDPDF=Y")</f>
        <v>0</v>
      </c>
      <c r="J50" s="12" cm="1">
        <f t="array" ref="J50">_xll.BDH("CMI US Equity","CF_NET_CASH_DISCONTINUED_OPS_FIN","FQ2 2020","FQ2 2020","Currency=USD","Period=FQ","BEST_FPERIOD_OVERRIDE=FQ","FILING_STATUS=MR","SCALING_FORMAT=MLN","Sort=A","Dates=H","DateFormat=P","Fill=—","Direction=H","UseDPDF=Y")</f>
        <v>0</v>
      </c>
      <c r="K50" s="12" cm="1">
        <f t="array" ref="K50">_xll.BDH("CMI US Equity","CF_NET_CASH_DISCONTINUED_OPS_FIN","FQ3 2020","FQ3 2020","Currency=USD","Period=FQ","BEST_FPERIOD_OVERRIDE=FQ","FILING_STATUS=MR","SCALING_FORMAT=MLN","Sort=A","Dates=H","DateFormat=P","Fill=—","Direction=H","UseDPDF=Y")</f>
        <v>0</v>
      </c>
      <c r="L50" s="12" cm="1">
        <f t="array" ref="L50">_xll.BDH("CMI US Equity","CF_NET_CASH_DISCONTINUED_OPS_FIN","FQ4 2020","FQ4 2020","Currency=USD","Period=FQ","BEST_FPERIOD_OVERRIDE=FQ","FILING_STATUS=MR","SCALING_FORMAT=MLN","Sort=A","Dates=H","DateFormat=P","Fill=—","Direction=H","UseDPDF=Y")</f>
        <v>0</v>
      </c>
      <c r="M50" s="12" cm="1">
        <f t="array" ref="M50">_xll.BDH("CMI US Equity","CF_NET_CASH_DISCONTINUED_OPS_FIN","FQ1 2021","FQ1 2021","Currency=USD","Period=FQ","BEST_FPERIOD_OVERRIDE=FQ","FILING_STATUS=MR","SCALING_FORMAT=MLN","Sort=A","Dates=H","DateFormat=P","Fill=—","Direction=H","UseDPDF=Y")</f>
        <v>0</v>
      </c>
      <c r="N50" s="12" cm="1">
        <f t="array" ref="N50">_xll.BDH("CMI US Equity","CF_NET_CASH_DISCONTINUED_OPS_FIN","FQ2 2021","FQ2 2021","Currency=USD","Period=FQ","BEST_FPERIOD_OVERRIDE=FQ","FILING_STATUS=MR","SCALING_FORMAT=MLN","Sort=A","Dates=H","DateFormat=P","Fill=—","Direction=H","UseDPDF=Y")</f>
        <v>0</v>
      </c>
      <c r="O50" s="12" cm="1">
        <f t="array" ref="O50">_xll.BDH("CMI US Equity","CF_NET_CASH_DISCONTINUED_OPS_FIN","FQ3 2021","FQ3 2021","Currency=USD","Period=FQ","BEST_FPERIOD_OVERRIDE=FQ","FILING_STATUS=MR","SCALING_FORMAT=MLN","Sort=A","Dates=H","DateFormat=P","Fill=—","Direction=H","UseDPDF=Y")</f>
        <v>0</v>
      </c>
      <c r="P50" s="12" cm="1">
        <f t="array" ref="P50">_xll.BDH("CMI US Equity","CF_NET_CASH_DISCONTINUED_OPS_FIN","FQ4 2021","FQ4 2021","Currency=USD","Period=FQ","BEST_FPERIOD_OVERRIDE=FQ","FILING_STATUS=MR","SCALING_FORMAT=MLN","Sort=A","Dates=H","DateFormat=P","Fill=—","Direction=H","UseDPDF=Y")</f>
        <v>0</v>
      </c>
      <c r="Q50" s="12" cm="1">
        <f t="array" ref="Q50">_xll.BDH("CMI US Equity","CF_NET_CASH_DISCONTINUED_OPS_FIN","FQ1 2022","FQ1 2022","Currency=USD","Period=FQ","BEST_FPERIOD_OVERRIDE=FQ","FILING_STATUS=MR","SCALING_FORMAT=MLN","Sort=A","Dates=H","DateFormat=P","Fill=—","Direction=H","UseDPDF=Y")</f>
        <v>0</v>
      </c>
      <c r="R50" s="12" cm="1">
        <f t="array" ref="R50">_xll.BDH("CMI US Equity","CF_NET_CASH_DISCONTINUED_OPS_FIN","FQ2 2022","FQ2 2022","Currency=USD","Period=FQ","BEST_FPERIOD_OVERRIDE=FQ","FILING_STATUS=MR","SCALING_FORMAT=MLN","Sort=A","Dates=H","DateFormat=P","Fill=—","Direction=H","UseDPDF=Y")</f>
        <v>0</v>
      </c>
      <c r="S50" s="12" cm="1">
        <f t="array" ref="S50">_xll.BDH("CMI US Equity","CF_NET_CASH_DISCONTINUED_OPS_FIN","FQ3 2022","FQ3 2022","Currency=USD","Period=FQ","BEST_FPERIOD_OVERRIDE=FQ","FILING_STATUS=MR","SCALING_FORMAT=MLN","Sort=A","Dates=H","DateFormat=P","Fill=—","Direction=H","UseDPDF=Y")</f>
        <v>0</v>
      </c>
      <c r="T50" s="12" cm="1">
        <f t="array" ref="T50">_xll.BDH("CMI US Equity","CF_NET_CASH_DISCONTINUED_OPS_FIN","FQ4 2022","FQ4 2022","Currency=USD","Period=FQ","BEST_FPERIOD_OVERRIDE=FQ","FILING_STATUS=MR","SCALING_FORMAT=MLN","Sort=A","Dates=H","DateFormat=P","Fill=—","Direction=H","UseDPDF=Y")</f>
        <v>0</v>
      </c>
      <c r="U50" s="12" cm="1">
        <f t="array" ref="U50">_xll.BDH("CMI US Equity","CF_NET_CASH_DISCONTINUED_OPS_FIN","FQ1 2023","FQ1 2023","Currency=USD","Period=FQ","BEST_FPERIOD_OVERRIDE=FQ","FILING_STATUS=MR","SCALING_FORMAT=MLN","Sort=A","Dates=H","DateFormat=P","Fill=—","Direction=H","UseDPDF=Y")</f>
        <v>0</v>
      </c>
      <c r="V50" s="12" cm="1">
        <f t="array" ref="V50">_xll.BDH("CMI US Equity","CF_NET_CASH_DISCONTINUED_OPS_FIN","FQ2 2023","FQ2 2023","Currency=USD","Period=FQ","BEST_FPERIOD_OVERRIDE=FQ","FILING_STATUS=MR","SCALING_FORMAT=MLN","Sort=A","Dates=H","DateFormat=P","Fill=—","Direction=H","UseDPDF=Y")</f>
        <v>0</v>
      </c>
      <c r="W50" s="12" cm="1">
        <f t="array" ref="W50">_xll.BDH("CMI US Equity","CF_NET_CASH_DISCONTINUED_OPS_FIN","FQ3 2023","FQ3 2023","Currency=USD","Period=FQ","BEST_FPERIOD_OVERRIDE=FQ","FILING_STATUS=MR","SCALING_FORMAT=MLN","Sort=A","Dates=H","DateFormat=P","Fill=—","Direction=H","UseDPDF=Y")</f>
        <v>0</v>
      </c>
      <c r="X50" s="12" cm="1">
        <f t="array" ref="X50">_xll.BDH("CMI US Equity","CF_NET_CASH_DISCONTINUED_OPS_FIN","FQ4 2023","FQ4 2023","Currency=USD","Period=FQ","BEST_FPERIOD_OVERRIDE=FQ","FILING_STATUS=MR","SCALING_FORMAT=MLN","Sort=A","Dates=H","DateFormat=P","Fill=—","Direction=H","UseDPDF=Y")</f>
        <v>0</v>
      </c>
      <c r="Y50" s="12" cm="1">
        <f t="array" ref="Y50">_xll.BDH("CMI US Equity","CF_NET_CASH_DISCONTINUED_OPS_FIN","FQ1 2024","FQ1 2024","Currency=USD","Period=FQ","BEST_FPERIOD_OVERRIDE=FQ","FILING_STATUS=MR","SCALING_FORMAT=MLN","Sort=A","Dates=H","DateFormat=P","Fill=—","Direction=H","UseDPDF=Y")</f>
        <v>0</v>
      </c>
      <c r="Z50" s="12" cm="1">
        <f t="array" ref="Z50">_xll.BDH("CMI US Equity","CF_NET_CASH_DISCONTINUED_OPS_FIN","FQ2 2024","FQ2 2024","Currency=USD","Period=FQ","BEST_FPERIOD_OVERRIDE=FQ","FILING_STATUS=MR","SCALING_FORMAT=MLN","Sort=A","Dates=H","DateFormat=P","Fill=—","Direction=H","UseDPDF=Y")</f>
        <v>0</v>
      </c>
      <c r="AA50" s="12" cm="1">
        <f t="array" ref="AA50">_xll.BDH("CMI US Equity","CF_NET_CASH_DISCONTINUED_OPS_FIN","FQ3 2024","FQ3 2024","Currency=USD","Period=FQ","BEST_FPERIOD_OVERRIDE=FQ","FILING_STATUS=MR","SCALING_FORMAT=MLN","Sort=A","Dates=H","DateFormat=P","Fill=—","Direction=H","UseDPDF=Y")</f>
        <v>0</v>
      </c>
      <c r="AB50" s="12" cm="1">
        <f t="array" ref="AB50">_xll.BDH("CMI US Equity","CF_NET_CASH_DISCONTINUED_OPS_FIN","FQ4 2024","FQ4 2024","Currency=USD","Period=FQ","BEST_FPERIOD_OVERRIDE=FQ","FILING_STATUS=MR","SCALING_FORMAT=MLN","Sort=A","Dates=H","DateFormat=P","Fill=—","Direction=H","UseDPDF=Y")</f>
        <v>0</v>
      </c>
      <c r="AC50" s="12" cm="1">
        <f t="array" ref="AC50">_xll.BDH("CMI US Equity","CF_NET_CASH_DISCONTINUED_OPS_FIN","FQ1 2025","FQ1 2025","Currency=USD","Period=FQ","BEST_FPERIOD_OVERRIDE=FQ","FILING_STATUS=MR","SCALING_FORMAT=MLN","Sort=A","Dates=H","DateFormat=P","Fill=—","Direction=H","UseDPDF=Y")</f>
        <v>0</v>
      </c>
      <c r="AD50" s="12" cm="1">
        <f t="array" ref="AD50">_xll.BDH("CMI US Equity","CF_NET_CASH_DISCONTINUED_OPS_FIN","FQ2 2025","FQ2 2025","Currency=USD","Period=FQ","BEST_FPERIOD_OVERRIDE=FQ","FILING_STATUS=MR","SCALING_FORMAT=MLN","Sort=A","Dates=H","DateFormat=P","Fill=—","Direction=H","UseDPDF=Y")</f>
        <v>0</v>
      </c>
      <c r="AE50" s="12" cm="1">
        <f t="array" ref="AE50">_xll.BDH("CMI US Equity","CF_NET_CASH_DISCONTINUED_OPS_FIN","FQ3 2025","FQ3 2025","Currency=USD","Period=FQ","BEST_FPERIOD_OVERRIDE=FQ","FILING_STATUS=MR","SCALING_FORMAT=MLN","Sort=A","Dates=H","DateFormat=P","Fill=—","Direction=H","UseDPDF=Y")</f>
        <v>0</v>
      </c>
      <c r="AF50" s="12" cm="1">
        <f t="array" ref="AF50">_xll.BDH("CMI US Equity","CF_NET_CASH_DISCONTINUED_OPS_FIN","FQ4 2025","FQ4 2025","Currency=USD","Period=FQ","BEST_FPERIOD_OVERRIDE=FQ","FILING_STATUS=MR","SCALING_FORMAT=MLN","Sort=A","Dates=H","DateFormat=P","Fill=—","Direction=H","UseDPDF=Y")</f>
        <v>0</v>
      </c>
    </row>
    <row r="51" spans="1:32" x14ac:dyDescent="0.25">
      <c r="A51" s="6" t="s">
        <v>124</v>
      </c>
      <c r="B51" s="6" t="s">
        <v>144</v>
      </c>
      <c r="C51" s="15" cm="1">
        <f t="array" ref="C51">_xll.BDH("CMI US Equity","CFF_ACTIVITIES_DETAILED","FQ3 2018","FQ3 2018","Currency=USD","Period=FQ","BEST_FPERIOD_OVERRIDE=FQ","FILING_STATUS=MR","SCALING_FORMAT=MLN","Sort=A","Dates=H","DateFormat=P","Fill=—","Direction=H","UseDPDF=Y")</f>
        <v>-707</v>
      </c>
      <c r="D51" s="15" cm="1">
        <f t="array" ref="D51">_xll.BDH("CMI US Equity","CFF_ACTIVITIES_DETAILED","FQ4 2018","FQ4 2018","Currency=USD","Period=FQ","BEST_FPERIOD_OVERRIDE=FQ","FILING_STATUS=MR","SCALING_FORMAT=MLN","Sort=A","Dates=H","DateFormat=P","Fill=—","Direction=H","UseDPDF=Y")</f>
        <v>-440</v>
      </c>
      <c r="E51" s="15" cm="1">
        <f t="array" ref="E51">_xll.BDH("CMI US Equity","CFF_ACTIVITIES_DETAILED","FQ1 2019","FQ1 2019","Currency=USD","Period=FQ","BEST_FPERIOD_OVERRIDE=FQ","FILING_STATUS=MR","SCALING_FORMAT=MLN","Sort=A","Dates=H","DateFormat=P","Fill=—","Direction=H","UseDPDF=Y")</f>
        <v>-347</v>
      </c>
      <c r="F51" s="15" cm="1">
        <f t="array" ref="F51">_xll.BDH("CMI US Equity","CFF_ACTIVITIES_DETAILED","FQ2 2019","FQ2 2019","Currency=USD","Period=FQ","BEST_FPERIOD_OVERRIDE=FQ","FILING_STATUS=MR","SCALING_FORMAT=MLN","Sort=A","Dates=H","DateFormat=P","Fill=—","Direction=H","UseDPDF=Y")</f>
        <v>-364</v>
      </c>
      <c r="G51" s="15" cm="1">
        <f t="array" ref="G51">_xll.BDH("CMI US Equity","CFF_ACTIVITIES_DETAILED","FQ3 2019","FQ3 2019","Currency=USD","Period=FQ","BEST_FPERIOD_OVERRIDE=FQ","FILING_STATUS=MR","SCALING_FORMAT=MLN","Sort=A","Dates=H","DateFormat=P","Fill=—","Direction=H","UseDPDF=Y")</f>
        <v>-487</v>
      </c>
      <c r="H51" s="15" cm="1">
        <f t="array" ref="H51">_xll.BDH("CMI US Equity","CFF_ACTIVITIES_DETAILED","FQ4 2019","FQ4 2019","Currency=USD","Period=FQ","BEST_FPERIOD_OVERRIDE=FQ","FILING_STATUS=MR","SCALING_FORMAT=MLN","Sort=A","Dates=H","DateFormat=P","Fill=—","Direction=H","UseDPDF=Y")</f>
        <v>-897</v>
      </c>
      <c r="I51" s="15" cm="1">
        <f t="array" ref="I51">_xll.BDH("CMI US Equity","CFF_ACTIVITIES_DETAILED","FQ1 2020","FQ1 2020","Currency=USD","Period=FQ","BEST_FPERIOD_OVERRIDE=FQ","FILING_STATUS=MR","SCALING_FORMAT=MLN","Sort=A","Dates=H","DateFormat=P","Fill=—","Direction=H","UseDPDF=Y")</f>
        <v>234</v>
      </c>
      <c r="J51" s="15" cm="1">
        <f t="array" ref="J51">_xll.BDH("CMI US Equity","CFF_ACTIVITIES_DETAILED","FQ2 2020","FQ2 2020","Currency=USD","Period=FQ","BEST_FPERIOD_OVERRIDE=FQ","FILING_STATUS=MR","SCALING_FORMAT=MLN","Sort=A","Dates=H","DateFormat=P","Fill=—","Direction=H","UseDPDF=Y")</f>
        <v>226</v>
      </c>
      <c r="K51" s="15" cm="1">
        <f t="array" ref="K51">_xll.BDH("CMI US Equity","CFF_ACTIVITIES_DETAILED","FQ3 2020","FQ3 2020","Currency=USD","Period=FQ","BEST_FPERIOD_OVERRIDE=FQ","FILING_STATUS=MR","SCALING_FORMAT=MLN","Sort=A","Dates=H","DateFormat=P","Fill=—","Direction=H","UseDPDF=Y")</f>
        <v>104</v>
      </c>
      <c r="L51" s="15" cm="1">
        <f t="array" ref="L51">_xll.BDH("CMI US Equity","CFF_ACTIVITIES_DETAILED","FQ4 2020","FQ4 2020","Currency=USD","Period=FQ","BEST_FPERIOD_OVERRIDE=FQ","FILING_STATUS=MR","SCALING_FORMAT=MLN","Sort=A","Dates=H","DateFormat=P","Fill=—","Direction=H","UseDPDF=Y")</f>
        <v>-284</v>
      </c>
      <c r="M51" s="15" cm="1">
        <f t="array" ref="M51">_xll.BDH("CMI US Equity","CFF_ACTIVITIES_DETAILED","FQ1 2021","FQ1 2021","Currency=USD","Period=FQ","BEST_FPERIOD_OVERRIDE=FQ","FILING_STATUS=MR","SCALING_FORMAT=MLN","Sort=A","Dates=H","DateFormat=P","Fill=—","Direction=H","UseDPDF=Y")</f>
        <v>-745</v>
      </c>
      <c r="N51" s="15" cm="1">
        <f t="array" ref="N51">_xll.BDH("CMI US Equity","CFF_ACTIVITIES_DETAILED","FQ2 2021","FQ2 2021","Currency=USD","Period=FQ","BEST_FPERIOD_OVERRIDE=FQ","FILING_STATUS=MR","SCALING_FORMAT=MLN","Sort=A","Dates=H","DateFormat=P","Fill=—","Direction=H","UseDPDF=Y")</f>
        <v>-977</v>
      </c>
      <c r="O51" s="15" cm="1">
        <f t="array" ref="O51">_xll.BDH("CMI US Equity","CFF_ACTIVITIES_DETAILED","FQ3 2021","FQ3 2021","Currency=USD","Period=FQ","BEST_FPERIOD_OVERRIDE=FQ","FILING_STATUS=MR","SCALING_FORMAT=MLN","Sort=A","Dates=H","DateFormat=P","Fill=—","Direction=H","UseDPDF=Y")</f>
        <v>-357</v>
      </c>
      <c r="P51" s="15" cm="1">
        <f t="array" ref="P51">_xll.BDH("CMI US Equity","CFF_ACTIVITIES_DETAILED","FQ4 2021","FQ4 2021","Currency=USD","Period=FQ","BEST_FPERIOD_OVERRIDE=FQ","FILING_STATUS=MR","SCALING_FORMAT=MLN","Sort=A","Dates=H","DateFormat=P","Fill=—","Direction=H","UseDPDF=Y")</f>
        <v>-148</v>
      </c>
      <c r="Q51" s="15" cm="1">
        <f t="array" ref="Q51">_xll.BDH("CMI US Equity","CFF_ACTIVITIES_DETAILED","FQ1 2022","FQ1 2022","Currency=USD","Period=FQ","BEST_FPERIOD_OVERRIDE=FQ","FILING_STATUS=MR","SCALING_FORMAT=MLN","Sort=A","Dates=H","DateFormat=P","Fill=—","Direction=H","UseDPDF=Y")</f>
        <v>-497</v>
      </c>
      <c r="R51" s="15" cm="1">
        <f t="array" ref="R51">_xll.BDH("CMI US Equity","CFF_ACTIVITIES_DETAILED","FQ2 2022","FQ2 2022","Currency=USD","Period=FQ","BEST_FPERIOD_OVERRIDE=FQ","FILING_STATUS=MR","SCALING_FORMAT=MLN","Sort=A","Dates=H","DateFormat=P","Fill=—","Direction=H","UseDPDF=Y")</f>
        <v>106</v>
      </c>
      <c r="S51" s="15" cm="1">
        <f t="array" ref="S51">_xll.BDH("CMI US Equity","CFF_ACTIVITIES_DETAILED","FQ3 2022","FQ3 2022","Currency=USD","Period=FQ","BEST_FPERIOD_OVERRIDE=FQ","FILING_STATUS=MR","SCALING_FORMAT=MLN","Sort=A","Dates=H","DateFormat=P","Fill=—","Direction=H","UseDPDF=Y")</f>
        <v>2502</v>
      </c>
      <c r="T51" s="15" cm="1">
        <f t="array" ref="T51">_xll.BDH("CMI US Equity","CFF_ACTIVITIES_DETAILED","FQ4 2022","FQ4 2022","Currency=USD","Period=FQ","BEST_FPERIOD_OVERRIDE=FQ","FILING_STATUS=MR","SCALING_FORMAT=MLN","Sort=A","Dates=H","DateFormat=P","Fill=—","Direction=H","UseDPDF=Y")</f>
        <v>-442</v>
      </c>
      <c r="U51" s="15" cm="1">
        <f t="array" ref="U51">_xll.BDH("CMI US Equity","CFF_ACTIVITIES_DETAILED","FQ1 2023","FQ1 2023","Currency=USD","Period=FQ","BEST_FPERIOD_OVERRIDE=FQ","FILING_STATUS=MR","SCALING_FORMAT=MLN","Sort=A","Dates=H","DateFormat=P","Fill=—","Direction=H","UseDPDF=Y")</f>
        <v>-363</v>
      </c>
      <c r="V51" s="15" cm="1">
        <f t="array" ref="V51">_xll.BDH("CMI US Equity","CFF_ACTIVITIES_DETAILED","FQ2 2023","FQ2 2023","Currency=USD","Period=FQ","BEST_FPERIOD_OVERRIDE=FQ","FILING_STATUS=MR","SCALING_FORMAT=MLN","Sort=A","Dates=H","DateFormat=P","Fill=—","Direction=H","UseDPDF=Y")</f>
        <v>-240</v>
      </c>
      <c r="W51" s="15" cm="1">
        <f t="array" ref="W51">_xll.BDH("CMI US Equity","CFF_ACTIVITIES_DETAILED","FQ3 2023","FQ3 2023","Currency=USD","Period=FQ","BEST_FPERIOD_OVERRIDE=FQ","FILING_STATUS=MR","SCALING_FORMAT=MLN","Sort=A","Dates=H","DateFormat=P","Fill=—","Direction=H","UseDPDF=Y")</f>
        <v>-466</v>
      </c>
      <c r="X51" s="15" cm="1">
        <f t="array" ref="X51">_xll.BDH("CMI US Equity","CFF_ACTIVITIES_DETAILED","FQ4 2023","FQ4 2023","Currency=USD","Period=FQ","BEST_FPERIOD_OVERRIDE=FQ","FILING_STATUS=MR","SCALING_FORMAT=MLN","Sort=A","Dates=H","DateFormat=P","Fill=—","Direction=H","UseDPDF=Y")</f>
        <v>-1108</v>
      </c>
      <c r="Y51" s="15" cm="1">
        <f t="array" ref="Y51">_xll.BDH("CMI US Equity","CFF_ACTIVITIES_DETAILED","FQ1 2024","FQ1 2024","Currency=USD","Period=FQ","BEST_FPERIOD_OVERRIDE=FQ","FILING_STATUS=MR","SCALING_FORMAT=MLN","Sort=A","Dates=H","DateFormat=P","Fill=—","Direction=H","UseDPDF=Y")</f>
        <v>499</v>
      </c>
      <c r="Z51" s="15" cm="1">
        <f t="array" ref="Z51">_xll.BDH("CMI US Equity","CFF_ACTIVITIES_DETAILED","FQ2 2024","FQ2 2024","Currency=USD","Period=FQ","BEST_FPERIOD_OVERRIDE=FQ","FILING_STATUS=MR","SCALING_FORMAT=MLN","Sort=A","Dates=H","DateFormat=P","Fill=—","Direction=H","UseDPDF=Y")</f>
        <v>308</v>
      </c>
      <c r="AA51" s="15" cm="1">
        <f t="array" ref="AA51">_xll.BDH("CMI US Equity","CFF_ACTIVITIES_DETAILED","FQ3 2024","FQ3 2024","Currency=USD","Period=FQ","BEST_FPERIOD_OVERRIDE=FQ","FILING_STATUS=MR","SCALING_FORMAT=MLN","Sort=A","Dates=H","DateFormat=P","Fill=—","Direction=H","UseDPDF=Y")</f>
        <v>-243</v>
      </c>
      <c r="AB51" s="15" cm="1">
        <f t="array" ref="AB51">_xll.BDH("CMI US Equity","CFF_ACTIVITIES_DETAILED","FQ4 2024","FQ4 2024","Currency=USD","Period=FQ","BEST_FPERIOD_OVERRIDE=FQ","FILING_STATUS=MR","SCALING_FORMAT=MLN","Sort=A","Dates=H","DateFormat=P","Fill=—","Direction=H","UseDPDF=Y")</f>
        <v>-737</v>
      </c>
      <c r="AC51" s="15" cm="1">
        <f t="array" ref="AC51">_xll.BDH("CMI US Equity","CFF_ACTIVITIES_DETAILED","FQ1 2025","FQ1 2025","Currency=USD","Period=FQ","BEST_FPERIOD_OVERRIDE=FQ","FILING_STATUS=MR","SCALING_FORMAT=MLN","Sort=A","Dates=H","DateFormat=P","Fill=—","Direction=H","UseDPDF=Y")</f>
        <v>92</v>
      </c>
      <c r="AD51" s="15" cm="1">
        <f t="array" ref="AD51">_xll.BDH("CMI US Equity","CFF_ACTIVITIES_DETAILED","FQ2 2025","FQ2 2025","Currency=USD","Period=FQ","BEST_FPERIOD_OVERRIDE=FQ","FILING_STATUS=MR","SCALING_FORMAT=MLN","Sort=A","Dates=H","DateFormat=P","Fill=—","Direction=H","UseDPDF=Y")</f>
        <v>332</v>
      </c>
      <c r="AE51" s="15" cm="1">
        <f t="array" ref="AE51">_xll.BDH("CMI US Equity","CFF_ACTIVITIES_DETAILED","FQ3 2025","FQ3 2025","Currency=USD","Period=FQ","BEST_FPERIOD_OVERRIDE=FQ","FILING_STATUS=MR","SCALING_FORMAT=MLN","Sort=A","Dates=H","DateFormat=P","Fill=—","Direction=H","UseDPDF=Y")</f>
        <v>-827</v>
      </c>
      <c r="AF51" s="15" cm="1">
        <f t="array" ref="AF51">_xll.BDH("CMI US Equity","CFF_ACTIVITIES_DETAILED","FQ4 2025","FQ4 2025","Currency=USD","Period=FQ","BEST_FPERIOD_OVERRIDE=FQ","FILING_STATUS=MR","SCALING_FORMAT=MLN","Sort=A","Dates=H","DateFormat=P","Fill=—","Direction=H","UseDPDF=Y")</f>
        <v>-369</v>
      </c>
    </row>
    <row r="52" spans="1:32" x14ac:dyDescent="0.25">
      <c r="A52" s="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1:32" x14ac:dyDescent="0.25">
      <c r="A53" s="10" t="s">
        <v>145</v>
      </c>
      <c r="B53" s="10" t="s">
        <v>146</v>
      </c>
      <c r="C53" s="12" cm="1">
        <f t="array" ref="C53">_xll.BDH("CMI US Equity","CF_EFFECT_FOREIGN_EXCHANGES","FQ3 2018","FQ3 2018","Currency=USD","Period=FQ","BEST_FPERIOD_OVERRIDE=FQ","FILING_STATUS=MR","SCALING_FORMAT=MLN","Sort=A","Dates=H","DateFormat=P","Fill=—","Direction=H","UseDPDF=Y")</f>
        <v>-21</v>
      </c>
      <c r="D53" s="12" cm="1">
        <f t="array" ref="D53">_xll.BDH("CMI US Equity","CF_EFFECT_FOREIGN_EXCHANGES","FQ4 2018","FQ4 2018","Currency=USD","Period=FQ","BEST_FPERIOD_OVERRIDE=FQ","FILING_STATUS=MR","SCALING_FORMAT=MLN","Sort=A","Dates=H","DateFormat=P","Fill=—","Direction=H","UseDPDF=Y")</f>
        <v>-14</v>
      </c>
      <c r="E53" s="12" cm="1">
        <f t="array" ref="E53">_xll.BDH("CMI US Equity","CF_EFFECT_FOREIGN_EXCHANGES","FQ1 2019","FQ1 2019","Currency=USD","Period=FQ","BEST_FPERIOD_OVERRIDE=FQ","FILING_STATUS=MR","SCALING_FORMAT=MLN","Sort=A","Dates=H","DateFormat=P","Fill=—","Direction=H","UseDPDF=Y")</f>
        <v>31</v>
      </c>
      <c r="F53" s="12" cm="1">
        <f t="array" ref="F53">_xll.BDH("CMI US Equity","CF_EFFECT_FOREIGN_EXCHANGES","FQ2 2019","FQ2 2019","Currency=USD","Period=FQ","BEST_FPERIOD_OVERRIDE=FQ","FILING_STATUS=MR","SCALING_FORMAT=MLN","Sort=A","Dates=H","DateFormat=P","Fill=—","Direction=H","UseDPDF=Y")</f>
        <v>-35</v>
      </c>
      <c r="G53" s="12" cm="1">
        <f t="array" ref="G53">_xll.BDH("CMI US Equity","CF_EFFECT_FOREIGN_EXCHANGES","FQ3 2019","FQ3 2019","Currency=USD","Period=FQ","BEST_FPERIOD_OVERRIDE=FQ","FILING_STATUS=MR","SCALING_FORMAT=MLN","Sort=A","Dates=H","DateFormat=P","Fill=—","Direction=H","UseDPDF=Y")</f>
        <v>-55</v>
      </c>
      <c r="H53" s="12" cm="1">
        <f t="array" ref="H53">_xll.BDH("CMI US Equity","CF_EFFECT_FOREIGN_EXCHANGES","FQ4 2019","FQ4 2019","Currency=USD","Period=FQ","BEST_FPERIOD_OVERRIDE=FQ","FILING_STATUS=MR","SCALING_FORMAT=MLN","Sort=A","Dates=H","DateFormat=P","Fill=—","Direction=H","UseDPDF=Y")</f>
        <v>-51</v>
      </c>
      <c r="I53" s="12" cm="1">
        <f t="array" ref="I53">_xll.BDH("CMI US Equity","CF_EFFECT_FOREIGN_EXCHANGES","FQ1 2020","FQ1 2020","Currency=USD","Period=FQ","BEST_FPERIOD_OVERRIDE=FQ","FILING_STATUS=MR","SCALING_FORMAT=MLN","Sort=A","Dates=H","DateFormat=P","Fill=—","Direction=H","UseDPDF=Y")</f>
        <v>48</v>
      </c>
      <c r="J53" s="12" cm="1">
        <f t="array" ref="J53">_xll.BDH("CMI US Equity","CF_EFFECT_FOREIGN_EXCHANGES","FQ2 2020","FQ2 2020","Currency=USD","Period=FQ","BEST_FPERIOD_OVERRIDE=FQ","FILING_STATUS=MR","SCALING_FORMAT=MLN","Sort=A","Dates=H","DateFormat=P","Fill=—","Direction=H","UseDPDF=Y")</f>
        <v>-9</v>
      </c>
      <c r="K53" s="12" cm="1">
        <f t="array" ref="K53">_xll.BDH("CMI US Equity","CF_EFFECT_FOREIGN_EXCHANGES","FQ3 2020","FQ3 2020","Currency=USD","Period=FQ","BEST_FPERIOD_OVERRIDE=FQ","FILING_STATUS=MR","SCALING_FORMAT=MLN","Sort=A","Dates=H","DateFormat=P","Fill=—","Direction=H","UseDPDF=Y")</f>
        <v>-8</v>
      </c>
      <c r="L53" s="12" cm="1">
        <f t="array" ref="L53">_xll.BDH("CMI US Equity","CF_EFFECT_FOREIGN_EXCHANGES","FQ4 2020","FQ4 2020","Currency=USD","Period=FQ","BEST_FPERIOD_OVERRIDE=FQ","FILING_STATUS=MR","SCALING_FORMAT=MLN","Sort=A","Dates=H","DateFormat=P","Fill=—","Direction=H","UseDPDF=Y")</f>
        <v>-42</v>
      </c>
      <c r="M53" s="12" cm="1">
        <f t="array" ref="M53">_xll.BDH("CMI US Equity","CF_EFFECT_FOREIGN_EXCHANGES","FQ1 2021","FQ1 2021","Currency=USD","Period=FQ","BEST_FPERIOD_OVERRIDE=FQ","FILING_STATUS=MR","SCALING_FORMAT=MLN","Sort=A","Dates=H","DateFormat=P","Fill=—","Direction=H","UseDPDF=Y")</f>
        <v>-12</v>
      </c>
      <c r="N53" s="12" cm="1">
        <f t="array" ref="N53">_xll.BDH("CMI US Equity","CF_EFFECT_FOREIGN_EXCHANGES","FQ2 2021","FQ2 2021","Currency=USD","Period=FQ","BEST_FPERIOD_OVERRIDE=FQ","FILING_STATUS=MR","SCALING_FORMAT=MLN","Sort=A","Dates=H","DateFormat=P","Fill=—","Direction=H","UseDPDF=Y")</f>
        <v>5</v>
      </c>
      <c r="O53" s="12" cm="1">
        <f t="array" ref="O53">_xll.BDH("CMI US Equity","CF_EFFECT_FOREIGN_EXCHANGES","FQ3 2021","FQ3 2021","Currency=USD","Period=FQ","BEST_FPERIOD_OVERRIDE=FQ","FILING_STATUS=MR","SCALING_FORMAT=MLN","Sort=A","Dates=H","DateFormat=P","Fill=—","Direction=H","UseDPDF=Y")</f>
        <v>27</v>
      </c>
      <c r="P53" s="12" cm="1">
        <f t="array" ref="P53">_xll.BDH("CMI US Equity","CF_EFFECT_FOREIGN_EXCHANGES","FQ4 2021","FQ4 2021","Currency=USD","Period=FQ","BEST_FPERIOD_OVERRIDE=FQ","FILING_STATUS=MR","SCALING_FORMAT=MLN","Sort=A","Dates=H","DateFormat=P","Fill=—","Direction=H","UseDPDF=Y")</f>
        <v>15</v>
      </c>
      <c r="Q53" s="12" cm="1">
        <f t="array" ref="Q53">_xll.BDH("CMI US Equity","CF_EFFECT_FOREIGN_EXCHANGES","FQ1 2022","FQ1 2022","Currency=USD","Period=FQ","BEST_FPERIOD_OVERRIDE=FQ","FILING_STATUS=MR","SCALING_FORMAT=MLN","Sort=A","Dates=H","DateFormat=P","Fill=—","Direction=H","UseDPDF=Y")</f>
        <v>27</v>
      </c>
      <c r="R53" s="12" cm="1">
        <f t="array" ref="R53">_xll.BDH("CMI US Equity","CF_EFFECT_FOREIGN_EXCHANGES","FQ2 2022","FQ2 2022","Currency=USD","Period=FQ","BEST_FPERIOD_OVERRIDE=FQ","FILING_STATUS=MR","SCALING_FORMAT=MLN","Sort=A","Dates=H","DateFormat=P","Fill=—","Direction=H","UseDPDF=Y")</f>
        <v>47</v>
      </c>
      <c r="S53" s="12" cm="1">
        <f t="array" ref="S53">_xll.BDH("CMI US Equity","CF_EFFECT_FOREIGN_EXCHANGES","FQ3 2022","FQ3 2022","Currency=USD","Period=FQ","BEST_FPERIOD_OVERRIDE=FQ","FILING_STATUS=MR","SCALING_FORMAT=MLN","Sort=A","Dates=H","DateFormat=P","Fill=—","Direction=H","UseDPDF=Y")</f>
        <v>73</v>
      </c>
      <c r="T53" s="12" cm="1">
        <f t="array" ref="T53">_xll.BDH("CMI US Equity","CF_EFFECT_FOREIGN_EXCHANGES","FQ4 2022","FQ4 2022","Currency=USD","Period=FQ","BEST_FPERIOD_OVERRIDE=FQ","FILING_STATUS=MR","SCALING_FORMAT=MLN","Sort=A","Dates=H","DateFormat=P","Fill=—","Direction=H","UseDPDF=Y")</f>
        <v>-97</v>
      </c>
      <c r="U53" s="12" cm="1">
        <f t="array" ref="U53">_xll.BDH("CMI US Equity","CF_EFFECT_FOREIGN_EXCHANGES","FQ1 2023","FQ1 2023","Currency=USD","Period=FQ","BEST_FPERIOD_OVERRIDE=FQ","FILING_STATUS=MR","SCALING_FORMAT=MLN","Sort=A","Dates=H","DateFormat=P","Fill=—","Direction=H","UseDPDF=Y")</f>
        <v>-25</v>
      </c>
      <c r="V53" s="12" cm="1">
        <f t="array" ref="V53">_xll.BDH("CMI US Equity","CF_EFFECT_FOREIGN_EXCHANGES","FQ2 2023","FQ2 2023","Currency=USD","Period=FQ","BEST_FPERIOD_OVERRIDE=FQ","FILING_STATUS=MR","SCALING_FORMAT=MLN","Sort=A","Dates=H","DateFormat=P","Fill=—","Direction=H","UseDPDF=Y")</f>
        <v>-43</v>
      </c>
      <c r="W53" s="12" cm="1">
        <f t="array" ref="W53">_xll.BDH("CMI US Equity","CF_EFFECT_FOREIGN_EXCHANGES","FQ3 2023","FQ3 2023","Currency=USD","Period=FQ","BEST_FPERIOD_OVERRIDE=FQ","FILING_STATUS=MR","SCALING_FORMAT=MLN","Sort=A","Dates=H","DateFormat=P","Fill=—","Direction=H","UseDPDF=Y")</f>
        <v>1</v>
      </c>
      <c r="X53" s="12" cm="1">
        <f t="array" ref="X53">_xll.BDH("CMI US Equity","CF_EFFECT_FOREIGN_EXCHANGES","FQ4 2023","FQ4 2023","Currency=USD","Period=FQ","BEST_FPERIOD_OVERRIDE=FQ","FILING_STATUS=MR","SCALING_FORMAT=MLN","Sort=A","Dates=H","DateFormat=P","Fill=—","Direction=H","UseDPDF=Y")</f>
        <v>-1</v>
      </c>
      <c r="Y53" s="12" cm="1">
        <f t="array" ref="Y53">_xll.BDH("CMI US Equity","CF_EFFECT_FOREIGN_EXCHANGES","FQ1 2024","FQ1 2024","Currency=USD","Period=FQ","BEST_FPERIOD_OVERRIDE=FQ","FILING_STATUS=MR","SCALING_FORMAT=MLN","Sort=A","Dates=H","DateFormat=P","Fill=—","Direction=H","UseDPDF=Y")</f>
        <v>-7</v>
      </c>
      <c r="Z53" s="12" cm="1">
        <f t="array" ref="Z53">_xll.BDH("CMI US Equity","CF_EFFECT_FOREIGN_EXCHANGES","FQ2 2024","FQ2 2024","Currency=USD","Period=FQ","BEST_FPERIOD_OVERRIDE=FQ","FILING_STATUS=MR","SCALING_FORMAT=MLN","Sort=A","Dates=H","DateFormat=P","Fill=—","Direction=H","UseDPDF=Y")</f>
        <v>-8</v>
      </c>
      <c r="AA53" s="12" cm="1">
        <f t="array" ref="AA53">_xll.BDH("CMI US Equity","CF_EFFECT_FOREIGN_EXCHANGES","FQ3 2024","FQ3 2024","Currency=USD","Period=FQ","BEST_FPERIOD_OVERRIDE=FQ","FILING_STATUS=MR","SCALING_FORMAT=MLN","Sort=A","Dates=H","DateFormat=P","Fill=—","Direction=H","UseDPDF=Y")</f>
        <v>9</v>
      </c>
      <c r="AB53" s="12" cm="1">
        <f t="array" ref="AB53">_xll.BDH("CMI US Equity","CF_EFFECT_FOREIGN_EXCHANGES","FQ4 2024","FQ4 2024","Currency=USD","Period=FQ","BEST_FPERIOD_OVERRIDE=FQ","FILING_STATUS=MR","SCALING_FORMAT=MLN","Sort=A","Dates=H","DateFormat=P","Fill=—","Direction=H","UseDPDF=Y")</f>
        <v>-34</v>
      </c>
      <c r="AC53" s="12" cm="1">
        <f t="array" ref="AC53">_xll.BDH("CMI US Equity","CF_EFFECT_FOREIGN_EXCHANGES","FQ1 2025","FQ1 2025","Currency=USD","Period=FQ","BEST_FPERIOD_OVERRIDE=FQ","FILING_STATUS=MR","SCALING_FORMAT=MLN","Sort=A","Dates=H","DateFormat=P","Fill=—","Direction=H","UseDPDF=Y")</f>
        <v>18</v>
      </c>
      <c r="AD53" s="12" cm="1">
        <f t="array" ref="AD53">_xll.BDH("CMI US Equity","CF_EFFECT_FOREIGN_EXCHANGES","FQ2 2025","FQ2 2025","Currency=USD","Period=FQ","BEST_FPERIOD_OVERRIDE=FQ","FILING_STATUS=MR","SCALING_FORMAT=MLN","Sort=A","Dates=H","DateFormat=P","Fill=—","Direction=H","UseDPDF=Y")</f>
        <v>39</v>
      </c>
      <c r="AE53" s="12" cm="1">
        <f t="array" ref="AE53">_xll.BDH("CMI US Equity","CF_EFFECT_FOREIGN_EXCHANGES","FQ3 2025","FQ3 2025","Currency=USD","Period=FQ","BEST_FPERIOD_OVERRIDE=FQ","FILING_STATUS=MR","SCALING_FORMAT=MLN","Sort=A","Dates=H","DateFormat=P","Fill=—","Direction=H","UseDPDF=Y")</f>
        <v>0</v>
      </c>
      <c r="AF53" s="12" cm="1">
        <f t="array" ref="AF53">_xll.BDH("CMI US Equity","CF_EFFECT_FOREIGN_EXCHANGES","FQ4 2025","FQ4 2025","Currency=USD","Period=FQ","BEST_FPERIOD_OVERRIDE=FQ","FILING_STATUS=MR","SCALING_FORMAT=MLN","Sort=A","Dates=H","DateFormat=P","Fill=—","Direction=H","UseDPDF=Y")</f>
        <v>-1</v>
      </c>
    </row>
    <row r="54" spans="1:32" x14ac:dyDescent="0.25">
      <c r="A54" s="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 x14ac:dyDescent="0.25">
      <c r="A55" s="6" t="s">
        <v>147</v>
      </c>
      <c r="B55" s="6" t="s">
        <v>148</v>
      </c>
      <c r="C55" s="15" cm="1">
        <f t="array" ref="C55">_xll.BDH("CMI US Equity","CF_NET_CHNG_CASH","FQ3 2018","FQ3 2018","Currency=USD","Period=FQ","BEST_FPERIOD_OVERRIDE=FQ","FILING_STATUS=MR","SCALING_FORMAT=MLN","Sort=A","Dates=H","DateFormat=P","Fill=—","Direction=H","UseDPDF=Y")</f>
        <v>-96</v>
      </c>
      <c r="D55" s="15" cm="1">
        <f t="array" ref="D55">_xll.BDH("CMI US Equity","CF_NET_CHNG_CASH","FQ4 2018","FQ4 2018","Currency=USD","Period=FQ","BEST_FPERIOD_OVERRIDE=FQ","FILING_STATUS=MR","SCALING_FORMAT=MLN","Sort=A","Dates=H","DateFormat=P","Fill=—","Direction=H","UseDPDF=Y")</f>
        <v>81</v>
      </c>
      <c r="E55" s="15" cm="1">
        <f t="array" ref="E55">_xll.BDH("CMI US Equity","CF_NET_CHNG_CASH","FQ1 2019","FQ1 2019","Currency=USD","Period=FQ","BEST_FPERIOD_OVERRIDE=FQ","FILING_STATUS=MR","SCALING_FORMAT=MLN","Sort=A","Dates=H","DateFormat=P","Fill=—","Direction=H","UseDPDF=Y")</f>
        <v>25</v>
      </c>
      <c r="F55" s="15" cm="1">
        <f t="array" ref="F55">_xll.BDH("CMI US Equity","CF_NET_CHNG_CASH","FQ2 2019","FQ2 2019","Currency=USD","Period=FQ","BEST_FPERIOD_OVERRIDE=FQ","FILING_STATUS=MR","SCALING_FORMAT=MLN","Sort=A","Dates=H","DateFormat=P","Fill=—","Direction=H","UseDPDF=Y")</f>
        <v>69</v>
      </c>
      <c r="G55" s="15" cm="1">
        <f t="array" ref="G55">_xll.BDH("CMI US Equity","CF_NET_CHNG_CASH","FQ3 2019","FQ3 2019","Currency=USD","Period=FQ","BEST_FPERIOD_OVERRIDE=FQ","FILING_STATUS=MR","SCALING_FORMAT=MLN","Sort=A","Dates=H","DateFormat=P","Fill=—","Direction=H","UseDPDF=Y")</f>
        <v>115</v>
      </c>
      <c r="H55" s="15" cm="1">
        <f t="array" ref="H55">_xll.BDH("CMI US Equity","CF_NET_CHNG_CASH","FQ4 2019","FQ4 2019","Currency=USD","Period=FQ","BEST_FPERIOD_OVERRIDE=FQ","FILING_STATUS=MR","SCALING_FORMAT=MLN","Sort=A","Dates=H","DateFormat=P","Fill=—","Direction=H","UseDPDF=Y")</f>
        <v>-431</v>
      </c>
      <c r="I55" s="15" cm="1">
        <f t="array" ref="I55">_xll.BDH("CMI US Equity","CF_NET_CHNG_CASH","FQ1 2020","FQ1 2020","Currency=USD","Period=FQ","BEST_FPERIOD_OVERRIDE=FQ","FILING_STATUS=MR","SCALING_FORMAT=MLN","Sort=A","Dates=H","DateFormat=P","Fill=—","Direction=H","UseDPDF=Y")</f>
        <v>562</v>
      </c>
      <c r="J55" s="15" cm="1">
        <f t="array" ref="J55">_xll.BDH("CMI US Equity","CF_NET_CHNG_CASH","FQ2 2020","FQ2 2020","Currency=USD","Period=FQ","BEST_FPERIOD_OVERRIDE=FQ","FILING_STATUS=MR","SCALING_FORMAT=MLN","Sort=A","Dates=H","DateFormat=P","Fill=—","Direction=H","UseDPDF=Y")</f>
        <v>60</v>
      </c>
      <c r="K55" s="15" cm="1">
        <f t="array" ref="K55">_xll.BDH("CMI US Equity","CF_NET_CHNG_CASH","FQ3 2020","FQ3 2020","Currency=USD","Period=FQ","BEST_FPERIOD_OVERRIDE=FQ","FILING_STATUS=MR","SCALING_FORMAT=MLN","Sort=A","Dates=H","DateFormat=P","Fill=—","Direction=H","UseDPDF=Y")</f>
        <v>1216</v>
      </c>
      <c r="L55" s="15" cm="1">
        <f t="array" ref="L55">_xll.BDH("CMI US Equity","CF_NET_CHNG_CASH","FQ4 2020","FQ4 2020","Currency=USD","Period=FQ","BEST_FPERIOD_OVERRIDE=FQ","FILING_STATUS=MR","SCALING_FORMAT=MLN","Sort=A","Dates=H","DateFormat=P","Fill=—","Direction=H","UseDPDF=Y")</f>
        <v>434</v>
      </c>
      <c r="M55" s="15" cm="1">
        <f t="array" ref="M55">_xll.BDH("CMI US Equity","CF_NET_CHNG_CASH","FQ1 2021","FQ1 2021","Currency=USD","Period=FQ","BEST_FPERIOD_OVERRIDE=FQ","FILING_STATUS=MR","SCALING_FORMAT=MLN","Sort=A","Dates=H","DateFormat=P","Fill=—","Direction=H","UseDPDF=Y")</f>
        <v>-443</v>
      </c>
      <c r="N55" s="15" cm="1">
        <f t="array" ref="N55">_xll.BDH("CMI US Equity","CF_NET_CHNG_CASH","FQ2 2021","FQ2 2021","Currency=USD","Period=FQ","BEST_FPERIOD_OVERRIDE=FQ","FILING_STATUS=MR","SCALING_FORMAT=MLN","Sort=A","Dates=H","DateFormat=P","Fill=—","Direction=H","UseDPDF=Y")</f>
        <v>-477</v>
      </c>
      <c r="O55" s="15" cm="1">
        <f t="array" ref="O55">_xll.BDH("CMI US Equity","CF_NET_CHNG_CASH","FQ3 2021","FQ3 2021","Currency=USD","Period=FQ","BEST_FPERIOD_OVERRIDE=FQ","FILING_STATUS=MR","SCALING_FORMAT=MLN","Sort=A","Dates=H","DateFormat=P","Fill=—","Direction=H","UseDPDF=Y")</f>
        <v>107</v>
      </c>
      <c r="P55" s="15" cm="1">
        <f t="array" ref="P55">_xll.BDH("CMI US Equity","CF_NET_CHNG_CASH","FQ4 2021","FQ4 2021","Currency=USD","Period=FQ","BEST_FPERIOD_OVERRIDE=FQ","FILING_STATUS=MR","SCALING_FORMAT=MLN","Sort=A","Dates=H","DateFormat=P","Fill=—","Direction=H","UseDPDF=Y")</f>
        <v>4</v>
      </c>
      <c r="Q55" s="15" cm="1">
        <f t="array" ref="Q55">_xll.BDH("CMI US Equity","CF_NET_CHNG_CASH","FQ1 2022","FQ1 2022","Currency=USD","Period=FQ","BEST_FPERIOD_OVERRIDE=FQ","FILING_STATUS=MR","SCALING_FORMAT=MLN","Sort=A","Dates=H","DateFormat=P","Fill=—","Direction=H","UseDPDF=Y")</f>
        <v>-316</v>
      </c>
      <c r="R55" s="15" cm="1">
        <f t="array" ref="R55">_xll.BDH("CMI US Equity","CF_NET_CHNG_CASH","FQ2 2022","FQ2 2022","Currency=USD","Period=FQ","BEST_FPERIOD_OVERRIDE=FQ","FILING_STATUS=MR","SCALING_FORMAT=MLN","Sort=A","Dates=H","DateFormat=P","Fill=—","Direction=H","UseDPDF=Y")</f>
        <v>186</v>
      </c>
      <c r="S55" s="15" cm="1">
        <f t="array" ref="S55">_xll.BDH("CMI US Equity","CF_NET_CHNG_CASH","FQ3 2022","FQ3 2022","Currency=USD","Period=FQ","BEST_FPERIOD_OVERRIDE=FQ","FILING_STATUS=MR","SCALING_FORMAT=MLN","Sort=A","Dates=H","DateFormat=P","Fill=—","Direction=H","UseDPDF=Y")</f>
        <v>37</v>
      </c>
      <c r="T55" s="15" cm="1">
        <f t="array" ref="T55">_xll.BDH("CMI US Equity","CF_NET_CHNG_CASH","FQ4 2022","FQ4 2022","Currency=USD","Period=FQ","BEST_FPERIOD_OVERRIDE=FQ","FILING_STATUS=MR","SCALING_FORMAT=MLN","Sort=A","Dates=H","DateFormat=P","Fill=—","Direction=H","UseDPDF=Y")</f>
        <v>-398</v>
      </c>
      <c r="U55" s="15" cm="1">
        <f t="array" ref="U55">_xll.BDH("CMI US Equity","CF_NET_CHNG_CASH","FQ1 2023","FQ1 2023","Currency=USD","Period=FQ","BEST_FPERIOD_OVERRIDE=FQ","FILING_STATUS=MR","SCALING_FORMAT=MLN","Sort=A","Dates=H","DateFormat=P","Fill=—","Direction=H","UseDPDF=Y")</f>
        <v>-121</v>
      </c>
      <c r="V55" s="15" cm="1">
        <f t="array" ref="V55">_xll.BDH("CMI US Equity","CF_NET_CHNG_CASH","FQ2 2023","FQ2 2023","Currency=USD","Period=FQ","BEST_FPERIOD_OVERRIDE=FQ","FILING_STATUS=MR","SCALING_FORMAT=MLN","Sort=A","Dates=H","DateFormat=P","Fill=—","Direction=H","UseDPDF=Y")</f>
        <v>-178</v>
      </c>
      <c r="W55" s="15" cm="1">
        <f t="array" ref="W55">_xll.BDH("CMI US Equity","CF_NET_CHNG_CASH","FQ3 2023","FQ3 2023","Currency=USD","Period=FQ","BEST_FPERIOD_OVERRIDE=FQ","FILING_STATUS=MR","SCALING_FORMAT=MLN","Sort=A","Dates=H","DateFormat=P","Fill=—","Direction=H","UseDPDF=Y")</f>
        <v>810</v>
      </c>
      <c r="X55" s="15" cm="1">
        <f t="array" ref="X55">_xll.BDH("CMI US Equity","CF_NET_CHNG_CASH","FQ4 2023","FQ4 2023","Currency=USD","Period=FQ","BEST_FPERIOD_OVERRIDE=FQ","FILING_STATUS=MR","SCALING_FORMAT=MLN","Sort=A","Dates=H","DateFormat=P","Fill=—","Direction=H","UseDPDF=Y")</f>
        <v>-433</v>
      </c>
      <c r="Y55" s="15" cm="1">
        <f t="array" ref="Y55">_xll.BDH("CMI US Equity","CF_NET_CHNG_CASH","FQ1 2024","FQ1 2024","Currency=USD","Period=FQ","BEST_FPERIOD_OVERRIDE=FQ","FILING_STATUS=MR","SCALING_FORMAT=MLN","Sort=A","Dates=H","DateFormat=P","Fill=—","Direction=H","UseDPDF=Y")</f>
        <v>362</v>
      </c>
      <c r="Z55" s="15" cm="1">
        <f t="array" ref="Z55">_xll.BDH("CMI US Equity","CF_NET_CHNG_CASH","FQ2 2024","FQ2 2024","Currency=USD","Period=FQ","BEST_FPERIOD_OVERRIDE=FQ","FILING_STATUS=MR","SCALING_FORMAT=MLN","Sort=A","Dates=H","DateFormat=P","Fill=—","Direction=H","UseDPDF=Y")</f>
        <v>-951</v>
      </c>
      <c r="AA55" s="15" cm="1">
        <f t="array" ref="AA55">_xll.BDH("CMI US Equity","CF_NET_CHNG_CASH","FQ3 2024","FQ3 2024","Currency=USD","Period=FQ","BEST_FPERIOD_OVERRIDE=FQ","FILING_STATUS=MR","SCALING_FORMAT=MLN","Sort=A","Dates=H","DateFormat=P","Fill=—","Direction=H","UseDPDF=Y")</f>
        <v>143</v>
      </c>
      <c r="AB55" s="15" cm="1">
        <f t="array" ref="AB55">_xll.BDH("CMI US Equity","CF_NET_CHNG_CASH","FQ4 2024","FQ4 2024","Currency=USD","Period=FQ","BEST_FPERIOD_OVERRIDE=FQ","FILING_STATUS=MR","SCALING_FORMAT=MLN","Sort=A","Dates=H","DateFormat=P","Fill=—","Direction=H","UseDPDF=Y")</f>
        <v>-62</v>
      </c>
      <c r="AC55" s="15" cm="1">
        <f t="array" ref="AC55">_xll.BDH("CMI US Equity","CF_NET_CHNG_CASH","FQ1 2025","FQ1 2025","Currency=USD","Period=FQ","BEST_FPERIOD_OVERRIDE=FQ","FILING_STATUS=MR","SCALING_FORMAT=MLN","Sort=A","Dates=H","DateFormat=P","Fill=—","Direction=H","UseDPDF=Y")</f>
        <v>-139</v>
      </c>
      <c r="AD55" s="15" cm="1">
        <f t="array" ref="AD55">_xll.BDH("CMI US Equity","CF_NET_CHNG_CASH","FQ2 2025","FQ2 2025","Currency=USD","Period=FQ","BEST_FPERIOD_OVERRIDE=FQ","FILING_STATUS=MR","SCALING_FORMAT=MLN","Sort=A","Dates=H","DateFormat=P","Fill=—","Direction=H","UseDPDF=Y")</f>
        <v>787</v>
      </c>
      <c r="AE55" s="15" cm="1">
        <f t="array" ref="AE55">_xll.BDH("CMI US Equity","CF_NET_CHNG_CASH","FQ3 2025","FQ3 2025","Currency=USD","Period=FQ","BEST_FPERIOD_OVERRIDE=FQ","FILING_STATUS=MR","SCALING_FORMAT=MLN","Sort=A","Dates=H","DateFormat=P","Fill=—","Direction=H","UseDPDF=Y")</f>
        <v>247</v>
      </c>
      <c r="AF55" s="15" cm="1">
        <f t="array" ref="AF55">_xll.BDH("CMI US Equity","CF_NET_CHNG_CASH","FQ4 2025","FQ4 2025","Currency=USD","Period=FQ","BEST_FPERIOD_OVERRIDE=FQ","FILING_STATUS=MR","SCALING_FORMAT=MLN","Sort=A","Dates=H","DateFormat=P","Fill=—","Direction=H","UseDPDF=Y")</f>
        <v>279</v>
      </c>
    </row>
    <row r="56" spans="1:32" x14ac:dyDescent="0.25">
      <c r="A56" s="6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1:32" x14ac:dyDescent="0.25">
      <c r="A57" s="6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1:32" x14ac:dyDescent="0.25">
      <c r="A58" s="6" t="s"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1:32" x14ac:dyDescent="0.25">
      <c r="A59" s="10" t="s">
        <v>149</v>
      </c>
      <c r="B59" s="10" t="s">
        <v>149</v>
      </c>
      <c r="C59" s="12" cm="1">
        <f t="array" ref="C59">_xll.BDH("CMI US Equity","EBITDA","FQ3 2018","FQ3 2018","Currency=USD","Period=FQ","BEST_FPERIOD_OVERRIDE=FQ","FILING_STATUS=MR","SCALING_FORMAT=MLN","FA_ADJUSTED=GAAP","Sort=A","Dates=H","DateFormat=P","Fill=—","Direction=H","UseDPDF=Y")</f>
        <v>951</v>
      </c>
      <c r="D59" s="12" cm="1">
        <f t="array" ref="D59">_xll.BDH("CMI US Equity","EBITDA","FQ4 2018","FQ4 2018","Currency=USD","Period=FQ","BEST_FPERIOD_OVERRIDE=FQ","FILING_STATUS=MR","SCALING_FORMAT=MLN","FA_ADJUSTED=GAAP","Sort=A","Dates=H","DateFormat=P","Fill=—","Direction=H","UseDPDF=Y")</f>
        <v>886</v>
      </c>
      <c r="E59" s="12" cm="1">
        <f t="array" ref="E59">_xll.BDH("CMI US Equity","EBITDA","FQ1 2019","FQ1 2019","Currency=USD","Period=FQ","BEST_FPERIOD_OVERRIDE=FQ","FILING_STATUS=MR","SCALING_FORMAT=MLN","FA_ADJUSTED=GAAP","Sort=A","Dates=H","DateFormat=P","Fill=—","Direction=H","UseDPDF=Y")</f>
        <v>1006</v>
      </c>
      <c r="F59" s="12" cm="1">
        <f t="array" ref="F59">_xll.BDH("CMI US Equity","EBITDA","FQ2 2019","FQ2 2019","Currency=USD","Period=FQ","BEST_FPERIOD_OVERRIDE=FQ","FILING_STATUS=MR","SCALING_FORMAT=MLN","FA_ADJUSTED=GAAP","Sort=A","Dates=H","DateFormat=P","Fill=—","Direction=H","UseDPDF=Y")</f>
        <v>1060</v>
      </c>
      <c r="G59" s="12" cm="1">
        <f t="array" ref="G59">_xll.BDH("CMI US Equity","EBITDA","FQ3 2019","FQ3 2019","Currency=USD","Period=FQ","BEST_FPERIOD_OVERRIDE=FQ","FILING_STATUS=MR","SCALING_FORMAT=MLN","FA_ADJUSTED=GAAP","Sort=A","Dates=H","DateFormat=P","Fill=—","Direction=H","UseDPDF=Y")</f>
        <v>928</v>
      </c>
      <c r="H59" s="12" cm="1">
        <f t="array" ref="H59">_xll.BDH("CMI US Equity","EBITDA","FQ4 2019","FQ4 2019","Currency=USD","Period=FQ","BEST_FPERIOD_OVERRIDE=FQ","FILING_STATUS=MR","SCALING_FORMAT=MLN","FA_ADJUSTED=GAAP","Sort=A","Dates=H","DateFormat=P","Fill=—","Direction=H","UseDPDF=Y")</f>
        <v>533</v>
      </c>
      <c r="I59" s="12" cm="1">
        <f t="array" ref="I59">_xll.BDH("CMI US Equity","EBITDA","FQ1 2020","FQ1 2020","Currency=USD","Period=FQ","BEST_FPERIOD_OVERRIDE=FQ","FILING_STATUS=MR","SCALING_FORMAT=MLN","FA_ADJUSTED=GAAP","Sort=A","Dates=H","DateFormat=P","Fill=—","Direction=H","UseDPDF=Y")</f>
        <v>802</v>
      </c>
      <c r="J59" s="12" cm="1">
        <f t="array" ref="J59">_xll.BDH("CMI US Equity","EBITDA","FQ2 2020","FQ2 2020","Currency=USD","Period=FQ","BEST_FPERIOD_OVERRIDE=FQ","FILING_STATUS=MR","SCALING_FORMAT=MLN","FA_ADJUSTED=GAAP","Sort=A","Dates=H","DateFormat=P","Fill=—","Direction=H","UseDPDF=Y")</f>
        <v>501</v>
      </c>
      <c r="K59" s="12" cm="1">
        <f t="array" ref="K59">_xll.BDH("CMI US Equity","EBITDA","FQ3 2020","FQ3 2020","Currency=USD","Period=FQ","BEST_FPERIOD_OVERRIDE=FQ","FILING_STATUS=MR","SCALING_FORMAT=MLN","FA_ADJUSTED=GAAP","Sort=A","Dates=H","DateFormat=P","Fill=—","Direction=H","UseDPDF=Y")</f>
        <v>836</v>
      </c>
      <c r="L59" s="12" cm="1">
        <f t="array" ref="L59">_xll.BDH("CMI US Equity","EBITDA","FQ4 2020","FQ4 2020","Currency=USD","Period=FQ","BEST_FPERIOD_OVERRIDE=FQ","FILING_STATUS=MR","SCALING_FORMAT=MLN","FA_ADJUSTED=GAAP","Sort=A","Dates=H","DateFormat=P","Fill=—","Direction=H","UseDPDF=Y")</f>
        <v>803</v>
      </c>
      <c r="M59" s="12" cm="1">
        <f t="array" ref="M59">_xll.BDH("CMI US Equity","EBITDA","FQ1 2021","FQ1 2021","Currency=USD","Period=FQ","BEST_FPERIOD_OVERRIDE=FQ","FILING_STATUS=MR","SCALING_FORMAT=MLN","FA_ADJUSTED=GAAP","Sort=A","Dates=H","DateFormat=P","Fill=—","Direction=H","UseDPDF=Y")</f>
        <v>980</v>
      </c>
      <c r="N59" s="12" cm="1">
        <f t="array" ref="N59">_xll.BDH("CMI US Equity","EBITDA","FQ2 2021","FQ2 2021","Currency=USD","Period=FQ","BEST_FPERIOD_OVERRIDE=FQ","FILING_STATUS=MR","SCALING_FORMAT=MLN","FA_ADJUSTED=GAAP","Sort=A","Dates=H","DateFormat=P","Fill=—","Direction=H","UseDPDF=Y")</f>
        <v>902</v>
      </c>
      <c r="O59" s="12" cm="1">
        <f t="array" ref="O59">_xll.BDH("CMI US Equity","EBITDA","FQ3 2021","FQ3 2021","Currency=USD","Period=FQ","BEST_FPERIOD_OVERRIDE=FQ","FILING_STATUS=MR","SCALING_FORMAT=MLN","FA_ADJUSTED=GAAP","Sort=A","Dates=H","DateFormat=P","Fill=—","Direction=H","UseDPDF=Y")</f>
        <v>826</v>
      </c>
      <c r="P59" s="12" cm="1">
        <f t="array" ref="P59">_xll.BDH("CMI US Equity","EBITDA","FQ4 2021","FQ4 2021","Currency=USD","Period=FQ","BEST_FPERIOD_OVERRIDE=FQ","FILING_STATUS=MR","SCALING_FORMAT=MLN","FA_ADJUSTED=GAAP","Sort=A","Dates=H","DateFormat=P","Fill=—","Direction=H","UseDPDF=Y")</f>
        <v>660</v>
      </c>
      <c r="Q59" s="12" cm="1">
        <f t="array" ref="Q59">_xll.BDH("CMI US Equity","EBITDA","FQ1 2022","FQ1 2022","Currency=USD","Period=FQ","BEST_FPERIOD_OVERRIDE=FQ","FILING_STATUS=MR","SCALING_FORMAT=MLN","FA_ADJUSTED=GAAP","Sort=A","Dates=H","DateFormat=P","Fill=—","Direction=H","UseDPDF=Y")</f>
        <v>765</v>
      </c>
      <c r="R59" s="12" cm="1">
        <f t="array" ref="R59">_xll.BDH("CMI US Equity","EBITDA","FQ2 2022","FQ2 2022","Currency=USD","Period=FQ","BEST_FPERIOD_OVERRIDE=FQ","FILING_STATUS=MR","SCALING_FORMAT=MLN","FA_ADJUSTED=GAAP","Sort=A","Dates=H","DateFormat=P","Fill=—","Direction=H","UseDPDF=Y")</f>
        <v>1064</v>
      </c>
      <c r="S59" s="12" cm="1">
        <f t="array" ref="S59">_xll.BDH("CMI US Equity","EBITDA","FQ3 2022","FQ3 2022","Currency=USD","Period=FQ","BEST_FPERIOD_OVERRIDE=FQ","FILING_STATUS=MR","SCALING_FORMAT=MLN","FA_ADJUSTED=GAAP","Sort=A","Dates=H","DateFormat=P","Fill=—","Direction=H","UseDPDF=Y")</f>
        <v>842</v>
      </c>
      <c r="T59" s="12" cm="1">
        <f t="array" ref="T59">_xll.BDH("CMI US Equity","EBITDA","FQ4 2022","FQ4 2022","Currency=USD","Period=FQ","BEST_FPERIOD_OVERRIDE=FQ","FILING_STATUS=MR","SCALING_FORMAT=MLN","FA_ADJUSTED=GAAP","Sort=A","Dates=H","DateFormat=P","Fill=—","Direction=H","UseDPDF=Y")</f>
        <v>1042</v>
      </c>
      <c r="U59" s="12" cm="1">
        <f t="array" ref="U59">_xll.BDH("CMI US Equity","EBITDA","FQ1 2023","FQ1 2023","Currency=USD","Period=FQ","BEST_FPERIOD_OVERRIDE=FQ","FILING_STATUS=MR","SCALING_FORMAT=MLN","FA_ADJUSTED=GAAP","Sort=A","Dates=H","DateFormat=P","Fill=—","Direction=H","UseDPDF=Y")</f>
        <v>1272</v>
      </c>
      <c r="V59" s="12" cm="1">
        <f t="array" ref="V59">_xll.BDH("CMI US Equity","EBITDA","FQ2 2023","FQ2 2023","Currency=USD","Period=FQ","BEST_FPERIOD_OVERRIDE=FQ","FILING_STATUS=MR","SCALING_FORMAT=MLN","FA_ADJUSTED=GAAP","Sort=A","Dates=H","DateFormat=P","Fill=—","Direction=H","UseDPDF=Y")</f>
        <v>1254</v>
      </c>
      <c r="W59" s="12" cm="1">
        <f t="array" ref="W59">_xll.BDH("CMI US Equity","EBITDA","FQ3 2023","FQ3 2023","Currency=USD","Period=FQ","BEST_FPERIOD_OVERRIDE=FQ","FILING_STATUS=MR","SCALING_FORMAT=MLN","FA_ADJUSTED=GAAP","Sort=A","Dates=H","DateFormat=P","Fill=—","Direction=H","UseDPDF=Y")</f>
        <v>1207</v>
      </c>
      <c r="X59" s="12" cm="1">
        <f t="array" ref="X59">_xll.BDH("CMI US Equity","EBITDA","FQ4 2023","FQ4 2023","Currency=USD","Period=FQ","BEST_FPERIOD_OVERRIDE=FQ","FILING_STATUS=MR","SCALING_FORMAT=MLN","FA_ADJUSTED=GAAP","Sort=A","Dates=H","DateFormat=P","Fill=—","Direction=H","UseDPDF=Y")</f>
        <v>-948</v>
      </c>
      <c r="Y59" s="12" cm="1">
        <f t="array" ref="Y59">_xll.BDH("CMI US Equity","EBITDA","FQ1 2024","FQ1 2024","Currency=USD","Period=FQ","BEST_FPERIOD_OVERRIDE=FQ","FILING_STATUS=MR","SCALING_FORMAT=MLN","FA_ADJUSTED=GAAP","Sort=A","Dates=H","DateFormat=P","Fill=—","Direction=H","UseDPDF=Y")</f>
        <v>1188</v>
      </c>
      <c r="Z59" s="12" cm="1">
        <f t="array" ref="Z59">_xll.BDH("CMI US Equity","EBITDA","FQ2 2024","FQ2 2024","Currency=USD","Period=FQ","BEST_FPERIOD_OVERRIDE=FQ","FILING_STATUS=MR","SCALING_FORMAT=MLN","FA_ADJUSTED=GAAP","Sort=A","Dates=H","DateFormat=P","Fill=—","Direction=H","UseDPDF=Y")</f>
        <v>1308</v>
      </c>
      <c r="AA59" s="12" cm="1">
        <f t="array" ref="AA59">_xll.BDH("CMI US Equity","EBITDA","FQ3 2024","FQ3 2024","Currency=USD","Period=FQ","BEST_FPERIOD_OVERRIDE=FQ","FILING_STATUS=MR","SCALING_FORMAT=MLN","FA_ADJUSTED=GAAP","Sort=A","Dates=H","DateFormat=P","Fill=—","Direction=H","UseDPDF=Y")</f>
        <v>1316</v>
      </c>
      <c r="AB59" s="12" cm="1">
        <f t="array" ref="AB59">_xll.BDH("CMI US Equity","EBITDA","FQ4 2024","FQ4 2024","Currency=USD","Period=FQ","BEST_FPERIOD_OVERRIDE=FQ","FILING_STATUS=MR","SCALING_FORMAT=MLN","FA_ADJUSTED=GAAP","Sort=A","Dates=H","DateFormat=P","Fill=—","Direction=H","UseDPDF=Y")</f>
        <v>1003</v>
      </c>
      <c r="AC59" s="12" cm="1">
        <f t="array" ref="AC59">_xll.BDH("CMI US Equity","EBITDA","FQ1 2025","FQ1 2025","Currency=USD","Period=FQ","BEST_FPERIOD_OVERRIDE=FQ","FILING_STATUS=MR","SCALING_FORMAT=MLN","FA_ADJUSTED=GAAP","Sort=A","Dates=H","DateFormat=P","Fill=—","Direction=H","UseDPDF=Y")</f>
        <v>1403</v>
      </c>
      <c r="AD59" s="12" cm="1">
        <f t="array" ref="AD59">_xll.BDH("CMI US Equity","EBITDA","FQ2 2025","FQ2 2025","Currency=USD","Period=FQ","BEST_FPERIOD_OVERRIDE=FQ","FILING_STATUS=MR","SCALING_FORMAT=MLN","FA_ADJUSTED=GAAP","Sort=A","Dates=H","DateFormat=P","Fill=—","Direction=H","UseDPDF=Y")</f>
        <v>1505</v>
      </c>
      <c r="AE59" s="12" cm="1">
        <f t="array" ref="AE59">_xll.BDH("CMI US Equity","EBITDA","FQ3 2025","FQ3 2025","Currency=USD","Period=FQ","BEST_FPERIOD_OVERRIDE=FQ","FILING_STATUS=MR","SCALING_FORMAT=MLN","FA_ADJUSTED=GAAP","Sort=A","Dates=H","DateFormat=P","Fill=—","Direction=H","UseDPDF=Y")</f>
        <v>1129</v>
      </c>
      <c r="AF59" s="12" cm="1">
        <f t="array" ref="AF59">_xll.BDH("CMI US Equity","EBITDA","FQ4 2025","FQ4 2025","Currency=USD","Period=FQ","BEST_FPERIOD_OVERRIDE=FQ","FILING_STATUS=MR","SCALING_FORMAT=MLN","FA_ADJUSTED=GAAP","Sort=A","Dates=H","DateFormat=P","Fill=—","Direction=H","UseDPDF=Y")</f>
        <v>1093</v>
      </c>
    </row>
    <row r="60" spans="1:32" x14ac:dyDescent="0.25">
      <c r="A60" s="10" t="s">
        <v>150</v>
      </c>
      <c r="B60" s="10" t="s">
        <v>151</v>
      </c>
      <c r="C60" s="13" cm="1">
        <f t="array" ref="C60">_xll.BDH("CMI US Equity","EBITDA_MARGIN","FQ3 2018","FQ3 2018","Currency=USD","Period=FQ","BEST_FPERIOD_OVERRIDE=FQ","FILING_STATUS=MR","FA_ADJUSTED=GAAP","Sort=A","Dates=H","DateFormat=P","Fill=—","Direction=H","UseDPDF=Y")</f>
        <v>14.0435</v>
      </c>
      <c r="D60" s="13" cm="1">
        <f t="array" ref="D60">_xll.BDH("CMI US Equity","EBITDA_MARGIN","FQ4 2018","FQ4 2018","Currency=USD","Period=FQ","BEST_FPERIOD_OVERRIDE=FQ","FILING_STATUS=MR","FA_ADJUSTED=GAAP","Sort=A","Dates=H","DateFormat=P","Fill=—","Direction=H","UseDPDF=Y")</f>
        <v>14.2905</v>
      </c>
      <c r="E60" s="13" cm="1">
        <f t="array" ref="E60">_xll.BDH("CMI US Equity","EBITDA_MARGIN","FQ1 2019","FQ1 2019","Currency=USD","Period=FQ","BEST_FPERIOD_OVERRIDE=FQ","FILING_STATUS=MR","FA_ADJUSTED=GAAP","Sort=A","Dates=H","DateFormat=P","Fill=—","Direction=H","UseDPDF=Y")</f>
        <v>15.364599999999999</v>
      </c>
      <c r="F60" s="13" cm="1">
        <f t="array" ref="F60">_xll.BDH("CMI US Equity","EBITDA_MARGIN","FQ2 2019","FQ2 2019","Currency=USD","Period=FQ","BEST_FPERIOD_OVERRIDE=FQ","FILING_STATUS=MR","FA_ADJUSTED=GAAP","Sort=A","Dates=H","DateFormat=P","Fill=—","Direction=H","UseDPDF=Y")</f>
        <v>16.0657</v>
      </c>
      <c r="G60" s="13" cm="1">
        <f t="array" ref="G60">_xll.BDH("CMI US Equity","EBITDA_MARGIN","FQ3 2019","FQ3 2019","Currency=USD","Period=FQ","BEST_FPERIOD_OVERRIDE=FQ","FILING_STATUS=MR","FA_ADJUSTED=GAAP","Sort=A","Dates=H","DateFormat=P","Fill=—","Direction=H","UseDPDF=Y")</f>
        <v>16.0869</v>
      </c>
      <c r="H60" s="13" cm="1">
        <f t="array" ref="H60">_xll.BDH("CMI US Equity","EBITDA_MARGIN","FQ4 2019","FQ4 2019","Currency=USD","Period=FQ","BEST_FPERIOD_OVERRIDE=FQ","FILING_STATUS=MR","FA_ADJUSTED=GAAP","Sort=A","Dates=H","DateFormat=P","Fill=—","Direction=H","UseDPDF=Y")</f>
        <v>14.9633</v>
      </c>
      <c r="I60" s="13" cm="1">
        <f t="array" ref="I60">_xll.BDH("CMI US Equity","EBITDA_MARGIN","FQ1 2020","FQ1 2020","Currency=USD","Period=FQ","BEST_FPERIOD_OVERRIDE=FQ","FILING_STATUS=MR","FA_ADJUSTED=GAAP","Sort=A","Dates=H","DateFormat=P","Fill=—","Direction=H","UseDPDF=Y")</f>
        <v>14.7179</v>
      </c>
      <c r="J60" s="13" cm="1">
        <f t="array" ref="J60">_xll.BDH("CMI US Equity","EBITDA_MARGIN","FQ2 2020","FQ2 2020","Currency=USD","Period=FQ","BEST_FPERIOD_OVERRIDE=FQ","FILING_STATUS=MR","FA_ADJUSTED=GAAP","Sort=A","Dates=H","DateFormat=P","Fill=—","Direction=H","UseDPDF=Y")</f>
        <v>13.677099999999999</v>
      </c>
      <c r="K60" s="13" cm="1">
        <f t="array" ref="K60">_xll.BDH("CMI US Equity","EBITDA_MARGIN","FQ3 2020","FQ3 2020","Currency=USD","Period=FQ","BEST_FPERIOD_OVERRIDE=FQ","FILING_STATUS=MR","FA_ADJUSTED=GAAP","Sort=A","Dates=H","DateFormat=P","Fill=—","Direction=H","UseDPDF=Y")</f>
        <v>13.661199999999999</v>
      </c>
      <c r="L60" s="13" cm="1">
        <f t="array" ref="L60">_xll.BDH("CMI US Equity","EBITDA_MARGIN","FQ4 2020","FQ4 2020","Currency=USD","Period=FQ","BEST_FPERIOD_OVERRIDE=FQ","FILING_STATUS=MR","FA_ADJUSTED=GAAP","Sort=A","Dates=H","DateFormat=P","Fill=—","Direction=H","UseDPDF=Y")</f>
        <v>14.850300000000001</v>
      </c>
      <c r="M60" s="13" cm="1">
        <f t="array" ref="M60">_xll.BDH("CMI US Equity","EBITDA_MARGIN","FQ1 2021","FQ1 2021","Currency=USD","Period=FQ","BEST_FPERIOD_OVERRIDE=FQ","FILING_STATUS=MR","FA_ADJUSTED=GAAP","Sort=A","Dates=H","DateFormat=P","Fill=—","Direction=H","UseDPDF=Y")</f>
        <v>14.9339</v>
      </c>
      <c r="N60" s="13" cm="1">
        <f t="array" ref="N60">_xll.BDH("CMI US Equity","EBITDA_MARGIN","FQ2 2021","FQ2 2021","Currency=USD","Period=FQ","BEST_FPERIOD_OVERRIDE=FQ","FILING_STATUS=MR","FA_ADJUSTED=GAAP","Sort=A","Dates=H","DateFormat=P","Fill=—","Direction=H","UseDPDF=Y")</f>
        <v>15.2088</v>
      </c>
      <c r="O60" s="13" cm="1">
        <f t="array" ref="O60">_xll.BDH("CMI US Equity","EBITDA_MARGIN","FQ3 2021","FQ3 2021","Currency=USD","Period=FQ","BEST_FPERIOD_OVERRIDE=FQ","FILING_STATUS=MR","FA_ADJUSTED=GAAP","Sort=A","Dates=H","DateFormat=P","Fill=—","Direction=H","UseDPDF=Y")</f>
        <v>14.6286</v>
      </c>
      <c r="P60" s="13" cm="1">
        <f t="array" ref="P60">_xll.BDH("CMI US Equity","EBITDA_MARGIN","FQ4 2021","FQ4 2021","Currency=USD","Period=FQ","BEST_FPERIOD_OVERRIDE=FQ","FILING_STATUS=MR","FA_ADJUSTED=GAAP","Sort=A","Dates=H","DateFormat=P","Fill=—","Direction=H","UseDPDF=Y")</f>
        <v>14.021100000000001</v>
      </c>
      <c r="Q60" s="13" cm="1">
        <f t="array" ref="Q60">_xll.BDH("CMI US Equity","EBITDA_MARGIN","FQ1 2022","FQ1 2022","Currency=USD","Period=FQ","BEST_FPERIOD_OVERRIDE=FQ","FILING_STATUS=MR","FA_ADJUSTED=GAAP","Sort=A","Dates=H","DateFormat=P","Fill=—","Direction=H","UseDPDF=Y")</f>
        <v>12.9678</v>
      </c>
      <c r="R60" s="13" cm="1">
        <f t="array" ref="R60">_xll.BDH("CMI US Equity","EBITDA_MARGIN","FQ2 2022","FQ2 2022","Currency=USD","Period=FQ","BEST_FPERIOD_OVERRIDE=FQ","FILING_STATUS=MR","FA_ADJUSTED=GAAP","Sort=A","Dates=H","DateFormat=P","Fill=—","Direction=H","UseDPDF=Y")</f>
        <v>13.3729</v>
      </c>
      <c r="S60" s="13" cm="1">
        <f t="array" ref="S60">_xll.BDH("CMI US Equity","EBITDA_MARGIN","FQ3 2022","FQ3 2022","Currency=USD","Period=FQ","BEST_FPERIOD_OVERRIDE=FQ","FILING_STATUS=MR","FA_ADJUSTED=GAAP","Sort=A","Dates=H","DateFormat=P","Fill=—","Direction=H","UseDPDF=Y")</f>
        <v>12.7361</v>
      </c>
      <c r="T60" s="13" cm="1">
        <f t="array" ref="T60">_xll.BDH("CMI US Equity","EBITDA_MARGIN","FQ4 2022","FQ4 2022","Currency=USD","Period=FQ","BEST_FPERIOD_OVERRIDE=FQ","FILING_STATUS=MR","FA_ADJUSTED=GAAP","Sort=A","Dates=H","DateFormat=P","Fill=—","Direction=H","UseDPDF=Y")</f>
        <v>13.2258</v>
      </c>
      <c r="U60" s="13" cm="1">
        <f t="array" ref="U60">_xll.BDH("CMI US Equity","EBITDA_MARGIN","FQ1 2023","FQ1 2023","Currency=USD","Period=FQ","BEST_FPERIOD_OVERRIDE=FQ","FILING_STATUS=MR","FA_ADJUSTED=GAAP","Sort=A","Dates=H","DateFormat=P","Fill=—","Direction=H","UseDPDF=Y")</f>
        <v>14.000400000000001</v>
      </c>
      <c r="V60" s="13" cm="1">
        <f t="array" ref="V60">_xll.BDH("CMI US Equity","EBITDA_MARGIN","FQ2 2023","FQ2 2023","Currency=USD","Period=FQ","BEST_FPERIOD_OVERRIDE=FQ","FILING_STATUS=MR","FA_ADJUSTED=GAAP","Sort=A","Dates=H","DateFormat=P","Fill=—","Direction=H","UseDPDF=Y")</f>
        <v>13.6982</v>
      </c>
      <c r="W60" s="13" cm="1">
        <f t="array" ref="W60">_xll.BDH("CMI US Equity","EBITDA_MARGIN","FQ3 2023","FQ3 2023","Currency=USD","Period=FQ","BEST_FPERIOD_OVERRIDE=FQ","FILING_STATUS=MR","FA_ADJUSTED=GAAP","Sort=A","Dates=H","DateFormat=P","Fill=—","Direction=H","UseDPDF=Y")</f>
        <v>14.3428</v>
      </c>
      <c r="X60" s="13" cm="1">
        <f t="array" ref="X60">_xll.BDH("CMI US Equity","EBITDA_MARGIN","FQ4 2023","FQ4 2023","Currency=USD","Period=FQ","BEST_FPERIOD_OVERRIDE=FQ","FILING_STATUS=MR","FA_ADJUSTED=GAAP","Sort=A","Dates=H","DateFormat=P","Fill=—","Direction=H","UseDPDF=Y")</f>
        <v>8.1754999999999995</v>
      </c>
      <c r="Y60" s="13" cm="1">
        <f t="array" ref="Y60">_xll.BDH("CMI US Equity","EBITDA_MARGIN","FQ1 2024","FQ1 2024","Currency=USD","Period=FQ","BEST_FPERIOD_OVERRIDE=FQ","FILING_STATUS=MR","FA_ADJUSTED=GAAP","Sort=A","Dates=H","DateFormat=P","Fill=—","Direction=H","UseDPDF=Y")</f>
        <v>7.9405999999999999</v>
      </c>
      <c r="Z60" s="13" cm="1">
        <f t="array" ref="Z60">_xll.BDH("CMI US Equity","EBITDA_MARGIN","FQ2 2024","FQ2 2024","Currency=USD","Period=FQ","BEST_FPERIOD_OVERRIDE=FQ","FILING_STATUS=MR","FA_ADJUSTED=GAAP","Sort=A","Dates=H","DateFormat=P","Fill=—","Direction=H","UseDPDF=Y")</f>
        <v>8.0618999999999996</v>
      </c>
      <c r="AA60" s="13" cm="1">
        <f t="array" ref="AA60">_xll.BDH("CMI US Equity","EBITDA_MARGIN","FQ3 2024","FQ3 2024","Currency=USD","Period=FQ","BEST_FPERIOD_OVERRIDE=FQ","FILING_STATUS=MR","FA_ADJUSTED=GAAP","Sort=A","Dates=H","DateFormat=P","Fill=—","Direction=H","UseDPDF=Y")</f>
        <v>8.3748000000000005</v>
      </c>
      <c r="AB60" s="13" cm="1">
        <f t="array" ref="AB60">_xll.BDH("CMI US Equity","EBITDA_MARGIN","FQ4 2024","FQ4 2024","Currency=USD","Period=FQ","BEST_FPERIOD_OVERRIDE=FQ","FILING_STATUS=MR","FA_ADJUSTED=GAAP","Sort=A","Dates=H","DateFormat=P","Fill=—","Direction=H","UseDPDF=Y")</f>
        <v>14.119400000000001</v>
      </c>
      <c r="AC60" s="13" cm="1">
        <f t="array" ref="AC60">_xll.BDH("CMI US Equity","EBITDA_MARGIN","FQ1 2025","FQ1 2025","Currency=USD","Period=FQ","BEST_FPERIOD_OVERRIDE=FQ","FILING_STATUS=MR","FA_ADJUSTED=GAAP","Sort=A","Dates=H","DateFormat=P","Fill=—","Direction=H","UseDPDF=Y")</f>
        <v>14.849600000000001</v>
      </c>
      <c r="AD60" s="13" cm="1">
        <f t="array" ref="AD60">_xll.BDH("CMI US Equity","EBITDA_MARGIN","FQ2 2025","FQ2 2025","Currency=USD","Period=FQ","BEST_FPERIOD_OVERRIDE=FQ","FILING_STATUS=MR","FA_ADJUSTED=GAAP","Sort=A","Dates=H","DateFormat=P","Fill=—","Direction=H","UseDPDF=Y")</f>
        <v>15.501200000000001</v>
      </c>
      <c r="AE60" s="13" cm="1">
        <f t="array" ref="AE60">_xll.BDH("CMI US Equity","EBITDA_MARGIN","FQ3 2025","FQ3 2025","Currency=USD","Period=FQ","BEST_FPERIOD_OVERRIDE=FQ","FILING_STATUS=MR","FA_ADJUSTED=GAAP","Sort=A","Dates=H","DateFormat=P","Fill=—","Direction=H","UseDPDF=Y")</f>
        <v>15.0085</v>
      </c>
      <c r="AF60" s="13" cm="1">
        <f t="array" ref="AF60">_xll.BDH("CMI US Equity","EBITDA_MARGIN","FQ4 2025","FQ4 2025","Currency=USD","Period=FQ","BEST_FPERIOD_OVERRIDE=FQ","FILING_STATUS=MR","FA_ADJUSTED=GAAP","Sort=A","Dates=H","DateFormat=P","Fill=—","Direction=H","UseDPDF=Y")</f>
        <v>15.2361</v>
      </c>
    </row>
    <row r="61" spans="1:32" x14ac:dyDescent="0.25">
      <c r="A61" s="10" t="s">
        <v>152</v>
      </c>
      <c r="B61" s="10" t="s">
        <v>153</v>
      </c>
      <c r="C61" s="12" t="str" cm="1">
        <f t="array" ref="C61">_xll.BDH("CMI US Equity","CF_NET_CASH_PAID_FOR_AQUIS","FQ3 2018","FQ3 2018","Currency=USD","Period=FQ","BEST_FPERIOD_OVERRIDE=FQ","FILING_STATUS=MR","SCALING_FORMAT=MLN","Sort=A","Dates=H","DateFormat=P","Fill=—","Direction=H","UseDPDF=Y")</f>
        <v>—</v>
      </c>
      <c r="D61" s="12" cm="1">
        <f t="array" ref="D61">_xll.BDH("CMI US Equity","CF_NET_CASH_PAID_FOR_AQUIS","FQ4 2018","FQ4 2018","Currency=USD","Period=FQ","BEST_FPERIOD_OVERRIDE=FQ","FILING_STATUS=MR","SCALING_FORMAT=MLN","Sort=A","Dates=H","DateFormat=P","Fill=—","Direction=H","UseDPDF=Y")</f>
        <v>0</v>
      </c>
      <c r="E61" s="12" t="str" cm="1">
        <f t="array" ref="E61">_xll.BDH("CMI US Equity","CF_NET_CASH_PAID_FOR_AQUIS","FQ1 2019","FQ1 2019","Currency=USD","Period=FQ","BEST_FPERIOD_OVERRIDE=FQ","FILING_STATUS=MR","SCALING_FORMAT=MLN","Sort=A","Dates=H","DateFormat=P","Fill=—","Direction=H","UseDPDF=Y")</f>
        <v>—</v>
      </c>
      <c r="F61" s="12" t="str" cm="1">
        <f t="array" ref="F61">_xll.BDH("CMI US Equity","CF_NET_CASH_PAID_FOR_AQUIS","FQ2 2019","FQ2 2019","Currency=USD","Period=FQ","BEST_FPERIOD_OVERRIDE=FQ","FILING_STATUS=MR","SCALING_FORMAT=MLN","Sort=A","Dates=H","DateFormat=P","Fill=—","Direction=H","UseDPDF=Y")</f>
        <v>—</v>
      </c>
      <c r="G61" s="12" t="str" cm="1">
        <f t="array" ref="G61">_xll.BDH("CMI US Equity","CF_NET_CASH_PAID_FOR_AQUIS","FQ3 2019","FQ3 2019","Currency=USD","Period=FQ","BEST_FPERIOD_OVERRIDE=FQ","FILING_STATUS=MR","SCALING_FORMAT=MLN","Sort=A","Dates=H","DateFormat=P","Fill=—","Direction=H","UseDPDF=Y")</f>
        <v>—</v>
      </c>
      <c r="H61" s="12" cm="1">
        <f t="array" ref="H61">_xll.BDH("CMI US Equity","CF_NET_CASH_PAID_FOR_AQUIS","FQ4 2019","FQ4 2019","Currency=USD","Period=FQ","BEST_FPERIOD_OVERRIDE=FQ","FILING_STATUS=MR","SCALING_FORMAT=MLN","Sort=A","Dates=H","DateFormat=P","Fill=—","Direction=H","UseDPDF=Y")</f>
        <v>0</v>
      </c>
      <c r="I61" s="12" t="str" cm="1">
        <f t="array" ref="I61">_xll.BDH("CMI US Equity","CF_NET_CASH_PAID_FOR_AQUIS","FQ1 2020","FQ1 2020","Currency=USD","Period=FQ","BEST_FPERIOD_OVERRIDE=FQ","FILING_STATUS=MR","SCALING_FORMAT=MLN","Sort=A","Dates=H","DateFormat=P","Fill=—","Direction=H","UseDPDF=Y")</f>
        <v>—</v>
      </c>
      <c r="J61" s="12" t="str" cm="1">
        <f t="array" ref="J61">_xll.BDH("CMI US Equity","CF_NET_CASH_PAID_FOR_AQUIS","FQ2 2020","FQ2 2020","Currency=USD","Period=FQ","BEST_FPERIOD_OVERRIDE=FQ","FILING_STATUS=MR","SCALING_FORMAT=MLN","Sort=A","Dates=H","DateFormat=P","Fill=—","Direction=H","UseDPDF=Y")</f>
        <v>—</v>
      </c>
      <c r="K61" s="12" cm="1">
        <f t="array" ref="K61">_xll.BDH("CMI US Equity","CF_NET_CASH_PAID_FOR_AQUIS","FQ3 2020","FQ3 2020","Currency=USD","Period=FQ","BEST_FPERIOD_OVERRIDE=FQ","FILING_STATUS=MR","SCALING_FORMAT=MLN","Sort=A","Dates=H","DateFormat=P","Fill=—","Direction=H","UseDPDF=Y")</f>
        <v>0</v>
      </c>
      <c r="L61" s="12" cm="1">
        <f t="array" ref="L61">_xll.BDH("CMI US Equity","CF_NET_CASH_PAID_FOR_AQUIS","FQ4 2020","FQ4 2020","Currency=USD","Period=FQ","BEST_FPERIOD_OVERRIDE=FQ","FILING_STATUS=MR","SCALING_FORMAT=MLN","Sort=A","Dates=H","DateFormat=P","Fill=—","Direction=H","UseDPDF=Y")</f>
        <v>0</v>
      </c>
      <c r="M61" s="12" t="str" cm="1">
        <f t="array" ref="M61">_xll.BDH("CMI US Equity","CF_NET_CASH_PAID_FOR_AQUIS","FQ1 2021","FQ1 2021","Currency=USD","Period=FQ","BEST_FPERIOD_OVERRIDE=FQ","FILING_STATUS=MR","SCALING_FORMAT=MLN","Sort=A","Dates=H","DateFormat=P","Fill=—","Direction=H","UseDPDF=Y")</f>
        <v>—</v>
      </c>
      <c r="N61" s="12" cm="1">
        <f t="array" ref="N61">_xll.BDH("CMI US Equity","CF_NET_CASH_PAID_FOR_AQUIS","FQ2 2021","FQ2 2021","Currency=USD","Period=FQ","BEST_FPERIOD_OVERRIDE=FQ","FILING_STATUS=MR","SCALING_FORMAT=MLN","Sort=A","Dates=H","DateFormat=P","Fill=—","Direction=H","UseDPDF=Y")</f>
        <v>0</v>
      </c>
      <c r="O61" s="12" cm="1">
        <f t="array" ref="O61">_xll.BDH("CMI US Equity","CF_NET_CASH_PAID_FOR_AQUIS","FQ3 2021","FQ3 2021","Currency=USD","Period=FQ","BEST_FPERIOD_OVERRIDE=FQ","FILING_STATUS=MR","SCALING_FORMAT=MLN","Sort=A","Dates=H","DateFormat=P","Fill=—","Direction=H","UseDPDF=Y")</f>
        <v>0</v>
      </c>
      <c r="P61" s="12" cm="1">
        <f t="array" ref="P61">_xll.BDH("CMI US Equity","CF_NET_CASH_PAID_FOR_AQUIS","FQ4 2021","FQ4 2021","Currency=USD","Period=FQ","BEST_FPERIOD_OVERRIDE=FQ","FILING_STATUS=MR","SCALING_FORMAT=MLN","Sort=A","Dates=H","DateFormat=P","Fill=—","Direction=H","UseDPDF=Y")</f>
        <v>0</v>
      </c>
      <c r="Q61" s="12" cm="1">
        <f t="array" ref="Q61">_xll.BDH("CMI US Equity","CF_NET_CASH_PAID_FOR_AQUIS","FQ1 2022","FQ1 2022","Currency=USD","Period=FQ","BEST_FPERIOD_OVERRIDE=FQ","FILING_STATUS=MR","SCALING_FORMAT=MLN","Sort=A","Dates=H","DateFormat=P","Fill=—","Direction=H","UseDPDF=Y")</f>
        <v>-83</v>
      </c>
      <c r="R61" s="12" cm="1">
        <f t="array" ref="R61">_xll.BDH("CMI US Equity","CF_NET_CASH_PAID_FOR_AQUIS","FQ2 2022","FQ2 2022","Currency=USD","Period=FQ","BEST_FPERIOD_OVERRIDE=FQ","FILING_STATUS=MR","SCALING_FORMAT=MLN","Sort=A","Dates=H","DateFormat=P","Fill=—","Direction=H","UseDPDF=Y")</f>
        <v>328</v>
      </c>
      <c r="S61" s="12" cm="1">
        <f t="array" ref="S61">_xll.BDH("CMI US Equity","CF_NET_CASH_PAID_FOR_AQUIS","FQ3 2022","FQ3 2022","Currency=USD","Period=FQ","BEST_FPERIOD_OVERRIDE=FQ","FILING_STATUS=MR","SCALING_FORMAT=MLN","Sort=A","Dates=H","DateFormat=P","Fill=—","Direction=H","UseDPDF=Y")</f>
        <v>2763</v>
      </c>
      <c r="T61" s="12" cm="1">
        <f t="array" ref="T61">_xll.BDH("CMI US Equity","CF_NET_CASH_PAID_FOR_AQUIS","FQ4 2022","FQ4 2022","Currency=USD","Period=FQ","BEST_FPERIOD_OVERRIDE=FQ","FILING_STATUS=MR","SCALING_FORMAT=MLN","Sort=A","Dates=H","DateFormat=P","Fill=—","Direction=H","UseDPDF=Y")</f>
        <v>183</v>
      </c>
      <c r="U61" s="12" cm="1">
        <f t="array" ref="U61">_xll.BDH("CMI US Equity","CF_NET_CASH_PAID_FOR_AQUIS","FQ1 2023","FQ1 2023","Currency=USD","Period=FQ","BEST_FPERIOD_OVERRIDE=FQ","FILING_STATUS=MR","SCALING_FORMAT=MLN","Sort=A","Dates=H","DateFormat=P","Fill=—","Direction=H","UseDPDF=Y")</f>
        <v>0</v>
      </c>
      <c r="V61" s="12" cm="1">
        <f t="array" ref="V61">_xll.BDH("CMI US Equity","CF_NET_CASH_PAID_FOR_AQUIS","FQ2 2023","FQ2 2023","Currency=USD","Period=FQ","BEST_FPERIOD_OVERRIDE=FQ","FILING_STATUS=MR","SCALING_FORMAT=MLN","Sort=A","Dates=H","DateFormat=P","Fill=—","Direction=H","UseDPDF=Y")</f>
        <v>-192</v>
      </c>
      <c r="W61" s="12" cm="1">
        <f t="array" ref="W61">_xll.BDH("CMI US Equity","CF_NET_CASH_PAID_FOR_AQUIS","FQ3 2023","FQ3 2023","Currency=USD","Period=FQ","BEST_FPERIOD_OVERRIDE=FQ","FILING_STATUS=MR","SCALING_FORMAT=MLN","Sort=A","Dates=H","DateFormat=P","Fill=—","Direction=H","UseDPDF=Y")</f>
        <v>-7</v>
      </c>
      <c r="X61" s="12" cm="1">
        <f t="array" ref="X61">_xll.BDH("CMI US Equity","CF_NET_CASH_PAID_FOR_AQUIS","FQ4 2023","FQ4 2023","Currency=USD","Period=FQ","BEST_FPERIOD_OVERRIDE=FQ","FILING_STATUS=MR","SCALING_FORMAT=MLN","Sort=A","Dates=H","DateFormat=P","Fill=—","Direction=H","UseDPDF=Y")</f>
        <v>165</v>
      </c>
      <c r="Y61" s="12" cm="1">
        <f t="array" ref="Y61">_xll.BDH("CMI US Equity","CF_NET_CASH_PAID_FOR_AQUIS","FQ1 2024","FQ1 2024","Currency=USD","Period=FQ","BEST_FPERIOD_OVERRIDE=FQ","FILING_STATUS=MR","SCALING_FORMAT=MLN","Sort=A","Dates=H","DateFormat=P","Fill=—","Direction=H","UseDPDF=Y")</f>
        <v>59</v>
      </c>
      <c r="Z61" s="12" cm="1">
        <f t="array" ref="Z61">_xll.BDH("CMI US Equity","CF_NET_CASH_PAID_FOR_AQUIS","FQ2 2024","FQ2 2024","Currency=USD","Period=FQ","BEST_FPERIOD_OVERRIDE=FQ","FILING_STATUS=MR","SCALING_FORMAT=MLN","Sort=A","Dates=H","DateFormat=P","Fill=—","Direction=H","UseDPDF=Y")</f>
        <v>-1</v>
      </c>
      <c r="AA61" s="12" cm="1">
        <f t="array" ref="AA61">_xll.BDH("CMI US Equity","CF_NET_CASH_PAID_FOR_AQUIS","FQ3 2024","FQ3 2024","Currency=USD","Period=FQ","BEST_FPERIOD_OVERRIDE=FQ","FILING_STATUS=MR","SCALING_FORMAT=MLN","Sort=A","Dates=H","DateFormat=P","Fill=—","Direction=H","UseDPDF=Y")</f>
        <v>0</v>
      </c>
      <c r="AB61" s="12" cm="1">
        <f t="array" ref="AB61">_xll.BDH("CMI US Equity","CF_NET_CASH_PAID_FOR_AQUIS","FQ4 2024","FQ4 2024","Currency=USD","Period=FQ","BEST_FPERIOD_OVERRIDE=FQ","FILING_STATUS=MR","SCALING_FORMAT=MLN","Sort=A","Dates=H","DateFormat=P","Fill=—","Direction=H","UseDPDF=Y")</f>
        <v>174</v>
      </c>
      <c r="AC61" s="12" cm="1">
        <f t="array" ref="AC61">_xll.BDH("CMI US Equity","CF_NET_CASH_PAID_FOR_AQUIS","FQ1 2025","FQ1 2025","Currency=USD","Period=FQ","BEST_FPERIOD_OVERRIDE=FQ","FILING_STATUS=MR","SCALING_FORMAT=MLN","Sort=A","Dates=H","DateFormat=P","Fill=—","Direction=H","UseDPDF=Y")</f>
        <v>12</v>
      </c>
      <c r="AD61" s="12" cm="1">
        <f t="array" ref="AD61">_xll.BDH("CMI US Equity","CF_NET_CASH_PAID_FOR_AQUIS","FQ2 2025","FQ2 2025","Currency=USD","Period=FQ","BEST_FPERIOD_OVERRIDE=FQ","FILING_STATUS=MR","SCALING_FORMAT=MLN","Sort=A","Dates=H","DateFormat=P","Fill=—","Direction=H","UseDPDF=Y")</f>
        <v>0</v>
      </c>
      <c r="AE61" s="12" cm="1">
        <f t="array" ref="AE61">_xll.BDH("CMI US Equity","CF_NET_CASH_PAID_FOR_AQUIS","FQ3 2025","FQ3 2025","Currency=USD","Period=FQ","BEST_FPERIOD_OVERRIDE=FQ","FILING_STATUS=MR","SCALING_FORMAT=MLN","Sort=A","Dates=H","DateFormat=P","Fill=—","Direction=H","UseDPDF=Y")</f>
        <v>0</v>
      </c>
      <c r="AF61" s="12" cm="1">
        <f t="array" ref="AF61">_xll.BDH("CMI US Equity","CF_NET_CASH_PAID_FOR_AQUIS","FQ4 2025","FQ4 2025","Currency=USD","Period=FQ","BEST_FPERIOD_OVERRIDE=FQ","FILING_STATUS=MR","SCALING_FORMAT=MLN","Sort=A","Dates=H","DateFormat=P","Fill=—","Direction=H","UseDPDF=Y")</f>
        <v>0</v>
      </c>
    </row>
    <row r="62" spans="1:32" x14ac:dyDescent="0.25">
      <c r="A62" s="10" t="s">
        <v>154</v>
      </c>
      <c r="B62" s="10" t="s">
        <v>155</v>
      </c>
      <c r="C62" s="12" cm="1">
        <f t="array" ref="C62">_xll.BDH("CMI US Equity","CF_FREE_CASH_FLOW","FQ3 2018","FQ3 2018","Currency=USD","Period=FQ","BEST_FPERIOD_OVERRIDE=FQ","FILING_STATUS=MR","SCALING_FORMAT=MLN","Sort=A","Dates=H","DateFormat=P","Fill=—","Direction=H","UseDPDF=Y")</f>
        <v>740</v>
      </c>
      <c r="D62" s="12" cm="1">
        <f t="array" ref="D62">_xll.BDH("CMI US Equity","CF_FREE_CASH_FLOW","FQ4 2018","FQ4 2018","Currency=USD","Period=FQ","BEST_FPERIOD_OVERRIDE=FQ","FILING_STATUS=MR","SCALING_FORMAT=MLN","Sort=A","Dates=H","DateFormat=P","Fill=—","Direction=H","UseDPDF=Y")</f>
        <v>642</v>
      </c>
      <c r="E62" s="12" cm="1">
        <f t="array" ref="E62">_xll.BDH("CMI US Equity","CF_FREE_CASH_FLOW","FQ1 2019","FQ1 2019","Currency=USD","Period=FQ","BEST_FPERIOD_OVERRIDE=FQ","FILING_STATUS=MR","SCALING_FORMAT=MLN","Sort=A","Dates=H","DateFormat=P","Fill=—","Direction=H","UseDPDF=Y")</f>
        <v>303</v>
      </c>
      <c r="F62" s="12" cm="1">
        <f t="array" ref="F62">_xll.BDH("CMI US Equity","CF_FREE_CASH_FLOW","FQ2 2019","FQ2 2019","Currency=USD","Period=FQ","BEST_FPERIOD_OVERRIDE=FQ","FILING_STATUS=MR","SCALING_FORMAT=MLN","Sort=A","Dates=H","DateFormat=P","Fill=—","Direction=H","UseDPDF=Y")</f>
        <v>675</v>
      </c>
      <c r="G62" s="12" cm="1">
        <f t="array" ref="G62">_xll.BDH("CMI US Equity","CF_FREE_CASH_FLOW","FQ3 2019","FQ3 2019","Currency=USD","Period=FQ","BEST_FPERIOD_OVERRIDE=FQ","FILING_STATUS=MR","SCALING_FORMAT=MLN","Sort=A","Dates=H","DateFormat=P","Fill=—","Direction=H","UseDPDF=Y")</f>
        <v>922</v>
      </c>
      <c r="H62" s="12" cm="1">
        <f t="array" ref="H62">_xll.BDH("CMI US Equity","CF_FREE_CASH_FLOW","FQ4 2019","FQ4 2019","Currency=USD","Period=FQ","BEST_FPERIOD_OVERRIDE=FQ","FILING_STATUS=MR","SCALING_FORMAT=MLN","Sort=A","Dates=H","DateFormat=P","Fill=—","Direction=H","UseDPDF=Y")</f>
        <v>533</v>
      </c>
      <c r="I62" s="12" cm="1">
        <f t="array" ref="I62">_xll.BDH("CMI US Equity","CF_FREE_CASH_FLOW","FQ1 2020","FQ1 2020","Currency=USD","Period=FQ","BEST_FPERIOD_OVERRIDE=FQ","FILING_STATUS=MR","SCALING_FORMAT=MLN","Sort=A","Dates=H","DateFormat=P","Fill=—","Direction=H","UseDPDF=Y")</f>
        <v>304</v>
      </c>
      <c r="J62" s="12" cm="1">
        <f t="array" ref="J62">_xll.BDH("CMI US Equity","CF_FREE_CASH_FLOW","FQ2 2020","FQ2 2020","Currency=USD","Period=FQ","BEST_FPERIOD_OVERRIDE=FQ","FILING_STATUS=MR","SCALING_FORMAT=MLN","Sort=A","Dates=H","DateFormat=P","Fill=—","Direction=H","UseDPDF=Y")</f>
        <v>-99</v>
      </c>
      <c r="K62" s="12" cm="1">
        <f t="array" ref="K62">_xll.BDH("CMI US Equity","CF_FREE_CASH_FLOW","FQ3 2020","FQ3 2020","Currency=USD","Period=FQ","BEST_FPERIOD_OVERRIDE=FQ","FILING_STATUS=MR","SCALING_FORMAT=MLN","Sort=A","Dates=H","DateFormat=P","Fill=—","Direction=H","UseDPDF=Y")</f>
        <v>1107</v>
      </c>
      <c r="L62" s="12" cm="1">
        <f t="array" ref="L62">_xll.BDH("CMI US Equity","CF_FREE_CASH_FLOW","FQ4 2020","FQ4 2020","Currency=USD","Period=FQ","BEST_FPERIOD_OVERRIDE=FQ","FILING_STATUS=MR","SCALING_FORMAT=MLN","Sort=A","Dates=H","DateFormat=P","Fill=—","Direction=H","UseDPDF=Y")</f>
        <v>882</v>
      </c>
      <c r="M62" s="12" cm="1">
        <f t="array" ref="M62">_xll.BDH("CMI US Equity","CF_FREE_CASH_FLOW","FQ1 2021","FQ1 2021","Currency=USD","Period=FQ","BEST_FPERIOD_OVERRIDE=FQ","FILING_STATUS=MR","SCALING_FORMAT=MLN","Sort=A","Dates=H","DateFormat=P","Fill=—","Direction=H","UseDPDF=Y")</f>
        <v>252</v>
      </c>
      <c r="N62" s="12" cm="1">
        <f t="array" ref="N62">_xll.BDH("CMI US Equity","CF_FREE_CASH_FLOW","FQ2 2021","FQ2 2021","Currency=USD","Period=FQ","BEST_FPERIOD_OVERRIDE=FQ","FILING_STATUS=MR","SCALING_FORMAT=MLN","Sort=A","Dates=H","DateFormat=P","Fill=—","Direction=H","UseDPDF=Y")</f>
        <v>491</v>
      </c>
      <c r="O62" s="12" cm="1">
        <f t="array" ref="O62">_xll.BDH("CMI US Equity","CF_FREE_CASH_FLOW","FQ3 2021","FQ3 2021","Currency=USD","Period=FQ","BEST_FPERIOD_OVERRIDE=FQ","FILING_STATUS=MR","SCALING_FORMAT=MLN","Sort=A","Dates=H","DateFormat=P","Fill=—","Direction=H","UseDPDF=Y")</f>
        <v>419</v>
      </c>
      <c r="P62" s="12" cm="1">
        <f t="array" ref="P62">_xll.BDH("CMI US Equity","CF_FREE_CASH_FLOW","FQ4 2021","FQ4 2021","Currency=USD","Period=FQ","BEST_FPERIOD_OVERRIDE=FQ","FILING_STATUS=MR","SCALING_FORMAT=MLN","Sort=A","Dates=H","DateFormat=P","Fill=—","Direction=H","UseDPDF=Y")</f>
        <v>340</v>
      </c>
      <c r="Q62" s="12" cm="1">
        <f t="array" ref="Q62">_xll.BDH("CMI US Equity","CF_FREE_CASH_FLOW","FQ1 2022","FQ1 2022","Currency=USD","Period=FQ","BEST_FPERIOD_OVERRIDE=FQ","FILING_STATUS=MR","SCALING_FORMAT=MLN","Sort=A","Dates=H","DateFormat=P","Fill=—","Direction=H","UseDPDF=Y")</f>
        <v>60</v>
      </c>
      <c r="R62" s="12" cm="1">
        <f t="array" ref="R62">_xll.BDH("CMI US Equity","CF_FREE_CASH_FLOW","FQ2 2022","FQ2 2022","Currency=USD","Period=FQ","BEST_FPERIOD_OVERRIDE=FQ","FILING_STATUS=MR","SCALING_FORMAT=MLN","Sort=A","Dates=H","DateFormat=P","Fill=—","Direction=H","UseDPDF=Y")</f>
        <v>452</v>
      </c>
      <c r="S62" s="12" cm="1">
        <f t="array" ref="S62">_xll.BDH("CMI US Equity","CF_FREE_CASH_FLOW","FQ3 2022","FQ3 2022","Currency=USD","Period=FQ","BEST_FPERIOD_OVERRIDE=FQ","FILING_STATUS=MR","SCALING_FORMAT=MLN","Sort=A","Dates=H","DateFormat=P","Fill=—","Direction=H","UseDPDF=Y")</f>
        <v>180</v>
      </c>
      <c r="T62" s="12" cm="1">
        <f t="array" ref="T62">_xll.BDH("CMI US Equity","CF_FREE_CASH_FLOW","FQ4 2022","FQ4 2022","Currency=USD","Period=FQ","BEST_FPERIOD_OVERRIDE=FQ","FILING_STATUS=MR","SCALING_FORMAT=MLN","Sort=A","Dates=H","DateFormat=P","Fill=—","Direction=H","UseDPDF=Y")</f>
        <v>354</v>
      </c>
      <c r="U62" s="12" cm="1">
        <f t="array" ref="U62">_xll.BDH("CMI US Equity","CF_FREE_CASH_FLOW","FQ1 2023","FQ1 2023","Currency=USD","Period=FQ","BEST_FPERIOD_OVERRIDE=FQ","FILING_STATUS=MR","SCALING_FORMAT=MLN","Sort=A","Dates=H","DateFormat=P","Fill=—","Direction=H","UseDPDF=Y")</f>
        <v>302</v>
      </c>
      <c r="V62" s="12" cm="1">
        <f t="array" ref="V62">_xll.BDH("CMI US Equity","CF_FREE_CASH_FLOW","FQ2 2023","FQ2 2023","Currency=USD","Period=FQ","BEST_FPERIOD_OVERRIDE=FQ","FILING_STATUS=MR","SCALING_FORMAT=MLN","Sort=A","Dates=H","DateFormat=P","Fill=—","Direction=H","UseDPDF=Y")</f>
        <v>262</v>
      </c>
      <c r="W62" s="12" cm="1">
        <f t="array" ref="W62">_xll.BDH("CMI US Equity","CF_FREE_CASH_FLOW","FQ3 2023","FQ3 2023","Currency=USD","Period=FQ","BEST_FPERIOD_OVERRIDE=FQ","FILING_STATUS=MR","SCALING_FORMAT=MLN","Sort=A","Dates=H","DateFormat=P","Fill=—","Direction=H","UseDPDF=Y")</f>
        <v>1249</v>
      </c>
      <c r="X62" s="12" cm="1">
        <f t="array" ref="X62">_xll.BDH("CMI US Equity","CF_FREE_CASH_FLOW","FQ4 2023","FQ4 2023","Currency=USD","Period=FQ","BEST_FPERIOD_OVERRIDE=FQ","FILING_STATUS=MR","SCALING_FORMAT=MLN","Sort=A","Dates=H","DateFormat=P","Fill=—","Direction=H","UseDPDF=Y")</f>
        <v>940</v>
      </c>
      <c r="Y62" s="12" cm="1">
        <f t="array" ref="Y62">_xll.BDH("CMI US Equity","CF_FREE_CASH_FLOW","FQ1 2024","FQ1 2024","Currency=USD","Period=FQ","BEST_FPERIOD_OVERRIDE=FQ","FILING_STATUS=MR","SCALING_FORMAT=MLN","Sort=A","Dates=H","DateFormat=P","Fill=—","Direction=H","UseDPDF=Y")</f>
        <v>107</v>
      </c>
      <c r="Z62" s="12" cm="1">
        <f t="array" ref="Z62">_xll.BDH("CMI US Equity","CF_FREE_CASH_FLOW","FQ2 2024","FQ2 2024","Currency=USD","Period=FQ","BEST_FPERIOD_OVERRIDE=FQ","FILING_STATUS=MR","SCALING_FORMAT=MLN","Sort=A","Dates=H","DateFormat=P","Fill=—","Direction=H","UseDPDF=Y")</f>
        <v>-1091</v>
      </c>
      <c r="AA62" s="12" cm="1">
        <f t="array" ref="AA62">_xll.BDH("CMI US Equity","CF_FREE_CASH_FLOW","FQ3 2024","FQ3 2024","Currency=USD","Period=FQ","BEST_FPERIOD_OVERRIDE=FQ","FILING_STATUS=MR","SCALING_FORMAT=MLN","Sort=A","Dates=H","DateFormat=P","Fill=—","Direction=H","UseDPDF=Y")</f>
        <v>381</v>
      </c>
      <c r="AB62" s="12" cm="1">
        <f t="array" ref="AB62">_xll.BDH("CMI US Equity","CF_FREE_CASH_FLOW","FQ4 2024","FQ4 2024","Currency=USD","Period=FQ","BEST_FPERIOD_OVERRIDE=FQ","FILING_STATUS=MR","SCALING_FORMAT=MLN","Sort=A","Dates=H","DateFormat=P","Fill=—","Direction=H","UseDPDF=Y")</f>
        <v>882</v>
      </c>
      <c r="AC62" s="12" cm="1">
        <f t="array" ref="AC62">_xll.BDH("CMI US Equity","CF_FREE_CASH_FLOW","FQ1 2025","FQ1 2025","Currency=USD","Period=FQ","BEST_FPERIOD_OVERRIDE=FQ","FILING_STATUS=MR","SCALING_FORMAT=MLN","Sort=A","Dates=H","DateFormat=P","Fill=—","Direction=H","UseDPDF=Y")</f>
        <v>-165</v>
      </c>
      <c r="AD62" s="12" cm="1">
        <f t="array" ref="AD62">_xll.BDH("CMI US Equity","CF_FREE_CASH_FLOW","FQ2 2025","FQ2 2025","Currency=USD","Period=FQ","BEST_FPERIOD_OVERRIDE=FQ","FILING_STATUS=MR","SCALING_FORMAT=MLN","Sort=A","Dates=H","DateFormat=P","Fill=—","Direction=H","UseDPDF=Y")</f>
        <v>554</v>
      </c>
      <c r="AE62" s="12" cm="1">
        <f t="array" ref="AE62">_xll.BDH("CMI US Equity","CF_FREE_CASH_FLOW","FQ3 2025","FQ3 2025","Currency=USD","Period=FQ","BEST_FPERIOD_OVERRIDE=FQ","FILING_STATUS=MR","SCALING_FORMAT=MLN","Sort=A","Dates=H","DateFormat=P","Fill=—","Direction=H","UseDPDF=Y")</f>
        <v>1007</v>
      </c>
      <c r="AF62" s="12" cm="1">
        <f t="array" ref="AF62">_xll.BDH("CMI US Equity","CF_FREE_CASH_FLOW","FQ4 2025","FQ4 2025","Currency=USD","Period=FQ","BEST_FPERIOD_OVERRIDE=FQ","FILING_STATUS=MR","SCALING_FORMAT=MLN","Sort=A","Dates=H","DateFormat=P","Fill=—","Direction=H","UseDPDF=Y")</f>
        <v>990</v>
      </c>
    </row>
    <row r="63" spans="1:32" x14ac:dyDescent="0.25">
      <c r="A63" s="10" t="s">
        <v>156</v>
      </c>
      <c r="B63" s="10" t="s">
        <v>157</v>
      </c>
      <c r="C63" s="12" cm="1">
        <f t="array" ref="C63">_xll.BDH("CMI US Equity","CF_FREE_CASH_FLOW_FIRM","FQ3 2018","FQ3 2018","Currency=USD","Period=FQ","BEST_FPERIOD_OVERRIDE=FQ","FILING_STATUS=MR","SCALING_FORMAT=MLN","FA_ADJUSTED=GAAP","Sort=A","Dates=H","DateFormat=P","Fill=—","Direction=H","UseDPDF=Y")</f>
        <v>766.01239999999996</v>
      </c>
      <c r="D63" s="12" cm="1">
        <f t="array" ref="D63">_xll.BDH("CMI US Equity","CF_FREE_CASH_FLOW_FIRM","FQ4 2018","FQ4 2018","Currency=USD","Period=FQ","BEST_FPERIOD_OVERRIDE=FQ","FILING_STATUS=MR","SCALING_FORMAT=MLN","FA_ADJUSTED=GAAP","Sort=A","Dates=H","DateFormat=P","Fill=—","Direction=H","UseDPDF=Y")</f>
        <v>669.49300000000005</v>
      </c>
      <c r="E63" s="12" cm="1">
        <f t="array" ref="E63">_xll.BDH("CMI US Equity","CF_FREE_CASH_FLOW_FIRM","FQ1 2019","FQ1 2019","Currency=USD","Period=FQ","BEST_FPERIOD_OVERRIDE=FQ","FILING_STATUS=MR","SCALING_FORMAT=MLN","FA_ADJUSTED=GAAP","Sort=A","Dates=H","DateFormat=P","Fill=—","Direction=H","UseDPDF=Y")</f>
        <v>328.3349</v>
      </c>
      <c r="F63" s="12" cm="1">
        <f t="array" ref="F63">_xll.BDH("CMI US Equity","CF_FREE_CASH_FLOW_FIRM","FQ2 2019","FQ2 2019","Currency=USD","Period=FQ","BEST_FPERIOD_OVERRIDE=FQ","FILING_STATUS=MR","SCALING_FORMAT=MLN","FA_ADJUSTED=GAAP","Sort=A","Dates=H","DateFormat=P","Fill=—","Direction=H","UseDPDF=Y")</f>
        <v>697.80709999999999</v>
      </c>
      <c r="G63" s="12" cm="1">
        <f t="array" ref="G63">_xll.BDH("CMI US Equity","CF_FREE_CASH_FLOW_FIRM","FQ3 2019","FQ3 2019","Currency=USD","Period=FQ","BEST_FPERIOD_OVERRIDE=FQ","FILING_STATUS=MR","SCALING_FORMAT=MLN","FA_ADJUSTED=GAAP","Sort=A","Dates=H","DateFormat=P","Fill=—","Direction=H","UseDPDF=Y")</f>
        <v>943.21320000000003</v>
      </c>
      <c r="H63" s="12" cm="1">
        <f t="array" ref="H63">_xll.BDH("CMI US Equity","CF_FREE_CASH_FLOW_FIRM","FQ4 2019","FQ4 2019","Currency=USD","Period=FQ","BEST_FPERIOD_OVERRIDE=FQ","FILING_STATUS=MR","SCALING_FORMAT=MLN","FA_ADJUSTED=GAAP","Sort=A","Dates=H","DateFormat=P","Fill=—","Direction=H","UseDPDF=Y")</f>
        <v>551.06060000000002</v>
      </c>
      <c r="I63" s="12" cm="1">
        <f t="array" ref="I63">_xll.BDH("CMI US Equity","CF_FREE_CASH_FLOW_FIRM","FQ1 2020","FQ1 2020","Currency=USD","Period=FQ","BEST_FPERIOD_OVERRIDE=FQ","FILING_STATUS=MR","SCALING_FORMAT=MLN","FA_ADJUSTED=GAAP","Sort=A","Dates=H","DateFormat=P","Fill=—","Direction=H","UseDPDF=Y")</f>
        <v>322.54050000000001</v>
      </c>
      <c r="J63" s="12" cm="1">
        <f t="array" ref="J63">_xll.BDH("CMI US Equity","CF_FREE_CASH_FLOW_FIRM","FQ2 2020","FQ2 2020","Currency=USD","Period=FQ","BEST_FPERIOD_OVERRIDE=FQ","FILING_STATUS=MR","SCALING_FORMAT=MLN","FA_ADJUSTED=GAAP","Sort=A","Dates=H","DateFormat=P","Fill=—","Direction=H","UseDPDF=Y")</f>
        <v>-81.908799999999999</v>
      </c>
      <c r="K63" s="12" cm="1">
        <f t="array" ref="K63">_xll.BDH("CMI US Equity","CF_FREE_CASH_FLOW_FIRM","FQ3 2020","FQ3 2020","Currency=USD","Period=FQ","BEST_FPERIOD_OVERRIDE=FQ","FILING_STATUS=MR","SCALING_FORMAT=MLN","FA_ADJUSTED=GAAP","Sort=A","Dates=H","DateFormat=P","Fill=—","Direction=H","UseDPDF=Y")</f>
        <v>1125.3672999999999</v>
      </c>
      <c r="L63" s="12" cm="1">
        <f t="array" ref="L63">_xll.BDH("CMI US Equity","CF_FREE_CASH_FLOW_FIRM","FQ4 2020","FQ4 2020","Currency=USD","Period=FQ","BEST_FPERIOD_OVERRIDE=FQ","FILING_STATUS=MR","SCALING_FORMAT=MLN","FA_ADJUSTED=GAAP","Sort=A","Dates=H","DateFormat=P","Fill=—","Direction=H","UseDPDF=Y")</f>
        <v>905.29129999999998</v>
      </c>
      <c r="M63" s="12" cm="1">
        <f t="array" ref="M63">_xll.BDH("CMI US Equity","CF_FREE_CASH_FLOW_FIRM","FQ1 2021","FQ1 2021","Currency=USD","Period=FQ","BEST_FPERIOD_OVERRIDE=FQ","FILING_STATUS=MR","SCALING_FORMAT=MLN","FA_ADJUSTED=GAAP","Sort=A","Dates=H","DateFormat=P","Fill=—","Direction=H","UseDPDF=Y")</f>
        <v>273.84930000000003</v>
      </c>
      <c r="N63" s="12" cm="1">
        <f t="array" ref="N63">_xll.BDH("CMI US Equity","CF_FREE_CASH_FLOW_FIRM","FQ2 2021","FQ2 2021","Currency=USD","Period=FQ","BEST_FPERIOD_OVERRIDE=FQ","FILING_STATUS=MR","SCALING_FORMAT=MLN","FA_ADJUSTED=GAAP","Sort=A","Dates=H","DateFormat=P","Fill=—","Direction=H","UseDPDF=Y")</f>
        <v>513.78309999999999</v>
      </c>
      <c r="O63" s="12" cm="1">
        <f t="array" ref="O63">_xll.BDH("CMI US Equity","CF_FREE_CASH_FLOW_FIRM","FQ3 2021","FQ3 2021","Currency=USD","Period=FQ","BEST_FPERIOD_OVERRIDE=FQ","FILING_STATUS=MR","SCALING_FORMAT=MLN","FA_ADJUSTED=GAAP","Sort=A","Dates=H","DateFormat=P","Fill=—","Direction=H","UseDPDF=Y")</f>
        <v>441.44150000000002</v>
      </c>
      <c r="P63" s="12" cm="1">
        <f t="array" ref="P63">_xll.BDH("CMI US Equity","CF_FREE_CASH_FLOW_FIRM","FQ4 2021","FQ4 2021","Currency=USD","Period=FQ","BEST_FPERIOD_OVERRIDE=FQ","FILING_STATUS=MR","SCALING_FORMAT=MLN","FA_ADJUSTED=GAAP","Sort=A","Dates=H","DateFormat=P","Fill=—","Direction=H","UseDPDF=Y")</f>
        <v>360.23349999999999</v>
      </c>
      <c r="Q63" s="12" cm="1">
        <f t="array" ref="Q63">_xll.BDH("CMI US Equity","CF_FREE_CASH_FLOW_FIRM","FQ1 2022","FQ1 2022","Currency=USD","Period=FQ","BEST_FPERIOD_OVERRIDE=FQ","FILING_STATUS=MR","SCALING_FORMAT=MLN","FA_ADJUSTED=GAAP","Sort=A","Dates=H","DateFormat=P","Fill=—","Direction=H","UseDPDF=Y")</f>
        <v>72.441199999999995</v>
      </c>
      <c r="R63" s="12" cm="1">
        <f t="array" ref="R63">_xll.BDH("CMI US Equity","CF_FREE_CASH_FLOW_FIRM","FQ2 2022","FQ2 2022","Currency=USD","Period=FQ","BEST_FPERIOD_OVERRIDE=FQ","FILING_STATUS=MR","SCALING_FORMAT=MLN","FA_ADJUSTED=GAAP","Sort=A","Dates=H","DateFormat=P","Fill=—","Direction=H","UseDPDF=Y")</f>
        <v>480.1146</v>
      </c>
      <c r="S63" s="12" cm="1">
        <f t="array" ref="S63">_xll.BDH("CMI US Equity","CF_FREE_CASH_FLOW_FIRM","FQ3 2022","FQ3 2022","Currency=USD","Period=FQ","BEST_FPERIOD_OVERRIDE=FQ","FILING_STATUS=MR","SCALING_FORMAT=MLN","FA_ADJUSTED=GAAP","Sort=A","Dates=H","DateFormat=P","Fill=—","Direction=H","UseDPDF=Y")</f>
        <v>221.03450000000001</v>
      </c>
      <c r="T63" s="12" cm="1">
        <f t="array" ref="T63">_xll.BDH("CMI US Equity","CF_FREE_CASH_FLOW_FIRM","FQ4 2022","FQ4 2022","Currency=USD","Period=FQ","BEST_FPERIOD_OVERRIDE=FQ","FILING_STATUS=MR","SCALING_FORMAT=MLN","FA_ADJUSTED=GAAP","Sort=A","Dates=H","DateFormat=P","Fill=—","Direction=H","UseDPDF=Y")</f>
        <v>426.0154</v>
      </c>
      <c r="U63" s="12" cm="1">
        <f t="array" ref="U63">_xll.BDH("CMI US Equity","CF_FREE_CASH_FLOW_FIRM","FQ1 2023","FQ1 2023","Currency=USD","Period=FQ","BEST_FPERIOD_OVERRIDE=FQ","FILING_STATUS=MR","SCALING_FORMAT=MLN","FA_ADJUSTED=GAAP","Sort=A","Dates=H","DateFormat=P","Fill=—","Direction=H","UseDPDF=Y")</f>
        <v>370.14580000000001</v>
      </c>
      <c r="V63" s="12" cm="1">
        <f t="array" ref="V63">_xll.BDH("CMI US Equity","CF_FREE_CASH_FLOW_FIRM","FQ2 2023","FQ2 2023","Currency=USD","Period=FQ","BEST_FPERIOD_OVERRIDE=FQ","FILING_STATUS=MR","SCALING_FORMAT=MLN","FA_ADJUSTED=GAAP","Sort=A","Dates=H","DateFormat=P","Fill=—","Direction=H","UseDPDF=Y")</f>
        <v>338.88409999999999</v>
      </c>
      <c r="W63" s="12" cm="1">
        <f t="array" ref="W63">_xll.BDH("CMI US Equity","CF_FREE_CASH_FLOW_FIRM","FQ3 2023","FQ3 2023","Currency=USD","Period=FQ","BEST_FPERIOD_OVERRIDE=FQ","FILING_STATUS=MR","SCALING_FORMAT=MLN","FA_ADJUSTED=GAAP","Sort=A","Dates=H","DateFormat=P","Fill=—","Direction=H","UseDPDF=Y")</f>
        <v>1325.2301</v>
      </c>
      <c r="X63" s="12" cm="1">
        <f t="array" ref="X63">_xll.BDH("CMI US Equity","CF_FREE_CASH_FLOW_FIRM","FQ4 2023","FQ4 2023","Currency=USD","Period=FQ","BEST_FPERIOD_OVERRIDE=FQ","FILING_STATUS=MR","SCALING_FORMAT=MLN","FA_ADJUSTED=GAAP","Sort=A","Dates=H","DateFormat=P","Fill=—","Direction=H","UseDPDF=Y")</f>
        <v>987.52769999999998</v>
      </c>
      <c r="Y63" s="12" cm="1">
        <f t="array" ref="Y63">_xll.BDH("CMI US Equity","CF_FREE_CASH_FLOW_FIRM","FQ1 2024","FQ1 2024","Currency=USD","Period=FQ","BEST_FPERIOD_OVERRIDE=FQ","FILING_STATUS=MR","SCALING_FORMAT=MLN","FA_ADJUSTED=GAAP","Sort=A","Dates=H","DateFormat=P","Fill=—","Direction=H","UseDPDF=Y")</f>
        <v>188.26609999999999</v>
      </c>
      <c r="Z63" s="12" cm="1">
        <f t="array" ref="Z63">_xll.BDH("CMI US Equity","CF_FREE_CASH_FLOW_FIRM","FQ2 2024","FQ2 2024","Currency=USD","Period=FQ","BEST_FPERIOD_OVERRIDE=FQ","FILING_STATUS=MR","SCALING_FORMAT=MLN","FA_ADJUSTED=GAAP","Sort=A","Dates=H","DateFormat=P","Fill=—","Direction=H","UseDPDF=Y")</f>
        <v>-1007.1024</v>
      </c>
      <c r="AA63" s="12" cm="1">
        <f t="array" ref="AA63">_xll.BDH("CMI US Equity","CF_FREE_CASH_FLOW_FIRM","FQ3 2024","FQ3 2024","Currency=USD","Period=FQ","BEST_FPERIOD_OVERRIDE=FQ","FILING_STATUS=MR","SCALING_FORMAT=MLN","FA_ADJUSTED=GAAP","Sort=A","Dates=H","DateFormat=P","Fill=—","Direction=H","UseDPDF=Y")</f>
        <v>448.08440000000002</v>
      </c>
      <c r="AB63" s="12" cm="1">
        <f t="array" ref="AB63">_xll.BDH("CMI US Equity","CF_FREE_CASH_FLOW_FIRM","FQ4 2024","FQ4 2024","Currency=USD","Period=FQ","BEST_FPERIOD_OVERRIDE=FQ","FILING_STATUS=MR","SCALING_FORMAT=MLN","FA_ADJUSTED=GAAP","Sort=A","Dates=H","DateFormat=P","Fill=—","Direction=H","UseDPDF=Y")</f>
        <v>941.82629999999995</v>
      </c>
      <c r="AC63" s="12" cm="1">
        <f t="array" ref="AC63">_xll.BDH("CMI US Equity","CF_FREE_CASH_FLOW_FIRM","FQ1 2025","FQ1 2025","Currency=USD","Period=FQ","BEST_FPERIOD_OVERRIDE=FQ","FILING_STATUS=MR","SCALING_FORMAT=MLN","FA_ADJUSTED=GAAP","Sort=A","Dates=H","DateFormat=P","Fill=—","Direction=H","UseDPDF=Y")</f>
        <v>-106.40560000000001</v>
      </c>
      <c r="AD63" s="12" cm="1">
        <f t="array" ref="AD63">_xll.BDH("CMI US Equity","CF_FREE_CASH_FLOW_FIRM","FQ2 2025","FQ2 2025","Currency=USD","Period=FQ","BEST_FPERIOD_OVERRIDE=FQ","FILING_STATUS=MR","SCALING_FORMAT=MLN","FA_ADJUSTED=GAAP","Sort=A","Dates=H","DateFormat=P","Fill=—","Direction=H","UseDPDF=Y")</f>
        <v>619.90689999999995</v>
      </c>
      <c r="AE63" s="12" cm="1">
        <f t="array" ref="AE63">_xll.BDH("CMI US Equity","CF_FREE_CASH_FLOW_FIRM","FQ3 2025","FQ3 2025","Currency=USD","Period=FQ","BEST_FPERIOD_OVERRIDE=FQ","FILING_STATUS=MR","SCALING_FORMAT=MLN","FA_ADJUSTED=GAAP","Sort=A","Dates=H","DateFormat=P","Fill=—","Direction=H","UseDPDF=Y")</f>
        <v>1062.9000000000001</v>
      </c>
      <c r="AF63" s="12" cm="1">
        <f t="array" ref="AF63">_xll.BDH("CMI US Equity","CF_FREE_CASH_FLOW_FIRM","FQ4 2025","FQ4 2025","Currency=USD","Period=FQ","BEST_FPERIOD_OVERRIDE=FQ","FILING_STATUS=MR","SCALING_FORMAT=MLN","FA_ADJUSTED=GAAP","Sort=A","Dates=H","DateFormat=P","Fill=—","Direction=H","UseDPDF=Y")</f>
        <v>1054.2731000000001</v>
      </c>
    </row>
    <row r="64" spans="1:32" x14ac:dyDescent="0.25">
      <c r="A64" s="10" t="s">
        <v>158</v>
      </c>
      <c r="B64" s="10" t="s">
        <v>159</v>
      </c>
      <c r="C64" s="12" cm="1">
        <f t="array" ref="C64">_xll.BDH("CMI US Equity","FREE_CASH_FLOW_EQUITY","FQ3 2018","FQ3 2018","Currency=USD","Period=FQ","BEST_FPERIOD_OVERRIDE=FQ","FILING_STATUS=MR","SCALING_FORMAT=MLN","Sort=A","Dates=H","DateFormat=P","Fill=—","Direction=H","UseDPDF=Y")</f>
        <v>727</v>
      </c>
      <c r="D64" s="12" cm="1">
        <f t="array" ref="D64">_xll.BDH("CMI US Equity","FREE_CASH_FLOW_EQUITY","FQ4 2018","FQ4 2018","Currency=USD","Period=FQ","BEST_FPERIOD_OVERRIDE=FQ","FILING_STATUS=MR","SCALING_FORMAT=MLN","Sort=A","Dates=H","DateFormat=P","Fill=—","Direction=H","UseDPDF=Y")</f>
        <v>698</v>
      </c>
      <c r="E64" s="12" cm="1">
        <f t="array" ref="E64">_xll.BDH("CMI US Equity","FREE_CASH_FLOW_EQUITY","FQ1 2019","FQ1 2019","Currency=USD","Period=FQ","BEST_FPERIOD_OVERRIDE=FQ","FILING_STATUS=MR","SCALING_FORMAT=MLN","Sort=A","Dates=H","DateFormat=P","Fill=—","Direction=H","UseDPDF=Y")</f>
        <v>237</v>
      </c>
      <c r="F64" s="12" cm="1">
        <f t="array" ref="F64">_xll.BDH("CMI US Equity","FREE_CASH_FLOW_EQUITY","FQ2 2019","FQ2 2019","Currency=USD","Period=FQ","BEST_FPERIOD_OVERRIDE=FQ","FILING_STATUS=MR","SCALING_FORMAT=MLN","Sort=A","Dates=H","DateFormat=P","Fill=—","Direction=H","UseDPDF=Y")</f>
        <v>435</v>
      </c>
      <c r="G64" s="12" cm="1">
        <f t="array" ref="G64">_xll.BDH("CMI US Equity","FREE_CASH_FLOW_EQUITY","FQ3 2019","FQ3 2019","Currency=USD","Period=FQ","BEST_FPERIOD_OVERRIDE=FQ","FILING_STATUS=MR","SCALING_FORMAT=MLN","Sort=A","Dates=H","DateFormat=P","Fill=—","Direction=H","UseDPDF=Y")</f>
        <v>1366</v>
      </c>
      <c r="H64" s="12" cm="1">
        <f t="array" ref="H64">_xll.BDH("CMI US Equity","FREE_CASH_FLOW_EQUITY","FQ4 2019","FQ4 2019","Currency=USD","Period=FQ","BEST_FPERIOD_OVERRIDE=FQ","FILING_STATUS=MR","SCALING_FORMAT=MLN","Sort=A","Dates=H","DateFormat=P","Fill=—","Direction=H","UseDPDF=Y")</f>
        <v>275</v>
      </c>
      <c r="I64" s="12" cm="1">
        <f t="array" ref="I64">_xll.BDH("CMI US Equity","FREE_CASH_FLOW_EQUITY","FQ1 2020","FQ1 2020","Currency=USD","Period=FQ","BEST_FPERIOD_OVERRIDE=FQ","FILING_STATUS=MR","SCALING_FORMAT=MLN","Sort=A","Dates=H","DateFormat=P","Fill=—","Direction=H","UseDPDF=Y")</f>
        <v>1276</v>
      </c>
      <c r="J64" s="12" cm="1">
        <f t="array" ref="J64">_xll.BDH("CMI US Equity","FREE_CASH_FLOW_EQUITY","FQ2 2020","FQ2 2020","Currency=USD","Period=FQ","BEST_FPERIOD_OVERRIDE=FQ","FILING_STATUS=MR","SCALING_FORMAT=MLN","Sort=A","Dates=H","DateFormat=P","Fill=—","Direction=H","UseDPDF=Y")</f>
        <v>275</v>
      </c>
      <c r="K64" s="12" cm="1">
        <f t="array" ref="K64">_xll.BDH("CMI US Equity","FREE_CASH_FLOW_EQUITY","FQ3 2020","FQ3 2020","Currency=USD","Period=FQ","BEST_FPERIOD_OVERRIDE=FQ","FILING_STATUS=MR","SCALING_FORMAT=MLN","Sort=A","Dates=H","DateFormat=P","Fill=—","Direction=H","UseDPDF=Y")</f>
        <v>1381</v>
      </c>
      <c r="L64" s="12" cm="1">
        <f t="array" ref="L64">_xll.BDH("CMI US Equity","FREE_CASH_FLOW_EQUITY","FQ4 2020","FQ4 2020","Currency=USD","Period=FQ","BEST_FPERIOD_OVERRIDE=FQ","FILING_STATUS=MR","SCALING_FORMAT=MLN","Sort=A","Dates=H","DateFormat=P","Fill=—","Direction=H","UseDPDF=Y")</f>
        <v>903</v>
      </c>
      <c r="M64" s="12" cm="1">
        <f t="array" ref="M64">_xll.BDH("CMI US Equity","FREE_CASH_FLOW_EQUITY","FQ1 2021","FQ1 2021","Currency=USD","Period=FQ","BEST_FPERIOD_OVERRIDE=FQ","FILING_STATUS=MR","SCALING_FORMAT=MLN","Sort=A","Dates=H","DateFormat=P","Fill=—","Direction=H","UseDPDF=Y")</f>
        <v>128</v>
      </c>
      <c r="N64" s="12" cm="1">
        <f t="array" ref="N64">_xll.BDH("CMI US Equity","FREE_CASH_FLOW_EQUITY","FQ2 2021","FQ2 2021","Currency=USD","Period=FQ","BEST_FPERIOD_OVERRIDE=FQ","FILING_STATUS=MR","SCALING_FORMAT=MLN","Sort=A","Dates=H","DateFormat=P","Fill=—","Direction=H","UseDPDF=Y")</f>
        <v>397</v>
      </c>
      <c r="O64" s="12" cm="1">
        <f t="array" ref="O64">_xll.BDH("CMI US Equity","FREE_CASH_FLOW_EQUITY","FQ3 2021","FQ3 2021","Currency=USD","Period=FQ","BEST_FPERIOD_OVERRIDE=FQ","FILING_STATUS=MR","SCALING_FORMAT=MLN","Sort=A","Dates=H","DateFormat=P","Fill=—","Direction=H","UseDPDF=Y")</f>
        <v>419</v>
      </c>
      <c r="P64" s="12" cm="1">
        <f t="array" ref="P64">_xll.BDH("CMI US Equity","FREE_CASH_FLOW_EQUITY","FQ4 2021","FQ4 2021","Currency=USD","Period=FQ","BEST_FPERIOD_OVERRIDE=FQ","FILING_STATUS=MR","SCALING_FORMAT=MLN","Sort=A","Dates=H","DateFormat=P","Fill=—","Direction=H","UseDPDF=Y")</f>
        <v>546</v>
      </c>
      <c r="Q64" s="12" cm="1">
        <f t="array" ref="Q64">_xll.BDH("CMI US Equity","FREE_CASH_FLOW_EQUITY","FQ1 2022","FQ1 2022","Currency=USD","Period=FQ","BEST_FPERIOD_OVERRIDE=FQ","FILING_STATUS=MR","SCALING_FORMAT=MLN","Sort=A","Dates=H","DateFormat=P","Fill=—","Direction=H","UseDPDF=Y")</f>
        <v>63</v>
      </c>
      <c r="R64" s="12" cm="1">
        <f t="array" ref="R64">_xll.BDH("CMI US Equity","FREE_CASH_FLOW_EQUITY","FQ2 2022","FQ2 2022","Currency=USD","Period=FQ","BEST_FPERIOD_OVERRIDE=FQ","FILING_STATUS=MR","SCALING_FORMAT=MLN","Sort=A","Dates=H","DateFormat=P","Fill=—","Direction=H","UseDPDF=Y")</f>
        <v>788</v>
      </c>
      <c r="S64" s="12" cm="1">
        <f t="array" ref="S64">_xll.BDH("CMI US Equity","FREE_CASH_FLOW_EQUITY","FQ3 2022","FQ3 2022","Currency=USD","Period=FQ","BEST_FPERIOD_OVERRIDE=FQ","FILING_STATUS=MR","SCALING_FORMAT=MLN","Sort=A","Dates=H","DateFormat=P","Fill=—","Direction=H","UseDPDF=Y")</f>
        <v>2934</v>
      </c>
      <c r="T64" s="12" cm="1">
        <f t="array" ref="T64">_xll.BDH("CMI US Equity","FREE_CASH_FLOW_EQUITY","FQ4 2022","FQ4 2022","Currency=USD","Period=FQ","BEST_FPERIOD_OVERRIDE=FQ","FILING_STATUS=MR","SCALING_FORMAT=MLN","Sort=A","Dates=H","DateFormat=P","Fill=—","Direction=H","UseDPDF=Y")</f>
        <v>61</v>
      </c>
      <c r="U64" s="12" cm="1">
        <f t="array" ref="U64">_xll.BDH("CMI US Equity","FREE_CASH_FLOW_EQUITY","FQ1 2023","FQ1 2023","Currency=USD","Period=FQ","BEST_FPERIOD_OVERRIDE=FQ","FILING_STATUS=MR","SCALING_FORMAT=MLN","Sort=A","Dates=H","DateFormat=P","Fill=—","Direction=H","UseDPDF=Y")</f>
        <v>174</v>
      </c>
      <c r="V64" s="12" cm="1">
        <f t="array" ref="V64">_xll.BDH("CMI US Equity","FREE_CASH_FLOW_EQUITY","FQ2 2023","FQ2 2023","Currency=USD","Period=FQ","BEST_FPERIOD_OVERRIDE=FQ","FILING_STATUS=MR","SCALING_FORMAT=MLN","Sort=A","Dates=H","DateFormat=P","Fill=—","Direction=H","UseDPDF=Y")</f>
        <v>241</v>
      </c>
      <c r="W64" s="12" cm="1">
        <f t="array" ref="W64">_xll.BDH("CMI US Equity","FREE_CASH_FLOW_EQUITY","FQ3 2023","FQ3 2023","Currency=USD","Period=FQ","BEST_FPERIOD_OVERRIDE=FQ","FILING_STATUS=MR","SCALING_FORMAT=MLN","Sort=A","Dates=H","DateFormat=P","Fill=—","Direction=H","UseDPDF=Y")</f>
        <v>1220</v>
      </c>
      <c r="X64" s="12" cm="1">
        <f t="array" ref="X64">_xll.BDH("CMI US Equity","FREE_CASH_FLOW_EQUITY","FQ4 2023","FQ4 2023","Currency=USD","Period=FQ","BEST_FPERIOD_OVERRIDE=FQ","FILING_STATUS=MR","SCALING_FORMAT=MLN","Sort=A","Dates=H","DateFormat=P","Fill=—","Direction=H","UseDPDF=Y")</f>
        <v>64</v>
      </c>
      <c r="Y64" s="12" cm="1">
        <f t="array" ref="Y64">_xll.BDH("CMI US Equity","FREE_CASH_FLOW_EQUITY","FQ1 2024","FQ1 2024","Currency=USD","Period=FQ","BEST_FPERIOD_OVERRIDE=FQ","FILING_STATUS=MR","SCALING_FORMAT=MLN","Sort=A","Dates=H","DateFormat=P","Fill=—","Direction=H","UseDPDF=Y")</f>
        <v>870</v>
      </c>
      <c r="Z64" s="12" cm="1">
        <f t="array" ref="Z64">_xll.BDH("CMI US Equity","FREE_CASH_FLOW_EQUITY","FQ2 2024","FQ2 2024","Currency=USD","Period=FQ","BEST_FPERIOD_OVERRIDE=FQ","FILING_STATUS=MR","SCALING_FORMAT=MLN","Sort=A","Dates=H","DateFormat=P","Fill=—","Direction=H","UseDPDF=Y")</f>
        <v>-510</v>
      </c>
      <c r="AA64" s="12" cm="1">
        <f t="array" ref="AA64">_xll.BDH("CMI US Equity","FREE_CASH_FLOW_EQUITY","FQ3 2024","FQ3 2024","Currency=USD","Period=FQ","BEST_FPERIOD_OVERRIDE=FQ","FILING_STATUS=MR","SCALING_FORMAT=MLN","Sort=A","Dates=H","DateFormat=P","Fill=—","Direction=H","UseDPDF=Y")</f>
        <v>414</v>
      </c>
      <c r="AB64" s="12" cm="1">
        <f t="array" ref="AB64">_xll.BDH("CMI US Equity","FREE_CASH_FLOW_EQUITY","FQ4 2024","FQ4 2024","Currency=USD","Period=FQ","BEST_FPERIOD_OVERRIDE=FQ","FILING_STATUS=MR","SCALING_FORMAT=MLN","Sort=A","Dates=H","DateFormat=P","Fill=—","Direction=H","UseDPDF=Y")</f>
        <v>420</v>
      </c>
      <c r="AC64" s="12" cm="1">
        <f t="array" ref="AC64">_xll.BDH("CMI US Equity","FREE_CASH_FLOW_EQUITY","FQ1 2025","FQ1 2025","Currency=USD","Period=FQ","BEST_FPERIOD_OVERRIDE=FQ","FILING_STATUS=MR","SCALING_FORMAT=MLN","Sort=A","Dates=H","DateFormat=P","Fill=—","Direction=H","UseDPDF=Y")</f>
        <v>224</v>
      </c>
      <c r="AD64" s="12" cm="1">
        <f t="array" ref="AD64">_xll.BDH("CMI US Equity","FREE_CASH_FLOW_EQUITY","FQ2 2025","FQ2 2025","Currency=USD","Period=FQ","BEST_FPERIOD_OVERRIDE=FQ","FILING_STATUS=MR","SCALING_FORMAT=MLN","Sort=A","Dates=H","DateFormat=P","Fill=—","Direction=H","UseDPDF=Y")</f>
        <v>1195</v>
      </c>
      <c r="AE64" s="12" cm="1">
        <f t="array" ref="AE64">_xll.BDH("CMI US Equity","FREE_CASH_FLOW_EQUITY","FQ3 2025","FQ3 2025","Currency=USD","Period=FQ","BEST_FPERIOD_OVERRIDE=FQ","FILING_STATUS=MR","SCALING_FORMAT=MLN","Sort=A","Dates=H","DateFormat=P","Fill=—","Direction=H","UseDPDF=Y")</f>
        <v>476</v>
      </c>
      <c r="AF64" s="12" cm="1">
        <f t="array" ref="AF64">_xll.BDH("CMI US Equity","FREE_CASH_FLOW_EQUITY","FQ4 2025","FQ4 2025","Currency=USD","Period=FQ","BEST_FPERIOD_OVERRIDE=FQ","FILING_STATUS=MR","SCALING_FORMAT=MLN","Sort=A","Dates=H","DateFormat=P","Fill=—","Direction=H","UseDPDF=Y")</f>
        <v>945</v>
      </c>
    </row>
    <row r="65" spans="1:32" x14ac:dyDescent="0.25">
      <c r="A65" s="10" t="s">
        <v>160</v>
      </c>
      <c r="B65" s="10" t="s">
        <v>161</v>
      </c>
      <c r="C65" s="13" cm="1">
        <f t="array" ref="C65">_xll.BDH("CMI US Equity","FREE_CASH_FLOW_PER_SH","FQ3 2018","FQ3 2018","Currency=USD","Period=FQ","BEST_FPERIOD_OVERRIDE=FQ","FILING_STATUS=MR","Sort=A","Dates=H","DateFormat=P","Fill=—","Direction=H","UseDPDF=Y")</f>
        <v>4.5876999999999999</v>
      </c>
      <c r="D65" s="13" cm="1">
        <f t="array" ref="D65">_xll.BDH("CMI US Equity","FREE_CASH_FLOW_PER_SH","FQ4 2018","FQ4 2018","Currency=USD","Period=FQ","BEST_FPERIOD_OVERRIDE=FQ","FILING_STATUS=MR","Sort=A","Dates=H","DateFormat=P","Fill=—","Direction=H","UseDPDF=Y")</f>
        <v>4.0453999999999999</v>
      </c>
      <c r="E65" s="13" cm="1">
        <f t="array" ref="E65">_xll.BDH("CMI US Equity","FREE_CASH_FLOW_PER_SH","FQ1 2019","FQ1 2019","Currency=USD","Period=FQ","BEST_FPERIOD_OVERRIDE=FQ","FILING_STATUS=MR","Sort=A","Dates=H","DateFormat=P","Fill=—","Direction=H","UseDPDF=Y")</f>
        <v>1.9275</v>
      </c>
      <c r="F65" s="13" cm="1">
        <f t="array" ref="F65">_xll.BDH("CMI US Equity","FREE_CASH_FLOW_PER_SH","FQ2 2019","FQ2 2019","Currency=USD","Period=FQ","BEST_FPERIOD_OVERRIDE=FQ","FILING_STATUS=MR","Sort=A","Dates=H","DateFormat=P","Fill=—","Direction=H","UseDPDF=Y")</f>
        <v>4.2884000000000002</v>
      </c>
      <c r="G65" s="13" cm="1">
        <f t="array" ref="G65">_xll.BDH("CMI US Equity","FREE_CASH_FLOW_PER_SH","FQ3 2019","FQ3 2019","Currency=USD","Period=FQ","BEST_FPERIOD_OVERRIDE=FQ","FILING_STATUS=MR","Sort=A","Dates=H","DateFormat=P","Fill=—","Direction=H","UseDPDF=Y")</f>
        <v>5.9139999999999997</v>
      </c>
      <c r="H65" s="13" cm="1">
        <f t="array" ref="H65">_xll.BDH("CMI US Equity","FREE_CASH_FLOW_PER_SH","FQ4 2019","FQ4 2019","Currency=USD","Period=FQ","BEST_FPERIOD_OVERRIDE=FQ","FILING_STATUS=MR","Sort=A","Dates=H","DateFormat=P","Fill=—","Direction=H","UseDPDF=Y")</f>
        <v>3.5182000000000002</v>
      </c>
      <c r="I65" s="13" cm="1">
        <f t="array" ref="I65">_xll.BDH("CMI US Equity","FREE_CASH_FLOW_PER_SH","FQ1 2020","FQ1 2020","Currency=USD","Period=FQ","BEST_FPERIOD_OVERRIDE=FQ","FILING_STATUS=MR","Sort=A","Dates=H","DateFormat=P","Fill=—","Direction=H","UseDPDF=Y")</f>
        <v>2.0362</v>
      </c>
      <c r="J65" s="13" cm="1">
        <f t="array" ref="J65">_xll.BDH("CMI US Equity","FREE_CASH_FLOW_PER_SH","FQ2 2020","FQ2 2020","Currency=USD","Period=FQ","BEST_FPERIOD_OVERRIDE=FQ","FILING_STATUS=MR","Sort=A","Dates=H","DateFormat=P","Fill=—","Direction=H","UseDPDF=Y")</f>
        <v>-0.67069999999999996</v>
      </c>
      <c r="K65" s="13" cm="1">
        <f t="array" ref="K65">_xll.BDH("CMI US Equity","FREE_CASH_FLOW_PER_SH","FQ3 2020","FQ3 2020","Currency=USD","Period=FQ","BEST_FPERIOD_OVERRIDE=FQ","FILING_STATUS=MR","Sort=A","Dates=H","DateFormat=P","Fill=—","Direction=H","UseDPDF=Y")</f>
        <v>7.4847999999999999</v>
      </c>
      <c r="L65" s="13" cm="1">
        <f t="array" ref="L65">_xll.BDH("CMI US Equity","FREE_CASH_FLOW_PER_SH","FQ4 2020","FQ4 2020","Currency=USD","Period=FQ","BEST_FPERIOD_OVERRIDE=FQ","FILING_STATUS=MR","Sort=A","Dates=H","DateFormat=P","Fill=—","Direction=H","UseDPDF=Y")</f>
        <v>5.9595000000000002</v>
      </c>
      <c r="M65" s="13" cm="1">
        <f t="array" ref="M65">_xll.BDH("CMI US Equity","FREE_CASH_FLOW_PER_SH","FQ1 2021","FQ1 2021","Currency=USD","Period=FQ","BEST_FPERIOD_OVERRIDE=FQ","FILING_STATUS=MR","Sort=A","Dates=H","DateFormat=P","Fill=—","Direction=H","UseDPDF=Y")</f>
        <v>1.7142999999999999</v>
      </c>
      <c r="N65" s="13" cm="1">
        <f t="array" ref="N65">_xll.BDH("CMI US Equity","FREE_CASH_FLOW_PER_SH","FQ2 2021","FQ2 2021","Currency=USD","Period=FQ","BEST_FPERIOD_OVERRIDE=FQ","FILING_STATUS=MR","Sort=A","Dates=H","DateFormat=P","Fill=—","Direction=H","UseDPDF=Y")</f>
        <v>3.3839000000000001</v>
      </c>
      <c r="O65" s="13" cm="1">
        <f t="array" ref="O65">_xll.BDH("CMI US Equity","FREE_CASH_FLOW_PER_SH","FQ3 2021","FQ3 2021","Currency=USD","Period=FQ","BEST_FPERIOD_OVERRIDE=FQ","FILING_STATUS=MR","Sort=A","Dates=H","DateFormat=P","Fill=—","Direction=H","UseDPDF=Y")</f>
        <v>2.9199000000000002</v>
      </c>
      <c r="P65" s="13" cm="1">
        <f t="array" ref="P65">_xll.BDH("CMI US Equity","FREE_CASH_FLOW_PER_SH","FQ4 2021","FQ4 2021","Currency=USD","Period=FQ","BEST_FPERIOD_OVERRIDE=FQ","FILING_STATUS=MR","Sort=A","Dates=H","DateFormat=P","Fill=—","Direction=H","UseDPDF=Y")</f>
        <v>2.3793000000000002</v>
      </c>
      <c r="Q65" s="13" cm="1">
        <f t="array" ref="Q65">_xll.BDH("CMI US Equity","FREE_CASH_FLOW_PER_SH","FQ1 2022","FQ1 2022","Currency=USD","Period=FQ","BEST_FPERIOD_OVERRIDE=FQ","FILING_STATUS=MR","Sort=A","Dates=H","DateFormat=P","Fill=—","Direction=H","UseDPDF=Y")</f>
        <v>0.4219</v>
      </c>
      <c r="R65" s="13" cm="1">
        <f t="array" ref="R65">_xll.BDH("CMI US Equity","FREE_CASH_FLOW_PER_SH","FQ2 2022","FQ2 2022","Currency=USD","Period=FQ","BEST_FPERIOD_OVERRIDE=FQ","FILING_STATUS=MR","Sort=A","Dates=H","DateFormat=P","Fill=—","Direction=H","UseDPDF=Y")</f>
        <v>3.2010999999999998</v>
      </c>
      <c r="S65" s="13" cm="1">
        <f t="array" ref="S65">_xll.BDH("CMI US Equity","FREE_CASH_FLOW_PER_SH","FQ3 2022","FQ3 2022","Currency=USD","Period=FQ","BEST_FPERIOD_OVERRIDE=FQ","FILING_STATUS=MR","Sort=A","Dates=H","DateFormat=P","Fill=—","Direction=H","UseDPDF=Y")</f>
        <v>1.2757000000000001</v>
      </c>
      <c r="T65" s="13" cm="1">
        <f t="array" ref="T65">_xll.BDH("CMI US Equity","FREE_CASH_FLOW_PER_SH","FQ4 2022","FQ4 2022","Currency=USD","Period=FQ","BEST_FPERIOD_OVERRIDE=FQ","FILING_STATUS=MR","Sort=A","Dates=H","DateFormat=P","Fill=—","Direction=H","UseDPDF=Y")</f>
        <v>2.5053000000000001</v>
      </c>
      <c r="U65" s="13" cm="1">
        <f t="array" ref="U65">_xll.BDH("CMI US Equity","FREE_CASH_FLOW_PER_SH","FQ1 2023","FQ1 2023","Currency=USD","Period=FQ","BEST_FPERIOD_OVERRIDE=FQ","FILING_STATUS=MR","Sort=A","Dates=H","DateFormat=P","Fill=—","Direction=H","UseDPDF=Y")</f>
        <v>2.1343000000000001</v>
      </c>
      <c r="V65" s="13" cm="1">
        <f t="array" ref="V65">_xll.BDH("CMI US Equity","FREE_CASH_FLOW_PER_SH","FQ2 2023","FQ2 2023","Currency=USD","Period=FQ","BEST_FPERIOD_OVERRIDE=FQ","FILING_STATUS=MR","Sort=A","Dates=H","DateFormat=P","Fill=—","Direction=H","UseDPDF=Y")</f>
        <v>1.849</v>
      </c>
      <c r="W65" s="13" cm="1">
        <f t="array" ref="W65">_xll.BDH("CMI US Equity","FREE_CASH_FLOW_PER_SH","FQ3 2023","FQ3 2023","Currency=USD","Period=FQ","BEST_FPERIOD_OVERRIDE=FQ","FILING_STATUS=MR","Sort=A","Dates=H","DateFormat=P","Fill=—","Direction=H","UseDPDF=Y")</f>
        <v>8.8081999999999994</v>
      </c>
      <c r="X65" s="13" cm="1">
        <f t="array" ref="X65">_xll.BDH("CMI US Equity","FREE_CASH_FLOW_PER_SH","FQ4 2023","FQ4 2023","Currency=USD","Period=FQ","BEST_FPERIOD_OVERRIDE=FQ","FILING_STATUS=MR","Sort=A","Dates=H","DateFormat=P","Fill=—","Direction=H","UseDPDF=Y")</f>
        <v>6.6243999999999996</v>
      </c>
      <c r="Y65" s="13" cm="1">
        <f t="array" ref="Y65">_xll.BDH("CMI US Equity","FREE_CASH_FLOW_PER_SH","FQ1 2024","FQ1 2024","Currency=USD","Period=FQ","BEST_FPERIOD_OVERRIDE=FQ","FILING_STATUS=MR","Sort=A","Dates=H","DateFormat=P","Fill=—","Direction=H","UseDPDF=Y")</f>
        <v>0.75729999999999997</v>
      </c>
      <c r="Z65" s="13" cm="1">
        <f t="array" ref="Z65">_xll.BDH("CMI US Equity","FREE_CASH_FLOW_PER_SH","FQ2 2024","FQ2 2024","Currency=USD","Period=FQ","BEST_FPERIOD_OVERRIDE=FQ","FILING_STATUS=MR","Sort=A","Dates=H","DateFormat=P","Fill=—","Direction=H","UseDPDF=Y")</f>
        <v>-7.9577</v>
      </c>
      <c r="AA65" s="13" cm="1">
        <f t="array" ref="AA65">_xll.BDH("CMI US Equity","FREE_CASH_FLOW_PER_SH","FQ3 2024","FQ3 2024","Currency=USD","Period=FQ","BEST_FPERIOD_OVERRIDE=FQ","FILING_STATUS=MR","Sort=A","Dates=H","DateFormat=P","Fill=—","Direction=H","UseDPDF=Y")</f>
        <v>2.7770000000000001</v>
      </c>
      <c r="AB65" s="13" cm="1">
        <f t="array" ref="AB65">_xll.BDH("CMI US Equity","FREE_CASH_FLOW_PER_SH","FQ4 2024","FQ4 2024","Currency=USD","Period=FQ","BEST_FPERIOD_OVERRIDE=FQ","FILING_STATUS=MR","Sort=A","Dates=H","DateFormat=P","Fill=—","Direction=H","UseDPDF=Y")</f>
        <v>6.4192</v>
      </c>
      <c r="AC65" s="13" cm="1">
        <f t="array" ref="AC65">_xll.BDH("CMI US Equity","FREE_CASH_FLOW_PER_SH","FQ1 2025","FQ1 2025","Currency=USD","Period=FQ","BEST_FPERIOD_OVERRIDE=FQ","FILING_STATUS=MR","Sort=A","Dates=H","DateFormat=P","Fill=—","Direction=H","UseDPDF=Y")</f>
        <v>-1.1991000000000001</v>
      </c>
      <c r="AD65" s="13" cm="1">
        <f t="array" ref="AD65">_xll.BDH("CMI US Equity","FREE_CASH_FLOW_PER_SH","FQ2 2025","FQ2 2025","Currency=USD","Period=FQ","BEST_FPERIOD_OVERRIDE=FQ","FILING_STATUS=MR","Sort=A","Dates=H","DateFormat=P","Fill=—","Direction=H","UseDPDF=Y")</f>
        <v>4.0202999999999998</v>
      </c>
      <c r="AE65" s="13" cm="1">
        <f t="array" ref="AE65">_xll.BDH("CMI US Equity","FREE_CASH_FLOW_PER_SH","FQ3 2025","FQ3 2025","Currency=USD","Period=FQ","BEST_FPERIOD_OVERRIDE=FQ","FILING_STATUS=MR","Sort=A","Dates=H","DateFormat=P","Fill=—","Direction=H","UseDPDF=Y")</f>
        <v>7.2971000000000004</v>
      </c>
      <c r="AF65" s="13" cm="1">
        <f t="array" ref="AF65">_xll.BDH("CMI US Equity","FREE_CASH_FLOW_PER_SH","FQ4 2025","FQ4 2025","Currency=USD","Period=FQ","BEST_FPERIOD_OVERRIDE=FQ","FILING_STATUS=MR","Sort=A","Dates=H","DateFormat=P","Fill=—","Direction=H","UseDPDF=Y")</f>
        <v>7.1635</v>
      </c>
    </row>
    <row r="66" spans="1:32" x14ac:dyDescent="0.25">
      <c r="A66" s="10" t="s">
        <v>162</v>
      </c>
      <c r="B66" s="10" t="s">
        <v>163</v>
      </c>
      <c r="C66" s="13" cm="1">
        <f t="array" ref="C66">_xll.BDH("CMI US Equity","PX_TO_FREE_CASH_FLOW","FQ3 2018","FQ3 2018","Currency=USD","Period=FQ","BEST_FPERIOD_OVERRIDE=FQ","FILING_STATUS=MR","Sort=A","Dates=H","DateFormat=P","Fill=—","Direction=H","UseDPDF=Y")</f>
        <v>14.8049</v>
      </c>
      <c r="D66" s="13" cm="1">
        <f t="array" ref="D66">_xll.BDH("CMI US Equity","PX_TO_FREE_CASH_FLOW","FQ4 2018","FQ4 2018","Currency=USD","Period=FQ","BEST_FPERIOD_OVERRIDE=FQ","FILING_STATUS=MR","Sort=A","Dates=H","DateFormat=P","Fill=—","Direction=H","UseDPDF=Y")</f>
        <v>12.858700000000001</v>
      </c>
      <c r="E66" s="13" cm="1">
        <f t="array" ref="E66">_xll.BDH("CMI US Equity","PX_TO_FREE_CASH_FLOW","FQ1 2019","FQ1 2019","Currency=USD","Period=FQ","BEST_FPERIOD_OVERRIDE=FQ","FILING_STATUS=MR","Sort=A","Dates=H","DateFormat=P","Fill=—","Direction=H","UseDPDF=Y")</f>
        <v>11.723100000000001</v>
      </c>
      <c r="F66" s="13" cm="1">
        <f t="array" ref="F66">_xll.BDH("CMI US Equity","PX_TO_FREE_CASH_FLOW","FQ2 2019","FQ2 2019","Currency=USD","Period=FQ","BEST_FPERIOD_OVERRIDE=FQ","FILING_STATUS=MR","Sort=A","Dates=H","DateFormat=P","Fill=—","Direction=H","UseDPDF=Y")</f>
        <v>11.5388</v>
      </c>
      <c r="G66" s="13" cm="1">
        <f t="array" ref="G66">_xll.BDH("CMI US Equity","PX_TO_FREE_CASH_FLOW","FQ3 2019","FQ3 2019","Currency=USD","Period=FQ","BEST_FPERIOD_OVERRIDE=FQ","FILING_STATUS=MR","Sort=A","Dates=H","DateFormat=P","Fill=—","Direction=H","UseDPDF=Y")</f>
        <v>9.9719999999999995</v>
      </c>
      <c r="H66" s="13" cm="1">
        <f t="array" ref="H66">_xll.BDH("CMI US Equity","PX_TO_FREE_CASH_FLOW","FQ4 2019","FQ4 2019","Currency=USD","Period=FQ","BEST_FPERIOD_OVERRIDE=FQ","FILING_STATUS=MR","Sort=A","Dates=H","DateFormat=P","Fill=—","Direction=H","UseDPDF=Y")</f>
        <v>11.436500000000001</v>
      </c>
      <c r="I66" s="13" cm="1">
        <f t="array" ref="I66">_xll.BDH("CMI US Equity","PX_TO_FREE_CASH_FLOW","FQ1 2020","FQ1 2020","Currency=USD","Period=FQ","BEST_FPERIOD_OVERRIDE=FQ","FILING_STATUS=MR","Sort=A","Dates=H","DateFormat=P","Fill=—","Direction=H","UseDPDF=Y")</f>
        <v>8.3558000000000003</v>
      </c>
      <c r="J66" s="13" cm="1">
        <f t="array" ref="J66">_xll.BDH("CMI US Equity","PX_TO_FREE_CASH_FLOW","FQ2 2020","FQ2 2020","Currency=USD","Period=FQ","BEST_FPERIOD_OVERRIDE=FQ","FILING_STATUS=MR","Sort=A","Dates=H","DateFormat=P","Fill=—","Direction=H","UseDPDF=Y")</f>
        <v>15.628399999999999</v>
      </c>
      <c r="K66" s="13" cm="1">
        <f t="array" ref="K66">_xll.BDH("CMI US Equity","PX_TO_FREE_CASH_FLOW","FQ3 2020","FQ3 2020","Currency=USD","Period=FQ","BEST_FPERIOD_OVERRIDE=FQ","FILING_STATUS=MR","Sort=A","Dates=H","DateFormat=P","Fill=—","Direction=H","UseDPDF=Y")</f>
        <v>16.867999999999999</v>
      </c>
      <c r="L66" s="13" cm="1">
        <f t="array" ref="L66">_xll.BDH("CMI US Equity","PX_TO_FREE_CASH_FLOW","FQ4 2020","FQ4 2020","Currency=USD","Period=FQ","BEST_FPERIOD_OVERRIDE=FQ","FILING_STATUS=MR","Sort=A","Dates=H","DateFormat=P","Fill=—","Direction=H","UseDPDF=Y")</f>
        <v>15.3346</v>
      </c>
      <c r="M66" s="13" cm="1">
        <f t="array" ref="M66">_xll.BDH("CMI US Equity","PX_TO_FREE_CASH_FLOW","FQ1 2021","FQ1 2021","Currency=USD","Period=FQ","BEST_FPERIOD_OVERRIDE=FQ","FILING_STATUS=MR","Sort=A","Dates=H","DateFormat=P","Fill=—","Direction=H","UseDPDF=Y")</f>
        <v>17.788799999999998</v>
      </c>
      <c r="N66" s="13" cm="1">
        <f t="array" ref="N66">_xll.BDH("CMI US Equity","PX_TO_FREE_CASH_FLOW","FQ2 2021","FQ2 2021","Currency=USD","Period=FQ","BEST_FPERIOD_OVERRIDE=FQ","FILING_STATUS=MR","Sort=A","Dates=H","DateFormat=P","Fill=—","Direction=H","UseDPDF=Y")</f>
        <v>13.0425</v>
      </c>
      <c r="O66" s="13" cm="1">
        <f t="array" ref="O66">_xll.BDH("CMI US Equity","PX_TO_FREE_CASH_FLOW","FQ3 2021","FQ3 2021","Currency=USD","Period=FQ","BEST_FPERIOD_OVERRIDE=FQ","FILING_STATUS=MR","Sort=A","Dates=H","DateFormat=P","Fill=—","Direction=H","UseDPDF=Y")</f>
        <v>16.309100000000001</v>
      </c>
      <c r="P66" s="13" cm="1">
        <f t="array" ref="P66">_xll.BDH("CMI US Equity","PX_TO_FREE_CASH_FLOW","FQ4 2021","FQ4 2021","Currency=USD","Period=FQ","BEST_FPERIOD_OVERRIDE=FQ","FILING_STATUS=MR","Sort=A","Dates=H","DateFormat=P","Fill=—","Direction=H","UseDPDF=Y")</f>
        <v>20.980399999999999</v>
      </c>
      <c r="Q66" s="13" cm="1">
        <f t="array" ref="Q66">_xll.BDH("CMI US Equity","PX_TO_FREE_CASH_FLOW","FQ1 2022","FQ1 2022","Currency=USD","Period=FQ","BEST_FPERIOD_OVERRIDE=FQ","FILING_STATUS=MR","Sort=A","Dates=H","DateFormat=P","Fill=—","Direction=H","UseDPDF=Y")</f>
        <v>22.5273</v>
      </c>
      <c r="R66" s="13" cm="1">
        <f t="array" ref="R66">_xll.BDH("CMI US Equity","PX_TO_FREE_CASH_FLOW","FQ2 2022","FQ2 2022","Currency=USD","Period=FQ","BEST_FPERIOD_OVERRIDE=FQ","FILING_STATUS=MR","Sort=A","Dates=H","DateFormat=P","Fill=—","Direction=H","UseDPDF=Y")</f>
        <v>21.690799999999999</v>
      </c>
      <c r="S66" s="13" cm="1">
        <f t="array" ref="S66">_xll.BDH("CMI US Equity","PX_TO_FREE_CASH_FLOW","FQ3 2022","FQ3 2022","Currency=USD","Period=FQ","BEST_FPERIOD_OVERRIDE=FQ","FILING_STATUS=MR","Sort=A","Dates=H","DateFormat=P","Fill=—","Direction=H","UseDPDF=Y")</f>
        <v>27.962199999999999</v>
      </c>
      <c r="T66" s="13" cm="1">
        <f t="array" ref="T66">_xll.BDH("CMI US Equity","PX_TO_FREE_CASH_FLOW","FQ4 2022","FQ4 2022","Currency=USD","Period=FQ","BEST_FPERIOD_OVERRIDE=FQ","FILING_STATUS=MR","Sort=A","Dates=H","DateFormat=P","Fill=—","Direction=H","UseDPDF=Y")</f>
        <v>32.7239</v>
      </c>
      <c r="U66" s="13" cm="1">
        <f t="array" ref="U66">_xll.BDH("CMI US Equity","PX_TO_FREE_CASH_FLOW","FQ1 2023","FQ1 2023","Currency=USD","Period=FQ","BEST_FPERIOD_OVERRIDE=FQ","FILING_STATUS=MR","Sort=A","Dates=H","DateFormat=P","Fill=—","Direction=H","UseDPDF=Y")</f>
        <v>26.203299999999999</v>
      </c>
      <c r="V66" s="13" cm="1">
        <f t="array" ref="V66">_xll.BDH("CMI US Equity","PX_TO_FREE_CASH_FLOW","FQ2 2023","FQ2 2023","Currency=USD","Period=FQ","BEST_FPERIOD_OVERRIDE=FQ","FILING_STATUS=MR","Sort=A","Dates=H","DateFormat=P","Fill=—","Direction=H","UseDPDF=Y")</f>
        <v>31.575500000000002</v>
      </c>
      <c r="W66" s="13" cm="1">
        <f t="array" ref="W66">_xll.BDH("CMI US Equity","PX_TO_FREE_CASH_FLOW","FQ3 2023","FQ3 2023","Currency=USD","Period=FQ","BEST_FPERIOD_OVERRIDE=FQ","FILING_STATUS=MR","Sort=A","Dates=H","DateFormat=P","Fill=—","Direction=H","UseDPDF=Y")</f>
        <v>14.9352</v>
      </c>
      <c r="X66" s="13" cm="1">
        <f t="array" ref="X66">_xll.BDH("CMI US Equity","PX_TO_FREE_CASH_FLOW","FQ4 2023","FQ4 2023","Currency=USD","Period=FQ","BEST_FPERIOD_OVERRIDE=FQ","FILING_STATUS=MR","Sort=A","Dates=H","DateFormat=P","Fill=—","Direction=H","UseDPDF=Y")</f>
        <v>12.338900000000001</v>
      </c>
      <c r="Y66" s="13" cm="1">
        <f t="array" ref="Y66">_xll.BDH("CMI US Equity","PX_TO_FREE_CASH_FLOW","FQ1 2024","FQ1 2024","Currency=USD","Period=FQ","BEST_FPERIOD_OVERRIDE=FQ","FILING_STATUS=MR","Sort=A","Dates=H","DateFormat=P","Fill=—","Direction=H","UseDPDF=Y")</f>
        <v>16.334199999999999</v>
      </c>
      <c r="Z66" s="13" cm="1">
        <f t="array" ref="Z66">_xll.BDH("CMI US Equity","PX_TO_FREE_CASH_FLOW","FQ2 2024","FQ2 2024","Currency=USD","Period=FQ","BEST_FPERIOD_OVERRIDE=FQ","FILING_STATUS=MR","Sort=A","Dates=H","DateFormat=P","Fill=—","Direction=H","UseDPDF=Y")</f>
        <v>33.6402</v>
      </c>
      <c r="AA66" s="13" cm="1">
        <f t="array" ref="AA66">_xll.BDH("CMI US Equity","PX_TO_FREE_CASH_FLOW","FQ3 2024","FQ3 2024","Currency=USD","Period=FQ","BEST_FPERIOD_OVERRIDE=FQ","FILING_STATUS=MR","Sort=A","Dates=H","DateFormat=P","Fill=—","Direction=H","UseDPDF=Y")</f>
        <v>147.1164</v>
      </c>
      <c r="AB66" s="13" cm="1">
        <f t="array" ref="AB66">_xll.BDH("CMI US Equity","PX_TO_FREE_CASH_FLOW","FQ4 2024","FQ4 2024","Currency=USD","Period=FQ","BEST_FPERIOD_OVERRIDE=FQ","FILING_STATUS=MR","Sort=A","Dates=H","DateFormat=P","Fill=—","Direction=H","UseDPDF=Y")</f>
        <v>174.672</v>
      </c>
      <c r="AC66" s="13" cm="1">
        <f t="array" ref="AC66">_xll.BDH("CMI US Equity","PX_TO_FREE_CASH_FLOW","FQ1 2025","FQ1 2025","Currency=USD","Period=FQ","BEST_FPERIOD_OVERRIDE=FQ","FILING_STATUS=MR","Sort=A","Dates=H","DateFormat=P","Fill=—","Direction=H","UseDPDF=Y")</f>
        <v>7963.6405000000004</v>
      </c>
      <c r="AD66" s="13" cm="1">
        <f t="array" ref="AD66">_xll.BDH("CMI US Equity","PX_TO_FREE_CASH_FLOW","FQ2 2025","FQ2 2025","Currency=USD","Period=FQ","BEST_FPERIOD_OVERRIDE=FQ","FILING_STATUS=MR","Sort=A","Dates=H","DateFormat=P","Fill=—","Direction=H","UseDPDF=Y")</f>
        <v>27.252199999999998</v>
      </c>
      <c r="AE66" s="13" cm="1">
        <f t="array" ref="AE66">_xll.BDH("CMI US Equity","PX_TO_FREE_CASH_FLOW","FQ3 2025","FQ3 2025","Currency=USD","Period=FQ","BEST_FPERIOD_OVERRIDE=FQ","FILING_STATUS=MR","Sort=A","Dates=H","DateFormat=P","Fill=—","Direction=H","UseDPDF=Y")</f>
        <v>25.540099999999999</v>
      </c>
      <c r="AF66" s="13" cm="1">
        <f t="array" ref="AF66">_xll.BDH("CMI US Equity","PX_TO_FREE_CASH_FLOW","FQ4 2025","FQ4 2025","Currency=USD","Period=FQ","BEST_FPERIOD_OVERRIDE=FQ","FILING_STATUS=MR","Sort=A","Dates=H","DateFormat=P","Fill=—","Direction=H","UseDPDF=Y")</f>
        <v>29.536799999999999</v>
      </c>
    </row>
    <row r="67" spans="1:32" x14ac:dyDescent="0.25">
      <c r="A67" s="10" t="s">
        <v>164</v>
      </c>
      <c r="B67" s="10" t="s">
        <v>165</v>
      </c>
      <c r="C67" s="13" cm="1">
        <f t="array" ref="C67">_xll.BDH("CMI US Equity","CASH_FLOW_TO_NET_INC","FQ3 2018","FQ3 2018","Currency=USD","Period=FQ","BEST_FPERIOD_OVERRIDE=FQ","FILING_STATUS=MR","FA_ADJUSTED=GAAP","Sort=A","Dates=H","DateFormat=P","Fill=—","Direction=H","UseDPDF=Y")</f>
        <v>1.3223</v>
      </c>
      <c r="D67" s="13" cm="1">
        <f t="array" ref="D67">_xll.BDH("CMI US Equity","CASH_FLOW_TO_NET_INC","FQ4 2018","FQ4 2018","Currency=USD","Period=FQ","BEST_FPERIOD_OVERRIDE=FQ","FILING_STATUS=MR","FA_ADJUSTED=GAAP","Sort=A","Dates=H","DateFormat=P","Fill=—","Direction=H","UseDPDF=Y")</f>
        <v>1.7098</v>
      </c>
      <c r="E67" s="13" cm="1">
        <f t="array" ref="E67">_xll.BDH("CMI US Equity","CASH_FLOW_TO_NET_INC","FQ1 2019","FQ1 2019","Currency=USD","Period=FQ","BEST_FPERIOD_OVERRIDE=FQ","FILING_STATUS=MR","FA_ADJUSTED=GAAP","Sort=A","Dates=H","DateFormat=P","Fill=—","Direction=H","UseDPDF=Y")</f>
        <v>0.62139999999999995</v>
      </c>
      <c r="F67" s="13" cm="1">
        <f t="array" ref="F67">_xll.BDH("CMI US Equity","CASH_FLOW_TO_NET_INC","FQ2 2019","FQ2 2019","Currency=USD","Period=FQ","BEST_FPERIOD_OVERRIDE=FQ","FILING_STATUS=MR","FA_ADJUSTED=GAAP","Sort=A","Dates=H","DateFormat=P","Fill=—","Direction=H","UseDPDF=Y")</f>
        <v>1.1970000000000001</v>
      </c>
      <c r="G67" s="13" cm="1">
        <f t="array" ref="G67">_xll.BDH("CMI US Equity","CASH_FLOW_TO_NET_INC","FQ3 2019","FQ3 2019","Currency=USD","Period=FQ","BEST_FPERIOD_OVERRIDE=FQ","FILING_STATUS=MR","FA_ADJUSTED=GAAP","Sort=A","Dates=H","DateFormat=P","Fill=—","Direction=H","UseDPDF=Y")</f>
        <v>1.7282999999999999</v>
      </c>
      <c r="H67" s="13" cm="1">
        <f t="array" ref="H67">_xll.BDH("CMI US Equity","CASH_FLOW_TO_NET_INC","FQ4 2019","FQ4 2019","Currency=USD","Period=FQ","BEST_FPERIOD_OVERRIDE=FQ","FILING_STATUS=MR","FA_ADJUSTED=GAAP","Sort=A","Dates=H","DateFormat=P","Fill=—","Direction=H","UseDPDF=Y")</f>
        <v>2.7932999999999999</v>
      </c>
      <c r="I67" s="13" cm="1">
        <f t="array" ref="I67">_xll.BDH("CMI US Equity","CASH_FLOW_TO_NET_INC","FQ1 2020","FQ1 2020","Currency=USD","Period=FQ","BEST_FPERIOD_OVERRIDE=FQ","FILING_STATUS=MR","FA_ADJUSTED=GAAP","Sort=A","Dates=H","DateFormat=P","Fill=—","Direction=H","UseDPDF=Y")</f>
        <v>0.74170000000000003</v>
      </c>
      <c r="J67" s="13" cm="1">
        <f t="array" ref="J67">_xll.BDH("CMI US Equity","CASH_FLOW_TO_NET_INC","FQ2 2020","FQ2 2020","Currency=USD","Period=FQ","BEST_FPERIOD_OVERRIDE=FQ","FILING_STATUS=MR","FA_ADJUSTED=GAAP","Sort=A","Dates=H","DateFormat=P","Fill=—","Direction=H","UseDPDF=Y")</f>
        <v>-7.9699999999999993E-2</v>
      </c>
      <c r="K67" s="13" cm="1">
        <f t="array" ref="K67">_xll.BDH("CMI US Equity","CASH_FLOW_TO_NET_INC","FQ3 2020","FQ3 2020","Currency=USD","Period=FQ","BEST_FPERIOD_OVERRIDE=FQ","FILING_STATUS=MR","FA_ADJUSTED=GAAP","Sort=A","Dates=H","DateFormat=P","Fill=—","Direction=H","UseDPDF=Y")</f>
        <v>2.4411</v>
      </c>
      <c r="L67" s="13" cm="1">
        <f t="array" ref="L67">_xll.BDH("CMI US Equity","CASH_FLOW_TO_NET_INC","FQ4 2020","FQ4 2020","Currency=USD","Period=FQ","BEST_FPERIOD_OVERRIDE=FQ","FILING_STATUS=MR","FA_ADJUSTED=GAAP","Sort=A","Dates=H","DateFormat=P","Fill=—","Direction=H","UseDPDF=Y")</f>
        <v>2.2793999999999999</v>
      </c>
      <c r="M67" s="13" cm="1">
        <f t="array" ref="M67">_xll.BDH("CMI US Equity","CASH_FLOW_TO_NET_INC","FQ1 2021","FQ1 2021","Currency=USD","Period=FQ","BEST_FPERIOD_OVERRIDE=FQ","FILING_STATUS=MR","FA_ADJUSTED=GAAP","Sort=A","Dates=H","DateFormat=P","Fill=—","Direction=H","UseDPDF=Y")</f>
        <v>0.56220000000000003</v>
      </c>
      <c r="N67" s="13" cm="1">
        <f t="array" ref="N67">_xll.BDH("CMI US Equity","CASH_FLOW_TO_NET_INC","FQ2 2021","FQ2 2021","Currency=USD","Period=FQ","BEST_FPERIOD_OVERRIDE=FQ","FILING_STATUS=MR","FA_ADJUSTED=GAAP","Sort=A","Dates=H","DateFormat=P","Fill=—","Direction=H","UseDPDF=Y")</f>
        <v>1.0266999999999999</v>
      </c>
      <c r="O67" s="13" cm="1">
        <f t="array" ref="O67">_xll.BDH("CMI US Equity","CASH_FLOW_TO_NET_INC","FQ3 2021","FQ3 2021","Currency=USD","Period=FQ","BEST_FPERIOD_OVERRIDE=FQ","FILING_STATUS=MR","FA_ADJUSTED=GAAP","Sort=A","Dates=H","DateFormat=P","Fill=—","Direction=H","UseDPDF=Y")</f>
        <v>1.0654999999999999</v>
      </c>
      <c r="P67" s="13" cm="1">
        <f t="array" ref="P67">_xll.BDH("CMI US Equity","CASH_FLOW_TO_NET_INC","FQ4 2021","FQ4 2021","Currency=USD","Period=FQ","BEST_FPERIOD_OVERRIDE=FQ","FILING_STATUS=MR","FA_ADJUSTED=GAAP","Sort=A","Dates=H","DateFormat=P","Fill=—","Direction=H","UseDPDF=Y")</f>
        <v>1.8579000000000001</v>
      </c>
      <c r="Q67" s="13" cm="1">
        <f t="array" ref="Q67">_xll.BDH("CMI US Equity","CASH_FLOW_TO_NET_INC","FQ1 2022","FQ1 2022","Currency=USD","Period=FQ","BEST_FPERIOD_OVERRIDE=FQ","FILING_STATUS=MR","FA_ADJUSTED=GAAP","Sort=A","Dates=H","DateFormat=P","Fill=—","Direction=H","UseDPDF=Y")</f>
        <v>0.39229999999999998</v>
      </c>
      <c r="R67" s="13" cm="1">
        <f t="array" ref="R67">_xll.BDH("CMI US Equity","CASH_FLOW_TO_NET_INC","FQ2 2022","FQ2 2022","Currency=USD","Period=FQ","BEST_FPERIOD_OVERRIDE=FQ","FILING_STATUS=MR","FA_ADJUSTED=GAAP","Sort=A","Dates=H","DateFormat=P","Fill=—","Direction=H","UseDPDF=Y")</f>
        <v>0.85329999999999995</v>
      </c>
      <c r="S67" s="13" cm="1">
        <f t="array" ref="S67">_xll.BDH("CMI US Equity","CASH_FLOW_TO_NET_INC","FQ3 2022","FQ3 2022","Currency=USD","Period=FQ","BEST_FPERIOD_OVERRIDE=FQ","FILING_STATUS=MR","FA_ADJUSTED=GAAP","Sort=A","Dates=H","DateFormat=P","Fill=—","Direction=H","UseDPDF=Y")</f>
        <v>0.95499999999999996</v>
      </c>
      <c r="T67" s="13" cm="1">
        <f t="array" ref="T67">_xll.BDH("CMI US Equity","CASH_FLOW_TO_NET_INC","FQ4 2022","FQ4 2022","Currency=USD","Period=FQ","BEST_FPERIOD_OVERRIDE=FQ","FILING_STATUS=MR","FA_ADJUSTED=GAAP","Sort=A","Dates=H","DateFormat=P","Fill=—","Direction=H","UseDPDF=Y")</f>
        <v>1.2948</v>
      </c>
      <c r="U67" s="13" cm="1">
        <f t="array" ref="U67">_xll.BDH("CMI US Equity","CASH_FLOW_TO_NET_INC","FQ1 2023","FQ1 2023","Currency=USD","Period=FQ","BEST_FPERIOD_OVERRIDE=FQ","FILING_STATUS=MR","FA_ADJUSTED=GAAP","Sort=A","Dates=H","DateFormat=P","Fill=—","Direction=H","UseDPDF=Y")</f>
        <v>0.62660000000000005</v>
      </c>
      <c r="V67" s="13" cm="1">
        <f t="array" ref="V67">_xll.BDH("CMI US Equity","CASH_FLOW_TO_NET_INC","FQ2 2023","FQ2 2023","Currency=USD","Period=FQ","BEST_FPERIOD_OVERRIDE=FQ","FILING_STATUS=MR","FA_ADJUSTED=GAAP","Sort=A","Dates=H","DateFormat=P","Fill=—","Direction=H","UseDPDF=Y")</f>
        <v>0.67079999999999995</v>
      </c>
      <c r="W67" s="13" cm="1">
        <f t="array" ref="W67">_xll.BDH("CMI US Equity","CASH_FLOW_TO_NET_INC","FQ3 2023","FQ3 2023","Currency=USD","Period=FQ","BEST_FPERIOD_OVERRIDE=FQ","FILING_STATUS=MR","FA_ADJUSTED=GAAP","Sort=A","Dates=H","DateFormat=P","Fill=—","Direction=H","UseDPDF=Y")</f>
        <v>2.3308</v>
      </c>
      <c r="X67" s="13" t="str" cm="1">
        <f t="array" ref="X67">_xll.BDH("CMI US Equity","CASH_FLOW_TO_NET_INC","FQ4 2023","FQ4 2023","Currency=USD","Period=FQ","BEST_FPERIOD_OVERRIDE=FQ","FILING_STATUS=MR","FA_ADJUSTED=GAAP","Sort=A","Dates=H","DateFormat=P","Fill=—","Direction=H","UseDPDF=Y")</f>
        <v>—</v>
      </c>
      <c r="Y67" s="13" cm="1">
        <f t="array" ref="Y67">_xll.BDH("CMI US Equity","CASH_FLOW_TO_NET_INC","FQ1 2024","FQ1 2024","Currency=USD","Period=FQ","BEST_FPERIOD_OVERRIDE=FQ","FILING_STATUS=MR","FA_ADJUSTED=GAAP","Sort=A","Dates=H","DateFormat=P","Fill=—","Direction=H","UseDPDF=Y")</f>
        <v>0.13850000000000001</v>
      </c>
      <c r="Z67" s="13" cm="1">
        <f t="array" ref="Z67">_xll.BDH("CMI US Equity","CASH_FLOW_TO_NET_INC","FQ2 2024","FQ2 2024","Currency=USD","Period=FQ","BEST_FPERIOD_OVERRIDE=FQ","FILING_STATUS=MR","FA_ADJUSTED=GAAP","Sort=A","Dates=H","DateFormat=P","Fill=—","Direction=H","UseDPDF=Y")</f>
        <v>-1.1721999999999999</v>
      </c>
      <c r="AA67" s="13" cm="1">
        <f t="array" ref="AA67">_xll.BDH("CMI US Equity","CASH_FLOW_TO_NET_INC","FQ3 2024","FQ3 2024","Currency=USD","Period=FQ","BEST_FPERIOD_OVERRIDE=FQ","FILING_STATUS=MR","FA_ADJUSTED=GAAP","Sort=A","Dates=H","DateFormat=P","Fill=—","Direction=H","UseDPDF=Y")</f>
        <v>0.79110000000000003</v>
      </c>
      <c r="AB67" s="13" cm="1">
        <f t="array" ref="AB67">_xll.BDH("CMI US Equity","CASH_FLOW_TO_NET_INC","FQ4 2024","FQ4 2024","Currency=USD","Period=FQ","BEST_FPERIOD_OVERRIDE=FQ","FILING_STATUS=MR","FA_ADJUSTED=GAAP","Sort=A","Dates=H","DateFormat=P","Fill=—","Direction=H","UseDPDF=Y")</f>
        <v>3.4018999999999999</v>
      </c>
      <c r="AC67" s="13" cm="1">
        <f t="array" ref="AC67">_xll.BDH("CMI US Equity","CASH_FLOW_TO_NET_INC","FQ1 2025","FQ1 2025","Currency=USD","Period=FQ","BEST_FPERIOD_OVERRIDE=FQ","FILING_STATUS=MR","FA_ADJUSTED=GAAP","Sort=A","Dates=H","DateFormat=P","Fill=—","Direction=H","UseDPDF=Y")</f>
        <v>-3.5999999999999999E-3</v>
      </c>
      <c r="AD67" s="13" cm="1">
        <f t="array" ref="AD67">_xll.BDH("CMI US Equity","CASH_FLOW_TO_NET_INC","FQ2 2025","FQ2 2025","Currency=USD","Period=FQ","BEST_FPERIOD_OVERRIDE=FQ","FILING_STATUS=MR","FA_ADJUSTED=GAAP","Sort=A","Dates=H","DateFormat=P","Fill=—","Direction=H","UseDPDF=Y")</f>
        <v>0.88200000000000001</v>
      </c>
      <c r="AE67" s="13" cm="1">
        <f t="array" ref="AE67">_xll.BDH("CMI US Equity","CASH_FLOW_TO_NET_INC","FQ3 2025","FQ3 2025","Currency=USD","Period=FQ","BEST_FPERIOD_OVERRIDE=FQ","FILING_STATUS=MR","FA_ADJUSTED=GAAP","Sort=A","Dates=H","DateFormat=P","Fill=—","Direction=H","UseDPDF=Y")</f>
        <v>2.4346999999999999</v>
      </c>
      <c r="AF67" s="13" cm="1">
        <f t="array" ref="AF67">_xll.BDH("CMI US Equity","CASH_FLOW_TO_NET_INC","FQ4 2025","FQ4 2025","Currency=USD","Period=FQ","BEST_FPERIOD_OVERRIDE=FQ","FILING_STATUS=MR","FA_ADJUSTED=GAAP","Sort=A","Dates=H","DateFormat=P","Fill=—","Direction=H","UseDPDF=Y")</f>
        <v>2.5868000000000002</v>
      </c>
    </row>
    <row r="68" spans="1:32" x14ac:dyDescent="0.25">
      <c r="A68" s="7" t="s">
        <v>166</v>
      </c>
      <c r="B68" s="7"/>
      <c r="C68" s="7" t="s">
        <v>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-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2026-02-19T01:53:02Z</dcterms:modified>
</cp:coreProperties>
</file>