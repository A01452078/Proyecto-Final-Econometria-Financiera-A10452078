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A5C500CA-C090-40E9-B1DF-CF0FDBAEA5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lance Sheet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51" i="2" l="1" a="1"/>
  <c r="U75" i="2" a="1"/>
  <c r="M29" i="2" a="1"/>
  <c r="Y27" i="2" a="1"/>
  <c r="S30" i="2" a="1"/>
  <c r="AE28" i="2" a="1"/>
  <c r="G30" i="2" a="1"/>
  <c r="I40" i="2" a="1"/>
  <c r="I47" i="2" a="1"/>
  <c r="C9" i="2" a="1"/>
  <c r="O56" i="2" a="1"/>
  <c r="Z39" i="2" a="1"/>
  <c r="H25" i="2" a="1"/>
  <c r="H23" i="2" a="1"/>
  <c r="H11" i="2" a="1"/>
  <c r="H41" i="2" a="1"/>
  <c r="H14" i="2" a="1"/>
  <c r="N7" i="2" a="1"/>
  <c r="AA13" i="2" a="1"/>
  <c r="T12" i="2" a="1"/>
  <c r="P15" i="2" a="1"/>
  <c r="P11" i="2" a="1"/>
  <c r="AF16" i="2" a="1"/>
  <c r="Q91" i="2" a="1"/>
  <c r="W43" i="2" a="1"/>
  <c r="AC44" i="2" a="1"/>
  <c r="E46" i="2" a="1"/>
  <c r="Q83" i="2" a="1"/>
  <c r="AC13" i="2" a="1"/>
  <c r="M13" i="2" a="1"/>
  <c r="M39" i="2" a="1"/>
  <c r="Y19" i="2" a="1"/>
  <c r="S34" i="2" a="1"/>
  <c r="AE36" i="2" a="1"/>
  <c r="G16" i="2" a="1"/>
  <c r="C46" i="2" a="1"/>
  <c r="C66" i="2" a="1"/>
  <c r="Z7" i="2" a="1"/>
  <c r="H34" i="2" a="1"/>
  <c r="H45" i="2" a="1"/>
  <c r="H24" i="2" a="1"/>
  <c r="N13" i="2" a="1"/>
  <c r="T30" i="2" a="1"/>
  <c r="AF14" i="2" a="1"/>
  <c r="W51" i="2" a="1"/>
  <c r="U10" i="2" a="1"/>
  <c r="I53" i="2" a="1"/>
  <c r="O7" i="2" a="1"/>
  <c r="H15" i="2" a="1"/>
  <c r="H29" i="2" a="1"/>
  <c r="AA70" i="2" a="1"/>
  <c r="P33" i="2" a="1"/>
  <c r="AF18" i="2" a="1"/>
  <c r="M27" i="2" a="1"/>
  <c r="Y23" i="2" a="1"/>
  <c r="Y9" i="2" a="1"/>
  <c r="AE12" i="2" a="1"/>
  <c r="G10" i="2" a="1"/>
  <c r="I8" i="2" a="1"/>
  <c r="O64" i="2" a="1"/>
  <c r="Z9" i="2" a="1"/>
  <c r="H26" i="2" a="1"/>
  <c r="H8" i="2" a="1"/>
  <c r="N19" i="2" a="1"/>
  <c r="T14" i="2" a="1"/>
  <c r="AF24" i="2" a="1"/>
  <c r="U41" i="2" a="1"/>
  <c r="S20" i="2" a="1"/>
  <c r="C11" i="2" a="1"/>
  <c r="O48" i="2" a="1"/>
  <c r="H30" i="2" a="1"/>
  <c r="H21" i="2" a="1"/>
  <c r="H10" i="2" a="1"/>
  <c r="AA62" i="2" a="1"/>
  <c r="P9" i="2" a="1"/>
  <c r="Q72" i="2" a="1"/>
  <c r="W40" i="2" a="1"/>
  <c r="I61" i="2" a="1"/>
  <c r="Z11" i="2" a="1"/>
  <c r="H31" i="2" a="1"/>
  <c r="H20" i="2" a="1"/>
  <c r="N9" i="2" a="1"/>
  <c r="T16" i="2" a="1"/>
  <c r="AF10" i="2" a="1"/>
  <c r="W41" i="2" a="1"/>
  <c r="AC39" i="2" a="1"/>
  <c r="Q64" i="2" a="1"/>
  <c r="U59" i="2" a="1"/>
  <c r="M19" i="2" a="1"/>
  <c r="Y33" i="2" a="1"/>
  <c r="S36" i="2" a="1"/>
  <c r="S10" i="2" a="1"/>
  <c r="AE22" i="2" a="1"/>
  <c r="G32" i="2" a="1"/>
  <c r="C50" i="2" a="1"/>
  <c r="O42" i="2" a="1"/>
  <c r="Z27" i="2" a="1"/>
  <c r="H16" i="2" a="1"/>
  <c r="H28" i="2" a="1"/>
  <c r="N11" i="2" a="1"/>
  <c r="AA7" i="2" a="1"/>
  <c r="P17" i="2" a="1"/>
  <c r="Q42" i="2" a="1"/>
  <c r="W59" i="2" a="1"/>
  <c r="E58" i="2" a="1"/>
  <c r="E50" i="2" a="1"/>
  <c r="Z13" i="2" a="1"/>
  <c r="H18" i="2" a="1"/>
  <c r="AA9" i="2" a="1"/>
  <c r="P7" i="2" a="1"/>
  <c r="W67" i="2" a="1"/>
  <c r="AC62" i="2" a="1"/>
  <c r="AC54" i="2" a="1"/>
  <c r="U43" i="2" a="1"/>
  <c r="M33" i="2" a="1"/>
  <c r="Y31" i="2" a="1"/>
  <c r="S24" i="2" a="1"/>
  <c r="AE18" i="2" a="1"/>
  <c r="AE26" i="2" a="1"/>
  <c r="G34" i="2" a="1"/>
  <c r="I10" i="2" a="1"/>
  <c r="C7" i="2" a="1"/>
  <c r="O72" i="2" a="1"/>
  <c r="H19" i="2" a="1"/>
  <c r="H22" i="2" a="1"/>
  <c r="H17" i="2" a="1"/>
  <c r="H36" i="2" a="1"/>
  <c r="N17" i="2" a="1"/>
  <c r="AA54" i="2" a="1"/>
  <c r="T8" i="2" a="1"/>
  <c r="AF8" i="2" a="1"/>
  <c r="Q56" i="2" a="1"/>
  <c r="AC7" i="2" a="1"/>
  <c r="E11" i="2" a="1"/>
  <c r="E29" i="2" a="1"/>
  <c r="U8" i="2" a="1"/>
  <c r="M25" i="2" a="1"/>
  <c r="Y13" i="2" a="1"/>
  <c r="S12" i="2" a="1"/>
  <c r="AE32" i="2" a="1"/>
  <c r="G41" i="2" a="1"/>
  <c r="G20" i="2" a="1"/>
  <c r="I69" i="2" a="1"/>
  <c r="C58" i="2" a="1"/>
  <c r="O9" i="2" a="1"/>
  <c r="Z15" i="2" a="1"/>
  <c r="H32" i="2" a="1"/>
  <c r="H9" i="2" a="1"/>
  <c r="H7" i="2" a="1"/>
  <c r="H13" i="2" a="1"/>
  <c r="H12" i="2" a="1"/>
  <c r="N15" i="2" a="1"/>
  <c r="AA44" i="2" a="1"/>
  <c r="T18" i="2" a="1"/>
  <c r="T10" i="2" a="1"/>
  <c r="P13" i="2" a="1"/>
  <c r="AF12" i="2" a="1"/>
  <c r="Q48" i="2" a="1"/>
  <c r="W86" i="2" a="1"/>
  <c r="AC70" i="2" a="1"/>
  <c r="E74" i="2" a="1"/>
  <c r="E66" i="2" a="1"/>
  <c r="V8" i="2" a="1"/>
  <c r="V10" i="2" a="1"/>
  <c r="D7" i="2" a="1"/>
  <c r="AB11" i="2" a="1"/>
  <c r="AE34" i="2" a="1"/>
  <c r="AE70" i="2" a="1"/>
  <c r="AE20" i="2" a="1"/>
  <c r="AE48" i="2" a="1"/>
  <c r="L24" i="2" a="1"/>
  <c r="AF20" i="2" a="1"/>
  <c r="AF22" i="2" a="1"/>
  <c r="AF28" i="2" a="1"/>
  <c r="S56" i="2" a="1"/>
  <c r="S26" i="2" a="1"/>
  <c r="S18" i="2" a="1"/>
  <c r="S13" i="2" a="1"/>
  <c r="G28" i="2" a="1"/>
  <c r="G26" i="2" a="1"/>
  <c r="G36" i="2" a="1"/>
  <c r="G52" i="2" a="1"/>
  <c r="J14" i="2" a="1"/>
  <c r="K61" i="2" a="1"/>
  <c r="M55" i="2" a="1"/>
  <c r="M11" i="2" a="1"/>
  <c r="M47" i="2" a="1"/>
  <c r="M31" i="2" a="1"/>
  <c r="Z33" i="2" a="1"/>
  <c r="Z31" i="2" a="1"/>
  <c r="Z29" i="2" a="1"/>
  <c r="Z24" i="2" a="1"/>
  <c r="R11" i="2" a="1"/>
  <c r="Q9" i="2" a="1"/>
  <c r="Q17" i="2" a="1"/>
  <c r="Q50" i="2" a="1"/>
  <c r="Q15" i="2" a="1"/>
  <c r="X18" i="2" a="1"/>
  <c r="F15" i="2" a="1"/>
  <c r="Y15" i="2" a="1"/>
  <c r="Y59" i="2" a="1"/>
  <c r="Y7" i="2" a="1"/>
  <c r="Y8" i="2" a="1"/>
  <c r="W53" i="2" a="1"/>
  <c r="W18" i="2" a="1"/>
  <c r="W75" i="2" a="1"/>
  <c r="AD9" i="2" a="1"/>
  <c r="M90" i="2" a="1"/>
  <c r="N8" i="2" a="1"/>
  <c r="N33" i="2" a="1"/>
  <c r="N29" i="2" a="1"/>
  <c r="AC19" i="2" a="1"/>
  <c r="AC21" i="2" a="1"/>
  <c r="AC64" i="2" a="1"/>
  <c r="AC29" i="2" a="1"/>
  <c r="T9" i="2" a="1"/>
  <c r="T28" i="2" a="1"/>
  <c r="T15" i="2" a="1"/>
  <c r="T32" i="2" a="1"/>
  <c r="K18" i="2" a="1"/>
  <c r="K55" i="2" a="1"/>
  <c r="V22" i="2" a="1"/>
  <c r="D9" i="2" a="1"/>
  <c r="D17" i="2" a="1"/>
  <c r="AB13" i="2" a="1"/>
  <c r="AE15" i="2" a="1"/>
  <c r="AE30" i="2" a="1"/>
  <c r="AE72" i="2" a="1"/>
  <c r="L10" i="2" a="1"/>
  <c r="L12" i="2" a="1"/>
  <c r="AF30" i="2" a="1"/>
  <c r="AF25" i="2" a="1"/>
  <c r="AF13" i="2" a="1"/>
  <c r="S74" i="2" a="1"/>
  <c r="S22" i="2" a="1"/>
  <c r="S72" i="2" a="1"/>
  <c r="S7" i="2" a="1"/>
  <c r="G76" i="2" a="1"/>
  <c r="G22" i="2" a="1"/>
  <c r="G19" i="2" a="1"/>
  <c r="G12" i="2" a="1"/>
  <c r="J8" i="2" a="1"/>
  <c r="K69" i="2" a="1"/>
  <c r="M40" i="2" a="1"/>
  <c r="M21" i="2" a="1"/>
  <c r="M71" i="2" a="1"/>
  <c r="M7" i="2" a="1"/>
  <c r="Z35" i="2" a="1"/>
  <c r="Z16" i="2" a="1"/>
  <c r="Z10" i="2" a="1"/>
  <c r="K90" i="2" a="1"/>
  <c r="R7" i="2" a="1"/>
  <c r="Q31" i="2" a="1"/>
  <c r="Q33" i="2" a="1"/>
  <c r="Q23" i="2" a="1"/>
  <c r="X12" i="2" a="1"/>
  <c r="X20" i="2" a="1"/>
  <c r="F19" i="2" a="1"/>
  <c r="Y11" i="2" a="1"/>
  <c r="Y10" i="2" a="1"/>
  <c r="V40" i="2" a="1"/>
  <c r="D19" i="2" a="1"/>
  <c r="AB9" i="2" a="1"/>
  <c r="AB15" i="2" a="1"/>
  <c r="AE14" i="2" a="1"/>
  <c r="AE64" i="2" a="1"/>
  <c r="AE16" i="2" a="1"/>
  <c r="L16" i="2" a="1"/>
  <c r="AF21" i="2" a="1"/>
  <c r="AF17" i="2" a="1"/>
  <c r="AF23" i="2" a="1"/>
  <c r="AF39" i="2" a="1"/>
  <c r="S16" i="2" a="1"/>
  <c r="S83" i="2" a="1"/>
  <c r="S58" i="2" a="1"/>
  <c r="S64" i="2" a="1"/>
  <c r="G60" i="2" a="1"/>
  <c r="G68" i="2" a="1"/>
  <c r="G9" i="2" a="1"/>
  <c r="J40" i="2" a="1"/>
  <c r="J26" i="2" a="1"/>
  <c r="K12" i="2" a="1"/>
  <c r="M82" i="2" a="1"/>
  <c r="M18" i="2" a="1"/>
  <c r="M23" i="2" a="1"/>
  <c r="M63" i="2" a="1"/>
  <c r="Z26" i="2" a="1"/>
  <c r="Z8" i="2" a="1"/>
  <c r="Z22" i="2" a="1"/>
  <c r="R13" i="2" a="1"/>
  <c r="R17" i="2" a="1"/>
  <c r="Q46" i="2" a="1"/>
  <c r="Q29" i="2" a="1"/>
  <c r="Q74" i="2" a="1"/>
  <c r="V12" i="2" a="1"/>
  <c r="D13" i="2" a="1"/>
  <c r="AB35" i="2" a="1"/>
  <c r="AE24" i="2" a="1"/>
  <c r="AE10" i="2" a="1"/>
  <c r="AE11" i="2" a="1"/>
  <c r="AE7" i="2" a="1"/>
  <c r="L8" i="2" a="1"/>
  <c r="AF7" i="2" a="1"/>
  <c r="AF32" i="2" a="1"/>
  <c r="AF43" i="2" a="1"/>
  <c r="AF34" i="2" a="1"/>
  <c r="S48" i="2" a="1"/>
  <c r="S28" i="2" a="1"/>
  <c r="S14" i="2" a="1"/>
  <c r="S9" i="2" a="1"/>
  <c r="G17" i="2" a="1"/>
  <c r="G7" i="2" a="1"/>
  <c r="G8" i="2" a="1"/>
  <c r="J10" i="2" a="1"/>
  <c r="K14" i="2" a="1"/>
  <c r="I90" i="2" a="1"/>
  <c r="M12" i="2" a="1"/>
  <c r="M17" i="2" a="1"/>
  <c r="M8" i="2" a="1"/>
  <c r="Z19" i="2" a="1"/>
  <c r="Z14" i="2" a="1"/>
  <c r="Z41" i="2" a="1"/>
  <c r="Z25" i="2" a="1"/>
  <c r="R19" i="2" a="1"/>
  <c r="Q11" i="2" a="1"/>
  <c r="Q60" i="2" a="1"/>
  <c r="Q13" i="2" a="1"/>
  <c r="Q58" i="2" a="1"/>
  <c r="X10" i="2" a="1"/>
  <c r="F17" i="2" a="1"/>
  <c r="Y28" i="2" a="1"/>
  <c r="Y17" i="2" a="1"/>
  <c r="Y35" i="2" a="1"/>
  <c r="V18" i="2" a="1"/>
  <c r="D11" i="2" a="1"/>
  <c r="AB7" i="2" a="1"/>
  <c r="AE39" i="2" a="1"/>
  <c r="AE13" i="2" a="1"/>
  <c r="AE83" i="2" a="1"/>
  <c r="AE62" i="2" a="1"/>
  <c r="L34" i="2" a="1"/>
  <c r="AF26" i="2" a="1"/>
  <c r="AF9" i="2" a="1"/>
  <c r="AF15" i="2" a="1"/>
  <c r="AF36" i="2" a="1"/>
  <c r="S39" i="2" a="1"/>
  <c r="S42" i="2" a="1"/>
  <c r="S32" i="2" a="1"/>
  <c r="G13" i="2" a="1"/>
  <c r="G18" i="2" a="1"/>
  <c r="G74" i="2" a="1"/>
  <c r="G24" i="2" a="1"/>
  <c r="J16" i="2" a="1"/>
  <c r="K47" i="2" a="1"/>
  <c r="K53" i="2" a="1"/>
  <c r="M10" i="2" a="1"/>
  <c r="M14" i="2" a="1"/>
  <c r="M35" i="2" a="1"/>
  <c r="Z23" i="2" a="1"/>
  <c r="Z42" i="2" a="1"/>
  <c r="Z12" i="2" a="1"/>
  <c r="Z40" i="2" a="1"/>
  <c r="R15" i="2" a="1"/>
  <c r="Q7" i="2" a="1"/>
  <c r="Q25" i="2" a="1"/>
  <c r="Q66" i="2" a="1"/>
  <c r="Q21" i="2" a="1"/>
  <c r="X16" i="2" a="1"/>
  <c r="F9" i="2" a="1"/>
  <c r="Y14" i="2" a="1"/>
  <c r="Y75" i="2" a="1"/>
  <c r="Y53" i="2" a="1"/>
  <c r="Y16" i="2" a="1"/>
  <c r="W36" i="2" a="1"/>
  <c r="W61" i="2" a="1"/>
  <c r="W16" i="2" a="1"/>
  <c r="W55" i="2" a="1"/>
  <c r="AD7" i="2" a="1"/>
  <c r="N23" i="2" a="1"/>
  <c r="N25" i="2" a="1"/>
  <c r="N46" i="2" a="1"/>
  <c r="N31" i="2" a="1"/>
  <c r="AC91" i="2" a="1"/>
  <c r="AC35" i="2" a="1"/>
  <c r="AC48" i="2" a="1"/>
  <c r="T47" i="2" a="1"/>
  <c r="T36" i="2" a="1"/>
  <c r="T23" i="2" a="1"/>
  <c r="T27" i="2" a="1"/>
  <c r="K8" i="2" a="1"/>
  <c r="K49" i="2" a="1"/>
  <c r="K20" i="2" a="1"/>
  <c r="V16" i="2" a="1"/>
  <c r="D15" i="2" a="1"/>
  <c r="AB19" i="2" a="1"/>
  <c r="AE91" i="2" a="1"/>
  <c r="AE8" i="2" a="1"/>
  <c r="AE56" i="2" a="1"/>
  <c r="AE9" i="2" a="1"/>
  <c r="L14" i="2" a="1"/>
  <c r="AF19" i="2" a="1"/>
  <c r="AF31" i="2" a="1"/>
  <c r="AF11" i="2" a="1"/>
  <c r="AF27" i="2" a="1"/>
  <c r="S66" i="2" a="1"/>
  <c r="S50" i="2" a="1"/>
  <c r="S8" i="2" a="1"/>
  <c r="G46" i="2" a="1"/>
  <c r="G15" i="2" a="1"/>
  <c r="G14" i="2" a="1"/>
  <c r="G11" i="2" a="1"/>
  <c r="J12" i="2" a="1"/>
  <c r="K40" i="2" a="1"/>
  <c r="M15" i="2" a="1"/>
  <c r="M53" i="2" a="1"/>
  <c r="M9" i="2" a="1"/>
  <c r="M16" i="2" a="1"/>
  <c r="Z18" i="2" a="1"/>
  <c r="Z21" i="2" a="1"/>
  <c r="Z17" i="2" a="1"/>
  <c r="Z20" i="2" a="1"/>
  <c r="R9" i="2" a="1"/>
  <c r="Q39" i="2" a="1"/>
  <c r="Q35" i="2" a="1"/>
  <c r="Q19" i="2" a="1"/>
  <c r="Q27" i="2" a="1"/>
  <c r="F13" i="2" a="1"/>
  <c r="Y25" i="2" a="1"/>
  <c r="W22" i="2" a="1"/>
  <c r="W14" i="2" a="1"/>
  <c r="AD17" i="2" a="1"/>
  <c r="N30" i="2" a="1"/>
  <c r="N20" i="2" a="1"/>
  <c r="AC42" i="2" a="1"/>
  <c r="AC83" i="2" a="1"/>
  <c r="T24" i="2" a="1"/>
  <c r="K41" i="2" a="1"/>
  <c r="K28" i="2" a="1"/>
  <c r="E60" i="2" a="1"/>
  <c r="E68" i="2" a="1"/>
  <c r="E52" i="2" a="1"/>
  <c r="U63" i="2" a="1"/>
  <c r="U7" i="2" a="1"/>
  <c r="J13" i="2" a="1"/>
  <c r="J18" i="2" a="1"/>
  <c r="J7" i="2" a="1"/>
  <c r="O12" i="2" a="1"/>
  <c r="O35" i="2" a="1"/>
  <c r="AA41" i="2" a="1"/>
  <c r="AA29" i="2" a="1"/>
  <c r="AA21" i="2" a="1"/>
  <c r="C70" i="2" a="1"/>
  <c r="E13" i="2" a="1"/>
  <c r="E27" i="2" a="1"/>
  <c r="U28" i="2" a="1"/>
  <c r="F11" i="2" a="1"/>
  <c r="Y18" i="2" a="1"/>
  <c r="W8" i="2" a="1"/>
  <c r="W32" i="2" a="1"/>
  <c r="AD11" i="2" a="1"/>
  <c r="N21" i="2" a="1"/>
  <c r="N24" i="2" a="1"/>
  <c r="AC17" i="2" a="1"/>
  <c r="T13" i="2" a="1"/>
  <c r="T34" i="2" a="1"/>
  <c r="K82" i="2" a="1"/>
  <c r="K71" i="2" a="1"/>
  <c r="E15" i="2" a="1"/>
  <c r="E21" i="2" a="1"/>
  <c r="E35" i="2" a="1"/>
  <c r="U11" i="2" a="1"/>
  <c r="U32" i="2" a="1"/>
  <c r="J29" i="2" a="1"/>
  <c r="J22" i="2" a="1"/>
  <c r="J25" i="2" a="1"/>
  <c r="O33" i="2" a="1"/>
  <c r="O58" i="2" a="1"/>
  <c r="AA50" i="2" a="1"/>
  <c r="AA27" i="2" a="1"/>
  <c r="C52" i="2" a="1"/>
  <c r="C13" i="2" a="1"/>
  <c r="C60" i="2" a="1"/>
  <c r="I9" i="2" a="1"/>
  <c r="I57" i="2" a="1"/>
  <c r="I82" i="2" a="1"/>
  <c r="P32" i="2" a="1"/>
  <c r="P16" i="2" a="1"/>
  <c r="P10" i="2" a="1"/>
  <c r="N36" i="2" a="1"/>
  <c r="N55" i="2" a="1"/>
  <c r="N43" i="2" a="1"/>
  <c r="N44" i="2" a="1"/>
  <c r="V17" i="2" a="1"/>
  <c r="V11" i="2" a="1"/>
  <c r="D29" i="2" a="1"/>
  <c r="D26" i="2" a="1"/>
  <c r="D18" i="2" a="1"/>
  <c r="D10" i="2" a="1"/>
  <c r="D40" i="2" a="1"/>
  <c r="F58" i="2" a="1"/>
  <c r="F68" i="2" a="1"/>
  <c r="F76" i="2" a="1"/>
  <c r="F66" i="2" a="1"/>
  <c r="AB17" i="2" a="1"/>
  <c r="AB29" i="2" a="1"/>
  <c r="AB8" i="2" a="1"/>
  <c r="AB25" i="2" a="1"/>
  <c r="AD16" i="2" a="1"/>
  <c r="AD8" i="2" a="1"/>
  <c r="AD25" i="2" a="1"/>
  <c r="AD14" i="2" a="1"/>
  <c r="Q40" i="2" a="1"/>
  <c r="Q54" i="2" a="1"/>
  <c r="Q32" i="2" a="1"/>
  <c r="I25" i="2" a="1"/>
  <c r="I28" i="2" a="1"/>
  <c r="I21" i="2" a="1"/>
  <c r="I59" i="2" a="1"/>
  <c r="C28" i="2" a="1"/>
  <c r="C22" i="2" a="1"/>
  <c r="C72" i="2" a="1"/>
  <c r="C30" i="2" a="1"/>
  <c r="AC52" i="2" a="1"/>
  <c r="U13" i="2" a="1"/>
  <c r="AC8" i="2" a="1"/>
  <c r="U49" i="2" a="1"/>
  <c r="AC22" i="2" a="1"/>
  <c r="AC46" i="2" a="1"/>
  <c r="E7" i="2" a="1"/>
  <c r="E39" i="2" a="1"/>
  <c r="U26" i="2" a="1"/>
  <c r="J30" i="2" a="1"/>
  <c r="O8" i="2" a="1"/>
  <c r="AA8" i="2" a="1"/>
  <c r="C16" i="2" a="1"/>
  <c r="C33" i="2" a="1"/>
  <c r="I18" i="2" a="1"/>
  <c r="F7" i="2" a="1"/>
  <c r="Y21" i="2" a="1"/>
  <c r="W30" i="2" a="1"/>
  <c r="W24" i="2" a="1"/>
  <c r="U90" i="2" a="1"/>
  <c r="N39" i="2" a="1"/>
  <c r="AC31" i="2" a="1"/>
  <c r="AC25" i="2" a="1"/>
  <c r="T17" i="2" a="1"/>
  <c r="T22" i="2" a="1"/>
  <c r="K26" i="2" a="1"/>
  <c r="K16" i="2" a="1"/>
  <c r="E76" i="2" a="1"/>
  <c r="E33" i="2" a="1"/>
  <c r="U16" i="2" a="1"/>
  <c r="U82" i="2" a="1"/>
  <c r="U39" i="2" a="1"/>
  <c r="J32" i="2" a="1"/>
  <c r="J17" i="2" a="1"/>
  <c r="O13" i="2" a="1"/>
  <c r="O91" i="2" a="1"/>
  <c r="O68" i="2" a="1"/>
  <c r="AA48" i="2" a="1"/>
  <c r="AA91" i="2" a="1"/>
  <c r="C21" i="2" a="1"/>
  <c r="C40" i="2" a="1"/>
  <c r="C31" i="2" a="1"/>
  <c r="I7" i="2" a="1"/>
  <c r="I49" i="2" a="1"/>
  <c r="Y24" i="2" a="1"/>
  <c r="W69" i="2" a="1"/>
  <c r="W20" i="2" a="1"/>
  <c r="N12" i="2" a="1"/>
  <c r="N22" i="2" a="1"/>
  <c r="AC33" i="2" a="1"/>
  <c r="AC9" i="2" a="1"/>
  <c r="T11" i="2" a="1"/>
  <c r="T25" i="2" a="1"/>
  <c r="K34" i="2" a="1"/>
  <c r="K65" i="2" a="1"/>
  <c r="E25" i="2" a="1"/>
  <c r="U55" i="2" a="1"/>
  <c r="J36" i="2" a="1"/>
  <c r="O50" i="2" a="1"/>
  <c r="O83" i="2" a="1"/>
  <c r="AA64" i="2" a="1"/>
  <c r="C17" i="2" a="1"/>
  <c r="I84" i="2" a="1"/>
  <c r="Y20" i="2" a="1"/>
  <c r="Y69" i="2" a="1"/>
  <c r="W28" i="2" a="1"/>
  <c r="W26" i="2" a="1"/>
  <c r="N40" i="2" a="1"/>
  <c r="N16" i="2" a="1"/>
  <c r="AC11" i="2" a="1"/>
  <c r="AC50" i="2" a="1"/>
  <c r="T20" i="2" a="1"/>
  <c r="T29" i="2" a="1"/>
  <c r="K22" i="2" a="1"/>
  <c r="K32" i="2" a="1"/>
  <c r="E23" i="2" a="1"/>
  <c r="E62" i="2" a="1"/>
  <c r="U69" i="2" a="1"/>
  <c r="U61" i="2" a="1"/>
  <c r="U36" i="2" a="1"/>
  <c r="J20" i="2" a="1"/>
  <c r="J34" i="2" a="1"/>
  <c r="O66" i="2" a="1"/>
  <c r="O40" i="2" a="1"/>
  <c r="O11" i="2" a="1"/>
  <c r="AA17" i="2" a="1"/>
  <c r="AA66" i="2" a="1"/>
  <c r="C29" i="2" a="1"/>
  <c r="K10" i="2" a="1"/>
  <c r="E31" i="2" a="1"/>
  <c r="U14" i="2" a="1"/>
  <c r="J9" i="2" a="1"/>
  <c r="O46" i="2" a="1"/>
  <c r="O29" i="2" a="1"/>
  <c r="AA40" i="2" a="1"/>
  <c r="C15" i="2" a="1"/>
  <c r="I20" i="2" a="1"/>
  <c r="X14" i="2" a="1"/>
  <c r="Y61" i="2" a="1"/>
  <c r="Y29" i="2" a="1"/>
  <c r="W34" i="2" a="1"/>
  <c r="AD15" i="2" a="1"/>
  <c r="N35" i="2" a="1"/>
  <c r="N14" i="2" a="1"/>
  <c r="AC56" i="2" a="1"/>
  <c r="AC72" i="2" a="1"/>
  <c r="X8" i="2" a="1"/>
  <c r="Y12" i="2" a="1"/>
  <c r="W47" i="2" a="1"/>
  <c r="W12" i="2" a="1"/>
  <c r="AD21" i="2" a="1"/>
  <c r="N27" i="2" a="1"/>
  <c r="N26" i="2" a="1"/>
  <c r="AC15" i="2" a="1"/>
  <c r="AC40" i="2" a="1"/>
  <c r="T26" i="2" a="1"/>
  <c r="T21" i="2" a="1"/>
  <c r="K30" i="2" a="1"/>
  <c r="K63" i="2" a="1"/>
  <c r="E9" i="2" a="1"/>
  <c r="E17" i="2" a="1"/>
  <c r="U22" i="2" a="1"/>
  <c r="U18" i="2" a="1"/>
  <c r="J21" i="2" a="1"/>
  <c r="J15" i="2" a="1"/>
  <c r="J11" i="2" a="1"/>
  <c r="O52" i="2" a="1"/>
  <c r="O14" i="2" a="1"/>
  <c r="AA83" i="2" a="1"/>
  <c r="AA56" i="2" a="1"/>
  <c r="AA19" i="2" a="1"/>
  <c r="C8" i="2" a="1"/>
  <c r="C74" i="2" a="1"/>
  <c r="I26" i="2" a="1"/>
  <c r="I22" i="2" a="1"/>
  <c r="I65" i="2" a="1"/>
  <c r="AA58" i="2" a="1"/>
  <c r="AA36" i="2" a="1"/>
  <c r="AA14" i="2" a="1"/>
  <c r="K39" i="2" a="1"/>
  <c r="K13" i="2" a="1"/>
  <c r="W27" i="2" a="1"/>
  <c r="W33" i="2" a="1"/>
  <c r="W65" i="2" a="1"/>
  <c r="E24" i="2" a="1"/>
  <c r="E34" i="2" a="1"/>
  <c r="E83" i="2" a="1"/>
  <c r="E56" i="2" a="1"/>
  <c r="O19" i="2" a="1"/>
  <c r="O24" i="2" a="1"/>
  <c r="O70" i="2" a="1"/>
  <c r="M36" i="2" a="1"/>
  <c r="M43" i="2" a="1"/>
  <c r="M34" i="2" a="1"/>
  <c r="M59" i="2" a="1"/>
  <c r="X30" i="2" a="1"/>
  <c r="X23" i="2" a="1"/>
  <c r="X11" i="2" a="1"/>
  <c r="X26" i="2" a="1"/>
  <c r="S27" i="2" a="1"/>
  <c r="S46" i="2" a="1"/>
  <c r="S35" i="2" a="1"/>
  <c r="F26" i="2" a="1"/>
  <c r="F35" i="2" a="1"/>
  <c r="F29" i="2" a="1"/>
  <c r="F40" i="2" a="1"/>
  <c r="T39" i="2" a="1"/>
  <c r="E54" i="2" a="1"/>
  <c r="AA35" i="2" a="1"/>
  <c r="I12" i="2" a="1"/>
  <c r="P28" i="2" a="1"/>
  <c r="V13" i="2" a="1"/>
  <c r="V23" i="2" a="1"/>
  <c r="W10" i="2" a="1"/>
  <c r="AC23" i="2" a="1"/>
  <c r="O74" i="2" a="1"/>
  <c r="AA72" i="2" a="1"/>
  <c r="C76" i="2" a="1"/>
  <c r="I73" i="2" a="1"/>
  <c r="I45" i="2" a="1"/>
  <c r="P27" i="2" a="1"/>
  <c r="P20" i="2" a="1"/>
  <c r="N57" i="2" a="1"/>
  <c r="N63" i="2" a="1"/>
  <c r="V27" i="2" a="1"/>
  <c r="V9" i="2" a="1"/>
  <c r="V24" i="2" a="1"/>
  <c r="V14" i="2" a="1"/>
  <c r="D25" i="2" a="1"/>
  <c r="F56" i="2" a="1"/>
  <c r="F34" i="2" a="1"/>
  <c r="F32" i="2" a="1"/>
  <c r="AB10" i="2" a="1"/>
  <c r="AB41" i="2" a="1"/>
  <c r="AD23" i="2" a="1"/>
  <c r="AD20" i="2" a="1"/>
  <c r="AD30" i="2" a="1"/>
  <c r="Q8" i="2" a="1"/>
  <c r="Q18" i="2" a="1"/>
  <c r="I33" i="2" a="1"/>
  <c r="I19" i="2" a="1"/>
  <c r="I35" i="2" a="1"/>
  <c r="C27" i="2" a="1"/>
  <c r="C91" i="2" a="1"/>
  <c r="U21" i="2" a="1"/>
  <c r="U33" i="2" a="1"/>
  <c r="AC30" i="2" a="1"/>
  <c r="AC28" i="2" a="1"/>
  <c r="AC58" i="2" a="1"/>
  <c r="AA34" i="2" a="1"/>
  <c r="AA46" i="2" a="1"/>
  <c r="K84" i="2" a="1"/>
  <c r="K9" i="2" a="1"/>
  <c r="U86" i="2" a="1"/>
  <c r="C44" i="2" a="1"/>
  <c r="P31" i="2" a="1"/>
  <c r="N48" i="2" a="1"/>
  <c r="F44" i="2" a="1"/>
  <c r="W63" i="2" a="1"/>
  <c r="E70" i="2" a="1"/>
  <c r="U67" i="2" a="1"/>
  <c r="AA39" i="2" a="1"/>
  <c r="P19" i="2" a="1"/>
  <c r="P29" i="2" a="1"/>
  <c r="P35" i="2" a="1"/>
  <c r="N59" i="2" a="1"/>
  <c r="N45" i="2" a="1"/>
  <c r="V26" i="2" a="1"/>
  <c r="D20" i="2" a="1"/>
  <c r="V25" i="2" a="1"/>
  <c r="D33" i="2" a="1"/>
  <c r="D31" i="2" a="1"/>
  <c r="F36" i="2" a="1"/>
  <c r="F60" i="2" a="1"/>
  <c r="F52" i="2" a="1"/>
  <c r="AB16" i="2" a="1"/>
  <c r="AB22" i="2" a="1"/>
  <c r="AD29" i="2" a="1"/>
  <c r="AD26" i="2" a="1"/>
  <c r="Q30" i="2" a="1"/>
  <c r="Q36" i="2" a="1"/>
  <c r="Q20" i="2" a="1"/>
  <c r="I67" i="2" a="1"/>
  <c r="I29" i="2" a="1"/>
  <c r="C35" i="2" a="1"/>
  <c r="C24" i="2" a="1"/>
  <c r="C32" i="2" a="1"/>
  <c r="U30" i="2" a="1"/>
  <c r="U31" i="2" a="1"/>
  <c r="AC16" i="2" a="1"/>
  <c r="AC18" i="2" a="1"/>
  <c r="AC36" i="2" a="1"/>
  <c r="AA32" i="2" a="1"/>
  <c r="AA11" i="2" a="1"/>
  <c r="K43" i="2" a="1"/>
  <c r="W15" i="2" a="1"/>
  <c r="T19" i="2" a="1"/>
  <c r="E19" i="2" a="1"/>
  <c r="J23" i="2" a="1"/>
  <c r="O60" i="2" a="1"/>
  <c r="AD13" i="2" a="1"/>
  <c r="T7" i="2" a="1"/>
  <c r="E44" i="2" a="1"/>
  <c r="J28" i="2" a="1"/>
  <c r="O25" i="2" a="1"/>
  <c r="AA42" i="2" a="1"/>
  <c r="C62" i="2" a="1"/>
  <c r="I16" i="2" a="1"/>
  <c r="P18" i="2" a="1"/>
  <c r="P26" i="2" a="1"/>
  <c r="P24" i="2" a="1"/>
  <c r="N32" i="2" a="1"/>
  <c r="N65" i="2" a="1"/>
  <c r="V21" i="2" a="1"/>
  <c r="V31" i="2" a="1"/>
  <c r="V20" i="2" a="1"/>
  <c r="D36" i="2" a="1"/>
  <c r="D24" i="2" a="1"/>
  <c r="F64" i="2" a="1"/>
  <c r="F50" i="2" a="1"/>
  <c r="AB18" i="2" a="1"/>
  <c r="AB20" i="2" a="1"/>
  <c r="AB30" i="2" a="1"/>
  <c r="AD27" i="2" a="1"/>
  <c r="AD19" i="2" a="1"/>
  <c r="Q10" i="2" a="1"/>
  <c r="Q22" i="2" a="1"/>
  <c r="Q76" i="2" a="1"/>
  <c r="I34" i="2" a="1"/>
  <c r="I51" i="2" a="1"/>
  <c r="C12" i="2" a="1"/>
  <c r="C34" i="2" a="1"/>
  <c r="C14" i="2" a="1"/>
  <c r="U24" i="2" a="1"/>
  <c r="U73" i="2" a="1"/>
  <c r="U45" i="2" a="1"/>
  <c r="U27" i="2" a="1"/>
  <c r="AC12" i="2" a="1"/>
  <c r="AA76" i="2" a="1"/>
  <c r="AA16" i="2" a="1"/>
  <c r="K11" i="2" a="1"/>
  <c r="W7" i="2" a="1"/>
  <c r="O10" i="2" a="1"/>
  <c r="C68" i="2" a="1"/>
  <c r="I63" i="2" a="1"/>
  <c r="P14" i="2" a="1"/>
  <c r="N61" i="2" a="1"/>
  <c r="V7" i="2" a="1"/>
  <c r="V30" i="2" a="1"/>
  <c r="D32" i="2" a="1"/>
  <c r="F48" i="2" a="1"/>
  <c r="AB23" i="2" a="1"/>
  <c r="AD33" i="2" a="1"/>
  <c r="AD35" i="2" a="1"/>
  <c r="Q52" i="2" a="1"/>
  <c r="I86" i="2" a="1"/>
  <c r="C36" i="2" a="1"/>
  <c r="AC76" i="2" a="1"/>
  <c r="AC32" i="2" a="1"/>
  <c r="AC74" i="2" a="1"/>
  <c r="AA26" i="2" a="1"/>
  <c r="K21" i="2" a="1"/>
  <c r="K23" i="2" a="1"/>
  <c r="W13" i="2" a="1"/>
  <c r="W23" i="2" a="1"/>
  <c r="W82" i="2" a="1"/>
  <c r="W35" i="2" a="1"/>
  <c r="E16" i="2" a="1"/>
  <c r="E30" i="2" a="1"/>
  <c r="E28" i="2" a="1"/>
  <c r="O54" i="2" a="1"/>
  <c r="O18" i="2" a="1"/>
  <c r="O30" i="2" a="1"/>
  <c r="O31" i="2" a="1"/>
  <c r="M86" i="2" a="1"/>
  <c r="M61" i="2" a="1"/>
  <c r="M49" i="2" a="1"/>
  <c r="M84" i="2" a="1"/>
  <c r="X25" i="2" a="1"/>
  <c r="X32" i="2" a="1"/>
  <c r="X7" i="2" a="1"/>
  <c r="S29" i="2" a="1"/>
  <c r="S33" i="2" a="1"/>
  <c r="S25" i="2" a="1"/>
  <c r="S19" i="2" a="1"/>
  <c r="F27" i="2" a="1"/>
  <c r="F23" i="2" a="1"/>
  <c r="N18" i="2" a="1"/>
  <c r="K57" i="2" a="1"/>
  <c r="O76" i="2" a="1"/>
  <c r="C54" i="2" a="1"/>
  <c r="I24" i="2" a="1"/>
  <c r="P40" i="2" a="1"/>
  <c r="P23" i="2" a="1"/>
  <c r="P25" i="2" a="1"/>
  <c r="N41" i="2" a="1"/>
  <c r="N53" i="2" a="1"/>
  <c r="V32" i="2" a="1"/>
  <c r="V34" i="2" a="1"/>
  <c r="V19" i="2" a="1"/>
  <c r="D39" i="2" a="1"/>
  <c r="D8" i="2" a="1"/>
  <c r="F62" i="2" a="1"/>
  <c r="F72" i="2" a="1"/>
  <c r="AB14" i="2" a="1"/>
  <c r="AB24" i="2" a="1"/>
  <c r="AB26" i="2" a="1"/>
  <c r="AD32" i="2" a="1"/>
  <c r="AD40" i="2" a="1"/>
  <c r="AD24" i="2" a="1"/>
  <c r="Q28" i="2" a="1"/>
  <c r="Q70" i="2" a="1"/>
  <c r="I17" i="2" a="1"/>
  <c r="I39" i="2" a="1"/>
  <c r="C10" i="2" a="1"/>
  <c r="C42" i="2" a="1"/>
  <c r="C56" i="2" a="1"/>
  <c r="U23" i="2" a="1"/>
  <c r="AC66" i="2" a="1"/>
  <c r="AC14" i="2" a="1"/>
  <c r="U65" i="2" a="1"/>
  <c r="AC60" i="2" a="1"/>
  <c r="AA28" i="2" a="1"/>
  <c r="K31" i="2" a="1"/>
  <c r="K35" i="2" a="1"/>
  <c r="W11" i="2" a="1"/>
  <c r="K24" i="2" a="1"/>
  <c r="U47" i="2" a="1"/>
  <c r="J24" i="2" a="1"/>
  <c r="AA25" i="2" a="1"/>
  <c r="W90" i="2" a="1"/>
  <c r="I55" i="2" a="1"/>
  <c r="U71" i="2" a="1"/>
  <c r="I36" i="2" a="1"/>
  <c r="N28" i="2" a="1"/>
  <c r="F46" i="2" a="1"/>
  <c r="AD18" i="2" a="1"/>
  <c r="O26" i="2" a="1"/>
  <c r="F21" i="2" a="1"/>
  <c r="O41" i="2" a="1"/>
  <c r="U34" i="2" a="1"/>
  <c r="I11" i="2" a="1"/>
  <c r="N69" i="2" a="1"/>
  <c r="V28" i="2" a="1"/>
  <c r="D22" i="2" a="1"/>
  <c r="F74" i="2" a="1"/>
  <c r="AB21" i="2" a="1"/>
  <c r="Q34" i="2" a="1"/>
  <c r="E26" i="2" a="1"/>
  <c r="J19" i="2" a="1"/>
  <c r="N67" i="2" a="1"/>
  <c r="V36" i="2" a="1"/>
  <c r="Y90" i="2" a="1"/>
  <c r="Q24" i="2" a="1"/>
  <c r="I75" i="2" a="1"/>
  <c r="C64" i="2" a="1"/>
  <c r="AC34" i="2" a="1"/>
  <c r="U84" i="2" a="1"/>
  <c r="AA68" i="2" a="1"/>
  <c r="K7" i="2" a="1"/>
  <c r="F20" i="2" a="1"/>
  <c r="F16" i="2" a="1"/>
  <c r="M69" i="2" a="1"/>
  <c r="X9" i="2" a="1"/>
  <c r="S52" i="2" a="1"/>
  <c r="S21" i="2" a="1"/>
  <c r="F30" i="2" a="1"/>
  <c r="I32" i="2" a="1"/>
  <c r="N51" i="2" a="1"/>
  <c r="AB31" i="2" a="1"/>
  <c r="Q16" i="2" a="1"/>
  <c r="I27" i="2" a="1"/>
  <c r="AC20" i="2" a="1"/>
  <c r="AA24" i="2" a="1"/>
  <c r="F31" i="2" a="1"/>
  <c r="AA31" i="2" a="1"/>
  <c r="W9" i="2" a="1"/>
  <c r="O15" i="2" a="1"/>
  <c r="X24" i="2" a="1"/>
  <c r="P12" i="2" a="1"/>
  <c r="I14" i="2" a="1"/>
  <c r="AC24" i="2" a="1"/>
  <c r="K59" i="2" a="1"/>
  <c r="F14" i="2" a="1"/>
  <c r="V15" i="2" a="1"/>
  <c r="Q12" i="2" a="1"/>
  <c r="E72" i="2" a="1"/>
  <c r="X27" i="2" a="1"/>
  <c r="O32" i="2" a="1"/>
  <c r="S41" i="2" a="1"/>
  <c r="AA12" i="2" a="1"/>
  <c r="M26" i="2" a="1"/>
  <c r="J33" i="2" a="1"/>
  <c r="D23" i="2" a="1"/>
  <c r="D14" i="2" a="1"/>
  <c r="AB39" i="2" a="1"/>
  <c r="AD31" i="2" a="1"/>
  <c r="AA20" i="2" a="1"/>
  <c r="AA22" i="2" a="1"/>
  <c r="W39" i="2" a="1"/>
  <c r="W31" i="2" a="1"/>
  <c r="E22" i="2" a="1"/>
  <c r="E48" i="2" a="1"/>
  <c r="O20" i="2" a="1"/>
  <c r="O62" i="2" a="1"/>
  <c r="X29" i="2" a="1"/>
  <c r="F39" i="2" a="1"/>
  <c r="J41" i="2" a="1"/>
  <c r="I43" i="2" a="1"/>
  <c r="C48" i="2" a="1"/>
  <c r="U19" i="2" a="1"/>
  <c r="K51" i="2" a="1"/>
  <c r="N49" i="2" a="1"/>
  <c r="K33" i="2" a="1"/>
  <c r="E20" i="2" a="1"/>
  <c r="M28" i="2" a="1"/>
  <c r="S44" i="2" a="1"/>
  <c r="AB12" i="2" a="1"/>
  <c r="AA10" i="2" a="1"/>
  <c r="S17" i="2" a="1"/>
  <c r="AD12" i="2" a="1"/>
  <c r="AA18" i="2" a="1"/>
  <c r="O44" i="2" a="1"/>
  <c r="AA60" i="2" a="1"/>
  <c r="M30" i="2" a="1"/>
  <c r="F10" i="2" a="1"/>
  <c r="W17" i="2" a="1"/>
  <c r="X15" i="2" a="1"/>
  <c r="N34" i="2" a="1"/>
  <c r="S54" i="2" a="1"/>
  <c r="N10" i="2" a="1"/>
  <c r="AA74" i="2" a="1"/>
  <c r="P8" i="2" a="1"/>
  <c r="N47" i="2" a="1"/>
  <c r="D12" i="2" a="1"/>
  <c r="F54" i="2" a="1"/>
  <c r="AB33" i="2" a="1"/>
  <c r="I31" i="2" a="1"/>
  <c r="I23" i="2" a="1"/>
  <c r="C83" i="2" a="1"/>
  <c r="AC26" i="2" a="1"/>
  <c r="U17" i="2" a="1"/>
  <c r="AA52" i="2" a="1"/>
  <c r="K17" i="2" a="1"/>
  <c r="W57" i="2" a="1"/>
  <c r="W49" i="2" a="1"/>
  <c r="E18" i="2" a="1"/>
  <c r="E36" i="2" a="1"/>
  <c r="O21" i="2" a="1"/>
  <c r="M45" i="2" a="1"/>
  <c r="M57" i="2" a="1"/>
  <c r="X13" i="2" a="1"/>
  <c r="X19" i="2" a="1"/>
  <c r="S11" i="2" a="1"/>
  <c r="S68" i="2" a="1"/>
  <c r="F28" i="2" a="1"/>
  <c r="F12" i="2" a="1"/>
  <c r="P39" i="2" a="1"/>
  <c r="F83" i="2" a="1"/>
  <c r="AD10" i="2" a="1"/>
  <c r="Q26" i="2" a="1"/>
  <c r="W19" i="2" a="1"/>
  <c r="O28" i="2" a="1"/>
  <c r="M51" i="2" a="1"/>
  <c r="X28" i="2" a="1"/>
  <c r="U9" i="2" a="1"/>
  <c r="U53" i="2" a="1"/>
  <c r="AB27" i="2" a="1"/>
  <c r="E12" i="2" a="1"/>
  <c r="M73" i="2" a="1"/>
  <c r="W45" i="2" a="1"/>
  <c r="S60" i="2" a="1"/>
  <c r="O23" i="2" a="1"/>
  <c r="F24" i="2" a="1"/>
  <c r="K29" i="2" a="1"/>
  <c r="E42" i="2" a="1"/>
  <c r="M20" i="2" a="1"/>
  <c r="E32" i="2" a="1"/>
  <c r="S15" i="2" a="1"/>
  <c r="AC27" i="2" a="1"/>
  <c r="P21" i="2" a="1"/>
  <c r="N42" i="2" a="1"/>
  <c r="D21" i="2" a="1"/>
  <c r="F42" i="2" a="1"/>
  <c r="Q14" i="2" a="1"/>
  <c r="K73" i="2" a="1"/>
  <c r="K75" i="2" a="1"/>
  <c r="W29" i="2" a="1"/>
  <c r="E40" i="2" a="1"/>
  <c r="E8" i="2" a="1"/>
  <c r="O17" i="2" a="1"/>
  <c r="O36" i="2" a="1"/>
  <c r="M32" i="2" a="1"/>
  <c r="M41" i="2" a="1"/>
  <c r="X34" i="2" a="1"/>
  <c r="X21" i="2" a="1"/>
  <c r="S23" i="2" a="1"/>
  <c r="F18" i="2" a="1"/>
  <c r="F25" i="2" a="1"/>
  <c r="U35" i="2" a="1"/>
  <c r="W21" i="2" a="1"/>
  <c r="E64" i="2" a="1"/>
  <c r="M22" i="2" a="1"/>
  <c r="X39" i="2" a="1"/>
  <c r="K36" i="2" a="1"/>
  <c r="F70" i="2" a="1"/>
  <c r="C20" i="2" a="1"/>
  <c r="S91" i="2" a="1"/>
  <c r="I71" i="2" a="1"/>
  <c r="O34" i="2" a="1"/>
  <c r="K25" i="2" a="1"/>
  <c r="X17" i="2" a="1"/>
  <c r="AA30" i="2" a="1"/>
  <c r="C25" i="2" a="1"/>
  <c r="P22" i="2" a="1"/>
  <c r="AB40" i="2" a="1"/>
  <c r="AD28" i="2" a="1"/>
  <c r="I13" i="2" a="1"/>
  <c r="C26" i="2" a="1"/>
  <c r="U29" i="2" a="1"/>
  <c r="AC10" i="2" a="1"/>
  <c r="U20" i="2" a="1"/>
  <c r="AA23" i="2" a="1"/>
  <c r="K15" i="2" a="1"/>
  <c r="S76" i="2" a="1"/>
  <c r="S31" i="2" a="1"/>
  <c r="F33" i="2" a="1"/>
  <c r="K45" i="2" a="1"/>
  <c r="C39" i="2" a="1"/>
  <c r="V39" i="2" a="1"/>
  <c r="D35" i="2" a="1"/>
  <c r="AD22" i="2" a="1"/>
  <c r="Q44" i="2" a="1"/>
  <c r="I15" i="2" a="1"/>
  <c r="C18" i="2" a="1"/>
  <c r="U57" i="2" a="1"/>
  <c r="U15" i="2" a="1"/>
  <c r="K27" i="2" a="1"/>
  <c r="K19" i="2" a="1"/>
  <c r="E14" i="2" a="1"/>
  <c r="O16" i="2" a="1"/>
  <c r="O22" i="2" a="1"/>
  <c r="M65" i="2" a="1"/>
  <c r="X22" i="2" a="1"/>
  <c r="F8" i="2" a="1"/>
  <c r="C23" i="2" a="1"/>
  <c r="D27" i="2" a="1"/>
  <c r="Q68" i="2" a="1"/>
  <c r="U25" i="2" a="1"/>
  <c r="F22" i="2" a="1"/>
  <c r="D16" i="2" a="1"/>
  <c r="W71" i="2" a="1"/>
  <c r="M24" i="2" a="1"/>
  <c r="X31" i="2" a="1"/>
  <c r="E10" i="2" a="1"/>
  <c r="S40" i="2" a="1"/>
  <c r="W25" i="2" a="1"/>
  <c r="X36" i="2" a="1"/>
  <c r="L41" i="2" a="1"/>
  <c r="L20" i="2" a="1"/>
  <c r="L13" i="2" a="1"/>
  <c r="L29" i="2" a="1"/>
  <c r="AE42" i="2" a="1"/>
  <c r="AE21" i="2" a="1"/>
  <c r="AE58" i="2" a="1"/>
  <c r="AE52" i="2" a="1"/>
  <c r="R14" i="2" a="1"/>
  <c r="R29" i="2" a="1"/>
  <c r="R28" i="2" a="1"/>
  <c r="G25" i="2" a="1"/>
  <c r="G66" i="2" a="1"/>
  <c r="G54" i="2" a="1"/>
  <c r="G40" i="2" a="1"/>
  <c r="J71" i="2" a="1"/>
  <c r="J61" i="2" a="1"/>
  <c r="J82" i="2" a="1"/>
  <c r="J63" i="2" a="1"/>
  <c r="Y63" i="2" a="1"/>
  <c r="Y36" i="2" a="1"/>
  <c r="Y55" i="2" a="1"/>
  <c r="D46" i="2" a="1"/>
  <c r="D58" i="2" a="1"/>
  <c r="D41" i="2" a="1"/>
  <c r="D52" i="2" a="1"/>
  <c r="AB58" i="2" a="1"/>
  <c r="AB44" i="2" a="1"/>
  <c r="AB68" i="2" a="1"/>
  <c r="AB54" i="2" a="1"/>
  <c r="V69" i="2" a="1"/>
  <c r="V57" i="2" a="1"/>
  <c r="V75" i="2" a="1"/>
  <c r="P50" i="2" a="1"/>
  <c r="P64" i="2" a="1"/>
  <c r="P44" i="2" a="1"/>
  <c r="P30" i="2" a="1"/>
  <c r="T45" i="2" a="1"/>
  <c r="T48" i="2" a="1"/>
  <c r="T66" i="2" a="1"/>
  <c r="T44" i="2" a="1"/>
  <c r="AD52" i="2" a="1"/>
  <c r="AD83" i="2" a="1"/>
  <c r="AD62" i="2" a="1"/>
  <c r="X33" i="2" a="1"/>
  <c r="X84" i="2" a="1"/>
  <c r="X69" i="2" a="1"/>
  <c r="X59" i="2" a="1"/>
  <c r="L57" i="2" a="1"/>
  <c r="R62" i="2" a="1"/>
  <c r="L32" i="2" a="1"/>
  <c r="L30" i="2" a="1"/>
  <c r="L18" i="2" a="1"/>
  <c r="L27" i="2" a="1"/>
  <c r="AE25" i="2" a="1"/>
  <c r="AE50" i="2" a="1"/>
  <c r="AE31" i="2" a="1"/>
  <c r="AE33" i="2" a="1"/>
  <c r="R26" i="2" a="1"/>
  <c r="R35" i="2" a="1"/>
  <c r="R25" i="2" a="1"/>
  <c r="G35" i="2" a="1"/>
  <c r="G58" i="2" a="1"/>
  <c r="G29" i="2" a="1"/>
  <c r="G42" i="2" a="1"/>
  <c r="J43" i="2" a="1"/>
  <c r="J31" i="2" a="1"/>
  <c r="L19" i="2" a="1"/>
  <c r="L17" i="2" a="1"/>
  <c r="L9" i="2" a="1"/>
  <c r="L7" i="2" a="1"/>
  <c r="AE66" i="2" a="1"/>
  <c r="AE46" i="2" a="1"/>
  <c r="AE29" i="2" a="1"/>
  <c r="R22" i="2" a="1"/>
  <c r="R8" i="2" a="1"/>
  <c r="R30" i="2" a="1"/>
  <c r="R12" i="2" a="1"/>
  <c r="G39" i="2" a="1"/>
  <c r="G50" i="2" a="1"/>
  <c r="G33" i="2" a="1"/>
  <c r="G31" i="2" a="1"/>
  <c r="L15" i="2" a="1"/>
  <c r="L22" i="2" a="1"/>
  <c r="L21" i="2" a="1"/>
  <c r="L11" i="2" a="1"/>
  <c r="AE19" i="2" a="1"/>
  <c r="AE17" i="2" a="1"/>
  <c r="AE35" i="2" a="1"/>
  <c r="R20" i="2" a="1"/>
  <c r="R23" i="2" a="1"/>
  <c r="R31" i="2" a="1"/>
  <c r="R24" i="2" a="1"/>
  <c r="G56" i="2" a="1"/>
  <c r="G64" i="2" a="1"/>
  <c r="G48" i="2" a="1"/>
  <c r="G70" i="2" a="1"/>
  <c r="J53" i="2" a="1"/>
  <c r="J57" i="2" a="1"/>
  <c r="J35" i="2" a="1"/>
  <c r="Y49" i="2" a="1"/>
  <c r="Y71" i="2" a="1"/>
  <c r="Y86" i="2" a="1"/>
  <c r="Y34" i="2" a="1"/>
  <c r="D74" i="2" a="1"/>
  <c r="D50" i="2" a="1"/>
  <c r="D64" i="2" a="1"/>
  <c r="D72" i="2" a="1"/>
  <c r="AB52" i="2" a="1"/>
  <c r="AB28" i="2" a="1"/>
  <c r="AB70" i="2" a="1"/>
  <c r="V55" i="2" a="1"/>
  <c r="V47" i="2" a="1"/>
  <c r="V33" i="2" a="1"/>
  <c r="V82" i="2" a="1"/>
  <c r="P68" i="2" a="1"/>
  <c r="P56" i="2" a="1"/>
  <c r="P52" i="2" a="1"/>
  <c r="P70" i="2" a="1"/>
  <c r="T50" i="2" a="1"/>
  <c r="T46" i="2" a="1"/>
  <c r="T31" i="2" a="1"/>
  <c r="AD70" i="2" a="1"/>
  <c r="AD34" i="2" a="1"/>
  <c r="AD60" i="2" a="1"/>
  <c r="AD56" i="2" a="1"/>
  <c r="X43" i="2" a="1"/>
  <c r="X45" i="2" a="1"/>
  <c r="X65" i="2" a="1"/>
  <c r="X67" i="2" a="1"/>
  <c r="R46" i="2" a="1"/>
  <c r="R68" i="2" a="1"/>
  <c r="L31" i="2" a="1"/>
  <c r="L28" i="2" a="1"/>
  <c r="L23" i="2" a="1"/>
  <c r="AE27" i="2" a="1"/>
  <c r="AE40" i="2" a="1"/>
  <c r="AE23" i="2" a="1"/>
  <c r="AE41" i="2" a="1"/>
  <c r="R33" i="2" a="1"/>
  <c r="R21" i="2" a="1"/>
  <c r="R32" i="2" a="1"/>
  <c r="R18" i="2" a="1"/>
  <c r="G44" i="2" a="1"/>
  <c r="G27" i="2" a="1"/>
  <c r="G62" i="2" a="1"/>
  <c r="J55" i="2" a="1"/>
  <c r="J39" i="2" a="1"/>
  <c r="L26" i="2" a="1"/>
  <c r="L25" i="2" a="1"/>
  <c r="L36" i="2" a="1"/>
  <c r="AE54" i="2" a="1"/>
  <c r="AE74" i="2" a="1"/>
  <c r="AE60" i="2" a="1"/>
  <c r="AE44" i="2" a="1"/>
  <c r="R16" i="2" a="1"/>
  <c r="R10" i="2" a="1"/>
  <c r="R27" i="2" a="1"/>
  <c r="R40" i="2" a="1"/>
  <c r="G72" i="2" a="1"/>
  <c r="G23" i="2" a="1"/>
  <c r="G21" i="2" a="1"/>
  <c r="J65" i="2" a="1"/>
  <c r="Y39" i="2" a="1"/>
  <c r="Y26" i="2" a="1"/>
  <c r="D60" i="2" a="1"/>
  <c r="AB56" i="2" a="1"/>
  <c r="V29" i="2" a="1"/>
  <c r="P46" i="2" a="1"/>
  <c r="P62" i="2" a="1"/>
  <c r="T42" i="2" a="1"/>
  <c r="AD74" i="2" a="1"/>
  <c r="X75" i="2" a="1"/>
  <c r="L53" i="2" a="1"/>
  <c r="L69" i="2" a="1"/>
  <c r="L47" i="2" a="1"/>
  <c r="R54" i="2" a="1"/>
  <c r="O39" i="2" a="1"/>
  <c r="Z46" i="2" a="1"/>
  <c r="Z36" i="2" a="1"/>
  <c r="H33" i="2" a="1"/>
  <c r="H50" i="2" a="1"/>
  <c r="J90" i="2" a="1"/>
  <c r="U60" i="2" a="1"/>
  <c r="U76" i="2" a="1"/>
  <c r="AF60" i="2" a="1"/>
  <c r="AF56" i="2" a="1"/>
  <c r="AF64" i="2" a="1"/>
  <c r="I60" i="2" a="1"/>
  <c r="I30" i="2" a="1"/>
  <c r="C49" i="2" a="1"/>
  <c r="C84" i="2" a="1"/>
  <c r="AA57" i="2" a="1"/>
  <c r="AA33" i="2" a="1"/>
  <c r="AA65" i="2" a="1"/>
  <c r="P71" i="2" a="1"/>
  <c r="P55" i="2" a="1"/>
  <c r="P75" i="2" a="1"/>
  <c r="P73" i="2" a="1"/>
  <c r="U88" i="2" a="1"/>
  <c r="O89" i="2" a="1"/>
  <c r="C90" i="2" a="1"/>
  <c r="I80" i="2" a="1"/>
  <c r="Y41" i="2" a="1"/>
  <c r="V71" i="2" a="1"/>
  <c r="T62" i="2" a="1"/>
  <c r="AD42" i="2" a="1"/>
  <c r="L84" i="2" a="1"/>
  <c r="L65" i="2" a="1"/>
  <c r="O59" i="2" a="1"/>
  <c r="Z69" i="2" a="1"/>
  <c r="H40" i="2" a="1"/>
  <c r="H70" i="2" a="1"/>
  <c r="U46" i="2" a="1"/>
  <c r="AF46" i="2" a="1"/>
  <c r="I66" i="2" a="1"/>
  <c r="I72" i="2" a="1"/>
  <c r="C65" i="2" a="1"/>
  <c r="AA71" i="2" a="1"/>
  <c r="P84" i="2" a="1"/>
  <c r="P61" i="2" a="1"/>
  <c r="U87" i="2" a="1"/>
  <c r="I88" i="2" a="1"/>
  <c r="J47" i="2" a="1"/>
  <c r="D56" i="2" a="1"/>
  <c r="V59" i="2" a="1"/>
  <c r="P72" i="2" a="1"/>
  <c r="T41" i="2" a="1"/>
  <c r="L51" i="2" a="1"/>
  <c r="R42" i="2" a="1"/>
  <c r="O27" i="2" a="1"/>
  <c r="Z55" i="2" a="1"/>
  <c r="U12" i="2" a="1"/>
  <c r="AF52" i="2" a="1"/>
  <c r="C43" i="2" a="1"/>
  <c r="AA59" i="2" a="1"/>
  <c r="J69" i="2" a="1"/>
  <c r="D68" i="2" a="1"/>
  <c r="AB66" i="2" a="1"/>
  <c r="P54" i="2" a="1"/>
  <c r="AD64" i="2" a="1"/>
  <c r="X82" i="2" a="1"/>
  <c r="R48" i="2" a="1"/>
  <c r="O45" i="2" a="1"/>
  <c r="Z67" i="2" a="1"/>
  <c r="H52" i="2" a="1"/>
  <c r="H35" i="2" a="1"/>
  <c r="U83" i="2" a="1"/>
  <c r="AF42" i="2" a="1"/>
  <c r="I46" i="2" a="1"/>
  <c r="C47" i="2" a="1"/>
  <c r="C51" i="2" a="1"/>
  <c r="Y22" i="2" a="1"/>
  <c r="Y51" i="2" a="1"/>
  <c r="D66" i="2" a="1"/>
  <c r="AB32" i="2" a="1"/>
  <c r="V41" i="2" a="1"/>
  <c r="P58" i="2" a="1"/>
  <c r="T40" i="2" a="1"/>
  <c r="T68" i="2" a="1"/>
  <c r="AD36" i="2" a="1"/>
  <c r="X63" i="2" a="1"/>
  <c r="L39" i="2" a="1"/>
  <c r="R60" i="2" a="1"/>
  <c r="R74" i="2" a="1"/>
  <c r="O75" i="2" a="1"/>
  <c r="O69" i="2" a="1"/>
  <c r="Z53" i="2" a="1"/>
  <c r="Z63" i="2" a="1"/>
  <c r="H42" i="2" a="1"/>
  <c r="U52" i="2" a="1"/>
  <c r="U48" i="2" a="1"/>
  <c r="AF35" i="2" a="1"/>
  <c r="I76" i="2" a="1"/>
  <c r="C86" i="2" a="1"/>
  <c r="C61" i="2" a="1"/>
  <c r="J59" i="2" a="1"/>
  <c r="Y65" i="2" a="1"/>
  <c r="D28" i="2" a="1"/>
  <c r="AB42" i="2" a="1"/>
  <c r="P36" i="2" a="1"/>
  <c r="T60" i="2" a="1"/>
  <c r="X53" i="2" a="1"/>
  <c r="L55" i="2" a="1"/>
  <c r="O57" i="2" a="1"/>
  <c r="Z44" i="2" a="1"/>
  <c r="H56" i="2" a="1"/>
  <c r="U70" i="2" a="1"/>
  <c r="AF44" i="2" a="1"/>
  <c r="AF40" i="2" a="1"/>
  <c r="I50" i="2" a="1"/>
  <c r="C71" i="2" a="1"/>
  <c r="AA86" i="2" a="1"/>
  <c r="AA73" i="2" a="1"/>
  <c r="P67" i="2" a="1"/>
  <c r="U80" i="2" a="1"/>
  <c r="O81" i="2" a="1"/>
  <c r="I92" i="2" a="1"/>
  <c r="Y40" i="2" a="1"/>
  <c r="D76" i="2" a="1"/>
  <c r="AB34" i="2" a="1"/>
  <c r="T56" i="2" a="1"/>
  <c r="AD91" i="2" a="1"/>
  <c r="X57" i="2" a="1"/>
  <c r="R34" i="2" a="1"/>
  <c r="O84" i="2" a="1"/>
  <c r="Z59" i="2" a="1"/>
  <c r="U72" i="2" a="1"/>
  <c r="I41" i="2" a="1"/>
  <c r="C59" i="2" a="1"/>
  <c r="Y32" i="2" a="1"/>
  <c r="D48" i="2" a="1"/>
  <c r="V61" i="2" a="1"/>
  <c r="T33" i="2" a="1"/>
  <c r="AD44" i="2" a="1"/>
  <c r="L49" i="2" a="1"/>
  <c r="L35" i="2" a="1"/>
  <c r="O67" i="2" a="1"/>
  <c r="Z30" i="2" a="1"/>
  <c r="H46" i="2" a="1"/>
  <c r="U40" i="2" a="1"/>
  <c r="AF48" i="2" a="1"/>
  <c r="I91" i="2" a="1"/>
  <c r="I52" i="2" a="1"/>
  <c r="X90" i="2" a="1"/>
  <c r="X71" i="2" a="1"/>
  <c r="I48" i="2" a="1"/>
  <c r="AA47" i="2" a="1"/>
  <c r="P45" i="2" a="1"/>
  <c r="O85" i="2" a="1"/>
  <c r="Y67" i="2" a="1"/>
  <c r="AD50" i="2" a="1"/>
  <c r="R91" i="2" a="1"/>
  <c r="C75" i="2" a="1"/>
  <c r="V43" i="2" a="1"/>
  <c r="H43" i="2" a="1"/>
  <c r="C45" i="2" a="1"/>
  <c r="P69" i="2" a="1"/>
  <c r="AB74" i="2" a="1"/>
  <c r="H58" i="2" a="1"/>
  <c r="J67" i="2" a="1"/>
  <c r="D30" i="2" a="1"/>
  <c r="AB76" i="2" a="1"/>
  <c r="V63" i="2" a="1"/>
  <c r="T52" i="2" a="1"/>
  <c r="AD54" i="2" a="1"/>
  <c r="L33" i="2" a="1"/>
  <c r="R52" i="2" a="1"/>
  <c r="O63" i="2" a="1"/>
  <c r="O49" i="2" a="1"/>
  <c r="Z71" i="2" a="1"/>
  <c r="H27" i="2" a="1"/>
  <c r="AF29" i="2" a="1"/>
  <c r="AF68" i="2" a="1"/>
  <c r="I54" i="2" a="1"/>
  <c r="C69" i="2" a="1"/>
  <c r="C67" i="2" a="1"/>
  <c r="P83" i="2" a="1"/>
  <c r="P47" i="2" a="1"/>
  <c r="U92" i="2" a="1"/>
  <c r="O80" i="2" a="1"/>
  <c r="I81" i="2" a="1"/>
  <c r="J73" i="2" a="1"/>
  <c r="D54" i="2" a="1"/>
  <c r="AB46" i="2" a="1"/>
  <c r="V67" i="2" a="1"/>
  <c r="T58" i="2" a="1"/>
  <c r="AD68" i="2" a="1"/>
  <c r="L63" i="2" a="1"/>
  <c r="L61" i="2" a="1"/>
  <c r="O61" i="2" a="1"/>
  <c r="V90" i="2" a="1"/>
  <c r="Z49" i="2" a="1"/>
  <c r="H62" i="2" a="1"/>
  <c r="U66" i="2" a="1"/>
  <c r="U58" i="2" a="1"/>
  <c r="AF54" i="2" a="1"/>
  <c r="I42" i="2" a="1"/>
  <c r="I44" i="2" a="1"/>
  <c r="AA63" i="2" a="1"/>
  <c r="AA75" i="2" a="1"/>
  <c r="T43" i="2" a="1"/>
  <c r="L75" i="2" a="1"/>
  <c r="U44" i="2" a="1"/>
  <c r="AA15" i="2" a="1"/>
  <c r="O87" i="2" a="1"/>
  <c r="T64" i="2" a="1"/>
  <c r="H66" i="2" a="1"/>
  <c r="I74" i="2" a="1"/>
  <c r="R44" i="2" a="1"/>
  <c r="J75" i="2" a="1"/>
  <c r="D70" i="2" a="1"/>
  <c r="AB62" i="2" a="1"/>
  <c r="P60" i="2" a="1"/>
  <c r="T54" i="2" a="1"/>
  <c r="X73" i="2" a="1"/>
  <c r="R76" i="2" a="1"/>
  <c r="R83" i="2" a="1"/>
  <c r="O51" i="2" a="1"/>
  <c r="Z28" i="2" a="1"/>
  <c r="H47" i="2" a="1"/>
  <c r="U56" i="2" a="1"/>
  <c r="U50" i="2" a="1"/>
  <c r="C55" i="2" a="1"/>
  <c r="C41" i="2" a="1"/>
  <c r="AA67" i="2" a="1"/>
  <c r="AA43" i="2" a="1"/>
  <c r="P49" i="2" a="1"/>
  <c r="P51" i="2" a="1"/>
  <c r="P86" i="2" a="1"/>
  <c r="Z90" i="2" a="1"/>
  <c r="O92" i="2" a="1"/>
  <c r="AD46" i="2" a="1"/>
  <c r="U42" i="2" a="1"/>
  <c r="I68" i="2" a="1"/>
  <c r="U89" i="2" a="1"/>
  <c r="P74" i="2" a="1"/>
  <c r="AF50" i="2" a="1"/>
  <c r="Y47" i="2" a="1"/>
  <c r="D62" i="2" a="1"/>
  <c r="V73" i="2" a="1"/>
  <c r="P76" i="2" a="1"/>
  <c r="T72" i="2" a="1"/>
  <c r="X49" i="2" a="1"/>
  <c r="L43" i="2" a="1"/>
  <c r="L71" i="2" a="1"/>
  <c r="O82" i="2" a="1"/>
  <c r="Z57" i="2" a="1"/>
  <c r="H60" i="2" a="1"/>
  <c r="AF41" i="2" a="1"/>
  <c r="AF33" i="2" a="1"/>
  <c r="I64" i="2" a="1"/>
  <c r="AA69" i="2" a="1"/>
  <c r="AA51" i="2" a="1"/>
  <c r="Y45" i="2" a="1"/>
  <c r="D34" i="2" a="1"/>
  <c r="V49" i="2" a="1"/>
  <c r="P66" i="2" a="1"/>
  <c r="AD76" i="2" a="1"/>
  <c r="X55" i="2" a="1"/>
  <c r="R72" i="2" a="1"/>
  <c r="L67" i="2" a="1"/>
  <c r="O86" i="2" a="1"/>
  <c r="Z51" i="2" a="1"/>
  <c r="H44" i="2" a="1"/>
  <c r="U54" i="2" a="1"/>
  <c r="U91" i="2" a="1"/>
  <c r="I62" i="2" a="1"/>
  <c r="C63" i="2" a="1"/>
  <c r="P57" i="2" a="1"/>
  <c r="P43" i="2" a="1"/>
  <c r="P65" i="2" a="1"/>
  <c r="O90" i="2" a="1"/>
  <c r="O88" i="2" a="1"/>
  <c r="I70" i="2" a="1"/>
  <c r="AA53" i="2" a="1"/>
  <c r="P82" i="2" a="1"/>
  <c r="U81" i="2" a="1"/>
  <c r="I89" i="2" a="1"/>
  <c r="Z43" i="2" a="1"/>
  <c r="AF72" i="2" a="1"/>
  <c r="C82" i="2" a="1"/>
  <c r="D42" i="2" a="1"/>
  <c r="Z47" i="2" a="1"/>
  <c r="P53" i="2" a="1"/>
  <c r="J51" i="2" a="1"/>
  <c r="R50" i="2" a="1"/>
  <c r="Y43" i="2" a="1"/>
  <c r="AB36" i="2" a="1"/>
  <c r="V45" i="2" a="1"/>
  <c r="P34" i="2" a="1"/>
  <c r="AD58" i="2" a="1"/>
  <c r="X41" i="2" a="1"/>
  <c r="L45" i="2" a="1"/>
  <c r="L73" i="2" a="1"/>
  <c r="O71" i="2" a="1"/>
  <c r="Z32" i="2" a="1"/>
  <c r="H64" i="2" a="1"/>
  <c r="U64" i="2" a="1"/>
  <c r="AF47" i="2" a="1"/>
  <c r="C73" i="2" a="1"/>
  <c r="C19" i="2" a="1"/>
  <c r="AA49" i="2" a="1"/>
  <c r="AA45" i="2" a="1"/>
  <c r="Y30" i="2" a="1"/>
  <c r="AB50" i="2" a="1"/>
  <c r="V65" i="2" a="1"/>
  <c r="P48" i="2" a="1"/>
  <c r="AD48" i="2" a="1"/>
  <c r="X51" i="2" a="1"/>
  <c r="R66" i="2" a="1"/>
  <c r="R64" i="2" a="1"/>
  <c r="O53" i="2" a="1"/>
  <c r="Z45" i="2" a="1"/>
  <c r="H48" i="2" a="1"/>
  <c r="H68" i="2" a="1"/>
  <c r="AF58" i="2" a="1"/>
  <c r="I56" i="2" a="1"/>
  <c r="AA84" i="2" a="1"/>
  <c r="P59" i="2" a="1"/>
  <c r="N90" i="2" a="1"/>
  <c r="R58" i="2" a="1"/>
  <c r="U74" i="2" a="1"/>
  <c r="AA61" i="2" a="1"/>
  <c r="J49" i="2" a="1"/>
  <c r="R70" i="2" a="1"/>
  <c r="AF62" i="2" a="1"/>
  <c r="AA82" i="2" a="1"/>
  <c r="D44" i="2" a="1"/>
  <c r="Z61" i="2" a="1"/>
  <c r="Y82" i="2" a="1"/>
  <c r="AB72" i="2" a="1"/>
  <c r="V51" i="2" a="1"/>
  <c r="P42" i="2" a="1"/>
  <c r="AD72" i="2" a="1"/>
  <c r="X47" i="2" a="1"/>
  <c r="L82" i="2" a="1"/>
  <c r="R56" i="2" a="1"/>
  <c r="O43" i="2" a="1"/>
  <c r="Z65" i="2" a="1"/>
  <c r="H54" i="2" a="1"/>
  <c r="U68" i="2" a="1"/>
  <c r="U62" i="2" a="1"/>
  <c r="C57" i="2" a="1"/>
  <c r="C53" i="2" a="1"/>
  <c r="J27" i="2" a="1"/>
  <c r="Y57" i="2" a="1"/>
  <c r="AB64" i="2" a="1"/>
  <c r="V53" i="2" a="1"/>
  <c r="P41" i="2" a="1"/>
  <c r="AD66" i="2" a="1"/>
  <c r="L59" i="2" a="1"/>
  <c r="R36" i="2" a="1"/>
  <c r="O73" i="2" a="1"/>
  <c r="Z34" i="2" a="1"/>
  <c r="H39" i="2" a="1"/>
  <c r="AF45" i="2" a="1"/>
  <c r="I83" i="2" a="1"/>
  <c r="AA55" i="2" a="1"/>
  <c r="P63" i="2" a="1"/>
  <c r="U85" i="2" a="1"/>
  <c r="I85" i="2" a="1"/>
  <c r="J45" i="2" a="1"/>
  <c r="AB48" i="2" a="1"/>
  <c r="V35" i="2" a="1"/>
  <c r="T35" i="2" a="1"/>
  <c r="X61" i="2" a="1"/>
  <c r="O55" i="2" a="1"/>
  <c r="L90" i="2" a="1"/>
  <c r="I58" i="2" a="1"/>
  <c r="AB60" i="2" a="1"/>
  <c r="O65" i="2" a="1"/>
  <c r="P91" i="2" a="1"/>
  <c r="I87" i="2" a="1"/>
  <c r="X35" i="2" a="1"/>
  <c r="O47" i="2" a="1"/>
  <c r="AF66" i="2" a="1"/>
  <c r="C87" i="2" a="1"/>
  <c r="C92" i="2" a="1"/>
  <c r="AA80" i="2" a="1"/>
  <c r="AB91" i="2" a="1"/>
  <c r="AB69" i="2" a="1"/>
  <c r="AB63" i="2" a="1"/>
  <c r="AB61" i="2" a="1"/>
  <c r="D53" i="2" a="1"/>
  <c r="D91" i="2" a="1"/>
  <c r="D82" i="2" a="1"/>
  <c r="V60" i="2" a="1"/>
  <c r="V58" i="2" a="1"/>
  <c r="V42" i="2" a="1"/>
  <c r="V74" i="2" a="1"/>
  <c r="J52" i="2" a="1"/>
  <c r="J54" i="2" a="1"/>
  <c r="J70" i="2" a="1"/>
  <c r="J83" i="2" a="1"/>
  <c r="K74" i="2" a="1"/>
  <c r="K56" i="2" a="1"/>
  <c r="K54" i="2" a="1"/>
  <c r="Q49" i="2" a="1"/>
  <c r="Q59" i="2" a="1"/>
  <c r="Q73" i="2" a="1"/>
  <c r="R65" i="2" a="1"/>
  <c r="R49" i="2" a="1"/>
  <c r="R41" i="2" a="1"/>
  <c r="AC69" i="2" a="1"/>
  <c r="AC53" i="2" a="1"/>
  <c r="AB87" i="2" a="1"/>
  <c r="D80" i="2" a="1"/>
  <c r="E47" i="2" a="1"/>
  <c r="E91" i="2" a="1"/>
  <c r="P81" i="2" a="1"/>
  <c r="L70" i="2" a="1"/>
  <c r="AC87" i="2" a="1"/>
  <c r="Q88" i="2" a="1"/>
  <c r="F84" i="2" a="1"/>
  <c r="AD47" i="2" a="1"/>
  <c r="AD73" i="2" a="1"/>
  <c r="W76" i="2" a="1"/>
  <c r="W52" i="2" a="1"/>
  <c r="V52" i="2" a="1"/>
  <c r="J44" i="2" a="1"/>
  <c r="K67" i="2" a="1"/>
  <c r="Q45" i="2" a="1"/>
  <c r="Q71" i="2" a="1"/>
  <c r="R57" i="2" a="1"/>
  <c r="J87" i="2" a="1"/>
  <c r="AC65" i="2" a="1"/>
  <c r="AB81" i="2" a="1"/>
  <c r="E65" i="2" a="1"/>
  <c r="E82" i="2" a="1"/>
  <c r="P80" i="2" a="1"/>
  <c r="L50" i="2" a="1"/>
  <c r="K81" i="2" a="1"/>
  <c r="F47" i="2" a="1"/>
  <c r="F57" i="2" a="1"/>
  <c r="AD71" i="2" a="1"/>
  <c r="W70" i="2" a="1"/>
  <c r="V86" i="2" a="1"/>
  <c r="R86" i="2" a="1"/>
  <c r="E63" i="2" a="1"/>
  <c r="AC85" i="2" a="1"/>
  <c r="AD82" i="2" a="1"/>
  <c r="C80" i="2" a="1"/>
  <c r="AA85" i="2" a="1"/>
  <c r="AA89" i="2" a="1"/>
  <c r="AB55" i="2" a="1"/>
  <c r="AB84" i="2" a="1"/>
  <c r="AB45" i="2" a="1"/>
  <c r="D59" i="2" a="1"/>
  <c r="D73" i="2" a="1"/>
  <c r="D51" i="2" a="1"/>
  <c r="D57" i="2" a="1"/>
  <c r="V44" i="2" a="1"/>
  <c r="J74" i="2" a="1"/>
  <c r="K86" i="2" a="1"/>
  <c r="Q67" i="2" a="1"/>
  <c r="AC59" i="2" a="1"/>
  <c r="D87" i="2" a="1"/>
  <c r="L66" i="2" a="1"/>
  <c r="F65" i="2" a="1"/>
  <c r="R63" i="2" a="1"/>
  <c r="AC84" i="2" a="1"/>
  <c r="V81" i="2" a="1"/>
  <c r="D85" i="2" a="1"/>
  <c r="E84" i="2" a="1"/>
  <c r="P90" i="2" a="1"/>
  <c r="L42" i="2" a="1"/>
  <c r="C88" i="2" a="1"/>
  <c r="AA81" i="2" a="1"/>
  <c r="AA90" i="2" a="1"/>
  <c r="AB53" i="2" a="1"/>
  <c r="AB75" i="2" a="1"/>
  <c r="AB73" i="2" a="1"/>
  <c r="D63" i="2" a="1"/>
  <c r="D43" i="2" a="1"/>
  <c r="D71" i="2" a="1"/>
  <c r="D67" i="2" a="1"/>
  <c r="V64" i="2" a="1"/>
  <c r="V70" i="2" a="1"/>
  <c r="V76" i="2" a="1"/>
  <c r="V54" i="2" a="1"/>
  <c r="J66" i="2" a="1"/>
  <c r="J48" i="2" a="1"/>
  <c r="J72" i="2" a="1"/>
  <c r="K70" i="2" a="1"/>
  <c r="K91" i="2" a="1"/>
  <c r="K66" i="2" a="1"/>
  <c r="K62" i="2" a="1"/>
  <c r="Q86" i="2" a="1"/>
  <c r="Q41" i="2" a="1"/>
  <c r="Q43" i="2" a="1"/>
  <c r="Q51" i="2" a="1"/>
  <c r="R55" i="2" a="1"/>
  <c r="R75" i="2" a="1"/>
  <c r="J81" i="2" a="1"/>
  <c r="J85" i="2" a="1"/>
  <c r="AC71" i="2" a="1"/>
  <c r="AC47" i="2" a="1"/>
  <c r="AB85" i="2" a="1"/>
  <c r="V87" i="2" a="1"/>
  <c r="E71" i="2" a="1"/>
  <c r="E49" i="2" a="1"/>
  <c r="P92" i="2" a="1"/>
  <c r="L62" i="2" a="1"/>
  <c r="D88" i="2" a="1"/>
  <c r="L46" i="2" a="1"/>
  <c r="K87" i="2" a="1"/>
  <c r="F61" i="2" a="1"/>
  <c r="AD41" i="2" a="1"/>
  <c r="W74" i="2" a="1"/>
  <c r="W44" i="2" a="1"/>
  <c r="L86" i="2" a="1"/>
  <c r="F75" i="2" a="1"/>
  <c r="W42" i="2" a="1"/>
  <c r="R67" i="2" a="1"/>
  <c r="C89" i="2" a="1"/>
  <c r="AA88" i="2" a="1"/>
  <c r="AB83" i="2" a="1"/>
  <c r="AB47" i="2" a="1"/>
  <c r="AB51" i="2" a="1"/>
  <c r="AB82" i="2" a="1"/>
  <c r="D69" i="2" a="1"/>
  <c r="D47" i="2" a="1"/>
  <c r="D75" i="2" a="1"/>
  <c r="D49" i="2" a="1"/>
  <c r="V66" i="2" a="1"/>
  <c r="V68" i="2" a="1"/>
  <c r="V50" i="2" a="1"/>
  <c r="J58" i="2" a="1"/>
  <c r="J46" i="2" a="1"/>
  <c r="J60" i="2" a="1"/>
  <c r="J84" i="2" a="1"/>
  <c r="K68" i="2" a="1"/>
  <c r="K83" i="2" a="1"/>
  <c r="K52" i="2" a="1"/>
  <c r="K48" i="2" a="1"/>
  <c r="Q63" i="2" a="1"/>
  <c r="Q75" i="2" a="1"/>
  <c r="Q62" i="2" a="1"/>
  <c r="R47" i="2" a="1"/>
  <c r="R59" i="2" a="1"/>
  <c r="R45" i="2" a="1"/>
  <c r="R69" i="2" a="1"/>
  <c r="J92" i="2" a="1"/>
  <c r="AC67" i="2" a="1"/>
  <c r="AC57" i="2" a="1"/>
  <c r="AC55" i="2" a="1"/>
  <c r="AC61" i="2" a="1"/>
  <c r="AB88" i="2" a="1"/>
  <c r="V85" i="2" a="1"/>
  <c r="D89" i="2" a="1"/>
  <c r="E61" i="2" a="1"/>
  <c r="E86" i="2" a="1"/>
  <c r="E73" i="2" a="1"/>
  <c r="P88" i="2" a="1"/>
  <c r="P87" i="2" a="1"/>
  <c r="L83" i="2" a="1"/>
  <c r="L58" i="2" a="1"/>
  <c r="AC89" i="2" a="1"/>
  <c r="E90" i="2" a="1"/>
  <c r="Q92" i="2" a="1"/>
  <c r="F51" i="2" a="1"/>
  <c r="F49" i="2" a="1"/>
  <c r="F63" i="2" a="1"/>
  <c r="AD86" i="2" a="1"/>
  <c r="AD39" i="2" a="1"/>
  <c r="W84" i="2" a="1"/>
  <c r="W83" i="2" a="1"/>
  <c r="E59" i="2" a="1"/>
  <c r="L68" i="2" a="1"/>
  <c r="K80" i="2" a="1"/>
  <c r="Q81" i="2" a="1"/>
  <c r="AD55" i="2" a="1"/>
  <c r="AD45" i="2" a="1"/>
  <c r="W91" i="2" a="1"/>
  <c r="Q57" i="2" a="1"/>
  <c r="R84" i="2" a="1"/>
  <c r="J88" i="2" a="1"/>
  <c r="AC49" i="2" a="1"/>
  <c r="V80" i="2" a="1"/>
  <c r="E75" i="2" a="1"/>
  <c r="E69" i="2" a="1"/>
  <c r="AA87" i="2" a="1"/>
  <c r="AB86" i="2" a="1"/>
  <c r="AB57" i="2" a="1"/>
  <c r="D45" i="2" a="1"/>
  <c r="D84" i="2" a="1"/>
  <c r="D61" i="2" a="1"/>
  <c r="V48" i="2" a="1"/>
  <c r="V91" i="2" a="1"/>
  <c r="J86" i="2" a="1"/>
  <c r="J50" i="2" a="1"/>
  <c r="K46" i="2" a="1"/>
  <c r="K72" i="2" a="1"/>
  <c r="K44" i="2" a="1"/>
  <c r="Q55" i="2" a="1"/>
  <c r="Q84" i="2" a="1"/>
  <c r="R43" i="2" a="1"/>
  <c r="R51" i="2" a="1"/>
  <c r="R73" i="2" a="1"/>
  <c r="J80" i="2" a="1"/>
  <c r="AC63" i="2" a="1"/>
  <c r="AC68" i="2" a="1"/>
  <c r="AC45" i="2" a="1"/>
  <c r="V88" i="2" a="1"/>
  <c r="D81" i="2" a="1"/>
  <c r="E51" i="2" a="1"/>
  <c r="E55" i="2" a="1"/>
  <c r="L74" i="2" a="1"/>
  <c r="AC80" i="2" a="1"/>
  <c r="K89" i="2" a="1"/>
  <c r="F59" i="2" a="1"/>
  <c r="AD67" i="2" a="1"/>
  <c r="AD84" i="2" a="1"/>
  <c r="W72" i="2" a="1"/>
  <c r="Q53" i="2" a="1"/>
  <c r="AC51" i="2" a="1"/>
  <c r="AB92" i="2" a="1"/>
  <c r="E67" i="2" a="1"/>
  <c r="C85" i="2" a="1"/>
  <c r="AB59" i="2" a="1"/>
  <c r="AB71" i="2" a="1"/>
  <c r="D55" i="2" a="1"/>
  <c r="V84" i="2" a="1"/>
  <c r="J68" i="2" a="1"/>
  <c r="J62" i="2" a="1"/>
  <c r="K50" i="2" a="1"/>
  <c r="Q65" i="2" a="1"/>
  <c r="R71" i="2" a="1"/>
  <c r="AC43" i="2" a="1"/>
  <c r="AB89" i="2" a="1"/>
  <c r="E41" i="2" a="1"/>
  <c r="P89" i="2" a="1"/>
  <c r="L76" i="2" a="1"/>
  <c r="F73" i="2" a="1"/>
  <c r="W54" i="2" a="1"/>
  <c r="R39" i="2" a="1"/>
  <c r="J91" i="2" a="1"/>
  <c r="K76" i="2" a="1"/>
  <c r="Q69" i="2" a="1"/>
  <c r="AC73" i="2" a="1"/>
  <c r="D92" i="2" a="1"/>
  <c r="C81" i="2" a="1"/>
  <c r="AA92" i="2" a="1"/>
  <c r="AB65" i="2" a="1"/>
  <c r="AB49" i="2" a="1"/>
  <c r="AB67" i="2" a="1"/>
  <c r="AB43" i="2" a="1"/>
  <c r="D86" i="2" a="1"/>
  <c r="D83" i="2" a="1"/>
  <c r="D65" i="2" a="1"/>
  <c r="V46" i="2" a="1"/>
  <c r="V83" i="2" a="1"/>
  <c r="V62" i="2" a="1"/>
  <c r="V56" i="2" a="1"/>
  <c r="J76" i="2" a="1"/>
  <c r="J42" i="2" a="1"/>
  <c r="J56" i="2" a="1"/>
  <c r="K58" i="2" a="1"/>
  <c r="K42" i="2" a="1"/>
  <c r="Q47" i="2" a="1"/>
  <c r="R82" i="2" a="1"/>
  <c r="AC41" i="2" a="1"/>
  <c r="Q82" i="2" a="1"/>
  <c r="R61" i="2" a="1"/>
  <c r="J89" i="2" a="1"/>
  <c r="AC86" i="2" a="1"/>
  <c r="AC75" i="2" a="1"/>
  <c r="V89" i="2" a="1"/>
  <c r="E45" i="2" a="1"/>
  <c r="E53" i="2" a="1"/>
  <c r="L54" i="2" a="1"/>
  <c r="L40" i="2" a="1"/>
  <c r="L48" i="2" a="1"/>
  <c r="K92" i="2" a="1"/>
  <c r="F43" i="2" a="1"/>
  <c r="F41" i="2" a="1"/>
  <c r="F86" i="2" a="1"/>
  <c r="AD49" i="2" a="1"/>
  <c r="AD51" i="2" a="1"/>
  <c r="W50" i="2" a="1"/>
  <c r="AC90" i="2" a="1"/>
  <c r="V72" i="2" a="1"/>
  <c r="J64" i="2" a="1"/>
  <c r="K64" i="2" a="1"/>
  <c r="K60" i="2" a="1"/>
  <c r="Q61" i="2" a="1"/>
  <c r="R53" i="2" a="1"/>
  <c r="D90" i="2" a="1"/>
  <c r="AC82" i="2" a="1"/>
  <c r="AB80" i="2" a="1"/>
  <c r="V92" i="2" a="1"/>
  <c r="E57" i="2" a="1"/>
  <c r="L72" i="2" a="1"/>
  <c r="L44" i="2" a="1"/>
  <c r="Q89" i="2" a="1"/>
  <c r="F45" i="2" a="1"/>
  <c r="AD65" i="2" a="1"/>
  <c r="AD53" i="2" a="1"/>
  <c r="Q80" i="2" a="1"/>
  <c r="L64" i="2" a="1"/>
  <c r="AD69" i="2" a="1"/>
  <c r="W64" i="2" a="1"/>
  <c r="L91" i="2" a="1"/>
  <c r="F91" i="2" a="1"/>
  <c r="F53" i="2" a="1"/>
  <c r="L52" i="2" a="1"/>
  <c r="F67" i="2" a="1"/>
  <c r="W60" i="2" a="1"/>
  <c r="W56" i="2" a="1"/>
  <c r="F55" i="2" a="1"/>
  <c r="AC81" i="2" a="1"/>
  <c r="AC88" i="2" a="1"/>
  <c r="F69" i="2" a="1"/>
  <c r="AC92" i="2" a="1"/>
  <c r="W62" i="2" a="1"/>
  <c r="W46" i="2" a="1"/>
  <c r="K85" i="2" a="1"/>
  <c r="AD57" i="2" a="1"/>
  <c r="W73" i="2" a="1"/>
  <c r="AD63" i="2" a="1"/>
  <c r="P85" i="2" a="1"/>
  <c r="AD59" i="2" a="1"/>
  <c r="W66" i="2" a="1"/>
  <c r="AD75" i="2" a="1"/>
  <c r="AD61" i="2" a="1"/>
  <c r="L60" i="2" a="1"/>
  <c r="K88" i="2" a="1"/>
  <c r="AD43" i="2" a="1"/>
  <c r="W58" i="2" a="1"/>
  <c r="E43" i="2" a="1"/>
  <c r="Q85" i="2" a="1"/>
  <c r="W48" i="2" a="1"/>
  <c r="Q87" i="2" a="1"/>
  <c r="L56" i="2" a="1"/>
  <c r="W68" i="2" a="1"/>
  <c r="F82" i="2" a="1"/>
  <c r="F71" i="2" a="1"/>
  <c r="AB90" i="2" a="1"/>
  <c r="W87" i="2" a="1"/>
  <c r="L88" i="2" a="1"/>
  <c r="L81" i="2" a="1"/>
  <c r="F85" i="2" a="1"/>
  <c r="F89" i="2" a="1"/>
  <c r="N91" i="2" a="1"/>
  <c r="N71" i="2" a="1"/>
  <c r="AE53" i="2" a="1"/>
  <c r="AE76" i="2" a="1"/>
  <c r="Z74" i="2" a="1"/>
  <c r="Z68" i="2" a="1"/>
  <c r="G67" i="2" a="1"/>
  <c r="S55" i="2" a="1"/>
  <c r="X86" i="2" a="1"/>
  <c r="X64" i="2" a="1"/>
  <c r="H61" i="2" a="1"/>
  <c r="W81" i="2" a="1"/>
  <c r="E81" i="2" a="1"/>
  <c r="N68" i="2" a="1"/>
  <c r="N73" i="2" a="1"/>
  <c r="AE71" i="2" a="1"/>
  <c r="AE49" i="2" a="1"/>
  <c r="Z62" i="2" a="1"/>
  <c r="G71" i="2" a="1"/>
  <c r="S82" i="2" a="1"/>
  <c r="S63" i="2" a="1"/>
  <c r="X74" i="2" a="1"/>
  <c r="X40" i="2" a="1"/>
  <c r="H84" i="2" a="1"/>
  <c r="N52" i="2" a="1"/>
  <c r="AE75" i="2" a="1"/>
  <c r="Z72" i="2" a="1"/>
  <c r="G73" i="2" a="1"/>
  <c r="S70" i="2" a="1"/>
  <c r="Z73" i="2" a="1"/>
  <c r="H75" i="2" a="1"/>
  <c r="AE43" i="2" a="1"/>
  <c r="G69" i="2" a="1"/>
  <c r="W80" i="2" a="1"/>
  <c r="E87" i="2" a="1"/>
  <c r="L92" i="2" a="1"/>
  <c r="L87" i="2" a="1"/>
  <c r="F81" i="2" a="1"/>
  <c r="N50" i="2" a="1"/>
  <c r="N72" i="2" a="1"/>
  <c r="AE69" i="2" a="1"/>
  <c r="Z84" i="2" a="1"/>
  <c r="W88" i="2" a="1"/>
  <c r="E92" i="2" a="1"/>
  <c r="L89" i="2" a="1"/>
  <c r="L85" i="2" a="1"/>
  <c r="F88" i="2" a="1"/>
  <c r="N64" i="2" a="1"/>
  <c r="N82" i="2" a="1"/>
  <c r="N54" i="2" a="1"/>
  <c r="N76" i="2" a="1"/>
  <c r="AE55" i="2" a="1"/>
  <c r="AE86" i="2" a="1"/>
  <c r="AE65" i="2" a="1"/>
  <c r="Z75" i="2" a="1"/>
  <c r="Z64" i="2" a="1"/>
  <c r="Z66" i="2" a="1"/>
  <c r="Z86" i="2" a="1"/>
  <c r="G55" i="2" a="1"/>
  <c r="G59" i="2" a="1"/>
  <c r="G91" i="2" a="1"/>
  <c r="G63" i="2" a="1"/>
  <c r="S47" i="2" a="1"/>
  <c r="S75" i="2" a="1"/>
  <c r="S51" i="2" a="1"/>
  <c r="X72" i="2" a="1"/>
  <c r="X54" i="2" a="1"/>
  <c r="X66" i="2" a="1"/>
  <c r="X58" i="2" a="1"/>
  <c r="H51" i="2" a="1"/>
  <c r="H83" i="2" a="1"/>
  <c r="H74" i="2" a="1"/>
  <c r="H53" i="2" a="1"/>
  <c r="X83" i="2" a="1"/>
  <c r="H63" i="2" a="1"/>
  <c r="H49" i="2" a="1"/>
  <c r="E80" i="2" a="1"/>
  <c r="F80" i="2" a="1"/>
  <c r="N70" i="2" a="1"/>
  <c r="AE57" i="2" a="1"/>
  <c r="Z70" i="2" a="1"/>
  <c r="Z48" i="2" a="1"/>
  <c r="G82" i="2" a="1"/>
  <c r="S61" i="2" a="1"/>
  <c r="X91" i="2" a="1"/>
  <c r="X50" i="2" a="1"/>
  <c r="H76" i="2" a="1"/>
  <c r="G47" i="2" a="1"/>
  <c r="W92" i="2" a="1"/>
  <c r="E89" i="2" a="1"/>
  <c r="E85" i="2" a="1"/>
  <c r="F90" i="2" a="1"/>
  <c r="F87" i="2" a="1"/>
  <c r="N86" i="2" a="1"/>
  <c r="N74" i="2" a="1"/>
  <c r="N60" i="2" a="1"/>
  <c r="N84" i="2" a="1"/>
  <c r="AE68" i="2" a="1"/>
  <c r="AE47" i="2" a="1"/>
  <c r="AE73" i="2" a="1"/>
  <c r="Z52" i="2" a="1"/>
  <c r="Z91" i="2" a="1"/>
  <c r="Z82" i="2" a="1"/>
  <c r="Z76" i="2" a="1"/>
  <c r="G57" i="2" a="1"/>
  <c r="G61" i="2" a="1"/>
  <c r="G65" i="2" a="1"/>
  <c r="G43" i="2" a="1"/>
  <c r="S57" i="2" a="1"/>
  <c r="S67" i="2" a="1"/>
  <c r="X68" i="2" a="1"/>
  <c r="X60" i="2" a="1"/>
  <c r="X48" i="2" a="1"/>
  <c r="H91" i="2" a="1"/>
  <c r="H86" i="2" a="1"/>
  <c r="L80" i="2" a="1"/>
  <c r="Q90" i="2" a="1"/>
  <c r="N58" i="2" a="1"/>
  <c r="N83" i="2" a="1"/>
  <c r="AE45" i="2" a="1"/>
  <c r="Z83" i="2" a="1"/>
  <c r="G84" i="2" a="1"/>
  <c r="G49" i="2" a="1"/>
  <c r="S65" i="2" a="1"/>
  <c r="X52" i="2" a="1"/>
  <c r="X76" i="2" a="1"/>
  <c r="H82" i="2" a="1"/>
  <c r="S43" i="2" a="1"/>
  <c r="AE63" i="2" a="1"/>
  <c r="S59" i="2" a="1"/>
  <c r="H69" i="2" a="1"/>
  <c r="W89" i="2" a="1"/>
  <c r="AE67" i="2" a="1"/>
  <c r="S45" i="2" a="1"/>
  <c r="N75" i="2" a="1"/>
  <c r="AE84" i="2" a="1"/>
  <c r="AE51" i="2" a="1"/>
  <c r="Z58" i="2" a="1"/>
  <c r="Z54" i="2" a="1"/>
  <c r="G83" i="2" a="1"/>
  <c r="G45" i="2" a="1"/>
  <c r="S84" i="2" a="1"/>
  <c r="S49" i="2" a="1"/>
  <c r="S69" i="2" a="1"/>
  <c r="X62" i="2" a="1"/>
  <c r="X70" i="2" a="1"/>
  <c r="H65" i="2" a="1"/>
  <c r="H57" i="2" a="1"/>
  <c r="W85" i="2" a="1"/>
  <c r="E88" i="2" a="1"/>
  <c r="F92" i="2" a="1"/>
  <c r="N62" i="2" a="1"/>
  <c r="N56" i="2" a="1"/>
  <c r="AE61" i="2" a="1"/>
  <c r="AE59" i="2" a="1"/>
  <c r="Z56" i="2" a="1"/>
  <c r="G75" i="2" a="1"/>
  <c r="G53" i="2" a="1"/>
  <c r="S53" i="2" a="1"/>
  <c r="S73" i="2" a="1"/>
  <c r="X46" i="2" a="1"/>
  <c r="H59" i="2" a="1"/>
  <c r="H71" i="2" a="1"/>
  <c r="N66" i="2" a="1"/>
  <c r="AE82" i="2" a="1"/>
  <c r="Z50" i="2" a="1"/>
  <c r="Z60" i="2" a="1"/>
  <c r="H67" i="2" a="1"/>
  <c r="H55" i="2" a="1"/>
  <c r="H72" i="2" a="1"/>
  <c r="G51" i="2" a="1"/>
  <c r="S62" i="2" a="1"/>
  <c r="X56" i="2" a="1"/>
  <c r="H73" i="2" a="1"/>
  <c r="G86" i="2" a="1"/>
  <c r="S86" i="2" a="1"/>
  <c r="S71" i="2" a="1"/>
  <c r="X44" i="2" a="1"/>
  <c r="X42" i="2" a="1"/>
  <c r="AF91" i="2" a="1"/>
  <c r="AF57" i="2" a="1"/>
  <c r="AF49" i="2" a="1"/>
  <c r="AF67" i="2" a="1"/>
  <c r="X80" i="2" a="1"/>
  <c r="T74" i="2" a="1"/>
  <c r="T86" i="2" a="1"/>
  <c r="T83" i="2" a="1"/>
  <c r="T84" i="2" a="1"/>
  <c r="Y56" i="2" a="1"/>
  <c r="Y72" i="2" a="1"/>
  <c r="Y44" i="2" a="1"/>
  <c r="Y42" i="2" a="1"/>
  <c r="M92" i="2" a="1"/>
  <c r="Z92" i="2" a="1"/>
  <c r="Y80" i="2" a="1"/>
  <c r="AE81" i="2" a="1"/>
  <c r="M48" i="2" a="1"/>
  <c r="M70" i="2" a="1"/>
  <c r="M54" i="2" a="1"/>
  <c r="M91" i="2" a="1"/>
  <c r="S88" i="2" a="1"/>
  <c r="G92" i="2" a="1"/>
  <c r="N85" i="2" a="1"/>
  <c r="N89" i="2" a="1"/>
  <c r="H80" i="2" a="1"/>
  <c r="T87" i="2" a="1"/>
  <c r="AD87" i="2" a="1"/>
  <c r="R81" i="2" a="1"/>
  <c r="S90" i="2" a="1"/>
  <c r="AF80" i="2" a="1"/>
  <c r="Y66" i="2" a="1"/>
  <c r="AE87" i="2" a="1"/>
  <c r="M60" i="2" a="1"/>
  <c r="N88" i="2" a="1"/>
  <c r="AD85" i="2" a="1"/>
  <c r="AF88" i="2" a="1"/>
  <c r="Y92" i="2" a="1"/>
  <c r="AF63" i="2" a="1"/>
  <c r="AF59" i="2" a="1"/>
  <c r="AF55" i="2" a="1"/>
  <c r="AF86" i="2" a="1"/>
  <c r="X89" i="2" a="1"/>
  <c r="T55" i="2" a="1"/>
  <c r="T69" i="2" a="1"/>
  <c r="T73" i="2" a="1"/>
  <c r="T49" i="2" a="1"/>
  <c r="Y48" i="2" a="1"/>
  <c r="Y64" i="2" a="1"/>
  <c r="Y60" i="2" a="1"/>
  <c r="M89" i="2" a="1"/>
  <c r="M88" i="2" a="1"/>
  <c r="Z85" i="2" a="1"/>
  <c r="Y88" i="2" a="1"/>
  <c r="AE80" i="2" a="1"/>
  <c r="M58" i="2" a="1"/>
  <c r="M52" i="2" a="1"/>
  <c r="M68" i="2" a="1"/>
  <c r="M67" i="2" a="1"/>
  <c r="S85" i="2" a="1"/>
  <c r="G81" i="2" a="1"/>
  <c r="N80" i="2" a="1"/>
  <c r="H87" i="2" a="1"/>
  <c r="H85" i="2" a="1"/>
  <c r="T89" i="2" a="1"/>
  <c r="AD81" i="2" a="1"/>
  <c r="R85" i="2" a="1"/>
  <c r="H90" i="2" a="1"/>
  <c r="AF85" i="2" a="1"/>
  <c r="AF65" i="2" a="1"/>
  <c r="T75" i="2" a="1"/>
  <c r="Y74" i="2" a="1"/>
  <c r="Z89" i="2" a="1"/>
  <c r="M44" i="2" a="1"/>
  <c r="G80" i="2" a="1"/>
  <c r="T88" i="2" a="1"/>
  <c r="AF81" i="2" a="1"/>
  <c r="AF69" i="2" a="1"/>
  <c r="X88" i="2" a="1"/>
  <c r="T51" i="2" a="1"/>
  <c r="T76" i="2" a="1"/>
  <c r="M81" i="2" a="1"/>
  <c r="M62" i="2" a="1"/>
  <c r="S81" i="2" a="1"/>
  <c r="H88" i="2" a="1"/>
  <c r="R80" i="2" a="1"/>
  <c r="AF84" i="2" a="1"/>
  <c r="AF74" i="2" a="1"/>
  <c r="T91" i="2" a="1"/>
  <c r="Y58" i="2" a="1"/>
  <c r="Z81" i="2" a="1"/>
  <c r="M42" i="2" a="1"/>
  <c r="T81" i="2" a="1"/>
  <c r="M64" i="2" a="1"/>
  <c r="T85" i="2" a="1"/>
  <c r="AD80" i="2" a="1"/>
  <c r="G90" i="2" a="1"/>
  <c r="AF70" i="2" a="1"/>
  <c r="AF75" i="2" a="1"/>
  <c r="AF51" i="2" a="1"/>
  <c r="AF53" i="2" a="1"/>
  <c r="X81" i="2" a="1"/>
  <c r="T61" i="2" a="1"/>
  <c r="T67" i="2" a="1"/>
  <c r="T53" i="2" a="1"/>
  <c r="Y84" i="2" a="1"/>
  <c r="Y76" i="2" a="1"/>
  <c r="Y73" i="2" a="1"/>
  <c r="Y68" i="2" a="1"/>
  <c r="M80" i="2" a="1"/>
  <c r="Z80" i="2" a="1"/>
  <c r="R90" i="2" a="1"/>
  <c r="Y87" i="2" a="1"/>
  <c r="AE88" i="2" a="1"/>
  <c r="M72" i="2" a="1"/>
  <c r="M46" i="2" a="1"/>
  <c r="M74" i="2" a="1"/>
  <c r="S87" i="2" a="1"/>
  <c r="G85" i="2" a="1"/>
  <c r="N92" i="2" a="1"/>
  <c r="H89" i="2" a="1"/>
  <c r="AD88" i="2" a="1"/>
  <c r="R92" i="2" a="1"/>
  <c r="AF92" i="2" a="1"/>
  <c r="M56" i="2" a="1"/>
  <c r="T92" i="2" a="1"/>
  <c r="R88" i="2" a="1"/>
  <c r="AE90" i="2" a="1"/>
  <c r="AF82" i="2" a="1"/>
  <c r="AF73" i="2" a="1"/>
  <c r="AF76" i="2" a="1"/>
  <c r="X92" i="2" a="1"/>
  <c r="X85" i="2" a="1"/>
  <c r="T65" i="2" a="1"/>
  <c r="T59" i="2" a="1"/>
  <c r="T57" i="2" a="1"/>
  <c r="Y70" i="2" a="1"/>
  <c r="Y91" i="2" a="1"/>
  <c r="Y50" i="2" a="1"/>
  <c r="Y46" i="2" a="1"/>
  <c r="M85" i="2" a="1"/>
  <c r="Z87" i="2" a="1"/>
  <c r="Y81" i="2" a="1"/>
  <c r="Y85" i="2" a="1"/>
  <c r="AE92" i="2" a="1"/>
  <c r="M66" i="2" a="1"/>
  <c r="M75" i="2" a="1"/>
  <c r="S89" i="2" a="1"/>
  <c r="S80" i="2" a="1"/>
  <c r="G88" i="2" a="1"/>
  <c r="N87" i="2" a="1"/>
  <c r="H92" i="2" a="1"/>
  <c r="AD92" i="2" a="1"/>
  <c r="R87" i="2" a="1"/>
  <c r="AF87" i="2" a="1"/>
  <c r="AF89" i="2" a="1"/>
  <c r="AF71" i="2" a="1"/>
  <c r="AF83" i="2" a="1"/>
  <c r="AF61" i="2" a="1"/>
  <c r="X87" i="2" a="1"/>
  <c r="T71" i="2" a="1"/>
  <c r="T70" i="2" a="1"/>
  <c r="T82" i="2" a="1"/>
  <c r="T63" i="2" a="1"/>
  <c r="Y54" i="2" a="1"/>
  <c r="Y62" i="2" a="1"/>
  <c r="Y83" i="2" a="1"/>
  <c r="Y52" i="2" a="1"/>
  <c r="M87" i="2" a="1"/>
  <c r="Z88" i="2" a="1"/>
  <c r="Y89" i="2" a="1"/>
  <c r="AE85" i="2" a="1"/>
  <c r="AE89" i="2" a="1"/>
  <c r="M76" i="2" a="1"/>
  <c r="M50" i="2" a="1"/>
  <c r="M83" i="2" a="1"/>
  <c r="S92" i="2" a="1"/>
  <c r="G89" i="2" a="1"/>
  <c r="G87" i="2" a="1"/>
  <c r="N81" i="2" a="1"/>
  <c r="H81" i="2" a="1"/>
  <c r="T80" i="2" a="1"/>
  <c r="AD89" i="2" a="1"/>
  <c r="R89" i="2" a="1"/>
  <c r="AF90" i="2" a="1"/>
  <c r="AD90" i="2" a="1"/>
  <c r="T90" i="2" a="1"/>
  <c r="E66" i="2" l="1"/>
  <c r="E74" i="2"/>
  <c r="AC70" i="2"/>
  <c r="W86" i="2"/>
  <c r="Q48" i="2"/>
  <c r="AF12" i="2"/>
  <c r="P13" i="2"/>
  <c r="T10" i="2"/>
  <c r="T18" i="2"/>
  <c r="AA44" i="2"/>
  <c r="N15" i="2"/>
  <c r="H12" i="2"/>
  <c r="H13" i="2"/>
  <c r="H7" i="2"/>
  <c r="H9" i="2"/>
  <c r="H32" i="2"/>
  <c r="Z15" i="2"/>
  <c r="O9" i="2"/>
  <c r="C58" i="2"/>
  <c r="I69" i="2"/>
  <c r="G20" i="2"/>
  <c r="G41" i="2"/>
  <c r="AE32" i="2"/>
  <c r="S12" i="2"/>
  <c r="Y13" i="2"/>
  <c r="M25" i="2"/>
  <c r="U8" i="2"/>
  <c r="E29" i="2"/>
  <c r="E11" i="2"/>
  <c r="AC7" i="2"/>
  <c r="Q56" i="2"/>
  <c r="AF8" i="2"/>
  <c r="T8" i="2"/>
  <c r="AA54" i="2"/>
  <c r="N17" i="2"/>
  <c r="H36" i="2"/>
  <c r="H17" i="2"/>
  <c r="H22" i="2"/>
  <c r="H19" i="2"/>
  <c r="O72" i="2"/>
  <c r="C7" i="2"/>
  <c r="I10" i="2"/>
  <c r="G34" i="2"/>
  <c r="AE26" i="2"/>
  <c r="AE18" i="2"/>
  <c r="S24" i="2"/>
  <c r="Y31" i="2"/>
  <c r="M33" i="2"/>
  <c r="U43" i="2"/>
  <c r="AC54" i="2"/>
  <c r="AC62" i="2"/>
  <c r="W67" i="2"/>
  <c r="P7" i="2"/>
  <c r="AA9" i="2"/>
  <c r="H18" i="2"/>
  <c r="Z13" i="2"/>
  <c r="E50" i="2"/>
  <c r="E58" i="2"/>
  <c r="W59" i="2"/>
  <c r="Q42" i="2"/>
  <c r="P17" i="2"/>
  <c r="AA7" i="2"/>
  <c r="N11" i="2"/>
  <c r="H28" i="2"/>
  <c r="H16" i="2"/>
  <c r="Z27" i="2"/>
  <c r="O42" i="2"/>
  <c r="C50" i="2"/>
  <c r="G32" i="2"/>
  <c r="AE22" i="2"/>
  <c r="S10" i="2"/>
  <c r="S36" i="2"/>
  <c r="Y33" i="2"/>
  <c r="M19" i="2"/>
  <c r="U59" i="2"/>
  <c r="Q64" i="2"/>
  <c r="AC39" i="2"/>
  <c r="W41" i="2"/>
  <c r="AF10" i="2"/>
  <c r="T16" i="2"/>
  <c r="N9" i="2"/>
  <c r="H20" i="2"/>
  <c r="H31" i="2"/>
  <c r="Z11" i="2"/>
  <c r="I61" i="2"/>
  <c r="W40" i="2"/>
  <c r="Q72" i="2"/>
  <c r="P9" i="2"/>
  <c r="AA62" i="2"/>
  <c r="H10" i="2"/>
  <c r="H21" i="2"/>
  <c r="H30" i="2"/>
  <c r="O48" i="2"/>
  <c r="C11" i="2"/>
  <c r="S20" i="2"/>
  <c r="U41" i="2"/>
  <c r="AF24" i="2"/>
  <c r="T14" i="2"/>
  <c r="N19" i="2"/>
  <c r="H8" i="2"/>
  <c r="H26" i="2"/>
  <c r="Z9" i="2"/>
  <c r="O64" i="2"/>
  <c r="I8" i="2"/>
  <c r="G10" i="2"/>
  <c r="AE12" i="2"/>
  <c r="Y9" i="2"/>
  <c r="Y23" i="2"/>
  <c r="M27" i="2"/>
  <c r="AF18" i="2"/>
  <c r="P33" i="2"/>
  <c r="AA70" i="2"/>
  <c r="H29" i="2"/>
  <c r="H15" i="2"/>
  <c r="O7" i="2"/>
  <c r="I53" i="2"/>
  <c r="U10" i="2"/>
  <c r="W51" i="2"/>
  <c r="AF14" i="2"/>
  <c r="T30" i="2"/>
  <c r="N13" i="2"/>
  <c r="H24" i="2"/>
  <c r="H45" i="2"/>
  <c r="H34" i="2"/>
  <c r="Z7" i="2"/>
  <c r="C66" i="2"/>
  <c r="C46" i="2"/>
  <c r="G16" i="2"/>
  <c r="AE36" i="2"/>
  <c r="S34" i="2"/>
  <c r="Y19" i="2"/>
  <c r="M39" i="2"/>
  <c r="M13" i="2"/>
  <c r="AC13" i="2"/>
  <c r="Q83" i="2"/>
  <c r="E46" i="2"/>
  <c r="AC44" i="2"/>
  <c r="W43" i="2"/>
  <c r="Q91" i="2"/>
  <c r="AF16" i="2"/>
  <c r="P11" i="2"/>
  <c r="P15" i="2"/>
  <c r="T12" i="2"/>
  <c r="AA13" i="2"/>
  <c r="N7" i="2"/>
  <c r="H14" i="2"/>
  <c r="H41" i="2"/>
  <c r="H11" i="2"/>
  <c r="H23" i="2"/>
  <c r="H25" i="2"/>
  <c r="Z39" i="2"/>
  <c r="O56" i="2"/>
  <c r="C9" i="2"/>
  <c r="I47" i="2"/>
  <c r="I40" i="2"/>
  <c r="G30" i="2"/>
  <c r="AE28" i="2"/>
  <c r="S30" i="2"/>
  <c r="Y27" i="2"/>
  <c r="M29" i="2"/>
  <c r="U75" i="2"/>
  <c r="U51" i="2"/>
  <c r="X36" i="2"/>
  <c r="W25" i="2"/>
  <c r="S40" i="2"/>
  <c r="E10" i="2"/>
  <c r="X31" i="2"/>
  <c r="M24" i="2"/>
  <c r="W71" i="2"/>
  <c r="D16" i="2"/>
  <c r="F22" i="2"/>
  <c r="U25" i="2"/>
  <c r="Q68" i="2"/>
  <c r="D27" i="2"/>
  <c r="C23" i="2"/>
  <c r="F8" i="2"/>
  <c r="X22" i="2"/>
  <c r="M65" i="2"/>
  <c r="O22" i="2"/>
  <c r="O16" i="2"/>
  <c r="E14" i="2"/>
  <c r="K19" i="2"/>
  <c r="K27" i="2"/>
  <c r="U15" i="2"/>
  <c r="U57" i="2"/>
  <c r="C18" i="2"/>
  <c r="I15" i="2"/>
  <c r="Q44" i="2"/>
  <c r="AD22" i="2"/>
  <c r="D35" i="2"/>
  <c r="V39" i="2"/>
  <c r="C39" i="2"/>
  <c r="K45" i="2"/>
  <c r="F33" i="2"/>
  <c r="S31" i="2"/>
  <c r="S76" i="2"/>
  <c r="K15" i="2"/>
  <c r="AA23" i="2"/>
  <c r="U20" i="2"/>
  <c r="AC10" i="2"/>
  <c r="U29" i="2"/>
  <c r="C26" i="2"/>
  <c r="I13" i="2"/>
  <c r="AD28" i="2"/>
  <c r="AB40" i="2"/>
  <c r="P22" i="2"/>
  <c r="C25" i="2"/>
  <c r="AA30" i="2"/>
  <c r="X17" i="2"/>
  <c r="K25" i="2"/>
  <c r="O34" i="2"/>
  <c r="I71" i="2"/>
  <c r="S91" i="2"/>
  <c r="C20" i="2"/>
  <c r="F70" i="2"/>
  <c r="K36" i="2"/>
  <c r="X39" i="2"/>
  <c r="M22" i="2"/>
  <c r="E64" i="2"/>
  <c r="W21" i="2"/>
  <c r="U35" i="2"/>
  <c r="F25" i="2"/>
  <c r="F18" i="2"/>
  <c r="S23" i="2"/>
  <c r="X21" i="2"/>
  <c r="X34" i="2"/>
  <c r="M41" i="2"/>
  <c r="M32" i="2"/>
  <c r="O36" i="2"/>
  <c r="O17" i="2"/>
  <c r="E8" i="2"/>
  <c r="E40" i="2"/>
  <c r="W29" i="2"/>
  <c r="K75" i="2"/>
  <c r="K73" i="2"/>
  <c r="Q14" i="2"/>
  <c r="F42" i="2"/>
  <c r="D21" i="2"/>
  <c r="N42" i="2"/>
  <c r="P21" i="2"/>
  <c r="AC27" i="2"/>
  <c r="S15" i="2"/>
  <c r="E32" i="2"/>
  <c r="M20" i="2"/>
  <c r="E42" i="2"/>
  <c r="K29" i="2"/>
  <c r="F24" i="2"/>
  <c r="O23" i="2"/>
  <c r="S60" i="2"/>
  <c r="W45" i="2"/>
  <c r="M73" i="2"/>
  <c r="E12" i="2"/>
  <c r="AB27" i="2"/>
  <c r="U53" i="2"/>
  <c r="U9" i="2"/>
  <c r="X28" i="2"/>
  <c r="M51" i="2"/>
  <c r="O28" i="2"/>
  <c r="W19" i="2"/>
  <c r="Q26" i="2"/>
  <c r="AD10" i="2"/>
  <c r="F83" i="2"/>
  <c r="P39" i="2"/>
  <c r="F12" i="2"/>
  <c r="F28" i="2"/>
  <c r="S68" i="2"/>
  <c r="S11" i="2"/>
  <c r="X19" i="2"/>
  <c r="X13" i="2"/>
  <c r="M57" i="2"/>
  <c r="M45" i="2"/>
  <c r="O21" i="2"/>
  <c r="E36" i="2"/>
  <c r="E18" i="2"/>
  <c r="W49" i="2"/>
  <c r="W57" i="2"/>
  <c r="K17" i="2"/>
  <c r="AA52" i="2"/>
  <c r="U17" i="2"/>
  <c r="AC26" i="2"/>
  <c r="C83" i="2"/>
  <c r="I23" i="2"/>
  <c r="I31" i="2"/>
  <c r="AB33" i="2"/>
  <c r="F54" i="2"/>
  <c r="D12" i="2"/>
  <c r="N47" i="2"/>
  <c r="P8" i="2"/>
  <c r="AA74" i="2"/>
  <c r="N10" i="2"/>
  <c r="S54" i="2"/>
  <c r="N34" i="2"/>
  <c r="X15" i="2"/>
  <c r="W17" i="2"/>
  <c r="F10" i="2"/>
  <c r="M30" i="2"/>
  <c r="AA60" i="2"/>
  <c r="O44" i="2"/>
  <c r="AA18" i="2"/>
  <c r="AD12" i="2"/>
  <c r="S17" i="2"/>
  <c r="AA10" i="2"/>
  <c r="AB12" i="2"/>
  <c r="S44" i="2"/>
  <c r="M28" i="2"/>
  <c r="E20" i="2"/>
  <c r="K33" i="2"/>
  <c r="N49" i="2"/>
  <c r="K51" i="2"/>
  <c r="U19" i="2"/>
  <c r="C48" i="2"/>
  <c r="I43" i="2"/>
  <c r="J41" i="2"/>
  <c r="F39" i="2"/>
  <c r="X29" i="2"/>
  <c r="O62" i="2"/>
  <c r="O20" i="2"/>
  <c r="E48" i="2"/>
  <c r="E22" i="2"/>
  <c r="W31" i="2"/>
  <c r="W39" i="2"/>
  <c r="AA22" i="2"/>
  <c r="AA20" i="2"/>
  <c r="AD31" i="2"/>
  <c r="AB39" i="2"/>
  <c r="D14" i="2"/>
  <c r="D23" i="2"/>
  <c r="J33" i="2"/>
  <c r="M26" i="2"/>
  <c r="AA12" i="2"/>
  <c r="S41" i="2"/>
  <c r="O32" i="2"/>
  <c r="X27" i="2"/>
  <c r="E72" i="2"/>
  <c r="Q12" i="2"/>
  <c r="V15" i="2"/>
  <c r="F14" i="2"/>
  <c r="K59" i="2"/>
  <c r="AC24" i="2"/>
  <c r="I14" i="2"/>
  <c r="P12" i="2"/>
  <c r="X24" i="2"/>
  <c r="O15" i="2"/>
  <c r="W9" i="2"/>
  <c r="AA31" i="2"/>
  <c r="F31" i="2"/>
  <c r="AA24" i="2"/>
  <c r="AC20" i="2"/>
  <c r="I27" i="2"/>
  <c r="Q16" i="2"/>
  <c r="AB31" i="2"/>
  <c r="N51" i="2"/>
  <c r="I32" i="2"/>
  <c r="F30" i="2"/>
  <c r="S21" i="2"/>
  <c r="S52" i="2"/>
  <c r="X9" i="2"/>
  <c r="M69" i="2"/>
  <c r="F16" i="2"/>
  <c r="F20" i="2"/>
  <c r="K7" i="2"/>
  <c r="AA68" i="2"/>
  <c r="U84" i="2"/>
  <c r="AC34" i="2"/>
  <c r="C64" i="2"/>
  <c r="I75" i="2"/>
  <c r="Q24" i="2"/>
  <c r="Y90" i="2"/>
  <c r="V36" i="2"/>
  <c r="N67" i="2"/>
  <c r="J19" i="2"/>
  <c r="E26" i="2"/>
  <c r="Q34" i="2"/>
  <c r="AB21" i="2"/>
  <c r="F74" i="2"/>
  <c r="D22" i="2"/>
  <c r="V28" i="2"/>
  <c r="N69" i="2"/>
  <c r="I11" i="2"/>
  <c r="U34" i="2"/>
  <c r="O41" i="2"/>
  <c r="F21" i="2"/>
  <c r="O26" i="2"/>
  <c r="AD18" i="2"/>
  <c r="F46" i="2"/>
  <c r="N28" i="2"/>
  <c r="I36" i="2"/>
  <c r="U71" i="2"/>
  <c r="I55" i="2"/>
  <c r="W90" i="2"/>
  <c r="AA25" i="2"/>
  <c r="J24" i="2"/>
  <c r="U47" i="2"/>
  <c r="K24" i="2"/>
  <c r="W11" i="2"/>
  <c r="K35" i="2"/>
  <c r="K31" i="2"/>
  <c r="AA28" i="2"/>
  <c r="AC60" i="2"/>
  <c r="U65" i="2"/>
  <c r="AC14" i="2"/>
  <c r="AC66" i="2"/>
  <c r="U23" i="2"/>
  <c r="C56" i="2"/>
  <c r="C42" i="2"/>
  <c r="C10" i="2"/>
  <c r="I39" i="2"/>
  <c r="I17" i="2"/>
  <c r="Q70" i="2"/>
  <c r="Q28" i="2"/>
  <c r="AD24" i="2"/>
  <c r="AD40" i="2"/>
  <c r="AD32" i="2"/>
  <c r="AB26" i="2"/>
  <c r="AB24" i="2"/>
  <c r="AB14" i="2"/>
  <c r="F72" i="2"/>
  <c r="F62" i="2"/>
  <c r="D8" i="2"/>
  <c r="D39" i="2"/>
  <c r="V19" i="2"/>
  <c r="V34" i="2"/>
  <c r="V32" i="2"/>
  <c r="N53" i="2"/>
  <c r="N41" i="2"/>
  <c r="P25" i="2"/>
  <c r="P23" i="2"/>
  <c r="P40" i="2"/>
  <c r="I24" i="2"/>
  <c r="C54" i="2"/>
  <c r="O76" i="2"/>
  <c r="K57" i="2"/>
  <c r="N18" i="2"/>
  <c r="F23" i="2"/>
  <c r="F27" i="2"/>
  <c r="S19" i="2"/>
  <c r="S25" i="2"/>
  <c r="S33" i="2"/>
  <c r="S29" i="2"/>
  <c r="X7" i="2"/>
  <c r="X32" i="2"/>
  <c r="X25" i="2"/>
  <c r="M84" i="2"/>
  <c r="M49" i="2"/>
  <c r="M61" i="2"/>
  <c r="M86" i="2"/>
  <c r="O31" i="2"/>
  <c r="O30" i="2"/>
  <c r="O18" i="2"/>
  <c r="O54" i="2"/>
  <c r="E28" i="2"/>
  <c r="E30" i="2"/>
  <c r="E16" i="2"/>
  <c r="W35" i="2"/>
  <c r="W82" i="2"/>
  <c r="W23" i="2"/>
  <c r="W13" i="2"/>
  <c r="K23" i="2"/>
  <c r="K21" i="2"/>
  <c r="AA26" i="2"/>
  <c r="AC74" i="2"/>
  <c r="AC32" i="2"/>
  <c r="AC76" i="2"/>
  <c r="C36" i="2"/>
  <c r="I86" i="2"/>
  <c r="Q52" i="2"/>
  <c r="AD35" i="2"/>
  <c r="AD33" i="2"/>
  <c r="AB23" i="2"/>
  <c r="F48" i="2"/>
  <c r="D32" i="2"/>
  <c r="V30" i="2"/>
  <c r="V7" i="2"/>
  <c r="N61" i="2"/>
  <c r="P14" i="2"/>
  <c r="I63" i="2"/>
  <c r="C68" i="2"/>
  <c r="O10" i="2"/>
  <c r="W7" i="2"/>
  <c r="K11" i="2"/>
  <c r="AA16" i="2"/>
  <c r="AA76" i="2"/>
  <c r="AC12" i="2"/>
  <c r="U27" i="2"/>
  <c r="U45" i="2"/>
  <c r="U73" i="2"/>
  <c r="U24" i="2"/>
  <c r="C14" i="2"/>
  <c r="C34" i="2"/>
  <c r="C12" i="2"/>
  <c r="I51" i="2"/>
  <c r="I34" i="2"/>
  <c r="Q76" i="2"/>
  <c r="Q22" i="2"/>
  <c r="Q10" i="2"/>
  <c r="AD19" i="2"/>
  <c r="AD27" i="2"/>
  <c r="AB30" i="2"/>
  <c r="AB20" i="2"/>
  <c r="AB18" i="2"/>
  <c r="F50" i="2"/>
  <c r="F64" i="2"/>
  <c r="D24" i="2"/>
  <c r="D36" i="2"/>
  <c r="V20" i="2"/>
  <c r="V31" i="2"/>
  <c r="V21" i="2"/>
  <c r="N65" i="2"/>
  <c r="N32" i="2"/>
  <c r="P24" i="2"/>
  <c r="P26" i="2"/>
  <c r="P18" i="2"/>
  <c r="I16" i="2"/>
  <c r="C62" i="2"/>
  <c r="AA42" i="2"/>
  <c r="O25" i="2"/>
  <c r="J28" i="2"/>
  <c r="E44" i="2"/>
  <c r="T7" i="2"/>
  <c r="AD13" i="2"/>
  <c r="O60" i="2"/>
  <c r="J23" i="2"/>
  <c r="E19" i="2"/>
  <c r="T19" i="2"/>
  <c r="W15" i="2"/>
  <c r="K43" i="2"/>
  <c r="AA11" i="2"/>
  <c r="AA32" i="2"/>
  <c r="AC36" i="2"/>
  <c r="AC18" i="2"/>
  <c r="AC16" i="2"/>
  <c r="U31" i="2"/>
  <c r="U30" i="2"/>
  <c r="C32" i="2"/>
  <c r="C24" i="2"/>
  <c r="C35" i="2"/>
  <c r="I29" i="2"/>
  <c r="I67" i="2"/>
  <c r="Q20" i="2"/>
  <c r="Q36" i="2"/>
  <c r="Q30" i="2"/>
  <c r="AD26" i="2"/>
  <c r="AD29" i="2"/>
  <c r="AB22" i="2"/>
  <c r="AB16" i="2"/>
  <c r="F52" i="2"/>
  <c r="F60" i="2"/>
  <c r="F36" i="2"/>
  <c r="D31" i="2"/>
  <c r="D33" i="2"/>
  <c r="V25" i="2"/>
  <c r="D20" i="2"/>
  <c r="V26" i="2"/>
  <c r="N45" i="2"/>
  <c r="N59" i="2"/>
  <c r="P35" i="2"/>
  <c r="P29" i="2"/>
  <c r="P19" i="2"/>
  <c r="AA39" i="2"/>
  <c r="U67" i="2"/>
  <c r="E70" i="2"/>
  <c r="W63" i="2"/>
  <c r="F44" i="2"/>
  <c r="N48" i="2"/>
  <c r="P31" i="2"/>
  <c r="C44" i="2"/>
  <c r="U86" i="2"/>
  <c r="K9" i="2"/>
  <c r="K84" i="2"/>
  <c r="AA46" i="2"/>
  <c r="AA34" i="2"/>
  <c r="AC58" i="2"/>
  <c r="AC28" i="2"/>
  <c r="AC30" i="2"/>
  <c r="U33" i="2"/>
  <c r="U21" i="2"/>
  <c r="C91" i="2"/>
  <c r="C27" i="2"/>
  <c r="I35" i="2"/>
  <c r="I19" i="2"/>
  <c r="I33" i="2"/>
  <c r="Q18" i="2"/>
  <c r="Q8" i="2"/>
  <c r="AD30" i="2"/>
  <c r="AD20" i="2"/>
  <c r="AD23" i="2"/>
  <c r="AB41" i="2"/>
  <c r="AB10" i="2"/>
  <c r="F32" i="2"/>
  <c r="F34" i="2"/>
  <c r="F56" i="2"/>
  <c r="D25" i="2"/>
  <c r="V14" i="2"/>
  <c r="V24" i="2"/>
  <c r="V9" i="2"/>
  <c r="V27" i="2"/>
  <c r="N63" i="2"/>
  <c r="N57" i="2"/>
  <c r="P20" i="2"/>
  <c r="P27" i="2"/>
  <c r="I45" i="2"/>
  <c r="I73" i="2"/>
  <c r="C76" i="2"/>
  <c r="AA72" i="2"/>
  <c r="O74" i="2"/>
  <c r="AC23" i="2"/>
  <c r="W10" i="2"/>
  <c r="V23" i="2"/>
  <c r="V13" i="2"/>
  <c r="P28" i="2"/>
  <c r="I12" i="2"/>
  <c r="AA35" i="2"/>
  <c r="E54" i="2"/>
  <c r="T39" i="2"/>
  <c r="F40" i="2"/>
  <c r="F29" i="2"/>
  <c r="F35" i="2"/>
  <c r="F26" i="2"/>
  <c r="S35" i="2"/>
  <c r="S46" i="2"/>
  <c r="S27" i="2"/>
  <c r="X26" i="2"/>
  <c r="X11" i="2"/>
  <c r="X23" i="2"/>
  <c r="X30" i="2"/>
  <c r="M59" i="2"/>
  <c r="M34" i="2"/>
  <c r="M43" i="2"/>
  <c r="M36" i="2"/>
  <c r="O70" i="2"/>
  <c r="O24" i="2"/>
  <c r="O19" i="2"/>
  <c r="E56" i="2"/>
  <c r="E83" i="2"/>
  <c r="E34" i="2"/>
  <c r="E24" i="2"/>
  <c r="W65" i="2"/>
  <c r="W33" i="2"/>
  <c r="W27" i="2"/>
  <c r="K13" i="2"/>
  <c r="K39" i="2"/>
  <c r="AA14" i="2"/>
  <c r="AA36" i="2"/>
  <c r="AA58" i="2"/>
  <c r="I65" i="2"/>
  <c r="I22" i="2"/>
  <c r="I26" i="2"/>
  <c r="C74" i="2"/>
  <c r="C8" i="2"/>
  <c r="AA19" i="2"/>
  <c r="AA56" i="2"/>
  <c r="AA83" i="2"/>
  <c r="O14" i="2"/>
  <c r="O52" i="2"/>
  <c r="J11" i="2"/>
  <c r="J15" i="2"/>
  <c r="J21" i="2"/>
  <c r="U18" i="2"/>
  <c r="U22" i="2"/>
  <c r="E17" i="2"/>
  <c r="E9" i="2"/>
  <c r="K63" i="2"/>
  <c r="K30" i="2"/>
  <c r="T21" i="2"/>
  <c r="T26" i="2"/>
  <c r="AC40" i="2"/>
  <c r="AC15" i="2"/>
  <c r="N26" i="2"/>
  <c r="N27" i="2"/>
  <c r="AD21" i="2"/>
  <c r="W12" i="2"/>
  <c r="W47" i="2"/>
  <c r="Y12" i="2"/>
  <c r="X8" i="2"/>
  <c r="AC72" i="2"/>
  <c r="AC56" i="2"/>
  <c r="N14" i="2"/>
  <c r="N35" i="2"/>
  <c r="AD15" i="2"/>
  <c r="W34" i="2"/>
  <c r="Y29" i="2"/>
  <c r="Y61" i="2"/>
  <c r="X14" i="2"/>
  <c r="I20" i="2"/>
  <c r="C15" i="2"/>
  <c r="AA40" i="2"/>
  <c r="O29" i="2"/>
  <c r="O46" i="2"/>
  <c r="J9" i="2"/>
  <c r="U14" i="2"/>
  <c r="E31" i="2"/>
  <c r="K10" i="2"/>
  <c r="C29" i="2"/>
  <c r="AA66" i="2"/>
  <c r="AA17" i="2"/>
  <c r="O11" i="2"/>
  <c r="O40" i="2"/>
  <c r="O66" i="2"/>
  <c r="J34" i="2"/>
  <c r="J20" i="2"/>
  <c r="U36" i="2"/>
  <c r="U61" i="2"/>
  <c r="U69" i="2"/>
  <c r="E62" i="2"/>
  <c r="E23" i="2"/>
  <c r="K32" i="2"/>
  <c r="K22" i="2"/>
  <c r="T29" i="2"/>
  <c r="T20" i="2"/>
  <c r="AC50" i="2"/>
  <c r="AC11" i="2"/>
  <c r="N16" i="2"/>
  <c r="N40" i="2"/>
  <c r="W26" i="2"/>
  <c r="W28" i="2"/>
  <c r="Y69" i="2"/>
  <c r="Y20" i="2"/>
  <c r="I84" i="2"/>
  <c r="C17" i="2"/>
  <c r="AA64" i="2"/>
  <c r="O83" i="2"/>
  <c r="O50" i="2"/>
  <c r="J36" i="2"/>
  <c r="U55" i="2"/>
  <c r="E25" i="2"/>
  <c r="K65" i="2"/>
  <c r="K34" i="2"/>
  <c r="T25" i="2"/>
  <c r="T11" i="2"/>
  <c r="AC9" i="2"/>
  <c r="AC33" i="2"/>
  <c r="N22" i="2"/>
  <c r="N12" i="2"/>
  <c r="W20" i="2"/>
  <c r="W69" i="2"/>
  <c r="Y24" i="2"/>
  <c r="I49" i="2"/>
  <c r="I7" i="2"/>
  <c r="C31" i="2"/>
  <c r="C40" i="2"/>
  <c r="C21" i="2"/>
  <c r="AA91" i="2"/>
  <c r="AA48" i="2"/>
  <c r="O68" i="2"/>
  <c r="O91" i="2"/>
  <c r="O13" i="2"/>
  <c r="J17" i="2"/>
  <c r="J32" i="2"/>
  <c r="U39" i="2"/>
  <c r="U82" i="2"/>
  <c r="U16" i="2"/>
  <c r="E33" i="2"/>
  <c r="E76" i="2"/>
  <c r="K16" i="2"/>
  <c r="K26" i="2"/>
  <c r="T22" i="2"/>
  <c r="T17" i="2"/>
  <c r="AC25" i="2"/>
  <c r="AC31" i="2"/>
  <c r="N39" i="2"/>
  <c r="U90" i="2"/>
  <c r="W24" i="2"/>
  <c r="W30" i="2"/>
  <c r="Y21" i="2"/>
  <c r="F7" i="2"/>
  <c r="I18" i="2"/>
  <c r="C33" i="2"/>
  <c r="C16" i="2"/>
  <c r="AA8" i="2"/>
  <c r="O8" i="2"/>
  <c r="J30" i="2"/>
  <c r="U26" i="2"/>
  <c r="E39" i="2"/>
  <c r="E7" i="2"/>
  <c r="AC46" i="2"/>
  <c r="AC22" i="2"/>
  <c r="U49" i="2"/>
  <c r="AC8" i="2"/>
  <c r="U13" i="2"/>
  <c r="AC52" i="2"/>
  <c r="C30" i="2"/>
  <c r="C72" i="2"/>
  <c r="C22" i="2"/>
  <c r="C28" i="2"/>
  <c r="I59" i="2"/>
  <c r="I21" i="2"/>
  <c r="I28" i="2"/>
  <c r="I25" i="2"/>
  <c r="Q32" i="2"/>
  <c r="Q54" i="2"/>
  <c r="Q40" i="2"/>
  <c r="AD14" i="2"/>
  <c r="AD25" i="2"/>
  <c r="AD8" i="2"/>
  <c r="AD16" i="2"/>
  <c r="AB25" i="2"/>
  <c r="AB8" i="2"/>
  <c r="AB29" i="2"/>
  <c r="AB17" i="2"/>
  <c r="F66" i="2"/>
  <c r="F76" i="2"/>
  <c r="F68" i="2"/>
  <c r="F58" i="2"/>
  <c r="D40" i="2"/>
  <c r="D10" i="2"/>
  <c r="D18" i="2"/>
  <c r="D26" i="2"/>
  <c r="D29" i="2"/>
  <c r="V11" i="2"/>
  <c r="V17" i="2"/>
  <c r="N44" i="2"/>
  <c r="N43" i="2"/>
  <c r="N55" i="2"/>
  <c r="N36" i="2"/>
  <c r="P10" i="2"/>
  <c r="P16" i="2"/>
  <c r="P32" i="2"/>
  <c r="I82" i="2"/>
  <c r="I57" i="2"/>
  <c r="I9" i="2"/>
  <c r="C60" i="2"/>
  <c r="C13" i="2"/>
  <c r="C52" i="2"/>
  <c r="AA27" i="2"/>
  <c r="AA50" i="2"/>
  <c r="O58" i="2"/>
  <c r="O33" i="2"/>
  <c r="J25" i="2"/>
  <c r="J22" i="2"/>
  <c r="J29" i="2"/>
  <c r="U32" i="2"/>
  <c r="U11" i="2"/>
  <c r="E35" i="2"/>
  <c r="E21" i="2"/>
  <c r="E15" i="2"/>
  <c r="K71" i="2"/>
  <c r="K82" i="2"/>
  <c r="T34" i="2"/>
  <c r="T13" i="2"/>
  <c r="AC17" i="2"/>
  <c r="N24" i="2"/>
  <c r="N21" i="2"/>
  <c r="AD11" i="2"/>
  <c r="W32" i="2"/>
  <c r="W8" i="2"/>
  <c r="Y18" i="2"/>
  <c r="F11" i="2"/>
  <c r="U28" i="2"/>
  <c r="E27" i="2"/>
  <c r="E13" i="2"/>
  <c r="C70" i="2"/>
  <c r="AA21" i="2"/>
  <c r="AA29" i="2"/>
  <c r="AA41" i="2"/>
  <c r="O35" i="2"/>
  <c r="O12" i="2"/>
  <c r="J7" i="2"/>
  <c r="J18" i="2"/>
  <c r="J13" i="2"/>
  <c r="U7" i="2"/>
  <c r="U63" i="2"/>
  <c r="E52" i="2"/>
  <c r="E68" i="2"/>
  <c r="E60" i="2"/>
  <c r="K28" i="2"/>
  <c r="K41" i="2"/>
  <c r="T24" i="2"/>
  <c r="AC83" i="2"/>
  <c r="AC42" i="2"/>
  <c r="N20" i="2"/>
  <c r="N30" i="2"/>
  <c r="AD17" i="2"/>
  <c r="W14" i="2"/>
  <c r="W22" i="2"/>
  <c r="Y25" i="2"/>
  <c r="F13" i="2"/>
  <c r="Q27" i="2"/>
  <c r="Q19" i="2"/>
  <c r="Q35" i="2"/>
  <c r="Q39" i="2"/>
  <c r="R9" i="2"/>
  <c r="Z20" i="2"/>
  <c r="Z17" i="2"/>
  <c r="Z21" i="2"/>
  <c r="Z18" i="2"/>
  <c r="M16" i="2"/>
  <c r="M9" i="2"/>
  <c r="M53" i="2"/>
  <c r="M15" i="2"/>
  <c r="K40" i="2"/>
  <c r="J12" i="2"/>
  <c r="G11" i="2"/>
  <c r="G14" i="2"/>
  <c r="G15" i="2"/>
  <c r="G46" i="2"/>
  <c r="S8" i="2"/>
  <c r="S50" i="2"/>
  <c r="S66" i="2"/>
  <c r="AF27" i="2"/>
  <c r="AF11" i="2"/>
  <c r="AF31" i="2"/>
  <c r="AF19" i="2"/>
  <c r="L14" i="2"/>
  <c r="AE9" i="2"/>
  <c r="AE56" i="2"/>
  <c r="AE8" i="2"/>
  <c r="AE91" i="2"/>
  <c r="AB19" i="2"/>
  <c r="D15" i="2"/>
  <c r="V16" i="2"/>
  <c r="K20" i="2"/>
  <c r="K49" i="2"/>
  <c r="K8" i="2"/>
  <c r="T27" i="2"/>
  <c r="T23" i="2"/>
  <c r="T36" i="2"/>
  <c r="T47" i="2"/>
  <c r="AC48" i="2"/>
  <c r="AC35" i="2"/>
  <c r="AC91" i="2"/>
  <c r="N31" i="2"/>
  <c r="N46" i="2"/>
  <c r="N25" i="2"/>
  <c r="N23" i="2"/>
  <c r="AD7" i="2"/>
  <c r="W55" i="2"/>
  <c r="W16" i="2"/>
  <c r="W61" i="2"/>
  <c r="W36" i="2"/>
  <c r="Y16" i="2"/>
  <c r="Y53" i="2"/>
  <c r="Y75" i="2"/>
  <c r="Y14" i="2"/>
  <c r="F9" i="2"/>
  <c r="X16" i="2"/>
  <c r="Q21" i="2"/>
  <c r="Q66" i="2"/>
  <c r="Q25" i="2"/>
  <c r="Q7" i="2"/>
  <c r="R15" i="2"/>
  <c r="Z40" i="2"/>
  <c r="Z12" i="2"/>
  <c r="Z42" i="2"/>
  <c r="Z23" i="2"/>
  <c r="M35" i="2"/>
  <c r="M14" i="2"/>
  <c r="M10" i="2"/>
  <c r="K53" i="2"/>
  <c r="K47" i="2"/>
  <c r="J16" i="2"/>
  <c r="G24" i="2"/>
  <c r="G74" i="2"/>
  <c r="G18" i="2"/>
  <c r="G13" i="2"/>
  <c r="S32" i="2"/>
  <c r="S42" i="2"/>
  <c r="S39" i="2"/>
  <c r="AF36" i="2"/>
  <c r="AF15" i="2"/>
  <c r="AF9" i="2"/>
  <c r="AF26" i="2"/>
  <c r="L34" i="2"/>
  <c r="AE62" i="2"/>
  <c r="AE83" i="2"/>
  <c r="AE13" i="2"/>
  <c r="AE39" i="2"/>
  <c r="AB7" i="2"/>
  <c r="D11" i="2"/>
  <c r="V18" i="2"/>
  <c r="Y35" i="2"/>
  <c r="Y17" i="2"/>
  <c r="Y28" i="2"/>
  <c r="F17" i="2"/>
  <c r="X10" i="2"/>
  <c r="Q58" i="2"/>
  <c r="Q13" i="2"/>
  <c r="Q60" i="2"/>
  <c r="Q11" i="2"/>
  <c r="R19" i="2"/>
  <c r="Z25" i="2"/>
  <c r="Z41" i="2"/>
  <c r="Z14" i="2"/>
  <c r="Z19" i="2"/>
  <c r="M8" i="2"/>
  <c r="M17" i="2"/>
  <c r="M12" i="2"/>
  <c r="I90" i="2"/>
  <c r="K14" i="2"/>
  <c r="J10" i="2"/>
  <c r="G8" i="2"/>
  <c r="G7" i="2"/>
  <c r="G17" i="2"/>
  <c r="S9" i="2"/>
  <c r="S14" i="2"/>
  <c r="S28" i="2"/>
  <c r="S48" i="2"/>
  <c r="AF34" i="2"/>
  <c r="AF43" i="2"/>
  <c r="AF32" i="2"/>
  <c r="AF7" i="2"/>
  <c r="L8" i="2"/>
  <c r="AE7" i="2"/>
  <c r="AE11" i="2"/>
  <c r="AE10" i="2"/>
  <c r="AE24" i="2"/>
  <c r="AB35" i="2"/>
  <c r="D13" i="2"/>
  <c r="V12" i="2"/>
  <c r="Q74" i="2"/>
  <c r="Q29" i="2"/>
  <c r="Q46" i="2"/>
  <c r="R17" i="2"/>
  <c r="R13" i="2"/>
  <c r="Z22" i="2"/>
  <c r="Z8" i="2"/>
  <c r="Z26" i="2"/>
  <c r="M63" i="2"/>
  <c r="M23" i="2"/>
  <c r="M18" i="2"/>
  <c r="M82" i="2"/>
  <c r="K12" i="2"/>
  <c r="J26" i="2"/>
  <c r="J40" i="2"/>
  <c r="G9" i="2"/>
  <c r="G68" i="2"/>
  <c r="G60" i="2"/>
  <c r="S64" i="2"/>
  <c r="S58" i="2"/>
  <c r="S83" i="2"/>
  <c r="S16" i="2"/>
  <c r="AF39" i="2"/>
  <c r="AF23" i="2"/>
  <c r="AF17" i="2"/>
  <c r="AF21" i="2"/>
  <c r="L16" i="2"/>
  <c r="AE16" i="2"/>
  <c r="AE64" i="2"/>
  <c r="AE14" i="2"/>
  <c r="AB15" i="2"/>
  <c r="AB9" i="2"/>
  <c r="D19" i="2"/>
  <c r="V40" i="2"/>
  <c r="Y10" i="2"/>
  <c r="Y11" i="2"/>
  <c r="F19" i="2"/>
  <c r="X20" i="2"/>
  <c r="X12" i="2"/>
  <c r="Q23" i="2"/>
  <c r="Q33" i="2"/>
  <c r="Q31" i="2"/>
  <c r="R7" i="2"/>
  <c r="K90" i="2"/>
  <c r="Z10" i="2"/>
  <c r="Z16" i="2"/>
  <c r="Z35" i="2"/>
  <c r="M7" i="2"/>
  <c r="M71" i="2"/>
  <c r="M21" i="2"/>
  <c r="M40" i="2"/>
  <c r="K69" i="2"/>
  <c r="J8" i="2"/>
  <c r="G12" i="2"/>
  <c r="G19" i="2"/>
  <c r="G22" i="2"/>
  <c r="G76" i="2"/>
  <c r="S7" i="2"/>
  <c r="S72" i="2"/>
  <c r="S22" i="2"/>
  <c r="S74" i="2"/>
  <c r="AF13" i="2"/>
  <c r="AF25" i="2"/>
  <c r="AF30" i="2"/>
  <c r="L12" i="2"/>
  <c r="L10" i="2"/>
  <c r="AE72" i="2"/>
  <c r="AE30" i="2"/>
  <c r="AE15" i="2"/>
  <c r="AB13" i="2"/>
  <c r="D17" i="2"/>
  <c r="D9" i="2"/>
  <c r="V22" i="2"/>
  <c r="K55" i="2"/>
  <c r="K18" i="2"/>
  <c r="T32" i="2"/>
  <c r="T15" i="2"/>
  <c r="T28" i="2"/>
  <c r="T9" i="2"/>
  <c r="AC29" i="2"/>
  <c r="AC64" i="2"/>
  <c r="AC21" i="2"/>
  <c r="AC19" i="2"/>
  <c r="N29" i="2"/>
  <c r="N33" i="2"/>
  <c r="N8" i="2"/>
  <c r="M90" i="2"/>
  <c r="AD9" i="2"/>
  <c r="W75" i="2"/>
  <c r="W18" i="2"/>
  <c r="W53" i="2"/>
  <c r="Y8" i="2"/>
  <c r="Y7" i="2"/>
  <c r="Y59" i="2"/>
  <c r="Y15" i="2"/>
  <c r="F15" i="2"/>
  <c r="X18" i="2"/>
  <c r="Q15" i="2"/>
  <c r="Q50" i="2"/>
  <c r="Q17" i="2"/>
  <c r="Q9" i="2"/>
  <c r="R11" i="2"/>
  <c r="Z24" i="2"/>
  <c r="Z29" i="2"/>
  <c r="Z31" i="2"/>
  <c r="Z33" i="2"/>
  <c r="M31" i="2"/>
  <c r="M47" i="2"/>
  <c r="M11" i="2"/>
  <c r="M55" i="2"/>
  <c r="K61" i="2"/>
  <c r="J14" i="2"/>
  <c r="G52" i="2"/>
  <c r="G36" i="2"/>
  <c r="G26" i="2"/>
  <c r="G28" i="2"/>
  <c r="S13" i="2"/>
  <c r="S18" i="2"/>
  <c r="S26" i="2"/>
  <c r="S56" i="2"/>
  <c r="AF28" i="2"/>
  <c r="AF22" i="2"/>
  <c r="AF20" i="2"/>
  <c r="L24" i="2"/>
  <c r="AE48" i="2"/>
  <c r="AE20" i="2"/>
  <c r="AE70" i="2"/>
  <c r="AE34" i="2"/>
  <c r="AB11" i="2"/>
  <c r="D7" i="2"/>
  <c r="V10" i="2"/>
  <c r="V8" i="2"/>
  <c r="AF66" i="2"/>
  <c r="O47" i="2"/>
  <c r="X35" i="2"/>
  <c r="I87" i="2"/>
  <c r="P91" i="2"/>
  <c r="O65" i="2"/>
  <c r="AB60" i="2"/>
  <c r="I58" i="2"/>
  <c r="L90" i="2"/>
  <c r="O55" i="2"/>
  <c r="X61" i="2"/>
  <c r="T35" i="2"/>
  <c r="V35" i="2"/>
  <c r="AB48" i="2"/>
  <c r="J45" i="2"/>
  <c r="I85" i="2"/>
  <c r="U85" i="2"/>
  <c r="P63" i="2"/>
  <c r="AA55" i="2"/>
  <c r="I83" i="2"/>
  <c r="AF45" i="2"/>
  <c r="H39" i="2"/>
  <c r="Z34" i="2"/>
  <c r="O73" i="2"/>
  <c r="R36" i="2"/>
  <c r="L59" i="2"/>
  <c r="AD66" i="2"/>
  <c r="P41" i="2"/>
  <c r="V53" i="2"/>
  <c r="AB64" i="2"/>
  <c r="Y57" i="2"/>
  <c r="J27" i="2"/>
  <c r="C53" i="2"/>
  <c r="C57" i="2"/>
  <c r="U62" i="2"/>
  <c r="U68" i="2"/>
  <c r="H54" i="2"/>
  <c r="Z65" i="2"/>
  <c r="O43" i="2"/>
  <c r="R56" i="2"/>
  <c r="L82" i="2"/>
  <c r="X47" i="2"/>
  <c r="AD72" i="2"/>
  <c r="P42" i="2"/>
  <c r="V51" i="2"/>
  <c r="AB72" i="2"/>
  <c r="Y82" i="2"/>
  <c r="Z61" i="2"/>
  <c r="D44" i="2"/>
  <c r="AA82" i="2"/>
  <c r="AF62" i="2"/>
  <c r="R70" i="2"/>
  <c r="J49" i="2"/>
  <c r="AA61" i="2"/>
  <c r="U74" i="2"/>
  <c r="R58" i="2"/>
  <c r="N90" i="2"/>
  <c r="P59" i="2"/>
  <c r="AA84" i="2"/>
  <c r="I56" i="2"/>
  <c r="AF58" i="2"/>
  <c r="H68" i="2"/>
  <c r="H48" i="2"/>
  <c r="Z45" i="2"/>
  <c r="O53" i="2"/>
  <c r="R64" i="2"/>
  <c r="R66" i="2"/>
  <c r="X51" i="2"/>
  <c r="AD48" i="2"/>
  <c r="P48" i="2"/>
  <c r="V65" i="2"/>
  <c r="AB50" i="2"/>
  <c r="Y30" i="2"/>
  <c r="AA45" i="2"/>
  <c r="AA49" i="2"/>
  <c r="C19" i="2"/>
  <c r="C73" i="2"/>
  <c r="AF47" i="2"/>
  <c r="U64" i="2"/>
  <c r="H64" i="2"/>
  <c r="Z32" i="2"/>
  <c r="O71" i="2"/>
  <c r="L73" i="2"/>
  <c r="L45" i="2"/>
  <c r="X41" i="2"/>
  <c r="AD58" i="2"/>
  <c r="P34" i="2"/>
  <c r="V45" i="2"/>
  <c r="AB36" i="2"/>
  <c r="Y43" i="2"/>
  <c r="R50" i="2"/>
  <c r="J51" i="2"/>
  <c r="P53" i="2"/>
  <c r="Z47" i="2"/>
  <c r="D42" i="2"/>
  <c r="C82" i="2"/>
  <c r="AF72" i="2"/>
  <c r="Z43" i="2"/>
  <c r="I89" i="2"/>
  <c r="U81" i="2"/>
  <c r="P82" i="2"/>
  <c r="AA53" i="2"/>
  <c r="I70" i="2"/>
  <c r="O88" i="2"/>
  <c r="O90" i="2"/>
  <c r="P65" i="2"/>
  <c r="P43" i="2"/>
  <c r="P57" i="2"/>
  <c r="C63" i="2"/>
  <c r="I62" i="2"/>
  <c r="U91" i="2"/>
  <c r="U54" i="2"/>
  <c r="H44" i="2"/>
  <c r="Z51" i="2"/>
  <c r="O86" i="2"/>
  <c r="L67" i="2"/>
  <c r="R72" i="2"/>
  <c r="X55" i="2"/>
  <c r="AD76" i="2"/>
  <c r="P66" i="2"/>
  <c r="V49" i="2"/>
  <c r="D34" i="2"/>
  <c r="Y45" i="2"/>
  <c r="AA51" i="2"/>
  <c r="AA69" i="2"/>
  <c r="I64" i="2"/>
  <c r="AF33" i="2"/>
  <c r="AF41" i="2"/>
  <c r="H60" i="2"/>
  <c r="Z57" i="2"/>
  <c r="O82" i="2"/>
  <c r="L71" i="2"/>
  <c r="L43" i="2"/>
  <c r="X49" i="2"/>
  <c r="T72" i="2"/>
  <c r="P76" i="2"/>
  <c r="V73" i="2"/>
  <c r="D62" i="2"/>
  <c r="Y47" i="2"/>
  <c r="AF50" i="2"/>
  <c r="P74" i="2"/>
  <c r="U89" i="2"/>
  <c r="I68" i="2"/>
  <c r="U42" i="2"/>
  <c r="AD46" i="2"/>
  <c r="O92" i="2"/>
  <c r="Z90" i="2"/>
  <c r="P86" i="2"/>
  <c r="P51" i="2"/>
  <c r="P49" i="2"/>
  <c r="AA43" i="2"/>
  <c r="AA67" i="2"/>
  <c r="C41" i="2"/>
  <c r="C55" i="2"/>
  <c r="U50" i="2"/>
  <c r="U56" i="2"/>
  <c r="H47" i="2"/>
  <c r="Z28" i="2"/>
  <c r="O51" i="2"/>
  <c r="R83" i="2"/>
  <c r="R76" i="2"/>
  <c r="X73" i="2"/>
  <c r="T54" i="2"/>
  <c r="P60" i="2"/>
  <c r="AB62" i="2"/>
  <c r="D70" i="2"/>
  <c r="J75" i="2"/>
  <c r="R44" i="2"/>
  <c r="I74" i="2"/>
  <c r="H66" i="2"/>
  <c r="T64" i="2"/>
  <c r="O87" i="2"/>
  <c r="AA15" i="2"/>
  <c r="U44" i="2"/>
  <c r="L75" i="2"/>
  <c r="T43" i="2"/>
  <c r="AA75" i="2"/>
  <c r="AA63" i="2"/>
  <c r="I44" i="2"/>
  <c r="I42" i="2"/>
  <c r="AF54" i="2"/>
  <c r="U58" i="2"/>
  <c r="U66" i="2"/>
  <c r="H62" i="2"/>
  <c r="Z49" i="2"/>
  <c r="V90" i="2"/>
  <c r="O61" i="2"/>
  <c r="L61" i="2"/>
  <c r="L63" i="2"/>
  <c r="AD68" i="2"/>
  <c r="T58" i="2"/>
  <c r="V67" i="2"/>
  <c r="AB46" i="2"/>
  <c r="D54" i="2"/>
  <c r="J73" i="2"/>
  <c r="I81" i="2"/>
  <c r="O80" i="2"/>
  <c r="U92" i="2"/>
  <c r="P47" i="2"/>
  <c r="P83" i="2"/>
  <c r="C67" i="2"/>
  <c r="C69" i="2"/>
  <c r="I54" i="2"/>
  <c r="AF68" i="2"/>
  <c r="AF29" i="2"/>
  <c r="H27" i="2"/>
  <c r="Z71" i="2"/>
  <c r="O49" i="2"/>
  <c r="O63" i="2"/>
  <c r="R52" i="2"/>
  <c r="L33" i="2"/>
  <c r="AD54" i="2"/>
  <c r="T52" i="2"/>
  <c r="V63" i="2"/>
  <c r="AB76" i="2"/>
  <c r="D30" i="2"/>
  <c r="J67" i="2"/>
  <c r="H58" i="2"/>
  <c r="AB74" i="2"/>
  <c r="P69" i="2"/>
  <c r="C45" i="2"/>
  <c r="H43" i="2"/>
  <c r="V43" i="2"/>
  <c r="C75" i="2"/>
  <c r="R91" i="2"/>
  <c r="AD50" i="2"/>
  <c r="Y67" i="2"/>
  <c r="O85" i="2"/>
  <c r="P45" i="2"/>
  <c r="AA47" i="2"/>
  <c r="I48" i="2"/>
  <c r="X71" i="2"/>
  <c r="X90" i="2"/>
  <c r="I52" i="2"/>
  <c r="I91" i="2"/>
  <c r="AF48" i="2"/>
  <c r="U40" i="2"/>
  <c r="H46" i="2"/>
  <c r="Z30" i="2"/>
  <c r="O67" i="2"/>
  <c r="L35" i="2"/>
  <c r="L49" i="2"/>
  <c r="AD44" i="2"/>
  <c r="T33" i="2"/>
  <c r="V61" i="2"/>
  <c r="D48" i="2"/>
  <c r="Y32" i="2"/>
  <c r="C59" i="2"/>
  <c r="I41" i="2"/>
  <c r="U72" i="2"/>
  <c r="Z59" i="2"/>
  <c r="O84" i="2"/>
  <c r="R34" i="2"/>
  <c r="X57" i="2"/>
  <c r="AD91" i="2"/>
  <c r="T56" i="2"/>
  <c r="AB34" i="2"/>
  <c r="D76" i="2"/>
  <c r="Y40" i="2"/>
  <c r="I92" i="2"/>
  <c r="O81" i="2"/>
  <c r="U80" i="2"/>
  <c r="P67" i="2"/>
  <c r="AA73" i="2"/>
  <c r="AA86" i="2"/>
  <c r="C71" i="2"/>
  <c r="I50" i="2"/>
  <c r="AF40" i="2"/>
  <c r="AF44" i="2"/>
  <c r="U70" i="2"/>
  <c r="H56" i="2"/>
  <c r="Z44" i="2"/>
  <c r="O57" i="2"/>
  <c r="L55" i="2"/>
  <c r="X53" i="2"/>
  <c r="T60" i="2"/>
  <c r="P36" i="2"/>
  <c r="AB42" i="2"/>
  <c r="D28" i="2"/>
  <c r="Y65" i="2"/>
  <c r="J59" i="2"/>
  <c r="C61" i="2"/>
  <c r="C86" i="2"/>
  <c r="I76" i="2"/>
  <c r="AF35" i="2"/>
  <c r="U48" i="2"/>
  <c r="U52" i="2"/>
  <c r="H42" i="2"/>
  <c r="Z63" i="2"/>
  <c r="Z53" i="2"/>
  <c r="O69" i="2"/>
  <c r="O75" i="2"/>
  <c r="R74" i="2"/>
  <c r="R60" i="2"/>
  <c r="L39" i="2"/>
  <c r="X63" i="2"/>
  <c r="AD36" i="2"/>
  <c r="T68" i="2"/>
  <c r="T40" i="2"/>
  <c r="P58" i="2"/>
  <c r="V41" i="2"/>
  <c r="AB32" i="2"/>
  <c r="D66" i="2"/>
  <c r="Y51" i="2"/>
  <c r="Y22" i="2"/>
  <c r="C51" i="2"/>
  <c r="C47" i="2"/>
  <c r="I46" i="2"/>
  <c r="AF42" i="2"/>
  <c r="U83" i="2"/>
  <c r="H35" i="2"/>
  <c r="H52" i="2"/>
  <c r="Z67" i="2"/>
  <c r="O45" i="2"/>
  <c r="R48" i="2"/>
  <c r="X82" i="2"/>
  <c r="AD64" i="2"/>
  <c r="P54" i="2"/>
  <c r="AB66" i="2"/>
  <c r="D68" i="2"/>
  <c r="J69" i="2"/>
  <c r="AA59" i="2"/>
  <c r="C43" i="2"/>
  <c r="AF52" i="2"/>
  <c r="U12" i="2"/>
  <c r="Z55" i="2"/>
  <c r="O27" i="2"/>
  <c r="R42" i="2"/>
  <c r="L51" i="2"/>
  <c r="T41" i="2"/>
  <c r="P72" i="2"/>
  <c r="V59" i="2"/>
  <c r="D56" i="2"/>
  <c r="J47" i="2"/>
  <c r="I88" i="2"/>
  <c r="U87" i="2"/>
  <c r="P61" i="2"/>
  <c r="P84" i="2"/>
  <c r="AA71" i="2"/>
  <c r="C65" i="2"/>
  <c r="I72" i="2"/>
  <c r="I66" i="2"/>
  <c r="AF46" i="2"/>
  <c r="U46" i="2"/>
  <c r="H70" i="2"/>
  <c r="H40" i="2"/>
  <c r="Z69" i="2"/>
  <c r="O59" i="2"/>
  <c r="L65" i="2"/>
  <c r="L84" i="2"/>
  <c r="AD42" i="2"/>
  <c r="T62" i="2"/>
  <c r="V71" i="2"/>
  <c r="Y41" i="2"/>
  <c r="I80" i="2"/>
  <c r="C90" i="2"/>
  <c r="O89" i="2"/>
  <c r="U88" i="2"/>
  <c r="P73" i="2"/>
  <c r="P75" i="2"/>
  <c r="P55" i="2"/>
  <c r="P71" i="2"/>
  <c r="AA65" i="2"/>
  <c r="AA33" i="2"/>
  <c r="AA57" i="2"/>
  <c r="C84" i="2"/>
  <c r="C49" i="2"/>
  <c r="I30" i="2"/>
  <c r="I60" i="2"/>
  <c r="AF64" i="2"/>
  <c r="AF56" i="2"/>
  <c r="AF60" i="2"/>
  <c r="U76" i="2"/>
  <c r="U60" i="2"/>
  <c r="J90" i="2"/>
  <c r="H50" i="2"/>
  <c r="H33" i="2"/>
  <c r="Z36" i="2"/>
  <c r="Z46" i="2"/>
  <c r="O39" i="2"/>
  <c r="R54" i="2"/>
  <c r="L47" i="2"/>
  <c r="L69" i="2"/>
  <c r="L53" i="2"/>
  <c r="X75" i="2"/>
  <c r="AD74" i="2"/>
  <c r="T42" i="2"/>
  <c r="P62" i="2"/>
  <c r="P46" i="2"/>
  <c r="V29" i="2"/>
  <c r="AB56" i="2"/>
  <c r="D60" i="2"/>
  <c r="Y26" i="2"/>
  <c r="Y39" i="2"/>
  <c r="J65" i="2"/>
  <c r="G21" i="2"/>
  <c r="G23" i="2"/>
  <c r="G72" i="2"/>
  <c r="R40" i="2"/>
  <c r="R27" i="2"/>
  <c r="R10" i="2"/>
  <c r="R16" i="2"/>
  <c r="AE44" i="2"/>
  <c r="AE60" i="2"/>
  <c r="AE74" i="2"/>
  <c r="AE54" i="2"/>
  <c r="L36" i="2"/>
  <c r="L25" i="2"/>
  <c r="L26" i="2"/>
  <c r="J39" i="2"/>
  <c r="J55" i="2"/>
  <c r="G62" i="2"/>
  <c r="G27" i="2"/>
  <c r="G44" i="2"/>
  <c r="R18" i="2"/>
  <c r="R32" i="2"/>
  <c r="R21" i="2"/>
  <c r="R33" i="2"/>
  <c r="AE41" i="2"/>
  <c r="AE23" i="2"/>
  <c r="AE40" i="2"/>
  <c r="AE27" i="2"/>
  <c r="L23" i="2"/>
  <c r="L28" i="2"/>
  <c r="L31" i="2"/>
  <c r="R68" i="2"/>
  <c r="R46" i="2"/>
  <c r="X67" i="2"/>
  <c r="X65" i="2"/>
  <c r="X45" i="2"/>
  <c r="X43" i="2"/>
  <c r="AD56" i="2"/>
  <c r="AD60" i="2"/>
  <c r="AD34" i="2"/>
  <c r="AD70" i="2"/>
  <c r="T31" i="2"/>
  <c r="T46" i="2"/>
  <c r="T50" i="2"/>
  <c r="P70" i="2"/>
  <c r="P52" i="2"/>
  <c r="P56" i="2"/>
  <c r="P68" i="2"/>
  <c r="V82" i="2"/>
  <c r="V33" i="2"/>
  <c r="V47" i="2"/>
  <c r="V55" i="2"/>
  <c r="AB70" i="2"/>
  <c r="AB28" i="2"/>
  <c r="AB52" i="2"/>
  <c r="D72" i="2"/>
  <c r="D64" i="2"/>
  <c r="D50" i="2"/>
  <c r="D74" i="2"/>
  <c r="Y34" i="2"/>
  <c r="Y86" i="2"/>
  <c r="Y71" i="2"/>
  <c r="Y49" i="2"/>
  <c r="J35" i="2"/>
  <c r="J57" i="2"/>
  <c r="J53" i="2"/>
  <c r="G70" i="2"/>
  <c r="G48" i="2"/>
  <c r="G64" i="2"/>
  <c r="G56" i="2"/>
  <c r="R24" i="2"/>
  <c r="R31" i="2"/>
  <c r="R23" i="2"/>
  <c r="R20" i="2"/>
  <c r="AE35" i="2"/>
  <c r="AE17" i="2"/>
  <c r="AE19" i="2"/>
  <c r="L11" i="2"/>
  <c r="L21" i="2"/>
  <c r="L22" i="2"/>
  <c r="L15" i="2"/>
  <c r="G31" i="2"/>
  <c r="G33" i="2"/>
  <c r="G50" i="2"/>
  <c r="G39" i="2"/>
  <c r="R12" i="2"/>
  <c r="R30" i="2"/>
  <c r="R8" i="2"/>
  <c r="R22" i="2"/>
  <c r="AE29" i="2"/>
  <c r="AE46" i="2"/>
  <c r="AE66" i="2"/>
  <c r="L7" i="2"/>
  <c r="L9" i="2"/>
  <c r="L17" i="2"/>
  <c r="L19" i="2"/>
  <c r="J31" i="2"/>
  <c r="J43" i="2"/>
  <c r="G42" i="2"/>
  <c r="G29" i="2"/>
  <c r="G58" i="2"/>
  <c r="G35" i="2"/>
  <c r="R25" i="2"/>
  <c r="R35" i="2"/>
  <c r="R26" i="2"/>
  <c r="AE33" i="2"/>
  <c r="AE31" i="2"/>
  <c r="AE50" i="2"/>
  <c r="AE25" i="2"/>
  <c r="L27" i="2"/>
  <c r="L18" i="2"/>
  <c r="L30" i="2"/>
  <c r="L32" i="2"/>
  <c r="R62" i="2"/>
  <c r="L57" i="2"/>
  <c r="X59" i="2"/>
  <c r="X69" i="2"/>
  <c r="X84" i="2"/>
  <c r="X33" i="2"/>
  <c r="AD62" i="2"/>
  <c r="AD83" i="2"/>
  <c r="AD52" i="2"/>
  <c r="T44" i="2"/>
  <c r="T66" i="2"/>
  <c r="T48" i="2"/>
  <c r="T45" i="2"/>
  <c r="P30" i="2"/>
  <c r="P44" i="2"/>
  <c r="P64" i="2"/>
  <c r="P50" i="2"/>
  <c r="V75" i="2"/>
  <c r="V57" i="2"/>
  <c r="V69" i="2"/>
  <c r="AB54" i="2"/>
  <c r="AB68" i="2"/>
  <c r="AB44" i="2"/>
  <c r="AB58" i="2"/>
  <c r="D52" i="2"/>
  <c r="D41" i="2"/>
  <c r="D58" i="2"/>
  <c r="D46" i="2"/>
  <c r="Y55" i="2"/>
  <c r="Y36" i="2"/>
  <c r="Y63" i="2"/>
  <c r="J63" i="2"/>
  <c r="J82" i="2"/>
  <c r="J61" i="2"/>
  <c r="J71" i="2"/>
  <c r="G40" i="2"/>
  <c r="G54" i="2"/>
  <c r="G66" i="2"/>
  <c r="G25" i="2"/>
  <c r="R28" i="2"/>
  <c r="R29" i="2"/>
  <c r="R14" i="2"/>
  <c r="AE52" i="2"/>
  <c r="AE58" i="2"/>
  <c r="AE21" i="2"/>
  <c r="AE42" i="2"/>
  <c r="L29" i="2"/>
  <c r="L13" i="2"/>
  <c r="L20" i="2"/>
  <c r="L41" i="2"/>
  <c r="F71" i="2"/>
  <c r="F82" i="2"/>
  <c r="W68" i="2"/>
  <c r="L56" i="2"/>
  <c r="Q87" i="2"/>
  <c r="W48" i="2"/>
  <c r="Q85" i="2"/>
  <c r="E43" i="2"/>
  <c r="W58" i="2"/>
  <c r="AD43" i="2"/>
  <c r="K88" i="2"/>
  <c r="L60" i="2"/>
  <c r="AD61" i="2"/>
  <c r="AD75" i="2"/>
  <c r="W66" i="2"/>
  <c r="AD59" i="2"/>
  <c r="P85" i="2"/>
  <c r="AD63" i="2"/>
  <c r="W73" i="2"/>
  <c r="AD57" i="2"/>
  <c r="K85" i="2"/>
  <c r="W46" i="2"/>
  <c r="W62" i="2"/>
  <c r="AC92" i="2"/>
  <c r="F69" i="2"/>
  <c r="AC88" i="2"/>
  <c r="AC81" i="2"/>
  <c r="F55" i="2"/>
  <c r="W56" i="2"/>
  <c r="W60" i="2"/>
  <c r="F67" i="2"/>
  <c r="L52" i="2"/>
  <c r="F53" i="2"/>
  <c r="F91" i="2"/>
  <c r="L91" i="2"/>
  <c r="W64" i="2"/>
  <c r="AD69" i="2"/>
  <c r="L64" i="2"/>
  <c r="Q80" i="2"/>
  <c r="AD53" i="2"/>
  <c r="AD65" i="2"/>
  <c r="F45" i="2"/>
  <c r="Q89" i="2"/>
  <c r="L44" i="2"/>
  <c r="L72" i="2"/>
  <c r="E57" i="2"/>
  <c r="V92" i="2"/>
  <c r="AB80" i="2"/>
  <c r="AC82" i="2"/>
  <c r="D90" i="2"/>
  <c r="R53" i="2"/>
  <c r="Q61" i="2"/>
  <c r="K60" i="2"/>
  <c r="K64" i="2"/>
  <c r="J64" i="2"/>
  <c r="V72" i="2"/>
  <c r="AC90" i="2"/>
  <c r="W50" i="2"/>
  <c r="AD51" i="2"/>
  <c r="AD49" i="2"/>
  <c r="F86" i="2"/>
  <c r="F41" i="2"/>
  <c r="F43" i="2"/>
  <c r="K92" i="2"/>
  <c r="L48" i="2"/>
  <c r="L40" i="2"/>
  <c r="L54" i="2"/>
  <c r="E53" i="2"/>
  <c r="E45" i="2"/>
  <c r="V89" i="2"/>
  <c r="AC75" i="2"/>
  <c r="AC86" i="2"/>
  <c r="J89" i="2"/>
  <c r="R61" i="2"/>
  <c r="Q82" i="2"/>
  <c r="AC41" i="2"/>
  <c r="R82" i="2"/>
  <c r="Q47" i="2"/>
  <c r="K42" i="2"/>
  <c r="K58" i="2"/>
  <c r="J56" i="2"/>
  <c r="J42" i="2"/>
  <c r="J76" i="2"/>
  <c r="V56" i="2"/>
  <c r="V62" i="2"/>
  <c r="V83" i="2"/>
  <c r="V46" i="2"/>
  <c r="D65" i="2"/>
  <c r="D83" i="2"/>
  <c r="D86" i="2"/>
  <c r="AB43" i="2"/>
  <c r="AB67" i="2"/>
  <c r="AB49" i="2"/>
  <c r="AB65" i="2"/>
  <c r="AA92" i="2"/>
  <c r="C81" i="2"/>
  <c r="D92" i="2"/>
  <c r="AC73" i="2"/>
  <c r="Q69" i="2"/>
  <c r="K76" i="2"/>
  <c r="J91" i="2"/>
  <c r="R39" i="2"/>
  <c r="W54" i="2"/>
  <c r="F73" i="2"/>
  <c r="L76" i="2"/>
  <c r="P89" i="2"/>
  <c r="E41" i="2"/>
  <c r="AB89" i="2"/>
  <c r="AC43" i="2"/>
  <c r="R71" i="2"/>
  <c r="Q65" i="2"/>
  <c r="K50" i="2"/>
  <c r="J62" i="2"/>
  <c r="J68" i="2"/>
  <c r="V84" i="2"/>
  <c r="D55" i="2"/>
  <c r="AB71" i="2"/>
  <c r="AB59" i="2"/>
  <c r="C85" i="2"/>
  <c r="E67" i="2"/>
  <c r="AB92" i="2"/>
  <c r="AC51" i="2"/>
  <c r="Q53" i="2"/>
  <c r="W72" i="2"/>
  <c r="AD84" i="2"/>
  <c r="AD67" i="2"/>
  <c r="F59" i="2"/>
  <c r="K89" i="2"/>
  <c r="AC80" i="2"/>
  <c r="L74" i="2"/>
  <c r="E55" i="2"/>
  <c r="E51" i="2"/>
  <c r="D81" i="2"/>
  <c r="V88" i="2"/>
  <c r="AC45" i="2"/>
  <c r="AC68" i="2"/>
  <c r="AC63" i="2"/>
  <c r="J80" i="2"/>
  <c r="R73" i="2"/>
  <c r="R51" i="2"/>
  <c r="R43" i="2"/>
  <c r="Q84" i="2"/>
  <c r="Q55" i="2"/>
  <c r="K44" i="2"/>
  <c r="K72" i="2"/>
  <c r="K46" i="2"/>
  <c r="J50" i="2"/>
  <c r="J86" i="2"/>
  <c r="V91" i="2"/>
  <c r="V48" i="2"/>
  <c r="D61" i="2"/>
  <c r="D84" i="2"/>
  <c r="D45" i="2"/>
  <c r="AB57" i="2"/>
  <c r="AB86" i="2"/>
  <c r="AA87" i="2"/>
  <c r="E69" i="2"/>
  <c r="E75" i="2"/>
  <c r="V80" i="2"/>
  <c r="AC49" i="2"/>
  <c r="J88" i="2"/>
  <c r="R84" i="2"/>
  <c r="Q57" i="2"/>
  <c r="W91" i="2"/>
  <c r="AD45" i="2"/>
  <c r="AD55" i="2"/>
  <c r="Q81" i="2"/>
  <c r="K80" i="2"/>
  <c r="L68" i="2"/>
  <c r="E59" i="2"/>
  <c r="W83" i="2"/>
  <c r="W84" i="2"/>
  <c r="AD39" i="2"/>
  <c r="AD86" i="2"/>
  <c r="F63" i="2"/>
  <c r="F49" i="2"/>
  <c r="F51" i="2"/>
  <c r="Q92" i="2"/>
  <c r="E90" i="2"/>
  <c r="AC89" i="2"/>
  <c r="L58" i="2"/>
  <c r="L83" i="2"/>
  <c r="P87" i="2"/>
  <c r="P88" i="2"/>
  <c r="E73" i="2"/>
  <c r="E86" i="2"/>
  <c r="E61" i="2"/>
  <c r="D89" i="2"/>
  <c r="V85" i="2"/>
  <c r="AB88" i="2"/>
  <c r="AC61" i="2"/>
  <c r="AC55" i="2"/>
  <c r="AC57" i="2"/>
  <c r="AC67" i="2"/>
  <c r="J92" i="2"/>
  <c r="R69" i="2"/>
  <c r="R45" i="2"/>
  <c r="R59" i="2"/>
  <c r="R47" i="2"/>
  <c r="Q62" i="2"/>
  <c r="Q75" i="2"/>
  <c r="Q63" i="2"/>
  <c r="K48" i="2"/>
  <c r="K52" i="2"/>
  <c r="K83" i="2"/>
  <c r="K68" i="2"/>
  <c r="J84" i="2"/>
  <c r="J60" i="2"/>
  <c r="J46" i="2"/>
  <c r="J58" i="2"/>
  <c r="V50" i="2"/>
  <c r="V68" i="2"/>
  <c r="V66" i="2"/>
  <c r="D49" i="2"/>
  <c r="D75" i="2"/>
  <c r="D47" i="2"/>
  <c r="D69" i="2"/>
  <c r="AB82" i="2"/>
  <c r="AB51" i="2"/>
  <c r="AB47" i="2"/>
  <c r="AB83" i="2"/>
  <c r="AA88" i="2"/>
  <c r="C89" i="2"/>
  <c r="R67" i="2"/>
  <c r="W42" i="2"/>
  <c r="F75" i="2"/>
  <c r="L86" i="2"/>
  <c r="W44" i="2"/>
  <c r="W74" i="2"/>
  <c r="AD41" i="2"/>
  <c r="F61" i="2"/>
  <c r="K87" i="2"/>
  <c r="L46" i="2"/>
  <c r="D88" i="2"/>
  <c r="L62" i="2"/>
  <c r="P92" i="2"/>
  <c r="E49" i="2"/>
  <c r="E71" i="2"/>
  <c r="V87" i="2"/>
  <c r="AB85" i="2"/>
  <c r="AC47" i="2"/>
  <c r="AC71" i="2"/>
  <c r="J85" i="2"/>
  <c r="J81" i="2"/>
  <c r="R75" i="2"/>
  <c r="R55" i="2"/>
  <c r="Q51" i="2"/>
  <c r="Q43" i="2"/>
  <c r="Q41" i="2"/>
  <c r="Q86" i="2"/>
  <c r="K62" i="2"/>
  <c r="K66" i="2"/>
  <c r="K91" i="2"/>
  <c r="K70" i="2"/>
  <c r="J72" i="2"/>
  <c r="J48" i="2"/>
  <c r="J66" i="2"/>
  <c r="V54" i="2"/>
  <c r="V76" i="2"/>
  <c r="V70" i="2"/>
  <c r="V64" i="2"/>
  <c r="D67" i="2"/>
  <c r="D71" i="2"/>
  <c r="D43" i="2"/>
  <c r="D63" i="2"/>
  <c r="AB73" i="2"/>
  <c r="AB75" i="2"/>
  <c r="AB53" i="2"/>
  <c r="AA90" i="2"/>
  <c r="AA81" i="2"/>
  <c r="C88" i="2"/>
  <c r="L42" i="2"/>
  <c r="P90" i="2"/>
  <c r="E84" i="2"/>
  <c r="D85" i="2"/>
  <c r="V81" i="2"/>
  <c r="AC84" i="2"/>
  <c r="R63" i="2"/>
  <c r="F65" i="2"/>
  <c r="L66" i="2"/>
  <c r="D87" i="2"/>
  <c r="AC59" i="2"/>
  <c r="Q67" i="2"/>
  <c r="K86" i="2"/>
  <c r="J74" i="2"/>
  <c r="V44" i="2"/>
  <c r="D57" i="2"/>
  <c r="D51" i="2"/>
  <c r="D73" i="2"/>
  <c r="D59" i="2"/>
  <c r="AB45" i="2"/>
  <c r="AB84" i="2"/>
  <c r="AB55" i="2"/>
  <c r="AA89" i="2"/>
  <c r="AA85" i="2"/>
  <c r="C80" i="2"/>
  <c r="AD82" i="2"/>
  <c r="AC85" i="2"/>
  <c r="E63" i="2"/>
  <c r="R86" i="2"/>
  <c r="V86" i="2"/>
  <c r="W70" i="2"/>
  <c r="AD71" i="2"/>
  <c r="F57" i="2"/>
  <c r="F47" i="2"/>
  <c r="K81" i="2"/>
  <c r="L50" i="2"/>
  <c r="P80" i="2"/>
  <c r="E82" i="2"/>
  <c r="E65" i="2"/>
  <c r="AB81" i="2"/>
  <c r="AC65" i="2"/>
  <c r="J87" i="2"/>
  <c r="R57" i="2"/>
  <c r="Q71" i="2"/>
  <c r="Q45" i="2"/>
  <c r="K67" i="2"/>
  <c r="J44" i="2"/>
  <c r="V52" i="2"/>
  <c r="W52" i="2"/>
  <c r="W76" i="2"/>
  <c r="AD73" i="2"/>
  <c r="AD47" i="2"/>
  <c r="F84" i="2"/>
  <c r="Q88" i="2"/>
  <c r="AC87" i="2"/>
  <c r="L70" i="2"/>
  <c r="P81" i="2"/>
  <c r="E91" i="2"/>
  <c r="E47" i="2"/>
  <c r="D80" i="2"/>
  <c r="AB87" i="2"/>
  <c r="AC53" i="2"/>
  <c r="AC69" i="2"/>
  <c r="R41" i="2"/>
  <c r="R49" i="2"/>
  <c r="R65" i="2"/>
  <c r="Q73" i="2"/>
  <c r="Q59" i="2"/>
  <c r="Q49" i="2"/>
  <c r="K54" i="2"/>
  <c r="K56" i="2"/>
  <c r="K74" i="2"/>
  <c r="J83" i="2"/>
  <c r="J70" i="2"/>
  <c r="J54" i="2"/>
  <c r="J52" i="2"/>
  <c r="V74" i="2"/>
  <c r="V42" i="2"/>
  <c r="V58" i="2"/>
  <c r="V60" i="2"/>
  <c r="D82" i="2"/>
  <c r="D91" i="2"/>
  <c r="D53" i="2"/>
  <c r="AB61" i="2"/>
  <c r="AB63" i="2"/>
  <c r="AB69" i="2"/>
  <c r="AB91" i="2"/>
  <c r="AA80" i="2"/>
  <c r="C92" i="2"/>
  <c r="C87" i="2"/>
  <c r="X42" i="2"/>
  <c r="X44" i="2"/>
  <c r="S71" i="2"/>
  <c r="S86" i="2"/>
  <c r="G86" i="2"/>
  <c r="H73" i="2"/>
  <c r="X56" i="2"/>
  <c r="S62" i="2"/>
  <c r="G51" i="2"/>
  <c r="H72" i="2"/>
  <c r="H55" i="2"/>
  <c r="H67" i="2"/>
  <c r="Z60" i="2"/>
  <c r="Z50" i="2"/>
  <c r="AE82" i="2"/>
  <c r="N66" i="2"/>
  <c r="H71" i="2"/>
  <c r="H59" i="2"/>
  <c r="X46" i="2"/>
  <c r="S73" i="2"/>
  <c r="S53" i="2"/>
  <c r="G53" i="2"/>
  <c r="G75" i="2"/>
  <c r="Z56" i="2"/>
  <c r="AE59" i="2"/>
  <c r="AE61" i="2"/>
  <c r="N56" i="2"/>
  <c r="N62" i="2"/>
  <c r="F92" i="2"/>
  <c r="E88" i="2"/>
  <c r="W85" i="2"/>
  <c r="H57" i="2"/>
  <c r="H65" i="2"/>
  <c r="X70" i="2"/>
  <c r="X62" i="2"/>
  <c r="S69" i="2"/>
  <c r="S49" i="2"/>
  <c r="S84" i="2"/>
  <c r="G45" i="2"/>
  <c r="G83" i="2"/>
  <c r="Z54" i="2"/>
  <c r="Z58" i="2"/>
  <c r="AE51" i="2"/>
  <c r="AE84" i="2"/>
  <c r="N75" i="2"/>
  <c r="S45" i="2"/>
  <c r="AE67" i="2"/>
  <c r="W89" i="2"/>
  <c r="H69" i="2"/>
  <c r="S59" i="2"/>
  <c r="AE63" i="2"/>
  <c r="S43" i="2"/>
  <c r="H82" i="2"/>
  <c r="X76" i="2"/>
  <c r="X52" i="2"/>
  <c r="S65" i="2"/>
  <c r="G49" i="2"/>
  <c r="G84" i="2"/>
  <c r="Z83" i="2"/>
  <c r="AE45" i="2"/>
  <c r="N83" i="2"/>
  <c r="N58" i="2"/>
  <c r="Q90" i="2"/>
  <c r="L80" i="2"/>
  <c r="H86" i="2"/>
  <c r="H91" i="2"/>
  <c r="X48" i="2"/>
  <c r="X60" i="2"/>
  <c r="X68" i="2"/>
  <c r="S67" i="2"/>
  <c r="S57" i="2"/>
  <c r="G43" i="2"/>
  <c r="G65" i="2"/>
  <c r="G61" i="2"/>
  <c r="G57" i="2"/>
  <c r="Z76" i="2"/>
  <c r="Z82" i="2"/>
  <c r="Z91" i="2"/>
  <c r="Z52" i="2"/>
  <c r="AE73" i="2"/>
  <c r="AE47" i="2"/>
  <c r="AE68" i="2"/>
  <c r="N84" i="2"/>
  <c r="N60" i="2"/>
  <c r="N74" i="2"/>
  <c r="N86" i="2"/>
  <c r="F87" i="2"/>
  <c r="F90" i="2"/>
  <c r="E85" i="2"/>
  <c r="E89" i="2"/>
  <c r="W92" i="2"/>
  <c r="G47" i="2"/>
  <c r="H76" i="2"/>
  <c r="X50" i="2"/>
  <c r="X91" i="2"/>
  <c r="S61" i="2"/>
  <c r="G82" i="2"/>
  <c r="Z48" i="2"/>
  <c r="Z70" i="2"/>
  <c r="AE57" i="2"/>
  <c r="N70" i="2"/>
  <c r="F80" i="2"/>
  <c r="E80" i="2"/>
  <c r="H49" i="2"/>
  <c r="H63" i="2"/>
  <c r="X83" i="2"/>
  <c r="H53" i="2"/>
  <c r="H74" i="2"/>
  <c r="H83" i="2"/>
  <c r="H51" i="2"/>
  <c r="X58" i="2"/>
  <c r="X66" i="2"/>
  <c r="X54" i="2"/>
  <c r="X72" i="2"/>
  <c r="S51" i="2"/>
  <c r="S75" i="2"/>
  <c r="S47" i="2"/>
  <c r="G63" i="2"/>
  <c r="G91" i="2"/>
  <c r="G59" i="2"/>
  <c r="G55" i="2"/>
  <c r="Z86" i="2"/>
  <c r="Z66" i="2"/>
  <c r="Z64" i="2"/>
  <c r="Z75" i="2"/>
  <c r="AE65" i="2"/>
  <c r="AE86" i="2"/>
  <c r="AE55" i="2"/>
  <c r="N76" i="2"/>
  <c r="N54" i="2"/>
  <c r="N82" i="2"/>
  <c r="N64" i="2"/>
  <c r="F88" i="2"/>
  <c r="L85" i="2"/>
  <c r="L89" i="2"/>
  <c r="E92" i="2"/>
  <c r="W88" i="2"/>
  <c r="Z84" i="2"/>
  <c r="AE69" i="2"/>
  <c r="N72" i="2"/>
  <c r="N50" i="2"/>
  <c r="F81" i="2"/>
  <c r="L87" i="2"/>
  <c r="L92" i="2"/>
  <c r="E87" i="2"/>
  <c r="W80" i="2"/>
  <c r="G69" i="2"/>
  <c r="AE43" i="2"/>
  <c r="H75" i="2"/>
  <c r="Z73" i="2"/>
  <c r="S70" i="2"/>
  <c r="G73" i="2"/>
  <c r="Z72" i="2"/>
  <c r="AE75" i="2"/>
  <c r="N52" i="2"/>
  <c r="H84" i="2"/>
  <c r="X40" i="2"/>
  <c r="X74" i="2"/>
  <c r="S63" i="2"/>
  <c r="S82" i="2"/>
  <c r="G71" i="2"/>
  <c r="Z62" i="2"/>
  <c r="AE49" i="2"/>
  <c r="AE71" i="2"/>
  <c r="N73" i="2"/>
  <c r="N68" i="2"/>
  <c r="E81" i="2"/>
  <c r="W81" i="2"/>
  <c r="H61" i="2"/>
  <c r="X64" i="2"/>
  <c r="X86" i="2"/>
  <c r="S55" i="2"/>
  <c r="G67" i="2"/>
  <c r="Z68" i="2"/>
  <c r="Z74" i="2"/>
  <c r="AE76" i="2"/>
  <c r="AE53" i="2"/>
  <c r="N71" i="2"/>
  <c r="N91" i="2"/>
  <c r="F89" i="2"/>
  <c r="F85" i="2"/>
  <c r="L81" i="2"/>
  <c r="L88" i="2"/>
  <c r="W87" i="2"/>
  <c r="AB90" i="2"/>
  <c r="AF90" i="2"/>
  <c r="R89" i="2"/>
  <c r="AD89" i="2"/>
  <c r="T80" i="2"/>
  <c r="H81" i="2"/>
  <c r="N81" i="2"/>
  <c r="G87" i="2"/>
  <c r="G89" i="2"/>
  <c r="S92" i="2"/>
  <c r="M83" i="2"/>
  <c r="M50" i="2"/>
  <c r="M76" i="2"/>
  <c r="AE89" i="2"/>
  <c r="AE85" i="2"/>
  <c r="Y89" i="2"/>
  <c r="Z88" i="2"/>
  <c r="M87" i="2"/>
  <c r="Y52" i="2"/>
  <c r="Y83" i="2"/>
  <c r="Y62" i="2"/>
  <c r="Y54" i="2"/>
  <c r="T63" i="2"/>
  <c r="T82" i="2"/>
  <c r="T70" i="2"/>
  <c r="T71" i="2"/>
  <c r="X87" i="2"/>
  <c r="AF61" i="2"/>
  <c r="AF83" i="2"/>
  <c r="AF71" i="2"/>
  <c r="AF89" i="2"/>
  <c r="AF87" i="2"/>
  <c r="R87" i="2"/>
  <c r="AD92" i="2"/>
  <c r="H92" i="2"/>
  <c r="N87" i="2"/>
  <c r="G88" i="2"/>
  <c r="S80" i="2"/>
  <c r="S89" i="2"/>
  <c r="M75" i="2"/>
  <c r="M66" i="2"/>
  <c r="AE92" i="2"/>
  <c r="Y85" i="2"/>
  <c r="Y81" i="2"/>
  <c r="Z87" i="2"/>
  <c r="M85" i="2"/>
  <c r="Y46" i="2"/>
  <c r="Y50" i="2"/>
  <c r="Y91" i="2"/>
  <c r="Y70" i="2"/>
  <c r="T57" i="2"/>
  <c r="T59" i="2"/>
  <c r="T65" i="2"/>
  <c r="X85" i="2"/>
  <c r="X92" i="2"/>
  <c r="AF76" i="2"/>
  <c r="AF73" i="2"/>
  <c r="AF82" i="2"/>
  <c r="AE90" i="2"/>
  <c r="R88" i="2"/>
  <c r="T92" i="2"/>
  <c r="M56" i="2"/>
  <c r="AF92" i="2"/>
  <c r="R92" i="2"/>
  <c r="AD88" i="2"/>
  <c r="H89" i="2"/>
  <c r="N92" i="2"/>
  <c r="G85" i="2"/>
  <c r="S87" i="2"/>
  <c r="M74" i="2"/>
  <c r="M46" i="2"/>
  <c r="M72" i="2"/>
  <c r="AE88" i="2"/>
  <c r="Y87" i="2"/>
  <c r="R90" i="2"/>
  <c r="Z80" i="2"/>
  <c r="M80" i="2"/>
  <c r="Y68" i="2"/>
  <c r="Y73" i="2"/>
  <c r="Y76" i="2"/>
  <c r="Y84" i="2"/>
  <c r="T53" i="2"/>
  <c r="T67" i="2"/>
  <c r="T61" i="2"/>
  <c r="X81" i="2"/>
  <c r="AF53" i="2"/>
  <c r="AF51" i="2"/>
  <c r="AF75" i="2"/>
  <c r="AF70" i="2"/>
  <c r="G90" i="2"/>
  <c r="AD80" i="2"/>
  <c r="T85" i="2"/>
  <c r="M64" i="2"/>
  <c r="T81" i="2"/>
  <c r="M42" i="2"/>
  <c r="Z81" i="2"/>
  <c r="Y58" i="2"/>
  <c r="T91" i="2"/>
  <c r="AF74" i="2"/>
  <c r="AF84" i="2"/>
  <c r="R80" i="2"/>
  <c r="H88" i="2"/>
  <c r="S81" i="2"/>
  <c r="M62" i="2"/>
  <c r="M81" i="2"/>
  <c r="T76" i="2"/>
  <c r="T51" i="2"/>
  <c r="X88" i="2"/>
  <c r="AF69" i="2"/>
  <c r="AF81" i="2"/>
  <c r="T88" i="2"/>
  <c r="G80" i="2"/>
  <c r="M44" i="2"/>
  <c r="Z89" i="2"/>
  <c r="Y74" i="2"/>
  <c r="T75" i="2"/>
  <c r="AF65" i="2"/>
  <c r="AF85" i="2"/>
  <c r="H90" i="2"/>
  <c r="R85" i="2"/>
  <c r="AD81" i="2"/>
  <c r="T89" i="2"/>
  <c r="H85" i="2"/>
  <c r="H87" i="2"/>
  <c r="N80" i="2"/>
  <c r="G81" i="2"/>
  <c r="S85" i="2"/>
  <c r="M67" i="2"/>
  <c r="M68" i="2"/>
  <c r="M52" i="2"/>
  <c r="M58" i="2"/>
  <c r="AE80" i="2"/>
  <c r="Y88" i="2"/>
  <c r="Z85" i="2"/>
  <c r="M88" i="2"/>
  <c r="M89" i="2"/>
  <c r="Y60" i="2"/>
  <c r="Y64" i="2"/>
  <c r="Y48" i="2"/>
  <c r="T49" i="2"/>
  <c r="T73" i="2"/>
  <c r="T69" i="2"/>
  <c r="T55" i="2"/>
  <c r="X89" i="2"/>
  <c r="AF86" i="2"/>
  <c r="AF55" i="2"/>
  <c r="AF59" i="2"/>
  <c r="AF63" i="2"/>
  <c r="Y92" i="2"/>
  <c r="AF88" i="2"/>
  <c r="AD85" i="2"/>
  <c r="N88" i="2"/>
  <c r="M60" i="2"/>
  <c r="AE87" i="2"/>
  <c r="Y66" i="2"/>
  <c r="AF80" i="2"/>
  <c r="S90" i="2"/>
  <c r="R81" i="2"/>
  <c r="AD87" i="2"/>
  <c r="T87" i="2"/>
  <c r="H80" i="2"/>
  <c r="N89" i="2"/>
  <c r="N85" i="2"/>
  <c r="G92" i="2"/>
  <c r="S88" i="2"/>
  <c r="M91" i="2"/>
  <c r="M54" i="2"/>
  <c r="M70" i="2"/>
  <c r="M48" i="2"/>
  <c r="AE81" i="2"/>
  <c r="Y80" i="2"/>
  <c r="Z92" i="2"/>
  <c r="M92" i="2"/>
  <c r="Y42" i="2"/>
  <c r="Y44" i="2"/>
  <c r="Y72" i="2"/>
  <c r="Y56" i="2"/>
  <c r="T84" i="2"/>
  <c r="T83" i="2"/>
  <c r="T86" i="2"/>
  <c r="T74" i="2"/>
  <c r="X80" i="2"/>
  <c r="AF67" i="2"/>
  <c r="AF49" i="2"/>
  <c r="AF57" i="2"/>
  <c r="AF91" i="2"/>
  <c r="T90" i="2"/>
  <c r="AD9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<sst xmlns="http://schemas.openxmlformats.org/spreadsheetml/2006/main" count="262" uniqueCount="229">
  <si>
    <t>Reference Items</t>
  </si>
  <si>
    <t>Right click to show data transparency (not supported for all values)</t>
  </si>
  <si>
    <t>Cummins Inc (CMI US) - Standardized</t>
  </si>
  <si>
    <t>In Millions of USD except Per Share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</si>
  <si>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</si>
  <si>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</si>
  <si>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</si>
  <si>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</si>
  <si>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</si>
  <si>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</si>
  <si>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</si>
  <si>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</si>
  <si>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</si>
  <si>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</si>
  <si>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</si>
  <si>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</si>
  <si>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</si>
  <si>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</si>
  <si>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</si>
  <si>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</si>
  <si>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</si>
  <si>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</si>
  <si>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</si>
  <si>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</si>
  <si>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</si>
  <si>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</si>
  <si>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</si>
  <si>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</si>
  <si>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</si>
  <si>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</si>
  <si>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</si>
  <si>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</si>
  <si>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</si>
  <si>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</si>
  <si>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</si>
  <si>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09/30/2018</t>
  </si>
  <si>
    <t>12/31/2018</t>
  </si>
  <si>
    <t>03/31/2019</t>
  </si>
  <si>
    <t>06/30/2019</t>
  </si>
  <si>
    <t>09/29/2019</t>
  </si>
  <si>
    <t>12/31/2019</t>
  </si>
  <si>
    <t>03/29/2020</t>
  </si>
  <si>
    <t>06/28/2020</t>
  </si>
  <si>
    <t>09/27/2020</t>
  </si>
  <si>
    <t>12/31/2020</t>
  </si>
  <si>
    <t>04/04/2021</t>
  </si>
  <si>
    <t>07/04/2021</t>
  </si>
  <si>
    <t>10/03/2021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</si>
  <si>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</si>
  <si>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</si>
  <si>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</si>
  <si>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</si>
  <si>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</si>
  <si>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</si>
  <si>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</si>
  <si>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</si>
  <si>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</si>
  <si>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</si>
  <si>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</si>
  <si>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</si>
  <si>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</si>
  <si>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</si>
  <si>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</si>
  <si>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</si>
  <si>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</si>
  <si>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</si>
  <si>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</si>
  <si>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</si>
  <si>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</si>
  <si>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</si>
  <si>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</si>
  <si>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</si>
  <si>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</si>
  <si>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</si>
  <si>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</si>
  <si>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</si>
  <si>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</si>
  <si>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</si>
  <si>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</si>
  <si>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</si>
  <si>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</si>
  <si>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</si>
  <si>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</si>
  <si>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</si>
  <si>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</si>
  <si>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</si>
  <si>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</si>
  <si>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</si>
  <si>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</si>
  <si>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</si>
  <si>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</si>
  <si>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</si>
  <si>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</si>
  <si>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</si>
  <si>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</si>
  <si>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</si>
  <si>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</si>
  <si>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</si>
  <si>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</si>
  <si>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</si>
  <si>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</si>
  <si>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</si>
  <si>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</si>
  <si>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</si>
  <si>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</si>
  <si>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</si>
  <si>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</si>
  <si>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</si>
  <si>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</si>
  <si>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</si>
  <si>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</si>
  <si>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</si>
  <si>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</si>
  <si>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</si>
  <si>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</si>
  <si>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Prepaid Pension Costs</t>
  </si>
  <si>
    <t>BS_PREPAID_PENSION_COSTS_LT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</si>
  <si>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</si>
  <si>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</si>
  <si>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</si>
  <si>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</si>
  <si>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</si>
  <si>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</si>
  <si>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</si>
  <si>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</si>
  <si>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</si>
  <si>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</si>
  <si>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</si>
  <si>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</si>
  <si>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</si>
  <si>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</si>
  <si>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</si>
  <si>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</si>
  <si>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</si>
  <si>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</si>
  <si>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</si>
  <si>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</si>
  <si>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</si>
  <si>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</si>
  <si>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</si>
  <si>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</si>
  <si>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</si>
  <si>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</si>
  <si>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</si>
  <si>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</si>
  <si>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</si>
  <si>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</si>
  <si>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</si>
  <si>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</si>
  <si>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</si>
  <si>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</si>
  <si>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</si>
  <si>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</si>
  <si>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</si>
  <si>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</si>
  <si>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</si>
  <si>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</si>
  <si>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</si>
  <si>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</si>
  <si>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</si>
  <si>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</si>
  <si>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</si>
  <si>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</si>
  <si>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</si>
  <si>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</si>
  <si>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</si>
  <si>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</si>
  <si>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</si>
  <si>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</si>
  <si>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</si>
  <si>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</si>
  <si>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</si>
  <si>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</si>
  <si>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</si>
  <si>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</si>
  <si>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</si>
  <si>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</si>
  <si>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</si>
  <si>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</si>
  <si>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</si>
  <si>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</si>
  <si>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</si>
  <si>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</si>
  <si>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</si>
  <si>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</si>
  <si>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</si>
  <si>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</si>
  <si>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</si>
  <si>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</si>
  <si>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</si>
  <si>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</si>
  <si>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</si>
  <si>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</si>
  <si>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</si>
  <si>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</si>
  <si>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</si>
  <si>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</si>
  <si>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</si>
  <si>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</si>
  <si>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Accounting Standard</t>
  </si>
  <si>
    <t>ACCOUNTING_STANDARD</t>
  </si>
  <si>
    <t>US GAAP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</si>
  <si>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</si>
  <si>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</si>
  <si>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</si>
  <si>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</si>
  <si>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</si>
  <si>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</si>
  <si>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</si>
  <si>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</si>
  <si>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</si>
  <si>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</si>
  <si>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</si>
  <si>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</si>
  <si>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</si>
  <si>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</si>
  <si>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</si>
  <si>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</si>
  <si>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</si>
  <si>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</si>
  <si>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</si>
  <si>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</si>
  <si>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</si>
  <si>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</si>
  <si>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Cash Held Overseas</t>
  </si>
  <si>
    <t>BS_CASH_HELD_OVERSEAS</t>
  </si>
  <si>
    <t>Number of Employees</t>
  </si>
  <si>
    <t>NUM_OF_EMPLOYEES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</si>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</sst>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8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171" fontId="11" fillId="34" borderId="2" xfId="58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italic_1_grouped" xfId="58" xr:uid="{00000000-0005-0000-0000-000025000000}"/>
    <cellStyle name="fa_data_standard_0_grouped" xfId="53" xr:uid="{00000000-0005-0000-0000-000026000000}"/>
    <cellStyle name="fa_data_standard_1_grouped" xfId="54" xr:uid="{00000000-0005-0000-0000-000027000000}"/>
    <cellStyle name="fa_data_standard_2_grouped" xfId="55" xr:uid="{00000000-0005-0000-0000-000028000000}"/>
    <cellStyle name="fa_footer_italic" xfId="34" xr:uid="{00000000-0005-0000-0000-000029000000}"/>
    <cellStyle name="fa_row_header_bold" xfId="35" xr:uid="{00000000-0005-0000-0000-00002A000000}"/>
    <cellStyle name="fa_row_header_italic" xfId="36" xr:uid="{00000000-0005-0000-0000-00002B000000}"/>
    <cellStyle name="fa_row_header_standard" xfId="37" xr:uid="{00000000-0005-0000-0000-00002C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BDH|14360426019202063999</stp>
        <tr r="AF7" s="2"/>
      </tp>
      <tp t="s">
        <v>#N/A N/A</v>
        <stp/>
        <stp>BDH|17642396625689950520</stp>
        <tr r="D76" s="2"/>
      </tp>
      <tp t="s">
        <v>#N/A N/A</v>
        <stp/>
        <stp>BDH|10789738617455750957</stp>
        <tr r="M26" s="2"/>
      </tp>
      <tp t="s">
        <v>#N/A N/A</v>
        <stp/>
        <stp>BDH|13377609083255404258</stp>
        <tr r="U21" s="2"/>
      </tp>
      <tp t="s">
        <v>#N/A N/A</v>
        <stp/>
        <stp>BDH|16459307014249338736</stp>
        <tr r="X36" s="2"/>
      </tp>
      <tp t="s">
        <v>#N/A N/A</v>
        <stp/>
        <stp>BDH|15890387582110206434</stp>
        <tr r="AF90" s="2"/>
      </tp>
      <tp t="s">
        <v>#N/A N/A</v>
        <stp/>
        <stp>BDH|15032039501366831994</stp>
        <tr r="X87" s="2"/>
      </tp>
      <tp t="s">
        <v>#N/A N/A</v>
        <stp/>
        <stp>BDH|13750393118363597801</stp>
        <tr r="H65" s="2"/>
      </tp>
      <tp t="s">
        <v>#N/A N/A</v>
        <stp/>
        <stp>BDH|17654233370349333157</stp>
        <tr r="AC33" s="2"/>
      </tp>
      <tp t="s">
        <v>#N/A N/A</v>
        <stp/>
        <stp>BDH|12243715646089261252</stp>
        <tr r="H18" s="2"/>
      </tp>
      <tp t="s">
        <v>#N/A N/A</v>
        <stp/>
        <stp>BDH|14432635160419384713</stp>
        <tr r="R53" s="2"/>
      </tp>
      <tp t="s">
        <v>#N/A N/A</v>
        <stp/>
        <stp>BDH|18402820374805564820</stp>
        <tr r="L10" s="2"/>
      </tp>
      <tp t="s">
        <v>#N/A N/A</v>
        <stp/>
        <stp>BDH|12564502531556559857</stp>
        <tr r="AF30" s="2"/>
      </tp>
      <tp t="s">
        <v>#N/A N/A</v>
        <stp/>
        <stp>BDH|11723399625373607998</stp>
        <tr r="F60" s="2"/>
      </tp>
      <tp t="s">
        <v>#N/A N/A</v>
        <stp/>
        <stp>BDH|13179556592073167633</stp>
        <tr r="Y41" s="2"/>
      </tp>
      <tp t="s">
        <v>#N/A N/A</v>
        <stp/>
        <stp>BDH|16053454183615682572</stp>
        <tr r="Q45" s="2"/>
      </tp>
      <tp t="s">
        <v>#N/A N/A</v>
        <stp/>
        <stp>BDH|10041640739866355998</stp>
        <tr r="S65" s="2"/>
      </tp>
      <tp t="s">
        <v>#N/A N/A</v>
        <stp/>
        <stp>BDH|12230283798201162245</stp>
        <tr r="AF66" s="2"/>
      </tp>
      <tp t="s">
        <v>#N/A N/A</v>
        <stp/>
        <stp>BDH|15129760533663145826</stp>
        <tr r="V45" s="2"/>
      </tp>
      <tp t="s">
        <v>#N/A N/A</v>
        <stp/>
        <stp>BDH|17998709509023029974</stp>
        <tr r="C52" s="2"/>
      </tp>
      <tp t="s">
        <v>#N/A N/A</v>
        <stp/>
        <stp>BDH|12476634594126166151</stp>
        <tr r="T33" s="2"/>
      </tp>
      <tp t="s">
        <v>#N/A N/A</v>
        <stp/>
        <stp>BDH|18182600219302623787</stp>
        <tr r="F20" s="2"/>
      </tp>
      <tp t="s">
        <v>#N/A N/A</v>
        <stp/>
        <stp>BDH|16517411185329427930</stp>
        <tr r="E87" s="2"/>
      </tp>
      <tp t="s">
        <v>#N/A N/A</v>
        <stp/>
        <stp>BDH|14705965721344508136</stp>
        <tr r="AE85" s="2"/>
      </tp>
      <tp t="s">
        <v>#N/A N/A</v>
        <stp/>
        <stp>BDH|17377360412748070713</stp>
        <tr r="AA85" s="2"/>
      </tp>
      <tp t="s">
        <v>#N/A N/A</v>
        <stp/>
        <stp>BDH|10824009150269537641</stp>
        <tr r="E80" s="2"/>
      </tp>
      <tp t="s">
        <v>#N/A N/A</v>
        <stp/>
        <stp>BDH|12163772772848918045</stp>
        <tr r="P56" s="2"/>
      </tp>
      <tp t="s">
        <v>#N/A N/A</v>
        <stp/>
        <stp>BDH|15867468217459906395</stp>
        <tr r="AE81" s="2"/>
      </tp>
      <tp t="s">
        <v>#N/A N/A</v>
        <stp/>
        <stp>BDH|17466612085336186588</stp>
        <tr r="U12" s="2"/>
      </tp>
      <tp t="s">
        <v>#N/A N/A</v>
        <stp/>
        <stp>BDH|17215073399532516619</stp>
        <tr r="L19" s="2"/>
      </tp>
      <tp t="s">
        <v>#N/A N/A</v>
        <stp/>
        <stp>BDH|14445352213675103989</stp>
        <tr r="W60" s="2"/>
      </tp>
      <tp t="s">
        <v>#N/A N/A</v>
        <stp/>
        <stp>BDH|10103332309199594052</stp>
        <tr r="R70" s="2"/>
      </tp>
      <tp t="s">
        <v>#N/A N/A</v>
        <stp/>
        <stp>BDH|10382957754033032594</stp>
        <tr r="O32" s="2"/>
      </tp>
      <tp t="s">
        <v>#N/A N/A</v>
        <stp/>
        <stp>BDH|17445960935053987451</stp>
        <tr r="P31" s="2"/>
      </tp>
      <tp t="s">
        <v>#N/A N/A</v>
        <stp/>
        <stp>BDH|14037050386297121191</stp>
        <tr r="E71" s="2"/>
      </tp>
      <tp t="s">
        <v>#N/A N/A</v>
        <stp/>
        <stp>BDH|18358104459743422550</stp>
        <tr r="W64" s="2"/>
      </tp>
      <tp t="s">
        <v>#N/A N/A</v>
        <stp/>
        <stp>BDH|14419940776011584198</stp>
        <tr r="Z87" s="2"/>
      </tp>
      <tp t="s">
        <v>#N/A N/A</v>
        <stp/>
        <stp>BDH|13874224256516574835</stp>
        <tr r="C71" s="2"/>
      </tp>
      <tp t="s">
        <v>#N/A N/A</v>
        <stp/>
        <stp>BDH|15947901222105040169</stp>
        <tr r="H34" s="2"/>
      </tp>
      <tp t="s">
        <v>#N/A N/A</v>
        <stp/>
        <stp>BDH|13554759539495373871</stp>
        <tr r="W39" s="2"/>
      </tp>
      <tp t="s">
        <v>#N/A N/A</v>
        <stp/>
        <stp>BDH|10379476303806825836</stp>
        <tr r="AB29" s="2"/>
      </tp>
      <tp t="s">
        <v>#N/A N/A</v>
        <stp/>
        <stp>BDH|10834631995602598771</stp>
        <tr r="V68" s="2"/>
      </tp>
      <tp t="s">
        <v>#N/A N/A</v>
        <stp/>
        <stp>BDH|15321749232129899217</stp>
        <tr r="AD48" s="2"/>
      </tp>
      <tp t="s">
        <v>#N/A N/A</v>
        <stp/>
        <stp>BDH|14034808029217622302</stp>
        <tr r="U22" s="2"/>
      </tp>
      <tp t="s">
        <v>#N/A N/A</v>
        <stp/>
        <stp>BDH|12574316658997078924</stp>
        <tr r="N87" s="2"/>
      </tp>
      <tp t="s">
        <v>#N/A N/A</v>
        <stp/>
        <stp>BDH|14652118379409853186</stp>
        <tr r="X56" s="2"/>
      </tp>
      <tp t="s">
        <v>#N/A N/A</v>
        <stp/>
        <stp>BDH|16616358896294835230</stp>
        <tr r="AB86" s="2"/>
      </tp>
      <tp t="s">
        <v>#N/A N/A</v>
        <stp/>
        <stp>BDH|16757772840236684983</stp>
        <tr r="G57" s="2"/>
      </tp>
      <tp t="s">
        <v>#N/A N/A</v>
        <stp/>
        <stp>BDH|16433528595020870052</stp>
        <tr r="K8" s="2"/>
      </tp>
      <tp t="s">
        <v>#N/A N/A</v>
        <stp/>
        <stp>BDH|14699758580538387814</stp>
        <tr r="Z67" s="2"/>
      </tp>
      <tp t="s">
        <v>#N/A N/A</v>
        <stp/>
        <stp>BDH|16068778297121527241</stp>
        <tr r="S15" s="2"/>
      </tp>
      <tp t="s">
        <v>#N/A N/A</v>
        <stp/>
        <stp>BDH|11297865821131293166</stp>
        <tr r="L25" s="2"/>
      </tp>
      <tp t="s">
        <v>#N/A N/A</v>
        <stp/>
        <stp>BDH|16798966015350490512</stp>
        <tr r="H51" s="2"/>
      </tp>
      <tp t="s">
        <v>#N/A N/A</v>
        <stp/>
        <stp>BDH|18196232930807708546</stp>
        <tr r="E60" s="2"/>
      </tp>
      <tp t="s">
        <v>#N/A N/A</v>
        <stp/>
        <stp>BDH|11675848814617492434</stp>
        <tr r="T20" s="2"/>
      </tp>
      <tp t="s">
        <v>#N/A N/A</v>
        <stp/>
        <stp>BDH|18430358709112140294</stp>
        <tr r="F26" s="2"/>
      </tp>
      <tp t="s">
        <v>#N/A N/A</v>
        <stp/>
        <stp>BDH|17727671337980516923</stp>
        <tr r="S61" s="2"/>
      </tp>
      <tp t="s">
        <v>#N/A N/A</v>
        <stp/>
        <stp>BDH|13101930302951509054</stp>
        <tr r="F42" s="2"/>
      </tp>
      <tp t="s">
        <v>#N/A N/A</v>
        <stp/>
        <stp>BDH|13040604590935622268</stp>
        <tr r="Q60" s="2"/>
      </tp>
      <tp t="s">
        <v>#N/A N/A</v>
        <stp/>
        <stp>BDH|13258614510028620751</stp>
        <tr r="AB47" s="2"/>
      </tp>
      <tp t="s">
        <v>#N/A N/A</v>
        <stp/>
        <stp>BDH|12558944374792316565</stp>
        <tr r="U23" s="2"/>
      </tp>
      <tp t="s">
        <v>#N/A N/A</v>
        <stp/>
        <stp>BDH|17350573123779405233</stp>
        <tr r="F39" s="2"/>
      </tp>
      <tp t="s">
        <v>#N/A N/A</v>
        <stp/>
        <stp>BDH|10656717432267428813</stp>
        <tr r="AA10" s="2"/>
      </tp>
      <tp t="s">
        <v>#N/A N/A</v>
        <stp/>
        <stp>BDH|14653707092786568729</stp>
        <tr r="O46" s="2"/>
      </tp>
      <tp t="s">
        <v>#N/A N/A</v>
        <stp/>
        <stp>BDH|10120147638310721998</stp>
        <tr r="M69" s="2"/>
      </tp>
      <tp t="s">
        <v>#N/A N/A</v>
        <stp/>
        <stp>BDH|10095625654958424011</stp>
        <tr r="M15" s="2"/>
      </tp>
      <tp t="s">
        <v>#N/A N/A</v>
        <stp/>
        <stp>BDH|10548803109531608297</stp>
        <tr r="D43" s="2"/>
      </tp>
      <tp t="s">
        <v>#N/A N/A</v>
        <stp/>
        <stp>BDH|17846268190284544393</stp>
        <tr r="AD55" s="2"/>
      </tp>
      <tp t="s">
        <v>#N/A N/A</v>
        <stp/>
        <stp>BDH|15755317632069494724</stp>
        <tr r="W36" s="2"/>
      </tp>
      <tp t="s">
        <v>#N/A N/A</v>
        <stp/>
        <stp>BDH|15693051088065070392</stp>
        <tr r="J74" s="2"/>
      </tp>
      <tp t="s">
        <v>#N/A N/A</v>
        <stp/>
        <stp>BDH|16031122107159151563</stp>
        <tr r="P32" s="2"/>
      </tp>
      <tp t="s">
        <v>#N/A N/A</v>
        <stp/>
        <stp>BDH|14815600779468338679</stp>
        <tr r="J53" s="2"/>
      </tp>
      <tp t="s">
        <v>#N/A N/A</v>
        <stp/>
        <stp>BDH|17609245458539667297</stp>
        <tr r="G73" s="2"/>
      </tp>
      <tp t="s">
        <v>#N/A N/A</v>
        <stp/>
        <stp>BDH|15935810034445989008</stp>
        <tr r="V55" s="2"/>
      </tp>
      <tp t="s">
        <v>#N/A N/A</v>
        <stp/>
        <stp>BDH|13568210690403424043</stp>
        <tr r="N88" s="2"/>
      </tp>
      <tp t="s">
        <v>#N/A N/A</v>
        <stp/>
        <stp>BDH|15573883111547952017</stp>
        <tr r="C9" s="2"/>
      </tp>
      <tp t="s">
        <v>#N/A N/A</v>
        <stp/>
        <stp>BDH|16006800964291774275</stp>
        <tr r="G13" s="2"/>
      </tp>
      <tp t="s">
        <v>#N/A N/A</v>
        <stp/>
        <stp>BDH|13423170347558937593</stp>
        <tr r="P64" s="2"/>
      </tp>
      <tp t="s">
        <v>#N/A N/A</v>
        <stp/>
        <stp>BDH|17197578636043444901</stp>
        <tr r="D63" s="2"/>
      </tp>
      <tp t="s">
        <v>#N/A N/A</v>
        <stp/>
        <stp>BDH|16883284082942360569</stp>
        <tr r="I11" s="2"/>
      </tp>
      <tp t="s">
        <v>#N/A N/A</v>
        <stp/>
        <stp>BDH|16696843166192688150</stp>
        <tr r="I89" s="2"/>
      </tp>
      <tp t="s">
        <v>#N/A N/A</v>
        <stp/>
        <stp>BDH|13202353862194668943</stp>
        <tr r="AE68" s="2"/>
      </tp>
      <tp t="s">
        <v>#N/A N/A</v>
        <stp/>
        <stp>BDH|16722964329695976361</stp>
        <tr r="W13" s="2"/>
      </tp>
      <tp t="s">
        <v>#N/A N/A</v>
        <stp/>
        <stp>BDH|10812122098475744627</stp>
        <tr r="R80" s="2"/>
      </tp>
      <tp t="s">
        <v>#N/A N/A</v>
        <stp/>
        <stp>BDH|11605346569818446790</stp>
        <tr r="AE74" s="2"/>
      </tp>
      <tp t="s">
        <v>#N/A N/A</v>
        <stp/>
        <stp>BDH|11779220492369182801</stp>
        <tr r="U82" s="2"/>
      </tp>
      <tp t="s">
        <v>#N/A N/A</v>
        <stp/>
        <stp>BDH|13073672260669533146</stp>
        <tr r="AC71" s="2"/>
      </tp>
      <tp t="s">
        <v>#N/A N/A</v>
        <stp/>
        <stp>BDH|15929919571357697795</stp>
        <tr r="C50" s="2"/>
      </tp>
      <tp t="s">
        <v>#N/A N/A</v>
        <stp/>
        <stp>BDH|12197487924919570613</stp>
        <tr r="U52" s="2"/>
      </tp>
      <tp t="s">
        <v>#N/A N/A</v>
        <stp/>
        <stp>BDH|18154026433203026394</stp>
        <tr r="S56" s="2"/>
      </tp>
      <tp t="s">
        <v>#N/A N/A</v>
        <stp/>
        <stp>BDH|14449953094817586891</stp>
        <tr r="F68" s="2"/>
      </tp>
      <tp t="s">
        <v>#N/A N/A</v>
        <stp/>
        <stp>BDH|15657431519828548312</stp>
        <tr r="M12" s="2"/>
      </tp>
      <tp t="s">
        <v>#N/A N/A</v>
        <stp/>
        <stp>BDH|10381159988931000362</stp>
        <tr r="AE61" s="2"/>
      </tp>
      <tp t="s">
        <v>#N/A N/A</v>
        <stp/>
        <stp>BDH|12326085291675206501</stp>
        <tr r="C59" s="2"/>
      </tp>
      <tp t="s">
        <v>#N/A N/A</v>
        <stp/>
        <stp>BDH|16737035695030355498</stp>
        <tr r="V49" s="2"/>
      </tp>
      <tp t="s">
        <v>#N/A N/A</v>
        <stp/>
        <stp>BDH|10779912546686352080</stp>
        <tr r="O19" s="2"/>
      </tp>
      <tp t="s">
        <v>#N/A N/A</v>
        <stp/>
        <stp>BDH|10464680557401485950</stp>
        <tr r="O59" s="2"/>
      </tp>
      <tp t="s">
        <v>#N/A N/A</v>
        <stp/>
        <stp>BDH|10254107533358382187</stp>
        <tr r="AC16" s="2"/>
      </tp>
      <tp t="s">
        <v>#N/A N/A</v>
        <stp/>
        <stp>BDH|11373934332281936113</stp>
        <tr r="U10" s="2"/>
      </tp>
      <tp t="s">
        <v>#N/A N/A</v>
        <stp/>
        <stp>BDH|13943643930439748402</stp>
        <tr r="R55" s="2"/>
      </tp>
      <tp t="s">
        <v>#N/A N/A</v>
        <stp/>
        <stp>BDH|12575857454863953707</stp>
        <tr r="V47" s="2"/>
      </tp>
      <tp t="s">
        <v>#N/A N/A</v>
        <stp/>
        <stp>BDH|17745958666692076190</stp>
        <tr r="V46" s="2"/>
      </tp>
      <tp t="s">
        <v>#N/A N/A</v>
        <stp/>
        <stp>BDH|10537530216616819954</stp>
        <tr r="F61" s="2"/>
      </tp>
      <tp t="s">
        <v>#N/A N/A</v>
        <stp/>
        <stp>BDH|16855908712841079474</stp>
        <tr r="N36" s="2"/>
      </tp>
      <tp t="s">
        <v>#N/A N/A</v>
        <stp/>
        <stp>BDH|12051117488897475708</stp>
        <tr r="X52" s="2"/>
      </tp>
      <tp t="s">
        <v>#N/A N/A</v>
        <stp/>
        <stp>BDH|14480605122249276287</stp>
        <tr r="AE55" s="2"/>
      </tp>
      <tp t="s">
        <v>#N/A N/A</v>
        <stp/>
        <stp>BDH|16644951057057140690</stp>
        <tr r="AD47" s="2"/>
      </tp>
      <tp t="s">
        <v>#N/A N/A</v>
        <stp/>
        <stp>BDH|13236687171150267956</stp>
        <tr r="X84" s="2"/>
      </tp>
      <tp t="s">
        <v>#N/A N/A</v>
        <stp/>
        <stp>BDH|13304795787195587276</stp>
        <tr r="AA69" s="2"/>
      </tp>
      <tp t="s">
        <v>#N/A N/A</v>
        <stp/>
        <stp>BDH|16756650298166455418</stp>
        <tr r="F82" s="2"/>
      </tp>
      <tp t="s">
        <v>#N/A N/A</v>
        <stp/>
        <stp>BDH|18195298354071432570</stp>
        <tr r="K70" s="2"/>
      </tp>
      <tp t="s">
        <v>#N/A N/A</v>
        <stp/>
        <stp>BDH|16062050988044390118</stp>
        <tr r="O89" s="2"/>
      </tp>
      <tp t="s">
        <v>#N/A N/A</v>
        <stp/>
        <stp>BDH|17419881677991508202</stp>
        <tr r="G55" s="2"/>
      </tp>
      <tp t="s">
        <v>#N/A N/A</v>
        <stp/>
        <stp>BDH|14267473607559481282</stp>
        <tr r="AF71" s="2"/>
      </tp>
      <tp t="s">
        <v>#N/A N/A</v>
        <stp/>
        <stp>BDH|12234687287047737044</stp>
        <tr r="J39" s="2"/>
      </tp>
      <tp t="s">
        <v>#N/A N/A</v>
        <stp/>
        <stp>BDH|12869601249798835372</stp>
        <tr r="M11" s="2"/>
      </tp>
      <tp t="s">
        <v>#N/A N/A</v>
        <stp/>
        <stp>BDH|15688008043099934324</stp>
        <tr r="G92" s="2"/>
      </tp>
      <tp t="s">
        <v>#N/A N/A</v>
        <stp/>
        <stp>BDH|11314280474658821792</stp>
        <tr r="G89" s="2"/>
      </tp>
      <tp t="s">
        <v>#N/A N/A</v>
        <stp/>
        <stp>BDH|13813846830621053221</stp>
        <tr r="K43" s="2"/>
      </tp>
      <tp t="s">
        <v>#N/A N/A</v>
        <stp/>
        <stp>BDH|12641986635819966937</stp>
        <tr r="O16" s="2"/>
      </tp>
      <tp t="s">
        <v>#N/A N/A</v>
        <stp/>
        <stp>BDH|16858184707657706818</stp>
        <tr r="N50" s="2"/>
      </tp>
      <tp t="s">
        <v>#N/A N/A</v>
        <stp/>
        <stp>BDH|16697834225145425153</stp>
        <tr r="M40" s="2"/>
      </tp>
      <tp t="s">
        <v>#N/A N/A</v>
        <stp/>
        <stp>BDH|11368408301839370402</stp>
        <tr r="R8" s="2"/>
      </tp>
      <tp t="s">
        <v>#N/A N/A</v>
        <stp/>
        <stp>BDH|13771067140859536658</stp>
        <tr r="W25" s="2"/>
      </tp>
      <tp t="s">
        <v>#N/A N/A</v>
        <stp/>
        <stp>BDH|16844928145087790497</stp>
        <tr r="Y20" s="2"/>
      </tp>
      <tp t="s">
        <v>#N/A N/A</v>
        <stp/>
        <stp>BDH|10385350434318178037</stp>
        <tr r="S12" s="2"/>
      </tp>
      <tp t="s">
        <v>#N/A N/A</v>
        <stp/>
        <stp>BDH|15780615362404359977</stp>
        <tr r="AD29" s="2"/>
      </tp>
      <tp t="s">
        <v>#N/A N/A</v>
        <stp/>
        <stp>BDH|16366865013076094161</stp>
        <tr r="O61" s="2"/>
      </tp>
      <tp t="s">
        <v>#N/A N/A</v>
        <stp/>
        <stp>BDH|12946129214888849278</stp>
        <tr r="G50" s="2"/>
      </tp>
      <tp t="s">
        <v>#N/A N/A</v>
        <stp/>
        <stp>BDH|14088975370644159667</stp>
        <tr r="H76" s="2"/>
      </tp>
      <tp t="s">
        <v>#N/A N/A</v>
        <stp/>
        <stp>BDH|14028449584078031809</stp>
        <tr r="O60" s="2"/>
      </tp>
      <tp t="s">
        <v>#N/A N/A</v>
        <stp/>
        <stp>BDH|12446403760159428103</stp>
        <tr r="J48" s="2"/>
      </tp>
      <tp t="s">
        <v>#N/A N/A</v>
        <stp/>
        <stp>BDH|16400081783827875144</stp>
        <tr r="J58" s="2"/>
      </tp>
      <tp t="s">
        <v>#N/A N/A</v>
        <stp/>
        <stp>BDH|18298612975099511805</stp>
        <tr r="J55" s="2"/>
      </tp>
      <tp t="s">
        <v>#N/A N/A</v>
        <stp/>
        <stp>BDH|16395359861603336876</stp>
        <tr r="M45" s="2"/>
      </tp>
      <tp t="s">
        <v>#N/A N/A</v>
        <stp/>
        <stp>BDH|13207961703051139357</stp>
        <tr r="I84" s="2"/>
      </tp>
      <tp t="s">
        <v>#N/A N/A</v>
        <stp/>
        <stp>BDH|13153178091557613439</stp>
        <tr r="AA57" s="2"/>
      </tp>
      <tp t="s">
        <v>#N/A N/A</v>
        <stp/>
        <stp>BDH|17239705287265665517</stp>
        <tr r="L74" s="2"/>
      </tp>
      <tp t="s">
        <v>#N/A N/A</v>
        <stp/>
        <stp>BDH|16457967070736701671</stp>
        <tr r="L15" s="2"/>
      </tp>
      <tp t="s">
        <v>#N/A N/A</v>
        <stp/>
        <stp>BDH|15380507417698639174</stp>
        <tr r="P90" s="2"/>
      </tp>
      <tp t="s">
        <v>#N/A N/A</v>
        <stp/>
        <stp>BDH|18232045022853034118</stp>
        <tr r="Q34" s="2"/>
      </tp>
      <tp t="s">
        <v>#N/A N/A</v>
        <stp/>
        <stp>BDH|11644967800784073448</stp>
        <tr r="T50" s="2"/>
      </tp>
      <tp t="s">
        <v>#N/A N/A</v>
        <stp/>
        <stp>BDH|16677484147649886757</stp>
        <tr r="P74" s="2"/>
      </tp>
      <tp t="s">
        <v>#N/A N/A</v>
        <stp/>
        <stp>BDH|15393598461747916966</stp>
        <tr r="G46" s="2"/>
      </tp>
      <tp t="s">
        <v>#N/A N/A</v>
        <stp/>
        <stp>BDH|12815460281407996128</stp>
        <tr r="P15" s="2"/>
      </tp>
      <tp t="s">
        <v>#N/A N/A</v>
        <stp/>
        <stp>BDH|14255506393353040369</stp>
        <tr r="V89" s="2"/>
      </tp>
      <tp t="s">
        <v>#N/A N/A</v>
        <stp/>
        <stp>BDH|10262915811375167544</stp>
        <tr r="N18" s="2"/>
      </tp>
      <tp t="s">
        <v>#N/A N/A</v>
        <stp/>
        <stp>BDH|13966086997817260538</stp>
        <tr r="O8" s="2"/>
      </tp>
      <tp t="s">
        <v>#N/A N/A</v>
        <stp/>
        <stp>BDH|13093628714845708978</stp>
        <tr r="R26" s="2"/>
      </tp>
      <tp t="s">
        <v>#N/A N/A</v>
        <stp/>
        <stp>BDH|18215300873136203255</stp>
        <tr r="K85" s="2"/>
      </tp>
      <tp t="s">
        <v>#N/A N/A</v>
        <stp/>
        <stp>BDH|15581024297055106187</stp>
        <tr r="T9" s="2"/>
      </tp>
      <tp t="s">
        <v>#N/A N/A</v>
        <stp/>
        <stp>BDH|13995466997125069311</stp>
        <tr r="W88" s="2"/>
      </tp>
      <tp t="s">
        <v>#N/A N/A</v>
        <stp/>
        <stp>BDH|17945891619007545159</stp>
        <tr r="AD88" s="2"/>
      </tp>
      <tp t="s">
        <v>#N/A N/A</v>
        <stp/>
        <stp>BDH|10997751690700200677</stp>
        <tr r="M18" s="2"/>
      </tp>
      <tp t="s">
        <v>#N/A N/A</v>
        <stp/>
        <stp>BDH|12145950618781725323</stp>
        <tr r="R51" s="2"/>
      </tp>
      <tp t="s">
        <v>#N/A N/A</v>
        <stp/>
        <stp>BDH|11865857066940197736</stp>
        <tr r="AC7" s="2"/>
      </tp>
      <tp t="s">
        <v>#N/A N/A</v>
        <stp/>
        <stp>BDH|16516823764698976829</stp>
        <tr r="J68" s="2"/>
      </tp>
      <tp t="s">
        <v>#N/A N/A</v>
        <stp/>
        <stp>BDH|13480631473819891349</stp>
        <tr r="AC66" s="2"/>
      </tp>
      <tp t="s">
        <v>#N/A N/A</v>
        <stp/>
        <stp>BDH|13979005763339085410</stp>
        <tr r="AD34" s="2"/>
      </tp>
      <tp t="s">
        <v>#N/A N/A</v>
        <stp/>
        <stp>BDH|17241254893447886373</stp>
        <tr r="W15" s="2"/>
      </tp>
      <tp t="s">
        <v>#N/A N/A</v>
        <stp/>
        <stp>BDH|12172286181834512467</stp>
        <tr r="K72" s="2"/>
      </tp>
      <tp t="s">
        <v>#N/A N/A</v>
        <stp/>
        <stp>BDH|17914802953535344721</stp>
        <tr r="Q30" s="2"/>
      </tp>
      <tp t="s">
        <v>#N/A N/A</v>
        <stp/>
        <stp>BDH|11713316291277434499</stp>
        <tr r="R81" s="2"/>
      </tp>
      <tp t="s">
        <v>#N/A N/A</v>
        <stp/>
        <stp>BDH|10516861979090475744</stp>
        <tr r="D34" s="2"/>
      </tp>
      <tp t="s">
        <v>#N/A N/A</v>
        <stp/>
        <stp>BDH|17761859608271598654</stp>
        <tr r="E40" s="2"/>
      </tp>
      <tp t="s">
        <v>#N/A N/A</v>
        <stp/>
        <stp>BDH|14744755915163994932</stp>
        <tr r="X43" s="2"/>
      </tp>
      <tp t="s">
        <v>#N/A N/A</v>
        <stp/>
        <stp>BDH|15834623859596679883</stp>
        <tr r="N86" s="2"/>
      </tp>
      <tp t="s">
        <v>#N/A N/A</v>
        <stp/>
        <stp>BDH|18149248749830228637</stp>
        <tr r="Y28" s="2"/>
      </tp>
      <tp t="s">
        <v>#N/A N/A</v>
        <stp/>
        <stp>BDH|16125786693515586528</stp>
        <tr r="H63" s="2"/>
      </tp>
      <tp t="s">
        <v>#N/A N/A</v>
        <stp/>
        <stp>BDH|11224595310414074962</stp>
        <tr r="I46" s="2"/>
      </tp>
      <tp t="s">
        <v>#N/A N/A</v>
        <stp/>
        <stp>BDH|12847426929688748494</stp>
        <tr r="W74" s="2"/>
      </tp>
      <tp t="s">
        <v>#N/A N/A</v>
        <stp/>
        <stp>BDH|11837049730909249333</stp>
        <tr r="N72" s="2"/>
      </tp>
      <tp t="s">
        <v>#N/A N/A</v>
        <stp/>
        <stp>BDH|16379686845879361517</stp>
        <tr r="N28" s="2"/>
      </tp>
      <tp t="s">
        <v>#N/A N/A</v>
        <stp/>
        <stp>BDH|15350223599217627124</stp>
        <tr r="D45" s="2"/>
      </tp>
      <tp t="s">
        <v>#N/A N/A</v>
        <stp/>
        <stp>BDH|14121471542594855804</stp>
        <tr r="S48" s="2"/>
      </tp>
      <tp t="s">
        <v>#N/A N/A</v>
        <stp/>
        <stp>BDH|14899345556333387951</stp>
        <tr r="S52" s="2"/>
      </tp>
      <tp t="s">
        <v>#N/A N/A</v>
        <stp/>
        <stp>BDH|14203238625075238993</stp>
        <tr r="O80" s="2"/>
      </tp>
      <tp t="s">
        <v>#N/A N/A</v>
        <stp/>
        <stp>BDH|13843640376002110848</stp>
        <tr r="T65" s="2"/>
      </tp>
      <tp t="s">
        <v>#N/A N/A</v>
        <stp/>
        <stp>BDH|17595400058989093725</stp>
        <tr r="AA74" s="2"/>
      </tp>
      <tp t="s">
        <v>#N/A N/A</v>
        <stp/>
        <stp>BDH|16635497818138129395</stp>
        <tr r="F47" s="2"/>
      </tp>
      <tp t="s">
        <v>#N/A N/A</v>
        <stp/>
        <stp>BDH|15639870076153069195</stp>
        <tr r="Q11" s="2"/>
      </tp>
      <tp t="s">
        <v>#N/A N/A</v>
        <stp/>
        <stp>BDH|14828697111782682870</stp>
        <tr r="T61" s="2"/>
      </tp>
      <tp t="s">
        <v>#N/A N/A</v>
        <stp/>
        <stp>BDH|13357056895560097326</stp>
        <tr r="S24" s="2"/>
      </tp>
      <tp t="s">
        <v>#N/A N/A</v>
        <stp/>
        <stp>BDH|12575881728166676729</stp>
        <tr r="AA72" s="2"/>
      </tp>
      <tp t="s">
        <v>#N/A N/A</v>
        <stp/>
        <stp>BDH|12889624447940919958</stp>
        <tr r="J54" s="2"/>
      </tp>
      <tp t="s">
        <v>#N/A N/A</v>
        <stp/>
        <stp>BDH|15026979902807131252</stp>
        <tr r="E42" s="2"/>
      </tp>
      <tp t="s">
        <v>#N/A N/A</v>
        <stp/>
        <stp>BDH|17667997900694862360</stp>
        <tr r="D89" s="2"/>
      </tp>
      <tp t="s">
        <v>#N/A N/A</v>
        <stp/>
        <stp>BDH|13800145149037564808</stp>
        <tr r="N75" s="2"/>
      </tp>
      <tp t="s">
        <v>#N/A N/A</v>
        <stp/>
        <stp>BDH|17479680495073087296</stp>
        <tr r="S41" s="2"/>
      </tp>
      <tp t="s">
        <v>#N/A N/A</v>
        <stp/>
        <stp>BDH|16154837970486796651</stp>
        <tr r="N64" s="2"/>
      </tp>
      <tp t="s">
        <v>#N/A N/A</v>
        <stp/>
        <stp>BDH|16420749953205569869</stp>
        <tr r="C10" s="2"/>
      </tp>
      <tp t="s">
        <v>#N/A N/A</v>
        <stp/>
        <stp>BDH|14562659838949145196</stp>
        <tr r="G35" s="2"/>
      </tp>
      <tp t="s">
        <v>#N/A N/A</v>
        <stp/>
        <stp>BDH|14305120781256395200</stp>
        <tr r="AD72" s="2"/>
      </tp>
      <tp t="s">
        <v>#N/A N/A</v>
        <stp/>
        <stp>BDH|16286711141664200835</stp>
        <tr r="X68" s="2"/>
      </tp>
      <tp t="s">
        <v>#N/A N/A</v>
        <stp/>
        <stp>BDH|18098430390059312530</stp>
        <tr r="K68" s="2"/>
      </tp>
      <tp t="s">
        <v>#N/A N/A</v>
        <stp/>
        <stp>BDH|11159493858761694855</stp>
        <tr r="C22" s="2"/>
      </tp>
      <tp t="s">
        <v>#N/A N/A</v>
        <stp/>
        <stp>BDH|14288724462284137801</stp>
        <tr r="C27" s="2"/>
      </tp>
      <tp t="s">
        <v>#N/A N/A</v>
        <stp/>
        <stp>BDH|17137916005307508030</stp>
        <tr r="T40" s="2"/>
      </tp>
      <tp t="s">
        <v>#N/A N/A</v>
        <stp/>
        <stp>BDH|12501094756896811818</stp>
        <tr r="M61" s="2"/>
      </tp>
      <tp t="s">
        <v>#N/A N/A</v>
        <stp/>
        <stp>BDH|16166073490925546315</stp>
        <tr r="AF17" s="2"/>
      </tp>
      <tp t="s">
        <v>#N/A N/A</v>
        <stp/>
        <stp>BDH|10666668362890000901</stp>
        <tr r="E84" s="2"/>
      </tp>
      <tp t="s">
        <v>#N/A N/A</v>
        <stp/>
        <stp>BDH|14944416068928698745</stp>
        <tr r="H16" s="2"/>
      </tp>
      <tp t="s">
        <v>#N/A N/A</v>
        <stp/>
        <stp>BDH|14946285548348914358</stp>
        <tr r="I67" s="2"/>
      </tp>
      <tp t="s">
        <v>#N/A N/A</v>
        <stp/>
        <stp>BDH|17420243223956777815</stp>
        <tr r="K46" s="2"/>
      </tp>
      <tp t="s">
        <v>#N/A N/A</v>
        <stp/>
        <stp>BDH|13325107781874382748</stp>
        <tr r="M43" s="2"/>
      </tp>
      <tp t="s">
        <v>#N/A N/A</v>
        <stp/>
        <stp>BDH|14376435064769529645</stp>
        <tr r="AC20" s="2"/>
      </tp>
      <tp t="s">
        <v>#N/A N/A</v>
        <stp/>
        <stp>BDH|12661643484862159729</stp>
        <tr r="L92" s="2"/>
      </tp>
      <tp t="s">
        <v>#N/A N/A</v>
        <stp/>
        <stp>BDH|17228754704891182871</stp>
        <tr r="O84" s="2"/>
      </tp>
      <tp t="s">
        <v>#N/A N/A</v>
        <stp/>
        <stp>BDH|16535871137633541757</stp>
        <tr r="L54" s="2"/>
      </tp>
      <tp t="s">
        <v>#N/A N/A</v>
        <stp/>
        <stp>BDH|13002039183324229667</stp>
        <tr r="AA17" s="2"/>
      </tp>
      <tp t="s">
        <v>#N/A N/A</v>
        <stp/>
        <stp>BDH|13578108773199727552</stp>
        <tr r="H88" s="2"/>
      </tp>
      <tp t="s">
        <v>#N/A N/A</v>
        <stp/>
        <stp>BDH|12575536593332195506</stp>
        <tr r="P55" s="2"/>
      </tp>
      <tp t="s">
        <v>#N/A N/A</v>
        <stp/>
        <stp>BDH|17620909131095684152</stp>
        <tr r="AD70" s="2"/>
      </tp>
      <tp t="s">
        <v>#N/A N/A</v>
        <stp/>
        <stp>BDH|17757767944325615871</stp>
        <tr r="J65" s="2"/>
      </tp>
      <tp t="s">
        <v>#N/A N/A</v>
        <stp/>
        <stp>BDH|11285067422782481861</stp>
        <tr r="J47" s="2"/>
      </tp>
      <tp t="s">
        <v>#N/A N/A</v>
        <stp/>
        <stp>BDH|18357413446369465878</stp>
        <tr r="AE53" s="2"/>
      </tp>
      <tp t="s">
        <v>#N/A N/A</v>
        <stp/>
        <stp>BDH|15744070095931066422</stp>
        <tr r="V69" s="2"/>
      </tp>
      <tp t="s">
        <v>#N/A N/A</v>
        <stp/>
        <stp>BDH|13360593116146816839</stp>
        <tr r="Z92" s="2"/>
      </tp>
      <tp t="s">
        <v>#N/A N/A</v>
        <stp/>
        <stp>BDH|18187893087204974505</stp>
        <tr r="AE18" s="2"/>
      </tp>
      <tp t="s">
        <v>#N/A N/A</v>
        <stp/>
        <stp>BDH|13794112141167657871</stp>
        <tr r="V58" s="2"/>
      </tp>
      <tp t="s">
        <v>#N/A N/A</v>
        <stp/>
        <stp>BDH|18130051893218607073</stp>
        <tr r="Z75" s="2"/>
      </tp>
      <tp t="s">
        <v>#N/A N/A</v>
        <stp/>
        <stp>BDH|15645921173197536543</stp>
        <tr r="AB50" s="2"/>
      </tp>
      <tp t="s">
        <v>#N/A N/A</v>
        <stp/>
        <stp>BDH|16793251826948339716</stp>
        <tr r="J40" s="2"/>
      </tp>
      <tp t="s">
        <v>#N/A N/A</v>
        <stp/>
        <stp>BDH|17417039342022912850</stp>
        <tr r="C12" s="2"/>
      </tp>
      <tp t="s">
        <v>#N/A N/A</v>
        <stp/>
        <stp>BDH|12207870289969482210</stp>
        <tr r="AF22" s="2"/>
      </tp>
      <tp t="s">
        <v>#N/A N/A</v>
        <stp/>
        <stp>BDH|17254189776418039040</stp>
        <tr r="N68" s="2"/>
      </tp>
      <tp t="s">
        <v>#N/A N/A</v>
        <stp/>
        <stp>BDH|17659895732844551104</stp>
        <tr r="C55" s="2"/>
      </tp>
      <tp t="s">
        <v>#N/A N/A</v>
        <stp/>
        <stp>BDH|13985352064699225620</stp>
        <tr r="T56" s="2"/>
      </tp>
      <tp t="s">
        <v>#N/A N/A</v>
        <stp/>
        <stp>BDH|15883285325378941447</stp>
        <tr r="W11" s="2"/>
      </tp>
      <tp t="s">
        <v>#N/A N/A</v>
        <stp/>
        <stp>BDH|13692695595077418261</stp>
        <tr r="E61" s="2"/>
      </tp>
      <tp t="s">
        <v>#N/A N/A</v>
        <stp/>
        <stp>BDH|15271550089024333557</stp>
        <tr r="M51" s="2"/>
      </tp>
      <tp t="s">
        <v>#N/A N/A</v>
        <stp/>
        <stp>BDH|16470664996444525495</stp>
        <tr r="AB55" s="2"/>
      </tp>
      <tp t="s">
        <v>#N/A N/A</v>
        <stp/>
        <stp>BDH|17075180590437967195</stp>
        <tr r="Z81" s="2"/>
      </tp>
      <tp t="s">
        <v>#N/A N/A</v>
        <stp/>
        <stp>BDH|13212223099233946284</stp>
        <tr r="E23" s="2"/>
      </tp>
      <tp t="s">
        <v>#N/A N/A</v>
        <stp/>
        <stp>BDH|10751918676936944129</stp>
        <tr r="AB64" s="2"/>
      </tp>
      <tp t="s">
        <v>#N/A N/A</v>
        <stp/>
        <stp>BDH|15326157917414397897</stp>
        <tr r="C49" s="2"/>
      </tp>
      <tp t="s">
        <v>#N/A N/A</v>
        <stp/>
        <stp>BDH|18343324649031613751</stp>
        <tr r="T62" s="2"/>
      </tp>
      <tp t="s">
        <v>#N/A N/A</v>
        <stp/>
        <stp>BDH|13081420628064986886</stp>
        <tr r="G76" s="2"/>
      </tp>
      <tp t="s">
        <v>#N/A N/A</v>
        <stp/>
        <stp>BDH|13593081939298816160</stp>
        <tr r="R60" s="2"/>
      </tp>
      <tp t="s">
        <v>#N/A N/A</v>
        <stp/>
        <stp>BDH|12768118662405634981</stp>
        <tr r="K34" s="2"/>
      </tp>
      <tp t="s">
        <v>#N/A N/A</v>
        <stp/>
        <stp>BDH|18030184391950407971</stp>
        <tr r="I43" s="2"/>
      </tp>
      <tp t="s">
        <v>#N/A N/A</v>
        <stp/>
        <stp>BDH|17535062699063959498</stp>
        <tr r="V21" s="2"/>
      </tp>
      <tp t="s">
        <v>#N/A N/A</v>
        <stp/>
        <stp>BDH|15163687192524490751</stp>
        <tr r="X86" s="2"/>
      </tp>
      <tp t="s">
        <v>#N/A N/A</v>
        <stp/>
        <stp>BDH|16082531580286110489</stp>
        <tr r="I33" s="2"/>
      </tp>
      <tp t="s">
        <v>#N/A N/A</v>
        <stp/>
        <stp>BDH|13902826976994928194</stp>
        <tr r="Z33" s="2"/>
      </tp>
      <tp t="s">
        <v>#N/A N/A</v>
        <stp/>
        <stp>BDH|13085915169222346763</stp>
        <tr r="G71" s="2"/>
      </tp>
      <tp t="s">
        <v>#N/A N/A</v>
        <stp/>
        <stp>BDH|13982801224924936496</stp>
        <tr r="G28" s="2"/>
      </tp>
      <tp t="s">
        <v>#N/A N/A</v>
        <stp/>
        <stp>BDH|11052472255681805875</stp>
        <tr r="M70" s="2"/>
      </tp>
      <tp t="s">
        <v>#N/A N/A</v>
        <stp/>
        <stp>BDH|11603748559743499931</stp>
        <tr r="Y80" s="2"/>
      </tp>
      <tp t="s">
        <v>#N/A N/A</v>
        <stp/>
        <stp>BDH|16548457261854652985</stp>
        <tr r="AE57" s="2"/>
      </tp>
      <tp t="s">
        <v>#N/A N/A</v>
        <stp/>
        <stp>BDH|10570432760018820317</stp>
        <tr r="AA35" s="2"/>
      </tp>
      <tp t="s">
        <v>#N/A N/A</v>
        <stp/>
        <stp>BDH|11150377257897642995</stp>
        <tr r="R23" s="2"/>
      </tp>
      <tp t="s">
        <v>#N/A N/A</v>
        <stp/>
        <stp>BDH|13706781390065415159</stp>
        <tr r="V65" s="2"/>
      </tp>
      <tp t="s">
        <v>#N/A N/A</v>
        <stp/>
        <stp>BDH|14587623962874227992</stp>
        <tr r="D19" s="2"/>
      </tp>
      <tp t="s">
        <v>#N/A N/A</v>
        <stp/>
        <stp>BDH|14840267815169377767</stp>
        <tr r="F64" s="2"/>
      </tp>
      <tp t="s">
        <v>#N/A N/A</v>
        <stp/>
        <stp>BDH|14914081617698665312</stp>
        <tr r="AE25" s="2"/>
      </tp>
      <tp t="s">
        <v>#N/A N/A</v>
        <stp/>
        <stp>BDH|18293734044750437509</stp>
        <tr r="I41" s="2"/>
      </tp>
      <tp t="s">
        <v>#N/A N/A</v>
        <stp/>
        <stp>BDH|16715631559419953255</stp>
        <tr r="AE34" s="2"/>
      </tp>
      <tp t="s">
        <v>#N/A N/A</v>
        <stp/>
        <stp>BDH|13138883269946717570</stp>
        <tr r="AB80" s="2"/>
      </tp>
      <tp t="s">
        <v>#N/A N/A</v>
        <stp/>
        <stp>BDH|15934945423220959079</stp>
        <tr r="H43" s="2"/>
      </tp>
      <tp t="s">
        <v>#N/A N/A</v>
        <stp/>
        <stp>BDH|10656065677341394842</stp>
        <tr r="H33" s="2"/>
      </tp>
      <tp t="s">
        <v>#N/A N/A</v>
        <stp/>
        <stp>BDH|14485568169961336885</stp>
        <tr r="X49" s="2"/>
      </tp>
      <tp t="s">
        <v>#N/A N/A</v>
        <stp/>
        <stp>BDH|10531966871827399713</stp>
        <tr r="L18" s="2"/>
      </tp>
      <tp t="s">
        <v>#N/A N/A</v>
        <stp/>
        <stp>BDH|10507374517464709826</stp>
        <tr r="AD9" s="2"/>
      </tp>
      <tp t="s">
        <v>#N/A N/A</v>
        <stp/>
        <stp>BDH|17694471412744901897</stp>
        <tr r="Q40" s="2"/>
      </tp>
      <tp t="s">
        <v>#N/A N/A</v>
        <stp/>
        <stp>BDH|15498566261239633160</stp>
        <tr r="P63" s="2"/>
      </tp>
      <tp t="s">
        <v>#N/A N/A</v>
        <stp/>
        <stp>BDH|14679467145623359951</stp>
        <tr r="Y49" s="2"/>
      </tp>
      <tp t="s">
        <v>#N/A N/A</v>
        <stp/>
        <stp>BDH|16025983660364305384</stp>
        <tr r="C18" s="2"/>
      </tp>
      <tp t="s">
        <v>#N/A N/A</v>
        <stp/>
        <stp>BDH|11933189442762890881</stp>
        <tr r="E65" s="2"/>
      </tp>
      <tp t="s">
        <v>#N/A N/A</v>
        <stp/>
        <stp>BDH|16254282889302057012</stp>
        <tr r="W22" s="2"/>
      </tp>
      <tp t="s">
        <v>#N/A N/A</v>
        <stp/>
        <stp>BDH|17773815130290566216</stp>
        <tr r="F43" s="2"/>
      </tp>
      <tp t="s">
        <v>#N/A N/A</v>
        <stp/>
        <stp>BDH|14859240999889494833</stp>
        <tr r="M66" s="2"/>
      </tp>
      <tp t="s">
        <v>#N/A N/A</v>
        <stp/>
        <stp>BDH|12757921872267257575</stp>
        <tr r="P53" s="2"/>
      </tp>
      <tp t="s">
        <v>#N/A N/A</v>
        <stp/>
        <stp>BDH|16439200761299667511</stp>
        <tr r="AB53" s="2"/>
      </tp>
      <tp t="s">
        <v>#N/A N/A</v>
        <stp/>
        <stp>BDH|15532942411661527270</stp>
        <tr r="L16" s="2"/>
      </tp>
      <tp t="s">
        <v>#N/A N/A</v>
        <stp/>
        <stp>BDH|14612904808361536291</stp>
        <tr r="Y54" s="2"/>
      </tp>
      <tp t="s">
        <v>#N/A N/A</v>
        <stp/>
        <stp>BDH|13848958959472672371</stp>
        <tr r="F83" s="2"/>
      </tp>
      <tp t="s">
        <v>#N/A N/A</v>
        <stp/>
        <stp>BDH|17201033081811491012</stp>
        <tr r="G90" s="2"/>
      </tp>
      <tp t="s">
        <v>#N/A N/A</v>
        <stp/>
        <stp>BDH|10637811556476060547</stp>
        <tr r="C69" s="2"/>
      </tp>
      <tp t="s">
        <v>#N/A N/A</v>
        <stp/>
        <stp>BDH|12728911636320306666</stp>
        <tr r="Y12" s="2"/>
      </tp>
      <tp t="s">
        <v>#N/A N/A</v>
        <stp/>
        <stp>BDH|18142586376371280592</stp>
        <tr r="U29" s="2"/>
      </tp>
      <tp t="s">
        <v>#N/A N/A</v>
        <stp/>
        <stp>BDH|15002683289980003554</stp>
        <tr r="G30" s="2"/>
      </tp>
      <tp t="s">
        <v>#N/A N/A</v>
        <stp/>
        <stp>BDH|14815137421518870169</stp>
        <tr r="AB58" s="2"/>
      </tp>
      <tp t="s">
        <v>#N/A N/A</v>
        <stp/>
        <stp>BDH|16395916402648581929</stp>
        <tr r="X92" s="2"/>
      </tp>
      <tp t="s">
        <v>#N/A N/A</v>
        <stp/>
        <stp>BDH|13343434711499234148</stp>
        <tr r="H75" s="2"/>
      </tp>
      <tp t="s">
        <v>#N/A N/A</v>
        <stp/>
        <stp>BDH|17921596233338600728</stp>
        <tr r="AF48" s="2"/>
      </tp>
      <tp t="s">
        <v>#N/A N/A</v>
        <stp/>
        <stp>BDH|12991670456848741787</stp>
        <tr r="X54" s="2"/>
      </tp>
      <tp t="s">
        <v>#N/A N/A</v>
        <stp/>
        <stp>BDH|16961054089541668141</stp>
        <tr r="V81" s="2"/>
      </tp>
      <tp t="s">
        <v>#N/A N/A</v>
        <stp/>
        <stp>BDH|12288436878507951878</stp>
        <tr r="M19" s="2"/>
      </tp>
      <tp t="s">
        <v>#N/A N/A</v>
        <stp/>
        <stp>BDH|16334474314228720502</stp>
        <tr r="N69" s="2"/>
      </tp>
      <tp t="s">
        <v>#N/A N/A</v>
        <stp/>
        <stp>BDH|12025218370998172169</stp>
        <tr r="Y89" s="2"/>
      </tp>
      <tp t="s">
        <v>#N/A N/A</v>
        <stp/>
        <stp>BDH|12727821838150275796</stp>
        <tr r="Q14" s="2"/>
      </tp>
      <tp t="s">
        <v>#N/A N/A</v>
        <stp/>
        <stp>BDH|17834386893015175640</stp>
        <tr r="R20" s="2"/>
      </tp>
      <tp t="s">
        <v>#N/A N/A</v>
        <stp/>
        <stp>BDH|14459962071236141241</stp>
        <tr r="C57" s="2"/>
      </tp>
      <tp t="s">
        <v>#N/A N/A</v>
        <stp/>
        <stp>BDH|10113277838298082788</stp>
        <tr r="T36" s="2"/>
      </tp>
      <tp t="s">
        <v>#N/A N/A</v>
        <stp/>
        <stp>BDH|14258580172851455951</stp>
        <tr r="Y33" s="2"/>
      </tp>
      <tp t="s">
        <v>#N/A N/A</v>
        <stp/>
        <stp>BDH|18433077759650152329</stp>
        <tr r="AB35" s="2"/>
      </tp>
      <tp t="s">
        <v>#N/A N/A</v>
        <stp/>
        <stp>BDH|16563654491372818505</stp>
        <tr r="M36" s="2"/>
      </tp>
      <tp t="s">
        <v>#N/A N/A</v>
        <stp/>
        <stp>BDH|15828168989467843576</stp>
        <tr r="E12" s="2"/>
      </tp>
      <tp t="s">
        <v>#N/A N/A</v>
        <stp/>
        <stp>BDH|12704255432638059585</stp>
        <tr r="N82" s="2"/>
      </tp>
      <tp t="s">
        <v>#N/A N/A</v>
        <stp/>
        <stp>BDH|16785112489820093178</stp>
        <tr r="Z23" s="2"/>
      </tp>
      <tp t="s">
        <v>#N/A N/A</v>
        <stp/>
        <stp>BDH|11784400198390096270</stp>
        <tr r="V8" s="2"/>
      </tp>
      <tp t="s">
        <v>#N/A N/A</v>
        <stp/>
        <stp>BDH|13835860463140347360</stp>
        <tr r="I17" s="2"/>
      </tp>
      <tp t="s">
        <v>#N/A N/A</v>
        <stp/>
        <stp>BDH|14778963571726916228</stp>
        <tr r="E16" s="2"/>
      </tp>
      <tp t="s">
        <v>#N/A N/A</v>
        <stp/>
        <stp>BDH|12435289286625810394</stp>
        <tr r="S26" s="2"/>
      </tp>
      <tp t="s">
        <v>#N/A N/A</v>
        <stp/>
        <stp>BDH|15500085189670956368</stp>
        <tr r="K21" s="2"/>
      </tp>
      <tp t="s">
        <v>#N/A N/A</v>
        <stp/>
        <stp>BDH|14715102717632861831</stp>
        <tr r="J66" s="2"/>
      </tp>
      <tp t="s">
        <v>#N/A N/A</v>
        <stp/>
        <stp>BDH|14180060721229588187</stp>
        <tr r="Y63" s="2"/>
      </tp>
      <tp t="s">
        <v>#N/A N/A</v>
        <stp/>
        <stp>BDH|10748684988237566791</stp>
        <tr r="R21" s="2"/>
      </tp>
      <tp t="s">
        <v>#N/A N/A</v>
        <stp/>
        <stp>BDH|14906432411086369930</stp>
        <tr r="W67" s="2"/>
      </tp>
      <tp t="s">
        <v>#N/A N/A</v>
        <stp/>
        <stp>BDH|13997780255556872961</stp>
        <tr r="X55" s="2"/>
      </tp>
      <tp t="s">
        <v>#N/A N/A</v>
        <stp/>
        <stp>BDH|10544017248149080364</stp>
        <tr r="Z15" s="2"/>
      </tp>
      <tp t="s">
        <v>#N/A N/A</v>
        <stp/>
        <stp>BDH|15844635045470591967</stp>
        <tr r="AE43" s="2"/>
      </tp>
      <tp t="s">
        <v>#N/A N/A</v>
        <stp/>
        <stp>BDH|11410161579698584134</stp>
        <tr r="S33" s="2"/>
      </tp>
      <tp t="s">
        <v>#N/A N/A</v>
        <stp/>
        <stp>BDH|16901320394640088220</stp>
        <tr r="O63" s="2"/>
      </tp>
      <tp t="s">
        <v>#N/A N/A</v>
        <stp/>
        <stp>BDH|12304336189726358174</stp>
        <tr r="K25" s="2"/>
      </tp>
      <tp t="s">
        <v>#N/A N/A</v>
        <stp/>
        <stp>BDH|12644519339388369208</stp>
        <tr r="M30" s="2"/>
      </tp>
      <tp t="s">
        <v>#N/A N/A</v>
        <stp/>
        <stp>BDH|11995659991732925292</stp>
        <tr r="Z35" s="2"/>
      </tp>
      <tp t="s">
        <v>#N/A N/A</v>
        <stp/>
        <stp>BDH|15514640647131805835</stp>
        <tr r="H30" s="2"/>
      </tp>
      <tp t="s">
        <v>#N/A N/A</v>
        <stp/>
        <stp>BDH|11200295314004651845</stp>
        <tr r="U33" s="2"/>
      </tp>
      <tp t="s">
        <v>#N/A N/A</v>
        <stp/>
        <stp>BDH|10226528387512938125</stp>
        <tr r="S43" s="2"/>
      </tp>
      <tp t="s">
        <v>#N/A N/A</v>
        <stp/>
        <stp>BDH|12404820191815848834</stp>
        <tr r="D53" s="2"/>
      </tp>
      <tp t="s">
        <v>#N/A N/A</v>
        <stp/>
        <stp>BDH|10628927008393286422</stp>
        <tr r="C45" s="2"/>
      </tp>
      <tp t="s">
        <v>#N/A N/A</v>
        <stp/>
        <stp>BDH|15267518000677636999</stp>
        <tr r="H87" s="2"/>
      </tp>
      <tp t="s">
        <v>#N/A N/A</v>
        <stp/>
        <stp>BDH|13001746215483954847</stp>
        <tr r="AB10" s="2"/>
      </tp>
      <tp t="s">
        <v>#N/A N/A</v>
        <stp/>
        <stp>BDH|17507054113451618997</stp>
        <tr r="U47" s="2"/>
      </tp>
      <tp t="s">
        <v>#N/A N/A</v>
        <stp/>
        <stp>BDH|16606397760829692452</stp>
        <tr r="R47" s="2"/>
      </tp>
      <tp t="s">
        <v>#N/A N/A</v>
        <stp/>
        <stp>BDH|17737480232026506878</stp>
        <tr r="N12" s="2"/>
      </tp>
      <tp t="s">
        <v>#N/A N/A</v>
        <stp/>
        <stp>BDH|16888408521847738915</stp>
        <tr r="W47" s="2"/>
      </tp>
      <tp t="s">
        <v>#N/A N/A</v>
        <stp/>
        <stp>BDH|11555273376942931821</stp>
        <tr r="M33" s="2"/>
      </tp>
      <tp t="s">
        <v>#N/A N/A</v>
        <stp/>
        <stp>BDH|15380649516395621985</stp>
        <tr r="F36" s="2"/>
      </tp>
      <tp t="s">
        <v>#N/A N/A</v>
        <stp/>
        <stp>BDH|18122673171710134790</stp>
        <tr r="P91" s="2"/>
      </tp>
      <tp t="s">
        <v>#N/A N/A</v>
        <stp/>
        <stp>BDH|10167355949198526163</stp>
        <tr r="H55" s="2"/>
      </tp>
      <tp t="s">
        <v>#N/A N/A</v>
        <stp/>
        <stp>BDH|16836071906431531924</stp>
        <tr r="G56" s="2"/>
      </tp>
      <tp t="s">
        <v>#N/A N/A</v>
        <stp/>
        <stp>BDH|12277211381097963151</stp>
        <tr r="L66" s="2"/>
      </tp>
      <tp t="s">
        <v>#N/A N/A</v>
        <stp/>
        <stp>BDH|12314045899912293723</stp>
        <tr r="AE14" s="2"/>
      </tp>
      <tp t="s">
        <v>#N/A N/A</v>
        <stp/>
        <stp>BDH|15261357545944477976</stp>
        <tr r="AC51" s="2"/>
      </tp>
      <tp t="s">
        <v>#N/A N/A</v>
        <stp/>
        <stp>BDH|10659464290885562747</stp>
        <tr r="P81" s="2"/>
      </tp>
      <tp t="s">
        <v>#N/A N/A</v>
        <stp/>
        <stp>BDH|17112295742096966838</stp>
        <tr r="X14" s="2"/>
      </tp>
      <tp t="s">
        <v>#N/A N/A</v>
        <stp/>
        <stp>BDH|13487342658698116291</stp>
        <tr r="F14" s="2"/>
      </tp>
      <tp t="s">
        <v>#N/A N/A</v>
        <stp/>
        <stp>BDH|13059431361649608740</stp>
        <tr r="AE80" s="2"/>
      </tp>
      <tp t="s">
        <v>#N/A N/A</v>
        <stp/>
        <stp>BDH|13338707464829327449</stp>
        <tr r="C87" s="2"/>
      </tp>
      <tp t="s">
        <v>#N/A N/A</v>
        <stp/>
        <stp>BDH|11303909630954135026</stp>
        <tr r="D73" s="2"/>
      </tp>
      <tp t="s">
        <v>#N/A N/A</v>
        <stp/>
        <stp>BDH|10320999349371977395</stp>
        <tr r="L43" s="2"/>
      </tp>
      <tp t="s">
        <v>#N/A N/A</v>
        <stp/>
        <stp>BDH|13712845384528387474</stp>
        <tr r="AF57" s="2"/>
      </tp>
      <tp t="s">
        <v>#N/A N/A</v>
        <stp/>
        <stp>BDH|12224275527395540841</stp>
        <tr r="AC30" s="2"/>
      </tp>
      <tp t="s">
        <v>#N/A N/A</v>
        <stp/>
        <stp>BDH|11376626964659319753</stp>
        <tr r="C40" s="2"/>
      </tp>
      <tp t="s">
        <v>#N/A N/A</v>
        <stp/>
        <stp>BDH|12986363418798434717</stp>
        <tr r="F23" s="2"/>
      </tp>
      <tp t="s">
        <v>#N/A N/A</v>
        <stp/>
        <stp>BDH|14362418000687968891</stp>
        <tr r="Y81" s="2"/>
      </tp>
      <tp t="s">
        <v>#N/A N/A</v>
        <stp/>
        <stp>BDH|17958962164796821112</stp>
        <tr r="P49" s="2"/>
      </tp>
      <tp t="s">
        <v>#N/A N/A</v>
        <stp/>
        <stp>BDH|14598207436742642878</stp>
        <tr r="V90" s="2"/>
      </tp>
      <tp t="s">
        <v>#N/A N/A</v>
        <stp/>
        <stp>BDH|14663653915955249910</stp>
        <tr r="G16" s="2"/>
      </tp>
      <tp t="s">
        <v>#N/A N/A</v>
        <stp/>
        <stp>BDH|12025608918013589985</stp>
        <tr r="AB52" s="2"/>
      </tp>
      <tp t="s">
        <v>#N/A N/A</v>
        <stp/>
        <stp>BDH|10161027023909024442</stp>
        <tr r="AB89" s="2"/>
      </tp>
      <tp t="s">
        <v>#N/A N/A</v>
        <stp/>
        <stp>BDH|15627970019382896045</stp>
        <tr r="W8" s="2"/>
      </tp>
      <tp t="s">
        <v>#N/A N/A</v>
        <stp/>
        <stp>BDH|12685429554505352972</stp>
        <tr r="J9" s="2"/>
      </tp>
      <tp t="s">
        <v>#N/A N/A</v>
        <stp/>
        <stp>BDH|17703987356034454092</stp>
        <tr r="AE24" s="2"/>
      </tp>
      <tp t="s">
        <v>#N/A N/A</v>
        <stp/>
        <stp>BDH|15659993900185821632</stp>
        <tr r="Z59" s="2"/>
      </tp>
      <tp t="s">
        <v>#N/A N/A</v>
        <stp/>
        <stp>BDH|11390214515594076938</stp>
        <tr r="X45" s="2"/>
      </tp>
      <tp t="s">
        <v>#N/A N/A</v>
        <stp/>
        <stp>BDH|10609625504949289061</stp>
        <tr r="M27" s="2"/>
      </tp>
      <tp t="s">
        <v>#N/A N/A</v>
        <stp/>
        <stp>BDH|13287981748836790726</stp>
        <tr r="AA81" s="2"/>
      </tp>
      <tp t="s">
        <v>#N/A N/A</v>
        <stp/>
        <stp>BDH|14511307919818942126</stp>
        <tr r="Q8" s="2"/>
      </tp>
      <tp t="s">
        <v>#N/A N/A</v>
        <stp/>
        <stp>BDH|15148311301741004861</stp>
        <tr r="M10" s="2"/>
      </tp>
      <tp t="s">
        <v>#N/A N/A</v>
        <stp/>
        <stp>BDH|15866471105979446799</stp>
        <tr r="F85" s="2"/>
      </tp>
      <tp t="s">
        <v>#N/A N/A</v>
        <stp/>
        <stp>BDH|11819817719924796300</stp>
        <tr r="Q33" s="2"/>
      </tp>
      <tp t="s">
        <v>#N/A N/A</v>
        <stp/>
        <stp>BDH|14812989900771071367</stp>
        <tr r="L32" s="2"/>
      </tp>
      <tp t="s">
        <v>#N/A N/A</v>
        <stp/>
        <stp>BDH|16445587089834680050</stp>
        <tr r="W10" s="2"/>
      </tp>
      <tp t="s">
        <v>#N/A N/A</v>
        <stp/>
        <stp>BDH|10285157140848645271</stp>
        <tr r="AB48" s="2"/>
      </tp>
      <tp t="s">
        <v>#N/A N/A</v>
        <stp/>
        <stp>BDH|11046339211774438808</stp>
        <tr r="R52" s="2"/>
      </tp>
      <tp t="s">
        <v>#N/A N/A</v>
        <stp/>
        <stp>BDH|10751514883720366207</stp>
        <tr r="I14" s="2"/>
      </tp>
      <tp t="s">
        <v>#N/A N/A</v>
        <stp/>
        <stp>BDH|17278035283558573817</stp>
        <tr r="K90" s="2"/>
      </tp>
      <tp t="s">
        <v>#N/A N/A</v>
        <stp/>
        <stp>BDH|13901572537429430348</stp>
        <tr r="AD66" s="2"/>
      </tp>
      <tp t="s">
        <v>#N/A N/A</v>
        <stp/>
        <stp>BDH|11478884675099989898</stp>
        <tr r="C13" s="2"/>
      </tp>
      <tp t="s">
        <v>#N/A N/A</v>
        <stp/>
        <stp>BDH|12269309718336225919</stp>
        <tr r="AC8" s="2"/>
      </tp>
      <tp t="s">
        <v>#N/A N/A</v>
        <stp/>
        <stp>BDH|16939613395321624725</stp>
        <tr r="O45" s="2"/>
      </tp>
      <tp t="s">
        <v>#N/A N/A</v>
        <stp/>
        <stp>BDH|15303982634834475432</stp>
        <tr r="R16" s="2"/>
      </tp>
      <tp t="s">
        <v>#N/A N/A</v>
        <stp/>
        <stp>BDH|16020993377886293141</stp>
        <tr r="R15" s="2"/>
      </tp>
      <tp t="s">
        <v>#N/A N/A</v>
        <stp/>
        <stp>BDH|17864071729979909348</stp>
        <tr r="Z52" s="2"/>
      </tp>
      <tp t="s">
        <v>#N/A N/A</v>
        <stp/>
        <stp>BDH|10564905814415930230</stp>
        <tr r="AE10" s="2"/>
      </tp>
      <tp t="s">
        <v>#N/A N/A</v>
        <stp/>
        <stp>BDH|16524989063202350468</stp>
        <tr r="AE54" s="2"/>
      </tp>
      <tp t="s">
        <v>#N/A N/A</v>
        <stp/>
        <stp>BDH|17214623897502444593</stp>
        <tr r="AA88" s="2"/>
      </tp>
      <tp t="s">
        <v>#N/A N/A</v>
        <stp/>
        <stp>BDH|15677632493170831543</stp>
        <tr r="Z39" s="2"/>
      </tp>
      <tp t="s">
        <v>#N/A N/A</v>
        <stp/>
        <stp>BDH|16705888813609428957</stp>
        <tr r="AF20" s="2"/>
      </tp>
      <tp t="s">
        <v>#N/A N/A</v>
        <stp/>
        <stp>BDH|15650965554496817012</stp>
        <tr r="AF84" s="2"/>
      </tp>
      <tp t="s">
        <v>#N/A N/A</v>
        <stp/>
        <stp>BDH|14405112461485929901</stp>
        <tr r="Q61" s="2"/>
      </tp>
      <tp t="s">
        <v>#N/A N/A</v>
        <stp/>
        <stp>BDH|12846626334998362027</stp>
        <tr r="U24" s="2"/>
      </tp>
      <tp t="s">
        <v>#N/A N/A</v>
        <stp/>
        <stp>BDH|17505012783532908211</stp>
        <tr r="N11" s="2"/>
      </tp>
      <tp t="s">
        <v>#N/A N/A</v>
        <stp/>
        <stp>BDH|16006417827409998611</stp>
        <tr r="P8" s="2"/>
      </tp>
      <tp t="s">
        <v>#N/A N/A</v>
        <stp/>
        <stp>BDH|11280371629016079923</stp>
        <tr r="U85" s="2"/>
      </tp>
      <tp t="s">
        <v>#N/A N/A</v>
        <stp/>
        <stp>BDH|15790775050540905875</stp>
        <tr r="D9" s="2"/>
      </tp>
      <tp t="s">
        <v>#N/A N/A</v>
        <stp/>
        <stp>BDH|10296109101356956840</stp>
        <tr r="AE69" s="2"/>
      </tp>
      <tp t="s">
        <v>#N/A N/A</v>
        <stp/>
        <stp>BDH|17315504351568471082</stp>
        <tr r="Q47" s="2"/>
      </tp>
      <tp t="s">
        <v>#N/A N/A</v>
        <stp/>
        <stp>BDH|14624968907075053462</stp>
        <tr r="D12" s="2"/>
      </tp>
      <tp t="s">
        <v>#N/A N/A</v>
        <stp/>
        <stp>BDH|16148996171860021484</stp>
        <tr r="V66" s="2"/>
      </tp>
      <tp t="s">
        <v>#N/A N/A</v>
        <stp/>
        <stp>BDH|10519349896227010169</stp>
        <tr r="U40" s="2"/>
      </tp>
      <tp t="s">
        <v>#N/A N/A</v>
        <stp/>
        <stp>BDH|15909691183923499463</stp>
        <tr r="AC21" s="2"/>
      </tp>
      <tp t="s">
        <v>#N/A N/A</v>
        <stp/>
        <stp>BDH|15459874644874481124</stp>
        <tr r="F44" s="2"/>
      </tp>
      <tp t="s">
        <v>#N/A N/A</v>
        <stp/>
        <stp>BDH|13032968645226747459</stp>
        <tr r="N80" s="2"/>
      </tp>
      <tp t="s">
        <v>#N/A N/A</v>
        <stp/>
        <stp>BDH|10118214085775546304</stp>
        <tr r="AE17" s="2"/>
      </tp>
      <tp t="s">
        <v>#N/A N/A</v>
        <stp/>
        <stp>BDH|17767713148608673082</stp>
        <tr r="O75" s="2"/>
      </tp>
      <tp t="s">
        <v>#N/A N/A</v>
        <stp/>
        <stp>BDH|16212863222111086151</stp>
        <tr r="AA52" s="2"/>
      </tp>
      <tp t="s">
        <v>#N/A N/A</v>
        <stp/>
        <stp>BDH|11458186108444528822</stp>
        <tr r="R67" s="2"/>
      </tp>
      <tp t="s">
        <v>#N/A N/A</v>
        <stp/>
        <stp>BDH|15262139292780021118</stp>
        <tr r="L31" s="2"/>
      </tp>
      <tp t="s">
        <v>#N/A N/A</v>
        <stp/>
        <stp>BDH|12432713457435433942</stp>
        <tr r="W61" s="2"/>
      </tp>
      <tp t="s">
        <v>#N/A N/A</v>
        <stp/>
        <stp>BDH|15460321430898502166</stp>
        <tr r="C63" s="2"/>
      </tp>
      <tp t="s">
        <v>#N/A N/A</v>
        <stp/>
        <stp>BDH|14685101835118010267</stp>
        <tr r="Z28" s="2"/>
      </tp>
      <tp t="s">
        <v>#N/A N/A</v>
        <stp/>
        <stp>BDH|15169522087273518744</stp>
        <tr r="D26" s="2"/>
      </tp>
      <tp t="s">
        <v>#N/A N/A</v>
        <stp/>
        <stp>BDH|15021935600026563631</stp>
        <tr r="L83" s="2"/>
      </tp>
      <tp t="s">
        <v>#N/A N/A</v>
        <stp/>
        <stp>BDH|14017665147532436802</stp>
        <tr r="H56" s="2"/>
      </tp>
      <tp t="s">
        <v>#N/A N/A</v>
        <stp/>
        <stp>BDH|13144215096176276211</stp>
        <tr r="O17" s="2"/>
      </tp>
      <tp t="s">
        <v>#N/A N/A</v>
        <stp/>
        <stp>BDH|11165761496074791738</stp>
        <tr r="P14" s="2"/>
      </tp>
      <tp t="s">
        <v>#N/A N/A</v>
        <stp/>
        <stp>BDH|15969878313161133187</stp>
        <tr r="W76" s="2"/>
      </tp>
      <tp t="s">
        <v>#N/A N/A</v>
        <stp/>
        <stp>BDH|16460312722678211318</stp>
        <tr r="D74" s="2"/>
      </tp>
      <tp t="s">
        <v>#N/A N/A</v>
        <stp/>
        <stp>BDH|15183981779614720337</stp>
        <tr r="M86" s="2"/>
      </tp>
      <tp t="s">
        <v>#N/A N/A</v>
        <stp/>
        <stp>BDH|17540542027405591971</stp>
        <tr r="U69" s="2"/>
      </tp>
      <tp t="s">
        <v>#N/A N/A</v>
        <stp/>
        <stp>BDH|14512304696641620318</stp>
        <tr r="K86" s="2"/>
      </tp>
      <tp t="s">
        <v>#N/A N/A</v>
        <stp/>
        <stp>BDH|12672327341251288801</stp>
        <tr r="X13" s="2"/>
      </tp>
      <tp t="s">
        <v>#N/A N/A</v>
        <stp/>
        <stp>BDH|11485174580671398579</stp>
        <tr r="I20" s="2"/>
      </tp>
      <tp t="s">
        <v>#N/A N/A</v>
        <stp/>
        <stp>BDH|17186348871878535762</stp>
        <tr r="Z53" s="2"/>
      </tp>
      <tp t="s">
        <v>#N/A N/A</v>
        <stp/>
        <stp>BDH|13121337631528432719</stp>
        <tr r="X41" s="2"/>
      </tp>
      <tp t="s">
        <v>#N/A N/A</v>
        <stp/>
        <stp>BDH|14297992088039505001</stp>
        <tr r="H22" s="2"/>
      </tp>
      <tp t="s">
        <v>#N/A N/A</v>
        <stp/>
        <stp>BDH|14572633450928848386</stp>
        <tr r="I81" s="2"/>
      </tp>
      <tp t="s">
        <v>#N/A N/A</v>
        <stp/>
        <stp>BDH|16121862484098574207</stp>
        <tr r="P46" s="2"/>
      </tp>
      <tp t="s">
        <v>#N/A N/A</v>
        <stp/>
        <stp>BDH|12268604058985750846</stp>
        <tr r="J28" s="2"/>
      </tp>
      <tp t="s">
        <v>#N/A N/A</v>
        <stp/>
        <stp>BDH|15247629048889466250</stp>
        <tr r="U66" s="2"/>
      </tp>
      <tp t="s">
        <v>#N/A N/A</v>
        <stp/>
        <stp>BDH|15667309003308501287</stp>
        <tr r="X91" s="2"/>
      </tp>
      <tp t="s">
        <v>#N/A N/A</v>
        <stp/>
        <stp>BDH|16835342094860402042</stp>
        <tr r="C28" s="2"/>
      </tp>
      <tp t="s">
        <v>#N/A N/A</v>
        <stp/>
        <stp>BDH|13005674569448685707</stp>
        <tr r="Q35" s="2"/>
      </tp>
      <tp t="s">
        <v>#N/A N/A</v>
        <stp/>
        <stp>BDH|17594834916666006488</stp>
        <tr r="V88" s="2"/>
      </tp>
      <tp t="s">
        <v>#N/A N/A</v>
        <stp/>
        <stp>BDH|13916738952875370837</stp>
        <tr r="Q39" s="2"/>
      </tp>
      <tp t="s">
        <v>#N/A N/A</v>
        <stp/>
        <stp>BDH|14149359419383343956</stp>
        <tr r="O72" s="2"/>
      </tp>
      <tp t="s">
        <v>#N/A N/A</v>
        <stp/>
        <stp>BDH|17660764493563853619</stp>
        <tr r="S84" s="2"/>
      </tp>
      <tp t="s">
        <v>#N/A N/A</v>
        <stp/>
        <stp>BDH|17391913349687801191</stp>
        <tr r="Y90" s="2"/>
      </tp>
      <tp t="s">
        <v>#N/A N/A</v>
        <stp/>
        <stp>BDH|14308318006978153388</stp>
        <tr r="T30" s="2"/>
      </tp>
      <tp t="s">
        <v>#N/A N/A</v>
        <stp/>
        <stp>BDH|18140527375241858735</stp>
        <tr r="M89" s="2"/>
      </tp>
      <tp t="s">
        <v>#N/A N/A</v>
        <stp/>
        <stp>BDH|17682831075980504486</stp>
        <tr r="O57" s="2"/>
      </tp>
      <tp t="s">
        <v>#N/A N/A</v>
        <stp/>
        <stp>BDH|17859864090113440970</stp>
        <tr r="F58" s="2"/>
      </tp>
      <tp t="s">
        <v>#N/A N/A</v>
        <stp/>
        <stp>BDH|16453976266500831516</stp>
        <tr r="Q26" s="2"/>
      </tp>
      <tp t="s">
        <v>#N/A N/A</v>
        <stp/>
        <stp>BDH|16195187854727500976</stp>
        <tr r="J52" s="2"/>
      </tp>
      <tp t="s">
        <v>#N/A N/A</v>
        <stp/>
        <stp>BDH|11612624980866359585</stp>
        <tr r="N74" s="2"/>
      </tp>
      <tp t="s">
        <v>#N/A N/A</v>
        <stp/>
        <stp>BDH|14649235398052312112</stp>
        <tr r="K29" s="2"/>
      </tp>
      <tp t="s">
        <v>#N/A N/A</v>
        <stp/>
        <stp>BDH|11598774619969749237</stp>
        <tr r="AB88" s="2"/>
      </tp>
      <tp t="s">
        <v>#N/A N/A</v>
        <stp/>
        <stp>BDH|12262262773262014982</stp>
        <tr r="G86" s="2"/>
      </tp>
      <tp t="s">
        <v>#N/A N/A</v>
        <stp/>
        <stp>BDH|17131488981192461539</stp>
        <tr r="O85" s="2"/>
      </tp>
      <tp t="s">
        <v>#N/A N/A</v>
        <stp/>
        <stp>BDH|18210069101097383388</stp>
        <tr r="R46" s="2"/>
      </tp>
      <tp t="s">
        <v>#N/A N/A</v>
        <stp/>
        <stp>BDH|11729680220791426858</stp>
        <tr r="K42" s="2"/>
      </tp>
      <tp t="s">
        <v>#N/A N/A</v>
        <stp/>
        <stp>BDH|15308351806393937970</stp>
        <tr r="Y15" s="2"/>
      </tp>
      <tp t="s">
        <v>#N/A N/A</v>
        <stp/>
        <stp>BDH|11639425141255914821</stp>
        <tr r="F45" s="2"/>
      </tp>
      <tp t="s">
        <v>#N/A N/A</v>
        <stp/>
        <stp>BDH|15925807225472580083</stp>
        <tr r="J91" s="2"/>
      </tp>
      <tp t="s">
        <v>#N/A N/A</v>
        <stp/>
        <stp>BDH|16085034059309300786</stp>
        <tr r="Q49" s="2"/>
      </tp>
      <tp t="s">
        <v>#N/A N/A</v>
        <stp/>
        <stp>BDH|14596976631425122631</stp>
        <tr r="I70" s="2"/>
      </tp>
      <tp t="s">
        <v>#N/A N/A</v>
        <stp/>
        <stp>BDH|16570459521414434949</stp>
        <tr r="H25" s="2"/>
      </tp>
      <tp t="s">
        <v>#N/A N/A</v>
        <stp/>
        <stp>BDH|10072265810028227648</stp>
        <tr r="O14" s="2"/>
      </tp>
      <tp t="s">
        <v>#N/A N/A</v>
        <stp/>
        <stp>BDH|16424109575848430558</stp>
        <tr r="C16" s="2"/>
      </tp>
      <tp t="s">
        <v>#N/A N/A</v>
        <stp/>
        <stp>BDH|12144951007787131125</stp>
        <tr r="G60" s="2"/>
      </tp>
      <tp t="s">
        <v>#N/A N/A</v>
        <stp/>
        <stp>BDH|12944086166078582110</stp>
        <tr r="L39" s="2"/>
      </tp>
      <tp t="s">
        <v>#N/A N/A</v>
        <stp/>
        <stp>BDH|14981134659458454545</stp>
        <tr r="O54" s="2"/>
      </tp>
      <tp t="s">
        <v>#N/A N/A</v>
        <stp/>
        <stp>BDH|15045401195114630109</stp>
        <tr r="U44" s="2"/>
      </tp>
      <tp t="s">
        <v>#N/A N/A</v>
        <stp/>
        <stp>BDH|16891559640162660889</stp>
        <tr r="W7" s="2"/>
      </tp>
      <tp t="s">
        <v>#N/A N/A</v>
        <stp/>
        <stp>BDH|10429609074359144520</stp>
        <tr r="P23" s="2"/>
      </tp>
      <tp t="s">
        <v>#N/A N/A</v>
        <stp/>
        <stp>BDH|17726133256497089907</stp>
        <tr r="J92" s="2"/>
      </tp>
      <tp t="s">
        <v>#N/A N/A</v>
        <stp/>
        <stp>BDH|14826227497446686491</stp>
        <tr r="AA8" s="2"/>
      </tp>
      <tp t="s">
        <v>#N/A N/A</v>
        <stp/>
        <stp>BDH|16358932657844264377</stp>
        <tr r="J88" s="2"/>
      </tp>
      <tp t="s">
        <v>#N/A N/A</v>
        <stp/>
        <stp>BDH|14031317367018534419</stp>
        <tr r="P27" s="2"/>
      </tp>
      <tp t="s">
        <v>#N/A N/A</v>
        <stp/>
        <stp>BDH|15723228720949486138</stp>
        <tr r="Z18" s="2"/>
      </tp>
      <tp t="s">
        <v>#N/A N/A</v>
        <stp/>
        <stp>BDH|16636143503728509266</stp>
        <tr r="T18" s="2"/>
      </tp>
      <tp t="s">
        <v>#N/A N/A</v>
        <stp/>
        <stp>BDH|17232511811528231623</stp>
        <tr r="F27" s="2"/>
      </tp>
      <tp t="s">
        <v>#N/A N/A</v>
        <stp/>
        <stp>BDH|15726406713144297949</stp>
        <tr r="S90" s="2"/>
      </tp>
      <tp t="s">
        <v>#N/A N/A</v>
        <stp/>
        <stp>BDH|16395821570697274361</stp>
        <tr r="U35" s="2"/>
      </tp>
      <tp t="s">
        <v>#N/A N/A</v>
        <stp/>
        <stp>BDH|15038166020598651359</stp>
        <tr r="AE28" s="2"/>
      </tp>
      <tp t="s">
        <v>#N/A N/A</v>
        <stp/>
        <stp>BDH|11438445612718416132</stp>
        <tr r="S28" s="2"/>
      </tp>
      <tp t="s">
        <v>#N/A N/A</v>
        <stp/>
        <stp>BDH|10176323733188509503</stp>
        <tr r="W12" s="2"/>
      </tp>
      <tp t="s">
        <v>#N/A N/A</v>
        <stp/>
        <stp>BDH|12508116123999250511</stp>
        <tr r="AD16" s="2"/>
      </tp>
      <tp t="s">
        <v>#N/A N/A</v>
        <stp/>
        <stp>BDH|11704414382711337136</stp>
        <tr r="T86" s="2"/>
      </tp>
      <tp t="s">
        <v>#N/A N/A</v>
        <stp/>
        <stp>BDH|10371876851538495867</stp>
        <tr r="Z91" s="2"/>
      </tp>
      <tp t="s">
        <v>#N/A N/A</v>
        <stp/>
        <stp>BDH|11673949142411747000</stp>
        <tr r="E89" s="2"/>
      </tp>
      <tp t="s">
        <v>#N/A N/A</v>
        <stp/>
        <stp>BDH|13542717370089605750</stp>
        <tr r="O33" s="2"/>
      </tp>
      <tp t="s">
        <v>#N/A N/A</v>
        <stp/>
        <stp>BDH|12154714128732814870</stp>
        <tr r="U59" s="2"/>
      </tp>
      <tp t="s">
        <v>#N/A N/A</v>
        <stp/>
        <stp>BDH|18408133453173497262</stp>
        <tr r="L41" s="2"/>
      </tp>
      <tp t="s">
        <v>#N/A N/A</v>
        <stp/>
        <stp>BDH|15748848361255277367</stp>
        <tr r="AF8" s="2"/>
      </tp>
      <tp t="s">
        <v>#N/A N/A</v>
        <stp/>
        <stp>BDH|17454990159276497060</stp>
        <tr r="V27" s="2"/>
      </tp>
      <tp t="s">
        <v>#N/A N/A</v>
        <stp/>
        <stp>BDH|11176879967512588021</stp>
        <tr r="L84" s="2"/>
      </tp>
      <tp t="s">
        <v>#N/A N/A</v>
        <stp/>
        <stp>BDH|11705236797082233574</stp>
        <tr r="C23" s="2"/>
      </tp>
      <tp t="s">
        <v>#N/A N/A</v>
        <stp/>
        <stp>BDH|14876445062679039282</stp>
        <tr r="Z7" s="2"/>
      </tp>
      <tp t="s">
        <v>#N/A N/A</v>
        <stp/>
        <stp>BDH|11010890953910358107</stp>
        <tr r="N8" s="2"/>
      </tp>
      <tp t="s">
        <v>#N/A N/A</v>
        <stp/>
        <stp>BDH|14926571620846003873</stp>
        <tr r="R66" s="2"/>
      </tp>
      <tp t="s">
        <v>#N/A N/A</v>
        <stp/>
        <stp>BDH|12754948469948730847</stp>
        <tr r="C66" s="2"/>
      </tp>
      <tp t="s">
        <v>#N/A N/A</v>
        <stp/>
        <stp>BDH|10798548118188320116</stp>
        <tr r="I22" s="2"/>
      </tp>
      <tp t="s">
        <v>#N/A N/A</v>
        <stp/>
        <stp>BDH|10708882590134027871</stp>
        <tr r="X62" s="2"/>
      </tp>
      <tp t="s">
        <v>#N/A N/A</v>
        <stp/>
        <stp>BDH|14534871644313601684</stp>
        <tr r="C7" s="2"/>
      </tp>
      <tp t="s">
        <v>#N/A N/A</v>
        <stp/>
        <stp>BDH|14664731693621607685</stp>
        <tr r="P89" s="2"/>
      </tp>
      <tp t="s">
        <v>#N/A N/A</v>
        <stp/>
        <stp>BDH|11493083532567573803</stp>
        <tr r="V32" s="2"/>
      </tp>
      <tp t="s">
        <v>#N/A N/A</v>
        <stp/>
        <stp>BDH|16534618989047501231</stp>
        <tr r="D90" s="2"/>
      </tp>
      <tp t="s">
        <v>#N/A N/A</v>
        <stp/>
        <stp>BDH|15290940070336801050</stp>
        <tr r="O47" s="2"/>
      </tp>
      <tp t="s">
        <v>#N/A N/A</v>
        <stp/>
        <stp>BDH|12717892540896766522</stp>
        <tr r="S86" s="2"/>
      </tp>
      <tp t="s">
        <v>#N/A N/A</v>
        <stp/>
        <stp>BDH|17606787133476529834</stp>
        <tr r="D59" s="2"/>
      </tp>
      <tp t="s">
        <v>#N/A N/A</v>
        <stp/>
        <stp>BDH|14501351998340596378</stp>
        <tr r="N55" s="2"/>
      </tp>
      <tp t="s">
        <v>#N/A N/A</v>
        <stp/>
        <stp>BDH|14475381212949259268</stp>
        <tr r="AD15" s="2"/>
      </tp>
      <tp t="s">
        <v>#N/A N/A</v>
        <stp/>
        <stp>BDH|11771364488703503419</stp>
        <tr r="T17" s="2"/>
      </tp>
      <tp t="s">
        <v>#N/A N/A</v>
        <stp/>
        <stp>BDH|17734365291866455680</stp>
        <tr r="U70" s="2"/>
      </tp>
      <tp t="s">
        <v>#N/A N/A</v>
        <stp/>
        <stp>BDH|12042690530289407315</stp>
        <tr r="P51" s="2"/>
      </tp>
      <tp t="s">
        <v>#N/A N/A</v>
        <stp/>
        <stp>BDH|17861201437702588968</stp>
        <tr r="Z46" s="2"/>
      </tp>
      <tp t="s">
        <v>#N/A N/A</v>
        <stp/>
        <stp>BDH|11018292894661713660</stp>
        <tr r="U60" s="2"/>
      </tp>
      <tp t="s">
        <v>#N/A N/A</v>
        <stp/>
        <stp>BDH|16886085062229831457</stp>
        <tr r="W91" s="2"/>
      </tp>
      <tp t="s">
        <v>#N/A N/A</v>
        <stp/>
        <stp>BDH|15806212781584165669</stp>
        <tr r="K27" s="2"/>
      </tp>
      <tp t="s">
        <v>#N/A N/A</v>
        <stp/>
        <stp>BDH|13114876172941879036</stp>
        <tr r="O42" s="2"/>
      </tp>
      <tp t="s">
        <v>#N/A N/A</v>
        <stp/>
        <stp>BDH|16290796227718192620</stp>
        <tr r="J43" s="2"/>
      </tp>
      <tp t="s">
        <v>#N/A N/A</v>
        <stp/>
        <stp>BDH|17310571739229562572</stp>
        <tr r="F56" s="2"/>
      </tp>
      <tp t="s">
        <v>#N/A N/A</v>
        <stp/>
        <stp>BDH|18095684463456374363</stp>
        <tr r="I71" s="2"/>
      </tp>
      <tp t="s">
        <v>#N/A N/A</v>
        <stp/>
        <stp>BDH|18197488830732519022</stp>
        <tr r="L88" s="2"/>
      </tp>
      <tp t="s">
        <v>#N/A N/A</v>
        <stp/>
        <stp>BDH|11290175349482530484</stp>
        <tr r="Y75" s="2"/>
      </tp>
      <tp t="s">
        <v>#N/A N/A</v>
        <stp/>
        <stp>BDH|11001026422704094516</stp>
        <tr r="X80" s="2"/>
      </tp>
      <tp t="s">
        <v>#N/A N/A</v>
        <stp/>
        <stp>BDH|16108758101451621222</stp>
        <tr r="N57" s="2"/>
      </tp>
      <tp t="s">
        <v>#N/A N/A</v>
        <stp/>
        <stp>BDH|11084039922572683360</stp>
        <tr r="H48" s="2"/>
      </tp>
      <tp t="s">
        <v>#N/A N/A</v>
        <stp/>
        <stp>BDH|17658368926266244258</stp>
        <tr r="O13" s="2"/>
      </tp>
      <tp t="s">
        <v>#N/A N/A</v>
        <stp/>
        <stp>BDH|12236232448244920210</stp>
        <tr r="F91" s="2"/>
      </tp>
      <tp t="s">
        <v>#N/A N/A</v>
        <stp/>
        <stp>BDH|18177326705669775005</stp>
        <tr r="H19" s="2"/>
      </tp>
      <tp t="s">
        <v>#N/A N/A</v>
        <stp/>
        <stp>BDH|17587312084666098806</stp>
        <tr r="V17" s="2"/>
      </tp>
      <tp t="s">
        <v>#N/A N/A</v>
        <stp/>
        <stp>BDH|18058944278456451280</stp>
        <tr r="M62" s="2"/>
      </tp>
      <tp t="s">
        <v>#N/A N/A</v>
        <stp/>
        <stp>BDH|16202147705553607657</stp>
        <tr r="R65" s="2"/>
      </tp>
      <tp t="s">
        <v>#N/A N/A</v>
        <stp/>
        <stp>BDH|16743021991304502929</stp>
        <tr r="N34" s="2"/>
      </tp>
      <tp t="s">
        <v>#N/A N/A</v>
        <stp/>
        <stp>BDH|16151588358510721455</stp>
        <tr r="P71" s="2"/>
      </tp>
      <tp t="s">
        <v>#N/A N/A</v>
        <stp/>
        <stp>BDH|13141910589922927233</stp>
        <tr r="X30" s="2"/>
      </tp>
      <tp t="s">
        <v>#N/A N/A</v>
        <stp/>
        <stp>BDH|12200623228570882439</stp>
        <tr r="Q17" s="2"/>
      </tp>
      <tp t="s">
        <v>#N/A N/A</v>
        <stp/>
        <stp>BDH|13414103012538715920</stp>
        <tr r="S27" s="2"/>
      </tp>
      <tp t="s">
        <v>#N/A N/A</v>
        <stp/>
        <stp>BDH|17087103674082064166</stp>
        <tr r="L8" s="2"/>
      </tp>
      <tp t="s">
        <v>#N/A N/A</v>
        <stp/>
        <stp>BDH|17512006967405218629</stp>
        <tr r="AA44" s="2"/>
      </tp>
      <tp t="s">
        <v>#N/A N/A</v>
        <stp/>
        <stp>BDH|16923827606565945969</stp>
        <tr r="H67" s="2"/>
      </tp>
      <tp t="s">
        <v>#N/A N/A</v>
        <stp/>
        <stp>BDH|16080676454041597645</stp>
        <tr r="AD58" s="2"/>
      </tp>
      <tp t="s">
        <v>#N/A N/A</v>
        <stp/>
        <stp>BDH|11846303508013749328</stp>
        <tr r="Q41" s="2"/>
      </tp>
      <tp t="s">
        <v>#N/A N/A</v>
        <stp/>
        <stp>BDH|14492400424571224177</stp>
        <tr r="O52" s="2"/>
      </tp>
      <tp t="s">
        <v>#N/A N/A</v>
        <stp/>
        <stp>BDH|14705185315604880275</stp>
        <tr r="V64" s="2"/>
      </tp>
      <tp t="s">
        <v>#N/A N/A</v>
        <stp/>
        <stp>BDH|11301549646976692427</stp>
        <tr r="W40" s="2"/>
      </tp>
      <tp t="s">
        <v>#N/A N/A</v>
        <stp/>
        <stp>BDH|10980236879711364652</stp>
        <tr r="AD89" s="2"/>
      </tp>
      <tp t="s">
        <v>#N/A N/A</v>
        <stp/>
        <stp>BDH|14110389948765153457</stp>
        <tr r="AF62" s="2"/>
      </tp>
      <tp t="s">
        <v>#N/A N/A</v>
        <stp/>
        <stp>BDH|14041721801982436323</stp>
        <tr r="Y61" s="2"/>
      </tp>
      <tp t="s">
        <v>#N/A N/A</v>
        <stp/>
        <stp>BDH|15232134800346776030</stp>
        <tr r="Q16" s="2"/>
      </tp>
      <tp t="s">
        <v>#N/A N/A</v>
        <stp/>
        <stp>BDH|12866135905113233293</stp>
        <tr r="J8" s="2"/>
      </tp>
      <tp t="s">
        <v>#N/A N/A</v>
        <stp/>
        <stp>BDH|11118534516353622472</stp>
        <tr r="L49" s="2"/>
      </tp>
      <tp t="s">
        <v>#N/A N/A</v>
        <stp/>
        <stp>BDH|16287206520117598323</stp>
        <tr r="J13" s="2"/>
      </tp>
      <tp t="s">
        <v>#N/A N/A</v>
        <stp/>
        <stp>BDH|13157595548916584619</stp>
        <tr r="D44" s="2"/>
      </tp>
      <tp t="s">
        <v>#N/A N/A</v>
        <stp/>
        <stp>BDH|16958109255037978713</stp>
        <tr r="AB91" s="2"/>
      </tp>
      <tp t="s">
        <v>#N/A N/A</v>
        <stp/>
        <stp>BDH|14096125384399514673</stp>
        <tr r="I34" s="2"/>
      </tp>
      <tp t="s">
        <v>#N/A N/A</v>
        <stp/>
        <stp>BDH|13476876883569354873</stp>
        <tr r="U54" s="2"/>
      </tp>
      <tp t="s">
        <v>#N/A N/A</v>
        <stp/>
        <stp>BDH|14419999108888330721</stp>
        <tr r="P21" s="2"/>
      </tp>
      <tp t="s">
        <v>#N/A N/A</v>
        <stp/>
        <stp>BDH|17206723885159457351</stp>
        <tr r="I25" s="2"/>
      </tp>
      <tp t="s">
        <v>#N/A N/A</v>
        <stp/>
        <stp>BDH|15046911880655064353</stp>
        <tr r="H42" s="2"/>
      </tp>
      <tp t="s">
        <v>#N/A N/A</v>
        <stp/>
        <stp>BDH|14074433371476345350</stp>
        <tr r="N85" s="2"/>
      </tp>
      <tp t="s">
        <v>#N/A N/A</v>
        <stp/>
        <stp>BDH|12666700425111498401</stp>
        <tr r="H28" s="2"/>
      </tp>
      <tp t="s">
        <v>#N/A N/A</v>
        <stp/>
        <stp>BDH|18246603540720080857</stp>
        <tr r="R22" s="2"/>
      </tp>
      <tp t="s">
        <v>#N/A N/A</v>
        <stp/>
        <stp>BDH|11327448435845222172</stp>
        <tr r="P26" s="2"/>
      </tp>
      <tp t="s">
        <v>#N/A N/A</v>
        <stp/>
        <stp>BDH|12933612309573296551</stp>
        <tr r="P54" s="2"/>
      </tp>
      <tp t="s">
        <v>#N/A N/A</v>
        <stp/>
        <stp>BDH|11683247377650305605</stp>
        <tr r="D21" s="2"/>
      </tp>
      <tp t="s">
        <v>#N/A N/A</v>
        <stp/>
        <stp>BDH|14331671961182460479</stp>
        <tr r="D42" s="2"/>
      </tp>
      <tp t="s">
        <v>#N/A N/A</v>
        <stp/>
        <stp>BDH|12463565876745254704</stp>
        <tr r="O7" s="2"/>
      </tp>
      <tp t="s">
        <v>#N/A N/A</v>
        <stp/>
        <stp>BDH|16525257589137391936</stp>
        <tr r="AB7" s="2"/>
      </tp>
      <tp t="s">
        <v>#N/A N/A</v>
        <stp/>
        <stp>BDH|17787018280325987864</stp>
        <tr r="Y84" s="2"/>
      </tp>
      <tp t="s">
        <v>#N/A N/A</v>
        <stp/>
        <stp>BDH|12882349567861324415</stp>
        <tr r="AD92" s="2"/>
      </tp>
      <tp t="s">
        <v>#N/A N/A</v>
        <stp/>
        <stp>BDH|15971042154556129411</stp>
        <tr r="P82" s="2"/>
      </tp>
      <tp t="s">
        <v>#N/A N/A</v>
        <stp/>
        <stp>BDH|14309960750059491388</stp>
        <tr r="L20" s="2"/>
      </tp>
      <tp t="s">
        <v>#N/A N/A</v>
        <stp/>
        <stp>BDH|10175267599248125160</stp>
        <tr r="D36" s="2"/>
      </tp>
      <tp t="s">
        <v>#N/A N/A</v>
        <stp/>
        <stp>BDH|14229067924627939319</stp>
        <tr r="V40" s="2"/>
      </tp>
      <tp t="s">
        <v>#N/A N/A</v>
        <stp/>
        <stp>BDH|14261719522913950003</stp>
        <tr r="Y56" s="2"/>
      </tp>
      <tp t="s">
        <v>#N/A N/A</v>
        <stp/>
        <stp>BDH|17009879420287689894</stp>
        <tr r="V22" s="2"/>
      </tp>
      <tp t="s">
        <v>#N/A N/A</v>
        <stp/>
        <stp>BDH|14953743331157534512</stp>
        <tr r="P39" s="2"/>
      </tp>
      <tp t="s">
        <v>#N/A N/A</v>
        <stp/>
        <stp>BDH|17744250144332581183</stp>
        <tr r="V26" s="2"/>
      </tp>
      <tp t="s">
        <v>#N/A N/A</v>
        <stp/>
        <stp>BDH|13385730167937838742</stp>
        <tr r="L22" s="2"/>
      </tp>
      <tp t="s">
        <v>#N/A N/A</v>
        <stp/>
        <stp>BDH|18194378820203914844</stp>
        <tr r="AA20" s="2"/>
      </tp>
      <tp t="s">
        <v>#N/A N/A</v>
        <stp/>
        <stp>BDH|15066679623432780198</stp>
        <tr r="S89" s="2"/>
      </tp>
      <tp t="s">
        <v>#N/A N/A</v>
        <stp/>
        <stp>BDH|15196332309095120104</stp>
        <tr r="W53" s="2"/>
      </tp>
      <tp t="s">
        <v>#N/A N/A</v>
        <stp/>
        <stp>BDH|15112543619322275147</stp>
        <tr r="C58" s="2"/>
      </tp>
      <tp t="s">
        <v>#N/A N/A</v>
        <stp/>
        <stp>BDH|16077469318032050330</stp>
        <tr r="O66" s="2"/>
      </tp>
      <tp t="s">
        <v>#N/A N/A</v>
        <stp/>
        <stp>BDH|18042000552287696892</stp>
        <tr r="C35" s="2"/>
      </tp>
      <tp t="s">
        <v>#N/A N/A</v>
        <stp/>
        <stp>BDH|14993684909076504614</stp>
        <tr r="Z44" s="2"/>
      </tp>
      <tp t="s">
        <v>#N/A N/A</v>
        <stp/>
        <stp>BDH|11816364438444203789</stp>
        <tr r="W54" s="2"/>
      </tp>
      <tp t="s">
        <v>#N/A N/A</v>
        <stp/>
        <stp>BDH|17241497731954306656</stp>
        <tr r="V52" s="2"/>
      </tp>
      <tp t="s">
        <v>#N/A N/A</v>
        <stp/>
        <stp>BDH|18087158327088756196</stp>
        <tr r="S36" s="2"/>
      </tp>
      <tp t="s">
        <v>#N/A N/A</v>
        <stp/>
        <stp>BDH|16827801555738143103</stp>
        <tr r="D68" s="2"/>
      </tp>
      <tp t="s">
        <v>#N/A N/A</v>
        <stp/>
        <stp>BDH|12090671712221376697</stp>
        <tr r="W34" s="2"/>
      </tp>
      <tp t="s">
        <v>#N/A N/A</v>
        <stp/>
        <stp>BDH|16898347702701027615</stp>
        <tr r="AD76" s="2"/>
      </tp>
      <tp t="s">
        <v>#N/A N/A</v>
        <stp/>
        <stp>BDH|15251752009754249434</stp>
        <tr r="AA76" s="2"/>
      </tp>
      <tp t="s">
        <v>#N/A N/A</v>
        <stp/>
        <stp>BDH|11344295267236314112</stp>
        <tr r="R58" s="2"/>
      </tp>
      <tp t="s">
        <v>#N/A N/A</v>
        <stp/>
        <stp>BDH|15857793137276031597</stp>
        <tr r="AE71" s="2"/>
      </tp>
      <tp t="s">
        <v>#N/A N/A</v>
        <stp/>
        <stp>BDH|10556262821835509788</stp>
        <tr r="Y10" s="2"/>
      </tp>
      <tp t="s">
        <v>#N/A N/A</v>
        <stp/>
        <stp>BDH|11617491974347647723</stp>
        <tr r="X60" s="2"/>
      </tp>
      <tp t="s">
        <v>#N/A N/A</v>
        <stp/>
        <stp>BDH|13083781970164102575</stp>
        <tr r="M80" s="2"/>
      </tp>
      <tp t="s">
        <v>#N/A N/A</v>
        <stp/>
        <stp>BDH|10481806821951373980</stp>
        <tr r="L9" s="2"/>
      </tp>
      <tp t="s">
        <v>#N/A N/A</v>
        <stp/>
        <stp>BDH|17453355219256070162</stp>
        <tr r="AF19" s="2"/>
      </tp>
      <tp t="s">
        <v>#N/A N/A</v>
        <stp/>
        <stp>BDH|14122432723615708479</stp>
        <tr r="X9" s="2"/>
      </tp>
      <tp t="s">
        <v>#N/A N/A</v>
        <stp/>
        <stp>BDH|15989673682830553889</stp>
        <tr r="E46" s="2"/>
      </tp>
      <tp t="s">
        <v>#N/A N/A</v>
        <stp/>
        <stp>BDH|15773600085871606950</stp>
        <tr r="J32" s="2"/>
      </tp>
      <tp t="s">
        <v>#N/A N/A</v>
        <stp/>
        <stp>BDH|14721741345310485439</stp>
        <tr r="AE66" s="2"/>
      </tp>
      <tp t="s">
        <v>#N/A N/A</v>
        <stp/>
        <stp>BDH|10728599059570583336</stp>
        <tr r="X34" s="2"/>
      </tp>
      <tp t="s">
        <v>#N/A N/A</v>
        <stp/>
        <stp>BDH|10510085069425219076</stp>
        <tr r="S76" s="2"/>
      </tp>
      <tp t="s">
        <v>#N/A N/A</v>
        <stp/>
        <stp>BDH|11436322501352249340</stp>
        <tr r="AC15" s="2"/>
      </tp>
      <tp t="s">
        <v>#N/A N/A</v>
        <stp/>
        <stp>BDH|12116603051236570441</stp>
        <tr r="F41" s="2"/>
      </tp>
      <tp t="s">
        <v>#N/A N/A</v>
        <stp/>
        <stp>BDH|11846252379883144450</stp>
        <tr r="K22" s="2"/>
      </tp>
      <tp t="s">
        <v>#N/A N/A</v>
        <stp/>
        <stp>BDH|17655129243799229856</stp>
        <tr r="X90" s="2"/>
      </tp>
      <tp t="s">
        <v>#N/A N/A</v>
        <stp/>
        <stp>BDH|10521202177394435267</stp>
        <tr r="G10" s="2"/>
      </tp>
      <tp t="s">
        <v>#N/A N/A</v>
        <stp/>
        <stp>BDH|12246358823431621118</stp>
        <tr r="F34" s="2"/>
      </tp>
      <tp t="s">
        <v>#N/A N/A</v>
        <stp/>
        <stp>BDH|13804434708423882789</stp>
        <tr r="J46" s="2"/>
      </tp>
      <tp t="s">
        <v>#N/A N/A</v>
        <stp/>
        <stp>BDH|13214677017044193308</stp>
        <tr r="M90" s="2"/>
      </tp>
      <tp t="s">
        <v>#N/A N/A</v>
        <stp/>
        <stp>BDH|12201940593441245046</stp>
        <tr r="R89" s="2"/>
      </tp>
      <tp t="s">
        <v>#N/A N/A</v>
        <stp/>
        <stp>BDH|18209136344378439622</stp>
        <tr r="R13" s="2"/>
      </tp>
      <tp t="s">
        <v>#N/A N/A</v>
        <stp/>
        <stp>BDH|10035339939934194791</stp>
        <tr r="G61" s="2"/>
      </tp>
      <tp t="s">
        <v>#N/A N/A</v>
        <stp/>
        <stp>BDH|10034722732774189337</stp>
        <tr r="AB76" s="2"/>
      </tp>
      <tp t="s">
        <v>#N/A N/A</v>
        <stp/>
        <stp>BDH|16305919311855255839</stp>
        <tr r="E51" s="2"/>
      </tp>
      <tp t="s">
        <v>#N/A N/A</v>
        <stp/>
        <stp>BDH|17034563299091840956</stp>
        <tr r="T13" s="2"/>
      </tp>
      <tp t="s">
        <v>#N/A N/A</v>
        <stp/>
        <stp>BDH|17116397248265508672</stp>
        <tr r="G41" s="2"/>
      </tp>
      <tp t="s">
        <v>#N/A N/A</v>
        <stp/>
        <stp>BDH|12644607218282391482</stp>
        <tr r="L70" s="2"/>
      </tp>
      <tp t="s">
        <v>#N/A N/A</v>
        <stp/>
        <stp>BDH|16017800512668463432</stp>
        <tr r="J29" s="2"/>
      </tp>
      <tp t="s">
        <v>#N/A N/A</v>
        <stp/>
        <stp>BDH|15578542971896171250</stp>
        <tr r="AA41" s="2"/>
      </tp>
      <tp t="s">
        <v>#N/A N/A</v>
        <stp/>
        <stp>BDH|12765946286966444657</stp>
        <tr r="AA14" s="2"/>
      </tp>
      <tp t="s">
        <v>#N/A N/A</v>
        <stp/>
        <stp>BDH|12222039444424309120</stp>
        <tr r="Z14" s="2"/>
      </tp>
      <tp t="s">
        <v>#N/A N/A</v>
        <stp/>
        <stp>BDH|15142446627361384155</stp>
        <tr r="E92" s="2"/>
      </tp>
      <tp t="s">
        <v>#N/A N/A</v>
        <stp/>
        <stp>BDH|14944151371563926204</stp>
        <tr r="X73" s="2"/>
      </tp>
      <tp t="s">
        <v>#N/A N/A</v>
        <stp/>
        <stp>BDH|10313108655532415569</stp>
        <tr r="S85" s="2"/>
      </tp>
      <tp t="s">
        <v>#N/A N/A</v>
        <stp/>
        <stp>BDH|17767766842150397773</stp>
        <tr r="AB59" s="2"/>
      </tp>
      <tp t="s">
        <v>#N/A N/A</v>
        <stp/>
        <stp>BDH|16123080200444627183</stp>
        <tr r="M81" s="2"/>
      </tp>
      <tp t="s">
        <v>#N/A N/A</v>
        <stp/>
        <stp>BDH|12323423071081273350</stp>
        <tr r="K26" s="2"/>
      </tp>
      <tp t="s">
        <v>#N/A N/A</v>
        <stp/>
        <stp>BDH|18375954549354932216</stp>
        <tr r="AA12" s="2"/>
      </tp>
      <tp t="s">
        <v>#N/A N/A</v>
        <stp/>
        <stp>BDH|13817841143745990905</stp>
        <tr r="W70" s="2"/>
      </tp>
      <tp t="s">
        <v>#N/A N/A</v>
        <stp/>
        <stp>BDH|17449628948176038087</stp>
        <tr r="V60" s="2"/>
      </tp>
      <tp t="s">
        <v>#N/A N/A</v>
        <stp/>
        <stp>BDH|13706479680629771510</stp>
        <tr r="AD67" s="2"/>
      </tp>
      <tp t="s">
        <v>#N/A N/A</v>
        <stp/>
        <stp>BDH|15866253248981670157</stp>
        <tr r="Y22" s="2"/>
      </tp>
      <tp t="s">
        <v>#N/A N/A</v>
        <stp/>
        <stp>BDH|13702678595938472771</stp>
        <tr r="S39" s="2"/>
      </tp>
      <tp t="s">
        <v>#N/A N/A</v>
        <stp/>
        <stp>BDH|15461386288254768952</stp>
        <tr r="D23" s="2"/>
      </tp>
      <tp t="s">
        <v>#N/A N/A</v>
        <stp/>
        <stp>BDH|12432261878660597498</stp>
        <tr r="H64" s="2"/>
      </tp>
      <tp t="s">
        <v>#N/A N/A</v>
        <stp/>
        <stp>BDH|12891234869675807030</stp>
        <tr r="E22" s="2"/>
      </tp>
      <tp t="s">
        <v>#N/A N/A</v>
        <stp/>
        <stp>BDH|12779216328200001174</stp>
        <tr r="U11" s="2"/>
      </tp>
      <tp t="s">
        <v>#N/A N/A</v>
        <stp/>
        <stp>BDH|17098243049771091357</stp>
        <tr r="Z19" s="2"/>
      </tp>
      <tp t="s">
        <v>#N/A N/A</v>
        <stp/>
        <stp>BDH|13688202363480823462</stp>
        <tr r="J76" s="2"/>
      </tp>
      <tp t="s">
        <v>#N/A N/A</v>
        <stp/>
        <stp>BDH|16670187292254647912</stp>
        <tr r="AA54" s="2"/>
      </tp>
      <tp t="s">
        <v>#N/A N/A</v>
        <stp/>
        <stp>BDH|14091147590926993975</stp>
        <tr r="W30" s="2"/>
      </tp>
      <tp t="s">
        <v>#N/A N/A</v>
        <stp/>
        <stp>BDH|10971765211185050045</stp>
        <tr r="AC73" s="2"/>
      </tp>
      <tp t="s">
        <v>#N/A N/A</v>
        <stp/>
        <stp>BDH|10712697350682403201</stp>
        <tr r="Q89" s="2"/>
      </tp>
      <tp t="s">
        <v>#N/A N/A</v>
        <stp/>
        <stp>BDH|15132442276131816410</stp>
        <tr r="L26" s="2"/>
      </tp>
      <tp t="s">
        <v>#N/A N/A</v>
        <stp/>
        <stp>BDH|14850459355697499110</stp>
        <tr r="AA50" s="2"/>
      </tp>
      <tp t="s">
        <v>#N/A N/A</v>
        <stp/>
        <stp>BDH|14555563578892300744</stp>
        <tr r="N59" s="2"/>
      </tp>
      <tp t="s">
        <v>#N/A N/A</v>
        <stp/>
        <stp>BDH|15993631527652468055</stp>
        <tr r="D20" s="2"/>
      </tp>
      <tp t="s">
        <v>#N/A N/A</v>
        <stp/>
        <stp>BDH|13137928857904178899</stp>
        <tr r="W57" s="2"/>
      </tp>
      <tp t="s">
        <v>#N/A N/A</v>
        <stp/>
        <stp>BDH|12180619428482777732</stp>
        <tr r="I66" s="2"/>
      </tp>
      <tp t="s">
        <v>#N/A N/A</v>
        <stp/>
        <stp>BDH|17156692726634778450</stp>
        <tr r="F13" s="2"/>
      </tp>
      <tp t="s">
        <v>#N/A N/A</v>
        <stp/>
        <stp>BDH|16176056704663801641</stp>
        <tr r="Z13" s="2"/>
      </tp>
      <tp t="s">
        <v>#N/A N/A</v>
        <stp/>
        <stp>BDH|16294389464072766250</stp>
        <tr r="R68" s="2"/>
      </tp>
      <tp t="s">
        <v>#N/A N/A</v>
        <stp/>
        <stp>BDH|18061192696353679054</stp>
        <tr r="Y14" s="2"/>
      </tp>
      <tp t="s">
        <v>#N/A N/A</v>
        <stp/>
        <stp>BDH|14939929326124659847</stp>
        <tr r="M32" s="2"/>
      </tp>
      <tp t="s">
        <v>#N/A N/A</v>
        <stp/>
        <stp>BDH|10727609149207977681</stp>
        <tr r="E9" s="2"/>
      </tp>
      <tp t="s">
        <v>#N/A N/A</v>
        <stp/>
        <stp>BDH|13155389262442045741</stp>
        <tr r="U71" s="2"/>
      </tp>
      <tp t="s">
        <v>#N/A N/A</v>
        <stp/>
        <stp>BDH|16413288773907078707</stp>
        <tr r="R33" s="2"/>
      </tp>
      <tp t="s">
        <v>#N/A N/A</v>
        <stp/>
        <stp>BDH|17921897088866241259</stp>
        <tr r="AC52" s="2"/>
      </tp>
      <tp t="s">
        <v>#N/A N/A</v>
        <stp/>
        <stp>BDH|14106602256142001685</stp>
        <tr r="I54" s="2"/>
      </tp>
      <tp t="s">
        <v>#N/A N/A</v>
        <stp/>
        <stp>BDH|11865474211323353421</stp>
        <tr r="Z50" s="2"/>
      </tp>
      <tp t="s">
        <v>#N/A N/A</v>
        <stp/>
        <stp>BDH|15427996329685260890</stp>
        <tr r="AD65" s="2"/>
      </tp>
      <tp t="s">
        <v>#N/A N/A</v>
        <stp/>
        <stp>BDH|17435804687045526187</stp>
        <tr r="S74" s="2"/>
      </tp>
      <tp t="s">
        <v>#N/A N/A</v>
        <stp/>
        <stp>BDH|11914990396890119164</stp>
        <tr r="D80" s="2"/>
      </tp>
      <tp t="s">
        <v>#N/A N/A</v>
        <stp/>
        <stp>BDH|14764368574223365360</stp>
        <tr r="J36" s="2"/>
      </tp>
      <tp t="s">
        <v>#N/A N/A</v>
        <stp/>
        <stp>BDH|14079042949613998347</stp>
        <tr r="W69" s="2"/>
      </tp>
      <tp t="s">
        <v>#N/A N/A</v>
        <stp/>
        <stp>BDH|15029409499588063099</stp>
        <tr r="R76" s="2"/>
      </tp>
      <tp t="s">
        <v>#N/A N/A</v>
        <stp/>
        <stp>BDH|12435924102663330873</stp>
        <tr r="U81" s="2"/>
      </tp>
      <tp t="s">
        <v>#N/A N/A</v>
        <stp/>
        <stp>BDH|13458863469904213998</stp>
        <tr r="AC59" s="2"/>
      </tp>
      <tp t="s">
        <v>#N/A N/A</v>
        <stp/>
        <stp>BDH|10255607678901959038</stp>
        <tr r="Q28" s="2"/>
      </tp>
      <tp t="s">
        <v>#N/A N/A</v>
        <stp/>
        <stp>BDH|17375918215327615825</stp>
        <tr r="S92" s="2"/>
      </tp>
      <tp t="s">
        <v>#N/A N/A</v>
        <stp/>
        <stp>BDH|12200212222604724658</stp>
        <tr r="V72" s="2"/>
      </tp>
      <tp t="s">
        <v>#N/A N/A</v>
        <stp/>
        <stp>BDH|18190107511659341101</stp>
        <tr r="T74" s="2"/>
      </tp>
      <tp t="s">
        <v>#N/A N/A</v>
        <stp/>
        <stp>BDH|17770129225750210418</stp>
        <tr r="E13" s="2"/>
      </tp>
      <tp t="s">
        <v>#N/A N/A</v>
        <stp/>
        <stp>BDH|12108816080511779344</stp>
        <tr r="X75" s="2"/>
      </tp>
      <tp t="s">
        <v>#N/A N/A</v>
        <stp/>
        <stp>BDH|18062796529585358805</stp>
        <tr r="J81" s="2"/>
      </tp>
      <tp t="s">
        <v>#N/A N/A</v>
        <stp/>
        <stp>BDH|17083149331686389344</stp>
        <tr r="K58" s="2"/>
      </tp>
      <tp t="s">
        <v>#N/A N/A</v>
        <stp/>
        <stp>BDH|11906909808328005033</stp>
        <tr r="L51" s="2"/>
      </tp>
      <tp t="s">
        <v>#N/A N/A</v>
        <stp/>
        <stp>BDH|13328202237280726218</stp>
        <tr r="C82" s="2"/>
      </tp>
      <tp t="s">
        <v>#N/A N/A</v>
        <stp/>
        <stp>BDH|14487001041675195565</stp>
        <tr r="R72" s="2"/>
      </tp>
      <tp t="s">
        <v>#N/A N/A</v>
        <stp/>
        <stp>BDH|17483018686408705766</stp>
        <tr r="K73" s="2"/>
      </tp>
      <tp t="s">
        <v>#N/A N/A</v>
        <stp/>
        <stp>BDH|16927903948639756245</stp>
        <tr r="J80" s="2"/>
      </tp>
      <tp t="s">
        <v>#N/A N/A</v>
        <stp/>
        <stp>BDH|14314238535601795400</stp>
        <tr r="U9" s="2"/>
      </tp>
      <tp t="s">
        <v>#N/A N/A</v>
        <stp/>
        <stp>BDH|17531773367702701401</stp>
        <tr r="N17" s="2"/>
      </tp>
      <tp t="s">
        <v>#N/A N/A</v>
        <stp/>
        <stp>BDH|17217727671262588514</stp>
        <tr r="J23" s="2"/>
      </tp>
      <tp t="s">
        <v>#N/A N/A</v>
        <stp/>
        <stp>BDH|15470354402596120078</stp>
        <tr r="AA31" s="2"/>
      </tp>
      <tp t="s">
        <v>#N/A N/A</v>
        <stp/>
        <stp>BDH|14320217421340125476</stp>
        <tr r="D86" s="2"/>
      </tp>
      <tp t="s">
        <v>#N/A N/A</v>
        <stp/>
        <stp>BDH|11196775373811766070</stp>
        <tr r="S47" s="2"/>
      </tp>
      <tp t="s">
        <v>#N/A N/A</v>
        <stp/>
        <stp>BDH|12959484127633132723</stp>
        <tr r="G58" s="2"/>
      </tp>
      <tp t="s">
        <v>#N/A N/A</v>
        <stp/>
        <stp>BDH|15832713406653399199</stp>
        <tr r="AD52" s="2"/>
      </tp>
      <tp t="s">
        <v>#N/A N/A</v>
        <stp/>
        <stp>BDH|10526786948240341337</stp>
        <tr r="P80" s="2"/>
      </tp>
      <tp t="s">
        <v>#N/A N/A</v>
        <stp/>
        <stp>BDH|16880092971874396572</stp>
        <tr r="M55" s="2"/>
      </tp>
      <tp t="s">
        <v>#N/A N/A</v>
        <stp/>
        <stp>BDH|10433223697689198246</stp>
        <tr r="U92" s="2"/>
      </tp>
      <tp t="s">
        <v>#N/A N/A</v>
        <stp/>
        <stp>BDH|11413788168218004802</stp>
        <tr r="O25" s="2"/>
      </tp>
      <tp t="s">
        <v>#N/A N/A</v>
        <stp/>
        <stp>BDH|16114428867960851489</stp>
        <tr r="E24" s="2"/>
      </tp>
      <tp t="s">
        <v>#N/A N/A</v>
        <stp/>
        <stp>BDH|16771799749577492275</stp>
        <tr r="U80" s="2"/>
      </tp>
      <tp t="s">
        <v>#N/A N/A</v>
        <stp/>
        <stp>BDH|10754031336254188747</stp>
        <tr r="Q22" s="2"/>
      </tp>
      <tp t="s">
        <v>#N/A N/A</v>
        <stp/>
        <stp>BDH|13784073925098325910</stp>
        <tr r="W56" s="2"/>
      </tp>
      <tp t="s">
        <v>#N/A N/A</v>
        <stp/>
        <stp>BDH|14076249674958384946</stp>
        <tr r="V83" s="2"/>
      </tp>
      <tp t="s">
        <v>#N/A N/A</v>
        <stp/>
        <stp>BDH|15401234967591286057</stp>
        <tr r="M72" s="2"/>
      </tp>
      <tp t="s">
        <v>#N/A N/A</v>
        <stp/>
        <stp>BDH|13765077303355254661</stp>
        <tr r="M22" s="2"/>
      </tp>
      <tp t="s">
        <v>#N/A N/A</v>
        <stp/>
        <stp>BDH|17180885309159761613</stp>
        <tr r="J71" s="2"/>
      </tp>
      <tp t="s">
        <v>#N/A N/A</v>
        <stp/>
        <stp>BDH|18079881269916408036</stp>
        <tr r="T71" s="2"/>
      </tp>
      <tp t="s">
        <v>#N/A N/A</v>
        <stp/>
        <stp>BDH|16498614529952275081</stp>
        <tr r="I85" s="2"/>
      </tp>
      <tp t="s">
        <v>#N/A N/A</v>
        <stp/>
        <stp>BDH|11748946378656402993</stp>
        <tr r="V12" s="2"/>
      </tp>
      <tp t="s">
        <v>#N/A N/A</v>
        <stp/>
        <stp>BDH|13060147282619620362</stp>
        <tr r="G44" s="2"/>
      </tp>
      <tp t="s">
        <v>#N/A N/A</v>
        <stp/>
        <stp>BDH|11729588680009085597</stp>
        <tr r="W27" s="2"/>
      </tp>
      <tp t="s">
        <v>#N/A N/A</v>
        <stp/>
        <stp>BDH|15881557407034138424</stp>
        <tr r="P88" s="2"/>
      </tp>
      <tp t="s">
        <v>#N/A N/A</v>
        <stp/>
        <stp>BDH|10431493346327277708</stp>
        <tr r="J31" s="2"/>
      </tp>
      <tp t="s">
        <v>#N/A N/A</v>
        <stp/>
        <stp>BDH|11085039474955805369</stp>
        <tr r="J61" s="2"/>
      </tp>
      <tp t="s">
        <v>#N/A N/A</v>
        <stp/>
        <stp>BDH|14393976044951971801</stp>
        <tr r="AA67" s="2"/>
      </tp>
      <tp t="s">
        <v>#N/A N/A</v>
        <stp/>
        <stp>BDH|11729492542577771626</stp>
        <tr r="AD27" s="2"/>
      </tp>
      <tp t="s">
        <v>#N/A N/A</v>
        <stp/>
        <stp>BDH|10707652432640838504</stp>
        <tr r="N30" s="2"/>
      </tp>
      <tp t="s">
        <v>#N/A N/A</v>
        <stp/>
        <stp>BDH|14404114060390814355</stp>
        <tr r="L34" s="2"/>
      </tp>
      <tp t="s">
        <v>#N/A N/A</v>
        <stp/>
        <stp>BDH|11387582461346904487</stp>
        <tr r="W62" s="2"/>
      </tp>
      <tp t="s">
        <v>#N/A N/A</v>
        <stp/>
        <stp>BDH|16022232726846695080</stp>
        <tr r="T91" s="2"/>
      </tp>
      <tp t="s">
        <v>#N/A N/A</v>
        <stp/>
        <stp>BDH|10566085961115139360</stp>
        <tr r="O69" s="2"/>
      </tp>
      <tp t="s">
        <v>#N/A N/A</v>
        <stp/>
        <stp>BDH|10318754722100867568</stp>
        <tr r="G27" s="2"/>
      </tp>
      <tp t="s">
        <v>#N/A N/A</v>
        <stp/>
        <stp>BDH|12452730480764484993</stp>
        <tr r="G59" s="2"/>
      </tp>
      <tp t="s">
        <v>#N/A N/A</v>
        <stp/>
        <stp>BDH|14750042148601291131</stp>
        <tr r="AC91" s="2"/>
      </tp>
      <tp t="s">
        <v>#N/A N/A</v>
        <stp/>
        <stp>BDH|14086689155183794406</stp>
        <tr r="N15" s="2"/>
      </tp>
      <tp t="s">
        <v>#N/A N/A</v>
        <stp/>
        <stp>BDH|10448982498084712499</stp>
        <tr r="AE8" s="2"/>
      </tp>
      <tp t="s">
        <v>#N/A N/A</v>
        <stp/>
        <stp>BDH|14166585160414214314</stp>
        <tr r="O12" s="2"/>
      </tp>
      <tp t="s">
        <v>#N/A N/A</v>
        <stp/>
        <stp>BDH|12725156875402859654</stp>
        <tr r="AE67" s="2"/>
      </tp>
      <tp t="s">
        <v>#N/A N/A</v>
        <stp/>
        <stp>BDH|12635548143900329387</stp>
        <tr r="V29" s="2"/>
      </tp>
      <tp t="s">
        <v>#N/A N/A</v>
        <stp/>
        <stp>BDH|12720448745367881544</stp>
        <tr r="T70" s="2"/>
      </tp>
      <tp t="s">
        <v>#N/A N/A</v>
        <stp/>
        <stp>BDH|16124871998297184022</stp>
        <tr r="AB14" s="2"/>
      </tp>
      <tp t="s">
        <v>#N/A N/A</v>
        <stp/>
        <stp>BDH|12595580877067067770</stp>
        <tr r="C8" s="2"/>
      </tp>
      <tp t="s">
        <v>#N/A N/A</v>
        <stp/>
        <stp>BDH|13532654009874039141</stp>
        <tr r="Z80" s="2"/>
      </tp>
      <tp t="s">
        <v>#N/A N/A</v>
        <stp/>
        <stp>BDH|16492284291015446845</stp>
        <tr r="U90" s="2"/>
      </tp>
      <tp t="s">
        <v>#N/A N/A</v>
        <stp/>
        <stp>BDH|14840345965736612726</stp>
        <tr r="G39" s="2"/>
      </tp>
      <tp t="s">
        <v>#N/A N/A</v>
        <stp/>
        <stp>BDH|13937998388981665334</stp>
        <tr r="I9" s="2"/>
      </tp>
      <tp t="s">
        <v>#N/A N/A</v>
        <stp/>
        <stp>BDH|11118051679334319235</stp>
        <tr r="R85" s="2"/>
      </tp>
      <tp t="s">
        <v>#N/A N/A</v>
        <stp/>
        <stp>BDH|14752926596916769299</stp>
        <tr r="I91" s="2"/>
      </tp>
      <tp t="s">
        <v>#N/A N/A</v>
        <stp/>
        <stp>BDH|15258498878955774396</stp>
        <tr r="Q72" s="2"/>
      </tp>
      <tp t="s">
        <v>#N/A N/A</v>
        <stp/>
        <stp>BDH|14419176783195574896</stp>
        <tr r="AA13" s="2"/>
      </tp>
      <tp t="s">
        <v>#N/A N/A</v>
        <stp/>
        <stp>BDH|10000377706172768193</stp>
        <tr r="V39" s="2"/>
      </tp>
      <tp t="s">
        <v>#N/A N/A</v>
        <stp/>
        <stp>BDH|13042923487472938030</stp>
        <tr r="S66" s="2"/>
      </tp>
      <tp t="s">
        <v>#N/A N/A</v>
        <stp/>
        <stp>BDH|16444083514425735206</stp>
        <tr r="AA83" s="2"/>
      </tp>
      <tp t="s">
        <v>#N/A N/A</v>
        <stp/>
        <stp>BDH|15179128231452876558</stp>
        <tr r="E45" s="2"/>
      </tp>
      <tp t="s">
        <v>#N/A N/A</v>
        <stp/>
        <stp>BDH|11646099200632053316</stp>
        <tr r="H26" s="2"/>
      </tp>
      <tp t="s">
        <v>#N/A N/A</v>
        <stp/>
        <stp>BDH|12854473601990062604</stp>
        <tr r="Q25" s="2"/>
      </tp>
      <tp t="s">
        <v>#N/A N/A</v>
        <stp/>
        <stp>BDH|12784034919147153424</stp>
        <tr r="Y48" s="2"/>
      </tp>
      <tp t="s">
        <v>#N/A N/A</v>
        <stp/>
        <stp>BDH|10834598160367806479</stp>
        <tr r="Z88" s="2"/>
      </tp>
      <tp t="s">
        <v>#N/A N/A</v>
        <stp/>
        <stp>BDH|13572243477450886608</stp>
        <tr r="R34" s="2"/>
      </tp>
      <tp t="s">
        <v>#N/A N/A</v>
        <stp/>
        <stp>BDH|12449025736440847092</stp>
        <tr r="P67" s="2"/>
      </tp>
      <tp t="s">
        <v>#N/A N/A</v>
        <stp/>
        <stp>BDH|15419052160067564556</stp>
        <tr r="C73" s="2"/>
      </tp>
      <tp t="s">
        <v>#N/A N/A</v>
        <stp/>
        <stp>BDH|15062405361472073403</stp>
        <tr r="C21" s="2"/>
      </tp>
      <tp t="s">
        <v>#N/A N/A</v>
        <stp/>
        <stp>BDH|18398720662801418967</stp>
        <tr r="I88" s="2"/>
      </tp>
      <tp t="s">
        <v>#N/A N/A</v>
        <stp/>
        <stp>BDH|14136876055731021926</stp>
        <tr r="S16" s="2"/>
      </tp>
      <tp t="s">
        <v>#N/A N/A</v>
        <stp/>
        <stp>BDH|11720730867162157333</stp>
        <tr r="AB84" s="2"/>
      </tp>
      <tp t="s">
        <v>#N/A N/A</v>
        <stp/>
        <stp>BDH|15747025136732770555</stp>
        <tr r="O65" s="2"/>
      </tp>
      <tp t="s">
        <v>#N/A N/A</v>
        <stp/>
        <stp>BDH|16695702034765503677</stp>
        <tr r="K80" s="2"/>
      </tp>
      <tp t="s">
        <v>#N/A N/A</v>
        <stp/>
        <stp>BDH|15938699636038368955</stp>
        <tr r="Q63" s="2"/>
      </tp>
      <tp t="s">
        <v>#N/A N/A</v>
        <stp/>
        <stp>BDH|17616016470196571729</stp>
        <tr r="N40" s="2"/>
      </tp>
      <tp t="s">
        <v>#N/A N/A</v>
        <stp/>
        <stp>BDH|13192447900673036554</stp>
        <tr r="L75" s="2"/>
      </tp>
      <tp t="s">
        <v>#N/A N/A</v>
        <stp/>
        <stp>BDH|16126516084748774235</stp>
        <tr r="R44" s="2"/>
      </tp>
      <tp t="s">
        <v>#N/A N/A</v>
        <stp/>
        <stp>BDH|12903724611093912608</stp>
        <tr r="Y17" s="2"/>
      </tp>
      <tp t="s">
        <v>#N/A N/A</v>
        <stp/>
        <stp>BDH|17864149579573407329</stp>
        <tr r="W86" s="2"/>
      </tp>
      <tp t="s">
        <v>#N/A N/A</v>
        <stp/>
        <stp>BDH|16505070338203137787</stp>
        <tr r="U51" s="2"/>
      </tp>
      <tp t="s">
        <v>#N/A N/A</v>
        <stp/>
        <stp>BDH|10375548504790100403</stp>
        <tr r="Z21" s="2"/>
      </tp>
      <tp t="s">
        <v>#N/A N/A</v>
        <stp/>
        <stp>BDH|18012691087386817148</stp>
        <tr r="AB83" s="2"/>
      </tp>
      <tp t="s">
        <v>#N/A N/A</v>
        <stp/>
        <stp>BDH|14807709054075979279</stp>
        <tr r="J59" s="2"/>
      </tp>
      <tp t="s">
        <v>#N/A N/A</v>
        <stp/>
        <stp>BDH|12421119351771607609</stp>
        <tr r="AB16" s="2"/>
      </tp>
      <tp t="s">
        <v>#N/A N/A</v>
        <stp/>
        <stp>BDH|16952536009713418151</stp>
        <tr r="L57" s="2"/>
      </tp>
      <tp t="s">
        <v>#N/A N/A</v>
        <stp/>
        <stp>BDH|14710291256361526389</stp>
        <tr r="L91" s="2"/>
      </tp>
      <tp t="s">
        <v>#N/A N/A</v>
        <stp/>
        <stp>BDH|11181520646326365732</stp>
        <tr r="E54" s="2"/>
      </tp>
      <tp t="s">
        <v>#N/A N/A</v>
        <stp/>
        <stp>BDH|13664578867442631354</stp>
        <tr r="O51" s="2"/>
      </tp>
      <tp t="s">
        <v>#N/A N/A</v>
        <stp/>
        <stp>BDH|15803718568647166255</stp>
        <tr r="AF24" s="2"/>
      </tp>
      <tp t="s">
        <v>#N/A N/A</v>
        <stp/>
        <stp>BDH|14006954561079012316</stp>
        <tr r="Q31" s="2"/>
      </tp>
      <tp t="s">
        <v>#N/A N/A</v>
        <stp/>
        <stp>BDH|10842786179143558294</stp>
        <tr r="D62" s="2"/>
      </tp>
      <tp t="s">
        <v>#N/A N/A</v>
        <stp/>
        <stp>BDH|12489785018840766561</stp>
        <tr r="U56" s="2"/>
      </tp>
      <tp t="s">
        <v>#N/A N/A</v>
        <stp/>
        <stp>BDH|17526579649933702490</stp>
        <tr r="AC11" s="2"/>
      </tp>
      <tp t="s">
        <v>#N/A N/A</v>
        <stp/>
        <stp>BDH|13748658170312780107</stp>
        <tr r="L86" s="2"/>
      </tp>
      <tp t="s">
        <v>#N/A N/A</v>
        <stp/>
        <stp>BDH|18230211615723152927</stp>
        <tr r="V73" s="2"/>
      </tp>
      <tp t="s">
        <v>#N/A N/A</v>
        <stp/>
        <stp>BDH|11764135413310341013</stp>
        <tr r="N35" s="2"/>
      </tp>
      <tp t="s">
        <v>#N/A N/A</v>
        <stp/>
        <stp>BDH|14776033363351635242</stp>
        <tr r="Q9" s="2"/>
      </tp>
      <tp t="s">
        <v>#N/A N/A</v>
        <stp/>
        <stp>BDH|11603593043617890601</stp>
        <tr r="AD32" s="2"/>
      </tp>
      <tp t="s">
        <v>#N/A N/A</v>
        <stp/>
        <stp>BDH|12770281108735525451</stp>
        <tr r="E74" s="2"/>
      </tp>
      <tp t="s">
        <v>#N/A N/A</v>
        <stp/>
        <stp>BDH|13624638956144195555</stp>
        <tr r="H60" s="2"/>
      </tp>
      <tp t="s">
        <v>#N/A N/A</v>
        <stp/>
        <stp>BDH|10017268266804684102</stp>
        <tr r="N41" s="2"/>
      </tp>
      <tp t="s">
        <v>#N/A N/A</v>
        <stp/>
        <stp>BDH|14537659227757541640</stp>
        <tr r="T14" s="2"/>
      </tp>
      <tp t="s">
        <v>#N/A N/A</v>
        <stp/>
        <stp>BDH|14863681895968378206</stp>
        <tr r="AD43" s="2"/>
      </tp>
      <tp t="s">
        <v>#N/A N/A</v>
        <stp/>
        <stp>BDH|13501899868395050923</stp>
        <tr r="K92" s="2"/>
      </tp>
      <tp t="s">
        <v>#N/A N/A</v>
        <stp/>
        <stp>BDH|12590210827914144747</stp>
        <tr r="H83" s="2"/>
      </tp>
      <tp t="s">
        <v>#N/A N/A</v>
        <stp/>
        <stp>BDH|15655796159222024405</stp>
        <tr r="AF91" s="2"/>
      </tp>
      <tp t="s">
        <v>#N/A N/A</v>
        <stp/>
        <stp>BDH|12771530428864980032</stp>
        <tr r="M24" s="2"/>
      </tp>
      <tp t="s">
        <v>#N/A N/A</v>
        <stp/>
        <stp>BDH|15136651546674990223</stp>
        <tr r="Q7" s="2"/>
      </tp>
      <tp t="s">
        <v>#N/A N/A</v>
        <stp/>
        <stp>BDH|13374345238713393150</stp>
        <tr r="E7" s="2"/>
      </tp>
      <tp t="s">
        <v>#N/A N/A</v>
        <stp/>
        <stp>BDH|17674694917604341522</stp>
        <tr r="X12" s="2"/>
      </tp>
      <tp t="s">
        <v>#N/A N/A</v>
        <stp/>
        <stp>BDH|17188035649537234508</stp>
        <tr r="L89" s="2"/>
      </tp>
      <tp t="s">
        <v>#N/A N/A</v>
        <stp/>
        <stp>BDH|11760352838463564365</stp>
        <tr r="AB69" s="2"/>
      </tp>
      <tp t="s">
        <v>#N/A N/A</v>
        <stp/>
        <stp>BDH|17005466958497423032</stp>
        <tr r="W84" s="2"/>
      </tp>
      <tp t="s">
        <v>#N/A N/A</v>
        <stp/>
        <stp>BDH|13404396483961075879</stp>
        <tr r="I42" s="2"/>
      </tp>
      <tp t="s">
        <v>#N/A N/A</v>
        <stp/>
        <stp>BDH|15015598344760085542</stp>
        <tr r="P83" s="2"/>
      </tp>
      <tp t="s">
        <v>#N/A N/A</v>
        <stp/>
        <stp>BDH|15883033147977221768</stp>
        <tr r="S82" s="2"/>
      </tp>
      <tp t="s">
        <v>#N/A N/A</v>
        <stp/>
        <stp>BDH|16924772975716605159</stp>
        <tr r="H59" s="2"/>
      </tp>
      <tp t="s">
        <v>#N/A N/A</v>
        <stp/>
        <stp>BDH|14286865334226897808</stp>
        <tr r="F18" s="2"/>
      </tp>
      <tp t="s">
        <v>#N/A N/A</v>
        <stp/>
        <stp>BDH|15677139974821823313</stp>
        <tr r="Q86" s="2"/>
      </tp>
      <tp t="s">
        <v>#N/A N/A</v>
        <stp/>
        <stp>BDH|13603080030875245449</stp>
        <tr r="T45" s="2"/>
      </tp>
      <tp t="s">
        <v>#N/A N/A</v>
        <stp/>
        <stp>BDH|10750557643106293681</stp>
        <tr r="V41" s="2"/>
      </tp>
      <tp t="s">
        <v>#N/A N/A</v>
        <stp/>
        <stp>BDH|17208295700990157415</stp>
        <tr r="AD23" s="2"/>
      </tp>
      <tp t="s">
        <v>#N/A N/A</v>
        <stp/>
        <stp>BDH|16610236467141934202</stp>
        <tr r="AC67" s="2"/>
      </tp>
      <tp t="s">
        <v>#N/A N/A</v>
        <stp/>
        <stp>BDH|17536624814590007185</stp>
        <tr r="AD31" s="2"/>
      </tp>
      <tp t="s">
        <v>#N/A N/A</v>
        <stp/>
        <stp>BDH|17274241911771444494</stp>
        <tr r="I36" s="2"/>
      </tp>
      <tp t="s">
        <v>#N/A N/A</v>
        <stp/>
        <stp>BDH|17969856774521008822</stp>
        <tr r="AF26" s="2"/>
      </tp>
      <tp t="s">
        <v>#N/A N/A</v>
        <stp/>
        <stp>BDH|12943134430560985198</stp>
        <tr r="R9" s="2"/>
      </tp>
      <tp t="s">
        <v>#N/A N/A</v>
        <stp/>
        <stp>BDH|14778444905895470488</stp>
        <tr r="C29" s="2"/>
      </tp>
      <tp t="s">
        <v>#N/A N/A</v>
        <stp/>
        <stp>BDH|15123844238369433632</stp>
        <tr r="P36" s="2"/>
      </tp>
      <tp t="s">
        <v>#N/A N/A</v>
        <stp/>
        <stp>BDH|14532868375872297890</stp>
        <tr r="K41" s="2"/>
      </tp>
      <tp t="s">
        <v>#N/A N/A</v>
        <stp/>
        <stp>BDH|15598404108242120211</stp>
        <tr r="AA32" s="2"/>
      </tp>
      <tp t="s">
        <v>#N/A N/A</v>
        <stp/>
        <stp>BDH|12332310437814057788</stp>
        <tr r="P16" s="2"/>
      </tp>
      <tp t="s">
        <v>#N/A N/A</v>
        <stp/>
        <stp>BDH|11403264778376095366</stp>
        <tr r="AD49" s="2"/>
      </tp>
      <tp t="s">
        <v>#N/A N/A</v>
        <stp/>
        <stp>BDH|12795962489215410706</stp>
        <tr r="D18" s="2"/>
      </tp>
      <tp t="s">
        <v>#N/A N/A</v>
        <stp/>
        <stp>BDH|13796259643944911048</stp>
        <tr r="N90" s="2"/>
      </tp>
      <tp t="s">
        <v>#N/A N/A</v>
        <stp/>
        <stp>BDH|12627857099295461718</stp>
        <tr r="R48" s="2"/>
      </tp>
      <tp t="s">
        <v>#N/A N/A</v>
        <stp/>
        <stp>BDH|15861283038945204051</stp>
        <tr r="AF32" s="2"/>
      </tp>
      <tp t="s">
        <v>#N/A N/A</v>
        <stp/>
        <stp>BDH|10939774238340857516</stp>
        <tr r="I12" s="2"/>
      </tp>
      <tp t="s">
        <v>#N/A N/A</v>
        <stp/>
        <stp>BDH|17459685213624251524</stp>
        <tr r="K57" s="2"/>
      </tp>
      <tp t="s">
        <v>#N/A N/A</v>
        <stp/>
        <stp>BDH|12976231016416373600</stp>
        <tr r="L72" s="2"/>
      </tp>
      <tp t="s">
        <v>#N/A N/A</v>
        <stp/>
        <stp>BDH|15027027218861778431</stp>
        <tr r="AF9" s="2"/>
      </tp>
      <tp t="s">
        <v>#N/A N/A</v>
        <stp/>
        <stp>BDH|14314352705252984446</stp>
        <tr r="I48" s="2"/>
      </tp>
      <tp t="s">
        <v>#N/A N/A</v>
        <stp/>
        <stp>BDH|11769540071670964250</stp>
        <tr r="U55" s="2"/>
      </tp>
      <tp t="s">
        <v>#N/A N/A</v>
        <stp/>
        <stp>BDH|12833467509800624006</stp>
        <tr r="M21" s="2"/>
      </tp>
      <tp t="s">
        <v>#N/A N/A</v>
        <stp/>
        <stp>BDH|11683542641796240006</stp>
        <tr r="AB9" s="2"/>
      </tp>
      <tp t="s">
        <v>#N/A N/A</v>
        <stp/>
        <stp>BDH|12380403466720597618</stp>
        <tr r="C70" s="2"/>
      </tp>
      <tp t="s">
        <v>#N/A N/A</v>
        <stp/>
        <stp>BDH|16423518045458590947</stp>
        <tr r="T12" s="2"/>
      </tp>
      <tp t="s">
        <v>#N/A N/A</v>
        <stp/>
        <stp>BDH|15275196602247884511</stp>
        <tr r="K82" s="2"/>
      </tp>
      <tp t="s">
        <v>#N/A N/A</v>
        <stp/>
        <stp>BDH|16037678966253343324</stp>
        <tr r="L53" s="2"/>
      </tp>
      <tp t="s">
        <v>#N/A N/A</v>
        <stp/>
        <stp>BDH|16289312822362936383</stp>
        <tr r="O28" s="2"/>
      </tp>
      <tp t="s">
        <v>#N/A N/A</v>
        <stp/>
        <stp>BDH|12586456512078430961</stp>
        <tr r="O86" s="2"/>
      </tp>
      <tp t="s">
        <v>#N/A N/A</v>
        <stp/>
        <stp>BDH|17599224520877304647</stp>
        <tr r="J12" s="2"/>
      </tp>
      <tp t="s">
        <v>#N/A N/A</v>
        <stp/>
        <stp>BDH|11644651224541067272</stp>
        <tr r="AC43" s="2"/>
      </tp>
      <tp t="s">
        <v>#N/A N/A</v>
        <stp/>
        <stp>BDH|13938749961807782381</stp>
        <tr r="AC26" s="2"/>
      </tp>
      <tp t="s">
        <v>#N/A N/A</v>
        <stp/>
        <stp>BDH|17248853188981533096</stp>
        <tr r="P19" s="2"/>
      </tp>
      <tp t="s">
        <v>#N/A N/A</v>
        <stp/>
        <stp>BDH|12828401949867603343</stp>
        <tr r="AA23" s="2"/>
      </tp>
      <tp t="s">
        <v>#N/A N/A</v>
        <stp/>
        <stp>BDH|11746729305157246714</stp>
        <tr r="T11" s="2"/>
      </tp>
      <tp t="s">
        <v>#N/A N/A</v>
        <stp/>
        <stp>BDH|10464175094519122757</stp>
        <tr r="AE76" s="2"/>
      </tp>
      <tp t="s">
        <v>#N/A N/A</v>
        <stp/>
        <stp>BDH|18362260196711020401</stp>
        <tr r="J21" s="2"/>
      </tp>
      <tp t="s">
        <v>#N/A N/A</v>
        <stp/>
        <stp>BDH|11986647337427084594</stp>
        <tr r="S83" s="2"/>
      </tp>
      <tp t="s">
        <v>#N/A N/A</v>
        <stp/>
        <stp>BDH|16433200366907482356</stp>
        <tr r="L42" s="2"/>
      </tp>
      <tp t="s">
        <v>#N/A N/A</v>
        <stp/>
        <stp>BDH|18181430182673315113</stp>
        <tr r="C46" s="2"/>
      </tp>
      <tp t="s">
        <v>#N/A N/A</v>
        <stp/>
        <stp>BDH|13918045737907879109</stp>
        <tr r="AD64" s="2"/>
      </tp>
      <tp t="s">
        <v>#N/A N/A</v>
        <stp/>
        <stp>BDH|10635212573724296734</stp>
        <tr r="Y32" s="2"/>
      </tp>
      <tp t="s">
        <v>#N/A N/A</v>
        <stp/>
        <stp>BDH|10829503694633999904</stp>
        <tr r="E47" s="2"/>
      </tp>
      <tp t="s">
        <v>#N/A N/A</v>
        <stp/>
        <stp>BDH|11625150571437299657</stp>
        <tr r="F81" s="2"/>
      </tp>
      <tp t="s">
        <v>#N/A N/A</v>
        <stp/>
        <stp>BDH|10088519424660142110</stp>
        <tr r="H40" s="2"/>
      </tp>
      <tp t="s">
        <v>#N/A N/A</v>
        <stp/>
        <stp>BDH|14859839570094747999</stp>
        <tr r="X74" s="2"/>
      </tp>
      <tp t="s">
        <v>#N/A N/A</v>
        <stp/>
        <stp>BDH|13201566877107063061</stp>
        <tr r="K91" s="2"/>
      </tp>
      <tp t="s">
        <v>#N/A N/A</v>
        <stp/>
        <stp>BDH|12729544642262646727</stp>
        <tr r="N62" s="2"/>
      </tp>
      <tp t="s">
        <v>#N/A N/A</v>
        <stp/>
        <stp>BDH|16542917673578754657</stp>
        <tr r="M82" s="2"/>
      </tp>
      <tp t="s">
        <v>#N/A N/A</v>
        <stp/>
        <stp>BDH|11825478353887110199</stp>
        <tr r="H15" s="2"/>
      </tp>
      <tp t="s">
        <v>#N/A N/A</v>
        <stp/>
        <stp>BDH|13334966477192742919</stp>
        <tr r="U30" s="2"/>
      </tp>
      <tp t="s">
        <v>#N/A N/A</v>
        <stp/>
        <stp>BDH|14537639942278124817</stp>
        <tr r="O74" s="2"/>
      </tp>
      <tp t="s">
        <v>#N/A N/A</v>
        <stp/>
        <stp>BDH|12827541949033093618</stp>
        <tr r="AB49" s="2"/>
      </tp>
      <tp t="s">
        <v>#N/A N/A</v>
        <stp/>
        <stp>BDH|10982113113623888577</stp>
        <tr r="M17" s="2"/>
      </tp>
      <tp t="s">
        <v>#N/A N/A</v>
        <stp/>
        <stp>BDH|13657676445701054603</stp>
        <tr r="I28" s="2"/>
      </tp>
      <tp t="s">
        <v>#N/A N/A</v>
        <stp/>
        <stp>BDH|11605786173687941003</stp>
        <tr r="Q36" s="2"/>
      </tp>
      <tp t="s">
        <v>#N/A N/A</v>
        <stp/>
        <stp>BDH|17780230050403581552</stp>
        <tr r="T47" s="2"/>
      </tp>
      <tp t="s">
        <v>#N/A N/A</v>
        <stp/>
        <stp>BDH|11469002600134414377</stp>
        <tr r="AF59" s="2"/>
      </tp>
      <tp t="s">
        <v>#N/A N/A</v>
        <stp/>
        <stp>BDH|12344030142519683938</stp>
        <tr r="AE19" s="2"/>
      </tp>
      <tp t="s">
        <v>#N/A N/A</v>
        <stp/>
        <stp>BDH|12765657530547607634</stp>
        <tr r="O91" s="2"/>
      </tp>
      <tp t="s">
        <v>#N/A N/A</v>
        <stp/>
        <stp>BDH|16634684954630875351</stp>
        <tr r="O50" s="2"/>
      </tp>
      <tp t="s">
        <v>#N/A N/A</v>
        <stp/>
        <stp>BDH|10687229821992209413</stp>
        <tr r="P17" s="2"/>
      </tp>
      <tp t="s">
        <v>#N/A N/A</v>
        <stp/>
        <stp>BDH|14133427881047323978</stp>
        <tr r="O64" s="2"/>
      </tp>
      <tp t="s">
        <v>#N/A N/A</v>
        <stp/>
        <stp>BDH|10273378724025492236</stp>
        <tr r="N70" s="2"/>
      </tp>
      <tp t="s">
        <v>#N/A N/A</v>
        <stp/>
        <stp>BDH|15447419767378788931</stp>
        <tr r="E75" s="2"/>
      </tp>
      <tp t="s">
        <v>#N/A N/A</v>
        <stp/>
        <stp>BDH|11569947140343358941</stp>
        <tr r="Q29" s="2"/>
      </tp>
      <tp t="s">
        <v>#N/A N/A</v>
        <stp/>
        <stp>BDH|14414202123956733497</stp>
        <tr r="T88" s="2"/>
      </tp>
      <tp t="s">
        <v>#N/A N/A</v>
        <stp/>
        <stp>BDH|11336520839041496057</stp>
        <tr r="AC80" s="2"/>
      </tp>
      <tp t="s">
        <v>#N/A N/A</v>
        <stp/>
        <stp>BDH|17241096070825657343</stp>
        <tr r="H32" s="2"/>
      </tp>
      <tp t="s">
        <v>#N/A N/A</v>
        <stp/>
        <stp>BDH|17794230312830608290</stp>
        <tr r="L63" s="2"/>
      </tp>
      <tp t="s">
        <v>#N/A N/A</v>
        <stp/>
        <stp>BDH|13636488244076088333</stp>
        <tr r="K18" s="2"/>
      </tp>
      <tp t="s">
        <v>#N/A N/A</v>
        <stp/>
        <stp>BDH|13332341470147631687</stp>
        <tr r="W28" s="2"/>
      </tp>
      <tp t="s">
        <v>#N/A N/A</v>
        <stp/>
        <stp>BDH|11693694165694381318</stp>
        <tr r="Z64" s="2"/>
      </tp>
      <tp t="s">
        <v>#N/A N/A</v>
        <stp/>
        <stp>BDH|15417640525125475298</stp>
        <tr r="AA58" s="2"/>
      </tp>
      <tp t="s">
        <v>#N/A N/A</v>
        <stp/>
        <stp>BDH|13872990105885969954</stp>
        <tr r="AB31" s="2"/>
      </tp>
      <tp t="s">
        <v>#N/A N/A</v>
        <stp/>
        <stp>BDH|11357365567127809520</stp>
        <tr r="W85" s="2"/>
      </tp>
      <tp t="s">
        <v>#N/A N/A</v>
        <stp/>
        <stp>BDH|10165703779466699068</stp>
        <tr r="F76" s="2"/>
      </tp>
      <tp t="s">
        <v>#N/A N/A</v>
        <stp/>
        <stp>BDH|16611431052093964266</stp>
        <tr r="AF29" s="2"/>
      </tp>
      <tp t="s">
        <v>#N/A N/A</v>
        <stp/>
        <stp>BDH|10420882491027516001</stp>
        <tr r="AE46" s="2"/>
      </tp>
      <tp t="s">
        <v>#N/A N/A</v>
        <stp/>
        <stp>BDH|17952517333836156111</stp>
        <tr r="Q10" s="2"/>
      </tp>
      <tp t="s">
        <v>#N/A N/A</v>
        <stp/>
        <stp>BDH|11799991150053463812</stp>
        <tr r="F16" s="2"/>
      </tp>
      <tp t="s">
        <v>#N/A N/A</v>
        <stp/>
        <stp>BDH|11384541535573174289</stp>
        <tr r="O10" s="2"/>
      </tp>
      <tp t="s">
        <v>#N/A N/A</v>
        <stp/>
        <stp>BDH|13451404648625021074</stp>
        <tr r="E67" s="2"/>
      </tp>
      <tp t="s">
        <v>#N/A N/A</v>
        <stp/>
        <stp>BDH|15081069066935380087</stp>
        <tr r="M53" s="2"/>
      </tp>
      <tp t="s">
        <v>#N/A N/A</v>
        <stp/>
        <stp>BDH|13048390392018974796</stp>
        <tr r="G66" s="2"/>
      </tp>
      <tp t="s">
        <v>#N/A N/A</v>
        <stp/>
        <stp>BDH|11793330768063483128</stp>
        <tr r="AB85" s="2"/>
      </tp>
      <tp t="s">
        <v>#N/A N/A</v>
        <stp/>
        <stp>BDH|11368564303673483182</stp>
        <tr r="T80" s="2"/>
      </tp>
      <tp t="s">
        <v>#N/A N/A</v>
        <stp/>
        <stp>BDH|10771438307696879413</stp>
        <tr r="AE21" s="2"/>
      </tp>
      <tp t="s">
        <v>#N/A N/A</v>
        <stp/>
        <stp>BDH|14214406557270877372</stp>
        <tr r="C25" s="2"/>
      </tp>
      <tp t="s">
        <v>#N/A N/A</v>
        <stp/>
        <stp>BDH|15698759792919287496</stp>
        <tr r="K74" s="2"/>
      </tp>
      <tp t="s">
        <v>#N/A N/A</v>
        <stp/>
        <stp>BDH|10822830935069400479</stp>
        <tr r="N27" s="2"/>
      </tp>
      <tp t="s">
        <v>#N/A N/A</v>
        <stp/>
        <stp>BDH|16445100608747948685</stp>
        <tr r="J10" s="2"/>
      </tp>
      <tp t="s">
        <v>#N/A N/A</v>
        <stp/>
        <stp>BDH|17920321222259174951</stp>
        <tr r="X33" s="2"/>
      </tp>
      <tp t="s">
        <v>#N/A N/A</v>
        <stp/>
        <stp>BDH|15061882092710272252</stp>
        <tr r="E63" s="2"/>
      </tp>
      <tp t="s">
        <v>#N/A N/A</v>
        <stp/>
        <stp>BDH|10878528624037445662</stp>
        <tr r="J14" s="2"/>
      </tp>
      <tp t="s">
        <v>#N/A N/A</v>
        <stp/>
        <stp>BDH|17176601066808327981</stp>
        <tr r="R19" s="2"/>
      </tp>
      <tp t="s">
        <v>#N/A N/A</v>
        <stp/>
        <stp>BDH|13641579258906177343</stp>
        <tr r="D81" s="2"/>
      </tp>
      <tp t="s">
        <v>#N/A N/A</v>
        <stp/>
        <stp>BDH|11056766635967984467</stp>
        <tr r="V80" s="2"/>
      </tp>
      <tp t="s">
        <v>#N/A N/A</v>
        <stp/>
        <stp>BDH|13920639172922210667</stp>
        <tr r="AA28" s="2"/>
      </tp>
      <tp t="s">
        <v>#N/A N/A</v>
        <stp/>
        <stp>BDH|18123625258508790533</stp>
        <tr r="AA90" s="2"/>
      </tp>
      <tp t="s">
        <v>#N/A N/A</v>
        <stp/>
        <stp>BDH|12569672968841165548</stp>
        <tr r="P29" s="2"/>
      </tp>
      <tp t="s">
        <v>#N/A N/A</v>
        <stp/>
        <stp>BDH|12523905819289145521</stp>
        <tr r="N7" s="2"/>
      </tp>
      <tp t="s">
        <v>#N/A N/A</v>
        <stp/>
        <stp>BDH|13914731992789640214</stp>
        <tr r="F54" s="2"/>
      </tp>
      <tp t="s">
        <v>#N/A N/A</v>
        <stp/>
        <stp>BDH|14493921431948921017</stp>
        <tr r="G75" s="2"/>
      </tp>
      <tp t="s">
        <v>#N/A N/A</v>
        <stp/>
        <stp>BDH|14663092983902675840</stp>
        <tr r="V84" s="2"/>
      </tp>
      <tp t="s">
        <v>#N/A N/A</v>
        <stp/>
        <stp>BDH|12819466901870398028</stp>
        <tr r="J64" s="2"/>
      </tp>
      <tp t="s">
        <v>#N/A N/A</v>
        <stp/>
        <stp>BDH|16811161461281761668</stp>
        <tr r="AE27" s="2"/>
      </tp>
      <tp t="s">
        <v>#N/A N/A</v>
        <stp/>
        <stp>BDH|12418972629279093644</stp>
        <tr r="Q56" s="2"/>
      </tp>
      <tp t="s">
        <v>#N/A N/A</v>
        <stp/>
        <stp>BDH|14213967816263561991</stp>
        <tr r="AC88" s="2"/>
      </tp>
      <tp t="s">
        <v>#N/A N/A</v>
        <stp/>
        <stp>BDH|14696126293909009392</stp>
        <tr r="R14" s="2"/>
      </tp>
      <tp t="s">
        <v>#N/A N/A</v>
        <stp/>
        <stp>BDH|12078668097282830880</stp>
        <tr r="AF21" s="2"/>
      </tp>
      <tp t="s">
        <v>#N/A N/A</v>
        <stp/>
        <stp>BDH|13409264521431284505</stp>
        <tr r="R59" s="2"/>
      </tp>
      <tp t="s">
        <v>#N/A N/A</v>
        <stp/>
        <stp>BDH|15414102583868512338</stp>
        <tr r="P58" s="2"/>
      </tp>
      <tp t="s">
        <v>#N/A N/A</v>
        <stp/>
        <stp>BDH|17210608881548388612</stp>
        <tr r="R90" s="2"/>
      </tp>
      <tp t="s">
        <v>#N/A N/A</v>
        <stp/>
        <stp>BDH|16710110748667653394</stp>
        <tr r="Y39" s="2"/>
      </tp>
      <tp t="s">
        <v>#N/A N/A</v>
        <stp/>
        <stp>BDH|16765301079764934179</stp>
        <tr r="AC76" s="2"/>
      </tp>
      <tp t="s">
        <v>#N/A N/A</v>
        <stp/>
        <stp>BDH|15418852790014991783</stp>
        <tr r="C26" s="2"/>
      </tp>
      <tp t="s">
        <v>#N/A N/A</v>
        <stp/>
        <stp>BDH|12154271902897308073</stp>
        <tr r="H39" s="2"/>
      </tp>
      <tp t="s">
        <v>#N/A N/A</v>
        <stp/>
        <stp>BDH|11115361253519530919</stp>
        <tr r="Z27" s="2"/>
      </tp>
      <tp t="s">
        <v>#N/A N/A</v>
        <stp/>
        <stp>BDH|13360864331506290961</stp>
        <tr r="F8" s="2"/>
      </tp>
      <tp t="s">
        <v>#N/A N/A</v>
        <stp/>
        <stp>BDH|12763608530301221151</stp>
        <tr r="AE32" s="2"/>
      </tp>
      <tp t="s">
        <v>#N/A N/A</v>
        <stp/>
        <stp>BDH|13575622567772484644</stp>
        <tr r="J86" s="2"/>
      </tp>
      <tp t="s">
        <v>#N/A N/A</v>
        <stp/>
        <stp>BDH|16885349894933161893</stp>
        <tr r="AD57" s="2"/>
      </tp>
      <tp t="s">
        <v>#N/A N/A</v>
        <stp/>
        <stp>BDH|16686741409095104392</stp>
        <tr r="P50" s="2"/>
      </tp>
      <tp t="s">
        <v>#N/A N/A</v>
        <stp/>
        <stp>BDH|11468663606336675619</stp>
        <tr r="L28" s="2"/>
      </tp>
      <tp t="s">
        <v>#N/A N/A</v>
        <stp/>
        <stp>BDH|12122007307575538005</stp>
        <tr r="O39" s="2"/>
      </tp>
      <tp t="s">
        <v>#N/A N/A</v>
        <stp/>
        <stp>BDH|18278441921741003847</stp>
        <tr r="M58" s="2"/>
      </tp>
      <tp t="s">
        <v>#N/A N/A</v>
        <stp/>
        <stp>BDH|15560447772709718872</stp>
        <tr r="S29" s="2"/>
      </tp>
      <tp t="s">
        <v>#N/A N/A</v>
        <stp/>
        <stp>BDH|14636673316817543318</stp>
        <tr r="F62" s="2"/>
      </tp>
      <tp t="s">
        <v>#N/A N/A</v>
        <stp/>
        <stp>BDH|13519022248414936441</stp>
        <tr r="C39" s="2"/>
      </tp>
      <tp t="s">
        <v>#N/A N/A</v>
        <stp/>
        <stp>BDH|12358553529797927538</stp>
        <tr r="D92" s="2"/>
      </tp>
      <tp t="s">
        <v>#N/A N/A</v>
        <stp/>
        <stp>BDH|13648034269937167580</stp>
        <tr r="O82" s="2"/>
      </tp>
      <tp t="s">
        <v>#N/A N/A</v>
        <stp/>
        <stp>BDH|14383884638720061861</stp>
        <tr r="Q57" s="2"/>
      </tp>
      <tp t="s">
        <v>#N/A N/A</v>
        <stp/>
        <stp>BDH|14777560105462873492</stp>
        <tr r="AF82" s="2"/>
      </tp>
      <tp t="s">
        <v>#N/A N/A</v>
        <stp/>
        <stp>BDH|16697188594279800077</stp>
        <tr r="AB36" s="2"/>
      </tp>
      <tp t="s">
        <v>#N/A N/A</v>
        <stp/>
        <stp>BDH|11565076622903645726</stp>
        <tr r="V70" s="2"/>
      </tp>
      <tp t="s">
        <v>#N/A N/A</v>
        <stp/>
        <stp>BDH|15675690478385399607</stp>
        <tr r="Z74" s="2"/>
      </tp>
      <tp t="s">
        <v>#N/A N/A</v>
        <stp/>
        <stp>BDH|13193064161812746059</stp>
        <tr r="AE15" s="2"/>
      </tp>
      <tp t="s">
        <v>#N/A N/A</v>
        <stp/>
        <stp>BDH|14362740017242358771</stp>
        <tr r="G84" s="2"/>
      </tp>
      <tp t="s">
        <v>#N/A N/A</v>
        <stp/>
        <stp>BDH|12700835799717827316</stp>
        <tr r="P9" s="2"/>
      </tp>
      <tp t="s">
        <v>#N/A N/A</v>
        <stp/>
        <stp>BDH|17077901982024091552</stp>
        <tr r="L56" s="2"/>
      </tp>
      <tp t="s">
        <v>#N/A N/A</v>
        <stp/>
        <stp>BDH|12736868611355040965</stp>
        <tr r="T16" s="2"/>
      </tp>
      <tp t="s">
        <v>#N/A N/A</v>
        <stp/>
        <stp>BDH|13773315571755940588</stp>
        <tr r="G83" s="2"/>
      </tp>
      <tp t="s">
        <v>#N/A N/A</v>
        <stp/>
        <stp>BDH|16517294928997049627</stp>
        <tr r="P40" s="2"/>
      </tp>
      <tp t="s">
        <v>#N/A N/A</v>
        <stp/>
        <stp>BDH|16560305458872915528</stp>
        <tr r="R62" s="2"/>
      </tp>
      <tp t="s">
        <v>#N/A N/A</v>
        <stp/>
        <stp>BDH|18409165432459768416</stp>
        <tr r="K64" s="2"/>
      </tp>
      <tp t="s">
        <v>#N/A N/A</v>
        <stp/>
        <stp>BDH|15926461779360006107</stp>
        <tr r="D29" s="2"/>
      </tp>
      <tp t="s">
        <v>#N/A N/A</v>
        <stp/>
        <stp>BDH|13801106545884724536</stp>
        <tr r="I7" s="2"/>
      </tp>
      <tp t="s">
        <v>#N/A N/A</v>
        <stp/>
        <stp>BDH|10090012848202600165</stp>
        <tr r="M34" s="2"/>
      </tp>
      <tp t="s">
        <v>#N/A N/A</v>
        <stp/>
        <stp>BDH|18367816038186633250</stp>
        <tr r="R43" s="2"/>
      </tp>
      <tp t="s">
        <v>#N/A N/A</v>
        <stp/>
        <stp>BDH|18263023198091867796</stp>
        <tr r="AF44" s="2"/>
      </tp>
      <tp t="s">
        <v>#N/A N/A</v>
        <stp/>
        <stp>BDH|14857300326281017373</stp>
        <tr r="R82" s="2"/>
      </tp>
      <tp t="s">
        <v>#N/A N/A</v>
        <stp/>
        <stp>BDH|15388672171801972250</stp>
        <tr r="F92" s="2"/>
      </tp>
      <tp t="s">
        <v>#N/A N/A</v>
        <stp/>
        <stp>BDH|15096723844407669681</stp>
        <tr r="Q55" s="2"/>
      </tp>
      <tp t="s">
        <v>#N/A N/A</v>
        <stp/>
        <stp>BDH|12608285167713623272</stp>
        <tr r="O34" s="2"/>
      </tp>
      <tp t="s">
        <v>#N/A N/A</v>
        <stp/>
        <stp>BDH|10775635043031952466</stp>
        <tr r="Q85" s="2"/>
      </tp>
      <tp t="s">
        <v>#N/A N/A</v>
        <stp/>
        <stp>BDH|17752391441383706407</stp>
        <tr r="AB65" s="2"/>
      </tp>
      <tp t="s">
        <v>#N/A N/A</v>
        <stp/>
        <stp>BDH|10855052707156638141</stp>
        <tr r="Z61" s="2"/>
      </tp>
      <tp t="s">
        <v>#N/A N/A</v>
        <stp/>
        <stp>BDH|13802604403342195015</stp>
        <tr r="G72" s="2"/>
      </tp>
      <tp t="s">
        <v>#N/A N/A</v>
        <stp/>
        <stp>BDH|11926752034110394204</stp>
        <tr r="I13" s="2"/>
      </tp>
      <tp t="s">
        <v>#N/A N/A</v>
        <stp/>
        <stp>BDH|15885454667298411842</stp>
        <tr r="D30" s="2"/>
      </tp>
      <tp t="s">
        <v>#N/A N/A</v>
        <stp/>
        <stp>BDH|13826808693155417059</stp>
        <tr r="H52" s="2"/>
      </tp>
      <tp t="s">
        <v>#N/A N/A</v>
        <stp/>
        <stp>BDH|10342332186188865443</stp>
        <tr r="W19" s="2"/>
      </tp>
      <tp t="s">
        <v>#N/A N/A</v>
        <stp/>
        <stp>BDH|12440148409600503468</stp>
        <tr r="D50" s="2"/>
      </tp>
      <tp t="s">
        <v>#N/A N/A</v>
        <stp/>
        <stp>BDH|11731211040292804241</stp>
        <tr r="P76" s="2"/>
      </tp>
      <tp t="s">
        <v>#N/A N/A</v>
        <stp/>
        <stp>BDH|15219900791084885618</stp>
        <tr r="O81" s="2"/>
      </tp>
      <tp t="s">
        <v>#N/A N/A</v>
        <stp/>
        <stp>BDH|13546699456997469047</stp>
        <tr r="U63" s="2"/>
      </tp>
      <tp t="s">
        <v>#N/A N/A</v>
        <stp/>
        <stp>BDH|18339096716377614903</stp>
        <tr r="Q88" s="2"/>
      </tp>
      <tp t="s">
        <v>#N/A N/A</v>
        <stp/>
        <stp>BDH|11112690707838355815</stp>
        <tr r="AE50" s="2"/>
      </tp>
      <tp t="s">
        <v>#N/A N/A</v>
        <stp/>
        <stp>BDH|13010246871839147897</stp>
        <tr r="T85" s="2"/>
      </tp>
      <tp t="s">
        <v>#N/A N/A</v>
        <stp/>
        <stp>BDH|12121460204765681496</stp>
        <tr r="P60" s="2"/>
      </tp>
      <tp t="s">
        <v>#N/A N/A</v>
        <stp/>
        <stp>BDH|16602624619311603771</stp>
        <tr r="P18" s="2"/>
      </tp>
      <tp t="s">
        <v>#N/A N/A</v>
        <stp/>
        <stp>BDH|12042381746394158608</stp>
        <tr r="P85" s="2"/>
      </tp>
      <tp t="s">
        <v>#N/A N/A</v>
        <stp/>
        <stp>BDH|10934603404866664747</stp>
        <tr r="D70" s="2"/>
      </tp>
      <tp t="s">
        <v>#N/A N/A</v>
        <stp/>
        <stp>BDH|11463197757901114344</stp>
        <tr r="K11" s="2"/>
      </tp>
      <tp t="s">
        <v>#N/A N/A</v>
        <stp/>
        <stp>BDH|14174758306916408297</stp>
        <tr r="AE91" s="2"/>
      </tp>
      <tp t="s">
        <v>#N/A N/A</v>
        <stp/>
        <stp>BDH|12100268651002109092</stp>
        <tr r="W51" s="2"/>
      </tp>
      <tp t="s">
        <v>#N/A N/A</v>
        <stp/>
        <stp>BDH|11492237509191143513</stp>
        <tr r="W18" s="2"/>
      </tp>
      <tp t="s">
        <v>#N/A N/A</v>
        <stp/>
        <stp>BDH|14261120838483019262</stp>
        <tr r="U53" s="2"/>
      </tp>
      <tp t="s">
        <v>#N/A N/A</v>
        <stp/>
        <stp>BDH|16065404335770190555</stp>
        <tr r="D69" s="2"/>
      </tp>
      <tp t="s">
        <v>#N/A N/A</v>
        <stp/>
        <stp>BDH|13656331834213186413</stp>
        <tr r="AB33" s="2"/>
      </tp>
      <tp t="s">
        <v>#N/A N/A</v>
        <stp/>
        <stp>BDH|10747267952446786553</stp>
        <tr r="K49" s="2"/>
      </tp>
      <tp t="s">
        <v>#N/A N/A</v>
        <stp/>
        <stp>BDH|17853728455389698880</stp>
        <tr r="AC19" s="2"/>
      </tp>
      <tp t="s">
        <v>#N/A N/A</v>
        <stp/>
        <stp>BDH|11118121914844798115</stp>
        <tr r="T69" s="2"/>
      </tp>
      <tp t="s">
        <v>#N/A N/A</v>
        <stp/>
        <stp>BDH|17868480844874154750</stp>
        <tr r="T55" s="2"/>
      </tp>
      <tp t="s">
        <v>#N/A N/A</v>
        <stp/>
        <stp>BDH|12062159988569476695</stp>
        <tr r="H23" s="2"/>
      </tp>
      <tp t="s">
        <v>#N/A N/A</v>
        <stp/>
        <stp>BDH|13790115092276000943</stp>
        <tr r="Q46" s="2"/>
      </tp>
      <tp t="s">
        <v>#N/A N/A</v>
        <stp/>
        <stp>BDH|10520113759315603589</stp>
        <tr r="V57" s="2"/>
      </tp>
      <tp t="s">
        <v>#N/A N/A</v>
        <stp/>
        <stp>BDH|11491101044799144922</stp>
        <tr r="U72" s="2"/>
      </tp>
      <tp t="s">
        <v>#N/A N/A</v>
        <stp/>
        <stp>BDH|10202776941482593522</stp>
        <tr r="M14" s="2"/>
      </tp>
      <tp t="s">
        <v>#N/A N/A</v>
        <stp/>
        <stp>BDH|16031714206695087049</stp>
        <tr r="P68" s="2"/>
      </tp>
      <tp t="s">
        <v>#N/A N/A</v>
        <stp/>
        <stp>BDH|18059436697457358642</stp>
        <tr r="E14" s="2"/>
      </tp>
      <tp t="s">
        <v>#N/A N/A</v>
        <stp/>
        <stp>BDH|10678718674952781667</stp>
        <tr r="M88" s="2"/>
      </tp>
      <tp t="s">
        <v>#N/A N/A</v>
        <stp/>
        <stp>BDH|14608666672212448340</stp>
        <tr r="AD41" s="2"/>
      </tp>
      <tp t="s">
        <v>#N/A N/A</v>
        <stp/>
        <stp>BDH|15044899321732522980</stp>
        <tr r="K39" s="2"/>
      </tp>
      <tp t="s">
        <v>#N/A N/A</v>
        <stp/>
        <stp>BDH|13132566713285791661</stp>
        <tr r="E41" s="2"/>
      </tp>
      <tp t="s">
        <v>#N/A N/A</v>
        <stp/>
        <stp>BDH|14618975633542483834</stp>
        <tr r="Q82" s="2"/>
      </tp>
      <tp t="s">
        <v>#N/A N/A</v>
        <stp/>
        <stp>BDH|10608349062416341768</stp>
        <tr r="AC42" s="2"/>
      </tp>
      <tp t="s">
        <v>#N/A N/A</v>
        <stp/>
        <stp>BDH|14179051612600673151</stp>
        <tr r="AB72" s="2"/>
      </tp>
      <tp t="s">
        <v>#N/A N/A</v>
        <stp/>
        <stp>BDH|13503497669132393722</stp>
        <tr r="L17" s="2"/>
      </tp>
      <tp t="s">
        <v>#N/A N/A</v>
        <stp/>
        <stp>BDH|11597660431972356258</stp>
        <tr r="Q75" s="2"/>
      </tp>
      <tp t="s">
        <v>#N/A N/A</v>
        <stp/>
        <stp>BDH|15921161450242990729</stp>
        <tr r="AF14" s="2"/>
      </tp>
      <tp t="s">
        <v>#N/A N/A</v>
        <stp/>
        <stp>BDH|12457460704432352013</stp>
        <tr r="Y59" s="2"/>
      </tp>
      <tp t="s">
        <v>#N/A N/A</v>
        <stp/>
        <stp>BDH|17792697020047320099</stp>
        <tr r="AB17" s="2"/>
      </tp>
      <tp t="s">
        <v>#N/A N/A</v>
        <stp/>
        <stp>BDH|17642264664222303507</stp>
        <tr r="X35" s="2"/>
      </tp>
      <tp t="s">
        <v>#N/A N/A</v>
        <stp/>
        <stp>BDH|10010144773100503251</stp>
        <tr r="J42" s="2"/>
      </tp>
      <tp t="s">
        <v>#N/A N/A</v>
        <stp/>
        <stp>BDH|12738593422950226185</stp>
        <tr r="AA70" s="2"/>
      </tp>
      <tp t="s">
        <v>#N/A N/A</v>
        <stp/>
        <stp>BDH|16137407910012480532</stp>
        <tr r="AC56" s="2"/>
      </tp>
      <tp t="s">
        <v>#N/A N/A</v>
        <stp/>
        <stp>BDH|13289801580976656126</stp>
        <tr r="J20" s="2"/>
      </tp>
      <tp t="s">
        <v>#N/A N/A</v>
        <stp/>
        <stp>BDH|13486066200944249360</stp>
        <tr r="E90" s="2"/>
      </tp>
      <tp t="s">
        <v>#N/A N/A</v>
        <stp/>
        <stp>BDH|12384720859971638580</stp>
        <tr r="F21" s="2"/>
      </tp>
      <tp t="s">
        <v>#N/A N/A</v>
        <stp/>
        <stp>BDH|15172262063086111335</stp>
        <tr r="M13" s="2"/>
      </tp>
      <tp t="s">
        <v>#N/A N/A</v>
        <stp/>
        <stp>BDH|17973791758206293736</stp>
        <tr r="AC63" s="2"/>
      </tp>
      <tp t="s">
        <v>#N/A N/A</v>
        <stp/>
        <stp>BDH|14959693107891631780</stp>
        <tr r="J89" s="2"/>
      </tp>
      <tp t="s">
        <v>#N/A N/A</v>
        <stp/>
        <stp>BDH|15343091181509108033</stp>
        <tr r="D54" s="2"/>
      </tp>
      <tp t="s">
        <v>#N/A N/A</v>
        <stp/>
        <stp>BDH|10154736206830991343</stp>
        <tr r="M76" s="2"/>
      </tp>
      <tp t="s">
        <v>#N/A N/A</v>
        <stp/>
        <stp>BDH|16901483039010941587</stp>
        <tr r="H8" s="2"/>
      </tp>
      <tp t="s">
        <v>#N/A N/A</v>
        <stp/>
        <stp>BDH|11198429739567062520</stp>
        <tr r="I15" s="2"/>
      </tp>
      <tp t="s">
        <v>#N/A N/A</v>
        <stp/>
        <stp>BDH|11878646772944060053</stp>
        <tr r="O40" s="2"/>
      </tp>
      <tp t="s">
        <v>#N/A N/A</v>
        <stp/>
        <stp>BDH|18296979569030079376</stp>
        <tr r="AE39" s="2"/>
      </tp>
      <tp t="s">
        <v>#N/A N/A</v>
        <stp/>
        <stp>BDH|12631816794861920618</stp>
        <tr r="J87" s="2"/>
      </tp>
      <tp t="s">
        <v>#N/A N/A</v>
        <stp/>
        <stp>BDH|14808961992388403834</stp>
        <tr r="AB39" s="2"/>
      </tp>
      <tp t="s">
        <v>#N/A N/A</v>
        <stp/>
        <stp>BDH|12970051016815058203</stp>
        <tr r="AF31" s="2"/>
      </tp>
      <tp t="s">
        <v>#N/A N/A</v>
        <stp/>
        <stp>BDH|13351315530201955618</stp>
        <tr r="S88" s="2"/>
      </tp>
      <tp t="s">
        <v>#N/A N/A</v>
        <stp/>
        <stp>BDH|15493155159781596401</stp>
        <tr r="AC34" s="2"/>
      </tp>
      <tp t="s">
        <v>#N/A N/A</v>
        <stp/>
        <stp>BDH|14443841581283836344</stp>
        <tr r="AA48" s="2"/>
      </tp>
      <tp t="s">
        <v>#N/A N/A</v>
        <stp/>
        <stp>BDH|12923618173510689702</stp>
        <tr r="F59" s="2"/>
      </tp>
      <tp t="s">
        <v>#N/A N/A</v>
        <stp/>
        <stp>BDH|18318594784516190730</stp>
        <tr r="M48" s="2"/>
      </tp>
      <tp t="s">
        <v>#N/A N/A</v>
        <stp/>
        <stp>BDH|17966636328877839065</stp>
        <tr r="AF10" s="2"/>
      </tp>
      <tp t="s">
        <v>#N/A N/A</v>
        <stp/>
        <stp>BDH|11011066598864377825</stp>
        <tr r="H89" s="2"/>
      </tp>
      <tp t="s">
        <v>#N/A N/A</v>
        <stp/>
        <stp>BDH|12034350940928202999</stp>
        <tr r="E34" s="2"/>
      </tp>
      <tp t="s">
        <v>#N/A N/A</v>
        <stp/>
        <stp>BDH|16392528544650316385</stp>
        <tr r="Y70" s="2"/>
      </tp>
      <tp t="s">
        <v>#N/A N/A</v>
        <stp/>
        <stp>BDH|14639252222816677762</stp>
        <tr r="C20" s="2"/>
      </tp>
      <tp t="s">
        <v>#N/A N/A</v>
        <stp/>
        <stp>BDH|10983009275181445398</stp>
        <tr r="F71" s="2"/>
      </tp>
      <tp t="s">
        <v>#N/A N/A</v>
        <stp/>
        <stp>BDH|10629880319738342457</stp>
        <tr r="T35" s="2"/>
      </tp>
      <tp t="s">
        <v>#N/A N/A</v>
        <stp/>
        <stp>BDH|12120968315687590861</stp>
        <tr r="L12" s="2"/>
      </tp>
      <tp t="s">
        <v>#N/A N/A</v>
        <stp/>
        <stp>BDH|17785233500730607027</stp>
        <tr r="P33" s="2"/>
      </tp>
      <tp t="s">
        <v>#N/A N/A</v>
        <stp/>
        <stp>BDH|12504242881488724577</stp>
        <tr r="P72" s="2"/>
      </tp>
      <tp t="s">
        <v>#N/A N/A</v>
        <stp/>
        <stp>BDH|14131267648836718188</stp>
        <tr r="O87" s="2"/>
      </tp>
      <tp t="s">
        <v>#N/A N/A</v>
        <stp/>
        <stp>BDH|10114137524225260346</stp>
        <tr r="AF60" s="2"/>
      </tp>
      <tp t="s">
        <v>#N/A N/A</v>
        <stp/>
        <stp>BDH|10098668326209086837</stp>
        <tr r="V48" s="2"/>
      </tp>
      <tp t="s">
        <v>#N/A N/A</v>
        <stp/>
        <stp>BDH|11116103302826844382</stp>
        <tr r="L13" s="2"/>
      </tp>
      <tp t="s">
        <v>#N/A N/A</v>
        <stp/>
        <stp>BDH|16784393767247933139</stp>
        <tr r="P57" s="2"/>
      </tp>
      <tp t="s">
        <v>#N/A N/A</v>
        <stp/>
        <stp>BDH|17113506733481231531</stp>
        <tr r="G25" s="2"/>
      </tp>
      <tp t="s">
        <v>#N/A N/A</v>
        <stp/>
        <stp>BDH|17147241906777668764</stp>
        <tr r="U16" s="2"/>
      </tp>
      <tp t="s">
        <v>#N/A N/A</v>
        <stp/>
        <stp>BDH|12327747438163539090</stp>
        <tr r="S22" s="2"/>
      </tp>
      <tp t="s">
        <v>#N/A N/A</v>
        <stp/>
        <stp>BDH|14613744975415419407</stp>
        <tr r="R87" s="2"/>
      </tp>
      <tp t="s">
        <v>#N/A N/A</v>
        <stp/>
        <stp>BDH|10678317120183244763</stp>
        <tr r="D41" s="2"/>
      </tp>
      <tp t="s">
        <v>#N/A N/A</v>
        <stp/>
        <stp>BDH|12082505524832578227</stp>
        <tr r="X25" s="2"/>
      </tp>
      <tp t="s">
        <v>#N/A N/A</v>
        <stp/>
        <stp>BDH|17764239675643553479</stp>
        <tr r="U41" s="2"/>
      </tp>
      <tp t="s">
        <v>#N/A N/A</v>
        <stp/>
        <stp>BDH|13573740630572361010</stp>
        <tr r="F35" s="2"/>
      </tp>
      <tp t="s">
        <v>#N/A N/A</v>
        <stp/>
        <stp>BDH|15799343213157019520</stp>
        <tr r="K47" s="2"/>
      </tp>
      <tp t="s">
        <v>#N/A N/A</v>
        <stp/>
        <stp>BDH|15471760804485692223</stp>
        <tr r="N58" s="2"/>
      </tp>
      <tp t="s">
        <v>#N/A N/A</v>
        <stp/>
        <stp>BDH|11876679884519867315</stp>
        <tr r="O90" s="2"/>
      </tp>
      <tp t="s">
        <v>#N/A N/A</v>
        <stp/>
        <stp>BDH|11992484924910562221</stp>
        <tr r="G64" s="2"/>
      </tp>
      <tp t="s">
        <v>#N/A N/A</v>
        <stp/>
        <stp>BDH|13275517774367488367</stp>
        <tr r="S44" s="2"/>
      </tp>
      <tp t="s">
        <v>#N/A N/A</v>
        <stp/>
        <stp>BDH|15053555208187033281</stp>
        <tr r="I31" s="2"/>
      </tp>
      <tp t="s">
        <v>#N/A N/A</v>
        <stp/>
        <stp>BDH|12642966085244532252</stp>
        <tr r="K83" s="2"/>
      </tp>
      <tp t="s">
        <v>#N/A N/A</v>
        <stp/>
        <stp>BDH|12465457526813083226</stp>
        <tr r="W41" s="2"/>
      </tp>
      <tp t="s">
        <v>#N/A N/A</v>
        <stp/>
        <stp>BDH|14746152317799799864</stp>
        <tr r="AF81" s="2"/>
      </tp>
      <tp t="s">
        <v>#N/A N/A</v>
        <stp/>
        <stp>BDH|12183344045140475009</stp>
        <tr r="AC27" s="2"/>
      </tp>
      <tp t="s">
        <v>#N/A N/A</v>
        <stp/>
        <stp>BDH|11066943030268637661</stp>
        <tr r="N61" s="2"/>
      </tp>
      <tp t="s">
        <v>#N/A N/A</v>
        <stp/>
        <stp>BDH|12147847811858273628</stp>
        <tr r="N32" s="2"/>
      </tp>
      <tp t="s">
        <v>#N/A N/A</v>
        <stp/>
        <stp>BDH|16171202178531822756</stp>
        <tr r="C47" s="2"/>
      </tp>
      <tp t="s">
        <v>#N/A N/A</v>
        <stp/>
        <stp>BDH|15015123821653561019</stp>
        <tr r="V7" s="2"/>
      </tp>
      <tp t="s">
        <v>#N/A N/A</v>
        <stp/>
        <stp>BDH|13966967131279887517</stp>
        <tr r="Y40" s="2"/>
      </tp>
      <tp t="s">
        <v>#N/A N/A</v>
        <stp/>
        <stp>BDH|13477599349656433179</stp>
        <tr r="S11" s="2"/>
      </tp>
      <tp t="s">
        <v>#N/A N/A</v>
        <stp/>
        <stp>BDH|14125555415615075061</stp>
        <tr r="Y11" s="2"/>
      </tp>
      <tp t="s">
        <v>#N/A N/A</v>
        <stp/>
        <stp>BDH|14437046877686421046</stp>
        <tr r="D58" s="2"/>
      </tp>
      <tp t="s">
        <v>#N/A N/A</v>
        <stp/>
        <stp>BDH|17159290236250157384</stp>
        <tr r="L33" s="2"/>
      </tp>
      <tp t="s">
        <v>#N/A N/A</v>
        <stp/>
        <stp>BDH|10818690640074569332</stp>
        <tr r="Z26" s="2"/>
      </tp>
      <tp t="s">
        <v>#N/A N/A</v>
        <stp/>
        <stp>BDH|12103669250676870290</stp>
        <tr r="X24" s="2"/>
      </tp>
      <tp t="s">
        <v>#N/A N/A</v>
        <stp/>
        <stp>BDH|16055311813952744336</stp>
        <tr r="AE42" s="2"/>
      </tp>
      <tp t="s">
        <v>#N/A N/A</v>
        <stp/>
        <stp>BDH|17988100949474769314</stp>
        <tr r="AC31" s="2"/>
      </tp>
      <tp t="s">
        <v>#N/A N/A</v>
        <stp/>
        <stp>BDH|16096624505482297733</stp>
        <tr r="P84" s="2"/>
      </tp>
      <tp t="s">
        <v>#N/A N/A</v>
        <stp/>
        <stp>BDH|17319715579782561084</stp>
        <tr r="AA36" s="2"/>
      </tp>
      <tp t="s">
        <v>#N/A N/A</v>
        <stp/>
        <stp>BDH|10132565114598125941</stp>
        <tr r="U68" s="2"/>
      </tp>
      <tp t="s">
        <v>#N/A N/A</v>
        <stp/>
        <stp>BDH|17016088078646791313</stp>
        <tr r="E15" s="2"/>
      </tp>
      <tp t="s">
        <v>#N/A N/A</v>
        <stp/>
        <stp>BDH|13648462137611765091</stp>
        <tr r="V15" s="2"/>
      </tp>
      <tp t="s">
        <v>#N/A N/A</v>
        <stp/>
        <stp>BDH|13009106970784818408</stp>
        <tr r="F51" s="2"/>
      </tp>
      <tp t="s">
        <v>#N/A N/A</v>
        <stp/>
        <stp>BDH|10099414818347054715</stp>
        <tr r="H12" s="2"/>
      </tp>
      <tp t="s">
        <v>#N/A N/A</v>
        <stp/>
        <stp>BDH|11231386371797158726</stp>
        <tr r="R11" s="2"/>
      </tp>
      <tp t="s">
        <v>#N/A N/A</v>
        <stp/>
        <stp>BDH|18386933092939022496</stp>
        <tr r="AB18" s="2"/>
      </tp>
      <tp t="s">
        <v>#N/A N/A</v>
        <stp/>
        <stp>BDH|18399060618555754902</stp>
        <tr r="D46" s="2"/>
      </tp>
      <tp t="s">
        <v>#N/A N/A</v>
        <stp/>
        <stp>BDH|15927600929981372593</stp>
        <tr r="H66" s="2"/>
      </tp>
      <tp t="s">
        <v>#N/A N/A</v>
        <stp/>
        <stp>BDH|13454044395599832677</stp>
        <tr r="AC10" s="2"/>
      </tp>
      <tp t="s">
        <v>#N/A N/A</v>
        <stp/>
        <stp>BDH|12961684938270583212</stp>
        <tr r="AA49" s="2"/>
      </tp>
      <tp t="s">
        <v>#N/A N/A</v>
        <stp/>
        <stp>BDH|11085348418022685472</stp>
        <tr r="AB75" s="2"/>
      </tp>
      <tp t="s">
        <v>#N/A N/A</v>
        <stp/>
        <stp>BDH|13091386887785593878</stp>
        <tr r="H9" s="2"/>
      </tp>
      <tp t="s">
        <v>#N/A N/A</v>
        <stp/>
        <stp>BDH|15166208141166866051</stp>
        <tr r="AF70" s="2"/>
      </tp>
      <tp t="s">
        <v>#N/A N/A</v>
        <stp/>
        <stp>BDH|13876128055283391117</stp>
        <tr r="K40" s="2"/>
      </tp>
      <tp t="s">
        <v>#N/A N/A</v>
        <stp/>
        <stp>BDH|17725535928336123304</stp>
        <tr r="K31" s="2"/>
      </tp>
      <tp t="s">
        <v>#N/A N/A</v>
        <stp/>
        <stp>BDH|12960231016522133603</stp>
        <tr r="AF72" s="2"/>
      </tp>
      <tp t="s">
        <v>#N/A N/A</v>
        <stp/>
        <stp>BDH|17654714073403957107</stp>
        <tr r="I26" s="2"/>
      </tp>
      <tp t="s">
        <v>#N/A N/A</v>
        <stp/>
        <stp>BDH|13779013398289692659</stp>
        <tr r="N23" s="2"/>
      </tp>
      <tp t="s">
        <v>#N/A N/A</v>
        <stp/>
        <stp>BDH|13741798752583838782</stp>
        <tr r="E76" s="2"/>
      </tp>
      <tp t="s">
        <v>#N/A N/A</v>
        <stp/>
        <stp>BDH|12653266297918339484</stp>
        <tr r="AC57" s="2"/>
      </tp>
      <tp t="s">
        <v>#N/A N/A</v>
        <stp/>
        <stp>BDH|17564034720092930232</stp>
        <tr r="Z70" s="2"/>
      </tp>
      <tp t="s">
        <v>#N/A N/A</v>
        <stp/>
        <stp>BDH|15176217858360508714</stp>
        <tr r="F28" s="2"/>
      </tp>
      <tp t="s">
        <v>#N/A N/A</v>
        <stp/>
        <stp>BDH|16318021289228154351</stp>
        <tr r="AA15" s="2"/>
      </tp>
      <tp t="s">
        <v>#N/A N/A</v>
        <stp/>
        <stp>BDH|14116689036905825185</stp>
        <tr r="L30" s="2"/>
      </tp>
      <tp t="s">
        <v>#N/A N/A</v>
        <stp/>
        <stp>BDH|14215639524567806236</stp>
        <tr r="AC69" s="2"/>
      </tp>
      <tp t="s">
        <v>#N/A N/A</v>
        <stp/>
        <stp>BDH|13538769037216912436</stp>
        <tr r="E26" s="2"/>
      </tp>
      <tp t="s">
        <v>#N/A N/A</v>
        <stp/>
        <stp>BDH|12839305387534950888</stp>
        <tr r="Z56" s="2"/>
      </tp>
      <tp t="s">
        <v>#N/A N/A</v>
        <stp/>
        <stp>BDH|18413089924639334650</stp>
        <tr r="AF63" s="2"/>
      </tp>
      <tp t="s">
        <v>#N/A N/A</v>
        <stp/>
        <stp>BDH|13209311957491207188</stp>
        <tr r="I76" s="2"/>
      </tp>
      <tp t="s">
        <v>#N/A N/A</v>
        <stp/>
        <stp>BDH|12489586093942234937</stp>
        <tr r="AC89" s="2"/>
      </tp>
      <tp t="s">
        <v>#N/A N/A</v>
        <stp/>
        <stp>BDH|11613135959392233205</stp>
        <tr r="I73" s="2"/>
      </tp>
    </main>
    <main first="bofaddin.rtdserver">
      <tp t="s">
        <v>#N/A N/A</v>
        <stp/>
        <stp>BDH|9847009872835320</stp>
        <tr r="D14" s="2"/>
      </tp>
      <tp t="s">
        <v>#N/A N/A</v>
        <stp/>
        <stp>BDH|1560399991876103167</stp>
        <tr r="I30" s="2"/>
      </tp>
      <tp t="s">
        <v>#N/A N/A</v>
        <stp/>
        <stp>BDH|6890477750613596802</stp>
        <tr r="C15" s="2"/>
      </tp>
      <tp t="s">
        <v>#N/A N/A</v>
        <stp/>
        <stp>BDH|7758366502811862918</stp>
        <tr r="AE40" s="2"/>
      </tp>
      <tp t="s">
        <v>#N/A N/A</v>
        <stp/>
        <stp>BDH|6606912557710824621</stp>
        <tr r="AD75" s="2"/>
      </tp>
      <tp t="s">
        <v>#N/A N/A</v>
        <stp/>
        <stp>BDH|2362162988440148769</stp>
        <tr r="M73" s="2"/>
      </tp>
      <tp t="s">
        <v>#N/A N/A</v>
        <stp/>
        <stp>BDH|4546499093547657233</stp>
        <tr r="AA24" s="2"/>
      </tp>
      <tp t="s">
        <v>#N/A N/A</v>
        <stp/>
        <stp>BDH|3957343298000640580</stp>
        <tr r="J56" s="2"/>
      </tp>
      <tp t="s">
        <v>#N/A N/A</v>
        <stp/>
        <stp>BDH|7971162275974001917</stp>
        <tr r="E85" s="2"/>
      </tp>
      <tp t="s">
        <v>#N/A N/A</v>
        <stp/>
        <stp>BDH|6311246989169786925</stp>
        <tr r="X32" s="2"/>
      </tp>
      <tp t="s">
        <v>#N/A N/A</v>
        <stp/>
        <stp>BDH|8946013051065481462</stp>
        <tr r="X72" s="2"/>
      </tp>
      <tp t="s">
        <v>#N/A N/A</v>
        <stp/>
        <stp>BDH|4773693842033160951</stp>
        <tr r="E58" s="2"/>
      </tp>
      <tp t="s">
        <v>#N/A N/A</v>
        <stp/>
        <stp>BDH|1918706493025647648</stp>
        <tr r="K60" s="2"/>
      </tp>
      <tp t="s">
        <v>#N/A N/A</v>
        <stp/>
        <stp>BDH|8205790804717186465</stp>
        <tr r="Y62" s="2"/>
      </tp>
      <tp t="s">
        <v>#N/A N/A</v>
        <stp/>
        <stp>BDH|4133866915910871126</stp>
        <tr r="J33" s="2"/>
      </tp>
      <tp t="s">
        <v>#N/A N/A</v>
        <stp/>
        <stp>BDH|5841923462761195717</stp>
        <tr r="E91" s="2"/>
      </tp>
      <tp t="s">
        <v>#N/A N/A</v>
        <stp/>
        <stp>BDH|8509118724956808111</stp>
        <tr r="Q66" s="2"/>
      </tp>
      <tp t="s">
        <v>#N/A N/A</v>
        <stp/>
        <stp>BDH|8127561511812806278</stp>
        <tr r="AD8" s="2"/>
      </tp>
      <tp t="s">
        <v>#N/A N/A</v>
        <stp/>
        <stp>BDH|8792433090269879059</stp>
        <tr r="AE87" s="2"/>
      </tp>
      <tp t="s">
        <v>#N/A N/A</v>
        <stp/>
        <stp>BDH|1102119694275410094</stp>
        <tr r="G31" s="2"/>
      </tp>
      <tp t="s">
        <v>#N/A N/A</v>
        <stp/>
        <stp>BDH|8156766334560827051</stp>
        <tr r="G67" s="2"/>
      </tp>
      <tp t="s">
        <v>#N/A N/A</v>
        <stp/>
        <stp>BDH|2819143586294642323</stp>
        <tr r="AA33" s="2"/>
      </tp>
      <tp t="s">
        <v>#N/A N/A</v>
        <stp/>
        <stp>BDH|4705518901708849510</stp>
        <tr r="E59" s="2"/>
      </tp>
      <tp t="s">
        <v>#N/A N/A</v>
        <stp/>
        <stp>BDH|9289815518864476801</stp>
        <tr r="F48" s="2"/>
      </tp>
      <tp t="s">
        <v>#N/A N/A</v>
        <stp/>
        <stp>BDH|1873161391063203624</stp>
        <tr r="H29" s="2"/>
      </tp>
      <tp t="s">
        <v>#N/A N/A</v>
        <stp/>
        <stp>BDH|7882325284770765069</stp>
        <tr r="K45" s="2"/>
      </tp>
      <tp t="s">
        <v>#N/A N/A</v>
        <stp/>
        <stp>BDH|7415530595873978444</stp>
        <tr r="I55" s="2"/>
      </tp>
      <tp t="s">
        <v>#N/A N/A</v>
        <stp/>
        <stp>BDH|5819687489620109742</stp>
        <tr r="O30" s="2"/>
      </tp>
      <tp t="s">
        <v>#N/A N/A</v>
        <stp/>
        <stp>BDH|7017227968386255947</stp>
        <tr r="K56" s="2"/>
      </tp>
      <tp t="s">
        <v>#N/A N/A</v>
        <stp/>
        <stp>BDH|9975250132871237505</stp>
        <tr r="N25" s="2"/>
      </tp>
      <tp t="s">
        <v>#N/A N/A</v>
        <stp/>
        <stp>BDH|6005983723104577528</stp>
        <tr r="AD61" s="2"/>
      </tp>
      <tp t="s">
        <v>#N/A N/A</v>
        <stp/>
        <stp>BDH|6306789256509752179</stp>
        <tr r="E43" s="2"/>
      </tp>
      <tp t="s">
        <v>#N/A N/A</v>
        <stp/>
        <stp>BDH|9649496092880587851</stp>
        <tr r="H91" s="2"/>
      </tp>
      <tp t="s">
        <v>#N/A N/A</v>
        <stp/>
        <stp>BDH|1336813382628936546</stp>
        <tr r="I72" s="2"/>
      </tp>
      <tp t="s">
        <v>#N/A N/A</v>
        <stp/>
        <stp>BDH|9494563099941239846</stp>
        <tr r="V13" s="2"/>
      </tp>
      <tp t="s">
        <v>#N/A N/A</v>
        <stp/>
        <stp>BDH|2607826485606995851</stp>
        <tr r="AC81" s="2"/>
      </tp>
      <tp t="s">
        <v>#N/A N/A</v>
        <stp/>
        <stp>BDH|9666697860893538671</stp>
        <tr r="AC87" s="2"/>
      </tp>
      <tp t="s">
        <v>#N/A N/A</v>
        <stp/>
        <stp>BDH|9041558038795361632</stp>
        <tr r="L90" s="2"/>
      </tp>
      <tp t="s">
        <v>#N/A N/A</v>
        <stp/>
        <stp>BDH|2305955311341202776</stp>
        <tr r="AC45" s="2"/>
      </tp>
      <tp t="s">
        <v>#N/A N/A</v>
        <stp/>
        <stp>BDH|4888789673300269836</stp>
        <tr r="X82" s="2"/>
      </tp>
      <tp t="s">
        <v>#N/A N/A</v>
        <stp/>
        <stp>BDH|9608723777565286039</stp>
        <tr r="Y58" s="2"/>
      </tp>
      <tp t="s">
        <v>#N/A N/A</v>
        <stp/>
        <stp>BDH|2656269826087297963</stp>
        <tr r="P86" s="2"/>
      </tp>
      <tp t="s">
        <v>#N/A N/A</v>
        <stp/>
        <stp>BDH|2430426596253396014</stp>
        <tr r="U86" s="2"/>
      </tp>
      <tp t="s">
        <v>#N/A N/A</v>
        <stp/>
        <stp>BDH|8222688507142981069</stp>
        <tr r="AF69" s="2"/>
      </tp>
      <tp t="s">
        <v>#N/A N/A</v>
        <stp/>
        <stp>BDH|8430949002759730471</stp>
        <tr r="Y18" s="2"/>
      </tp>
      <tp t="s">
        <v>#N/A N/A</v>
        <stp/>
        <stp>BDH|7341808984129496207</stp>
        <tr r="J24" s="2"/>
      </tp>
      <tp t="s">
        <v>#N/A N/A</v>
        <stp/>
        <stp>BDH|1405581690361810076</stp>
        <tr r="C67" s="2"/>
      </tp>
      <tp t="s">
        <v>#N/A N/A</v>
        <stp/>
        <stp>BDH|7641557817617706801</stp>
        <tr r="T59" s="2"/>
      </tp>
      <tp t="s">
        <v>#N/A N/A</v>
        <stp/>
        <stp>BDH|2250777972409384779</stp>
        <tr r="R7" s="2"/>
      </tp>
      <tp t="s">
        <v>#N/A N/A</v>
        <stp/>
        <stp>BDH|1698746296192774101</stp>
        <tr r="I90" s="2"/>
      </tp>
      <tp t="s">
        <v>#N/A N/A</v>
        <stp/>
        <stp>BDH|9047347431853331655</stp>
        <tr r="G18" s="2"/>
      </tp>
      <tp t="s">
        <v>#N/A N/A</v>
        <stp/>
        <stp>BDH|1308507900178765045</stp>
        <tr r="M39" s="2"/>
      </tp>
      <tp t="s">
        <v>#N/A N/A</v>
        <stp/>
        <stp>BDH|4657411541420266842</stp>
        <tr r="V20" s="2"/>
      </tp>
      <tp t="s">
        <v>#N/A N/A</v>
        <stp/>
        <stp>BDH|5163109920233188903</stp>
        <tr r="U28" s="2"/>
      </tp>
      <tp t="s">
        <v>#N/A N/A</v>
        <stp/>
        <stp>BDH|5294575289627559399</stp>
        <tr r="I52" s="2"/>
      </tp>
      <tp t="s">
        <v>#N/A N/A</v>
        <stp/>
        <stp>BDH|7224775806938566464</stp>
        <tr r="P87" s="2"/>
      </tp>
      <tp t="s">
        <v>#N/A N/A</v>
        <stp/>
        <stp>BDH|4603956300582753349</stp>
        <tr r="Q80" s="2"/>
      </tp>
      <tp t="s">
        <v>#N/A N/A</v>
        <stp/>
        <stp>BDH|6395931226457381647</stp>
        <tr r="AF58" s="2"/>
      </tp>
      <tp t="s">
        <v>#N/A N/A</v>
        <stp/>
        <stp>BDH|5265207797192006042</stp>
        <tr r="AE16" s="2"/>
      </tp>
      <tp t="s">
        <v>#N/A N/A</v>
        <stp/>
        <stp>BDH|6213404786656089056</stp>
        <tr r="AD42" s="2"/>
      </tp>
      <tp t="s">
        <v>#N/A N/A</v>
        <stp/>
        <stp>BDH|6557807617360085348</stp>
        <tr r="E33" s="2"/>
      </tp>
      <tp t="s">
        <v>#N/A N/A</v>
        <stp/>
        <stp>BDH|9391592968336299060</stp>
        <tr r="F73" s="2"/>
      </tp>
      <tp t="s">
        <v>#N/A N/A</v>
        <stp/>
        <stp>BDH|8791526370172232418</stp>
        <tr r="Q44" s="2"/>
      </tp>
      <tp t="s">
        <v>#N/A N/A</v>
        <stp/>
        <stp>BDH|4931635688676268063</stp>
        <tr r="O22" s="2"/>
      </tp>
      <tp t="s">
        <v>#N/A N/A</v>
        <stp/>
        <stp>BDH|1947520021108984257</stp>
        <tr r="W87" s="2"/>
      </tp>
      <tp t="s">
        <v>#N/A N/A</v>
        <stp/>
        <stp>BDH|7448876342023197464</stp>
        <tr r="C80" s="2"/>
      </tp>
      <tp t="s">
        <v>#N/A N/A</v>
        <stp/>
        <stp>BDH|8082331866237260612</stp>
        <tr r="C72" s="2"/>
      </tp>
      <tp t="s">
        <v>#N/A N/A</v>
        <stp/>
        <stp>BDH|1271042135656252864</stp>
        <tr r="E69" s="2"/>
      </tp>
      <tp t="s">
        <v>#N/A N/A</v>
        <stp/>
        <stp>BDH|2282866550223418075</stp>
        <tr r="O29" s="2"/>
      </tp>
      <tp t="s">
        <v>#N/A N/A</v>
        <stp/>
        <stp>BDH|9570715922033555377</stp>
        <tr r="AC14" s="2"/>
      </tp>
      <tp t="s">
        <v>#N/A N/A</v>
        <stp/>
        <stp>BDH|4551084281755079582</stp>
        <tr r="I27" s="2"/>
      </tp>
      <tp t="s">
        <v>#N/A N/A</v>
        <stp/>
        <stp>BDH|6754632015669675434</stp>
        <tr r="C43" s="2"/>
      </tp>
      <tp t="s">
        <v>#N/A N/A</v>
        <stp/>
        <stp>BDH|8463305002024440363</stp>
        <tr r="L81" s="2"/>
      </tp>
      <tp t="s">
        <v>#N/A N/A</v>
        <stp/>
        <stp>BDH|9788326861014240425</stp>
        <tr r="AD63" s="2"/>
      </tp>
      <tp t="s">
        <v>#N/A N/A</v>
        <stp/>
        <stp>BDH|8463568939876886471</stp>
        <tr r="M57" s="2"/>
      </tp>
      <tp t="s">
        <v>#N/A N/A</v>
        <stp/>
        <stp>BDH|6362140276388056440</stp>
        <tr r="V10" s="2"/>
      </tp>
      <tp t="s">
        <v>#N/A N/A</v>
        <stp/>
        <stp>BDH|4476752120878725534</stp>
        <tr r="M68" s="2"/>
      </tp>
      <tp t="s">
        <v>#N/A N/A</v>
        <stp/>
        <stp>BDH|85240040080496763</stp>
        <tr r="AC83" s="2"/>
      </tp>
      <tp t="s">
        <v>#N/A N/A</v>
        <stp/>
        <stp>BDH|2944635290860514059</stp>
        <tr r="W72" s="2"/>
      </tp>
      <tp t="s">
        <v>#N/A N/A</v>
        <stp/>
        <stp>BDH|2188400199936475464</stp>
        <tr r="I61" s="2"/>
      </tp>
      <tp t="s">
        <v>#N/A N/A</v>
        <stp/>
        <stp>BDH|8261768819285099677</stp>
        <tr r="V18" s="2"/>
      </tp>
      <tp t="s">
        <v>#N/A N/A</v>
        <stp/>
        <stp>BDH|5694685286842675444</stp>
        <tr r="F33" s="2"/>
      </tp>
      <tp t="s">
        <v>#N/A N/A</v>
        <stp/>
        <stp>BDH|8932329275273185257</stp>
        <tr r="H46" s="2"/>
      </tp>
      <tp t="s">
        <v>#N/A N/A</v>
        <stp/>
        <stp>BDH|9745668406974513688</stp>
        <tr r="R92" s="2"/>
      </tp>
      <tp t="s">
        <v>#N/A N/A</v>
        <stp/>
        <stp>BDH|2323420897424556682</stp>
        <tr r="Z60" s="2"/>
      </tp>
      <tp t="s">
        <v>#N/A N/A</v>
        <stp/>
        <stp>BDH|2789983310863564415</stp>
        <tr r="C89" s="2"/>
      </tp>
      <tp t="s">
        <v>#N/A N/A</v>
        <stp/>
        <stp>BDH|5630962178020770640</stp>
        <tr r="E50" s="2"/>
      </tp>
      <tp t="s">
        <v>#N/A N/A</v>
        <stp/>
        <stp>BDH|6564525929754505802</stp>
        <tr r="X57" s="2"/>
      </tp>
      <tp t="s">
        <v>#N/A N/A</v>
        <stp/>
        <stp>BDH|8694179834337701099</stp>
        <tr r="I69" s="2"/>
      </tp>
      <tp t="s">
        <v>#N/A N/A</v>
        <stp/>
        <stp>BDH|6495881210471730302</stp>
        <tr r="W80" s="2"/>
      </tp>
      <tp t="s">
        <v>#N/A N/A</v>
        <stp/>
        <stp>BDH|8071685160093375608</stp>
        <tr r="J16" s="2"/>
      </tp>
      <tp t="s">
        <v>#N/A N/A</v>
        <stp/>
        <stp>BDH|3312599805483074847</stp>
        <tr r="M83" s="2"/>
      </tp>
      <tp t="s">
        <v>#N/A N/A</v>
        <stp/>
        <stp>BDH|8627142366134841644</stp>
        <tr r="N67" s="2"/>
      </tp>
      <tp t="s">
        <v>#N/A N/A</v>
        <stp/>
        <stp>BDH|9914813292315522070</stp>
        <tr r="G54" s="2"/>
      </tp>
      <tp t="s">
        <v>#N/A N/A</v>
        <stp/>
        <stp>BDH|2991704197680201143</stp>
        <tr r="F65" s="2"/>
      </tp>
      <tp t="s">
        <v>#N/A N/A</v>
        <stp/>
        <stp>BDH|2254069684412903512</stp>
        <tr r="R91" s="2"/>
      </tp>
      <tp t="s">
        <v>#N/A N/A</v>
        <stp/>
        <stp>BDH|9568724100774713789</stp>
        <tr r="M92" s="2"/>
      </tp>
      <tp t="s">
        <v>#N/A N/A</v>
        <stp/>
        <stp>BDH|6308262659789259571</stp>
        <tr r="AD81" s="2"/>
      </tp>
      <tp t="s">
        <v>#N/A N/A</v>
        <stp/>
        <stp>BDH|7181884400735632768</stp>
        <tr r="W58" s="2"/>
      </tp>
      <tp t="s">
        <v>#N/A N/A</v>
        <stp/>
        <stp>BDH|1036755739599144147</stp>
        <tr r="M84" s="2"/>
      </tp>
      <tp t="s">
        <v>#N/A N/A</v>
        <stp/>
        <stp>BDH|3664751899163120326</stp>
        <tr r="K32" s="2"/>
      </tp>
      <tp t="s">
        <v>#N/A N/A</v>
        <stp/>
        <stp>BDH|7278664398313770622</stp>
        <tr r="U18" s="2"/>
      </tp>
      <tp t="s">
        <v>#N/A N/A</v>
        <stp/>
        <stp>BDH|9504316053945957773</stp>
        <tr r="AD33" s="2"/>
      </tp>
      <tp t="s">
        <v>#N/A N/A</v>
        <stp/>
        <stp>BDH|2870106179571177899</stp>
        <tr r="E11" s="2"/>
      </tp>
      <tp t="s">
        <v>#N/A N/A</v>
        <stp/>
        <stp>BDH|7562392734173980983</stp>
        <tr r="E86" s="2"/>
      </tp>
      <tp t="s">
        <v>#N/A N/A</v>
        <stp/>
        <stp>BDH|5035456733129924617</stp>
        <tr r="N71" s="2"/>
      </tp>
      <tp t="s">
        <v>#N/A N/A</v>
        <stp/>
        <stp>BDH|5794591036398428620</stp>
        <tr r="V92" s="2"/>
      </tp>
      <tp t="s">
        <v>#N/A N/A</v>
        <stp/>
        <stp>BDH|2279724111518997166</stp>
        <tr r="I68" s="2"/>
      </tp>
      <tp t="s">
        <v>#N/A N/A</v>
        <stp/>
        <stp>BDH|4376929800889753989</stp>
        <tr r="Q76" s="2"/>
      </tp>
      <tp t="s">
        <v>#N/A N/A</v>
        <stp/>
        <stp>BDH|1087916029940409728</stp>
        <tr r="D17" s="2"/>
      </tp>
      <tp t="s">
        <v>#N/A N/A</v>
        <stp/>
        <stp>BDH|8542862928399563616</stp>
        <tr r="W21" s="2"/>
      </tp>
      <tp t="s">
        <v>#N/A N/A</v>
        <stp/>
        <stp>BDH|9727506708951349037</stp>
        <tr r="D87" s="2"/>
      </tp>
      <tp t="s">
        <v>#N/A N/A</v>
        <stp/>
        <stp>BDH|7789558186585017283</stp>
        <tr r="AB71" s="2"/>
      </tp>
      <tp t="s">
        <v>#N/A N/A</v>
        <stp/>
        <stp>BDH|4336990127151097312</stp>
        <tr r="Z48" s="2"/>
      </tp>
      <tp t="s">
        <v>#N/A N/A</v>
        <stp/>
        <stp>BDH|3806028882933691520</stp>
        <tr r="M31" s="2"/>
      </tp>
      <tp t="s">
        <v>#N/A N/A</v>
        <stp/>
        <stp>BDH|3774922223640301598</stp>
        <tr r="X7" s="2"/>
      </tp>
      <tp t="s">
        <v>#N/A N/A</v>
        <stp/>
        <stp>BDH|6752335799014970596</stp>
        <tr r="L61" s="2"/>
      </tp>
      <tp t="s">
        <v>#N/A N/A</v>
        <stp/>
        <stp>BDH|9421630117327423492</stp>
        <tr r="L62" s="2"/>
      </tp>
      <tp t="s">
        <v>#N/A N/A</v>
        <stp/>
        <stp>BDH|1532956819091646521</stp>
        <tr r="K36" s="2"/>
      </tp>
      <tp t="s">
        <v>#N/A N/A</v>
        <stp/>
        <stp>BDH|8153657647084701395</stp>
        <tr r="N73" s="2"/>
      </tp>
      <tp t="s">
        <v>#N/A N/A</v>
        <stp/>
        <stp>BDH|4460806861336122198</stp>
        <tr r="AC47" s="2"/>
      </tp>
      <tp t="s">
        <v>#N/A N/A</v>
        <stp/>
        <stp>BDH|1872336082222554519</stp>
        <tr r="AA47" s="2"/>
      </tp>
      <tp t="s">
        <v>#N/A N/A</v>
        <stp/>
        <stp>BDH|7919609688867460376</stp>
        <tr r="N52" s="2"/>
      </tp>
      <tp t="s">
        <v>#N/A N/A</v>
        <stp/>
        <stp>BDH|8425401528233839060</stp>
        <tr r="AB56" s="2"/>
      </tp>
      <tp t="s">
        <v>#N/A N/A</v>
        <stp/>
        <stp>BDH|7098362299095944549</stp>
        <tr r="I87" s="2"/>
      </tp>
      <tp t="s">
        <v>#N/A N/A</v>
        <stp/>
        <stp>BDH|8881340249421756302</stp>
        <tr r="AC82" s="2"/>
      </tp>
      <tp t="s">
        <v>#N/A N/A</v>
        <stp/>
        <stp>BDH|3669297385070870415</stp>
        <tr r="R24" s="2"/>
      </tp>
      <tp t="s">
        <v>#N/A N/A</v>
        <stp/>
        <stp>BDH|6138744606415165916</stp>
        <tr r="H72" s="2"/>
      </tp>
      <tp t="s">
        <v>#N/A N/A</v>
        <stp/>
        <stp>BDH|8641306355461023201</stp>
        <tr r="AA34" s="2"/>
      </tp>
      <tp t="s">
        <v>#N/A N/A</v>
        <stp/>
        <stp>BDH|3098484509372134839</stp>
        <tr r="AD25" s="2"/>
      </tp>
      <tp t="s">
        <v>#N/A N/A</v>
        <stp/>
        <stp>BDH|6912183473429109401</stp>
        <tr r="D35" s="2"/>
      </tp>
      <tp t="s">
        <v>#N/A N/A</v>
        <stp/>
        <stp>BDH|6590541018689316699</stp>
        <tr r="S57" s="2"/>
      </tp>
      <tp t="s">
        <v>#N/A N/A</v>
        <stp/>
        <stp>BDH|6445061531071053908</stp>
        <tr r="O9" s="2"/>
      </tp>
      <tp t="s">
        <v>#N/A N/A</v>
        <stp/>
        <stp>BDH|6318137253728330701</stp>
        <tr r="Q23" s="2"/>
      </tp>
      <tp t="s">
        <v>#N/A N/A</v>
        <stp/>
        <stp>BDH|6164456244322338932</stp>
        <tr r="AB45" s="2"/>
      </tp>
      <tp t="s">
        <v>#N/A N/A</v>
        <stp/>
        <stp>BDH|5868680084286109050</stp>
        <tr r="W48" s="2"/>
      </tp>
      <tp t="s">
        <v>#N/A N/A</v>
        <stp/>
        <stp>BDH|5399422742189560167</stp>
        <tr r="I39" s="2"/>
      </tp>
      <tp t="s">
        <v>#N/A N/A</v>
        <stp/>
        <stp>BDH|1468871618054349189</stp>
        <tr r="T49" s="2"/>
      </tp>
      <tp t="s">
        <v>#N/A N/A</v>
        <stp/>
        <stp>BDH|7383832230670628161</stp>
        <tr r="X63" s="2"/>
      </tp>
      <tp t="s">
        <v>#N/A N/A</v>
        <stp/>
        <stp>BDH|5452338704642240904</stp>
        <tr r="W89" s="2"/>
      </tp>
      <tp t="s">
        <v>#N/A N/A</v>
        <stp/>
        <stp>BDH|2396973967792759253</stp>
        <tr r="G9" s="2"/>
      </tp>
      <tp t="s">
        <v>#N/A N/A</v>
        <stp/>
        <stp>BDH|8731268536870782416</stp>
        <tr r="C42" s="2"/>
      </tp>
      <tp t="s">
        <v>#N/A N/A</v>
        <stp/>
        <stp>BDH|3632806332545249079</stp>
        <tr r="Z34" s="2"/>
      </tp>
      <tp t="s">
        <v>#N/A N/A</v>
        <stp/>
        <stp>BDH|1470501254148990482</stp>
        <tr r="D32" s="2"/>
      </tp>
      <tp t="s">
        <v>#N/A N/A</v>
        <stp/>
        <stp>BDH|9958230229381440516</stp>
        <tr r="G81" s="2"/>
      </tp>
      <tp t="s">
        <v>#N/A N/A</v>
        <stp/>
        <stp>BDH|1963758389502146126</stp>
        <tr r="AD90" s="2"/>
      </tp>
      <tp t="s">
        <v>#N/A N/A</v>
        <stp/>
        <stp>BDH|1413095723846919814</stp>
        <tr r="S73" s="2"/>
      </tp>
      <tp t="s">
        <v>#N/A N/A</v>
        <stp/>
        <stp>BDH|8528974785423934788</stp>
        <tr r="AD74" s="2"/>
      </tp>
      <tp t="s">
        <v>#N/A N/A</v>
        <stp/>
        <stp>BDH|8202662221662255319</stp>
        <tr r="S14" s="2"/>
      </tp>
      <tp t="s">
        <v>#N/A N/A</v>
        <stp/>
        <stp>BDH|8443994897001582495</stp>
        <tr r="AA60" s="2"/>
      </tp>
      <tp t="s">
        <v>#N/A N/A</v>
        <stp/>
        <stp>BDH|6853372489450497046</stp>
        <tr r="AD36" s="2"/>
      </tp>
      <tp t="s">
        <v>#N/A N/A</v>
        <stp/>
        <stp>BDH|6150335424519773361</stp>
        <tr r="U48" s="2"/>
      </tp>
      <tp t="s">
        <v>#N/A N/A</v>
        <stp/>
        <stp>BDH|5835919710969769996</stp>
        <tr r="C90" s="2"/>
      </tp>
      <tp t="s">
        <v>#N/A N/A</v>
        <stp/>
        <stp>BDH|8726412654744363063</stp>
        <tr r="E20" s="2"/>
      </tp>
      <tp t="s">
        <v>#N/A N/A</v>
        <stp/>
        <stp>BDH|1026812836004740372</stp>
        <tr r="M42" s="2"/>
      </tp>
      <tp t="s">
        <v>#N/A N/A</v>
        <stp/>
        <stp>BDH|3174308526768749772</stp>
        <tr r="P11" s="2"/>
      </tp>
      <tp t="s">
        <v>#N/A N/A</v>
        <stp/>
        <stp>BDH|9797070723312605412</stp>
        <tr r="D39" s="2"/>
      </tp>
      <tp t="s">
        <v>#N/A N/A</v>
        <stp/>
        <stp>BDH|5505320287193446010</stp>
        <tr r="G45" s="2"/>
      </tp>
      <tp t="s">
        <v>#N/A N/A</v>
        <stp/>
        <stp>BDH|4942282633728010074</stp>
        <tr r="Y60" s="2"/>
      </tp>
      <tp t="s">
        <v>#N/A N/A</v>
        <stp/>
        <stp>BDH|6933956921846904612</stp>
        <tr r="Z45" s="2"/>
      </tp>
      <tp t="s">
        <v>#N/A N/A</v>
        <stp/>
        <stp>BDH|91206519307744489</stp>
        <tr r="E36" s="2"/>
      </tp>
      <tp t="s">
        <v>#N/A N/A</v>
        <stp/>
        <stp>BDH|12533843080679179</stp>
        <tr r="P65" s="2"/>
      </tp>
      <tp t="s">
        <v>#N/A N/A</v>
        <stp/>
        <stp>BDH|2325049303234938879</stp>
        <tr r="N63" s="2"/>
      </tp>
      <tp t="s">
        <v>#N/A N/A</v>
        <stp/>
        <stp>BDH|4887636604248495417</stp>
        <tr r="G21" s="2"/>
      </tp>
      <tp t="s">
        <v>#N/A N/A</v>
        <stp/>
        <stp>BDH|8892219725401427724</stp>
        <tr r="R61" s="2"/>
      </tp>
      <tp t="s">
        <v>#N/A N/A</v>
        <stp/>
        <stp>BDH|4223223498084004524</stp>
        <tr r="W65" s="2"/>
      </tp>
      <tp t="s">
        <v>#N/A N/A</v>
        <stp/>
        <stp>BDH|1327195116408063761</stp>
        <tr r="R40" s="2"/>
      </tp>
      <tp t="s">
        <v>#N/A N/A</v>
        <stp/>
        <stp>BDH|8513992505389160620</stp>
        <tr r="M23" s="2"/>
      </tp>
      <tp t="s">
        <v>#N/A N/A</v>
        <stp/>
        <stp>BDH|5245351189510135059</stp>
        <tr r="E73" s="2"/>
      </tp>
      <tp t="s">
        <v>#N/A N/A</v>
        <stp/>
        <stp>BDH|7143832660847159086</stp>
        <tr r="J72" s="2"/>
      </tp>
      <tp t="s">
        <v>#N/A N/A</v>
        <stp/>
        <stp>BDH|2636546808960260935</stp>
        <tr r="I10" s="2"/>
      </tp>
      <tp t="s">
        <v>#N/A N/A</v>
        <stp/>
        <stp>BDH|8987028815162619502</stp>
        <tr r="U43" s="2"/>
      </tp>
      <tp t="s">
        <v>#N/A N/A</v>
        <stp/>
        <stp>BDH|3570074215358938465</stp>
        <tr r="H70" s="2"/>
      </tp>
      <tp t="s">
        <v>#N/A N/A</v>
        <stp/>
        <stp>BDH|4212119574745605992</stp>
        <tr r="V30" s="2"/>
      </tp>
      <tp t="s">
        <v>#N/A N/A</v>
        <stp/>
        <stp>BDH|2255084353579035018</stp>
        <tr r="R12" s="2"/>
      </tp>
      <tp t="s">
        <v>#N/A N/A</v>
        <stp/>
        <stp>BDH|2024007739667872884</stp>
        <tr r="T84" s="2"/>
      </tp>
      <tp t="s">
        <v>#N/A N/A</v>
        <stp/>
        <stp>BDH|6585710083603704497</stp>
        <tr r="T83" s="2"/>
      </tp>
      <tp t="s">
        <v>#N/A N/A</v>
        <stp/>
        <stp>BDH|8422666035832704194</stp>
        <tr r="N91" s="2"/>
      </tp>
      <tp t="s">
        <v>#N/A N/A</v>
        <stp/>
        <stp>BDH|6004508429097558857</stp>
        <tr r="AF11" s="2"/>
      </tp>
      <tp t="s">
        <v>#N/A N/A</v>
        <stp/>
        <stp>BDH|2985704057037889985</stp>
        <tr r="X59" s="2"/>
      </tp>
      <tp t="s">
        <v>#N/A N/A</v>
        <stp/>
        <stp>BDH|8712881422278316400</stp>
        <tr r="R50" s="2"/>
      </tp>
      <tp t="s">
        <v>#N/A N/A</v>
        <stp/>
        <stp>BDH|3878086103119400497</stp>
        <tr r="W20" s="2"/>
      </tp>
      <tp t="s">
        <v>#N/A N/A</v>
        <stp/>
        <stp>BDH|9482786535021231251</stp>
        <tr r="P13" s="2"/>
      </tp>
      <tp t="s">
        <v>#N/A N/A</v>
        <stp/>
        <stp>BDH|6515233828218242035</stp>
        <tr r="I24" s="2"/>
      </tp>
      <tp t="s">
        <v>#N/A N/A</v>
        <stp/>
        <stp>BDH|1457198681645729341</stp>
        <tr r="K50" s="2"/>
      </tp>
      <tp t="s">
        <v>#N/A N/A</v>
        <stp/>
        <stp>BDH|7422317409939149319</stp>
        <tr r="G33" s="2"/>
      </tp>
      <tp t="s">
        <v>#N/A N/A</v>
        <stp/>
        <stp>BDH|8313679919668679979</stp>
        <tr r="V59" s="2"/>
      </tp>
      <tp t="s">
        <v>#N/A N/A</v>
        <stp/>
        <stp>BDH|8479465528771313150</stp>
        <tr r="AB46" s="2"/>
      </tp>
      <tp t="s">
        <v>#N/A N/A</v>
        <stp/>
        <stp>BDH|4582361609819220045</stp>
        <tr r="R42" s="2"/>
      </tp>
      <tp t="s">
        <v>#N/A N/A</v>
        <stp/>
        <stp>BDH|9809382674740113384</stp>
        <tr r="Q54" s="2"/>
      </tp>
      <tp t="s">
        <v>#N/A N/A</v>
        <stp/>
        <stp>BDH|5677977921665833555</stp>
        <tr r="T66" s="2"/>
      </tp>
      <tp t="s">
        <v>#N/A N/A</v>
        <stp/>
        <stp>BDH|3904303635549848495</stp>
        <tr r="Q83" s="2"/>
      </tp>
      <tp t="s">
        <v>#N/A N/A</v>
        <stp/>
        <stp>BDH|2107671288015196726</stp>
        <tr r="K54" s="2"/>
      </tp>
      <tp t="s">
        <v>#N/A N/A</v>
        <stp/>
        <stp>BDH|6723421095294318110</stp>
        <tr r="J57" s="2"/>
      </tp>
      <tp t="s">
        <v>#N/A N/A</v>
        <stp/>
        <stp>BDH|9106523154716729123</stp>
        <tr r="L55" s="2"/>
      </tp>
      <tp t="s">
        <v>#N/A N/A</v>
        <stp/>
        <stp>BDH|3859344101966997864</stp>
        <tr r="D66" s="2"/>
      </tp>
      <tp t="s">
        <v>#N/A N/A</v>
        <stp/>
        <stp>BDH|1434320148099873142</stp>
        <tr r="Z76" s="2"/>
      </tp>
      <tp t="s">
        <v>#N/A N/A</v>
        <stp/>
        <stp>BDH|2790468014921127862</stp>
        <tr r="AE35" s="2"/>
      </tp>
      <tp t="s">
        <v>#N/A N/A</v>
        <stp/>
        <stp>BDH|8502066421505487143</stp>
        <tr r="C36" s="2"/>
      </tp>
      <tp t="s">
        <v>#N/A N/A</v>
        <stp/>
        <stp>BDH|3754851179364883614</stp>
        <tr r="Q69" s="2"/>
      </tp>
      <tp t="s">
        <v>#N/A N/A</v>
        <stp/>
        <stp>BDH|9515505935938086928</stp>
        <tr r="T39" s="2"/>
      </tp>
      <tp t="s">
        <v>#N/A N/A</v>
        <stp/>
        <stp>BDH|2748234827059974588</stp>
        <tr r="Z71" s="2"/>
      </tp>
      <tp t="s">
        <v>#N/A N/A</v>
        <stp/>
        <stp>BDH|1277486961304150994</stp>
        <tr r="AF74" s="2"/>
      </tp>
      <tp t="s">
        <v>#N/A N/A</v>
        <stp/>
        <stp>BDH|4950314249249544475</stp>
        <tr r="AA63" s="2"/>
      </tp>
      <tp t="s">
        <v>#N/A N/A</v>
        <stp/>
        <stp>BDH|4654016826770446865</stp>
        <tr r="O11" s="2"/>
      </tp>
      <tp t="s">
        <v>#N/A N/A</v>
        <stp/>
        <stp>BDH|1546822572218620802</stp>
        <tr r="N10" s="2"/>
      </tp>
      <tp t="s">
        <v>#N/A N/A</v>
        <stp/>
        <stp>BDH|5691333236389970292</stp>
        <tr r="AE65" s="2"/>
      </tp>
      <tp t="s">
        <v>#N/A N/A</v>
        <stp/>
        <stp>BDH|4453525930524249842</stp>
        <tr r="X42" s="2"/>
      </tp>
      <tp t="s">
        <v>#N/A N/A</v>
        <stp/>
        <stp>BDH|9639321116800291506</stp>
        <tr r="L45" s="2"/>
      </tp>
      <tp t="s">
        <v>#N/A N/A</v>
        <stp/>
        <stp>BDH|9346389340982386289</stp>
        <tr r="S87" s="2"/>
      </tp>
      <tp t="s">
        <v>#N/A N/A</v>
        <stp/>
        <stp>BDH|5801140749157794927</stp>
        <tr r="E21" s="2"/>
      </tp>
      <tp t="s">
        <v>#N/A N/A</v>
        <stp/>
        <stp>BDH|5647471191752831492</stp>
        <tr r="P45" s="2"/>
      </tp>
      <tp t="s">
        <v>#N/A N/A</v>
        <stp/>
        <stp>BDH|9370483403506003594</stp>
        <tr r="AE86" s="2"/>
      </tp>
      <tp t="s">
        <v>#N/A N/A</v>
        <stp/>
        <stp>BDH|9334417571701223504</stp>
        <tr r="AA27" s="2"/>
      </tp>
      <tp t="s">
        <v>#N/A N/A</v>
        <stp/>
        <stp>BDH|1727002318468788692</stp>
        <tr r="M91" s="2"/>
      </tp>
      <tp t="s">
        <v>#N/A N/A</v>
        <stp/>
        <stp>BDH|9260753265002664423</stp>
        <tr r="K13" s="2"/>
      </tp>
      <tp t="s">
        <v>#N/A N/A</v>
        <stp/>
        <stp>BDH|6165475977613190868</stp>
        <tr r="AD44" s="2"/>
      </tp>
      <tp t="s">
        <v>#N/A N/A</v>
        <stp/>
        <stp>BDH|2378128347439545059</stp>
        <tr r="E53" s="2"/>
      </tp>
      <tp t="s">
        <v>#N/A N/A</v>
        <stp/>
        <stp>BDH|6660236112848483344</stp>
        <tr r="AD26" s="2"/>
      </tp>
      <tp t="s">
        <v>#N/A N/A</v>
        <stp/>
        <stp>BDH|2992951409766307313</stp>
        <tr r="D84" s="2"/>
      </tp>
      <tp t="s">
        <v>#N/A N/A</v>
        <stp/>
        <stp>BDH|5024583788331675721</stp>
        <tr r="W66" s="2"/>
      </tp>
      <tp t="s">
        <v>#N/A N/A</v>
        <stp/>
        <stp>BDH|5951439955993243999</stp>
        <tr r="O53" s="2"/>
      </tp>
      <tp t="s">
        <v>#N/A N/A</v>
        <stp/>
        <stp>BDH|9370040765666590732</stp>
        <tr r="AC22" s="2"/>
      </tp>
      <tp t="s">
        <v>#N/A N/A</v>
        <stp/>
        <stp>BDH|3715625786910774319</stp>
        <tr r="X64" s="2"/>
      </tp>
      <tp t="s">
        <v>#N/A N/A</v>
        <stp/>
        <stp>BDH|3565462874379739752</stp>
        <tr r="C88" s="2"/>
      </tp>
      <tp t="s">
        <v>#N/A N/A</v>
        <stp/>
        <stp>BDH|4790819969891839520</stp>
        <tr r="H47" s="2"/>
      </tp>
      <tp t="s">
        <v>#N/A N/A</v>
        <stp/>
        <stp>BDH|8575997412816333887</stp>
        <tr r="S18" s="2"/>
      </tp>
      <tp t="s">
        <v>#N/A N/A</v>
        <stp/>
        <stp>BDH|4086765321148146736</stp>
        <tr r="AF39" s="2"/>
      </tp>
      <tp t="s">
        <v>#N/A N/A</v>
        <stp/>
        <stp>BDH|69601114086435231</stp>
        <tr r="AD80" s="2"/>
      </tp>
      <tp t="s">
        <v>#N/A N/A</v>
        <stp/>
        <stp>BDH|3172944672303416193</stp>
        <tr r="AC65" s="2"/>
      </tp>
      <tp t="s">
        <v>#N/A N/A</v>
        <stp/>
        <stp>BDH|4919634217515033974</stp>
        <tr r="G48" s="2"/>
      </tp>
      <tp t="s">
        <v>#N/A N/A</v>
        <stp/>
        <stp>BDH|2576551298371390014</stp>
        <tr r="I45" s="2"/>
      </tp>
      <tp t="s">
        <v>#N/A N/A</v>
        <stp/>
        <stp>BDH|9799191358605960748</stp>
        <tr r="AA39" s="2"/>
      </tp>
      <tp t="s">
        <v>#N/A N/A</v>
        <stp/>
        <stp>BDH|3813017480773253702</stp>
        <tr r="S80" s="2"/>
      </tp>
      <tp t="s">
        <v>#N/A N/A</v>
        <stp/>
        <stp>BDH|4882690797441453593</stp>
        <tr r="E44" s="2"/>
      </tp>
      <tp t="s">
        <v>#N/A N/A</v>
        <stp/>
        <stp>BDH|5401237777958255794</stp>
        <tr r="O88" s="2"/>
      </tp>
      <tp t="s">
        <v>#N/A N/A</v>
        <stp/>
        <stp>BDH|8113905269778862081</stp>
        <tr r="Q87" s="2"/>
      </tp>
      <tp t="s">
        <v>#N/A N/A</v>
        <stp/>
        <stp>BDH|8236324473841912229</stp>
        <tr r="AF41" s="2"/>
      </tp>
      <tp t="s">
        <v>#N/A N/A</v>
        <stp/>
        <stp>BDH|6448399231518482106</stp>
        <tr r="AF75" s="2"/>
      </tp>
      <tp t="s">
        <v>#N/A N/A</v>
        <stp/>
        <stp>BDH|6385948826986837414</stp>
        <tr r="J34" s="2"/>
      </tp>
      <tp t="s">
        <v>#N/A N/A</v>
        <stp/>
        <stp>BDH|5048069732450806947</stp>
        <tr r="AB41" s="2"/>
      </tp>
      <tp t="s">
        <v>#N/A N/A</v>
        <stp/>
        <stp>BDH|9988468770406600304</stp>
        <tr r="D33" s="2"/>
      </tp>
      <tp t="s">
        <v>#N/A N/A</v>
        <stp/>
        <stp>BDH|2293722473114268989</stp>
        <tr r="Z54" s="2"/>
      </tp>
      <tp t="s">
        <v>#N/A N/A</v>
        <stp/>
        <stp>BDH|6878874628912958178</stp>
        <tr r="AB24" s="2"/>
      </tp>
      <tp t="s">
        <v>#N/A N/A</v>
        <stp/>
        <stp>BDH|2412080924469275635</stp>
        <tr r="AF36" s="2"/>
      </tp>
      <tp t="s">
        <v>#N/A N/A</v>
        <stp/>
        <stp>BDH|3706879118847649272</stp>
        <tr r="L27" s="2"/>
      </tp>
      <tp t="s">
        <v>#N/A N/A</v>
        <stp/>
        <stp>BDH|9492339449018461930</stp>
        <tr r="C17" s="2"/>
      </tp>
      <tp t="s">
        <v>#N/A N/A</v>
        <stp/>
        <stp>BDH|4627987467336469248</stp>
        <tr r="AF51" s="2"/>
      </tp>
      <tp t="s">
        <v>#N/A N/A</v>
        <stp/>
        <stp>BDH|9255680962986010011</stp>
        <tr r="AF25" s="2"/>
      </tp>
      <tp t="s">
        <v>#N/A N/A</v>
        <stp/>
        <stp>BDH|8232787263204895280</stp>
        <tr r="G15" s="2"/>
      </tp>
      <tp t="s">
        <v>#N/A N/A</v>
        <stp/>
        <stp>BDH|5093337142928960564</stp>
        <tr r="AF52" s="2"/>
      </tp>
      <tp t="s">
        <v>#N/A N/A</v>
        <stp/>
        <stp>BDH|8235224139290187668</stp>
        <tr r="P92" s="2"/>
      </tp>
      <tp t="s">
        <v>#N/A N/A</v>
        <stp/>
        <stp>BDH|8729228122492030597</stp>
        <tr r="AE58" s="2"/>
      </tp>
      <tp t="s">
        <v>#N/A N/A</v>
        <stp/>
        <stp>BDH|8879821013968604615</stp>
        <tr r="AF92" s="2"/>
      </tp>
      <tp t="s">
        <v>#N/A N/A</v>
        <stp/>
        <stp>BDH|2443299964279151067</stp>
        <tr r="J49" s="2"/>
      </tp>
      <tp t="s">
        <v>#N/A N/A</v>
        <stp/>
        <stp>BDH|2312903251280565187</stp>
        <tr r="N53" s="2"/>
      </tp>
      <tp t="s">
        <v>#N/A N/A</v>
        <stp/>
        <stp>BDH|9954722223324357741</stp>
        <tr r="Z42" s="2"/>
      </tp>
      <tp t="s">
        <v>#N/A N/A</v>
        <stp/>
        <stp>BDH|4923069851539591745</stp>
        <tr r="AC90" s="2"/>
      </tp>
      <tp t="s">
        <v>#N/A N/A</v>
        <stp/>
        <stp>BDH|9845161365115690429</stp>
        <tr r="AE23" s="2"/>
      </tp>
      <tp t="s">
        <v>#N/A N/A</v>
        <stp/>
        <stp>BDH|4617187802702211814</stp>
        <tr r="AA64" s="2"/>
      </tp>
      <tp t="s">
        <v>#N/A N/A</v>
        <stp/>
        <stp>BDH|8229197655061663277</stp>
        <tr r="I51" s="2"/>
      </tp>
      <tp t="s">
        <v>#N/A N/A</v>
        <stp/>
        <stp>BDH|3297625191815843666</stp>
        <tr r="I32" s="2"/>
      </tp>
      <tp t="s">
        <v>#N/A N/A</v>
        <stp/>
        <stp>BDH|7330939014007850739</stp>
        <tr r="AC9" s="2"/>
      </tp>
      <tp t="s">
        <v>#N/A N/A</v>
        <stp/>
        <stp>BDH|2693863313193888745</stp>
        <tr r="AC48" s="2"/>
      </tp>
      <tp t="s">
        <v>#N/A N/A</v>
        <stp/>
        <stp>BDH|3630947752852721287</stp>
        <tr r="Z29" s="2"/>
      </tp>
      <tp t="s">
        <v>#N/A N/A</v>
        <stp/>
        <stp>BDH|9793630442081961506</stp>
        <tr r="M52" s="2"/>
      </tp>
      <tp t="s">
        <v>#N/A N/A</v>
        <stp/>
        <stp>BDH|8174421533910971058</stp>
        <tr r="Z9" s="2"/>
      </tp>
      <tp t="s">
        <v>#N/A N/A</v>
        <stp/>
        <stp>BDH|7248404673789813254</stp>
        <tr r="H62" s="2"/>
      </tp>
      <tp t="s">
        <v>#N/A N/A</v>
        <stp/>
        <stp>BDH|6750790835344713903</stp>
        <tr r="AB92" s="2"/>
      </tp>
      <tp t="s">
        <v>#N/A N/A</v>
        <stp/>
        <stp>BDH|3902044662013457961</stp>
        <tr r="AF34" s="2"/>
      </tp>
      <tp t="s">
        <v>#N/A N/A</v>
        <stp/>
        <stp>BDH|9935072057091738235</stp>
        <tr r="AA56" s="2"/>
      </tp>
      <tp t="s">
        <v>#N/A N/A</v>
        <stp/>
        <stp>BDH|6760818950623936723</stp>
        <tr r="Q12" s="2"/>
      </tp>
      <tp t="s">
        <v>#N/A N/A</v>
        <stp/>
        <stp>BDH|8660918597450485799</stp>
        <tr r="U61" s="2"/>
      </tp>
      <tp t="s">
        <v>#N/A N/A</v>
        <stp/>
        <stp>BDH|7764836964195012329</stp>
        <tr r="AB28" s="2"/>
      </tp>
      <tp t="s">
        <v>#N/A N/A</v>
        <stp/>
        <stp>BDH|2554008265729542275</stp>
        <tr r="X71" s="2"/>
      </tp>
      <tp t="s">
        <v>#N/A N/A</v>
        <stp/>
        <stp>BDH|6899984626840113247</stp>
        <tr r="R84" s="2"/>
      </tp>
      <tp t="s">
        <v>#N/A N/A</v>
        <stp/>
        <stp>BDH|7601886009058359876</stp>
        <tr r="M44" s="2"/>
      </tp>
      <tp t="s">
        <v>#N/A N/A</v>
        <stp/>
        <stp>BDH|8168573117673431056</stp>
        <tr r="Z32" s="2"/>
      </tp>
      <tp t="s">
        <v>#N/A N/A</v>
        <stp/>
        <stp>BDH|9294945066091140813</stp>
        <tr r="T92" s="2"/>
      </tp>
      <tp t="s">
        <v>#N/A N/A</v>
        <stp/>
        <stp>BDH|2829926351865320484</stp>
        <tr r="K61" s="2"/>
      </tp>
      <tp t="s">
        <v>#N/A N/A</v>
        <stp/>
        <stp>BDH|2269094019504393810</stp>
        <tr r="J51" s="2"/>
      </tp>
      <tp t="s">
        <v>#N/A N/A</v>
        <stp/>
        <stp>BDH|5895612326777807969</stp>
        <tr r="P10" s="2"/>
      </tp>
      <tp t="s">
        <v>#N/A N/A</v>
        <stp/>
        <stp>BDH|5116464915797545863</stp>
        <tr r="R25" s="2"/>
      </tp>
      <tp t="s">
        <v>#N/A N/A</v>
        <stp/>
        <stp>BDH|5207803721308393811</stp>
        <tr r="AB67" s="2"/>
      </tp>
      <tp t="s">
        <v>#N/A N/A</v>
        <stp/>
        <stp>BDH|6319017941945223806</stp>
        <tr r="AF73" s="2"/>
      </tp>
      <tp t="s">
        <v>#N/A N/A</v>
        <stp/>
        <stp>BDH|5495076997467305467</stp>
        <tr r="Y82" s="2"/>
      </tp>
      <tp t="s">
        <v>#N/A N/A</v>
        <stp/>
        <stp>BDH|7546314603542272933</stp>
        <tr r="Y43" s="2"/>
      </tp>
      <tp t="s">
        <v>#N/A N/A</v>
        <stp/>
        <stp>BDH|1483068655832354920</stp>
        <tr r="T27" s="2"/>
      </tp>
      <tp t="s">
        <v>#N/A N/A</v>
        <stp/>
        <stp>BDH|7715113637652781803</stp>
        <tr r="X27" s="2"/>
      </tp>
      <tp t="s">
        <v>#N/A N/A</v>
        <stp/>
        <stp>BDH|7545459160583525934</stp>
        <tr r="L21" s="2"/>
      </tp>
      <tp t="s">
        <v>#N/A N/A</v>
        <stp/>
        <stp>BDH|8755035523241632461</stp>
        <tr r="I19" s="2"/>
      </tp>
      <tp t="s">
        <v>#N/A N/A</v>
        <stp/>
        <stp>BDH|5806288410368700109</stp>
        <tr r="M25" s="2"/>
      </tp>
      <tp t="s">
        <v>#N/A N/A</v>
        <stp/>
        <stp>BDH|4401302056498272576</stp>
        <tr r="H21" s="2"/>
      </tp>
      <tp t="s">
        <v>#N/A N/A</v>
        <stp/>
        <stp>BDH|6599870843620382551</stp>
        <tr r="J22" s="2"/>
      </tp>
      <tp t="s">
        <v>#N/A N/A</v>
        <stp/>
        <stp>BDH|8094520903576469427</stp>
        <tr r="V31" s="2"/>
      </tp>
      <tp t="s">
        <v>#N/A N/A</v>
        <stp/>
        <stp>BDH|8356008464599419846</stp>
        <tr r="U87" s="2"/>
      </tp>
      <tp t="s">
        <v>#N/A N/A</v>
        <stp/>
        <stp>BDH|4136729565719648376</stp>
        <tr r="N22" s="2"/>
      </tp>
      <tp t="s">
        <v>#N/A N/A</v>
        <stp/>
        <stp>BDH|6772810251001474572</stp>
        <tr r="X17" s="2"/>
      </tp>
      <tp t="s">
        <v>#N/A N/A</v>
        <stp/>
        <stp>BDH|5322678165103081954</stp>
        <tr r="F46" s="2"/>
      </tp>
      <tp t="s">
        <v>#N/A N/A</v>
        <stp/>
        <stp>BDH|1835095121198315470</stp>
        <tr r="P35" s="2"/>
      </tp>
      <tp t="s">
        <v>#N/A N/A</v>
        <stp/>
        <stp>BDH|5465955188683999841</stp>
        <tr r="V28" s="2"/>
      </tp>
      <tp t="s">
        <v>#N/A N/A</v>
        <stp/>
        <stp>BDH|7133599451001512987</stp>
        <tr r="Q50" s="2"/>
      </tp>
      <tp t="s">
        <v>#N/A N/A</v>
        <stp/>
        <stp>BDH|5955169075229660587</stp>
        <tr r="N39" s="2"/>
      </tp>
      <tp t="s">
        <v>#N/A N/A</v>
        <stp/>
        <stp>BDH|4962709128949096744</stp>
        <tr r="AF55" s="2"/>
      </tp>
      <tp t="s">
        <v>#N/A N/A</v>
        <stp/>
        <stp>BDH|7268437015319707469</stp>
        <tr r="U75" s="2"/>
      </tp>
      <tp t="s">
        <v>#N/A N/A</v>
        <stp/>
        <stp>BDH|1227106035554395815</stp>
        <tr r="AE52" s="2"/>
      </tp>
      <tp t="s">
        <v>#N/A N/A</v>
        <stp/>
        <stp>BDH|6438829715610306051</stp>
        <tr r="AD73" s="2"/>
      </tp>
      <tp t="s">
        <v>#N/A N/A</v>
        <stp/>
        <stp>BDH|2882169477799599290</stp>
        <tr r="AA42" s="2"/>
      </tp>
      <tp t="s">
        <v>#N/A N/A</v>
        <stp/>
        <stp>BDH|3325273397197476029</stp>
        <tr r="N29" s="2"/>
      </tp>
      <tp t="s">
        <v>#N/A N/A</v>
        <stp/>
        <stp>BDH|49656276886049528</stp>
        <tr r="X31" s="2"/>
      </tp>
      <tp t="s">
        <v>#N/A N/A</v>
        <stp/>
        <stp>BDH|4250682795955296675</stp>
        <tr r="AF13" s="2"/>
      </tp>
      <tp t="s">
        <v>#N/A N/A</v>
        <stp/>
        <stp>BDH|9918597259797207614</stp>
        <tr r="C24" s="2"/>
      </tp>
      <tp t="s">
        <v>#N/A N/A</v>
        <stp/>
        <stp>BDH|3634833711105912775</stp>
        <tr r="AE31" s="2"/>
      </tp>
      <tp t="s">
        <v>#N/A N/A</v>
        <stp/>
        <stp>BDH|3138693582120637566</stp>
        <tr r="I50" s="2"/>
      </tp>
      <tp t="s">
        <v>#N/A N/A</v>
        <stp/>
        <stp>BDH|1243376388822341049</stp>
        <tr r="AC40" s="2"/>
      </tp>
      <tp t="s">
        <v>#N/A N/A</v>
        <stp/>
        <stp>BDH|9353016108587499648</stp>
        <tr r="Q59" s="2"/>
      </tp>
      <tp t="s">
        <v>#N/A N/A</v>
        <stp/>
        <stp>BDH|4189265266051221996</stp>
        <tr r="L47" s="2"/>
      </tp>
      <tp t="s">
        <v>#N/A N/A</v>
        <stp/>
        <stp>BDH|1513427233729696786</stp>
        <tr r="X85" s="2"/>
      </tp>
      <tp t="s">
        <v>#N/A N/A</v>
        <stp/>
        <stp>BDH|4236328394640993665</stp>
        <tr r="G36" s="2"/>
      </tp>
      <tp t="s">
        <v>#N/A N/A</v>
        <stp/>
        <stp>BDH|1363686423309478474</stp>
        <tr r="AB25" s="2"/>
      </tp>
      <tp t="s">
        <v>#N/A N/A</v>
        <stp/>
        <stp>BDH|3403587685282274408</stp>
        <tr r="V63" s="2"/>
      </tp>
      <tp t="s">
        <v>#N/A N/A</v>
        <stp/>
        <stp>BDH|9189105949195351107</stp>
        <tr r="S81" s="2"/>
      </tp>
      <tp t="s">
        <v>#N/A N/A</v>
        <stp/>
        <stp>BDH|2941373096402918293</stp>
        <tr r="AF61" s="2"/>
      </tp>
      <tp t="s">
        <v>#N/A N/A</v>
        <stp/>
        <stp>BDH|8021193067615659202</stp>
        <tr r="AD60" s="2"/>
      </tp>
      <tp t="s">
        <v>#N/A N/A</v>
        <stp/>
        <stp>BDH|7533633259505135963</stp>
        <tr r="V35" s="2"/>
      </tp>
      <tp t="s">
        <v>#N/A N/A</v>
        <stp/>
        <stp>BDH|4924232759412379985</stp>
        <tr r="O43" s="2"/>
      </tp>
      <tp t="s">
        <v>#N/A N/A</v>
        <stp/>
        <stp>BDH|8452153109807826686</stp>
        <tr r="I21" s="2"/>
      </tp>
      <tp t="s">
        <v>#N/A N/A</v>
        <stp/>
        <stp>BDH|8577214226555335584</stp>
        <tr r="W29" s="2"/>
      </tp>
      <tp t="s">
        <v>#N/A N/A</v>
        <stp/>
        <stp>BDH|9738601760747657681</stp>
        <tr r="AC32" s="2"/>
      </tp>
      <tp t="s">
        <v>#N/A N/A</v>
        <stp/>
        <stp>BDH|5473291533628461431</stp>
        <tr r="N81" s="2"/>
      </tp>
      <tp t="s">
        <v>#N/A N/A</v>
        <stp/>
        <stp>BDH|7886810624671496400</stp>
        <tr r="Y23" s="2"/>
      </tp>
      <tp t="s">
        <v>#N/A N/A</v>
        <stp/>
        <stp>BDH|3883470907666402957</stp>
        <tr r="Y27" s="2"/>
      </tp>
      <tp t="s">
        <v>#N/A N/A</v>
        <stp/>
        <stp>BDH|1814436145038499135</stp>
        <tr r="G43" s="2"/>
      </tp>
      <tp t="s">
        <v>#N/A N/A</v>
        <stp/>
        <stp>BDH|6814602315838589161</stp>
        <tr r="AC55" s="2"/>
      </tp>
      <tp t="s">
        <v>#N/A N/A</v>
        <stp/>
        <stp>BDH|1325610099041421714</stp>
        <tr r="AF50" s="2"/>
      </tp>
      <tp t="s">
        <v>#N/A N/A</v>
        <stp/>
        <stp>BDH|2832869394892245962</stp>
        <tr r="R36" s="2"/>
      </tp>
      <tp t="s">
        <v>#N/A N/A</v>
        <stp/>
        <stp>BDH|7419336397515927077</stp>
        <tr r="AB19" s="2"/>
      </tp>
      <tp t="s">
        <v>#N/A N/A</v>
        <stp/>
        <stp>BDH|2149227252745910874</stp>
        <tr r="T68" s="2"/>
      </tp>
      <tp t="s">
        <v>#N/A N/A</v>
        <stp/>
        <stp>BDH|6202831302432437485</stp>
        <tr r="C62" s="2"/>
      </tp>
      <tp t="s">
        <v>#N/A N/A</v>
        <stp/>
        <stp>BDH|2764884411625631675</stp>
        <tr r="AE22" s="2"/>
      </tp>
      <tp t="s">
        <v>#N/A N/A</v>
        <stp/>
        <stp>BDH|8202686131225497008</stp>
        <tr r="X83" s="2"/>
      </tp>
      <tp t="s">
        <v>#N/A N/A</v>
        <stp/>
        <stp>BDH|6297185976640655855</stp>
        <tr r="C44" s="2"/>
      </tp>
      <tp t="s">
        <v>#N/A N/A</v>
        <stp/>
        <stp>BDH|9678570548060151040</stp>
        <tr r="AC92" s="2"/>
      </tp>
      <tp t="s">
        <v>#N/A N/A</v>
        <stp/>
        <stp>BDH|4360892458268842966</stp>
        <tr r="AC50" s="2"/>
      </tp>
      <tp t="s">
        <v>#N/A N/A</v>
        <stp/>
        <stp>BDH|2668552188785528227</stp>
        <tr r="U27" s="2"/>
      </tp>
      <tp t="s">
        <v>#N/A N/A</v>
        <stp/>
        <stp>BDH|7122879477587527799</stp>
        <tr r="N33" s="2"/>
      </tp>
      <tp t="s">
        <v>#N/A N/A</v>
        <stp/>
        <stp>BDH|9598215214674972649</stp>
        <tr r="AA86" s="2"/>
      </tp>
      <tp t="s">
        <v>#N/A N/A</v>
        <stp/>
        <stp>BDH|7744572497136233582</stp>
        <tr r="E30" s="2"/>
      </tp>
      <tp t="s">
        <v>#N/A N/A</v>
        <stp/>
        <stp>BDH|1135615818958718627</stp>
        <tr r="AA16" s="2"/>
      </tp>
      <tp t="s">
        <v>#N/A N/A</v>
        <stp/>
        <stp>BDH|6471354472292887861</stp>
        <tr r="U58" s="2"/>
      </tp>
      <tp t="s">
        <v>#N/A N/A</v>
        <stp/>
        <stp>BDH|1648598967323524901</stp>
        <tr r="Y57" s="2"/>
      </tp>
      <tp t="s">
        <v>#N/A N/A</v>
        <stp/>
        <stp>BDH|4883358985466780120</stp>
        <tr r="F80" s="2"/>
      </tp>
      <tp t="s">
        <v>#N/A N/A</v>
        <stp/>
        <stp>BDH|7563407117643724977</stp>
        <tr r="AF42" s="2"/>
      </tp>
      <tp t="s">
        <v>#N/A N/A</v>
        <stp/>
        <stp>BDH|9559038538304825641</stp>
        <tr r="Q84" s="2"/>
      </tp>
      <tp t="s">
        <v>#N/A N/A</v>
        <stp/>
        <stp>BDH|1890881962705368237</stp>
        <tr r="AB11" s="2"/>
      </tp>
      <tp t="s">
        <v>#N/A N/A</v>
        <stp/>
        <stp>BDH|8560872614328755121</stp>
        <tr r="I29" s="2"/>
      </tp>
      <tp t="s">
        <v>#N/A N/A</v>
        <stp/>
        <stp>BDH|9652339373132615738</stp>
        <tr r="AC86" s="2"/>
      </tp>
      <tp t="s">
        <v>#N/A N/A</v>
        <stp/>
        <stp>BDH|2869126817619778396</stp>
        <tr r="O70" s="2"/>
      </tp>
      <tp t="s">
        <v>#N/A N/A</v>
        <stp/>
        <stp>BDH|3648070497255029752</stp>
        <tr r="H35" s="2"/>
      </tp>
      <tp t="s">
        <v>#N/A N/A</v>
        <stp/>
        <stp>BDH|2711880263515776188</stp>
        <tr r="T25" s="2"/>
      </tp>
      <tp t="s">
        <v>#N/A N/A</v>
        <stp/>
        <stp>BDH|3765568383547278137</stp>
        <tr r="AC64" s="2"/>
      </tp>
      <tp t="s">
        <v>#N/A N/A</v>
        <stp/>
        <stp>BDH|6797302098132961656</stp>
        <tr r="D64" s="2"/>
      </tp>
      <tp t="s">
        <v>#N/A N/A</v>
        <stp/>
        <stp>BDH|9662534023267248143</stp>
        <tr r="AF46" s="2"/>
      </tp>
      <tp t="s">
        <v>#N/A N/A</v>
        <stp/>
        <stp>BDH|8442833082587575702</stp>
        <tr r="J44" s="2"/>
      </tp>
      <tp t="s">
        <v>#N/A N/A</v>
        <stp/>
        <stp>BDH|2747647593005995092</stp>
        <tr r="X22" s="2"/>
      </tp>
      <tp t="s">
        <v>#N/A N/A</v>
        <stp/>
        <stp>BDH|8553936390905710508</stp>
        <tr r="T67" s="2"/>
      </tp>
      <tp t="s">
        <v>#N/A N/A</v>
        <stp/>
        <stp>BDH|7522905589718438690</stp>
        <tr r="AE20" s="2"/>
      </tp>
      <tp t="s">
        <v>#N/A N/A</v>
        <stp/>
        <stp>BDH|9499062425941377252</stp>
        <tr r="AF87" s="2"/>
      </tp>
      <tp t="s">
        <v>#N/A N/A</v>
        <stp/>
        <stp>BDH|3818901879923318634</stp>
        <tr r="P42" s="2"/>
      </tp>
      <tp t="s">
        <v>#N/A N/A</v>
        <stp/>
        <stp>BDH|8871629593427993867</stp>
        <tr r="AE30" s="2"/>
      </tp>
      <tp t="s">
        <v>#N/A N/A</v>
        <stp/>
        <stp>BDH|6664652641668687427</stp>
        <tr r="L58" s="2"/>
      </tp>
      <tp t="s">
        <v>#N/A N/A</v>
        <stp/>
        <stp>BDH|8138964815370082843</stp>
        <tr r="I86" s="2"/>
      </tp>
      <tp t="s">
        <v>#N/A N/A</v>
        <stp/>
        <stp>BDH|9304423318790796482</stp>
        <tr r="J50" s="2"/>
      </tp>
      <tp t="s">
        <v>#N/A N/A</v>
        <stp/>
        <stp>BDH|1066287001168611383</stp>
        <tr r="S8" s="2"/>
      </tp>
      <tp t="s">
        <v>#N/A N/A</v>
        <stp/>
        <stp>BDH|2846102325460200987</stp>
        <tr r="AB27" s="2"/>
      </tp>
      <tp t="s">
        <v>#N/A N/A</v>
        <stp/>
        <stp>BDH|9278222569352895767</stp>
        <tr r="K7" s="2"/>
      </tp>
      <tp t="s">
        <v>#N/A N/A</v>
        <stp/>
        <stp>BDH|1537904183979739161</stp>
        <tr r="AB30" s="2"/>
      </tp>
      <tp t="s">
        <v>#N/A N/A</v>
        <stp/>
        <stp>BDH|2495848893088794336</stp>
        <tr r="J35" s="2"/>
      </tp>
      <tp t="s">
        <v>#N/A N/A</v>
        <stp/>
        <stp>BDH|5833031094041933527</stp>
        <tr r="C53" s="2"/>
      </tp>
      <tp t="s">
        <v>#N/A N/A</v>
        <stp/>
        <stp>BDH|4580319180866923191</stp>
        <tr r="AD84" s="2"/>
      </tp>
      <tp t="s">
        <v>#N/A N/A</v>
        <stp/>
        <stp>BDH|6025648693226033731</stp>
        <tr r="AD7" s="2"/>
      </tp>
      <tp t="s">
        <v>#N/A N/A</v>
        <stp/>
        <stp>BDH|6130003444733096913</stp>
        <tr r="G65" s="2"/>
      </tp>
      <tp t="s">
        <v>#N/A N/A</v>
        <stp/>
        <stp>BDH|9258103942861616520</stp>
        <tr r="T28" s="2"/>
      </tp>
      <tp t="s">
        <v>#N/A N/A</v>
        <stp/>
        <stp>BDH|2415340246744318907</stp>
        <tr r="J63" s="2"/>
      </tp>
      <tp t="s">
        <v>#N/A N/A</v>
        <stp/>
        <stp>BDH|5695001387413891737</stp>
        <tr r="F15" s="2"/>
      </tp>
      <tp t="s">
        <v>#N/A N/A</v>
        <stp/>
        <stp>BDH|9890557507341537459</stp>
        <tr r="U89" s="2"/>
      </tp>
      <tp t="s">
        <v>#N/A N/A</v>
        <stp/>
        <stp>BDH|1188696944742518832</stp>
        <tr r="C81" s="2"/>
      </tp>
      <tp t="s">
        <v>#N/A N/A</v>
        <stp/>
        <stp>BDH|7977080944602785883</stp>
        <tr r="AA87" s="2"/>
      </tp>
      <tp t="s">
        <v>#N/A N/A</v>
        <stp/>
        <stp>BDH|6026980013746793160</stp>
        <tr r="T15" s="2"/>
      </tp>
      <tp t="s">
        <v>#N/A N/A</v>
        <stp/>
        <stp>BDH|3267390233978371208</stp>
        <tr r="H41" s="2"/>
      </tp>
      <tp t="s">
        <v>#N/A N/A</v>
        <stp/>
        <stp>BDH|6173955602097973146</stp>
        <tr r="M75" s="2"/>
      </tp>
      <tp t="s">
        <v>#N/A N/A</v>
        <stp/>
        <stp>BDH|9103678956815860635</stp>
        <tr r="Y71" s="2"/>
      </tp>
      <tp t="s">
        <v>#N/A N/A</v>
        <stp/>
        <stp>BDH|2085139990817972418</stp>
        <tr r="T63" s="2"/>
      </tp>
      <tp t="s">
        <v>#N/A N/A</v>
        <stp/>
        <stp>BDH|2093082485117355454</stp>
        <tr r="AE26" s="2"/>
      </tp>
      <tp t="s">
        <v>#N/A N/A</v>
        <stp/>
        <stp>BDH|4038366038724697930</stp>
        <tr r="W24" s="2"/>
      </tp>
      <tp t="s">
        <v>#N/A N/A</v>
        <stp/>
        <stp>BDH|3169884609497388583</stp>
        <tr r="N19" s="2"/>
      </tp>
      <tp t="s">
        <v>#N/A N/A</v>
        <stp/>
        <stp>BDH|4023201293510303687</stp>
        <tr r="Y88" s="2"/>
      </tp>
      <tp t="s">
        <v>#N/A N/A</v>
        <stp/>
        <stp>BDH|2926942622192712201</stp>
        <tr r="T29" s="2"/>
      </tp>
      <tp t="s">
        <v>#N/A N/A</v>
        <stp/>
        <stp>BDH|7089371031808805664</stp>
        <tr r="K33" s="2"/>
      </tp>
      <tp t="s">
        <v>#N/A N/A</v>
        <stp/>
        <stp>BDH|8817260936692354239</stp>
        <tr r="S54" s="2"/>
      </tp>
      <tp t="s">
        <v>#N/A N/A</v>
        <stp/>
        <stp>BDH|2082300694463857243</stp>
        <tr r="W90" s="2"/>
      </tp>
      <tp t="s">
        <v>#N/A N/A</v>
        <stp/>
        <stp>BDH|6160945772012662398</stp>
        <tr r="T46" s="2"/>
      </tp>
      <tp t="s">
        <v>#N/A N/A</v>
        <stp/>
        <stp>BDH|4871704627550707810</stp>
        <tr r="M60" s="2"/>
      </tp>
      <tp t="s">
        <v>#N/A N/A</v>
        <stp/>
        <stp>BDH|8542578364277797581</stp>
        <tr r="I64" s="2"/>
      </tp>
      <tp t="s">
        <v>#N/A N/A</v>
        <stp/>
        <stp>BDH|2031216796788683883</stp>
        <tr r="F53" s="2"/>
      </tp>
      <tp t="s">
        <v>#N/A N/A</v>
        <stp/>
        <stp>BDH|5609975658818557850</stp>
        <tr r="F66" s="2"/>
      </tp>
      <tp t="s">
        <v>#N/A N/A</v>
        <stp/>
        <stp>BDH|3935924672371644513</stp>
        <tr r="T42" s="2"/>
      </tp>
      <tp t="s">
        <v>#N/A N/A</v>
        <stp/>
        <stp>BDH|9359295059413479495</stp>
        <tr r="Z47" s="2"/>
      </tp>
      <tp t="s">
        <v>#N/A N/A</v>
        <stp/>
        <stp>BDH|4991240293034330230</stp>
        <tr r="X11" s="2"/>
      </tp>
      <tp t="s">
        <v>#N/A N/A</v>
        <stp/>
        <stp>BDH|8735286251517227132</stp>
        <tr r="Z83" s="2"/>
      </tp>
      <tp t="s">
        <v>#N/A N/A</v>
        <stp/>
        <stp>BDH|5432038843871376984</stp>
        <tr r="AA91" s="2"/>
      </tp>
      <tp t="s">
        <v>#N/A N/A</v>
        <stp/>
        <stp>BDH|2131413857582113896</stp>
        <tr r="Q24" s="2"/>
      </tp>
      <tp t="s">
        <v>#N/A N/A</v>
        <stp/>
        <stp>BDH|5345269059013144827</stp>
        <tr r="M59" s="2"/>
      </tp>
      <tp t="s">
        <v>#N/A N/A</v>
        <stp/>
        <stp>BDH|3919879130487351618</stp>
        <tr r="AA62" s="2"/>
      </tp>
      <tp t="s">
        <v>#N/A N/A</v>
        <stp/>
        <stp>BDH|4875503545034823896</stp>
        <tr r="O68" s="2"/>
      </tp>
      <tp t="s">
        <v>#N/A N/A</v>
        <stp/>
        <stp>BDH|8137718040710965252</stp>
        <tr r="E66" s="2"/>
      </tp>
      <tp t="s">
        <v>#N/A N/A</v>
        <stp/>
        <stp>BDH|2954098518463730931</stp>
        <tr r="AD69" s="2"/>
      </tp>
      <tp t="s">
        <v>#N/A N/A</v>
        <stp/>
        <stp>BDH|7047440564138580485</stp>
        <tr r="C76" s="2"/>
      </tp>
      <tp t="s">
        <v>#N/A N/A</v>
        <stp/>
        <stp>BDH|9505019099290112914</stp>
        <tr r="S42" s="2"/>
      </tp>
      <tp t="s">
        <v>#N/A N/A</v>
        <stp/>
        <stp>BDH|8445756582276261836</stp>
        <tr r="F84" s="2"/>
      </tp>
      <tp t="s">
        <v>#N/A N/A</v>
        <stp/>
        <stp>BDH|4522681446176111983</stp>
        <tr r="W17" s="2"/>
      </tp>
      <tp t="s">
        <v>#N/A N/A</v>
        <stp/>
        <stp>BDH|7147154787092111501</stp>
        <tr r="W33" s="2"/>
      </tp>
      <tp t="s">
        <v>#N/A N/A</v>
        <stp/>
        <stp>BDH|3059915487373157855</stp>
        <tr r="T34" s="2"/>
      </tp>
      <tp t="s">
        <v>#N/A N/A</v>
        <stp/>
        <stp>BDH|3079951242411509607</stp>
        <tr r="AF68" s="2"/>
      </tp>
      <tp t="s">
        <v>#N/A N/A</v>
        <stp/>
        <stp>BDH|2686419118356556883</stp>
        <tr r="AE9" s="2"/>
      </tp>
      <tp t="s">
        <v>#N/A N/A</v>
        <stp/>
        <stp>BDH|7565960873289304913</stp>
        <tr r="AA55" s="2"/>
      </tp>
      <tp t="s">
        <v>#N/A N/A</v>
        <stp/>
        <stp>BDH|3666556142213602858</stp>
        <tr r="AD12" s="2"/>
      </tp>
      <tp t="s">
        <v>#N/A N/A</v>
        <stp/>
        <stp>BDH|3788777785491250454</stp>
        <tr r="S49" s="2"/>
      </tp>
      <tp t="s">
        <v>#N/A N/A</v>
        <stp/>
        <stp>BDH|7515975677402770208</stp>
        <tr r="P66" s="2"/>
      </tp>
      <tp t="s">
        <v>#N/A N/A</v>
        <stp/>
        <stp>BDH|2566005216272068803</stp>
        <tr r="AA89" s="2"/>
      </tp>
      <tp t="s">
        <v>#N/A N/A</v>
        <stp/>
        <stp>BDH|6941902423380257482</stp>
        <tr r="K65" s="2"/>
      </tp>
      <tp t="s">
        <v>#N/A N/A</v>
        <stp/>
        <stp>BDH|9847290031363333231</stp>
        <tr r="W50" s="2"/>
      </tp>
      <tp t="s">
        <v>#N/A N/A</v>
        <stp/>
        <stp>BDH|9207355620949204855</stp>
        <tr r="Z57" s="2"/>
      </tp>
      <tp t="s">
        <v>#N/A N/A</v>
        <stp/>
        <stp>BDH|2080516854669640233</stp>
        <tr r="N9" s="2"/>
      </tp>
      <tp t="s">
        <v>#N/A N/A</v>
        <stp/>
        <stp>BDH|3518237799503608285</stp>
        <tr r="U32" s="2"/>
      </tp>
      <tp t="s">
        <v>#N/A N/A</v>
        <stp/>
        <stp>BDH|8812164598360323948</stp>
        <tr r="F57" s="2"/>
      </tp>
      <tp t="s">
        <v>#N/A N/A</v>
        <stp/>
        <stp>BDH|2416620051580152800</stp>
        <tr r="AA84" s="2"/>
      </tp>
      <tp t="s">
        <v>#N/A N/A</v>
        <stp/>
        <stp>BDH|9363359783488726348</stp>
        <tr r="L46" s="2"/>
      </tp>
      <tp t="s">
        <v>#N/A N/A</v>
        <stp/>
        <stp>BDH|2152421324218647571</stp>
        <tr r="D48" s="2"/>
      </tp>
      <tp t="s">
        <v>#N/A N/A</v>
        <stp/>
        <stp>BDH|8907367411564840704</stp>
        <tr r="X23" s="2"/>
      </tp>
      <tp t="s">
        <v>#N/A N/A</v>
        <stp/>
        <stp>BDH|3420789706079829442</stp>
        <tr r="R18" s="2"/>
      </tp>
      <tp t="s">
        <v>#N/A N/A</v>
        <stp/>
        <stp>BDH|9047499147611891108</stp>
        <tr r="J60" s="2"/>
      </tp>
      <tp t="s">
        <v>#N/A N/A</v>
        <stp/>
        <stp>BDH|5657871236110000718</stp>
        <tr r="U45" s="2"/>
      </tp>
      <tp t="s">
        <v>#N/A N/A</v>
        <stp/>
        <stp>BDH|5870808205520265491</stp>
        <tr r="M49" s="2"/>
      </tp>
      <tp t="s">
        <v>#N/A N/A</v>
        <stp/>
        <stp>BDH|6779904261875512549</stp>
        <tr r="N83" s="2"/>
      </tp>
      <tp t="s">
        <v>#N/A N/A</v>
        <stp/>
        <stp>BDH|9500786539467205316</stp>
        <tr r="Z16" s="2"/>
      </tp>
      <tp t="s">
        <v>#N/A N/A</v>
        <stp/>
        <stp>BDH|1341614606797402970</stp>
        <tr r="Y85" s="2"/>
      </tp>
      <tp t="s">
        <v>#N/A N/A</v>
        <stp/>
        <stp>BDH|5184635742638556628</stp>
        <tr r="P48" s="2"/>
      </tp>
      <tp t="s">
        <v>#N/A N/A</v>
        <stp/>
        <stp>BDH|6631540494994147705</stp>
        <tr r="AF80" s="2"/>
      </tp>
      <tp t="s">
        <v>#N/A N/A</v>
        <stp/>
        <stp>BDH|8333061109928885906</stp>
        <tr r="AF18" s="2"/>
      </tp>
      <tp t="s">
        <v>#N/A N/A</v>
        <stp/>
        <stp>BDH|4334764353278782759</stp>
        <tr r="V91" s="2"/>
      </tp>
      <tp t="s">
        <v>#N/A N/A</v>
        <stp/>
        <stp>BDH|3744373212279183175</stp>
        <tr r="H49" s="2"/>
      </tp>
      <tp t="s">
        <v>#N/A N/A</v>
        <stp/>
        <stp>BDH|5507034403449608569</stp>
        <tr r="N14" s="2"/>
      </tp>
      <tp t="s">
        <v>#N/A N/A</v>
        <stp/>
        <stp>BDH|53654630006629774</stp>
        <tr r="V43" s="2"/>
      </tp>
      <tp t="s">
        <v>#N/A N/A</v>
        <stp/>
        <stp>BDH|2998926954633422715</stp>
        <tr r="I82" s="2"/>
      </tp>
      <tp t="s">
        <v>#N/A N/A</v>
        <stp/>
        <stp>BDH|7567531760497496984</stp>
        <tr r="L82" s="2"/>
      </tp>
      <tp t="s">
        <v>#N/A N/A</v>
        <stp/>
        <stp>BDH|2084615871680899935</stp>
        <tr r="Z22" s="2"/>
      </tp>
      <tp t="s">
        <v>#N/A N/A</v>
        <stp/>
        <stp>BDH|6880906309157281281</stp>
        <tr r="AA80" s="2"/>
      </tp>
      <tp t="s">
        <v>#N/A N/A</v>
        <stp/>
        <stp>BDH|4155822006366901072</stp>
        <tr r="N66" s="2"/>
      </tp>
      <tp t="s">
        <v>#N/A N/A</v>
        <stp/>
        <stp>BDH|1951823226013016269</stp>
        <tr r="D67" s="2"/>
      </tp>
      <tp t="s">
        <v>#N/A N/A</v>
        <stp/>
        <stp>BDH|9480898888194832756</stp>
        <tr r="O27" s="2"/>
      </tp>
      <tp t="s">
        <v>#N/A N/A</v>
        <stp/>
        <stp>BDH|4802103109098195783</stp>
        <tr r="Q81" s="2"/>
      </tp>
      <tp t="s">
        <v>#N/A N/A</v>
        <stp/>
        <stp>BDH|5960178589583736584</stp>
        <tr r="Z85" s="2"/>
      </tp>
      <tp t="s">
        <v>#N/A N/A</v>
        <stp/>
        <stp>BDH|5676990920124591038</stp>
        <tr r="X18" s="2"/>
      </tp>
      <tp t="s">
        <v>#N/A N/A</v>
        <stp/>
        <stp>BDH|8299543449917188470</stp>
        <tr r="H27" s="2"/>
      </tp>
      <tp t="s">
        <v>#N/A N/A</v>
        <stp/>
        <stp>BDH|8560344447952768781</stp>
        <tr r="X8" s="2"/>
      </tp>
      <tp t="s">
        <v>#N/A N/A</v>
        <stp/>
        <stp>BDH|8783628135187900070</stp>
        <tr r="Q13" s="2"/>
      </tp>
      <tp t="s">
        <v>#N/A N/A</v>
        <stp/>
        <stp>BDH|9757727958923201218</stp>
        <tr r="AE12" s="2"/>
      </tp>
      <tp t="s">
        <v>#N/A N/A</v>
        <stp/>
        <stp>BDH|5167838278140532012</stp>
        <tr r="J82" s="2"/>
      </tp>
      <tp t="s">
        <v>#N/A N/A</v>
        <stp/>
        <stp>BDH|3686520006714419897</stp>
        <tr r="AC58" s="2"/>
      </tp>
      <tp t="s">
        <v>#N/A N/A</v>
        <stp/>
        <stp>BDH|5966466645847365860</stp>
        <tr r="AA61" s="2"/>
      </tp>
      <tp t="s">
        <v>#N/A N/A</v>
        <stp/>
        <stp>BDH|9708416570242822224</stp>
        <tr r="P44" s="2"/>
      </tp>
      <tp t="s">
        <v>#N/A N/A</v>
        <stp/>
        <stp>BDH|5961379499846260397</stp>
        <tr r="Z69" s="2"/>
      </tp>
      <tp t="s">
        <v>#N/A N/A</v>
        <stp/>
        <stp>BDH|5190335927527927902</stp>
        <tr r="AA22" s="2"/>
      </tp>
      <tp t="s">
        <v>#N/A N/A</v>
        <stp/>
        <stp>BDH|6909149973053404961</stp>
        <tr r="M41" s="2"/>
      </tp>
      <tp t="s">
        <v>#N/A N/A</v>
        <stp/>
        <stp>BDH|3671636855483892946</stp>
        <tr r="D57" s="2"/>
      </tp>
      <tp t="s">
        <v>#N/A N/A</v>
        <stp/>
        <stp>BDH|7520991606243383755</stp>
        <tr r="AF47" s="2"/>
      </tp>
      <tp t="s">
        <v>#N/A N/A</v>
        <stp/>
        <stp>BDH|7731870236235976339</stp>
        <tr r="U14" s="2"/>
      </tp>
      <tp t="s">
        <v>#N/A N/A</v>
        <stp/>
        <stp>BDH|8370903529209226054</stp>
        <tr r="Y91" s="2"/>
      </tp>
      <tp t="s">
        <v>#N/A N/A</v>
        <stp/>
        <stp>BDH|7910632935238374015</stp>
        <tr r="R49" s="2"/>
      </tp>
      <tp t="s">
        <v>#N/A N/A</v>
        <stp/>
        <stp>BDH|7203837654181007181</stp>
        <tr r="K30" s="2"/>
      </tp>
      <tp t="s">
        <v>#N/A N/A</v>
        <stp/>
        <stp>BDH|4259518189643241054</stp>
        <tr r="I59" s="2"/>
      </tp>
      <tp t="s">
        <v>#N/A N/A</v>
        <stp/>
        <stp>BDH|2774766555962052890</stp>
        <tr r="U62" s="2"/>
      </tp>
      <tp t="s">
        <v>#N/A N/A</v>
        <stp/>
        <stp>BDH|2718883950846278302</stp>
        <tr r="Z10" s="2"/>
      </tp>
      <tp t="s">
        <v>#N/A N/A</v>
        <stp/>
        <stp>BDH|4165896864281607187</stp>
        <tr r="Q48" s="2"/>
      </tp>
      <tp t="s">
        <v>#N/A N/A</v>
        <stp/>
        <stp>BDH|9297500826481124574</stp>
        <tr r="P22" s="2"/>
      </tp>
      <tp t="s">
        <v>#N/A N/A</v>
        <stp/>
        <stp>BDH|9283121654405514233</stp>
        <tr r="X44" s="2"/>
      </tp>
      <tp t="s">
        <v>#N/A N/A</v>
        <stp/>
        <stp>BDH|8516716617884433053</stp>
        <tr r="Y45" s="2"/>
      </tp>
      <tp t="s">
        <v>#N/A N/A</v>
        <stp/>
        <stp>BDH|9626958187400024262</stp>
        <tr r="G17" s="2"/>
      </tp>
      <tp t="s">
        <v>#N/A N/A</v>
        <stp/>
        <stp>BDH|8823533713955349392</stp>
        <tr r="W23" s="2"/>
      </tp>
      <tp t="s">
        <v>#N/A N/A</v>
        <stp/>
        <stp>BDH|6495658431549764045</stp>
        <tr r="AB40" s="2"/>
      </tp>
      <tp t="s">
        <v>#N/A N/A</v>
        <stp/>
        <stp>BDH|8466330015810165005</stp>
        <tr r="J18" s="2"/>
      </tp>
      <tp t="s">
        <v>#N/A N/A</v>
        <stp/>
        <stp>BDH|9528456305045396251</stp>
        <tr r="H92" s="2"/>
      </tp>
      <tp t="s">
        <v>#N/A N/A</v>
        <stp/>
        <stp>BDH|3713320495714122715</stp>
        <tr r="Q32" s="2"/>
      </tp>
      <tp t="s">
        <v>#N/A N/A</v>
        <stp/>
        <stp>BDH|7440930123747319172</stp>
        <tr r="AF16" s="2"/>
      </tp>
      <tp t="s">
        <v>#N/A N/A</v>
        <stp/>
        <stp>BDH|9009474970122351245</stp>
        <tr r="N13" s="2"/>
      </tp>
      <tp t="s">
        <v>#N/A N/A</v>
        <stp/>
        <stp>BDH|3930400069232002906</stp>
        <tr r="AC24" s="2"/>
      </tp>
      <tp t="s">
        <v>#N/A N/A</v>
        <stp/>
        <stp>BDH|1298110108169922321</stp>
        <tr r="L71" s="2"/>
      </tp>
      <tp t="s">
        <v>#N/A N/A</v>
        <stp/>
        <stp>BDH|5287958910737130077</stp>
        <tr r="AC53" s="2"/>
      </tp>
      <tp t="s">
        <v>#N/A N/A</v>
        <stp/>
        <stp>BDH|3448771483321199709</stp>
        <tr r="V74" s="2"/>
      </tp>
      <tp t="s">
        <v>#N/A N/A</v>
        <stp/>
        <stp>BDH|9839282263527212074</stp>
        <tr r="K35" s="2"/>
      </tp>
      <tp t="s">
        <v>#N/A N/A</v>
        <stp/>
        <stp>BDH|8024405334294647145</stp>
        <tr r="Y47" s="2"/>
      </tp>
      <tp t="s">
        <v>#N/A N/A</v>
        <stp/>
        <stp>BDH|9715261310869292942</stp>
        <tr r="S17" s="2"/>
      </tp>
      <tp t="s">
        <v>#N/A N/A</v>
        <stp/>
        <stp>BDH|3395794108888024665</stp>
        <tr r="M56" s="2"/>
      </tp>
      <tp t="s">
        <v>#N/A N/A</v>
        <stp/>
        <stp>BDH|5420350970469489215</stp>
        <tr r="P30" s="2"/>
      </tp>
      <tp t="s">
        <v>#N/A N/A</v>
        <stp/>
        <stp>BDH|3081515112259205454</stp>
        <tr r="N76" s="2"/>
      </tp>
      <tp t="s">
        <v>#N/A N/A</v>
        <stp/>
        <stp>BDH|4513563983801751233</stp>
        <tr r="G19" s="2"/>
      </tp>
      <tp t="s">
        <v>#N/A N/A</v>
        <stp/>
        <stp>BDH|8609360117652784240</stp>
        <tr r="T26" s="2"/>
      </tp>
      <tp t="s">
        <v>#N/A N/A</v>
        <stp/>
        <stp>BDH|6935863997185432894</stp>
        <tr r="AC18" s="2"/>
      </tp>
      <tp t="s">
        <v>#N/A N/A</v>
        <stp/>
        <stp>BDH|1120173095711465228</stp>
        <tr r="AA73" s="2"/>
      </tp>
      <tp t="s">
        <v>#N/A N/A</v>
        <stp/>
        <stp>BDH|1236082606812942903</stp>
        <tr r="D15" s="2"/>
      </tp>
      <tp t="s">
        <v>#N/A N/A</v>
        <stp/>
        <stp>BDH|99814982983045491</stp>
        <tr r="AA75" s="2"/>
      </tp>
      <tp t="s">
        <v>#N/A N/A</v>
        <stp/>
        <stp>BDH|8992099723299009893</stp>
        <tr r="H90" s="2"/>
      </tp>
      <tp t="s">
        <v>#N/A N/A</v>
        <stp/>
        <stp>BDH|8661674250324337483</stp>
        <tr r="T10" s="2"/>
      </tp>
      <tp t="s">
        <v>#N/A N/A</v>
        <stp/>
        <stp>BDH|2969342115352173930</stp>
        <tr r="U39" s="2"/>
      </tp>
      <tp t="s">
        <v>#N/A N/A</v>
        <stp/>
        <stp>BDH|5576837627310234495</stp>
        <tr r="AE63" s="2"/>
      </tp>
      <tp t="s">
        <v>#N/A N/A</v>
        <stp/>
        <stp>BDH|1097858649470393655</stp>
        <tr r="AF64" s="2"/>
      </tp>
      <tp t="s">
        <v>#N/A N/A</v>
        <stp/>
        <stp>BDH|6530020991223889742</stp>
        <tr r="U57" s="2"/>
      </tp>
      <tp t="s">
        <v>#N/A N/A</v>
        <stp/>
        <stp>BDH|4820015905546744902</stp>
        <tr r="C91" s="2"/>
      </tp>
      <tp t="s">
        <v>#N/A N/A</v>
        <stp/>
        <stp>BDH|4946278258909568184</stp>
        <tr r="X28" s="2"/>
      </tp>
      <tp t="s">
        <v>#N/A N/A</v>
        <stp/>
        <stp>BDH|6769415805989960014</stp>
        <tr r="F87" s="2"/>
      </tp>
      <tp t="s">
        <v>#N/A N/A</v>
        <stp/>
        <stp>BDH|2265077829899427230</stp>
        <tr r="Q52" s="2"/>
      </tp>
      <tp t="s">
        <v>#N/A N/A</v>
        <stp/>
        <stp>BDH|9236920649137706858</stp>
        <tr r="Q53" s="2"/>
      </tp>
      <tp t="s">
        <v>#N/A N/A</v>
        <stp/>
        <stp>BDH|8809443027816002306</stp>
        <tr r="AE11" s="2"/>
      </tp>
      <tp t="s">
        <v>#N/A N/A</v>
        <stp/>
        <stp>BDH|4937458080503218053</stp>
        <tr r="W32" s="2"/>
      </tp>
      <tp t="s">
        <v>#N/A N/A</v>
        <stp/>
        <stp>BDH|8453343254160874541</stp>
        <tr r="AD71" s="2"/>
      </tp>
      <tp t="s">
        <v>#N/A N/A</v>
        <stp/>
        <stp>BDH|1178964245494968331</stp>
        <tr r="P70" s="2"/>
      </tp>
      <tp t="s">
        <v>#N/A N/A</v>
        <stp/>
        <stp>BDH|1891926397459368369</stp>
        <tr r="G40" s="2"/>
      </tp>
      <tp t="s">
        <v>#N/A N/A</v>
        <stp/>
        <stp>BDH|3756327855207032990</stp>
        <tr r="I83" s="2"/>
      </tp>
      <tp t="s">
        <v>#N/A N/A</v>
        <stp/>
        <stp>BDH|9792304555973840736</stp>
        <tr r="I8" s="2"/>
      </tp>
      <tp t="s">
        <v>#N/A N/A</v>
        <stp/>
        <stp>BDH|9080920056318501683</stp>
        <tr r="C34" s="2"/>
      </tp>
      <tp t="s">
        <v>#N/A N/A</v>
        <stp/>
        <stp>BDH|6403067481546853357</stp>
        <tr r="P12" s="2"/>
      </tp>
      <tp t="s">
        <v>#N/A N/A</v>
        <stp/>
        <stp>BDH|3233634943918425288</stp>
        <tr r="X69" s="2"/>
      </tp>
      <tp t="s">
        <v>#N/A N/A</v>
        <stp/>
        <stp>BDH|7556521977758834664</stp>
        <tr r="L50" s="2"/>
      </tp>
      <tp t="s">
        <v>#N/A N/A</v>
        <stp/>
        <stp>BDH|1833974424790178140</stp>
        <tr r="T60" s="2"/>
      </tp>
      <tp t="s">
        <v>#N/A N/A</v>
        <stp/>
        <stp>BDH|3033137491477917757</stp>
        <tr r="P47" s="2"/>
      </tp>
      <tp t="s">
        <v>#N/A N/A</v>
        <stp/>
        <stp>BDH|8230110321142554291</stp>
        <tr r="AC84" s="2"/>
      </tp>
      <tp t="s">
        <v>#N/A N/A</v>
        <stp/>
        <stp>BDH|5050036032585790884</stp>
        <tr r="F70" s="2"/>
      </tp>
      <tp t="s">
        <v>#N/A N/A</v>
        <stp/>
        <stp>BDH|3303469927637977940</stp>
        <tr r="V19" s="2"/>
      </tp>
      <tp t="s">
        <v>#N/A N/A</v>
        <stp/>
        <stp>BDH|2683442268988785327</stp>
        <tr r="S45" s="2"/>
      </tp>
      <tp t="s">
        <v>#N/A N/A</v>
        <stp/>
        <stp>BDH|3600987937087764526</stp>
        <tr r="AD91" s="2"/>
      </tp>
      <tp t="s">
        <v>#N/A N/A</v>
        <stp/>
        <stp>BDH|8768409370250874030</stp>
        <tr r="C86" s="2"/>
      </tp>
      <tp t="s">
        <v>#N/A N/A</v>
        <stp/>
        <stp>BDH|3946702076020038826</stp>
        <tr r="H82" s="2"/>
      </tp>
      <tp t="s">
        <v>#N/A N/A</v>
        <stp/>
        <stp>BDH|1852686456158333184</stp>
        <tr r="AA65" s="2"/>
      </tp>
      <tp t="s">
        <v>#N/A N/A</v>
        <stp/>
        <stp>BDH|5911017201407151952</stp>
        <tr r="H14" s="2"/>
      </tp>
      <tp t="s">
        <v>#N/A N/A</v>
        <stp/>
        <stp>BDH|7331168193820230498</stp>
        <tr r="L80" s="2"/>
      </tp>
      <tp t="s">
        <v>#N/A N/A</v>
        <stp/>
        <stp>BDH|8394654469547349411</stp>
        <tr r="L64" s="2"/>
      </tp>
      <tp t="s">
        <v>#N/A N/A</v>
        <stp/>
        <stp>BDH|5837288976172925926</stp>
        <tr r="C51" s="2"/>
      </tp>
      <tp t="s">
        <v>#N/A N/A</v>
        <stp/>
        <stp>BDH|5517924572349752902</stp>
        <tr r="Z30" s="2"/>
      </tp>
      <tp t="s">
        <v>#N/A N/A</v>
        <stp/>
        <stp>BDH|6346934088359210581</stp>
        <tr r="AF15" s="2"/>
      </tp>
      <tp t="s">
        <v>#N/A N/A</v>
        <stp/>
        <stp>BDH|1686646577453790801</stp>
        <tr r="D40" s="2"/>
      </tp>
      <tp t="s">
        <v>#N/A N/A</v>
        <stp/>
        <stp>BDH|5159716524113728814</stp>
        <tr r="G74" s="2"/>
      </tp>
      <tp t="s">
        <v>#N/A N/A</v>
        <stp/>
        <stp>BDH|4227922273123539249</stp>
        <tr r="U19" s="2"/>
      </tp>
      <tp t="s">
        <v>#N/A N/A</v>
        <stp/>
        <stp>BDH|7488732419688911250</stp>
        <tr r="Y7" s="2"/>
      </tp>
      <tp t="s">
        <v>#N/A N/A</v>
        <stp/>
        <stp>BDH|3276001315118524108</stp>
        <tr r="E28" s="2"/>
      </tp>
      <tp t="s">
        <v>#N/A N/A</v>
        <stp/>
        <stp>BDH|5208325337348137649</stp>
        <tr r="G47" s="2"/>
      </tp>
      <tp t="s">
        <v>#N/A N/A</v>
        <stp/>
        <stp>BDH|7159426035078681325</stp>
        <tr r="G68" s="2"/>
      </tp>
      <tp t="s">
        <v>#N/A N/A</v>
        <stp/>
        <stp>BDH|9425656072881949299</stp>
        <tr r="X46" s="2"/>
      </tp>
      <tp t="s">
        <v>#N/A N/A</v>
        <stp/>
        <stp>BDH|7728132081571047460</stp>
        <tr r="J26" s="2"/>
      </tp>
      <tp t="s">
        <v>#N/A N/A</v>
        <stp/>
        <stp>BDH|5943161115669903700</stp>
        <tr r="M54" s="2"/>
      </tp>
      <tp t="s">
        <v>#N/A N/A</v>
        <stp/>
        <stp>BDH|8472495238776687208</stp>
        <tr r="F17" s="2"/>
      </tp>
      <tp t="s">
        <v>#N/A N/A</v>
        <stp/>
        <stp>BDH|6235227357812168853</stp>
        <tr r="R30" s="2"/>
      </tp>
      <tp t="s">
        <v>#N/A N/A</v>
        <stp/>
        <stp>BDH|6721888419452518607</stp>
        <tr r="R57" s="2"/>
      </tp>
      <tp t="s">
        <v>#N/A N/A</v>
        <stp/>
        <stp>BDH|3885461298372339763</stp>
        <tr r="AE7" s="2"/>
      </tp>
      <tp t="s">
        <v>#N/A N/A</v>
        <stp/>
        <stp>BDH|8296330605552737203</stp>
        <tr r="Z51" s="2"/>
      </tp>
      <tp t="s">
        <v>#N/A N/A</v>
        <stp/>
        <stp>BDH|8588312484380539866</stp>
        <tr r="J15" s="2"/>
      </tp>
      <tp t="s">
        <v>#N/A N/A</v>
        <stp/>
        <stp>BDH|5350901160221499040</stp>
        <tr r="AB12" s="2"/>
      </tp>
      <tp t="s">
        <v>#N/A N/A</v>
        <stp/>
        <stp>BDH|8075968913632311967</stp>
        <tr r="N65" s="2"/>
      </tp>
      <tp t="s">
        <v>#N/A N/A</v>
        <stp/>
        <stp>BDH|8534611551831117145</stp>
        <tr r="U13" s="2"/>
      </tp>
      <tp t="s">
        <v>#N/A N/A</v>
        <stp/>
        <stp>BDH|5997899835537667222</stp>
        <tr r="AE59" s="2"/>
      </tp>
      <tp t="s">
        <v>#N/A N/A</v>
        <stp/>
        <stp>BDH|1933380402180363914</stp>
        <tr r="H57" s="2"/>
      </tp>
      <tp t="s">
        <v>#N/A N/A</v>
        <stp/>
        <stp>BDH|1457287495786015784</stp>
        <tr r="K12" s="2"/>
      </tp>
      <tp t="s">
        <v>#N/A N/A</v>
        <stp/>
        <stp>BDH|5936356443750637983</stp>
        <tr r="Y21" s="2"/>
      </tp>
      <tp t="s">
        <v>#N/A N/A</v>
        <stp/>
        <stp>BDH|9500759453784084423</stp>
        <tr r="AD10" s="2"/>
      </tp>
      <tp t="s">
        <v>#N/A N/A</v>
        <stp/>
        <stp>BDH|1258064981806680426</stp>
        <tr r="AC61" s="2"/>
      </tp>
      <tp t="s">
        <v>#N/A N/A</v>
        <stp/>
        <stp>BDH|3579713167868363113</stp>
        <tr r="Y92" s="2"/>
      </tp>
      <tp t="s">
        <v>#N/A N/A</v>
        <stp/>
        <stp>BDH|3578823648571813569</stp>
        <tr r="J67" s="2"/>
      </tp>
      <tp t="s">
        <v>#N/A N/A</v>
        <stp/>
        <stp>BDH|5441780195258832808</stp>
        <tr r="AF49" s="2"/>
      </tp>
      <tp t="s">
        <v>#N/A N/A</v>
        <stp/>
        <stp>BDH|2179562337919180675</stp>
        <tr r="G34" s="2"/>
      </tp>
      <tp t="s">
        <v>#N/A N/A</v>
        <stp/>
        <stp>BDH|8440964971505530806</stp>
        <tr r="Y53" s="2"/>
      </tp>
      <tp t="s">
        <v>#N/A N/A</v>
        <stp/>
        <stp>BDH|3603833801309061925</stp>
        <tr r="K15" s="2"/>
      </tp>
      <tp t="s">
        <v>#N/A N/A</v>
        <stp/>
        <stp>BDH|5122799181229959869</stp>
        <tr r="H11" s="2"/>
      </tp>
      <tp t="s">
        <v>#N/A N/A</v>
        <stp/>
        <stp>BDH|5894306877299974301</stp>
        <tr r="J84" s="2"/>
      </tp>
      <tp t="s">
        <v>#N/A N/A</v>
        <stp/>
        <stp>BDH|9623400066842794219</stp>
        <tr r="AE60" s="2"/>
      </tp>
      <tp t="s">
        <v>#N/A N/A</v>
        <stp/>
        <stp>BDH|9134220053605318045</stp>
        <tr r="K67" s="2"/>
      </tp>
      <tp t="s">
        <v>#N/A N/A</v>
        <stp/>
        <stp>BDH|7168915106557599249</stp>
        <tr r="W14" s="2"/>
      </tp>
      <tp t="s">
        <v>#N/A N/A</v>
        <stp/>
        <stp>BDH|4451282327348486785</stp>
        <tr r="F90" s="2"/>
      </tp>
      <tp t="s">
        <v>#N/A N/A</v>
        <stp/>
        <stp>BDH|2304599337008819725</stp>
        <tr r="Q73" s="2"/>
      </tp>
      <tp t="s">
        <v>#N/A N/A</v>
        <stp/>
        <stp>BDH|8377840517259036379</stp>
        <tr r="D83" s="2"/>
      </tp>
      <tp t="s">
        <v>#N/A N/A</v>
        <stp/>
        <stp>BDH|2437151117500997980</stp>
        <tr r="Y67" s="2"/>
      </tp>
      <tp t="s">
        <v>#N/A N/A</v>
        <stp/>
        <stp>BDH|1664463135678577544</stp>
        <tr r="Z24" s="2"/>
      </tp>
      <tp t="s">
        <v>#N/A N/A</v>
        <stp/>
        <stp>BDH|2036677687182649528</stp>
        <tr r="V53" s="2"/>
      </tp>
      <tp t="s">
        <v>#N/A N/A</v>
        <stp/>
        <stp>BDH|3501146395221149119</stp>
        <tr r="J73" s="2"/>
      </tp>
      <tp t="s">
        <v>#N/A N/A</v>
        <stp/>
        <stp>BDH|5607158587204928391</stp>
        <tr r="M35" s="2"/>
      </tp>
      <tp t="s">
        <v>#N/A N/A</v>
        <stp/>
        <stp>BDH|2145118382024034462</stp>
        <tr r="I35" s="2"/>
      </tp>
      <tp t="s">
        <v>#N/A N/A</v>
        <stp/>
        <stp>BDH|5275117550359577335</stp>
        <tr r="P75" s="2"/>
      </tp>
      <tp t="s">
        <v>#N/A N/A</v>
        <stp/>
        <stp>BDH|2027705096597143026</stp>
        <tr r="S67" s="2"/>
      </tp>
      <tp t="s">
        <v>#N/A N/A</v>
        <stp/>
        <stp>BDH|4150134616017463853</stp>
        <tr r="R32" s="2"/>
      </tp>
      <tp t="s">
        <v>#N/A N/A</v>
        <stp/>
        <stp>BDH|79326108655940089</stp>
        <tr r="AE48" s="2"/>
      </tp>
      <tp t="s">
        <v>#N/A N/A</v>
        <stp/>
        <stp>BDH|5706996536012124933</stp>
        <tr r="O56" s="2"/>
      </tp>
      <tp t="s">
        <v>#N/A N/A</v>
        <stp/>
        <stp>BDH|5381758758134347772</stp>
        <tr r="E57" s="2"/>
      </tp>
      <tp t="s">
        <v>#N/A N/A</v>
        <stp/>
        <stp>BDH|4708094806741111139</stp>
        <tr r="K23" s="2"/>
      </tp>
      <tp t="s">
        <v>#N/A N/A</v>
        <stp/>
        <stp>BDH|4556375041255980206</stp>
        <tr r="G14" s="2"/>
      </tp>
      <tp t="s">
        <v>#N/A N/A</v>
        <stp/>
        <stp>BDH|3438296145396229719</stp>
        <tr r="K75" s="2"/>
      </tp>
      <tp t="s">
        <v>#N/A N/A</v>
        <stp/>
        <stp>BDH|2414459263266027294</stp>
        <tr r="L52" s="2"/>
      </tp>
      <tp t="s">
        <v>#N/A N/A</v>
        <stp/>
        <stp>BDH|5230422898064100810</stp>
        <tr r="G80" s="2"/>
      </tp>
      <tp t="s">
        <v>#N/A N/A</v>
        <stp/>
        <stp>BDH|7560001015781169396</stp>
        <tr r="U31" s="2"/>
      </tp>
      <tp t="s">
        <v>#N/A N/A</v>
        <stp/>
        <stp>BDH|5550863994622914265</stp>
        <tr r="Y86" s="2"/>
      </tp>
      <tp t="s">
        <v>#N/A N/A</v>
        <stp/>
        <stp>BDH|1587529039433159078</stp>
        <tr r="D24" s="2"/>
      </tp>
      <tp t="s">
        <v>#N/A N/A</v>
        <stp/>
        <stp>BDH|6166310656811987579</stp>
        <tr r="P59" s="2"/>
      </tp>
      <tp t="s">
        <v>#N/A N/A</v>
        <stp/>
        <stp>BDH|5663357760225351196</stp>
        <tr r="O58" s="2"/>
      </tp>
      <tp t="s">
        <v>#N/A N/A</v>
        <stp/>
        <stp>BDH|6440712216152226682</stp>
        <tr r="G7" s="2"/>
      </tp>
      <tp t="s">
        <v>#N/A N/A</v>
        <stp/>
        <stp>BDH|5077880130488370222</stp>
        <tr r="H45" s="2"/>
      </tp>
      <tp t="s">
        <v>#N/A N/A</v>
        <stp/>
        <stp>BDH|6834819690393266026</stp>
        <tr r="AF45" s="2"/>
      </tp>
      <tp t="s">
        <v>#N/A N/A</v>
        <stp/>
        <stp>BDH|8810468983665218566</stp>
        <tr r="V9" s="2"/>
      </tp>
      <tp t="s">
        <v>#N/A N/A</v>
        <stp/>
        <stp>BDH|1200424452910866436</stp>
        <tr r="P25" s="2"/>
      </tp>
      <tp t="s">
        <v>#N/A N/A</v>
        <stp/>
        <stp>BDH|6636586492217412967</stp>
        <tr r="R73" s="2"/>
      </tp>
      <tp t="s">
        <v>#N/A N/A</v>
        <stp/>
        <stp>BDH|9200897492108128466</stp>
        <tr r="I53" s="2"/>
      </tp>
      <tp t="s">
        <v>#N/A N/A</v>
        <stp/>
        <stp>BDH|8058441034038675389</stp>
        <tr r="Q19" s="2"/>
      </tp>
      <tp t="s">
        <v>#N/A N/A</v>
        <stp/>
        <stp>BDH|3607656045996171389</stp>
        <tr r="F86" s="2"/>
      </tp>
      <tp t="s">
        <v>#N/A N/A</v>
        <stp/>
        <stp>BDH|9441212454139606385</stp>
        <tr r="Q42" s="2"/>
      </tp>
      <tp t="s">
        <v>#N/A N/A</v>
        <stp/>
        <stp>BDH|8149458867596886843</stp>
        <tr r="G23" s="2"/>
      </tp>
      <tp t="s">
        <v>#N/A N/A</v>
        <stp/>
        <stp>BDH|4864537354782137211</stp>
        <tr r="X40" s="2"/>
      </tp>
      <tp t="s">
        <v>#N/A N/A</v>
        <stp/>
        <stp>BDH|9568804598659506573</stp>
        <tr r="F50" s="2"/>
      </tp>
      <tp t="s">
        <v>#N/A N/A</v>
        <stp/>
        <stp>BDH|7944240284668379152</stp>
        <tr r="AD86" s="2"/>
      </tp>
      <tp t="s">
        <v>#N/A N/A</v>
        <stp/>
        <stp>BDH|8921735492095171769</stp>
        <tr r="C64" s="2"/>
      </tp>
      <tp t="s">
        <v>#N/A N/A</v>
        <stp/>
        <stp>BDH|8074862949648543865</stp>
        <tr r="S72" s="2"/>
      </tp>
      <tp t="s">
        <v>#N/A N/A</v>
        <stp/>
        <stp>BDH|3833242511071775563</stp>
        <tr r="R71" s="2"/>
      </tp>
      <tp t="s">
        <v>#N/A N/A</v>
        <stp/>
        <stp>BDH|2291401531881832076</stp>
        <tr r="U65" s="2"/>
      </tp>
      <tp t="s">
        <v>#N/A N/A</v>
        <stp/>
        <stp>BDH|5893509487159480569</stp>
        <tr r="AF56" s="2"/>
      </tp>
      <tp t="s">
        <v>#N/A N/A</v>
        <stp/>
        <stp>BDH|7842061866070181546</stp>
        <tr r="G91" s="2"/>
      </tp>
      <tp t="s">
        <v>#N/A N/A</v>
        <stp/>
        <stp>BDH|7573567552387785449</stp>
        <tr r="V62" s="2"/>
      </tp>
      <tp t="s">
        <v>#N/A N/A</v>
        <stp/>
        <stp>BDH|1598048523426865186</stp>
        <tr r="AE75" s="2"/>
      </tp>
      <tp t="s">
        <v>#N/A N/A</v>
        <stp/>
        <stp>BDH|6658600452866226746</stp>
        <tr r="E68" s="2"/>
      </tp>
      <tp t="s">
        <v>#N/A N/A</v>
        <stp/>
        <stp>BDH|8235623891832088138</stp>
        <tr r="Q43" s="2"/>
      </tp>
      <tp t="s">
        <v>#N/A N/A</v>
        <stp/>
        <stp>BDH|2355608843024611040</stp>
        <tr r="G8" s="2"/>
      </tp>
      <tp t="s">
        <v>#N/A N/A</v>
        <stp/>
        <stp>BDH|2173676771862359563</stp>
        <tr r="D52" s="2"/>
      </tp>
      <tp t="s">
        <v>#N/A N/A</v>
        <stp/>
        <stp>BDH|8728052532346733941</stp>
        <tr r="I18" s="2"/>
      </tp>
      <tp t="s">
        <v>#N/A N/A</v>
        <stp/>
        <stp>BDH|3198774430214509703</stp>
        <tr r="E48" s="2"/>
      </tp>
      <tp t="s">
        <v>#N/A N/A</v>
        <stp/>
        <stp>BDH|5276073864614087317</stp>
        <tr r="AF40" s="2"/>
      </tp>
      <tp t="s">
        <v>#N/A N/A</v>
        <stp/>
        <stp>BDH|3185530967080767422</stp>
        <tr r="T73" s="2"/>
      </tp>
      <tp t="s">
        <v>#N/A N/A</v>
        <stp/>
        <stp>BDH|3382058674361057133</stp>
        <tr r="AD87" s="2"/>
      </tp>
      <tp t="s">
        <v>#N/A N/A</v>
        <stp/>
        <stp>BDH|1857806904208551580</stp>
        <tr r="C75" s="2"/>
      </tp>
      <tp t="s">
        <v>#N/A N/A</v>
        <stp/>
        <stp>BDH|9722812661861265245</stp>
        <tr r="V71" s="2"/>
      </tp>
      <tp t="s">
        <v>#N/A N/A</v>
        <stp/>
        <stp>BDH|1598229325806251317</stp>
        <tr r="C61" s="2"/>
      </tp>
      <tp t="s">
        <v>#N/A N/A</v>
        <stp/>
        <stp>BDH|2259352641639187866</stp>
        <tr r="N49" s="2"/>
      </tp>
      <tp t="s">
        <v>#N/A N/A</v>
        <stp/>
        <stp>BDH|2734297549067560741</stp>
        <tr r="K44" s="2"/>
      </tp>
      <tp t="s">
        <v>#N/A N/A</v>
        <stp/>
        <stp>BDH|1300121705337104331</stp>
        <tr r="G11" s="2"/>
      </tp>
      <tp t="s">
        <v>#N/A N/A</v>
        <stp/>
        <stp>BDH|5251553456623025279</stp>
        <tr r="P28" s="2"/>
      </tp>
      <tp t="s">
        <v>#N/A N/A</v>
        <stp/>
        <stp>BDH|1390422603592358368</stp>
        <tr r="C85" s="2"/>
      </tp>
      <tp t="s">
        <v>#N/A N/A</v>
        <stp/>
        <stp>BDH|7301929775575498870</stp>
        <tr r="L23" s="2"/>
      </tp>
      <tp t="s">
        <v>#N/A N/A</v>
        <stp/>
        <stp>BDH|1991687911280554221</stp>
        <tr r="H36" s="2"/>
      </tp>
      <tp t="s">
        <v>#N/A N/A</v>
        <stp/>
        <stp>BDH|6721424501175397300</stp>
        <tr r="F12" s="2"/>
      </tp>
      <tp t="s">
        <v>#N/A N/A</v>
        <stp/>
        <stp>BDH|1242747855423736406</stp>
        <tr r="AF53" s="2"/>
      </tp>
      <tp t="s">
        <v>#N/A N/A</v>
        <stp/>
        <stp>BDH|4502192868310750776</stp>
        <tr r="K10" s="2"/>
      </tp>
      <tp t="s">
        <v>#N/A N/A</v>
        <stp/>
        <stp>BDH|2897883027104527863</stp>
        <tr r="D13" s="2"/>
      </tp>
      <tp t="s">
        <v>#N/A N/A</v>
        <stp/>
        <stp>BDH|3772816359002399890</stp>
        <tr r="AF76" s="2"/>
      </tp>
      <tp t="s">
        <v>#N/A N/A</v>
        <stp/>
        <stp>BDH|5636962476378284710</stp>
        <tr r="F19" s="2"/>
      </tp>
      <tp t="s">
        <v>#N/A N/A</v>
        <stp/>
        <stp>BDH|7704010624758356948</stp>
        <tr r="W83" s="2"/>
      </tp>
      <tp t="s">
        <v>#N/A N/A</v>
        <stp/>
        <stp>BDH|2991360443197915603</stp>
        <tr r="N47" s="2"/>
      </tp>
      <tp t="s">
        <v>#N/A N/A</v>
        <stp/>
        <stp>BDH|5847789635516472341</stp>
        <tr r="Y13" s="2"/>
      </tp>
      <tp t="s">
        <v>#N/A N/A</v>
        <stp/>
        <stp>BDH|6140487387126024940</stp>
        <tr r="T54" s="2"/>
      </tp>
      <tp t="s">
        <v>#N/A N/A</v>
        <stp/>
        <stp>BDH|7165528394858420694</stp>
        <tr r="E19" s="2"/>
      </tp>
      <tp t="s">
        <v>#N/A N/A</v>
        <stp/>
        <stp>BDH|9366423472266974903</stp>
        <tr r="AE70" s="2"/>
      </tp>
      <tp t="s">
        <v>#N/A N/A</v>
        <stp/>
        <stp>BDH|1335216877246820770</stp>
        <tr r="AB60" s="2"/>
      </tp>
      <tp t="s">
        <v>#N/A N/A</v>
        <stp/>
        <stp>BDH|7895705366260293363</stp>
        <tr r="Z62" s="2"/>
      </tp>
      <tp t="s">
        <v>#N/A N/A</v>
        <stp/>
        <stp>BDH|3771290496475701854</stp>
        <tr r="X51" s="2"/>
      </tp>
      <tp t="s">
        <v>#N/A N/A</v>
        <stp/>
        <stp>BDH|3866175427530333513</stp>
        <tr r="R75" s="2"/>
      </tp>
      <tp t="s">
        <v>#N/A N/A</v>
        <stp/>
        <stp>BDH|8417514791388975979</stp>
        <tr r="S50" s="2"/>
      </tp>
      <tp t="s">
        <v>#N/A N/A</v>
        <stp/>
        <stp>BDH|8924936042114740441</stp>
        <tr r="H17" s="2"/>
      </tp>
      <tp t="s">
        <v>#N/A N/A</v>
        <stp/>
        <stp>BDH|5592403516090078588</stp>
        <tr r="E72" s="2"/>
      </tp>
      <tp t="s">
        <v>#N/A N/A</v>
        <stp/>
        <stp>BDH|4697459047258938965</stp>
        <tr r="Z12" s="2"/>
      </tp>
      <tp t="s">
        <v>#N/A N/A</v>
        <stp/>
        <stp>BDH|7046656549228259852</stp>
        <tr r="AA30" s="2"/>
      </tp>
      <tp t="s">
        <v>#N/A N/A</v>
        <stp/>
        <stp>BDH|9979550680590134167</stp>
        <tr r="I63" s="2"/>
      </tp>
      <tp t="s">
        <v>#N/A N/A</v>
        <stp/>
        <stp>BDH|3959949885405194228</stp>
        <tr r="T89" s="2"/>
      </tp>
      <tp t="s">
        <v>#N/A N/A</v>
        <stp/>
        <stp>BDH|9427983188818656597</stp>
        <tr r="R29" s="2"/>
      </tp>
      <tp t="s">
        <v>#N/A N/A</v>
        <stp/>
        <stp>BDH|7681304179582255461</stp>
        <tr r="G49" s="2"/>
      </tp>
      <tp t="s">
        <v>#N/A N/A</v>
        <stp/>
        <stp>BDH|1889723723620502170</stp>
        <tr r="AD30" s="2"/>
      </tp>
      <tp t="s">
        <v>#N/A N/A</v>
        <stp/>
        <stp>BDH|4458072268802292529</stp>
        <tr r="AF28" s="2"/>
      </tp>
      <tp t="s">
        <v>#N/A N/A</v>
        <stp/>
        <stp>BDH|4841094105716902769</stp>
        <tr r="AA68" s="2"/>
      </tp>
      <tp t="s">
        <v>#N/A N/A</v>
        <stp/>
        <stp>BDH|3986265936284569377</stp>
        <tr r="K69" s="2"/>
      </tp>
      <tp t="s">
        <v>#N/A N/A</v>
        <stp/>
        <stp>BDH|1563424458643759603</stp>
        <tr r="G70" s="2"/>
      </tp>
      <tp t="s">
        <v>#N/A N/A</v>
        <stp/>
        <stp>BDH|7595517068360367177</stp>
        <tr r="Z58" s="2"/>
      </tp>
      <tp t="s">
        <v>#N/A N/A</v>
        <stp/>
        <stp>BDH|8102790071949937484</stp>
        <tr r="S70" s="2"/>
      </tp>
      <tp t="s">
        <v>#N/A N/A</v>
        <stp/>
        <stp>BDH|1647582070431771705</stp>
        <tr r="Y46" s="2"/>
      </tp>
      <tp t="s">
        <v>#N/A N/A</v>
        <stp/>
        <stp>BDH|1667605516021105280</stp>
        <tr r="R54" s="2"/>
      </tp>
      <tp t="s">
        <v>#N/A N/A</v>
        <stp/>
        <stp>BDH|6841327086070445819</stp>
        <tr r="N60" s="2"/>
      </tp>
      <tp t="s">
        <v>#N/A N/A</v>
        <stp/>
        <stp>BDH|1714252190539944653</stp>
        <tr r="K62" s="2"/>
      </tp>
      <tp t="s">
        <v>#N/A N/A</v>
        <stp/>
        <stp>BDH|2214595156013451474</stp>
        <tr r="N20" s="2"/>
      </tp>
      <tp t="s">
        <v>#N/A N/A</v>
        <stp/>
        <stp>BDH|6591230903481837036</stp>
        <tr r="Y66" s="2"/>
      </tp>
      <tp t="s">
        <v>#N/A N/A</v>
        <stp/>
        <stp>BDH|4335906318981151844</stp>
        <tr r="D75" s="2"/>
      </tp>
      <tp t="s">
        <v>#N/A N/A</v>
        <stp/>
        <stp>BDH|4647706910777192090</stp>
        <tr r="Q58" s="2"/>
      </tp>
      <tp t="s">
        <v>#N/A N/A</v>
        <stp/>
        <stp>BDH|7855600037365069202</stp>
        <tr r="E64" s="2"/>
      </tp>
      <tp t="s">
        <v>#N/A N/A</v>
        <stp/>
        <stp>BDH|7903353562017073013</stp>
        <tr r="T87" s="2"/>
      </tp>
      <tp t="s">
        <v>#N/A N/A</v>
        <stp/>
        <stp>BDH|1188165229712950588</stp>
        <tr r="AD14" s="2"/>
      </tp>
      <tp t="s">
        <v>#N/A N/A</v>
        <stp/>
        <stp>BDH|7293016072656806363</stp>
        <tr r="AD22" s="2"/>
      </tp>
      <tp t="s">
        <v>#N/A N/A</v>
        <stp/>
        <stp>BDH|8444924154837968642</stp>
        <tr r="AE45" s="2"/>
      </tp>
      <tp t="s">
        <v>#N/A N/A</v>
        <stp/>
        <stp>BDH|2121248054371431199</stp>
        <tr r="AA45" s="2"/>
      </tp>
      <tp t="s">
        <v>#N/A N/A</v>
        <stp/>
        <stp>BDH|3745569106240922329</stp>
        <tr r="J83" s="2"/>
      </tp>
      <tp t="s">
        <v>#N/A N/A</v>
        <stp/>
        <stp>BDH|9301839378652491115</stp>
        <tr r="X10" s="2"/>
      </tp>
      <tp t="s">
        <v>#N/A N/A</v>
        <stp/>
        <stp>BDH|5934561944456137771</stp>
        <tr r="AD82" s="2"/>
      </tp>
      <tp t="s">
        <v>#N/A N/A</v>
        <stp/>
        <stp>BDH|2810022971064156478</stp>
        <tr r="AA43" s="2"/>
      </tp>
      <tp t="s">
        <v>#N/A N/A</v>
        <stp/>
        <stp>BDH|8130130905108639433</stp>
        <tr r="AD54" s="2"/>
      </tp>
      <tp t="s">
        <v>#N/A N/A</v>
        <stp/>
        <stp>BDH|3326250829614852254</stp>
        <tr r="K76" s="2"/>
      </tp>
      <tp t="s">
        <v>#N/A N/A</v>
        <stp/>
        <stp>BDH|9287818174335584603</stp>
        <tr r="V33" s="2"/>
      </tp>
      <tp t="s">
        <v>#N/A N/A</v>
        <stp/>
        <stp>BDH|7212672861881535332</stp>
        <tr r="H58" s="2"/>
      </tp>
      <tp t="s">
        <v>#N/A N/A</v>
        <stp/>
        <stp>BDH|5345145544827005214</stp>
        <tr r="F72" s="2"/>
      </tp>
      <tp t="s">
        <v>#N/A N/A</v>
        <stp/>
        <stp>BDH|8250611853728495665</stp>
        <tr r="X66" s="2"/>
      </tp>
      <tp t="s">
        <v>#N/A N/A</v>
        <stp/>
        <stp>BDH|2597920249348574289</stp>
        <tr r="V87" s="2"/>
      </tp>
      <tp t="s">
        <v>#N/A N/A</v>
        <stp/>
        <stp>BDH|8069655673088530407</stp>
        <tr r="W16" s="2"/>
      </tp>
      <tp t="s">
        <v>#N/A N/A</v>
        <stp/>
        <stp>BDH|7142529407131006674</stp>
        <tr r="V86" s="2"/>
      </tp>
      <tp t="s">
        <v>#N/A N/A</v>
        <stp/>
        <stp>BDH|5240063913423290261</stp>
        <tr r="T72" s="2"/>
      </tp>
      <tp t="s">
        <v>#N/A N/A</v>
        <stp/>
        <stp>BDH|5517738442853680029</stp>
        <tr r="AF83" s="2"/>
      </tp>
      <tp t="s">
        <v>#N/A N/A</v>
        <stp/>
        <stp>BDH|6153677362246261564</stp>
        <tr r="Z11" s="2"/>
      </tp>
      <tp t="s">
        <v>#N/A N/A</v>
        <stp/>
        <stp>BDH|2482575918681207290</stp>
        <tr r="AD53" s="2"/>
      </tp>
      <tp t="s">
        <v>#N/A N/A</v>
        <stp/>
        <stp>BDH|7293143612211039346</stp>
        <tr r="E55" s="2"/>
      </tp>
      <tp t="s">
        <v>#N/A N/A</v>
        <stp/>
        <stp>BDH|9761160992275327109</stp>
        <tr r="O76" s="2"/>
      </tp>
      <tp t="s">
        <v>#N/A N/A</v>
        <stp/>
        <stp>BDH|9239845916674289139</stp>
        <tr r="S40" s="2"/>
      </tp>
      <tp t="s">
        <v>#N/A N/A</v>
        <stp/>
        <stp>BDH|4596054815826270661</stp>
        <tr r="K14" s="2"/>
      </tp>
      <tp t="s">
        <v>#N/A N/A</v>
        <stp/>
        <stp>BDH|5471131027344129701</stp>
        <tr r="AE73" s="2"/>
      </tp>
      <tp t="s">
        <v>#N/A N/A</v>
        <stp/>
        <stp>BDH|6598104627174162422</stp>
        <tr r="J17" s="2"/>
      </tp>
      <tp t="s">
        <v>#N/A N/A</v>
        <stp/>
        <stp>BDH|4686435503720695518</stp>
        <tr r="U84" s="2"/>
      </tp>
      <tp t="s">
        <v>#N/A N/A</v>
        <stp/>
        <stp>BDH|9540663059978216794</stp>
        <tr r="K24" s="2"/>
      </tp>
      <tp t="s">
        <v>#N/A N/A</v>
        <stp/>
        <stp>BDH|2349074454011560349</stp>
        <tr r="I44" s="2"/>
      </tp>
      <tp t="s">
        <v>#N/A N/A</v>
        <stp/>
        <stp>BDH|4125037156246317216</stp>
        <tr r="P24" s="2"/>
      </tp>
      <tp t="s">
        <v>#N/A N/A</v>
        <stp/>
        <stp>BDH|2194459011141441375</stp>
        <tr r="F32" s="2"/>
      </tp>
      <tp t="s">
        <v>#N/A N/A</v>
        <stp/>
        <stp>BDH|9279314214599004711</stp>
        <tr r="G53" s="2"/>
      </tp>
      <tp t="s">
        <v>#N/A N/A</v>
        <stp/>
        <stp>BDH|6560478725636283338</stp>
        <tr r="O15" s="2"/>
      </tp>
      <tp t="s">
        <v>#N/A N/A</v>
        <stp/>
        <stp>BDH|1791903329746163990</stp>
        <tr r="P41" s="2"/>
      </tp>
      <tp t="s">
        <v>#N/A N/A</v>
        <stp/>
        <stp>BDH|3812778832134873633</stp>
        <tr r="U17" s="2"/>
      </tp>
      <tp t="s">
        <v>#N/A N/A</v>
        <stp/>
        <stp>BDH|5661612877611182065</stp>
        <tr r="L36" s="2"/>
      </tp>
      <tp t="s">
        <v>#N/A N/A</v>
        <stp/>
        <stp>BDH|6821518921545565198</stp>
        <tr r="Q67" s="2"/>
      </tp>
      <tp t="s">
        <v>#N/A N/A</v>
        <stp/>
        <stp>BDH|6233375171902189516</stp>
        <tr r="W45" s="2"/>
      </tp>
      <tp t="s">
        <v>#N/A N/A</v>
        <stp/>
        <stp>BDH|5050521710936161278</stp>
        <tr r="AB66" s="2"/>
      </tp>
      <tp t="s">
        <v>#N/A N/A</v>
        <stp/>
        <stp>BDH|4342930255019381429</stp>
        <tr r="S58" s="2"/>
      </tp>
      <tp t="s">
        <v>#N/A N/A</v>
        <stp/>
        <stp>BDH|4310590527596079095</stp>
        <tr r="H20" s="2"/>
      </tp>
      <tp t="s">
        <v>#N/A N/A</v>
        <stp/>
        <stp>BDH|6222808098956805465</stp>
        <tr r="Z66" s="2"/>
      </tp>
      <tp t="s">
        <v>#N/A N/A</v>
        <stp/>
        <stp>BDH|5212516212643580719</stp>
        <tr r="J11" s="2"/>
      </tp>
      <tp t="s">
        <v>#N/A N/A</v>
        <stp/>
        <stp>BDH|7554048904526898481</stp>
        <tr r="Q92" s="2"/>
      </tp>
      <tp t="s">
        <v>#N/A N/A</v>
        <stp/>
        <stp>BDH|5897822408090730808</stp>
        <tr r="X16" s="2"/>
      </tp>
      <tp t="s">
        <v>#N/A N/A</v>
        <stp/>
        <stp>BDH|1054499273151796680</stp>
        <tr r="F30" s="2"/>
      </tp>
      <tp t="s">
        <v>#N/A N/A</v>
        <stp/>
        <stp>BDH|6272361967726195075</stp>
        <tr r="S68" s="2"/>
      </tp>
      <tp t="s">
        <v>#N/A N/A</v>
        <stp/>
        <stp>BDH|2299905337235845886</stp>
        <tr r="O48" s="2"/>
      </tp>
      <tp t="s">
        <v>#N/A N/A</v>
        <stp/>
        <stp>BDH|9700995818941414571</stp>
        <tr r="S55" s="2"/>
      </tp>
      <tp t="s">
        <v>#N/A N/A</v>
        <stp/>
        <stp>BDH|4462925511961131837</stp>
        <tr r="U46" s="2"/>
      </tp>
      <tp t="s">
        <v>#N/A N/A</v>
        <stp/>
        <stp>BDH|45890825865652740</stp>
        <tr r="T21" s="2"/>
      </tp>
      <tp t="s">
        <v>#N/A N/A</v>
        <stp/>
        <stp>BDH|8193411640576897824</stp>
        <tr r="AB32" s="2"/>
      </tp>
      <tp t="s">
        <v>#N/A N/A</v>
        <stp/>
        <stp>BDH|4922790399024022832</stp>
        <tr r="Z90" s="2"/>
      </tp>
      <tp t="s">
        <v>#N/A N/A</v>
        <stp/>
        <stp>BDH|9007713471916344998</stp>
        <tr r="K51" s="2"/>
      </tp>
      <tp t="s">
        <v>#N/A N/A</v>
        <stp/>
        <stp>BDH|3421930696317821238</stp>
        <tr r="C14" s="2"/>
      </tp>
      <tp t="s">
        <v>#N/A N/A</v>
        <stp/>
        <stp>BDH|7928274906392084127</stp>
        <tr r="AE64" s="2"/>
      </tp>
      <tp t="s">
        <v>#N/A N/A</v>
        <stp/>
        <stp>BDH|7798402150240938047</stp>
        <tr r="AB51" s="2"/>
      </tp>
      <tp t="s">
        <v>#N/A N/A</v>
        <stp/>
        <stp>BDH|6983906984026059777</stp>
        <tr r="G32" s="2"/>
      </tp>
      <tp t="s">
        <v>#N/A N/A</v>
        <stp/>
        <stp>BDH|4677206579131670639</stp>
        <tr r="X53" s="2"/>
      </tp>
      <tp t="s">
        <v>#N/A N/A</v>
        <stp/>
        <stp>BDH|5302907419022851995</stp>
        <tr r="AB8" s="2"/>
      </tp>
      <tp t="s">
        <v>#N/A N/A</v>
        <stp/>
        <stp>BDH|1069013489106457976</stp>
        <tr r="W31" s="2"/>
      </tp>
      <tp t="s">
        <v>#N/A N/A</v>
        <stp/>
        <stp>BDH|1245785311590380131</stp>
        <tr r="G20" s="2"/>
      </tp>
      <tp t="s">
        <v>#N/A N/A</v>
        <stp/>
        <stp>BDH|5198114234419712886</stp>
        <tr r="S59" s="2"/>
      </tp>
      <tp t="s">
        <v>#N/A N/A</v>
        <stp/>
        <stp>BDH|1613343665293922166</stp>
        <tr r="S51" s="2"/>
      </tp>
      <tp t="s">
        <v>#N/A N/A</v>
        <stp/>
        <stp>BDH|3929007604841598409</stp>
        <tr r="T31" s="2"/>
      </tp>
      <tp t="s">
        <v>#N/A N/A</v>
        <stp/>
        <stp>BDH|6781807112491439889</stp>
        <tr r="AA26" s="2"/>
      </tp>
      <tp t="s">
        <v>#N/A N/A</v>
        <stp/>
        <stp>BDH|6415367224655665496</stp>
        <tr r="AB42" s="2"/>
      </tp>
      <tp t="s">
        <v>#N/A N/A</v>
        <stp/>
        <stp>BDH|2153436837587949451</stp>
        <tr r="Z73" s="2"/>
      </tp>
      <tp t="s">
        <v>#N/A N/A</v>
        <stp/>
        <stp>BDH|7004949238368050357</stp>
        <tr r="M71" s="2"/>
      </tp>
      <tp t="s">
        <v>#N/A N/A</v>
        <stp/>
        <stp>BDH|9744803513891931747</stp>
        <tr r="H31" s="2"/>
      </tp>
      <tp t="s">
        <v>#N/A N/A</v>
        <stp/>
        <stp>BDH|8512896472888565922</stp>
        <tr r="P7" s="2"/>
      </tp>
      <tp t="s">
        <v>#N/A N/A</v>
        <stp/>
        <stp>BDH|8240319896782896633</stp>
        <tr r="P43" s="2"/>
      </tp>
      <tp t="s">
        <v>#N/A N/A</v>
        <stp/>
        <stp>BDH|6526210779743067636</stp>
        <tr r="O35" s="2"/>
      </tp>
      <tp t="s">
        <v>#N/A N/A</v>
        <stp/>
        <stp>BDH|6222494140455723528</stp>
        <tr r="L68" s="2"/>
      </tp>
      <tp t="s">
        <v>#N/A N/A</v>
        <stp/>
        <stp>BDH|4095688343805322560</stp>
        <tr r="AC41" s="2"/>
      </tp>
      <tp t="s">
        <v>#N/A N/A</v>
        <stp/>
        <stp>BDH|3579450625885233696</stp>
        <tr r="F7" s="2"/>
      </tp>
      <tp t="s">
        <v>#N/A N/A</v>
        <stp/>
        <stp>BDH|7988845311420536875</stp>
        <tr r="D7" s="2"/>
      </tp>
      <tp t="s">
        <v>#N/A N/A</v>
        <stp/>
        <stp>BDH|8762491072774482948</stp>
        <tr r="M47" s="2"/>
      </tp>
      <tp t="s">
        <v>#N/A N/A</v>
        <stp/>
        <stp>BDH|8455880370452214323</stp>
        <tr r="AE47" s="2"/>
      </tp>
      <tp t="s">
        <v>#N/A N/A</v>
        <stp/>
        <stp>BDH|6303493733751302661</stp>
        <tr r="I80" s="2"/>
      </tp>
      <tp t="s">
        <v>#N/A N/A</v>
        <stp/>
        <stp>BDH|7730900278028144720</stp>
        <tr r="M8" s="2"/>
      </tp>
      <tp t="s">
        <v>#N/A N/A</v>
        <stp/>
        <stp>BDH|6780780871385294511</stp>
        <tr r="K81" s="2"/>
      </tp>
      <tp t="s">
        <v>#N/A N/A</v>
        <stp/>
        <stp>BDH|2447976403718882558</stp>
        <tr r="E27" s="2"/>
      </tp>
      <tp t="s">
        <v>#N/A N/A</v>
        <stp/>
        <stp>BDH|7203270197909694396</stp>
        <tr r="I56" s="2"/>
      </tp>
      <tp t="s">
        <v>#N/A N/A</v>
        <stp/>
        <stp>BDH|4891110418093976153</stp>
        <tr r="S31" s="2"/>
      </tp>
      <tp t="s">
        <v>#N/A N/A</v>
        <stp/>
        <stp>BDH|3969171740910027030</stp>
        <tr r="AA82" s="2"/>
      </tp>
      <tp t="s">
        <v>#N/A N/A</v>
        <stp/>
        <stp>BDH|7670203124441851081</stp>
        <tr r="T24" s="2"/>
      </tp>
      <tp t="s">
        <v>#N/A N/A</v>
        <stp/>
        <stp>BDH|1165616378523959537</stp>
        <tr r="AB13" s="2"/>
      </tp>
      <tp t="s">
        <v>#N/A N/A</v>
        <stp/>
        <stp>BDH|8249241810359594419</stp>
        <tr r="J69" s="2"/>
      </tp>
      <tp t="s">
        <v>#N/A N/A</v>
        <stp/>
        <stp>BDH|9060891542163942009</stp>
        <tr r="D10" s="2"/>
      </tp>
      <tp t="s">
        <v>#N/A N/A</v>
        <stp/>
        <stp>BDH|9528364094522073759</stp>
        <tr r="Y76" s="2"/>
      </tp>
      <tp t="s">
        <v>#N/A N/A</v>
        <stp/>
        <stp>BDH|7193505365675266740</stp>
        <tr r="AC68" s="2"/>
      </tp>
      <tp t="s">
        <v>#N/A N/A</v>
        <stp/>
        <stp>BDH|1126247260825754604</stp>
        <tr r="E35" s="2"/>
      </tp>
      <tp t="s">
        <v>#N/A N/A</v>
        <stp/>
        <stp>BDH|7590186198798736104</stp>
        <tr r="L14" s="2"/>
      </tp>
      <tp t="s">
        <v>#N/A N/A</v>
        <stp/>
        <stp>BDH|7593565141917853790</stp>
        <tr r="V51" s="2"/>
      </tp>
      <tp t="s">
        <v>#N/A N/A</v>
        <stp/>
        <stp>BDH|7665700875431468049</stp>
        <tr r="AE88" s="2"/>
      </tp>
      <tp t="s">
        <v>#N/A N/A</v>
        <stp/>
        <stp>BDH|1166666692588710023</stp>
        <tr r="M67" s="2"/>
      </tp>
      <tp t="s">
        <v>#N/A N/A</v>
        <stp/>
        <stp>BDH|4803118523160382197</stp>
        <tr r="I40" s="2"/>
      </tp>
      <tp t="s">
        <v>#N/A N/A</v>
        <stp/>
        <stp>BDH|8425556578435832919</stp>
        <tr r="O20" s="2"/>
      </tp>
      <tp t="s">
        <v>#N/A N/A</v>
        <stp/>
        <stp>BDH|4746205870046547129</stp>
        <tr r="C60" s="2"/>
      </tp>
      <tp t="s">
        <v>#N/A N/A</v>
        <stp/>
        <stp>BDH|6854269959461033677</stp>
        <tr r="F31" s="2"/>
      </tp>
      <tp t="s">
        <v>#N/A N/A</v>
        <stp/>
        <stp>BDH|9008070414798463664</stp>
        <tr r="AB44" s="2"/>
      </tp>
      <tp t="s">
        <v>#N/A N/A</v>
        <stp/>
        <stp>BDH|7790025201312119348</stp>
        <tr r="G29" s="2"/>
      </tp>
      <tp t="s">
        <v>#N/A N/A</v>
        <stp/>
        <stp>BDH|5249868951009740732</stp>
        <tr r="Q20" s="2"/>
      </tp>
      <tp t="s">
        <v>#N/A N/A</v>
        <stp/>
        <stp>BDH|6093759818277875148</stp>
        <tr r="Y83" s="2"/>
      </tp>
      <tp t="s">
        <v>#N/A N/A</v>
        <stp/>
        <stp>BDH|4053421940592393004</stp>
        <tr r="G69" s="2"/>
      </tp>
      <tp t="s">
        <v>#N/A N/A</v>
        <stp/>
        <stp>BDH|2246598667835805225</stp>
        <tr r="Y74" s="2"/>
      </tp>
      <tp t="s">
        <v>#N/A N/A</v>
        <stp/>
        <stp>BDH|9187673580000516159</stp>
        <tr r="Y35" s="2"/>
      </tp>
      <tp t="s">
        <v>#N/A N/A</v>
        <stp/>
        <stp>BDH|9680266007125503849</stp>
        <tr r="Z31" s="2"/>
      </tp>
      <tp t="s">
        <v>#N/A N/A</v>
        <stp/>
        <stp>BDH|4243458870938361928</stp>
        <tr r="M64" s="2"/>
      </tp>
      <tp t="s">
        <v>#N/A N/A</v>
        <stp/>
        <stp>BDH|3588841486603826690</stp>
        <tr r="N46" s="2"/>
      </tp>
      <tp t="s">
        <v>#N/A N/A</v>
        <stp/>
        <stp>BDH|4489746504460294510</stp>
        <tr r="AC85" s="2"/>
      </tp>
      <tp t="s">
        <v>#N/A N/A</v>
        <stp/>
        <stp>BDH|7917509251394606592</stp>
        <tr r="Z36" s="2"/>
      </tp>
      <tp t="s">
        <v>#N/A N/A</v>
        <stp/>
        <stp>BDH|6646620760929293919</stp>
        <tr r="S34" s="2"/>
      </tp>
      <tp t="s">
        <v>#N/A N/A</v>
        <stp/>
        <stp>BDH|3533672161510451530</stp>
        <tr r="J19" s="2"/>
      </tp>
      <tp t="s">
        <v>#N/A N/A</v>
        <stp/>
        <stp>BDH|2858249603662994423</stp>
        <tr r="R64" s="2"/>
      </tp>
      <tp t="s">
        <v>#N/A N/A</v>
        <stp/>
        <stp>BDH|1352535536250719150</stp>
        <tr r="Q71" s="2"/>
      </tp>
      <tp t="s">
        <v>#N/A N/A</v>
        <stp/>
        <stp>BDH|7069754415366544117</stp>
        <tr r="T58" s="2"/>
      </tp>
      <tp t="s">
        <v>#N/A N/A</v>
        <stp/>
        <stp>BDH|2519040560167310564</stp>
        <tr r="AA51" s="2"/>
      </tp>
      <tp t="s">
        <v>#N/A N/A</v>
        <stp/>
        <stp>BDH|5279610581354311951</stp>
        <tr r="V25" s="2"/>
      </tp>
      <tp t="s">
        <v>#N/A N/A</v>
        <stp/>
        <stp>BDH|1252795503601590196</stp>
        <tr r="O26" s="2"/>
      </tp>
      <tp t="s">
        <v>#N/A N/A</v>
        <stp/>
        <stp>BDH|6856328650256976070</stp>
        <tr r="Y30" s="2"/>
      </tp>
      <tp t="s">
        <v>#N/A N/A</v>
        <stp/>
        <stp>BDH|2194813286685673146</stp>
        <tr r="Y34" s="2"/>
      </tp>
      <tp t="s">
        <v>#N/A N/A</v>
        <stp/>
        <stp>BDH|4189223714603338201</stp>
        <tr r="AB70" s="2"/>
      </tp>
      <tp t="s">
        <v>#N/A N/A</v>
        <stp/>
        <stp>BDH|6027165273745576349</stp>
        <tr r="Z72" s="2"/>
      </tp>
      <tp t="s">
        <v>#N/A N/A</v>
        <stp/>
        <stp>BDH|5882102571182927758</stp>
        <tr r="E81" s="2"/>
      </tp>
      <tp t="s">
        <v>#N/A N/A</v>
        <stp/>
        <stp>BDH|5823383539131987258</stp>
        <tr r="AE84" s="2"/>
      </tp>
      <tp t="s">
        <v>#N/A N/A</v>
        <stp/>
        <stp>BDH|8742274569239984359</stp>
        <tr r="T8" s="2"/>
      </tp>
      <tp t="s">
        <v>#N/A N/A</v>
        <stp/>
        <stp>BDH|3826833789855596023</stp>
        <tr r="U91" s="2"/>
      </tp>
      <tp t="s">
        <v>#N/A N/A</v>
        <stp/>
        <stp>BDH|1794632363832547570</stp>
        <tr r="X61" s="2"/>
      </tp>
      <tp t="s">
        <v>#N/A N/A</v>
        <stp/>
        <stp>BDH|7849071413616886610</stp>
        <tr r="F69" s="2"/>
      </tp>
      <tp t="s">
        <v>#N/A N/A</v>
        <stp/>
        <stp>BDH|8962452725091663852</stp>
        <tr r="I16" s="2"/>
      </tp>
      <tp t="s">
        <v>#N/A N/A</v>
        <stp/>
        <stp>BDH|2625996597985320018</stp>
        <tr r="D11" s="2"/>
      </tp>
      <tp t="s">
        <v>#N/A N/A</v>
        <stp/>
        <stp>BDH|1680455566800888477</stp>
        <tr r="C56" s="2"/>
      </tp>
      <tp t="s">
        <v>#N/A N/A</v>
        <stp/>
        <stp>BDH|7647091895841863881</stp>
        <tr r="J85" s="2"/>
      </tp>
      <tp t="s">
        <v>#N/A N/A</v>
        <stp/>
        <stp>BDH|5095425512494211386</stp>
        <tr r="Q62" s="2"/>
      </tp>
      <tp t="s">
        <v>#N/A N/A</v>
        <stp/>
        <stp>BDH|7164603349841551376</stp>
        <tr r="M28" s="2"/>
      </tp>
      <tp t="s">
        <v>#N/A N/A</v>
        <stp/>
        <stp>BDH|6628331031747890675</stp>
        <tr r="AC44" s="2"/>
      </tp>
      <tp t="s">
        <v>#N/A N/A</v>
        <stp/>
        <stp>BDH|5674398746221742454</stp>
        <tr r="V36" s="2"/>
      </tp>
      <tp t="s">
        <v>#N/A N/A</v>
        <stp/>
        <stp>BDH|1977358697118674465</stp>
        <tr r="X76" s="2"/>
      </tp>
      <tp t="s">
        <v>#N/A N/A</v>
        <stp/>
        <stp>BDH|2926057123111145667</stp>
        <tr r="P69" s="2"/>
      </tp>
      <tp t="s">
        <v>#N/A N/A</v>
        <stp/>
        <stp>BDH|1473727612084476481</stp>
        <tr r="K48" s="2"/>
      </tp>
      <tp t="s">
        <v>#N/A N/A</v>
        <stp/>
        <stp>BDH|1259506450544380292</stp>
        <tr r="J41" s="2"/>
      </tp>
      <tp t="s">
        <v>#N/A N/A</v>
        <stp/>
        <stp>BDH|2877023225265673200</stp>
        <tr r="AB73" s="2"/>
      </tp>
      <tp t="s">
        <v>#N/A N/A</v>
        <stp/>
        <stp>BDH|7820571414363092729</stp>
        <tr r="D71" s="2"/>
      </tp>
      <tp t="s">
        <v>#N/A N/A</v>
        <stp/>
        <stp>BDH|2646284967169079804</stp>
        <tr r="AC72" s="2"/>
      </tp>
      <tp t="s">
        <v>#N/A N/A</v>
        <stp/>
        <stp>BDH|9204416557496948941</stp>
        <tr r="I57" s="2"/>
      </tp>
      <tp t="s">
        <v>#N/A N/A</v>
        <stp/>
        <stp>BDH|7555405148572494204</stp>
        <tr r="K84" s="2"/>
      </tp>
      <tp t="s">
        <v>#N/A N/A</v>
        <stp/>
        <stp>BDH|9354687391442034338</stp>
        <tr r="F9" s="2"/>
      </tp>
      <tp t="s">
        <v>#N/A N/A</v>
        <stp/>
        <stp>BDH|3092498037154500753</stp>
        <tr r="X65" s="2"/>
      </tp>
      <tp t="s">
        <v>#N/A N/A</v>
        <stp/>
        <stp>BDH|9241704100311990859</stp>
        <tr r="T52" s="2"/>
      </tp>
      <tp t="s">
        <v>#N/A N/A</v>
        <stp/>
        <stp>BDH|5709205703425902535</stp>
        <tr r="X70" s="2"/>
      </tp>
      <tp t="s">
        <v>#N/A N/A</v>
        <stp/>
        <stp>BDH|1959011646813275121</stp>
        <tr r="G24" s="2"/>
      </tp>
      <tp t="s">
        <v>#N/A N/A</v>
        <stp/>
        <stp>BDH|9042009346732812807</stp>
        <tr r="N21" s="2"/>
      </tp>
      <tp t="s">
        <v>#N/A N/A</v>
        <stp/>
        <stp>BDH|8559022217778912660</stp>
        <tr r="AF43" s="2"/>
      </tp>
      <tp t="s">
        <v>#N/A N/A</v>
        <stp/>
        <stp>BDH|1664593579162822610</stp>
        <tr r="U8" s="2"/>
      </tp>
      <tp t="s">
        <v>#N/A N/A</v>
        <stp/>
        <stp>BDH|5163693115574168130</stp>
        <tr r="S23" s="2"/>
      </tp>
      <tp t="s">
        <v>#N/A N/A</v>
        <stp/>
        <stp>BDH|7888086533485835640</stp>
        <tr r="AD17" s="2"/>
      </tp>
      <tp t="s">
        <v>#N/A N/A</v>
        <stp/>
        <stp>BDH|6206198001790138041</stp>
        <tr r="P20" s="2"/>
      </tp>
      <tp t="s">
        <v>#N/A N/A</v>
        <stp/>
        <stp>BDH|6654544239286576119</stp>
        <tr r="AE29" s="2"/>
      </tp>
      <tp t="s">
        <v>#N/A N/A</v>
        <stp/>
        <stp>BDH|6638213307825515699</stp>
        <tr r="J90" s="2"/>
      </tp>
      <tp t="s">
        <v>#N/A N/A</v>
        <stp/>
        <stp>BDH|1337321638770241677</stp>
        <tr r="AE62" s="2"/>
      </tp>
      <tp t="s">
        <v>#N/A N/A</v>
        <stp/>
        <stp>BDH|6688930828452397823</stp>
        <tr r="I60" s="2"/>
      </tp>
      <tp t="s">
        <v>#N/A N/A</v>
        <stp/>
        <stp>BDH|2185581593100784918</stp>
        <tr r="Q70" s="2"/>
      </tp>
      <tp t="s">
        <v>#N/A N/A</v>
        <stp/>
        <stp>BDH|4499133349712304416</stp>
        <tr r="R27" s="2"/>
      </tp>
      <tp t="s">
        <v>#N/A N/A</v>
        <stp/>
        <stp>BDH|9634998669075393482</stp>
        <tr r="G82" s="2"/>
      </tp>
      <tp t="s">
        <v>#N/A N/A</v>
        <stp/>
        <stp>BDH|6616522726703731584</stp>
        <tr r="G22" s="2"/>
      </tp>
      <tp t="s">
        <v>#N/A N/A</v>
        <stp/>
        <stp>BDH|9860087691594549392</stp>
        <tr r="C41" s="2"/>
      </tp>
      <tp t="s">
        <v>#N/A N/A</v>
        <stp/>
        <stp>BDH|5906332265622475561</stp>
        <tr r="Z89" s="2"/>
      </tp>
      <tp t="s">
        <v>#N/A N/A</v>
        <stp/>
        <stp>BDH|7490882564029763721</stp>
        <tr r="I62" s="2"/>
      </tp>
      <tp t="s">
        <v>#N/A N/A</v>
        <stp/>
        <stp>BDH|4664325216671265021</stp>
        <tr r="Y16" s="2"/>
      </tp>
      <tp t="s">
        <v>#N/A N/A</v>
        <stp/>
        <stp>BDH|4968951719313427833</stp>
        <tr r="D16" s="2"/>
      </tp>
      <tp t="s">
        <v>#N/A N/A</v>
        <stp/>
        <stp>BDH|2730707316043126022</stp>
        <tr r="S63" s="2"/>
      </tp>
      <tp t="s">
        <v>#N/A N/A</v>
        <stp/>
        <stp>BDH|1149075326434076026</stp>
        <tr r="F24" s="2"/>
      </tp>
      <tp t="s">
        <v>#N/A N/A</v>
        <stp/>
        <stp>BDH|6995883492316264637</stp>
        <tr r="W71" s="2"/>
      </tp>
      <tp t="s">
        <v>#N/A N/A</v>
        <stp/>
        <stp>BDH|3080644106220406246</stp>
        <tr r="Z43" s="2"/>
      </tp>
      <tp t="s">
        <v>#N/A N/A</v>
        <stp/>
        <stp>BDH|8232285184561885445</stp>
        <tr r="F49" s="2"/>
      </tp>
      <tp t="s">
        <v>#N/A N/A</v>
        <stp/>
        <stp>BDH|8234834975580513022</stp>
        <tr r="N51" s="2"/>
      </tp>
      <tp t="s">
        <v>#N/A N/A</v>
        <stp/>
        <stp>BDH|6647262805771319251</stp>
        <tr r="K88" s="2"/>
      </tp>
      <tp t="s">
        <v>#N/A N/A</v>
        <stp/>
        <stp>BDH|7204127263914584355</stp>
        <tr r="R74" s="2"/>
      </tp>
      <tp t="s">
        <v>#N/A N/A</v>
        <stp/>
        <stp>BDH|7050697931583825630</stp>
        <tr r="S75" s="2"/>
      </tp>
      <tp t="s">
        <v>#N/A N/A</v>
        <stp/>
        <stp>BDH|3318031555369438828</stp>
        <tr r="X81" s="2"/>
      </tp>
      <tp t="s">
        <v>#N/A N/A</v>
        <stp/>
        <stp>BDH|8281365873282737931</stp>
        <tr r="AC28" s="2"/>
      </tp>
      <tp t="s">
        <v>#N/A N/A</v>
        <stp/>
        <stp>BDH|3585786704426929508</stp>
        <tr r="H13" s="2"/>
      </tp>
      <tp t="s">
        <v>#N/A N/A</v>
        <stp/>
        <stp>BDH|4151342821625238769</stp>
        <tr r="AA66" s="2"/>
      </tp>
      <tp t="s">
        <v>#N/A N/A</v>
        <stp/>
        <stp>BDH|7240602315890739700</stp>
        <tr r="N54" s="2"/>
      </tp>
      <tp t="s">
        <v>#N/A N/A</v>
        <stp/>
        <stp>BDH|4902300439785999692</stp>
        <tr r="AC70" s="2"/>
      </tp>
      <tp t="s">
        <v>#N/A N/A</v>
        <stp/>
        <stp>BDH|5876341539257270564</stp>
        <tr r="D82" s="2"/>
      </tp>
      <tp t="s">
        <v>#N/A N/A</v>
        <stp/>
        <stp>BDH|9512537086322155109</stp>
        <tr r="O92" s="2"/>
      </tp>
      <tp t="s">
        <v>#N/A N/A</v>
        <stp/>
        <stp>BDH|9581916670642218271</stp>
        <tr r="Q90" s="2"/>
      </tp>
      <tp t="s">
        <v>#N/A N/A</v>
        <stp/>
        <stp>BDH|3375251359917815460</stp>
        <tr r="G63" s="2"/>
      </tp>
      <tp t="s">
        <v>#N/A N/A</v>
        <stp/>
        <stp>BDH|7128553762451738272</stp>
        <tr r="I49" s="2"/>
      </tp>
      <tp t="s">
        <v>#N/A N/A</v>
        <stp/>
        <stp>BDH|4624961020498348040</stp>
        <tr r="Y44" s="2"/>
      </tp>
      <tp t="s">
        <v>#N/A N/A</v>
        <stp/>
        <stp>BDH|6507338870872856790</stp>
        <tr r="V76" s="2"/>
      </tp>
      <tp t="s">
        <v>#N/A N/A</v>
        <stp/>
        <stp>BDH|3832734943476633195</stp>
        <tr r="R56" s="2"/>
      </tp>
      <tp t="s">
        <v>#N/A N/A</v>
        <stp/>
        <stp>BDH|4639936531049295018</stp>
        <tr r="E49" s="2"/>
      </tp>
      <tp t="s">
        <v>#N/A N/A</v>
        <stp/>
        <stp>BDH|1194503076631472542</stp>
        <tr r="R69" s="2"/>
      </tp>
      <tp t="s">
        <v>#N/A N/A</v>
        <stp/>
        <stp>BDH|5561182851395980325</stp>
        <tr r="AD68" s="2"/>
      </tp>
      <tp t="s">
        <v>#N/A N/A</v>
        <stp/>
        <stp>BDH|2745957983675419129</stp>
        <tr r="N16" s="2"/>
      </tp>
      <tp t="s">
        <v>#N/A N/A</v>
        <stp/>
        <stp>BDH|7190330715637489574</stp>
        <tr r="R35" s="2"/>
      </tp>
      <tp t="s">
        <v>#N/A N/A</v>
        <stp/>
        <stp>BDH|7159586079047757535</stp>
        <tr r="AA29" s="2"/>
      </tp>
      <tp t="s">
        <v>#N/A N/A</v>
        <stp/>
        <stp>BDH|8883089738629851540</stp>
        <tr r="AA92" s="2"/>
      </tp>
      <tp t="s">
        <v>#N/A N/A</v>
        <stp/>
        <stp>BDH|7513443236637290018</stp>
        <tr r="U74" s="2"/>
      </tp>
      <tp t="s">
        <v>#N/A N/A</v>
        <stp/>
        <stp>BDH|1485422471703102628</stp>
        <tr r="N84" s="2"/>
      </tp>
      <tp t="s">
        <v>#N/A N/A</v>
        <stp/>
        <stp>BDH|6289216573353088748</stp>
        <tr r="J30" s="2"/>
      </tp>
      <tp t="s">
        <v>#N/A N/A</v>
        <stp/>
        <stp>BDH|7154367752792006418</stp>
        <tr r="L29" s="2"/>
      </tp>
      <tp t="s">
        <v>#N/A N/A</v>
        <stp/>
        <stp>BDH|4057796214790989503</stp>
        <tr r="W75" s="2"/>
      </tp>
      <tp t="s">
        <v>#N/A N/A</v>
        <stp/>
        <stp>BDH|2567516465480222666</stp>
        <tr r="Q21" s="2"/>
      </tp>
      <tp t="s">
        <v>#N/A N/A</v>
        <stp/>
        <stp>BDH|2794123620315286322</stp>
        <tr r="U36" s="2"/>
      </tp>
      <tp t="s">
        <v>#N/A N/A</v>
        <stp/>
        <stp>BDH|5530424155570224353</stp>
        <tr r="H80" s="2"/>
      </tp>
      <tp t="s">
        <v>#N/A N/A</v>
        <stp/>
        <stp>BDH|5086207130813665032</stp>
        <tr r="Q74" s="2"/>
      </tp>
      <tp t="s">
        <v>#N/A N/A</v>
        <stp/>
        <stp>BDH|4953674438765379302</stp>
        <tr r="V24" s="2"/>
      </tp>
      <tp t="s">
        <v>#N/A N/A</v>
        <stp/>
        <stp>BDH|6818175901208341887</stp>
        <tr r="AC46" s="2"/>
      </tp>
      <tp t="s">
        <v>#N/A N/A</v>
        <stp/>
        <stp>BDH|6678049772975491318</stp>
        <tr r="L60" s="2"/>
      </tp>
      <tp t="s">
        <v>#N/A N/A</v>
        <stp/>
        <stp>BDH|2026290143255087109</stp>
        <tr r="F10" s="2"/>
      </tp>
      <tp t="s">
        <v>#N/A N/A</v>
        <stp/>
        <stp>BDH|7561614530587707593</stp>
        <tr r="AD20" s="2"/>
      </tp>
      <tp t="s">
        <v>#N/A N/A</v>
        <stp/>
        <stp>BDH|8862077846509652558</stp>
        <tr r="W73" s="2"/>
      </tp>
      <tp t="s">
        <v>#N/A N/A</v>
        <stp/>
        <stp>BDH|6346390743802666351</stp>
        <tr r="T43" s="2"/>
      </tp>
      <tp t="s">
        <v>#N/A N/A</v>
        <stp/>
        <stp>BDH|1877375531617192653</stp>
        <tr r="AD56" s="2"/>
      </tp>
      <tp t="s">
        <v>#N/A N/A</v>
        <stp/>
        <stp>BDH|5687532756687134281</stp>
        <tr r="P52" s="2"/>
      </tp>
      <tp t="s">
        <v>#N/A N/A</v>
        <stp/>
        <stp>BDH|4048400536036841551</stp>
        <tr r="W44" s="2"/>
      </tp>
      <tp t="s">
        <v>#N/A N/A</v>
        <stp/>
        <stp>BDH|6020797018265978537</stp>
        <tr r="F11" s="2"/>
      </tp>
      <tp t="s">
        <v>#N/A N/A</v>
        <stp/>
        <stp>BDH|9887671191890189641</stp>
        <tr r="E70" s="2"/>
      </tp>
      <tp t="s">
        <v>#N/A N/A</v>
        <stp/>
        <stp>BDH|7215629033456960423</stp>
        <tr r="S21" s="2"/>
      </tp>
      <tp t="s">
        <v>#N/A N/A</v>
        <stp/>
        <stp>BDH|4451609708811780334</stp>
        <tr r="X58" s="2"/>
      </tp>
      <tp t="s">
        <v>#N/A N/A</v>
        <stp/>
        <stp>BDH|4370504548654007124</stp>
        <tr r="C11" s="2"/>
      </tp>
      <tp t="s">
        <v>#N/A N/A</v>
        <stp/>
        <stp>BDH|3204533529576371223</stp>
        <tr r="G88" s="2"/>
      </tp>
      <tp t="s">
        <v>#N/A N/A</v>
        <stp/>
        <stp>BDH|1955733878714231597</stp>
        <tr r="G42" s="2"/>
      </tp>
      <tp t="s">
        <v>#N/A N/A</v>
        <stp/>
        <stp>BDH|9085557690872473786</stp>
        <tr r="F88" s="2"/>
      </tp>
      <tp t="s">
        <v>#N/A N/A</v>
        <stp/>
        <stp>BDH|5365520815796566788</stp>
        <tr r="M16" s="2"/>
      </tp>
      <tp t="s">
        <v>#N/A N/A</v>
        <stp/>
        <stp>BDH|9933819046477878288</stp>
        <tr r="W43" s="2"/>
      </tp>
      <tp t="s">
        <v>#N/A N/A</v>
        <stp/>
        <stp>BDH|6074713800786633792</stp>
        <tr r="M50" s="2"/>
      </tp>
      <tp t="s">
        <v>#N/A N/A</v>
        <stp/>
        <stp>BDH|4782969703489558497</stp>
        <tr r="J62" s="2"/>
      </tp>
      <tp t="s">
        <v>#N/A N/A</v>
        <stp/>
        <stp>BDH|1984589422170922648</stp>
        <tr r="AB22" s="2"/>
      </tp>
      <tp t="s">
        <v>#N/A N/A</v>
        <stp/>
        <stp>BDH|3119455548001069233</stp>
        <tr r="AC39" s="2"/>
      </tp>
      <tp t="s">
        <v>#N/A N/A</v>
        <stp/>
        <stp>BDH|2628026772171085496</stp>
        <tr r="I58" s="2"/>
      </tp>
      <tp t="s">
        <v>#N/A N/A</v>
        <stp/>
        <stp>BDH|3058381000592662222</stp>
        <tr r="T23" s="2"/>
      </tp>
      <tp t="s">
        <v>#N/A N/A</v>
        <stp/>
        <stp>BDH|3242427590466505898</stp>
        <tr r="AC17" s="2"/>
      </tp>
      <tp t="s">
        <v>#N/A N/A</v>
        <stp/>
        <stp>BDH|2709685268332904029</stp>
        <tr r="E31" s="2"/>
      </tp>
      <tp t="s">
        <v>#N/A N/A</v>
        <stp/>
        <stp>BDH|7729696107862744339</stp>
        <tr r="Q68" s="2"/>
      </tp>
      <tp t="s">
        <v>#N/A N/A</v>
        <stp/>
        <stp>BDH|9100893974366027016</stp>
        <tr r="T51" s="2"/>
      </tp>
      <tp t="s">
        <v>#N/A N/A</v>
        <stp/>
        <stp>BDH|3050155084649951354</stp>
        <tr r="H71" s="2"/>
      </tp>
      <tp t="s">
        <v>#N/A N/A</v>
        <stp/>
        <stp>BDH|7020547211641824206</stp>
        <tr r="H84" s="2"/>
      </tp>
      <tp t="s">
        <v>#N/A N/A</v>
        <stp/>
        <stp>BDH|8380517447451100897</stp>
        <tr r="T48" s="2"/>
      </tp>
      <tp t="s">
        <v>#N/A N/A</v>
        <stp/>
        <stp>BDH|8627394570829901544</stp>
        <tr r="R86" s="2"/>
      </tp>
      <tp t="s">
        <v>#N/A N/A</v>
        <stp/>
        <stp>BDH|8370850803850551020</stp>
        <tr r="AE83" s="2"/>
      </tp>
      <tp t="s">
        <v>#N/A N/A</v>
        <stp/>
        <stp>BDH|2482730931176245061</stp>
        <tr r="G87" s="2"/>
      </tp>
      <tp t="s">
        <v>#N/A N/A</v>
        <stp/>
        <stp>BDH|3540849146288730723</stp>
        <tr r="Q65" s="2"/>
      </tp>
      <tp t="s">
        <v>#N/A N/A</v>
        <stp/>
        <stp>BDH|2490052993293304828</stp>
        <tr r="D25" s="2"/>
      </tp>
      <tp t="s">
        <v>#N/A N/A</v>
        <stp/>
        <stp>BDH|9632414230478664625</stp>
        <tr r="D85" s="2"/>
      </tp>
      <tp t="s">
        <v>#N/A N/A</v>
        <stp/>
        <stp>BDH|2450178057257597122</stp>
        <tr r="D31" s="2"/>
      </tp>
      <tp t="s">
        <v>#N/A N/A</v>
        <stp/>
        <stp>BDH|8281681928149147508</stp>
        <tr r="AE56" s="2"/>
      </tp>
      <tp t="s">
        <v>#N/A N/A</v>
        <stp/>
        <stp>BDH|1476614205365377201</stp>
        <tr r="Y42" s="2"/>
      </tp>
      <tp t="s">
        <v>#N/A N/A</v>
        <stp/>
        <stp>BDH|1525059771094788258</stp>
        <tr r="V75" s="2"/>
      </tp>
      <tp t="s">
        <v>#N/A N/A</v>
        <stp/>
        <stp>BDH|6434713334350568278</stp>
        <tr r="AF85" s="2"/>
      </tp>
      <tp t="s">
        <v>#N/A N/A</v>
        <stp/>
        <stp>BDH|6985660868335221365</stp>
        <tr r="M46" s="2"/>
      </tp>
      <tp t="s">
        <v>#N/A N/A</v>
        <stp/>
        <stp>BDH|3251807178764916831</stp>
        <tr r="C33" s="2"/>
      </tp>
      <tp t="s">
        <v>#N/A N/A</v>
        <stp/>
        <stp>BDH|8235246991995038674</stp>
        <tr r="AD59" s="2"/>
      </tp>
      <tp t="s">
        <v>#N/A N/A</v>
        <stp/>
        <stp>BDH|4251973245760148919</stp>
        <tr r="U50" s="2"/>
      </tp>
      <tp t="s">
        <v>#N/A N/A</v>
        <stp/>
        <stp>BDH|3228602875147786507</stp>
        <tr r="N26" s="2"/>
      </tp>
      <tp t="s">
        <v>#N/A N/A</v>
        <stp/>
        <stp>BDH|7140938393087961099</stp>
        <tr r="AB68" s="2"/>
      </tp>
      <tp t="s">
        <v>#N/A N/A</v>
        <stp/>
        <stp>BDH|2694715894405102935</stp>
        <tr r="AB74" s="2"/>
      </tp>
      <tp t="s">
        <v>#N/A N/A</v>
        <stp/>
        <stp>BDH|5503768795383423848</stp>
        <tr r="AD39" s="2"/>
      </tp>
      <tp t="s">
        <v>#N/A N/A</v>
        <stp/>
        <stp>BDH|4754799913480993225</stp>
        <tr r="K66" s="2"/>
      </tp>
      <tp t="s">
        <v>#N/A N/A</v>
        <stp/>
        <stp>BDH|1903857284657828667</stp>
        <tr r="H44" s="2"/>
      </tp>
      <tp t="s">
        <v>#N/A N/A</v>
        <stp/>
        <stp>BDH|7934846769660578973</stp>
        <tr r="X50" s="2"/>
      </tp>
      <tp t="s">
        <v>#N/A N/A</v>
        <stp/>
        <stp>BDH|7979695265246555162</stp>
        <tr r="I75" s="2"/>
      </tp>
      <tp t="s">
        <v>#N/A N/A</v>
        <stp/>
        <stp>BDH|4001410729126707498</stp>
        <tr r="R88" s="2"/>
      </tp>
      <tp t="s">
        <v>#N/A N/A</v>
        <stp/>
        <stp>BDH|2811226813022894377</stp>
        <tr r="C19" s="2"/>
      </tp>
      <tp t="s">
        <v>#N/A N/A</v>
        <stp/>
        <stp>BDH|1759218356013239546</stp>
        <tr r="H53" s="2"/>
      </tp>
      <tp t="s">
        <v>#N/A N/A</v>
        <stp/>
        <stp>BDH|4072331221405586011</stp>
        <tr r="AA11" s="2"/>
      </tp>
      <tp t="s">
        <v>#N/A N/A</v>
        <stp/>
        <stp>BDH|8046269179649006491</stp>
        <tr r="Z17" s="2"/>
      </tp>
      <tp t="s">
        <v>#N/A N/A</v>
        <stp/>
        <stp>BDH|7766106954484509709</stp>
        <tr r="H61" s="2"/>
      </tp>
      <tp t="s">
        <v>#N/A N/A</v>
        <stp/>
        <stp>BDH|5294331662377038754</stp>
        <tr r="H24" s="2"/>
      </tp>
      <tp t="s">
        <v>#N/A N/A</v>
        <stp/>
        <stp>BDH|5323906783070017470</stp>
        <tr r="O36" s="2"/>
      </tp>
      <tp t="s">
        <v>#N/A N/A</v>
        <stp/>
        <stp>BDH|8814500099544583039</stp>
        <tr r="W63" s="2"/>
      </tp>
      <tp t="s">
        <v>#N/A N/A</v>
        <stp/>
        <stp>BDH|2526663456060265101</stp>
        <tr r="D56" s="2"/>
      </tp>
      <tp t="s">
        <v>#N/A N/A</v>
        <stp/>
        <stp>BDH|9560389666028962451</stp>
        <tr r="L24" s="2"/>
      </tp>
      <tp t="s">
        <v>#N/A N/A</v>
        <stp/>
        <stp>BDH|9938480209588924552</stp>
        <tr r="E88" s="2"/>
      </tp>
      <tp t="s">
        <v>#N/A N/A</v>
        <stp/>
        <stp>BDH|7607391248583198324</stp>
        <tr r="O71" s="2"/>
      </tp>
      <tp t="s">
        <v>#N/A N/A</v>
        <stp/>
        <stp>BDH|3708556072144650530</stp>
        <tr r="G85" s="2"/>
      </tp>
      <tp t="s">
        <v>#N/A N/A</v>
        <stp/>
        <stp>BDH|4620764343764479321</stp>
        <tr r="AF54" s="2"/>
      </tp>
      <tp t="s">
        <v>#N/A N/A</v>
        <stp/>
        <stp>BDH|9856076060177218885</stp>
        <tr r="D47" s="2"/>
      </tp>
      <tp t="s">
        <v>#N/A N/A</v>
        <stp/>
        <stp>BDH|3017658245041172046</stp>
        <tr r="X21" s="2"/>
      </tp>
      <tp t="s">
        <v>#N/A N/A</v>
        <stp/>
        <stp>BDH|2284800660528758402</stp>
        <tr r="AC74" s="2"/>
      </tp>
      <tp t="s">
        <v>#N/A N/A</v>
        <stp/>
        <stp>BDH|6903915089934079347</stp>
        <tr r="L59" s="2"/>
      </tp>
      <tp t="s">
        <v>#N/A N/A</v>
        <stp/>
        <stp>BDH|1617495588889373414</stp>
        <tr r="K19" s="2"/>
      </tp>
      <tp t="s">
        <v>#N/A N/A</v>
        <stp/>
        <stp>BDH|8785930648966495228</stp>
        <tr r="AF23" s="2"/>
      </tp>
      <tp t="s">
        <v>#N/A N/A</v>
        <stp/>
        <stp>BDH|4702848798497716368</stp>
        <tr r="O83" s="2"/>
      </tp>
      <tp t="s">
        <v>#N/A N/A</v>
        <stp/>
        <stp>BDH|5496909003128476591</stp>
        <tr r="Y31" s="2"/>
      </tp>
      <tp t="s">
        <v>#N/A N/A</v>
        <stp/>
        <stp>BDH|6991584078800148526</stp>
        <tr r="Y73" s="2"/>
      </tp>
      <tp t="s">
        <v>#N/A N/A</v>
        <stp/>
        <stp>BDH|7325478512482441180</stp>
        <tr r="L69" s="2"/>
      </tp>
      <tp t="s">
        <v>#N/A N/A</v>
        <stp/>
        <stp>BDH|7530289089509736590</stp>
        <tr r="W42" s="2"/>
      </tp>
      <tp t="s">
        <v>#N/A N/A</v>
        <stp/>
        <stp>BDH|5432115919074412033</stp>
        <tr r="H74" s="2"/>
      </tp>
      <tp t="s">
        <v>#N/A N/A</v>
        <stp/>
        <stp>BDH|1453584736414397221</stp>
        <tr r="H73" s="2"/>
      </tp>
      <tp t="s">
        <v>#N/A N/A</v>
        <stp/>
        <stp>BDH|4543674128113787265</stp>
        <tr r="AC25" s="2"/>
      </tp>
      <tp t="s">
        <v>#N/A N/A</v>
        <stp/>
        <stp>BDH|8232464920297434886</stp>
        <tr r="U73" s="2"/>
      </tp>
      <tp t="s">
        <v>#N/A N/A</v>
        <stp/>
        <stp>BDH|7195388161090878383</stp>
        <tr r="Y64" s="2"/>
      </tp>
      <tp t="s">
        <v>#N/A N/A</v>
        <stp/>
        <stp>BDH|4001214912745245399</stp>
        <tr r="F89" s="2"/>
      </tp>
      <tp t="s">
        <v>#N/A N/A</v>
        <stp/>
        <stp>BDH|7626570528541330034</stp>
        <tr r="O24" s="2"/>
      </tp>
      <tp t="s">
        <v>#N/A N/A</v>
        <stp/>
        <stp>BDH|3676482001183428525</stp>
        <tr r="AA7" s="2"/>
      </tp>
      <tp t="s">
        <v>#N/A N/A</v>
        <stp/>
        <stp>BDH|9966174760678406737</stp>
        <tr r="F29" s="2"/>
      </tp>
      <tp t="s">
        <v>#N/A N/A</v>
        <stp/>
        <stp>BDH|1901937896439747925</stp>
        <tr r="S69" s="2"/>
      </tp>
      <tp t="s">
        <v>#N/A N/A</v>
        <stp/>
        <stp>BDH|9684732038834024846</stp>
        <tr r="V11" s="2"/>
      </tp>
      <tp t="s">
        <v>#N/A N/A</v>
        <stp/>
        <stp>BDH|5328938989596536354</stp>
        <tr r="U26" s="2"/>
      </tp>
      <tp t="s">
        <v>#N/A N/A</v>
        <stp/>
        <stp>BDH|4958108003150703447</stp>
        <tr r="D27" s="2"/>
      </tp>
      <tp t="s">
        <v>#N/A N/A</v>
        <stp/>
        <stp>BDH|5579268037114973139</stp>
        <tr r="AC54" s="2"/>
      </tp>
      <tp t="s">
        <v>#N/A N/A</v>
        <stp/>
        <stp>BDH|7920313696214739872</stp>
        <tr r="V61" s="2"/>
      </tp>
      <tp t="s">
        <v>#N/A N/A</v>
        <stp/>
        <stp>BDH|7586523928807033614</stp>
        <tr r="T82" s="2"/>
      </tp>
      <tp t="s">
        <v>#N/A N/A</v>
        <stp/>
        <stp>BDH|5529238032776959331</stp>
        <tr r="AE82" s="2"/>
      </tp>
      <tp t="s">
        <v>#N/A N/A</v>
        <stp/>
        <stp>BDH|2995742845301462126</stp>
        <tr r="AE36" s="2"/>
      </tp>
      <tp t="s">
        <v>#N/A N/A</v>
        <stp/>
        <stp>BDH|5147652669291100534</stp>
        <tr r="Y55" s="2"/>
      </tp>
      <tp t="s">
        <v>#N/A N/A</v>
        <stp/>
        <stp>BDH|8273647829334453942</stp>
        <tr r="G51" s="2"/>
      </tp>
      <tp t="s">
        <v>#N/A N/A</v>
        <stp/>
        <stp>BDH|8961921063217216153</stp>
        <tr r="O41" s="2"/>
      </tp>
      <tp t="s">
        <v>#N/A N/A</v>
        <stp/>
        <stp>BDH|5369781813876032470</stp>
        <tr r="E8" s="2"/>
      </tp>
      <tp t="s">
        <v>#N/A N/A</v>
        <stp/>
        <stp>BDH|6188723838670525313</stp>
        <tr r="T22" s="2"/>
      </tp>
      <tp t="s">
        <v>#N/A N/A</v>
        <stp/>
        <stp>BDH|1191896103658520015</stp>
        <tr r="I23" s="2"/>
      </tp>
      <tp t="s">
        <v>#N/A N/A</v>
        <stp/>
        <stp>BDH|5451147596509884511</stp>
        <tr r="Z55" s="2"/>
      </tp>
      <tp t="s">
        <v>#N/A N/A</v>
        <stp/>
        <stp>BDH|1620021114501880070</stp>
        <tr r="C31" s="2"/>
      </tp>
      <tp t="s">
        <v>#N/A N/A</v>
        <stp/>
        <stp>BDH|8830884401058968943</stp>
        <tr r="AD83" s="2"/>
      </tp>
      <tp t="s">
        <v>#N/A N/A</v>
        <stp/>
        <stp>BDH|5950225893756706932</stp>
        <tr r="U49" s="2"/>
      </tp>
      <tp t="s">
        <v>#N/A N/A</v>
        <stp/>
        <stp>BDH|3009596823046581335</stp>
        <tr r="K16" s="2"/>
      </tp>
      <tp t="s">
        <v>#N/A N/A</v>
        <stp/>
        <stp>BDH|6988489311170929259</stp>
        <tr r="K17" s="2"/>
      </tp>
      <tp t="s">
        <v>#N/A N/A</v>
        <stp/>
        <stp>BDH|6184362389408784447</stp>
        <tr r="W82" s="2"/>
      </tp>
      <tp t="s">
        <v>#N/A N/A</v>
        <stp/>
        <stp>BDH|9911508926446521977</stp>
        <tr r="AE13" s="2"/>
      </tp>
      <tp t="s">
        <v>#N/A N/A</v>
        <stp/>
        <stp>BDH|6650718517584089525</stp>
        <tr r="AE72" s="2"/>
      </tp>
      <tp t="s">
        <v>#N/A N/A</v>
        <stp/>
        <stp>BDH|5043358006435044211</stp>
        <tr r="Z41" s="2"/>
      </tp>
      <tp t="s">
        <v>#N/A N/A</v>
        <stp/>
        <stp>BDH|6180545805455770749</stp>
        <tr r="O21" s="2"/>
      </tp>
      <tp t="s">
        <v>#N/A N/A</v>
        <stp/>
        <stp>BDH|1035273875605198005</stp>
        <tr r="E52" s="2"/>
      </tp>
      <tp t="s">
        <v>#N/A N/A</v>
        <stp/>
        <stp>BDH|1953018099810188937</stp>
        <tr r="K87" s="2"/>
      </tp>
      <tp t="s">
        <v>#N/A N/A</v>
        <stp/>
        <stp>BDH|5896288078135907411</stp>
        <tr r="F75" s="2"/>
      </tp>
      <tp t="s">
        <v>#N/A N/A</v>
        <stp/>
        <stp>BDH|6945031273319155980</stp>
        <tr r="N43" s="2"/>
      </tp>
      <tp t="s">
        <v>#N/A N/A</v>
        <stp/>
        <stp>BDH|3736922749598578796</stp>
        <tr r="N48" s="2"/>
      </tp>
      <tp t="s">
        <v>#N/A N/A</v>
        <stp/>
        <stp>BDH|4644707103447653539</stp>
        <tr r="V56" s="2"/>
      </tp>
      <tp t="s">
        <v>#N/A N/A</v>
        <stp/>
        <stp>BDH|3288576008451812650</stp>
        <tr r="AA9" s="2"/>
      </tp>
      <tp t="s">
        <v>#N/A N/A</v>
        <stp/>
        <stp>BDH|8301389473194196982</stp>
        <tr r="S53" s="2"/>
      </tp>
      <tp t="s">
        <v>#N/A N/A</v>
        <stp/>
        <stp>BDH|1528572230193513562</stp>
        <tr r="Y52" s="2"/>
      </tp>
      <tp t="s">
        <v>#N/A N/A</v>
        <stp/>
        <stp>BDH|7189148757124786642</stp>
        <tr r="D51" s="2"/>
      </tp>
      <tp t="s">
        <v>#N/A N/A</v>
        <stp/>
        <stp>BDH|9321759262178262171</stp>
        <tr r="U88" s="2"/>
      </tp>
      <tp t="s">
        <v>#N/A N/A</v>
        <stp/>
        <stp>BDH|6624171366450348022</stp>
        <tr r="Q91" s="2"/>
      </tp>
      <tp t="s">
        <v>#N/A N/A</v>
        <stp/>
        <stp>BDH|8534222783912796152</stp>
        <tr r="AC35" s="2"/>
      </tp>
      <tp t="s">
        <v>#N/A N/A</v>
        <stp/>
        <stp>BDH|4303684477765324196</stp>
        <tr r="AA46" s="2"/>
      </tp>
      <tp t="s">
        <v>#N/A N/A</v>
        <stp/>
        <stp>BDH|8024492633418461684</stp>
        <tr r="U34" s="2"/>
      </tp>
      <tp t="s">
        <v>#N/A N/A</v>
        <stp/>
        <stp>BDH|2472712930516413178</stp>
        <tr r="X20" s="2"/>
      </tp>
      <tp t="s">
        <v>#N/A N/A</v>
        <stp/>
        <stp>BDH|5720672426717055708</stp>
        <tr r="AA18" s="2"/>
      </tp>
      <tp t="s">
        <v>#N/A N/A</v>
        <stp/>
        <stp>BDH|2759463645025068637</stp>
        <tr r="AF67" s="2"/>
      </tp>
      <tp t="s">
        <v>#N/A N/A</v>
        <stp/>
        <stp>BDH|1132272829851883107</stp>
        <tr r="AA19" s="2"/>
      </tp>
      <tp t="s">
        <v>#N/A N/A</v>
        <stp/>
        <stp>BDH|6581220042510336117</stp>
        <tr r="AD19" s="2"/>
      </tp>
      <tp t="s">
        <v>#N/A N/A</v>
        <stp/>
        <stp>BDH|9337929453022379667</stp>
        <tr r="J70" s="2"/>
      </tp>
      <tp t="s">
        <v>#N/A N/A</v>
        <stp/>
        <stp>BDH|5793203506026355050</stp>
        <tr r="J27" s="2"/>
      </tp>
      <tp t="s">
        <v>#N/A N/A</v>
        <stp/>
        <stp>BDH|1057062140494433061</stp>
        <tr r="I92" s="2"/>
      </tp>
      <tp t="s">
        <v>#N/A N/A</v>
        <stp/>
        <stp>BDH|3536338121980532361</stp>
        <tr r="AC36" s="2"/>
      </tp>
      <tp t="s">
        <v>#N/A N/A</v>
        <stp/>
        <stp>BDH|4421575613775398471</stp>
        <tr r="N45" s="2"/>
      </tp>
      <tp t="s">
        <v>#N/A N/A</v>
        <stp/>
        <stp>BDH|6023450272062258618</stp>
        <tr r="X29" s="2"/>
      </tp>
      <tp t="s">
        <v>#N/A N/A</v>
        <stp/>
        <stp>BDH|2772728883074714850</stp>
        <tr r="AC62" s="2"/>
      </tp>
      <tp t="s">
        <v>#N/A N/A</v>
        <stp/>
        <stp>BDH|5171549952443789753</stp>
        <tr r="AB34" s="2"/>
      </tp>
      <tp t="s">
        <v>#N/A N/A</v>
        <stp/>
        <stp>BDH|9608240785396707452</stp>
        <tr r="H10" s="2"/>
      </tp>
      <tp t="s">
        <v>#N/A N/A</v>
        <stp/>
        <stp>BDH|1474778668106988776</stp>
        <tr r="H54" s="2"/>
      </tp>
      <tp t="s">
        <v>#N/A N/A</v>
        <stp/>
        <stp>BDH|6704677606983774241</stp>
        <tr r="U7" s="2"/>
      </tp>
      <tp t="s">
        <v>#N/A N/A</v>
        <stp/>
        <stp>BDH|2626729679252976115</stp>
        <tr r="E62" s="2"/>
      </tp>
      <tp t="s">
        <v>#N/A N/A</v>
        <stp/>
        <stp>BDH|87812620464276207</stp>
        <tr r="V23" s="2"/>
      </tp>
      <tp t="s">
        <v>#N/A N/A</v>
        <stp/>
        <stp>BDH|18320888295244206</stp>
        <tr r="U76" s="2"/>
      </tp>
      <tp t="s">
        <v>#N/A N/A</v>
        <stp/>
        <stp>BDH|6687549334173941156</stp>
        <tr r="F25" s="2"/>
      </tp>
      <tp t="s">
        <v>#N/A N/A</v>
        <stp/>
        <stp>BDH|4523314212174933050</stp>
        <tr r="E32" s="2"/>
      </tp>
      <tp t="s">
        <v>#N/A N/A</v>
        <stp/>
        <stp>BDH|9839213686084688534</stp>
        <tr r="AD21" s="2"/>
      </tp>
      <tp t="s">
        <v>#N/A N/A</v>
        <stp/>
        <stp>BDH|2333839900969227193</stp>
        <tr r="M7" s="2"/>
      </tp>
      <tp t="s">
        <v>#N/A N/A</v>
        <stp/>
        <stp>BDH|7362069315760364483</stp>
        <tr r="K71" s="2"/>
      </tp>
      <tp t="s">
        <v>#N/A N/A</v>
        <stp/>
        <stp>BDH|5181448606963297093</stp>
        <tr r="AD11" s="2"/>
      </tp>
      <tp t="s">
        <v>#N/A N/A</v>
        <stp/>
        <stp>BDH|7617096964367002430</stp>
        <tr r="Y36" s="2"/>
      </tp>
      <tp t="s">
        <v>#N/A N/A</v>
        <stp/>
        <stp>BDH|7485112855492134396</stp>
        <tr r="G26" s="2"/>
      </tp>
      <tp t="s">
        <v>#N/A N/A</v>
        <stp/>
        <stp>BDH|1947013646887063065</stp>
        <tr r="L48" s="2"/>
      </tp>
      <tp t="s">
        <v>#N/A N/A</v>
        <stp/>
        <stp>BDH|6267234141295938709</stp>
        <tr r="C48" s="2"/>
      </tp>
      <tp t="s">
        <v>#N/A N/A</v>
        <stp/>
        <stp>BDH|7997987026568721697</stp>
        <tr r="T19" s="2"/>
      </tp>
      <tp t="s">
        <v>#N/A N/A</v>
        <stp/>
        <stp>BDH|9954446687064772334</stp>
        <tr r="R10" s="2"/>
      </tp>
      <tp t="s">
        <v>#N/A N/A</v>
        <stp/>
        <stp>BDH|1621035258135021331</stp>
        <tr r="AA40" s="2"/>
      </tp>
      <tp t="s">
        <v>#N/A N/A</v>
        <stp/>
        <stp>BDH|5796463008434350740</stp>
        <tr r="R28" s="2"/>
      </tp>
      <tp t="s">
        <v>#N/A N/A</v>
        <stp/>
        <stp>BDH|6650754901995526691</stp>
        <tr r="AF89" s="2"/>
      </tp>
      <tp t="s">
        <v>#N/A N/A</v>
        <stp/>
        <stp>BDH|1805125259622518597</stp>
        <tr r="V14" s="2"/>
      </tp>
      <tp t="s">
        <v>#N/A N/A</v>
        <stp/>
        <stp>BDH|5090385645479771956</stp>
        <tr r="L76" s="2"/>
      </tp>
      <tp t="s">
        <v>#N/A N/A</v>
        <stp/>
        <stp>BDH|9213788795662355732</stp>
        <tr r="AB23" s="2"/>
      </tp>
      <tp t="s">
        <v>#N/A N/A</v>
        <stp/>
        <stp>BDH|4476037377230728188</stp>
        <tr r="Z63" s="2"/>
      </tp>
      <tp t="s">
        <v>#N/A N/A</v>
        <stp/>
        <stp>BDH|6949706026888978993</stp>
        <tr r="U42" s="2"/>
      </tp>
      <tp t="s">
        <v>#N/A N/A</v>
        <stp/>
        <stp>BDH|8506539189301729649</stp>
        <tr r="S25" s="2"/>
      </tp>
      <tp t="s">
        <v>#N/A N/A</v>
        <stp/>
        <stp>BDH|6305042972433831015</stp>
        <tr r="E83" s="2"/>
      </tp>
      <tp t="s">
        <v>#N/A N/A</v>
        <stp/>
        <stp>BDH|6187618708832341077</stp>
        <tr r="W52" s="2"/>
      </tp>
      <tp t="s">
        <v>#N/A N/A</v>
        <stp/>
        <stp>BDH|8324905718071194364</stp>
        <tr r="V16" s="2"/>
      </tp>
      <tp t="s">
        <v>#N/A N/A</v>
        <stp/>
        <stp>BDH|9932015071014688833</stp>
        <tr r="W59" s="2"/>
      </tp>
      <tp t="s">
        <v>#N/A N/A</v>
        <stp/>
        <stp>BDH|2734674008601162758</stp>
        <tr r="T53" s="2"/>
      </tp>
      <tp t="s">
        <v>#N/A N/A</v>
        <stp/>
        <stp>BDH|4616272735840190781</stp>
        <tr r="AE51" s="2"/>
      </tp>
      <tp t="s">
        <v>#N/A N/A</v>
        <stp/>
        <stp>BDH|4579202036637992079</stp>
        <tr r="N56" s="2"/>
      </tp>
      <tp t="s">
        <v>#N/A N/A</v>
        <stp/>
        <stp>BDH|1714630967557801463</stp>
        <tr r="H68" s="2"/>
      </tp>
      <tp t="s">
        <v>#N/A N/A</v>
        <stp/>
        <stp>BDH|3374860991312446221</stp>
        <tr r="S20" s="2"/>
      </tp>
      <tp t="s">
        <v>#N/A N/A</v>
        <stp/>
        <stp>BDH|6766747372142069632</stp>
        <tr r="C74" s="2"/>
      </tp>
      <tp t="s">
        <v>#N/A N/A</v>
        <stp/>
        <stp>BDH|6529257655345647614</stp>
        <tr r="U25" s="2"/>
      </tp>
      <tp t="s">
        <v>#N/A N/A</v>
        <stp/>
        <stp>BDH|4151459192142037941</stp>
        <tr r="AE92" s="2"/>
      </tp>
      <tp t="s">
        <v>#N/A N/A</v>
        <stp/>
        <stp>BDH|3608110742507527336</stp>
        <tr r="C68" s="2"/>
      </tp>
      <tp t="s">
        <v>#N/A N/A</v>
        <stp/>
        <stp>BDH|1821646073645506791</stp>
        <tr r="W81" s="2"/>
      </tp>
      <tp t="s">
        <v>#N/A N/A</v>
        <stp/>
        <stp>BDH|6630357811757265137</stp>
        <tr r="R31" s="2"/>
      </tp>
      <tp t="s">
        <v>#N/A N/A</v>
        <stp/>
        <stp>BDH|1142067753500725602</stp>
        <tr r="U15" s="2"/>
      </tp>
      <tp t="s">
        <v>#N/A N/A</v>
        <stp/>
        <stp>BDH|6097747157545132310</stp>
        <tr r="T64" s="2"/>
      </tp>
      <tp t="s">
        <v>#N/A N/A</v>
        <stp/>
        <stp>BDH|4190773615614628463</stp>
        <tr r="H81" s="2"/>
      </tp>
      <tp t="s">
        <v>#N/A N/A</v>
        <stp/>
        <stp>BDH|1722150271943178613</stp>
        <tr r="Z25" s="2"/>
      </tp>
      <tp t="s">
        <v>#N/A N/A</v>
        <stp/>
        <stp>BDH|4287212822397780163</stp>
        <tr r="Z65" s="2"/>
      </tp>
      <tp t="s">
        <v>#N/A N/A</v>
        <stp/>
        <stp>BDH|3223650066443556246</stp>
        <tr r="AE41" s="2"/>
      </tp>
      <tp t="s">
        <v>#N/A N/A</v>
        <stp/>
        <stp>BDH|1032083915864470698</stp>
        <tr r="Z86" s="2"/>
      </tp>
      <tp t="s">
        <v>#N/A N/A</v>
        <stp/>
        <stp>BDH|3125562794164231918</stp>
        <tr r="Q27" s="2"/>
      </tp>
      <tp t="s">
        <v>#N/A N/A</v>
        <stp/>
        <stp>BDH|9457560251039619258</stp>
        <tr r="AD50" s="2"/>
      </tp>
      <tp t="s">
        <v>#N/A N/A</v>
        <stp/>
        <stp>BDH|9159909147993508539</stp>
        <tr r="Z8" s="2"/>
      </tp>
      <tp t="s">
        <v>#N/A N/A</v>
        <stp/>
        <stp>BDH|6223701813340727273</stp>
        <tr r="X15" s="2"/>
      </tp>
      <tp t="s">
        <v>#N/A N/A</v>
        <stp/>
        <stp>BDH|3465821602410601936</stp>
        <tr r="Y87" s="2"/>
      </tp>
      <tp t="s">
        <v>#N/A N/A</v>
        <stp/>
        <stp>BDH|2617581656693944306</stp>
        <tr r="AD18" s="2"/>
      </tp>
      <tp t="s">
        <v>#N/A N/A</v>
        <stp/>
        <stp>BDH|6541122047975618473</stp>
        <tr r="S30" s="2"/>
      </tp>
      <tp t="s">
        <v>#N/A N/A</v>
        <stp/>
        <stp>BDH|6824000737835825218</stp>
        <tr r="T90" s="2"/>
      </tp>
      <tp t="s">
        <v>#N/A N/A</v>
        <stp/>
        <stp>BDH|2628664576449140815</stp>
        <tr r="M20" s="2"/>
      </tp>
      <tp t="s">
        <v>#N/A N/A</v>
        <stp/>
        <stp>BDH|9785816176595399155</stp>
        <tr r="X89" s="2"/>
      </tp>
      <tp t="s">
        <v>#N/A N/A</v>
        <stp/>
        <stp>BDH|8970272289521706167</stp>
        <tr r="C84" s="2"/>
      </tp>
      <tp t="s">
        <v>#N/A N/A</v>
        <stp/>
        <stp>BDH|6320098168405229761</stp>
        <tr r="T75" s="2"/>
      </tp>
      <tp t="s">
        <v>#N/A N/A</v>
        <stp/>
        <stp>BDH|9698558036949226417</stp>
        <tr r="O18" s="2"/>
      </tp>
      <tp t="s">
        <v>#N/A N/A</v>
        <stp/>
        <stp>BDH|6782102485068551511</stp>
        <tr r="AD45" s="2"/>
      </tp>
      <tp t="s">
        <v>#N/A N/A</v>
        <stp/>
        <stp>BDH|8349204117369370007</stp>
        <tr r="O67" s="2"/>
      </tp>
      <tp t="s">
        <v>#N/A N/A</v>
        <stp/>
        <stp>BDH|1470688264381883277</stp>
        <tr r="W68" s="2"/>
      </tp>
      <tp t="s">
        <v>#N/A N/A</v>
        <stp/>
        <stp>BDH|4235015321305176140</stp>
        <tr r="V44" s="2"/>
      </tp>
      <tp t="s">
        <v>#N/A N/A</v>
        <stp/>
        <stp>BDH|9356466395630276654</stp>
        <tr r="D55" s="2"/>
      </tp>
      <tp t="s">
        <v>#N/A N/A</v>
        <stp/>
        <stp>BDH|9531213657055240962</stp>
        <tr r="K55" s="2"/>
      </tp>
      <tp t="s">
        <v>#N/A N/A</v>
        <stp/>
        <stp>BDH|2816001172643530483</stp>
        <tr r="S19" s="2"/>
      </tp>
      <tp t="s">
        <v>#N/A N/A</v>
        <stp/>
        <stp>BDH|7266294912025862362</stp>
        <tr r="V42" s="2"/>
      </tp>
      <tp t="s">
        <v>#N/A N/A</v>
        <stp/>
        <stp>BDH|2289623596846422957</stp>
        <tr r="G62" s="2"/>
      </tp>
      <tp t="s">
        <v>#N/A N/A</v>
        <stp/>
        <stp>BDH|2948283467015242138</stp>
        <tr r="P34" s="2"/>
      </tp>
      <tp t="s">
        <v>#N/A N/A</v>
        <stp/>
        <stp>BDH|5002165983197404957</stp>
        <tr r="O73" s="2"/>
      </tp>
      <tp t="s">
        <v>#N/A N/A</v>
        <stp/>
        <stp>BDH|2367866373187746853</stp>
        <tr r="L35" s="2"/>
      </tp>
      <tp t="s">
        <v>#N/A N/A</v>
        <stp/>
        <stp>BDH|5929703865977074186</stp>
        <tr r="Y50" s="2"/>
      </tp>
      <tp t="s">
        <v>#N/A N/A</v>
        <stp/>
        <stp>BDH|2696165241694392168</stp>
        <tr r="S62" s="2"/>
      </tp>
      <tp t="s">
        <v>#N/A N/A</v>
        <stp/>
        <stp>BDH|4783117235704574025</stp>
        <tr r="F55" s="2"/>
      </tp>
      <tp t="s">
        <v>#N/A N/A</v>
        <stp/>
        <stp>BDH|5163712791401259878</stp>
        <tr r="W92" s="2"/>
      </tp>
      <tp t="s">
        <v>#N/A N/A</v>
        <stp/>
        <stp>BDH|8228168898835084784</stp>
        <tr r="AD13" s="2"/>
      </tp>
      <tp t="s">
        <v>#N/A N/A</v>
        <stp/>
        <stp>BDH|2234751168401267085</stp>
        <tr r="T57" s="2"/>
      </tp>
      <tp t="s">
        <v>#N/A N/A</v>
        <stp/>
        <stp>BDH|7262055148603281288</stp>
        <tr r="S32" s="2"/>
      </tp>
      <tp t="s">
        <v>#N/A N/A</v>
        <stp/>
        <stp>BDH|7913364478479033827</stp>
        <tr r="R45" s="2"/>
      </tp>
      <tp t="s">
        <v>#N/A N/A</v>
        <stp/>
        <stp>BDH|6963387126845172039</stp>
        <tr r="N92" s="2"/>
      </tp>
      <tp t="s">
        <v>#N/A N/A</v>
        <stp/>
        <stp>BDH|7906438434421242393</stp>
        <tr r="H69" s="2"/>
      </tp>
      <tp t="s">
        <v>#N/A N/A</v>
        <stp/>
        <stp>BDH|9119548790502549554</stp>
        <tr r="W46" s="2"/>
      </tp>
      <tp t="s">
        <v>#N/A N/A</v>
        <stp/>
        <stp>BDH|8393218474937541863</stp>
        <tr r="AD28" s="2"/>
      </tp>
      <tp t="s">
        <v>#N/A N/A</v>
        <stp/>
        <stp>BDH|48277423168961782</stp>
        <tr r="AD24" s="2"/>
      </tp>
      <tp t="s">
        <v>#N/A N/A</v>
        <stp/>
        <stp>BDH|3363655223777716385</stp>
        <tr r="H85" s="2"/>
      </tp>
      <tp t="s">
        <v>#N/A N/A</v>
        <stp/>
        <stp>BDH|2605262340006904132</stp>
        <tr r="D65" s="2"/>
      </tp>
      <tp t="s">
        <v>#N/A N/A</v>
        <stp/>
        <stp>BDH|4150036205446928146</stp>
        <tr r="H50" s="2"/>
      </tp>
      <tp t="s">
        <v>#N/A N/A</v>
        <stp/>
        <stp>BDH|8175938897822866976</stp>
        <tr r="R63" s="2"/>
      </tp>
      <tp t="s">
        <v>#N/A N/A</v>
        <stp/>
        <stp>BDH|3777604033854861165</stp>
        <tr r="AA71" s="2"/>
      </tp>
      <tp t="s">
        <v>#N/A N/A</v>
        <stp/>
        <stp>BDH|6816612904933466031</stp>
        <tr r="AF12" s="2"/>
      </tp>
      <tp t="s">
        <v>#N/A N/A</v>
        <stp/>
        <stp>BDH|2729187750136228378</stp>
        <tr r="W55" s="2"/>
      </tp>
      <tp t="s">
        <v>#N/A N/A</v>
        <stp/>
        <stp>BDH|7967804588337255387</stp>
        <tr r="D91" s="2"/>
      </tp>
      <tp t="s">
        <v>#N/A N/A</v>
        <stp/>
        <stp>BDH|7178306424882791792</stp>
        <tr r="Z82" s="2"/>
      </tp>
      <tp t="s">
        <v>#N/A N/A</v>
        <stp/>
        <stp>BDH|4823144726613353727</stp>
        <tr r="AD40" s="2"/>
      </tp>
      <tp t="s">
        <v>#N/A N/A</v>
        <stp/>
        <stp>BDH|8421546484115921360</stp>
        <tr r="H7" s="2"/>
      </tp>
      <tp t="s">
        <v>#N/A N/A</v>
        <stp/>
        <stp>BDH|8944871845683378406</stp>
        <tr r="M9" s="2"/>
      </tp>
      <tp t="s">
        <v>#N/A N/A</v>
        <stp/>
        <stp>BDH|1553207078531340664</stp>
        <tr r="D72" s="2"/>
      </tp>
      <tp t="s">
        <v>#N/A N/A</v>
        <stp/>
        <stp>BDH|5514747939236538443</stp>
        <tr r="S35" s="2"/>
      </tp>
      <tp t="s">
        <v>#N/A N/A</v>
        <stp/>
        <stp>BDH|2914071566456633173</stp>
        <tr r="L87" s="2"/>
      </tp>
      <tp t="s">
        <v>#N/A N/A</v>
        <stp/>
        <stp>BDH|7686649146642309491</stp>
        <tr r="K20" s="2"/>
      </tp>
      <tp t="s">
        <v>#N/A N/A</v>
        <stp/>
        <stp>BDH|2473584844781182174</stp>
        <tr r="L65" s="2"/>
      </tp>
      <tp t="s">
        <v>#N/A N/A</v>
        <stp/>
        <stp>BDH|4799320325392809460</stp>
        <tr r="K28" s="2"/>
      </tp>
      <tp t="s">
        <v>#N/A N/A</v>
        <stp/>
        <stp>BDH|1696140759072774437</stp>
        <tr r="Y68" s="2"/>
      </tp>
      <tp t="s">
        <v>#N/A N/A</v>
        <stp/>
        <stp>BDH|6138547658146051328</stp>
        <tr r="U83" s="2"/>
      </tp>
      <tp t="s">
        <v>#N/A N/A</v>
        <stp/>
        <stp>BDH|4360003238157479333</stp>
        <tr r="X19" s="2"/>
      </tp>
      <tp t="s">
        <v>#N/A N/A</v>
        <stp/>
        <stp>BDH|2659242245352862530</stp>
        <tr r="N89" s="2"/>
      </tp>
      <tp t="s">
        <v>#N/A N/A</v>
        <stp/>
        <stp>BDH|5410173636723900701</stp>
        <tr r="C83" s="2"/>
      </tp>
      <tp t="s">
        <v>#N/A N/A</v>
        <stp/>
        <stp>BDH|2492399477595347040</stp>
        <tr r="AB57" s="2"/>
      </tp>
      <tp t="s">
        <v>#N/A N/A</v>
        <stp/>
        <stp>BDH|7817680155367862000</stp>
        <tr r="Y72" s="2"/>
      </tp>
      <tp t="s">
        <v>#N/A N/A</v>
        <stp/>
        <stp>BDH|2091033499139530125</stp>
        <tr r="D28" s="2"/>
      </tp>
      <tp t="s">
        <v>#N/A N/A</v>
        <stp/>
        <stp>BDH|1452169764540534518</stp>
        <tr r="E29" s="2"/>
      </tp>
      <tp t="s">
        <v>#N/A N/A</v>
        <stp/>
        <stp>BDH|9356879703032490010</stp>
        <tr r="E18" s="2"/>
      </tp>
      <tp t="s">
        <v>#N/A N/A</v>
        <stp/>
        <stp>BDH|3117217853471931684</stp>
        <tr r="F40" s="2"/>
      </tp>
      <tp t="s">
        <v>#N/A N/A</v>
        <stp/>
        <stp>BDH|4788768623607027502</stp>
        <tr r="C32" s="2"/>
      </tp>
      <tp t="s">
        <v>#N/A N/A</v>
        <stp/>
        <stp>BDH|1353576431192301648</stp>
        <tr r="AF86" s="2"/>
      </tp>
      <tp t="s">
        <v>#N/A N/A</v>
        <stp/>
        <stp>BDH|1120351946315296025</stp>
        <tr r="J7" s="2"/>
      </tp>
      <tp t="s">
        <v>#N/A N/A</v>
        <stp/>
        <stp>BDH|4506016881997759804</stp>
        <tr r="I65" s="2"/>
      </tp>
      <tp t="s">
        <v>#N/A N/A</v>
        <stp/>
        <stp>BDH|2734355985068716236</stp>
        <tr r="AC12" s="2"/>
      </tp>
      <tp t="s">
        <v>#N/A N/A</v>
        <stp/>
        <stp>BDH|7987172569823244065</stp>
        <tr r="V85" s="2"/>
      </tp>
      <tp t="s">
        <v>#N/A N/A</v>
        <stp/>
        <stp>BDH|9422228994903616277</stp>
        <tr r="S46" s="2"/>
      </tp>
      <tp t="s">
        <v>#N/A N/A</v>
        <stp/>
        <stp>BDH|5429212217080339525</stp>
        <tr r="J45" s="2"/>
      </tp>
      <tp t="s">
        <v>#N/A N/A</v>
        <stp/>
        <stp>BDH|4637124575884045522</stp>
        <tr r="F22" s="2"/>
      </tp>
      <tp t="s">
        <v>#N/A N/A</v>
        <stp/>
        <stp>BDH|5606272016631243468</stp>
        <tr r="Y24" s="2"/>
      </tp>
      <tp t="s">
        <v>#N/A N/A</v>
        <stp/>
        <stp>BDH|9194714609139256483</stp>
        <tr r="I74" s="2"/>
      </tp>
      <tp t="s">
        <v>#N/A N/A</v>
        <stp/>
        <stp>BDH|9383882630571824001</stp>
        <tr r="Y25" s="2"/>
      </tp>
      <tp t="s">
        <v>#N/A N/A</v>
        <stp/>
        <stp>BDH|2237702263542239234</stp>
        <tr r="AC60" s="2"/>
      </tp>
      <tp t="s">
        <v>#N/A N/A</v>
        <stp/>
        <stp>BDH|3703394435402957222</stp>
        <tr r="S13" s="2"/>
      </tp>
      <tp t="s">
        <v>#N/A N/A</v>
        <stp/>
        <stp>BDH|8190790880156871207</stp>
        <tr r="V34" s="2"/>
      </tp>
      <tp t="s">
        <v>#N/A N/A</v>
        <stp/>
        <stp>BDH|2916757270626887744</stp>
        <tr r="X47" s="2"/>
      </tp>
      <tp t="s">
        <v>#N/A N/A</v>
        <stp/>
        <stp>BDH|6588353408022127495</stp>
        <tr r="AB63" s="2"/>
      </tp>
      <tp t="s">
        <v>#N/A N/A</v>
        <stp/>
        <stp>BDH|2410666900111793653</stp>
        <tr r="S91" s="2"/>
      </tp>
      <tp t="s">
        <v>#N/A N/A</v>
        <stp/>
        <stp>BDH|9342484652208903313</stp>
        <tr r="F67" s="2"/>
      </tp>
      <tp t="s">
        <v>#N/A N/A</v>
        <stp/>
        <stp>BDH|1707623241342426217</stp>
        <tr r="Z20" s="2"/>
      </tp>
      <tp t="s">
        <v>#N/A N/A</v>
        <stp/>
        <stp>BDH|3838382041663788472</stp>
        <tr r="M65" s="2"/>
      </tp>
      <tp t="s">
        <v>#N/A N/A</v>
        <stp/>
        <stp>BDH|2598463533257620177</stp>
        <tr r="E17" s="2"/>
      </tp>
      <tp t="s">
        <v>#N/A N/A</v>
        <stp/>
        <stp>BDH|6841354844617994510</stp>
        <tr r="AD62" s="2"/>
      </tp>
      <tp t="s">
        <v>#N/A N/A</v>
        <stp/>
        <stp>BDH|1242886286127964534</stp>
        <tr r="C30" s="2"/>
      </tp>
      <tp t="s">
        <v>#N/A N/A</v>
        <stp/>
        <stp>BDH|5916092619212821570</stp>
        <tr r="Y69" s="2"/>
      </tp>
      <tp t="s">
        <v>#N/A N/A</v>
        <stp/>
        <stp>BDH|7652855234638514745</stp>
        <tr r="R83" s="2"/>
      </tp>
      <tp t="s">
        <v>#N/A N/A</v>
        <stp/>
        <stp>BDH|7683417947191329559</stp>
        <tr r="L40" s="2"/>
      </tp>
      <tp t="s">
        <v>#N/A N/A</v>
        <stp/>
        <stp>BDH|2107080292468449097</stp>
        <tr r="M87" s="2"/>
      </tp>
      <tp t="s">
        <v>#N/A N/A</v>
        <stp/>
        <stp>BDH|1370863482233195109</stp>
        <tr r="AC29" s="2"/>
      </tp>
      <tp t="s">
        <v>#N/A N/A</v>
        <stp/>
        <stp>BDH|6350185051243491283</stp>
        <tr r="AC13" s="2"/>
      </tp>
      <tp t="s">
        <v>#N/A N/A</v>
        <stp/>
        <stp>BDH|5179643512390127117</stp>
        <tr r="E25" s="2"/>
      </tp>
      <tp t="s">
        <v>#N/A N/A</v>
        <stp/>
        <stp>BDH|6658073671476474432</stp>
        <tr r="V50" s="2"/>
      </tp>
      <tp t="s">
        <v>#N/A N/A</v>
        <stp/>
        <stp>BDH|8250511821505565900</stp>
        <tr r="D60" s="2"/>
      </tp>
      <tp t="s">
        <v>#N/A N/A</v>
        <stp/>
        <stp>BDH|3977816884522362285</stp>
        <tr r="K52" s="2"/>
      </tp>
      <tp t="s">
        <v>#N/A N/A</v>
        <stp/>
        <stp>BDH|9691359000158730139</stp>
        <tr r="AB20" s="2"/>
      </tp>
      <tp t="s">
        <v>#N/A N/A</v>
        <stp/>
        <stp>BDH|6506131251167011630</stp>
        <tr r="Q18" s="2"/>
      </tp>
      <tp t="s">
        <v>#N/A N/A</v>
        <stp/>
        <stp>BDH|5455143741285266673</stp>
        <tr r="M85" s="2"/>
      </tp>
      <tp t="s">
        <v>#N/A N/A</v>
        <stp/>
        <stp>BDH|9563256293436515726</stp>
        <tr r="AA53" s="2"/>
      </tp>
      <tp t="s">
        <v>#N/A N/A</v>
        <stp/>
        <stp>BDH|4710533952645734255</stp>
        <tr r="AF65" s="2"/>
      </tp>
      <tp t="s">
        <v>#N/A N/A</v>
        <stp/>
        <stp>BDH|1320589629984037165</stp>
        <tr r="V54" s="2"/>
      </tp>
      <tp t="s">
        <v>#N/A N/A</v>
        <stp/>
        <stp>BDH|1001715493775632909</stp>
        <tr r="F63" s="2"/>
      </tp>
      <tp t="s">
        <v>#N/A N/A</v>
        <stp/>
        <stp>BDH|8974405858849682323</stp>
        <tr r="X39" s="2"/>
      </tp>
      <tp t="s">
        <v>#N/A N/A</v>
        <stp/>
        <stp>BDH|5071310564443174010</stp>
        <tr r="P61" s="2"/>
      </tp>
      <tp t="s">
        <v>#N/A N/A</v>
        <stp/>
        <stp>BDH|6022038061781611216</stp>
        <tr r="X88" s="2"/>
      </tp>
      <tp t="s">
        <v>#N/A N/A</v>
        <stp/>
        <stp>BDH|303974090005475081</stp>
        <tr r="E39" s="2"/>
      </tp>
      <tp t="s">
        <v>#N/A N/A</v>
        <stp/>
        <stp>BDH|583642482233836805</stp>
        <tr r="AF35" s="2"/>
      </tp>
      <tp t="s">
        <v>#N/A N/A</v>
        <stp/>
        <stp>BDH|103003304473368635</stp>
        <tr r="K59" s="2"/>
      </tp>
      <tp t="s">
        <v>#N/A N/A</v>
        <stp/>
        <stp>BDH|416817575229122378</stp>
        <tr r="AD35" s="2"/>
      </tp>
      <tp t="s">
        <v>#N/A N/A</v>
        <stp/>
        <stp>BDH|949923499385030052</stp>
        <tr r="M29" s="2"/>
      </tp>
      <tp t="s">
        <v>#N/A N/A</v>
        <stp/>
        <stp>BDH|916267859504082663</stp>
        <tr r="V82" s="2"/>
      </tp>
      <tp t="s">
        <v>#N/A N/A</v>
        <stp/>
        <stp>BDH|696911714014677944</stp>
        <tr r="D88" s="2"/>
      </tp>
      <tp t="s">
        <v>#N/A N/A</v>
        <stp/>
        <stp>BDH|661753783469800396</stp>
        <tr r="AF33" s="2"/>
      </tp>
      <tp t="s">
        <v>#N/A N/A</v>
        <stp/>
        <stp>BDH|983603376697874348</stp>
        <tr r="K63" s="2"/>
      </tp>
      <tp t="s">
        <v>#N/A N/A</v>
        <stp/>
        <stp>BDH|651109398724351818</stp>
        <tr r="AF88" s="2"/>
      </tp>
      <tp t="s">
        <v>#N/A N/A</v>
        <stp/>
        <stp>BDH|947407269603939577</stp>
        <tr r="AB87" s="2"/>
      </tp>
      <tp t="s">
        <v>#N/A N/A</v>
        <stp/>
        <stp>BDH|458299192539684626</stp>
        <tr r="AC75" s="2"/>
      </tp>
      <tp t="s">
        <v>#N/A N/A</v>
        <stp/>
        <stp>BDH|276825056451488866</stp>
        <tr r="AA59" s="2"/>
      </tp>
      <tp t="s">
        <v>#N/A N/A</v>
        <stp/>
        <stp>BDH|346777355252757436</stp>
        <tr r="L73" s="2"/>
      </tp>
      <tp t="s">
        <v>#N/A N/A</v>
        <stp/>
        <stp>BDH|703469076747702008</stp>
        <tr r="P73" s="2"/>
      </tp>
      <tp t="s">
        <v>#N/A N/A</v>
        <stp/>
        <stp>BDH|777325055292100025</stp>
        <tr r="AC23" s="2"/>
      </tp>
      <tp t="s">
        <v>#N/A N/A</v>
        <stp/>
        <stp>BDH|467768857331123495</stp>
        <tr r="G12" s="2"/>
      </tp>
      <tp t="s">
        <v>#N/A N/A</v>
        <stp/>
        <stp>BDH|112034261771455095</stp>
        <tr r="T41" s="2"/>
      </tp>
      <tp t="s">
        <v>#N/A N/A</v>
        <stp/>
        <stp>BDH|241915326274358881</stp>
        <tr r="AE33" s="2"/>
      </tp>
      <tp t="s">
        <v>#N/A N/A</v>
        <stp/>
        <stp>BDH|487375209183917787</stp>
        <tr r="K9" s="2"/>
      </tp>
      <tp t="s">
        <v>#N/A N/A</v>
        <stp/>
        <stp>BDH|935093020873075640</stp>
        <tr r="K53" s="2"/>
      </tp>
      <tp t="s">
        <v>#N/A N/A</v>
        <stp/>
        <stp>BDH|602547070984482120</stp>
        <tr r="V67" s="2"/>
      </tp>
      <tp t="s">
        <v>#N/A N/A</v>
        <stp/>
        <stp>BDH|235005357015381729</stp>
        <tr r="L7" s="2"/>
      </tp>
      <tp t="s">
        <v>#N/A N/A</v>
        <stp/>
        <stp>BDH|341928890743309472</stp>
        <tr r="Y19" s="2"/>
      </tp>
      <tp t="s">
        <v>#N/A N/A</v>
        <stp/>
        <stp>BDH|159231651171698141</stp>
        <tr r="W35" s="2"/>
      </tp>
      <tp t="s">
        <v>#N/A N/A</v>
        <stp/>
        <stp>BDH|104609488019458119</stp>
        <tr r="N24" s="2"/>
      </tp>
      <tp t="s">
        <v>#N/A N/A</v>
        <stp/>
        <stp>BDH|412809228989759514</stp>
        <tr r="S9" s="2"/>
      </tp>
      <tp t="s">
        <v>#N/A N/A</v>
        <stp/>
        <stp>BDH|742458607524837666</stp>
        <tr r="O31" s="2"/>
      </tp>
      <tp t="s">
        <v>#N/A N/A</v>
        <stp/>
        <stp>BDH|941399906536739352</stp>
        <tr r="AE89" s="2"/>
      </tp>
      <tp t="s">
        <v>#N/A N/A</v>
        <stp/>
        <stp>BDH|743519017335432731</stp>
        <tr r="Z40" s="2"/>
      </tp>
      <tp t="s">
        <v>#N/A N/A</v>
        <stp/>
        <stp>BDH|672211605142454612</stp>
        <tr r="T76" s="2"/>
      </tp>
      <tp t="s">
        <v>#N/A N/A</v>
        <stp/>
        <stp>BDH|479655041335675166</stp>
        <tr r="J25" s="2"/>
      </tp>
      <tp t="s">
        <v>#N/A N/A</v>
        <stp/>
        <stp>BDH|195713236841439306</stp>
        <tr r="W9" s="2"/>
      </tp>
      <tp t="s">
        <v>#N/A N/A</v>
        <stp/>
        <stp>BDH|189632063047840649</stp>
        <tr r="AA25" s="2"/>
      </tp>
      <tp t="s">
        <v>#N/A N/A</v>
        <stp/>
        <stp>BDH|366418649536776748</stp>
        <tr r="E82" s="2"/>
      </tp>
      <tp t="s">
        <v>#N/A N/A</v>
        <stp/>
        <stp>BDH|302126003932842209</stp>
        <tr r="K89" s="2"/>
      </tp>
      <tp t="s">
        <v>#N/A N/A</v>
        <stp/>
        <stp>BDH|866781775647926667</stp>
        <tr r="U64" s="2"/>
      </tp>
      <tp t="s">
        <v>#N/A N/A</v>
        <stp/>
        <stp>BDH|741937959695364847</stp>
        <tr r="AB43" s="2"/>
      </tp>
      <tp t="s">
        <v>#N/A N/A</v>
        <stp/>
        <stp>BDH|772644306560820789</stp>
        <tr r="O23" s="2"/>
      </tp>
      <tp t="s">
        <v>#N/A N/A</v>
        <stp/>
        <stp>BDH|328191794619104094</stp>
        <tr r="S71" s="2"/>
      </tp>
      <tp t="s">
        <v>#N/A N/A</v>
        <stp/>
        <stp>BDH|729862926139302225</stp>
        <tr r="T7" s="2"/>
      </tp>
      <tp t="s">
        <v>#N/A N/A</v>
        <stp/>
        <stp>BDH|186032353911185573</stp>
        <tr r="Z49" s="2"/>
      </tp>
      <tp t="s">
        <v>#N/A N/A</v>
        <stp/>
        <stp>BDH|587602043462015119</stp>
        <tr r="AD51" s="2"/>
      </tp>
      <tp t="s">
        <v>#N/A N/A</v>
        <stp/>
        <stp>BDH|199677347703366058</stp>
        <tr r="R17" s="2"/>
      </tp>
      <tp t="s">
        <v>#N/A N/A</v>
        <stp/>
        <stp>BDH|591000307173633248</stp>
        <tr r="T44" s="2"/>
      </tp>
      <tp t="s">
        <v>#N/A N/A</v>
        <stp/>
        <stp>BDH|743140419949353880</stp>
        <tr r="E10" s="2"/>
      </tp>
      <tp t="s">
        <v>#N/A N/A</v>
        <stp/>
        <stp>BDH|129398168554473062</stp>
        <tr r="L11" s="2"/>
      </tp>
      <tp t="s">
        <v>#N/A N/A</v>
        <stp/>
        <stp>BDH|260751656730278303</stp>
        <tr r="U67" s="2"/>
      </tp>
      <tp t="s">
        <v>#N/A N/A</v>
        <stp/>
        <stp>BDH|128177970833922505</stp>
        <tr r="AB81" s="2"/>
      </tp>
      <tp t="s">
        <v>#N/A N/A</v>
        <stp/>
        <stp>BDH|263692153807527472</stp>
        <tr r="Y9" s="2"/>
      </tp>
      <tp t="s">
        <v>#N/A N/A</v>
        <stp/>
        <stp>BDH|843421524413591514</stp>
        <tr r="Q15" s="2"/>
      </tp>
      <tp t="s">
        <v>#N/A N/A</v>
        <stp/>
        <stp>BDH|963531655755276597</stp>
        <tr r="H86" s="2"/>
      </tp>
      <tp t="s">
        <v>#N/A N/A</v>
        <stp/>
        <stp>BDH|979140956165988171</stp>
        <tr r="M63" s="2"/>
      </tp>
      <tp t="s">
        <v>#N/A N/A</v>
        <stp/>
        <stp>BDH|825119349040532505</stp>
        <tr r="Y29" s="2"/>
      </tp>
      <tp t="s">
        <v>#N/A N/A</v>
        <stp/>
        <stp>BDH|571788628226706370</stp>
        <tr r="S60" s="2"/>
      </tp>
      <tp t="s">
        <v>#N/A N/A</v>
        <stp/>
        <stp>BDH|603180591209366195</stp>
        <tr r="AB54" s="2"/>
      </tp>
      <tp t="s">
        <v>#N/A N/A</v>
        <stp/>
        <stp>BDH|459284326206264690</stp>
        <tr r="L67" s="2"/>
      </tp>
      <tp t="s">
        <v>#N/A N/A</v>
        <stp/>
        <stp>BDH|756451665701578310</stp>
        <tr r="D8" s="2"/>
      </tp>
      <tp t="s">
        <v>#N/A N/A</v>
        <stp/>
        <stp>BDH|908744979516361592</stp>
        <tr r="O44" s="2"/>
      </tp>
      <tp t="s">
        <v>#N/A N/A</v>
        <stp/>
        <stp>BDH|375288414732180211</stp>
        <tr r="G52" s="2"/>
      </tp>
      <tp t="s">
        <v>#N/A N/A</v>
        <stp/>
        <stp>BDH|990391752440369591</stp>
        <tr r="AF27" s="2"/>
      </tp>
      <tp t="s">
        <v>#N/A N/A</v>
        <stp/>
        <stp>BDH|775130062715972172</stp>
        <tr r="X48" s="2"/>
      </tp>
      <tp t="s">
        <v>#N/A N/A</v>
        <stp/>
        <stp>BDH|594825603162025900</stp>
        <tr r="R39" s="2"/>
      </tp>
      <tp t="s">
        <v>#N/A N/A</v>
        <stp/>
        <stp>BDH|732469044396413455</stp>
        <tr r="N44" s="2"/>
      </tp>
      <tp t="s">
        <v>#N/A N/A</v>
        <stp/>
        <stp>BDH|580273513028569931</stp>
        <tr r="S64" s="2"/>
      </tp>
      <tp t="s">
        <v>#N/A N/A</v>
        <stp/>
        <stp>BDH|156070450151195608</stp>
        <tr r="N31" s="2"/>
      </tp>
      <tp t="s">
        <v>#N/A N/A</v>
        <stp/>
        <stp>BDH|232702881425194839</stp>
        <tr r="C54" s="2"/>
      </tp>
      <tp t="s">
        <v>#N/A N/A</v>
        <stp/>
        <stp>BDH|655477489546072760</stp>
        <tr r="T81" s="2"/>
      </tp>
      <tp t="s">
        <v>#N/A N/A</v>
        <stp/>
        <stp>BDH|390556676636122910</stp>
        <tr r="X67" s="2"/>
      </tp>
      <tp t="s">
        <v>#N/A N/A</v>
        <stp/>
        <stp>BDH|134061258489323026</stp>
        <tr r="D61" s="2"/>
      </tp>
      <tp t="s">
        <v>#N/A N/A</v>
        <stp/>
        <stp>BDH|889930160260208379</stp>
        <tr r="O55" s="2"/>
      </tp>
      <tp t="s">
        <v>#N/A N/A</v>
        <stp/>
        <stp>BDH|349457026763876902</stp>
        <tr r="O62" s="2"/>
      </tp>
      <tp t="s">
        <v>#N/A N/A</v>
        <stp/>
        <stp>BDH|355298877659576013</stp>
        <tr r="AB26" s="2"/>
      </tp>
      <tp t="s">
        <v>#N/A N/A</v>
        <stp/>
        <stp>BDH|882097482085886119</stp>
        <tr r="Z68" s="2"/>
      </tp>
      <tp t="s">
        <v>#N/A N/A</v>
        <stp/>
        <stp>BDH|776623530500496956</stp>
        <tr r="AA21" s="2"/>
      </tp>
      <tp t="s">
        <v>#N/A N/A</v>
        <stp/>
        <stp>BDH|455979717312995694</stp>
        <tr r="T32" s="2"/>
      </tp>
      <tp t="s">
        <v>#N/A N/A</v>
        <stp/>
        <stp>BDH|604822341338929885</stp>
        <tr r="AD46" s="2"/>
      </tp>
      <tp t="s">
        <v>#N/A N/A</v>
        <stp/>
        <stp>BDH|138766898104790685</stp>
        <tr r="R41" s="2"/>
      </tp>
      <tp t="s">
        <v>#N/A N/A</v>
        <stp/>
        <stp>BDH|619943642021505060</stp>
        <tr r="Y8" s="2"/>
      </tp>
      <tp t="s">
        <v>#N/A N/A</v>
        <stp/>
        <stp>BDH|899239743951486800</stp>
        <tr r="S10" s="2"/>
      </tp>
      <tp t="s">
        <v>#N/A N/A</v>
        <stp/>
        <stp>BDH|852826938260806437</stp>
        <tr r="Y26" s="2"/>
      </tp>
      <tp t="s">
        <v>#N/A N/A</v>
        <stp/>
        <stp>BDH|927024786416355149</stp>
        <tr r="AD85" s="2"/>
      </tp>
      <tp t="s">
        <v>#N/A N/A</v>
        <stp/>
        <stp>BDH|323100675271079820</stp>
        <tr r="AB61" s="2"/>
      </tp>
      <tp t="s">
        <v>#N/A N/A</v>
        <stp/>
        <stp>BDH|169057294855607306</stp>
        <tr r="L44" s="2"/>
      </tp>
      <tp t="s">
        <v>#N/A N/A</v>
        <stp/>
        <stp>BDH|171948611163785452</stp>
        <tr r="D49" s="2"/>
      </tp>
      <tp t="s">
        <v>#N/A N/A</v>
        <stp/>
        <stp>BDH|157143095344117362</stp>
        <tr r="AE90" s="2"/>
      </tp>
      <tp t="s">
        <v>#N/A N/A</v>
        <stp/>
        <stp>BDH|420679655748369454</stp>
        <tr r="P62" s="2"/>
      </tp>
      <tp t="s">
        <v>#N/A N/A</v>
        <stp/>
        <stp>BDH|934946244217145581</stp>
        <tr r="F74" s="2"/>
      </tp>
      <tp t="s">
        <v>#N/A N/A</v>
        <stp/>
        <stp>BDH|538652692406158625</stp>
        <tr r="Y65" s="2"/>
      </tp>
      <tp t="s">
        <v>#N/A N/A</v>
        <stp/>
        <stp>BDH|459947630282965654</stp>
        <tr r="O49" s="2"/>
      </tp>
      <tp t="s">
        <v>#N/A N/A</v>
        <stp/>
        <stp>BDH|683039498417154090</stp>
        <tr r="S7" s="2"/>
      </tp>
      <tp t="s">
        <v>#N/A N/A</v>
        <stp/>
        <stp>BDH|143987854837940533</stp>
        <tr r="F52" s="2"/>
      </tp>
      <tp t="s">
        <v>#N/A N/A</v>
        <stp/>
        <stp>BDH|112371189734847682</stp>
        <tr r="L85" s="2"/>
      </tp>
      <tp t="s">
        <v>#N/A N/A</v>
        <stp/>
        <stp>BDH|408380128749948125</stp>
        <tr r="J75" s="2"/>
      </tp>
      <tp t="s">
        <v>#N/A N/A</v>
        <stp/>
        <stp>BDH|652382195380304304</stp>
        <tr r="W49" s="2"/>
      </tp>
      <tp t="s">
        <v>#N/A N/A</v>
        <stp/>
        <stp>BDH|972022585830050158</stp>
        <tr r="AB82" s="2"/>
      </tp>
      <tp t="s">
        <v>#N/A N/A</v>
        <stp/>
        <stp>BDH|663908362687986189</stp>
        <tr r="AE49" s="2"/>
      </tp>
      <tp t="s">
        <v>#N/A N/A</v>
        <stp/>
        <stp>BDH|968689515498056629</stp>
        <tr r="I47" s="2"/>
      </tp>
      <tp t="s">
        <v>#N/A N/A</v>
        <stp/>
        <stp>BDH|592529691846126371</stp>
        <tr r="Z84" s="2"/>
      </tp>
      <tp t="s">
        <v>#N/A N/A</v>
        <stp/>
        <stp>BDH|935134772798004785</stp>
        <tr r="AC49" s="2"/>
      </tp>
      <tp t="s">
        <v>#N/A N/A</v>
        <stp/>
        <stp>BDH|802147494615024555</stp>
        <tr r="U20" s="2"/>
      </tp>
      <tp t="s">
        <v>#N/A N/A</v>
        <stp/>
        <stp>BDH|977410317068414523</stp>
        <tr r="C92" s="2"/>
      </tp>
      <tp t="s">
        <v>#N/A N/A</v>
        <stp/>
        <stp>BDH|196330128019428055</stp>
        <tr r="D22" s="2"/>
      </tp>
      <tp t="s">
        <v>#N/A N/A</v>
        <stp/>
        <stp>BDH|617495536138869744</stp>
        <tr r="Y51" s="2"/>
      </tp>
      <tp t="s">
        <v>#N/A N/A</v>
        <stp/>
        <stp>BDH|906355661358389588</stp>
        <tr r="AE44" s="2"/>
      </tp>
      <tp t="s">
        <v>#N/A N/A</v>
        <stp/>
        <stp>BDH|652830742475033102</stp>
        <tr r="Q51" s="2"/>
      </tp>
      <tp t="s">
        <v>#N/A N/A</v>
        <stp/>
        <stp>BDH|717375128788136234</stp>
        <tr r="AB90" s="2"/>
      </tp>
      <tp t="s">
        <v>#N/A N/A</v>
        <stp/>
        <stp>BDH|155520087913418543</stp>
        <tr r="Q64" s="2"/>
      </tp>
      <tp t="s">
        <v>#N/A N/A</v>
        <stp/>
        <stp>BDH|701837734937048752</stp>
        <tr r="E56" s="2"/>
      </tp>
      <tp t="s">
        <v>#N/A N/A</v>
        <stp/>
        <stp>BDH|351207197283068324</stp>
        <tr r="AB62" s="2"/>
      </tp>
      <tp t="s">
        <v>#N/A N/A</v>
        <stp/>
        <stp>BDH|230455163560195894</stp>
        <tr r="M74" s="2"/>
      </tp>
      <tp t="s">
        <v>#N/A N/A</v>
        <stp/>
        <stp>BDH|239402391012660595</stp>
        <tr r="AB21" s="2"/>
      </tp>
      <tp t="s">
        <v>#N/A N/A</v>
        <stp/>
        <stp>BDH|226260212600999911</stp>
        <tr r="N42" s="2"/>
      </tp>
      <tp t="s">
        <v>#N/A N/A</v>
        <stp/>
        <stp>BDH|685382235828884292</stp>
        <tr r="AB15" s="2"/>
      </tp>
      <tp t="s">
        <v>#N/A N/A</v>
        <stp/>
        <stp>BDH|872707049561948825</stp>
        <tr r="C65" s="2"/>
      </tp>
      <tp t="s">
        <v>#N/A N/A</v>
        <stp/>
        <stp>BDH|817175878749546575</stp>
        <tr r="X26" s="2"/>
      </tp>
      <tp t="s">
        <v>#N/A N/A</v>
        <stp/>
        <stp>BDH|937298990685456462</stp>
        <tr r="W26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3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0" t="s">
        <v>66</v>
      </c>
      <c r="B7" s="10" t="s">
        <v>67</v>
      </c>
      <c r="C7" s="13" cm="1">
        <f t="array" ref="C7">_xll.BDH("CMI US Equity","CASH_CASH_EQTY_STI_DETAILED","FQ3 2018","FQ3 2018","Currency=USD","Period=FQ","BEST_FPERIOD_OVERRIDE=FQ","FILING_STATUS=MR","SCALING_FORMAT=MLN","Sort=A","Dates=H","DateFormat=P","Fill=—","Direction=H","UseDPDF=Y")</f>
        <v>1407</v>
      </c>
      <c r="D7" s="13" cm="1">
        <f t="array" ref="D7">_xll.BDH("CMI US Equity","CASH_CASH_EQTY_STI_DETAILED","FQ4 2018","FQ4 2018","Currency=USD","Period=FQ","BEST_FPERIOD_OVERRIDE=FQ","FILING_STATUS=MR","SCALING_FORMAT=MLN","Sort=A","Dates=H","DateFormat=P","Fill=—","Direction=H","UseDPDF=Y")</f>
        <v>1525</v>
      </c>
      <c r="E7" s="13" cm="1">
        <f t="array" ref="E7">_xll.BDH("CMI US Equity","CASH_CASH_EQTY_STI_DETAILED","FQ1 2019","FQ1 2019","Currency=USD","Period=FQ","BEST_FPERIOD_OVERRIDE=FQ","FILING_STATUS=MR","SCALING_FORMAT=MLN","Sort=A","Dates=H","DateFormat=P","Fill=—","Direction=H","UseDPDF=Y")</f>
        <v>1574</v>
      </c>
      <c r="F7" s="13" cm="1">
        <f t="array" ref="F7">_xll.BDH("CMI US Equity","CASH_CASH_EQTY_STI_DETAILED","FQ2 2019","FQ2 2019","Currency=USD","Period=FQ","BEST_FPERIOD_OVERRIDE=FQ","FILING_STATUS=MR","SCALING_FORMAT=MLN","Sort=A","Dates=H","DateFormat=P","Fill=—","Direction=H","UseDPDF=Y")</f>
        <v>1732</v>
      </c>
      <c r="G7" s="13" cm="1">
        <f t="array" ref="G7">_xll.BDH("CMI US Equity","CASH_CASH_EQTY_STI_DETAILED","FQ3 2019","FQ3 2019","Currency=USD","Period=FQ","BEST_FPERIOD_OVERRIDE=FQ","FILING_STATUS=MR","SCALING_FORMAT=MLN","Sort=A","Dates=H","DateFormat=P","Fill=—","Direction=H","UseDPDF=Y")</f>
        <v>1863</v>
      </c>
      <c r="H7" s="13" cm="1">
        <f t="array" ref="H7">_xll.BDH("CMI US Equity","CASH_CASH_EQTY_STI_DETAILED","FQ4 2019","FQ4 2019","Currency=USD","Period=FQ","BEST_FPERIOD_OVERRIDE=FQ","FILING_STATUS=MR","SCALING_FORMAT=MLN","Sort=A","Dates=H","DateFormat=P","Fill=—","Direction=H","UseDPDF=Y")</f>
        <v>1470</v>
      </c>
      <c r="I7" s="13" cm="1">
        <f t="array" ref="I7">_xll.BDH("CMI US Equity","CASH_CASH_EQTY_STI_DETAILED","FQ1 2020","FQ1 2020","Currency=USD","Period=FQ","BEST_FPERIOD_OVERRIDE=FQ","FILING_STATUS=MR","SCALING_FORMAT=MLN","Sort=A","Dates=H","DateFormat=P","Fill=—","Direction=H","UseDPDF=Y")</f>
        <v>2030</v>
      </c>
      <c r="J7" s="13" cm="1">
        <f t="array" ref="J7">_xll.BDH("CMI US Equity","CASH_CASH_EQTY_STI_DETAILED","FQ2 2020","FQ2 2020","Currency=USD","Period=FQ","BEST_FPERIOD_OVERRIDE=FQ","FILING_STATUS=MR","SCALING_FORMAT=MLN","Sort=A","Dates=H","DateFormat=P","Fill=—","Direction=H","UseDPDF=Y")</f>
        <v>2104</v>
      </c>
      <c r="K7" s="13" cm="1">
        <f t="array" ref="K7">_xll.BDH("CMI US Equity","CASH_CASH_EQTY_STI_DETAILED","FQ3 2020","FQ3 2020","Currency=USD","Period=FQ","BEST_FPERIOD_OVERRIDE=FQ","FILING_STATUS=MR","SCALING_FORMAT=MLN","Sort=A","Dates=H","DateFormat=P","Fill=—","Direction=H","UseDPDF=Y")</f>
        <v>3312</v>
      </c>
      <c r="L7" s="13" cm="1">
        <f t="array" ref="L7">_xll.BDH("CMI US Equity","CASH_CASH_EQTY_STI_DETAILED","FQ4 2020","FQ4 2020","Currency=USD","Period=FQ","BEST_FPERIOD_OVERRIDE=FQ","FILING_STATUS=MR","SCALING_FORMAT=MLN","Sort=A","Dates=H","DateFormat=P","Fill=—","Direction=H","UseDPDF=Y")</f>
        <v>3862</v>
      </c>
      <c r="M7" s="13" cm="1">
        <f t="array" ref="M7">_xll.BDH("CMI US Equity","CASH_CASH_EQTY_STI_DETAILED","FQ1 2021","FQ1 2021","Currency=USD","Period=FQ","BEST_FPERIOD_OVERRIDE=FQ","FILING_STATUS=MR","SCALING_FORMAT=MLN","Sort=A","Dates=H","DateFormat=P","Fill=—","Direction=H","UseDPDF=Y")</f>
        <v>3355</v>
      </c>
      <c r="N7" s="13" cm="1">
        <f t="array" ref="N7">_xll.BDH("CMI US Equity","CASH_CASH_EQTY_STI_DETAILED","FQ2 2021","FQ2 2021","Currency=USD","Period=FQ","BEST_FPERIOD_OVERRIDE=FQ","FILING_STATUS=MR","SCALING_FORMAT=MLN","Sort=A","Dates=H","DateFormat=P","Fill=—","Direction=H","UseDPDF=Y")</f>
        <v>2919</v>
      </c>
      <c r="O7" s="13" cm="1">
        <f t="array" ref="O7">_xll.BDH("CMI US Equity","CASH_CASH_EQTY_STI_DETAILED","FQ3 2021","FQ3 2021","Currency=USD","Period=FQ","BEST_FPERIOD_OVERRIDE=FQ","FILING_STATUS=MR","SCALING_FORMAT=MLN","Sort=A","Dates=H","DateFormat=P","Fill=—","Direction=H","UseDPDF=Y")</f>
        <v>3018</v>
      </c>
      <c r="P7" s="13" cm="1">
        <f t="array" ref="P7">_xll.BDH("CMI US Equity","CASH_CASH_EQTY_STI_DETAILED","FQ4 2021","FQ4 2021","Currency=USD","Period=FQ","BEST_FPERIOD_OVERRIDE=FQ","FILING_STATUS=MR","SCALING_FORMAT=MLN","Sort=A","Dates=H","DateFormat=P","Fill=—","Direction=H","UseDPDF=Y")</f>
        <v>3187</v>
      </c>
      <c r="Q7" s="13" cm="1">
        <f t="array" ref="Q7">_xll.BDH("CMI US Equity","CASH_CASH_EQTY_STI_DETAILED","FQ1 2022","FQ1 2022","Currency=USD","Period=FQ","BEST_FPERIOD_OVERRIDE=FQ","FILING_STATUS=MR","SCALING_FORMAT=MLN","Sort=A","Dates=H","DateFormat=P","Fill=—","Direction=H","UseDPDF=Y")</f>
        <v>2803</v>
      </c>
      <c r="R7" s="13" cm="1">
        <f t="array" ref="R7">_xll.BDH("CMI US Equity","CASH_CASH_EQTY_STI_DETAILED","FQ2 2022","FQ2 2022","Currency=USD","Period=FQ","BEST_FPERIOD_OVERRIDE=FQ","FILING_STATUS=MR","SCALING_FORMAT=MLN","Sort=A","Dates=H","DateFormat=P","Fill=—","Direction=H","UseDPDF=Y")</f>
        <v>2998</v>
      </c>
      <c r="S7" s="13" cm="1">
        <f t="array" ref="S7">_xll.BDH("CMI US Equity","CASH_CASH_EQTY_STI_DETAILED","FQ3 2022","FQ3 2022","Currency=USD","Period=FQ","BEST_FPERIOD_OVERRIDE=FQ","FILING_STATUS=MR","SCALING_FORMAT=MLN","Sort=A","Dates=H","DateFormat=P","Fill=—","Direction=H","UseDPDF=Y")</f>
        <v>2965</v>
      </c>
      <c r="T7" s="13" cm="1">
        <f t="array" ref="T7">_xll.BDH("CMI US Equity","CASH_CASH_EQTY_STI_DETAILED","FQ4 2022","FQ4 2022","Currency=USD","Period=FQ","BEST_FPERIOD_OVERRIDE=FQ","FILING_STATUS=MR","SCALING_FORMAT=MLN","Sort=A","Dates=H","DateFormat=P","Fill=—","Direction=H","UseDPDF=Y")</f>
        <v>2573</v>
      </c>
      <c r="U7" s="13" cm="1">
        <f t="array" ref="U7">_xll.BDH("CMI US Equity","CASH_CASH_EQTY_STI_DETAILED","FQ1 2023","FQ1 2023","Currency=USD","Period=FQ","BEST_FPERIOD_OVERRIDE=FQ","FILING_STATUS=MR","SCALING_FORMAT=MLN","Sort=A","Dates=H","DateFormat=P","Fill=—","Direction=H","UseDPDF=Y")</f>
        <v>2439</v>
      </c>
      <c r="V7" s="13" cm="1">
        <f t="array" ref="V7">_xll.BDH("CMI US Equity","CASH_CASH_EQTY_STI_DETAILED","FQ2 2023","FQ2 2023","Currency=USD","Period=FQ","BEST_FPERIOD_OVERRIDE=FQ","FILING_STATUS=MR","SCALING_FORMAT=MLN","Sort=A","Dates=H","DateFormat=P","Fill=—","Direction=H","UseDPDF=Y")</f>
        <v>2314</v>
      </c>
      <c r="W7" s="13" cm="1">
        <f t="array" ref="W7">_xll.BDH("CMI US Equity","CASH_CASH_EQTY_STI_DETAILED","FQ3 2023","FQ3 2023","Currency=USD","Period=FQ","BEST_FPERIOD_OVERRIDE=FQ","FILING_STATUS=MR","SCALING_FORMAT=MLN","Sort=A","Dates=H","DateFormat=P","Fill=—","Direction=H","UseDPDF=Y")</f>
        <v>2839</v>
      </c>
      <c r="X7" s="13" cm="1">
        <f t="array" ref="X7">_xll.BDH("CMI US Equity","CASH_CASH_EQTY_STI_DETAILED","FQ4 2023","FQ4 2023","Currency=USD","Period=FQ","BEST_FPERIOD_OVERRIDE=FQ","FILING_STATUS=MR","SCALING_FORMAT=MLN","Sort=A","Dates=H","DateFormat=P","Fill=—","Direction=H","UseDPDF=Y")</f>
        <v>2741</v>
      </c>
      <c r="Y7" s="13" cm="1">
        <f t="array" ref="Y7">_xll.BDH("CMI US Equity","CASH_CASH_EQTY_STI_DETAILED","FQ1 2024","FQ1 2024","Currency=USD","Period=FQ","BEST_FPERIOD_OVERRIDE=FQ","FILING_STATUS=MR","SCALING_FORMAT=MLN","Sort=A","Dates=H","DateFormat=P","Fill=—","Direction=H","UseDPDF=Y")</f>
        <v>3051</v>
      </c>
      <c r="Z7" s="13" cm="1">
        <f t="array" ref="Z7">_xll.BDH("CMI US Equity","CASH_CASH_EQTY_STI_DETAILED","FQ2 2024","FQ2 2024","Currency=USD","Period=FQ","BEST_FPERIOD_OVERRIDE=FQ","FILING_STATUS=MR","SCALING_FORMAT=MLN","Sort=A","Dates=H","DateFormat=P","Fill=—","Direction=H","UseDPDF=Y")</f>
        <v>2183</v>
      </c>
      <c r="AA7" s="13" cm="1">
        <f t="array" ref="AA7">_xll.BDH("CMI US Equity","CASH_CASH_EQTY_STI_DETAILED","FQ3 2024","FQ3 2024","Currency=USD","Period=FQ","BEST_FPERIOD_OVERRIDE=FQ","FILING_STATUS=MR","SCALING_FORMAT=MLN","Sort=A","Dates=H","DateFormat=P","Fill=—","Direction=H","UseDPDF=Y")</f>
        <v>2251</v>
      </c>
      <c r="AB7" s="13" cm="1">
        <f t="array" ref="AB7">_xll.BDH("CMI US Equity","CASH_CASH_EQTY_STI_DETAILED","FQ4 2024","FQ4 2024","Currency=USD","Period=FQ","BEST_FPERIOD_OVERRIDE=FQ","FILING_STATUS=MR","SCALING_FORMAT=MLN","Sort=A","Dates=H","DateFormat=P","Fill=—","Direction=H","UseDPDF=Y")</f>
        <v>2264</v>
      </c>
      <c r="AC7" s="13" cm="1">
        <f t="array" ref="AC7">_xll.BDH("CMI US Equity","CASH_CASH_EQTY_STI_DETAILED","FQ1 2025","FQ1 2025","Currency=USD","Period=FQ","BEST_FPERIOD_OVERRIDE=FQ","FILING_STATUS=MR","SCALING_FORMAT=MLN","Sort=A","Dates=H","DateFormat=P","Fill=—","Direction=H","UseDPDF=Y")</f>
        <v>2158</v>
      </c>
      <c r="AD7" s="13" cm="1">
        <f t="array" ref="AD7">_xll.BDH("CMI US Equity","CASH_CASH_EQTY_STI_DETAILED","FQ2 2025","FQ2 2025","Currency=USD","Period=FQ","BEST_FPERIOD_OVERRIDE=FQ","FILING_STATUS=MR","SCALING_FORMAT=MLN","Sort=A","Dates=H","DateFormat=P","Fill=—","Direction=H","UseDPDF=Y")</f>
        <v>3074</v>
      </c>
      <c r="AE7" s="13" cm="1">
        <f t="array" ref="AE7">_xll.BDH("CMI US Equity","CASH_CASH_EQTY_STI_DETAILED","FQ3 2025","FQ3 2025","Currency=USD","Period=FQ","BEST_FPERIOD_OVERRIDE=FQ","FILING_STATUS=MR","SCALING_FORMAT=MLN","Sort=A","Dates=H","DateFormat=P","Fill=—","Direction=H","UseDPDF=Y")</f>
        <v>3159</v>
      </c>
      <c r="AF7" s="13" cm="1">
        <f t="array" ref="AF7">_xll.BDH("CMI US Equity","CASH_CASH_EQTY_STI_DETAILED","FQ4 2025","FQ4 2025","Currency=USD","Period=FQ","BEST_FPERIOD_OVERRIDE=FQ","FILING_STATUS=MR","SCALING_FORMAT=MLN","Sort=A","Dates=H","DateFormat=P","Fill=—","Direction=H","UseDPDF=Y")</f>
        <v>3609</v>
      </c>
    </row>
    <row r="8" spans="1:32" x14ac:dyDescent="0.25">
      <c r="A8" s="10" t="s">
        <v>68</v>
      </c>
      <c r="B8" s="10" t="s">
        <v>69</v>
      </c>
      <c r="C8" s="13" cm="1">
        <f t="array" ref="C8">_xll.BDH("CMI US Equity","BS_CASH_NEAR_CASH_ITEM","FQ3 2018","FQ3 2018","Currency=USD","Period=FQ","BEST_FPERIOD_OVERRIDE=FQ","FILING_STATUS=MR","SCALING_FORMAT=MLN","Sort=A","Dates=H","DateFormat=P","Fill=—","Direction=H","UseDPDF=Y")</f>
        <v>1222</v>
      </c>
      <c r="D8" s="13" cm="1">
        <f t="array" ref="D8">_xll.BDH("CMI US Equity","BS_CASH_NEAR_CASH_ITEM","FQ4 2018","FQ4 2018","Currency=USD","Period=FQ","BEST_FPERIOD_OVERRIDE=FQ","FILING_STATUS=MR","SCALING_FORMAT=MLN","Sort=A","Dates=H","DateFormat=P","Fill=—","Direction=H","UseDPDF=Y")</f>
        <v>1303</v>
      </c>
      <c r="E8" s="13" cm="1">
        <f t="array" ref="E8">_xll.BDH("CMI US Equity","BS_CASH_NEAR_CASH_ITEM","FQ1 2019","FQ1 2019","Currency=USD","Period=FQ","BEST_FPERIOD_OVERRIDE=FQ","FILING_STATUS=MR","SCALING_FORMAT=MLN","Sort=A","Dates=H","DateFormat=P","Fill=—","Direction=H","UseDPDF=Y")</f>
        <v>1328</v>
      </c>
      <c r="F8" s="13" cm="1">
        <f t="array" ref="F8">_xll.BDH("CMI US Equity","BS_CASH_NEAR_CASH_ITEM","FQ2 2019","FQ2 2019","Currency=USD","Period=FQ","BEST_FPERIOD_OVERRIDE=FQ","FILING_STATUS=MR","SCALING_FORMAT=MLN","Sort=A","Dates=H","DateFormat=P","Fill=—","Direction=H","UseDPDF=Y")</f>
        <v>1397</v>
      </c>
      <c r="G8" s="13" cm="1">
        <f t="array" ref="G8">_xll.BDH("CMI US Equity","BS_CASH_NEAR_CASH_ITEM","FQ3 2019","FQ3 2019","Currency=USD","Period=FQ","BEST_FPERIOD_OVERRIDE=FQ","FILING_STATUS=MR","SCALING_FORMAT=MLN","Sort=A","Dates=H","DateFormat=P","Fill=—","Direction=H","UseDPDF=Y")</f>
        <v>1560</v>
      </c>
      <c r="H8" s="13" cm="1">
        <f t="array" ref="H8">_xll.BDH("CMI US Equity","BS_CASH_NEAR_CASH_ITEM","FQ4 2019","FQ4 2019","Currency=USD","Period=FQ","BEST_FPERIOD_OVERRIDE=FQ","FILING_STATUS=MR","SCALING_FORMAT=MLN","Sort=A","Dates=H","DateFormat=P","Fill=—","Direction=H","UseDPDF=Y")</f>
        <v>1129</v>
      </c>
      <c r="I8" s="13" cm="1">
        <f t="array" ref="I8">_xll.BDH("CMI US Equity","BS_CASH_NEAR_CASH_ITEM","FQ1 2020","FQ1 2020","Currency=USD","Period=FQ","BEST_FPERIOD_OVERRIDE=FQ","FILING_STATUS=MR","SCALING_FORMAT=MLN","Sort=A","Dates=H","DateFormat=P","Fill=—","Direction=H","UseDPDF=Y")</f>
        <v>1691</v>
      </c>
      <c r="J8" s="13" cm="1">
        <f t="array" ref="J8">_xll.BDH("CMI US Equity","BS_CASH_NEAR_CASH_ITEM","FQ2 2020","FQ2 2020","Currency=USD","Period=FQ","BEST_FPERIOD_OVERRIDE=FQ","FILING_STATUS=MR","SCALING_FORMAT=MLN","Sort=A","Dates=H","DateFormat=P","Fill=—","Direction=H","UseDPDF=Y")</f>
        <v>1751</v>
      </c>
      <c r="K8" s="13" cm="1">
        <f t="array" ref="K8">_xll.BDH("CMI US Equity","BS_CASH_NEAR_CASH_ITEM","FQ3 2020","FQ3 2020","Currency=USD","Period=FQ","BEST_FPERIOD_OVERRIDE=FQ","FILING_STATUS=MR","SCALING_FORMAT=MLN","Sort=A","Dates=H","DateFormat=P","Fill=—","Direction=H","UseDPDF=Y")</f>
        <v>2967</v>
      </c>
      <c r="L8" s="13" cm="1">
        <f t="array" ref="L8">_xll.BDH("CMI US Equity","BS_CASH_NEAR_CASH_ITEM","FQ4 2020","FQ4 2020","Currency=USD","Period=FQ","BEST_FPERIOD_OVERRIDE=FQ","FILING_STATUS=MR","SCALING_FORMAT=MLN","Sort=A","Dates=H","DateFormat=P","Fill=—","Direction=H","UseDPDF=Y")</f>
        <v>3401</v>
      </c>
      <c r="M8" s="13" cm="1">
        <f t="array" ref="M8">_xll.BDH("CMI US Equity","BS_CASH_NEAR_CASH_ITEM","FQ1 2021","FQ1 2021","Currency=USD","Period=FQ","BEST_FPERIOD_OVERRIDE=FQ","FILING_STATUS=MR","SCALING_FORMAT=MLN","Sort=A","Dates=H","DateFormat=P","Fill=—","Direction=H","UseDPDF=Y")</f>
        <v>2958</v>
      </c>
      <c r="N8" s="13" cm="1">
        <f t="array" ref="N8">_xll.BDH("CMI US Equity","BS_CASH_NEAR_CASH_ITEM","FQ2 2021","FQ2 2021","Currency=USD","Period=FQ","BEST_FPERIOD_OVERRIDE=FQ","FILING_STATUS=MR","SCALING_FORMAT=MLN","Sort=A","Dates=H","DateFormat=P","Fill=—","Direction=H","UseDPDF=Y")</f>
        <v>2481</v>
      </c>
      <c r="O8" s="13" cm="1">
        <f t="array" ref="O8">_xll.BDH("CMI US Equity","BS_CASH_NEAR_CASH_ITEM","FQ3 2021","FQ3 2021","Currency=USD","Period=FQ","BEST_FPERIOD_OVERRIDE=FQ","FILING_STATUS=MR","SCALING_FORMAT=MLN","Sort=A","Dates=H","DateFormat=P","Fill=—","Direction=H","UseDPDF=Y")</f>
        <v>2588</v>
      </c>
      <c r="P8" s="13" cm="1">
        <f t="array" ref="P8">_xll.BDH("CMI US Equity","BS_CASH_NEAR_CASH_ITEM","FQ4 2021","FQ4 2021","Currency=USD","Period=FQ","BEST_FPERIOD_OVERRIDE=FQ","FILING_STATUS=MR","SCALING_FORMAT=MLN","Sort=A","Dates=H","DateFormat=P","Fill=—","Direction=H","UseDPDF=Y")</f>
        <v>2592</v>
      </c>
      <c r="Q8" s="13" cm="1">
        <f t="array" ref="Q8">_xll.BDH("CMI US Equity","BS_CASH_NEAR_CASH_ITEM","FQ1 2022","FQ1 2022","Currency=USD","Period=FQ","BEST_FPERIOD_OVERRIDE=FQ","FILING_STATUS=MR","SCALING_FORMAT=MLN","Sort=A","Dates=H","DateFormat=P","Fill=—","Direction=H","UseDPDF=Y")</f>
        <v>2276</v>
      </c>
      <c r="R8" s="13" cm="1">
        <f t="array" ref="R8">_xll.BDH("CMI US Equity","BS_CASH_NEAR_CASH_ITEM","FQ2 2022","FQ2 2022","Currency=USD","Period=FQ","BEST_FPERIOD_OVERRIDE=FQ","FILING_STATUS=MR","SCALING_FORMAT=MLN","Sort=A","Dates=H","DateFormat=P","Fill=—","Direction=H","UseDPDF=Y")</f>
        <v>2462</v>
      </c>
      <c r="S8" s="13" cm="1">
        <f t="array" ref="S8">_xll.BDH("CMI US Equity","BS_CASH_NEAR_CASH_ITEM","FQ3 2022","FQ3 2022","Currency=USD","Period=FQ","BEST_FPERIOD_OVERRIDE=FQ","FILING_STATUS=MR","SCALING_FORMAT=MLN","Sort=A","Dates=H","DateFormat=P","Fill=—","Direction=H","UseDPDF=Y")</f>
        <v>2499</v>
      </c>
      <c r="T8" s="13" cm="1">
        <f t="array" ref="T8">_xll.BDH("CMI US Equity","BS_CASH_NEAR_CASH_ITEM","FQ4 2022","FQ4 2022","Currency=USD","Period=FQ","BEST_FPERIOD_OVERRIDE=FQ","FILING_STATUS=MR","SCALING_FORMAT=MLN","Sort=A","Dates=H","DateFormat=P","Fill=—","Direction=H","UseDPDF=Y")</f>
        <v>2101</v>
      </c>
      <c r="U8" s="13" cm="1">
        <f t="array" ref="U8">_xll.BDH("CMI US Equity","BS_CASH_NEAR_CASH_ITEM","FQ1 2023","FQ1 2023","Currency=USD","Period=FQ","BEST_FPERIOD_OVERRIDE=FQ","FILING_STATUS=MR","SCALING_FORMAT=MLN","Sort=A","Dates=H","DateFormat=P","Fill=—","Direction=H","UseDPDF=Y")</f>
        <v>1980</v>
      </c>
      <c r="V8" s="13" cm="1">
        <f t="array" ref="V8">_xll.BDH("CMI US Equity","BS_CASH_NEAR_CASH_ITEM","FQ2 2023","FQ2 2023","Currency=USD","Period=FQ","BEST_FPERIOD_OVERRIDE=FQ","FILING_STATUS=MR","SCALING_FORMAT=MLN","Sort=A","Dates=H","DateFormat=P","Fill=—","Direction=H","UseDPDF=Y")</f>
        <v>1802</v>
      </c>
      <c r="W8" s="13" cm="1">
        <f t="array" ref="W8">_xll.BDH("CMI US Equity","BS_CASH_NEAR_CASH_ITEM","FQ3 2023","FQ3 2023","Currency=USD","Period=FQ","BEST_FPERIOD_OVERRIDE=FQ","FILING_STATUS=MR","SCALING_FORMAT=MLN","Sort=A","Dates=H","DateFormat=P","Fill=—","Direction=H","UseDPDF=Y")</f>
        <v>2387</v>
      </c>
      <c r="X8" s="13" cm="1">
        <f t="array" ref="X8">_xll.BDH("CMI US Equity","BS_CASH_NEAR_CASH_ITEM","FQ4 2023","FQ4 2023","Currency=USD","Period=FQ","BEST_FPERIOD_OVERRIDE=FQ","FILING_STATUS=MR","SCALING_FORMAT=MLN","Sort=A","Dates=H","DateFormat=P","Fill=—","Direction=H","UseDPDF=Y")</f>
        <v>2179</v>
      </c>
      <c r="Y8" s="13" cm="1">
        <f t="array" ref="Y8">_xll.BDH("CMI US Equity","BS_CASH_NEAR_CASH_ITEM","FQ1 2024","FQ1 2024","Currency=USD","Period=FQ","BEST_FPERIOD_OVERRIDE=FQ","FILING_STATUS=MR","SCALING_FORMAT=MLN","Sort=A","Dates=H","DateFormat=P","Fill=—","Direction=H","UseDPDF=Y")</f>
        <v>2541</v>
      </c>
      <c r="Z8" s="13" cm="1">
        <f t="array" ref="Z8">_xll.BDH("CMI US Equity","BS_CASH_NEAR_CASH_ITEM","FQ2 2024","FQ2 2024","Currency=USD","Period=FQ","BEST_FPERIOD_OVERRIDE=FQ","FILING_STATUS=MR","SCALING_FORMAT=MLN","Sort=A","Dates=H","DateFormat=P","Fill=—","Direction=H","UseDPDF=Y")</f>
        <v>1590</v>
      </c>
      <c r="AA8" s="13" cm="1">
        <f t="array" ref="AA8">_xll.BDH("CMI US Equity","BS_CASH_NEAR_CASH_ITEM","FQ3 2024","FQ3 2024","Currency=USD","Period=FQ","BEST_FPERIOD_OVERRIDE=FQ","FILING_STATUS=MR","SCALING_FORMAT=MLN","Sort=A","Dates=H","DateFormat=P","Fill=—","Direction=H","UseDPDF=Y")</f>
        <v>1733</v>
      </c>
      <c r="AB8" s="13" cm="1">
        <f t="array" ref="AB8">_xll.BDH("CMI US Equity","BS_CASH_NEAR_CASH_ITEM","FQ4 2024","FQ4 2024","Currency=USD","Period=FQ","BEST_FPERIOD_OVERRIDE=FQ","FILING_STATUS=MR","SCALING_FORMAT=MLN","Sort=A","Dates=H","DateFormat=P","Fill=—","Direction=H","UseDPDF=Y")</f>
        <v>1671</v>
      </c>
      <c r="AC8" s="13" cm="1">
        <f t="array" ref="AC8">_xll.BDH("CMI US Equity","BS_CASH_NEAR_CASH_ITEM","FQ1 2025","FQ1 2025","Currency=USD","Period=FQ","BEST_FPERIOD_OVERRIDE=FQ","FILING_STATUS=MR","SCALING_FORMAT=MLN","Sort=A","Dates=H","DateFormat=P","Fill=—","Direction=H","UseDPDF=Y")</f>
        <v>1532</v>
      </c>
      <c r="AD8" s="13" cm="1">
        <f t="array" ref="AD8">_xll.BDH("CMI US Equity","BS_CASH_NEAR_CASH_ITEM","FQ2 2025","FQ2 2025","Currency=USD","Period=FQ","BEST_FPERIOD_OVERRIDE=FQ","FILING_STATUS=MR","SCALING_FORMAT=MLN","Sort=A","Dates=H","DateFormat=P","Fill=—","Direction=H","UseDPDF=Y")</f>
        <v>2319</v>
      </c>
      <c r="AE8" s="13" cm="1">
        <f t="array" ref="AE8">_xll.BDH("CMI US Equity","BS_CASH_NEAR_CASH_ITEM","FQ3 2025","FQ3 2025","Currency=USD","Period=FQ","BEST_FPERIOD_OVERRIDE=FQ","FILING_STATUS=MR","SCALING_FORMAT=MLN","Sort=A","Dates=H","DateFormat=P","Fill=—","Direction=H","UseDPDF=Y")</f>
        <v>2566</v>
      </c>
      <c r="AF8" s="13" cm="1">
        <f t="array" ref="AF8">_xll.BDH("CMI US Equity","BS_CASH_NEAR_CASH_ITEM","FQ4 2025","FQ4 2025","Currency=USD","Period=FQ","BEST_FPERIOD_OVERRIDE=FQ","FILING_STATUS=MR","SCALING_FORMAT=MLN","Sort=A","Dates=H","DateFormat=P","Fill=—","Direction=H","UseDPDF=Y")</f>
        <v>2845</v>
      </c>
    </row>
    <row r="9" spans="1:32" x14ac:dyDescent="0.25">
      <c r="A9" s="10" t="s">
        <v>70</v>
      </c>
      <c r="B9" s="10" t="s">
        <v>71</v>
      </c>
      <c r="C9" s="13" cm="1">
        <f t="array" ref="C9">_xll.BDH("CMI US Equity","BS_MKT_SEC_OTHER_ST_INVEST","FQ3 2018","FQ3 2018","Currency=USD","Period=FQ","BEST_FPERIOD_OVERRIDE=FQ","FILING_STATUS=MR","SCALING_FORMAT=MLN","Sort=A","Dates=H","DateFormat=P","Fill=—","Direction=H","UseDPDF=Y")</f>
        <v>185</v>
      </c>
      <c r="D9" s="13" cm="1">
        <f t="array" ref="D9">_xll.BDH("CMI US Equity","BS_MKT_SEC_OTHER_ST_INVEST","FQ4 2018","FQ4 2018","Currency=USD","Period=FQ","BEST_FPERIOD_OVERRIDE=FQ","FILING_STATUS=MR","SCALING_FORMAT=MLN","Sort=A","Dates=H","DateFormat=P","Fill=—","Direction=H","UseDPDF=Y")</f>
        <v>222</v>
      </c>
      <c r="E9" s="13" cm="1">
        <f t="array" ref="E9">_xll.BDH("CMI US Equity","BS_MKT_SEC_OTHER_ST_INVEST","FQ1 2019","FQ1 2019","Currency=USD","Period=FQ","BEST_FPERIOD_OVERRIDE=FQ","FILING_STATUS=MR","SCALING_FORMAT=MLN","Sort=A","Dates=H","DateFormat=P","Fill=—","Direction=H","UseDPDF=Y")</f>
        <v>246</v>
      </c>
      <c r="F9" s="13" cm="1">
        <f t="array" ref="F9">_xll.BDH("CMI US Equity","BS_MKT_SEC_OTHER_ST_INVEST","FQ2 2019","FQ2 2019","Currency=USD","Period=FQ","BEST_FPERIOD_OVERRIDE=FQ","FILING_STATUS=MR","SCALING_FORMAT=MLN","Sort=A","Dates=H","DateFormat=P","Fill=—","Direction=H","UseDPDF=Y")</f>
        <v>335</v>
      </c>
      <c r="G9" s="13" cm="1">
        <f t="array" ref="G9">_xll.BDH("CMI US Equity","BS_MKT_SEC_OTHER_ST_INVEST","FQ3 2019","FQ3 2019","Currency=USD","Period=FQ","BEST_FPERIOD_OVERRIDE=FQ","FILING_STATUS=MR","SCALING_FORMAT=MLN","Sort=A","Dates=H","DateFormat=P","Fill=—","Direction=H","UseDPDF=Y")</f>
        <v>303</v>
      </c>
      <c r="H9" s="13" cm="1">
        <f t="array" ref="H9">_xll.BDH("CMI US Equity","BS_MKT_SEC_OTHER_ST_INVEST","FQ4 2019","FQ4 2019","Currency=USD","Period=FQ","BEST_FPERIOD_OVERRIDE=FQ","FILING_STATUS=MR","SCALING_FORMAT=MLN","Sort=A","Dates=H","DateFormat=P","Fill=—","Direction=H","UseDPDF=Y")</f>
        <v>341</v>
      </c>
      <c r="I9" s="13" cm="1">
        <f t="array" ref="I9">_xll.BDH("CMI US Equity","BS_MKT_SEC_OTHER_ST_INVEST","FQ1 2020","FQ1 2020","Currency=USD","Period=FQ","BEST_FPERIOD_OVERRIDE=FQ","FILING_STATUS=MR","SCALING_FORMAT=MLN","Sort=A","Dates=H","DateFormat=P","Fill=—","Direction=H","UseDPDF=Y")</f>
        <v>339</v>
      </c>
      <c r="J9" s="13" cm="1">
        <f t="array" ref="J9">_xll.BDH("CMI US Equity","BS_MKT_SEC_OTHER_ST_INVEST","FQ2 2020","FQ2 2020","Currency=USD","Period=FQ","BEST_FPERIOD_OVERRIDE=FQ","FILING_STATUS=MR","SCALING_FORMAT=MLN","Sort=A","Dates=H","DateFormat=P","Fill=—","Direction=H","UseDPDF=Y")</f>
        <v>353</v>
      </c>
      <c r="K9" s="13" cm="1">
        <f t="array" ref="K9">_xll.BDH("CMI US Equity","BS_MKT_SEC_OTHER_ST_INVEST","FQ3 2020","FQ3 2020","Currency=USD","Period=FQ","BEST_FPERIOD_OVERRIDE=FQ","FILING_STATUS=MR","SCALING_FORMAT=MLN","Sort=A","Dates=H","DateFormat=P","Fill=—","Direction=H","UseDPDF=Y")</f>
        <v>345</v>
      </c>
      <c r="L9" s="13" cm="1">
        <f t="array" ref="L9">_xll.BDH("CMI US Equity","BS_MKT_SEC_OTHER_ST_INVEST","FQ4 2020","FQ4 2020","Currency=USD","Period=FQ","BEST_FPERIOD_OVERRIDE=FQ","FILING_STATUS=MR","SCALING_FORMAT=MLN","Sort=A","Dates=H","DateFormat=P","Fill=—","Direction=H","UseDPDF=Y")</f>
        <v>461</v>
      </c>
      <c r="M9" s="13" cm="1">
        <f t="array" ref="M9">_xll.BDH("CMI US Equity","BS_MKT_SEC_OTHER_ST_INVEST","FQ1 2021","FQ1 2021","Currency=USD","Period=FQ","BEST_FPERIOD_OVERRIDE=FQ","FILING_STATUS=MR","SCALING_FORMAT=MLN","Sort=A","Dates=H","DateFormat=P","Fill=—","Direction=H","UseDPDF=Y")</f>
        <v>397</v>
      </c>
      <c r="N9" s="13" cm="1">
        <f t="array" ref="N9">_xll.BDH("CMI US Equity","BS_MKT_SEC_OTHER_ST_INVEST","FQ2 2021","FQ2 2021","Currency=USD","Period=FQ","BEST_FPERIOD_OVERRIDE=FQ","FILING_STATUS=MR","SCALING_FORMAT=MLN","Sort=A","Dates=H","DateFormat=P","Fill=—","Direction=H","UseDPDF=Y")</f>
        <v>438</v>
      </c>
      <c r="O9" s="13" cm="1">
        <f t="array" ref="O9">_xll.BDH("CMI US Equity","BS_MKT_SEC_OTHER_ST_INVEST","FQ3 2021","FQ3 2021","Currency=USD","Period=FQ","BEST_FPERIOD_OVERRIDE=FQ","FILING_STATUS=MR","SCALING_FORMAT=MLN","Sort=A","Dates=H","DateFormat=P","Fill=—","Direction=H","UseDPDF=Y")</f>
        <v>430</v>
      </c>
      <c r="P9" s="13" cm="1">
        <f t="array" ref="P9">_xll.BDH("CMI US Equity","BS_MKT_SEC_OTHER_ST_INVEST","FQ4 2021","FQ4 2021","Currency=USD","Period=FQ","BEST_FPERIOD_OVERRIDE=FQ","FILING_STATUS=MR","SCALING_FORMAT=MLN","Sort=A","Dates=H","DateFormat=P","Fill=—","Direction=H","UseDPDF=Y")</f>
        <v>595</v>
      </c>
      <c r="Q9" s="13" cm="1">
        <f t="array" ref="Q9">_xll.BDH("CMI US Equity","BS_MKT_SEC_OTHER_ST_INVEST","FQ1 2022","FQ1 2022","Currency=USD","Period=FQ","BEST_FPERIOD_OVERRIDE=FQ","FILING_STATUS=MR","SCALING_FORMAT=MLN","Sort=A","Dates=H","DateFormat=P","Fill=—","Direction=H","UseDPDF=Y")</f>
        <v>527</v>
      </c>
      <c r="R9" s="13" cm="1">
        <f t="array" ref="R9">_xll.BDH("CMI US Equity","BS_MKT_SEC_OTHER_ST_INVEST","FQ2 2022","FQ2 2022","Currency=USD","Period=FQ","BEST_FPERIOD_OVERRIDE=FQ","FILING_STATUS=MR","SCALING_FORMAT=MLN","Sort=A","Dates=H","DateFormat=P","Fill=—","Direction=H","UseDPDF=Y")</f>
        <v>536</v>
      </c>
      <c r="S9" s="13" cm="1">
        <f t="array" ref="S9">_xll.BDH("CMI US Equity","BS_MKT_SEC_OTHER_ST_INVEST","FQ3 2022","FQ3 2022","Currency=USD","Period=FQ","BEST_FPERIOD_OVERRIDE=FQ","FILING_STATUS=MR","SCALING_FORMAT=MLN","Sort=A","Dates=H","DateFormat=P","Fill=—","Direction=H","UseDPDF=Y")</f>
        <v>466</v>
      </c>
      <c r="T9" s="13" cm="1">
        <f t="array" ref="T9">_xll.BDH("CMI US Equity","BS_MKT_SEC_OTHER_ST_INVEST","FQ4 2022","FQ4 2022","Currency=USD","Period=FQ","BEST_FPERIOD_OVERRIDE=FQ","FILING_STATUS=MR","SCALING_FORMAT=MLN","Sort=A","Dates=H","DateFormat=P","Fill=—","Direction=H","UseDPDF=Y")</f>
        <v>472</v>
      </c>
      <c r="U9" s="13" cm="1">
        <f t="array" ref="U9">_xll.BDH("CMI US Equity","BS_MKT_SEC_OTHER_ST_INVEST","FQ1 2023","FQ1 2023","Currency=USD","Period=FQ","BEST_FPERIOD_OVERRIDE=FQ","FILING_STATUS=MR","SCALING_FORMAT=MLN","Sort=A","Dates=H","DateFormat=P","Fill=—","Direction=H","UseDPDF=Y")</f>
        <v>459</v>
      </c>
      <c r="V9" s="13" cm="1">
        <f t="array" ref="V9">_xll.BDH("CMI US Equity","BS_MKT_SEC_OTHER_ST_INVEST","FQ2 2023","FQ2 2023","Currency=USD","Period=FQ","BEST_FPERIOD_OVERRIDE=FQ","FILING_STATUS=MR","SCALING_FORMAT=MLN","Sort=A","Dates=H","DateFormat=P","Fill=—","Direction=H","UseDPDF=Y")</f>
        <v>512</v>
      </c>
      <c r="W9" s="13" cm="1">
        <f t="array" ref="W9">_xll.BDH("CMI US Equity","BS_MKT_SEC_OTHER_ST_INVEST","FQ3 2023","FQ3 2023","Currency=USD","Period=FQ","BEST_FPERIOD_OVERRIDE=FQ","FILING_STATUS=MR","SCALING_FORMAT=MLN","Sort=A","Dates=H","DateFormat=P","Fill=—","Direction=H","UseDPDF=Y")</f>
        <v>452</v>
      </c>
      <c r="X9" s="13" cm="1">
        <f t="array" ref="X9">_xll.BDH("CMI US Equity","BS_MKT_SEC_OTHER_ST_INVEST","FQ4 2023","FQ4 2023","Currency=USD","Period=FQ","BEST_FPERIOD_OVERRIDE=FQ","FILING_STATUS=MR","SCALING_FORMAT=MLN","Sort=A","Dates=H","DateFormat=P","Fill=—","Direction=H","UseDPDF=Y")</f>
        <v>562</v>
      </c>
      <c r="Y9" s="13" cm="1">
        <f t="array" ref="Y9">_xll.BDH("CMI US Equity","BS_MKT_SEC_OTHER_ST_INVEST","FQ1 2024","FQ1 2024","Currency=USD","Period=FQ","BEST_FPERIOD_OVERRIDE=FQ","FILING_STATUS=MR","SCALING_FORMAT=MLN","Sort=A","Dates=H","DateFormat=P","Fill=—","Direction=H","UseDPDF=Y")</f>
        <v>510</v>
      </c>
      <c r="Z9" s="13" cm="1">
        <f t="array" ref="Z9">_xll.BDH("CMI US Equity","BS_MKT_SEC_OTHER_ST_INVEST","FQ2 2024","FQ2 2024","Currency=USD","Period=FQ","BEST_FPERIOD_OVERRIDE=FQ","FILING_STATUS=MR","SCALING_FORMAT=MLN","Sort=A","Dates=H","DateFormat=P","Fill=—","Direction=H","UseDPDF=Y")</f>
        <v>593</v>
      </c>
      <c r="AA9" s="13" cm="1">
        <f t="array" ref="AA9">_xll.BDH("CMI US Equity","BS_MKT_SEC_OTHER_ST_INVEST","FQ3 2024","FQ3 2024","Currency=USD","Period=FQ","BEST_FPERIOD_OVERRIDE=FQ","FILING_STATUS=MR","SCALING_FORMAT=MLN","Sort=A","Dates=H","DateFormat=P","Fill=—","Direction=H","UseDPDF=Y")</f>
        <v>518</v>
      </c>
      <c r="AB9" s="13" cm="1">
        <f t="array" ref="AB9">_xll.BDH("CMI US Equity","BS_MKT_SEC_OTHER_ST_INVEST","FQ4 2024","FQ4 2024","Currency=USD","Period=FQ","BEST_FPERIOD_OVERRIDE=FQ","FILING_STATUS=MR","SCALING_FORMAT=MLN","Sort=A","Dates=H","DateFormat=P","Fill=—","Direction=H","UseDPDF=Y")</f>
        <v>593</v>
      </c>
      <c r="AC9" s="13" cm="1">
        <f t="array" ref="AC9">_xll.BDH("CMI US Equity","BS_MKT_SEC_OTHER_ST_INVEST","FQ1 2025","FQ1 2025","Currency=USD","Period=FQ","BEST_FPERIOD_OVERRIDE=FQ","FILING_STATUS=MR","SCALING_FORMAT=MLN","Sort=A","Dates=H","DateFormat=P","Fill=—","Direction=H","UseDPDF=Y")</f>
        <v>626</v>
      </c>
      <c r="AD9" s="13" cm="1">
        <f t="array" ref="AD9">_xll.BDH("CMI US Equity","BS_MKT_SEC_OTHER_ST_INVEST","FQ2 2025","FQ2 2025","Currency=USD","Period=FQ","BEST_FPERIOD_OVERRIDE=FQ","FILING_STATUS=MR","SCALING_FORMAT=MLN","Sort=A","Dates=H","DateFormat=P","Fill=—","Direction=H","UseDPDF=Y")</f>
        <v>755</v>
      </c>
      <c r="AE9" s="13" cm="1">
        <f t="array" ref="AE9">_xll.BDH("CMI US Equity","BS_MKT_SEC_OTHER_ST_INVEST","FQ3 2025","FQ3 2025","Currency=USD","Period=FQ","BEST_FPERIOD_OVERRIDE=FQ","FILING_STATUS=MR","SCALING_FORMAT=MLN","Sort=A","Dates=H","DateFormat=P","Fill=—","Direction=H","UseDPDF=Y")</f>
        <v>593</v>
      </c>
      <c r="AF9" s="13" cm="1">
        <f t="array" ref="AF9">_xll.BDH("CMI US Equity","BS_MKT_SEC_OTHER_ST_INVEST","FQ4 2025","FQ4 2025","Currency=USD","Period=FQ","BEST_FPERIOD_OVERRIDE=FQ","FILING_STATUS=MR","SCALING_FORMAT=MLN","Sort=A","Dates=H","DateFormat=P","Fill=—","Direction=H","UseDPDF=Y")</f>
        <v>764</v>
      </c>
    </row>
    <row r="10" spans="1:32" x14ac:dyDescent="0.25">
      <c r="A10" s="10" t="s">
        <v>72</v>
      </c>
      <c r="B10" s="10" t="s">
        <v>73</v>
      </c>
      <c r="C10" s="13" cm="1">
        <f t="array" ref="C10">_xll.BDH("CMI US Equity","BS_ACCT_NOTE_RCV","FQ3 2018","FQ3 2018","Currency=USD","Period=FQ","BEST_FPERIOD_OVERRIDE=FQ","FILING_STATUS=MR","SCALING_FORMAT=MLN","Sort=A","Dates=H","DateFormat=P","Fill=—","Direction=H","UseDPDF=Y")</f>
        <v>3670</v>
      </c>
      <c r="D10" s="13" cm="1">
        <f t="array" ref="D10">_xll.BDH("CMI US Equity","BS_ACCT_NOTE_RCV","FQ4 2018","FQ4 2018","Currency=USD","Period=FQ","BEST_FPERIOD_OVERRIDE=FQ","FILING_STATUS=MR","SCALING_FORMAT=MLN","Sort=A","Dates=H","DateFormat=P","Fill=—","Direction=H","UseDPDF=Y")</f>
        <v>3635</v>
      </c>
      <c r="E10" s="13" cm="1">
        <f t="array" ref="E10">_xll.BDH("CMI US Equity","BS_ACCT_NOTE_RCV","FQ1 2019","FQ1 2019","Currency=USD","Period=FQ","BEST_FPERIOD_OVERRIDE=FQ","FILING_STATUS=MR","SCALING_FORMAT=MLN","Sort=A","Dates=H","DateFormat=P","Fill=—","Direction=H","UseDPDF=Y")</f>
        <v>3765</v>
      </c>
      <c r="F10" s="13" cm="1">
        <f t="array" ref="F10">_xll.BDH("CMI US Equity","BS_ACCT_NOTE_RCV","FQ2 2019","FQ2 2019","Currency=USD","Period=FQ","BEST_FPERIOD_OVERRIDE=FQ","FILING_STATUS=MR","SCALING_FORMAT=MLN","Sort=A","Dates=H","DateFormat=P","Fill=—","Direction=H","UseDPDF=Y")</f>
        <v>3899</v>
      </c>
      <c r="G10" s="13" cm="1">
        <f t="array" ref="G10">_xll.BDH("CMI US Equity","BS_ACCT_NOTE_RCV","FQ3 2019","FQ3 2019","Currency=USD","Period=FQ","BEST_FPERIOD_OVERRIDE=FQ","FILING_STATUS=MR","SCALING_FORMAT=MLN","Sort=A","Dates=H","DateFormat=P","Fill=—","Direction=H","UseDPDF=Y")</f>
        <v>3677</v>
      </c>
      <c r="H10" s="13" cm="1">
        <f t="array" ref="H10">_xll.BDH("CMI US Equity","BS_ACCT_NOTE_RCV","FQ4 2019","FQ4 2019","Currency=USD","Period=FQ","BEST_FPERIOD_OVERRIDE=FQ","FILING_STATUS=MR","SCALING_FORMAT=MLN","Sort=A","Dates=H","DateFormat=P","Fill=—","Direction=H","UseDPDF=Y")</f>
        <v>3387</v>
      </c>
      <c r="I10" s="13" cm="1">
        <f t="array" ref="I10">_xll.BDH("CMI US Equity","BS_ACCT_NOTE_RCV","FQ1 2020","FQ1 2020","Currency=USD","Period=FQ","BEST_FPERIOD_OVERRIDE=FQ","FILING_STATUS=MR","SCALING_FORMAT=MLN","Sort=A","Dates=H","DateFormat=P","Fill=—","Direction=H","UseDPDF=Y")</f>
        <v>3234</v>
      </c>
      <c r="J10" s="13" cm="1">
        <f t="array" ref="J10">_xll.BDH("CMI US Equity","BS_ACCT_NOTE_RCV","FQ2 2020","FQ2 2020","Currency=USD","Period=FQ","BEST_FPERIOD_OVERRIDE=FQ","FILING_STATUS=MR","SCALING_FORMAT=MLN","Sort=A","Dates=H","DateFormat=P","Fill=—","Direction=H","UseDPDF=Y")</f>
        <v>3069</v>
      </c>
      <c r="K10" s="13" cm="1">
        <f t="array" ref="K10">_xll.BDH("CMI US Equity","BS_ACCT_NOTE_RCV","FQ3 2020","FQ3 2020","Currency=USD","Period=FQ","BEST_FPERIOD_OVERRIDE=FQ","FILING_STATUS=MR","SCALING_FORMAT=MLN","Sort=A","Dates=H","DateFormat=P","Fill=—","Direction=H","UseDPDF=Y")</f>
        <v>3628</v>
      </c>
      <c r="L10" s="13" cm="1">
        <f t="array" ref="L10">_xll.BDH("CMI US Equity","BS_ACCT_NOTE_RCV","FQ4 2020","FQ4 2020","Currency=USD","Period=FQ","BEST_FPERIOD_OVERRIDE=FQ","FILING_STATUS=MR","SCALING_FORMAT=MLN","Sort=A","Dates=H","DateFormat=P","Fill=—","Direction=H","UseDPDF=Y")</f>
        <v>3820</v>
      </c>
      <c r="M10" s="13" cm="1">
        <f t="array" ref="M10">_xll.BDH("CMI US Equity","BS_ACCT_NOTE_RCV","FQ1 2021","FQ1 2021","Currency=USD","Period=FQ","BEST_FPERIOD_OVERRIDE=FQ","FILING_STATUS=MR","SCALING_FORMAT=MLN","Sort=A","Dates=H","DateFormat=P","Fill=—","Direction=H","UseDPDF=Y")</f>
        <v>3698</v>
      </c>
      <c r="N10" s="13" cm="1">
        <f t="array" ref="N10">_xll.BDH("CMI US Equity","BS_ACCT_NOTE_RCV","FQ2 2021","FQ2 2021","Currency=USD","Period=FQ","BEST_FPERIOD_OVERRIDE=FQ","FILING_STATUS=MR","SCALING_FORMAT=MLN","Sort=A","Dates=H","DateFormat=P","Fill=—","Direction=H","UseDPDF=Y")</f>
        <v>4132</v>
      </c>
      <c r="O10" s="13" cm="1">
        <f t="array" ref="O10">_xll.BDH("CMI US Equity","BS_ACCT_NOTE_RCV","FQ3 2021","FQ3 2021","Currency=USD","Period=FQ","BEST_FPERIOD_OVERRIDE=FQ","FILING_STATUS=MR","SCALING_FORMAT=MLN","Sort=A","Dates=H","DateFormat=P","Fill=—","Direction=H","UseDPDF=Y")</f>
        <v>4152</v>
      </c>
      <c r="P10" s="13" cm="1">
        <f t="array" ref="P10">_xll.BDH("CMI US Equity","BS_ACCT_NOTE_RCV","FQ4 2021","FQ4 2021","Currency=USD","Period=FQ","BEST_FPERIOD_OVERRIDE=FQ","FILING_STATUS=MR","SCALING_FORMAT=MLN","Sort=A","Dates=H","DateFormat=P","Fill=—","Direction=H","UseDPDF=Y")</f>
        <v>3990</v>
      </c>
      <c r="Q10" s="13" cm="1">
        <f t="array" ref="Q10">_xll.BDH("CMI US Equity","BS_ACCT_NOTE_RCV","FQ1 2022","FQ1 2022","Currency=USD","Period=FQ","BEST_FPERIOD_OVERRIDE=FQ","FILING_STATUS=MR","SCALING_FORMAT=MLN","Sort=A","Dates=H","DateFormat=P","Fill=—","Direction=H","UseDPDF=Y")</f>
        <v>3969</v>
      </c>
      <c r="R10" s="13" cm="1">
        <f t="array" ref="R10">_xll.BDH("CMI US Equity","BS_ACCT_NOTE_RCV","FQ2 2022","FQ2 2022","Currency=USD","Period=FQ","BEST_FPERIOD_OVERRIDE=FQ","FILING_STATUS=MR","SCALING_FORMAT=MLN","Sort=A","Dates=H","DateFormat=P","Fill=—","Direction=H","UseDPDF=Y")</f>
        <v>4156</v>
      </c>
      <c r="S10" s="13" cm="1">
        <f t="array" ref="S10">_xll.BDH("CMI US Equity","BS_ACCT_NOTE_RCV","FQ3 2022","FQ3 2022","Currency=USD","Period=FQ","BEST_FPERIOD_OVERRIDE=FQ","FILING_STATUS=MR","SCALING_FORMAT=MLN","Sort=A","Dates=H","DateFormat=P","Fill=—","Direction=H","UseDPDF=Y")</f>
        <v>4799</v>
      </c>
      <c r="T10" s="13" cm="1">
        <f t="array" ref="T10">_xll.BDH("CMI US Equity","BS_ACCT_NOTE_RCV","FQ4 2022","FQ4 2022","Currency=USD","Period=FQ","BEST_FPERIOD_OVERRIDE=FQ","FILING_STATUS=MR","SCALING_FORMAT=MLN","Sort=A","Dates=H","DateFormat=P","Fill=—","Direction=H","UseDPDF=Y")</f>
        <v>5202</v>
      </c>
      <c r="U10" s="13" cm="1">
        <f t="array" ref="U10">_xll.BDH("CMI US Equity","BS_ACCT_NOTE_RCV","FQ1 2023","FQ1 2023","Currency=USD","Period=FQ","BEST_FPERIOD_OVERRIDE=FQ","FILING_STATUS=MR","SCALING_FORMAT=MLN","Sort=A","Dates=H","DateFormat=P","Fill=—","Direction=H","UseDPDF=Y")</f>
        <v>5834</v>
      </c>
      <c r="V10" s="13" cm="1">
        <f t="array" ref="V10">_xll.BDH("CMI US Equity","BS_ACCT_NOTE_RCV","FQ2 2023","FQ2 2023","Currency=USD","Period=FQ","BEST_FPERIOD_OVERRIDE=FQ","FILING_STATUS=MR","SCALING_FORMAT=MLN","Sort=A","Dates=H","DateFormat=P","Fill=—","Direction=H","UseDPDF=Y")</f>
        <v>5863</v>
      </c>
      <c r="W10" s="13" cm="1">
        <f t="array" ref="W10">_xll.BDH("CMI US Equity","BS_ACCT_NOTE_RCV","FQ3 2023","FQ3 2023","Currency=USD","Period=FQ","BEST_FPERIOD_OVERRIDE=FQ","FILING_STATUS=MR","SCALING_FORMAT=MLN","Sort=A","Dates=H","DateFormat=P","Fill=—","Direction=H","UseDPDF=Y")</f>
        <v>5662</v>
      </c>
      <c r="X10" s="13" cm="1">
        <f t="array" ref="X10">_xll.BDH("CMI US Equity","BS_ACCT_NOTE_RCV","FQ4 2023","FQ4 2023","Currency=USD","Period=FQ","BEST_FPERIOD_OVERRIDE=FQ","FILING_STATUS=MR","SCALING_FORMAT=MLN","Sort=A","Dates=H","DateFormat=P","Fill=—","Direction=H","UseDPDF=Y")</f>
        <v>5583</v>
      </c>
      <c r="Y10" s="13" cm="1">
        <f t="array" ref="Y10">_xll.BDH("CMI US Equity","BS_ACCT_NOTE_RCV","FQ1 2024","FQ1 2024","Currency=USD","Period=FQ","BEST_FPERIOD_OVERRIDE=FQ","FILING_STATUS=MR","SCALING_FORMAT=MLN","Sort=A","Dates=H","DateFormat=P","Fill=—","Direction=H","UseDPDF=Y")</f>
        <v>5463</v>
      </c>
      <c r="Z10" s="13" cm="1">
        <f t="array" ref="Z10">_xll.BDH("CMI US Equity","BS_ACCT_NOTE_RCV","FQ2 2024","FQ2 2024","Currency=USD","Period=FQ","BEST_FPERIOD_OVERRIDE=FQ","FILING_STATUS=MR","SCALING_FORMAT=MLN","Sort=A","Dates=H","DateFormat=P","Fill=—","Direction=H","UseDPDF=Y")</f>
        <v>5606</v>
      </c>
      <c r="AA10" s="13" cm="1">
        <f t="array" ref="AA10">_xll.BDH("CMI US Equity","BS_ACCT_NOTE_RCV","FQ3 2024","FQ3 2024","Currency=USD","Period=FQ","BEST_FPERIOD_OVERRIDE=FQ","FILING_STATUS=MR","SCALING_FORMAT=MLN","Sort=A","Dates=H","DateFormat=P","Fill=—","Direction=H","UseDPDF=Y")</f>
        <v>5387</v>
      </c>
      <c r="AB10" s="13" cm="1">
        <f t="array" ref="AB10">_xll.BDH("CMI US Equity","BS_ACCT_NOTE_RCV","FQ4 2024","FQ4 2024","Currency=USD","Period=FQ","BEST_FPERIOD_OVERRIDE=FQ","FILING_STATUS=MR","SCALING_FORMAT=MLN","Sort=A","Dates=H","DateFormat=P","Fill=—","Direction=H","UseDPDF=Y")</f>
        <v>5181</v>
      </c>
      <c r="AC10" s="13" cm="1">
        <f t="array" ref="AC10">_xll.BDH("CMI US Equity","BS_ACCT_NOTE_RCV","FQ1 2025","FQ1 2025","Currency=USD","Period=FQ","BEST_FPERIOD_OVERRIDE=FQ","FILING_STATUS=MR","SCALING_FORMAT=MLN","Sort=A","Dates=H","DateFormat=P","Fill=—","Direction=H","UseDPDF=Y")</f>
        <v>5680</v>
      </c>
      <c r="AD10" s="13" cm="1">
        <f t="array" ref="AD10">_xll.BDH("CMI US Equity","BS_ACCT_NOTE_RCV","FQ2 2025","FQ2 2025","Currency=USD","Period=FQ","BEST_FPERIOD_OVERRIDE=FQ","FILING_STATUS=MR","SCALING_FORMAT=MLN","Sort=A","Dates=H","DateFormat=P","Fill=—","Direction=H","UseDPDF=Y")</f>
        <v>5874</v>
      </c>
      <c r="AE10" s="13" cm="1">
        <f t="array" ref="AE10">_xll.BDH("CMI US Equity","BS_ACCT_NOTE_RCV","FQ3 2025","FQ3 2025","Currency=USD","Period=FQ","BEST_FPERIOD_OVERRIDE=FQ","FILING_STATUS=MR","SCALING_FORMAT=MLN","Sort=A","Dates=H","DateFormat=P","Fill=—","Direction=H","UseDPDF=Y")</f>
        <v>5640</v>
      </c>
      <c r="AF10" s="13" cm="1">
        <f t="array" ref="AF10">_xll.BDH("CMI US Equity","BS_ACCT_NOTE_RCV","FQ4 2025","FQ4 2025","Currency=USD","Period=FQ","BEST_FPERIOD_OVERRIDE=FQ","FILING_STATUS=MR","SCALING_FORMAT=MLN","Sort=A","Dates=H","DateFormat=P","Fill=—","Direction=H","UseDPDF=Y")</f>
        <v>5818</v>
      </c>
    </row>
    <row r="11" spans="1:32" x14ac:dyDescent="0.25">
      <c r="A11" s="10" t="s">
        <v>74</v>
      </c>
      <c r="B11" s="10" t="s">
        <v>75</v>
      </c>
      <c r="C11" s="13" cm="1">
        <f t="array" ref="C11">_xll.BDH("CMI US Equity","BS_ACCTS_REC_EXCL_NOTES_REC","FQ3 2018","FQ3 2018","Currency=USD","Period=FQ","BEST_FPERIOD_OVERRIDE=FQ","FILING_STATUS=MR","SCALING_FORMAT=MLN","Sort=A","Dates=H","DateFormat=P","Fill=—","Direction=H","UseDPDF=Y")</f>
        <v>3670</v>
      </c>
      <c r="D11" s="13" cm="1">
        <f t="array" ref="D11">_xll.BDH("CMI US Equity","BS_ACCTS_REC_EXCL_NOTES_REC","FQ4 2018","FQ4 2018","Currency=USD","Period=FQ","BEST_FPERIOD_OVERRIDE=FQ","FILING_STATUS=MR","SCALING_FORMAT=MLN","Sort=A","Dates=H","DateFormat=P","Fill=—","Direction=H","UseDPDF=Y")</f>
        <v>3635</v>
      </c>
      <c r="E11" s="13" cm="1">
        <f t="array" ref="E11">_xll.BDH("CMI US Equity","BS_ACCTS_REC_EXCL_NOTES_REC","FQ1 2019","FQ1 2019","Currency=USD","Period=FQ","BEST_FPERIOD_OVERRIDE=FQ","FILING_STATUS=MR","SCALING_FORMAT=MLN","Sort=A","Dates=H","DateFormat=P","Fill=—","Direction=H","UseDPDF=Y")</f>
        <v>3765</v>
      </c>
      <c r="F11" s="13" cm="1">
        <f t="array" ref="F11">_xll.BDH("CMI US Equity","BS_ACCTS_REC_EXCL_NOTES_REC","FQ2 2019","FQ2 2019","Currency=USD","Period=FQ","BEST_FPERIOD_OVERRIDE=FQ","FILING_STATUS=MR","SCALING_FORMAT=MLN","Sort=A","Dates=H","DateFormat=P","Fill=—","Direction=H","UseDPDF=Y")</f>
        <v>3899</v>
      </c>
      <c r="G11" s="13" cm="1">
        <f t="array" ref="G11">_xll.BDH("CMI US Equity","BS_ACCTS_REC_EXCL_NOTES_REC","FQ3 2019","FQ3 2019","Currency=USD","Period=FQ","BEST_FPERIOD_OVERRIDE=FQ","FILING_STATUS=MR","SCALING_FORMAT=MLN","Sort=A","Dates=H","DateFormat=P","Fill=—","Direction=H","UseDPDF=Y")</f>
        <v>3677</v>
      </c>
      <c r="H11" s="13" cm="1">
        <f t="array" ref="H11">_xll.BDH("CMI US Equity","BS_ACCTS_REC_EXCL_NOTES_REC","FQ4 2019","FQ4 2019","Currency=USD","Period=FQ","BEST_FPERIOD_OVERRIDE=FQ","FILING_STATUS=MR","SCALING_FORMAT=MLN","Sort=A","Dates=H","DateFormat=P","Fill=—","Direction=H","UseDPDF=Y")</f>
        <v>3387</v>
      </c>
      <c r="I11" s="13" cm="1">
        <f t="array" ref="I11">_xll.BDH("CMI US Equity","BS_ACCTS_REC_EXCL_NOTES_REC","FQ1 2020","FQ1 2020","Currency=USD","Period=FQ","BEST_FPERIOD_OVERRIDE=FQ","FILING_STATUS=MR","SCALING_FORMAT=MLN","Sort=A","Dates=H","DateFormat=P","Fill=—","Direction=H","UseDPDF=Y")</f>
        <v>3234</v>
      </c>
      <c r="J11" s="13" cm="1">
        <f t="array" ref="J11">_xll.BDH("CMI US Equity","BS_ACCTS_REC_EXCL_NOTES_REC","FQ2 2020","FQ2 2020","Currency=USD","Period=FQ","BEST_FPERIOD_OVERRIDE=FQ","FILING_STATUS=MR","SCALING_FORMAT=MLN","Sort=A","Dates=H","DateFormat=P","Fill=—","Direction=H","UseDPDF=Y")</f>
        <v>3069</v>
      </c>
      <c r="K11" s="13" cm="1">
        <f t="array" ref="K11">_xll.BDH("CMI US Equity","BS_ACCTS_REC_EXCL_NOTES_REC","FQ3 2020","FQ3 2020","Currency=USD","Period=FQ","BEST_FPERIOD_OVERRIDE=FQ","FILING_STATUS=MR","SCALING_FORMAT=MLN","Sort=A","Dates=H","DateFormat=P","Fill=—","Direction=H","UseDPDF=Y")</f>
        <v>3628</v>
      </c>
      <c r="L11" s="13" cm="1">
        <f t="array" ref="L11">_xll.BDH("CMI US Equity","BS_ACCTS_REC_EXCL_NOTES_REC","FQ4 2020","FQ4 2020","Currency=USD","Period=FQ","BEST_FPERIOD_OVERRIDE=FQ","FILING_STATUS=MR","SCALING_FORMAT=MLN","Sort=A","Dates=H","DateFormat=P","Fill=—","Direction=H","UseDPDF=Y")</f>
        <v>3820</v>
      </c>
      <c r="M11" s="13" cm="1">
        <f t="array" ref="M11">_xll.BDH("CMI US Equity","BS_ACCTS_REC_EXCL_NOTES_REC","FQ1 2021","FQ1 2021","Currency=USD","Period=FQ","BEST_FPERIOD_OVERRIDE=FQ","FILING_STATUS=MR","SCALING_FORMAT=MLN","Sort=A","Dates=H","DateFormat=P","Fill=—","Direction=H","UseDPDF=Y")</f>
        <v>3698</v>
      </c>
      <c r="N11" s="13" cm="1">
        <f t="array" ref="N11">_xll.BDH("CMI US Equity","BS_ACCTS_REC_EXCL_NOTES_REC","FQ2 2021","FQ2 2021","Currency=USD","Period=FQ","BEST_FPERIOD_OVERRIDE=FQ","FILING_STATUS=MR","SCALING_FORMAT=MLN","Sort=A","Dates=H","DateFormat=P","Fill=—","Direction=H","UseDPDF=Y")</f>
        <v>4132</v>
      </c>
      <c r="O11" s="13" cm="1">
        <f t="array" ref="O11">_xll.BDH("CMI US Equity","BS_ACCTS_REC_EXCL_NOTES_REC","FQ3 2021","FQ3 2021","Currency=USD","Period=FQ","BEST_FPERIOD_OVERRIDE=FQ","FILING_STATUS=MR","SCALING_FORMAT=MLN","Sort=A","Dates=H","DateFormat=P","Fill=—","Direction=H","UseDPDF=Y")</f>
        <v>4152</v>
      </c>
      <c r="P11" s="13" cm="1">
        <f t="array" ref="P11">_xll.BDH("CMI US Equity","BS_ACCTS_REC_EXCL_NOTES_REC","FQ4 2021","FQ4 2021","Currency=USD","Period=FQ","BEST_FPERIOD_OVERRIDE=FQ","FILING_STATUS=MR","SCALING_FORMAT=MLN","Sort=A","Dates=H","DateFormat=P","Fill=—","Direction=H","UseDPDF=Y")</f>
        <v>3990</v>
      </c>
      <c r="Q11" s="13" cm="1">
        <f t="array" ref="Q11">_xll.BDH("CMI US Equity","BS_ACCTS_REC_EXCL_NOTES_REC","FQ1 2022","FQ1 2022","Currency=USD","Period=FQ","BEST_FPERIOD_OVERRIDE=FQ","FILING_STATUS=MR","SCALING_FORMAT=MLN","Sort=A","Dates=H","DateFormat=P","Fill=—","Direction=H","UseDPDF=Y")</f>
        <v>3969</v>
      </c>
      <c r="R11" s="13" cm="1">
        <f t="array" ref="R11">_xll.BDH("CMI US Equity","BS_ACCTS_REC_EXCL_NOTES_REC","FQ2 2022","FQ2 2022","Currency=USD","Period=FQ","BEST_FPERIOD_OVERRIDE=FQ","FILING_STATUS=MR","SCALING_FORMAT=MLN","Sort=A","Dates=H","DateFormat=P","Fill=—","Direction=H","UseDPDF=Y")</f>
        <v>4156</v>
      </c>
      <c r="S11" s="13" cm="1">
        <f t="array" ref="S11">_xll.BDH("CMI US Equity","BS_ACCTS_REC_EXCL_NOTES_REC","FQ3 2022","FQ3 2022","Currency=USD","Period=FQ","BEST_FPERIOD_OVERRIDE=FQ","FILING_STATUS=MR","SCALING_FORMAT=MLN","Sort=A","Dates=H","DateFormat=P","Fill=—","Direction=H","UseDPDF=Y")</f>
        <v>4799</v>
      </c>
      <c r="T11" s="13" cm="1">
        <f t="array" ref="T11">_xll.BDH("CMI US Equity","BS_ACCTS_REC_EXCL_NOTES_REC","FQ4 2022","FQ4 2022","Currency=USD","Period=FQ","BEST_FPERIOD_OVERRIDE=FQ","FILING_STATUS=MR","SCALING_FORMAT=MLN","Sort=A","Dates=H","DateFormat=P","Fill=—","Direction=H","UseDPDF=Y")</f>
        <v>5202</v>
      </c>
      <c r="U11" s="13" cm="1">
        <f t="array" ref="U11">_xll.BDH("CMI US Equity","BS_ACCTS_REC_EXCL_NOTES_REC","FQ1 2023","FQ1 2023","Currency=USD","Period=FQ","BEST_FPERIOD_OVERRIDE=FQ","FILING_STATUS=MR","SCALING_FORMAT=MLN","Sort=A","Dates=H","DateFormat=P","Fill=—","Direction=H","UseDPDF=Y")</f>
        <v>5834</v>
      </c>
      <c r="V11" s="13" cm="1">
        <f t="array" ref="V11">_xll.BDH("CMI US Equity","BS_ACCTS_REC_EXCL_NOTES_REC","FQ2 2023","FQ2 2023","Currency=USD","Period=FQ","BEST_FPERIOD_OVERRIDE=FQ","FILING_STATUS=MR","SCALING_FORMAT=MLN","Sort=A","Dates=H","DateFormat=P","Fill=—","Direction=H","UseDPDF=Y")</f>
        <v>5863</v>
      </c>
      <c r="W11" s="13" cm="1">
        <f t="array" ref="W11">_xll.BDH("CMI US Equity","BS_ACCTS_REC_EXCL_NOTES_REC","FQ3 2023","FQ3 2023","Currency=USD","Period=FQ","BEST_FPERIOD_OVERRIDE=FQ","FILING_STATUS=MR","SCALING_FORMAT=MLN","Sort=A","Dates=H","DateFormat=P","Fill=—","Direction=H","UseDPDF=Y")</f>
        <v>5662</v>
      </c>
      <c r="X11" s="13" cm="1">
        <f t="array" ref="X11">_xll.BDH("CMI US Equity","BS_ACCTS_REC_EXCL_NOTES_REC","FQ4 2023","FQ4 2023","Currency=USD","Period=FQ","BEST_FPERIOD_OVERRIDE=FQ","FILING_STATUS=MR","SCALING_FORMAT=MLN","Sort=A","Dates=H","DateFormat=P","Fill=—","Direction=H","UseDPDF=Y")</f>
        <v>5583</v>
      </c>
      <c r="Y11" s="13" cm="1">
        <f t="array" ref="Y11">_xll.BDH("CMI US Equity","BS_ACCTS_REC_EXCL_NOTES_REC","FQ1 2024","FQ1 2024","Currency=USD","Period=FQ","BEST_FPERIOD_OVERRIDE=FQ","FILING_STATUS=MR","SCALING_FORMAT=MLN","Sort=A","Dates=H","DateFormat=P","Fill=—","Direction=H","UseDPDF=Y")</f>
        <v>5463</v>
      </c>
      <c r="Z11" s="13" cm="1">
        <f t="array" ref="Z11">_xll.BDH("CMI US Equity","BS_ACCTS_REC_EXCL_NOTES_REC","FQ2 2024","FQ2 2024","Currency=USD","Period=FQ","BEST_FPERIOD_OVERRIDE=FQ","FILING_STATUS=MR","SCALING_FORMAT=MLN","Sort=A","Dates=H","DateFormat=P","Fill=—","Direction=H","UseDPDF=Y")</f>
        <v>5606</v>
      </c>
      <c r="AA11" s="13" cm="1">
        <f t="array" ref="AA11">_xll.BDH("CMI US Equity","BS_ACCTS_REC_EXCL_NOTES_REC","FQ3 2024","FQ3 2024","Currency=USD","Period=FQ","BEST_FPERIOD_OVERRIDE=FQ","FILING_STATUS=MR","SCALING_FORMAT=MLN","Sort=A","Dates=H","DateFormat=P","Fill=—","Direction=H","UseDPDF=Y")</f>
        <v>5387</v>
      </c>
      <c r="AB11" s="13" cm="1">
        <f t="array" ref="AB11">_xll.BDH("CMI US Equity","BS_ACCTS_REC_EXCL_NOTES_REC","FQ4 2024","FQ4 2024","Currency=USD","Period=FQ","BEST_FPERIOD_OVERRIDE=FQ","FILING_STATUS=MR","SCALING_FORMAT=MLN","Sort=A","Dates=H","DateFormat=P","Fill=—","Direction=H","UseDPDF=Y")</f>
        <v>5181</v>
      </c>
      <c r="AC11" s="13" cm="1">
        <f t="array" ref="AC11">_xll.BDH("CMI US Equity","BS_ACCTS_REC_EXCL_NOTES_REC","FQ1 2025","FQ1 2025","Currency=USD","Period=FQ","BEST_FPERIOD_OVERRIDE=FQ","FILING_STATUS=MR","SCALING_FORMAT=MLN","Sort=A","Dates=H","DateFormat=P","Fill=—","Direction=H","UseDPDF=Y")</f>
        <v>5680</v>
      </c>
      <c r="AD11" s="13" cm="1">
        <f t="array" ref="AD11">_xll.BDH("CMI US Equity","BS_ACCTS_REC_EXCL_NOTES_REC","FQ2 2025","FQ2 2025","Currency=USD","Period=FQ","BEST_FPERIOD_OVERRIDE=FQ","FILING_STATUS=MR","SCALING_FORMAT=MLN","Sort=A","Dates=H","DateFormat=P","Fill=—","Direction=H","UseDPDF=Y")</f>
        <v>5874</v>
      </c>
      <c r="AE11" s="13" cm="1">
        <f t="array" ref="AE11">_xll.BDH("CMI US Equity","BS_ACCTS_REC_EXCL_NOTES_REC","FQ3 2025","FQ3 2025","Currency=USD","Period=FQ","BEST_FPERIOD_OVERRIDE=FQ","FILING_STATUS=MR","SCALING_FORMAT=MLN","Sort=A","Dates=H","DateFormat=P","Fill=—","Direction=H","UseDPDF=Y")</f>
        <v>5640</v>
      </c>
      <c r="AF11" s="13" cm="1">
        <f t="array" ref="AF11">_xll.BDH("CMI US Equity","BS_ACCTS_REC_EXCL_NOTES_REC","FQ4 2025","FQ4 2025","Currency=USD","Period=FQ","BEST_FPERIOD_OVERRIDE=FQ","FILING_STATUS=MR","SCALING_FORMAT=MLN","Sort=A","Dates=H","DateFormat=P","Fill=—","Direction=H","UseDPDF=Y")</f>
        <v>5818</v>
      </c>
    </row>
    <row r="12" spans="1:32" x14ac:dyDescent="0.25">
      <c r="A12" s="10" t="s">
        <v>76</v>
      </c>
      <c r="B12" s="10" t="s">
        <v>77</v>
      </c>
      <c r="C12" s="13" cm="1">
        <f t="array" ref="C12">_xll.BDH("CMI US Equity","NOTES_RECEIVABLE","FQ3 2018","FQ3 2018","Currency=USD","Period=FQ","BEST_FPERIOD_OVERRIDE=FQ","FILING_STATUS=MR","SCALING_FORMAT=MLN","Sort=A","Dates=H","DateFormat=P","Fill=—","Direction=H","UseDPDF=Y")</f>
        <v>0</v>
      </c>
      <c r="D12" s="13" cm="1">
        <f t="array" ref="D12">_xll.BDH("CMI US Equity","NOTES_RECEIVABLE","FQ4 2018","FQ4 2018","Currency=USD","Period=FQ","BEST_FPERIOD_OVERRIDE=FQ","FILING_STATUS=MR","SCALING_FORMAT=MLN","Sort=A","Dates=H","DateFormat=P","Fill=—","Direction=H","UseDPDF=Y")</f>
        <v>0</v>
      </c>
      <c r="E12" s="13" cm="1">
        <f t="array" ref="E12">_xll.BDH("CMI US Equity","NOTES_RECEIVABLE","FQ1 2019","FQ1 2019","Currency=USD","Period=FQ","BEST_FPERIOD_OVERRIDE=FQ","FILING_STATUS=MR","SCALING_FORMAT=MLN","Sort=A","Dates=H","DateFormat=P","Fill=—","Direction=H","UseDPDF=Y")</f>
        <v>0</v>
      </c>
      <c r="F12" s="13" cm="1">
        <f t="array" ref="F12">_xll.BDH("CMI US Equity","NOTES_RECEIVABLE","FQ2 2019","FQ2 2019","Currency=USD","Period=FQ","BEST_FPERIOD_OVERRIDE=FQ","FILING_STATUS=MR","SCALING_FORMAT=MLN","Sort=A","Dates=H","DateFormat=P","Fill=—","Direction=H","UseDPDF=Y")</f>
        <v>0</v>
      </c>
      <c r="G12" s="13" cm="1">
        <f t="array" ref="G12">_xll.BDH("CMI US Equity","NOTES_RECEIVABLE","FQ3 2019","FQ3 2019","Currency=USD","Period=FQ","BEST_FPERIOD_OVERRIDE=FQ","FILING_STATUS=MR","SCALING_FORMAT=MLN","Sort=A","Dates=H","DateFormat=P","Fill=—","Direction=H","UseDPDF=Y")</f>
        <v>0</v>
      </c>
      <c r="H12" s="13" cm="1">
        <f t="array" ref="H12">_xll.BDH("CMI US Equity","NOTES_RECEIVABLE","FQ4 2019","FQ4 2019","Currency=USD","Period=FQ","BEST_FPERIOD_OVERRIDE=FQ","FILING_STATUS=MR","SCALING_FORMAT=MLN","Sort=A","Dates=H","DateFormat=P","Fill=—","Direction=H","UseDPDF=Y")</f>
        <v>0</v>
      </c>
      <c r="I12" s="13" cm="1">
        <f t="array" ref="I12">_xll.BDH("CMI US Equity","NOTES_RECEIVABLE","FQ1 2020","FQ1 2020","Currency=USD","Period=FQ","BEST_FPERIOD_OVERRIDE=FQ","FILING_STATUS=MR","SCALING_FORMAT=MLN","Sort=A","Dates=H","DateFormat=P","Fill=—","Direction=H","UseDPDF=Y")</f>
        <v>0</v>
      </c>
      <c r="J12" s="13" cm="1">
        <f t="array" ref="J12">_xll.BDH("CMI US Equity","NOTES_RECEIVABLE","FQ2 2020","FQ2 2020","Currency=USD","Period=FQ","BEST_FPERIOD_OVERRIDE=FQ","FILING_STATUS=MR","SCALING_FORMAT=MLN","Sort=A","Dates=H","DateFormat=P","Fill=—","Direction=H","UseDPDF=Y")</f>
        <v>0</v>
      </c>
      <c r="K12" s="13" cm="1">
        <f t="array" ref="K12">_xll.BDH("CMI US Equity","NOTES_RECEIVABLE","FQ3 2020","FQ3 2020","Currency=USD","Period=FQ","BEST_FPERIOD_OVERRIDE=FQ","FILING_STATUS=MR","SCALING_FORMAT=MLN","Sort=A","Dates=H","DateFormat=P","Fill=—","Direction=H","UseDPDF=Y")</f>
        <v>0</v>
      </c>
      <c r="L12" s="13" cm="1">
        <f t="array" ref="L12">_xll.BDH("CMI US Equity","NOTES_RECEIVABLE","FQ4 2020","FQ4 2020","Currency=USD","Period=FQ","BEST_FPERIOD_OVERRIDE=FQ","FILING_STATUS=MR","SCALING_FORMAT=MLN","Sort=A","Dates=H","DateFormat=P","Fill=—","Direction=H","UseDPDF=Y")</f>
        <v>0</v>
      </c>
      <c r="M12" s="13" cm="1">
        <f t="array" ref="M12">_xll.BDH("CMI US Equity","NOTES_RECEIVABLE","FQ1 2021","FQ1 2021","Currency=USD","Period=FQ","BEST_FPERIOD_OVERRIDE=FQ","FILING_STATUS=MR","SCALING_FORMAT=MLN","Sort=A","Dates=H","DateFormat=P","Fill=—","Direction=H","UseDPDF=Y")</f>
        <v>0</v>
      </c>
      <c r="N12" s="13" cm="1">
        <f t="array" ref="N12">_xll.BDH("CMI US Equity","NOTES_RECEIVABLE","FQ2 2021","FQ2 2021","Currency=USD","Period=FQ","BEST_FPERIOD_OVERRIDE=FQ","FILING_STATUS=MR","SCALING_FORMAT=MLN","Sort=A","Dates=H","DateFormat=P","Fill=—","Direction=H","UseDPDF=Y")</f>
        <v>0</v>
      </c>
      <c r="O12" s="13" cm="1">
        <f t="array" ref="O12">_xll.BDH("CMI US Equity","NOTES_RECEIVABLE","FQ3 2021","FQ3 2021","Currency=USD","Period=FQ","BEST_FPERIOD_OVERRIDE=FQ","FILING_STATUS=MR","SCALING_FORMAT=MLN","Sort=A","Dates=H","DateFormat=P","Fill=—","Direction=H","UseDPDF=Y")</f>
        <v>0</v>
      </c>
      <c r="P12" s="13" cm="1">
        <f t="array" ref="P12">_xll.BDH("CMI US Equity","NOTES_RECEIVABLE","FQ4 2021","FQ4 2021","Currency=USD","Period=FQ","BEST_FPERIOD_OVERRIDE=FQ","FILING_STATUS=MR","SCALING_FORMAT=MLN","Sort=A","Dates=H","DateFormat=P","Fill=—","Direction=H","UseDPDF=Y")</f>
        <v>0</v>
      </c>
      <c r="Q12" s="13" cm="1">
        <f t="array" ref="Q12">_xll.BDH("CMI US Equity","NOTES_RECEIVABLE","FQ1 2022","FQ1 2022","Currency=USD","Period=FQ","BEST_FPERIOD_OVERRIDE=FQ","FILING_STATUS=MR","SCALING_FORMAT=MLN","Sort=A","Dates=H","DateFormat=P","Fill=—","Direction=H","UseDPDF=Y")</f>
        <v>0</v>
      </c>
      <c r="R12" s="13" cm="1">
        <f t="array" ref="R12">_xll.BDH("CMI US Equity","NOTES_RECEIVABLE","FQ2 2022","FQ2 2022","Currency=USD","Period=FQ","BEST_FPERIOD_OVERRIDE=FQ","FILING_STATUS=MR","SCALING_FORMAT=MLN","Sort=A","Dates=H","DateFormat=P","Fill=—","Direction=H","UseDPDF=Y")</f>
        <v>0</v>
      </c>
      <c r="S12" s="13" cm="1">
        <f t="array" ref="S12">_xll.BDH("CMI US Equity","NOTES_RECEIVABLE","FQ3 2022","FQ3 2022","Currency=USD","Period=FQ","BEST_FPERIOD_OVERRIDE=FQ","FILING_STATUS=MR","SCALING_FORMAT=MLN","Sort=A","Dates=H","DateFormat=P","Fill=—","Direction=H","UseDPDF=Y")</f>
        <v>0</v>
      </c>
      <c r="T12" s="13" cm="1">
        <f t="array" ref="T12">_xll.BDH("CMI US Equity","NOTES_RECEIVABLE","FQ4 2022","FQ4 2022","Currency=USD","Period=FQ","BEST_FPERIOD_OVERRIDE=FQ","FILING_STATUS=MR","SCALING_FORMAT=MLN","Sort=A","Dates=H","DateFormat=P","Fill=—","Direction=H","UseDPDF=Y")</f>
        <v>0</v>
      </c>
      <c r="U12" s="13" cm="1">
        <f t="array" ref="U12">_xll.BDH("CMI US Equity","NOTES_RECEIVABLE","FQ1 2023","FQ1 2023","Currency=USD","Period=FQ","BEST_FPERIOD_OVERRIDE=FQ","FILING_STATUS=MR","SCALING_FORMAT=MLN","Sort=A","Dates=H","DateFormat=P","Fill=—","Direction=H","UseDPDF=Y")</f>
        <v>0</v>
      </c>
      <c r="V12" s="13" cm="1">
        <f t="array" ref="V12">_xll.BDH("CMI US Equity","NOTES_RECEIVABLE","FQ2 2023","FQ2 2023","Currency=USD","Period=FQ","BEST_FPERIOD_OVERRIDE=FQ","FILING_STATUS=MR","SCALING_FORMAT=MLN","Sort=A","Dates=H","DateFormat=P","Fill=—","Direction=H","UseDPDF=Y")</f>
        <v>0</v>
      </c>
      <c r="W12" s="13" cm="1">
        <f t="array" ref="W12">_xll.BDH("CMI US Equity","NOTES_RECEIVABLE","FQ3 2023","FQ3 2023","Currency=USD","Period=FQ","BEST_FPERIOD_OVERRIDE=FQ","FILING_STATUS=MR","SCALING_FORMAT=MLN","Sort=A","Dates=H","DateFormat=P","Fill=—","Direction=H","UseDPDF=Y")</f>
        <v>0</v>
      </c>
      <c r="X12" s="13" cm="1">
        <f t="array" ref="X12">_xll.BDH("CMI US Equity","NOTES_RECEIVABLE","FQ4 2023","FQ4 2023","Currency=USD","Period=FQ","BEST_FPERIOD_OVERRIDE=FQ","FILING_STATUS=MR","SCALING_FORMAT=MLN","Sort=A","Dates=H","DateFormat=P","Fill=—","Direction=H","UseDPDF=Y")</f>
        <v>0</v>
      </c>
      <c r="Y12" s="13" cm="1">
        <f t="array" ref="Y12">_xll.BDH("CMI US Equity","NOTES_RECEIVABLE","FQ1 2024","FQ1 2024","Currency=USD","Period=FQ","BEST_FPERIOD_OVERRIDE=FQ","FILING_STATUS=MR","SCALING_FORMAT=MLN","Sort=A","Dates=H","DateFormat=P","Fill=—","Direction=H","UseDPDF=Y")</f>
        <v>0</v>
      </c>
      <c r="Z12" s="13" cm="1">
        <f t="array" ref="Z12">_xll.BDH("CMI US Equity","NOTES_RECEIVABLE","FQ2 2024","FQ2 2024","Currency=USD","Period=FQ","BEST_FPERIOD_OVERRIDE=FQ","FILING_STATUS=MR","SCALING_FORMAT=MLN","Sort=A","Dates=H","DateFormat=P","Fill=—","Direction=H","UseDPDF=Y")</f>
        <v>0</v>
      </c>
      <c r="AA12" s="13" cm="1">
        <f t="array" ref="AA12">_xll.BDH("CMI US Equity","NOTES_RECEIVABLE","FQ3 2024","FQ3 2024","Currency=USD","Period=FQ","BEST_FPERIOD_OVERRIDE=FQ","FILING_STATUS=MR","SCALING_FORMAT=MLN","Sort=A","Dates=H","DateFormat=P","Fill=—","Direction=H","UseDPDF=Y")</f>
        <v>0</v>
      </c>
      <c r="AB12" s="13" cm="1">
        <f t="array" ref="AB12">_xll.BDH("CMI US Equity","NOTES_RECEIVABLE","FQ4 2024","FQ4 2024","Currency=USD","Period=FQ","BEST_FPERIOD_OVERRIDE=FQ","FILING_STATUS=MR","SCALING_FORMAT=MLN","Sort=A","Dates=H","DateFormat=P","Fill=—","Direction=H","UseDPDF=Y")</f>
        <v>0</v>
      </c>
      <c r="AC12" s="13" cm="1">
        <f t="array" ref="AC12">_xll.BDH("CMI US Equity","NOTES_RECEIVABLE","FQ1 2025","FQ1 2025","Currency=USD","Period=FQ","BEST_FPERIOD_OVERRIDE=FQ","FILING_STATUS=MR","SCALING_FORMAT=MLN","Sort=A","Dates=H","DateFormat=P","Fill=—","Direction=H","UseDPDF=Y")</f>
        <v>0</v>
      </c>
      <c r="AD12" s="13" cm="1">
        <f t="array" ref="AD12">_xll.BDH("CMI US Equity","NOTES_RECEIVABLE","FQ2 2025","FQ2 2025","Currency=USD","Period=FQ","BEST_FPERIOD_OVERRIDE=FQ","FILING_STATUS=MR","SCALING_FORMAT=MLN","Sort=A","Dates=H","DateFormat=P","Fill=—","Direction=H","UseDPDF=Y")</f>
        <v>0</v>
      </c>
      <c r="AE12" s="13" cm="1">
        <f t="array" ref="AE12">_xll.BDH("CMI US Equity","NOTES_RECEIVABLE","FQ3 2025","FQ3 2025","Currency=USD","Period=FQ","BEST_FPERIOD_OVERRIDE=FQ","FILING_STATUS=MR","SCALING_FORMAT=MLN","Sort=A","Dates=H","DateFormat=P","Fill=—","Direction=H","UseDPDF=Y")</f>
        <v>0</v>
      </c>
      <c r="AF12" s="13" cm="1">
        <f t="array" ref="AF12">_xll.BDH("CMI US Equity","NOTES_RECEIVABLE","FQ4 2025","FQ4 2025","Currency=USD","Period=FQ","BEST_FPERIOD_OVERRIDE=FQ","FILING_STATUS=MR","SCALING_FORMAT=MLN","Sort=A","Dates=H","DateFormat=P","Fill=—","Direction=H","UseDPDF=Y")</f>
        <v>0</v>
      </c>
    </row>
    <row r="13" spans="1:32" x14ac:dyDescent="0.25">
      <c r="A13" s="10" t="s">
        <v>78</v>
      </c>
      <c r="B13" s="10" t="s">
        <v>79</v>
      </c>
      <c r="C13" s="13" cm="1">
        <f t="array" ref="C13">_xll.BDH("CMI US Equity","BS_INVENTORIES","FQ3 2018","FQ3 2018","Currency=USD","Period=FQ","BEST_FPERIOD_OVERRIDE=FQ","FILING_STATUS=MR","SCALING_FORMAT=MLN","Sort=A","Dates=H","DateFormat=P","Fill=—","Direction=H","UseDPDF=Y")</f>
        <v>3831</v>
      </c>
      <c r="D13" s="13" cm="1">
        <f t="array" ref="D13">_xll.BDH("CMI US Equity","BS_INVENTORIES","FQ4 2018","FQ4 2018","Currency=USD","Period=FQ","BEST_FPERIOD_OVERRIDE=FQ","FILING_STATUS=MR","SCALING_FORMAT=MLN","Sort=A","Dates=H","DateFormat=P","Fill=—","Direction=H","UseDPDF=Y")</f>
        <v>3759</v>
      </c>
      <c r="E13" s="13" cm="1">
        <f t="array" ref="E13">_xll.BDH("CMI US Equity","BS_INVENTORIES","FQ1 2019","FQ1 2019","Currency=USD","Period=FQ","BEST_FPERIOD_OVERRIDE=FQ","FILING_STATUS=MR","SCALING_FORMAT=MLN","Sort=A","Dates=H","DateFormat=P","Fill=—","Direction=H","UseDPDF=Y")</f>
        <v>3893</v>
      </c>
      <c r="F13" s="13" cm="1">
        <f t="array" ref="F13">_xll.BDH("CMI US Equity","BS_INVENTORIES","FQ2 2019","FQ2 2019","Currency=USD","Period=FQ","BEST_FPERIOD_OVERRIDE=FQ","FILING_STATUS=MR","SCALING_FORMAT=MLN","Sort=A","Dates=H","DateFormat=P","Fill=—","Direction=H","UseDPDF=Y")</f>
        <v>3896</v>
      </c>
      <c r="G13" s="13" cm="1">
        <f t="array" ref="G13">_xll.BDH("CMI US Equity","BS_INVENTORIES","FQ3 2019","FQ3 2019","Currency=USD","Period=FQ","BEST_FPERIOD_OVERRIDE=FQ","FILING_STATUS=MR","SCALING_FORMAT=MLN","Sort=A","Dates=H","DateFormat=P","Fill=—","Direction=H","UseDPDF=Y")</f>
        <v>3821</v>
      </c>
      <c r="H13" s="13" cm="1">
        <f t="array" ref="H13">_xll.BDH("CMI US Equity","BS_INVENTORIES","FQ4 2019","FQ4 2019","Currency=USD","Period=FQ","BEST_FPERIOD_OVERRIDE=FQ","FILING_STATUS=MR","SCALING_FORMAT=MLN","Sort=A","Dates=H","DateFormat=P","Fill=—","Direction=H","UseDPDF=Y")</f>
        <v>3486</v>
      </c>
      <c r="I13" s="13" cm="1">
        <f t="array" ref="I13">_xll.BDH("CMI US Equity","BS_INVENTORIES","FQ1 2020","FQ1 2020","Currency=USD","Period=FQ","BEST_FPERIOD_OVERRIDE=FQ","FILING_STATUS=MR","SCALING_FORMAT=MLN","Sort=A","Dates=H","DateFormat=P","Fill=—","Direction=H","UseDPDF=Y")</f>
        <v>3579</v>
      </c>
      <c r="J13" s="13" cm="1">
        <f t="array" ref="J13">_xll.BDH("CMI US Equity","BS_INVENTORIES","FQ2 2020","FQ2 2020","Currency=USD","Period=FQ","BEST_FPERIOD_OVERRIDE=FQ","FILING_STATUS=MR","SCALING_FORMAT=MLN","Sort=A","Dates=H","DateFormat=P","Fill=—","Direction=H","UseDPDF=Y")</f>
        <v>3655</v>
      </c>
      <c r="K13" s="13" cm="1">
        <f t="array" ref="K13">_xll.BDH("CMI US Equity","BS_INVENTORIES","FQ3 2020","FQ3 2020","Currency=USD","Period=FQ","BEST_FPERIOD_OVERRIDE=FQ","FILING_STATUS=MR","SCALING_FORMAT=MLN","Sort=A","Dates=H","DateFormat=P","Fill=—","Direction=H","UseDPDF=Y")</f>
        <v>3470</v>
      </c>
      <c r="L13" s="13" cm="1">
        <f t="array" ref="L13">_xll.BDH("CMI US Equity","BS_INVENTORIES","FQ4 2020","FQ4 2020","Currency=USD","Period=FQ","BEST_FPERIOD_OVERRIDE=FQ","FILING_STATUS=MR","SCALING_FORMAT=MLN","Sort=A","Dates=H","DateFormat=P","Fill=—","Direction=H","UseDPDF=Y")</f>
        <v>3425</v>
      </c>
      <c r="M13" s="13" cm="1">
        <f t="array" ref="M13">_xll.BDH("CMI US Equity","BS_INVENTORIES","FQ1 2021","FQ1 2021","Currency=USD","Period=FQ","BEST_FPERIOD_OVERRIDE=FQ","FILING_STATUS=MR","SCALING_FORMAT=MLN","Sort=A","Dates=H","DateFormat=P","Fill=—","Direction=H","UseDPDF=Y")</f>
        <v>3753</v>
      </c>
      <c r="N13" s="13" cm="1">
        <f t="array" ref="N13">_xll.BDH("CMI US Equity","BS_INVENTORIES","FQ2 2021","FQ2 2021","Currency=USD","Period=FQ","BEST_FPERIOD_OVERRIDE=FQ","FILING_STATUS=MR","SCALING_FORMAT=MLN","Sort=A","Dates=H","DateFormat=P","Fill=—","Direction=H","UseDPDF=Y")</f>
        <v>4076</v>
      </c>
      <c r="O13" s="13" cm="1">
        <f t="array" ref="O13">_xll.BDH("CMI US Equity","BS_INVENTORIES","FQ3 2021","FQ3 2021","Currency=USD","Period=FQ","BEST_FPERIOD_OVERRIDE=FQ","FILING_STATUS=MR","SCALING_FORMAT=MLN","Sort=A","Dates=H","DateFormat=P","Fill=—","Direction=H","UseDPDF=Y")</f>
        <v>4322</v>
      </c>
      <c r="P13" s="13" cm="1">
        <f t="array" ref="P13">_xll.BDH("CMI US Equity","BS_INVENTORIES","FQ4 2021","FQ4 2021","Currency=USD","Period=FQ","BEST_FPERIOD_OVERRIDE=FQ","FILING_STATUS=MR","SCALING_FORMAT=MLN","Sort=A","Dates=H","DateFormat=P","Fill=—","Direction=H","UseDPDF=Y")</f>
        <v>4355</v>
      </c>
      <c r="Q13" s="13" cm="1">
        <f t="array" ref="Q13">_xll.BDH("CMI US Equity","BS_INVENTORIES","FQ1 2022","FQ1 2022","Currency=USD","Period=FQ","BEST_FPERIOD_OVERRIDE=FQ","FILING_STATUS=MR","SCALING_FORMAT=MLN","Sort=A","Dates=H","DateFormat=P","Fill=—","Direction=H","UseDPDF=Y")</f>
        <v>4586</v>
      </c>
      <c r="R13" s="13" cm="1">
        <f t="array" ref="R13">_xll.BDH("CMI US Equity","BS_INVENTORIES","FQ2 2022","FQ2 2022","Currency=USD","Period=FQ","BEST_FPERIOD_OVERRIDE=FQ","FILING_STATUS=MR","SCALING_FORMAT=MLN","Sort=A","Dates=H","DateFormat=P","Fill=—","Direction=H","UseDPDF=Y")</f>
        <v>4765</v>
      </c>
      <c r="S13" s="13" cm="1">
        <f t="array" ref="S13">_xll.BDH("CMI US Equity","BS_INVENTORIES","FQ3 2022","FQ3 2022","Currency=USD","Period=FQ","BEST_FPERIOD_OVERRIDE=FQ","FILING_STATUS=MR","SCALING_FORMAT=MLN","Sort=A","Dates=H","DateFormat=P","Fill=—","Direction=H","UseDPDF=Y")</f>
        <v>5543</v>
      </c>
      <c r="T13" s="13" cm="1">
        <f t="array" ref="T13">_xll.BDH("CMI US Equity","BS_INVENTORIES","FQ4 2022","FQ4 2022","Currency=USD","Period=FQ","BEST_FPERIOD_OVERRIDE=FQ","FILING_STATUS=MR","SCALING_FORMAT=MLN","Sort=A","Dates=H","DateFormat=P","Fill=—","Direction=H","UseDPDF=Y")</f>
        <v>5603</v>
      </c>
      <c r="U13" s="13" cm="1">
        <f t="array" ref="U13">_xll.BDH("CMI US Equity","BS_INVENTORIES","FQ1 2023","FQ1 2023","Currency=USD","Period=FQ","BEST_FPERIOD_OVERRIDE=FQ","FILING_STATUS=MR","SCALING_FORMAT=MLN","Sort=A","Dates=H","DateFormat=P","Fill=—","Direction=H","UseDPDF=Y")</f>
        <v>5878</v>
      </c>
      <c r="V13" s="13" cm="1">
        <f t="array" ref="V13">_xll.BDH("CMI US Equity","BS_INVENTORIES","FQ2 2023","FQ2 2023","Currency=USD","Period=FQ","BEST_FPERIOD_OVERRIDE=FQ","FILING_STATUS=MR","SCALING_FORMAT=MLN","Sort=A","Dates=H","DateFormat=P","Fill=—","Direction=H","UseDPDF=Y")</f>
        <v>6026</v>
      </c>
      <c r="W13" s="13" cm="1">
        <f t="array" ref="W13">_xll.BDH("CMI US Equity","BS_INVENTORIES","FQ3 2023","FQ3 2023","Currency=USD","Period=FQ","BEST_FPERIOD_OVERRIDE=FQ","FILING_STATUS=MR","SCALING_FORMAT=MLN","Sort=A","Dates=H","DateFormat=P","Fill=—","Direction=H","UseDPDF=Y")</f>
        <v>5906</v>
      </c>
      <c r="X13" s="13" cm="1">
        <f t="array" ref="X13">_xll.BDH("CMI US Equity","BS_INVENTORIES","FQ4 2023","FQ4 2023","Currency=USD","Period=FQ","BEST_FPERIOD_OVERRIDE=FQ","FILING_STATUS=MR","SCALING_FORMAT=MLN","Sort=A","Dates=H","DateFormat=P","Fill=—","Direction=H","UseDPDF=Y")</f>
        <v>5677</v>
      </c>
      <c r="Y13" s="13" cm="1">
        <f t="array" ref="Y13">_xll.BDH("CMI US Equity","BS_INVENTORIES","FQ1 2024","FQ1 2024","Currency=USD","Period=FQ","BEST_FPERIOD_OVERRIDE=FQ","FILING_STATUS=MR","SCALING_FORMAT=MLN","Sort=A","Dates=H","DateFormat=P","Fill=—","Direction=H","UseDPDF=Y")</f>
        <v>5758</v>
      </c>
      <c r="Z13" s="13" cm="1">
        <f t="array" ref="Z13">_xll.BDH("CMI US Equity","BS_INVENTORIES","FQ2 2024","FQ2 2024","Currency=USD","Period=FQ","BEST_FPERIOD_OVERRIDE=FQ","FILING_STATUS=MR","SCALING_FORMAT=MLN","Sort=A","Dates=H","DateFormat=P","Fill=—","Direction=H","UseDPDF=Y")</f>
        <v>5857</v>
      </c>
      <c r="AA13" s="13" cm="1">
        <f t="array" ref="AA13">_xll.BDH("CMI US Equity","BS_INVENTORIES","FQ3 2024","FQ3 2024","Currency=USD","Period=FQ","BEST_FPERIOD_OVERRIDE=FQ","FILING_STATUS=MR","SCALING_FORMAT=MLN","Sort=A","Dates=H","DateFormat=P","Fill=—","Direction=H","UseDPDF=Y")</f>
        <v>6134</v>
      </c>
      <c r="AB13" s="13" cm="1">
        <f t="array" ref="AB13">_xll.BDH("CMI US Equity","BS_INVENTORIES","FQ4 2024","FQ4 2024","Currency=USD","Period=FQ","BEST_FPERIOD_OVERRIDE=FQ","FILING_STATUS=MR","SCALING_FORMAT=MLN","Sort=A","Dates=H","DateFormat=P","Fill=—","Direction=H","UseDPDF=Y")</f>
        <v>5742</v>
      </c>
      <c r="AC13" s="13" cm="1">
        <f t="array" ref="AC13">_xll.BDH("CMI US Equity","BS_INVENTORIES","FQ1 2025","FQ1 2025","Currency=USD","Period=FQ","BEST_FPERIOD_OVERRIDE=FQ","FILING_STATUS=MR","SCALING_FORMAT=MLN","Sort=A","Dates=H","DateFormat=P","Fill=—","Direction=H","UseDPDF=Y")</f>
        <v>6123</v>
      </c>
      <c r="AD13" s="13" cm="1">
        <f t="array" ref="AD13">_xll.BDH("CMI US Equity","BS_INVENTORIES","FQ2 2025","FQ2 2025","Currency=USD","Period=FQ","BEST_FPERIOD_OVERRIDE=FQ","FILING_STATUS=MR","SCALING_FORMAT=MLN","Sort=A","Dates=H","DateFormat=P","Fill=—","Direction=H","UseDPDF=Y")</f>
        <v>6287</v>
      </c>
      <c r="AE13" s="13" cm="1">
        <f t="array" ref="AE13">_xll.BDH("CMI US Equity","BS_INVENTORIES","FQ3 2025","FQ3 2025","Currency=USD","Period=FQ","BEST_FPERIOD_OVERRIDE=FQ","FILING_STATUS=MR","SCALING_FORMAT=MLN","Sort=A","Dates=H","DateFormat=P","Fill=—","Direction=H","UseDPDF=Y")</f>
        <v>6256</v>
      </c>
      <c r="AF13" s="13" cm="1">
        <f t="array" ref="AF13">_xll.BDH("CMI US Equity","BS_INVENTORIES","FQ4 2025","FQ4 2025","Currency=USD","Period=FQ","BEST_FPERIOD_OVERRIDE=FQ","FILING_STATUS=MR","SCALING_FORMAT=MLN","Sort=A","Dates=H","DateFormat=P","Fill=—","Direction=H","UseDPDF=Y")</f>
        <v>5822</v>
      </c>
    </row>
    <row r="14" spans="1:32" x14ac:dyDescent="0.25">
      <c r="A14" s="10" t="s">
        <v>80</v>
      </c>
      <c r="B14" s="10" t="s">
        <v>81</v>
      </c>
      <c r="C14" s="13" cm="1">
        <f t="array" ref="C14">_xll.BDH("CMI US Equity","INVTRY_RAW_MATERIALS","FQ3 2018","FQ3 2018","Currency=USD","Period=FQ","BEST_FPERIOD_OVERRIDE=FQ","FILING_STATUS=MR","SCALING_FORMAT=MLN","Sort=A","Dates=H","DateFormat=P","Fill=—","Direction=H","UseDPDF=Y")</f>
        <v>0</v>
      </c>
      <c r="D14" s="13" cm="1">
        <f t="array" ref="D14">_xll.BDH("CMI US Equity","INVTRY_RAW_MATERIALS","FQ4 2018","FQ4 2018","Currency=USD","Period=FQ","BEST_FPERIOD_OVERRIDE=FQ","FILING_STATUS=MR","SCALING_FORMAT=MLN","Sort=A","Dates=H","DateFormat=P","Fill=—","Direction=H","UseDPDF=Y")</f>
        <v>0</v>
      </c>
      <c r="E14" s="13" cm="1">
        <f t="array" ref="E14">_xll.BDH("CMI US Equity","INVTRY_RAW_MATERIALS","FQ1 2019","FQ1 2019","Currency=USD","Period=FQ","BEST_FPERIOD_OVERRIDE=FQ","FILING_STATUS=MR","SCALING_FORMAT=MLN","Sort=A","Dates=H","DateFormat=P","Fill=—","Direction=H","UseDPDF=Y")</f>
        <v>0</v>
      </c>
      <c r="F14" s="13" cm="1">
        <f t="array" ref="F14">_xll.BDH("CMI US Equity","INVTRY_RAW_MATERIALS","FQ2 2019","FQ2 2019","Currency=USD","Period=FQ","BEST_FPERIOD_OVERRIDE=FQ","FILING_STATUS=MR","SCALING_FORMAT=MLN","Sort=A","Dates=H","DateFormat=P","Fill=—","Direction=H","UseDPDF=Y")</f>
        <v>0</v>
      </c>
      <c r="G14" s="13" cm="1">
        <f t="array" ref="G14">_xll.BDH("CMI US Equity","INVTRY_RAW_MATERIALS","FQ3 2019","FQ3 2019","Currency=USD","Period=FQ","BEST_FPERIOD_OVERRIDE=FQ","FILING_STATUS=MR","SCALING_FORMAT=MLN","Sort=A","Dates=H","DateFormat=P","Fill=—","Direction=H","UseDPDF=Y")</f>
        <v>0</v>
      </c>
      <c r="H14" s="13" cm="1">
        <f t="array" ref="H14">_xll.BDH("CMI US Equity","INVTRY_RAW_MATERIALS","FQ4 2019","FQ4 2019","Currency=USD","Period=FQ","BEST_FPERIOD_OVERRIDE=FQ","FILING_STATUS=MR","SCALING_FORMAT=MLN","Sort=A","Dates=H","DateFormat=P","Fill=—","Direction=H","UseDPDF=Y")</f>
        <v>0</v>
      </c>
      <c r="I14" s="13" cm="1">
        <f t="array" ref="I14">_xll.BDH("CMI US Equity","INVTRY_RAW_MATERIALS","FQ1 2020","FQ1 2020","Currency=USD","Period=FQ","BEST_FPERIOD_OVERRIDE=FQ","FILING_STATUS=MR","SCALING_FORMAT=MLN","Sort=A","Dates=H","DateFormat=P","Fill=—","Direction=H","UseDPDF=Y")</f>
        <v>0</v>
      </c>
      <c r="J14" s="13" cm="1">
        <f t="array" ref="J14">_xll.BDH("CMI US Equity","INVTRY_RAW_MATERIALS","FQ2 2020","FQ2 2020","Currency=USD","Period=FQ","BEST_FPERIOD_OVERRIDE=FQ","FILING_STATUS=MR","SCALING_FORMAT=MLN","Sort=A","Dates=H","DateFormat=P","Fill=—","Direction=H","UseDPDF=Y")</f>
        <v>0</v>
      </c>
      <c r="K14" s="13" cm="1">
        <f t="array" ref="K14">_xll.BDH("CMI US Equity","INVTRY_RAW_MATERIALS","FQ3 2020","FQ3 2020","Currency=USD","Period=FQ","BEST_FPERIOD_OVERRIDE=FQ","FILING_STATUS=MR","SCALING_FORMAT=MLN","Sort=A","Dates=H","DateFormat=P","Fill=—","Direction=H","UseDPDF=Y")</f>
        <v>0</v>
      </c>
      <c r="L14" s="13" cm="1">
        <f t="array" ref="L14">_xll.BDH("CMI US Equity","INVTRY_RAW_MATERIALS","FQ4 2020","FQ4 2020","Currency=USD","Period=FQ","BEST_FPERIOD_OVERRIDE=FQ","FILING_STATUS=MR","SCALING_FORMAT=MLN","Sort=A","Dates=H","DateFormat=P","Fill=—","Direction=H","UseDPDF=Y")</f>
        <v>0</v>
      </c>
      <c r="M14" s="13" cm="1">
        <f t="array" ref="M14">_xll.BDH("CMI US Equity","INVTRY_RAW_MATERIALS","FQ1 2021","FQ1 2021","Currency=USD","Period=FQ","BEST_FPERIOD_OVERRIDE=FQ","FILING_STATUS=MR","SCALING_FORMAT=MLN","Sort=A","Dates=H","DateFormat=P","Fill=—","Direction=H","UseDPDF=Y")</f>
        <v>0</v>
      </c>
      <c r="N14" s="13" cm="1">
        <f t="array" ref="N14">_xll.BDH("CMI US Equity","INVTRY_RAW_MATERIALS","FQ2 2021","FQ2 2021","Currency=USD","Period=FQ","BEST_FPERIOD_OVERRIDE=FQ","FILING_STATUS=MR","SCALING_FORMAT=MLN","Sort=A","Dates=H","DateFormat=P","Fill=—","Direction=H","UseDPDF=Y")</f>
        <v>0</v>
      </c>
      <c r="O14" s="13" cm="1">
        <f t="array" ref="O14">_xll.BDH("CMI US Equity","INVTRY_RAW_MATERIALS","FQ3 2021","FQ3 2021","Currency=USD","Period=FQ","BEST_FPERIOD_OVERRIDE=FQ","FILING_STATUS=MR","SCALING_FORMAT=MLN","Sort=A","Dates=H","DateFormat=P","Fill=—","Direction=H","UseDPDF=Y")</f>
        <v>0</v>
      </c>
      <c r="P14" s="13" cm="1">
        <f t="array" ref="P14">_xll.BDH("CMI US Equity","INVTRY_RAW_MATERIALS","FQ4 2021","FQ4 2021","Currency=USD","Period=FQ","BEST_FPERIOD_OVERRIDE=FQ","FILING_STATUS=MR","SCALING_FORMAT=MLN","Sort=A","Dates=H","DateFormat=P","Fill=—","Direction=H","UseDPDF=Y")</f>
        <v>0</v>
      </c>
      <c r="Q14" s="13" cm="1">
        <f t="array" ref="Q14">_xll.BDH("CMI US Equity","INVTRY_RAW_MATERIALS","FQ1 2022","FQ1 2022","Currency=USD","Period=FQ","BEST_FPERIOD_OVERRIDE=FQ","FILING_STATUS=MR","SCALING_FORMAT=MLN","Sort=A","Dates=H","DateFormat=P","Fill=—","Direction=H","UseDPDF=Y")</f>
        <v>0</v>
      </c>
      <c r="R14" s="13" cm="1">
        <f t="array" ref="R14">_xll.BDH("CMI US Equity","INVTRY_RAW_MATERIALS","FQ2 2022","FQ2 2022","Currency=USD","Period=FQ","BEST_FPERIOD_OVERRIDE=FQ","FILING_STATUS=MR","SCALING_FORMAT=MLN","Sort=A","Dates=H","DateFormat=P","Fill=—","Direction=H","UseDPDF=Y")</f>
        <v>0</v>
      </c>
      <c r="S14" s="13" cm="1">
        <f t="array" ref="S14">_xll.BDH("CMI US Equity","INVTRY_RAW_MATERIALS","FQ3 2022","FQ3 2022","Currency=USD","Period=FQ","BEST_FPERIOD_OVERRIDE=FQ","FILING_STATUS=MR","SCALING_FORMAT=MLN","Sort=A","Dates=H","DateFormat=P","Fill=—","Direction=H","UseDPDF=Y")</f>
        <v>0</v>
      </c>
      <c r="T14" s="13" cm="1">
        <f t="array" ref="T14">_xll.BDH("CMI US Equity","INVTRY_RAW_MATERIALS","FQ4 2022","FQ4 2022","Currency=USD","Period=FQ","BEST_FPERIOD_OVERRIDE=FQ","FILING_STATUS=MR","SCALING_FORMAT=MLN","Sort=A","Dates=H","DateFormat=P","Fill=—","Direction=H","UseDPDF=Y")</f>
        <v>0</v>
      </c>
      <c r="U14" s="13" cm="1">
        <f t="array" ref="U14">_xll.BDH("CMI US Equity","INVTRY_RAW_MATERIALS","FQ1 2023","FQ1 2023","Currency=USD","Period=FQ","BEST_FPERIOD_OVERRIDE=FQ","FILING_STATUS=MR","SCALING_FORMAT=MLN","Sort=A","Dates=H","DateFormat=P","Fill=—","Direction=H","UseDPDF=Y")</f>
        <v>0</v>
      </c>
      <c r="V14" s="13" cm="1">
        <f t="array" ref="V14">_xll.BDH("CMI US Equity","INVTRY_RAW_MATERIALS","FQ2 2023","FQ2 2023","Currency=USD","Period=FQ","BEST_FPERIOD_OVERRIDE=FQ","FILING_STATUS=MR","SCALING_FORMAT=MLN","Sort=A","Dates=H","DateFormat=P","Fill=—","Direction=H","UseDPDF=Y")</f>
        <v>0</v>
      </c>
      <c r="W14" s="13" cm="1">
        <f t="array" ref="W14">_xll.BDH("CMI US Equity","INVTRY_RAW_MATERIALS","FQ3 2023","FQ3 2023","Currency=USD","Period=FQ","BEST_FPERIOD_OVERRIDE=FQ","FILING_STATUS=MR","SCALING_FORMAT=MLN","Sort=A","Dates=H","DateFormat=P","Fill=—","Direction=H","UseDPDF=Y")</f>
        <v>0</v>
      </c>
      <c r="X14" s="13" cm="1">
        <f t="array" ref="X14">_xll.BDH("CMI US Equity","INVTRY_RAW_MATERIALS","FQ4 2023","FQ4 2023","Currency=USD","Period=FQ","BEST_FPERIOD_OVERRIDE=FQ","FILING_STATUS=MR","SCALING_FORMAT=MLN","Sort=A","Dates=H","DateFormat=P","Fill=—","Direction=H","UseDPDF=Y")</f>
        <v>0</v>
      </c>
      <c r="Y14" s="13" cm="1">
        <f t="array" ref="Y14">_xll.BDH("CMI US Equity","INVTRY_RAW_MATERIALS","FQ1 2024","FQ1 2024","Currency=USD","Period=FQ","BEST_FPERIOD_OVERRIDE=FQ","FILING_STATUS=MR","SCALING_FORMAT=MLN","Sort=A","Dates=H","DateFormat=P","Fill=—","Direction=H","UseDPDF=Y")</f>
        <v>0</v>
      </c>
      <c r="Z14" s="13" cm="1">
        <f t="array" ref="Z14">_xll.BDH("CMI US Equity","INVTRY_RAW_MATERIALS","FQ2 2024","FQ2 2024","Currency=USD","Period=FQ","BEST_FPERIOD_OVERRIDE=FQ","FILING_STATUS=MR","SCALING_FORMAT=MLN","Sort=A","Dates=H","DateFormat=P","Fill=—","Direction=H","UseDPDF=Y")</f>
        <v>0</v>
      </c>
      <c r="AA14" s="13" cm="1">
        <f t="array" ref="AA14">_xll.BDH("CMI US Equity","INVTRY_RAW_MATERIALS","FQ3 2024","FQ3 2024","Currency=USD","Period=FQ","BEST_FPERIOD_OVERRIDE=FQ","FILING_STATUS=MR","SCALING_FORMAT=MLN","Sort=A","Dates=H","DateFormat=P","Fill=—","Direction=H","UseDPDF=Y")</f>
        <v>0</v>
      </c>
      <c r="AB14" s="13" cm="1">
        <f t="array" ref="AB14">_xll.BDH("CMI US Equity","INVTRY_RAW_MATERIALS","FQ4 2024","FQ4 2024","Currency=USD","Period=FQ","BEST_FPERIOD_OVERRIDE=FQ","FILING_STATUS=MR","SCALING_FORMAT=MLN","Sort=A","Dates=H","DateFormat=P","Fill=—","Direction=H","UseDPDF=Y")</f>
        <v>0</v>
      </c>
      <c r="AC14" s="13" cm="1">
        <f t="array" ref="AC14">_xll.BDH("CMI US Equity","INVTRY_RAW_MATERIALS","FQ1 2025","FQ1 2025","Currency=USD","Period=FQ","BEST_FPERIOD_OVERRIDE=FQ","FILING_STATUS=MR","SCALING_FORMAT=MLN","Sort=A","Dates=H","DateFormat=P","Fill=—","Direction=H","UseDPDF=Y")</f>
        <v>0</v>
      </c>
      <c r="AD14" s="13" cm="1">
        <f t="array" ref="AD14">_xll.BDH("CMI US Equity","INVTRY_RAW_MATERIALS","FQ2 2025","FQ2 2025","Currency=USD","Period=FQ","BEST_FPERIOD_OVERRIDE=FQ","FILING_STATUS=MR","SCALING_FORMAT=MLN","Sort=A","Dates=H","DateFormat=P","Fill=—","Direction=H","UseDPDF=Y")</f>
        <v>0</v>
      </c>
      <c r="AE14" s="13" cm="1">
        <f t="array" ref="AE14">_xll.BDH("CMI US Equity","INVTRY_RAW_MATERIALS","FQ3 2025","FQ3 2025","Currency=USD","Period=FQ","BEST_FPERIOD_OVERRIDE=FQ","FILING_STATUS=MR","SCALING_FORMAT=MLN","Sort=A","Dates=H","DateFormat=P","Fill=—","Direction=H","UseDPDF=Y")</f>
        <v>0</v>
      </c>
      <c r="AF14" s="13" cm="1">
        <f t="array" ref="AF14">_xll.BDH("CMI US Equity","INVTRY_RAW_MATERIALS","FQ4 2025","FQ4 2025","Currency=USD","Period=FQ","BEST_FPERIOD_OVERRIDE=FQ","FILING_STATUS=MR","SCALING_FORMAT=MLN","Sort=A","Dates=H","DateFormat=P","Fill=—","Direction=H","UseDPDF=Y")</f>
        <v>0</v>
      </c>
    </row>
    <row r="15" spans="1:32" x14ac:dyDescent="0.25">
      <c r="A15" s="10" t="s">
        <v>82</v>
      </c>
      <c r="B15" s="10" t="s">
        <v>83</v>
      </c>
      <c r="C15" s="13" cm="1">
        <f t="array" ref="C15">_xll.BDH("CMI US Equity","INVTRY_IN_PROGRESS","FQ3 2018","FQ3 2018","Currency=USD","Period=FQ","BEST_FPERIOD_OVERRIDE=FQ","FILING_STATUS=MR","SCALING_FORMAT=MLN","Sort=A","Dates=H","DateFormat=P","Fill=—","Direction=H","UseDPDF=Y")</f>
        <v>1496</v>
      </c>
      <c r="D15" s="13" cm="1">
        <f t="array" ref="D15">_xll.BDH("CMI US Equity","INVTRY_IN_PROGRESS","FQ4 2018","FQ4 2018","Currency=USD","Period=FQ","BEST_FPERIOD_OVERRIDE=FQ","FILING_STATUS=MR","SCALING_FORMAT=MLN","Sort=A","Dates=H","DateFormat=P","Fill=—","Direction=H","UseDPDF=Y")</f>
        <v>1487</v>
      </c>
      <c r="E15" s="13" cm="1">
        <f t="array" ref="E15">_xll.BDH("CMI US Equity","INVTRY_IN_PROGRESS","FQ1 2019","FQ1 2019","Currency=USD","Period=FQ","BEST_FPERIOD_OVERRIDE=FQ","FILING_STATUS=MR","SCALING_FORMAT=MLN","Sort=A","Dates=H","DateFormat=P","Fill=—","Direction=H","UseDPDF=Y")</f>
        <v>1598</v>
      </c>
      <c r="F15" s="13" cm="1">
        <f t="array" ref="F15">_xll.BDH("CMI US Equity","INVTRY_IN_PROGRESS","FQ2 2019","FQ2 2019","Currency=USD","Period=FQ","BEST_FPERIOD_OVERRIDE=FQ","FILING_STATUS=MR","SCALING_FORMAT=MLN","Sort=A","Dates=H","DateFormat=P","Fill=—","Direction=H","UseDPDF=Y")</f>
        <v>1591</v>
      </c>
      <c r="G15" s="13" cm="1">
        <f t="array" ref="G15">_xll.BDH("CMI US Equity","INVTRY_IN_PROGRESS","FQ3 2019","FQ3 2019","Currency=USD","Period=FQ","BEST_FPERIOD_OVERRIDE=FQ","FILING_STATUS=MR","SCALING_FORMAT=MLN","Sort=A","Dates=H","DateFormat=P","Fill=—","Direction=H","UseDPDF=Y")</f>
        <v>1526</v>
      </c>
      <c r="H15" s="13" cm="1">
        <f t="array" ref="H15">_xll.BDH("CMI US Equity","INVTRY_IN_PROGRESS","FQ4 2019","FQ4 2019","Currency=USD","Period=FQ","BEST_FPERIOD_OVERRIDE=FQ","FILING_STATUS=MR","SCALING_FORMAT=MLN","Sort=A","Dates=H","DateFormat=P","Fill=—","Direction=H","UseDPDF=Y")</f>
        <v>1395</v>
      </c>
      <c r="I15" s="13" cm="1">
        <f t="array" ref="I15">_xll.BDH("CMI US Equity","INVTRY_IN_PROGRESS","FQ1 2020","FQ1 2020","Currency=USD","Period=FQ","BEST_FPERIOD_OVERRIDE=FQ","FILING_STATUS=MR","SCALING_FORMAT=MLN","Sort=A","Dates=H","DateFormat=P","Fill=—","Direction=H","UseDPDF=Y")</f>
        <v>1488</v>
      </c>
      <c r="J15" s="13" cm="1">
        <f t="array" ref="J15">_xll.BDH("CMI US Equity","INVTRY_IN_PROGRESS","FQ2 2020","FQ2 2020","Currency=USD","Period=FQ","BEST_FPERIOD_OVERRIDE=FQ","FILING_STATUS=MR","SCALING_FORMAT=MLN","Sort=A","Dates=H","DateFormat=P","Fill=—","Direction=H","UseDPDF=Y")</f>
        <v>1519</v>
      </c>
      <c r="K15" s="13" cm="1">
        <f t="array" ref="K15">_xll.BDH("CMI US Equity","INVTRY_IN_PROGRESS","FQ3 2020","FQ3 2020","Currency=USD","Period=FQ","BEST_FPERIOD_OVERRIDE=FQ","FILING_STATUS=MR","SCALING_FORMAT=MLN","Sort=A","Dates=H","DateFormat=P","Fill=—","Direction=H","UseDPDF=Y")</f>
        <v>1416</v>
      </c>
      <c r="L15" s="13" cm="1">
        <f t="array" ref="L15">_xll.BDH("CMI US Equity","INVTRY_IN_PROGRESS","FQ4 2020","FQ4 2020","Currency=USD","Period=FQ","BEST_FPERIOD_OVERRIDE=FQ","FILING_STATUS=MR","SCALING_FORMAT=MLN","Sort=A","Dates=H","DateFormat=P","Fill=—","Direction=H","UseDPDF=Y")</f>
        <v>1346</v>
      </c>
      <c r="M15" s="13" cm="1">
        <f t="array" ref="M15">_xll.BDH("CMI US Equity","INVTRY_IN_PROGRESS","FQ1 2021","FQ1 2021","Currency=USD","Period=FQ","BEST_FPERIOD_OVERRIDE=FQ","FILING_STATUS=MR","SCALING_FORMAT=MLN","Sort=A","Dates=H","DateFormat=P","Fill=—","Direction=H","UseDPDF=Y")</f>
        <v>1585</v>
      </c>
      <c r="N15" s="13" cm="1">
        <f t="array" ref="N15">_xll.BDH("CMI US Equity","INVTRY_IN_PROGRESS","FQ2 2021","FQ2 2021","Currency=USD","Period=FQ","BEST_FPERIOD_OVERRIDE=FQ","FILING_STATUS=MR","SCALING_FORMAT=MLN","Sort=A","Dates=H","DateFormat=P","Fill=—","Direction=H","UseDPDF=Y")</f>
        <v>1767</v>
      </c>
      <c r="O15" s="13" cm="1">
        <f t="array" ref="O15">_xll.BDH("CMI US Equity","INVTRY_IN_PROGRESS","FQ3 2021","FQ3 2021","Currency=USD","Period=FQ","BEST_FPERIOD_OVERRIDE=FQ","FILING_STATUS=MR","SCALING_FORMAT=MLN","Sort=A","Dates=H","DateFormat=P","Fill=—","Direction=H","UseDPDF=Y")</f>
        <v>1998</v>
      </c>
      <c r="P15" s="13" cm="1">
        <f t="array" ref="P15">_xll.BDH("CMI US Equity","INVTRY_IN_PROGRESS","FQ4 2021","FQ4 2021","Currency=USD","Period=FQ","BEST_FPERIOD_OVERRIDE=FQ","FILING_STATUS=MR","SCALING_FORMAT=MLN","Sort=A","Dates=H","DateFormat=P","Fill=—","Direction=H","UseDPDF=Y")</f>
        <v>2009</v>
      </c>
      <c r="Q15" s="13" cm="1">
        <f t="array" ref="Q15">_xll.BDH("CMI US Equity","INVTRY_IN_PROGRESS","FQ1 2022","FQ1 2022","Currency=USD","Period=FQ","BEST_FPERIOD_OVERRIDE=FQ","FILING_STATUS=MR","SCALING_FORMAT=MLN","Sort=A","Dates=H","DateFormat=P","Fill=—","Direction=H","UseDPDF=Y")</f>
        <v>2028</v>
      </c>
      <c r="R15" s="13" cm="1">
        <f t="array" ref="R15">_xll.BDH("CMI US Equity","INVTRY_IN_PROGRESS","FQ2 2022","FQ2 2022","Currency=USD","Period=FQ","BEST_FPERIOD_OVERRIDE=FQ","FILING_STATUS=MR","SCALING_FORMAT=MLN","Sort=A","Dates=H","DateFormat=P","Fill=—","Direction=H","UseDPDF=Y")</f>
        <v>2349</v>
      </c>
      <c r="S15" s="13" cm="1">
        <f t="array" ref="S15">_xll.BDH("CMI US Equity","INVTRY_IN_PROGRESS","FQ3 2022","FQ3 2022","Currency=USD","Period=FQ","BEST_FPERIOD_OVERRIDE=FQ","FILING_STATUS=MR","SCALING_FORMAT=MLN","Sort=A","Dates=H","DateFormat=P","Fill=—","Direction=H","UseDPDF=Y")</f>
        <v>2860</v>
      </c>
      <c r="T15" s="13" cm="1">
        <f t="array" ref="T15">_xll.BDH("CMI US Equity","INVTRY_IN_PROGRESS","FQ4 2022","FQ4 2022","Currency=USD","Period=FQ","BEST_FPERIOD_OVERRIDE=FQ","FILING_STATUS=MR","SCALING_FORMAT=MLN","Sort=A","Dates=H","DateFormat=P","Fill=—","Direction=H","UseDPDF=Y")</f>
        <v>2926</v>
      </c>
      <c r="U15" s="13" cm="1">
        <f t="array" ref="U15">_xll.BDH("CMI US Equity","INVTRY_IN_PROGRESS","FQ1 2023","FQ1 2023","Currency=USD","Period=FQ","BEST_FPERIOD_OVERRIDE=FQ","FILING_STATUS=MR","SCALING_FORMAT=MLN","Sort=A","Dates=H","DateFormat=P","Fill=—","Direction=H","UseDPDF=Y")</f>
        <v>3019</v>
      </c>
      <c r="V15" s="13" cm="1">
        <f t="array" ref="V15">_xll.BDH("CMI US Equity","INVTRY_IN_PROGRESS","FQ2 2023","FQ2 2023","Currency=USD","Period=FQ","BEST_FPERIOD_OVERRIDE=FQ","FILING_STATUS=MR","SCALING_FORMAT=MLN","Sort=A","Dates=H","DateFormat=P","Fill=—","Direction=H","UseDPDF=Y")</f>
        <v>3102</v>
      </c>
      <c r="W15" s="13" cm="1">
        <f t="array" ref="W15">_xll.BDH("CMI US Equity","INVTRY_IN_PROGRESS","FQ3 2023","FQ3 2023","Currency=USD","Period=FQ","BEST_FPERIOD_OVERRIDE=FQ","FILING_STATUS=MR","SCALING_FORMAT=MLN","Sort=A","Dates=H","DateFormat=P","Fill=—","Direction=H","UseDPDF=Y")</f>
        <v>2988</v>
      </c>
      <c r="X15" s="13" cm="1">
        <f t="array" ref="X15">_xll.BDH("CMI US Equity","INVTRY_IN_PROGRESS","FQ4 2023","FQ4 2023","Currency=USD","Period=FQ","BEST_FPERIOD_OVERRIDE=FQ","FILING_STATUS=MR","SCALING_FORMAT=MLN","Sort=A","Dates=H","DateFormat=P","Fill=—","Direction=H","UseDPDF=Y")</f>
        <v>3156</v>
      </c>
      <c r="Y15" s="13" cm="1">
        <f t="array" ref="Y15">_xll.BDH("CMI US Equity","INVTRY_IN_PROGRESS","FQ1 2024","FQ1 2024","Currency=USD","Period=FQ","BEST_FPERIOD_OVERRIDE=FQ","FILING_STATUS=MR","SCALING_FORMAT=MLN","Sort=A","Dates=H","DateFormat=P","Fill=—","Direction=H","UseDPDF=Y")</f>
        <v>3049</v>
      </c>
      <c r="Z15" s="13" cm="1">
        <f t="array" ref="Z15">_xll.BDH("CMI US Equity","INVTRY_IN_PROGRESS","FQ2 2024","FQ2 2024","Currency=USD","Period=FQ","BEST_FPERIOD_OVERRIDE=FQ","FILING_STATUS=MR","SCALING_FORMAT=MLN","Sort=A","Dates=H","DateFormat=P","Fill=—","Direction=H","UseDPDF=Y")</f>
        <v>3101</v>
      </c>
      <c r="AA15" s="13" cm="1">
        <f t="array" ref="AA15">_xll.BDH("CMI US Equity","INVTRY_IN_PROGRESS","FQ3 2024","FQ3 2024","Currency=USD","Period=FQ","BEST_FPERIOD_OVERRIDE=FQ","FILING_STATUS=MR","SCALING_FORMAT=MLN","Sort=A","Dates=H","DateFormat=P","Fill=—","Direction=H","UseDPDF=Y")</f>
        <v>3391</v>
      </c>
      <c r="AB15" s="13" cm="1">
        <f t="array" ref="AB15">_xll.BDH("CMI US Equity","INVTRY_IN_PROGRESS","FQ4 2024","FQ4 2024","Currency=USD","Period=FQ","BEST_FPERIOD_OVERRIDE=FQ","FILING_STATUS=MR","SCALING_FORMAT=MLN","Sort=A","Dates=H","DateFormat=P","Fill=—","Direction=H","UseDPDF=Y")</f>
        <v>3086</v>
      </c>
      <c r="AC15" s="13" cm="1">
        <f t="array" ref="AC15">_xll.BDH("CMI US Equity","INVTRY_IN_PROGRESS","FQ1 2025","FQ1 2025","Currency=USD","Period=FQ","BEST_FPERIOD_OVERRIDE=FQ","FILING_STATUS=MR","SCALING_FORMAT=MLN","Sort=A","Dates=H","DateFormat=P","Fill=—","Direction=H","UseDPDF=Y")</f>
        <v>3354</v>
      </c>
      <c r="AD15" s="13" cm="1">
        <f t="array" ref="AD15">_xll.BDH("CMI US Equity","INVTRY_IN_PROGRESS","FQ2 2025","FQ2 2025","Currency=USD","Period=FQ","BEST_FPERIOD_OVERRIDE=FQ","FILING_STATUS=MR","SCALING_FORMAT=MLN","Sort=A","Dates=H","DateFormat=P","Fill=—","Direction=H","UseDPDF=Y")</f>
        <v>3381</v>
      </c>
      <c r="AE15" s="13" cm="1">
        <f t="array" ref="AE15">_xll.BDH("CMI US Equity","INVTRY_IN_PROGRESS","FQ3 2025","FQ3 2025","Currency=USD","Period=FQ","BEST_FPERIOD_OVERRIDE=FQ","FILING_STATUS=MR","SCALING_FORMAT=MLN","Sort=A","Dates=H","DateFormat=P","Fill=—","Direction=H","UseDPDF=Y")</f>
        <v>3321</v>
      </c>
      <c r="AF15" s="13" cm="1">
        <f t="array" ref="AF15">_xll.BDH("CMI US Equity","INVTRY_IN_PROGRESS","FQ4 2025","FQ4 2025","Currency=USD","Period=FQ","BEST_FPERIOD_OVERRIDE=FQ","FILING_STATUS=MR","SCALING_FORMAT=MLN","Sort=A","Dates=H","DateFormat=P","Fill=—","Direction=H","UseDPDF=Y")</f>
        <v>2987</v>
      </c>
    </row>
    <row r="16" spans="1:32" x14ac:dyDescent="0.25">
      <c r="A16" s="10" t="s">
        <v>84</v>
      </c>
      <c r="B16" s="10" t="s">
        <v>85</v>
      </c>
      <c r="C16" s="13" cm="1">
        <f t="array" ref="C16">_xll.BDH("CMI US Equity","INVTRY_FINISHED_GOODS","FQ3 2018","FQ3 2018","Currency=USD","Period=FQ","BEST_FPERIOD_OVERRIDE=FQ","FILING_STATUS=MR","SCALING_FORMAT=MLN","Sort=A","Dates=H","DateFormat=P","Fill=—","Direction=H","UseDPDF=Y")</f>
        <v>2466</v>
      </c>
      <c r="D16" s="13" cm="1">
        <f t="array" ref="D16">_xll.BDH("CMI US Equity","INVTRY_FINISHED_GOODS","FQ4 2018","FQ4 2018","Currency=USD","Period=FQ","BEST_FPERIOD_OVERRIDE=FQ","FILING_STATUS=MR","SCALING_FORMAT=MLN","Sort=A","Dates=H","DateFormat=P","Fill=—","Direction=H","UseDPDF=Y")</f>
        <v>2405</v>
      </c>
      <c r="E16" s="13" cm="1">
        <f t="array" ref="E16">_xll.BDH("CMI US Equity","INVTRY_FINISHED_GOODS","FQ1 2019","FQ1 2019","Currency=USD","Period=FQ","BEST_FPERIOD_OVERRIDE=FQ","FILING_STATUS=MR","SCALING_FORMAT=MLN","Sort=A","Dates=H","DateFormat=P","Fill=—","Direction=H","UseDPDF=Y")</f>
        <v>2427</v>
      </c>
      <c r="F16" s="13" cm="1">
        <f t="array" ref="F16">_xll.BDH("CMI US Equity","INVTRY_FINISHED_GOODS","FQ2 2019","FQ2 2019","Currency=USD","Period=FQ","BEST_FPERIOD_OVERRIDE=FQ","FILING_STATUS=MR","SCALING_FORMAT=MLN","Sort=A","Dates=H","DateFormat=P","Fill=—","Direction=H","UseDPDF=Y")</f>
        <v>2431</v>
      </c>
      <c r="G16" s="13" cm="1">
        <f t="array" ref="G16">_xll.BDH("CMI US Equity","INVTRY_FINISHED_GOODS","FQ3 2019","FQ3 2019","Currency=USD","Period=FQ","BEST_FPERIOD_OVERRIDE=FQ","FILING_STATUS=MR","SCALING_FORMAT=MLN","Sort=A","Dates=H","DateFormat=P","Fill=—","Direction=H","UseDPDF=Y")</f>
        <v>2421</v>
      </c>
      <c r="H16" s="13" cm="1">
        <f t="array" ref="H16">_xll.BDH("CMI US Equity","INVTRY_FINISHED_GOODS","FQ4 2019","FQ4 2019","Currency=USD","Period=FQ","BEST_FPERIOD_OVERRIDE=FQ","FILING_STATUS=MR","SCALING_FORMAT=MLN","Sort=A","Dates=H","DateFormat=P","Fill=—","Direction=H","UseDPDF=Y")</f>
        <v>2214</v>
      </c>
      <c r="I16" s="13" cm="1">
        <f t="array" ref="I16">_xll.BDH("CMI US Equity","INVTRY_FINISHED_GOODS","FQ1 2020","FQ1 2020","Currency=USD","Period=FQ","BEST_FPERIOD_OVERRIDE=FQ","FILING_STATUS=MR","SCALING_FORMAT=MLN","Sort=A","Dates=H","DateFormat=P","Fill=—","Direction=H","UseDPDF=Y")</f>
        <v>2223</v>
      </c>
      <c r="J16" s="13" cm="1">
        <f t="array" ref="J16">_xll.BDH("CMI US Equity","INVTRY_FINISHED_GOODS","FQ2 2020","FQ2 2020","Currency=USD","Period=FQ","BEST_FPERIOD_OVERRIDE=FQ","FILING_STATUS=MR","SCALING_FORMAT=MLN","Sort=A","Dates=H","DateFormat=P","Fill=—","Direction=H","UseDPDF=Y")</f>
        <v>2268</v>
      </c>
      <c r="K16" s="13" cm="1">
        <f t="array" ref="K16">_xll.BDH("CMI US Equity","INVTRY_FINISHED_GOODS","FQ3 2020","FQ3 2020","Currency=USD","Period=FQ","BEST_FPERIOD_OVERRIDE=FQ","FILING_STATUS=MR","SCALING_FORMAT=MLN","Sort=A","Dates=H","DateFormat=P","Fill=—","Direction=H","UseDPDF=Y")</f>
        <v>2182</v>
      </c>
      <c r="L16" s="13" cm="1">
        <f t="array" ref="L16">_xll.BDH("CMI US Equity","INVTRY_FINISHED_GOODS","FQ4 2020","FQ4 2020","Currency=USD","Period=FQ","BEST_FPERIOD_OVERRIDE=FQ","FILING_STATUS=MR","SCALING_FORMAT=MLN","Sort=A","Dates=H","DateFormat=P","Fill=—","Direction=H","UseDPDF=Y")</f>
        <v>2216</v>
      </c>
      <c r="M16" s="13" cm="1">
        <f t="array" ref="M16">_xll.BDH("CMI US Equity","INVTRY_FINISHED_GOODS","FQ1 2021","FQ1 2021","Currency=USD","Period=FQ","BEST_FPERIOD_OVERRIDE=FQ","FILING_STATUS=MR","SCALING_FORMAT=MLN","Sort=A","Dates=H","DateFormat=P","Fill=—","Direction=H","UseDPDF=Y")</f>
        <v>2320</v>
      </c>
      <c r="N16" s="13" cm="1">
        <f t="array" ref="N16">_xll.BDH("CMI US Equity","INVTRY_FINISHED_GOODS","FQ2 2021","FQ2 2021","Currency=USD","Period=FQ","BEST_FPERIOD_OVERRIDE=FQ","FILING_STATUS=MR","SCALING_FORMAT=MLN","Sort=A","Dates=H","DateFormat=P","Fill=—","Direction=H","UseDPDF=Y")</f>
        <v>2470</v>
      </c>
      <c r="O16" s="13" cm="1">
        <f t="array" ref="O16">_xll.BDH("CMI US Equity","INVTRY_FINISHED_GOODS","FQ3 2021","FQ3 2021","Currency=USD","Period=FQ","BEST_FPERIOD_OVERRIDE=FQ","FILING_STATUS=MR","SCALING_FORMAT=MLN","Sort=A","Dates=H","DateFormat=P","Fill=—","Direction=H","UseDPDF=Y")</f>
        <v>2494</v>
      </c>
      <c r="P16" s="13" cm="1">
        <f t="array" ref="P16">_xll.BDH("CMI US Equity","INVTRY_FINISHED_GOODS","FQ4 2021","FQ4 2021","Currency=USD","Period=FQ","BEST_FPERIOD_OVERRIDE=FQ","FILING_STATUS=MR","SCALING_FORMAT=MLN","Sort=A","Dates=H","DateFormat=P","Fill=—","Direction=H","UseDPDF=Y")</f>
        <v>2538</v>
      </c>
      <c r="Q16" s="13" cm="1">
        <f t="array" ref="Q16">_xll.BDH("CMI US Equity","INVTRY_FINISHED_GOODS","FQ1 2022","FQ1 2022","Currency=USD","Period=FQ","BEST_FPERIOD_OVERRIDE=FQ","FILING_STATUS=MR","SCALING_FORMAT=MLN","Sort=A","Dates=H","DateFormat=P","Fill=—","Direction=H","UseDPDF=Y")</f>
        <v>2767</v>
      </c>
      <c r="R16" s="13" cm="1">
        <f t="array" ref="R16">_xll.BDH("CMI US Equity","INVTRY_FINISHED_GOODS","FQ2 2022","FQ2 2022","Currency=USD","Period=FQ","BEST_FPERIOD_OVERRIDE=FQ","FILING_STATUS=MR","SCALING_FORMAT=MLN","Sort=A","Dates=H","DateFormat=P","Fill=—","Direction=H","UseDPDF=Y")</f>
        <v>2635</v>
      </c>
      <c r="S16" s="13" cm="1">
        <f t="array" ref="S16">_xll.BDH("CMI US Equity","INVTRY_FINISHED_GOODS","FQ3 2022","FQ3 2022","Currency=USD","Period=FQ","BEST_FPERIOD_OVERRIDE=FQ","FILING_STATUS=MR","SCALING_FORMAT=MLN","Sort=A","Dates=H","DateFormat=P","Fill=—","Direction=H","UseDPDF=Y")</f>
        <v>2914</v>
      </c>
      <c r="T16" s="13" cm="1">
        <f t="array" ref="T16">_xll.BDH("CMI US Equity","INVTRY_FINISHED_GOODS","FQ4 2022","FQ4 2022","Currency=USD","Period=FQ","BEST_FPERIOD_OVERRIDE=FQ","FILING_STATUS=MR","SCALING_FORMAT=MLN","Sort=A","Dates=H","DateFormat=P","Fill=—","Direction=H","UseDPDF=Y")</f>
        <v>2917</v>
      </c>
      <c r="U16" s="13" cm="1">
        <f t="array" ref="U16">_xll.BDH("CMI US Equity","INVTRY_FINISHED_GOODS","FQ1 2023","FQ1 2023","Currency=USD","Period=FQ","BEST_FPERIOD_OVERRIDE=FQ","FILING_STATUS=MR","SCALING_FORMAT=MLN","Sort=A","Dates=H","DateFormat=P","Fill=—","Direction=H","UseDPDF=Y")</f>
        <v>3089</v>
      </c>
      <c r="V16" s="13" cm="1">
        <f t="array" ref="V16">_xll.BDH("CMI US Equity","INVTRY_FINISHED_GOODS","FQ2 2023","FQ2 2023","Currency=USD","Period=FQ","BEST_FPERIOD_OVERRIDE=FQ","FILING_STATUS=MR","SCALING_FORMAT=MLN","Sort=A","Dates=H","DateFormat=P","Fill=—","Direction=H","UseDPDF=Y")</f>
        <v>3169</v>
      </c>
      <c r="W16" s="13" cm="1">
        <f t="array" ref="W16">_xll.BDH("CMI US Equity","INVTRY_FINISHED_GOODS","FQ3 2023","FQ3 2023","Currency=USD","Period=FQ","BEST_FPERIOD_OVERRIDE=FQ","FILING_STATUS=MR","SCALING_FORMAT=MLN","Sort=A","Dates=H","DateFormat=P","Fill=—","Direction=H","UseDPDF=Y")</f>
        <v>3168</v>
      </c>
      <c r="X16" s="13" cm="1">
        <f t="array" ref="X16">_xll.BDH("CMI US Equity","INVTRY_FINISHED_GOODS","FQ4 2023","FQ4 2023","Currency=USD","Period=FQ","BEST_FPERIOD_OVERRIDE=FQ","FILING_STATUS=MR","SCALING_FORMAT=MLN","Sort=A","Dates=H","DateFormat=P","Fill=—","Direction=H","UseDPDF=Y")</f>
        <v>2770</v>
      </c>
      <c r="Y16" s="13" cm="1">
        <f t="array" ref="Y16">_xll.BDH("CMI US Equity","INVTRY_FINISHED_GOODS","FQ1 2024","FQ1 2024","Currency=USD","Period=FQ","BEST_FPERIOD_OVERRIDE=FQ","FILING_STATUS=MR","SCALING_FORMAT=MLN","Sort=A","Dates=H","DateFormat=P","Fill=—","Direction=H","UseDPDF=Y")</f>
        <v>2931</v>
      </c>
      <c r="Z16" s="13" cm="1">
        <f t="array" ref="Z16">_xll.BDH("CMI US Equity","INVTRY_FINISHED_GOODS","FQ2 2024","FQ2 2024","Currency=USD","Period=FQ","BEST_FPERIOD_OVERRIDE=FQ","FILING_STATUS=MR","SCALING_FORMAT=MLN","Sort=A","Dates=H","DateFormat=P","Fill=—","Direction=H","UseDPDF=Y")</f>
        <v>2979</v>
      </c>
      <c r="AA16" s="13" cm="1">
        <f t="array" ref="AA16">_xll.BDH("CMI US Equity","INVTRY_FINISHED_GOODS","FQ3 2024","FQ3 2024","Currency=USD","Period=FQ","BEST_FPERIOD_OVERRIDE=FQ","FILING_STATUS=MR","SCALING_FORMAT=MLN","Sort=A","Dates=H","DateFormat=P","Fill=—","Direction=H","UseDPDF=Y")</f>
        <v>2964</v>
      </c>
      <c r="AB16" s="13" cm="1">
        <f t="array" ref="AB16">_xll.BDH("CMI US Equity","INVTRY_FINISHED_GOODS","FQ4 2024","FQ4 2024","Currency=USD","Period=FQ","BEST_FPERIOD_OVERRIDE=FQ","FILING_STATUS=MR","SCALING_FORMAT=MLN","Sort=A","Dates=H","DateFormat=P","Fill=—","Direction=H","UseDPDF=Y")</f>
        <v>2875</v>
      </c>
      <c r="AC16" s="13" cm="1">
        <f t="array" ref="AC16">_xll.BDH("CMI US Equity","INVTRY_FINISHED_GOODS","FQ1 2025","FQ1 2025","Currency=USD","Period=FQ","BEST_FPERIOD_OVERRIDE=FQ","FILING_STATUS=MR","SCALING_FORMAT=MLN","Sort=A","Dates=H","DateFormat=P","Fill=—","Direction=H","UseDPDF=Y")</f>
        <v>2982</v>
      </c>
      <c r="AD16" s="13" cm="1">
        <f t="array" ref="AD16">_xll.BDH("CMI US Equity","INVTRY_FINISHED_GOODS","FQ2 2025","FQ2 2025","Currency=USD","Period=FQ","BEST_FPERIOD_OVERRIDE=FQ","FILING_STATUS=MR","SCALING_FORMAT=MLN","Sort=A","Dates=H","DateFormat=P","Fill=—","Direction=H","UseDPDF=Y")</f>
        <v>3137</v>
      </c>
      <c r="AE16" s="13" cm="1">
        <f t="array" ref="AE16">_xll.BDH("CMI US Equity","INVTRY_FINISHED_GOODS","FQ3 2025","FQ3 2025","Currency=USD","Period=FQ","BEST_FPERIOD_OVERRIDE=FQ","FILING_STATUS=MR","SCALING_FORMAT=MLN","Sort=A","Dates=H","DateFormat=P","Fill=—","Direction=H","UseDPDF=Y")</f>
        <v>3175</v>
      </c>
      <c r="AF16" s="13" cm="1">
        <f t="array" ref="AF16">_xll.BDH("CMI US Equity","INVTRY_FINISHED_GOODS","FQ4 2025","FQ4 2025","Currency=USD","Period=FQ","BEST_FPERIOD_OVERRIDE=FQ","FILING_STATUS=MR","SCALING_FORMAT=MLN","Sort=A","Dates=H","DateFormat=P","Fill=—","Direction=H","UseDPDF=Y")</f>
        <v>3091</v>
      </c>
    </row>
    <row r="17" spans="1:32" x14ac:dyDescent="0.25">
      <c r="A17" s="10" t="s">
        <v>86</v>
      </c>
      <c r="B17" s="10" t="s">
        <v>87</v>
      </c>
      <c r="C17" s="13" cm="1">
        <f t="array" ref="C17">_xll.BDH("CMI US Equity","BS_OTHER_INV","FQ3 2018","FQ3 2018","Currency=USD","Period=FQ","BEST_FPERIOD_OVERRIDE=FQ","FILING_STATUS=MR","SCALING_FORMAT=MLN","Sort=A","Dates=H","DateFormat=P","Fill=—","Direction=H","UseDPDF=Y")</f>
        <v>-131</v>
      </c>
      <c r="D17" s="13" cm="1">
        <f t="array" ref="D17">_xll.BDH("CMI US Equity","BS_OTHER_INV","FQ4 2018","FQ4 2018","Currency=USD","Period=FQ","BEST_FPERIOD_OVERRIDE=FQ","FILING_STATUS=MR","SCALING_FORMAT=MLN","Sort=A","Dates=H","DateFormat=P","Fill=—","Direction=H","UseDPDF=Y")</f>
        <v>-133</v>
      </c>
      <c r="E17" s="13" cm="1">
        <f t="array" ref="E17">_xll.BDH("CMI US Equity","BS_OTHER_INV","FQ1 2019","FQ1 2019","Currency=USD","Period=FQ","BEST_FPERIOD_OVERRIDE=FQ","FILING_STATUS=MR","SCALING_FORMAT=MLN","Sort=A","Dates=H","DateFormat=P","Fill=—","Direction=H","UseDPDF=Y")</f>
        <v>-132</v>
      </c>
      <c r="F17" s="13" cm="1">
        <f t="array" ref="F17">_xll.BDH("CMI US Equity","BS_OTHER_INV","FQ2 2019","FQ2 2019","Currency=USD","Period=FQ","BEST_FPERIOD_OVERRIDE=FQ","FILING_STATUS=MR","SCALING_FORMAT=MLN","Sort=A","Dates=H","DateFormat=P","Fill=—","Direction=H","UseDPDF=Y")</f>
        <v>-126</v>
      </c>
      <c r="G17" s="13" cm="1">
        <f t="array" ref="G17">_xll.BDH("CMI US Equity","BS_OTHER_INV","FQ3 2019","FQ3 2019","Currency=USD","Period=FQ","BEST_FPERIOD_OVERRIDE=FQ","FILING_STATUS=MR","SCALING_FORMAT=MLN","Sort=A","Dates=H","DateFormat=P","Fill=—","Direction=H","UseDPDF=Y")</f>
        <v>-126</v>
      </c>
      <c r="H17" s="13" cm="1">
        <f t="array" ref="H17">_xll.BDH("CMI US Equity","BS_OTHER_INV","FQ4 2019","FQ4 2019","Currency=USD","Period=FQ","BEST_FPERIOD_OVERRIDE=FQ","FILING_STATUS=MR","SCALING_FORMAT=MLN","Sort=A","Dates=H","DateFormat=P","Fill=—","Direction=H","UseDPDF=Y")</f>
        <v>-123</v>
      </c>
      <c r="I17" s="13" cm="1">
        <f t="array" ref="I17">_xll.BDH("CMI US Equity","BS_OTHER_INV","FQ1 2020","FQ1 2020","Currency=USD","Period=FQ","BEST_FPERIOD_OVERRIDE=FQ","FILING_STATUS=MR","SCALING_FORMAT=MLN","Sort=A","Dates=H","DateFormat=P","Fill=—","Direction=H","UseDPDF=Y")</f>
        <v>-132</v>
      </c>
      <c r="J17" s="13" cm="1">
        <f t="array" ref="J17">_xll.BDH("CMI US Equity","BS_OTHER_INV","FQ2 2020","FQ2 2020","Currency=USD","Period=FQ","BEST_FPERIOD_OVERRIDE=FQ","FILING_STATUS=MR","SCALING_FORMAT=MLN","Sort=A","Dates=H","DateFormat=P","Fill=—","Direction=H","UseDPDF=Y")</f>
        <v>-132</v>
      </c>
      <c r="K17" s="13" cm="1">
        <f t="array" ref="K17">_xll.BDH("CMI US Equity","BS_OTHER_INV","FQ3 2020","FQ3 2020","Currency=USD","Period=FQ","BEST_FPERIOD_OVERRIDE=FQ","FILING_STATUS=MR","SCALING_FORMAT=MLN","Sort=A","Dates=H","DateFormat=P","Fill=—","Direction=H","UseDPDF=Y")</f>
        <v>-128</v>
      </c>
      <c r="L17" s="13" cm="1">
        <f t="array" ref="L17">_xll.BDH("CMI US Equity","BS_OTHER_INV","FQ4 2020","FQ4 2020","Currency=USD","Period=FQ","BEST_FPERIOD_OVERRIDE=FQ","FILING_STATUS=MR","SCALING_FORMAT=MLN","Sort=A","Dates=H","DateFormat=P","Fill=—","Direction=H","UseDPDF=Y")</f>
        <v>-137</v>
      </c>
      <c r="M17" s="13" cm="1">
        <f t="array" ref="M17">_xll.BDH("CMI US Equity","BS_OTHER_INV","FQ1 2021","FQ1 2021","Currency=USD","Period=FQ","BEST_FPERIOD_OVERRIDE=FQ","FILING_STATUS=MR","SCALING_FORMAT=MLN","Sort=A","Dates=H","DateFormat=P","Fill=—","Direction=H","UseDPDF=Y")</f>
        <v>-152</v>
      </c>
      <c r="N17" s="13" cm="1">
        <f t="array" ref="N17">_xll.BDH("CMI US Equity","BS_OTHER_INV","FQ2 2021","FQ2 2021","Currency=USD","Period=FQ","BEST_FPERIOD_OVERRIDE=FQ","FILING_STATUS=MR","SCALING_FORMAT=MLN","Sort=A","Dates=H","DateFormat=P","Fill=—","Direction=H","UseDPDF=Y")</f>
        <v>-161</v>
      </c>
      <c r="O17" s="13" cm="1">
        <f t="array" ref="O17">_xll.BDH("CMI US Equity","BS_OTHER_INV","FQ3 2021","FQ3 2021","Currency=USD","Period=FQ","BEST_FPERIOD_OVERRIDE=FQ","FILING_STATUS=MR","SCALING_FORMAT=MLN","Sort=A","Dates=H","DateFormat=P","Fill=—","Direction=H","UseDPDF=Y")</f>
        <v>-170</v>
      </c>
      <c r="P17" s="13" cm="1">
        <f t="array" ref="P17">_xll.BDH("CMI US Equity","BS_OTHER_INV","FQ4 2021","FQ4 2021","Currency=USD","Period=FQ","BEST_FPERIOD_OVERRIDE=FQ","FILING_STATUS=MR","SCALING_FORMAT=MLN","Sort=A","Dates=H","DateFormat=P","Fill=—","Direction=H","UseDPDF=Y")</f>
        <v>-192</v>
      </c>
      <c r="Q17" s="13" cm="1">
        <f t="array" ref="Q17">_xll.BDH("CMI US Equity","BS_OTHER_INV","FQ1 2022","FQ1 2022","Currency=USD","Period=FQ","BEST_FPERIOD_OVERRIDE=FQ","FILING_STATUS=MR","SCALING_FORMAT=MLN","Sort=A","Dates=H","DateFormat=P","Fill=—","Direction=H","UseDPDF=Y")</f>
        <v>-209</v>
      </c>
      <c r="R17" s="13" cm="1">
        <f t="array" ref="R17">_xll.BDH("CMI US Equity","BS_OTHER_INV","FQ2 2022","FQ2 2022","Currency=USD","Period=FQ","BEST_FPERIOD_OVERRIDE=FQ","FILING_STATUS=MR","SCALING_FORMAT=MLN","Sort=A","Dates=H","DateFormat=P","Fill=—","Direction=H","UseDPDF=Y")</f>
        <v>-219</v>
      </c>
      <c r="S17" s="13" cm="1">
        <f t="array" ref="S17">_xll.BDH("CMI US Equity","BS_OTHER_INV","FQ3 2022","FQ3 2022","Currency=USD","Period=FQ","BEST_FPERIOD_OVERRIDE=FQ","FILING_STATUS=MR","SCALING_FORMAT=MLN","Sort=A","Dates=H","DateFormat=P","Fill=—","Direction=H","UseDPDF=Y")</f>
        <v>-231</v>
      </c>
      <c r="T17" s="13" cm="1">
        <f t="array" ref="T17">_xll.BDH("CMI US Equity","BS_OTHER_INV","FQ4 2022","FQ4 2022","Currency=USD","Period=FQ","BEST_FPERIOD_OVERRIDE=FQ","FILING_STATUS=MR","SCALING_FORMAT=MLN","Sort=A","Dates=H","DateFormat=P","Fill=—","Direction=H","UseDPDF=Y")</f>
        <v>-240</v>
      </c>
      <c r="U17" s="13" cm="1">
        <f t="array" ref="U17">_xll.BDH("CMI US Equity","BS_OTHER_INV","FQ1 2023","FQ1 2023","Currency=USD","Period=FQ","BEST_FPERIOD_OVERRIDE=FQ","FILING_STATUS=MR","SCALING_FORMAT=MLN","Sort=A","Dates=H","DateFormat=P","Fill=—","Direction=H","UseDPDF=Y")</f>
        <v>-230</v>
      </c>
      <c r="V17" s="13" cm="1">
        <f t="array" ref="V17">_xll.BDH("CMI US Equity","BS_OTHER_INV","FQ2 2023","FQ2 2023","Currency=USD","Period=FQ","BEST_FPERIOD_OVERRIDE=FQ","FILING_STATUS=MR","SCALING_FORMAT=MLN","Sort=A","Dates=H","DateFormat=P","Fill=—","Direction=H","UseDPDF=Y")</f>
        <v>-245</v>
      </c>
      <c r="W17" s="13" cm="1">
        <f t="array" ref="W17">_xll.BDH("CMI US Equity","BS_OTHER_INV","FQ3 2023","FQ3 2023","Currency=USD","Period=FQ","BEST_FPERIOD_OVERRIDE=FQ","FILING_STATUS=MR","SCALING_FORMAT=MLN","Sort=A","Dates=H","DateFormat=P","Fill=—","Direction=H","UseDPDF=Y")</f>
        <v>-250</v>
      </c>
      <c r="X17" s="13" cm="1">
        <f t="array" ref="X17">_xll.BDH("CMI US Equity","BS_OTHER_INV","FQ4 2023","FQ4 2023","Currency=USD","Period=FQ","BEST_FPERIOD_OVERRIDE=FQ","FILING_STATUS=MR","SCALING_FORMAT=MLN","Sort=A","Dates=H","DateFormat=P","Fill=—","Direction=H","UseDPDF=Y")</f>
        <v>-249</v>
      </c>
      <c r="Y17" s="13" cm="1">
        <f t="array" ref="Y17">_xll.BDH("CMI US Equity","BS_OTHER_INV","FQ1 2024","FQ1 2024","Currency=USD","Period=FQ","BEST_FPERIOD_OVERRIDE=FQ","FILING_STATUS=MR","SCALING_FORMAT=MLN","Sort=A","Dates=H","DateFormat=P","Fill=—","Direction=H","UseDPDF=Y")</f>
        <v>-222</v>
      </c>
      <c r="Z17" s="13" cm="1">
        <f t="array" ref="Z17">_xll.BDH("CMI US Equity","BS_OTHER_INV","FQ2 2024","FQ2 2024","Currency=USD","Period=FQ","BEST_FPERIOD_OVERRIDE=FQ","FILING_STATUS=MR","SCALING_FORMAT=MLN","Sort=A","Dates=H","DateFormat=P","Fill=—","Direction=H","UseDPDF=Y")</f>
        <v>-223</v>
      </c>
      <c r="AA17" s="13" cm="1">
        <f t="array" ref="AA17">_xll.BDH("CMI US Equity","BS_OTHER_INV","FQ3 2024","FQ3 2024","Currency=USD","Period=FQ","BEST_FPERIOD_OVERRIDE=FQ","FILING_STATUS=MR","SCALING_FORMAT=MLN","Sort=A","Dates=H","DateFormat=P","Fill=—","Direction=H","UseDPDF=Y")</f>
        <v>-221</v>
      </c>
      <c r="AB17" s="13" cm="1">
        <f t="array" ref="AB17">_xll.BDH("CMI US Equity","BS_OTHER_INV","FQ4 2024","FQ4 2024","Currency=USD","Period=FQ","BEST_FPERIOD_OVERRIDE=FQ","FILING_STATUS=MR","SCALING_FORMAT=MLN","Sort=A","Dates=H","DateFormat=P","Fill=—","Direction=H","UseDPDF=Y")</f>
        <v>-219</v>
      </c>
      <c r="AC17" s="13" cm="1">
        <f t="array" ref="AC17">_xll.BDH("CMI US Equity","BS_OTHER_INV","FQ1 2025","FQ1 2025","Currency=USD","Period=FQ","BEST_FPERIOD_OVERRIDE=FQ","FILING_STATUS=MR","SCALING_FORMAT=MLN","Sort=A","Dates=H","DateFormat=P","Fill=—","Direction=H","UseDPDF=Y")</f>
        <v>-213</v>
      </c>
      <c r="AD17" s="13" cm="1">
        <f t="array" ref="AD17">_xll.BDH("CMI US Equity","BS_OTHER_INV","FQ2 2025","FQ2 2025","Currency=USD","Period=FQ","BEST_FPERIOD_OVERRIDE=FQ","FILING_STATUS=MR","SCALING_FORMAT=MLN","Sort=A","Dates=H","DateFormat=P","Fill=—","Direction=H","UseDPDF=Y")</f>
        <v>-231</v>
      </c>
      <c r="AE17" s="13" cm="1">
        <f t="array" ref="AE17">_xll.BDH("CMI US Equity","BS_OTHER_INV","FQ3 2025","FQ3 2025","Currency=USD","Period=FQ","BEST_FPERIOD_OVERRIDE=FQ","FILING_STATUS=MR","SCALING_FORMAT=MLN","Sort=A","Dates=H","DateFormat=P","Fill=—","Direction=H","UseDPDF=Y")</f>
        <v>-240</v>
      </c>
      <c r="AF17" s="13" cm="1">
        <f t="array" ref="AF17">_xll.BDH("CMI US Equity","BS_OTHER_INV","FQ4 2025","FQ4 2025","Currency=USD","Period=FQ","BEST_FPERIOD_OVERRIDE=FQ","FILING_STATUS=MR","SCALING_FORMAT=MLN","Sort=A","Dates=H","DateFormat=P","Fill=—","Direction=H","UseDPDF=Y")</f>
        <v>-256</v>
      </c>
    </row>
    <row r="18" spans="1:32" x14ac:dyDescent="0.25">
      <c r="A18" s="10" t="s">
        <v>88</v>
      </c>
      <c r="B18" s="10" t="s">
        <v>89</v>
      </c>
      <c r="C18" s="13" cm="1">
        <f t="array" ref="C18">_xll.BDH("CMI US Equity","OTHER_CURRENT_ASSETS_DETAILED","FQ3 2018","FQ3 2018","Currency=USD","Period=FQ","BEST_FPERIOD_OVERRIDE=FQ","FILING_STATUS=MR","SCALING_FORMAT=MLN","Sort=A","Dates=H","DateFormat=P","Fill=—","Direction=H","UseDPDF=Y")</f>
        <v>955</v>
      </c>
      <c r="D18" s="13" cm="1">
        <f t="array" ref="D18">_xll.BDH("CMI US Equity","OTHER_CURRENT_ASSETS_DETAILED","FQ4 2018","FQ4 2018","Currency=USD","Period=FQ","BEST_FPERIOD_OVERRIDE=FQ","FILING_STATUS=MR","SCALING_FORMAT=MLN","Sort=A","Dates=H","DateFormat=P","Fill=—","Direction=H","UseDPDF=Y")</f>
        <v>899</v>
      </c>
      <c r="E18" s="13" cm="1">
        <f t="array" ref="E18">_xll.BDH("CMI US Equity","OTHER_CURRENT_ASSETS_DETAILED","FQ1 2019","FQ1 2019","Currency=USD","Period=FQ","BEST_FPERIOD_OVERRIDE=FQ","FILING_STATUS=MR","SCALING_FORMAT=MLN","Sort=A","Dates=H","DateFormat=P","Fill=—","Direction=H","UseDPDF=Y")</f>
        <v>859</v>
      </c>
      <c r="F18" s="13" cm="1">
        <f t="array" ref="F18">_xll.BDH("CMI US Equity","OTHER_CURRENT_ASSETS_DETAILED","FQ2 2019","FQ2 2019","Currency=USD","Period=FQ","BEST_FPERIOD_OVERRIDE=FQ","FILING_STATUS=MR","SCALING_FORMAT=MLN","Sort=A","Dates=H","DateFormat=P","Fill=—","Direction=H","UseDPDF=Y")</f>
        <v>923</v>
      </c>
      <c r="G18" s="13" cm="1">
        <f t="array" ref="G18">_xll.BDH("CMI US Equity","OTHER_CURRENT_ASSETS_DETAILED","FQ3 2019","FQ3 2019","Currency=USD","Period=FQ","BEST_FPERIOD_OVERRIDE=FQ","FILING_STATUS=MR","SCALING_FORMAT=MLN","Sort=A","Dates=H","DateFormat=P","Fill=—","Direction=H","UseDPDF=Y")</f>
        <v>867</v>
      </c>
      <c r="H18" s="13" cm="1">
        <f t="array" ref="H18">_xll.BDH("CMI US Equity","OTHER_CURRENT_ASSETS_DETAILED","FQ4 2019","FQ4 2019","Currency=USD","Period=FQ","BEST_FPERIOD_OVERRIDE=FQ","FILING_STATUS=MR","SCALING_FORMAT=MLN","Sort=A","Dates=H","DateFormat=P","Fill=—","Direction=H","UseDPDF=Y")</f>
        <v>1044</v>
      </c>
      <c r="I18" s="13" cm="1">
        <f t="array" ref="I18">_xll.BDH("CMI US Equity","OTHER_CURRENT_ASSETS_DETAILED","FQ1 2020","FQ1 2020","Currency=USD","Period=FQ","BEST_FPERIOD_OVERRIDE=FQ","FILING_STATUS=MR","SCALING_FORMAT=MLN","Sort=A","Dates=H","DateFormat=P","Fill=—","Direction=H","UseDPDF=Y")</f>
        <v>947</v>
      </c>
      <c r="J18" s="13" cm="1">
        <f t="array" ref="J18">_xll.BDH("CMI US Equity","OTHER_CURRENT_ASSETS_DETAILED","FQ2 2020","FQ2 2020","Currency=USD","Period=FQ","BEST_FPERIOD_OVERRIDE=FQ","FILING_STATUS=MR","SCALING_FORMAT=MLN","Sort=A","Dates=H","DateFormat=P","Fill=—","Direction=H","UseDPDF=Y")</f>
        <v>1006</v>
      </c>
      <c r="K18" s="13" cm="1">
        <f t="array" ref="K18">_xll.BDH("CMI US Equity","OTHER_CURRENT_ASSETS_DETAILED","FQ3 2020","FQ3 2020","Currency=USD","Period=FQ","BEST_FPERIOD_OVERRIDE=FQ","FILING_STATUS=MR","SCALING_FORMAT=MLN","Sort=A","Dates=H","DateFormat=P","Fill=—","Direction=H","UseDPDF=Y")</f>
        <v>652</v>
      </c>
      <c r="L18" s="13" cm="1">
        <f t="array" ref="L18">_xll.BDH("CMI US Equity","OTHER_CURRENT_ASSETS_DETAILED","FQ4 2020","FQ4 2020","Currency=USD","Period=FQ","BEST_FPERIOD_OVERRIDE=FQ","FILING_STATUS=MR","SCALING_FORMAT=MLN","Sort=A","Dates=H","DateFormat=P","Fill=—","Direction=H","UseDPDF=Y")</f>
        <v>790</v>
      </c>
      <c r="M18" s="13" cm="1">
        <f t="array" ref="M18">_xll.BDH("CMI US Equity","OTHER_CURRENT_ASSETS_DETAILED","FQ1 2021","FQ1 2021","Currency=USD","Period=FQ","BEST_FPERIOD_OVERRIDE=FQ","FILING_STATUS=MR","SCALING_FORMAT=MLN","Sort=A","Dates=H","DateFormat=P","Fill=—","Direction=H","UseDPDF=Y")</f>
        <v>1316</v>
      </c>
      <c r="N18" s="13" cm="1">
        <f t="array" ref="N18">_xll.BDH("CMI US Equity","OTHER_CURRENT_ASSETS_DETAILED","FQ2 2021","FQ2 2021","Currency=USD","Period=FQ","BEST_FPERIOD_OVERRIDE=FQ","FILING_STATUS=MR","SCALING_FORMAT=MLN","Sort=A","Dates=H","DateFormat=P","Fill=—","Direction=H","UseDPDF=Y")</f>
        <v>804</v>
      </c>
      <c r="O18" s="13" cm="1">
        <f t="array" ref="O18">_xll.BDH("CMI US Equity","OTHER_CURRENT_ASSETS_DETAILED","FQ3 2021","FQ3 2021","Currency=USD","Period=FQ","BEST_FPERIOD_OVERRIDE=FQ","FILING_STATUS=MR","SCALING_FORMAT=MLN","Sort=A","Dates=H","DateFormat=P","Fill=—","Direction=H","UseDPDF=Y")</f>
        <v>828</v>
      </c>
      <c r="P18" s="13" cm="1">
        <f t="array" ref="P18">_xll.BDH("CMI US Equity","OTHER_CURRENT_ASSETS_DETAILED","FQ4 2021","FQ4 2021","Currency=USD","Period=FQ","BEST_FPERIOD_OVERRIDE=FQ","FILING_STATUS=MR","SCALING_FORMAT=MLN","Sort=A","Dates=H","DateFormat=P","Fill=—","Direction=H","UseDPDF=Y")</f>
        <v>777</v>
      </c>
      <c r="Q18" s="13" cm="1">
        <f t="array" ref="Q18">_xll.BDH("CMI US Equity","OTHER_CURRENT_ASSETS_DETAILED","FQ1 2022","FQ1 2022","Currency=USD","Period=FQ","BEST_FPERIOD_OVERRIDE=FQ","FILING_STATUS=MR","SCALING_FORMAT=MLN","Sort=A","Dates=H","DateFormat=P","Fill=—","Direction=H","UseDPDF=Y")</f>
        <v>1238</v>
      </c>
      <c r="R18" s="13" cm="1">
        <f t="array" ref="R18">_xll.BDH("CMI US Equity","OTHER_CURRENT_ASSETS_DETAILED","FQ2 2022","FQ2 2022","Currency=USD","Period=FQ","BEST_FPERIOD_OVERRIDE=FQ","FILING_STATUS=MR","SCALING_FORMAT=MLN","Sort=A","Dates=H","DateFormat=P","Fill=—","Direction=H","UseDPDF=Y")</f>
        <v>843</v>
      </c>
      <c r="S18" s="13" cm="1">
        <f t="array" ref="S18">_xll.BDH("CMI US Equity","OTHER_CURRENT_ASSETS_DETAILED","FQ3 2022","FQ3 2022","Currency=USD","Period=FQ","BEST_FPERIOD_OVERRIDE=FQ","FILING_STATUS=MR","SCALING_FORMAT=MLN","Sort=A","Dates=H","DateFormat=P","Fill=—","Direction=H","UseDPDF=Y")</f>
        <v>1091</v>
      </c>
      <c r="T18" s="13" cm="1">
        <f t="array" ref="T18">_xll.BDH("CMI US Equity","OTHER_CURRENT_ASSETS_DETAILED","FQ4 2022","FQ4 2022","Currency=USD","Period=FQ","BEST_FPERIOD_OVERRIDE=FQ","FILING_STATUS=MR","SCALING_FORMAT=MLN","Sort=A","Dates=H","DateFormat=P","Fill=—","Direction=H","UseDPDF=Y")</f>
        <v>1073</v>
      </c>
      <c r="U18" s="13" cm="1">
        <f t="array" ref="U18">_xll.BDH("CMI US Equity","OTHER_CURRENT_ASSETS_DETAILED","FQ1 2023","FQ1 2023","Currency=USD","Period=FQ","BEST_FPERIOD_OVERRIDE=FQ","FILING_STATUS=MR","SCALING_FORMAT=MLN","Sort=A","Dates=H","DateFormat=P","Fill=—","Direction=H","UseDPDF=Y")</f>
        <v>1217</v>
      </c>
      <c r="V18" s="13" cm="1">
        <f t="array" ref="V18">_xll.BDH("CMI US Equity","OTHER_CURRENT_ASSETS_DETAILED","FQ2 2023","FQ2 2023","Currency=USD","Period=FQ","BEST_FPERIOD_OVERRIDE=FQ","FILING_STATUS=MR","SCALING_FORMAT=MLN","Sort=A","Dates=H","DateFormat=P","Fill=—","Direction=H","UseDPDF=Y")</f>
        <v>1207</v>
      </c>
      <c r="W18" s="13" cm="1">
        <f t="array" ref="W18">_xll.BDH("CMI US Equity","OTHER_CURRENT_ASSETS_DETAILED","FQ3 2023","FQ3 2023","Currency=USD","Period=FQ","BEST_FPERIOD_OVERRIDE=FQ","FILING_STATUS=MR","SCALING_FORMAT=MLN","Sort=A","Dates=H","DateFormat=P","Fill=—","Direction=H","UseDPDF=Y")</f>
        <v>1505</v>
      </c>
      <c r="X18" s="13" cm="1">
        <f t="array" ref="X18">_xll.BDH("CMI US Equity","OTHER_CURRENT_ASSETS_DETAILED","FQ4 2023","FQ4 2023","Currency=USD","Period=FQ","BEST_FPERIOD_OVERRIDE=FQ","FILING_STATUS=MR","SCALING_FORMAT=MLN","Sort=A","Dates=H","DateFormat=P","Fill=—","Direction=H","UseDPDF=Y")</f>
        <v>1197</v>
      </c>
      <c r="Y18" s="13" cm="1">
        <f t="array" ref="Y18">_xll.BDH("CMI US Equity","OTHER_CURRENT_ASSETS_DETAILED","FQ1 2024","FQ1 2024","Currency=USD","Period=FQ","BEST_FPERIOD_OVERRIDE=FQ","FILING_STATUS=MR","SCALING_FORMAT=MLN","Sort=A","Dates=H","DateFormat=P","Fill=—","Direction=H","UseDPDF=Y")</f>
        <v>1348</v>
      </c>
      <c r="Z18" s="13" cm="1">
        <f t="array" ref="Z18">_xll.BDH("CMI US Equity","OTHER_CURRENT_ASSETS_DETAILED","FQ2 2024","FQ2 2024","Currency=USD","Period=FQ","BEST_FPERIOD_OVERRIDE=FQ","FILING_STATUS=MR","SCALING_FORMAT=MLN","Sort=A","Dates=H","DateFormat=P","Fill=—","Direction=H","UseDPDF=Y")</f>
        <v>1316</v>
      </c>
      <c r="AA18" s="13" cm="1">
        <f t="array" ref="AA18">_xll.BDH("CMI US Equity","OTHER_CURRENT_ASSETS_DETAILED","FQ3 2024","FQ3 2024","Currency=USD","Period=FQ","BEST_FPERIOD_OVERRIDE=FQ","FILING_STATUS=MR","SCALING_FORMAT=MLN","Sort=A","Dates=H","DateFormat=P","Fill=—","Direction=H","UseDPDF=Y")</f>
        <v>1544</v>
      </c>
      <c r="AB18" s="13" cm="1">
        <f t="array" ref="AB18">_xll.BDH("CMI US Equity","OTHER_CURRENT_ASSETS_DETAILED","FQ4 2024","FQ4 2024","Currency=USD","Period=FQ","BEST_FPERIOD_OVERRIDE=FQ","FILING_STATUS=MR","SCALING_FORMAT=MLN","Sort=A","Dates=H","DateFormat=P","Fill=—","Direction=H","UseDPDF=Y")</f>
        <v>1565</v>
      </c>
      <c r="AC18" s="13" cm="1">
        <f t="array" ref="AC18">_xll.BDH("CMI US Equity","OTHER_CURRENT_ASSETS_DETAILED","FQ1 2025","FQ1 2025","Currency=USD","Period=FQ","BEST_FPERIOD_OVERRIDE=FQ","FILING_STATUS=MR","SCALING_FORMAT=MLN","Sort=A","Dates=H","DateFormat=P","Fill=—","Direction=H","UseDPDF=Y")</f>
        <v>1579</v>
      </c>
      <c r="AD18" s="13" cm="1">
        <f t="array" ref="AD18">_xll.BDH("CMI US Equity","OTHER_CURRENT_ASSETS_DETAILED","FQ2 2025","FQ2 2025","Currency=USD","Period=FQ","BEST_FPERIOD_OVERRIDE=FQ","FILING_STATUS=MR","SCALING_FORMAT=MLN","Sort=A","Dates=H","DateFormat=P","Fill=—","Direction=H","UseDPDF=Y")</f>
        <v>1698</v>
      </c>
      <c r="AE18" s="13" cm="1">
        <f t="array" ref="AE18">_xll.BDH("CMI US Equity","OTHER_CURRENT_ASSETS_DETAILED","FQ3 2025","FQ3 2025","Currency=USD","Period=FQ","BEST_FPERIOD_OVERRIDE=FQ","FILING_STATUS=MR","SCALING_FORMAT=MLN","Sort=A","Dates=H","DateFormat=P","Fill=—","Direction=H","UseDPDF=Y")</f>
        <v>1665</v>
      </c>
      <c r="AF18" s="13" cm="1">
        <f t="array" ref="AF18">_xll.BDH("CMI US Equity","OTHER_CURRENT_ASSETS_DETAILED","FQ4 2025","FQ4 2025","Currency=USD","Period=FQ","BEST_FPERIOD_OVERRIDE=FQ","FILING_STATUS=MR","SCALING_FORMAT=MLN","Sort=A","Dates=H","DateFormat=P","Fill=—","Direction=H","UseDPDF=Y")</f>
        <v>1676</v>
      </c>
    </row>
    <row r="19" spans="1:32" x14ac:dyDescent="0.25">
      <c r="A19" s="10" t="s">
        <v>90</v>
      </c>
      <c r="B19" s="10" t="s">
        <v>91</v>
      </c>
      <c r="C19" s="13" t="str" cm="1">
        <f t="array" ref="C19">_xll.BDH("CMI US Equity","BS_DERIV_HEDGING_ASST_ST","FQ3 2018","FQ3 2018","Currency=USD","Period=FQ","BEST_FPERIOD_OVERRIDE=FQ","FILING_STATUS=MR","SCALING_FORMAT=MLN","Sort=A","Dates=H","DateFormat=P","Fill=—","Direction=H","UseDPDF=Y")</f>
        <v>—</v>
      </c>
      <c r="D19" s="13" t="str" cm="1">
        <f t="array" ref="D19">_xll.BDH("CMI US Equity","BS_DERIV_HEDGING_ASST_ST","FQ4 2018","FQ4 2018","Currency=USD","Period=FQ","BEST_FPERIOD_OVERRIDE=FQ","FILING_STATUS=MR","SCALING_FORMAT=MLN","Sort=A","Dates=H","DateFormat=P","Fill=—","Direction=H","UseDPDF=Y")</f>
        <v>—</v>
      </c>
      <c r="E19" s="13" t="str" cm="1">
        <f t="array" ref="E19">_xll.BDH("CMI US Equity","BS_DERIV_HEDGING_ASST_ST","FQ1 2019","FQ1 2019","Currency=USD","Period=FQ","BEST_FPERIOD_OVERRIDE=FQ","FILING_STATUS=MR","SCALING_FORMAT=MLN","Sort=A","Dates=H","DateFormat=P","Fill=—","Direction=H","UseDPDF=Y")</f>
        <v>—</v>
      </c>
      <c r="F19" s="13" t="str" cm="1">
        <f t="array" ref="F19">_xll.BDH("CMI US Equity","BS_DERIV_HEDGING_ASST_ST","FQ2 2019","FQ2 2019","Currency=USD","Period=FQ","BEST_FPERIOD_OVERRIDE=FQ","FILING_STATUS=MR","SCALING_FORMAT=MLN","Sort=A","Dates=H","DateFormat=P","Fill=—","Direction=H","UseDPDF=Y")</f>
        <v>—</v>
      </c>
      <c r="G19" s="13" t="str" cm="1">
        <f t="array" ref="G19">_xll.BDH("CMI US Equity","BS_DERIV_HEDGING_ASST_ST","FQ3 2019","FQ3 2019","Currency=USD","Period=FQ","BEST_FPERIOD_OVERRIDE=FQ","FILING_STATUS=MR","SCALING_FORMAT=MLN","Sort=A","Dates=H","DateFormat=P","Fill=—","Direction=H","UseDPDF=Y")</f>
        <v>—</v>
      </c>
      <c r="H19" s="13" cm="1">
        <f t="array" ref="H19">_xll.BDH("CMI US Equity","BS_DERIV_HEDGING_ASST_ST","FQ4 2019","FQ4 2019","Currency=USD","Period=FQ","BEST_FPERIOD_OVERRIDE=FQ","FILING_STATUS=MR","SCALING_FORMAT=MLN","Sort=A","Dates=H","DateFormat=P","Fill=—","Direction=H","UseDPDF=Y")</f>
        <v>0</v>
      </c>
      <c r="I19" s="13" t="str" cm="1">
        <f t="array" ref="I19">_xll.BDH("CMI US Equity","BS_DERIV_HEDGING_ASST_ST","FQ1 2020","FQ1 2020","Currency=USD","Period=FQ","BEST_FPERIOD_OVERRIDE=FQ","FILING_STATUS=MR","SCALING_FORMAT=MLN","Sort=A","Dates=H","DateFormat=P","Fill=—","Direction=H","UseDPDF=Y")</f>
        <v>—</v>
      </c>
      <c r="J19" s="13" t="str" cm="1">
        <f t="array" ref="J19">_xll.BDH("CMI US Equity","BS_DERIV_HEDGING_ASST_ST","FQ2 2020","FQ2 2020","Currency=USD","Period=FQ","BEST_FPERIOD_OVERRIDE=FQ","FILING_STATUS=MR","SCALING_FORMAT=MLN","Sort=A","Dates=H","DateFormat=P","Fill=—","Direction=H","UseDPDF=Y")</f>
        <v>—</v>
      </c>
      <c r="K19" s="13" t="str" cm="1">
        <f t="array" ref="K19">_xll.BDH("CMI US Equity","BS_DERIV_HEDGING_ASST_ST","FQ3 2020","FQ3 2020","Currency=USD","Period=FQ","BEST_FPERIOD_OVERRIDE=FQ","FILING_STATUS=MR","SCALING_FORMAT=MLN","Sort=A","Dates=H","DateFormat=P","Fill=—","Direction=H","UseDPDF=Y")</f>
        <v>—</v>
      </c>
      <c r="L19" s="13" t="str" cm="1">
        <f t="array" ref="L19">_xll.BDH("CMI US Equity","BS_DERIV_HEDGING_ASST_ST","FQ4 2020","FQ4 2020","Currency=USD","Period=FQ","BEST_FPERIOD_OVERRIDE=FQ","FILING_STATUS=MR","SCALING_FORMAT=MLN","Sort=A","Dates=H","DateFormat=P","Fill=—","Direction=H","UseDPDF=Y")</f>
        <v>—</v>
      </c>
      <c r="M19" s="13" t="str" cm="1">
        <f t="array" ref="M19">_xll.BDH("CMI US Equity","BS_DERIV_HEDGING_ASST_ST","FQ1 2021","FQ1 2021","Currency=USD","Period=FQ","BEST_FPERIOD_OVERRIDE=FQ","FILING_STATUS=MR","SCALING_FORMAT=MLN","Sort=A","Dates=H","DateFormat=P","Fill=—","Direction=H","UseDPDF=Y")</f>
        <v>—</v>
      </c>
      <c r="N19" s="13" t="str" cm="1">
        <f t="array" ref="N19">_xll.BDH("CMI US Equity","BS_DERIV_HEDGING_ASST_ST","FQ2 2021","FQ2 2021","Currency=USD","Period=FQ","BEST_FPERIOD_OVERRIDE=FQ","FILING_STATUS=MR","SCALING_FORMAT=MLN","Sort=A","Dates=H","DateFormat=P","Fill=—","Direction=H","UseDPDF=Y")</f>
        <v>—</v>
      </c>
      <c r="O19" s="13" t="str" cm="1">
        <f t="array" ref="O19">_xll.BDH("CMI US Equity","BS_DERIV_HEDGING_ASST_ST","FQ3 2021","FQ3 2021","Currency=USD","Period=FQ","BEST_FPERIOD_OVERRIDE=FQ","FILING_STATUS=MR","SCALING_FORMAT=MLN","Sort=A","Dates=H","DateFormat=P","Fill=—","Direction=H","UseDPDF=Y")</f>
        <v>—</v>
      </c>
      <c r="P19" s="13" t="str" cm="1">
        <f t="array" ref="P19">_xll.BDH("CMI US Equity","BS_DERIV_HEDGING_ASST_ST","FQ4 2021","FQ4 2021","Currency=USD","Period=FQ","BEST_FPERIOD_OVERRIDE=FQ","FILING_STATUS=MR","SCALING_FORMAT=MLN","Sort=A","Dates=H","DateFormat=P","Fill=—","Direction=H","UseDPDF=Y")</f>
        <v>—</v>
      </c>
      <c r="Q19" s="13" t="str" cm="1">
        <f t="array" ref="Q19">_xll.BDH("CMI US Equity","BS_DERIV_HEDGING_ASST_ST","FQ1 2022","FQ1 2022","Currency=USD","Period=FQ","BEST_FPERIOD_OVERRIDE=FQ","FILING_STATUS=MR","SCALING_FORMAT=MLN","Sort=A","Dates=H","DateFormat=P","Fill=—","Direction=H","UseDPDF=Y")</f>
        <v>—</v>
      </c>
      <c r="R19" s="13" t="str" cm="1">
        <f t="array" ref="R19">_xll.BDH("CMI US Equity","BS_DERIV_HEDGING_ASST_ST","FQ2 2022","FQ2 2022","Currency=USD","Period=FQ","BEST_FPERIOD_OVERRIDE=FQ","FILING_STATUS=MR","SCALING_FORMAT=MLN","Sort=A","Dates=H","DateFormat=P","Fill=—","Direction=H","UseDPDF=Y")</f>
        <v>—</v>
      </c>
      <c r="S19" s="13" t="str" cm="1">
        <f t="array" ref="S19">_xll.BDH("CMI US Equity","BS_DERIV_HEDGING_ASST_ST","FQ3 2022","FQ3 2022","Currency=USD","Period=FQ","BEST_FPERIOD_OVERRIDE=FQ","FILING_STATUS=MR","SCALING_FORMAT=MLN","Sort=A","Dates=H","DateFormat=P","Fill=—","Direction=H","UseDPDF=Y")</f>
        <v>—</v>
      </c>
      <c r="T19" s="13" t="str" cm="1">
        <f t="array" ref="T19">_xll.BDH("CMI US Equity","BS_DERIV_HEDGING_ASST_ST","FQ4 2022","FQ4 2022","Currency=USD","Period=FQ","BEST_FPERIOD_OVERRIDE=FQ","FILING_STATUS=MR","SCALING_FORMAT=MLN","Sort=A","Dates=H","DateFormat=P","Fill=—","Direction=H","UseDPDF=Y")</f>
        <v>—</v>
      </c>
      <c r="U19" s="13" t="str" cm="1">
        <f t="array" ref="U19">_xll.BDH("CMI US Equity","BS_DERIV_HEDGING_ASST_ST","FQ1 2023","FQ1 2023","Currency=USD","Period=FQ","BEST_FPERIOD_OVERRIDE=FQ","FILING_STATUS=MR","SCALING_FORMAT=MLN","Sort=A","Dates=H","DateFormat=P","Fill=—","Direction=H","UseDPDF=Y")</f>
        <v>—</v>
      </c>
      <c r="V19" s="13" t="str" cm="1">
        <f t="array" ref="V19">_xll.BDH("CMI US Equity","BS_DERIV_HEDGING_ASST_ST","FQ2 2023","FQ2 2023","Currency=USD","Period=FQ","BEST_FPERIOD_OVERRIDE=FQ","FILING_STATUS=MR","SCALING_FORMAT=MLN","Sort=A","Dates=H","DateFormat=P","Fill=—","Direction=H","UseDPDF=Y")</f>
        <v>—</v>
      </c>
      <c r="W19" s="13" t="str" cm="1">
        <f t="array" ref="W19">_xll.BDH("CMI US Equity","BS_DERIV_HEDGING_ASST_ST","FQ3 2023","FQ3 2023","Currency=USD","Period=FQ","BEST_FPERIOD_OVERRIDE=FQ","FILING_STATUS=MR","SCALING_FORMAT=MLN","Sort=A","Dates=H","DateFormat=P","Fill=—","Direction=H","UseDPDF=Y")</f>
        <v>—</v>
      </c>
      <c r="X19" s="13" cm="1">
        <f t="array" ref="X19">_xll.BDH("CMI US Equity","BS_DERIV_HEDGING_ASST_ST","FQ4 2023","FQ4 2023","Currency=USD","Period=FQ","BEST_FPERIOD_OVERRIDE=FQ","FILING_STATUS=MR","SCALING_FORMAT=MLN","Sort=A","Dates=H","DateFormat=P","Fill=—","Direction=H","UseDPDF=Y")</f>
        <v>0</v>
      </c>
      <c r="Y19" s="13" t="str" cm="1">
        <f t="array" ref="Y19">_xll.BDH("CMI US Equity","BS_DERIV_HEDGING_ASST_ST","FQ1 2024","FQ1 2024","Currency=USD","Period=FQ","BEST_FPERIOD_OVERRIDE=FQ","FILING_STATUS=MR","SCALING_FORMAT=MLN","Sort=A","Dates=H","DateFormat=P","Fill=—","Direction=H","UseDPDF=Y")</f>
        <v>—</v>
      </c>
      <c r="Z19" s="13" t="str" cm="1">
        <f t="array" ref="Z19">_xll.BDH("CMI US Equity","BS_DERIV_HEDGING_ASST_ST","FQ2 2024","FQ2 2024","Currency=USD","Period=FQ","BEST_FPERIOD_OVERRIDE=FQ","FILING_STATUS=MR","SCALING_FORMAT=MLN","Sort=A","Dates=H","DateFormat=P","Fill=—","Direction=H","UseDPDF=Y")</f>
        <v>—</v>
      </c>
      <c r="AA19" s="13" t="str" cm="1">
        <f t="array" ref="AA19">_xll.BDH("CMI US Equity","BS_DERIV_HEDGING_ASST_ST","FQ3 2024","FQ3 2024","Currency=USD","Period=FQ","BEST_FPERIOD_OVERRIDE=FQ","FILING_STATUS=MR","SCALING_FORMAT=MLN","Sort=A","Dates=H","DateFormat=P","Fill=—","Direction=H","UseDPDF=Y")</f>
        <v>—</v>
      </c>
      <c r="AB19" s="13" t="str" cm="1">
        <f t="array" ref="AB19">_xll.BDH("CMI US Equity","BS_DERIV_HEDGING_ASST_ST","FQ4 2024","FQ4 2024","Currency=USD","Period=FQ","BEST_FPERIOD_OVERRIDE=FQ","FILING_STATUS=MR","SCALING_FORMAT=MLN","Sort=A","Dates=H","DateFormat=P","Fill=—","Direction=H","UseDPDF=Y")</f>
        <v>—</v>
      </c>
      <c r="AC19" s="13" t="str" cm="1">
        <f t="array" ref="AC19">_xll.BDH("CMI US Equity","BS_DERIV_HEDGING_ASST_ST","FQ1 2025","FQ1 2025","Currency=USD","Period=FQ","BEST_FPERIOD_OVERRIDE=FQ","FILING_STATUS=MR","SCALING_FORMAT=MLN","Sort=A","Dates=H","DateFormat=P","Fill=—","Direction=H","UseDPDF=Y")</f>
        <v>—</v>
      </c>
      <c r="AD19" s="13" t="str" cm="1">
        <f t="array" ref="AD19">_xll.BDH("CMI US Equity","BS_DERIV_HEDGING_ASST_ST","FQ2 2025","FQ2 2025","Currency=USD","Period=FQ","BEST_FPERIOD_OVERRIDE=FQ","FILING_STATUS=MR","SCALING_FORMAT=MLN","Sort=A","Dates=H","DateFormat=P","Fill=—","Direction=H","UseDPDF=Y")</f>
        <v>—</v>
      </c>
      <c r="AE19" s="13" t="str" cm="1">
        <f t="array" ref="AE19">_xll.BDH("CMI US Equity","BS_DERIV_HEDGING_ASST_ST","FQ3 2025","FQ3 2025","Currency=USD","Period=FQ","BEST_FPERIOD_OVERRIDE=FQ","FILING_STATUS=MR","SCALING_FORMAT=MLN","Sort=A","Dates=H","DateFormat=P","Fill=—","Direction=H","UseDPDF=Y")</f>
        <v>—</v>
      </c>
      <c r="AF19" s="13" t="str" cm="1">
        <f t="array" ref="AF19">_xll.BDH("CMI US Equity","BS_DERIV_HEDGING_ASST_ST","FQ4 2025","FQ4 2025","Currency=USD","Period=FQ","BEST_FPERIOD_OVERRIDE=FQ","FILING_STATUS=MR","SCALING_FORMAT=MLN","Sort=A","Dates=H","DateFormat=P","Fill=—","Direction=H","UseDPDF=Y")</f>
        <v>—</v>
      </c>
    </row>
    <row r="20" spans="1:32" x14ac:dyDescent="0.25">
      <c r="A20" s="10" t="s">
        <v>92</v>
      </c>
      <c r="B20" s="10" t="s">
        <v>93</v>
      </c>
      <c r="C20" s="13" cm="1">
        <f t="array" ref="C20">_xll.BDH("CMI US Equity","BS_OTHER_CUR_ASSET_LESS_PREPAY","FQ3 2018","FQ3 2018","Currency=USD","Period=FQ","BEST_FPERIOD_OVERRIDE=FQ","FILING_STATUS=MR","SCALING_FORMAT=MLN","Sort=A","Dates=H","DateFormat=P","Fill=—","Direction=H","UseDPDF=Y")</f>
        <v>955</v>
      </c>
      <c r="D20" s="13" cm="1">
        <f t="array" ref="D20">_xll.BDH("CMI US Equity","BS_OTHER_CUR_ASSET_LESS_PREPAY","FQ4 2018","FQ4 2018","Currency=USD","Period=FQ","BEST_FPERIOD_OVERRIDE=FQ","FILING_STATUS=MR","SCALING_FORMAT=MLN","Sort=A","Dates=H","DateFormat=P","Fill=—","Direction=H","UseDPDF=Y")</f>
        <v>899</v>
      </c>
      <c r="E20" s="13" cm="1">
        <f t="array" ref="E20">_xll.BDH("CMI US Equity","BS_OTHER_CUR_ASSET_LESS_PREPAY","FQ1 2019","FQ1 2019","Currency=USD","Period=FQ","BEST_FPERIOD_OVERRIDE=FQ","FILING_STATUS=MR","SCALING_FORMAT=MLN","Sort=A","Dates=H","DateFormat=P","Fill=—","Direction=H","UseDPDF=Y")</f>
        <v>859</v>
      </c>
      <c r="F20" s="13" cm="1">
        <f t="array" ref="F20">_xll.BDH("CMI US Equity","BS_OTHER_CUR_ASSET_LESS_PREPAY","FQ2 2019","FQ2 2019","Currency=USD","Period=FQ","BEST_FPERIOD_OVERRIDE=FQ","FILING_STATUS=MR","SCALING_FORMAT=MLN","Sort=A","Dates=H","DateFormat=P","Fill=—","Direction=H","UseDPDF=Y")</f>
        <v>923</v>
      </c>
      <c r="G20" s="13" cm="1">
        <f t="array" ref="G20">_xll.BDH("CMI US Equity","BS_OTHER_CUR_ASSET_LESS_PREPAY","FQ3 2019","FQ3 2019","Currency=USD","Period=FQ","BEST_FPERIOD_OVERRIDE=FQ","FILING_STATUS=MR","SCALING_FORMAT=MLN","Sort=A","Dates=H","DateFormat=P","Fill=—","Direction=H","UseDPDF=Y")</f>
        <v>867</v>
      </c>
      <c r="H20" s="13" cm="1">
        <f t="array" ref="H20">_xll.BDH("CMI US Equity","BS_OTHER_CUR_ASSET_LESS_PREPAY","FQ4 2019","FQ4 2019","Currency=USD","Period=FQ","BEST_FPERIOD_OVERRIDE=FQ","FILING_STATUS=MR","SCALING_FORMAT=MLN","Sort=A","Dates=H","DateFormat=P","Fill=—","Direction=H","UseDPDF=Y")</f>
        <v>1044</v>
      </c>
      <c r="I20" s="13" cm="1">
        <f t="array" ref="I20">_xll.BDH("CMI US Equity","BS_OTHER_CUR_ASSET_LESS_PREPAY","FQ1 2020","FQ1 2020","Currency=USD","Period=FQ","BEST_FPERIOD_OVERRIDE=FQ","FILING_STATUS=MR","SCALING_FORMAT=MLN","Sort=A","Dates=H","DateFormat=P","Fill=—","Direction=H","UseDPDF=Y")</f>
        <v>947</v>
      </c>
      <c r="J20" s="13" cm="1">
        <f t="array" ref="J20">_xll.BDH("CMI US Equity","BS_OTHER_CUR_ASSET_LESS_PREPAY","FQ2 2020","FQ2 2020","Currency=USD","Period=FQ","BEST_FPERIOD_OVERRIDE=FQ","FILING_STATUS=MR","SCALING_FORMAT=MLN","Sort=A","Dates=H","DateFormat=P","Fill=—","Direction=H","UseDPDF=Y")</f>
        <v>1006</v>
      </c>
      <c r="K20" s="13" cm="1">
        <f t="array" ref="K20">_xll.BDH("CMI US Equity","BS_OTHER_CUR_ASSET_LESS_PREPAY","FQ3 2020","FQ3 2020","Currency=USD","Period=FQ","BEST_FPERIOD_OVERRIDE=FQ","FILING_STATUS=MR","SCALING_FORMAT=MLN","Sort=A","Dates=H","DateFormat=P","Fill=—","Direction=H","UseDPDF=Y")</f>
        <v>652</v>
      </c>
      <c r="L20" s="13" cm="1">
        <f t="array" ref="L20">_xll.BDH("CMI US Equity","BS_OTHER_CUR_ASSET_LESS_PREPAY","FQ4 2020","FQ4 2020","Currency=USD","Period=FQ","BEST_FPERIOD_OVERRIDE=FQ","FILING_STATUS=MR","SCALING_FORMAT=MLN","Sort=A","Dates=H","DateFormat=P","Fill=—","Direction=H","UseDPDF=Y")</f>
        <v>790</v>
      </c>
      <c r="M20" s="13" cm="1">
        <f t="array" ref="M20">_xll.BDH("CMI US Equity","BS_OTHER_CUR_ASSET_LESS_PREPAY","FQ1 2021","FQ1 2021","Currency=USD","Period=FQ","BEST_FPERIOD_OVERRIDE=FQ","FILING_STATUS=MR","SCALING_FORMAT=MLN","Sort=A","Dates=H","DateFormat=P","Fill=—","Direction=H","UseDPDF=Y")</f>
        <v>1316</v>
      </c>
      <c r="N20" s="13" cm="1">
        <f t="array" ref="N20">_xll.BDH("CMI US Equity","BS_OTHER_CUR_ASSET_LESS_PREPAY","FQ2 2021","FQ2 2021","Currency=USD","Period=FQ","BEST_FPERIOD_OVERRIDE=FQ","FILING_STATUS=MR","SCALING_FORMAT=MLN","Sort=A","Dates=H","DateFormat=P","Fill=—","Direction=H","UseDPDF=Y")</f>
        <v>804</v>
      </c>
      <c r="O20" s="13" cm="1">
        <f t="array" ref="O20">_xll.BDH("CMI US Equity","BS_OTHER_CUR_ASSET_LESS_PREPAY","FQ3 2021","FQ3 2021","Currency=USD","Period=FQ","BEST_FPERIOD_OVERRIDE=FQ","FILING_STATUS=MR","SCALING_FORMAT=MLN","Sort=A","Dates=H","DateFormat=P","Fill=—","Direction=H","UseDPDF=Y")</f>
        <v>828</v>
      </c>
      <c r="P20" s="13" cm="1">
        <f t="array" ref="P20">_xll.BDH("CMI US Equity","BS_OTHER_CUR_ASSET_LESS_PREPAY","FQ4 2021","FQ4 2021","Currency=USD","Period=FQ","BEST_FPERIOD_OVERRIDE=FQ","FILING_STATUS=MR","SCALING_FORMAT=MLN","Sort=A","Dates=H","DateFormat=P","Fill=—","Direction=H","UseDPDF=Y")</f>
        <v>777</v>
      </c>
      <c r="Q20" s="13" cm="1">
        <f t="array" ref="Q20">_xll.BDH("CMI US Equity","BS_OTHER_CUR_ASSET_LESS_PREPAY","FQ1 2022","FQ1 2022","Currency=USD","Period=FQ","BEST_FPERIOD_OVERRIDE=FQ","FILING_STATUS=MR","SCALING_FORMAT=MLN","Sort=A","Dates=H","DateFormat=P","Fill=—","Direction=H","UseDPDF=Y")</f>
        <v>1238</v>
      </c>
      <c r="R20" s="13" cm="1">
        <f t="array" ref="R20">_xll.BDH("CMI US Equity","BS_OTHER_CUR_ASSET_LESS_PREPAY","FQ2 2022","FQ2 2022","Currency=USD","Period=FQ","BEST_FPERIOD_OVERRIDE=FQ","FILING_STATUS=MR","SCALING_FORMAT=MLN","Sort=A","Dates=H","DateFormat=P","Fill=—","Direction=H","UseDPDF=Y")</f>
        <v>843</v>
      </c>
      <c r="S20" s="13" cm="1">
        <f t="array" ref="S20">_xll.BDH("CMI US Equity","BS_OTHER_CUR_ASSET_LESS_PREPAY","FQ3 2022","FQ3 2022","Currency=USD","Period=FQ","BEST_FPERIOD_OVERRIDE=FQ","FILING_STATUS=MR","SCALING_FORMAT=MLN","Sort=A","Dates=H","DateFormat=P","Fill=—","Direction=H","UseDPDF=Y")</f>
        <v>1091</v>
      </c>
      <c r="T20" s="13" cm="1">
        <f t="array" ref="T20">_xll.BDH("CMI US Equity","BS_OTHER_CUR_ASSET_LESS_PREPAY","FQ4 2022","FQ4 2022","Currency=USD","Period=FQ","BEST_FPERIOD_OVERRIDE=FQ","FILING_STATUS=MR","SCALING_FORMAT=MLN","Sort=A","Dates=H","DateFormat=P","Fill=—","Direction=H","UseDPDF=Y")</f>
        <v>1073</v>
      </c>
      <c r="U20" s="13" cm="1">
        <f t="array" ref="U20">_xll.BDH("CMI US Equity","BS_OTHER_CUR_ASSET_LESS_PREPAY","FQ1 2023","FQ1 2023","Currency=USD","Period=FQ","BEST_FPERIOD_OVERRIDE=FQ","FILING_STATUS=MR","SCALING_FORMAT=MLN","Sort=A","Dates=H","DateFormat=P","Fill=—","Direction=H","UseDPDF=Y")</f>
        <v>1217</v>
      </c>
      <c r="V20" s="13" cm="1">
        <f t="array" ref="V20">_xll.BDH("CMI US Equity","BS_OTHER_CUR_ASSET_LESS_PREPAY","FQ2 2023","FQ2 2023","Currency=USD","Period=FQ","BEST_FPERIOD_OVERRIDE=FQ","FILING_STATUS=MR","SCALING_FORMAT=MLN","Sort=A","Dates=H","DateFormat=P","Fill=—","Direction=H","UseDPDF=Y")</f>
        <v>1207</v>
      </c>
      <c r="W20" s="13" cm="1">
        <f t="array" ref="W20">_xll.BDH("CMI US Equity","BS_OTHER_CUR_ASSET_LESS_PREPAY","FQ3 2023","FQ3 2023","Currency=USD","Period=FQ","BEST_FPERIOD_OVERRIDE=FQ","FILING_STATUS=MR","SCALING_FORMAT=MLN","Sort=A","Dates=H","DateFormat=P","Fill=—","Direction=H","UseDPDF=Y")</f>
        <v>1505</v>
      </c>
      <c r="X20" s="13" cm="1">
        <f t="array" ref="X20">_xll.BDH("CMI US Equity","BS_OTHER_CUR_ASSET_LESS_PREPAY","FQ4 2023","FQ4 2023","Currency=USD","Period=FQ","BEST_FPERIOD_OVERRIDE=FQ","FILING_STATUS=MR","SCALING_FORMAT=MLN","Sort=A","Dates=H","DateFormat=P","Fill=—","Direction=H","UseDPDF=Y")</f>
        <v>1197</v>
      </c>
      <c r="Y20" s="13" cm="1">
        <f t="array" ref="Y20">_xll.BDH("CMI US Equity","BS_OTHER_CUR_ASSET_LESS_PREPAY","FQ1 2024","FQ1 2024","Currency=USD","Period=FQ","BEST_FPERIOD_OVERRIDE=FQ","FILING_STATUS=MR","SCALING_FORMAT=MLN","Sort=A","Dates=H","DateFormat=P","Fill=—","Direction=H","UseDPDF=Y")</f>
        <v>1348</v>
      </c>
      <c r="Z20" s="13" cm="1">
        <f t="array" ref="Z20">_xll.BDH("CMI US Equity","BS_OTHER_CUR_ASSET_LESS_PREPAY","FQ2 2024","FQ2 2024","Currency=USD","Period=FQ","BEST_FPERIOD_OVERRIDE=FQ","FILING_STATUS=MR","SCALING_FORMAT=MLN","Sort=A","Dates=H","DateFormat=P","Fill=—","Direction=H","UseDPDF=Y")</f>
        <v>1316</v>
      </c>
      <c r="AA20" s="13" cm="1">
        <f t="array" ref="AA20">_xll.BDH("CMI US Equity","BS_OTHER_CUR_ASSET_LESS_PREPAY","FQ3 2024","FQ3 2024","Currency=USD","Period=FQ","BEST_FPERIOD_OVERRIDE=FQ","FILING_STATUS=MR","SCALING_FORMAT=MLN","Sort=A","Dates=H","DateFormat=P","Fill=—","Direction=H","UseDPDF=Y")</f>
        <v>1544</v>
      </c>
      <c r="AB20" s="13" cm="1">
        <f t="array" ref="AB20">_xll.BDH("CMI US Equity","BS_OTHER_CUR_ASSET_LESS_PREPAY","FQ4 2024","FQ4 2024","Currency=USD","Period=FQ","BEST_FPERIOD_OVERRIDE=FQ","FILING_STATUS=MR","SCALING_FORMAT=MLN","Sort=A","Dates=H","DateFormat=P","Fill=—","Direction=H","UseDPDF=Y")</f>
        <v>1565</v>
      </c>
      <c r="AC20" s="13" cm="1">
        <f t="array" ref="AC20">_xll.BDH("CMI US Equity","BS_OTHER_CUR_ASSET_LESS_PREPAY","FQ1 2025","FQ1 2025","Currency=USD","Period=FQ","BEST_FPERIOD_OVERRIDE=FQ","FILING_STATUS=MR","SCALING_FORMAT=MLN","Sort=A","Dates=H","DateFormat=P","Fill=—","Direction=H","UseDPDF=Y")</f>
        <v>1579</v>
      </c>
      <c r="AD20" s="13" cm="1">
        <f t="array" ref="AD20">_xll.BDH("CMI US Equity","BS_OTHER_CUR_ASSET_LESS_PREPAY","FQ2 2025","FQ2 2025","Currency=USD","Period=FQ","BEST_FPERIOD_OVERRIDE=FQ","FILING_STATUS=MR","SCALING_FORMAT=MLN","Sort=A","Dates=H","DateFormat=P","Fill=—","Direction=H","UseDPDF=Y")</f>
        <v>1698</v>
      </c>
      <c r="AE20" s="13" cm="1">
        <f t="array" ref="AE20">_xll.BDH("CMI US Equity","BS_OTHER_CUR_ASSET_LESS_PREPAY","FQ3 2025","FQ3 2025","Currency=USD","Period=FQ","BEST_FPERIOD_OVERRIDE=FQ","FILING_STATUS=MR","SCALING_FORMAT=MLN","Sort=A","Dates=H","DateFormat=P","Fill=—","Direction=H","UseDPDF=Y")</f>
        <v>1665</v>
      </c>
      <c r="AF20" s="13" cm="1">
        <f t="array" ref="AF20">_xll.BDH("CMI US Equity","BS_OTHER_CUR_ASSET_LESS_PREPAY","FQ4 2025","FQ4 2025","Currency=USD","Period=FQ","BEST_FPERIOD_OVERRIDE=FQ","FILING_STATUS=MR","SCALING_FORMAT=MLN","Sort=A","Dates=H","DateFormat=P","Fill=—","Direction=H","UseDPDF=Y")</f>
        <v>1676</v>
      </c>
    </row>
    <row r="21" spans="1:32" x14ac:dyDescent="0.25">
      <c r="A21" s="6" t="s">
        <v>94</v>
      </c>
      <c r="B21" s="6" t="s">
        <v>95</v>
      </c>
      <c r="C21" s="16" cm="1">
        <f t="array" ref="C21">_xll.BDH("CMI US Equity","BS_CUR_ASSET_REPORT","FQ3 2018","FQ3 2018","Currency=USD","Period=FQ","BEST_FPERIOD_OVERRIDE=FQ","FILING_STATUS=MR","SCALING_FORMAT=MLN","Sort=A","Dates=H","DateFormat=P","Fill=—","Direction=H","UseDPDF=Y")</f>
        <v>9863</v>
      </c>
      <c r="D21" s="16" cm="1">
        <f t="array" ref="D21">_xll.BDH("CMI US Equity","BS_CUR_ASSET_REPORT","FQ4 2018","FQ4 2018","Currency=USD","Period=FQ","BEST_FPERIOD_OVERRIDE=FQ","FILING_STATUS=MR","SCALING_FORMAT=MLN","Sort=A","Dates=H","DateFormat=P","Fill=—","Direction=H","UseDPDF=Y")</f>
        <v>9818</v>
      </c>
      <c r="E21" s="16" cm="1">
        <f t="array" ref="E21">_xll.BDH("CMI US Equity","BS_CUR_ASSET_REPORT","FQ1 2019","FQ1 2019","Currency=USD","Period=FQ","BEST_FPERIOD_OVERRIDE=FQ","FILING_STATUS=MR","SCALING_FORMAT=MLN","Sort=A","Dates=H","DateFormat=P","Fill=—","Direction=H","UseDPDF=Y")</f>
        <v>10091</v>
      </c>
      <c r="F21" s="16" cm="1">
        <f t="array" ref="F21">_xll.BDH("CMI US Equity","BS_CUR_ASSET_REPORT","FQ2 2019","FQ2 2019","Currency=USD","Period=FQ","BEST_FPERIOD_OVERRIDE=FQ","FILING_STATUS=MR","SCALING_FORMAT=MLN","Sort=A","Dates=H","DateFormat=P","Fill=—","Direction=H","UseDPDF=Y")</f>
        <v>10450</v>
      </c>
      <c r="G21" s="16" cm="1">
        <f t="array" ref="G21">_xll.BDH("CMI US Equity","BS_CUR_ASSET_REPORT","FQ3 2019","FQ3 2019","Currency=USD","Period=FQ","BEST_FPERIOD_OVERRIDE=FQ","FILING_STATUS=MR","SCALING_FORMAT=MLN","Sort=A","Dates=H","DateFormat=P","Fill=—","Direction=H","UseDPDF=Y")</f>
        <v>10228</v>
      </c>
      <c r="H21" s="16" cm="1">
        <f t="array" ref="H21">_xll.BDH("CMI US Equity","BS_CUR_ASSET_REPORT","FQ4 2019","FQ4 2019","Currency=USD","Period=FQ","BEST_FPERIOD_OVERRIDE=FQ","FILING_STATUS=MR","SCALING_FORMAT=MLN","Sort=A","Dates=H","DateFormat=P","Fill=—","Direction=H","UseDPDF=Y")</f>
        <v>9387</v>
      </c>
      <c r="I21" s="16" cm="1">
        <f t="array" ref="I21">_xll.BDH("CMI US Equity","BS_CUR_ASSET_REPORT","FQ1 2020","FQ1 2020","Currency=USD","Period=FQ","BEST_FPERIOD_OVERRIDE=FQ","FILING_STATUS=MR","SCALING_FORMAT=MLN","Sort=A","Dates=H","DateFormat=P","Fill=—","Direction=H","UseDPDF=Y")</f>
        <v>9790</v>
      </c>
      <c r="J21" s="16" cm="1">
        <f t="array" ref="J21">_xll.BDH("CMI US Equity","BS_CUR_ASSET_REPORT","FQ2 2020","FQ2 2020","Currency=USD","Period=FQ","BEST_FPERIOD_OVERRIDE=FQ","FILING_STATUS=MR","SCALING_FORMAT=MLN","Sort=A","Dates=H","DateFormat=P","Fill=—","Direction=H","UseDPDF=Y")</f>
        <v>9834</v>
      </c>
      <c r="K21" s="16" cm="1">
        <f t="array" ref="K21">_xll.BDH("CMI US Equity","BS_CUR_ASSET_REPORT","FQ3 2020","FQ3 2020","Currency=USD","Period=FQ","BEST_FPERIOD_OVERRIDE=FQ","FILING_STATUS=MR","SCALING_FORMAT=MLN","Sort=A","Dates=H","DateFormat=P","Fill=—","Direction=H","UseDPDF=Y")</f>
        <v>11062</v>
      </c>
      <c r="L21" s="16" cm="1">
        <f t="array" ref="L21">_xll.BDH("CMI US Equity","BS_CUR_ASSET_REPORT","FQ4 2020","FQ4 2020","Currency=USD","Period=FQ","BEST_FPERIOD_OVERRIDE=FQ","FILING_STATUS=MR","SCALING_FORMAT=MLN","Sort=A","Dates=H","DateFormat=P","Fill=—","Direction=H","UseDPDF=Y")</f>
        <v>11897</v>
      </c>
      <c r="M21" s="16" cm="1">
        <f t="array" ref="M21">_xll.BDH("CMI US Equity","BS_CUR_ASSET_REPORT","FQ1 2021","FQ1 2021","Currency=USD","Period=FQ","BEST_FPERIOD_OVERRIDE=FQ","FILING_STATUS=MR","SCALING_FORMAT=MLN","Sort=A","Dates=H","DateFormat=P","Fill=—","Direction=H","UseDPDF=Y")</f>
        <v>12122</v>
      </c>
      <c r="N21" s="16" cm="1">
        <f t="array" ref="N21">_xll.BDH("CMI US Equity","BS_CUR_ASSET_REPORT","FQ2 2021","FQ2 2021","Currency=USD","Period=FQ","BEST_FPERIOD_OVERRIDE=FQ","FILING_STATUS=MR","SCALING_FORMAT=MLN","Sort=A","Dates=H","DateFormat=P","Fill=—","Direction=H","UseDPDF=Y")</f>
        <v>11931</v>
      </c>
      <c r="O21" s="16" cm="1">
        <f t="array" ref="O21">_xll.BDH("CMI US Equity","BS_CUR_ASSET_REPORT","FQ3 2021","FQ3 2021","Currency=USD","Period=FQ","BEST_FPERIOD_OVERRIDE=FQ","FILING_STATUS=MR","SCALING_FORMAT=MLN","Sort=A","Dates=H","DateFormat=P","Fill=—","Direction=H","UseDPDF=Y")</f>
        <v>12320</v>
      </c>
      <c r="P21" s="16" cm="1">
        <f t="array" ref="P21">_xll.BDH("CMI US Equity","BS_CUR_ASSET_REPORT","FQ4 2021","FQ4 2021","Currency=USD","Period=FQ","BEST_FPERIOD_OVERRIDE=FQ","FILING_STATUS=MR","SCALING_FORMAT=MLN","Sort=A","Dates=H","DateFormat=P","Fill=—","Direction=H","UseDPDF=Y")</f>
        <v>12309</v>
      </c>
      <c r="Q21" s="16" cm="1">
        <f t="array" ref="Q21">_xll.BDH("CMI US Equity","BS_CUR_ASSET_REPORT","FQ1 2022","FQ1 2022","Currency=USD","Period=FQ","BEST_FPERIOD_OVERRIDE=FQ","FILING_STATUS=MR","SCALING_FORMAT=MLN","Sort=A","Dates=H","DateFormat=P","Fill=—","Direction=H","UseDPDF=Y")</f>
        <v>12596</v>
      </c>
      <c r="R21" s="16" cm="1">
        <f t="array" ref="R21">_xll.BDH("CMI US Equity","BS_CUR_ASSET_REPORT","FQ2 2022","FQ2 2022","Currency=USD","Period=FQ","BEST_FPERIOD_OVERRIDE=FQ","FILING_STATUS=MR","SCALING_FORMAT=MLN","Sort=A","Dates=H","DateFormat=P","Fill=—","Direction=H","UseDPDF=Y")</f>
        <v>12762</v>
      </c>
      <c r="S21" s="16" cm="1">
        <f t="array" ref="S21">_xll.BDH("CMI US Equity","BS_CUR_ASSET_REPORT","FQ3 2022","FQ3 2022","Currency=USD","Period=FQ","BEST_FPERIOD_OVERRIDE=FQ","FILING_STATUS=MR","SCALING_FORMAT=MLN","Sort=A","Dates=H","DateFormat=P","Fill=—","Direction=H","UseDPDF=Y")</f>
        <v>14398</v>
      </c>
      <c r="T21" s="16" cm="1">
        <f t="array" ref="T21">_xll.BDH("CMI US Equity","BS_CUR_ASSET_REPORT","FQ4 2022","FQ4 2022","Currency=USD","Period=FQ","BEST_FPERIOD_OVERRIDE=FQ","FILING_STATUS=MR","SCALING_FORMAT=MLN","Sort=A","Dates=H","DateFormat=P","Fill=—","Direction=H","UseDPDF=Y")</f>
        <v>14451</v>
      </c>
      <c r="U21" s="16" cm="1">
        <f t="array" ref="U21">_xll.BDH("CMI US Equity","BS_CUR_ASSET_REPORT","FQ1 2023","FQ1 2023","Currency=USD","Period=FQ","BEST_FPERIOD_OVERRIDE=FQ","FILING_STATUS=MR","SCALING_FORMAT=MLN","Sort=A","Dates=H","DateFormat=P","Fill=—","Direction=H","UseDPDF=Y")</f>
        <v>15368</v>
      </c>
      <c r="V21" s="16" cm="1">
        <f t="array" ref="V21">_xll.BDH("CMI US Equity","BS_CUR_ASSET_REPORT","FQ2 2023","FQ2 2023","Currency=USD","Period=FQ","BEST_FPERIOD_OVERRIDE=FQ","FILING_STATUS=MR","SCALING_FORMAT=MLN","Sort=A","Dates=H","DateFormat=P","Fill=—","Direction=H","UseDPDF=Y")</f>
        <v>15410</v>
      </c>
      <c r="W21" s="16" cm="1">
        <f t="array" ref="W21">_xll.BDH("CMI US Equity","BS_CUR_ASSET_REPORT","FQ3 2023","FQ3 2023","Currency=USD","Period=FQ","BEST_FPERIOD_OVERRIDE=FQ","FILING_STATUS=MR","SCALING_FORMAT=MLN","Sort=A","Dates=H","DateFormat=P","Fill=—","Direction=H","UseDPDF=Y")</f>
        <v>15912</v>
      </c>
      <c r="X21" s="16" cm="1">
        <f t="array" ref="X21">_xll.BDH("CMI US Equity","BS_CUR_ASSET_REPORT","FQ4 2023","FQ4 2023","Currency=USD","Period=FQ","BEST_FPERIOD_OVERRIDE=FQ","FILING_STATUS=MR","SCALING_FORMAT=MLN","Sort=A","Dates=H","DateFormat=P","Fill=—","Direction=H","UseDPDF=Y")</f>
        <v>15198</v>
      </c>
      <c r="Y21" s="16" cm="1">
        <f t="array" ref="Y21">_xll.BDH("CMI US Equity","BS_CUR_ASSET_REPORT","FQ1 2024","FQ1 2024","Currency=USD","Period=FQ","BEST_FPERIOD_OVERRIDE=FQ","FILING_STATUS=MR","SCALING_FORMAT=MLN","Sort=A","Dates=H","DateFormat=P","Fill=—","Direction=H","UseDPDF=Y")</f>
        <v>15620</v>
      </c>
      <c r="Z21" s="16" cm="1">
        <f t="array" ref="Z21">_xll.BDH("CMI US Equity","BS_CUR_ASSET_REPORT","FQ2 2024","FQ2 2024","Currency=USD","Period=FQ","BEST_FPERIOD_OVERRIDE=FQ","FILING_STATUS=MR","SCALING_FORMAT=MLN","Sort=A","Dates=H","DateFormat=P","Fill=—","Direction=H","UseDPDF=Y")</f>
        <v>14962</v>
      </c>
      <c r="AA21" s="16" cm="1">
        <f t="array" ref="AA21">_xll.BDH("CMI US Equity","BS_CUR_ASSET_REPORT","FQ3 2024","FQ3 2024","Currency=USD","Period=FQ","BEST_FPERIOD_OVERRIDE=FQ","FILING_STATUS=MR","SCALING_FORMAT=MLN","Sort=A","Dates=H","DateFormat=P","Fill=—","Direction=H","UseDPDF=Y")</f>
        <v>15316</v>
      </c>
      <c r="AB21" s="16" cm="1">
        <f t="array" ref="AB21">_xll.BDH("CMI US Equity","BS_CUR_ASSET_REPORT","FQ4 2024","FQ4 2024","Currency=USD","Period=FQ","BEST_FPERIOD_OVERRIDE=FQ","FILING_STATUS=MR","SCALING_FORMAT=MLN","Sort=A","Dates=H","DateFormat=P","Fill=—","Direction=H","UseDPDF=Y")</f>
        <v>14752</v>
      </c>
      <c r="AC21" s="16" cm="1">
        <f t="array" ref="AC21">_xll.BDH("CMI US Equity","BS_CUR_ASSET_REPORT","FQ1 2025","FQ1 2025","Currency=USD","Period=FQ","BEST_FPERIOD_OVERRIDE=FQ","FILING_STATUS=MR","SCALING_FORMAT=MLN","Sort=A","Dates=H","DateFormat=P","Fill=—","Direction=H","UseDPDF=Y")</f>
        <v>15540</v>
      </c>
      <c r="AD21" s="16" cm="1">
        <f t="array" ref="AD21">_xll.BDH("CMI US Equity","BS_CUR_ASSET_REPORT","FQ2 2025","FQ2 2025","Currency=USD","Period=FQ","BEST_FPERIOD_OVERRIDE=FQ","FILING_STATUS=MR","SCALING_FORMAT=MLN","Sort=A","Dates=H","DateFormat=P","Fill=—","Direction=H","UseDPDF=Y")</f>
        <v>16933</v>
      </c>
      <c r="AE21" s="16" cm="1">
        <f t="array" ref="AE21">_xll.BDH("CMI US Equity","BS_CUR_ASSET_REPORT","FQ3 2025","FQ3 2025","Currency=USD","Period=FQ","BEST_FPERIOD_OVERRIDE=FQ","FILING_STATUS=MR","SCALING_FORMAT=MLN","Sort=A","Dates=H","DateFormat=P","Fill=—","Direction=H","UseDPDF=Y")</f>
        <v>16720</v>
      </c>
      <c r="AF21" s="16" cm="1">
        <f t="array" ref="AF21">_xll.BDH("CMI US Equity","BS_CUR_ASSET_REPORT","FQ4 2025","FQ4 2025","Currency=USD","Period=FQ","BEST_FPERIOD_OVERRIDE=FQ","FILING_STATUS=MR","SCALING_FORMAT=MLN","Sort=A","Dates=H","DateFormat=P","Fill=—","Direction=H","UseDPDF=Y")</f>
        <v>16925</v>
      </c>
    </row>
    <row r="22" spans="1:32" x14ac:dyDescent="0.25">
      <c r="A22" s="10" t="s">
        <v>96</v>
      </c>
      <c r="B22" s="10" t="s">
        <v>97</v>
      </c>
      <c r="C22" s="13" cm="1">
        <f t="array" ref="C22">_xll.BDH("CMI US Equity","BS_NET_FIX_ASSET","FQ3 2018","FQ3 2018","Currency=USD","Period=FQ","BEST_FPERIOD_OVERRIDE=FQ","FILING_STATUS=MR","SCALING_FORMAT=MLN","Sort=A","Dates=H","DateFormat=P","Fill=—","Direction=H","UseDPDF=Y")</f>
        <v>3870</v>
      </c>
      <c r="D22" s="13" cm="1">
        <f t="array" ref="D22">_xll.BDH("CMI US Equity","BS_NET_FIX_ASSET","FQ4 2018","FQ4 2018","Currency=USD","Period=FQ","BEST_FPERIOD_OVERRIDE=FQ","FILING_STATUS=MR","SCALING_FORMAT=MLN","Sort=A","Dates=H","DateFormat=P","Fill=—","Direction=H","UseDPDF=Y")</f>
        <v>4096</v>
      </c>
      <c r="E22" s="13" cm="1">
        <f t="array" ref="E22">_xll.BDH("CMI US Equity","BS_NET_FIX_ASSET","FQ1 2019","FQ1 2019","Currency=USD","Period=FQ","BEST_FPERIOD_OVERRIDE=FQ","FILING_STATUS=MR","SCALING_FORMAT=MLN","Sort=A","Dates=H","DateFormat=P","Fill=—","Direction=H","UseDPDF=Y")</f>
        <v>4482</v>
      </c>
      <c r="F22" s="13" cm="1">
        <f t="array" ref="F22">_xll.BDH("CMI US Equity","BS_NET_FIX_ASSET","FQ2 2019","FQ2 2019","Currency=USD","Period=FQ","BEST_FPERIOD_OVERRIDE=FQ","FILING_STATUS=MR","SCALING_FORMAT=MLN","Sort=A","Dates=H","DateFormat=P","Fill=—","Direction=H","UseDPDF=Y")</f>
        <v>4511</v>
      </c>
      <c r="G22" s="13" cm="1">
        <f t="array" ref="G22">_xll.BDH("CMI US Equity","BS_NET_FIX_ASSET","FQ3 2019","FQ3 2019","Currency=USD","Period=FQ","BEST_FPERIOD_OVERRIDE=FQ","FILING_STATUS=MR","SCALING_FORMAT=MLN","Sort=A","Dates=H","DateFormat=P","Fill=—","Direction=H","UseDPDF=Y")</f>
        <v>4502</v>
      </c>
      <c r="H22" s="13" cm="1">
        <f t="array" ref="H22">_xll.BDH("CMI US Equity","BS_NET_FIX_ASSET","FQ4 2019","FQ4 2019","Currency=USD","Period=FQ","BEST_FPERIOD_OVERRIDE=FQ","FILING_STATUS=MR","SCALING_FORMAT=MLN","Sort=A","Dates=H","DateFormat=P","Fill=—","Direction=H","UseDPDF=Y")</f>
        <v>4741</v>
      </c>
      <c r="I22" s="13" cm="1">
        <f t="array" ref="I22">_xll.BDH("CMI US Equity","BS_NET_FIX_ASSET","FQ1 2020","FQ1 2020","Currency=USD","Period=FQ","BEST_FPERIOD_OVERRIDE=FQ","FILING_STATUS=MR","SCALING_FORMAT=MLN","Sort=A","Dates=H","DateFormat=P","Fill=—","Direction=H","UseDPDF=Y")</f>
        <v>4128</v>
      </c>
      <c r="J22" s="13" cm="1">
        <f t="array" ref="J22">_xll.BDH("CMI US Equity","BS_NET_FIX_ASSET","FQ2 2020","FQ2 2020","Currency=USD","Period=FQ","BEST_FPERIOD_OVERRIDE=FQ","FILING_STATUS=MR","SCALING_FORMAT=MLN","Sort=A","Dates=H","DateFormat=P","Fill=—","Direction=H","UseDPDF=Y")</f>
        <v>4067</v>
      </c>
      <c r="K22" s="13" cm="1">
        <f t="array" ref="K22">_xll.BDH("CMI US Equity","BS_NET_FIX_ASSET","FQ3 2020","FQ3 2020","Currency=USD","Period=FQ","BEST_FPERIOD_OVERRIDE=FQ","FILING_STATUS=MR","SCALING_FORMAT=MLN","Sort=A","Dates=H","DateFormat=P","Fill=—","Direction=H","UseDPDF=Y")</f>
        <v>4087</v>
      </c>
      <c r="L22" s="13" cm="1">
        <f t="array" ref="L22">_xll.BDH("CMI US Equity","BS_NET_FIX_ASSET","FQ4 2020","FQ4 2020","Currency=USD","Period=FQ","BEST_FPERIOD_OVERRIDE=FQ","FILING_STATUS=MR","SCALING_FORMAT=MLN","Sort=A","Dates=H","DateFormat=P","Fill=—","Direction=H","UseDPDF=Y")</f>
        <v>4693</v>
      </c>
      <c r="M22" s="13" cm="1">
        <f t="array" ref="M22">_xll.BDH("CMI US Equity","BS_NET_FIX_ASSET","FQ1 2021","FQ1 2021","Currency=USD","Period=FQ","BEST_FPERIOD_OVERRIDE=FQ","FILING_STATUS=MR","SCALING_FORMAT=MLN","Sort=A","Dates=H","DateFormat=P","Fill=—","Direction=H","UseDPDF=Y")</f>
        <v>4662</v>
      </c>
      <c r="N22" s="13" cm="1">
        <f t="array" ref="N22">_xll.BDH("CMI US Equity","BS_NET_FIX_ASSET","FQ2 2021","FQ2 2021","Currency=USD","Period=FQ","BEST_FPERIOD_OVERRIDE=FQ","FILING_STATUS=MR","SCALING_FORMAT=MLN","Sort=A","Dates=H","DateFormat=P","Fill=—","Direction=H","UseDPDF=Y")</f>
        <v>4632</v>
      </c>
      <c r="O22" s="13" cm="1">
        <f t="array" ref="O22">_xll.BDH("CMI US Equity","BS_NET_FIX_ASSET","FQ3 2021","FQ3 2021","Currency=USD","Period=FQ","BEST_FPERIOD_OVERRIDE=FQ","FILING_STATUS=MR","SCALING_FORMAT=MLN","Sort=A","Dates=H","DateFormat=P","Fill=—","Direction=H","UseDPDF=Y")</f>
        <v>4640</v>
      </c>
      <c r="P22" s="13" cm="1">
        <f t="array" ref="P22">_xll.BDH("CMI US Equity","BS_NET_FIX_ASSET","FQ4 2021","FQ4 2021","Currency=USD","Period=FQ","BEST_FPERIOD_OVERRIDE=FQ","FILING_STATUS=MR","SCALING_FORMAT=MLN","Sort=A","Dates=H","DateFormat=P","Fill=—","Direction=H","UseDPDF=Y")</f>
        <v>4866</v>
      </c>
      <c r="Q22" s="13" cm="1">
        <f t="array" ref="Q22">_xll.BDH("CMI US Equity","BS_NET_FIX_ASSET","FQ1 2022","FQ1 2022","Currency=USD","Period=FQ","BEST_FPERIOD_OVERRIDE=FQ","FILING_STATUS=MR","SCALING_FORMAT=MLN","Sort=A","Dates=H","DateFormat=P","Fill=—","Direction=H","UseDPDF=Y")</f>
        <v>4821</v>
      </c>
      <c r="R22" s="13" cm="1">
        <f t="array" ref="R22">_xll.BDH("CMI US Equity","BS_NET_FIX_ASSET","FQ2 2022","FQ2 2022","Currency=USD","Period=FQ","BEST_FPERIOD_OVERRIDE=FQ","FILING_STATUS=MR","SCALING_FORMAT=MLN","Sort=A","Dates=H","DateFormat=P","Fill=—","Direction=H","UseDPDF=Y")</f>
        <v>4819</v>
      </c>
      <c r="S22" s="13" cm="1">
        <f t="array" ref="S22">_xll.BDH("CMI US Equity","BS_NET_FIX_ASSET","FQ3 2022","FQ3 2022","Currency=USD","Period=FQ","BEST_FPERIOD_OVERRIDE=FQ","FILING_STATUS=MR","SCALING_FORMAT=MLN","Sort=A","Dates=H","DateFormat=P","Fill=—","Direction=H","UseDPDF=Y")</f>
        <v>5672</v>
      </c>
      <c r="T22" s="13" cm="1">
        <f t="array" ref="T22">_xll.BDH("CMI US Equity","BS_NET_FIX_ASSET","FQ4 2022","FQ4 2022","Currency=USD","Period=FQ","BEST_FPERIOD_OVERRIDE=FQ","FILING_STATUS=MR","SCALING_FORMAT=MLN","Sort=A","Dates=H","DateFormat=P","Fill=—","Direction=H","UseDPDF=Y")</f>
        <v>6013</v>
      </c>
      <c r="U22" s="13" cm="1">
        <f t="array" ref="U22">_xll.BDH("CMI US Equity","BS_NET_FIX_ASSET","FQ1 2023","FQ1 2023","Currency=USD","Period=FQ","BEST_FPERIOD_OVERRIDE=FQ","FILING_STATUS=MR","SCALING_FORMAT=MLN","Sort=A","Dates=H","DateFormat=P","Fill=—","Direction=H","UseDPDF=Y")</f>
        <v>6079</v>
      </c>
      <c r="V22" s="13" cm="1">
        <f t="array" ref="V22">_xll.BDH("CMI US Equity","BS_NET_FIX_ASSET","FQ2 2023","FQ2 2023","Currency=USD","Period=FQ","BEST_FPERIOD_OVERRIDE=FQ","FILING_STATUS=MR","SCALING_FORMAT=MLN","Sort=A","Dates=H","DateFormat=P","Fill=—","Direction=H","UseDPDF=Y")</f>
        <v>6237</v>
      </c>
      <c r="W22" s="13" cm="1">
        <f t="array" ref="W22">_xll.BDH("CMI US Equity","BS_NET_FIX_ASSET","FQ3 2023","FQ3 2023","Currency=USD","Period=FQ","BEST_FPERIOD_OVERRIDE=FQ","FILING_STATUS=MR","SCALING_FORMAT=MLN","Sort=A","Dates=H","DateFormat=P","Fill=—","Direction=H","UseDPDF=Y")</f>
        <v>6301</v>
      </c>
      <c r="X22" s="13" cm="1">
        <f t="array" ref="X22">_xll.BDH("CMI US Equity","BS_NET_FIX_ASSET","FQ4 2023","FQ4 2023","Currency=USD","Period=FQ","BEST_FPERIOD_OVERRIDE=FQ","FILING_STATUS=MR","SCALING_FORMAT=MLN","Sort=A","Dates=H","DateFormat=P","Fill=—","Direction=H","UseDPDF=Y")</f>
        <v>6750</v>
      </c>
      <c r="Y22" s="13" cm="1">
        <f t="array" ref="Y22">_xll.BDH("CMI US Equity","BS_NET_FIX_ASSET","FQ1 2024","FQ1 2024","Currency=USD","Period=FQ","BEST_FPERIOD_OVERRIDE=FQ","FILING_STATUS=MR","SCALING_FORMAT=MLN","Sort=A","Dates=H","DateFormat=P","Fill=—","Direction=H","UseDPDF=Y")</f>
        <v>6466</v>
      </c>
      <c r="Z22" s="13" cm="1">
        <f t="array" ref="Z22">_xll.BDH("CMI US Equity","BS_NET_FIX_ASSET","FQ2 2024","FQ2 2024","Currency=USD","Period=FQ","BEST_FPERIOD_OVERRIDE=FQ","FILING_STATUS=MR","SCALING_FORMAT=MLN","Sort=A","Dates=H","DateFormat=P","Fill=—","Direction=H","UseDPDF=Y")</f>
        <v>6507</v>
      </c>
      <c r="AA22" s="13" cm="1">
        <f t="array" ref="AA22">_xll.BDH("CMI US Equity","BS_NET_FIX_ASSET","FQ3 2024","FQ3 2024","Currency=USD","Period=FQ","BEST_FPERIOD_OVERRIDE=FQ","FILING_STATUS=MR","SCALING_FORMAT=MLN","Sort=A","Dates=H","DateFormat=P","Fill=—","Direction=H","UseDPDF=Y")</f>
        <v>6688</v>
      </c>
      <c r="AB22" s="13" cm="1">
        <f t="array" ref="AB22">_xll.BDH("CMI US Equity","BS_NET_FIX_ASSET","FQ4 2024","FQ4 2024","Currency=USD","Period=FQ","BEST_FPERIOD_OVERRIDE=FQ","FILING_STATUS=MR","SCALING_FORMAT=MLN","Sort=A","Dates=H","DateFormat=P","Fill=—","Direction=H","UseDPDF=Y")</f>
        <v>6888</v>
      </c>
      <c r="AC22" s="13" cm="1">
        <f t="array" ref="AC22">_xll.BDH("CMI US Equity","BS_NET_FIX_ASSET","FQ1 2025","FQ1 2025","Currency=USD","Period=FQ","BEST_FPERIOD_OVERRIDE=FQ","FILING_STATUS=MR","SCALING_FORMAT=MLN","Sort=A","Dates=H","DateFormat=P","Fill=—","Direction=H","UseDPDF=Y")</f>
        <v>6942</v>
      </c>
      <c r="AD22" s="13" cm="1">
        <f t="array" ref="AD22">_xll.BDH("CMI US Equity","BS_NET_FIX_ASSET","FQ2 2025","FQ2 2025","Currency=USD","Period=FQ","BEST_FPERIOD_OVERRIDE=FQ","FILING_STATUS=MR","SCALING_FORMAT=MLN","Sort=A","Dates=H","DateFormat=P","Fill=—","Direction=H","UseDPDF=Y")</f>
        <v>7095</v>
      </c>
      <c r="AE22" s="13" cm="1">
        <f t="array" ref="AE22">_xll.BDH("CMI US Equity","BS_NET_FIX_ASSET","FQ3 2025","FQ3 2025","Currency=USD","Period=FQ","BEST_FPERIOD_OVERRIDE=FQ","FILING_STATUS=MR","SCALING_FORMAT=MLN","Sort=A","Dates=H","DateFormat=P","Fill=—","Direction=H","UseDPDF=Y")</f>
        <v>7210</v>
      </c>
      <c r="AF22" s="13" cm="1">
        <f t="array" ref="AF22">_xll.BDH("CMI US Equity","BS_NET_FIX_ASSET","FQ4 2025","FQ4 2025","Currency=USD","Period=FQ","BEST_FPERIOD_OVERRIDE=FQ","FILING_STATUS=MR","SCALING_FORMAT=MLN","Sort=A","Dates=H","DateFormat=P","Fill=—","Direction=H","UseDPDF=Y")</f>
        <v>7495</v>
      </c>
    </row>
    <row r="23" spans="1:32" x14ac:dyDescent="0.25">
      <c r="A23" s="10" t="s">
        <v>98</v>
      </c>
      <c r="B23" s="10" t="s">
        <v>99</v>
      </c>
      <c r="C23" s="13" cm="1">
        <f t="array" ref="C23">_xll.BDH("CMI US Equity","BS_GROSS_FIX_ASSET","FQ3 2018","FQ3 2018","Currency=USD","Period=FQ","BEST_FPERIOD_OVERRIDE=FQ","FILING_STATUS=MR","SCALING_FORMAT=MLN","Sort=A","Dates=H","DateFormat=P","Fill=—","Direction=H","UseDPDF=Y")</f>
        <v>8079</v>
      </c>
      <c r="D23" s="13" cm="1">
        <f t="array" ref="D23">_xll.BDH("CMI US Equity","BS_GROSS_FIX_ASSET","FQ4 2018","FQ4 2018","Currency=USD","Period=FQ","BEST_FPERIOD_OVERRIDE=FQ","FILING_STATUS=MR","SCALING_FORMAT=MLN","Sort=A","Dates=H","DateFormat=P","Fill=—","Direction=H","UseDPDF=Y")</f>
        <v>8319</v>
      </c>
      <c r="E23" s="13" cm="1">
        <f t="array" ref="E23">_xll.BDH("CMI US Equity","BS_GROSS_FIX_ASSET","FQ1 2019","FQ1 2019","Currency=USD","Period=FQ","BEST_FPERIOD_OVERRIDE=FQ","FILING_STATUS=MR","SCALING_FORMAT=MLN","Sort=A","Dates=H","DateFormat=P","Fill=—","Direction=H","UseDPDF=Y")</f>
        <v>8765</v>
      </c>
      <c r="F23" s="13" cm="1">
        <f t="array" ref="F23">_xll.BDH("CMI US Equity","BS_GROSS_FIX_ASSET","FQ2 2019","FQ2 2019","Currency=USD","Period=FQ","BEST_FPERIOD_OVERRIDE=FQ","FILING_STATUS=MR","SCALING_FORMAT=MLN","Sort=A","Dates=H","DateFormat=P","Fill=—","Direction=H","UseDPDF=Y")</f>
        <v>8858</v>
      </c>
      <c r="G23" s="13" cm="1">
        <f t="array" ref="G23">_xll.BDH("CMI US Equity","BS_GROSS_FIX_ASSET","FQ3 2019","FQ3 2019","Currency=USD","Period=FQ","BEST_FPERIOD_OVERRIDE=FQ","FILING_STATUS=MR","SCALING_FORMAT=MLN","Sort=A","Dates=H","DateFormat=P","Fill=—","Direction=H","UseDPDF=Y")</f>
        <v>8898</v>
      </c>
      <c r="H23" s="13" cm="1">
        <f t="array" ref="H23">_xll.BDH("CMI US Equity","BS_GROSS_FIX_ASSET","FQ4 2019","FQ4 2019","Currency=USD","Period=FQ","BEST_FPERIOD_OVERRIDE=FQ","FILING_STATUS=MR","SCALING_FORMAT=MLN","Sort=A","Dates=H","DateFormat=P","Fill=—","Direction=H","UseDPDF=Y")</f>
        <v>9195</v>
      </c>
      <c r="I23" s="13" cm="1">
        <f t="array" ref="I23">_xll.BDH("CMI US Equity","BS_GROSS_FIX_ASSET","FQ1 2020","FQ1 2020","Currency=USD","Period=FQ","BEST_FPERIOD_OVERRIDE=FQ","FILING_STATUS=MR","SCALING_FORMAT=MLN","Sort=A","Dates=H","DateFormat=P","Fill=—","Direction=H","UseDPDF=Y")</f>
        <v>8578</v>
      </c>
      <c r="J23" s="13" cm="1">
        <f t="array" ref="J23">_xll.BDH("CMI US Equity","BS_GROSS_FIX_ASSET","FQ2 2020","FQ2 2020","Currency=USD","Period=FQ","BEST_FPERIOD_OVERRIDE=FQ","FILING_STATUS=MR","SCALING_FORMAT=MLN","Sort=A","Dates=H","DateFormat=P","Fill=—","Direction=H","UseDPDF=Y")</f>
        <v>8620</v>
      </c>
      <c r="K23" s="13" cm="1">
        <f t="array" ref="K23">_xll.BDH("CMI US Equity","BS_GROSS_FIX_ASSET","FQ3 2020","FQ3 2020","Currency=USD","Period=FQ","BEST_FPERIOD_OVERRIDE=FQ","FILING_STATUS=MR","SCALING_FORMAT=MLN","Sort=A","Dates=H","DateFormat=P","Fill=—","Direction=H","UseDPDF=Y")</f>
        <v>8753</v>
      </c>
      <c r="L23" s="13" cm="1">
        <f t="array" ref="L23">_xll.BDH("CMI US Equity","BS_GROSS_FIX_ASSET","FQ4 2020","FQ4 2020","Currency=USD","Period=FQ","BEST_FPERIOD_OVERRIDE=FQ","FILING_STATUS=MR","SCALING_FORMAT=MLN","Sort=A","Dates=H","DateFormat=P","Fill=—","Direction=H","UseDPDF=Y")</f>
        <v>9449</v>
      </c>
      <c r="M23" s="13" cm="1">
        <f t="array" ref="M23">_xll.BDH("CMI US Equity","BS_GROSS_FIX_ASSET","FQ1 2021","FQ1 2021","Currency=USD","Period=FQ","BEST_FPERIOD_OVERRIDE=FQ","FILING_STATUS=MR","SCALING_FORMAT=MLN","Sort=A","Dates=H","DateFormat=P","Fill=—","Direction=H","UseDPDF=Y")</f>
        <v>9510</v>
      </c>
      <c r="N23" s="13" cm="1">
        <f t="array" ref="N23">_xll.BDH("CMI US Equity","BS_GROSS_FIX_ASSET","FQ2 2021","FQ2 2021","Currency=USD","Period=FQ","BEST_FPERIOD_OVERRIDE=FQ","FILING_STATUS=MR","SCALING_FORMAT=MLN","Sort=A","Dates=H","DateFormat=P","Fill=—","Direction=H","UseDPDF=Y")</f>
        <v>9567</v>
      </c>
      <c r="O23" s="13" cm="1">
        <f t="array" ref="O23">_xll.BDH("CMI US Equity","BS_GROSS_FIX_ASSET","FQ3 2021","FQ3 2021","Currency=USD","Period=FQ","BEST_FPERIOD_OVERRIDE=FQ","FILING_STATUS=MR","SCALING_FORMAT=MLN","Sort=A","Dates=H","DateFormat=P","Fill=—","Direction=H","UseDPDF=Y")</f>
        <v>9611</v>
      </c>
      <c r="P23" s="13" cm="1">
        <f t="array" ref="P23">_xll.BDH("CMI US Equity","BS_GROSS_FIX_ASSET","FQ4 2021","FQ4 2021","Currency=USD","Period=FQ","BEST_FPERIOD_OVERRIDE=FQ","FILING_STATUS=MR","SCALING_FORMAT=MLN","Sort=A","Dates=H","DateFormat=P","Fill=—","Direction=H","UseDPDF=Y")</f>
        <v>9802</v>
      </c>
      <c r="Q23" s="13" cm="1">
        <f t="array" ref="Q23">_xll.BDH("CMI US Equity","BS_GROSS_FIX_ASSET","FQ1 2022","FQ1 2022","Currency=USD","Period=FQ","BEST_FPERIOD_OVERRIDE=FQ","FILING_STATUS=MR","SCALING_FORMAT=MLN","Sort=A","Dates=H","DateFormat=P","Fill=—","Direction=H","UseDPDF=Y")</f>
        <v>9773</v>
      </c>
      <c r="R23" s="13" cm="1">
        <f t="array" ref="R23">_xll.BDH("CMI US Equity","BS_GROSS_FIX_ASSET","FQ2 2022","FQ2 2022","Currency=USD","Period=FQ","BEST_FPERIOD_OVERRIDE=FQ","FILING_STATUS=MR","SCALING_FORMAT=MLN","Sort=A","Dates=H","DateFormat=P","Fill=—","Direction=H","UseDPDF=Y")</f>
        <v>9804</v>
      </c>
      <c r="S23" s="13" cm="1">
        <f t="array" ref="S23">_xll.BDH("CMI US Equity","BS_GROSS_FIX_ASSET","FQ3 2022","FQ3 2022","Currency=USD","Period=FQ","BEST_FPERIOD_OVERRIDE=FQ","FILING_STATUS=MR","SCALING_FORMAT=MLN","Sort=A","Dates=H","DateFormat=P","Fill=—","Direction=H","UseDPDF=Y")</f>
        <v>10702</v>
      </c>
      <c r="T23" s="13" cm="1">
        <f t="array" ref="T23">_xll.BDH("CMI US Equity","BS_GROSS_FIX_ASSET","FQ4 2022","FQ4 2022","Currency=USD","Period=FQ","BEST_FPERIOD_OVERRIDE=FQ","FILING_STATUS=MR","SCALING_FORMAT=MLN","Sort=A","Dates=H","DateFormat=P","Fill=—","Direction=H","UseDPDF=Y")</f>
        <v>10999</v>
      </c>
      <c r="U23" s="13" cm="1">
        <f t="array" ref="U23">_xll.BDH("CMI US Equity","BS_GROSS_FIX_ASSET","FQ1 2023","FQ1 2023","Currency=USD","Period=FQ","BEST_FPERIOD_OVERRIDE=FQ","FILING_STATUS=MR","SCALING_FORMAT=MLN","Sort=A","Dates=H","DateFormat=P","Fill=—","Direction=H","UseDPDF=Y")</f>
        <v>11118</v>
      </c>
      <c r="V23" s="13" cm="1">
        <f t="array" ref="V23">_xll.BDH("CMI US Equity","BS_GROSS_FIX_ASSET","FQ2 2023","FQ2 2023","Currency=USD","Period=FQ","BEST_FPERIOD_OVERRIDE=FQ","FILING_STATUS=MR","SCALING_FORMAT=MLN","Sort=A","Dates=H","DateFormat=P","Fill=—","Direction=H","UseDPDF=Y")</f>
        <v>11436</v>
      </c>
      <c r="W23" s="13" cm="1">
        <f t="array" ref="W23">_xll.BDH("CMI US Equity","BS_GROSS_FIX_ASSET","FQ3 2023","FQ3 2023","Currency=USD","Period=FQ","BEST_FPERIOD_OVERRIDE=FQ","FILING_STATUS=MR","SCALING_FORMAT=MLN","Sort=A","Dates=H","DateFormat=P","Fill=—","Direction=H","UseDPDF=Y")</f>
        <v>11598</v>
      </c>
      <c r="X23" s="13" cm="1">
        <f t="array" ref="X23">_xll.BDH("CMI US Equity","BS_GROSS_FIX_ASSET","FQ4 2023","FQ4 2023","Currency=USD","Period=FQ","BEST_FPERIOD_OVERRIDE=FQ","FILING_STATUS=MR","SCALING_FORMAT=MLN","Sort=A","Dates=H","DateFormat=P","Fill=—","Direction=H","UseDPDF=Y")</f>
        <v>12175</v>
      </c>
      <c r="Y23" s="13" cm="1">
        <f t="array" ref="Y23">_xll.BDH("CMI US Equity","BS_GROSS_FIX_ASSET","FQ1 2024","FQ1 2024","Currency=USD","Period=FQ","BEST_FPERIOD_OVERRIDE=FQ","FILING_STATUS=MR","SCALING_FORMAT=MLN","Sort=A","Dates=H","DateFormat=P","Fill=—","Direction=H","UseDPDF=Y")</f>
        <v>11708</v>
      </c>
      <c r="Z23" s="13" cm="1">
        <f t="array" ref="Z23">_xll.BDH("CMI US Equity","BS_GROSS_FIX_ASSET","FQ2 2024","FQ2 2024","Currency=USD","Period=FQ","BEST_FPERIOD_OVERRIDE=FQ","FILING_STATUS=MR","SCALING_FORMAT=MLN","Sort=A","Dates=H","DateFormat=P","Fill=—","Direction=H","UseDPDF=Y")</f>
        <v>11871</v>
      </c>
      <c r="AA23" s="13" cm="1">
        <f t="array" ref="AA23">_xll.BDH("CMI US Equity","BS_GROSS_FIX_ASSET","FQ3 2024","FQ3 2024","Currency=USD","Period=FQ","BEST_FPERIOD_OVERRIDE=FQ","FILING_STATUS=MR","SCALING_FORMAT=MLN","Sort=A","Dates=H","DateFormat=P","Fill=—","Direction=H","UseDPDF=Y")</f>
        <v>12115</v>
      </c>
      <c r="AB23" s="13" cm="1">
        <f t="array" ref="AB23">_xll.BDH("CMI US Equity","BS_GROSS_FIX_ASSET","FQ4 2024","FQ4 2024","Currency=USD","Period=FQ","BEST_FPERIOD_OVERRIDE=FQ","FILING_STATUS=MR","SCALING_FORMAT=MLN","Sort=A","Dates=H","DateFormat=P","Fill=—","Direction=H","UseDPDF=Y")</f>
        <v>12328</v>
      </c>
      <c r="AC23" s="13" cm="1">
        <f t="array" ref="AC23">_xll.BDH("CMI US Equity","BS_GROSS_FIX_ASSET","FQ1 2025","FQ1 2025","Currency=USD","Period=FQ","BEST_FPERIOD_OVERRIDE=FQ","FILING_STATUS=MR","SCALING_FORMAT=MLN","Sort=A","Dates=H","DateFormat=P","Fill=—","Direction=H","UseDPDF=Y")</f>
        <v>12542</v>
      </c>
      <c r="AD23" s="13" cm="1">
        <f t="array" ref="AD23">_xll.BDH("CMI US Equity","BS_GROSS_FIX_ASSET","FQ2 2025","FQ2 2025","Currency=USD","Period=FQ","BEST_FPERIOD_OVERRIDE=FQ","FILING_STATUS=MR","SCALING_FORMAT=MLN","Sort=A","Dates=H","DateFormat=P","Fill=—","Direction=H","UseDPDF=Y")</f>
        <v>12896</v>
      </c>
      <c r="AE23" s="13" cm="1">
        <f t="array" ref="AE23">_xll.BDH("CMI US Equity","BS_GROSS_FIX_ASSET","FQ3 2025","FQ3 2025","Currency=USD","Period=FQ","BEST_FPERIOD_OVERRIDE=FQ","FILING_STATUS=MR","SCALING_FORMAT=MLN","Sort=A","Dates=H","DateFormat=P","Fill=—","Direction=H","UseDPDF=Y")</f>
        <v>13097</v>
      </c>
      <c r="AF23" s="13" cm="1">
        <f t="array" ref="AF23">_xll.BDH("CMI US Equity","BS_GROSS_FIX_ASSET","FQ4 2025","FQ4 2025","Currency=USD","Period=FQ","BEST_FPERIOD_OVERRIDE=FQ","FILING_STATUS=MR","SCALING_FORMAT=MLN","Sort=A","Dates=H","DateFormat=P","Fill=—","Direction=H","UseDPDF=Y")</f>
        <v>13456</v>
      </c>
    </row>
    <row r="24" spans="1:32" x14ac:dyDescent="0.25">
      <c r="A24" s="10" t="s">
        <v>100</v>
      </c>
      <c r="B24" s="10" t="s">
        <v>101</v>
      </c>
      <c r="C24" s="13" cm="1">
        <f t="array" ref="C24">_xll.BDH("CMI US Equity","BS_ACCUM_DEPR","FQ3 2018","FQ3 2018","Currency=USD","Period=FQ","BEST_FPERIOD_OVERRIDE=FQ","FILING_STATUS=MR","SCALING_FORMAT=MLN","Sort=A","Dates=H","DateFormat=P","Fill=—","Direction=H","UseDPDF=Y")</f>
        <v>4209</v>
      </c>
      <c r="D24" s="13" cm="1">
        <f t="array" ref="D24">_xll.BDH("CMI US Equity","BS_ACCUM_DEPR","FQ4 2018","FQ4 2018","Currency=USD","Period=FQ","BEST_FPERIOD_OVERRIDE=FQ","FILING_STATUS=MR","SCALING_FORMAT=MLN","Sort=A","Dates=H","DateFormat=P","Fill=—","Direction=H","UseDPDF=Y")</f>
        <v>4223</v>
      </c>
      <c r="E24" s="13" cm="1">
        <f t="array" ref="E24">_xll.BDH("CMI US Equity","BS_ACCUM_DEPR","FQ1 2019","FQ1 2019","Currency=USD","Period=FQ","BEST_FPERIOD_OVERRIDE=FQ","FILING_STATUS=MR","SCALING_FORMAT=MLN","Sort=A","Dates=H","DateFormat=P","Fill=—","Direction=H","UseDPDF=Y")</f>
        <v>4283</v>
      </c>
      <c r="F24" s="13" cm="1">
        <f t="array" ref="F24">_xll.BDH("CMI US Equity","BS_ACCUM_DEPR","FQ2 2019","FQ2 2019","Currency=USD","Period=FQ","BEST_FPERIOD_OVERRIDE=FQ","FILING_STATUS=MR","SCALING_FORMAT=MLN","Sort=A","Dates=H","DateFormat=P","Fill=—","Direction=H","UseDPDF=Y")</f>
        <v>4347</v>
      </c>
      <c r="G24" s="13" cm="1">
        <f t="array" ref="G24">_xll.BDH("CMI US Equity","BS_ACCUM_DEPR","FQ3 2019","FQ3 2019","Currency=USD","Period=FQ","BEST_FPERIOD_OVERRIDE=FQ","FILING_STATUS=MR","SCALING_FORMAT=MLN","Sort=A","Dates=H","DateFormat=P","Fill=—","Direction=H","UseDPDF=Y")</f>
        <v>4396</v>
      </c>
      <c r="H24" s="13" cm="1">
        <f t="array" ref="H24">_xll.BDH("CMI US Equity","BS_ACCUM_DEPR","FQ4 2019","FQ4 2019","Currency=USD","Period=FQ","BEST_FPERIOD_OVERRIDE=FQ","FILING_STATUS=MR","SCALING_FORMAT=MLN","Sort=A","Dates=H","DateFormat=P","Fill=—","Direction=H","UseDPDF=Y")</f>
        <v>4454</v>
      </c>
      <c r="I24" s="13" cm="1">
        <f t="array" ref="I24">_xll.BDH("CMI US Equity","BS_ACCUM_DEPR","FQ1 2020","FQ1 2020","Currency=USD","Period=FQ","BEST_FPERIOD_OVERRIDE=FQ","FILING_STATUS=MR","SCALING_FORMAT=MLN","Sort=A","Dates=H","DateFormat=P","Fill=—","Direction=H","UseDPDF=Y")</f>
        <v>4450</v>
      </c>
      <c r="J24" s="13" cm="1">
        <f t="array" ref="J24">_xll.BDH("CMI US Equity","BS_ACCUM_DEPR","FQ2 2020","FQ2 2020","Currency=USD","Period=FQ","BEST_FPERIOD_OVERRIDE=FQ","FILING_STATUS=MR","SCALING_FORMAT=MLN","Sort=A","Dates=H","DateFormat=P","Fill=—","Direction=H","UseDPDF=Y")</f>
        <v>4553</v>
      </c>
      <c r="K24" s="13" cm="1">
        <f t="array" ref="K24">_xll.BDH("CMI US Equity","BS_ACCUM_DEPR","FQ3 2020","FQ3 2020","Currency=USD","Period=FQ","BEST_FPERIOD_OVERRIDE=FQ","FILING_STATUS=MR","SCALING_FORMAT=MLN","Sort=A","Dates=H","DateFormat=P","Fill=—","Direction=H","UseDPDF=Y")</f>
        <v>4666</v>
      </c>
      <c r="L24" s="13" cm="1">
        <f t="array" ref="L24">_xll.BDH("CMI US Equity","BS_ACCUM_DEPR","FQ4 2020","FQ4 2020","Currency=USD","Period=FQ","BEST_FPERIOD_OVERRIDE=FQ","FILING_STATUS=MR","SCALING_FORMAT=MLN","Sort=A","Dates=H","DateFormat=P","Fill=—","Direction=H","UseDPDF=Y")</f>
        <v>4756</v>
      </c>
      <c r="M24" s="13" cm="1">
        <f t="array" ref="M24">_xll.BDH("CMI US Equity","BS_ACCUM_DEPR","FQ1 2021","FQ1 2021","Currency=USD","Period=FQ","BEST_FPERIOD_OVERRIDE=FQ","FILING_STATUS=MR","SCALING_FORMAT=MLN","Sort=A","Dates=H","DateFormat=P","Fill=—","Direction=H","UseDPDF=Y")</f>
        <v>4848</v>
      </c>
      <c r="N24" s="13" cm="1">
        <f t="array" ref="N24">_xll.BDH("CMI US Equity","BS_ACCUM_DEPR","FQ2 2021","FQ2 2021","Currency=USD","Period=FQ","BEST_FPERIOD_OVERRIDE=FQ","FILING_STATUS=MR","SCALING_FORMAT=MLN","Sort=A","Dates=H","DateFormat=P","Fill=—","Direction=H","UseDPDF=Y")</f>
        <v>4935</v>
      </c>
      <c r="O24" s="13" cm="1">
        <f t="array" ref="O24">_xll.BDH("CMI US Equity","BS_ACCUM_DEPR","FQ3 2021","FQ3 2021","Currency=USD","Period=FQ","BEST_FPERIOD_OVERRIDE=FQ","FILING_STATUS=MR","SCALING_FORMAT=MLN","Sort=A","Dates=H","DateFormat=P","Fill=—","Direction=H","UseDPDF=Y")</f>
        <v>4971</v>
      </c>
      <c r="P24" s="13" cm="1">
        <f t="array" ref="P24">_xll.BDH("CMI US Equity","BS_ACCUM_DEPR","FQ4 2021","FQ4 2021","Currency=USD","Period=FQ","BEST_FPERIOD_OVERRIDE=FQ","FILING_STATUS=MR","SCALING_FORMAT=MLN","Sort=A","Dates=H","DateFormat=P","Fill=—","Direction=H","UseDPDF=Y")</f>
        <v>4936</v>
      </c>
      <c r="Q24" s="13" cm="1">
        <f t="array" ref="Q24">_xll.BDH("CMI US Equity","BS_ACCUM_DEPR","FQ1 2022","FQ1 2022","Currency=USD","Period=FQ","BEST_FPERIOD_OVERRIDE=FQ","FILING_STATUS=MR","SCALING_FORMAT=MLN","Sort=A","Dates=H","DateFormat=P","Fill=—","Direction=H","UseDPDF=Y")</f>
        <v>4952</v>
      </c>
      <c r="R24" s="13" cm="1">
        <f t="array" ref="R24">_xll.BDH("CMI US Equity","BS_ACCUM_DEPR","FQ2 2022","FQ2 2022","Currency=USD","Period=FQ","BEST_FPERIOD_OVERRIDE=FQ","FILING_STATUS=MR","SCALING_FORMAT=MLN","Sort=A","Dates=H","DateFormat=P","Fill=—","Direction=H","UseDPDF=Y")</f>
        <v>4985</v>
      </c>
      <c r="S24" s="13" cm="1">
        <f t="array" ref="S24">_xll.BDH("CMI US Equity","BS_ACCUM_DEPR","FQ3 2022","FQ3 2022","Currency=USD","Period=FQ","BEST_FPERIOD_OVERRIDE=FQ","FILING_STATUS=MR","SCALING_FORMAT=MLN","Sort=A","Dates=H","DateFormat=P","Fill=—","Direction=H","UseDPDF=Y")</f>
        <v>5030</v>
      </c>
      <c r="T24" s="13" cm="1">
        <f t="array" ref="T24">_xll.BDH("CMI US Equity","BS_ACCUM_DEPR","FQ4 2022","FQ4 2022","Currency=USD","Period=FQ","BEST_FPERIOD_OVERRIDE=FQ","FILING_STATUS=MR","SCALING_FORMAT=MLN","Sort=A","Dates=H","DateFormat=P","Fill=—","Direction=H","UseDPDF=Y")</f>
        <v>4986</v>
      </c>
      <c r="U24" s="13" cm="1">
        <f t="array" ref="U24">_xll.BDH("CMI US Equity","BS_ACCUM_DEPR","FQ1 2023","FQ1 2023","Currency=USD","Period=FQ","BEST_FPERIOD_OVERRIDE=FQ","FILING_STATUS=MR","SCALING_FORMAT=MLN","Sort=A","Dates=H","DateFormat=P","Fill=—","Direction=H","UseDPDF=Y")</f>
        <v>5039</v>
      </c>
      <c r="V24" s="13" cm="1">
        <f t="array" ref="V24">_xll.BDH("CMI US Equity","BS_ACCUM_DEPR","FQ2 2023","FQ2 2023","Currency=USD","Period=FQ","BEST_FPERIOD_OVERRIDE=FQ","FILING_STATUS=MR","SCALING_FORMAT=MLN","Sort=A","Dates=H","DateFormat=P","Fill=—","Direction=H","UseDPDF=Y")</f>
        <v>5199</v>
      </c>
      <c r="W24" s="13" cm="1">
        <f t="array" ref="W24">_xll.BDH("CMI US Equity","BS_ACCUM_DEPR","FQ3 2023","FQ3 2023","Currency=USD","Period=FQ","BEST_FPERIOD_OVERRIDE=FQ","FILING_STATUS=MR","SCALING_FORMAT=MLN","Sort=A","Dates=H","DateFormat=P","Fill=—","Direction=H","UseDPDF=Y")</f>
        <v>5297</v>
      </c>
      <c r="X24" s="13" cm="1">
        <f t="array" ref="X24">_xll.BDH("CMI US Equity","BS_ACCUM_DEPR","FQ4 2023","FQ4 2023","Currency=USD","Period=FQ","BEST_FPERIOD_OVERRIDE=FQ","FILING_STATUS=MR","SCALING_FORMAT=MLN","Sort=A","Dates=H","DateFormat=P","Fill=—","Direction=H","UseDPDF=Y")</f>
        <v>5425</v>
      </c>
      <c r="Y24" s="13" cm="1">
        <f t="array" ref="Y24">_xll.BDH("CMI US Equity","BS_ACCUM_DEPR","FQ1 2024","FQ1 2024","Currency=USD","Period=FQ","BEST_FPERIOD_OVERRIDE=FQ","FILING_STATUS=MR","SCALING_FORMAT=MLN","Sort=A","Dates=H","DateFormat=P","Fill=—","Direction=H","UseDPDF=Y")</f>
        <v>5242</v>
      </c>
      <c r="Z24" s="13" cm="1">
        <f t="array" ref="Z24">_xll.BDH("CMI US Equity","BS_ACCUM_DEPR","FQ2 2024","FQ2 2024","Currency=USD","Period=FQ","BEST_FPERIOD_OVERRIDE=FQ","FILING_STATUS=MR","SCALING_FORMAT=MLN","Sort=A","Dates=H","DateFormat=P","Fill=—","Direction=H","UseDPDF=Y")</f>
        <v>5364</v>
      </c>
      <c r="AA24" s="13" cm="1">
        <f t="array" ref="AA24">_xll.BDH("CMI US Equity","BS_ACCUM_DEPR","FQ3 2024","FQ3 2024","Currency=USD","Period=FQ","BEST_FPERIOD_OVERRIDE=FQ","FILING_STATUS=MR","SCALING_FORMAT=MLN","Sort=A","Dates=H","DateFormat=P","Fill=—","Direction=H","UseDPDF=Y")</f>
        <v>5427</v>
      </c>
      <c r="AB24" s="13" cm="1">
        <f t="array" ref="AB24">_xll.BDH("CMI US Equity","BS_ACCUM_DEPR","FQ4 2024","FQ4 2024","Currency=USD","Period=FQ","BEST_FPERIOD_OVERRIDE=FQ","FILING_STATUS=MR","SCALING_FORMAT=MLN","Sort=A","Dates=H","DateFormat=P","Fill=—","Direction=H","UseDPDF=Y")</f>
        <v>5440</v>
      </c>
      <c r="AC24" s="13" cm="1">
        <f t="array" ref="AC24">_xll.BDH("CMI US Equity","BS_ACCUM_DEPR","FQ1 2025","FQ1 2025","Currency=USD","Period=FQ","BEST_FPERIOD_OVERRIDE=FQ","FILING_STATUS=MR","SCALING_FORMAT=MLN","Sort=A","Dates=H","DateFormat=P","Fill=—","Direction=H","UseDPDF=Y")</f>
        <v>5600</v>
      </c>
      <c r="AD24" s="13" cm="1">
        <f t="array" ref="AD24">_xll.BDH("CMI US Equity","BS_ACCUM_DEPR","FQ2 2025","FQ2 2025","Currency=USD","Period=FQ","BEST_FPERIOD_OVERRIDE=FQ","FILING_STATUS=MR","SCALING_FORMAT=MLN","Sort=A","Dates=H","DateFormat=P","Fill=—","Direction=H","UseDPDF=Y")</f>
        <v>5801</v>
      </c>
      <c r="AE24" s="13" cm="1">
        <f t="array" ref="AE24">_xll.BDH("CMI US Equity","BS_ACCUM_DEPR","FQ3 2025","FQ3 2025","Currency=USD","Period=FQ","BEST_FPERIOD_OVERRIDE=FQ","FILING_STATUS=MR","SCALING_FORMAT=MLN","Sort=A","Dates=H","DateFormat=P","Fill=—","Direction=H","UseDPDF=Y")</f>
        <v>5887</v>
      </c>
      <c r="AF24" s="13" cm="1">
        <f t="array" ref="AF24">_xll.BDH("CMI US Equity","BS_ACCUM_DEPR","FQ4 2025","FQ4 2025","Currency=USD","Period=FQ","BEST_FPERIOD_OVERRIDE=FQ","FILING_STATUS=MR","SCALING_FORMAT=MLN","Sort=A","Dates=H","DateFormat=P","Fill=—","Direction=H","UseDPDF=Y")</f>
        <v>5961</v>
      </c>
    </row>
    <row r="25" spans="1:32" x14ac:dyDescent="0.25">
      <c r="A25" s="10" t="s">
        <v>102</v>
      </c>
      <c r="B25" s="10" t="s">
        <v>103</v>
      </c>
      <c r="C25" s="13" cm="1">
        <f t="array" ref="C25">_xll.BDH("CMI US Equity","BS_LT_INVEST","FQ3 2018","FQ3 2018","Currency=USD","Period=FQ","BEST_FPERIOD_OVERRIDE=FQ","FILING_STATUS=MR","SCALING_FORMAT=MLN","Sort=A","Dates=H","DateFormat=P","Fill=—","Direction=H","UseDPDF=Y")</f>
        <v>0</v>
      </c>
      <c r="D25" s="13" cm="1">
        <f t="array" ref="D25">_xll.BDH("CMI US Equity","BS_LT_INVEST","FQ4 2018","FQ4 2018","Currency=USD","Period=FQ","BEST_FPERIOD_OVERRIDE=FQ","FILING_STATUS=MR","SCALING_FORMAT=MLN","Sort=A","Dates=H","DateFormat=P","Fill=—","Direction=H","UseDPDF=Y")</f>
        <v>0</v>
      </c>
      <c r="E25" s="13" cm="1">
        <f t="array" ref="E25">_xll.BDH("CMI US Equity","BS_LT_INVEST","FQ1 2019","FQ1 2019","Currency=USD","Period=FQ","BEST_FPERIOD_OVERRIDE=FQ","FILING_STATUS=MR","SCALING_FORMAT=MLN","Sort=A","Dates=H","DateFormat=P","Fill=—","Direction=H","UseDPDF=Y")</f>
        <v>0</v>
      </c>
      <c r="F25" s="13" cm="1">
        <f t="array" ref="F25">_xll.BDH("CMI US Equity","BS_LT_INVEST","FQ2 2019","FQ2 2019","Currency=USD","Period=FQ","BEST_FPERIOD_OVERRIDE=FQ","FILING_STATUS=MR","SCALING_FORMAT=MLN","Sort=A","Dates=H","DateFormat=P","Fill=—","Direction=H","UseDPDF=Y")</f>
        <v>0</v>
      </c>
      <c r="G25" s="13" cm="1">
        <f t="array" ref="G25">_xll.BDH("CMI US Equity","BS_LT_INVEST","FQ3 2019","FQ3 2019","Currency=USD","Period=FQ","BEST_FPERIOD_OVERRIDE=FQ","FILING_STATUS=MR","SCALING_FORMAT=MLN","Sort=A","Dates=H","DateFormat=P","Fill=—","Direction=H","UseDPDF=Y")</f>
        <v>0</v>
      </c>
      <c r="H25" s="13" cm="1">
        <f t="array" ref="H25">_xll.BDH("CMI US Equity","BS_LT_INVEST","FQ4 2019","FQ4 2019","Currency=USD","Period=FQ","BEST_FPERIOD_OVERRIDE=FQ","FILING_STATUS=MR","SCALING_FORMAT=MLN","Sort=A","Dates=H","DateFormat=P","Fill=—","Direction=H","UseDPDF=Y")</f>
        <v>0</v>
      </c>
      <c r="I25" s="13" cm="1">
        <f t="array" ref="I25">_xll.BDH("CMI US Equity","BS_LT_INVEST","FQ1 2020","FQ1 2020","Currency=USD","Period=FQ","BEST_FPERIOD_OVERRIDE=FQ","FILING_STATUS=MR","SCALING_FORMAT=MLN","Sort=A","Dates=H","DateFormat=P","Fill=—","Direction=H","UseDPDF=Y")</f>
        <v>0</v>
      </c>
      <c r="J25" s="13" cm="1">
        <f t="array" ref="J25">_xll.BDH("CMI US Equity","BS_LT_INVEST","FQ2 2020","FQ2 2020","Currency=USD","Period=FQ","BEST_FPERIOD_OVERRIDE=FQ","FILING_STATUS=MR","SCALING_FORMAT=MLN","Sort=A","Dates=H","DateFormat=P","Fill=—","Direction=H","UseDPDF=Y")</f>
        <v>0</v>
      </c>
      <c r="K25" s="13" cm="1">
        <f t="array" ref="K25">_xll.BDH("CMI US Equity","BS_LT_INVEST","FQ3 2020","FQ3 2020","Currency=USD","Period=FQ","BEST_FPERIOD_OVERRIDE=FQ","FILING_STATUS=MR","SCALING_FORMAT=MLN","Sort=A","Dates=H","DateFormat=P","Fill=—","Direction=H","UseDPDF=Y")</f>
        <v>0</v>
      </c>
      <c r="L25" s="13" cm="1">
        <f t="array" ref="L25">_xll.BDH("CMI US Equity","BS_LT_INVEST","FQ4 2020","FQ4 2020","Currency=USD","Period=FQ","BEST_FPERIOD_OVERRIDE=FQ","FILING_STATUS=MR","SCALING_FORMAT=MLN","Sort=A","Dates=H","DateFormat=P","Fill=—","Direction=H","UseDPDF=Y")</f>
        <v>0</v>
      </c>
      <c r="M25" s="13" cm="1">
        <f t="array" ref="M25">_xll.BDH("CMI US Equity","BS_LT_INVEST","FQ1 2021","FQ1 2021","Currency=USD","Period=FQ","BEST_FPERIOD_OVERRIDE=FQ","FILING_STATUS=MR","SCALING_FORMAT=MLN","Sort=A","Dates=H","DateFormat=P","Fill=—","Direction=H","UseDPDF=Y")</f>
        <v>0</v>
      </c>
      <c r="N25" s="13" cm="1">
        <f t="array" ref="N25">_xll.BDH("CMI US Equity","BS_LT_INVEST","FQ2 2021","FQ2 2021","Currency=USD","Period=FQ","BEST_FPERIOD_OVERRIDE=FQ","FILING_STATUS=MR","SCALING_FORMAT=MLN","Sort=A","Dates=H","DateFormat=P","Fill=—","Direction=H","UseDPDF=Y")</f>
        <v>0</v>
      </c>
      <c r="O25" s="13" cm="1">
        <f t="array" ref="O25">_xll.BDH("CMI US Equity","BS_LT_INVEST","FQ3 2021","FQ3 2021","Currency=USD","Period=FQ","BEST_FPERIOD_OVERRIDE=FQ","FILING_STATUS=MR","SCALING_FORMAT=MLN","Sort=A","Dates=H","DateFormat=P","Fill=—","Direction=H","UseDPDF=Y")</f>
        <v>0</v>
      </c>
      <c r="P25" s="13" cm="1">
        <f t="array" ref="P25">_xll.BDH("CMI US Equity","BS_LT_INVEST","FQ4 2021","FQ4 2021","Currency=USD","Period=FQ","BEST_FPERIOD_OVERRIDE=FQ","FILING_STATUS=MR","SCALING_FORMAT=MLN","Sort=A","Dates=H","DateFormat=P","Fill=—","Direction=H","UseDPDF=Y")</f>
        <v>0</v>
      </c>
      <c r="Q25" s="13" cm="1">
        <f t="array" ref="Q25">_xll.BDH("CMI US Equity","BS_LT_INVEST","FQ1 2022","FQ1 2022","Currency=USD","Period=FQ","BEST_FPERIOD_OVERRIDE=FQ","FILING_STATUS=MR","SCALING_FORMAT=MLN","Sort=A","Dates=H","DateFormat=P","Fill=—","Direction=H","UseDPDF=Y")</f>
        <v>0</v>
      </c>
      <c r="R25" s="13" cm="1">
        <f t="array" ref="R25">_xll.BDH("CMI US Equity","BS_LT_INVEST","FQ2 2022","FQ2 2022","Currency=USD","Period=FQ","BEST_FPERIOD_OVERRIDE=FQ","FILING_STATUS=MR","SCALING_FORMAT=MLN","Sort=A","Dates=H","DateFormat=P","Fill=—","Direction=H","UseDPDF=Y")</f>
        <v>0</v>
      </c>
      <c r="S25" s="13" cm="1">
        <f t="array" ref="S25">_xll.BDH("CMI US Equity","BS_LT_INVEST","FQ3 2022","FQ3 2022","Currency=USD","Period=FQ","BEST_FPERIOD_OVERRIDE=FQ","FILING_STATUS=MR","SCALING_FORMAT=MLN","Sort=A","Dates=H","DateFormat=P","Fill=—","Direction=H","UseDPDF=Y")</f>
        <v>0</v>
      </c>
      <c r="T25" s="13" cm="1">
        <f t="array" ref="T25">_xll.BDH("CMI US Equity","BS_LT_INVEST","FQ4 2022","FQ4 2022","Currency=USD","Period=FQ","BEST_FPERIOD_OVERRIDE=FQ","FILING_STATUS=MR","SCALING_FORMAT=MLN","Sort=A","Dates=H","DateFormat=P","Fill=—","Direction=H","UseDPDF=Y")</f>
        <v>0</v>
      </c>
      <c r="U25" s="13" cm="1">
        <f t="array" ref="U25">_xll.BDH("CMI US Equity","BS_LT_INVEST","FQ1 2023","FQ1 2023","Currency=USD","Period=FQ","BEST_FPERIOD_OVERRIDE=FQ","FILING_STATUS=MR","SCALING_FORMAT=MLN","Sort=A","Dates=H","DateFormat=P","Fill=—","Direction=H","UseDPDF=Y")</f>
        <v>0</v>
      </c>
      <c r="V25" s="13" cm="1">
        <f t="array" ref="V25">_xll.BDH("CMI US Equity","BS_LT_INVEST","FQ2 2023","FQ2 2023","Currency=USD","Period=FQ","BEST_FPERIOD_OVERRIDE=FQ","FILING_STATUS=MR","SCALING_FORMAT=MLN","Sort=A","Dates=H","DateFormat=P","Fill=—","Direction=H","UseDPDF=Y")</f>
        <v>0</v>
      </c>
      <c r="W25" s="13" cm="1">
        <f t="array" ref="W25">_xll.BDH("CMI US Equity","BS_LT_INVEST","FQ3 2023","FQ3 2023","Currency=USD","Period=FQ","BEST_FPERIOD_OVERRIDE=FQ","FILING_STATUS=MR","SCALING_FORMAT=MLN","Sort=A","Dates=H","DateFormat=P","Fill=—","Direction=H","UseDPDF=Y")</f>
        <v>0</v>
      </c>
      <c r="X25" s="13" cm="1">
        <f t="array" ref="X25">_xll.BDH("CMI US Equity","BS_LT_INVEST","FQ4 2023","FQ4 2023","Currency=USD","Period=FQ","BEST_FPERIOD_OVERRIDE=FQ","FILING_STATUS=MR","SCALING_FORMAT=MLN","Sort=A","Dates=H","DateFormat=P","Fill=—","Direction=H","UseDPDF=Y")</f>
        <v>0</v>
      </c>
      <c r="Y25" s="13" cm="1">
        <f t="array" ref="Y25">_xll.BDH("CMI US Equity","BS_LT_INVEST","FQ1 2024","FQ1 2024","Currency=USD","Period=FQ","BEST_FPERIOD_OVERRIDE=FQ","FILING_STATUS=MR","SCALING_FORMAT=MLN","Sort=A","Dates=H","DateFormat=P","Fill=—","Direction=H","UseDPDF=Y")</f>
        <v>0</v>
      </c>
      <c r="Z25" s="13" cm="1">
        <f t="array" ref="Z25">_xll.BDH("CMI US Equity","BS_LT_INVEST","FQ2 2024","FQ2 2024","Currency=USD","Period=FQ","BEST_FPERIOD_OVERRIDE=FQ","FILING_STATUS=MR","SCALING_FORMAT=MLN","Sort=A","Dates=H","DateFormat=P","Fill=—","Direction=H","UseDPDF=Y")</f>
        <v>0</v>
      </c>
      <c r="AA25" s="13" cm="1">
        <f t="array" ref="AA25">_xll.BDH("CMI US Equity","BS_LT_INVEST","FQ3 2024","FQ3 2024","Currency=USD","Period=FQ","BEST_FPERIOD_OVERRIDE=FQ","FILING_STATUS=MR","SCALING_FORMAT=MLN","Sort=A","Dates=H","DateFormat=P","Fill=—","Direction=H","UseDPDF=Y")</f>
        <v>0</v>
      </c>
      <c r="AB25" s="13" cm="1">
        <f t="array" ref="AB25">_xll.BDH("CMI US Equity","BS_LT_INVEST","FQ4 2024","FQ4 2024","Currency=USD","Period=FQ","BEST_FPERIOD_OVERRIDE=FQ","FILING_STATUS=MR","SCALING_FORMAT=MLN","Sort=A","Dates=H","DateFormat=P","Fill=—","Direction=H","UseDPDF=Y")</f>
        <v>0</v>
      </c>
      <c r="AC25" s="13" cm="1">
        <f t="array" ref="AC25">_xll.BDH("CMI US Equity","BS_LT_INVEST","FQ1 2025","FQ1 2025","Currency=USD","Period=FQ","BEST_FPERIOD_OVERRIDE=FQ","FILING_STATUS=MR","SCALING_FORMAT=MLN","Sort=A","Dates=H","DateFormat=P","Fill=—","Direction=H","UseDPDF=Y")</f>
        <v>0</v>
      </c>
      <c r="AD25" s="13" cm="1">
        <f t="array" ref="AD25">_xll.BDH("CMI US Equity","BS_LT_INVEST","FQ2 2025","FQ2 2025","Currency=USD","Period=FQ","BEST_FPERIOD_OVERRIDE=FQ","FILING_STATUS=MR","SCALING_FORMAT=MLN","Sort=A","Dates=H","DateFormat=P","Fill=—","Direction=H","UseDPDF=Y")</f>
        <v>0</v>
      </c>
      <c r="AE25" s="13" cm="1">
        <f t="array" ref="AE25">_xll.BDH("CMI US Equity","BS_LT_INVEST","FQ3 2025","FQ3 2025","Currency=USD","Period=FQ","BEST_FPERIOD_OVERRIDE=FQ","FILING_STATUS=MR","SCALING_FORMAT=MLN","Sort=A","Dates=H","DateFormat=P","Fill=—","Direction=H","UseDPDF=Y")</f>
        <v>0</v>
      </c>
      <c r="AF25" s="13" cm="1">
        <f t="array" ref="AF25">_xll.BDH("CMI US Equity","BS_LT_INVEST","FQ4 2025","FQ4 2025","Currency=USD","Period=FQ","BEST_FPERIOD_OVERRIDE=FQ","FILING_STATUS=MR","SCALING_FORMAT=MLN","Sort=A","Dates=H","DateFormat=P","Fill=—","Direction=H","UseDPDF=Y")</f>
        <v>0</v>
      </c>
    </row>
    <row r="26" spans="1:32" x14ac:dyDescent="0.25">
      <c r="A26" s="10" t="s">
        <v>104</v>
      </c>
      <c r="B26" s="10" t="s">
        <v>105</v>
      </c>
      <c r="C26" s="13" cm="1">
        <f t="array" ref="C26">_xll.BDH("CMI US Equity","BS_OTHER_ASSETS_DEF_CHRG_OTHER","FQ3 2018","FQ3 2018","Currency=USD","Period=FQ","BEST_FPERIOD_OVERRIDE=FQ","FILING_STATUS=MR","SCALING_FORMAT=MLN","Sort=A","Dates=H","DateFormat=P","Fill=—","Direction=H","UseDPDF=Y")</f>
        <v>5259</v>
      </c>
      <c r="D26" s="13" cm="1">
        <f t="array" ref="D26">_xll.BDH("CMI US Equity","BS_OTHER_ASSETS_DEF_CHRG_OTHER","FQ4 2018","FQ4 2018","Currency=USD","Period=FQ","BEST_FPERIOD_OVERRIDE=FQ","FILING_STATUS=MR","SCALING_FORMAT=MLN","Sort=A","Dates=H","DateFormat=P","Fill=—","Direction=H","UseDPDF=Y")</f>
        <v>5148</v>
      </c>
      <c r="E26" s="13" cm="1">
        <f t="array" ref="E26">_xll.BDH("CMI US Equity","BS_OTHER_ASSETS_DEF_CHRG_OTHER","FQ1 2019","FQ1 2019","Currency=USD","Period=FQ","BEST_FPERIOD_OVERRIDE=FQ","FILING_STATUS=MR","SCALING_FORMAT=MLN","Sort=A","Dates=H","DateFormat=P","Fill=—","Direction=H","UseDPDF=Y")</f>
        <v>5273</v>
      </c>
      <c r="F26" s="13" cm="1">
        <f t="array" ref="F26">_xll.BDH("CMI US Equity","BS_OTHER_ASSETS_DEF_CHRG_OTHER","FQ2 2019","FQ2 2019","Currency=USD","Period=FQ","BEST_FPERIOD_OVERRIDE=FQ","FILING_STATUS=MR","SCALING_FORMAT=MLN","Sort=A","Dates=H","DateFormat=P","Fill=—","Direction=H","UseDPDF=Y")</f>
        <v>5293</v>
      </c>
      <c r="G26" s="13" cm="1">
        <f t="array" ref="G26">_xll.BDH("CMI US Equity","BS_OTHER_ASSETS_DEF_CHRG_OTHER","FQ3 2019","FQ3 2019","Currency=USD","Period=FQ","BEST_FPERIOD_OVERRIDE=FQ","FILING_STATUS=MR","SCALING_FORMAT=MLN","Sort=A","Dates=H","DateFormat=P","Fill=—","Direction=H","UseDPDF=Y")</f>
        <v>5616</v>
      </c>
      <c r="H26" s="13" cm="1">
        <f t="array" ref="H26">_xll.BDH("CMI US Equity","BS_OTHER_ASSETS_DEF_CHRG_OTHER","FQ4 2019","FQ4 2019","Currency=USD","Period=FQ","BEST_FPERIOD_OVERRIDE=FQ","FILING_STATUS=MR","SCALING_FORMAT=MLN","Sort=A","Dates=H","DateFormat=P","Fill=—","Direction=H","UseDPDF=Y")</f>
        <v>5609</v>
      </c>
      <c r="I26" s="13" cm="1">
        <f t="array" ref="I26">_xll.BDH("CMI US Equity","BS_OTHER_ASSETS_DEF_CHRG_OTHER","FQ1 2020","FQ1 2020","Currency=USD","Period=FQ","BEST_FPERIOD_OVERRIDE=FQ","FILING_STATUS=MR","SCALING_FORMAT=MLN","Sort=A","Dates=H","DateFormat=P","Fill=—","Direction=H","UseDPDF=Y")</f>
        <v>6158</v>
      </c>
      <c r="J26" s="13" cm="1">
        <f t="array" ref="J26">_xll.BDH("CMI US Equity","BS_OTHER_ASSETS_DEF_CHRG_OTHER","FQ2 2020","FQ2 2020","Currency=USD","Period=FQ","BEST_FPERIOD_OVERRIDE=FQ","FILING_STATUS=MR","SCALING_FORMAT=MLN","Sort=A","Dates=H","DateFormat=P","Fill=—","Direction=H","UseDPDF=Y")</f>
        <v>6413</v>
      </c>
      <c r="K26" s="13" cm="1">
        <f t="array" ref="K26">_xll.BDH("CMI US Equity","BS_OTHER_ASSETS_DEF_CHRG_OTHER","FQ3 2020","FQ3 2020","Currency=USD","Period=FQ","BEST_FPERIOD_OVERRIDE=FQ","FILING_STATUS=MR","SCALING_FORMAT=MLN","Sort=A","Dates=H","DateFormat=P","Fill=—","Direction=H","UseDPDF=Y")</f>
        <v>6419</v>
      </c>
      <c r="L26" s="13" cm="1">
        <f t="array" ref="L26">_xll.BDH("CMI US Equity","BS_OTHER_ASSETS_DEF_CHRG_OTHER","FQ4 2020","FQ4 2020","Currency=USD","Period=FQ","BEST_FPERIOD_OVERRIDE=FQ","FILING_STATUS=MR","SCALING_FORMAT=MLN","Sort=A","Dates=H","DateFormat=P","Fill=—","Direction=H","UseDPDF=Y")</f>
        <v>6034</v>
      </c>
      <c r="M26" s="13" cm="1">
        <f t="array" ref="M26">_xll.BDH("CMI US Equity","BS_OTHER_ASSETS_DEF_CHRG_OTHER","FQ1 2021","FQ1 2021","Currency=USD","Period=FQ","BEST_FPERIOD_OVERRIDE=FQ","FILING_STATUS=MR","SCALING_FORMAT=MLN","Sort=A","Dates=H","DateFormat=P","Fill=—","Direction=H","UseDPDF=Y")</f>
        <v>6178</v>
      </c>
      <c r="N26" s="13" cm="1">
        <f t="array" ref="N26">_xll.BDH("CMI US Equity","BS_OTHER_ASSETS_DEF_CHRG_OTHER","FQ2 2021","FQ2 2021","Currency=USD","Period=FQ","BEST_FPERIOD_OVERRIDE=FQ","FILING_STATUS=MR","SCALING_FORMAT=MLN","Sort=A","Dates=H","DateFormat=P","Fill=—","Direction=H","UseDPDF=Y")</f>
        <v>6045</v>
      </c>
      <c r="O26" s="13" cm="1">
        <f t="array" ref="O26">_xll.BDH("CMI US Equity","BS_OTHER_ASSETS_DEF_CHRG_OTHER","FQ3 2021","FQ3 2021","Currency=USD","Period=FQ","BEST_FPERIOD_OVERRIDE=FQ","FILING_STATUS=MR","SCALING_FORMAT=MLN","Sort=A","Dates=H","DateFormat=P","Fill=—","Direction=H","UseDPDF=Y")</f>
        <v>6103</v>
      </c>
      <c r="P26" s="13" cm="1">
        <f t="array" ref="P26">_xll.BDH("CMI US Equity","BS_OTHER_ASSETS_DEF_CHRG_OTHER","FQ4 2021","FQ4 2021","Currency=USD","Period=FQ","BEST_FPERIOD_OVERRIDE=FQ","FILING_STATUS=MR","SCALING_FORMAT=MLN","Sort=A","Dates=H","DateFormat=P","Fill=—","Direction=H","UseDPDF=Y")</f>
        <v>6535</v>
      </c>
      <c r="Q26" s="13" cm="1">
        <f t="array" ref="Q26">_xll.BDH("CMI US Equity","BS_OTHER_ASSETS_DEF_CHRG_OTHER","FQ1 2022","FQ1 2022","Currency=USD","Period=FQ","BEST_FPERIOD_OVERRIDE=FQ","FILING_STATUS=MR","SCALING_FORMAT=MLN","Sort=A","Dates=H","DateFormat=P","Fill=—","Direction=H","UseDPDF=Y")</f>
        <v>6705</v>
      </c>
      <c r="R26" s="13" cm="1">
        <f t="array" ref="R26">_xll.BDH("CMI US Equity","BS_OTHER_ASSETS_DEF_CHRG_OTHER","FQ2 2022","FQ2 2022","Currency=USD","Period=FQ","BEST_FPERIOD_OVERRIDE=FQ","FILING_STATUS=MR","SCALING_FORMAT=MLN","Sort=A","Dates=H","DateFormat=P","Fill=—","Direction=H","UseDPDF=Y")</f>
        <v>6896</v>
      </c>
      <c r="S26" s="13" cm="1">
        <f t="array" ref="S26">_xll.BDH("CMI US Equity","BS_OTHER_ASSETS_DEF_CHRG_OTHER","FQ3 2022","FQ3 2022","Currency=USD","Period=FQ","BEST_FPERIOD_OVERRIDE=FQ","FILING_STATUS=MR","SCALING_FORMAT=MLN","Sort=A","Dates=H","DateFormat=P","Fill=—","Direction=H","UseDPDF=Y")</f>
        <v>9699</v>
      </c>
      <c r="T26" s="13" cm="1">
        <f t="array" ref="T26">_xll.BDH("CMI US Equity","BS_OTHER_ASSETS_DEF_CHRG_OTHER","FQ4 2022","FQ4 2022","Currency=USD","Period=FQ","BEST_FPERIOD_OVERRIDE=FQ","FILING_STATUS=MR","SCALING_FORMAT=MLN","Sort=A","Dates=H","DateFormat=P","Fill=—","Direction=H","UseDPDF=Y")</f>
        <v>9835</v>
      </c>
      <c r="U26" s="13" cm="1">
        <f t="array" ref="U26">_xll.BDH("CMI US Equity","BS_OTHER_ASSETS_DEF_CHRG_OTHER","FQ1 2023","FQ1 2023","Currency=USD","Period=FQ","BEST_FPERIOD_OVERRIDE=FQ","FILING_STATUS=MR","SCALING_FORMAT=MLN","Sort=A","Dates=H","DateFormat=P","Fill=—","Direction=H","UseDPDF=Y")</f>
        <v>9986</v>
      </c>
      <c r="V26" s="13" cm="1">
        <f t="array" ref="V26">_xll.BDH("CMI US Equity","BS_OTHER_ASSETS_DEF_CHRG_OTHER","FQ2 2023","FQ2 2023","Currency=USD","Period=FQ","BEST_FPERIOD_OVERRIDE=FQ","FILING_STATUS=MR","SCALING_FORMAT=MLN","Sort=A","Dates=H","DateFormat=P","Fill=—","Direction=H","UseDPDF=Y")</f>
        <v>10088</v>
      </c>
      <c r="W26" s="13" cm="1">
        <f t="array" ref="W26">_xll.BDH("CMI US Equity","BS_OTHER_ASSETS_DEF_CHRG_OTHER","FQ3 2023","FQ3 2023","Currency=USD","Period=FQ","BEST_FPERIOD_OVERRIDE=FQ","FILING_STATUS=MR","SCALING_FORMAT=MLN","Sort=A","Dates=H","DateFormat=P","Fill=—","Direction=H","UseDPDF=Y")</f>
        <v>9884</v>
      </c>
      <c r="X26" s="13" cm="1">
        <f t="array" ref="X26">_xll.BDH("CMI US Equity","BS_OTHER_ASSETS_DEF_CHRG_OTHER","FQ4 2023","FQ4 2023","Currency=USD","Period=FQ","BEST_FPERIOD_OVERRIDE=FQ","FILING_STATUS=MR","SCALING_FORMAT=MLN","Sort=A","Dates=H","DateFormat=P","Fill=—","Direction=H","UseDPDF=Y")</f>
        <v>10057</v>
      </c>
      <c r="Y26" s="13" cm="1">
        <f t="array" ref="Y26">_xll.BDH("CMI US Equity","BS_OTHER_ASSETS_DEF_CHRG_OTHER","FQ1 2024","FQ1 2024","Currency=USD","Period=FQ","BEST_FPERIOD_OVERRIDE=FQ","FILING_STATUS=MR","SCALING_FORMAT=MLN","Sort=A","Dates=H","DateFormat=P","Fill=—","Direction=H","UseDPDF=Y")</f>
        <v>9741</v>
      </c>
      <c r="Z26" s="13" cm="1">
        <f t="array" ref="Z26">_xll.BDH("CMI US Equity","BS_OTHER_ASSETS_DEF_CHRG_OTHER","FQ2 2024","FQ2 2024","Currency=USD","Period=FQ","BEST_FPERIOD_OVERRIDE=FQ","FILING_STATUS=MR","SCALING_FORMAT=MLN","Sort=A","Dates=H","DateFormat=P","Fill=—","Direction=H","UseDPDF=Y")</f>
        <v>9851</v>
      </c>
      <c r="AA26" s="13" cm="1">
        <f t="array" ref="AA26">_xll.BDH("CMI US Equity","BS_OTHER_ASSETS_DEF_CHRG_OTHER","FQ3 2024","FQ3 2024","Currency=USD","Period=FQ","BEST_FPERIOD_OVERRIDE=FQ","FILING_STATUS=MR","SCALING_FORMAT=MLN","Sort=A","Dates=H","DateFormat=P","Fill=—","Direction=H","UseDPDF=Y")</f>
        <v>10048</v>
      </c>
      <c r="AB26" s="13" cm="1">
        <f t="array" ref="AB26">_xll.BDH("CMI US Equity","BS_OTHER_ASSETS_DEF_CHRG_OTHER","FQ4 2024","FQ4 2024","Currency=USD","Period=FQ","BEST_FPERIOD_OVERRIDE=FQ","FILING_STATUS=MR","SCALING_FORMAT=MLN","Sort=A","Dates=H","DateFormat=P","Fill=—","Direction=H","UseDPDF=Y")</f>
        <v>9900</v>
      </c>
      <c r="AC26" s="13" cm="1">
        <f t="array" ref="AC26">_xll.BDH("CMI US Equity","BS_OTHER_ASSETS_DEF_CHRG_OTHER","FQ1 2025","FQ1 2025","Currency=USD","Period=FQ","BEST_FPERIOD_OVERRIDE=FQ","FILING_STATUS=MR","SCALING_FORMAT=MLN","Sort=A","Dates=H","DateFormat=P","Fill=—","Direction=H","UseDPDF=Y")</f>
        <v>10049</v>
      </c>
      <c r="AD26" s="13" cm="1">
        <f t="array" ref="AD26">_xll.BDH("CMI US Equity","BS_OTHER_ASSETS_DEF_CHRG_OTHER","FQ2 2025","FQ2 2025","Currency=USD","Period=FQ","BEST_FPERIOD_OVERRIDE=FQ","FILING_STATUS=MR","SCALING_FORMAT=MLN","Sort=A","Dates=H","DateFormat=P","Fill=—","Direction=H","UseDPDF=Y")</f>
        <v>10231</v>
      </c>
      <c r="AE26" s="13" cm="1">
        <f t="array" ref="AE26">_xll.BDH("CMI US Equity","BS_OTHER_ASSETS_DEF_CHRG_OTHER","FQ3 2025","FQ3 2025","Currency=USD","Period=FQ","BEST_FPERIOD_OVERRIDE=FQ","FILING_STATUS=MR","SCALING_FORMAT=MLN","Sort=A","Dates=H","DateFormat=P","Fill=—","Direction=H","UseDPDF=Y")</f>
        <v>9708</v>
      </c>
      <c r="AF26" s="13" cm="1">
        <f t="array" ref="AF26">_xll.BDH("CMI US Equity","BS_OTHER_ASSETS_DEF_CHRG_OTHER","FQ4 2025","FQ4 2025","Currency=USD","Period=FQ","BEST_FPERIOD_OVERRIDE=FQ","FILING_STATUS=MR","SCALING_FORMAT=MLN","Sort=A","Dates=H","DateFormat=P","Fill=—","Direction=H","UseDPDF=Y")</f>
        <v>9572</v>
      </c>
    </row>
    <row r="27" spans="1:32" x14ac:dyDescent="0.25">
      <c r="A27" s="10" t="s">
        <v>106</v>
      </c>
      <c r="B27" s="10" t="s">
        <v>107</v>
      </c>
      <c r="C27" s="13" cm="1">
        <f t="array" ref="C27">_xll.BDH("CMI US Equity","BS_DISCLOSED_INTANGIBLES","FQ3 2018","FQ3 2018","Currency=USD","Period=FQ","BEST_FPERIOD_OVERRIDE=FQ","FILING_STATUS=MR","SCALING_FORMAT=MLN","Sort=A","Dates=H","DateFormat=P","Fill=—","Direction=H","UseDPDF=Y")</f>
        <v>2060</v>
      </c>
      <c r="D27" s="13" cm="1">
        <f t="array" ref="D27">_xll.BDH("CMI US Equity","BS_DISCLOSED_INTANGIBLES","FQ4 2018","FQ4 2018","Currency=USD","Period=FQ","BEST_FPERIOD_OVERRIDE=FQ","FILING_STATUS=MR","SCALING_FORMAT=MLN","Sort=A","Dates=H","DateFormat=P","Fill=—","Direction=H","UseDPDF=Y")</f>
        <v>2035</v>
      </c>
      <c r="E27" s="13" cm="1">
        <f t="array" ref="E27">_xll.BDH("CMI US Equity","BS_DISCLOSED_INTANGIBLES","FQ1 2019","FQ1 2019","Currency=USD","Period=FQ","BEST_FPERIOD_OVERRIDE=FQ","FILING_STATUS=MR","SCALING_FORMAT=MLN","Sort=A","Dates=H","DateFormat=P","Fill=—","Direction=H","UseDPDF=Y")</f>
        <v>2020</v>
      </c>
      <c r="F27" s="13" cm="1">
        <f t="array" ref="F27">_xll.BDH("CMI US Equity","BS_DISCLOSED_INTANGIBLES","FQ2 2019","FQ2 2019","Currency=USD","Period=FQ","BEST_FPERIOD_OVERRIDE=FQ","FILING_STATUS=MR","SCALING_FORMAT=MLN","Sort=A","Dates=H","DateFormat=P","Fill=—","Direction=H","UseDPDF=Y")</f>
        <v>2026</v>
      </c>
      <c r="G27" s="13" cm="1">
        <f t="array" ref="G27">_xll.BDH("CMI US Equity","BS_DISCLOSED_INTANGIBLES","FQ3 2019","FQ3 2019","Currency=USD","Period=FQ","BEST_FPERIOD_OVERRIDE=FQ","FILING_STATUS=MR","SCALING_FORMAT=MLN","Sort=A","Dates=H","DateFormat=P","Fill=—","Direction=H","UseDPDF=Y")</f>
        <v>2310</v>
      </c>
      <c r="H27" s="13" cm="1">
        <f t="array" ref="H27">_xll.BDH("CMI US Equity","BS_DISCLOSED_INTANGIBLES","FQ4 2019","FQ4 2019","Currency=USD","Period=FQ","BEST_FPERIOD_OVERRIDE=FQ","FILING_STATUS=MR","SCALING_FORMAT=MLN","Sort=A","Dates=H","DateFormat=P","Fill=—","Direction=H","UseDPDF=Y")</f>
        <v>2289</v>
      </c>
      <c r="I27" s="13" cm="1">
        <f t="array" ref="I27">_xll.BDH("CMI US Equity","BS_DISCLOSED_INTANGIBLES","FQ1 2020","FQ1 2020","Currency=USD","Period=FQ","BEST_FPERIOD_OVERRIDE=FQ","FILING_STATUS=MR","SCALING_FORMAT=MLN","Sort=A","Dates=H","DateFormat=P","Fill=—","Direction=H","UseDPDF=Y")</f>
        <v>2248</v>
      </c>
      <c r="J27" s="13" cm="1">
        <f t="array" ref="J27">_xll.BDH("CMI US Equity","BS_DISCLOSED_INTANGIBLES","FQ2 2020","FQ2 2020","Currency=USD","Period=FQ","BEST_FPERIOD_OVERRIDE=FQ","FILING_STATUS=MR","SCALING_FORMAT=MLN","Sort=A","Dates=H","DateFormat=P","Fill=—","Direction=H","UseDPDF=Y")</f>
        <v>2301</v>
      </c>
      <c r="K27" s="13" cm="1">
        <f t="array" ref="K27">_xll.BDH("CMI US Equity","BS_DISCLOSED_INTANGIBLES","FQ3 2020","FQ3 2020","Currency=USD","Period=FQ","BEST_FPERIOD_OVERRIDE=FQ","FILING_STATUS=MR","SCALING_FORMAT=MLN","Sort=A","Dates=H","DateFormat=P","Fill=—","Direction=H","UseDPDF=Y")</f>
        <v>2278</v>
      </c>
      <c r="L27" s="13" cm="1">
        <f t="array" ref="L27">_xll.BDH("CMI US Equity","BS_DISCLOSED_INTANGIBLES","FQ4 2020","FQ4 2020","Currency=USD","Period=FQ","BEST_FPERIOD_OVERRIDE=FQ","FILING_STATUS=MR","SCALING_FORMAT=MLN","Sort=A","Dates=H","DateFormat=P","Fill=—","Direction=H","UseDPDF=Y")</f>
        <v>2256</v>
      </c>
      <c r="M27" s="13" cm="1">
        <f t="array" ref="M27">_xll.BDH("CMI US Equity","BS_DISCLOSED_INTANGIBLES","FQ1 2021","FQ1 2021","Currency=USD","Period=FQ","BEST_FPERIOD_OVERRIDE=FQ","FILING_STATUS=MR","SCALING_FORMAT=MLN","Sort=A","Dates=H","DateFormat=P","Fill=—","Direction=H","UseDPDF=Y")</f>
        <v>2254</v>
      </c>
      <c r="N27" s="13" cm="1">
        <f t="array" ref="N27">_xll.BDH("CMI US Equity","BS_DISCLOSED_INTANGIBLES","FQ2 2021","FQ2 2021","Currency=USD","Period=FQ","BEST_FPERIOD_OVERRIDE=FQ","FILING_STATUS=MR","SCALING_FORMAT=MLN","Sort=A","Dates=H","DateFormat=P","Fill=—","Direction=H","UseDPDF=Y")</f>
        <v>2233</v>
      </c>
      <c r="O27" s="13" cm="1">
        <f t="array" ref="O27">_xll.BDH("CMI US Equity","BS_DISCLOSED_INTANGIBLES","FQ3 2021","FQ3 2021","Currency=USD","Period=FQ","BEST_FPERIOD_OVERRIDE=FQ","FILING_STATUS=MR","SCALING_FORMAT=MLN","Sort=A","Dates=H","DateFormat=P","Fill=—","Direction=H","UseDPDF=Y")</f>
        <v>2210</v>
      </c>
      <c r="P27" s="13" cm="1">
        <f t="array" ref="P27">_xll.BDH("CMI US Equity","BS_DISCLOSED_INTANGIBLES","FQ4 2021","FQ4 2021","Currency=USD","Period=FQ","BEST_FPERIOD_OVERRIDE=FQ","FILING_STATUS=MR","SCALING_FORMAT=MLN","Sort=A","Dates=H","DateFormat=P","Fill=—","Direction=H","UseDPDF=Y")</f>
        <v>2187</v>
      </c>
      <c r="Q27" s="13" cm="1">
        <f t="array" ref="Q27">_xll.BDH("CMI US Equity","BS_DISCLOSED_INTANGIBLES","FQ1 2022","FQ1 2022","Currency=USD","Period=FQ","BEST_FPERIOD_OVERRIDE=FQ","FILING_STATUS=MR","SCALING_FORMAT=MLN","Sort=A","Dates=H","DateFormat=P","Fill=—","Direction=H","UseDPDF=Y")</f>
        <v>2203</v>
      </c>
      <c r="R27" s="13" cm="1">
        <f t="array" ref="R27">_xll.BDH("CMI US Equity","BS_DISCLOSED_INTANGIBLES","FQ2 2022","FQ2 2022","Currency=USD","Period=FQ","BEST_FPERIOD_OVERRIDE=FQ","FILING_STATUS=MR","SCALING_FORMAT=MLN","Sort=A","Dates=H","DateFormat=P","Fill=—","Direction=H","UseDPDF=Y")</f>
        <v>2445</v>
      </c>
      <c r="S27" s="13" cm="1">
        <f t="array" ref="S27">_xll.BDH("CMI US Equity","BS_DISCLOSED_INTANGIBLES","FQ3 2022","FQ3 2022","Currency=USD","Period=FQ","BEST_FPERIOD_OVERRIDE=FQ","FILING_STATUS=MR","SCALING_FORMAT=MLN","Sort=A","Dates=H","DateFormat=P","Fill=—","Direction=H","UseDPDF=Y")</f>
        <v>4831</v>
      </c>
      <c r="T27" s="13" cm="1">
        <f t="array" ref="T27">_xll.BDH("CMI US Equity","BS_DISCLOSED_INTANGIBLES","FQ4 2022","FQ4 2022","Currency=USD","Period=FQ","BEST_FPERIOD_OVERRIDE=FQ","FILING_STATUS=MR","SCALING_FORMAT=MLN","Sort=A","Dates=H","DateFormat=P","Fill=—","Direction=H","UseDPDF=Y")</f>
        <v>5030</v>
      </c>
      <c r="U27" s="13" cm="1">
        <f t="array" ref="U27">_xll.BDH("CMI US Equity","BS_DISCLOSED_INTANGIBLES","FQ1 2023","FQ1 2023","Currency=USD","Period=FQ","BEST_FPERIOD_OVERRIDE=FQ","FILING_STATUS=MR","SCALING_FORMAT=MLN","Sort=A","Dates=H","DateFormat=P","Fill=—","Direction=H","UseDPDF=Y")</f>
        <v>5005</v>
      </c>
      <c r="V27" s="13" cm="1">
        <f t="array" ref="V27">_xll.BDH("CMI US Equity","BS_DISCLOSED_INTANGIBLES","FQ2 2023","FQ2 2023","Currency=USD","Period=FQ","BEST_FPERIOD_OVERRIDE=FQ","FILING_STATUS=MR","SCALING_FORMAT=MLN","Sort=A","Dates=H","DateFormat=P","Fill=—","Direction=H","UseDPDF=Y")</f>
        <v>4988</v>
      </c>
      <c r="W27" s="13" cm="1">
        <f t="array" ref="W27">_xll.BDH("CMI US Equity","BS_DISCLOSED_INTANGIBLES","FQ3 2023","FQ3 2023","Currency=USD","Period=FQ","BEST_FPERIOD_OVERRIDE=FQ","FILING_STATUS=MR","SCALING_FORMAT=MLN","Sort=A","Dates=H","DateFormat=P","Fill=—","Direction=H","UseDPDF=Y")</f>
        <v>4897</v>
      </c>
      <c r="X27" s="13" cm="1">
        <f t="array" ref="X27">_xll.BDH("CMI US Equity","BS_DISCLOSED_INTANGIBLES","FQ4 2023","FQ4 2023","Currency=USD","Period=FQ","BEST_FPERIOD_OVERRIDE=FQ","FILING_STATUS=MR","SCALING_FORMAT=MLN","Sort=A","Dates=H","DateFormat=P","Fill=—","Direction=H","UseDPDF=Y")</f>
        <v>5018</v>
      </c>
      <c r="Y27" s="13" cm="1">
        <f t="array" ref="Y27">_xll.BDH("CMI US Equity","BS_DISCLOSED_INTANGIBLES","FQ1 2024","FQ1 2024","Currency=USD","Period=FQ","BEST_FPERIOD_OVERRIDE=FQ","FILING_STATUS=MR","SCALING_FORMAT=MLN","Sort=A","Dates=H","DateFormat=P","Fill=—","Direction=H","UseDPDF=Y")</f>
        <v>4861</v>
      </c>
      <c r="Z27" s="13" cm="1">
        <f t="array" ref="Z27">_xll.BDH("CMI US Equity","BS_DISCLOSED_INTANGIBLES","FQ2 2024","FQ2 2024","Currency=USD","Period=FQ","BEST_FPERIOD_OVERRIDE=FQ","FILING_STATUS=MR","SCALING_FORMAT=MLN","Sort=A","Dates=H","DateFormat=P","Fill=—","Direction=H","UseDPDF=Y")</f>
        <v>4896</v>
      </c>
      <c r="AA27" s="13" cm="1">
        <f t="array" ref="AA27">_xll.BDH("CMI US Equity","BS_DISCLOSED_INTANGIBLES","FQ3 2024","FQ3 2024","Currency=USD","Period=FQ","BEST_FPERIOD_OVERRIDE=FQ","FILING_STATUS=MR","SCALING_FORMAT=MLN","Sort=A","Dates=H","DateFormat=P","Fill=—","Direction=H","UseDPDF=Y")</f>
        <v>4874</v>
      </c>
      <c r="AB27" s="13" cm="1">
        <f t="array" ref="AB27">_xll.BDH("CMI US Equity","BS_DISCLOSED_INTANGIBLES","FQ4 2024","FQ4 2024","Currency=USD","Period=FQ","BEST_FPERIOD_OVERRIDE=FQ","FILING_STATUS=MR","SCALING_FORMAT=MLN","Sort=A","Dates=H","DateFormat=P","Fill=—","Direction=H","UseDPDF=Y")</f>
        <v>4721</v>
      </c>
      <c r="AC27" s="13" cm="1">
        <f t="array" ref="AC27">_xll.BDH("CMI US Equity","BS_DISCLOSED_INTANGIBLES","FQ1 2025","FQ1 2025","Currency=USD","Period=FQ","BEST_FPERIOD_OVERRIDE=FQ","FILING_STATUS=MR","SCALING_FORMAT=MLN","Sort=A","Dates=H","DateFormat=P","Fill=—","Direction=H","UseDPDF=Y")</f>
        <v>4798</v>
      </c>
      <c r="AD27" s="13" cm="1">
        <f t="array" ref="AD27">_xll.BDH("CMI US Equity","BS_DISCLOSED_INTANGIBLES","FQ2 2025","FQ2 2025","Currency=USD","Period=FQ","BEST_FPERIOD_OVERRIDE=FQ","FILING_STATUS=MR","SCALING_FORMAT=MLN","Sort=A","Dates=H","DateFormat=P","Fill=—","Direction=H","UseDPDF=Y")</f>
        <v>4828</v>
      </c>
      <c r="AE27" s="13" cm="1">
        <f t="array" ref="AE27">_xll.BDH("CMI US Equity","BS_DISCLOSED_INTANGIBLES","FQ3 2025","FQ3 2025","Currency=USD","Period=FQ","BEST_FPERIOD_OVERRIDE=FQ","FILING_STATUS=MR","SCALING_FORMAT=MLN","Sort=A","Dates=H","DateFormat=P","Fill=—","Direction=H","UseDPDF=Y")</f>
        <v>4567</v>
      </c>
      <c r="AF27" s="13" cm="1">
        <f t="array" ref="AF27">_xll.BDH("CMI US Equity","BS_DISCLOSED_INTANGIBLES","FQ4 2025","FQ4 2025","Currency=USD","Period=FQ","BEST_FPERIOD_OVERRIDE=FQ","FILING_STATUS=MR","SCALING_FORMAT=MLN","Sort=A","Dates=H","DateFormat=P","Fill=—","Direction=H","UseDPDF=Y")</f>
        <v>4391</v>
      </c>
    </row>
    <row r="28" spans="1:32" x14ac:dyDescent="0.25">
      <c r="A28" s="11" t="s">
        <v>108</v>
      </c>
      <c r="B28" s="11" t="s">
        <v>109</v>
      </c>
      <c r="C28" s="17" cm="1">
        <f t="array" ref="C28">_xll.BDH("CMI US Equity","BS_GOODWILL","FQ3 2018","FQ3 2018","Currency=USD","Period=FQ","BEST_FPERIOD_OVERRIDE=FQ","FILING_STATUS=MR","SCALING_FORMAT=MLN","Sort=A","Dates=H","DateFormat=P","Fill=—","Direction=H","UseDPDF=Y")</f>
        <v>1110</v>
      </c>
      <c r="D28" s="17" cm="1">
        <f t="array" ref="D28">_xll.BDH("CMI US Equity","BS_GOODWILL","FQ4 2018","FQ4 2018","Currency=USD","Period=FQ","BEST_FPERIOD_OVERRIDE=FQ","FILING_STATUS=MR","SCALING_FORMAT=MLN","Sort=A","Dates=H","DateFormat=P","Fill=—","Direction=H","UseDPDF=Y")</f>
        <v>1126</v>
      </c>
      <c r="E28" s="17" cm="1">
        <f t="array" ref="E28">_xll.BDH("CMI US Equity","BS_GOODWILL","FQ1 2019","FQ1 2019","Currency=USD","Period=FQ","BEST_FPERIOD_OVERRIDE=FQ","FILING_STATUS=MR","SCALING_FORMAT=MLN","Sort=A","Dates=H","DateFormat=P","Fill=—","Direction=H","UseDPDF=Y")</f>
        <v>1125</v>
      </c>
      <c r="F28" s="17" cm="1">
        <f t="array" ref="F28">_xll.BDH("CMI US Equity","BS_GOODWILL","FQ2 2019","FQ2 2019","Currency=USD","Period=FQ","BEST_FPERIOD_OVERRIDE=FQ","FILING_STATUS=MR","SCALING_FORMAT=MLN","Sort=A","Dates=H","DateFormat=P","Fill=—","Direction=H","UseDPDF=Y")</f>
        <v>1125</v>
      </c>
      <c r="G28" s="17" cm="1">
        <f t="array" ref="G28">_xll.BDH("CMI US Equity","BS_GOODWILL","FQ3 2019","FQ3 2019","Currency=USD","Period=FQ","BEST_FPERIOD_OVERRIDE=FQ","FILING_STATUS=MR","SCALING_FORMAT=MLN","Sort=A","Dates=H","DateFormat=P","Fill=—","Direction=H","UseDPDF=Y")</f>
        <v>1288</v>
      </c>
      <c r="H28" s="17" cm="1">
        <f t="array" ref="H28">_xll.BDH("CMI US Equity","BS_GOODWILL","FQ4 2019","FQ4 2019","Currency=USD","Period=FQ","BEST_FPERIOD_OVERRIDE=FQ","FILING_STATUS=MR","SCALING_FORMAT=MLN","Sort=A","Dates=H","DateFormat=P","Fill=—","Direction=H","UseDPDF=Y")</f>
        <v>1286</v>
      </c>
      <c r="I28" s="17" cm="1">
        <f t="array" ref="I28">_xll.BDH("CMI US Equity","BS_GOODWILL","FQ1 2020","FQ1 2020","Currency=USD","Period=FQ","BEST_FPERIOD_OVERRIDE=FQ","FILING_STATUS=MR","SCALING_FORMAT=MLN","Sort=A","Dates=H","DateFormat=P","Fill=—","Direction=H","UseDPDF=Y")</f>
        <v>1283</v>
      </c>
      <c r="J28" s="17" cm="1">
        <f t="array" ref="J28">_xll.BDH("CMI US Equity","BS_GOODWILL","FQ2 2020","FQ2 2020","Currency=USD","Period=FQ","BEST_FPERIOD_OVERRIDE=FQ","FILING_STATUS=MR","SCALING_FORMAT=MLN","Sort=A","Dates=H","DateFormat=P","Fill=—","Direction=H","UseDPDF=Y")</f>
        <v>1284</v>
      </c>
      <c r="K28" s="17" cm="1">
        <f t="array" ref="K28">_xll.BDH("CMI US Equity","BS_GOODWILL","FQ3 2020","FQ3 2020","Currency=USD","Period=FQ","BEST_FPERIOD_OVERRIDE=FQ","FILING_STATUS=MR","SCALING_FORMAT=MLN","Sort=A","Dates=H","DateFormat=P","Fill=—","Direction=H","UseDPDF=Y")</f>
        <v>1288</v>
      </c>
      <c r="L28" s="17" cm="1">
        <f t="array" ref="L28">_xll.BDH("CMI US Equity","BS_GOODWILL","FQ4 2020","FQ4 2020","Currency=USD","Period=FQ","BEST_FPERIOD_OVERRIDE=FQ","FILING_STATUS=MR","SCALING_FORMAT=MLN","Sort=A","Dates=H","DateFormat=P","Fill=—","Direction=H","UseDPDF=Y")</f>
        <v>1293</v>
      </c>
      <c r="M28" s="17" cm="1">
        <f t="array" ref="M28">_xll.BDH("CMI US Equity","BS_GOODWILL","FQ1 2021","FQ1 2021","Currency=USD","Period=FQ","BEST_FPERIOD_OVERRIDE=FQ","FILING_STATUS=MR","SCALING_FORMAT=MLN","Sort=A","Dates=H","DateFormat=P","Fill=—","Direction=H","UseDPDF=Y")</f>
        <v>1290</v>
      </c>
      <c r="N28" s="17" cm="1">
        <f t="array" ref="N28">_xll.BDH("CMI US Equity","BS_GOODWILL","FQ2 2021","FQ2 2021","Currency=USD","Period=FQ","BEST_FPERIOD_OVERRIDE=FQ","FILING_STATUS=MR","SCALING_FORMAT=MLN","Sort=A","Dates=H","DateFormat=P","Fill=—","Direction=H","UseDPDF=Y")</f>
        <v>1291</v>
      </c>
      <c r="O28" s="17" cm="1">
        <f t="array" ref="O28">_xll.BDH("CMI US Equity","BS_GOODWILL","FQ3 2021","FQ3 2021","Currency=USD","Period=FQ","BEST_FPERIOD_OVERRIDE=FQ","FILING_STATUS=MR","SCALING_FORMAT=MLN","Sort=A","Dates=H","DateFormat=P","Fill=—","Direction=H","UseDPDF=Y")</f>
        <v>1289</v>
      </c>
      <c r="P28" s="17" cm="1">
        <f t="array" ref="P28">_xll.BDH("CMI US Equity","BS_GOODWILL","FQ4 2021","FQ4 2021","Currency=USD","Period=FQ","BEST_FPERIOD_OVERRIDE=FQ","FILING_STATUS=MR","SCALING_FORMAT=MLN","Sort=A","Dates=H","DateFormat=P","Fill=—","Direction=H","UseDPDF=Y")</f>
        <v>1287</v>
      </c>
      <c r="Q28" s="17" cm="1">
        <f t="array" ref="Q28">_xll.BDH("CMI US Equity","BS_GOODWILL","FQ1 2022","FQ1 2022","Currency=USD","Period=FQ","BEST_FPERIOD_OVERRIDE=FQ","FILING_STATUS=MR","SCALING_FORMAT=MLN","Sort=A","Dates=H","DateFormat=P","Fill=—","Direction=H","UseDPDF=Y")</f>
        <v>1286</v>
      </c>
      <c r="R28" s="17" cm="1">
        <f t="array" ref="R28">_xll.BDH("CMI US Equity","BS_GOODWILL","FQ2 2022","FQ2 2022","Currency=USD","Period=FQ","BEST_FPERIOD_OVERRIDE=FQ","FILING_STATUS=MR","SCALING_FORMAT=MLN","Sort=A","Dates=H","DateFormat=P","Fill=—","Direction=H","UseDPDF=Y")</f>
        <v>1391</v>
      </c>
      <c r="S28" s="17" cm="1">
        <f t="array" ref="S28">_xll.BDH("CMI US Equity","BS_GOODWILL","FQ3 2022","FQ3 2022","Currency=USD","Period=FQ","BEST_FPERIOD_OVERRIDE=FQ","FILING_STATUS=MR","SCALING_FORMAT=MLN","Sort=A","Dates=H","DateFormat=P","Fill=—","Direction=H","UseDPDF=Y")</f>
        <v>2229</v>
      </c>
      <c r="T28" s="17" cm="1">
        <f t="array" ref="T28">_xll.BDH("CMI US Equity","BS_GOODWILL","FQ4 2022","FQ4 2022","Currency=USD","Period=FQ","BEST_FPERIOD_OVERRIDE=FQ","FILING_STATUS=MR","SCALING_FORMAT=MLN","Sort=A","Dates=H","DateFormat=P","Fill=—","Direction=H","UseDPDF=Y")</f>
        <v>2343</v>
      </c>
      <c r="U28" s="17" cm="1">
        <f t="array" ref="U28">_xll.BDH("CMI US Equity","BS_GOODWILL","FQ1 2023","FQ1 2023","Currency=USD","Period=FQ","BEST_FPERIOD_OVERRIDE=FQ","FILING_STATUS=MR","SCALING_FORMAT=MLN","Sort=A","Dates=H","DateFormat=P","Fill=—","Direction=H","UseDPDF=Y")</f>
        <v>2365</v>
      </c>
      <c r="V28" s="17" cm="1">
        <f t="array" ref="V28">_xll.BDH("CMI US Equity","BS_GOODWILL","FQ2 2023","FQ2 2023","Currency=USD","Period=FQ","BEST_FPERIOD_OVERRIDE=FQ","FILING_STATUS=MR","SCALING_FORMAT=MLN","Sort=A","Dates=H","DateFormat=P","Fill=—","Direction=H","UseDPDF=Y")</f>
        <v>2404</v>
      </c>
      <c r="W28" s="17" cm="1">
        <f t="array" ref="W28">_xll.BDH("CMI US Equity","BS_GOODWILL","FQ3 2023","FQ3 2023","Currency=USD","Period=FQ","BEST_FPERIOD_OVERRIDE=FQ","FILING_STATUS=MR","SCALING_FORMAT=MLN","Sort=A","Dates=H","DateFormat=P","Fill=—","Direction=H","UseDPDF=Y")</f>
        <v>2379</v>
      </c>
      <c r="X28" s="17" cm="1">
        <f t="array" ref="X28">_xll.BDH("CMI US Equity","BS_GOODWILL","FQ4 2023","FQ4 2023","Currency=USD","Period=FQ","BEST_FPERIOD_OVERRIDE=FQ","FILING_STATUS=MR","SCALING_FORMAT=MLN","Sort=A","Dates=H","DateFormat=P","Fill=—","Direction=H","UseDPDF=Y")</f>
        <v>2499</v>
      </c>
      <c r="Y28" s="17" cm="1">
        <f t="array" ref="Y28">_xll.BDH("CMI US Equity","BS_GOODWILL","FQ1 2024","FQ1 2024","Currency=USD","Period=FQ","BEST_FPERIOD_OVERRIDE=FQ","FILING_STATUS=MR","SCALING_FORMAT=MLN","Sort=A","Dates=H","DateFormat=P","Fill=—","Direction=H","UseDPDF=Y")</f>
        <v>2406</v>
      </c>
      <c r="Z28" s="17" cm="1">
        <f t="array" ref="Z28">_xll.BDH("CMI US Equity","BS_GOODWILL","FQ2 2024","FQ2 2024","Currency=USD","Period=FQ","BEST_FPERIOD_OVERRIDE=FQ","FILING_STATUS=MR","SCALING_FORMAT=MLN","Sort=A","Dates=H","DateFormat=P","Fill=—","Direction=H","UseDPDF=Y")</f>
        <v>2394</v>
      </c>
      <c r="AA28" s="17" cm="1">
        <f t="array" ref="AA28">_xll.BDH("CMI US Equity","BS_GOODWILL","FQ3 2024","FQ3 2024","Currency=USD","Period=FQ","BEST_FPERIOD_OVERRIDE=FQ","FILING_STATUS=MR","SCALING_FORMAT=MLN","Sort=A","Dates=H","DateFormat=P","Fill=—","Direction=H","UseDPDF=Y")</f>
        <v>2412</v>
      </c>
      <c r="AB28" s="17" cm="1">
        <f t="array" ref="AB28">_xll.BDH("CMI US Equity","BS_GOODWILL","FQ4 2024","FQ4 2024","Currency=USD","Period=FQ","BEST_FPERIOD_OVERRIDE=FQ","FILING_STATUS=MR","SCALING_FORMAT=MLN","Sort=A","Dates=H","DateFormat=P","Fill=—","Direction=H","UseDPDF=Y")</f>
        <v>2370</v>
      </c>
      <c r="AC28" s="17" cm="1">
        <f t="array" ref="AC28">_xll.BDH("CMI US Equity","BS_GOODWILL","FQ1 2025","FQ1 2025","Currency=USD","Period=FQ","BEST_FPERIOD_OVERRIDE=FQ","FILING_STATUS=MR","SCALING_FORMAT=MLN","Sort=A","Dates=H","DateFormat=P","Fill=—","Direction=H","UseDPDF=Y")</f>
        <v>2397</v>
      </c>
      <c r="AD28" s="17" cm="1">
        <f t="array" ref="AD28">_xll.BDH("CMI US Equity","BS_GOODWILL","FQ2 2025","FQ2 2025","Currency=USD","Period=FQ","BEST_FPERIOD_OVERRIDE=FQ","FILING_STATUS=MR","SCALING_FORMAT=MLN","Sort=A","Dates=H","DateFormat=P","Fill=—","Direction=H","UseDPDF=Y")</f>
        <v>2433</v>
      </c>
      <c r="AE28" s="17" cm="1">
        <f t="array" ref="AE28">_xll.BDH("CMI US Equity","BS_GOODWILL","FQ3 2025","FQ3 2025","Currency=USD","Period=FQ","BEST_FPERIOD_OVERRIDE=FQ","FILING_STATUS=MR","SCALING_FORMAT=MLN","Sort=A","Dates=H","DateFormat=P","Fill=—","Direction=H","UseDPDF=Y")</f>
        <v>2222</v>
      </c>
      <c r="AF28" s="17" cm="1">
        <f t="array" ref="AF28">_xll.BDH("CMI US Equity","BS_GOODWILL","FQ4 2025","FQ4 2025","Currency=USD","Period=FQ","BEST_FPERIOD_OVERRIDE=FQ","FILING_STATUS=MR","SCALING_FORMAT=MLN","Sort=A","Dates=H","DateFormat=P","Fill=—","Direction=H","UseDPDF=Y")</f>
        <v>2224</v>
      </c>
    </row>
    <row r="29" spans="1:32" x14ac:dyDescent="0.25">
      <c r="A29" s="11" t="s">
        <v>110</v>
      </c>
      <c r="B29" s="11" t="s">
        <v>111</v>
      </c>
      <c r="C29" s="17" cm="1">
        <f t="array" ref="C29">_xll.BDH("CMI US Equity","OTHER_INTANGIBLE_ASSETS_DETAILED","FQ3 2018","FQ3 2018","Currency=USD","Period=FQ","BEST_FPERIOD_OVERRIDE=FQ","FILING_STATUS=MR","SCALING_FORMAT=MLN","Sort=A","Dates=H","DateFormat=P","Fill=—","Direction=H","UseDPDF=Y")</f>
        <v>950</v>
      </c>
      <c r="D29" s="17" cm="1">
        <f t="array" ref="D29">_xll.BDH("CMI US Equity","OTHER_INTANGIBLE_ASSETS_DETAILED","FQ4 2018","FQ4 2018","Currency=USD","Period=FQ","BEST_FPERIOD_OVERRIDE=FQ","FILING_STATUS=MR","SCALING_FORMAT=MLN","Sort=A","Dates=H","DateFormat=P","Fill=—","Direction=H","UseDPDF=Y")</f>
        <v>909</v>
      </c>
      <c r="E29" s="17" cm="1">
        <f t="array" ref="E29">_xll.BDH("CMI US Equity","OTHER_INTANGIBLE_ASSETS_DETAILED","FQ1 2019","FQ1 2019","Currency=USD","Period=FQ","BEST_FPERIOD_OVERRIDE=FQ","FILING_STATUS=MR","SCALING_FORMAT=MLN","Sort=A","Dates=H","DateFormat=P","Fill=—","Direction=H","UseDPDF=Y")</f>
        <v>895</v>
      </c>
      <c r="F29" s="17" cm="1">
        <f t="array" ref="F29">_xll.BDH("CMI US Equity","OTHER_INTANGIBLE_ASSETS_DETAILED","FQ2 2019","FQ2 2019","Currency=USD","Period=FQ","BEST_FPERIOD_OVERRIDE=FQ","FILING_STATUS=MR","SCALING_FORMAT=MLN","Sort=A","Dates=H","DateFormat=P","Fill=—","Direction=H","UseDPDF=Y")</f>
        <v>901</v>
      </c>
      <c r="G29" s="17" cm="1">
        <f t="array" ref="G29">_xll.BDH("CMI US Equity","OTHER_INTANGIBLE_ASSETS_DETAILED","FQ3 2019","FQ3 2019","Currency=USD","Period=FQ","BEST_FPERIOD_OVERRIDE=FQ","FILING_STATUS=MR","SCALING_FORMAT=MLN","Sort=A","Dates=H","DateFormat=P","Fill=—","Direction=H","UseDPDF=Y")</f>
        <v>1022</v>
      </c>
      <c r="H29" s="17" cm="1">
        <f t="array" ref="H29">_xll.BDH("CMI US Equity","OTHER_INTANGIBLE_ASSETS_DETAILED","FQ4 2019","FQ4 2019","Currency=USD","Period=FQ","BEST_FPERIOD_OVERRIDE=FQ","FILING_STATUS=MR","SCALING_FORMAT=MLN","Sort=A","Dates=H","DateFormat=P","Fill=—","Direction=H","UseDPDF=Y")</f>
        <v>1003</v>
      </c>
      <c r="I29" s="17" cm="1">
        <f t="array" ref="I29">_xll.BDH("CMI US Equity","OTHER_INTANGIBLE_ASSETS_DETAILED","FQ1 2020","FQ1 2020","Currency=USD","Period=FQ","BEST_FPERIOD_OVERRIDE=FQ","FILING_STATUS=MR","SCALING_FORMAT=MLN","Sort=A","Dates=H","DateFormat=P","Fill=—","Direction=H","UseDPDF=Y")</f>
        <v>965</v>
      </c>
      <c r="J29" s="17" cm="1">
        <f t="array" ref="J29">_xll.BDH("CMI US Equity","OTHER_INTANGIBLE_ASSETS_DETAILED","FQ2 2020","FQ2 2020","Currency=USD","Period=FQ","BEST_FPERIOD_OVERRIDE=FQ","FILING_STATUS=MR","SCALING_FORMAT=MLN","Sort=A","Dates=H","DateFormat=P","Fill=—","Direction=H","UseDPDF=Y")</f>
        <v>1017</v>
      </c>
      <c r="K29" s="17" cm="1">
        <f t="array" ref="K29">_xll.BDH("CMI US Equity","OTHER_INTANGIBLE_ASSETS_DETAILED","FQ3 2020","FQ3 2020","Currency=USD","Period=FQ","BEST_FPERIOD_OVERRIDE=FQ","FILING_STATUS=MR","SCALING_FORMAT=MLN","Sort=A","Dates=H","DateFormat=P","Fill=—","Direction=H","UseDPDF=Y")</f>
        <v>990</v>
      </c>
      <c r="L29" s="17" cm="1">
        <f t="array" ref="L29">_xll.BDH("CMI US Equity","OTHER_INTANGIBLE_ASSETS_DETAILED","FQ4 2020","FQ4 2020","Currency=USD","Period=FQ","BEST_FPERIOD_OVERRIDE=FQ","FILING_STATUS=MR","SCALING_FORMAT=MLN","Sort=A","Dates=H","DateFormat=P","Fill=—","Direction=H","UseDPDF=Y")</f>
        <v>963</v>
      </c>
      <c r="M29" s="17" cm="1">
        <f t="array" ref="M29">_xll.BDH("CMI US Equity","OTHER_INTANGIBLE_ASSETS_DETAILED","FQ1 2021","FQ1 2021","Currency=USD","Period=FQ","BEST_FPERIOD_OVERRIDE=FQ","FILING_STATUS=MR","SCALING_FORMAT=MLN","Sort=A","Dates=H","DateFormat=P","Fill=—","Direction=H","UseDPDF=Y")</f>
        <v>964</v>
      </c>
      <c r="N29" s="17" cm="1">
        <f t="array" ref="N29">_xll.BDH("CMI US Equity","OTHER_INTANGIBLE_ASSETS_DETAILED","FQ2 2021","FQ2 2021","Currency=USD","Period=FQ","BEST_FPERIOD_OVERRIDE=FQ","FILING_STATUS=MR","SCALING_FORMAT=MLN","Sort=A","Dates=H","DateFormat=P","Fill=—","Direction=H","UseDPDF=Y")</f>
        <v>942</v>
      </c>
      <c r="O29" s="17" cm="1">
        <f t="array" ref="O29">_xll.BDH("CMI US Equity","OTHER_INTANGIBLE_ASSETS_DETAILED","FQ3 2021","FQ3 2021","Currency=USD","Period=FQ","BEST_FPERIOD_OVERRIDE=FQ","FILING_STATUS=MR","SCALING_FORMAT=MLN","Sort=A","Dates=H","DateFormat=P","Fill=—","Direction=H","UseDPDF=Y")</f>
        <v>921</v>
      </c>
      <c r="P29" s="17" cm="1">
        <f t="array" ref="P29">_xll.BDH("CMI US Equity","OTHER_INTANGIBLE_ASSETS_DETAILED","FQ4 2021","FQ4 2021","Currency=USD","Period=FQ","BEST_FPERIOD_OVERRIDE=FQ","FILING_STATUS=MR","SCALING_FORMAT=MLN","Sort=A","Dates=H","DateFormat=P","Fill=—","Direction=H","UseDPDF=Y")</f>
        <v>900</v>
      </c>
      <c r="Q29" s="17" cm="1">
        <f t="array" ref="Q29">_xll.BDH("CMI US Equity","OTHER_INTANGIBLE_ASSETS_DETAILED","FQ1 2022","FQ1 2022","Currency=USD","Period=FQ","BEST_FPERIOD_OVERRIDE=FQ","FILING_STATUS=MR","SCALING_FORMAT=MLN","Sort=A","Dates=H","DateFormat=P","Fill=—","Direction=H","UseDPDF=Y")</f>
        <v>917</v>
      </c>
      <c r="R29" s="17" cm="1">
        <f t="array" ref="R29">_xll.BDH("CMI US Equity","OTHER_INTANGIBLE_ASSETS_DETAILED","FQ2 2022","FQ2 2022","Currency=USD","Period=FQ","BEST_FPERIOD_OVERRIDE=FQ","FILING_STATUS=MR","SCALING_FORMAT=MLN","Sort=A","Dates=H","DateFormat=P","Fill=—","Direction=H","UseDPDF=Y")</f>
        <v>1054</v>
      </c>
      <c r="S29" s="17" cm="1">
        <f t="array" ref="S29">_xll.BDH("CMI US Equity","OTHER_INTANGIBLE_ASSETS_DETAILED","FQ3 2022","FQ3 2022","Currency=USD","Period=FQ","BEST_FPERIOD_OVERRIDE=FQ","FILING_STATUS=MR","SCALING_FORMAT=MLN","Sort=A","Dates=H","DateFormat=P","Fill=—","Direction=H","UseDPDF=Y")</f>
        <v>2602</v>
      </c>
      <c r="T29" s="17" cm="1">
        <f t="array" ref="T29">_xll.BDH("CMI US Equity","OTHER_INTANGIBLE_ASSETS_DETAILED","FQ4 2022","FQ4 2022","Currency=USD","Period=FQ","BEST_FPERIOD_OVERRIDE=FQ","FILING_STATUS=MR","SCALING_FORMAT=MLN","Sort=A","Dates=H","DateFormat=P","Fill=—","Direction=H","UseDPDF=Y")</f>
        <v>2687</v>
      </c>
      <c r="U29" s="17" cm="1">
        <f t="array" ref="U29">_xll.BDH("CMI US Equity","OTHER_INTANGIBLE_ASSETS_DETAILED","FQ1 2023","FQ1 2023","Currency=USD","Period=FQ","BEST_FPERIOD_OVERRIDE=FQ","FILING_STATUS=MR","SCALING_FORMAT=MLN","Sort=A","Dates=H","DateFormat=P","Fill=—","Direction=H","UseDPDF=Y")</f>
        <v>2640</v>
      </c>
      <c r="V29" s="17" cm="1">
        <f t="array" ref="V29">_xll.BDH("CMI US Equity","OTHER_INTANGIBLE_ASSETS_DETAILED","FQ2 2023","FQ2 2023","Currency=USD","Period=FQ","BEST_FPERIOD_OVERRIDE=FQ","FILING_STATUS=MR","SCALING_FORMAT=MLN","Sort=A","Dates=H","DateFormat=P","Fill=—","Direction=H","UseDPDF=Y")</f>
        <v>2584</v>
      </c>
      <c r="W29" s="17" cm="1">
        <f t="array" ref="W29">_xll.BDH("CMI US Equity","OTHER_INTANGIBLE_ASSETS_DETAILED","FQ3 2023","FQ3 2023","Currency=USD","Period=FQ","BEST_FPERIOD_OVERRIDE=FQ","FILING_STATUS=MR","SCALING_FORMAT=MLN","Sort=A","Dates=H","DateFormat=P","Fill=—","Direction=H","UseDPDF=Y")</f>
        <v>2518</v>
      </c>
      <c r="X29" s="17" cm="1">
        <f t="array" ref="X29">_xll.BDH("CMI US Equity","OTHER_INTANGIBLE_ASSETS_DETAILED","FQ4 2023","FQ4 2023","Currency=USD","Period=FQ","BEST_FPERIOD_OVERRIDE=FQ","FILING_STATUS=MR","SCALING_FORMAT=MLN","Sort=A","Dates=H","DateFormat=P","Fill=—","Direction=H","UseDPDF=Y")</f>
        <v>2519</v>
      </c>
      <c r="Y29" s="17" cm="1">
        <f t="array" ref="Y29">_xll.BDH("CMI US Equity","OTHER_INTANGIBLE_ASSETS_DETAILED","FQ1 2024","FQ1 2024","Currency=USD","Period=FQ","BEST_FPERIOD_OVERRIDE=FQ","FILING_STATUS=MR","SCALING_FORMAT=MLN","Sort=A","Dates=H","DateFormat=P","Fill=—","Direction=H","UseDPDF=Y")</f>
        <v>2455</v>
      </c>
      <c r="Z29" s="17" cm="1">
        <f t="array" ref="Z29">_xll.BDH("CMI US Equity","OTHER_INTANGIBLE_ASSETS_DETAILED","FQ2 2024","FQ2 2024","Currency=USD","Period=FQ","BEST_FPERIOD_OVERRIDE=FQ","FILING_STATUS=MR","SCALING_FORMAT=MLN","Sort=A","Dates=H","DateFormat=P","Fill=—","Direction=H","UseDPDF=Y")</f>
        <v>2502</v>
      </c>
      <c r="AA29" s="17" cm="1">
        <f t="array" ref="AA29">_xll.BDH("CMI US Equity","OTHER_INTANGIBLE_ASSETS_DETAILED","FQ3 2024","FQ3 2024","Currency=USD","Period=FQ","BEST_FPERIOD_OVERRIDE=FQ","FILING_STATUS=MR","SCALING_FORMAT=MLN","Sort=A","Dates=H","DateFormat=P","Fill=—","Direction=H","UseDPDF=Y")</f>
        <v>2462</v>
      </c>
      <c r="AB29" s="17" cm="1">
        <f t="array" ref="AB29">_xll.BDH("CMI US Equity","OTHER_INTANGIBLE_ASSETS_DETAILED","FQ4 2024","FQ4 2024","Currency=USD","Period=FQ","BEST_FPERIOD_OVERRIDE=FQ","FILING_STATUS=MR","SCALING_FORMAT=MLN","Sort=A","Dates=H","DateFormat=P","Fill=—","Direction=H","UseDPDF=Y")</f>
        <v>2351</v>
      </c>
      <c r="AC29" s="17" cm="1">
        <f t="array" ref="AC29">_xll.BDH("CMI US Equity","OTHER_INTANGIBLE_ASSETS_DETAILED","FQ1 2025","FQ1 2025","Currency=USD","Period=FQ","BEST_FPERIOD_OVERRIDE=FQ","FILING_STATUS=MR","SCALING_FORMAT=MLN","Sort=A","Dates=H","DateFormat=P","Fill=—","Direction=H","UseDPDF=Y")</f>
        <v>2401</v>
      </c>
      <c r="AD29" s="17" cm="1">
        <f t="array" ref="AD29">_xll.BDH("CMI US Equity","OTHER_INTANGIBLE_ASSETS_DETAILED","FQ2 2025","FQ2 2025","Currency=USD","Period=FQ","BEST_FPERIOD_OVERRIDE=FQ","FILING_STATUS=MR","SCALING_FORMAT=MLN","Sort=A","Dates=H","DateFormat=P","Fill=—","Direction=H","UseDPDF=Y")</f>
        <v>2395</v>
      </c>
      <c r="AE29" s="17" cm="1">
        <f t="array" ref="AE29">_xll.BDH("CMI US Equity","OTHER_INTANGIBLE_ASSETS_DETAILED","FQ3 2025","FQ3 2025","Currency=USD","Period=FQ","BEST_FPERIOD_OVERRIDE=FQ","FILING_STATUS=MR","SCALING_FORMAT=MLN","Sort=A","Dates=H","DateFormat=P","Fill=—","Direction=H","UseDPDF=Y")</f>
        <v>2345</v>
      </c>
      <c r="AF29" s="17" cm="1">
        <f t="array" ref="AF29">_xll.BDH("CMI US Equity","OTHER_INTANGIBLE_ASSETS_DETAILED","FQ4 2025","FQ4 2025","Currency=USD","Period=FQ","BEST_FPERIOD_OVERRIDE=FQ","FILING_STATUS=MR","SCALING_FORMAT=MLN","Sort=A","Dates=H","DateFormat=P","Fill=—","Direction=H","UseDPDF=Y")</f>
        <v>2167</v>
      </c>
    </row>
    <row r="30" spans="1:32" x14ac:dyDescent="0.25">
      <c r="A30" s="10" t="s">
        <v>112</v>
      </c>
      <c r="B30" s="10" t="s">
        <v>113</v>
      </c>
      <c r="C30" s="13" t="str" cm="1">
        <f t="array" ref="C30">_xll.BDH("CMI US Equity","BS_DEFERRED_TAX_ASSETS_LT","FQ3 2018","FQ3 2018","Currency=USD","Period=FQ","BEST_FPERIOD_OVERRIDE=FQ","FILING_STATUS=MR","SCALING_FORMAT=MLN","Sort=A","Dates=H","DateFormat=P","Fill=—","Direction=H","UseDPDF=Y")</f>
        <v>—</v>
      </c>
      <c r="D30" s="13" cm="1">
        <f t="array" ref="D30">_xll.BDH("CMI US Equity","BS_DEFERRED_TAX_ASSETS_LT","FQ4 2018","FQ4 2018","Currency=USD","Period=FQ","BEST_FPERIOD_OVERRIDE=FQ","FILING_STATUS=MR","SCALING_FORMAT=MLN","Sort=A","Dates=H","DateFormat=P","Fill=—","Direction=H","UseDPDF=Y")</f>
        <v>410</v>
      </c>
      <c r="E30" s="13" t="str" cm="1">
        <f t="array" ref="E30">_xll.BDH("CMI US Equity","BS_DEFERRED_TAX_ASSETS_LT","FQ1 2019","FQ1 2019","Currency=USD","Period=FQ","BEST_FPERIOD_OVERRIDE=FQ","FILING_STATUS=MR","SCALING_FORMAT=MLN","Sort=A","Dates=H","DateFormat=P","Fill=—","Direction=H","UseDPDF=Y")</f>
        <v>—</v>
      </c>
      <c r="F30" s="13" t="str" cm="1">
        <f t="array" ref="F30">_xll.BDH("CMI US Equity","BS_DEFERRED_TAX_ASSETS_LT","FQ2 2019","FQ2 2019","Currency=USD","Period=FQ","BEST_FPERIOD_OVERRIDE=FQ","FILING_STATUS=MR","SCALING_FORMAT=MLN","Sort=A","Dates=H","DateFormat=P","Fill=—","Direction=H","UseDPDF=Y")</f>
        <v>—</v>
      </c>
      <c r="G30" s="13" t="str" cm="1">
        <f t="array" ref="G30">_xll.BDH("CMI US Equity","BS_DEFERRED_TAX_ASSETS_LT","FQ3 2019","FQ3 2019","Currency=USD","Period=FQ","BEST_FPERIOD_OVERRIDE=FQ","FILING_STATUS=MR","SCALING_FORMAT=MLN","Sort=A","Dates=H","DateFormat=P","Fill=—","Direction=H","UseDPDF=Y")</f>
        <v>—</v>
      </c>
      <c r="H30" s="13" cm="1">
        <f t="array" ref="H30">_xll.BDH("CMI US Equity","BS_DEFERRED_TAX_ASSETS_LT","FQ4 2019","FQ4 2019","Currency=USD","Period=FQ","BEST_FPERIOD_OVERRIDE=FQ","FILING_STATUS=MR","SCALING_FORMAT=MLN","Sort=A","Dates=H","DateFormat=P","Fill=—","Direction=H","UseDPDF=Y")</f>
        <v>441</v>
      </c>
      <c r="I30" s="13" t="str" cm="1">
        <f t="array" ref="I30">_xll.BDH("CMI US Equity","BS_DEFERRED_TAX_ASSETS_LT","FQ1 2020","FQ1 2020","Currency=USD","Period=FQ","BEST_FPERIOD_OVERRIDE=FQ","FILING_STATUS=MR","SCALING_FORMAT=MLN","Sort=A","Dates=H","DateFormat=P","Fill=—","Direction=H","UseDPDF=Y")</f>
        <v>—</v>
      </c>
      <c r="J30" s="13" t="str" cm="1">
        <f t="array" ref="J30">_xll.BDH("CMI US Equity","BS_DEFERRED_TAX_ASSETS_LT","FQ2 2020","FQ2 2020","Currency=USD","Period=FQ","BEST_FPERIOD_OVERRIDE=FQ","FILING_STATUS=MR","SCALING_FORMAT=MLN","Sort=A","Dates=H","DateFormat=P","Fill=—","Direction=H","UseDPDF=Y")</f>
        <v>—</v>
      </c>
      <c r="K30" s="13" t="str" cm="1">
        <f t="array" ref="K30">_xll.BDH("CMI US Equity","BS_DEFERRED_TAX_ASSETS_LT","FQ3 2020","FQ3 2020","Currency=USD","Period=FQ","BEST_FPERIOD_OVERRIDE=FQ","FILING_STATUS=MR","SCALING_FORMAT=MLN","Sort=A","Dates=H","DateFormat=P","Fill=—","Direction=H","UseDPDF=Y")</f>
        <v>—</v>
      </c>
      <c r="L30" s="13" cm="1">
        <f t="array" ref="L30">_xll.BDH("CMI US Equity","BS_DEFERRED_TAX_ASSETS_LT","FQ4 2020","FQ4 2020","Currency=USD","Period=FQ","BEST_FPERIOD_OVERRIDE=FQ","FILING_STATUS=MR","SCALING_FORMAT=MLN","Sort=A","Dates=H","DateFormat=P","Fill=—","Direction=H","UseDPDF=Y")</f>
        <v>479</v>
      </c>
      <c r="M30" s="13" t="str" cm="1">
        <f t="array" ref="M30">_xll.BDH("CMI US Equity","BS_DEFERRED_TAX_ASSETS_LT","FQ1 2021","FQ1 2021","Currency=USD","Period=FQ","BEST_FPERIOD_OVERRIDE=FQ","FILING_STATUS=MR","SCALING_FORMAT=MLN","Sort=A","Dates=H","DateFormat=P","Fill=—","Direction=H","UseDPDF=Y")</f>
        <v>—</v>
      </c>
      <c r="N30" s="13" t="str" cm="1">
        <f t="array" ref="N30">_xll.BDH("CMI US Equity","BS_DEFERRED_TAX_ASSETS_LT","FQ2 2021","FQ2 2021","Currency=USD","Period=FQ","BEST_FPERIOD_OVERRIDE=FQ","FILING_STATUS=MR","SCALING_FORMAT=MLN","Sort=A","Dates=H","DateFormat=P","Fill=—","Direction=H","UseDPDF=Y")</f>
        <v>—</v>
      </c>
      <c r="O30" s="13" t="str" cm="1">
        <f t="array" ref="O30">_xll.BDH("CMI US Equity","BS_DEFERRED_TAX_ASSETS_LT","FQ3 2021","FQ3 2021","Currency=USD","Period=FQ","BEST_FPERIOD_OVERRIDE=FQ","FILING_STATUS=MR","SCALING_FORMAT=MLN","Sort=A","Dates=H","DateFormat=P","Fill=—","Direction=H","UseDPDF=Y")</f>
        <v>—</v>
      </c>
      <c r="P30" s="13" cm="1">
        <f t="array" ref="P30">_xll.BDH("CMI US Equity","BS_DEFERRED_TAX_ASSETS_LT","FQ4 2021","FQ4 2021","Currency=USD","Period=FQ","BEST_FPERIOD_OVERRIDE=FQ","FILING_STATUS=MR","SCALING_FORMAT=MLN","Sort=A","Dates=H","DateFormat=P","Fill=—","Direction=H","UseDPDF=Y")</f>
        <v>428</v>
      </c>
      <c r="Q30" s="13" t="str" cm="1">
        <f t="array" ref="Q30">_xll.BDH("CMI US Equity","BS_DEFERRED_TAX_ASSETS_LT","FQ1 2022","FQ1 2022","Currency=USD","Period=FQ","BEST_FPERIOD_OVERRIDE=FQ","FILING_STATUS=MR","SCALING_FORMAT=MLN","Sort=A","Dates=H","DateFormat=P","Fill=—","Direction=H","UseDPDF=Y")</f>
        <v>—</v>
      </c>
      <c r="R30" s="13" t="str" cm="1">
        <f t="array" ref="R30">_xll.BDH("CMI US Equity","BS_DEFERRED_TAX_ASSETS_LT","FQ2 2022","FQ2 2022","Currency=USD","Period=FQ","BEST_FPERIOD_OVERRIDE=FQ","FILING_STATUS=MR","SCALING_FORMAT=MLN","Sort=A","Dates=H","DateFormat=P","Fill=—","Direction=H","UseDPDF=Y")</f>
        <v>—</v>
      </c>
      <c r="S30" s="13" t="str" cm="1">
        <f t="array" ref="S30">_xll.BDH("CMI US Equity","BS_DEFERRED_TAX_ASSETS_LT","FQ3 2022","FQ3 2022","Currency=USD","Period=FQ","BEST_FPERIOD_OVERRIDE=FQ","FILING_STATUS=MR","SCALING_FORMAT=MLN","Sort=A","Dates=H","DateFormat=P","Fill=—","Direction=H","UseDPDF=Y")</f>
        <v>—</v>
      </c>
      <c r="T30" s="13" cm="1">
        <f t="array" ref="T30">_xll.BDH("CMI US Equity","BS_DEFERRED_TAX_ASSETS_LT","FQ4 2022","FQ4 2022","Currency=USD","Period=FQ","BEST_FPERIOD_OVERRIDE=FQ","FILING_STATUS=MR","SCALING_FORMAT=MLN","Sort=A","Dates=H","DateFormat=P","Fill=—","Direction=H","UseDPDF=Y")</f>
        <v>625</v>
      </c>
      <c r="U30" s="13" t="str" cm="1">
        <f t="array" ref="U30">_xll.BDH("CMI US Equity","BS_DEFERRED_TAX_ASSETS_LT","FQ1 2023","FQ1 2023","Currency=USD","Period=FQ","BEST_FPERIOD_OVERRIDE=FQ","FILING_STATUS=MR","SCALING_FORMAT=MLN","Sort=A","Dates=H","DateFormat=P","Fill=—","Direction=H","UseDPDF=Y")</f>
        <v>—</v>
      </c>
      <c r="V30" s="13" t="str" cm="1">
        <f t="array" ref="V30">_xll.BDH("CMI US Equity","BS_DEFERRED_TAX_ASSETS_LT","FQ2 2023","FQ2 2023","Currency=USD","Period=FQ","BEST_FPERIOD_OVERRIDE=FQ","FILING_STATUS=MR","SCALING_FORMAT=MLN","Sort=A","Dates=H","DateFormat=P","Fill=—","Direction=H","UseDPDF=Y")</f>
        <v>—</v>
      </c>
      <c r="W30" s="13" t="str" cm="1">
        <f t="array" ref="W30">_xll.BDH("CMI US Equity","BS_DEFERRED_TAX_ASSETS_LT","FQ3 2023","FQ3 2023","Currency=USD","Period=FQ","BEST_FPERIOD_OVERRIDE=FQ","FILING_STATUS=MR","SCALING_FORMAT=MLN","Sort=A","Dates=H","DateFormat=P","Fill=—","Direction=H","UseDPDF=Y")</f>
        <v>—</v>
      </c>
      <c r="X30" s="13" cm="1">
        <f t="array" ref="X30">_xll.BDH("CMI US Equity","BS_DEFERRED_TAX_ASSETS_LT","FQ4 2023","FQ4 2023","Currency=USD","Period=FQ","BEST_FPERIOD_OVERRIDE=FQ","FILING_STATUS=MR","SCALING_FORMAT=MLN","Sort=A","Dates=H","DateFormat=P","Fill=—","Direction=H","UseDPDF=Y")</f>
        <v>1082</v>
      </c>
      <c r="Y30" s="13" t="str" cm="1">
        <f t="array" ref="Y30">_xll.BDH("CMI US Equity","BS_DEFERRED_TAX_ASSETS_LT","FQ1 2024","FQ1 2024","Currency=USD","Period=FQ","BEST_FPERIOD_OVERRIDE=FQ","FILING_STATUS=MR","SCALING_FORMAT=MLN","Sort=A","Dates=H","DateFormat=P","Fill=—","Direction=H","UseDPDF=Y")</f>
        <v>—</v>
      </c>
      <c r="Z30" s="13" t="str" cm="1">
        <f t="array" ref="Z30">_xll.BDH("CMI US Equity","BS_DEFERRED_TAX_ASSETS_LT","FQ2 2024","FQ2 2024","Currency=USD","Period=FQ","BEST_FPERIOD_OVERRIDE=FQ","FILING_STATUS=MR","SCALING_FORMAT=MLN","Sort=A","Dates=H","DateFormat=P","Fill=—","Direction=H","UseDPDF=Y")</f>
        <v>—</v>
      </c>
      <c r="AA30" s="13" t="str" cm="1">
        <f t="array" ref="AA30">_xll.BDH("CMI US Equity","BS_DEFERRED_TAX_ASSETS_LT","FQ3 2024","FQ3 2024","Currency=USD","Period=FQ","BEST_FPERIOD_OVERRIDE=FQ","FILING_STATUS=MR","SCALING_FORMAT=MLN","Sort=A","Dates=H","DateFormat=P","Fill=—","Direction=H","UseDPDF=Y")</f>
        <v>—</v>
      </c>
      <c r="AB30" s="13" cm="1">
        <f t="array" ref="AB30">_xll.BDH("CMI US Equity","BS_DEFERRED_TAX_ASSETS_LT","FQ4 2024","FQ4 2024","Currency=USD","Period=FQ","BEST_FPERIOD_OVERRIDE=FQ","FILING_STATUS=MR","SCALING_FORMAT=MLN","Sort=A","Dates=H","DateFormat=P","Fill=—","Direction=H","UseDPDF=Y")</f>
        <v>1119</v>
      </c>
      <c r="AC30" s="13" t="str" cm="1">
        <f t="array" ref="AC30">_xll.BDH("CMI US Equity","BS_DEFERRED_TAX_ASSETS_LT","FQ1 2025","FQ1 2025","Currency=USD","Period=FQ","BEST_FPERIOD_OVERRIDE=FQ","FILING_STATUS=MR","SCALING_FORMAT=MLN","Sort=A","Dates=H","DateFormat=P","Fill=—","Direction=H","UseDPDF=Y")</f>
        <v>—</v>
      </c>
      <c r="AD30" s="13" t="str" cm="1">
        <f t="array" ref="AD30">_xll.BDH("CMI US Equity","BS_DEFERRED_TAX_ASSETS_LT","FQ2 2025","FQ2 2025","Currency=USD","Period=FQ","BEST_FPERIOD_OVERRIDE=FQ","FILING_STATUS=MR","SCALING_FORMAT=MLN","Sort=A","Dates=H","DateFormat=P","Fill=—","Direction=H","UseDPDF=Y")</f>
        <v>—</v>
      </c>
      <c r="AE30" s="13" t="str" cm="1">
        <f t="array" ref="AE30">_xll.BDH("CMI US Equity","BS_DEFERRED_TAX_ASSETS_LT","FQ3 2025","FQ3 2025","Currency=USD","Period=FQ","BEST_FPERIOD_OVERRIDE=FQ","FILING_STATUS=MR","SCALING_FORMAT=MLN","Sort=A","Dates=H","DateFormat=P","Fill=—","Direction=H","UseDPDF=Y")</f>
        <v>—</v>
      </c>
      <c r="AF30" s="13" cm="1">
        <f t="array" ref="AF30">_xll.BDH("CMI US Equity","BS_DEFERRED_TAX_ASSETS_LT","FQ4 2025","FQ4 2025","Currency=USD","Period=FQ","BEST_FPERIOD_OVERRIDE=FQ","FILING_STATUS=MR","SCALING_FORMAT=MLN","Sort=A","Dates=H","DateFormat=P","Fill=—","Direction=H","UseDPDF=Y")</f>
        <v>1063</v>
      </c>
    </row>
    <row r="31" spans="1:32" x14ac:dyDescent="0.25">
      <c r="A31" s="10" t="s">
        <v>90</v>
      </c>
      <c r="B31" s="10" t="s">
        <v>114</v>
      </c>
      <c r="C31" s="13" t="str" cm="1">
        <f t="array" ref="C31">_xll.BDH("CMI US Equity","BS_DERIV_HEDGING_ASST_LT","FQ3 2018","FQ3 2018","Currency=USD","Period=FQ","BEST_FPERIOD_OVERRIDE=FQ","FILING_STATUS=MR","SCALING_FORMAT=MLN","Sort=A","Dates=H","DateFormat=P","Fill=—","Direction=H","UseDPDF=Y")</f>
        <v>—</v>
      </c>
      <c r="D31" s="13" t="str" cm="1">
        <f t="array" ref="D31">_xll.BDH("CMI US Equity","BS_DERIV_HEDGING_ASST_LT","FQ4 2018","FQ4 2018","Currency=USD","Period=FQ","BEST_FPERIOD_OVERRIDE=FQ","FILING_STATUS=MR","SCALING_FORMAT=MLN","Sort=A","Dates=H","DateFormat=P","Fill=—","Direction=H","UseDPDF=Y")</f>
        <v>—</v>
      </c>
      <c r="E31" s="13" t="str" cm="1">
        <f t="array" ref="E31">_xll.BDH("CMI US Equity","BS_DERIV_HEDGING_ASST_LT","FQ1 2019","FQ1 2019","Currency=USD","Period=FQ","BEST_FPERIOD_OVERRIDE=FQ","FILING_STATUS=MR","SCALING_FORMAT=MLN","Sort=A","Dates=H","DateFormat=P","Fill=—","Direction=H","UseDPDF=Y")</f>
        <v>—</v>
      </c>
      <c r="F31" s="13" t="str" cm="1">
        <f t="array" ref="F31">_xll.BDH("CMI US Equity","BS_DERIV_HEDGING_ASST_LT","FQ2 2019","FQ2 2019","Currency=USD","Period=FQ","BEST_FPERIOD_OVERRIDE=FQ","FILING_STATUS=MR","SCALING_FORMAT=MLN","Sort=A","Dates=H","DateFormat=P","Fill=—","Direction=H","UseDPDF=Y")</f>
        <v>—</v>
      </c>
      <c r="G31" s="13" t="str" cm="1">
        <f t="array" ref="G31">_xll.BDH("CMI US Equity","BS_DERIV_HEDGING_ASST_LT","FQ3 2019","FQ3 2019","Currency=USD","Period=FQ","BEST_FPERIOD_OVERRIDE=FQ","FILING_STATUS=MR","SCALING_FORMAT=MLN","Sort=A","Dates=H","DateFormat=P","Fill=—","Direction=H","UseDPDF=Y")</f>
        <v>—</v>
      </c>
      <c r="H31" s="13" cm="1">
        <f t="array" ref="H31">_xll.BDH("CMI US Equity","BS_DERIV_HEDGING_ASST_LT","FQ4 2019","FQ4 2019","Currency=USD","Period=FQ","BEST_FPERIOD_OVERRIDE=FQ","FILING_STATUS=MR","SCALING_FORMAT=MLN","Sort=A","Dates=H","DateFormat=P","Fill=—","Direction=H","UseDPDF=Y")</f>
        <v>0</v>
      </c>
      <c r="I31" s="13" t="str" cm="1">
        <f t="array" ref="I31">_xll.BDH("CMI US Equity","BS_DERIV_HEDGING_ASST_LT","FQ1 2020","FQ1 2020","Currency=USD","Period=FQ","BEST_FPERIOD_OVERRIDE=FQ","FILING_STATUS=MR","SCALING_FORMAT=MLN","Sort=A","Dates=H","DateFormat=P","Fill=—","Direction=H","UseDPDF=Y")</f>
        <v>—</v>
      </c>
      <c r="J31" s="13" t="str" cm="1">
        <f t="array" ref="J31">_xll.BDH("CMI US Equity","BS_DERIV_HEDGING_ASST_LT","FQ2 2020","FQ2 2020","Currency=USD","Period=FQ","BEST_FPERIOD_OVERRIDE=FQ","FILING_STATUS=MR","SCALING_FORMAT=MLN","Sort=A","Dates=H","DateFormat=P","Fill=—","Direction=H","UseDPDF=Y")</f>
        <v>—</v>
      </c>
      <c r="K31" s="13" t="str" cm="1">
        <f t="array" ref="K31">_xll.BDH("CMI US Equity","BS_DERIV_HEDGING_ASST_LT","FQ3 2020","FQ3 2020","Currency=USD","Period=FQ","BEST_FPERIOD_OVERRIDE=FQ","FILING_STATUS=MR","SCALING_FORMAT=MLN","Sort=A","Dates=H","DateFormat=P","Fill=—","Direction=H","UseDPDF=Y")</f>
        <v>—</v>
      </c>
      <c r="L31" s="13" t="str" cm="1">
        <f t="array" ref="L31">_xll.BDH("CMI US Equity","BS_DERIV_HEDGING_ASST_LT","FQ4 2020","FQ4 2020","Currency=USD","Period=FQ","BEST_FPERIOD_OVERRIDE=FQ","FILING_STATUS=MR","SCALING_FORMAT=MLN","Sort=A","Dates=H","DateFormat=P","Fill=—","Direction=H","UseDPDF=Y")</f>
        <v>—</v>
      </c>
      <c r="M31" s="13" t="str" cm="1">
        <f t="array" ref="M31">_xll.BDH("CMI US Equity","BS_DERIV_HEDGING_ASST_LT","FQ1 2021","FQ1 2021","Currency=USD","Period=FQ","BEST_FPERIOD_OVERRIDE=FQ","FILING_STATUS=MR","SCALING_FORMAT=MLN","Sort=A","Dates=H","DateFormat=P","Fill=—","Direction=H","UseDPDF=Y")</f>
        <v>—</v>
      </c>
      <c r="N31" s="13" t="str" cm="1">
        <f t="array" ref="N31">_xll.BDH("CMI US Equity","BS_DERIV_HEDGING_ASST_LT","FQ2 2021","FQ2 2021","Currency=USD","Period=FQ","BEST_FPERIOD_OVERRIDE=FQ","FILING_STATUS=MR","SCALING_FORMAT=MLN","Sort=A","Dates=H","DateFormat=P","Fill=—","Direction=H","UseDPDF=Y")</f>
        <v>—</v>
      </c>
      <c r="O31" s="13" t="str" cm="1">
        <f t="array" ref="O31">_xll.BDH("CMI US Equity","BS_DERIV_HEDGING_ASST_LT","FQ3 2021","FQ3 2021","Currency=USD","Period=FQ","BEST_FPERIOD_OVERRIDE=FQ","FILING_STATUS=MR","SCALING_FORMAT=MLN","Sort=A","Dates=H","DateFormat=P","Fill=—","Direction=H","UseDPDF=Y")</f>
        <v>—</v>
      </c>
      <c r="P31" s="13" t="str" cm="1">
        <f t="array" ref="P31">_xll.BDH("CMI US Equity","BS_DERIV_HEDGING_ASST_LT","FQ4 2021","FQ4 2021","Currency=USD","Period=FQ","BEST_FPERIOD_OVERRIDE=FQ","FILING_STATUS=MR","SCALING_FORMAT=MLN","Sort=A","Dates=H","DateFormat=P","Fill=—","Direction=H","UseDPDF=Y")</f>
        <v>—</v>
      </c>
      <c r="Q31" s="13" t="str" cm="1">
        <f t="array" ref="Q31">_xll.BDH("CMI US Equity","BS_DERIV_HEDGING_ASST_LT","FQ1 2022","FQ1 2022","Currency=USD","Period=FQ","BEST_FPERIOD_OVERRIDE=FQ","FILING_STATUS=MR","SCALING_FORMAT=MLN","Sort=A","Dates=H","DateFormat=P","Fill=—","Direction=H","UseDPDF=Y")</f>
        <v>—</v>
      </c>
      <c r="R31" s="13" t="str" cm="1">
        <f t="array" ref="R31">_xll.BDH("CMI US Equity","BS_DERIV_HEDGING_ASST_LT","FQ2 2022","FQ2 2022","Currency=USD","Period=FQ","BEST_FPERIOD_OVERRIDE=FQ","FILING_STATUS=MR","SCALING_FORMAT=MLN","Sort=A","Dates=H","DateFormat=P","Fill=—","Direction=H","UseDPDF=Y")</f>
        <v>—</v>
      </c>
      <c r="S31" s="13" t="str" cm="1">
        <f t="array" ref="S31">_xll.BDH("CMI US Equity","BS_DERIV_HEDGING_ASST_LT","FQ3 2022","FQ3 2022","Currency=USD","Period=FQ","BEST_FPERIOD_OVERRIDE=FQ","FILING_STATUS=MR","SCALING_FORMAT=MLN","Sort=A","Dates=H","DateFormat=P","Fill=—","Direction=H","UseDPDF=Y")</f>
        <v>—</v>
      </c>
      <c r="T31" s="13" t="str" cm="1">
        <f t="array" ref="T31">_xll.BDH("CMI US Equity","BS_DERIV_HEDGING_ASST_LT","FQ4 2022","FQ4 2022","Currency=USD","Period=FQ","BEST_FPERIOD_OVERRIDE=FQ","FILING_STATUS=MR","SCALING_FORMAT=MLN","Sort=A","Dates=H","DateFormat=P","Fill=—","Direction=H","UseDPDF=Y")</f>
        <v>—</v>
      </c>
      <c r="U31" s="13" t="str" cm="1">
        <f t="array" ref="U31">_xll.BDH("CMI US Equity","BS_DERIV_HEDGING_ASST_LT","FQ1 2023","FQ1 2023","Currency=USD","Period=FQ","BEST_FPERIOD_OVERRIDE=FQ","FILING_STATUS=MR","SCALING_FORMAT=MLN","Sort=A","Dates=H","DateFormat=P","Fill=—","Direction=H","UseDPDF=Y")</f>
        <v>—</v>
      </c>
      <c r="V31" s="13" t="str" cm="1">
        <f t="array" ref="V31">_xll.BDH("CMI US Equity","BS_DERIV_HEDGING_ASST_LT","FQ2 2023","FQ2 2023","Currency=USD","Period=FQ","BEST_FPERIOD_OVERRIDE=FQ","FILING_STATUS=MR","SCALING_FORMAT=MLN","Sort=A","Dates=H","DateFormat=P","Fill=—","Direction=H","UseDPDF=Y")</f>
        <v>—</v>
      </c>
      <c r="W31" s="13" t="str" cm="1">
        <f t="array" ref="W31">_xll.BDH("CMI US Equity","BS_DERIV_HEDGING_ASST_LT","FQ3 2023","FQ3 2023","Currency=USD","Period=FQ","BEST_FPERIOD_OVERRIDE=FQ","FILING_STATUS=MR","SCALING_FORMAT=MLN","Sort=A","Dates=H","DateFormat=P","Fill=—","Direction=H","UseDPDF=Y")</f>
        <v>—</v>
      </c>
      <c r="X31" s="13" cm="1">
        <f t="array" ref="X31">_xll.BDH("CMI US Equity","BS_DERIV_HEDGING_ASST_LT","FQ4 2023","FQ4 2023","Currency=USD","Period=FQ","BEST_FPERIOD_OVERRIDE=FQ","FILING_STATUS=MR","SCALING_FORMAT=MLN","Sort=A","Dates=H","DateFormat=P","Fill=—","Direction=H","UseDPDF=Y")</f>
        <v>0</v>
      </c>
      <c r="Y31" s="13" t="str" cm="1">
        <f t="array" ref="Y31">_xll.BDH("CMI US Equity","BS_DERIV_HEDGING_ASST_LT","FQ1 2024","FQ1 2024","Currency=USD","Period=FQ","BEST_FPERIOD_OVERRIDE=FQ","FILING_STATUS=MR","SCALING_FORMAT=MLN","Sort=A","Dates=H","DateFormat=P","Fill=—","Direction=H","UseDPDF=Y")</f>
        <v>—</v>
      </c>
      <c r="Z31" s="13" t="str" cm="1">
        <f t="array" ref="Z31">_xll.BDH("CMI US Equity","BS_DERIV_HEDGING_ASST_LT","FQ2 2024","FQ2 2024","Currency=USD","Period=FQ","BEST_FPERIOD_OVERRIDE=FQ","FILING_STATUS=MR","SCALING_FORMAT=MLN","Sort=A","Dates=H","DateFormat=P","Fill=—","Direction=H","UseDPDF=Y")</f>
        <v>—</v>
      </c>
      <c r="AA31" s="13" t="str" cm="1">
        <f t="array" ref="AA31">_xll.BDH("CMI US Equity","BS_DERIV_HEDGING_ASST_LT","FQ3 2024","FQ3 2024","Currency=USD","Period=FQ","BEST_FPERIOD_OVERRIDE=FQ","FILING_STATUS=MR","SCALING_FORMAT=MLN","Sort=A","Dates=H","DateFormat=P","Fill=—","Direction=H","UseDPDF=Y")</f>
        <v>—</v>
      </c>
      <c r="AB31" s="13" t="str" cm="1">
        <f t="array" ref="AB31">_xll.BDH("CMI US Equity","BS_DERIV_HEDGING_ASST_LT","FQ4 2024","FQ4 2024","Currency=USD","Period=FQ","BEST_FPERIOD_OVERRIDE=FQ","FILING_STATUS=MR","SCALING_FORMAT=MLN","Sort=A","Dates=H","DateFormat=P","Fill=—","Direction=H","UseDPDF=Y")</f>
        <v>—</v>
      </c>
      <c r="AC31" s="13" t="str" cm="1">
        <f t="array" ref="AC31">_xll.BDH("CMI US Equity","BS_DERIV_HEDGING_ASST_LT","FQ1 2025","FQ1 2025","Currency=USD","Period=FQ","BEST_FPERIOD_OVERRIDE=FQ","FILING_STATUS=MR","SCALING_FORMAT=MLN","Sort=A","Dates=H","DateFormat=P","Fill=—","Direction=H","UseDPDF=Y")</f>
        <v>—</v>
      </c>
      <c r="AD31" s="13" t="str" cm="1">
        <f t="array" ref="AD31">_xll.BDH("CMI US Equity","BS_DERIV_HEDGING_ASST_LT","FQ2 2025","FQ2 2025","Currency=USD","Period=FQ","BEST_FPERIOD_OVERRIDE=FQ","FILING_STATUS=MR","SCALING_FORMAT=MLN","Sort=A","Dates=H","DateFormat=P","Fill=—","Direction=H","UseDPDF=Y")</f>
        <v>—</v>
      </c>
      <c r="AE31" s="13" t="str" cm="1">
        <f t="array" ref="AE31">_xll.BDH("CMI US Equity","BS_DERIV_HEDGING_ASST_LT","FQ3 2025","FQ3 2025","Currency=USD","Period=FQ","BEST_FPERIOD_OVERRIDE=FQ","FILING_STATUS=MR","SCALING_FORMAT=MLN","Sort=A","Dates=H","DateFormat=P","Fill=—","Direction=H","UseDPDF=Y")</f>
        <v>—</v>
      </c>
      <c r="AF31" s="13" t="str" cm="1">
        <f t="array" ref="AF31">_xll.BDH("CMI US Equity","BS_DERIV_HEDGING_ASST_LT","FQ4 2025","FQ4 2025","Currency=USD","Period=FQ","BEST_FPERIOD_OVERRIDE=FQ","FILING_STATUS=MR","SCALING_FORMAT=MLN","Sort=A","Dates=H","DateFormat=P","Fill=—","Direction=H","UseDPDF=Y")</f>
        <v>—</v>
      </c>
    </row>
    <row r="32" spans="1:32" x14ac:dyDescent="0.25">
      <c r="A32" s="10" t="s">
        <v>115</v>
      </c>
      <c r="B32" s="10" t="s">
        <v>116</v>
      </c>
      <c r="C32" s="13" cm="1">
        <f t="array" ref="C32">_xll.BDH("CMI US Equity","BS_PREPAID_PENSION_COSTS_LT","FQ3 2018","FQ3 2018","Currency=USD","Period=FQ","BEST_FPERIOD_OVERRIDE=FQ","FILING_STATUS=MR","SCALING_FORMAT=MLN","Sort=A","Dates=H","DateFormat=P","Fill=—","Direction=H","UseDPDF=Y")</f>
        <v>1022</v>
      </c>
      <c r="D32" s="13" cm="1">
        <f t="array" ref="D32">_xll.BDH("CMI US Equity","BS_PREPAID_PENSION_COSTS_LT","FQ4 2018","FQ4 2018","Currency=USD","Period=FQ","BEST_FPERIOD_OVERRIDE=FQ","FILING_STATUS=MR","SCALING_FORMAT=MLN","Sort=A","Dates=H","DateFormat=P","Fill=—","Direction=H","UseDPDF=Y")</f>
        <v>929</v>
      </c>
      <c r="E32" s="13" cm="1">
        <f t="array" ref="E32">_xll.BDH("CMI US Equity","BS_PREPAID_PENSION_COSTS_LT","FQ1 2019","FQ1 2019","Currency=USD","Period=FQ","BEST_FPERIOD_OVERRIDE=FQ","FILING_STATUS=MR","SCALING_FORMAT=MLN","Sort=A","Dates=H","DateFormat=P","Fill=—","Direction=H","UseDPDF=Y")</f>
        <v>939</v>
      </c>
      <c r="F32" s="13" cm="1">
        <f t="array" ref="F32">_xll.BDH("CMI US Equity","BS_PREPAID_PENSION_COSTS_LT","FQ2 2019","FQ2 2019","Currency=USD","Period=FQ","BEST_FPERIOD_OVERRIDE=FQ","FILING_STATUS=MR","SCALING_FORMAT=MLN","Sort=A","Dates=H","DateFormat=P","Fill=—","Direction=H","UseDPDF=Y")</f>
        <v>960</v>
      </c>
      <c r="G32" s="13" cm="1">
        <f t="array" ref="G32">_xll.BDH("CMI US Equity","BS_PREPAID_PENSION_COSTS_LT","FQ3 2019","FQ3 2019","Currency=USD","Period=FQ","BEST_FPERIOD_OVERRIDE=FQ","FILING_STATUS=MR","SCALING_FORMAT=MLN","Sort=A","Dates=H","DateFormat=P","Fill=—","Direction=H","UseDPDF=Y")</f>
        <v>970</v>
      </c>
      <c r="H32" s="13" cm="1">
        <f t="array" ref="H32">_xll.BDH("CMI US Equity","BS_PREPAID_PENSION_COSTS_LT","FQ4 2019","FQ4 2019","Currency=USD","Period=FQ","BEST_FPERIOD_OVERRIDE=FQ","FILING_STATUS=MR","SCALING_FORMAT=MLN","Sort=A","Dates=H","DateFormat=P","Fill=—","Direction=H","UseDPDF=Y")</f>
        <v>1001</v>
      </c>
      <c r="I32" s="13" cm="1">
        <f t="array" ref="I32">_xll.BDH("CMI US Equity","BS_PREPAID_PENSION_COSTS_LT","FQ1 2020","FQ1 2020","Currency=USD","Period=FQ","BEST_FPERIOD_OVERRIDE=FQ","FILING_STATUS=MR","SCALING_FORMAT=MLN","Sort=A","Dates=H","DateFormat=P","Fill=—","Direction=H","UseDPDF=Y")</f>
        <v>989</v>
      </c>
      <c r="J32" s="13" cm="1">
        <f t="array" ref="J32">_xll.BDH("CMI US Equity","BS_PREPAID_PENSION_COSTS_LT","FQ2 2020","FQ2 2020","Currency=USD","Period=FQ","BEST_FPERIOD_OVERRIDE=FQ","FILING_STATUS=MR","SCALING_FORMAT=MLN","Sort=A","Dates=H","DateFormat=P","Fill=—","Direction=H","UseDPDF=Y")</f>
        <v>998</v>
      </c>
      <c r="K32" s="13" cm="1">
        <f t="array" ref="K32">_xll.BDH("CMI US Equity","BS_PREPAID_PENSION_COSTS_LT","FQ3 2020","FQ3 2020","Currency=USD","Period=FQ","BEST_FPERIOD_OVERRIDE=FQ","FILING_STATUS=MR","SCALING_FORMAT=MLN","Sort=A","Dates=H","DateFormat=P","Fill=—","Direction=H","UseDPDF=Y")</f>
        <v>1010</v>
      </c>
      <c r="L32" s="13" cm="1">
        <f t="array" ref="L32">_xll.BDH("CMI US Equity","BS_PREPAID_PENSION_COSTS_LT","FQ4 2020","FQ4 2020","Currency=USD","Period=FQ","BEST_FPERIOD_OVERRIDE=FQ","FILING_STATUS=MR","SCALING_FORMAT=MLN","Sort=A","Dates=H","DateFormat=P","Fill=—","Direction=H","UseDPDF=Y")</f>
        <v>1042</v>
      </c>
      <c r="M32" s="13" cm="1">
        <f t="array" ref="M32">_xll.BDH("CMI US Equity","BS_PREPAID_PENSION_COSTS_LT","FQ1 2021","FQ1 2021","Currency=USD","Period=FQ","BEST_FPERIOD_OVERRIDE=FQ","FILING_STATUS=MR","SCALING_FORMAT=MLN","Sort=A","Dates=H","DateFormat=P","Fill=—","Direction=H","UseDPDF=Y")</f>
        <v>1085</v>
      </c>
      <c r="N32" s="13" cm="1">
        <f t="array" ref="N32">_xll.BDH("CMI US Equity","BS_PREPAID_PENSION_COSTS_LT","FQ2 2021","FQ2 2021","Currency=USD","Period=FQ","BEST_FPERIOD_OVERRIDE=FQ","FILING_STATUS=MR","SCALING_FORMAT=MLN","Sort=A","Dates=H","DateFormat=P","Fill=—","Direction=H","UseDPDF=Y")</f>
        <v>1096</v>
      </c>
      <c r="O32" s="13" cm="1">
        <f t="array" ref="O32">_xll.BDH("CMI US Equity","BS_PREPAID_PENSION_COSTS_LT","FQ3 2021","FQ3 2021","Currency=USD","Period=FQ","BEST_FPERIOD_OVERRIDE=FQ","FILING_STATUS=MR","SCALING_FORMAT=MLN","Sort=A","Dates=H","DateFormat=P","Fill=—","Direction=H","UseDPDF=Y")</f>
        <v>1100</v>
      </c>
      <c r="P32" s="13" cm="1">
        <f t="array" ref="P32">_xll.BDH("CMI US Equity","BS_PREPAID_PENSION_COSTS_LT","FQ4 2021","FQ4 2021","Currency=USD","Period=FQ","BEST_FPERIOD_OVERRIDE=FQ","FILING_STATUS=MR","SCALING_FORMAT=MLN","Sort=A","Dates=H","DateFormat=P","Fill=—","Direction=H","UseDPDF=Y")</f>
        <v>1488</v>
      </c>
      <c r="Q32" s="13" cm="1">
        <f t="array" ref="Q32">_xll.BDH("CMI US Equity","BS_PREPAID_PENSION_COSTS_LT","FQ1 2022","FQ1 2022","Currency=USD","Period=FQ","BEST_FPERIOD_OVERRIDE=FQ","FILING_STATUS=MR","SCALING_FORMAT=MLN","Sort=A","Dates=H","DateFormat=P","Fill=—","Direction=H","UseDPDF=Y")</f>
        <v>1506</v>
      </c>
      <c r="R32" s="13" cm="1">
        <f t="array" ref="R32">_xll.BDH("CMI US Equity","BS_PREPAID_PENSION_COSTS_LT","FQ2 2022","FQ2 2022","Currency=USD","Period=FQ","BEST_FPERIOD_OVERRIDE=FQ","FILING_STATUS=MR","SCALING_FORMAT=MLN","Sort=A","Dates=H","DateFormat=P","Fill=—","Direction=H","UseDPDF=Y")</f>
        <v>1461</v>
      </c>
      <c r="S32" s="13" cm="1">
        <f t="array" ref="S32">_xll.BDH("CMI US Equity","BS_PREPAID_PENSION_COSTS_LT","FQ3 2022","FQ3 2022","Currency=USD","Period=FQ","BEST_FPERIOD_OVERRIDE=FQ","FILING_STATUS=MR","SCALING_FORMAT=MLN","Sort=A","Dates=H","DateFormat=P","Fill=—","Direction=H","UseDPDF=Y")</f>
        <v>1536</v>
      </c>
      <c r="T32" s="13" cm="1">
        <f t="array" ref="T32">_xll.BDH("CMI US Equity","BS_PREPAID_PENSION_COSTS_LT","FQ4 2022","FQ4 2022","Currency=USD","Period=FQ","BEST_FPERIOD_OVERRIDE=FQ","FILING_STATUS=MR","SCALING_FORMAT=MLN","Sort=A","Dates=H","DateFormat=P","Fill=—","Direction=H","UseDPDF=Y")</f>
        <v>1398</v>
      </c>
      <c r="U32" s="13" cm="1">
        <f t="array" ref="U32">_xll.BDH("CMI US Equity","BS_PREPAID_PENSION_COSTS_LT","FQ1 2023","FQ1 2023","Currency=USD","Period=FQ","BEST_FPERIOD_OVERRIDE=FQ","FILING_STATUS=MR","SCALING_FORMAT=MLN","Sort=A","Dates=H","DateFormat=P","Fill=—","Direction=H","UseDPDF=Y")</f>
        <v>1496</v>
      </c>
      <c r="V32" s="13" cm="1">
        <f t="array" ref="V32">_xll.BDH("CMI US Equity","BS_PREPAID_PENSION_COSTS_LT","FQ2 2023","FQ2 2023","Currency=USD","Period=FQ","BEST_FPERIOD_OVERRIDE=FQ","FILING_STATUS=MR","SCALING_FORMAT=MLN","Sort=A","Dates=H","DateFormat=P","Fill=—","Direction=H","UseDPDF=Y")</f>
        <v>1523</v>
      </c>
      <c r="W32" s="13" cm="1">
        <f t="array" ref="W32">_xll.BDH("CMI US Equity","BS_PREPAID_PENSION_COSTS_LT","FQ3 2023","FQ3 2023","Currency=USD","Period=FQ","BEST_FPERIOD_OVERRIDE=FQ","FILING_STATUS=MR","SCALING_FORMAT=MLN","Sort=A","Dates=H","DateFormat=P","Fill=—","Direction=H","UseDPDF=Y")</f>
        <v>1500</v>
      </c>
      <c r="X32" s="13" cm="1">
        <f t="array" ref="X32">_xll.BDH("CMI US Equity","BS_PREPAID_PENSION_COSTS_LT","FQ4 2023","FQ4 2023","Currency=USD","Period=FQ","BEST_FPERIOD_OVERRIDE=FQ","FILING_STATUS=MR","SCALING_FORMAT=MLN","Sort=A","Dates=H","DateFormat=P","Fill=—","Direction=H","UseDPDF=Y")</f>
        <v>1197</v>
      </c>
      <c r="Y32" s="13" cm="1">
        <f t="array" ref="Y32">_xll.BDH("CMI US Equity","BS_PREPAID_PENSION_COSTS_LT","FQ1 2024","FQ1 2024","Currency=USD","Period=FQ","BEST_FPERIOD_OVERRIDE=FQ","FILING_STATUS=MR","SCALING_FORMAT=MLN","Sort=A","Dates=H","DateFormat=P","Fill=—","Direction=H","UseDPDF=Y")</f>
        <v>1187</v>
      </c>
      <c r="Z32" s="13" cm="1">
        <f t="array" ref="Z32">_xll.BDH("CMI US Equity","BS_PREPAID_PENSION_COSTS_LT","FQ2 2024","FQ2 2024","Currency=USD","Period=FQ","BEST_FPERIOD_OVERRIDE=FQ","FILING_STATUS=MR","SCALING_FORMAT=MLN","Sort=A","Dates=H","DateFormat=P","Fill=—","Direction=H","UseDPDF=Y")</f>
        <v>1192</v>
      </c>
      <c r="AA32" s="13" cm="1">
        <f t="array" ref="AA32">_xll.BDH("CMI US Equity","BS_PREPAID_PENSION_COSTS_LT","FQ3 2024","FQ3 2024","Currency=USD","Period=FQ","BEST_FPERIOD_OVERRIDE=FQ","FILING_STATUS=MR","SCALING_FORMAT=MLN","Sort=A","Dates=H","DateFormat=P","Fill=—","Direction=H","UseDPDF=Y")</f>
        <v>1208</v>
      </c>
      <c r="AB32" s="13" cm="1">
        <f t="array" ref="AB32">_xll.BDH("CMI US Equity","BS_PREPAID_PENSION_COSTS_LT","FQ4 2024","FQ4 2024","Currency=USD","Period=FQ","BEST_FPERIOD_OVERRIDE=FQ","FILING_STATUS=MR","SCALING_FORMAT=MLN","Sort=A","Dates=H","DateFormat=P","Fill=—","Direction=H","UseDPDF=Y")</f>
        <v>1189</v>
      </c>
      <c r="AC32" s="13" cm="1">
        <f t="array" ref="AC32">_xll.BDH("CMI US Equity","BS_PREPAID_PENSION_COSTS_LT","FQ1 2025","FQ1 2025","Currency=USD","Period=FQ","BEST_FPERIOD_OVERRIDE=FQ","FILING_STATUS=MR","SCALING_FORMAT=MLN","Sort=A","Dates=H","DateFormat=P","Fill=—","Direction=H","UseDPDF=Y")</f>
        <v>1150</v>
      </c>
      <c r="AD32" s="13" cm="1">
        <f t="array" ref="AD32">_xll.BDH("CMI US Equity","BS_PREPAID_PENSION_COSTS_LT","FQ2 2025","FQ2 2025","Currency=USD","Period=FQ","BEST_FPERIOD_OVERRIDE=FQ","FILING_STATUS=MR","SCALING_FORMAT=MLN","Sort=A","Dates=H","DateFormat=P","Fill=—","Direction=H","UseDPDF=Y")</f>
        <v>1158</v>
      </c>
      <c r="AE32" s="13" cm="1">
        <f t="array" ref="AE32">_xll.BDH("CMI US Equity","BS_PREPAID_PENSION_COSTS_LT","FQ3 2025","FQ3 2025","Currency=USD","Period=FQ","BEST_FPERIOD_OVERRIDE=FQ","FILING_STATUS=MR","SCALING_FORMAT=MLN","Sort=A","Dates=H","DateFormat=P","Fill=—","Direction=H","UseDPDF=Y")</f>
        <v>1157</v>
      </c>
      <c r="AF32" s="13" cm="1">
        <f t="array" ref="AF32">_xll.BDH("CMI US Equity","BS_PREPAID_PENSION_COSTS_LT","FQ4 2025","FQ4 2025","Currency=USD","Period=FQ","BEST_FPERIOD_OVERRIDE=FQ","FILING_STATUS=MR","SCALING_FORMAT=MLN","Sort=A","Dates=H","DateFormat=P","Fill=—","Direction=H","UseDPDF=Y")</f>
        <v>1033</v>
      </c>
    </row>
    <row r="33" spans="1:32" x14ac:dyDescent="0.25">
      <c r="A33" s="10" t="s">
        <v>117</v>
      </c>
      <c r="B33" s="10" t="s">
        <v>118</v>
      </c>
      <c r="C33" s="13" cm="1">
        <f t="array" ref="C33">_xll.BDH("CMI US Equity","BS_INVEST_IN_ASSOC_CO","FQ3 2018","FQ3 2018","Currency=USD","Period=FQ","BEST_FPERIOD_OVERRIDE=FQ","FILING_STATUS=MR","SCALING_FORMAT=MLN","Sort=A","Dates=H","DateFormat=P","Fill=—","Direction=H","UseDPDF=Y")</f>
        <v>1255</v>
      </c>
      <c r="D33" s="13" cm="1">
        <f t="array" ref="D33">_xll.BDH("CMI US Equity","BS_INVEST_IN_ASSOC_CO","FQ4 2018","FQ4 2018","Currency=USD","Period=FQ","BEST_FPERIOD_OVERRIDE=FQ","FILING_STATUS=MR","SCALING_FORMAT=MLN","Sort=A","Dates=H","DateFormat=P","Fill=—","Direction=H","UseDPDF=Y")</f>
        <v>1222</v>
      </c>
      <c r="E33" s="13" cm="1">
        <f t="array" ref="E33">_xll.BDH("CMI US Equity","BS_INVEST_IN_ASSOC_CO","FQ1 2019","FQ1 2019","Currency=USD","Period=FQ","BEST_FPERIOD_OVERRIDE=FQ","FILING_STATUS=MR","SCALING_FORMAT=MLN","Sort=A","Dates=H","DateFormat=P","Fill=—","Direction=H","UseDPDF=Y")</f>
        <v>1303</v>
      </c>
      <c r="F33" s="13" cm="1">
        <f t="array" ref="F33">_xll.BDH("CMI US Equity","BS_INVEST_IN_ASSOC_CO","FQ2 2019","FQ2 2019","Currency=USD","Period=FQ","BEST_FPERIOD_OVERRIDE=FQ","FILING_STATUS=MR","SCALING_FORMAT=MLN","Sort=A","Dates=H","DateFormat=P","Fill=—","Direction=H","UseDPDF=Y")</f>
        <v>1274</v>
      </c>
      <c r="G33" s="13" cm="1">
        <f t="array" ref="G33">_xll.BDH("CMI US Equity","BS_INVEST_IN_ASSOC_CO","FQ3 2019","FQ3 2019","Currency=USD","Period=FQ","BEST_FPERIOD_OVERRIDE=FQ","FILING_STATUS=MR","SCALING_FORMAT=MLN","Sort=A","Dates=H","DateFormat=P","Fill=—","Direction=H","UseDPDF=Y")</f>
        <v>1250</v>
      </c>
      <c r="H33" s="13" cm="1">
        <f t="array" ref="H33">_xll.BDH("CMI US Equity","BS_INVEST_IN_ASSOC_CO","FQ4 2019","FQ4 2019","Currency=USD","Period=FQ","BEST_FPERIOD_OVERRIDE=FQ","FILING_STATUS=MR","SCALING_FORMAT=MLN","Sort=A","Dates=H","DateFormat=P","Fill=—","Direction=H","UseDPDF=Y")</f>
        <v>1237</v>
      </c>
      <c r="I33" s="13" cm="1">
        <f t="array" ref="I33">_xll.BDH("CMI US Equity","BS_INVEST_IN_ASSOC_CO","FQ1 2020","FQ1 2020","Currency=USD","Period=FQ","BEST_FPERIOD_OVERRIDE=FQ","FILING_STATUS=MR","SCALING_FORMAT=MLN","Sort=A","Dates=H","DateFormat=P","Fill=—","Direction=H","UseDPDF=Y")</f>
        <v>1304</v>
      </c>
      <c r="J33" s="13" cm="1">
        <f t="array" ref="J33">_xll.BDH("CMI US Equity","BS_INVEST_IN_ASSOC_CO","FQ2 2020","FQ2 2020","Currency=USD","Period=FQ","BEST_FPERIOD_OVERRIDE=FQ","FILING_STATUS=MR","SCALING_FORMAT=MLN","Sort=A","Dates=H","DateFormat=P","Fill=—","Direction=H","UseDPDF=Y")</f>
        <v>1362</v>
      </c>
      <c r="K33" s="13" cm="1">
        <f t="array" ref="K33">_xll.BDH("CMI US Equity","BS_INVEST_IN_ASSOC_CO","FQ3 2020","FQ3 2020","Currency=USD","Period=FQ","BEST_FPERIOD_OVERRIDE=FQ","FILING_STATUS=MR","SCALING_FORMAT=MLN","Sort=A","Dates=H","DateFormat=P","Fill=—","Direction=H","UseDPDF=Y")</f>
        <v>1418</v>
      </c>
      <c r="L33" s="13" cm="1">
        <f t="array" ref="L33">_xll.BDH("CMI US Equity","BS_INVEST_IN_ASSOC_CO","FQ4 2020","FQ4 2020","Currency=USD","Period=FQ","BEST_FPERIOD_OVERRIDE=FQ","FILING_STATUS=MR","SCALING_FORMAT=MLN","Sort=A","Dates=H","DateFormat=P","Fill=—","Direction=H","UseDPDF=Y")</f>
        <v>1441</v>
      </c>
      <c r="M33" s="13" cm="1">
        <f t="array" ref="M33">_xll.BDH("CMI US Equity","BS_INVEST_IN_ASSOC_CO","FQ1 2021","FQ1 2021","Currency=USD","Period=FQ","BEST_FPERIOD_OVERRIDE=FQ","FILING_STATUS=MR","SCALING_FORMAT=MLN","Sort=A","Dates=H","DateFormat=P","Fill=—","Direction=H","UseDPDF=Y")</f>
        <v>1592</v>
      </c>
      <c r="N33" s="13" cm="1">
        <f t="array" ref="N33">_xll.BDH("CMI US Equity","BS_INVEST_IN_ASSOC_CO","FQ2 2021","FQ2 2021","Currency=USD","Period=FQ","BEST_FPERIOD_OVERRIDE=FQ","FILING_STATUS=MR","SCALING_FORMAT=MLN","Sort=A","Dates=H","DateFormat=P","Fill=—","Direction=H","UseDPDF=Y")</f>
        <v>1494</v>
      </c>
      <c r="O33" s="13" cm="1">
        <f t="array" ref="O33">_xll.BDH("CMI US Equity","BS_INVEST_IN_ASSOC_CO","FQ3 2021","FQ3 2021","Currency=USD","Period=FQ","BEST_FPERIOD_OVERRIDE=FQ","FILING_STATUS=MR","SCALING_FORMAT=MLN","Sort=A","Dates=H","DateFormat=P","Fill=—","Direction=H","UseDPDF=Y")</f>
        <v>1543</v>
      </c>
      <c r="P33" s="13" cm="1">
        <f t="array" ref="P33">_xll.BDH("CMI US Equity","BS_INVEST_IN_ASSOC_CO","FQ4 2021","FQ4 2021","Currency=USD","Period=FQ","BEST_FPERIOD_OVERRIDE=FQ","FILING_STATUS=MR","SCALING_FORMAT=MLN","Sort=A","Dates=H","DateFormat=P","Fill=—","Direction=H","UseDPDF=Y")</f>
        <v>1538</v>
      </c>
      <c r="Q33" s="13" cm="1">
        <f t="array" ref="Q33">_xll.BDH("CMI US Equity","BS_INVEST_IN_ASSOC_CO","FQ1 2022","FQ1 2022","Currency=USD","Period=FQ","BEST_FPERIOD_OVERRIDE=FQ","FILING_STATUS=MR","SCALING_FORMAT=MLN","Sort=A","Dates=H","DateFormat=P","Fill=—","Direction=H","UseDPDF=Y")</f>
        <v>1592</v>
      </c>
      <c r="R33" s="13" cm="1">
        <f t="array" ref="R33">_xll.BDH("CMI US Equity","BS_INVEST_IN_ASSOC_CO","FQ2 2022","FQ2 2022","Currency=USD","Period=FQ","BEST_FPERIOD_OVERRIDE=FQ","FILING_STATUS=MR","SCALING_FORMAT=MLN","Sort=A","Dates=H","DateFormat=P","Fill=—","Direction=H","UseDPDF=Y")</f>
        <v>1544</v>
      </c>
      <c r="S33" s="13" cm="1">
        <f t="array" ref="S33">_xll.BDH("CMI US Equity","BS_INVEST_IN_ASSOC_CO","FQ3 2022","FQ3 2022","Currency=USD","Period=FQ","BEST_FPERIOD_OVERRIDE=FQ","FILING_STATUS=MR","SCALING_FORMAT=MLN","Sort=A","Dates=H","DateFormat=P","Fill=—","Direction=H","UseDPDF=Y")</f>
        <v>1826</v>
      </c>
      <c r="T33" s="13" cm="1">
        <f t="array" ref="T33">_xll.BDH("CMI US Equity","BS_INVEST_IN_ASSOC_CO","FQ4 2022","FQ4 2022","Currency=USD","Period=FQ","BEST_FPERIOD_OVERRIDE=FQ","FILING_STATUS=MR","SCALING_FORMAT=MLN","Sort=A","Dates=H","DateFormat=P","Fill=—","Direction=H","UseDPDF=Y")</f>
        <v>1759</v>
      </c>
      <c r="U33" s="13" cm="1">
        <f t="array" ref="U33">_xll.BDH("CMI US Equity","BS_INVEST_IN_ASSOC_CO","FQ1 2023","FQ1 2023","Currency=USD","Period=FQ","BEST_FPERIOD_OVERRIDE=FQ","FILING_STATUS=MR","SCALING_FORMAT=MLN","Sort=A","Dates=H","DateFormat=P","Fill=—","Direction=H","UseDPDF=Y")</f>
        <v>1860</v>
      </c>
      <c r="V33" s="13" cm="1">
        <f t="array" ref="V33">_xll.BDH("CMI US Equity","BS_INVEST_IN_ASSOC_CO","FQ2 2023","FQ2 2023","Currency=USD","Period=FQ","BEST_FPERIOD_OVERRIDE=FQ","FILING_STATUS=MR","SCALING_FORMAT=MLN","Sort=A","Dates=H","DateFormat=P","Fill=—","Direction=H","UseDPDF=Y")</f>
        <v>1861</v>
      </c>
      <c r="W33" s="13" cm="1">
        <f t="array" ref="W33">_xll.BDH("CMI US Equity","BS_INVEST_IN_ASSOC_CO","FQ3 2023","FQ3 2023","Currency=USD","Period=FQ","BEST_FPERIOD_OVERRIDE=FQ","FILING_STATUS=MR","SCALING_FORMAT=MLN","Sort=A","Dates=H","DateFormat=P","Fill=—","Direction=H","UseDPDF=Y")</f>
        <v>1785</v>
      </c>
      <c r="X33" s="13" cm="1">
        <f t="array" ref="X33">_xll.BDH("CMI US Equity","BS_INVEST_IN_ASSOC_CO","FQ4 2023","FQ4 2023","Currency=USD","Period=FQ","BEST_FPERIOD_OVERRIDE=FQ","FILING_STATUS=MR","SCALING_FORMAT=MLN","Sort=A","Dates=H","DateFormat=P","Fill=—","Direction=H","UseDPDF=Y")</f>
        <v>1800</v>
      </c>
      <c r="Y33" s="13" cm="1">
        <f t="array" ref="Y33">_xll.BDH("CMI US Equity","BS_INVEST_IN_ASSOC_CO","FQ1 2024","FQ1 2024","Currency=USD","Period=FQ","BEST_FPERIOD_OVERRIDE=FQ","FILING_STATUS=MR","SCALING_FORMAT=MLN","Sort=A","Dates=H","DateFormat=P","Fill=—","Direction=H","UseDPDF=Y")</f>
        <v>1774</v>
      </c>
      <c r="Z33" s="13" cm="1">
        <f t="array" ref="Z33">_xll.BDH("CMI US Equity","BS_INVEST_IN_ASSOC_CO","FQ2 2024","FQ2 2024","Currency=USD","Period=FQ","BEST_FPERIOD_OVERRIDE=FQ","FILING_STATUS=MR","SCALING_FORMAT=MLN","Sort=A","Dates=H","DateFormat=P","Fill=—","Direction=H","UseDPDF=Y")</f>
        <v>1828</v>
      </c>
      <c r="AA33" s="13" cm="1">
        <f t="array" ref="AA33">_xll.BDH("CMI US Equity","BS_INVEST_IN_ASSOC_CO","FQ3 2024","FQ3 2024","Currency=USD","Period=FQ","BEST_FPERIOD_OVERRIDE=FQ","FILING_STATUS=MR","SCALING_FORMAT=MLN","Sort=A","Dates=H","DateFormat=P","Fill=—","Direction=H","UseDPDF=Y")</f>
        <v>1922</v>
      </c>
      <c r="AB33" s="13" cm="1">
        <f t="array" ref="AB33">_xll.BDH("CMI US Equity","BS_INVEST_IN_ASSOC_CO","FQ4 2024","FQ4 2024","Currency=USD","Period=FQ","BEST_FPERIOD_OVERRIDE=FQ","FILING_STATUS=MR","SCALING_FORMAT=MLN","Sort=A","Dates=H","DateFormat=P","Fill=—","Direction=H","UseDPDF=Y")</f>
        <v>1889</v>
      </c>
      <c r="AC33" s="13" cm="1">
        <f t="array" ref="AC33">_xll.BDH("CMI US Equity","BS_INVEST_IN_ASSOC_CO","FQ1 2025","FQ1 2025","Currency=USD","Period=FQ","BEST_FPERIOD_OVERRIDE=FQ","FILING_STATUS=MR","SCALING_FORMAT=MLN","Sort=A","Dates=H","DateFormat=P","Fill=—","Direction=H","UseDPDF=Y")</f>
        <v>1990</v>
      </c>
      <c r="AD33" s="13" cm="1">
        <f t="array" ref="AD33">_xll.BDH("CMI US Equity","BS_INVEST_IN_ASSOC_CO","FQ2 2025","FQ2 2025","Currency=USD","Period=FQ","BEST_FPERIOD_OVERRIDE=FQ","FILING_STATUS=MR","SCALING_FORMAT=MLN","Sort=A","Dates=H","DateFormat=P","Fill=—","Direction=H","UseDPDF=Y")</f>
        <v>2018</v>
      </c>
      <c r="AE33" s="13" cm="1">
        <f t="array" ref="AE33">_xll.BDH("CMI US Equity","BS_INVEST_IN_ASSOC_CO","FQ3 2025","FQ3 2025","Currency=USD","Period=FQ","BEST_FPERIOD_OVERRIDE=FQ","FILING_STATUS=MR","SCALING_FORMAT=MLN","Sort=A","Dates=H","DateFormat=P","Fill=—","Direction=H","UseDPDF=Y")</f>
        <v>1972</v>
      </c>
      <c r="AF33" s="13" cm="1">
        <f t="array" ref="AF33">_xll.BDH("CMI US Equity","BS_INVEST_IN_ASSOC_CO","FQ4 2025","FQ4 2025","Currency=USD","Period=FQ","BEST_FPERIOD_OVERRIDE=FQ","FILING_STATUS=MR","SCALING_FORMAT=MLN","Sort=A","Dates=H","DateFormat=P","Fill=—","Direction=H","UseDPDF=Y")</f>
        <v>2133</v>
      </c>
    </row>
    <row r="34" spans="1:32" x14ac:dyDescent="0.25">
      <c r="A34" s="10" t="s">
        <v>119</v>
      </c>
      <c r="B34" s="10" t="s">
        <v>120</v>
      </c>
      <c r="C34" s="13" cm="1">
        <f t="array" ref="C34">_xll.BDH("CMI US Equity","OTHER_NONCURRENT_ASSETS_DETAILED","FQ3 2018","FQ3 2018","Currency=USD","Period=FQ","BEST_FPERIOD_OVERRIDE=FQ","FILING_STATUS=MR","SCALING_FORMAT=MLN","Sort=A","Dates=H","DateFormat=P","Fill=—","Direction=H","UseDPDF=Y")</f>
        <v>922</v>
      </c>
      <c r="D34" s="13" cm="1">
        <f t="array" ref="D34">_xll.BDH("CMI US Equity","OTHER_NONCURRENT_ASSETS_DETAILED","FQ4 2018","FQ4 2018","Currency=USD","Period=FQ","BEST_FPERIOD_OVERRIDE=FQ","FILING_STATUS=MR","SCALING_FORMAT=MLN","Sort=A","Dates=H","DateFormat=P","Fill=—","Direction=H","UseDPDF=Y")</f>
        <v>552</v>
      </c>
      <c r="E34" s="13" cm="1">
        <f t="array" ref="E34">_xll.BDH("CMI US Equity","OTHER_NONCURRENT_ASSETS_DETAILED","FQ1 2019","FQ1 2019","Currency=USD","Period=FQ","BEST_FPERIOD_OVERRIDE=FQ","FILING_STATUS=MR","SCALING_FORMAT=MLN","Sort=A","Dates=H","DateFormat=P","Fill=—","Direction=H","UseDPDF=Y")</f>
        <v>1011</v>
      </c>
      <c r="F34" s="13" cm="1">
        <f t="array" ref="F34">_xll.BDH("CMI US Equity","OTHER_NONCURRENT_ASSETS_DETAILED","FQ2 2019","FQ2 2019","Currency=USD","Period=FQ","BEST_FPERIOD_OVERRIDE=FQ","FILING_STATUS=MR","SCALING_FORMAT=MLN","Sort=A","Dates=H","DateFormat=P","Fill=—","Direction=H","UseDPDF=Y")</f>
        <v>1033</v>
      </c>
      <c r="G34" s="13" cm="1">
        <f t="array" ref="G34">_xll.BDH("CMI US Equity","OTHER_NONCURRENT_ASSETS_DETAILED","FQ3 2019","FQ3 2019","Currency=USD","Period=FQ","BEST_FPERIOD_OVERRIDE=FQ","FILING_STATUS=MR","SCALING_FORMAT=MLN","Sort=A","Dates=H","DateFormat=P","Fill=—","Direction=H","UseDPDF=Y")</f>
        <v>1086</v>
      </c>
      <c r="H34" s="13" cm="1">
        <f t="array" ref="H34">_xll.BDH("CMI US Equity","OTHER_NONCURRENT_ASSETS_DETAILED","FQ4 2019","FQ4 2019","Currency=USD","Period=FQ","BEST_FPERIOD_OVERRIDE=FQ","FILING_STATUS=MR","SCALING_FORMAT=MLN","Sort=A","Dates=H","DateFormat=P","Fill=—","Direction=H","UseDPDF=Y")</f>
        <v>641</v>
      </c>
      <c r="I34" s="13" cm="1">
        <f t="array" ref="I34">_xll.BDH("CMI US Equity","OTHER_NONCURRENT_ASSETS_DETAILED","FQ1 2020","FQ1 2020","Currency=USD","Period=FQ","BEST_FPERIOD_OVERRIDE=FQ","FILING_STATUS=MR","SCALING_FORMAT=MLN","Sort=A","Dates=H","DateFormat=P","Fill=—","Direction=H","UseDPDF=Y")</f>
        <v>1617</v>
      </c>
      <c r="J34" s="13" cm="1">
        <f t="array" ref="J34">_xll.BDH("CMI US Equity","OTHER_NONCURRENT_ASSETS_DETAILED","FQ2 2020","FQ2 2020","Currency=USD","Period=FQ","BEST_FPERIOD_OVERRIDE=FQ","FILING_STATUS=MR","SCALING_FORMAT=MLN","Sort=A","Dates=H","DateFormat=P","Fill=—","Direction=H","UseDPDF=Y")</f>
        <v>1752</v>
      </c>
      <c r="K34" s="13" cm="1">
        <f t="array" ref="K34">_xll.BDH("CMI US Equity","OTHER_NONCURRENT_ASSETS_DETAILED","FQ3 2020","FQ3 2020","Currency=USD","Period=FQ","BEST_FPERIOD_OVERRIDE=FQ","FILING_STATUS=MR","SCALING_FORMAT=MLN","Sort=A","Dates=H","DateFormat=P","Fill=—","Direction=H","UseDPDF=Y")</f>
        <v>1713</v>
      </c>
      <c r="L34" s="13" cm="1">
        <f t="array" ref="L34">_xll.BDH("CMI US Equity","OTHER_NONCURRENT_ASSETS_DETAILED","FQ4 2020","FQ4 2020","Currency=USD","Period=FQ","BEST_FPERIOD_OVERRIDE=FQ","FILING_STATUS=MR","SCALING_FORMAT=MLN","Sort=A","Dates=H","DateFormat=P","Fill=—","Direction=H","UseDPDF=Y")</f>
        <v>816</v>
      </c>
      <c r="M34" s="13" cm="1">
        <f t="array" ref="M34">_xll.BDH("CMI US Equity","OTHER_NONCURRENT_ASSETS_DETAILED","FQ1 2021","FQ1 2021","Currency=USD","Period=FQ","BEST_FPERIOD_OVERRIDE=FQ","FILING_STATUS=MR","SCALING_FORMAT=MLN","Sort=A","Dates=H","DateFormat=P","Fill=—","Direction=H","UseDPDF=Y")</f>
        <v>1247</v>
      </c>
      <c r="N34" s="13" cm="1">
        <f t="array" ref="N34">_xll.BDH("CMI US Equity","OTHER_NONCURRENT_ASSETS_DETAILED","FQ2 2021","FQ2 2021","Currency=USD","Period=FQ","BEST_FPERIOD_OVERRIDE=FQ","FILING_STATUS=MR","SCALING_FORMAT=MLN","Sort=A","Dates=H","DateFormat=P","Fill=—","Direction=H","UseDPDF=Y")</f>
        <v>1222</v>
      </c>
      <c r="O34" s="13" cm="1">
        <f t="array" ref="O34">_xll.BDH("CMI US Equity","OTHER_NONCURRENT_ASSETS_DETAILED","FQ3 2021","FQ3 2021","Currency=USD","Period=FQ","BEST_FPERIOD_OVERRIDE=FQ","FILING_STATUS=MR","SCALING_FORMAT=MLN","Sort=A","Dates=H","DateFormat=P","Fill=—","Direction=H","UseDPDF=Y")</f>
        <v>1250</v>
      </c>
      <c r="P34" s="13" cm="1">
        <f t="array" ref="P34">_xll.BDH("CMI US Equity","OTHER_NONCURRENT_ASSETS_DETAILED","FQ4 2021","FQ4 2021","Currency=USD","Period=FQ","BEST_FPERIOD_OVERRIDE=FQ","FILING_STATUS=MR","SCALING_FORMAT=MLN","Sort=A","Dates=H","DateFormat=P","Fill=—","Direction=H","UseDPDF=Y")</f>
        <v>894</v>
      </c>
      <c r="Q34" s="13" cm="1">
        <f t="array" ref="Q34">_xll.BDH("CMI US Equity","OTHER_NONCURRENT_ASSETS_DETAILED","FQ1 2022","FQ1 2022","Currency=USD","Period=FQ","BEST_FPERIOD_OVERRIDE=FQ","FILING_STATUS=MR","SCALING_FORMAT=MLN","Sort=A","Dates=H","DateFormat=P","Fill=—","Direction=H","UseDPDF=Y")</f>
        <v>1404</v>
      </c>
      <c r="R34" s="13" cm="1">
        <f t="array" ref="R34">_xll.BDH("CMI US Equity","OTHER_NONCURRENT_ASSETS_DETAILED","FQ2 2022","FQ2 2022","Currency=USD","Period=FQ","BEST_FPERIOD_OVERRIDE=FQ","FILING_STATUS=MR","SCALING_FORMAT=MLN","Sort=A","Dates=H","DateFormat=P","Fill=—","Direction=H","UseDPDF=Y")</f>
        <v>1446</v>
      </c>
      <c r="S34" s="13" cm="1">
        <f t="array" ref="S34">_xll.BDH("CMI US Equity","OTHER_NONCURRENT_ASSETS_DETAILED","FQ3 2022","FQ3 2022","Currency=USD","Period=FQ","BEST_FPERIOD_OVERRIDE=FQ","FILING_STATUS=MR","SCALING_FORMAT=MLN","Sort=A","Dates=H","DateFormat=P","Fill=—","Direction=H","UseDPDF=Y")</f>
        <v>1506</v>
      </c>
      <c r="T34" s="13" cm="1">
        <f t="array" ref="T34">_xll.BDH("CMI US Equity","OTHER_NONCURRENT_ASSETS_DETAILED","FQ4 2022","FQ4 2022","Currency=USD","Period=FQ","BEST_FPERIOD_OVERRIDE=FQ","FILING_STATUS=MR","SCALING_FORMAT=MLN","Sort=A","Dates=H","DateFormat=P","Fill=—","Direction=H","UseDPDF=Y")</f>
        <v>1023</v>
      </c>
      <c r="U34" s="13" cm="1">
        <f t="array" ref="U34">_xll.BDH("CMI US Equity","OTHER_NONCURRENT_ASSETS_DETAILED","FQ1 2023","FQ1 2023","Currency=USD","Period=FQ","BEST_FPERIOD_OVERRIDE=FQ","FILING_STATUS=MR","SCALING_FORMAT=MLN","Sort=A","Dates=H","DateFormat=P","Fill=—","Direction=H","UseDPDF=Y")</f>
        <v>1625</v>
      </c>
      <c r="V34" s="13" cm="1">
        <f t="array" ref="V34">_xll.BDH("CMI US Equity","OTHER_NONCURRENT_ASSETS_DETAILED","FQ2 2023","FQ2 2023","Currency=USD","Period=FQ","BEST_FPERIOD_OVERRIDE=FQ","FILING_STATUS=MR","SCALING_FORMAT=MLN","Sort=A","Dates=H","DateFormat=P","Fill=—","Direction=H","UseDPDF=Y")</f>
        <v>1716</v>
      </c>
      <c r="W34" s="13" cm="1">
        <f t="array" ref="W34">_xll.BDH("CMI US Equity","OTHER_NONCURRENT_ASSETS_DETAILED","FQ3 2023","FQ3 2023","Currency=USD","Period=FQ","BEST_FPERIOD_OVERRIDE=FQ","FILING_STATUS=MR","SCALING_FORMAT=MLN","Sort=A","Dates=H","DateFormat=P","Fill=—","Direction=H","UseDPDF=Y")</f>
        <v>1702</v>
      </c>
      <c r="X34" s="13" cm="1">
        <f t="array" ref="X34">_xll.BDH("CMI US Equity","OTHER_NONCURRENT_ASSETS_DETAILED","FQ4 2023","FQ4 2023","Currency=USD","Period=FQ","BEST_FPERIOD_OVERRIDE=FQ","FILING_STATUS=MR","SCALING_FORMAT=MLN","Sort=A","Dates=H","DateFormat=P","Fill=—","Direction=H","UseDPDF=Y")</f>
        <v>960</v>
      </c>
      <c r="Y34" s="13" cm="1">
        <f t="array" ref="Y34">_xll.BDH("CMI US Equity","OTHER_NONCURRENT_ASSETS_DETAILED","FQ1 2024","FQ1 2024","Currency=USD","Period=FQ","BEST_FPERIOD_OVERRIDE=FQ","FILING_STATUS=MR","SCALING_FORMAT=MLN","Sort=A","Dates=H","DateFormat=P","Fill=—","Direction=H","UseDPDF=Y")</f>
        <v>1919</v>
      </c>
      <c r="Z34" s="13" cm="1">
        <f t="array" ref="Z34">_xll.BDH("CMI US Equity","OTHER_NONCURRENT_ASSETS_DETAILED","FQ2 2024","FQ2 2024","Currency=USD","Period=FQ","BEST_FPERIOD_OVERRIDE=FQ","FILING_STATUS=MR","SCALING_FORMAT=MLN","Sort=A","Dates=H","DateFormat=P","Fill=—","Direction=H","UseDPDF=Y")</f>
        <v>1935</v>
      </c>
      <c r="AA34" s="13" cm="1">
        <f t="array" ref="AA34">_xll.BDH("CMI US Equity","OTHER_NONCURRENT_ASSETS_DETAILED","FQ3 2024","FQ3 2024","Currency=USD","Period=FQ","BEST_FPERIOD_OVERRIDE=FQ","FILING_STATUS=MR","SCALING_FORMAT=MLN","Sort=A","Dates=H","DateFormat=P","Fill=—","Direction=H","UseDPDF=Y")</f>
        <v>2044</v>
      </c>
      <c r="AB34" s="13" cm="1">
        <f t="array" ref="AB34">_xll.BDH("CMI US Equity","OTHER_NONCURRENT_ASSETS_DETAILED","FQ4 2024","FQ4 2024","Currency=USD","Period=FQ","BEST_FPERIOD_OVERRIDE=FQ","FILING_STATUS=MR","SCALING_FORMAT=MLN","Sort=A","Dates=H","DateFormat=P","Fill=—","Direction=H","UseDPDF=Y")</f>
        <v>982</v>
      </c>
      <c r="AC34" s="13" cm="1">
        <f t="array" ref="AC34">_xll.BDH("CMI US Equity","OTHER_NONCURRENT_ASSETS_DETAILED","FQ1 2025","FQ1 2025","Currency=USD","Period=FQ","BEST_FPERIOD_OVERRIDE=FQ","FILING_STATUS=MR","SCALING_FORMAT=MLN","Sort=A","Dates=H","DateFormat=P","Fill=—","Direction=H","UseDPDF=Y")</f>
        <v>2111</v>
      </c>
      <c r="AD34" s="13" cm="1">
        <f t="array" ref="AD34">_xll.BDH("CMI US Equity","OTHER_NONCURRENT_ASSETS_DETAILED","FQ2 2025","FQ2 2025","Currency=USD","Period=FQ","BEST_FPERIOD_OVERRIDE=FQ","FILING_STATUS=MR","SCALING_FORMAT=MLN","Sort=A","Dates=H","DateFormat=P","Fill=—","Direction=H","UseDPDF=Y")</f>
        <v>2227</v>
      </c>
      <c r="AE34" s="13" cm="1">
        <f t="array" ref="AE34">_xll.BDH("CMI US Equity","OTHER_NONCURRENT_ASSETS_DETAILED","FQ3 2025","FQ3 2025","Currency=USD","Period=FQ","BEST_FPERIOD_OVERRIDE=FQ","FILING_STATUS=MR","SCALING_FORMAT=MLN","Sort=A","Dates=H","DateFormat=P","Fill=—","Direction=H","UseDPDF=Y")</f>
        <v>2012</v>
      </c>
      <c r="AF34" s="13" cm="1">
        <f t="array" ref="AF34">_xll.BDH("CMI US Equity","OTHER_NONCURRENT_ASSETS_DETAILED","FQ4 2025","FQ4 2025","Currency=USD","Period=FQ","BEST_FPERIOD_OVERRIDE=FQ","FILING_STATUS=MR","SCALING_FORMAT=MLN","Sort=A","Dates=H","DateFormat=P","Fill=—","Direction=H","UseDPDF=Y")</f>
        <v>952</v>
      </c>
    </row>
    <row r="35" spans="1:32" x14ac:dyDescent="0.25">
      <c r="A35" s="6" t="s">
        <v>121</v>
      </c>
      <c r="B35" s="6" t="s">
        <v>122</v>
      </c>
      <c r="C35" s="16" cm="1">
        <f t="array" ref="C35">_xll.BDH("CMI US Equity","BS_TOT_NON_CUR_ASSET","FQ3 2018","FQ3 2018","Currency=USD","Period=FQ","BEST_FPERIOD_OVERRIDE=FQ","FILING_STATUS=MR","SCALING_FORMAT=MLN","Sort=A","Dates=H","DateFormat=P","Fill=—","Direction=H","UseDPDF=Y")</f>
        <v>9129</v>
      </c>
      <c r="D35" s="16" cm="1">
        <f t="array" ref="D35">_xll.BDH("CMI US Equity","BS_TOT_NON_CUR_ASSET","FQ4 2018","FQ4 2018","Currency=USD","Period=FQ","BEST_FPERIOD_OVERRIDE=FQ","FILING_STATUS=MR","SCALING_FORMAT=MLN","Sort=A","Dates=H","DateFormat=P","Fill=—","Direction=H","UseDPDF=Y")</f>
        <v>9244</v>
      </c>
      <c r="E35" s="16" cm="1">
        <f t="array" ref="E35">_xll.BDH("CMI US Equity","BS_TOT_NON_CUR_ASSET","FQ1 2019","FQ1 2019","Currency=USD","Period=FQ","BEST_FPERIOD_OVERRIDE=FQ","FILING_STATUS=MR","SCALING_FORMAT=MLN","Sort=A","Dates=H","DateFormat=P","Fill=—","Direction=H","UseDPDF=Y")</f>
        <v>9755</v>
      </c>
      <c r="F35" s="16" cm="1">
        <f t="array" ref="F35">_xll.BDH("CMI US Equity","BS_TOT_NON_CUR_ASSET","FQ2 2019","FQ2 2019","Currency=USD","Period=FQ","BEST_FPERIOD_OVERRIDE=FQ","FILING_STATUS=MR","SCALING_FORMAT=MLN","Sort=A","Dates=H","DateFormat=P","Fill=—","Direction=H","UseDPDF=Y")</f>
        <v>9804</v>
      </c>
      <c r="G35" s="16" cm="1">
        <f t="array" ref="G35">_xll.BDH("CMI US Equity","BS_TOT_NON_CUR_ASSET","FQ3 2019","FQ3 2019","Currency=USD","Period=FQ","BEST_FPERIOD_OVERRIDE=FQ","FILING_STATUS=MR","SCALING_FORMAT=MLN","Sort=A","Dates=H","DateFormat=P","Fill=—","Direction=H","UseDPDF=Y")</f>
        <v>10118</v>
      </c>
      <c r="H35" s="16" cm="1">
        <f t="array" ref="H35">_xll.BDH("CMI US Equity","BS_TOT_NON_CUR_ASSET","FQ4 2019","FQ4 2019","Currency=USD","Period=FQ","BEST_FPERIOD_OVERRIDE=FQ","FILING_STATUS=MR","SCALING_FORMAT=MLN","Sort=A","Dates=H","DateFormat=P","Fill=—","Direction=H","UseDPDF=Y")</f>
        <v>10350</v>
      </c>
      <c r="I35" s="16" cm="1">
        <f t="array" ref="I35">_xll.BDH("CMI US Equity","BS_TOT_NON_CUR_ASSET","FQ1 2020","FQ1 2020","Currency=USD","Period=FQ","BEST_FPERIOD_OVERRIDE=FQ","FILING_STATUS=MR","SCALING_FORMAT=MLN","Sort=A","Dates=H","DateFormat=P","Fill=—","Direction=H","UseDPDF=Y")</f>
        <v>10286</v>
      </c>
      <c r="J35" s="16" cm="1">
        <f t="array" ref="J35">_xll.BDH("CMI US Equity","BS_TOT_NON_CUR_ASSET","FQ2 2020","FQ2 2020","Currency=USD","Period=FQ","BEST_FPERIOD_OVERRIDE=FQ","FILING_STATUS=MR","SCALING_FORMAT=MLN","Sort=A","Dates=H","DateFormat=P","Fill=—","Direction=H","UseDPDF=Y")</f>
        <v>10480</v>
      </c>
      <c r="K35" s="16" cm="1">
        <f t="array" ref="K35">_xll.BDH("CMI US Equity","BS_TOT_NON_CUR_ASSET","FQ3 2020","FQ3 2020","Currency=USD","Period=FQ","BEST_FPERIOD_OVERRIDE=FQ","FILING_STATUS=MR","SCALING_FORMAT=MLN","Sort=A","Dates=H","DateFormat=P","Fill=—","Direction=H","UseDPDF=Y")</f>
        <v>10506</v>
      </c>
      <c r="L35" s="16" cm="1">
        <f t="array" ref="L35">_xll.BDH("CMI US Equity","BS_TOT_NON_CUR_ASSET","FQ4 2020","FQ4 2020","Currency=USD","Period=FQ","BEST_FPERIOD_OVERRIDE=FQ","FILING_STATUS=MR","SCALING_FORMAT=MLN","Sort=A","Dates=H","DateFormat=P","Fill=—","Direction=H","UseDPDF=Y")</f>
        <v>10727</v>
      </c>
      <c r="M35" s="16" cm="1">
        <f t="array" ref="M35">_xll.BDH("CMI US Equity","BS_TOT_NON_CUR_ASSET","FQ1 2021","FQ1 2021","Currency=USD","Period=FQ","BEST_FPERIOD_OVERRIDE=FQ","FILING_STATUS=MR","SCALING_FORMAT=MLN","Sort=A","Dates=H","DateFormat=P","Fill=—","Direction=H","UseDPDF=Y")</f>
        <v>10840</v>
      </c>
      <c r="N35" s="16" cm="1">
        <f t="array" ref="N35">_xll.BDH("CMI US Equity","BS_TOT_NON_CUR_ASSET","FQ2 2021","FQ2 2021","Currency=USD","Period=FQ","BEST_FPERIOD_OVERRIDE=FQ","FILING_STATUS=MR","SCALING_FORMAT=MLN","Sort=A","Dates=H","DateFormat=P","Fill=—","Direction=H","UseDPDF=Y")</f>
        <v>10677</v>
      </c>
      <c r="O35" s="16" cm="1">
        <f t="array" ref="O35">_xll.BDH("CMI US Equity","BS_TOT_NON_CUR_ASSET","FQ3 2021","FQ3 2021","Currency=USD","Period=FQ","BEST_FPERIOD_OVERRIDE=FQ","FILING_STATUS=MR","SCALING_FORMAT=MLN","Sort=A","Dates=H","DateFormat=P","Fill=—","Direction=H","UseDPDF=Y")</f>
        <v>10743</v>
      </c>
      <c r="P35" s="16" cm="1">
        <f t="array" ref="P35">_xll.BDH("CMI US Equity","BS_TOT_NON_CUR_ASSET","FQ4 2021","FQ4 2021","Currency=USD","Period=FQ","BEST_FPERIOD_OVERRIDE=FQ","FILING_STATUS=MR","SCALING_FORMAT=MLN","Sort=A","Dates=H","DateFormat=P","Fill=—","Direction=H","UseDPDF=Y")</f>
        <v>11401</v>
      </c>
      <c r="Q35" s="16" cm="1">
        <f t="array" ref="Q35">_xll.BDH("CMI US Equity","BS_TOT_NON_CUR_ASSET","FQ1 2022","FQ1 2022","Currency=USD","Period=FQ","BEST_FPERIOD_OVERRIDE=FQ","FILING_STATUS=MR","SCALING_FORMAT=MLN","Sort=A","Dates=H","DateFormat=P","Fill=—","Direction=H","UseDPDF=Y")</f>
        <v>11526</v>
      </c>
      <c r="R35" s="16" cm="1">
        <f t="array" ref="R35">_xll.BDH("CMI US Equity","BS_TOT_NON_CUR_ASSET","FQ2 2022","FQ2 2022","Currency=USD","Period=FQ","BEST_FPERIOD_OVERRIDE=FQ","FILING_STATUS=MR","SCALING_FORMAT=MLN","Sort=A","Dates=H","DateFormat=P","Fill=—","Direction=H","UseDPDF=Y")</f>
        <v>11715</v>
      </c>
      <c r="S35" s="16" cm="1">
        <f t="array" ref="S35">_xll.BDH("CMI US Equity","BS_TOT_NON_CUR_ASSET","FQ3 2022","FQ3 2022","Currency=USD","Period=FQ","BEST_FPERIOD_OVERRIDE=FQ","FILING_STATUS=MR","SCALING_FORMAT=MLN","Sort=A","Dates=H","DateFormat=P","Fill=—","Direction=H","UseDPDF=Y")</f>
        <v>15371</v>
      </c>
      <c r="T35" s="16" cm="1">
        <f t="array" ref="T35">_xll.BDH("CMI US Equity","BS_TOT_NON_CUR_ASSET","FQ4 2022","FQ4 2022","Currency=USD","Period=FQ","BEST_FPERIOD_OVERRIDE=FQ","FILING_STATUS=MR","SCALING_FORMAT=MLN","Sort=A","Dates=H","DateFormat=P","Fill=—","Direction=H","UseDPDF=Y")</f>
        <v>15848</v>
      </c>
      <c r="U35" s="16" cm="1">
        <f t="array" ref="U35">_xll.BDH("CMI US Equity","BS_TOT_NON_CUR_ASSET","FQ1 2023","FQ1 2023","Currency=USD","Period=FQ","BEST_FPERIOD_OVERRIDE=FQ","FILING_STATUS=MR","SCALING_FORMAT=MLN","Sort=A","Dates=H","DateFormat=P","Fill=—","Direction=H","UseDPDF=Y")</f>
        <v>16065</v>
      </c>
      <c r="V35" s="16" cm="1">
        <f t="array" ref="V35">_xll.BDH("CMI US Equity","BS_TOT_NON_CUR_ASSET","FQ2 2023","FQ2 2023","Currency=USD","Period=FQ","BEST_FPERIOD_OVERRIDE=FQ","FILING_STATUS=MR","SCALING_FORMAT=MLN","Sort=A","Dates=H","DateFormat=P","Fill=—","Direction=H","UseDPDF=Y")</f>
        <v>16325</v>
      </c>
      <c r="W35" s="16" cm="1">
        <f t="array" ref="W35">_xll.BDH("CMI US Equity","BS_TOT_NON_CUR_ASSET","FQ3 2023","FQ3 2023","Currency=USD","Period=FQ","BEST_FPERIOD_OVERRIDE=FQ","FILING_STATUS=MR","SCALING_FORMAT=MLN","Sort=A","Dates=H","DateFormat=P","Fill=—","Direction=H","UseDPDF=Y")</f>
        <v>16185</v>
      </c>
      <c r="X35" s="16" cm="1">
        <f t="array" ref="X35">_xll.BDH("CMI US Equity","BS_TOT_NON_CUR_ASSET","FQ4 2023","FQ4 2023","Currency=USD","Period=FQ","BEST_FPERIOD_OVERRIDE=FQ","FILING_STATUS=MR","SCALING_FORMAT=MLN","Sort=A","Dates=H","DateFormat=P","Fill=—","Direction=H","UseDPDF=Y")</f>
        <v>16807</v>
      </c>
      <c r="Y35" s="16" cm="1">
        <f t="array" ref="Y35">_xll.BDH("CMI US Equity","BS_TOT_NON_CUR_ASSET","FQ1 2024","FQ1 2024","Currency=USD","Period=FQ","BEST_FPERIOD_OVERRIDE=FQ","FILING_STATUS=MR","SCALING_FORMAT=MLN","Sort=A","Dates=H","DateFormat=P","Fill=—","Direction=H","UseDPDF=Y")</f>
        <v>16207</v>
      </c>
      <c r="Z35" s="16" cm="1">
        <f t="array" ref="Z35">_xll.BDH("CMI US Equity","BS_TOT_NON_CUR_ASSET","FQ2 2024","FQ2 2024","Currency=USD","Period=FQ","BEST_FPERIOD_OVERRIDE=FQ","FILING_STATUS=MR","SCALING_FORMAT=MLN","Sort=A","Dates=H","DateFormat=P","Fill=—","Direction=H","UseDPDF=Y")</f>
        <v>16358</v>
      </c>
      <c r="AA35" s="16" cm="1">
        <f t="array" ref="AA35">_xll.BDH("CMI US Equity","BS_TOT_NON_CUR_ASSET","FQ3 2024","FQ3 2024","Currency=USD","Period=FQ","BEST_FPERIOD_OVERRIDE=FQ","FILING_STATUS=MR","SCALING_FORMAT=MLN","Sort=A","Dates=H","DateFormat=P","Fill=—","Direction=H","UseDPDF=Y")</f>
        <v>16736</v>
      </c>
      <c r="AB35" s="16" cm="1">
        <f t="array" ref="AB35">_xll.BDH("CMI US Equity","BS_TOT_NON_CUR_ASSET","FQ4 2024","FQ4 2024","Currency=USD","Period=FQ","BEST_FPERIOD_OVERRIDE=FQ","FILING_STATUS=MR","SCALING_FORMAT=MLN","Sort=A","Dates=H","DateFormat=P","Fill=—","Direction=H","UseDPDF=Y")</f>
        <v>16788</v>
      </c>
      <c r="AC35" s="16" cm="1">
        <f t="array" ref="AC35">_xll.BDH("CMI US Equity","BS_TOT_NON_CUR_ASSET","FQ1 2025","FQ1 2025","Currency=USD","Period=FQ","BEST_FPERIOD_OVERRIDE=FQ","FILING_STATUS=MR","SCALING_FORMAT=MLN","Sort=A","Dates=H","DateFormat=P","Fill=—","Direction=H","UseDPDF=Y")</f>
        <v>16991</v>
      </c>
      <c r="AD35" s="16" cm="1">
        <f t="array" ref="AD35">_xll.BDH("CMI US Equity","BS_TOT_NON_CUR_ASSET","FQ2 2025","FQ2 2025","Currency=USD","Period=FQ","BEST_FPERIOD_OVERRIDE=FQ","FILING_STATUS=MR","SCALING_FORMAT=MLN","Sort=A","Dates=H","DateFormat=P","Fill=—","Direction=H","UseDPDF=Y")</f>
        <v>17326</v>
      </c>
      <c r="AE35" s="16" cm="1">
        <f t="array" ref="AE35">_xll.BDH("CMI US Equity","BS_TOT_NON_CUR_ASSET","FQ3 2025","FQ3 2025","Currency=USD","Period=FQ","BEST_FPERIOD_OVERRIDE=FQ","FILING_STATUS=MR","SCALING_FORMAT=MLN","Sort=A","Dates=H","DateFormat=P","Fill=—","Direction=H","UseDPDF=Y")</f>
        <v>16918</v>
      </c>
      <c r="AF35" s="16" cm="1">
        <f t="array" ref="AF35">_xll.BDH("CMI US Equity","BS_TOT_NON_CUR_ASSET","FQ4 2025","FQ4 2025","Currency=USD","Period=FQ","BEST_FPERIOD_OVERRIDE=FQ","FILING_STATUS=MR","SCALING_FORMAT=MLN","Sort=A","Dates=H","DateFormat=P","Fill=—","Direction=H","UseDPDF=Y")</f>
        <v>17067</v>
      </c>
    </row>
    <row r="36" spans="1:32" x14ac:dyDescent="0.25">
      <c r="A36" s="6" t="s">
        <v>65</v>
      </c>
      <c r="B36" s="6" t="s">
        <v>123</v>
      </c>
      <c r="C36" s="16" cm="1">
        <f t="array" ref="C36">_xll.BDH("CMI US Equity","BS_TOT_ASSET","FQ3 2018","FQ3 2018","Currency=USD","Period=FQ","BEST_FPERIOD_OVERRIDE=FQ","FILING_STATUS=MR","SCALING_FORMAT=MLN","Sort=A","Dates=H","DateFormat=P","Fill=—","Direction=H","UseDPDF=Y")</f>
        <v>18992</v>
      </c>
      <c r="D36" s="16" cm="1">
        <f t="array" ref="D36">_xll.BDH("CMI US Equity","BS_TOT_ASSET","FQ4 2018","FQ4 2018","Currency=USD","Period=FQ","BEST_FPERIOD_OVERRIDE=FQ","FILING_STATUS=MR","SCALING_FORMAT=MLN","Sort=A","Dates=H","DateFormat=P","Fill=—","Direction=H","UseDPDF=Y")</f>
        <v>19062</v>
      </c>
      <c r="E36" s="16" cm="1">
        <f t="array" ref="E36">_xll.BDH("CMI US Equity","BS_TOT_ASSET","FQ1 2019","FQ1 2019","Currency=USD","Period=FQ","BEST_FPERIOD_OVERRIDE=FQ","FILING_STATUS=MR","SCALING_FORMAT=MLN","Sort=A","Dates=H","DateFormat=P","Fill=—","Direction=H","UseDPDF=Y")</f>
        <v>19846</v>
      </c>
      <c r="F36" s="16" cm="1">
        <f t="array" ref="F36">_xll.BDH("CMI US Equity","BS_TOT_ASSET","FQ2 2019","FQ2 2019","Currency=USD","Period=FQ","BEST_FPERIOD_OVERRIDE=FQ","FILING_STATUS=MR","SCALING_FORMAT=MLN","Sort=A","Dates=H","DateFormat=P","Fill=—","Direction=H","UseDPDF=Y")</f>
        <v>20254</v>
      </c>
      <c r="G36" s="16" cm="1">
        <f t="array" ref="G36">_xll.BDH("CMI US Equity","BS_TOT_ASSET","FQ3 2019","FQ3 2019","Currency=USD","Period=FQ","BEST_FPERIOD_OVERRIDE=FQ","FILING_STATUS=MR","SCALING_FORMAT=MLN","Sort=A","Dates=H","DateFormat=P","Fill=—","Direction=H","UseDPDF=Y")</f>
        <v>20346</v>
      </c>
      <c r="H36" s="16" cm="1">
        <f t="array" ref="H36">_xll.BDH("CMI US Equity","BS_TOT_ASSET","FQ4 2019","FQ4 2019","Currency=USD","Period=FQ","BEST_FPERIOD_OVERRIDE=FQ","FILING_STATUS=MR","SCALING_FORMAT=MLN","Sort=A","Dates=H","DateFormat=P","Fill=—","Direction=H","UseDPDF=Y")</f>
        <v>19737</v>
      </c>
      <c r="I36" s="16" cm="1">
        <f t="array" ref="I36">_xll.BDH("CMI US Equity","BS_TOT_ASSET","FQ1 2020","FQ1 2020","Currency=USD","Period=FQ","BEST_FPERIOD_OVERRIDE=FQ","FILING_STATUS=MR","SCALING_FORMAT=MLN","Sort=A","Dates=H","DateFormat=P","Fill=—","Direction=H","UseDPDF=Y")</f>
        <v>20076</v>
      </c>
      <c r="J36" s="16" cm="1">
        <f t="array" ref="J36">_xll.BDH("CMI US Equity","BS_TOT_ASSET","FQ2 2020","FQ2 2020","Currency=USD","Period=FQ","BEST_FPERIOD_OVERRIDE=FQ","FILING_STATUS=MR","SCALING_FORMAT=MLN","Sort=A","Dates=H","DateFormat=P","Fill=—","Direction=H","UseDPDF=Y")</f>
        <v>20314</v>
      </c>
      <c r="K36" s="16" cm="1">
        <f t="array" ref="K36">_xll.BDH("CMI US Equity","BS_TOT_ASSET","FQ3 2020","FQ3 2020","Currency=USD","Period=FQ","BEST_FPERIOD_OVERRIDE=FQ","FILING_STATUS=MR","SCALING_FORMAT=MLN","Sort=A","Dates=H","DateFormat=P","Fill=—","Direction=H","UseDPDF=Y")</f>
        <v>21568</v>
      </c>
      <c r="L36" s="16" cm="1">
        <f t="array" ref="L36">_xll.BDH("CMI US Equity","BS_TOT_ASSET","FQ4 2020","FQ4 2020","Currency=USD","Period=FQ","BEST_FPERIOD_OVERRIDE=FQ","FILING_STATUS=MR","SCALING_FORMAT=MLN","Sort=A","Dates=H","DateFormat=P","Fill=—","Direction=H","UseDPDF=Y")</f>
        <v>22624</v>
      </c>
      <c r="M36" s="16" cm="1">
        <f t="array" ref="M36">_xll.BDH("CMI US Equity","BS_TOT_ASSET","FQ1 2021","FQ1 2021","Currency=USD","Period=FQ","BEST_FPERIOD_OVERRIDE=FQ","FILING_STATUS=MR","SCALING_FORMAT=MLN","Sort=A","Dates=H","DateFormat=P","Fill=—","Direction=H","UseDPDF=Y")</f>
        <v>22962</v>
      </c>
      <c r="N36" s="16" cm="1">
        <f t="array" ref="N36">_xll.BDH("CMI US Equity","BS_TOT_ASSET","FQ2 2021","FQ2 2021","Currency=USD","Period=FQ","BEST_FPERIOD_OVERRIDE=FQ","FILING_STATUS=MR","SCALING_FORMAT=MLN","Sort=A","Dates=H","DateFormat=P","Fill=—","Direction=H","UseDPDF=Y")</f>
        <v>22608</v>
      </c>
      <c r="O36" s="16" cm="1">
        <f t="array" ref="O36">_xll.BDH("CMI US Equity","BS_TOT_ASSET","FQ3 2021","FQ3 2021","Currency=USD","Period=FQ","BEST_FPERIOD_OVERRIDE=FQ","FILING_STATUS=MR","SCALING_FORMAT=MLN","Sort=A","Dates=H","DateFormat=P","Fill=—","Direction=H","UseDPDF=Y")</f>
        <v>23063</v>
      </c>
      <c r="P36" s="16" cm="1">
        <f t="array" ref="P36">_xll.BDH("CMI US Equity","BS_TOT_ASSET","FQ4 2021","FQ4 2021","Currency=USD","Period=FQ","BEST_FPERIOD_OVERRIDE=FQ","FILING_STATUS=MR","SCALING_FORMAT=MLN","Sort=A","Dates=H","DateFormat=P","Fill=—","Direction=H","UseDPDF=Y")</f>
        <v>23710</v>
      </c>
      <c r="Q36" s="16" cm="1">
        <f t="array" ref="Q36">_xll.BDH("CMI US Equity","BS_TOT_ASSET","FQ1 2022","FQ1 2022","Currency=USD","Period=FQ","BEST_FPERIOD_OVERRIDE=FQ","FILING_STATUS=MR","SCALING_FORMAT=MLN","Sort=A","Dates=H","DateFormat=P","Fill=—","Direction=H","UseDPDF=Y")</f>
        <v>24122</v>
      </c>
      <c r="R36" s="16" cm="1">
        <f t="array" ref="R36">_xll.BDH("CMI US Equity","BS_TOT_ASSET","FQ2 2022","FQ2 2022","Currency=USD","Period=FQ","BEST_FPERIOD_OVERRIDE=FQ","FILING_STATUS=MR","SCALING_FORMAT=MLN","Sort=A","Dates=H","DateFormat=P","Fill=—","Direction=H","UseDPDF=Y")</f>
        <v>24477</v>
      </c>
      <c r="S36" s="16" cm="1">
        <f t="array" ref="S36">_xll.BDH("CMI US Equity","BS_TOT_ASSET","FQ3 2022","FQ3 2022","Currency=USD","Period=FQ","BEST_FPERIOD_OVERRIDE=FQ","FILING_STATUS=MR","SCALING_FORMAT=MLN","Sort=A","Dates=H","DateFormat=P","Fill=—","Direction=H","UseDPDF=Y")</f>
        <v>29769</v>
      </c>
      <c r="T36" s="16" cm="1">
        <f t="array" ref="T36">_xll.BDH("CMI US Equity","BS_TOT_ASSET","FQ4 2022","FQ4 2022","Currency=USD","Period=FQ","BEST_FPERIOD_OVERRIDE=FQ","FILING_STATUS=MR","SCALING_FORMAT=MLN","Sort=A","Dates=H","DateFormat=P","Fill=—","Direction=H","UseDPDF=Y")</f>
        <v>30299</v>
      </c>
      <c r="U36" s="16" cm="1">
        <f t="array" ref="U36">_xll.BDH("CMI US Equity","BS_TOT_ASSET","FQ1 2023","FQ1 2023","Currency=USD","Period=FQ","BEST_FPERIOD_OVERRIDE=FQ","FILING_STATUS=MR","SCALING_FORMAT=MLN","Sort=A","Dates=H","DateFormat=P","Fill=—","Direction=H","UseDPDF=Y")</f>
        <v>31433</v>
      </c>
      <c r="V36" s="16" cm="1">
        <f t="array" ref="V36">_xll.BDH("CMI US Equity","BS_TOT_ASSET","FQ2 2023","FQ2 2023","Currency=USD","Period=FQ","BEST_FPERIOD_OVERRIDE=FQ","FILING_STATUS=MR","SCALING_FORMAT=MLN","Sort=A","Dates=H","DateFormat=P","Fill=—","Direction=H","UseDPDF=Y")</f>
        <v>31735</v>
      </c>
      <c r="W36" s="16" cm="1">
        <f t="array" ref="W36">_xll.BDH("CMI US Equity","BS_TOT_ASSET","FQ3 2023","FQ3 2023","Currency=USD","Period=FQ","BEST_FPERIOD_OVERRIDE=FQ","FILING_STATUS=MR","SCALING_FORMAT=MLN","Sort=A","Dates=H","DateFormat=P","Fill=—","Direction=H","UseDPDF=Y")</f>
        <v>32097</v>
      </c>
      <c r="X36" s="16" cm="1">
        <f t="array" ref="X36">_xll.BDH("CMI US Equity","BS_TOT_ASSET","FQ4 2023","FQ4 2023","Currency=USD","Period=FQ","BEST_FPERIOD_OVERRIDE=FQ","FILING_STATUS=MR","SCALING_FORMAT=MLN","Sort=A","Dates=H","DateFormat=P","Fill=—","Direction=H","UseDPDF=Y")</f>
        <v>32005</v>
      </c>
      <c r="Y36" s="16" cm="1">
        <f t="array" ref="Y36">_xll.BDH("CMI US Equity","BS_TOT_ASSET","FQ1 2024","FQ1 2024","Currency=USD","Period=FQ","BEST_FPERIOD_OVERRIDE=FQ","FILING_STATUS=MR","SCALING_FORMAT=MLN","Sort=A","Dates=H","DateFormat=P","Fill=—","Direction=H","UseDPDF=Y")</f>
        <v>31827</v>
      </c>
      <c r="Z36" s="16" cm="1">
        <f t="array" ref="Z36">_xll.BDH("CMI US Equity","BS_TOT_ASSET","FQ2 2024","FQ2 2024","Currency=USD","Period=FQ","BEST_FPERIOD_OVERRIDE=FQ","FILING_STATUS=MR","SCALING_FORMAT=MLN","Sort=A","Dates=H","DateFormat=P","Fill=—","Direction=H","UseDPDF=Y")</f>
        <v>31320</v>
      </c>
      <c r="AA36" s="16" cm="1">
        <f t="array" ref="AA36">_xll.BDH("CMI US Equity","BS_TOT_ASSET","FQ3 2024","FQ3 2024","Currency=USD","Period=FQ","BEST_FPERIOD_OVERRIDE=FQ","FILING_STATUS=MR","SCALING_FORMAT=MLN","Sort=A","Dates=H","DateFormat=P","Fill=—","Direction=H","UseDPDF=Y")</f>
        <v>32052</v>
      </c>
      <c r="AB36" s="16" cm="1">
        <f t="array" ref="AB36">_xll.BDH("CMI US Equity","BS_TOT_ASSET","FQ4 2024","FQ4 2024","Currency=USD","Period=FQ","BEST_FPERIOD_OVERRIDE=FQ","FILING_STATUS=MR","SCALING_FORMAT=MLN","Sort=A","Dates=H","DateFormat=P","Fill=—","Direction=H","UseDPDF=Y")</f>
        <v>31540</v>
      </c>
      <c r="AC36" s="16" cm="1">
        <f t="array" ref="AC36">_xll.BDH("CMI US Equity","BS_TOT_ASSET","FQ1 2025","FQ1 2025","Currency=USD","Period=FQ","BEST_FPERIOD_OVERRIDE=FQ","FILING_STATUS=MR","SCALING_FORMAT=MLN","Sort=A","Dates=H","DateFormat=P","Fill=—","Direction=H","UseDPDF=Y")</f>
        <v>32531</v>
      </c>
      <c r="AD36" s="16" cm="1">
        <f t="array" ref="AD36">_xll.BDH("CMI US Equity","BS_TOT_ASSET","FQ2 2025","FQ2 2025","Currency=USD","Period=FQ","BEST_FPERIOD_OVERRIDE=FQ","FILING_STATUS=MR","SCALING_FORMAT=MLN","Sort=A","Dates=H","DateFormat=P","Fill=—","Direction=H","UseDPDF=Y")</f>
        <v>34259</v>
      </c>
      <c r="AE36" s="16" cm="1">
        <f t="array" ref="AE36">_xll.BDH("CMI US Equity","BS_TOT_ASSET","FQ3 2025","FQ3 2025","Currency=USD","Period=FQ","BEST_FPERIOD_OVERRIDE=FQ","FILING_STATUS=MR","SCALING_FORMAT=MLN","Sort=A","Dates=H","DateFormat=P","Fill=—","Direction=H","UseDPDF=Y")</f>
        <v>33638</v>
      </c>
      <c r="AF36" s="16" cm="1">
        <f t="array" ref="AF36">_xll.BDH("CMI US Equity","BS_TOT_ASSET","FQ4 2025","FQ4 2025","Currency=USD","Period=FQ","BEST_FPERIOD_OVERRIDE=FQ","FILING_STATUS=MR","SCALING_FORMAT=MLN","Sort=A","Dates=H","DateFormat=P","Fill=—","Direction=H","UseDPDF=Y")</f>
        <v>33992</v>
      </c>
    </row>
    <row r="37" spans="1:32" x14ac:dyDescent="0.25">
      <c r="A37" s="6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x14ac:dyDescent="0.25">
      <c r="A38" s="6" t="s">
        <v>124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1:32" x14ac:dyDescent="0.25">
      <c r="A39" s="10" t="s">
        <v>125</v>
      </c>
      <c r="B39" s="10" t="s">
        <v>126</v>
      </c>
      <c r="C39" s="13" cm="1">
        <f t="array" ref="C39">_xll.BDH("CMI US Equity","ACCT_PAYABLE_ACCRUALS_DETAILED","FQ3 2018","FQ3 2018","Currency=USD","Period=FQ","BEST_FPERIOD_OVERRIDE=FQ","FILING_STATUS=MR","SCALING_FORMAT=MLN","Sort=A","Dates=H","DateFormat=P","Fill=—","Direction=H","UseDPDF=Y")</f>
        <v>5014</v>
      </c>
      <c r="D39" s="13" cm="1">
        <f t="array" ref="D39">_xll.BDH("CMI US Equity","ACCT_PAYABLE_ACCRUALS_DETAILED","FQ4 2018","FQ4 2018","Currency=USD","Period=FQ","BEST_FPERIOD_OVERRIDE=FQ","FILING_STATUS=MR","SCALING_FORMAT=MLN","Sort=A","Dates=H","DateFormat=P","Fill=—","Direction=H","UseDPDF=Y")</f>
        <v>5007</v>
      </c>
      <c r="E39" s="13" cm="1">
        <f t="array" ref="E39">_xll.BDH("CMI US Equity","ACCT_PAYABLE_ACCRUALS_DETAILED","FQ1 2019","FQ1 2019","Currency=USD","Period=FQ","BEST_FPERIOD_OVERRIDE=FQ","FILING_STATUS=MR","SCALING_FORMAT=MLN","Sort=A","Dates=H","DateFormat=P","Fill=—","Direction=H","UseDPDF=Y")</f>
        <v>4977</v>
      </c>
      <c r="F39" s="13" cm="1">
        <f t="array" ref="F39">_xll.BDH("CMI US Equity","ACCT_PAYABLE_ACCRUALS_DETAILED","FQ2 2019","FQ2 2019","Currency=USD","Period=FQ","BEST_FPERIOD_OVERRIDE=FQ","FILING_STATUS=MR","SCALING_FORMAT=MLN","Sort=A","Dates=H","DateFormat=P","Fill=—","Direction=H","UseDPDF=Y")</f>
        <v>5060</v>
      </c>
      <c r="G39" s="13" cm="1">
        <f t="array" ref="G39">_xll.BDH("CMI US Equity","ACCT_PAYABLE_ACCRUALS_DETAILED","FQ3 2019","FQ3 2019","Currency=USD","Period=FQ","BEST_FPERIOD_OVERRIDE=FQ","FILING_STATUS=MR","SCALING_FORMAT=MLN","Sort=A","Dates=H","DateFormat=P","Fill=—","Direction=H","UseDPDF=Y")</f>
        <v>5014</v>
      </c>
      <c r="H39" s="13" cm="1">
        <f t="array" ref="H39">_xll.BDH("CMI US Equity","ACCT_PAYABLE_ACCRUALS_DETAILED","FQ4 2019","FQ4 2019","Currency=USD","Period=FQ","BEST_FPERIOD_OVERRIDE=FQ","FILING_STATUS=MR","SCALING_FORMAT=MLN","Sort=A","Dates=H","DateFormat=P","Fill=—","Direction=H","UseDPDF=Y")</f>
        <v>4805</v>
      </c>
      <c r="I39" s="13" cm="1">
        <f t="array" ref="I39">_xll.BDH("CMI US Equity","ACCT_PAYABLE_ACCRUALS_DETAILED","FQ1 2020","FQ1 2020","Currency=USD","Period=FQ","BEST_FPERIOD_OVERRIDE=FQ","FILING_STATUS=MR","SCALING_FORMAT=MLN","Sort=A","Dates=H","DateFormat=P","Fill=—","Direction=H","UseDPDF=Y")</f>
        <v>4549</v>
      </c>
      <c r="J39" s="13" cm="1">
        <f t="array" ref="J39">_xll.BDH("CMI US Equity","ACCT_PAYABLE_ACCRUALS_DETAILED","FQ2 2020","FQ2 2020","Currency=USD","Period=FQ","BEST_FPERIOD_OVERRIDE=FQ","FILING_STATUS=MR","SCALING_FORMAT=MLN","Sort=A","Dates=H","DateFormat=P","Fill=—","Direction=H","UseDPDF=Y")</f>
        <v>4055</v>
      </c>
      <c r="K39" s="13" cm="1">
        <f t="array" ref="K39">_xll.BDH("CMI US Equity","ACCT_PAYABLE_ACCRUALS_DETAILED","FQ3 2020","FQ3 2020","Currency=USD","Period=FQ","BEST_FPERIOD_OVERRIDE=FQ","FILING_STATUS=MR","SCALING_FORMAT=MLN","Sort=A","Dates=H","DateFormat=P","Fill=—","Direction=H","UseDPDF=Y")</f>
        <v>4533</v>
      </c>
      <c r="L39" s="13" cm="1">
        <f t="array" ref="L39">_xll.BDH("CMI US Equity","ACCT_PAYABLE_ACCRUALS_DETAILED","FQ4 2020","FQ4 2020","Currency=USD","Period=FQ","BEST_FPERIOD_OVERRIDE=FQ","FILING_STATUS=MR","SCALING_FORMAT=MLN","Sort=A","Dates=H","DateFormat=P","Fill=—","Direction=H","UseDPDF=Y")</f>
        <v>4962</v>
      </c>
      <c r="M39" s="13" cm="1">
        <f t="array" ref="M39">_xll.BDH("CMI US Equity","ACCT_PAYABLE_ACCRUALS_DETAILED","FQ1 2021","FQ1 2021","Currency=USD","Period=FQ","BEST_FPERIOD_OVERRIDE=FQ","FILING_STATUS=MR","SCALING_FORMAT=MLN","Sort=A","Dates=H","DateFormat=P","Fill=—","Direction=H","UseDPDF=Y")</f>
        <v>5291</v>
      </c>
      <c r="N39" s="13" cm="1">
        <f t="array" ref="N39">_xll.BDH("CMI US Equity","ACCT_PAYABLE_ACCRUALS_DETAILED","FQ2 2021","FQ2 2021","Currency=USD","Period=FQ","BEST_FPERIOD_OVERRIDE=FQ","FILING_STATUS=MR","SCALING_FORMAT=MLN","Sort=A","Dates=H","DateFormat=P","Fill=—","Direction=H","UseDPDF=Y")</f>
        <v>5360</v>
      </c>
      <c r="O39" s="13" cm="1">
        <f t="array" ref="O39">_xll.BDH("CMI US Equity","ACCT_PAYABLE_ACCRUALS_DETAILED","FQ3 2021","FQ3 2021","Currency=USD","Period=FQ","BEST_FPERIOD_OVERRIDE=FQ","FILING_STATUS=MR","SCALING_FORMAT=MLN","Sort=A","Dates=H","DateFormat=P","Fill=—","Direction=H","UseDPDF=Y")</f>
        <v>5588</v>
      </c>
      <c r="P39" s="13" cm="1">
        <f t="array" ref="P39">_xll.BDH("CMI US Equity","ACCT_PAYABLE_ACCRUALS_DETAILED","FQ4 2021","FQ4 2021","Currency=USD","Period=FQ","BEST_FPERIOD_OVERRIDE=FQ","FILING_STATUS=MR","SCALING_FORMAT=MLN","Sort=A","Dates=H","DateFormat=P","Fill=—","Direction=H","UseDPDF=Y")</f>
        <v>5521</v>
      </c>
      <c r="Q39" s="13" cm="1">
        <f t="array" ref="Q39">_xll.BDH("CMI US Equity","ACCT_PAYABLE_ACCRUALS_DETAILED","FQ1 2022","FQ1 2022","Currency=USD","Period=FQ","BEST_FPERIOD_OVERRIDE=FQ","FILING_STATUS=MR","SCALING_FORMAT=MLN","Sort=A","Dates=H","DateFormat=P","Fill=—","Direction=H","UseDPDF=Y")</f>
        <v>5879</v>
      </c>
      <c r="R39" s="13" cm="1">
        <f t="array" ref="R39">_xll.BDH("CMI US Equity","ACCT_PAYABLE_ACCRUALS_DETAILED","FQ2 2022","FQ2 2022","Currency=USD","Period=FQ","BEST_FPERIOD_OVERRIDE=FQ","FILING_STATUS=MR","SCALING_FORMAT=MLN","Sort=A","Dates=H","DateFormat=P","Fill=—","Direction=H","UseDPDF=Y")</f>
        <v>5745</v>
      </c>
      <c r="S39" s="13" cm="1">
        <f t="array" ref="S39">_xll.BDH("CMI US Equity","ACCT_PAYABLE_ACCRUALS_DETAILED","FQ3 2022","FQ3 2022","Currency=USD","Period=FQ","BEST_FPERIOD_OVERRIDE=FQ","FILING_STATUS=MR","SCALING_FORMAT=MLN","Sort=A","Dates=H","DateFormat=P","Fill=—","Direction=H","UseDPDF=Y")</f>
        <v>6818</v>
      </c>
      <c r="T39" s="13" cm="1">
        <f t="array" ref="T39">_xll.BDH("CMI US Equity","ACCT_PAYABLE_ACCRUALS_DETAILED","FQ4 2022","FQ4 2022","Currency=USD","Period=FQ","BEST_FPERIOD_OVERRIDE=FQ","FILING_STATUS=MR","SCALING_FORMAT=MLN","Sort=A","Dates=H","DateFormat=P","Fill=—","Direction=H","UseDPDF=Y")</f>
        <v>6928</v>
      </c>
      <c r="U39" s="13" cm="1">
        <f t="array" ref="U39">_xll.BDH("CMI US Equity","ACCT_PAYABLE_ACCRUALS_DETAILED","FQ1 2023","FQ1 2023","Currency=USD","Period=FQ","BEST_FPERIOD_OVERRIDE=FQ","FILING_STATUS=MR","SCALING_FORMAT=MLN","Sort=A","Dates=H","DateFormat=P","Fill=—","Direction=H","UseDPDF=Y")</f>
        <v>7407</v>
      </c>
      <c r="V39" s="13" cm="1">
        <f t="array" ref="V39">_xll.BDH("CMI US Equity","ACCT_PAYABLE_ACCRUALS_DETAILED","FQ2 2023","FQ2 2023","Currency=USD","Period=FQ","BEST_FPERIOD_OVERRIDE=FQ","FILING_STATUS=MR","SCALING_FORMAT=MLN","Sort=A","Dates=H","DateFormat=P","Fill=—","Direction=H","UseDPDF=Y")</f>
        <v>7282</v>
      </c>
      <c r="W39" s="13" cm="1">
        <f t="array" ref="W39">_xll.BDH("CMI US Equity","ACCT_PAYABLE_ACCRUALS_DETAILED","FQ3 2023","FQ3 2023","Currency=USD","Period=FQ","BEST_FPERIOD_OVERRIDE=FQ","FILING_STATUS=MR","SCALING_FORMAT=MLN","Sort=A","Dates=H","DateFormat=P","Fill=—","Direction=H","UseDPDF=Y")</f>
        <v>7450</v>
      </c>
      <c r="X39" s="13" cm="1">
        <f t="array" ref="X39">_xll.BDH("CMI US Equity","ACCT_PAYABLE_ACCRUALS_DETAILED","FQ4 2023","FQ4 2023","Currency=USD","Period=FQ","BEST_FPERIOD_OVERRIDE=FQ","FILING_STATUS=MR","SCALING_FORMAT=MLN","Sort=A","Dates=H","DateFormat=P","Fill=—","Direction=H","UseDPDF=Y")</f>
        <v>9651</v>
      </c>
      <c r="Y39" s="13" cm="1">
        <f t="array" ref="Y39">_xll.BDH("CMI US Equity","ACCT_PAYABLE_ACCRUALS_DETAILED","FQ1 2024","FQ1 2024","Currency=USD","Period=FQ","BEST_FPERIOD_OVERRIDE=FQ","FILING_STATUS=MR","SCALING_FORMAT=MLN","Sort=A","Dates=H","DateFormat=P","Fill=—","Direction=H","UseDPDF=Y")</f>
        <v>9257</v>
      </c>
      <c r="Z39" s="13" cm="1">
        <f t="array" ref="Z39">_xll.BDH("CMI US Equity","ACCT_PAYABLE_ACCRUALS_DETAILED","FQ2 2024","FQ2 2024","Currency=USD","Period=FQ","BEST_FPERIOD_OVERRIDE=FQ","FILING_STATUS=MR","SCALING_FORMAT=MLN","Sort=A","Dates=H","DateFormat=P","Fill=—","Direction=H","UseDPDF=Y")</f>
        <v>7625</v>
      </c>
      <c r="AA39" s="13" cm="1">
        <f t="array" ref="AA39">_xll.BDH("CMI US Equity","ACCT_PAYABLE_ACCRUALS_DETAILED","FQ3 2024","FQ3 2024","Currency=USD","Period=FQ","BEST_FPERIOD_OVERRIDE=FQ","FILING_STATUS=MR","SCALING_FORMAT=MLN","Sort=A","Dates=H","DateFormat=P","Fill=—","Direction=H","UseDPDF=Y")</f>
        <v>7514</v>
      </c>
      <c r="AB39" s="13" cm="1">
        <f t="array" ref="AB39">_xll.BDH("CMI US Equity","ACCT_PAYABLE_ACCRUALS_DETAILED","FQ4 2024","FQ4 2024","Currency=USD","Period=FQ","BEST_FPERIOD_OVERRIDE=FQ","FILING_STATUS=MR","SCALING_FORMAT=MLN","Sort=A","Dates=H","DateFormat=P","Fill=—","Direction=H","UseDPDF=Y")</f>
        <v>7482</v>
      </c>
      <c r="AC39" s="13" cm="1">
        <f t="array" ref="AC39">_xll.BDH("CMI US Equity","ACCT_PAYABLE_ACCRUALS_DETAILED","FQ1 2025","FQ1 2025","Currency=USD","Period=FQ","BEST_FPERIOD_OVERRIDE=FQ","FILING_STATUS=MR","SCALING_FORMAT=MLN","Sort=A","Dates=H","DateFormat=P","Fill=—","Direction=H","UseDPDF=Y")</f>
        <v>7377</v>
      </c>
      <c r="AD39" s="13" cm="1">
        <f t="array" ref="AD39">_xll.BDH("CMI US Equity","ACCT_PAYABLE_ACCRUALS_DETAILED","FQ2 2025","FQ2 2025","Currency=USD","Period=FQ","BEST_FPERIOD_OVERRIDE=FQ","FILING_STATUS=MR","SCALING_FORMAT=MLN","Sort=A","Dates=H","DateFormat=P","Fill=—","Direction=H","UseDPDF=Y")</f>
        <v>7251</v>
      </c>
      <c r="AE39" s="13" cm="1">
        <f t="array" ref="AE39">_xll.BDH("CMI US Equity","ACCT_PAYABLE_ACCRUALS_DETAILED","FQ3 2025","FQ3 2025","Currency=USD","Period=FQ","BEST_FPERIOD_OVERRIDE=FQ","FILING_STATUS=MR","SCALING_FORMAT=MLN","Sort=A","Dates=H","DateFormat=P","Fill=—","Direction=H","UseDPDF=Y")</f>
        <v>6924</v>
      </c>
      <c r="AF39" s="13" cm="1">
        <f t="array" ref="AF39">_xll.BDH("CMI US Equity","ACCT_PAYABLE_ACCRUALS_DETAILED","FQ4 2025","FQ4 2025","Currency=USD","Period=FQ","BEST_FPERIOD_OVERRIDE=FQ","FILING_STATUS=MR","SCALING_FORMAT=MLN","Sort=A","Dates=H","DateFormat=P","Fill=—","Direction=H","UseDPDF=Y")</f>
        <v>7106</v>
      </c>
    </row>
    <row r="40" spans="1:32" x14ac:dyDescent="0.25">
      <c r="A40" s="10" t="s">
        <v>127</v>
      </c>
      <c r="B40" s="10" t="s">
        <v>128</v>
      </c>
      <c r="C40" s="13" cm="1">
        <f t="array" ref="C40">_xll.BDH("CMI US Equity","BS_ACCT_PAYABLE","FQ3 2018","FQ3 2018","Currency=USD","Period=FQ","BEST_FPERIOD_OVERRIDE=FQ","FILING_STATUS=MR","SCALING_FORMAT=MLN","Sort=A","Dates=H","DateFormat=P","Fill=—","Direction=H","UseDPDF=Y")</f>
        <v>2980</v>
      </c>
      <c r="D40" s="13" cm="1">
        <f t="array" ref="D40">_xll.BDH("CMI US Equity","BS_ACCT_PAYABLE","FQ4 2018","FQ4 2018","Currency=USD","Period=FQ","BEST_FPERIOD_OVERRIDE=FQ","FILING_STATUS=MR","SCALING_FORMAT=MLN","Sort=A","Dates=H","DateFormat=P","Fill=—","Direction=H","UseDPDF=Y")</f>
        <v>2822</v>
      </c>
      <c r="E40" s="13" cm="1">
        <f t="array" ref="E40">_xll.BDH("CMI US Equity","BS_ACCT_PAYABLE","FQ1 2019","FQ1 2019","Currency=USD","Period=FQ","BEST_FPERIOD_OVERRIDE=FQ","FILING_STATUS=MR","SCALING_FORMAT=MLN","Sort=A","Dates=H","DateFormat=P","Fill=—","Direction=H","UseDPDF=Y")</f>
        <v>3018</v>
      </c>
      <c r="F40" s="13" cm="1">
        <f t="array" ref="F40">_xll.BDH("CMI US Equity","BS_ACCT_PAYABLE","FQ2 2019","FQ2 2019","Currency=USD","Period=FQ","BEST_FPERIOD_OVERRIDE=FQ","FILING_STATUS=MR","SCALING_FORMAT=MLN","Sort=A","Dates=H","DateFormat=P","Fill=—","Direction=H","UseDPDF=Y")</f>
        <v>2991</v>
      </c>
      <c r="G40" s="13" cm="1">
        <f t="array" ref="G40">_xll.BDH("CMI US Equity","BS_ACCT_PAYABLE","FQ3 2019","FQ3 2019","Currency=USD","Period=FQ","BEST_FPERIOD_OVERRIDE=FQ","FILING_STATUS=MR","SCALING_FORMAT=MLN","Sort=A","Dates=H","DateFormat=P","Fill=—","Direction=H","UseDPDF=Y")</f>
        <v>2830</v>
      </c>
      <c r="H40" s="13" cm="1">
        <f t="array" ref="H40">_xll.BDH("CMI US Equity","BS_ACCT_PAYABLE","FQ4 2019","FQ4 2019","Currency=USD","Period=FQ","BEST_FPERIOD_OVERRIDE=FQ","FILING_STATUS=MR","SCALING_FORMAT=MLN","Sort=A","Dates=H","DateFormat=P","Fill=—","Direction=H","UseDPDF=Y")</f>
        <v>2534</v>
      </c>
      <c r="I40" s="13" cm="1">
        <f t="array" ref="I40">_xll.BDH("CMI US Equity","BS_ACCT_PAYABLE","FQ1 2020","FQ1 2020","Currency=USD","Period=FQ","BEST_FPERIOD_OVERRIDE=FQ","FILING_STATUS=MR","SCALING_FORMAT=MLN","Sort=A","Dates=H","DateFormat=P","Fill=—","Direction=H","UseDPDF=Y")</f>
        <v>2648</v>
      </c>
      <c r="J40" s="13" cm="1">
        <f t="array" ref="J40">_xll.BDH("CMI US Equity","BS_ACCT_PAYABLE","FQ2 2020","FQ2 2020","Currency=USD","Period=FQ","BEST_FPERIOD_OVERRIDE=FQ","FILING_STATUS=MR","SCALING_FORMAT=MLN","Sort=A","Dates=H","DateFormat=P","Fill=—","Direction=H","UseDPDF=Y")</f>
        <v>2281</v>
      </c>
      <c r="K40" s="13" cm="1">
        <f t="array" ref="K40">_xll.BDH("CMI US Equity","BS_ACCT_PAYABLE","FQ3 2020","FQ3 2020","Currency=USD","Period=FQ","BEST_FPERIOD_OVERRIDE=FQ","FILING_STATUS=MR","SCALING_FORMAT=MLN","Sort=A","Dates=H","DateFormat=P","Fill=—","Direction=H","UseDPDF=Y")</f>
        <v>2597</v>
      </c>
      <c r="L40" s="13" cm="1">
        <f t="array" ref="L40">_xll.BDH("CMI US Equity","BS_ACCT_PAYABLE","FQ4 2020","FQ4 2020","Currency=USD","Period=FQ","BEST_FPERIOD_OVERRIDE=FQ","FILING_STATUS=MR","SCALING_FORMAT=MLN","Sort=A","Dates=H","DateFormat=P","Fill=—","Direction=H","UseDPDF=Y")</f>
        <v>2820</v>
      </c>
      <c r="M40" s="13" cm="1">
        <f t="array" ref="M40">_xll.BDH("CMI US Equity","BS_ACCT_PAYABLE","FQ1 2021","FQ1 2021","Currency=USD","Period=FQ","BEST_FPERIOD_OVERRIDE=FQ","FILING_STATUS=MR","SCALING_FORMAT=MLN","Sort=A","Dates=H","DateFormat=P","Fill=—","Direction=H","UseDPDF=Y")</f>
        <v>3279</v>
      </c>
      <c r="N40" s="13" cm="1">
        <f t="array" ref="N40">_xll.BDH("CMI US Equity","BS_ACCT_PAYABLE","FQ2 2021","FQ2 2021","Currency=USD","Period=FQ","BEST_FPERIOD_OVERRIDE=FQ","FILING_STATUS=MR","SCALING_FORMAT=MLN","Sort=A","Dates=H","DateFormat=P","Fill=—","Direction=H","UseDPDF=Y")</f>
        <v>3172</v>
      </c>
      <c r="O40" s="13" cm="1">
        <f t="array" ref="O40">_xll.BDH("CMI US Equity","BS_ACCT_PAYABLE","FQ3 2021","FQ3 2021","Currency=USD","Period=FQ","BEST_FPERIOD_OVERRIDE=FQ","FILING_STATUS=MR","SCALING_FORMAT=MLN","Sort=A","Dates=H","DateFormat=P","Fill=—","Direction=H","UseDPDF=Y")</f>
        <v>3210</v>
      </c>
      <c r="P40" s="13" cm="1">
        <f t="array" ref="P40">_xll.BDH("CMI US Equity","BS_ACCT_PAYABLE","FQ4 2021","FQ4 2021","Currency=USD","Period=FQ","BEST_FPERIOD_OVERRIDE=FQ","FILING_STATUS=MR","SCALING_FORMAT=MLN","Sort=A","Dates=H","DateFormat=P","Fill=—","Direction=H","UseDPDF=Y")</f>
        <v>3021</v>
      </c>
      <c r="Q40" s="13" cm="1">
        <f t="array" ref="Q40">_xll.BDH("CMI US Equity","BS_ACCT_PAYABLE","FQ1 2022","FQ1 2022","Currency=USD","Period=FQ","BEST_FPERIOD_OVERRIDE=FQ","FILING_STATUS=MR","SCALING_FORMAT=MLN","Sort=A","Dates=H","DateFormat=P","Fill=—","Direction=H","UseDPDF=Y")</f>
        <v>3497</v>
      </c>
      <c r="R40" s="13" cm="1">
        <f t="array" ref="R40">_xll.BDH("CMI US Equity","BS_ACCT_PAYABLE","FQ2 2022","FQ2 2022","Currency=USD","Period=FQ","BEST_FPERIOD_OVERRIDE=FQ","FILING_STATUS=MR","SCALING_FORMAT=MLN","Sort=A","Dates=H","DateFormat=P","Fill=—","Direction=H","UseDPDF=Y")</f>
        <v>3405</v>
      </c>
      <c r="S40" s="13" cm="1">
        <f t="array" ref="S40">_xll.BDH("CMI US Equity","BS_ACCT_PAYABLE","FQ3 2022","FQ3 2022","Currency=USD","Period=FQ","BEST_FPERIOD_OVERRIDE=FQ","FILING_STATUS=MR","SCALING_FORMAT=MLN","Sort=A","Dates=H","DateFormat=P","Fill=—","Direction=H","UseDPDF=Y")</f>
        <v>4000</v>
      </c>
      <c r="T40" s="13" cm="1">
        <f t="array" ref="T40">_xll.BDH("CMI US Equity","BS_ACCT_PAYABLE","FQ4 2022","FQ4 2022","Currency=USD","Period=FQ","BEST_FPERIOD_OVERRIDE=FQ","FILING_STATUS=MR","SCALING_FORMAT=MLN","Sort=A","Dates=H","DateFormat=P","Fill=—","Direction=H","UseDPDF=Y")</f>
        <v>4252</v>
      </c>
      <c r="U40" s="13" cm="1">
        <f t="array" ref="U40">_xll.BDH("CMI US Equity","BS_ACCT_PAYABLE","FQ1 2023","FQ1 2023","Currency=USD","Period=FQ","BEST_FPERIOD_OVERRIDE=FQ","FILING_STATUS=MR","SCALING_FORMAT=MLN","Sort=A","Dates=H","DateFormat=P","Fill=—","Direction=H","UseDPDF=Y")</f>
        <v>4636</v>
      </c>
      <c r="V40" s="13" cm="1">
        <f t="array" ref="V40">_xll.BDH("CMI US Equity","BS_ACCT_PAYABLE","FQ2 2023","FQ2 2023","Currency=USD","Period=FQ","BEST_FPERIOD_OVERRIDE=FQ","FILING_STATUS=MR","SCALING_FORMAT=MLN","Sort=A","Dates=H","DateFormat=P","Fill=—","Direction=H","UseDPDF=Y")</f>
        <v>4308</v>
      </c>
      <c r="W40" s="13" cm="1">
        <f t="array" ref="W40">_xll.BDH("CMI US Equity","BS_ACCT_PAYABLE","FQ3 2023","FQ3 2023","Currency=USD","Period=FQ","BEST_FPERIOD_OVERRIDE=FQ","FILING_STATUS=MR","SCALING_FORMAT=MLN","Sort=A","Dates=H","DateFormat=P","Fill=—","Direction=H","UseDPDF=Y")</f>
        <v>4262</v>
      </c>
      <c r="X40" s="13" cm="1">
        <f t="array" ref="X40">_xll.BDH("CMI US Equity","BS_ACCT_PAYABLE","FQ4 2023","FQ4 2023","Currency=USD","Period=FQ","BEST_FPERIOD_OVERRIDE=FQ","FILING_STATUS=MR","SCALING_FORMAT=MLN","Sort=A","Dates=H","DateFormat=P","Fill=—","Direction=H","UseDPDF=Y")</f>
        <v>4260</v>
      </c>
      <c r="Y40" s="13" cm="1">
        <f t="array" ref="Y40">_xll.BDH("CMI US Equity","BS_ACCT_PAYABLE","FQ1 2024","FQ1 2024","Currency=USD","Period=FQ","BEST_FPERIOD_OVERRIDE=FQ","FILING_STATUS=MR","SCALING_FORMAT=MLN","Sort=A","Dates=H","DateFormat=P","Fill=—","Direction=H","UseDPDF=Y")</f>
        <v>4476</v>
      </c>
      <c r="Z40" s="13" cm="1">
        <f t="array" ref="Z40">_xll.BDH("CMI US Equity","BS_ACCT_PAYABLE","FQ2 2024","FQ2 2024","Currency=USD","Period=FQ","BEST_FPERIOD_OVERRIDE=FQ","FILING_STATUS=MR","SCALING_FORMAT=MLN","Sort=A","Dates=H","DateFormat=P","Fill=—","Direction=H","UseDPDF=Y")</f>
        <v>4405</v>
      </c>
      <c r="AA40" s="13" cm="1">
        <f t="array" ref="AA40">_xll.BDH("CMI US Equity","BS_ACCT_PAYABLE","FQ3 2024","FQ3 2024","Currency=USD","Period=FQ","BEST_FPERIOD_OVERRIDE=FQ","FILING_STATUS=MR","SCALING_FORMAT=MLN","Sort=A","Dates=H","DateFormat=P","Fill=—","Direction=H","UseDPDF=Y")</f>
        <v>4206</v>
      </c>
      <c r="AB40" s="13" cm="1">
        <f t="array" ref="AB40">_xll.BDH("CMI US Equity","BS_ACCT_PAYABLE","FQ4 2024","FQ4 2024","Currency=USD","Period=FQ","BEST_FPERIOD_OVERRIDE=FQ","FILING_STATUS=MR","SCALING_FORMAT=MLN","Sort=A","Dates=H","DateFormat=P","Fill=—","Direction=H","UseDPDF=Y")</f>
        <v>3951</v>
      </c>
      <c r="AC40" s="13" cm="1">
        <f t="array" ref="AC40">_xll.BDH("CMI US Equity","BS_ACCT_PAYABLE","FQ1 2025","FQ1 2025","Currency=USD","Period=FQ","BEST_FPERIOD_OVERRIDE=FQ","FILING_STATUS=MR","SCALING_FORMAT=MLN","Sort=A","Dates=H","DateFormat=P","Fill=—","Direction=H","UseDPDF=Y")</f>
        <v>4311</v>
      </c>
      <c r="AD40" s="13" cm="1">
        <f t="array" ref="AD40">_xll.BDH("CMI US Equity","BS_ACCT_PAYABLE","FQ2 2025","FQ2 2025","Currency=USD","Period=FQ","BEST_FPERIOD_OVERRIDE=FQ","FILING_STATUS=MR","SCALING_FORMAT=MLN","Sort=A","Dates=H","DateFormat=P","Fill=—","Direction=H","UseDPDF=Y")</f>
        <v>4151</v>
      </c>
      <c r="AE40" s="13" cm="1">
        <f t="array" ref="AE40">_xll.BDH("CMI US Equity","BS_ACCT_PAYABLE","FQ3 2025","FQ3 2025","Currency=USD","Period=FQ","BEST_FPERIOD_OVERRIDE=FQ","FILING_STATUS=MR","SCALING_FORMAT=MLN","Sort=A","Dates=H","DateFormat=P","Fill=—","Direction=H","UseDPDF=Y")</f>
        <v>3819</v>
      </c>
      <c r="AF40" s="13" cm="1">
        <f t="array" ref="AF40">_xll.BDH("CMI US Equity","BS_ACCT_PAYABLE","FQ4 2025","FQ4 2025","Currency=USD","Period=FQ","BEST_FPERIOD_OVERRIDE=FQ","FILING_STATUS=MR","SCALING_FORMAT=MLN","Sort=A","Dates=H","DateFormat=P","Fill=—","Direction=H","UseDPDF=Y")</f>
        <v>3800</v>
      </c>
    </row>
    <row r="41" spans="1:32" x14ac:dyDescent="0.25">
      <c r="A41" s="10" t="s">
        <v>129</v>
      </c>
      <c r="B41" s="10" t="s">
        <v>130</v>
      </c>
      <c r="C41" s="13" cm="1">
        <f t="array" ref="C41">_xll.BDH("CMI US Equity","BS_ACCRUAL","FQ3 2018","FQ3 2018","Currency=USD","Period=FQ","BEST_FPERIOD_OVERRIDE=FQ","FILING_STATUS=MR","SCALING_FORMAT=MLN","Sort=A","Dates=H","DateFormat=P","Fill=—","Direction=H","UseDPDF=Y")</f>
        <v>2034</v>
      </c>
      <c r="D41" s="13" cm="1">
        <f t="array" ref="D41">_xll.BDH("CMI US Equity","BS_ACCRUAL","FQ4 2018","FQ4 2018","Currency=USD","Period=FQ","BEST_FPERIOD_OVERRIDE=FQ","FILING_STATUS=MR","SCALING_FORMAT=MLN","Sort=A","Dates=H","DateFormat=P","Fill=—","Direction=H","UseDPDF=Y")</f>
        <v>2185</v>
      </c>
      <c r="E41" s="13" cm="1">
        <f t="array" ref="E41">_xll.BDH("CMI US Equity","BS_ACCRUAL","FQ1 2019","FQ1 2019","Currency=USD","Period=FQ","BEST_FPERIOD_OVERRIDE=FQ","FILING_STATUS=MR","SCALING_FORMAT=MLN","Sort=A","Dates=H","DateFormat=P","Fill=—","Direction=H","UseDPDF=Y")</f>
        <v>1959</v>
      </c>
      <c r="F41" s="13" cm="1">
        <f t="array" ref="F41">_xll.BDH("CMI US Equity","BS_ACCRUAL","FQ2 2019","FQ2 2019","Currency=USD","Period=FQ","BEST_FPERIOD_OVERRIDE=FQ","FILING_STATUS=MR","SCALING_FORMAT=MLN","Sort=A","Dates=H","DateFormat=P","Fill=—","Direction=H","UseDPDF=Y")</f>
        <v>2069</v>
      </c>
      <c r="G41" s="13" cm="1">
        <f t="array" ref="G41">_xll.BDH("CMI US Equity","BS_ACCRUAL","FQ3 2019","FQ3 2019","Currency=USD","Period=FQ","BEST_FPERIOD_OVERRIDE=FQ","FILING_STATUS=MR","SCALING_FORMAT=MLN","Sort=A","Dates=H","DateFormat=P","Fill=—","Direction=H","UseDPDF=Y")</f>
        <v>2184</v>
      </c>
      <c r="H41" s="13" cm="1">
        <f t="array" ref="H41">_xll.BDH("CMI US Equity","BS_ACCRUAL","FQ4 2019","FQ4 2019","Currency=USD","Period=FQ","BEST_FPERIOD_OVERRIDE=FQ","FILING_STATUS=MR","SCALING_FORMAT=MLN","Sort=A","Dates=H","DateFormat=P","Fill=—","Direction=H","UseDPDF=Y")</f>
        <v>2271</v>
      </c>
      <c r="I41" s="13" cm="1">
        <f t="array" ref="I41">_xll.BDH("CMI US Equity","BS_ACCRUAL","FQ1 2020","FQ1 2020","Currency=USD","Period=FQ","BEST_FPERIOD_OVERRIDE=FQ","FILING_STATUS=MR","SCALING_FORMAT=MLN","Sort=A","Dates=H","DateFormat=P","Fill=—","Direction=H","UseDPDF=Y")</f>
        <v>1901</v>
      </c>
      <c r="J41" s="13" cm="1">
        <f t="array" ref="J41">_xll.BDH("CMI US Equity","BS_ACCRUAL","FQ2 2020","FQ2 2020","Currency=USD","Period=FQ","BEST_FPERIOD_OVERRIDE=FQ","FILING_STATUS=MR","SCALING_FORMAT=MLN","Sort=A","Dates=H","DateFormat=P","Fill=—","Direction=H","UseDPDF=Y")</f>
        <v>1774</v>
      </c>
      <c r="K41" s="13" cm="1">
        <f t="array" ref="K41">_xll.BDH("CMI US Equity","BS_ACCRUAL","FQ3 2020","FQ3 2020","Currency=USD","Period=FQ","BEST_FPERIOD_OVERRIDE=FQ","FILING_STATUS=MR","SCALING_FORMAT=MLN","Sort=A","Dates=H","DateFormat=P","Fill=—","Direction=H","UseDPDF=Y")</f>
        <v>1936</v>
      </c>
      <c r="L41" s="13" cm="1">
        <f t="array" ref="L41">_xll.BDH("CMI US Equity","BS_ACCRUAL","FQ4 2020","FQ4 2020","Currency=USD","Period=FQ","BEST_FPERIOD_OVERRIDE=FQ","FILING_STATUS=MR","SCALING_FORMAT=MLN","Sort=A","Dates=H","DateFormat=P","Fill=—","Direction=H","UseDPDF=Y")</f>
        <v>2142</v>
      </c>
      <c r="M41" s="13" cm="1">
        <f t="array" ref="M41">_xll.BDH("CMI US Equity","BS_ACCRUAL","FQ1 2021","FQ1 2021","Currency=USD","Period=FQ","BEST_FPERIOD_OVERRIDE=FQ","FILING_STATUS=MR","SCALING_FORMAT=MLN","Sort=A","Dates=H","DateFormat=P","Fill=—","Direction=H","UseDPDF=Y")</f>
        <v>2012</v>
      </c>
      <c r="N41" s="13" cm="1">
        <f t="array" ref="N41">_xll.BDH("CMI US Equity","BS_ACCRUAL","FQ2 2021","FQ2 2021","Currency=USD","Period=FQ","BEST_FPERIOD_OVERRIDE=FQ","FILING_STATUS=MR","SCALING_FORMAT=MLN","Sort=A","Dates=H","DateFormat=P","Fill=—","Direction=H","UseDPDF=Y")</f>
        <v>2188</v>
      </c>
      <c r="O41" s="13" cm="1">
        <f t="array" ref="O41">_xll.BDH("CMI US Equity","BS_ACCRUAL","FQ3 2021","FQ3 2021","Currency=USD","Period=FQ","BEST_FPERIOD_OVERRIDE=FQ","FILING_STATUS=MR","SCALING_FORMAT=MLN","Sort=A","Dates=H","DateFormat=P","Fill=—","Direction=H","UseDPDF=Y")</f>
        <v>2378</v>
      </c>
      <c r="P41" s="13" cm="1">
        <f t="array" ref="P41">_xll.BDH("CMI US Equity","BS_ACCRUAL","FQ4 2021","FQ4 2021","Currency=USD","Period=FQ","BEST_FPERIOD_OVERRIDE=FQ","FILING_STATUS=MR","SCALING_FORMAT=MLN","Sort=A","Dates=H","DateFormat=P","Fill=—","Direction=H","UseDPDF=Y")</f>
        <v>2500</v>
      </c>
      <c r="Q41" s="13" cm="1">
        <f t="array" ref="Q41">_xll.BDH("CMI US Equity","BS_ACCRUAL","FQ1 2022","FQ1 2022","Currency=USD","Period=FQ","BEST_FPERIOD_OVERRIDE=FQ","FILING_STATUS=MR","SCALING_FORMAT=MLN","Sort=A","Dates=H","DateFormat=P","Fill=—","Direction=H","UseDPDF=Y")</f>
        <v>2382</v>
      </c>
      <c r="R41" s="13" cm="1">
        <f t="array" ref="R41">_xll.BDH("CMI US Equity","BS_ACCRUAL","FQ2 2022","FQ2 2022","Currency=USD","Period=FQ","BEST_FPERIOD_OVERRIDE=FQ","FILING_STATUS=MR","SCALING_FORMAT=MLN","Sort=A","Dates=H","DateFormat=P","Fill=—","Direction=H","UseDPDF=Y")</f>
        <v>2340</v>
      </c>
      <c r="S41" s="13" cm="1">
        <f t="array" ref="S41">_xll.BDH("CMI US Equity","BS_ACCRUAL","FQ3 2022","FQ3 2022","Currency=USD","Period=FQ","BEST_FPERIOD_OVERRIDE=FQ","FILING_STATUS=MR","SCALING_FORMAT=MLN","Sort=A","Dates=H","DateFormat=P","Fill=—","Direction=H","UseDPDF=Y")</f>
        <v>2818</v>
      </c>
      <c r="T41" s="13" cm="1">
        <f t="array" ref="T41">_xll.BDH("CMI US Equity","BS_ACCRUAL","FQ4 2022","FQ4 2022","Currency=USD","Period=FQ","BEST_FPERIOD_OVERRIDE=FQ","FILING_STATUS=MR","SCALING_FORMAT=MLN","Sort=A","Dates=H","DateFormat=P","Fill=—","Direction=H","UseDPDF=Y")</f>
        <v>2676</v>
      </c>
      <c r="U41" s="13" cm="1">
        <f t="array" ref="U41">_xll.BDH("CMI US Equity","BS_ACCRUAL","FQ1 2023","FQ1 2023","Currency=USD","Period=FQ","BEST_FPERIOD_OVERRIDE=FQ","FILING_STATUS=MR","SCALING_FORMAT=MLN","Sort=A","Dates=H","DateFormat=P","Fill=—","Direction=H","UseDPDF=Y")</f>
        <v>2771</v>
      </c>
      <c r="V41" s="13" cm="1">
        <f t="array" ref="V41">_xll.BDH("CMI US Equity","BS_ACCRUAL","FQ2 2023","FQ2 2023","Currency=USD","Period=FQ","BEST_FPERIOD_OVERRIDE=FQ","FILING_STATUS=MR","SCALING_FORMAT=MLN","Sort=A","Dates=H","DateFormat=P","Fill=—","Direction=H","UseDPDF=Y")</f>
        <v>2974</v>
      </c>
      <c r="W41" s="13" cm="1">
        <f t="array" ref="W41">_xll.BDH("CMI US Equity","BS_ACCRUAL","FQ3 2023","FQ3 2023","Currency=USD","Period=FQ","BEST_FPERIOD_OVERRIDE=FQ","FILING_STATUS=MR","SCALING_FORMAT=MLN","Sort=A","Dates=H","DateFormat=P","Fill=—","Direction=H","UseDPDF=Y")</f>
        <v>3188</v>
      </c>
      <c r="X41" s="13" cm="1">
        <f t="array" ref="X41">_xll.BDH("CMI US Equity","BS_ACCRUAL","FQ4 2023","FQ4 2023","Currency=USD","Period=FQ","BEST_FPERIOD_OVERRIDE=FQ","FILING_STATUS=MR","SCALING_FORMAT=MLN","Sort=A","Dates=H","DateFormat=P","Fill=—","Direction=H","UseDPDF=Y")</f>
        <v>5391</v>
      </c>
      <c r="Y41" s="13" cm="1">
        <f t="array" ref="Y41">_xll.BDH("CMI US Equity","BS_ACCRUAL","FQ1 2024","FQ1 2024","Currency=USD","Period=FQ","BEST_FPERIOD_OVERRIDE=FQ","FILING_STATUS=MR","SCALING_FORMAT=MLN","Sort=A","Dates=H","DateFormat=P","Fill=—","Direction=H","UseDPDF=Y")</f>
        <v>4781</v>
      </c>
      <c r="Z41" s="13" cm="1">
        <f t="array" ref="Z41">_xll.BDH("CMI US Equity","BS_ACCRUAL","FQ2 2024","FQ2 2024","Currency=USD","Period=FQ","BEST_FPERIOD_OVERRIDE=FQ","FILING_STATUS=MR","SCALING_FORMAT=MLN","Sort=A","Dates=H","DateFormat=P","Fill=—","Direction=H","UseDPDF=Y")</f>
        <v>3220</v>
      </c>
      <c r="AA41" s="13" cm="1">
        <f t="array" ref="AA41">_xll.BDH("CMI US Equity","BS_ACCRUAL","FQ3 2024","FQ3 2024","Currency=USD","Period=FQ","BEST_FPERIOD_OVERRIDE=FQ","FILING_STATUS=MR","SCALING_FORMAT=MLN","Sort=A","Dates=H","DateFormat=P","Fill=—","Direction=H","UseDPDF=Y")</f>
        <v>3308</v>
      </c>
      <c r="AB41" s="13" cm="1">
        <f t="array" ref="AB41">_xll.BDH("CMI US Equity","BS_ACCRUAL","FQ4 2024","FQ4 2024","Currency=USD","Period=FQ","BEST_FPERIOD_OVERRIDE=FQ","FILING_STATUS=MR","SCALING_FORMAT=MLN","Sort=A","Dates=H","DateFormat=P","Fill=—","Direction=H","UseDPDF=Y")</f>
        <v>3531</v>
      </c>
      <c r="AC41" s="13" cm="1">
        <f t="array" ref="AC41">_xll.BDH("CMI US Equity","BS_ACCRUAL","FQ1 2025","FQ1 2025","Currency=USD","Period=FQ","BEST_FPERIOD_OVERRIDE=FQ","FILING_STATUS=MR","SCALING_FORMAT=MLN","Sort=A","Dates=H","DateFormat=P","Fill=—","Direction=H","UseDPDF=Y")</f>
        <v>3066</v>
      </c>
      <c r="AD41" s="13" cm="1">
        <f t="array" ref="AD41">_xll.BDH("CMI US Equity","BS_ACCRUAL","FQ2 2025","FQ2 2025","Currency=USD","Period=FQ","BEST_FPERIOD_OVERRIDE=FQ","FILING_STATUS=MR","SCALING_FORMAT=MLN","Sort=A","Dates=H","DateFormat=P","Fill=—","Direction=H","UseDPDF=Y")</f>
        <v>3100</v>
      </c>
      <c r="AE41" s="13" cm="1">
        <f t="array" ref="AE41">_xll.BDH("CMI US Equity","BS_ACCRUAL","FQ3 2025","FQ3 2025","Currency=USD","Period=FQ","BEST_FPERIOD_OVERRIDE=FQ","FILING_STATUS=MR","SCALING_FORMAT=MLN","Sort=A","Dates=H","DateFormat=P","Fill=—","Direction=H","UseDPDF=Y")</f>
        <v>3105</v>
      </c>
      <c r="AF41" s="13" cm="1">
        <f t="array" ref="AF41">_xll.BDH("CMI US Equity","BS_ACCRUAL","FQ4 2025","FQ4 2025","Currency=USD","Period=FQ","BEST_FPERIOD_OVERRIDE=FQ","FILING_STATUS=MR","SCALING_FORMAT=MLN","Sort=A","Dates=H","DateFormat=P","Fill=—","Direction=H","UseDPDF=Y")</f>
        <v>3306</v>
      </c>
    </row>
    <row r="42" spans="1:32" x14ac:dyDescent="0.25">
      <c r="A42" s="10" t="s">
        <v>131</v>
      </c>
      <c r="B42" s="10" t="s">
        <v>132</v>
      </c>
      <c r="C42" s="13" cm="1">
        <f t="array" ref="C42">_xll.BDH("CMI US Equity","BS_ST_BORROW","FQ3 2018","FQ3 2018","Currency=USD","Period=FQ","BEST_FPERIOD_OVERRIDE=FQ","FILING_STATUS=MR","SCALING_FORMAT=MLN","Sort=A","Dates=H","DateFormat=P","Fill=—","Direction=H","UseDPDF=Y")</f>
        <v>902</v>
      </c>
      <c r="D42" s="13" cm="1">
        <f t="array" ref="D42">_xll.BDH("CMI US Equity","BS_ST_BORROW","FQ4 2018","FQ4 2018","Currency=USD","Period=FQ","BEST_FPERIOD_OVERRIDE=FQ","FILING_STATUS=MR","SCALING_FORMAT=MLN","Sort=A","Dates=H","DateFormat=P","Fill=—","Direction=H","UseDPDF=Y")</f>
        <v>879</v>
      </c>
      <c r="E42" s="13" cm="1">
        <f t="array" ref="E42">_xll.BDH("CMI US Equity","BS_ST_BORROW","FQ1 2019","FQ1 2019","Currency=USD","Period=FQ","BEST_FPERIOD_OVERRIDE=FQ","FILING_STATUS=MR","SCALING_FORMAT=MLN","Sort=A","Dates=H","DateFormat=P","Fill=—","Direction=H","UseDPDF=Y")</f>
        <v>941</v>
      </c>
      <c r="F42" s="13" cm="1">
        <f t="array" ref="F42">_xll.BDH("CMI US Equity","BS_ST_BORROW","FQ2 2019","FQ2 2019","Currency=USD","Period=FQ","BEST_FPERIOD_OVERRIDE=FQ","FILING_STATUS=MR","SCALING_FORMAT=MLN","Sort=A","Dates=H","DateFormat=P","Fill=—","Direction=H","UseDPDF=Y")</f>
        <v>724</v>
      </c>
      <c r="G42" s="13" cm="1">
        <f t="array" ref="G42">_xll.BDH("CMI US Equity","BS_ST_BORROW","FQ3 2019","FQ3 2019","Currency=USD","Period=FQ","BEST_FPERIOD_OVERRIDE=FQ","FILING_STATUS=MR","SCALING_FORMAT=MLN","Sort=A","Dates=H","DateFormat=P","Fill=—","Direction=H","UseDPDF=Y")</f>
        <v>1166</v>
      </c>
      <c r="H42" s="13" cm="1">
        <f t="array" ref="H42">_xll.BDH("CMI US Equity","BS_ST_BORROW","FQ4 2019","FQ4 2019","Currency=USD","Period=FQ","BEST_FPERIOD_OVERRIDE=FQ","FILING_STATUS=MR","SCALING_FORMAT=MLN","Sort=A","Dates=H","DateFormat=P","Fill=—","Direction=H","UseDPDF=Y")</f>
        <v>922</v>
      </c>
      <c r="I42" s="13" cm="1">
        <f t="array" ref="I42">_xll.BDH("CMI US Equity","BS_ST_BORROW","FQ1 2020","FQ1 2020","Currency=USD","Period=FQ","BEST_FPERIOD_OVERRIDE=FQ","FILING_STATUS=MR","SCALING_FORMAT=MLN","Sort=A","Dates=H","DateFormat=P","Fill=—","Direction=H","UseDPDF=Y")</f>
        <v>1906</v>
      </c>
      <c r="J42" s="13" cm="1">
        <f t="array" ref="J42">_xll.BDH("CMI US Equity","BS_ST_BORROW","FQ2 2020","FQ2 2020","Currency=USD","Period=FQ","BEST_FPERIOD_OVERRIDE=FQ","FILING_STATUS=MR","SCALING_FORMAT=MLN","Sort=A","Dates=H","DateFormat=P","Fill=—","Direction=H","UseDPDF=Y")</f>
        <v>2338</v>
      </c>
      <c r="K42" s="13" cm="1">
        <f t="array" ref="K42">_xll.BDH("CMI US Equity","BS_ST_BORROW","FQ3 2020","FQ3 2020","Currency=USD","Period=FQ","BEST_FPERIOD_OVERRIDE=FQ","FILING_STATUS=MR","SCALING_FORMAT=MLN","Sort=A","Dates=H","DateFormat=P","Fill=—","Direction=H","UseDPDF=Y")</f>
        <v>636</v>
      </c>
      <c r="L42" s="13" cm="1">
        <f t="array" ref="L42">_xll.BDH("CMI US Equity","BS_ST_BORROW","FQ4 2020","FQ4 2020","Currency=USD","Period=FQ","BEST_FPERIOD_OVERRIDE=FQ","FILING_STATUS=MR","SCALING_FORMAT=MLN","Sort=A","Dates=H","DateFormat=P","Fill=—","Direction=H","UseDPDF=Y")</f>
        <v>682</v>
      </c>
      <c r="M42" s="13" cm="1">
        <f t="array" ref="M42">_xll.BDH("CMI US Equity","BS_ST_BORROW","FQ1 2021","FQ1 2021","Currency=USD","Period=FQ","BEST_FPERIOD_OVERRIDE=FQ","FILING_STATUS=MR","SCALING_FORMAT=MLN","Sort=A","Dates=H","DateFormat=P","Fill=—","Direction=H","UseDPDF=Y")</f>
        <v>596</v>
      </c>
      <c r="N42" s="13" cm="1">
        <f t="array" ref="N42">_xll.BDH("CMI US Equity","BS_ST_BORROW","FQ2 2021","FQ2 2021","Currency=USD","Period=FQ","BEST_FPERIOD_OVERRIDE=FQ","FILING_STATUS=MR","SCALING_FORMAT=MLN","Sort=A","Dates=H","DateFormat=P","Fill=—","Direction=H","UseDPDF=Y")</f>
        <v>439</v>
      </c>
      <c r="O42" s="13" cm="1">
        <f t="array" ref="O42">_xll.BDH("CMI US Equity","BS_ST_BORROW","FQ3 2021","FQ3 2021","Currency=USD","Period=FQ","BEST_FPERIOD_OVERRIDE=FQ","FILING_STATUS=MR","SCALING_FORMAT=MLN","Sort=A","Dates=H","DateFormat=P","Fill=—","Direction=H","UseDPDF=Y")</f>
        <v>467</v>
      </c>
      <c r="P42" s="13" cm="1">
        <f t="array" ref="P42">_xll.BDH("CMI US Equity","BS_ST_BORROW","FQ4 2021","FQ4 2021","Currency=USD","Period=FQ","BEST_FPERIOD_OVERRIDE=FQ","FILING_STATUS=MR","SCALING_FORMAT=MLN","Sort=A","Dates=H","DateFormat=P","Fill=—","Direction=H","UseDPDF=Y")</f>
        <v>708</v>
      </c>
      <c r="Q42" s="13" cm="1">
        <f t="array" ref="Q42">_xll.BDH("CMI US Equity","BS_ST_BORROW","FQ1 2022","FQ1 2022","Currency=USD","Period=FQ","BEST_FPERIOD_OVERRIDE=FQ","FILING_STATUS=MR","SCALING_FORMAT=MLN","Sort=A","Dates=H","DateFormat=P","Fill=—","Direction=H","UseDPDF=Y")</f>
        <v>750</v>
      </c>
      <c r="R42" s="13" cm="1">
        <f t="array" ref="R42">_xll.BDH("CMI US Equity","BS_ST_BORROW","FQ2 2022","FQ2 2022","Currency=USD","Period=FQ","BEST_FPERIOD_OVERRIDE=FQ","FILING_STATUS=MR","SCALING_FORMAT=MLN","Sort=A","Dates=H","DateFormat=P","Fill=—","Direction=H","UseDPDF=Y")</f>
        <v>1055</v>
      </c>
      <c r="S42" s="13" cm="1">
        <f t="array" ref="S42">_xll.BDH("CMI US Equity","BS_ST_BORROW","FQ3 2022","FQ3 2022","Currency=USD","Period=FQ","BEST_FPERIOD_OVERRIDE=FQ","FILING_STATUS=MR","SCALING_FORMAT=MLN","Sort=A","Dates=H","DateFormat=P","Fill=—","Direction=H","UseDPDF=Y")</f>
        <v>2791</v>
      </c>
      <c r="T42" s="13" cm="1">
        <f t="array" ref="T42">_xll.BDH("CMI US Equity","BS_ST_BORROW","FQ4 2022","FQ4 2022","Currency=USD","Period=FQ","BEST_FPERIOD_OVERRIDE=FQ","FILING_STATUS=MR","SCALING_FORMAT=MLN","Sort=A","Dates=H","DateFormat=P","Fill=—","Direction=H","UseDPDF=Y")</f>
        <v>3489</v>
      </c>
      <c r="U42" s="13" cm="1">
        <f t="array" ref="U42">_xll.BDH("CMI US Equity","BS_ST_BORROW","FQ1 2023","FQ1 2023","Currency=USD","Period=FQ","BEST_FPERIOD_OVERRIDE=FQ","FILING_STATUS=MR","SCALING_FORMAT=MLN","Sort=A","Dates=H","DateFormat=P","Fill=—","Direction=H","UseDPDF=Y")</f>
        <v>3476</v>
      </c>
      <c r="V42" s="13" cm="1">
        <f t="array" ref="V42">_xll.BDH("CMI US Equity","BS_ST_BORROW","FQ2 2023","FQ2 2023","Currency=USD","Period=FQ","BEST_FPERIOD_OVERRIDE=FQ","FILING_STATUS=MR","SCALING_FORMAT=MLN","Sort=A","Dates=H","DateFormat=P","Fill=—","Direction=H","UseDPDF=Y")</f>
        <v>2746</v>
      </c>
      <c r="W42" s="13" cm="1">
        <f t="array" ref="W42">_xll.BDH("CMI US Equity","BS_ST_BORROW","FQ3 2023","FQ3 2023","Currency=USD","Period=FQ","BEST_FPERIOD_OVERRIDE=FQ","FILING_STATUS=MR","SCALING_FORMAT=MLN","Sort=A","Dates=H","DateFormat=P","Fill=—","Direction=H","UseDPDF=Y")</f>
        <v>2647</v>
      </c>
      <c r="X42" s="13" cm="1">
        <f t="array" ref="X42">_xll.BDH("CMI US Equity","BS_ST_BORROW","FQ4 2023","FQ4 2023","Currency=USD","Period=FQ","BEST_FPERIOD_OVERRIDE=FQ","FILING_STATUS=MR","SCALING_FORMAT=MLN","Sort=A","Dates=H","DateFormat=P","Fill=—","Direction=H","UseDPDF=Y")</f>
        <v>2032</v>
      </c>
      <c r="Y42" s="13" cm="1">
        <f t="array" ref="Y42">_xll.BDH("CMI US Equity","BS_ST_BORROW","FQ1 2024","FQ1 2024","Currency=USD","Period=FQ","BEST_FPERIOD_OVERRIDE=FQ","FILING_STATUS=MR","SCALING_FORMAT=MLN","Sort=A","Dates=H","DateFormat=P","Fill=—","Direction=H","UseDPDF=Y")</f>
        <v>1193</v>
      </c>
      <c r="Z42" s="13" cm="1">
        <f t="array" ref="Z42">_xll.BDH("CMI US Equity","BS_ST_BORROW","FQ2 2024","FQ2 2024","Currency=USD","Period=FQ","BEST_FPERIOD_OVERRIDE=FQ","FILING_STATUS=MR","SCALING_FORMAT=MLN","Sort=A","Dates=H","DateFormat=P","Fill=—","Direction=H","UseDPDF=Y")</f>
        <v>2208</v>
      </c>
      <c r="AA42" s="13" cm="1">
        <f t="array" ref="AA42">_xll.BDH("CMI US Equity","BS_ST_BORROW","FQ3 2024","FQ3 2024","Currency=USD","Period=FQ","BEST_FPERIOD_OVERRIDE=FQ","FILING_STATUS=MR","SCALING_FORMAT=MLN","Sort=A","Dates=H","DateFormat=P","Fill=—","Direction=H","UseDPDF=Y")</f>
        <v>2864</v>
      </c>
      <c r="AB42" s="13" cm="1">
        <f t="array" ref="AB42">_xll.BDH("CMI US Equity","BS_ST_BORROW","FQ4 2024","FQ4 2024","Currency=USD","Period=FQ","BEST_FPERIOD_OVERRIDE=FQ","FILING_STATUS=MR","SCALING_FORMAT=MLN","Sort=A","Dates=H","DateFormat=P","Fill=—","Direction=H","UseDPDF=Y")</f>
        <v>2405</v>
      </c>
      <c r="AC42" s="13" cm="1">
        <f t="array" ref="AC42">_xll.BDH("CMI US Equity","BS_ST_BORROW","FQ1 2025","FQ1 2025","Currency=USD","Period=FQ","BEST_FPERIOD_OVERRIDE=FQ","FILING_STATUS=MR","SCALING_FORMAT=MLN","Sort=A","Dates=H","DateFormat=P","Fill=—","Direction=H","UseDPDF=Y")</f>
        <v>2692</v>
      </c>
      <c r="AD42" s="13" cm="1">
        <f t="array" ref="AD42">_xll.BDH("CMI US Equity","BS_ST_BORROW","FQ2 2025","FQ2 2025","Currency=USD","Period=FQ","BEST_FPERIOD_OVERRIDE=FQ","FILING_STATUS=MR","SCALING_FORMAT=MLN","Sort=A","Dates=H","DateFormat=P","Fill=—","Direction=H","UseDPDF=Y")</f>
        <v>1444</v>
      </c>
      <c r="AE42" s="13" cm="1">
        <f t="array" ref="AE42">_xll.BDH("CMI US Equity","BS_ST_BORROW","FQ3 2025","FQ3 2025","Currency=USD","Period=FQ","BEST_FPERIOD_OVERRIDE=FQ","FILING_STATUS=MR","SCALING_FORMAT=MLN","Sort=A","Dates=H","DateFormat=P","Fill=—","Direction=H","UseDPDF=Y")</f>
        <v>930</v>
      </c>
      <c r="AF42" s="13" cm="1">
        <f t="array" ref="AF42">_xll.BDH("CMI US Equity","BS_ST_BORROW","FQ4 2025","FQ4 2025","Currency=USD","Period=FQ","BEST_FPERIOD_OVERRIDE=FQ","FILING_STATUS=MR","SCALING_FORMAT=MLN","Sort=A","Dates=H","DateFormat=P","Fill=—","Direction=H","UseDPDF=Y")</f>
        <v>898</v>
      </c>
    </row>
    <row r="43" spans="1:32" x14ac:dyDescent="0.25">
      <c r="A43" s="10" t="s">
        <v>133</v>
      </c>
      <c r="B43" s="10" t="s">
        <v>134</v>
      </c>
      <c r="C43" s="13" cm="1">
        <f t="array" ref="C43">_xll.BDH("CMI US Equity","SHORT_TERM_DEBT_DETAILED","FQ3 2018","FQ3 2018","Currency=USD","Period=FQ","BEST_FPERIOD_OVERRIDE=FQ","FILING_STATUS=MR","SCALING_FORMAT=MLN","Sort=A","Dates=H","DateFormat=P","Fill=—","Direction=H","UseDPDF=Y")</f>
        <v>861</v>
      </c>
      <c r="D43" s="13" cm="1">
        <f t="array" ref="D43">_xll.BDH("CMI US Equity","SHORT_TERM_DEBT_DETAILED","FQ4 2018","FQ4 2018","Currency=USD","Period=FQ","BEST_FPERIOD_OVERRIDE=FQ","FILING_STATUS=MR","SCALING_FORMAT=MLN","Sort=A","Dates=H","DateFormat=P","Fill=—","Direction=H","UseDPDF=Y")</f>
        <v>834</v>
      </c>
      <c r="E43" s="13" cm="1">
        <f t="array" ref="E43">_xll.BDH("CMI US Equity","SHORT_TERM_DEBT_DETAILED","FQ1 2019","FQ1 2019","Currency=USD","Period=FQ","BEST_FPERIOD_OVERRIDE=FQ","FILING_STATUS=MR","SCALING_FORMAT=MLN","Sort=A","Dates=H","DateFormat=P","Fill=—","Direction=H","UseDPDF=Y")</f>
        <v>769</v>
      </c>
      <c r="F43" s="13" cm="1">
        <f t="array" ref="F43">_xll.BDH("CMI US Equity","SHORT_TERM_DEBT_DETAILED","FQ2 2019","FQ2 2019","Currency=USD","Period=FQ","BEST_FPERIOD_OVERRIDE=FQ","FILING_STATUS=MR","SCALING_FORMAT=MLN","Sort=A","Dates=H","DateFormat=P","Fill=—","Direction=H","UseDPDF=Y")</f>
        <v>541</v>
      </c>
      <c r="G43" s="13" cm="1">
        <f t="array" ref="G43">_xll.BDH("CMI US Equity","SHORT_TERM_DEBT_DETAILED","FQ3 2019","FQ3 2019","Currency=USD","Period=FQ","BEST_FPERIOD_OVERRIDE=FQ","FILING_STATUS=MR","SCALING_FORMAT=MLN","Sort=A","Dates=H","DateFormat=P","Fill=—","Direction=H","UseDPDF=Y")</f>
        <v>993</v>
      </c>
      <c r="H43" s="13" cm="1">
        <f t="array" ref="H43">_xll.BDH("CMI US Equity","SHORT_TERM_DEBT_DETAILED","FQ4 2019","FQ4 2019","Currency=USD","Period=FQ","BEST_FPERIOD_OVERRIDE=FQ","FILING_STATUS=MR","SCALING_FORMAT=MLN","Sort=A","Dates=H","DateFormat=P","Fill=—","Direction=H","UseDPDF=Y")</f>
        <v>748</v>
      </c>
      <c r="I43" s="13" cm="1">
        <f t="array" ref="I43">_xll.BDH("CMI US Equity","SHORT_TERM_DEBT_DETAILED","FQ1 2020","FQ1 2020","Currency=USD","Period=FQ","BEST_FPERIOD_OVERRIDE=FQ","FILING_STATUS=MR","SCALING_FORMAT=MLN","Sort=A","Dates=H","DateFormat=P","Fill=—","Direction=H","UseDPDF=Y")</f>
        <v>1738</v>
      </c>
      <c r="J43" s="13" cm="1">
        <f t="array" ref="J43">_xll.BDH("CMI US Equity","SHORT_TERM_DEBT_DETAILED","FQ2 2020","FQ2 2020","Currency=USD","Period=FQ","BEST_FPERIOD_OVERRIDE=FQ","FILING_STATUS=MR","SCALING_FORMAT=MLN","Sort=A","Dates=H","DateFormat=P","Fill=—","Direction=H","UseDPDF=Y")</f>
        <v>2136</v>
      </c>
      <c r="K43" s="13" cm="1">
        <f t="array" ref="K43">_xll.BDH("CMI US Equity","SHORT_TERM_DEBT_DETAILED","FQ3 2020","FQ3 2020","Currency=USD","Period=FQ","BEST_FPERIOD_OVERRIDE=FQ","FILING_STATUS=MR","SCALING_FORMAT=MLN","Sort=A","Dates=H","DateFormat=P","Fill=—","Direction=H","UseDPDF=Y")</f>
        <v>445</v>
      </c>
      <c r="L43" s="13" cm="1">
        <f t="array" ref="L43">_xll.BDH("CMI US Equity","SHORT_TERM_DEBT_DETAILED","FQ4 2020","FQ4 2020","Currency=USD","Period=FQ","BEST_FPERIOD_OVERRIDE=FQ","FILING_STATUS=MR","SCALING_FORMAT=MLN","Sort=A","Dates=H","DateFormat=P","Fill=—","Direction=H","UseDPDF=Y")</f>
        <v>480</v>
      </c>
      <c r="M43" s="13" cm="1">
        <f t="array" ref="M43">_xll.BDH("CMI US Equity","SHORT_TERM_DEBT_DETAILED","FQ1 2021","FQ1 2021","Currency=USD","Period=FQ","BEST_FPERIOD_OVERRIDE=FQ","FILING_STATUS=MR","SCALING_FORMAT=MLN","Sort=A","Dates=H","DateFormat=P","Fill=—","Direction=H","UseDPDF=Y")</f>
        <v>410</v>
      </c>
      <c r="N43" s="13" cm="1">
        <f t="array" ref="N43">_xll.BDH("CMI US Equity","SHORT_TERM_DEBT_DETAILED","FQ2 2021","FQ2 2021","Currency=USD","Period=FQ","BEST_FPERIOD_OVERRIDE=FQ","FILING_STATUS=MR","SCALING_FORMAT=MLN","Sort=A","Dates=H","DateFormat=P","Fill=—","Direction=H","UseDPDF=Y")</f>
        <v>254</v>
      </c>
      <c r="O43" s="13" cm="1">
        <f t="array" ref="O43">_xll.BDH("CMI US Equity","SHORT_TERM_DEBT_DETAILED","FQ3 2021","FQ3 2021","Currency=USD","Period=FQ","BEST_FPERIOD_OVERRIDE=FQ","FILING_STATUS=MR","SCALING_FORMAT=MLN","Sort=A","Dates=H","DateFormat=P","Fill=—","Direction=H","UseDPDF=Y")</f>
        <v>285</v>
      </c>
      <c r="P43" s="13" cm="1">
        <f t="array" ref="P43">_xll.BDH("CMI US Equity","SHORT_TERM_DEBT_DETAILED","FQ4 2021","FQ4 2021","Currency=USD","Period=FQ","BEST_FPERIOD_OVERRIDE=FQ","FILING_STATUS=MR","SCALING_FORMAT=MLN","Sort=A","Dates=H","DateFormat=P","Fill=—","Direction=H","UseDPDF=Y")</f>
        <v>507</v>
      </c>
      <c r="Q43" s="13" cm="1">
        <f t="array" ref="Q43">_xll.BDH("CMI US Equity","SHORT_TERM_DEBT_DETAILED","FQ1 2022","FQ1 2022","Currency=USD","Period=FQ","BEST_FPERIOD_OVERRIDE=FQ","FILING_STATUS=MR","SCALING_FORMAT=MLN","Sort=A","Dates=H","DateFormat=P","Fill=—","Direction=H","UseDPDF=Y")</f>
        <v>554</v>
      </c>
      <c r="R43" s="13" cm="1">
        <f t="array" ref="R43">_xll.BDH("CMI US Equity","SHORT_TERM_DEBT_DETAILED","FQ2 2022","FQ2 2022","Currency=USD","Period=FQ","BEST_FPERIOD_OVERRIDE=FQ","FILING_STATUS=MR","SCALING_FORMAT=MLN","Sort=A","Dates=H","DateFormat=P","Fill=—","Direction=H","UseDPDF=Y")</f>
        <v>870</v>
      </c>
      <c r="S43" s="13" cm="1">
        <f t="array" ref="S43">_xll.BDH("CMI US Equity","SHORT_TERM_DEBT_DETAILED","FQ3 2022","FQ3 2022","Currency=USD","Period=FQ","BEST_FPERIOD_OVERRIDE=FQ","FILING_STATUS=MR","SCALING_FORMAT=MLN","Sort=A","Dates=H","DateFormat=P","Fill=—","Direction=H","UseDPDF=Y")</f>
        <v>2610</v>
      </c>
      <c r="T43" s="13" cm="1">
        <f t="array" ref="T43">_xll.BDH("CMI US Equity","SHORT_TERM_DEBT_DETAILED","FQ4 2022","FQ4 2022","Currency=USD","Period=FQ","BEST_FPERIOD_OVERRIDE=FQ","FILING_STATUS=MR","SCALING_FORMAT=MLN","Sort=A","Dates=H","DateFormat=P","Fill=—","Direction=H","UseDPDF=Y")</f>
        <v>2752</v>
      </c>
      <c r="U43" s="13" cm="1">
        <f t="array" ref="U43">_xll.BDH("CMI US Equity","SHORT_TERM_DEBT_DETAILED","FQ1 2023","FQ1 2023","Currency=USD","Period=FQ","BEST_FPERIOD_OVERRIDE=FQ","FILING_STATUS=MR","SCALING_FORMAT=MLN","Sort=A","Dates=H","DateFormat=P","Fill=—","Direction=H","UseDPDF=Y")</f>
        <v>2774</v>
      </c>
      <c r="V43" s="13" cm="1">
        <f t="array" ref="V43">_xll.BDH("CMI US Equity","SHORT_TERM_DEBT_DETAILED","FQ2 2023","FQ2 2023","Currency=USD","Period=FQ","BEST_FPERIOD_OVERRIDE=FQ","FILING_STATUS=MR","SCALING_FORMAT=MLN","Sort=A","Dates=H","DateFormat=P","Fill=—","Direction=H","UseDPDF=Y")</f>
        <v>2036</v>
      </c>
      <c r="W43" s="13" cm="1">
        <f t="array" ref="W43">_xll.BDH("CMI US Equity","SHORT_TERM_DEBT_DETAILED","FQ3 2023","FQ3 2023","Currency=USD","Period=FQ","BEST_FPERIOD_OVERRIDE=FQ","FILING_STATUS=MR","SCALING_FORMAT=MLN","Sort=A","Dates=H","DateFormat=P","Fill=—","Direction=H","UseDPDF=Y")</f>
        <v>1941</v>
      </c>
      <c r="X43" s="13" cm="1">
        <f t="array" ref="X43">_xll.BDH("CMI US Equity","SHORT_TERM_DEBT_DETAILED","FQ4 2023","FQ4 2023","Currency=USD","Period=FQ","BEST_FPERIOD_OVERRIDE=FQ","FILING_STATUS=MR","SCALING_FORMAT=MLN","Sort=A","Dates=H","DateFormat=P","Fill=—","Direction=H","UseDPDF=Y")</f>
        <v>1759</v>
      </c>
      <c r="Y43" s="13" cm="1">
        <f t="array" ref="Y43">_xll.BDH("CMI US Equity","SHORT_TERM_DEBT_DETAILED","FQ1 2024","FQ1 2024","Currency=USD","Period=FQ","BEST_FPERIOD_OVERRIDE=FQ","FILING_STATUS=MR","SCALING_FORMAT=MLN","Sort=A","Dates=H","DateFormat=P","Fill=—","Direction=H","UseDPDF=Y")</f>
        <v>951</v>
      </c>
      <c r="Z43" s="13" cm="1">
        <f t="array" ref="Z43">_xll.BDH("CMI US Equity","SHORT_TERM_DEBT_DETAILED","FQ2 2024","FQ2 2024","Currency=USD","Period=FQ","BEST_FPERIOD_OVERRIDE=FQ","FILING_STATUS=MR","SCALING_FORMAT=MLN","Sort=A","Dates=H","DateFormat=P","Fill=—","Direction=H","UseDPDF=Y")</f>
        <v>1910</v>
      </c>
      <c r="AA43" s="13" cm="1">
        <f t="array" ref="AA43">_xll.BDH("CMI US Equity","SHORT_TERM_DEBT_DETAILED","FQ3 2024","FQ3 2024","Currency=USD","Period=FQ","BEST_FPERIOD_OVERRIDE=FQ","FILING_STATUS=MR","SCALING_FORMAT=MLN","Sort=A","Dates=H","DateFormat=P","Fill=—","Direction=H","UseDPDF=Y")</f>
        <v>2077</v>
      </c>
      <c r="AB43" s="13" cm="1">
        <f t="array" ref="AB43">_xll.BDH("CMI US Equity","SHORT_TERM_DEBT_DETAILED","FQ4 2024","FQ4 2024","Currency=USD","Period=FQ","BEST_FPERIOD_OVERRIDE=FQ","FILING_STATUS=MR","SCALING_FORMAT=MLN","Sort=A","Dates=H","DateFormat=P","Fill=—","Direction=H","UseDPDF=Y")</f>
        <v>1595</v>
      </c>
      <c r="AC43" s="13" cm="1">
        <f t="array" ref="AC43">_xll.BDH("CMI US Equity","SHORT_TERM_DEBT_DETAILED","FQ1 2025","FQ1 2025","Currency=USD","Period=FQ","BEST_FPERIOD_OVERRIDE=FQ","FILING_STATUS=MR","SCALING_FORMAT=MLN","Sort=A","Dates=H","DateFormat=P","Fill=—","Direction=H","UseDPDF=Y")</f>
        <v>2031</v>
      </c>
      <c r="AD43" s="13" cm="1">
        <f t="array" ref="AD43">_xll.BDH("CMI US Equity","SHORT_TERM_DEBT_DETAILED","FQ2 2025","FQ2 2025","Currency=USD","Period=FQ","BEST_FPERIOD_OVERRIDE=FQ","FILING_STATUS=MR","SCALING_FORMAT=MLN","Sort=A","Dates=H","DateFormat=P","Fill=—","Direction=H","UseDPDF=Y")</f>
        <v>689</v>
      </c>
      <c r="AE43" s="13" cm="1">
        <f t="array" ref="AE43">_xll.BDH("CMI US Equity","SHORT_TERM_DEBT_DETAILED","FQ3 2025","FQ3 2025","Currency=USD","Period=FQ","BEST_FPERIOD_OVERRIDE=FQ","FILING_STATUS=MR","SCALING_FORMAT=MLN","Sort=A","Dates=H","DateFormat=P","Fill=—","Direction=H","UseDPDF=Y")</f>
        <v>668</v>
      </c>
      <c r="AF43" s="13" cm="1">
        <f t="array" ref="AF43">_xll.BDH("CMI US Equity","SHORT_TERM_DEBT_DETAILED","FQ4 2025","FQ4 2025","Currency=USD","Period=FQ","BEST_FPERIOD_OVERRIDE=FQ","FILING_STATUS=MR","SCALING_FORMAT=MLN","Sort=A","Dates=H","DateFormat=P","Fill=—","Direction=H","UseDPDF=Y")</f>
        <v>641</v>
      </c>
    </row>
    <row r="44" spans="1:32" x14ac:dyDescent="0.25">
      <c r="A44" s="10" t="s">
        <v>135</v>
      </c>
      <c r="B44" s="10" t="s">
        <v>136</v>
      </c>
      <c r="C44" s="13" t="str" cm="1">
        <f t="array" ref="C44">_xll.BDH("CMI US Equity","ST_CAPITALIZED_LEASE_LIABILITIES","FQ3 2018","FQ3 2018","Currency=USD","Period=FQ","BEST_FPERIOD_OVERRIDE=FQ","FILING_STATUS=MR","SCALING_FORMAT=MLN","Sort=A","Dates=H","DateFormat=P","Fill=—","Direction=H","UseDPDF=Y")</f>
        <v>—</v>
      </c>
      <c r="D44" s="13" t="str" cm="1">
        <f t="array" ref="D44">_xll.BDH("CMI US Equity","ST_CAPITALIZED_LEASE_LIABILITIES","FQ4 2018","FQ4 2018","Currency=USD","Period=FQ","BEST_FPERIOD_OVERRIDE=FQ","FILING_STATUS=MR","SCALING_FORMAT=MLN","Sort=A","Dates=H","DateFormat=P","Fill=—","Direction=H","UseDPDF=Y")</f>
        <v>—</v>
      </c>
      <c r="E44" s="13" cm="1">
        <f t="array" ref="E44">_xll.BDH("CMI US Equity","ST_CAPITALIZED_LEASE_LIABILITIES","FQ1 2019","FQ1 2019","Currency=USD","Period=FQ","BEST_FPERIOD_OVERRIDE=FQ","FILING_STATUS=MR","SCALING_FORMAT=MLN","Sort=A","Dates=H","DateFormat=P","Fill=—","Direction=H","UseDPDF=Y")</f>
        <v>135</v>
      </c>
      <c r="F44" s="13" cm="1">
        <f t="array" ref="F44">_xll.BDH("CMI US Equity","ST_CAPITALIZED_LEASE_LIABILITIES","FQ2 2019","FQ2 2019","Currency=USD","Period=FQ","BEST_FPERIOD_OVERRIDE=FQ","FILING_STATUS=MR","SCALING_FORMAT=MLN","Sort=A","Dates=H","DateFormat=P","Fill=—","Direction=H","UseDPDF=Y")</f>
        <v>137</v>
      </c>
      <c r="G44" s="13" cm="1">
        <f t="array" ref="G44">_xll.BDH("CMI US Equity","ST_CAPITALIZED_LEASE_LIABILITIES","FQ3 2019","FQ3 2019","Currency=USD","Period=FQ","BEST_FPERIOD_OVERRIDE=FQ","FILING_STATUS=MR","SCALING_FORMAT=MLN","Sort=A","Dates=H","DateFormat=P","Fill=—","Direction=H","UseDPDF=Y")</f>
        <v>136</v>
      </c>
      <c r="H44" s="13" cm="1">
        <f t="array" ref="H44">_xll.BDH("CMI US Equity","ST_CAPITALIZED_LEASE_LIABILITIES","FQ4 2019","FQ4 2019","Currency=USD","Period=FQ","BEST_FPERIOD_OVERRIDE=FQ","FILING_STATUS=MR","SCALING_FORMAT=MLN","Sort=A","Dates=H","DateFormat=P","Fill=—","Direction=H","UseDPDF=Y")</f>
        <v>143</v>
      </c>
      <c r="I44" s="13" cm="1">
        <f t="array" ref="I44">_xll.BDH("CMI US Equity","ST_CAPITALIZED_LEASE_LIABILITIES","FQ1 2020","FQ1 2020","Currency=USD","Period=FQ","BEST_FPERIOD_OVERRIDE=FQ","FILING_STATUS=MR","SCALING_FORMAT=MLN","Sort=A","Dates=H","DateFormat=P","Fill=—","Direction=H","UseDPDF=Y")</f>
        <v>135</v>
      </c>
      <c r="J44" s="13" cm="1">
        <f t="array" ref="J44">_xll.BDH("CMI US Equity","ST_CAPITALIZED_LEASE_LIABILITIES","FQ2 2020","FQ2 2020","Currency=USD","Period=FQ","BEST_FPERIOD_OVERRIDE=FQ","FILING_STATUS=MR","SCALING_FORMAT=MLN","Sort=A","Dates=H","DateFormat=P","Fill=—","Direction=H","UseDPDF=Y")</f>
        <v>136</v>
      </c>
      <c r="K44" s="13" cm="1">
        <f t="array" ref="K44">_xll.BDH("CMI US Equity","ST_CAPITALIZED_LEASE_LIABILITIES","FQ3 2020","FQ3 2020","Currency=USD","Period=FQ","BEST_FPERIOD_OVERRIDE=FQ","FILING_STATUS=MR","SCALING_FORMAT=MLN","Sort=A","Dates=H","DateFormat=P","Fill=—","Direction=H","UseDPDF=Y")</f>
        <v>133</v>
      </c>
      <c r="L44" s="13" cm="1">
        <f t="array" ref="L44">_xll.BDH("CMI US Equity","ST_CAPITALIZED_LEASE_LIABILITIES","FQ4 2020","FQ4 2020","Currency=USD","Period=FQ","BEST_FPERIOD_OVERRIDE=FQ","FILING_STATUS=MR","SCALING_FORMAT=MLN","Sort=A","Dates=H","DateFormat=P","Fill=—","Direction=H","UseDPDF=Y")</f>
        <v>140</v>
      </c>
      <c r="M44" s="13" cm="1">
        <f t="array" ref="M44">_xll.BDH("CMI US Equity","ST_CAPITALIZED_LEASE_LIABILITIES","FQ1 2021","FQ1 2021","Currency=USD","Period=FQ","BEST_FPERIOD_OVERRIDE=FQ","FILING_STATUS=MR","SCALING_FORMAT=MLN","Sort=A","Dates=H","DateFormat=P","Fill=—","Direction=H","UseDPDF=Y")</f>
        <v>125</v>
      </c>
      <c r="N44" s="13" cm="1">
        <f t="array" ref="N44">_xll.BDH("CMI US Equity","ST_CAPITALIZED_LEASE_LIABILITIES","FQ2 2021","FQ2 2021","Currency=USD","Period=FQ","BEST_FPERIOD_OVERRIDE=FQ","FILING_STATUS=MR","SCALING_FORMAT=MLN","Sort=A","Dates=H","DateFormat=P","Fill=—","Direction=H","UseDPDF=Y")</f>
        <v>128</v>
      </c>
      <c r="O44" s="13" cm="1">
        <f t="array" ref="O44">_xll.BDH("CMI US Equity","ST_CAPITALIZED_LEASE_LIABILITIES","FQ3 2021","FQ3 2021","Currency=USD","Period=FQ","BEST_FPERIOD_OVERRIDE=FQ","FILING_STATUS=MR","SCALING_FORMAT=MLN","Sort=A","Dates=H","DateFormat=P","Fill=—","Direction=H","UseDPDF=Y")</f>
        <v>127</v>
      </c>
      <c r="P44" s="13" cm="1">
        <f t="array" ref="P44">_xll.BDH("CMI US Equity","ST_CAPITALIZED_LEASE_LIABILITIES","FQ4 2021","FQ4 2021","Currency=USD","Period=FQ","BEST_FPERIOD_OVERRIDE=FQ","FILING_STATUS=MR","SCALING_FORMAT=MLN","Sort=A","Dates=H","DateFormat=P","Fill=—","Direction=H","UseDPDF=Y")</f>
        <v>142</v>
      </c>
      <c r="Q44" s="13" cm="1">
        <f t="array" ref="Q44">_xll.BDH("CMI US Equity","ST_CAPITALIZED_LEASE_LIABILITIES","FQ1 2022","FQ1 2022","Currency=USD","Period=FQ","BEST_FPERIOD_OVERRIDE=FQ","FILING_STATUS=MR","SCALING_FORMAT=MLN","Sort=A","Dates=H","DateFormat=P","Fill=—","Direction=H","UseDPDF=Y")</f>
        <v>127</v>
      </c>
      <c r="R44" s="13" cm="1">
        <f t="array" ref="R44">_xll.BDH("CMI US Equity","ST_CAPITALIZED_LEASE_LIABILITIES","FQ2 2022","FQ2 2022","Currency=USD","Period=FQ","BEST_FPERIOD_OVERRIDE=FQ","FILING_STATUS=MR","SCALING_FORMAT=MLN","Sort=A","Dates=H","DateFormat=P","Fill=—","Direction=H","UseDPDF=Y")</f>
        <v>120</v>
      </c>
      <c r="S44" s="13" cm="1">
        <f t="array" ref="S44">_xll.BDH("CMI US Equity","ST_CAPITALIZED_LEASE_LIABILITIES","FQ3 2022","FQ3 2022","Currency=USD","Period=FQ","BEST_FPERIOD_OVERRIDE=FQ","FILING_STATUS=MR","SCALING_FORMAT=MLN","Sort=A","Dates=H","DateFormat=P","Fill=—","Direction=H","UseDPDF=Y")</f>
        <v>126</v>
      </c>
      <c r="T44" s="13" cm="1">
        <f t="array" ref="T44">_xll.BDH("CMI US Equity","ST_CAPITALIZED_LEASE_LIABILITIES","FQ4 2022","FQ4 2022","Currency=USD","Period=FQ","BEST_FPERIOD_OVERRIDE=FQ","FILING_STATUS=MR","SCALING_FORMAT=MLN","Sort=A","Dates=H","DateFormat=P","Fill=—","Direction=H","UseDPDF=Y")</f>
        <v>164</v>
      </c>
      <c r="U44" s="13" cm="1">
        <f t="array" ref="U44">_xll.BDH("CMI US Equity","ST_CAPITALIZED_LEASE_LIABILITIES","FQ1 2023","FQ1 2023","Currency=USD","Period=FQ","BEST_FPERIOD_OVERRIDE=FQ","FILING_STATUS=MR","SCALING_FORMAT=MLN","Sort=A","Dates=H","DateFormat=P","Fill=—","Direction=H","UseDPDF=Y")</f>
        <v>133</v>
      </c>
      <c r="V44" s="13" cm="1">
        <f t="array" ref="V44">_xll.BDH("CMI US Equity","ST_CAPITALIZED_LEASE_LIABILITIES","FQ2 2023","FQ2 2023","Currency=USD","Period=FQ","BEST_FPERIOD_OVERRIDE=FQ","FILING_STATUS=MR","SCALING_FORMAT=MLN","Sort=A","Dates=H","DateFormat=P","Fill=—","Direction=H","UseDPDF=Y")</f>
        <v>135</v>
      </c>
      <c r="W44" s="13" cm="1">
        <f t="array" ref="W44">_xll.BDH("CMI US Equity","ST_CAPITALIZED_LEASE_LIABILITIES","FQ3 2023","FQ3 2023","Currency=USD","Period=FQ","BEST_FPERIOD_OVERRIDE=FQ","FILING_STATUS=MR","SCALING_FORMAT=MLN","Sort=A","Dates=H","DateFormat=P","Fill=—","Direction=H","UseDPDF=Y")</f>
        <v>133</v>
      </c>
      <c r="X44" s="13" cm="1">
        <f t="array" ref="X44">_xll.BDH("CMI US Equity","ST_CAPITALIZED_LEASE_LIABILITIES","FQ4 2023","FQ4 2023","Currency=USD","Period=FQ","BEST_FPERIOD_OVERRIDE=FQ","FILING_STATUS=MR","SCALING_FORMAT=MLN","Sort=A","Dates=H","DateFormat=P","Fill=—","Direction=H","UseDPDF=Y")</f>
        <v>155</v>
      </c>
      <c r="Y44" s="13" cm="1">
        <f t="array" ref="Y44">_xll.BDH("CMI US Equity","ST_CAPITALIZED_LEASE_LIABILITIES","FQ1 2024","FQ1 2024","Currency=USD","Period=FQ","BEST_FPERIOD_OVERRIDE=FQ","FILING_STATUS=MR","SCALING_FORMAT=MLN","Sort=A","Dates=H","DateFormat=P","Fill=—","Direction=H","UseDPDF=Y")</f>
        <v>129</v>
      </c>
      <c r="Z44" s="13" cm="1">
        <f t="array" ref="Z44">_xll.BDH("CMI US Equity","ST_CAPITALIZED_LEASE_LIABILITIES","FQ2 2024","FQ2 2024","Currency=USD","Period=FQ","BEST_FPERIOD_OVERRIDE=FQ","FILING_STATUS=MR","SCALING_FORMAT=MLN","Sort=A","Dates=H","DateFormat=P","Fill=—","Direction=H","UseDPDF=Y")</f>
        <v>131</v>
      </c>
      <c r="AA44" s="13" cm="1">
        <f t="array" ref="AA44">_xll.BDH("CMI US Equity","ST_CAPITALIZED_LEASE_LIABILITIES","FQ3 2024","FQ3 2024","Currency=USD","Period=FQ","BEST_FPERIOD_OVERRIDE=FQ","FILING_STATUS=MR","SCALING_FORMAT=MLN","Sort=A","Dates=H","DateFormat=P","Fill=—","Direction=H","UseDPDF=Y")</f>
        <v>133</v>
      </c>
      <c r="AB44" s="13" cm="1">
        <f t="array" ref="AB44">_xll.BDH("CMI US Equity","ST_CAPITALIZED_LEASE_LIABILITIES","FQ4 2024","FQ4 2024","Currency=USD","Period=FQ","BEST_FPERIOD_OVERRIDE=FQ","FILING_STATUS=MR","SCALING_FORMAT=MLN","Sort=A","Dates=H","DateFormat=P","Fill=—","Direction=H","UseDPDF=Y")</f>
        <v>150</v>
      </c>
      <c r="AC44" s="13" t="str" cm="1">
        <f t="array" ref="AC44">_xll.BDH("CMI US Equity","ST_CAPITALIZED_LEASE_LIABILITIES","FQ1 2025","FQ1 2025","Currency=USD","Period=FQ","BEST_FPERIOD_OVERRIDE=FQ","FILING_STATUS=MR","SCALING_FORMAT=MLN","Sort=A","Dates=H","DateFormat=P","Fill=—","Direction=H","UseDPDF=Y")</f>
        <v>—</v>
      </c>
      <c r="AD44" s="13" cm="1">
        <f t="array" ref="AD44">_xll.BDH("CMI US Equity","ST_CAPITALIZED_LEASE_LIABILITIES","FQ2 2025","FQ2 2025","Currency=USD","Period=FQ","BEST_FPERIOD_OVERRIDE=FQ","FILING_STATUS=MR","SCALING_FORMAT=MLN","Sort=A","Dates=H","DateFormat=P","Fill=—","Direction=H","UseDPDF=Y")</f>
        <v>140</v>
      </c>
      <c r="AE44" s="13" cm="1">
        <f t="array" ref="AE44">_xll.BDH("CMI US Equity","ST_CAPITALIZED_LEASE_LIABILITIES","FQ3 2025","FQ3 2025","Currency=USD","Period=FQ","BEST_FPERIOD_OVERRIDE=FQ","FILING_STATUS=MR","SCALING_FORMAT=MLN","Sort=A","Dates=H","DateFormat=P","Fill=—","Direction=H","UseDPDF=Y")</f>
        <v>140</v>
      </c>
      <c r="AF44" s="13" cm="1">
        <f t="array" ref="AF44">_xll.BDH("CMI US Equity","ST_CAPITALIZED_LEASE_LIABILITIES","FQ4 2025","FQ4 2025","Currency=USD","Period=FQ","BEST_FPERIOD_OVERRIDE=FQ","FILING_STATUS=MR","SCALING_FORMAT=MLN","Sort=A","Dates=H","DateFormat=P","Fill=—","Direction=H","UseDPDF=Y")</f>
        <v>163</v>
      </c>
    </row>
    <row r="45" spans="1:32" x14ac:dyDescent="0.25">
      <c r="A45" s="11" t="s">
        <v>137</v>
      </c>
      <c r="B45" s="11" t="s">
        <v>138</v>
      </c>
      <c r="C45" s="17" t="str" cm="1">
        <f t="array" ref="C45">_xll.BDH("CMI US Equity","ST_CAPITAL_LEASE_OBLIGATIONS","FQ3 2018","FQ3 2018","Currency=USD","Period=FQ","BEST_FPERIOD_OVERRIDE=FQ","FILING_STATUS=MR","SCALING_FORMAT=MLN","Sort=A","Dates=H","DateFormat=P","Fill=—","Direction=H","UseDPDF=Y")</f>
        <v>—</v>
      </c>
      <c r="D45" s="17" t="str" cm="1">
        <f t="array" ref="D45">_xll.BDH("CMI US Equity","ST_CAPITAL_LEASE_OBLIGATIONS","FQ4 2018","FQ4 2018","Currency=USD","Period=FQ","BEST_FPERIOD_OVERRIDE=FQ","FILING_STATUS=MR","SCALING_FORMAT=MLN","Sort=A","Dates=H","DateFormat=P","Fill=—","Direction=H","UseDPDF=Y")</f>
        <v>—</v>
      </c>
      <c r="E45" s="17" cm="1">
        <f t="array" ref="E45">_xll.BDH("CMI US Equity","ST_CAPITAL_LEASE_OBLIGATIONS","FQ1 2019","FQ1 2019","Currency=USD","Period=FQ","BEST_FPERIOD_OVERRIDE=FQ","FILING_STATUS=MR","SCALING_FORMAT=MLN","Sort=A","Dates=H","DateFormat=P","Fill=—","Direction=H","UseDPDF=Y")</f>
        <v>10</v>
      </c>
      <c r="F45" s="17" cm="1">
        <f t="array" ref="F45">_xll.BDH("CMI US Equity","ST_CAPITAL_LEASE_OBLIGATIONS","FQ2 2019","FQ2 2019","Currency=USD","Period=FQ","BEST_FPERIOD_OVERRIDE=FQ","FILING_STATUS=MR","SCALING_FORMAT=MLN","Sort=A","Dates=H","DateFormat=P","Fill=—","Direction=H","UseDPDF=Y")</f>
        <v>12</v>
      </c>
      <c r="G45" s="17" cm="1">
        <f t="array" ref="G45">_xll.BDH("CMI US Equity","ST_CAPITAL_LEASE_OBLIGATIONS","FQ3 2019","FQ3 2019","Currency=USD","Period=FQ","BEST_FPERIOD_OVERRIDE=FQ","FILING_STATUS=MR","SCALING_FORMAT=MLN","Sort=A","Dates=H","DateFormat=P","Fill=—","Direction=H","UseDPDF=Y")</f>
        <v>12</v>
      </c>
      <c r="H45" s="17" cm="1">
        <f t="array" ref="H45">_xll.BDH("CMI US Equity","ST_CAPITAL_LEASE_OBLIGATIONS","FQ4 2019","FQ4 2019","Currency=USD","Period=FQ","BEST_FPERIOD_OVERRIDE=FQ","FILING_STATUS=MR","SCALING_FORMAT=MLN","Sort=A","Dates=H","DateFormat=P","Fill=—","Direction=H","UseDPDF=Y")</f>
        <v>12</v>
      </c>
      <c r="I45" s="17" t="str" cm="1">
        <f t="array" ref="I45">_xll.BDH("CMI US Equity","ST_CAPITAL_LEASE_OBLIGATIONS","FQ1 2020","FQ1 2020","Currency=USD","Period=FQ","BEST_FPERIOD_OVERRIDE=FQ","FILING_STATUS=MR","SCALING_FORMAT=MLN","Sort=A","Dates=H","DateFormat=P","Fill=—","Direction=H","UseDPDF=Y")</f>
        <v>—</v>
      </c>
      <c r="J45" s="17" t="str" cm="1">
        <f t="array" ref="J45">_xll.BDH("CMI US Equity","ST_CAPITAL_LEASE_OBLIGATIONS","FQ2 2020","FQ2 2020","Currency=USD","Period=FQ","BEST_FPERIOD_OVERRIDE=FQ","FILING_STATUS=MR","SCALING_FORMAT=MLN","Sort=A","Dates=H","DateFormat=P","Fill=—","Direction=H","UseDPDF=Y")</f>
        <v>—</v>
      </c>
      <c r="K45" s="17" t="str" cm="1">
        <f t="array" ref="K45">_xll.BDH("CMI US Equity","ST_CAPITAL_LEASE_OBLIGATIONS","FQ3 2020","FQ3 2020","Currency=USD","Period=FQ","BEST_FPERIOD_OVERRIDE=FQ","FILING_STATUS=MR","SCALING_FORMAT=MLN","Sort=A","Dates=H","DateFormat=P","Fill=—","Direction=H","UseDPDF=Y")</f>
        <v>—</v>
      </c>
      <c r="L45" s="17" cm="1">
        <f t="array" ref="L45">_xll.BDH("CMI US Equity","ST_CAPITAL_LEASE_OBLIGATIONS","FQ4 2020","FQ4 2020","Currency=USD","Period=FQ","BEST_FPERIOD_OVERRIDE=FQ","FILING_STATUS=MR","SCALING_FORMAT=MLN","Sort=A","Dates=H","DateFormat=P","Fill=—","Direction=H","UseDPDF=Y")</f>
        <v>12</v>
      </c>
      <c r="M45" s="17" t="str" cm="1">
        <f t="array" ref="M45">_xll.BDH("CMI US Equity","ST_CAPITAL_LEASE_OBLIGATIONS","FQ1 2021","FQ1 2021","Currency=USD","Period=FQ","BEST_FPERIOD_OVERRIDE=FQ","FILING_STATUS=MR","SCALING_FORMAT=MLN","Sort=A","Dates=H","DateFormat=P","Fill=—","Direction=H","UseDPDF=Y")</f>
        <v>—</v>
      </c>
      <c r="N45" s="17" t="str" cm="1">
        <f t="array" ref="N45">_xll.BDH("CMI US Equity","ST_CAPITAL_LEASE_OBLIGATIONS","FQ2 2021","FQ2 2021","Currency=USD","Period=FQ","BEST_FPERIOD_OVERRIDE=FQ","FILING_STATUS=MR","SCALING_FORMAT=MLN","Sort=A","Dates=H","DateFormat=P","Fill=—","Direction=H","UseDPDF=Y")</f>
        <v>—</v>
      </c>
      <c r="O45" s="17" t="str" cm="1">
        <f t="array" ref="O45">_xll.BDH("CMI US Equity","ST_CAPITAL_LEASE_OBLIGATIONS","FQ3 2021","FQ3 2021","Currency=USD","Period=FQ","BEST_FPERIOD_OVERRIDE=FQ","FILING_STATUS=MR","SCALING_FORMAT=MLN","Sort=A","Dates=H","DateFormat=P","Fill=—","Direction=H","UseDPDF=Y")</f>
        <v>—</v>
      </c>
      <c r="P45" s="17" cm="1">
        <f t="array" ref="P45">_xll.BDH("CMI US Equity","ST_CAPITAL_LEASE_OBLIGATIONS","FQ4 2021","FQ4 2021","Currency=USD","Period=FQ","BEST_FPERIOD_OVERRIDE=FQ","FILING_STATUS=MR","SCALING_FORMAT=MLN","Sort=A","Dates=H","DateFormat=P","Fill=—","Direction=H","UseDPDF=Y")</f>
        <v>14</v>
      </c>
      <c r="Q45" s="17" t="str" cm="1">
        <f t="array" ref="Q45">_xll.BDH("CMI US Equity","ST_CAPITAL_LEASE_OBLIGATIONS","FQ1 2022","FQ1 2022","Currency=USD","Period=FQ","BEST_FPERIOD_OVERRIDE=FQ","FILING_STATUS=MR","SCALING_FORMAT=MLN","Sort=A","Dates=H","DateFormat=P","Fill=—","Direction=H","UseDPDF=Y")</f>
        <v>—</v>
      </c>
      <c r="R45" s="17" t="str" cm="1">
        <f t="array" ref="R45">_xll.BDH("CMI US Equity","ST_CAPITAL_LEASE_OBLIGATIONS","FQ2 2022","FQ2 2022","Currency=USD","Period=FQ","BEST_FPERIOD_OVERRIDE=FQ","FILING_STATUS=MR","SCALING_FORMAT=MLN","Sort=A","Dates=H","DateFormat=P","Fill=—","Direction=H","UseDPDF=Y")</f>
        <v>—</v>
      </c>
      <c r="S45" s="17" t="str" cm="1">
        <f t="array" ref="S45">_xll.BDH("CMI US Equity","ST_CAPITAL_LEASE_OBLIGATIONS","FQ3 2022","FQ3 2022","Currency=USD","Period=FQ","BEST_FPERIOD_OVERRIDE=FQ","FILING_STATUS=MR","SCALING_FORMAT=MLN","Sort=A","Dates=H","DateFormat=P","Fill=—","Direction=H","UseDPDF=Y")</f>
        <v>—</v>
      </c>
      <c r="T45" s="17" cm="1">
        <f t="array" ref="T45">_xll.BDH("CMI US Equity","ST_CAPITAL_LEASE_OBLIGATIONS","FQ4 2022","FQ4 2022","Currency=USD","Period=FQ","BEST_FPERIOD_OVERRIDE=FQ","FILING_STATUS=MR","SCALING_FORMAT=MLN","Sort=A","Dates=H","DateFormat=P","Fill=—","Direction=H","UseDPDF=Y")</f>
        <v>32</v>
      </c>
      <c r="U45" s="17" t="str" cm="1">
        <f t="array" ref="U45">_xll.BDH("CMI US Equity","ST_CAPITAL_LEASE_OBLIGATIONS","FQ1 2023","FQ1 2023","Currency=USD","Period=FQ","BEST_FPERIOD_OVERRIDE=FQ","FILING_STATUS=MR","SCALING_FORMAT=MLN","Sort=A","Dates=H","DateFormat=P","Fill=—","Direction=H","UseDPDF=Y")</f>
        <v>—</v>
      </c>
      <c r="V45" s="17" t="str" cm="1">
        <f t="array" ref="V45">_xll.BDH("CMI US Equity","ST_CAPITAL_LEASE_OBLIGATIONS","FQ2 2023","FQ2 2023","Currency=USD","Period=FQ","BEST_FPERIOD_OVERRIDE=FQ","FILING_STATUS=MR","SCALING_FORMAT=MLN","Sort=A","Dates=H","DateFormat=P","Fill=—","Direction=H","UseDPDF=Y")</f>
        <v>—</v>
      </c>
      <c r="W45" s="17" t="str" cm="1">
        <f t="array" ref="W45">_xll.BDH("CMI US Equity","ST_CAPITAL_LEASE_OBLIGATIONS","FQ3 2023","FQ3 2023","Currency=USD","Period=FQ","BEST_FPERIOD_OVERRIDE=FQ","FILING_STATUS=MR","SCALING_FORMAT=MLN","Sort=A","Dates=H","DateFormat=P","Fill=—","Direction=H","UseDPDF=Y")</f>
        <v>—</v>
      </c>
      <c r="X45" s="17" cm="1">
        <f t="array" ref="X45">_xll.BDH("CMI US Equity","ST_CAPITAL_LEASE_OBLIGATIONS","FQ4 2023","FQ4 2023","Currency=USD","Period=FQ","BEST_FPERIOD_OVERRIDE=FQ","FILING_STATUS=MR","SCALING_FORMAT=MLN","Sort=A","Dates=H","DateFormat=P","Fill=—","Direction=H","UseDPDF=Y")</f>
        <v>17</v>
      </c>
      <c r="Y45" s="17" t="str" cm="1">
        <f t="array" ref="Y45">_xll.BDH("CMI US Equity","ST_CAPITAL_LEASE_OBLIGATIONS","FQ1 2024","FQ1 2024","Currency=USD","Period=FQ","BEST_FPERIOD_OVERRIDE=FQ","FILING_STATUS=MR","SCALING_FORMAT=MLN","Sort=A","Dates=H","DateFormat=P","Fill=—","Direction=H","UseDPDF=Y")</f>
        <v>—</v>
      </c>
      <c r="Z45" s="17" t="str" cm="1">
        <f t="array" ref="Z45">_xll.BDH("CMI US Equity","ST_CAPITAL_LEASE_OBLIGATIONS","FQ2 2024","FQ2 2024","Currency=USD","Period=FQ","BEST_FPERIOD_OVERRIDE=FQ","FILING_STATUS=MR","SCALING_FORMAT=MLN","Sort=A","Dates=H","DateFormat=P","Fill=—","Direction=H","UseDPDF=Y")</f>
        <v>—</v>
      </c>
      <c r="AA45" s="17" t="str" cm="1">
        <f t="array" ref="AA45">_xll.BDH("CMI US Equity","ST_CAPITAL_LEASE_OBLIGATIONS","FQ3 2024","FQ3 2024","Currency=USD","Period=FQ","BEST_FPERIOD_OVERRIDE=FQ","FILING_STATUS=MR","SCALING_FORMAT=MLN","Sort=A","Dates=H","DateFormat=P","Fill=—","Direction=H","UseDPDF=Y")</f>
        <v>—</v>
      </c>
      <c r="AB45" s="17" cm="1">
        <f t="array" ref="AB45">_xll.BDH("CMI US Equity","ST_CAPITAL_LEASE_OBLIGATIONS","FQ4 2024","FQ4 2024","Currency=USD","Period=FQ","BEST_FPERIOD_OVERRIDE=FQ","FILING_STATUS=MR","SCALING_FORMAT=MLN","Sort=A","Dates=H","DateFormat=P","Fill=—","Direction=H","UseDPDF=Y")</f>
        <v>20</v>
      </c>
      <c r="AC45" s="17" t="str" cm="1">
        <f t="array" ref="AC45">_xll.BDH("CMI US Equity","ST_CAPITAL_LEASE_OBLIGATIONS","FQ1 2025","FQ1 2025","Currency=USD","Period=FQ","BEST_FPERIOD_OVERRIDE=FQ","FILING_STATUS=MR","SCALING_FORMAT=MLN","Sort=A","Dates=H","DateFormat=P","Fill=—","Direction=H","UseDPDF=Y")</f>
        <v>—</v>
      </c>
      <c r="AD45" s="17" t="str" cm="1">
        <f t="array" ref="AD45">_xll.BDH("CMI US Equity","ST_CAPITAL_LEASE_OBLIGATIONS","FQ2 2025","FQ2 2025","Currency=USD","Period=FQ","BEST_FPERIOD_OVERRIDE=FQ","FILING_STATUS=MR","SCALING_FORMAT=MLN","Sort=A","Dates=H","DateFormat=P","Fill=—","Direction=H","UseDPDF=Y")</f>
        <v>—</v>
      </c>
      <c r="AE45" s="17" t="str" cm="1">
        <f t="array" ref="AE45">_xll.BDH("CMI US Equity","ST_CAPITAL_LEASE_OBLIGATIONS","FQ3 2025","FQ3 2025","Currency=USD","Period=FQ","BEST_FPERIOD_OVERRIDE=FQ","FILING_STATUS=MR","SCALING_FORMAT=MLN","Sort=A","Dates=H","DateFormat=P","Fill=—","Direction=H","UseDPDF=Y")</f>
        <v>—</v>
      </c>
      <c r="AF45" s="17" cm="1">
        <f t="array" ref="AF45">_xll.BDH("CMI US Equity","ST_CAPITAL_LEASE_OBLIGATIONS","FQ4 2025","FQ4 2025","Currency=USD","Period=FQ","BEST_FPERIOD_OVERRIDE=FQ","FILING_STATUS=MR","SCALING_FORMAT=MLN","Sort=A","Dates=H","DateFormat=P","Fill=—","Direction=H","UseDPDF=Y")</f>
        <v>25</v>
      </c>
    </row>
    <row r="46" spans="1:32" x14ac:dyDescent="0.25">
      <c r="A46" s="11" t="s">
        <v>139</v>
      </c>
      <c r="B46" s="11" t="s">
        <v>140</v>
      </c>
      <c r="C46" s="17" t="str" cm="1">
        <f t="array" ref="C46">_xll.BDH("CMI US Equity","BS_ST_OPERATING_LEASE_LIABS","FQ3 2018","FQ3 2018","Currency=USD","Period=FQ","BEST_FPERIOD_OVERRIDE=FQ","FILING_STATUS=MR","SCALING_FORMAT=MLN","Sort=A","Dates=H","DateFormat=P","Fill=—","Direction=H","UseDPDF=Y")</f>
        <v>—</v>
      </c>
      <c r="D46" s="17" t="str" cm="1">
        <f t="array" ref="D46">_xll.BDH("CMI US Equity","BS_ST_OPERATING_LEASE_LIABS","FQ4 2018","FQ4 2018","Currency=USD","Period=FQ","BEST_FPERIOD_OVERRIDE=FQ","FILING_STATUS=MR","SCALING_FORMAT=MLN","Sort=A","Dates=H","DateFormat=P","Fill=—","Direction=H","UseDPDF=Y")</f>
        <v>—</v>
      </c>
      <c r="E46" s="17" cm="1">
        <f t="array" ref="E46">_xll.BDH("CMI US Equity","BS_ST_OPERATING_LEASE_LIABS","FQ1 2019","FQ1 2019","Currency=USD","Period=FQ","BEST_FPERIOD_OVERRIDE=FQ","FILING_STATUS=MR","SCALING_FORMAT=MLN","Sort=A","Dates=H","DateFormat=P","Fill=—","Direction=H","UseDPDF=Y")</f>
        <v>125</v>
      </c>
      <c r="F46" s="17" cm="1">
        <f t="array" ref="F46">_xll.BDH("CMI US Equity","BS_ST_OPERATING_LEASE_LIABS","FQ2 2019","FQ2 2019","Currency=USD","Period=FQ","BEST_FPERIOD_OVERRIDE=FQ","FILING_STATUS=MR","SCALING_FORMAT=MLN","Sort=A","Dates=H","DateFormat=P","Fill=—","Direction=H","UseDPDF=Y")</f>
        <v>125</v>
      </c>
      <c r="G46" s="17" cm="1">
        <f t="array" ref="G46">_xll.BDH("CMI US Equity","BS_ST_OPERATING_LEASE_LIABS","FQ3 2019","FQ3 2019","Currency=USD","Period=FQ","BEST_FPERIOD_OVERRIDE=FQ","FILING_STATUS=MR","SCALING_FORMAT=MLN","Sort=A","Dates=H","DateFormat=P","Fill=—","Direction=H","UseDPDF=Y")</f>
        <v>124</v>
      </c>
      <c r="H46" s="17" cm="1">
        <f t="array" ref="H46">_xll.BDH("CMI US Equity","BS_ST_OPERATING_LEASE_LIABS","FQ4 2019","FQ4 2019","Currency=USD","Period=FQ","BEST_FPERIOD_OVERRIDE=FQ","FILING_STATUS=MR","SCALING_FORMAT=MLN","Sort=A","Dates=H","DateFormat=P","Fill=—","Direction=H","UseDPDF=Y")</f>
        <v>131</v>
      </c>
      <c r="I46" s="17" cm="1">
        <f t="array" ref="I46">_xll.BDH("CMI US Equity","BS_ST_OPERATING_LEASE_LIABS","FQ1 2020","FQ1 2020","Currency=USD","Period=FQ","BEST_FPERIOD_OVERRIDE=FQ","FILING_STATUS=MR","SCALING_FORMAT=MLN","Sort=A","Dates=H","DateFormat=P","Fill=—","Direction=H","UseDPDF=Y")</f>
        <v>135</v>
      </c>
      <c r="J46" s="17" cm="1">
        <f t="array" ref="J46">_xll.BDH("CMI US Equity","BS_ST_OPERATING_LEASE_LIABS","FQ2 2020","FQ2 2020","Currency=USD","Period=FQ","BEST_FPERIOD_OVERRIDE=FQ","FILING_STATUS=MR","SCALING_FORMAT=MLN","Sort=A","Dates=H","DateFormat=P","Fill=—","Direction=H","UseDPDF=Y")</f>
        <v>136</v>
      </c>
      <c r="K46" s="17" cm="1">
        <f t="array" ref="K46">_xll.BDH("CMI US Equity","BS_ST_OPERATING_LEASE_LIABS","FQ3 2020","FQ3 2020","Currency=USD","Period=FQ","BEST_FPERIOD_OVERRIDE=FQ","FILING_STATUS=MR","SCALING_FORMAT=MLN","Sort=A","Dates=H","DateFormat=P","Fill=—","Direction=H","UseDPDF=Y")</f>
        <v>133</v>
      </c>
      <c r="L46" s="17" cm="1">
        <f t="array" ref="L46">_xll.BDH("CMI US Equity","BS_ST_OPERATING_LEASE_LIABS","FQ4 2020","FQ4 2020","Currency=USD","Period=FQ","BEST_FPERIOD_OVERRIDE=FQ","FILING_STATUS=MR","SCALING_FORMAT=MLN","Sort=A","Dates=H","DateFormat=P","Fill=—","Direction=H","UseDPDF=Y")</f>
        <v>128</v>
      </c>
      <c r="M46" s="17" cm="1">
        <f t="array" ref="M46">_xll.BDH("CMI US Equity","BS_ST_OPERATING_LEASE_LIABS","FQ1 2021","FQ1 2021","Currency=USD","Period=FQ","BEST_FPERIOD_OVERRIDE=FQ","FILING_STATUS=MR","SCALING_FORMAT=MLN","Sort=A","Dates=H","DateFormat=P","Fill=—","Direction=H","UseDPDF=Y")</f>
        <v>125</v>
      </c>
      <c r="N46" s="17" cm="1">
        <f t="array" ref="N46">_xll.BDH("CMI US Equity","BS_ST_OPERATING_LEASE_LIABS","FQ2 2021","FQ2 2021","Currency=USD","Period=FQ","BEST_FPERIOD_OVERRIDE=FQ","FILING_STATUS=MR","SCALING_FORMAT=MLN","Sort=A","Dates=H","DateFormat=P","Fill=—","Direction=H","UseDPDF=Y")</f>
        <v>128</v>
      </c>
      <c r="O46" s="17" cm="1">
        <f t="array" ref="O46">_xll.BDH("CMI US Equity","BS_ST_OPERATING_LEASE_LIABS","FQ3 2021","FQ3 2021","Currency=USD","Period=FQ","BEST_FPERIOD_OVERRIDE=FQ","FILING_STATUS=MR","SCALING_FORMAT=MLN","Sort=A","Dates=H","DateFormat=P","Fill=—","Direction=H","UseDPDF=Y")</f>
        <v>127</v>
      </c>
      <c r="P46" s="17" cm="1">
        <f t="array" ref="P46">_xll.BDH("CMI US Equity","BS_ST_OPERATING_LEASE_LIABS","FQ4 2021","FQ4 2021","Currency=USD","Period=FQ","BEST_FPERIOD_OVERRIDE=FQ","FILING_STATUS=MR","SCALING_FORMAT=MLN","Sort=A","Dates=H","DateFormat=P","Fill=—","Direction=H","UseDPDF=Y")</f>
        <v>128</v>
      </c>
      <c r="Q46" s="17" cm="1">
        <f t="array" ref="Q46">_xll.BDH("CMI US Equity","BS_ST_OPERATING_LEASE_LIABS","FQ1 2022","FQ1 2022","Currency=USD","Period=FQ","BEST_FPERIOD_OVERRIDE=FQ","FILING_STATUS=MR","SCALING_FORMAT=MLN","Sort=A","Dates=H","DateFormat=P","Fill=—","Direction=H","UseDPDF=Y")</f>
        <v>127</v>
      </c>
      <c r="R46" s="17" cm="1">
        <f t="array" ref="R46">_xll.BDH("CMI US Equity","BS_ST_OPERATING_LEASE_LIABS","FQ2 2022","FQ2 2022","Currency=USD","Period=FQ","BEST_FPERIOD_OVERRIDE=FQ","FILING_STATUS=MR","SCALING_FORMAT=MLN","Sort=A","Dates=H","DateFormat=P","Fill=—","Direction=H","UseDPDF=Y")</f>
        <v>120</v>
      </c>
      <c r="S46" s="17" cm="1">
        <f t="array" ref="S46">_xll.BDH("CMI US Equity","BS_ST_OPERATING_LEASE_LIABS","FQ3 2022","FQ3 2022","Currency=USD","Period=FQ","BEST_FPERIOD_OVERRIDE=FQ","FILING_STATUS=MR","SCALING_FORMAT=MLN","Sort=A","Dates=H","DateFormat=P","Fill=—","Direction=H","UseDPDF=Y")</f>
        <v>126</v>
      </c>
      <c r="T46" s="17" cm="1">
        <f t="array" ref="T46">_xll.BDH("CMI US Equity","BS_ST_OPERATING_LEASE_LIABS","FQ4 2022","FQ4 2022","Currency=USD","Period=FQ","BEST_FPERIOD_OVERRIDE=FQ","FILING_STATUS=MR","SCALING_FORMAT=MLN","Sort=A","Dates=H","DateFormat=P","Fill=—","Direction=H","UseDPDF=Y")</f>
        <v>132</v>
      </c>
      <c r="U46" s="17" cm="1">
        <f t="array" ref="U46">_xll.BDH("CMI US Equity","BS_ST_OPERATING_LEASE_LIABS","FQ1 2023","FQ1 2023","Currency=USD","Period=FQ","BEST_FPERIOD_OVERRIDE=FQ","FILING_STATUS=MR","SCALING_FORMAT=MLN","Sort=A","Dates=H","DateFormat=P","Fill=—","Direction=H","UseDPDF=Y")</f>
        <v>133</v>
      </c>
      <c r="V46" s="17" cm="1">
        <f t="array" ref="V46">_xll.BDH("CMI US Equity","BS_ST_OPERATING_LEASE_LIABS","FQ2 2023","FQ2 2023","Currency=USD","Period=FQ","BEST_FPERIOD_OVERRIDE=FQ","FILING_STATUS=MR","SCALING_FORMAT=MLN","Sort=A","Dates=H","DateFormat=P","Fill=—","Direction=H","UseDPDF=Y")</f>
        <v>135</v>
      </c>
      <c r="W46" s="17" cm="1">
        <f t="array" ref="W46">_xll.BDH("CMI US Equity","BS_ST_OPERATING_LEASE_LIABS","FQ3 2023","FQ3 2023","Currency=USD","Period=FQ","BEST_FPERIOD_OVERRIDE=FQ","FILING_STATUS=MR","SCALING_FORMAT=MLN","Sort=A","Dates=H","DateFormat=P","Fill=—","Direction=H","UseDPDF=Y")</f>
        <v>133</v>
      </c>
      <c r="X46" s="17" cm="1">
        <f t="array" ref="X46">_xll.BDH("CMI US Equity","BS_ST_OPERATING_LEASE_LIABS","FQ4 2023","FQ4 2023","Currency=USD","Period=FQ","BEST_FPERIOD_OVERRIDE=FQ","FILING_STATUS=MR","SCALING_FORMAT=MLN","Sort=A","Dates=H","DateFormat=P","Fill=—","Direction=H","UseDPDF=Y")</f>
        <v>138</v>
      </c>
      <c r="Y46" s="17" cm="1">
        <f t="array" ref="Y46">_xll.BDH("CMI US Equity","BS_ST_OPERATING_LEASE_LIABS","FQ1 2024","FQ1 2024","Currency=USD","Period=FQ","BEST_FPERIOD_OVERRIDE=FQ","FILING_STATUS=MR","SCALING_FORMAT=MLN","Sort=A","Dates=H","DateFormat=P","Fill=—","Direction=H","UseDPDF=Y")</f>
        <v>129</v>
      </c>
      <c r="Z46" s="17" cm="1">
        <f t="array" ref="Z46">_xll.BDH("CMI US Equity","BS_ST_OPERATING_LEASE_LIABS","FQ2 2024","FQ2 2024","Currency=USD","Period=FQ","BEST_FPERIOD_OVERRIDE=FQ","FILING_STATUS=MR","SCALING_FORMAT=MLN","Sort=A","Dates=H","DateFormat=P","Fill=—","Direction=H","UseDPDF=Y")</f>
        <v>131</v>
      </c>
      <c r="AA46" s="17" cm="1">
        <f t="array" ref="AA46">_xll.BDH("CMI US Equity","BS_ST_OPERATING_LEASE_LIABS","FQ3 2024","FQ3 2024","Currency=USD","Period=FQ","BEST_FPERIOD_OVERRIDE=FQ","FILING_STATUS=MR","SCALING_FORMAT=MLN","Sort=A","Dates=H","DateFormat=P","Fill=—","Direction=H","UseDPDF=Y")</f>
        <v>133</v>
      </c>
      <c r="AB46" s="17" cm="1">
        <f t="array" ref="AB46">_xll.BDH("CMI US Equity","BS_ST_OPERATING_LEASE_LIABS","FQ4 2024","FQ4 2024","Currency=USD","Period=FQ","BEST_FPERIOD_OVERRIDE=FQ","FILING_STATUS=MR","SCALING_FORMAT=MLN","Sort=A","Dates=H","DateFormat=P","Fill=—","Direction=H","UseDPDF=Y")</f>
        <v>130</v>
      </c>
      <c r="AC46" s="17" t="str" cm="1">
        <f t="array" ref="AC46">_xll.BDH("CMI US Equity","BS_ST_OPERATING_LEASE_LIABS","FQ1 2025","FQ1 2025","Currency=USD","Period=FQ","BEST_FPERIOD_OVERRIDE=FQ","FILING_STATUS=MR","SCALING_FORMAT=MLN","Sort=A","Dates=H","DateFormat=P","Fill=—","Direction=H","UseDPDF=Y")</f>
        <v>—</v>
      </c>
      <c r="AD46" s="17" cm="1">
        <f t="array" ref="AD46">_xll.BDH("CMI US Equity","BS_ST_OPERATING_LEASE_LIABS","FQ2 2025","FQ2 2025","Currency=USD","Period=FQ","BEST_FPERIOD_OVERRIDE=FQ","FILING_STATUS=MR","SCALING_FORMAT=MLN","Sort=A","Dates=H","DateFormat=P","Fill=—","Direction=H","UseDPDF=Y")</f>
        <v>140</v>
      </c>
      <c r="AE46" s="17" cm="1">
        <f t="array" ref="AE46">_xll.BDH("CMI US Equity","BS_ST_OPERATING_LEASE_LIABS","FQ3 2025","FQ3 2025","Currency=USD","Period=FQ","BEST_FPERIOD_OVERRIDE=FQ","FILING_STATUS=MR","SCALING_FORMAT=MLN","Sort=A","Dates=H","DateFormat=P","Fill=—","Direction=H","UseDPDF=Y")</f>
        <v>140</v>
      </c>
      <c r="AF46" s="17" cm="1">
        <f t="array" ref="AF46">_xll.BDH("CMI US Equity","BS_ST_OPERATING_LEASE_LIABS","FQ4 2025","FQ4 2025","Currency=USD","Period=FQ","BEST_FPERIOD_OVERRIDE=FQ","FILING_STATUS=MR","SCALING_FORMAT=MLN","Sort=A","Dates=H","DateFormat=P","Fill=—","Direction=H","UseDPDF=Y")</f>
        <v>138</v>
      </c>
    </row>
    <row r="47" spans="1:32" x14ac:dyDescent="0.25">
      <c r="A47" s="10" t="s">
        <v>141</v>
      </c>
      <c r="B47" s="10" t="s">
        <v>142</v>
      </c>
      <c r="C47" s="13" cm="1">
        <f t="array" ref="C47">_xll.BDH("CMI US Equity","BS_CURR_PORTION_LT_DEBT","FQ3 2018","FQ3 2018","Currency=USD","Period=FQ","BEST_FPERIOD_OVERRIDE=FQ","FILING_STATUS=MR","SCALING_FORMAT=MLN","Sort=A","Dates=H","DateFormat=P","Fill=—","Direction=H","UseDPDF=Y")</f>
        <v>41</v>
      </c>
      <c r="D47" s="13" cm="1">
        <f t="array" ref="D47">_xll.BDH("CMI US Equity","BS_CURR_PORTION_LT_DEBT","FQ4 2018","FQ4 2018","Currency=USD","Period=FQ","BEST_FPERIOD_OVERRIDE=FQ","FILING_STATUS=MR","SCALING_FORMAT=MLN","Sort=A","Dates=H","DateFormat=P","Fill=—","Direction=H","UseDPDF=Y")</f>
        <v>45</v>
      </c>
      <c r="E47" s="13" cm="1">
        <f t="array" ref="E47">_xll.BDH("CMI US Equity","BS_CURR_PORTION_LT_DEBT","FQ1 2019","FQ1 2019","Currency=USD","Period=FQ","BEST_FPERIOD_OVERRIDE=FQ","FILING_STATUS=MR","SCALING_FORMAT=MLN","Sort=A","Dates=H","DateFormat=P","Fill=—","Direction=H","UseDPDF=Y")</f>
        <v>37</v>
      </c>
      <c r="F47" s="13" cm="1">
        <f t="array" ref="F47">_xll.BDH("CMI US Equity","BS_CURR_PORTION_LT_DEBT","FQ2 2019","FQ2 2019","Currency=USD","Period=FQ","BEST_FPERIOD_OVERRIDE=FQ","FILING_STATUS=MR","SCALING_FORMAT=MLN","Sort=A","Dates=H","DateFormat=P","Fill=—","Direction=H","UseDPDF=Y")</f>
        <v>46</v>
      </c>
      <c r="G47" s="13" cm="1">
        <f t="array" ref="G47">_xll.BDH("CMI US Equity","BS_CURR_PORTION_LT_DEBT","FQ3 2019","FQ3 2019","Currency=USD","Period=FQ","BEST_FPERIOD_OVERRIDE=FQ","FILING_STATUS=MR","SCALING_FORMAT=MLN","Sort=A","Dates=H","DateFormat=P","Fill=—","Direction=H","UseDPDF=Y")</f>
        <v>37</v>
      </c>
      <c r="H47" s="13" cm="1">
        <f t="array" ref="H47">_xll.BDH("CMI US Equity","BS_CURR_PORTION_LT_DEBT","FQ4 2019","FQ4 2019","Currency=USD","Period=FQ","BEST_FPERIOD_OVERRIDE=FQ","FILING_STATUS=MR","SCALING_FORMAT=MLN","Sort=A","Dates=H","DateFormat=P","Fill=—","Direction=H","UseDPDF=Y")</f>
        <v>31</v>
      </c>
      <c r="I47" s="13" cm="1">
        <f t="array" ref="I47">_xll.BDH("CMI US Equity","BS_CURR_PORTION_LT_DEBT","FQ1 2020","FQ1 2020","Currency=USD","Period=FQ","BEST_FPERIOD_OVERRIDE=FQ","FILING_STATUS=MR","SCALING_FORMAT=MLN","Sort=A","Dates=H","DateFormat=P","Fill=—","Direction=H","UseDPDF=Y")</f>
        <v>33</v>
      </c>
      <c r="J47" s="13" cm="1">
        <f t="array" ref="J47">_xll.BDH("CMI US Equity","BS_CURR_PORTION_LT_DEBT","FQ2 2020","FQ2 2020","Currency=USD","Period=FQ","BEST_FPERIOD_OVERRIDE=FQ","FILING_STATUS=MR","SCALING_FORMAT=MLN","Sort=A","Dates=H","DateFormat=P","Fill=—","Direction=H","UseDPDF=Y")</f>
        <v>66</v>
      </c>
      <c r="K47" s="13" cm="1">
        <f t="array" ref="K47">_xll.BDH("CMI US Equity","BS_CURR_PORTION_LT_DEBT","FQ3 2020","FQ3 2020","Currency=USD","Period=FQ","BEST_FPERIOD_OVERRIDE=FQ","FILING_STATUS=MR","SCALING_FORMAT=MLN","Sort=A","Dates=H","DateFormat=P","Fill=—","Direction=H","UseDPDF=Y")</f>
        <v>58</v>
      </c>
      <c r="L47" s="13" cm="1">
        <f t="array" ref="L47">_xll.BDH("CMI US Equity","BS_CURR_PORTION_LT_DEBT","FQ4 2020","FQ4 2020","Currency=USD","Period=FQ","BEST_FPERIOD_OVERRIDE=FQ","FILING_STATUS=MR","SCALING_FORMAT=MLN","Sort=A","Dates=H","DateFormat=P","Fill=—","Direction=H","UseDPDF=Y")</f>
        <v>62</v>
      </c>
      <c r="M47" s="13" cm="1">
        <f t="array" ref="M47">_xll.BDH("CMI US Equity","BS_CURR_PORTION_LT_DEBT","FQ1 2021","FQ1 2021","Currency=USD","Period=FQ","BEST_FPERIOD_OVERRIDE=FQ","FILING_STATUS=MR","SCALING_FORMAT=MLN","Sort=A","Dates=H","DateFormat=P","Fill=—","Direction=H","UseDPDF=Y")</f>
        <v>61</v>
      </c>
      <c r="N47" s="13" cm="1">
        <f t="array" ref="N47">_xll.BDH("CMI US Equity","BS_CURR_PORTION_LT_DEBT","FQ2 2021","FQ2 2021","Currency=USD","Period=FQ","BEST_FPERIOD_OVERRIDE=FQ","FILING_STATUS=MR","SCALING_FORMAT=MLN","Sort=A","Dates=H","DateFormat=P","Fill=—","Direction=H","UseDPDF=Y")</f>
        <v>57</v>
      </c>
      <c r="O47" s="13" cm="1">
        <f t="array" ref="O47">_xll.BDH("CMI US Equity","BS_CURR_PORTION_LT_DEBT","FQ3 2021","FQ3 2021","Currency=USD","Period=FQ","BEST_FPERIOD_OVERRIDE=FQ","FILING_STATUS=MR","SCALING_FORMAT=MLN","Sort=A","Dates=H","DateFormat=P","Fill=—","Direction=H","UseDPDF=Y")</f>
        <v>55</v>
      </c>
      <c r="P47" s="13" cm="1">
        <f t="array" ref="P47">_xll.BDH("CMI US Equity","BS_CURR_PORTION_LT_DEBT","FQ4 2021","FQ4 2021","Currency=USD","Period=FQ","BEST_FPERIOD_OVERRIDE=FQ","FILING_STATUS=MR","SCALING_FORMAT=MLN","Sort=A","Dates=H","DateFormat=P","Fill=—","Direction=H","UseDPDF=Y")</f>
        <v>59</v>
      </c>
      <c r="Q47" s="13" cm="1">
        <f t="array" ref="Q47">_xll.BDH("CMI US Equity","BS_CURR_PORTION_LT_DEBT","FQ1 2022","FQ1 2022","Currency=USD","Period=FQ","BEST_FPERIOD_OVERRIDE=FQ","FILING_STATUS=MR","SCALING_FORMAT=MLN","Sort=A","Dates=H","DateFormat=P","Fill=—","Direction=H","UseDPDF=Y")</f>
        <v>69</v>
      </c>
      <c r="R47" s="13" cm="1">
        <f t="array" ref="R47">_xll.BDH("CMI US Equity","BS_CURR_PORTION_LT_DEBT","FQ2 2022","FQ2 2022","Currency=USD","Period=FQ","BEST_FPERIOD_OVERRIDE=FQ","FILING_STATUS=MR","SCALING_FORMAT=MLN","Sort=A","Dates=H","DateFormat=P","Fill=—","Direction=H","UseDPDF=Y")</f>
        <v>65</v>
      </c>
      <c r="S47" s="13" cm="1">
        <f t="array" ref="S47">_xll.BDH("CMI US Equity","BS_CURR_PORTION_LT_DEBT","FQ3 2022","FQ3 2022","Currency=USD","Period=FQ","BEST_FPERIOD_OVERRIDE=FQ","FILING_STATUS=MR","SCALING_FORMAT=MLN","Sort=A","Dates=H","DateFormat=P","Fill=—","Direction=H","UseDPDF=Y")</f>
        <v>55</v>
      </c>
      <c r="T47" s="13" cm="1">
        <f t="array" ref="T47">_xll.BDH("CMI US Equity","BS_CURR_PORTION_LT_DEBT","FQ4 2022","FQ4 2022","Currency=USD","Period=FQ","BEST_FPERIOD_OVERRIDE=FQ","FILING_STATUS=MR","SCALING_FORMAT=MLN","Sort=A","Dates=H","DateFormat=P","Fill=—","Direction=H","UseDPDF=Y")</f>
        <v>573</v>
      </c>
      <c r="U47" s="13" cm="1">
        <f t="array" ref="U47">_xll.BDH("CMI US Equity","BS_CURR_PORTION_LT_DEBT","FQ1 2023","FQ1 2023","Currency=USD","Period=FQ","BEST_FPERIOD_OVERRIDE=FQ","FILING_STATUS=MR","SCALING_FORMAT=MLN","Sort=A","Dates=H","DateFormat=P","Fill=—","Direction=H","UseDPDF=Y")</f>
        <v>569</v>
      </c>
      <c r="V47" s="13" cm="1">
        <f t="array" ref="V47">_xll.BDH("CMI US Equity","BS_CURR_PORTION_LT_DEBT","FQ2 2023","FQ2 2023","Currency=USD","Period=FQ","BEST_FPERIOD_OVERRIDE=FQ","FILING_STATUS=MR","SCALING_FORMAT=MLN","Sort=A","Dates=H","DateFormat=P","Fill=—","Direction=H","UseDPDF=Y")</f>
        <v>575</v>
      </c>
      <c r="W47" s="13" cm="1">
        <f t="array" ref="W47">_xll.BDH("CMI US Equity","BS_CURR_PORTION_LT_DEBT","FQ3 2023","FQ3 2023","Currency=USD","Period=FQ","BEST_FPERIOD_OVERRIDE=FQ","FILING_STATUS=MR","SCALING_FORMAT=MLN","Sort=A","Dates=H","DateFormat=P","Fill=—","Direction=H","UseDPDF=Y")</f>
        <v>573</v>
      </c>
      <c r="X47" s="13" cm="1">
        <f t="array" ref="X47">_xll.BDH("CMI US Equity","BS_CURR_PORTION_LT_DEBT","FQ4 2023","FQ4 2023","Currency=USD","Period=FQ","BEST_FPERIOD_OVERRIDE=FQ","FILING_STATUS=MR","SCALING_FORMAT=MLN","Sort=A","Dates=H","DateFormat=P","Fill=—","Direction=H","UseDPDF=Y")</f>
        <v>118</v>
      </c>
      <c r="Y47" s="13" cm="1">
        <f t="array" ref="Y47">_xll.BDH("CMI US Equity","BS_CURR_PORTION_LT_DEBT","FQ1 2024","FQ1 2024","Currency=USD","Period=FQ","BEST_FPERIOD_OVERRIDE=FQ","FILING_STATUS=MR","SCALING_FORMAT=MLN","Sort=A","Dates=H","DateFormat=P","Fill=—","Direction=H","UseDPDF=Y")</f>
        <v>113</v>
      </c>
      <c r="Z47" s="13" cm="1">
        <f t="array" ref="Z47">_xll.BDH("CMI US Equity","BS_CURR_PORTION_LT_DEBT","FQ2 2024","FQ2 2024","Currency=USD","Period=FQ","BEST_FPERIOD_OVERRIDE=FQ","FILING_STATUS=MR","SCALING_FORMAT=MLN","Sort=A","Dates=H","DateFormat=P","Fill=—","Direction=H","UseDPDF=Y")</f>
        <v>167</v>
      </c>
      <c r="AA47" s="13" cm="1">
        <f t="array" ref="AA47">_xll.BDH("CMI US Equity","BS_CURR_PORTION_LT_DEBT","FQ3 2024","FQ3 2024","Currency=USD","Period=FQ","BEST_FPERIOD_OVERRIDE=FQ","FILING_STATUS=MR","SCALING_FORMAT=MLN","Sort=A","Dates=H","DateFormat=P","Fill=—","Direction=H","UseDPDF=Y")</f>
        <v>654</v>
      </c>
      <c r="AB47" s="13" cm="1">
        <f t="array" ref="AB47">_xll.BDH("CMI US Equity","BS_CURR_PORTION_LT_DEBT","FQ4 2024","FQ4 2024","Currency=USD","Period=FQ","BEST_FPERIOD_OVERRIDE=FQ","FILING_STATUS=MR","SCALING_FORMAT=MLN","Sort=A","Dates=H","DateFormat=P","Fill=—","Direction=H","UseDPDF=Y")</f>
        <v>660</v>
      </c>
      <c r="AC47" s="13" cm="1">
        <f t="array" ref="AC47">_xll.BDH("CMI US Equity","BS_CURR_PORTION_LT_DEBT","FQ1 2025","FQ1 2025","Currency=USD","Period=FQ","BEST_FPERIOD_OVERRIDE=FQ","FILING_STATUS=MR","SCALING_FORMAT=MLN","Sort=A","Dates=H","DateFormat=P","Fill=—","Direction=H","UseDPDF=Y")</f>
        <v>661</v>
      </c>
      <c r="AD47" s="13" cm="1">
        <f t="array" ref="AD47">_xll.BDH("CMI US Equity","BS_CURR_PORTION_LT_DEBT","FQ2 2025","FQ2 2025","Currency=USD","Period=FQ","BEST_FPERIOD_OVERRIDE=FQ","FILING_STATUS=MR","SCALING_FORMAT=MLN","Sort=A","Dates=H","DateFormat=P","Fill=—","Direction=H","UseDPDF=Y")</f>
        <v>615</v>
      </c>
      <c r="AE47" s="13" cm="1">
        <f t="array" ref="AE47">_xll.BDH("CMI US Equity","BS_CURR_PORTION_LT_DEBT","FQ3 2025","FQ3 2025","Currency=USD","Period=FQ","BEST_FPERIOD_OVERRIDE=FQ","FILING_STATUS=MR","SCALING_FORMAT=MLN","Sort=A","Dates=H","DateFormat=P","Fill=—","Direction=H","UseDPDF=Y")</f>
        <v>122</v>
      </c>
      <c r="AF47" s="13" cm="1">
        <f t="array" ref="AF47">_xll.BDH("CMI US Equity","BS_CURR_PORTION_LT_DEBT","FQ4 2025","FQ4 2025","Currency=USD","Period=FQ","BEST_FPERIOD_OVERRIDE=FQ","FILING_STATUS=MR","SCALING_FORMAT=MLN","Sort=A","Dates=H","DateFormat=P","Fill=—","Direction=H","UseDPDF=Y")</f>
        <v>94</v>
      </c>
    </row>
    <row r="48" spans="1:32" x14ac:dyDescent="0.25">
      <c r="A48" s="10" t="s">
        <v>143</v>
      </c>
      <c r="B48" s="10" t="s">
        <v>144</v>
      </c>
      <c r="C48" s="13" cm="1">
        <f t="array" ref="C48">_xll.BDH("CMI US Equity","OTHER_CURRENT_LIABS_SUB_DETAILED","FQ3 2018","FQ3 2018","Currency=USD","Period=FQ","BEST_FPERIOD_OVERRIDE=FQ","FILING_STATUS=MR","SCALING_FORMAT=MLN","Sort=A","Dates=H","DateFormat=P","Fill=—","Direction=H","UseDPDF=Y")</f>
        <v>500</v>
      </c>
      <c r="D48" s="13" cm="1">
        <f t="array" ref="D48">_xll.BDH("CMI US Equity","OTHER_CURRENT_LIABS_SUB_DETAILED","FQ4 2018","FQ4 2018","Currency=USD","Period=FQ","BEST_FPERIOD_OVERRIDE=FQ","FILING_STATUS=MR","SCALING_FORMAT=MLN","Sort=A","Dates=H","DateFormat=P","Fill=—","Direction=H","UseDPDF=Y")</f>
        <v>498</v>
      </c>
      <c r="E48" s="13" cm="1">
        <f t="array" ref="E48">_xll.BDH("CMI US Equity","OTHER_CURRENT_LIABS_SUB_DETAILED","FQ1 2019","FQ1 2019","Currency=USD","Period=FQ","BEST_FPERIOD_OVERRIDE=FQ","FILING_STATUS=MR","SCALING_FORMAT=MLN","Sort=A","Dates=H","DateFormat=P","Fill=—","Direction=H","UseDPDF=Y")</f>
        <v>509</v>
      </c>
      <c r="F48" s="13" cm="1">
        <f t="array" ref="F48">_xll.BDH("CMI US Equity","OTHER_CURRENT_LIABS_SUB_DETAILED","FQ2 2019","FQ2 2019","Currency=USD","Period=FQ","BEST_FPERIOD_OVERRIDE=FQ","FILING_STATUS=MR","SCALING_FORMAT=MLN","Sort=A","Dates=H","DateFormat=P","Fill=—","Direction=H","UseDPDF=Y")</f>
        <v>505</v>
      </c>
      <c r="G48" s="13" cm="1">
        <f t="array" ref="G48">_xll.BDH("CMI US Equity","OTHER_CURRENT_LIABS_SUB_DETAILED","FQ3 2019","FQ3 2019","Currency=USD","Period=FQ","BEST_FPERIOD_OVERRIDE=FQ","FILING_STATUS=MR","SCALING_FORMAT=MLN","Sort=A","Dates=H","DateFormat=P","Fill=—","Direction=H","UseDPDF=Y")</f>
        <v>545</v>
      </c>
      <c r="H48" s="13" cm="1">
        <f t="array" ref="H48">_xll.BDH("CMI US Equity","OTHER_CURRENT_LIABS_SUB_DETAILED","FQ4 2019","FQ4 2019","Currency=USD","Period=FQ","BEST_FPERIOD_OVERRIDE=FQ","FILING_STATUS=MR","SCALING_FORMAT=MLN","Sort=A","Dates=H","DateFormat=P","Fill=—","Direction=H","UseDPDF=Y")</f>
        <v>533</v>
      </c>
      <c r="I48" s="13" cm="1">
        <f t="array" ref="I48">_xll.BDH("CMI US Equity","OTHER_CURRENT_LIABS_SUB_DETAILED","FQ1 2020","FQ1 2020","Currency=USD","Period=FQ","BEST_FPERIOD_OVERRIDE=FQ","FILING_STATUS=MR","SCALING_FORMAT=MLN","Sort=A","Dates=H","DateFormat=P","Fill=—","Direction=H","UseDPDF=Y")</f>
        <v>527</v>
      </c>
      <c r="J48" s="13" cm="1">
        <f t="array" ref="J48">_xll.BDH("CMI US Equity","OTHER_CURRENT_LIABS_SUB_DETAILED","FQ2 2020","FQ2 2020","Currency=USD","Period=FQ","BEST_FPERIOD_OVERRIDE=FQ","FILING_STATUS=MR","SCALING_FORMAT=MLN","Sort=A","Dates=H","DateFormat=P","Fill=—","Direction=H","UseDPDF=Y")</f>
        <v>523</v>
      </c>
      <c r="K48" s="13" cm="1">
        <f t="array" ref="K48">_xll.BDH("CMI US Equity","OTHER_CURRENT_LIABS_SUB_DETAILED","FQ3 2020","FQ3 2020","Currency=USD","Period=FQ","BEST_FPERIOD_OVERRIDE=FQ","FILING_STATUS=MR","SCALING_FORMAT=MLN","Sort=A","Dates=H","DateFormat=P","Fill=—","Direction=H","UseDPDF=Y")</f>
        <v>540</v>
      </c>
      <c r="L48" s="13" cm="1">
        <f t="array" ref="L48">_xll.BDH("CMI US Equity","OTHER_CURRENT_LIABS_SUB_DETAILED","FQ4 2020","FQ4 2020","Currency=USD","Period=FQ","BEST_FPERIOD_OVERRIDE=FQ","FILING_STATUS=MR","SCALING_FORMAT=MLN","Sort=A","Dates=H","DateFormat=P","Fill=—","Direction=H","UseDPDF=Y")</f>
        <v>691</v>
      </c>
      <c r="M48" s="13" cm="1">
        <f t="array" ref="M48">_xll.BDH("CMI US Equity","OTHER_CURRENT_LIABS_SUB_DETAILED","FQ1 2021","FQ1 2021","Currency=USD","Period=FQ","BEST_FPERIOD_OVERRIDE=FQ","FILING_STATUS=MR","SCALING_FORMAT=MLN","Sort=A","Dates=H","DateFormat=P","Fill=—","Direction=H","UseDPDF=Y")</f>
        <v>773</v>
      </c>
      <c r="N48" s="13" cm="1">
        <f t="array" ref="N48">_xll.BDH("CMI US Equity","OTHER_CURRENT_LIABS_SUB_DETAILED","FQ2 2021","FQ2 2021","Currency=USD","Period=FQ","BEST_FPERIOD_OVERRIDE=FQ","FILING_STATUS=MR","SCALING_FORMAT=MLN","Sort=A","Dates=H","DateFormat=P","Fill=—","Direction=H","UseDPDF=Y")</f>
        <v>805</v>
      </c>
      <c r="O48" s="13" cm="1">
        <f t="array" ref="O48">_xll.BDH("CMI US Equity","OTHER_CURRENT_LIABS_SUB_DETAILED","FQ3 2021","FQ3 2021","Currency=USD","Period=FQ","BEST_FPERIOD_OVERRIDE=FQ","FILING_STATUS=MR","SCALING_FORMAT=MLN","Sort=A","Dates=H","DateFormat=P","Fill=—","Direction=H","UseDPDF=Y")</f>
        <v>806</v>
      </c>
      <c r="P48" s="13" cm="1">
        <f t="array" ref="P48">_xll.BDH("CMI US Equity","OTHER_CURRENT_LIABS_SUB_DETAILED","FQ4 2021","FQ4 2021","Currency=USD","Period=FQ","BEST_FPERIOD_OVERRIDE=FQ","FILING_STATUS=MR","SCALING_FORMAT=MLN","Sort=A","Dates=H","DateFormat=P","Fill=—","Direction=H","UseDPDF=Y")</f>
        <v>855</v>
      </c>
      <c r="Q48" s="13" cm="1">
        <f t="array" ref="Q48">_xll.BDH("CMI US Equity","OTHER_CURRENT_LIABS_SUB_DETAILED","FQ1 2022","FQ1 2022","Currency=USD","Period=FQ","BEST_FPERIOD_OVERRIDE=FQ","FILING_STATUS=MR","SCALING_FORMAT=MLN","Sort=A","Dates=H","DateFormat=P","Fill=—","Direction=H","UseDPDF=Y")</f>
        <v>883</v>
      </c>
      <c r="R48" s="13" cm="1">
        <f t="array" ref="R48">_xll.BDH("CMI US Equity","OTHER_CURRENT_LIABS_SUB_DETAILED","FQ2 2022","FQ2 2022","Currency=USD","Period=FQ","BEST_FPERIOD_OVERRIDE=FQ","FILING_STATUS=MR","SCALING_FORMAT=MLN","Sort=A","Dates=H","DateFormat=P","Fill=—","Direction=H","UseDPDF=Y")</f>
        <v>871</v>
      </c>
      <c r="S48" s="13" cm="1">
        <f t="array" ref="S48">_xll.BDH("CMI US Equity","OTHER_CURRENT_LIABS_SUB_DETAILED","FQ3 2022","FQ3 2022","Currency=USD","Period=FQ","BEST_FPERIOD_OVERRIDE=FQ","FILING_STATUS=MR","SCALING_FORMAT=MLN","Sort=A","Dates=H","DateFormat=P","Fill=—","Direction=H","UseDPDF=Y")</f>
        <v>921</v>
      </c>
      <c r="T48" s="13" cm="1">
        <f t="array" ref="T48">_xll.BDH("CMI US Equity","OTHER_CURRENT_LIABS_SUB_DETAILED","FQ4 2022","FQ4 2022","Currency=USD","Period=FQ","BEST_FPERIOD_OVERRIDE=FQ","FILING_STATUS=MR","SCALING_FORMAT=MLN","Sort=A","Dates=H","DateFormat=P","Fill=—","Direction=H","UseDPDF=Y")</f>
        <v>1004</v>
      </c>
      <c r="U48" s="13" cm="1">
        <f t="array" ref="U48">_xll.BDH("CMI US Equity","OTHER_CURRENT_LIABS_SUB_DETAILED","FQ1 2023","FQ1 2023","Currency=USD","Period=FQ","BEST_FPERIOD_OVERRIDE=FQ","FILING_STATUS=MR","SCALING_FORMAT=MLN","Sort=A","Dates=H","DateFormat=P","Fill=—","Direction=H","UseDPDF=Y")</f>
        <v>1040</v>
      </c>
      <c r="V48" s="13" cm="1">
        <f t="array" ref="V48">_xll.BDH("CMI US Equity","OTHER_CURRENT_LIABS_SUB_DETAILED","FQ2 2023","FQ2 2023","Currency=USD","Period=FQ","BEST_FPERIOD_OVERRIDE=FQ","FILING_STATUS=MR","SCALING_FORMAT=MLN","Sort=A","Dates=H","DateFormat=P","Fill=—","Direction=H","UseDPDF=Y")</f>
        <v>1017</v>
      </c>
      <c r="W48" s="13" cm="1">
        <f t="array" ref="W48">_xll.BDH("CMI US Equity","OTHER_CURRENT_LIABS_SUB_DETAILED","FQ3 2023","FQ3 2023","Currency=USD","Period=FQ","BEST_FPERIOD_OVERRIDE=FQ","FILING_STATUS=MR","SCALING_FORMAT=MLN","Sort=A","Dates=H","DateFormat=P","Fill=—","Direction=H","UseDPDF=Y")</f>
        <v>1029</v>
      </c>
      <c r="X48" s="13" cm="1">
        <f t="array" ref="X48">_xll.BDH("CMI US Equity","OTHER_CURRENT_LIABS_SUB_DETAILED","FQ4 2023","FQ4 2023","Currency=USD","Period=FQ","BEST_FPERIOD_OVERRIDE=FQ","FILING_STATUS=MR","SCALING_FORMAT=MLN","Sort=A","Dates=H","DateFormat=P","Fill=—","Direction=H","UseDPDF=Y")</f>
        <v>1220</v>
      </c>
      <c r="Y48" s="13" cm="1">
        <f t="array" ref="Y48">_xll.BDH("CMI US Equity","OTHER_CURRENT_LIABS_SUB_DETAILED","FQ1 2024","FQ1 2024","Currency=USD","Period=FQ","BEST_FPERIOD_OVERRIDE=FQ","FILING_STATUS=MR","SCALING_FORMAT=MLN","Sort=A","Dates=H","DateFormat=P","Fill=—","Direction=H","UseDPDF=Y")</f>
        <v>1236</v>
      </c>
      <c r="Z48" s="13" cm="1">
        <f t="array" ref="Z48">_xll.BDH("CMI US Equity","OTHER_CURRENT_LIABS_SUB_DETAILED","FQ2 2024","FQ2 2024","Currency=USD","Period=FQ","BEST_FPERIOD_OVERRIDE=FQ","FILING_STATUS=MR","SCALING_FORMAT=MLN","Sort=A","Dates=H","DateFormat=P","Fill=—","Direction=H","UseDPDF=Y")</f>
        <v>1311</v>
      </c>
      <c r="AA48" s="13" cm="1">
        <f t="array" ref="AA48">_xll.BDH("CMI US Equity","OTHER_CURRENT_LIABS_SUB_DETAILED","FQ3 2024","FQ3 2024","Currency=USD","Period=FQ","BEST_FPERIOD_OVERRIDE=FQ","FILING_STATUS=MR","SCALING_FORMAT=MLN","Sort=A","Dates=H","DateFormat=P","Fill=—","Direction=H","UseDPDF=Y")</f>
        <v>1225</v>
      </c>
      <c r="AB48" s="13" cm="1">
        <f t="array" ref="AB48">_xll.BDH("CMI US Equity","OTHER_CURRENT_LIABS_SUB_DETAILED","FQ4 2024","FQ4 2024","Currency=USD","Period=FQ","BEST_FPERIOD_OVERRIDE=FQ","FILING_STATUS=MR","SCALING_FORMAT=MLN","Sort=A","Dates=H","DateFormat=P","Fill=—","Direction=H","UseDPDF=Y")</f>
        <v>1347</v>
      </c>
      <c r="AC48" s="13" cm="1">
        <f t="array" ref="AC48">_xll.BDH("CMI US Equity","OTHER_CURRENT_LIABS_SUB_DETAILED","FQ1 2025","FQ1 2025","Currency=USD","Period=FQ","BEST_FPERIOD_OVERRIDE=FQ","FILING_STATUS=MR","SCALING_FORMAT=MLN","Sort=A","Dates=H","DateFormat=P","Fill=—","Direction=H","UseDPDF=Y")</f>
        <v>1506</v>
      </c>
      <c r="AD48" s="13" cm="1">
        <f t="array" ref="AD48">_xll.BDH("CMI US Equity","OTHER_CURRENT_LIABS_SUB_DETAILED","FQ2 2025","FQ2 2025","Currency=USD","Period=FQ","BEST_FPERIOD_OVERRIDE=FQ","FILING_STATUS=MR","SCALING_FORMAT=MLN","Sort=A","Dates=H","DateFormat=P","Fill=—","Direction=H","UseDPDF=Y")</f>
        <v>1620</v>
      </c>
      <c r="AE48" s="13" cm="1">
        <f t="array" ref="AE48">_xll.BDH("CMI US Equity","OTHER_CURRENT_LIABS_SUB_DETAILED","FQ3 2025","FQ3 2025","Currency=USD","Period=FQ","BEST_FPERIOD_OVERRIDE=FQ","FILING_STATUS=MR","SCALING_FORMAT=MLN","Sort=A","Dates=H","DateFormat=P","Fill=—","Direction=H","UseDPDF=Y")</f>
        <v>1600</v>
      </c>
      <c r="AF48" s="13" cm="1">
        <f t="array" ref="AF48">_xll.BDH("CMI US Equity","OTHER_CURRENT_LIABS_SUB_DETAILED","FQ4 2025","FQ4 2025","Currency=USD","Period=FQ","BEST_FPERIOD_OVERRIDE=FQ","FILING_STATUS=MR","SCALING_FORMAT=MLN","Sort=A","Dates=H","DateFormat=P","Fill=—","Direction=H","UseDPDF=Y")</f>
        <v>1606</v>
      </c>
    </row>
    <row r="49" spans="1:32" x14ac:dyDescent="0.25">
      <c r="A49" s="10" t="s">
        <v>145</v>
      </c>
      <c r="B49" s="10" t="s">
        <v>146</v>
      </c>
      <c r="C49" s="13" cm="1">
        <f t="array" ref="C49">_xll.BDH("CMI US Equity","ST_DEFERRED_REVENUE","FQ3 2018","FQ3 2018","Currency=USD","Period=FQ","BEST_FPERIOD_OVERRIDE=FQ","FILING_STATUS=MR","SCALING_FORMAT=MLN","Sort=A","Dates=H","DateFormat=P","Fill=—","Direction=H","UseDPDF=Y")</f>
        <v>500</v>
      </c>
      <c r="D49" s="13" cm="1">
        <f t="array" ref="D49">_xll.BDH("CMI US Equity","ST_DEFERRED_REVENUE","FQ4 2018","FQ4 2018","Currency=USD","Period=FQ","BEST_FPERIOD_OVERRIDE=FQ","FILING_STATUS=MR","SCALING_FORMAT=MLN","Sort=A","Dates=H","DateFormat=P","Fill=—","Direction=H","UseDPDF=Y")</f>
        <v>498</v>
      </c>
      <c r="E49" s="13" cm="1">
        <f t="array" ref="E49">_xll.BDH("CMI US Equity","ST_DEFERRED_REVENUE","FQ1 2019","FQ1 2019","Currency=USD","Period=FQ","BEST_FPERIOD_OVERRIDE=FQ","FILING_STATUS=MR","SCALING_FORMAT=MLN","Sort=A","Dates=H","DateFormat=P","Fill=—","Direction=H","UseDPDF=Y")</f>
        <v>509</v>
      </c>
      <c r="F49" s="13" cm="1">
        <f t="array" ref="F49">_xll.BDH("CMI US Equity","ST_DEFERRED_REVENUE","FQ2 2019","FQ2 2019","Currency=USD","Period=FQ","BEST_FPERIOD_OVERRIDE=FQ","FILING_STATUS=MR","SCALING_FORMAT=MLN","Sort=A","Dates=H","DateFormat=P","Fill=—","Direction=H","UseDPDF=Y")</f>
        <v>505</v>
      </c>
      <c r="G49" s="13" cm="1">
        <f t="array" ref="G49">_xll.BDH("CMI US Equity","ST_DEFERRED_REVENUE","FQ3 2019","FQ3 2019","Currency=USD","Period=FQ","BEST_FPERIOD_OVERRIDE=FQ","FILING_STATUS=MR","SCALING_FORMAT=MLN","Sort=A","Dates=H","DateFormat=P","Fill=—","Direction=H","UseDPDF=Y")</f>
        <v>545</v>
      </c>
      <c r="H49" s="13" cm="1">
        <f t="array" ref="H49">_xll.BDH("CMI US Equity","ST_DEFERRED_REVENUE","FQ4 2019","FQ4 2019","Currency=USD","Period=FQ","BEST_FPERIOD_OVERRIDE=FQ","FILING_STATUS=MR","SCALING_FORMAT=MLN","Sort=A","Dates=H","DateFormat=P","Fill=—","Direction=H","UseDPDF=Y")</f>
        <v>533</v>
      </c>
      <c r="I49" s="13" cm="1">
        <f t="array" ref="I49">_xll.BDH("CMI US Equity","ST_DEFERRED_REVENUE","FQ1 2020","FQ1 2020","Currency=USD","Period=FQ","BEST_FPERIOD_OVERRIDE=FQ","FILING_STATUS=MR","SCALING_FORMAT=MLN","Sort=A","Dates=H","DateFormat=P","Fill=—","Direction=H","UseDPDF=Y")</f>
        <v>527</v>
      </c>
      <c r="J49" s="13" cm="1">
        <f t="array" ref="J49">_xll.BDH("CMI US Equity","ST_DEFERRED_REVENUE","FQ2 2020","FQ2 2020","Currency=USD","Period=FQ","BEST_FPERIOD_OVERRIDE=FQ","FILING_STATUS=MR","SCALING_FORMAT=MLN","Sort=A","Dates=H","DateFormat=P","Fill=—","Direction=H","UseDPDF=Y")</f>
        <v>523</v>
      </c>
      <c r="K49" s="13" cm="1">
        <f t="array" ref="K49">_xll.BDH("CMI US Equity","ST_DEFERRED_REVENUE","FQ3 2020","FQ3 2020","Currency=USD","Period=FQ","BEST_FPERIOD_OVERRIDE=FQ","FILING_STATUS=MR","SCALING_FORMAT=MLN","Sort=A","Dates=H","DateFormat=P","Fill=—","Direction=H","UseDPDF=Y")</f>
        <v>540</v>
      </c>
      <c r="L49" s="13" cm="1">
        <f t="array" ref="L49">_xll.BDH("CMI US Equity","ST_DEFERRED_REVENUE","FQ4 2020","FQ4 2020","Currency=USD","Period=FQ","BEST_FPERIOD_OVERRIDE=FQ","FILING_STATUS=MR","SCALING_FORMAT=MLN","Sort=A","Dates=H","DateFormat=P","Fill=—","Direction=H","UseDPDF=Y")</f>
        <v>691</v>
      </c>
      <c r="M49" s="13" cm="1">
        <f t="array" ref="M49">_xll.BDH("CMI US Equity","ST_DEFERRED_REVENUE","FQ1 2021","FQ1 2021","Currency=USD","Period=FQ","BEST_FPERIOD_OVERRIDE=FQ","FILING_STATUS=MR","SCALING_FORMAT=MLN","Sort=A","Dates=H","DateFormat=P","Fill=—","Direction=H","UseDPDF=Y")</f>
        <v>773</v>
      </c>
      <c r="N49" s="13" cm="1">
        <f t="array" ref="N49">_xll.BDH("CMI US Equity","ST_DEFERRED_REVENUE","FQ2 2021","FQ2 2021","Currency=USD","Period=FQ","BEST_FPERIOD_OVERRIDE=FQ","FILING_STATUS=MR","SCALING_FORMAT=MLN","Sort=A","Dates=H","DateFormat=P","Fill=—","Direction=H","UseDPDF=Y")</f>
        <v>805</v>
      </c>
      <c r="O49" s="13" cm="1">
        <f t="array" ref="O49">_xll.BDH("CMI US Equity","ST_DEFERRED_REVENUE","FQ3 2021","FQ3 2021","Currency=USD","Period=FQ","BEST_FPERIOD_OVERRIDE=FQ","FILING_STATUS=MR","SCALING_FORMAT=MLN","Sort=A","Dates=H","DateFormat=P","Fill=—","Direction=H","UseDPDF=Y")</f>
        <v>806</v>
      </c>
      <c r="P49" s="13" cm="1">
        <f t="array" ref="P49">_xll.BDH("CMI US Equity","ST_DEFERRED_REVENUE","FQ4 2021","FQ4 2021","Currency=USD","Period=FQ","BEST_FPERIOD_OVERRIDE=FQ","FILING_STATUS=MR","SCALING_FORMAT=MLN","Sort=A","Dates=H","DateFormat=P","Fill=—","Direction=H","UseDPDF=Y")</f>
        <v>855</v>
      </c>
      <c r="Q49" s="13" cm="1">
        <f t="array" ref="Q49">_xll.BDH("CMI US Equity","ST_DEFERRED_REVENUE","FQ1 2022","FQ1 2022","Currency=USD","Period=FQ","BEST_FPERIOD_OVERRIDE=FQ","FILING_STATUS=MR","SCALING_FORMAT=MLN","Sort=A","Dates=H","DateFormat=P","Fill=—","Direction=H","UseDPDF=Y")</f>
        <v>883</v>
      </c>
      <c r="R49" s="13" cm="1">
        <f t="array" ref="R49">_xll.BDH("CMI US Equity","ST_DEFERRED_REVENUE","FQ2 2022","FQ2 2022","Currency=USD","Period=FQ","BEST_FPERIOD_OVERRIDE=FQ","FILING_STATUS=MR","SCALING_FORMAT=MLN","Sort=A","Dates=H","DateFormat=P","Fill=—","Direction=H","UseDPDF=Y")</f>
        <v>871</v>
      </c>
      <c r="S49" s="13" cm="1">
        <f t="array" ref="S49">_xll.BDH("CMI US Equity","ST_DEFERRED_REVENUE","FQ3 2022","FQ3 2022","Currency=USD","Period=FQ","BEST_FPERIOD_OVERRIDE=FQ","FILING_STATUS=MR","SCALING_FORMAT=MLN","Sort=A","Dates=H","DateFormat=P","Fill=—","Direction=H","UseDPDF=Y")</f>
        <v>921</v>
      </c>
      <c r="T49" s="13" cm="1">
        <f t="array" ref="T49">_xll.BDH("CMI US Equity","ST_DEFERRED_REVENUE","FQ4 2022","FQ4 2022","Currency=USD","Period=FQ","BEST_FPERIOD_OVERRIDE=FQ","FILING_STATUS=MR","SCALING_FORMAT=MLN","Sort=A","Dates=H","DateFormat=P","Fill=—","Direction=H","UseDPDF=Y")</f>
        <v>1004</v>
      </c>
      <c r="U49" s="13" cm="1">
        <f t="array" ref="U49">_xll.BDH("CMI US Equity","ST_DEFERRED_REVENUE","FQ1 2023","FQ1 2023","Currency=USD","Period=FQ","BEST_FPERIOD_OVERRIDE=FQ","FILING_STATUS=MR","SCALING_FORMAT=MLN","Sort=A","Dates=H","DateFormat=P","Fill=—","Direction=H","UseDPDF=Y")</f>
        <v>1040</v>
      </c>
      <c r="V49" s="13" cm="1">
        <f t="array" ref="V49">_xll.BDH("CMI US Equity","ST_DEFERRED_REVENUE","FQ2 2023","FQ2 2023","Currency=USD","Period=FQ","BEST_FPERIOD_OVERRIDE=FQ","FILING_STATUS=MR","SCALING_FORMAT=MLN","Sort=A","Dates=H","DateFormat=P","Fill=—","Direction=H","UseDPDF=Y")</f>
        <v>1017</v>
      </c>
      <c r="W49" s="13" cm="1">
        <f t="array" ref="W49">_xll.BDH("CMI US Equity","ST_DEFERRED_REVENUE","FQ3 2023","FQ3 2023","Currency=USD","Period=FQ","BEST_FPERIOD_OVERRIDE=FQ","FILING_STATUS=MR","SCALING_FORMAT=MLN","Sort=A","Dates=H","DateFormat=P","Fill=—","Direction=H","UseDPDF=Y")</f>
        <v>1029</v>
      </c>
      <c r="X49" s="13" cm="1">
        <f t="array" ref="X49">_xll.BDH("CMI US Equity","ST_DEFERRED_REVENUE","FQ4 2023","FQ4 2023","Currency=USD","Period=FQ","BEST_FPERIOD_OVERRIDE=FQ","FILING_STATUS=MR","SCALING_FORMAT=MLN","Sort=A","Dates=H","DateFormat=P","Fill=—","Direction=H","UseDPDF=Y")</f>
        <v>1220</v>
      </c>
      <c r="Y49" s="13" cm="1">
        <f t="array" ref="Y49">_xll.BDH("CMI US Equity","ST_DEFERRED_REVENUE","FQ1 2024","FQ1 2024","Currency=USD","Period=FQ","BEST_FPERIOD_OVERRIDE=FQ","FILING_STATUS=MR","SCALING_FORMAT=MLN","Sort=A","Dates=H","DateFormat=P","Fill=—","Direction=H","UseDPDF=Y")</f>
        <v>1236</v>
      </c>
      <c r="Z49" s="13" cm="1">
        <f t="array" ref="Z49">_xll.BDH("CMI US Equity","ST_DEFERRED_REVENUE","FQ2 2024","FQ2 2024","Currency=USD","Period=FQ","BEST_FPERIOD_OVERRIDE=FQ","FILING_STATUS=MR","SCALING_FORMAT=MLN","Sort=A","Dates=H","DateFormat=P","Fill=—","Direction=H","UseDPDF=Y")</f>
        <v>1311</v>
      </c>
      <c r="AA49" s="13" cm="1">
        <f t="array" ref="AA49">_xll.BDH("CMI US Equity","ST_DEFERRED_REVENUE","FQ3 2024","FQ3 2024","Currency=USD","Period=FQ","BEST_FPERIOD_OVERRIDE=FQ","FILING_STATUS=MR","SCALING_FORMAT=MLN","Sort=A","Dates=H","DateFormat=P","Fill=—","Direction=H","UseDPDF=Y")</f>
        <v>1225</v>
      </c>
      <c r="AB49" s="13" cm="1">
        <f t="array" ref="AB49">_xll.BDH("CMI US Equity","ST_DEFERRED_REVENUE","FQ4 2024","FQ4 2024","Currency=USD","Period=FQ","BEST_FPERIOD_OVERRIDE=FQ","FILING_STATUS=MR","SCALING_FORMAT=MLN","Sort=A","Dates=H","DateFormat=P","Fill=—","Direction=H","UseDPDF=Y")</f>
        <v>1347</v>
      </c>
      <c r="AC49" s="13" cm="1">
        <f t="array" ref="AC49">_xll.BDH("CMI US Equity","ST_DEFERRED_REVENUE","FQ1 2025","FQ1 2025","Currency=USD","Period=FQ","BEST_FPERIOD_OVERRIDE=FQ","FILING_STATUS=MR","SCALING_FORMAT=MLN","Sort=A","Dates=H","DateFormat=P","Fill=—","Direction=H","UseDPDF=Y")</f>
        <v>1506</v>
      </c>
      <c r="AD49" s="13" cm="1">
        <f t="array" ref="AD49">_xll.BDH("CMI US Equity","ST_DEFERRED_REVENUE","FQ2 2025","FQ2 2025","Currency=USD","Period=FQ","BEST_FPERIOD_OVERRIDE=FQ","FILING_STATUS=MR","SCALING_FORMAT=MLN","Sort=A","Dates=H","DateFormat=P","Fill=—","Direction=H","UseDPDF=Y")</f>
        <v>1620</v>
      </c>
      <c r="AE49" s="13" cm="1">
        <f t="array" ref="AE49">_xll.BDH("CMI US Equity","ST_DEFERRED_REVENUE","FQ3 2025","FQ3 2025","Currency=USD","Period=FQ","BEST_FPERIOD_OVERRIDE=FQ","FILING_STATUS=MR","SCALING_FORMAT=MLN","Sort=A","Dates=H","DateFormat=P","Fill=—","Direction=H","UseDPDF=Y")</f>
        <v>1600</v>
      </c>
      <c r="AF49" s="13" cm="1">
        <f t="array" ref="AF49">_xll.BDH("CMI US Equity","ST_DEFERRED_REVENUE","FQ4 2025","FQ4 2025","Currency=USD","Period=FQ","BEST_FPERIOD_OVERRIDE=FQ","FILING_STATUS=MR","SCALING_FORMAT=MLN","Sort=A","Dates=H","DateFormat=P","Fill=—","Direction=H","UseDPDF=Y")</f>
        <v>1606</v>
      </c>
    </row>
    <row r="50" spans="1:32" x14ac:dyDescent="0.25">
      <c r="A50" s="10" t="s">
        <v>147</v>
      </c>
      <c r="B50" s="10" t="s">
        <v>148</v>
      </c>
      <c r="C50" s="13" t="str" cm="1">
        <f t="array" ref="C50">_xll.BDH("CMI US Equity","BS_DERIV_HEDGING_LIAB_ST","FQ3 2018","FQ3 2018","Currency=USD","Period=FQ","BEST_FPERIOD_OVERRIDE=FQ","FILING_STATUS=MR","SCALING_FORMAT=MLN","Sort=A","Dates=H","DateFormat=P","Fill=—","Direction=H","UseDPDF=Y")</f>
        <v>—</v>
      </c>
      <c r="D50" s="13" t="str" cm="1">
        <f t="array" ref="D50">_xll.BDH("CMI US Equity","BS_DERIV_HEDGING_LIAB_ST","FQ4 2018","FQ4 2018","Currency=USD","Period=FQ","BEST_FPERIOD_OVERRIDE=FQ","FILING_STATUS=MR","SCALING_FORMAT=MLN","Sort=A","Dates=H","DateFormat=P","Fill=—","Direction=H","UseDPDF=Y")</f>
        <v>—</v>
      </c>
      <c r="E50" s="13" t="str" cm="1">
        <f t="array" ref="E50">_xll.BDH("CMI US Equity","BS_DERIV_HEDGING_LIAB_ST","FQ1 2019","FQ1 2019","Currency=USD","Period=FQ","BEST_FPERIOD_OVERRIDE=FQ","FILING_STATUS=MR","SCALING_FORMAT=MLN","Sort=A","Dates=H","DateFormat=P","Fill=—","Direction=H","UseDPDF=Y")</f>
        <v>—</v>
      </c>
      <c r="F50" s="13" t="str" cm="1">
        <f t="array" ref="F50">_xll.BDH("CMI US Equity","BS_DERIV_HEDGING_LIAB_ST","FQ2 2019","FQ2 2019","Currency=USD","Period=FQ","BEST_FPERIOD_OVERRIDE=FQ","FILING_STATUS=MR","SCALING_FORMAT=MLN","Sort=A","Dates=H","DateFormat=P","Fill=—","Direction=H","UseDPDF=Y")</f>
        <v>—</v>
      </c>
      <c r="G50" s="13" t="str" cm="1">
        <f t="array" ref="G50">_xll.BDH("CMI US Equity","BS_DERIV_HEDGING_LIAB_ST","FQ3 2019","FQ3 2019","Currency=USD","Period=FQ","BEST_FPERIOD_OVERRIDE=FQ","FILING_STATUS=MR","SCALING_FORMAT=MLN","Sort=A","Dates=H","DateFormat=P","Fill=—","Direction=H","UseDPDF=Y")</f>
        <v>—</v>
      </c>
      <c r="H50" s="13" t="str" cm="1">
        <f t="array" ref="H50">_xll.BDH("CMI US Equity","BS_DERIV_HEDGING_LIAB_ST","FQ4 2019","FQ4 2019","Currency=USD","Period=FQ","BEST_FPERIOD_OVERRIDE=FQ","FILING_STATUS=MR","SCALING_FORMAT=MLN","Sort=A","Dates=H","DateFormat=P","Fill=—","Direction=H","UseDPDF=Y")</f>
        <v>—</v>
      </c>
      <c r="I50" s="13" t="str" cm="1">
        <f t="array" ref="I50">_xll.BDH("CMI US Equity","BS_DERIV_HEDGING_LIAB_ST","FQ1 2020","FQ1 2020","Currency=USD","Period=FQ","BEST_FPERIOD_OVERRIDE=FQ","FILING_STATUS=MR","SCALING_FORMAT=MLN","Sort=A","Dates=H","DateFormat=P","Fill=—","Direction=H","UseDPDF=Y")</f>
        <v>—</v>
      </c>
      <c r="J50" s="13" t="str" cm="1">
        <f t="array" ref="J50">_xll.BDH("CMI US Equity","BS_DERIV_HEDGING_LIAB_ST","FQ2 2020","FQ2 2020","Currency=USD","Period=FQ","BEST_FPERIOD_OVERRIDE=FQ","FILING_STATUS=MR","SCALING_FORMAT=MLN","Sort=A","Dates=H","DateFormat=P","Fill=—","Direction=H","UseDPDF=Y")</f>
        <v>—</v>
      </c>
      <c r="K50" s="13" t="str" cm="1">
        <f t="array" ref="K50">_xll.BDH("CMI US Equity","BS_DERIV_HEDGING_LIAB_ST","FQ3 2020","FQ3 2020","Currency=USD","Period=FQ","BEST_FPERIOD_OVERRIDE=FQ","FILING_STATUS=MR","SCALING_FORMAT=MLN","Sort=A","Dates=H","DateFormat=P","Fill=—","Direction=H","UseDPDF=Y")</f>
        <v>—</v>
      </c>
      <c r="L50" s="13" t="str" cm="1">
        <f t="array" ref="L50">_xll.BDH("CMI US Equity","BS_DERIV_HEDGING_LIAB_ST","FQ4 2020","FQ4 2020","Currency=USD","Period=FQ","BEST_FPERIOD_OVERRIDE=FQ","FILING_STATUS=MR","SCALING_FORMAT=MLN","Sort=A","Dates=H","DateFormat=P","Fill=—","Direction=H","UseDPDF=Y")</f>
        <v>—</v>
      </c>
      <c r="M50" s="13" t="str" cm="1">
        <f t="array" ref="M50">_xll.BDH("CMI US Equity","BS_DERIV_HEDGING_LIAB_ST","FQ1 2021","FQ1 2021","Currency=USD","Period=FQ","BEST_FPERIOD_OVERRIDE=FQ","FILING_STATUS=MR","SCALING_FORMAT=MLN","Sort=A","Dates=H","DateFormat=P","Fill=—","Direction=H","UseDPDF=Y")</f>
        <v>—</v>
      </c>
      <c r="N50" s="13" t="str" cm="1">
        <f t="array" ref="N50">_xll.BDH("CMI US Equity","BS_DERIV_HEDGING_LIAB_ST","FQ2 2021","FQ2 2021","Currency=USD","Period=FQ","BEST_FPERIOD_OVERRIDE=FQ","FILING_STATUS=MR","SCALING_FORMAT=MLN","Sort=A","Dates=H","DateFormat=P","Fill=—","Direction=H","UseDPDF=Y")</f>
        <v>—</v>
      </c>
      <c r="O50" s="13" t="str" cm="1">
        <f t="array" ref="O50">_xll.BDH("CMI US Equity","BS_DERIV_HEDGING_LIAB_ST","FQ3 2021","FQ3 2021","Currency=USD","Period=FQ","BEST_FPERIOD_OVERRIDE=FQ","FILING_STATUS=MR","SCALING_FORMAT=MLN","Sort=A","Dates=H","DateFormat=P","Fill=—","Direction=H","UseDPDF=Y")</f>
        <v>—</v>
      </c>
      <c r="P50" s="13" t="str" cm="1">
        <f t="array" ref="P50">_xll.BDH("CMI US Equity","BS_DERIV_HEDGING_LIAB_ST","FQ4 2021","FQ4 2021","Currency=USD","Period=FQ","BEST_FPERIOD_OVERRIDE=FQ","FILING_STATUS=MR","SCALING_FORMAT=MLN","Sort=A","Dates=H","DateFormat=P","Fill=—","Direction=H","UseDPDF=Y")</f>
        <v>—</v>
      </c>
      <c r="Q50" s="13" t="str" cm="1">
        <f t="array" ref="Q50">_xll.BDH("CMI US Equity","BS_DERIV_HEDGING_LIAB_ST","FQ1 2022","FQ1 2022","Currency=USD","Period=FQ","BEST_FPERIOD_OVERRIDE=FQ","FILING_STATUS=MR","SCALING_FORMAT=MLN","Sort=A","Dates=H","DateFormat=P","Fill=—","Direction=H","UseDPDF=Y")</f>
        <v>—</v>
      </c>
      <c r="R50" s="13" t="str" cm="1">
        <f t="array" ref="R50">_xll.BDH("CMI US Equity","BS_DERIV_HEDGING_LIAB_ST","FQ2 2022","FQ2 2022","Currency=USD","Period=FQ","BEST_FPERIOD_OVERRIDE=FQ","FILING_STATUS=MR","SCALING_FORMAT=MLN","Sort=A","Dates=H","DateFormat=P","Fill=—","Direction=H","UseDPDF=Y")</f>
        <v>—</v>
      </c>
      <c r="S50" s="13" t="str" cm="1">
        <f t="array" ref="S50">_xll.BDH("CMI US Equity","BS_DERIV_HEDGING_LIAB_ST","FQ3 2022","FQ3 2022","Currency=USD","Period=FQ","BEST_FPERIOD_OVERRIDE=FQ","FILING_STATUS=MR","SCALING_FORMAT=MLN","Sort=A","Dates=H","DateFormat=P","Fill=—","Direction=H","UseDPDF=Y")</f>
        <v>—</v>
      </c>
      <c r="T50" s="13" t="str" cm="1">
        <f t="array" ref="T50">_xll.BDH("CMI US Equity","BS_DERIV_HEDGING_LIAB_ST","FQ4 2022","FQ4 2022","Currency=USD","Period=FQ","BEST_FPERIOD_OVERRIDE=FQ","FILING_STATUS=MR","SCALING_FORMAT=MLN","Sort=A","Dates=H","DateFormat=P","Fill=—","Direction=H","UseDPDF=Y")</f>
        <v>—</v>
      </c>
      <c r="U50" s="13" t="str" cm="1">
        <f t="array" ref="U50">_xll.BDH("CMI US Equity","BS_DERIV_HEDGING_LIAB_ST","FQ1 2023","FQ1 2023","Currency=USD","Period=FQ","BEST_FPERIOD_OVERRIDE=FQ","FILING_STATUS=MR","SCALING_FORMAT=MLN","Sort=A","Dates=H","DateFormat=P","Fill=—","Direction=H","UseDPDF=Y")</f>
        <v>—</v>
      </c>
      <c r="V50" s="13" t="str" cm="1">
        <f t="array" ref="V50">_xll.BDH("CMI US Equity","BS_DERIV_HEDGING_LIAB_ST","FQ2 2023","FQ2 2023","Currency=USD","Period=FQ","BEST_FPERIOD_OVERRIDE=FQ","FILING_STATUS=MR","SCALING_FORMAT=MLN","Sort=A","Dates=H","DateFormat=P","Fill=—","Direction=H","UseDPDF=Y")</f>
        <v>—</v>
      </c>
      <c r="W50" s="13" t="str" cm="1">
        <f t="array" ref="W50">_xll.BDH("CMI US Equity","BS_DERIV_HEDGING_LIAB_ST","FQ3 2023","FQ3 2023","Currency=USD","Period=FQ","BEST_FPERIOD_OVERRIDE=FQ","FILING_STATUS=MR","SCALING_FORMAT=MLN","Sort=A","Dates=H","DateFormat=P","Fill=—","Direction=H","UseDPDF=Y")</f>
        <v>—</v>
      </c>
      <c r="X50" s="13" cm="1">
        <f t="array" ref="X50">_xll.BDH("CMI US Equity","BS_DERIV_HEDGING_LIAB_ST","FQ4 2023","FQ4 2023","Currency=USD","Period=FQ","BEST_FPERIOD_OVERRIDE=FQ","FILING_STATUS=MR","SCALING_FORMAT=MLN","Sort=A","Dates=H","DateFormat=P","Fill=—","Direction=H","UseDPDF=Y")</f>
        <v>0</v>
      </c>
      <c r="Y50" s="13" t="str" cm="1">
        <f t="array" ref="Y50">_xll.BDH("CMI US Equity","BS_DERIV_HEDGING_LIAB_ST","FQ1 2024","FQ1 2024","Currency=USD","Period=FQ","BEST_FPERIOD_OVERRIDE=FQ","FILING_STATUS=MR","SCALING_FORMAT=MLN","Sort=A","Dates=H","DateFormat=P","Fill=—","Direction=H","UseDPDF=Y")</f>
        <v>—</v>
      </c>
      <c r="Z50" s="13" t="str" cm="1">
        <f t="array" ref="Z50">_xll.BDH("CMI US Equity","BS_DERIV_HEDGING_LIAB_ST","FQ2 2024","FQ2 2024","Currency=USD","Period=FQ","BEST_FPERIOD_OVERRIDE=FQ","FILING_STATUS=MR","SCALING_FORMAT=MLN","Sort=A","Dates=H","DateFormat=P","Fill=—","Direction=H","UseDPDF=Y")</f>
        <v>—</v>
      </c>
      <c r="AA50" s="13" t="str" cm="1">
        <f t="array" ref="AA50">_xll.BDH("CMI US Equity","BS_DERIV_HEDGING_LIAB_ST","FQ3 2024","FQ3 2024","Currency=USD","Period=FQ","BEST_FPERIOD_OVERRIDE=FQ","FILING_STATUS=MR","SCALING_FORMAT=MLN","Sort=A","Dates=H","DateFormat=P","Fill=—","Direction=H","UseDPDF=Y")</f>
        <v>—</v>
      </c>
      <c r="AB50" s="13" t="str" cm="1">
        <f t="array" ref="AB50">_xll.BDH("CMI US Equity","BS_DERIV_HEDGING_LIAB_ST","FQ4 2024","FQ4 2024","Currency=USD","Period=FQ","BEST_FPERIOD_OVERRIDE=FQ","FILING_STATUS=MR","SCALING_FORMAT=MLN","Sort=A","Dates=H","DateFormat=P","Fill=—","Direction=H","UseDPDF=Y")</f>
        <v>—</v>
      </c>
      <c r="AC50" s="13" t="str" cm="1">
        <f t="array" ref="AC50">_xll.BDH("CMI US Equity","BS_DERIV_HEDGING_LIAB_ST","FQ1 2025","FQ1 2025","Currency=USD","Period=FQ","BEST_FPERIOD_OVERRIDE=FQ","FILING_STATUS=MR","SCALING_FORMAT=MLN","Sort=A","Dates=H","DateFormat=P","Fill=—","Direction=H","UseDPDF=Y")</f>
        <v>—</v>
      </c>
      <c r="AD50" s="13" t="str" cm="1">
        <f t="array" ref="AD50">_xll.BDH("CMI US Equity","BS_DERIV_HEDGING_LIAB_ST","FQ2 2025","FQ2 2025","Currency=USD","Period=FQ","BEST_FPERIOD_OVERRIDE=FQ","FILING_STATUS=MR","SCALING_FORMAT=MLN","Sort=A","Dates=H","DateFormat=P","Fill=—","Direction=H","UseDPDF=Y")</f>
        <v>—</v>
      </c>
      <c r="AE50" s="13" t="str" cm="1">
        <f t="array" ref="AE50">_xll.BDH("CMI US Equity","BS_DERIV_HEDGING_LIAB_ST","FQ3 2025","FQ3 2025","Currency=USD","Period=FQ","BEST_FPERIOD_OVERRIDE=FQ","FILING_STATUS=MR","SCALING_FORMAT=MLN","Sort=A","Dates=H","DateFormat=P","Fill=—","Direction=H","UseDPDF=Y")</f>
        <v>—</v>
      </c>
      <c r="AF50" s="13" t="str" cm="1">
        <f t="array" ref="AF50">_xll.BDH("CMI US Equity","BS_DERIV_HEDGING_LIAB_ST","FQ4 2025","FQ4 2025","Currency=USD","Period=FQ","BEST_FPERIOD_OVERRIDE=FQ","FILING_STATUS=MR","SCALING_FORMAT=MLN","Sort=A","Dates=H","DateFormat=P","Fill=—","Direction=H","UseDPDF=Y")</f>
        <v>—</v>
      </c>
    </row>
    <row r="51" spans="1:32" x14ac:dyDescent="0.25">
      <c r="A51" s="10" t="s">
        <v>149</v>
      </c>
      <c r="B51" s="10" t="s">
        <v>150</v>
      </c>
      <c r="C51" s="13" cm="1">
        <f t="array" ref="C51">_xll.BDH("CMI US Equity","OTHER_CURRENT_LIABS_DETAILED","FQ3 2018","FQ3 2018","Currency=USD","Period=FQ","BEST_FPERIOD_OVERRIDE=FQ","FILING_STATUS=MR","SCALING_FORMAT=MLN","Sort=A","Dates=H","DateFormat=P","Fill=—","Direction=H","UseDPDF=Y")</f>
        <v>0</v>
      </c>
      <c r="D51" s="13" cm="1">
        <f t="array" ref="D51">_xll.BDH("CMI US Equity","OTHER_CURRENT_LIABS_DETAILED","FQ4 2018","FQ4 2018","Currency=USD","Period=FQ","BEST_FPERIOD_OVERRIDE=FQ","FILING_STATUS=MR","SCALING_FORMAT=MLN","Sort=A","Dates=H","DateFormat=P","Fill=—","Direction=H","UseDPDF=Y")</f>
        <v>0</v>
      </c>
      <c r="E51" s="13" cm="1">
        <f t="array" ref="E51">_xll.BDH("CMI US Equity","OTHER_CURRENT_LIABS_DETAILED","FQ1 2019","FQ1 2019","Currency=USD","Period=FQ","BEST_FPERIOD_OVERRIDE=FQ","FILING_STATUS=MR","SCALING_FORMAT=MLN","Sort=A","Dates=H","DateFormat=P","Fill=—","Direction=H","UseDPDF=Y")</f>
        <v>0</v>
      </c>
      <c r="F51" s="13" cm="1">
        <f t="array" ref="F51">_xll.BDH("CMI US Equity","OTHER_CURRENT_LIABS_DETAILED","FQ2 2019","FQ2 2019","Currency=USD","Period=FQ","BEST_FPERIOD_OVERRIDE=FQ","FILING_STATUS=MR","SCALING_FORMAT=MLN","Sort=A","Dates=H","DateFormat=P","Fill=—","Direction=H","UseDPDF=Y")</f>
        <v>0</v>
      </c>
      <c r="G51" s="13" cm="1">
        <f t="array" ref="G51">_xll.BDH("CMI US Equity","OTHER_CURRENT_LIABS_DETAILED","FQ3 2019","FQ3 2019","Currency=USD","Period=FQ","BEST_FPERIOD_OVERRIDE=FQ","FILING_STATUS=MR","SCALING_FORMAT=MLN","Sort=A","Dates=H","DateFormat=P","Fill=—","Direction=H","UseDPDF=Y")</f>
        <v>0</v>
      </c>
      <c r="H51" s="13" cm="1">
        <f t="array" ref="H51">_xll.BDH("CMI US Equity","OTHER_CURRENT_LIABS_DETAILED","FQ4 2019","FQ4 2019","Currency=USD","Period=FQ","BEST_FPERIOD_OVERRIDE=FQ","FILING_STATUS=MR","SCALING_FORMAT=MLN","Sort=A","Dates=H","DateFormat=P","Fill=—","Direction=H","UseDPDF=Y")</f>
        <v>0</v>
      </c>
      <c r="I51" s="13" cm="1">
        <f t="array" ref="I51">_xll.BDH("CMI US Equity","OTHER_CURRENT_LIABS_DETAILED","FQ1 2020","FQ1 2020","Currency=USD","Period=FQ","BEST_FPERIOD_OVERRIDE=FQ","FILING_STATUS=MR","SCALING_FORMAT=MLN","Sort=A","Dates=H","DateFormat=P","Fill=—","Direction=H","UseDPDF=Y")</f>
        <v>0</v>
      </c>
      <c r="J51" s="13" cm="1">
        <f t="array" ref="J51">_xll.BDH("CMI US Equity","OTHER_CURRENT_LIABS_DETAILED","FQ2 2020","FQ2 2020","Currency=USD","Period=FQ","BEST_FPERIOD_OVERRIDE=FQ","FILING_STATUS=MR","SCALING_FORMAT=MLN","Sort=A","Dates=H","DateFormat=P","Fill=—","Direction=H","UseDPDF=Y")</f>
        <v>0</v>
      </c>
      <c r="K51" s="13" cm="1">
        <f t="array" ref="K51">_xll.BDH("CMI US Equity","OTHER_CURRENT_LIABS_DETAILED","FQ3 2020","FQ3 2020","Currency=USD","Period=FQ","BEST_FPERIOD_OVERRIDE=FQ","FILING_STATUS=MR","SCALING_FORMAT=MLN","Sort=A","Dates=H","DateFormat=P","Fill=—","Direction=H","UseDPDF=Y")</f>
        <v>0</v>
      </c>
      <c r="L51" s="13" cm="1">
        <f t="array" ref="L51">_xll.BDH("CMI US Equity","OTHER_CURRENT_LIABS_DETAILED","FQ4 2020","FQ4 2020","Currency=USD","Period=FQ","BEST_FPERIOD_OVERRIDE=FQ","FILING_STATUS=MR","SCALING_FORMAT=MLN","Sort=A","Dates=H","DateFormat=P","Fill=—","Direction=H","UseDPDF=Y")</f>
        <v>0</v>
      </c>
      <c r="M51" s="13" cm="1">
        <f t="array" ref="M51">_xll.BDH("CMI US Equity","OTHER_CURRENT_LIABS_DETAILED","FQ1 2021","FQ1 2021","Currency=USD","Period=FQ","BEST_FPERIOD_OVERRIDE=FQ","FILING_STATUS=MR","SCALING_FORMAT=MLN","Sort=A","Dates=H","DateFormat=P","Fill=—","Direction=H","UseDPDF=Y")</f>
        <v>0</v>
      </c>
      <c r="N51" s="13" cm="1">
        <f t="array" ref="N51">_xll.BDH("CMI US Equity","OTHER_CURRENT_LIABS_DETAILED","FQ2 2021","FQ2 2021","Currency=USD","Period=FQ","BEST_FPERIOD_OVERRIDE=FQ","FILING_STATUS=MR","SCALING_FORMAT=MLN","Sort=A","Dates=H","DateFormat=P","Fill=—","Direction=H","UseDPDF=Y")</f>
        <v>0</v>
      </c>
      <c r="O51" s="13" cm="1">
        <f t="array" ref="O51">_xll.BDH("CMI US Equity","OTHER_CURRENT_LIABS_DETAILED","FQ3 2021","FQ3 2021","Currency=USD","Period=FQ","BEST_FPERIOD_OVERRIDE=FQ","FILING_STATUS=MR","SCALING_FORMAT=MLN","Sort=A","Dates=H","DateFormat=P","Fill=—","Direction=H","UseDPDF=Y")</f>
        <v>0</v>
      </c>
      <c r="P51" s="13" cm="1">
        <f t="array" ref="P51">_xll.BDH("CMI US Equity","OTHER_CURRENT_LIABS_DETAILED","FQ4 2021","FQ4 2021","Currency=USD","Period=FQ","BEST_FPERIOD_OVERRIDE=FQ","FILING_STATUS=MR","SCALING_FORMAT=MLN","Sort=A","Dates=H","DateFormat=P","Fill=—","Direction=H","UseDPDF=Y")</f>
        <v>0</v>
      </c>
      <c r="Q51" s="13" cm="1">
        <f t="array" ref="Q51">_xll.BDH("CMI US Equity","OTHER_CURRENT_LIABS_DETAILED","FQ1 2022","FQ1 2022","Currency=USD","Period=FQ","BEST_FPERIOD_OVERRIDE=FQ","FILING_STATUS=MR","SCALING_FORMAT=MLN","Sort=A","Dates=H","DateFormat=P","Fill=—","Direction=H","UseDPDF=Y")</f>
        <v>0</v>
      </c>
      <c r="R51" s="13" cm="1">
        <f t="array" ref="R51">_xll.BDH("CMI US Equity","OTHER_CURRENT_LIABS_DETAILED","FQ2 2022","FQ2 2022","Currency=USD","Period=FQ","BEST_FPERIOD_OVERRIDE=FQ","FILING_STATUS=MR","SCALING_FORMAT=MLN","Sort=A","Dates=H","DateFormat=P","Fill=—","Direction=H","UseDPDF=Y")</f>
        <v>0</v>
      </c>
      <c r="S51" s="13" cm="1">
        <f t="array" ref="S51">_xll.BDH("CMI US Equity","OTHER_CURRENT_LIABS_DETAILED","FQ3 2022","FQ3 2022","Currency=USD","Period=FQ","BEST_FPERIOD_OVERRIDE=FQ","FILING_STATUS=MR","SCALING_FORMAT=MLN","Sort=A","Dates=H","DateFormat=P","Fill=—","Direction=H","UseDPDF=Y")</f>
        <v>0</v>
      </c>
      <c r="T51" s="13" cm="1">
        <f t="array" ref="T51">_xll.BDH("CMI US Equity","OTHER_CURRENT_LIABS_DETAILED","FQ4 2022","FQ4 2022","Currency=USD","Period=FQ","BEST_FPERIOD_OVERRIDE=FQ","FILING_STATUS=MR","SCALING_FORMAT=MLN","Sort=A","Dates=H","DateFormat=P","Fill=—","Direction=H","UseDPDF=Y")</f>
        <v>0</v>
      </c>
      <c r="U51" s="13" cm="1">
        <f t="array" ref="U51">_xll.BDH("CMI US Equity","OTHER_CURRENT_LIABS_DETAILED","FQ1 2023","FQ1 2023","Currency=USD","Period=FQ","BEST_FPERIOD_OVERRIDE=FQ","FILING_STATUS=MR","SCALING_FORMAT=MLN","Sort=A","Dates=H","DateFormat=P","Fill=—","Direction=H","UseDPDF=Y")</f>
        <v>0</v>
      </c>
      <c r="V51" s="13" cm="1">
        <f t="array" ref="V51">_xll.BDH("CMI US Equity","OTHER_CURRENT_LIABS_DETAILED","FQ2 2023","FQ2 2023","Currency=USD","Period=FQ","BEST_FPERIOD_OVERRIDE=FQ","FILING_STATUS=MR","SCALING_FORMAT=MLN","Sort=A","Dates=H","DateFormat=P","Fill=—","Direction=H","UseDPDF=Y")</f>
        <v>0</v>
      </c>
      <c r="W51" s="13" cm="1">
        <f t="array" ref="W51">_xll.BDH("CMI US Equity","OTHER_CURRENT_LIABS_DETAILED","FQ3 2023","FQ3 2023","Currency=USD","Period=FQ","BEST_FPERIOD_OVERRIDE=FQ","FILING_STATUS=MR","SCALING_FORMAT=MLN","Sort=A","Dates=H","DateFormat=P","Fill=—","Direction=H","UseDPDF=Y")</f>
        <v>0</v>
      </c>
      <c r="X51" s="13" cm="1">
        <f t="array" ref="X51">_xll.BDH("CMI US Equity","OTHER_CURRENT_LIABS_DETAILED","FQ4 2023","FQ4 2023","Currency=USD","Period=FQ","BEST_FPERIOD_OVERRIDE=FQ","FILING_STATUS=MR","SCALING_FORMAT=MLN","Sort=A","Dates=H","DateFormat=P","Fill=—","Direction=H","UseDPDF=Y")</f>
        <v>0</v>
      </c>
      <c r="Y51" s="13" cm="1">
        <f t="array" ref="Y51">_xll.BDH("CMI US Equity","OTHER_CURRENT_LIABS_DETAILED","FQ1 2024","FQ1 2024","Currency=USD","Period=FQ","BEST_FPERIOD_OVERRIDE=FQ","FILING_STATUS=MR","SCALING_FORMAT=MLN","Sort=A","Dates=H","DateFormat=P","Fill=—","Direction=H","UseDPDF=Y")</f>
        <v>0</v>
      </c>
      <c r="Z51" s="13" cm="1">
        <f t="array" ref="Z51">_xll.BDH("CMI US Equity","OTHER_CURRENT_LIABS_DETAILED","FQ2 2024","FQ2 2024","Currency=USD","Period=FQ","BEST_FPERIOD_OVERRIDE=FQ","FILING_STATUS=MR","SCALING_FORMAT=MLN","Sort=A","Dates=H","DateFormat=P","Fill=—","Direction=H","UseDPDF=Y")</f>
        <v>0</v>
      </c>
      <c r="AA51" s="13" cm="1">
        <f t="array" ref="AA51">_xll.BDH("CMI US Equity","OTHER_CURRENT_LIABS_DETAILED","FQ3 2024","FQ3 2024","Currency=USD","Period=FQ","BEST_FPERIOD_OVERRIDE=FQ","FILING_STATUS=MR","SCALING_FORMAT=MLN","Sort=A","Dates=H","DateFormat=P","Fill=—","Direction=H","UseDPDF=Y")</f>
        <v>0</v>
      </c>
      <c r="AB51" s="13" cm="1">
        <f t="array" ref="AB51">_xll.BDH("CMI US Equity","OTHER_CURRENT_LIABS_DETAILED","FQ4 2024","FQ4 2024","Currency=USD","Period=FQ","BEST_FPERIOD_OVERRIDE=FQ","FILING_STATUS=MR","SCALING_FORMAT=MLN","Sort=A","Dates=H","DateFormat=P","Fill=—","Direction=H","UseDPDF=Y")</f>
        <v>0</v>
      </c>
      <c r="AC51" s="13" cm="1">
        <f t="array" ref="AC51">_xll.BDH("CMI US Equity","OTHER_CURRENT_LIABS_DETAILED","FQ1 2025","FQ1 2025","Currency=USD","Period=FQ","BEST_FPERIOD_OVERRIDE=FQ","FILING_STATUS=MR","SCALING_FORMAT=MLN","Sort=A","Dates=H","DateFormat=P","Fill=—","Direction=H","UseDPDF=Y")</f>
        <v>0</v>
      </c>
      <c r="AD51" s="13" cm="1">
        <f t="array" ref="AD51">_xll.BDH("CMI US Equity","OTHER_CURRENT_LIABS_DETAILED","FQ2 2025","FQ2 2025","Currency=USD","Period=FQ","BEST_FPERIOD_OVERRIDE=FQ","FILING_STATUS=MR","SCALING_FORMAT=MLN","Sort=A","Dates=H","DateFormat=P","Fill=—","Direction=H","UseDPDF=Y")</f>
        <v>0</v>
      </c>
      <c r="AE51" s="13" cm="1">
        <f t="array" ref="AE51">_xll.BDH("CMI US Equity","OTHER_CURRENT_LIABS_DETAILED","FQ3 2025","FQ3 2025","Currency=USD","Period=FQ","BEST_FPERIOD_OVERRIDE=FQ","FILING_STATUS=MR","SCALING_FORMAT=MLN","Sort=A","Dates=H","DateFormat=P","Fill=—","Direction=H","UseDPDF=Y")</f>
        <v>0</v>
      </c>
      <c r="AF51" s="13" cm="1">
        <f t="array" ref="AF51">_xll.BDH("CMI US Equity","OTHER_CURRENT_LIABS_DETAILED","FQ4 2025","FQ4 2025","Currency=USD","Period=FQ","BEST_FPERIOD_OVERRIDE=FQ","FILING_STATUS=MR","SCALING_FORMAT=MLN","Sort=A","Dates=H","DateFormat=P","Fill=—","Direction=H","UseDPDF=Y")</f>
        <v>0</v>
      </c>
    </row>
    <row r="52" spans="1:32" x14ac:dyDescent="0.25">
      <c r="A52" s="6" t="s">
        <v>151</v>
      </c>
      <c r="B52" s="6" t="s">
        <v>152</v>
      </c>
      <c r="C52" s="16" cm="1">
        <f t="array" ref="C52">_xll.BDH("CMI US Equity","BS_CUR_LIAB","FQ3 2018","FQ3 2018","Currency=USD","Period=FQ","BEST_FPERIOD_OVERRIDE=FQ","FILING_STATUS=MR","SCALING_FORMAT=MLN","Sort=A","Dates=H","DateFormat=P","Fill=—","Direction=H","UseDPDF=Y")</f>
        <v>6416</v>
      </c>
      <c r="D52" s="16" cm="1">
        <f t="array" ref="D52">_xll.BDH("CMI US Equity","BS_CUR_LIAB","FQ4 2018","FQ4 2018","Currency=USD","Period=FQ","BEST_FPERIOD_OVERRIDE=FQ","FILING_STATUS=MR","SCALING_FORMAT=MLN","Sort=A","Dates=H","DateFormat=P","Fill=—","Direction=H","UseDPDF=Y")</f>
        <v>6384</v>
      </c>
      <c r="E52" s="16" cm="1">
        <f t="array" ref="E52">_xll.BDH("CMI US Equity","BS_CUR_LIAB","FQ1 2019","FQ1 2019","Currency=USD","Period=FQ","BEST_FPERIOD_OVERRIDE=FQ","FILING_STATUS=MR","SCALING_FORMAT=MLN","Sort=A","Dates=H","DateFormat=P","Fill=—","Direction=H","UseDPDF=Y")</f>
        <v>6427</v>
      </c>
      <c r="F52" s="16" cm="1">
        <f t="array" ref="F52">_xll.BDH("CMI US Equity","BS_CUR_LIAB","FQ2 2019","FQ2 2019","Currency=USD","Period=FQ","BEST_FPERIOD_OVERRIDE=FQ","FILING_STATUS=MR","SCALING_FORMAT=MLN","Sort=A","Dates=H","DateFormat=P","Fill=—","Direction=H","UseDPDF=Y")</f>
        <v>6289</v>
      </c>
      <c r="G52" s="16" cm="1">
        <f t="array" ref="G52">_xll.BDH("CMI US Equity","BS_CUR_LIAB","FQ3 2019","FQ3 2019","Currency=USD","Period=FQ","BEST_FPERIOD_OVERRIDE=FQ","FILING_STATUS=MR","SCALING_FORMAT=MLN","Sort=A","Dates=H","DateFormat=P","Fill=—","Direction=H","UseDPDF=Y")</f>
        <v>6725</v>
      </c>
      <c r="H52" s="16" cm="1">
        <f t="array" ref="H52">_xll.BDH("CMI US Equity","BS_CUR_LIAB","FQ4 2019","FQ4 2019","Currency=USD","Period=FQ","BEST_FPERIOD_OVERRIDE=FQ","FILING_STATUS=MR","SCALING_FORMAT=MLN","Sort=A","Dates=H","DateFormat=P","Fill=—","Direction=H","UseDPDF=Y")</f>
        <v>6260</v>
      </c>
      <c r="I52" s="16" cm="1">
        <f t="array" ref="I52">_xll.BDH("CMI US Equity","BS_CUR_LIAB","FQ1 2020","FQ1 2020","Currency=USD","Period=FQ","BEST_FPERIOD_OVERRIDE=FQ","FILING_STATUS=MR","SCALING_FORMAT=MLN","Sort=A","Dates=H","DateFormat=P","Fill=—","Direction=H","UseDPDF=Y")</f>
        <v>6982</v>
      </c>
      <c r="J52" s="16" cm="1">
        <f t="array" ref="J52">_xll.BDH("CMI US Equity","BS_CUR_LIAB","FQ2 2020","FQ2 2020","Currency=USD","Period=FQ","BEST_FPERIOD_OVERRIDE=FQ","FILING_STATUS=MR","SCALING_FORMAT=MLN","Sort=A","Dates=H","DateFormat=P","Fill=—","Direction=H","UseDPDF=Y")</f>
        <v>6916</v>
      </c>
      <c r="K52" s="16" cm="1">
        <f t="array" ref="K52">_xll.BDH("CMI US Equity","BS_CUR_LIAB","FQ3 2020","FQ3 2020","Currency=USD","Period=FQ","BEST_FPERIOD_OVERRIDE=FQ","FILING_STATUS=MR","SCALING_FORMAT=MLN","Sort=A","Dates=H","DateFormat=P","Fill=—","Direction=H","UseDPDF=Y")</f>
        <v>5709</v>
      </c>
      <c r="L52" s="16" cm="1">
        <f t="array" ref="L52">_xll.BDH("CMI US Equity","BS_CUR_LIAB","FQ4 2020","FQ4 2020","Currency=USD","Period=FQ","BEST_FPERIOD_OVERRIDE=FQ","FILING_STATUS=MR","SCALING_FORMAT=MLN","Sort=A","Dates=H","DateFormat=P","Fill=—","Direction=H","UseDPDF=Y")</f>
        <v>6335</v>
      </c>
      <c r="M52" s="16" cm="1">
        <f t="array" ref="M52">_xll.BDH("CMI US Equity","BS_CUR_LIAB","FQ1 2021","FQ1 2021","Currency=USD","Period=FQ","BEST_FPERIOD_OVERRIDE=FQ","FILING_STATUS=MR","SCALING_FORMAT=MLN","Sort=A","Dates=H","DateFormat=P","Fill=—","Direction=H","UseDPDF=Y")</f>
        <v>6660</v>
      </c>
      <c r="N52" s="16" cm="1">
        <f t="array" ref="N52">_xll.BDH("CMI US Equity","BS_CUR_LIAB","FQ2 2021","FQ2 2021","Currency=USD","Period=FQ","BEST_FPERIOD_OVERRIDE=FQ","FILING_STATUS=MR","SCALING_FORMAT=MLN","Sort=A","Dates=H","DateFormat=P","Fill=—","Direction=H","UseDPDF=Y")</f>
        <v>6604</v>
      </c>
      <c r="O52" s="16" cm="1">
        <f t="array" ref="O52">_xll.BDH("CMI US Equity","BS_CUR_LIAB","FQ3 2021","FQ3 2021","Currency=USD","Period=FQ","BEST_FPERIOD_OVERRIDE=FQ","FILING_STATUS=MR","SCALING_FORMAT=MLN","Sort=A","Dates=H","DateFormat=P","Fill=—","Direction=H","UseDPDF=Y")</f>
        <v>6861</v>
      </c>
      <c r="P52" s="16" cm="1">
        <f t="array" ref="P52">_xll.BDH("CMI US Equity","BS_CUR_LIAB","FQ4 2021","FQ4 2021","Currency=USD","Period=FQ","BEST_FPERIOD_OVERRIDE=FQ","FILING_STATUS=MR","SCALING_FORMAT=MLN","Sort=A","Dates=H","DateFormat=P","Fill=—","Direction=H","UseDPDF=Y")</f>
        <v>7084</v>
      </c>
      <c r="Q52" s="16" cm="1">
        <f t="array" ref="Q52">_xll.BDH("CMI US Equity","BS_CUR_LIAB","FQ1 2022","FQ1 2022","Currency=USD","Period=FQ","BEST_FPERIOD_OVERRIDE=FQ","FILING_STATUS=MR","SCALING_FORMAT=MLN","Sort=A","Dates=H","DateFormat=P","Fill=—","Direction=H","UseDPDF=Y")</f>
        <v>7512</v>
      </c>
      <c r="R52" s="16" cm="1">
        <f t="array" ref="R52">_xll.BDH("CMI US Equity","BS_CUR_LIAB","FQ2 2022","FQ2 2022","Currency=USD","Period=FQ","BEST_FPERIOD_OVERRIDE=FQ","FILING_STATUS=MR","SCALING_FORMAT=MLN","Sort=A","Dates=H","DateFormat=P","Fill=—","Direction=H","UseDPDF=Y")</f>
        <v>7671</v>
      </c>
      <c r="S52" s="16" cm="1">
        <f t="array" ref="S52">_xll.BDH("CMI US Equity","BS_CUR_LIAB","FQ3 2022","FQ3 2022","Currency=USD","Period=FQ","BEST_FPERIOD_OVERRIDE=FQ","FILING_STATUS=MR","SCALING_FORMAT=MLN","Sort=A","Dates=H","DateFormat=P","Fill=—","Direction=H","UseDPDF=Y")</f>
        <v>10530</v>
      </c>
      <c r="T52" s="16" cm="1">
        <f t="array" ref="T52">_xll.BDH("CMI US Equity","BS_CUR_LIAB","FQ4 2022","FQ4 2022","Currency=USD","Period=FQ","BEST_FPERIOD_OVERRIDE=FQ","FILING_STATUS=MR","SCALING_FORMAT=MLN","Sort=A","Dates=H","DateFormat=P","Fill=—","Direction=H","UseDPDF=Y")</f>
        <v>11421</v>
      </c>
      <c r="U52" s="16" cm="1">
        <f t="array" ref="U52">_xll.BDH("CMI US Equity","BS_CUR_LIAB","FQ1 2023","FQ1 2023","Currency=USD","Period=FQ","BEST_FPERIOD_OVERRIDE=FQ","FILING_STATUS=MR","SCALING_FORMAT=MLN","Sort=A","Dates=H","DateFormat=P","Fill=—","Direction=H","UseDPDF=Y")</f>
        <v>11923</v>
      </c>
      <c r="V52" s="16" cm="1">
        <f t="array" ref="V52">_xll.BDH("CMI US Equity","BS_CUR_LIAB","FQ2 2023","FQ2 2023","Currency=USD","Period=FQ","BEST_FPERIOD_OVERRIDE=FQ","FILING_STATUS=MR","SCALING_FORMAT=MLN","Sort=A","Dates=H","DateFormat=P","Fill=—","Direction=H","UseDPDF=Y")</f>
        <v>11045</v>
      </c>
      <c r="W52" s="16" cm="1">
        <f t="array" ref="W52">_xll.BDH("CMI US Equity","BS_CUR_LIAB","FQ3 2023","FQ3 2023","Currency=USD","Period=FQ","BEST_FPERIOD_OVERRIDE=FQ","FILING_STATUS=MR","SCALING_FORMAT=MLN","Sort=A","Dates=H","DateFormat=P","Fill=—","Direction=H","UseDPDF=Y")</f>
        <v>11126</v>
      </c>
      <c r="X52" s="16" cm="1">
        <f t="array" ref="X52">_xll.BDH("CMI US Equity","BS_CUR_LIAB","FQ4 2023","FQ4 2023","Currency=USD","Period=FQ","BEST_FPERIOD_OVERRIDE=FQ","FILING_STATUS=MR","SCALING_FORMAT=MLN","Sort=A","Dates=H","DateFormat=P","Fill=—","Direction=H","UseDPDF=Y")</f>
        <v>12903</v>
      </c>
      <c r="Y52" s="16" cm="1">
        <f t="array" ref="Y52">_xll.BDH("CMI US Equity","BS_CUR_LIAB","FQ1 2024","FQ1 2024","Currency=USD","Period=FQ","BEST_FPERIOD_OVERRIDE=FQ","FILING_STATUS=MR","SCALING_FORMAT=MLN","Sort=A","Dates=H","DateFormat=P","Fill=—","Direction=H","UseDPDF=Y")</f>
        <v>11686</v>
      </c>
      <c r="Z52" s="16" cm="1">
        <f t="array" ref="Z52">_xll.BDH("CMI US Equity","BS_CUR_LIAB","FQ2 2024","FQ2 2024","Currency=USD","Period=FQ","BEST_FPERIOD_OVERRIDE=FQ","FILING_STATUS=MR","SCALING_FORMAT=MLN","Sort=A","Dates=H","DateFormat=P","Fill=—","Direction=H","UseDPDF=Y")</f>
        <v>11144</v>
      </c>
      <c r="AA52" s="16" cm="1">
        <f t="array" ref="AA52">_xll.BDH("CMI US Equity","BS_CUR_LIAB","FQ3 2024","FQ3 2024","Currency=USD","Period=FQ","BEST_FPERIOD_OVERRIDE=FQ","FILING_STATUS=MR","SCALING_FORMAT=MLN","Sort=A","Dates=H","DateFormat=P","Fill=—","Direction=H","UseDPDF=Y")</f>
        <v>11603</v>
      </c>
      <c r="AB52" s="16" cm="1">
        <f t="array" ref="AB52">_xll.BDH("CMI US Equity","BS_CUR_LIAB","FQ4 2024","FQ4 2024","Currency=USD","Period=FQ","BEST_FPERIOD_OVERRIDE=FQ","FILING_STATUS=MR","SCALING_FORMAT=MLN","Sort=A","Dates=H","DateFormat=P","Fill=—","Direction=H","UseDPDF=Y")</f>
        <v>11234</v>
      </c>
      <c r="AC52" s="16" cm="1">
        <f t="array" ref="AC52">_xll.BDH("CMI US Equity","BS_CUR_LIAB","FQ1 2025","FQ1 2025","Currency=USD","Period=FQ","BEST_FPERIOD_OVERRIDE=FQ","FILING_STATUS=MR","SCALING_FORMAT=MLN","Sort=A","Dates=H","DateFormat=P","Fill=—","Direction=H","UseDPDF=Y")</f>
        <v>11575</v>
      </c>
      <c r="AD52" s="16" cm="1">
        <f t="array" ref="AD52">_xll.BDH("CMI US Equity","BS_CUR_LIAB","FQ2 2025","FQ2 2025","Currency=USD","Period=FQ","BEST_FPERIOD_OVERRIDE=FQ","FILING_STATUS=MR","SCALING_FORMAT=MLN","Sort=A","Dates=H","DateFormat=P","Fill=—","Direction=H","UseDPDF=Y")</f>
        <v>10315</v>
      </c>
      <c r="AE52" s="16" cm="1">
        <f t="array" ref="AE52">_xll.BDH("CMI US Equity","BS_CUR_LIAB","FQ3 2025","FQ3 2025","Currency=USD","Period=FQ","BEST_FPERIOD_OVERRIDE=FQ","FILING_STATUS=MR","SCALING_FORMAT=MLN","Sort=A","Dates=H","DateFormat=P","Fill=—","Direction=H","UseDPDF=Y")</f>
        <v>9454</v>
      </c>
      <c r="AF52" s="16" cm="1">
        <f t="array" ref="AF52">_xll.BDH("CMI US Equity","BS_CUR_LIAB","FQ4 2025","FQ4 2025","Currency=USD","Period=FQ","BEST_FPERIOD_OVERRIDE=FQ","FILING_STATUS=MR","SCALING_FORMAT=MLN","Sort=A","Dates=H","DateFormat=P","Fill=—","Direction=H","UseDPDF=Y")</f>
        <v>9610</v>
      </c>
    </row>
    <row r="53" spans="1:32" x14ac:dyDescent="0.25">
      <c r="A53" s="10" t="s">
        <v>153</v>
      </c>
      <c r="B53" s="10" t="s">
        <v>154</v>
      </c>
      <c r="C53" s="13" cm="1">
        <f t="array" ref="C53">_xll.BDH("CMI US Equity","BS_LT_BORROW","FQ3 2018","FQ3 2018","Currency=USD","Period=FQ","BEST_FPERIOD_OVERRIDE=FQ","FILING_STATUS=MR","SCALING_FORMAT=MLN","Sort=A","Dates=H","DateFormat=P","Fill=—","Direction=H","UseDPDF=Y")</f>
        <v>1563</v>
      </c>
      <c r="D53" s="13" cm="1">
        <f t="array" ref="D53">_xll.BDH("CMI US Equity","BS_LT_BORROW","FQ4 2018","FQ4 2018","Currency=USD","Period=FQ","BEST_FPERIOD_OVERRIDE=FQ","FILING_STATUS=MR","SCALING_FORMAT=MLN","Sort=A","Dates=H","DateFormat=P","Fill=—","Direction=H","UseDPDF=Y")</f>
        <v>1597</v>
      </c>
      <c r="E53" s="13" cm="1">
        <f t="array" ref="E53">_xll.BDH("CMI US Equity","BS_LT_BORROW","FQ1 2019","FQ1 2019","Currency=USD","Period=FQ","BEST_FPERIOD_OVERRIDE=FQ","FILING_STATUS=MR","SCALING_FORMAT=MLN","Sort=A","Dates=H","DateFormat=P","Fill=—","Direction=H","UseDPDF=Y")</f>
        <v>1907</v>
      </c>
      <c r="F53" s="13" cm="1">
        <f t="array" ref="F53">_xll.BDH("CMI US Equity","BS_LT_BORROW","FQ2 2019","FQ2 2019","Currency=USD","Period=FQ","BEST_FPERIOD_OVERRIDE=FQ","FILING_STATUS=MR","SCALING_FORMAT=MLN","Sort=A","Dates=H","DateFormat=P","Fill=—","Direction=H","UseDPDF=Y")</f>
        <v>1945</v>
      </c>
      <c r="G53" s="13" cm="1">
        <f t="array" ref="G53">_xll.BDH("CMI US Equity","BS_LT_BORROW","FQ3 2019","FQ3 2019","Currency=USD","Period=FQ","BEST_FPERIOD_OVERRIDE=FQ","FILING_STATUS=MR","SCALING_FORMAT=MLN","Sort=A","Dates=H","DateFormat=P","Fill=—","Direction=H","UseDPDF=Y")</f>
        <v>1952</v>
      </c>
      <c r="H53" s="13" cm="1">
        <f t="array" ref="H53">_xll.BDH("CMI US Equity","BS_LT_BORROW","FQ4 2019","FQ4 2019","Currency=USD","Period=FQ","BEST_FPERIOD_OVERRIDE=FQ","FILING_STATUS=MR","SCALING_FORMAT=MLN","Sort=A","Dates=H","DateFormat=P","Fill=—","Direction=H","UseDPDF=Y")</f>
        <v>1946</v>
      </c>
      <c r="I53" s="13" cm="1">
        <f t="array" ref="I53">_xll.BDH("CMI US Equity","BS_LT_BORROW","FQ1 2020","FQ1 2020","Currency=USD","Period=FQ","BEST_FPERIOD_OVERRIDE=FQ","FILING_STATUS=MR","SCALING_FORMAT=MLN","Sort=A","Dates=H","DateFormat=P","Fill=—","Direction=H","UseDPDF=Y")</f>
        <v>1929</v>
      </c>
      <c r="J53" s="13" cm="1">
        <f t="array" ref="J53">_xll.BDH("CMI US Equity","BS_LT_BORROW","FQ2 2020","FQ2 2020","Currency=USD","Period=FQ","BEST_FPERIOD_OVERRIDE=FQ","FILING_STATUS=MR","SCALING_FORMAT=MLN","Sort=A","Dates=H","DateFormat=P","Fill=—","Direction=H","UseDPDF=Y")</f>
        <v>1978</v>
      </c>
      <c r="K53" s="13" cm="1">
        <f t="array" ref="K53">_xll.BDH("CMI US Equity","BS_LT_BORROW","FQ3 2020","FQ3 2020","Currency=USD","Period=FQ","BEST_FPERIOD_OVERRIDE=FQ","FILING_STATUS=MR","SCALING_FORMAT=MLN","Sort=A","Dates=H","DateFormat=P","Fill=—","Direction=H","UseDPDF=Y")</f>
        <v>3931</v>
      </c>
      <c r="L53" s="13" cm="1">
        <f t="array" ref="L53">_xll.BDH("CMI US Equity","BS_LT_BORROW","FQ4 2020","FQ4 2020","Currency=USD","Period=FQ","BEST_FPERIOD_OVERRIDE=FQ","FILING_STATUS=MR","SCALING_FORMAT=MLN","Sort=A","Dates=H","DateFormat=P","Fill=—","Direction=H","UseDPDF=Y")</f>
        <v>3935</v>
      </c>
      <c r="M53" s="13" cm="1">
        <f t="array" ref="M53">_xll.BDH("CMI US Equity","BS_LT_BORROW","FQ1 2021","FQ1 2021","Currency=USD","Period=FQ","BEST_FPERIOD_OVERRIDE=FQ","FILING_STATUS=MR","SCALING_FORMAT=MLN","Sort=A","Dates=H","DateFormat=P","Fill=—","Direction=H","UseDPDF=Y")</f>
        <v>3963</v>
      </c>
      <c r="N53" s="13" cm="1">
        <f t="array" ref="N53">_xll.BDH("CMI US Equity","BS_LT_BORROW","FQ2 2021","FQ2 2021","Currency=USD","Period=FQ","BEST_FPERIOD_OVERRIDE=FQ","FILING_STATUS=MR","SCALING_FORMAT=MLN","Sort=A","Dates=H","DateFormat=P","Fill=—","Direction=H","UseDPDF=Y")</f>
        <v>3952</v>
      </c>
      <c r="O53" s="13" cm="1">
        <f t="array" ref="O53">_xll.BDH("CMI US Equity","BS_LT_BORROW","FQ3 2021","FQ3 2021","Currency=USD","Period=FQ","BEST_FPERIOD_OVERRIDE=FQ","FILING_STATUS=MR","SCALING_FORMAT=MLN","Sort=A","Dates=H","DateFormat=P","Fill=—","Direction=H","UseDPDF=Y")</f>
        <v>3929</v>
      </c>
      <c r="P53" s="13" cm="1">
        <f t="array" ref="P53">_xll.BDH("CMI US Equity","BS_LT_BORROW","FQ4 2021","FQ4 2021","Currency=USD","Period=FQ","BEST_FPERIOD_OVERRIDE=FQ","FILING_STATUS=MR","SCALING_FORMAT=MLN","Sort=A","Dates=H","DateFormat=P","Fill=—","Direction=H","UseDPDF=Y")</f>
        <v>3905</v>
      </c>
      <c r="Q53" s="13" cm="1">
        <f t="array" ref="Q53">_xll.BDH("CMI US Equity","BS_LT_BORROW","FQ1 2022","FQ1 2022","Currency=USD","Period=FQ","BEST_FPERIOD_OVERRIDE=FQ","FILING_STATUS=MR","SCALING_FORMAT=MLN","Sort=A","Dates=H","DateFormat=P","Fill=—","Direction=H","UseDPDF=Y")</f>
        <v>3828</v>
      </c>
      <c r="R53" s="13" cm="1">
        <f t="array" ref="R53">_xll.BDH("CMI US Equity","BS_LT_BORROW","FQ2 2022","FQ2 2022","Currency=USD","Period=FQ","BEST_FPERIOD_OVERRIDE=FQ","FILING_STATUS=MR","SCALING_FORMAT=MLN","Sort=A","Dates=H","DateFormat=P","Fill=—","Direction=H","UseDPDF=Y")</f>
        <v>3805</v>
      </c>
      <c r="S53" s="13" cm="1">
        <f t="array" ref="S53">_xll.BDH("CMI US Equity","BS_LT_BORROW","FQ3 2022","FQ3 2022","Currency=USD","Period=FQ","BEST_FPERIOD_OVERRIDE=FQ","FILING_STATUS=MR","SCALING_FORMAT=MLN","Sort=A","Dates=H","DateFormat=P","Fill=—","Direction=H","UseDPDF=Y")</f>
        <v>5797</v>
      </c>
      <c r="T53" s="13" cm="1">
        <f t="array" ref="T53">_xll.BDH("CMI US Equity","BS_LT_BORROW","FQ4 2022","FQ4 2022","Currency=USD","Period=FQ","BEST_FPERIOD_OVERRIDE=FQ","FILING_STATUS=MR","SCALING_FORMAT=MLN","Sort=A","Dates=H","DateFormat=P","Fill=—","Direction=H","UseDPDF=Y")</f>
        <v>4866</v>
      </c>
      <c r="U53" s="13" cm="1">
        <f t="array" ref="U53">_xll.BDH("CMI US Equity","BS_LT_BORROW","FQ1 2023","FQ1 2023","Currency=USD","Period=FQ","BEST_FPERIOD_OVERRIDE=FQ","FILING_STATUS=MR","SCALING_FORMAT=MLN","Sort=A","Dates=H","DateFormat=P","Fill=—","Direction=H","UseDPDF=Y")</f>
        <v>4773</v>
      </c>
      <c r="V53" s="13" cm="1">
        <f t="array" ref="V53">_xll.BDH("CMI US Equity","BS_LT_BORROW","FQ2 2023","FQ2 2023","Currency=USD","Period=FQ","BEST_FPERIOD_OVERRIDE=FQ","FILING_STATUS=MR","SCALING_FORMAT=MLN","Sort=A","Dates=H","DateFormat=P","Fill=—","Direction=H","UseDPDF=Y")</f>
        <v>5475</v>
      </c>
      <c r="W53" s="13" cm="1">
        <f t="array" ref="W53">_xll.BDH("CMI US Equity","BS_LT_BORROW","FQ3 2023","FQ3 2023","Currency=USD","Period=FQ","BEST_FPERIOD_OVERRIDE=FQ","FILING_STATUS=MR","SCALING_FORMAT=MLN","Sort=A","Dates=H","DateFormat=P","Fill=—","Direction=H","UseDPDF=Y")</f>
        <v>5323</v>
      </c>
      <c r="X53" s="13" cm="1">
        <f t="array" ref="X53">_xll.BDH("CMI US Equity","BS_LT_BORROW","FQ4 2023","FQ4 2023","Currency=USD","Period=FQ","BEST_FPERIOD_OVERRIDE=FQ","FILING_STATUS=MR","SCALING_FORMAT=MLN","Sort=A","Dates=H","DateFormat=P","Fill=—","Direction=H","UseDPDF=Y")</f>
        <v>5176</v>
      </c>
      <c r="Y53" s="13" cm="1">
        <f t="array" ref="Y53">_xll.BDH("CMI US Equity","BS_LT_BORROW","FQ1 2024","FQ1 2024","Currency=USD","Period=FQ","BEST_FPERIOD_OVERRIDE=FQ","FILING_STATUS=MR","SCALING_FORMAT=MLN","Sort=A","Dates=H","DateFormat=P","Fill=—","Direction=H","UseDPDF=Y")</f>
        <v>6103</v>
      </c>
      <c r="Z53" s="13" cm="1">
        <f t="array" ref="Z53">_xll.BDH("CMI US Equity","BS_LT_BORROW","FQ2 2024","FQ2 2024","Currency=USD","Period=FQ","BEST_FPERIOD_OVERRIDE=FQ","FILING_STATUS=MR","SCALING_FORMAT=MLN","Sort=A","Dates=H","DateFormat=P","Fill=—","Direction=H","UseDPDF=Y")</f>
        <v>5759</v>
      </c>
      <c r="AA53" s="13" cm="1">
        <f t="array" ref="AA53">_xll.BDH("CMI US Equity","BS_LT_BORROW","FQ3 2024","FQ3 2024","Currency=USD","Period=FQ","BEST_FPERIOD_OVERRIDE=FQ","FILING_STATUS=MR","SCALING_FORMAT=MLN","Sort=A","Dates=H","DateFormat=P","Fill=—","Direction=H","UseDPDF=Y")</f>
        <v>5249</v>
      </c>
      <c r="AB53" s="13" cm="1">
        <f t="array" ref="AB53">_xll.BDH("CMI US Equity","BS_LT_BORROW","FQ4 2024","FQ4 2024","Currency=USD","Period=FQ","BEST_FPERIOD_OVERRIDE=FQ","FILING_STATUS=MR","SCALING_FORMAT=MLN","Sort=A","Dates=H","DateFormat=P","Fill=—","Direction=H","UseDPDF=Y")</f>
        <v>5193</v>
      </c>
      <c r="AC53" s="13" cm="1">
        <f t="array" ref="AC53">_xll.BDH("CMI US Equity","BS_LT_BORROW","FQ1 2025","FQ1 2025","Currency=USD","Period=FQ","BEST_FPERIOD_OVERRIDE=FQ","FILING_STATUS=MR","SCALING_FORMAT=MLN","Sort=A","Dates=H","DateFormat=P","Fill=—","Direction=H","UseDPDF=Y")</f>
        <v>4796</v>
      </c>
      <c r="AD53" s="13" cm="1">
        <f t="array" ref="AD53">_xll.BDH("CMI US Equity","BS_LT_BORROW","FQ2 2025","FQ2 2025","Currency=USD","Period=FQ","BEST_FPERIOD_OVERRIDE=FQ","FILING_STATUS=MR","SCALING_FORMAT=MLN","Sort=A","Dates=H","DateFormat=P","Fill=—","Direction=H","UseDPDF=Y")</f>
        <v>7240</v>
      </c>
      <c r="AE53" s="13" cm="1">
        <f t="array" ref="AE53">_xll.BDH("CMI US Equity","BS_LT_BORROW","FQ3 2025","FQ3 2025","Currency=USD","Period=FQ","BEST_FPERIOD_OVERRIDE=FQ","FILING_STATUS=MR","SCALING_FORMAT=MLN","Sort=A","Dates=H","DateFormat=P","Fill=—","Direction=H","UseDPDF=Y")</f>
        <v>7252</v>
      </c>
      <c r="AF53" s="13" cm="1">
        <f t="array" ref="AF53">_xll.BDH("CMI US Equity","BS_LT_BORROW","FQ4 2025","FQ4 2025","Currency=USD","Period=FQ","BEST_FPERIOD_OVERRIDE=FQ","FILING_STATUS=MR","SCALING_FORMAT=MLN","Sort=A","Dates=H","DateFormat=P","Fill=—","Direction=H","UseDPDF=Y")</f>
        <v>7216</v>
      </c>
    </row>
    <row r="54" spans="1:32" x14ac:dyDescent="0.25">
      <c r="A54" s="10" t="s">
        <v>155</v>
      </c>
      <c r="B54" s="10" t="s">
        <v>156</v>
      </c>
      <c r="C54" s="13" cm="1">
        <f t="array" ref="C54">_xll.BDH("CMI US Equity","LONG_TERM_BORROWINGS_DETAILED","FQ3 2018","FQ3 2018","Currency=USD","Period=FQ","BEST_FPERIOD_OVERRIDE=FQ","FILING_STATUS=MR","SCALING_FORMAT=MLN","Sort=A","Dates=H","DateFormat=P","Fill=—","Direction=H","UseDPDF=Y")</f>
        <v>1430</v>
      </c>
      <c r="D54" s="13" cm="1">
        <f t="array" ref="D54">_xll.BDH("CMI US Equity","LONG_TERM_BORROWINGS_DETAILED","FQ4 2018","FQ4 2018","Currency=USD","Period=FQ","BEST_FPERIOD_OVERRIDE=FQ","FILING_STATUS=MR","SCALING_FORMAT=MLN","Sort=A","Dates=H","DateFormat=P","Fill=—","Direction=H","UseDPDF=Y")</f>
        <v>1465</v>
      </c>
      <c r="E54" s="13" cm="1">
        <f t="array" ref="E54">_xll.BDH("CMI US Equity","LONG_TERM_BORROWINGS_DETAILED","FQ1 2019","FQ1 2019","Currency=USD","Period=FQ","BEST_FPERIOD_OVERRIDE=FQ","FILING_STATUS=MR","SCALING_FORMAT=MLN","Sort=A","Dates=H","DateFormat=P","Fill=—","Direction=H","UseDPDF=Y")</f>
        <v>1493</v>
      </c>
      <c r="F54" s="13" cm="1">
        <f t="array" ref="F54">_xll.BDH("CMI US Equity","LONG_TERM_BORROWINGS_DETAILED","FQ2 2019","FQ2 2019","Currency=USD","Period=FQ","BEST_FPERIOD_OVERRIDE=FQ","FILING_STATUS=MR","SCALING_FORMAT=MLN","Sort=A","Dates=H","DateFormat=P","Fill=—","Direction=H","UseDPDF=Y")</f>
        <v>1511</v>
      </c>
      <c r="G54" s="13" cm="1">
        <f t="array" ref="G54">_xll.BDH("CMI US Equity","LONG_TERM_BORROWINGS_DETAILED","FQ3 2019","FQ3 2019","Currency=USD","Period=FQ","BEST_FPERIOD_OVERRIDE=FQ","FILING_STATUS=MR","SCALING_FORMAT=MLN","Sort=A","Dates=H","DateFormat=P","Fill=—","Direction=H","UseDPDF=Y")</f>
        <v>1509</v>
      </c>
      <c r="H54" s="13" cm="1">
        <f t="array" ref="H54">_xll.BDH("CMI US Equity","LONG_TERM_BORROWINGS_DETAILED","FQ4 2019","FQ4 2019","Currency=USD","Period=FQ","BEST_FPERIOD_OVERRIDE=FQ","FILING_STATUS=MR","SCALING_FORMAT=MLN","Sort=A","Dates=H","DateFormat=P","Fill=—","Direction=H","UseDPDF=Y")</f>
        <v>1498</v>
      </c>
      <c r="I54" s="13" cm="1">
        <f t="array" ref="I54">_xll.BDH("CMI US Equity","LONG_TERM_BORROWINGS_DETAILED","FQ1 2020","FQ1 2020","Currency=USD","Period=FQ","BEST_FPERIOD_OVERRIDE=FQ","FILING_STATUS=MR","SCALING_FORMAT=MLN","Sort=A","Dates=H","DateFormat=P","Fill=—","Direction=H","UseDPDF=Y")</f>
        <v>1491</v>
      </c>
      <c r="J54" s="13" cm="1">
        <f t="array" ref="J54">_xll.BDH("CMI US Equity","LONG_TERM_BORROWINGS_DETAILED","FQ2 2020","FQ2 2020","Currency=USD","Period=FQ","BEST_FPERIOD_OVERRIDE=FQ","FILING_STATUS=MR","SCALING_FORMAT=MLN","Sort=A","Dates=H","DateFormat=P","Fill=—","Direction=H","UseDPDF=Y")</f>
        <v>1551</v>
      </c>
      <c r="K54" s="13" cm="1">
        <f t="array" ref="K54">_xll.BDH("CMI US Equity","LONG_TERM_BORROWINGS_DETAILED","FQ3 2020","FQ3 2020","Currency=USD","Period=FQ","BEST_FPERIOD_OVERRIDE=FQ","FILING_STATUS=MR","SCALING_FORMAT=MLN","Sort=A","Dates=H","DateFormat=P","Fill=—","Direction=H","UseDPDF=Y")</f>
        <v>3522</v>
      </c>
      <c r="L54" s="13" cm="1">
        <f t="array" ref="L54">_xll.BDH("CMI US Equity","LONG_TERM_BORROWINGS_DETAILED","FQ4 2020","FQ4 2020","Currency=USD","Period=FQ","BEST_FPERIOD_OVERRIDE=FQ","FILING_STATUS=MR","SCALING_FORMAT=MLN","Sort=A","Dates=H","DateFormat=P","Fill=—","Direction=H","UseDPDF=Y")</f>
        <v>3531</v>
      </c>
      <c r="M54" s="13" cm="1">
        <f t="array" ref="M54">_xll.BDH("CMI US Equity","LONG_TERM_BORROWINGS_DETAILED","FQ1 2021","FQ1 2021","Currency=USD","Period=FQ","BEST_FPERIOD_OVERRIDE=FQ","FILING_STATUS=MR","SCALING_FORMAT=MLN","Sort=A","Dates=H","DateFormat=P","Fill=—","Direction=H","UseDPDF=Y")</f>
        <v>3531</v>
      </c>
      <c r="N54" s="13" cm="1">
        <f t="array" ref="N54">_xll.BDH("CMI US Equity","LONG_TERM_BORROWINGS_DETAILED","FQ2 2021","FQ2 2021","Currency=USD","Period=FQ","BEST_FPERIOD_OVERRIDE=FQ","FILING_STATUS=MR","SCALING_FORMAT=MLN","Sort=A","Dates=H","DateFormat=P","Fill=—","Direction=H","UseDPDF=Y")</f>
        <v>3531</v>
      </c>
      <c r="O54" s="13" cm="1">
        <f t="array" ref="O54">_xll.BDH("CMI US Equity","LONG_TERM_BORROWINGS_DETAILED","FQ3 2021","FQ3 2021","Currency=USD","Period=FQ","BEST_FPERIOD_OVERRIDE=FQ","FILING_STATUS=MR","SCALING_FORMAT=MLN","Sort=A","Dates=H","DateFormat=P","Fill=—","Direction=H","UseDPDF=Y")</f>
        <v>3513</v>
      </c>
      <c r="P54" s="13" cm="1">
        <f t="array" ref="P54">_xll.BDH("CMI US Equity","LONG_TERM_BORROWINGS_DETAILED","FQ4 2021","FQ4 2021","Currency=USD","Period=FQ","BEST_FPERIOD_OVERRIDE=FQ","FILING_STATUS=MR","SCALING_FORMAT=MLN","Sort=A","Dates=H","DateFormat=P","Fill=—","Direction=H","UseDPDF=Y")</f>
        <v>3504</v>
      </c>
      <c r="Q54" s="13" cm="1">
        <f t="array" ref="Q54">_xll.BDH("CMI US Equity","LONG_TERM_BORROWINGS_DETAILED","FQ1 2022","FQ1 2022","Currency=USD","Period=FQ","BEST_FPERIOD_OVERRIDE=FQ","FILING_STATUS=MR","SCALING_FORMAT=MLN","Sort=A","Dates=H","DateFormat=P","Fill=—","Direction=H","UseDPDF=Y")</f>
        <v>3415</v>
      </c>
      <c r="R54" s="13" cm="1">
        <f t="array" ref="R54">_xll.BDH("CMI US Equity","LONG_TERM_BORROWINGS_DETAILED","FQ2 2022","FQ2 2022","Currency=USD","Period=FQ","BEST_FPERIOD_OVERRIDE=FQ","FILING_STATUS=MR","SCALING_FORMAT=MLN","Sort=A","Dates=H","DateFormat=P","Fill=—","Direction=H","UseDPDF=Y")</f>
        <v>3407</v>
      </c>
      <c r="S54" s="13" cm="1">
        <f t="array" ref="S54">_xll.BDH("CMI US Equity","LONG_TERM_BORROWINGS_DETAILED","FQ3 2022","FQ3 2022","Currency=USD","Period=FQ","BEST_FPERIOD_OVERRIDE=FQ","FILING_STATUS=MR","SCALING_FORMAT=MLN","Sort=A","Dates=H","DateFormat=P","Fill=—","Direction=H","UseDPDF=Y")</f>
        <v>5341</v>
      </c>
      <c r="T54" s="13" cm="1">
        <f t="array" ref="T54">_xll.BDH("CMI US Equity","LONG_TERM_BORROWINGS_DETAILED","FQ4 2022","FQ4 2022","Currency=USD","Period=FQ","BEST_FPERIOD_OVERRIDE=FQ","FILING_STATUS=MR","SCALING_FORMAT=MLN","Sort=A","Dates=H","DateFormat=P","Fill=—","Direction=H","UseDPDF=Y")</f>
        <v>4417</v>
      </c>
      <c r="U54" s="13" cm="1">
        <f t="array" ref="U54">_xll.BDH("CMI US Equity","LONG_TERM_BORROWINGS_DETAILED","FQ1 2023","FQ1 2023","Currency=USD","Period=FQ","BEST_FPERIOD_OVERRIDE=FQ","FILING_STATUS=MR","SCALING_FORMAT=MLN","Sort=A","Dates=H","DateFormat=P","Fill=—","Direction=H","UseDPDF=Y")</f>
        <v>4298</v>
      </c>
      <c r="V54" s="13" cm="1">
        <f t="array" ref="V54">_xll.BDH("CMI US Equity","LONG_TERM_BORROWINGS_DETAILED","FQ2 2023","FQ2 2023","Currency=USD","Period=FQ","BEST_FPERIOD_OVERRIDE=FQ","FILING_STATUS=MR","SCALING_FORMAT=MLN","Sort=A","Dates=H","DateFormat=P","Fill=—","Direction=H","UseDPDF=Y")</f>
        <v>4978</v>
      </c>
      <c r="W54" s="13" cm="1">
        <f t="array" ref="W54">_xll.BDH("CMI US Equity","LONG_TERM_BORROWINGS_DETAILED","FQ3 2023","FQ3 2023","Currency=USD","Period=FQ","BEST_FPERIOD_OVERRIDE=FQ","FILING_STATUS=MR","SCALING_FORMAT=MLN","Sort=A","Dates=H","DateFormat=P","Fill=—","Direction=H","UseDPDF=Y")</f>
        <v>4850</v>
      </c>
      <c r="X54" s="13" cm="1">
        <f t="array" ref="X54">_xll.BDH("CMI US Equity","LONG_TERM_BORROWINGS_DETAILED","FQ4 2023","FQ4 2023","Currency=USD","Period=FQ","BEST_FPERIOD_OVERRIDE=FQ","FILING_STATUS=MR","SCALING_FORMAT=MLN","Sort=A","Dates=H","DateFormat=P","Fill=—","Direction=H","UseDPDF=Y")</f>
        <v>4708</v>
      </c>
      <c r="Y54" s="13" cm="1">
        <f t="array" ref="Y54">_xll.BDH("CMI US Equity","LONG_TERM_BORROWINGS_DETAILED","FQ1 2024","FQ1 2024","Currency=USD","Period=FQ","BEST_FPERIOD_OVERRIDE=FQ","FILING_STATUS=MR","SCALING_FORMAT=MLN","Sort=A","Dates=H","DateFormat=P","Fill=—","Direction=H","UseDPDF=Y")</f>
        <v>5649</v>
      </c>
      <c r="Z54" s="13" cm="1">
        <f t="array" ref="Z54">_xll.BDH("CMI US Equity","LONG_TERM_BORROWINGS_DETAILED","FQ2 2024","FQ2 2024","Currency=USD","Period=FQ","BEST_FPERIOD_OVERRIDE=FQ","FILING_STATUS=MR","SCALING_FORMAT=MLN","Sort=A","Dates=H","DateFormat=P","Fill=—","Direction=H","UseDPDF=Y")</f>
        <v>5303</v>
      </c>
      <c r="AA54" s="13" cm="1">
        <f t="array" ref="AA54">_xll.BDH("CMI US Equity","LONG_TERM_BORROWINGS_DETAILED","FQ3 2024","FQ3 2024","Currency=USD","Period=FQ","BEST_FPERIOD_OVERRIDE=FQ","FILING_STATUS=MR","SCALING_FORMAT=MLN","Sort=A","Dates=H","DateFormat=P","Fill=—","Direction=H","UseDPDF=Y")</f>
        <v>4732</v>
      </c>
      <c r="AB54" s="13" cm="1">
        <f t="array" ref="AB54">_xll.BDH("CMI US Equity","LONG_TERM_BORROWINGS_DETAILED","FQ4 2024","FQ4 2024","Currency=USD","Period=FQ","BEST_FPERIOD_OVERRIDE=FQ","FILING_STATUS=MR","SCALING_FORMAT=MLN","Sort=A","Dates=H","DateFormat=P","Fill=—","Direction=H","UseDPDF=Y")</f>
        <v>4679</v>
      </c>
      <c r="AC54" s="13" cm="1">
        <f t="array" ref="AC54">_xll.BDH("CMI US Equity","LONG_TERM_BORROWINGS_DETAILED","FQ1 2025","FQ1 2025","Currency=USD","Period=FQ","BEST_FPERIOD_OVERRIDE=FQ","FILING_STATUS=MR","SCALING_FORMAT=MLN","Sort=A","Dates=H","DateFormat=P","Fill=—","Direction=H","UseDPDF=Y")</f>
        <v>4796</v>
      </c>
      <c r="AD54" s="13" cm="1">
        <f t="array" ref="AD54">_xll.BDH("CMI US Equity","LONG_TERM_BORROWINGS_DETAILED","FQ2 2025","FQ2 2025","Currency=USD","Period=FQ","BEST_FPERIOD_OVERRIDE=FQ","FILING_STATUS=MR","SCALING_FORMAT=MLN","Sort=A","Dates=H","DateFormat=P","Fill=—","Direction=H","UseDPDF=Y")</f>
        <v>6807</v>
      </c>
      <c r="AE54" s="13" cm="1">
        <f t="array" ref="AE54">_xll.BDH("CMI US Equity","LONG_TERM_BORROWINGS_DETAILED","FQ3 2025","FQ3 2025","Currency=USD","Period=FQ","BEST_FPERIOD_OVERRIDE=FQ","FILING_STATUS=MR","SCALING_FORMAT=MLN","Sort=A","Dates=H","DateFormat=P","Fill=—","Direction=H","UseDPDF=Y")</f>
        <v>6824</v>
      </c>
      <c r="AF54" s="13" cm="1">
        <f t="array" ref="AF54">_xll.BDH("CMI US Equity","LONG_TERM_BORROWINGS_DETAILED","FQ4 2025","FQ4 2025","Currency=USD","Period=FQ","BEST_FPERIOD_OVERRIDE=FQ","FILING_STATUS=MR","SCALING_FORMAT=MLN","Sort=A","Dates=H","DateFormat=P","Fill=—","Direction=H","UseDPDF=Y")</f>
        <v>6681</v>
      </c>
    </row>
    <row r="55" spans="1:32" x14ac:dyDescent="0.25">
      <c r="A55" s="10" t="s">
        <v>157</v>
      </c>
      <c r="B55" s="10" t="s">
        <v>158</v>
      </c>
      <c r="C55" s="13" cm="1">
        <f t="array" ref="C55">_xll.BDH("CMI US Equity","LT_CAPITALIZED_LEASE_LIABILITIES","FQ3 2018","FQ3 2018","Currency=USD","Period=FQ","BEST_FPERIOD_OVERRIDE=FQ","FILING_STATUS=MR","SCALING_FORMAT=MLN","Sort=A","Dates=H","DateFormat=P","Fill=—","Direction=H","UseDPDF=Y")</f>
        <v>133</v>
      </c>
      <c r="D55" s="13" cm="1">
        <f t="array" ref="D55">_xll.BDH("CMI US Equity","LT_CAPITALIZED_LEASE_LIABILITIES","FQ4 2018","FQ4 2018","Currency=USD","Period=FQ","BEST_FPERIOD_OVERRIDE=FQ","FILING_STATUS=MR","SCALING_FORMAT=MLN","Sort=A","Dates=H","DateFormat=P","Fill=—","Direction=H","UseDPDF=Y")</f>
        <v>132</v>
      </c>
      <c r="E55" s="13" cm="1">
        <f t="array" ref="E55">_xll.BDH("CMI US Equity","LT_CAPITALIZED_LEASE_LIABILITIES","FQ1 2019","FQ1 2019","Currency=USD","Period=FQ","BEST_FPERIOD_OVERRIDE=FQ","FILING_STATUS=MR","SCALING_FORMAT=MLN","Sort=A","Dates=H","DateFormat=P","Fill=—","Direction=H","UseDPDF=Y")</f>
        <v>414</v>
      </c>
      <c r="F55" s="13" cm="1">
        <f t="array" ref="F55">_xll.BDH("CMI US Equity","LT_CAPITALIZED_LEASE_LIABILITIES","FQ2 2019","FQ2 2019","Currency=USD","Period=FQ","BEST_FPERIOD_OVERRIDE=FQ","FILING_STATUS=MR","SCALING_FORMAT=MLN","Sort=A","Dates=H","DateFormat=P","Fill=—","Direction=H","UseDPDF=Y")</f>
        <v>434</v>
      </c>
      <c r="G55" s="13" cm="1">
        <f t="array" ref="G55">_xll.BDH("CMI US Equity","LT_CAPITALIZED_LEASE_LIABILITIES","FQ3 2019","FQ3 2019","Currency=USD","Period=FQ","BEST_FPERIOD_OVERRIDE=FQ","FILING_STATUS=MR","SCALING_FORMAT=MLN","Sort=A","Dates=H","DateFormat=P","Fill=—","Direction=H","UseDPDF=Y")</f>
        <v>443</v>
      </c>
      <c r="H55" s="13" cm="1">
        <f t="array" ref="H55">_xll.BDH("CMI US Equity","LT_CAPITALIZED_LEASE_LIABILITIES","FQ4 2019","FQ4 2019","Currency=USD","Period=FQ","BEST_FPERIOD_OVERRIDE=FQ","FILING_STATUS=MR","SCALING_FORMAT=MLN","Sort=A","Dates=H","DateFormat=P","Fill=—","Direction=H","UseDPDF=Y")</f>
        <v>448</v>
      </c>
      <c r="I55" s="13" cm="1">
        <f t="array" ref="I55">_xll.BDH("CMI US Equity","LT_CAPITALIZED_LEASE_LIABILITIES","FQ1 2020","FQ1 2020","Currency=USD","Period=FQ","BEST_FPERIOD_OVERRIDE=FQ","FILING_STATUS=MR","SCALING_FORMAT=MLN","Sort=A","Dates=H","DateFormat=P","Fill=—","Direction=H","UseDPDF=Y")</f>
        <v>438</v>
      </c>
      <c r="J55" s="13" cm="1">
        <f t="array" ref="J55">_xll.BDH("CMI US Equity","LT_CAPITALIZED_LEASE_LIABILITIES","FQ2 2020","FQ2 2020","Currency=USD","Period=FQ","BEST_FPERIOD_OVERRIDE=FQ","FILING_STATUS=MR","SCALING_FORMAT=MLN","Sort=A","Dates=H","DateFormat=P","Fill=—","Direction=H","UseDPDF=Y")</f>
        <v>427</v>
      </c>
      <c r="K55" s="13" cm="1">
        <f t="array" ref="K55">_xll.BDH("CMI US Equity","LT_CAPITALIZED_LEASE_LIABILITIES","FQ3 2020","FQ3 2020","Currency=USD","Period=FQ","BEST_FPERIOD_OVERRIDE=FQ","FILING_STATUS=MR","SCALING_FORMAT=MLN","Sort=A","Dates=H","DateFormat=P","Fill=—","Direction=H","UseDPDF=Y")</f>
        <v>409</v>
      </c>
      <c r="L55" s="13" cm="1">
        <f t="array" ref="L55">_xll.BDH("CMI US Equity","LT_CAPITALIZED_LEASE_LIABILITIES","FQ4 2020","FQ4 2020","Currency=USD","Period=FQ","BEST_FPERIOD_OVERRIDE=FQ","FILING_STATUS=MR","SCALING_FORMAT=MLN","Sort=A","Dates=H","DateFormat=P","Fill=—","Direction=H","UseDPDF=Y")</f>
        <v>404</v>
      </c>
      <c r="M55" s="13" cm="1">
        <f t="array" ref="M55">_xll.BDH("CMI US Equity","LT_CAPITALIZED_LEASE_LIABILITIES","FQ1 2021","FQ1 2021","Currency=USD","Period=FQ","BEST_FPERIOD_OVERRIDE=FQ","FILING_STATUS=MR","SCALING_FORMAT=MLN","Sort=A","Dates=H","DateFormat=P","Fill=—","Direction=H","UseDPDF=Y")</f>
        <v>432</v>
      </c>
      <c r="N55" s="13" cm="1">
        <f t="array" ref="N55">_xll.BDH("CMI US Equity","LT_CAPITALIZED_LEASE_LIABILITIES","FQ2 2021","FQ2 2021","Currency=USD","Period=FQ","BEST_FPERIOD_OVERRIDE=FQ","FILING_STATUS=MR","SCALING_FORMAT=MLN","Sort=A","Dates=H","DateFormat=P","Fill=—","Direction=H","UseDPDF=Y")</f>
        <v>421</v>
      </c>
      <c r="O55" s="13" cm="1">
        <f t="array" ref="O55">_xll.BDH("CMI US Equity","LT_CAPITALIZED_LEASE_LIABILITIES","FQ3 2021","FQ3 2021","Currency=USD","Period=FQ","BEST_FPERIOD_OVERRIDE=FQ","FILING_STATUS=MR","SCALING_FORMAT=MLN","Sort=A","Dates=H","DateFormat=P","Fill=—","Direction=H","UseDPDF=Y")</f>
        <v>416</v>
      </c>
      <c r="P55" s="13" cm="1">
        <f t="array" ref="P55">_xll.BDH("CMI US Equity","LT_CAPITALIZED_LEASE_LIABILITIES","FQ4 2021","FQ4 2021","Currency=USD","Period=FQ","BEST_FPERIOD_OVERRIDE=FQ","FILING_STATUS=MR","SCALING_FORMAT=MLN","Sort=A","Dates=H","DateFormat=P","Fill=—","Direction=H","UseDPDF=Y")</f>
        <v>401</v>
      </c>
      <c r="Q55" s="13" cm="1">
        <f t="array" ref="Q55">_xll.BDH("CMI US Equity","LT_CAPITALIZED_LEASE_LIABILITIES","FQ1 2022","FQ1 2022","Currency=USD","Period=FQ","BEST_FPERIOD_OVERRIDE=FQ","FILING_STATUS=MR","SCALING_FORMAT=MLN","Sort=A","Dates=H","DateFormat=P","Fill=—","Direction=H","UseDPDF=Y")</f>
        <v>413</v>
      </c>
      <c r="R55" s="13" cm="1">
        <f t="array" ref="R55">_xll.BDH("CMI US Equity","LT_CAPITALIZED_LEASE_LIABILITIES","FQ2 2022","FQ2 2022","Currency=USD","Period=FQ","BEST_FPERIOD_OVERRIDE=FQ","FILING_STATUS=MR","SCALING_FORMAT=MLN","Sort=A","Dates=H","DateFormat=P","Fill=—","Direction=H","UseDPDF=Y")</f>
        <v>398</v>
      </c>
      <c r="S55" s="13" cm="1">
        <f t="array" ref="S55">_xll.BDH("CMI US Equity","LT_CAPITALIZED_LEASE_LIABILITIES","FQ3 2022","FQ3 2022","Currency=USD","Period=FQ","BEST_FPERIOD_OVERRIDE=FQ","FILING_STATUS=MR","SCALING_FORMAT=MLN","Sort=A","Dates=H","DateFormat=P","Fill=—","Direction=H","UseDPDF=Y")</f>
        <v>456</v>
      </c>
      <c r="T55" s="13" cm="1">
        <f t="array" ref="T55">_xll.BDH("CMI US Equity","LT_CAPITALIZED_LEASE_LIABILITIES","FQ4 2022","FQ4 2022","Currency=USD","Period=FQ","BEST_FPERIOD_OVERRIDE=FQ","FILING_STATUS=MR","SCALING_FORMAT=MLN","Sort=A","Dates=H","DateFormat=P","Fill=—","Direction=H","UseDPDF=Y")</f>
        <v>449</v>
      </c>
      <c r="U55" s="13" cm="1">
        <f t="array" ref="U55">_xll.BDH("CMI US Equity","LT_CAPITALIZED_LEASE_LIABILITIES","FQ1 2023","FQ1 2023","Currency=USD","Period=FQ","BEST_FPERIOD_OVERRIDE=FQ","FILING_STATUS=MR","SCALING_FORMAT=MLN","Sort=A","Dates=H","DateFormat=P","Fill=—","Direction=H","UseDPDF=Y")</f>
        <v>475</v>
      </c>
      <c r="V55" s="13" cm="1">
        <f t="array" ref="V55">_xll.BDH("CMI US Equity","LT_CAPITALIZED_LEASE_LIABILITIES","FQ2 2023","FQ2 2023","Currency=USD","Period=FQ","BEST_FPERIOD_OVERRIDE=FQ","FILING_STATUS=MR","SCALING_FORMAT=MLN","Sort=A","Dates=H","DateFormat=P","Fill=—","Direction=H","UseDPDF=Y")</f>
        <v>497</v>
      </c>
      <c r="W55" s="13" cm="1">
        <f t="array" ref="W55">_xll.BDH("CMI US Equity","LT_CAPITALIZED_LEASE_LIABILITIES","FQ3 2023","FQ3 2023","Currency=USD","Period=FQ","BEST_FPERIOD_OVERRIDE=FQ","FILING_STATUS=MR","SCALING_FORMAT=MLN","Sort=A","Dates=H","DateFormat=P","Fill=—","Direction=H","UseDPDF=Y")</f>
        <v>473</v>
      </c>
      <c r="X55" s="13" cm="1">
        <f t="array" ref="X55">_xll.BDH("CMI US Equity","LT_CAPITALIZED_LEASE_LIABILITIES","FQ4 2023","FQ4 2023","Currency=USD","Period=FQ","BEST_FPERIOD_OVERRIDE=FQ","FILING_STATUS=MR","SCALING_FORMAT=MLN","Sort=A","Dates=H","DateFormat=P","Fill=—","Direction=H","UseDPDF=Y")</f>
        <v>468</v>
      </c>
      <c r="Y55" s="13" cm="1">
        <f t="array" ref="Y55">_xll.BDH("CMI US Equity","LT_CAPITALIZED_LEASE_LIABILITIES","FQ1 2024","FQ1 2024","Currency=USD","Period=FQ","BEST_FPERIOD_OVERRIDE=FQ","FILING_STATUS=MR","SCALING_FORMAT=MLN","Sort=A","Dates=H","DateFormat=P","Fill=—","Direction=H","UseDPDF=Y")</f>
        <v>454</v>
      </c>
      <c r="Z55" s="13" cm="1">
        <f t="array" ref="Z55">_xll.BDH("CMI US Equity","LT_CAPITALIZED_LEASE_LIABILITIES","FQ2 2024","FQ2 2024","Currency=USD","Period=FQ","BEST_FPERIOD_OVERRIDE=FQ","FILING_STATUS=MR","SCALING_FORMAT=MLN","Sort=A","Dates=H","DateFormat=P","Fill=—","Direction=H","UseDPDF=Y")</f>
        <v>456</v>
      </c>
      <c r="AA55" s="13" cm="1">
        <f t="array" ref="AA55">_xll.BDH("CMI US Equity","LT_CAPITALIZED_LEASE_LIABILITIES","FQ3 2024","FQ3 2024","Currency=USD","Period=FQ","BEST_FPERIOD_OVERRIDE=FQ","FILING_STATUS=MR","SCALING_FORMAT=MLN","Sort=A","Dates=H","DateFormat=P","Fill=—","Direction=H","UseDPDF=Y")</f>
        <v>517</v>
      </c>
      <c r="AB55" s="13" cm="1">
        <f t="array" ref="AB55">_xll.BDH("CMI US Equity","LT_CAPITALIZED_LEASE_LIABILITIES","FQ4 2024","FQ4 2024","Currency=USD","Period=FQ","BEST_FPERIOD_OVERRIDE=FQ","FILING_STATUS=MR","SCALING_FORMAT=MLN","Sort=A","Dates=H","DateFormat=P","Fill=—","Direction=H","UseDPDF=Y")</f>
        <v>514</v>
      </c>
      <c r="AC55" s="13" t="str" cm="1">
        <f t="array" ref="AC55">_xll.BDH("CMI US Equity","LT_CAPITALIZED_LEASE_LIABILITIES","FQ1 2025","FQ1 2025","Currency=USD","Period=FQ","BEST_FPERIOD_OVERRIDE=FQ","FILING_STATUS=MR","SCALING_FORMAT=MLN","Sort=A","Dates=H","DateFormat=P","Fill=—","Direction=H","UseDPDF=Y")</f>
        <v>—</v>
      </c>
      <c r="AD55" s="13" cm="1">
        <f t="array" ref="AD55">_xll.BDH("CMI US Equity","LT_CAPITALIZED_LEASE_LIABILITIES","FQ2 2025","FQ2 2025","Currency=USD","Period=FQ","BEST_FPERIOD_OVERRIDE=FQ","FILING_STATUS=MR","SCALING_FORMAT=MLN","Sort=A","Dates=H","DateFormat=P","Fill=—","Direction=H","UseDPDF=Y")</f>
        <v>433</v>
      </c>
      <c r="AE55" s="13" cm="1">
        <f t="array" ref="AE55">_xll.BDH("CMI US Equity","LT_CAPITALIZED_LEASE_LIABILITIES","FQ3 2025","FQ3 2025","Currency=USD","Period=FQ","BEST_FPERIOD_OVERRIDE=FQ","FILING_STATUS=MR","SCALING_FORMAT=MLN","Sort=A","Dates=H","DateFormat=P","Fill=—","Direction=H","UseDPDF=Y")</f>
        <v>428</v>
      </c>
      <c r="AF55" s="13" cm="1">
        <f t="array" ref="AF55">_xll.BDH("CMI US Equity","LT_CAPITALIZED_LEASE_LIABILITIES","FQ4 2025","FQ4 2025","Currency=USD","Period=FQ","BEST_FPERIOD_OVERRIDE=FQ","FILING_STATUS=MR","SCALING_FORMAT=MLN","Sort=A","Dates=H","DateFormat=P","Fill=—","Direction=H","UseDPDF=Y")</f>
        <v>535</v>
      </c>
    </row>
    <row r="56" spans="1:32" x14ac:dyDescent="0.25">
      <c r="A56" s="11" t="s">
        <v>159</v>
      </c>
      <c r="B56" s="11" t="s">
        <v>160</v>
      </c>
      <c r="C56" s="17" cm="1">
        <f t="array" ref="C56">_xll.BDH("CMI US Equity","LT_CAPITAL_LEASE_OBLIGATIONS","FQ3 2018","FQ3 2018","Currency=USD","Period=FQ","BEST_FPERIOD_OVERRIDE=FQ","FILING_STATUS=MR","SCALING_FORMAT=MLN","Sort=A","Dates=H","DateFormat=P","Fill=—","Direction=H","UseDPDF=Y")</f>
        <v>133</v>
      </c>
      <c r="D56" s="17" cm="1">
        <f t="array" ref="D56">_xll.BDH("CMI US Equity","LT_CAPITAL_LEASE_OBLIGATIONS","FQ4 2018","FQ4 2018","Currency=USD","Period=FQ","BEST_FPERIOD_OVERRIDE=FQ","FILING_STATUS=MR","SCALING_FORMAT=MLN","Sort=A","Dates=H","DateFormat=P","Fill=—","Direction=H","UseDPDF=Y")</f>
        <v>132</v>
      </c>
      <c r="E56" s="17" cm="1">
        <f t="array" ref="E56">_xll.BDH("CMI US Equity","LT_CAPITAL_LEASE_OBLIGATIONS","FQ1 2019","FQ1 2019","Currency=USD","Period=FQ","BEST_FPERIOD_OVERRIDE=FQ","FILING_STATUS=MR","SCALING_FORMAT=MLN","Sort=A","Dates=H","DateFormat=P","Fill=—","Direction=H","UseDPDF=Y")</f>
        <v>112</v>
      </c>
      <c r="F56" s="17" cm="1">
        <f t="array" ref="F56">_xll.BDH("CMI US Equity","LT_CAPITAL_LEASE_OBLIGATIONS","FQ2 2019","FQ2 2019","Currency=USD","Period=FQ","BEST_FPERIOD_OVERRIDE=FQ","FILING_STATUS=MR","SCALING_FORMAT=MLN","Sort=A","Dates=H","DateFormat=P","Fill=—","Direction=H","UseDPDF=Y")</f>
        <v>113</v>
      </c>
      <c r="G56" s="17" cm="1">
        <f t="array" ref="G56">_xll.BDH("CMI US Equity","LT_CAPITAL_LEASE_OBLIGATIONS","FQ3 2019","FQ3 2019","Currency=USD","Period=FQ","BEST_FPERIOD_OVERRIDE=FQ","FILING_STATUS=MR","SCALING_FORMAT=MLN","Sort=A","Dates=H","DateFormat=P","Fill=—","Direction=H","UseDPDF=Y")</f>
        <v>110</v>
      </c>
      <c r="H56" s="17" cm="1">
        <f t="array" ref="H56">_xll.BDH("CMI US Equity","LT_CAPITAL_LEASE_OBLIGATIONS","FQ4 2019","FQ4 2019","Currency=USD","Period=FQ","BEST_FPERIOD_OVERRIDE=FQ","FILING_STATUS=MR","SCALING_FORMAT=MLN","Sort=A","Dates=H","DateFormat=P","Fill=—","Direction=H","UseDPDF=Y")</f>
        <v>78</v>
      </c>
      <c r="I56" s="17" cm="1">
        <f t="array" ref="I56">_xll.BDH("CMI US Equity","LT_CAPITAL_LEASE_OBLIGATIONS","FQ1 2020","FQ1 2020","Currency=USD","Period=FQ","BEST_FPERIOD_OVERRIDE=FQ","FILING_STATUS=MR","SCALING_FORMAT=MLN","Sort=A","Dates=H","DateFormat=P","Fill=—","Direction=H","UseDPDF=Y")</f>
        <v>89</v>
      </c>
      <c r="J56" s="17" cm="1">
        <f t="array" ref="J56">_xll.BDH("CMI US Equity","LT_CAPITAL_LEASE_OBLIGATIONS","FQ2 2020","FQ2 2020","Currency=USD","Period=FQ","BEST_FPERIOD_OVERRIDE=FQ","FILING_STATUS=MR","SCALING_FORMAT=MLN","Sort=A","Dates=H","DateFormat=P","Fill=—","Direction=H","UseDPDF=Y")</f>
        <v>88</v>
      </c>
      <c r="K56" s="17" cm="1">
        <f t="array" ref="K56">_xll.BDH("CMI US Equity","LT_CAPITAL_LEASE_OBLIGATIONS","FQ3 2020","FQ3 2020","Currency=USD","Period=FQ","BEST_FPERIOD_OVERRIDE=FQ","FILING_STATUS=MR","SCALING_FORMAT=MLN","Sort=A","Dates=H","DateFormat=P","Fill=—","Direction=H","UseDPDF=Y")</f>
        <v>87</v>
      </c>
      <c r="L56" s="17" cm="1">
        <f t="array" ref="L56">_xll.BDH("CMI US Equity","LT_CAPITAL_LEASE_OBLIGATIONS","FQ4 2020","FQ4 2020","Currency=USD","Period=FQ","BEST_FPERIOD_OVERRIDE=FQ","FILING_STATUS=MR","SCALING_FORMAT=MLN","Sort=A","Dates=H","DateFormat=P","Fill=—","Direction=H","UseDPDF=Y")</f>
        <v>79</v>
      </c>
      <c r="M56" s="17" cm="1">
        <f t="array" ref="M56">_xll.BDH("CMI US Equity","LT_CAPITAL_LEASE_OBLIGATIONS","FQ1 2021","FQ1 2021","Currency=USD","Period=FQ","BEST_FPERIOD_OVERRIDE=FQ","FILING_STATUS=MR","SCALING_FORMAT=MLN","Sort=A","Dates=H","DateFormat=P","Fill=—","Direction=H","UseDPDF=Y")</f>
        <v>89</v>
      </c>
      <c r="N56" s="17" cm="1">
        <f t="array" ref="N56">_xll.BDH("CMI US Equity","LT_CAPITAL_LEASE_OBLIGATIONS","FQ2 2021","FQ2 2021","Currency=USD","Period=FQ","BEST_FPERIOD_OVERRIDE=FQ","FILING_STATUS=MR","SCALING_FORMAT=MLN","Sort=A","Dates=H","DateFormat=P","Fill=—","Direction=H","UseDPDF=Y")</f>
        <v>89</v>
      </c>
      <c r="O56" s="17" cm="1">
        <f t="array" ref="O56">_xll.BDH("CMI US Equity","LT_CAPITAL_LEASE_OBLIGATIONS","FQ3 2021","FQ3 2021","Currency=USD","Period=FQ","BEST_FPERIOD_OVERRIDE=FQ","FILING_STATUS=MR","SCALING_FORMAT=MLN","Sort=A","Dates=H","DateFormat=P","Fill=—","Direction=H","UseDPDF=Y")</f>
        <v>89</v>
      </c>
      <c r="P56" s="17" cm="1">
        <f t="array" ref="P56">_xll.BDH("CMI US Equity","LT_CAPITAL_LEASE_OBLIGATIONS","FQ4 2021","FQ4 2021","Currency=USD","Period=FQ","BEST_FPERIOD_OVERRIDE=FQ","FILING_STATUS=MR","SCALING_FORMAT=MLN","Sort=A","Dates=H","DateFormat=P","Fill=—","Direction=H","UseDPDF=Y")</f>
        <v>75</v>
      </c>
      <c r="Q56" s="17" cm="1">
        <f t="array" ref="Q56">_xll.BDH("CMI US Equity","LT_CAPITAL_LEASE_OBLIGATIONS","FQ1 2022","FQ1 2022","Currency=USD","Period=FQ","BEST_FPERIOD_OVERRIDE=FQ","FILING_STATUS=MR","SCALING_FORMAT=MLN","Sort=A","Dates=H","DateFormat=P","Fill=—","Direction=H","UseDPDF=Y")</f>
        <v>87</v>
      </c>
      <c r="R56" s="17" cm="1">
        <f t="array" ref="R56">_xll.BDH("CMI US Equity","LT_CAPITAL_LEASE_OBLIGATIONS","FQ2 2022","FQ2 2022","Currency=USD","Period=FQ","BEST_FPERIOD_OVERRIDE=FQ","FILING_STATUS=MR","SCALING_FORMAT=MLN","Sort=A","Dates=H","DateFormat=P","Fill=—","Direction=H","UseDPDF=Y")</f>
        <v>83</v>
      </c>
      <c r="S56" s="17" cm="1">
        <f t="array" ref="S56">_xll.BDH("CMI US Equity","LT_CAPITAL_LEASE_OBLIGATIONS","FQ3 2022","FQ3 2022","Currency=USD","Period=FQ","BEST_FPERIOD_OVERRIDE=FQ","FILING_STATUS=MR","SCALING_FORMAT=MLN","Sort=A","Dates=H","DateFormat=P","Fill=—","Direction=H","UseDPDF=Y")</f>
        <v>109</v>
      </c>
      <c r="T56" s="17" cm="1">
        <f t="array" ref="T56">_xll.BDH("CMI US Equity","LT_CAPITAL_LEASE_OBLIGATIONS","FQ4 2022","FQ4 2022","Currency=USD","Period=FQ","BEST_FPERIOD_OVERRIDE=FQ","FILING_STATUS=MR","SCALING_FORMAT=MLN","Sort=A","Dates=H","DateFormat=P","Fill=—","Direction=H","UseDPDF=Y")</f>
        <v>81</v>
      </c>
      <c r="U56" s="17" cm="1">
        <f t="array" ref="U56">_xll.BDH("CMI US Equity","LT_CAPITAL_LEASE_OBLIGATIONS","FQ1 2023","FQ1 2023","Currency=USD","Period=FQ","BEST_FPERIOD_OVERRIDE=FQ","FILING_STATUS=MR","SCALING_FORMAT=MLN","Sort=A","Dates=H","DateFormat=P","Fill=—","Direction=H","UseDPDF=Y")</f>
        <v>111</v>
      </c>
      <c r="V56" s="17" cm="1">
        <f t="array" ref="V56">_xll.BDH("CMI US Equity","LT_CAPITAL_LEASE_OBLIGATIONS","FQ2 2023","FQ2 2023","Currency=USD","Period=FQ","BEST_FPERIOD_OVERRIDE=FQ","FILING_STATUS=MR","SCALING_FORMAT=MLN","Sort=A","Dates=H","DateFormat=P","Fill=—","Direction=H","UseDPDF=Y")</f>
        <v>111</v>
      </c>
      <c r="W56" s="17" cm="1">
        <f t="array" ref="W56">_xll.BDH("CMI US Equity","LT_CAPITAL_LEASE_OBLIGATIONS","FQ3 2023","FQ3 2023","Currency=USD","Period=FQ","BEST_FPERIOD_OVERRIDE=FQ","FILING_STATUS=MR","SCALING_FORMAT=MLN","Sort=A","Dates=H","DateFormat=P","Fill=—","Direction=H","UseDPDF=Y")</f>
        <v>100</v>
      </c>
      <c r="X56" s="17" cm="1">
        <f t="array" ref="X56">_xll.BDH("CMI US Equity","LT_CAPITAL_LEASE_OBLIGATIONS","FQ4 2023","FQ4 2023","Currency=USD","Period=FQ","BEST_FPERIOD_OVERRIDE=FQ","FILING_STATUS=MR","SCALING_FORMAT=MLN","Sort=A","Dates=H","DateFormat=P","Fill=—","Direction=H","UseDPDF=Y")</f>
        <v>94</v>
      </c>
      <c r="Y56" s="17" cm="1">
        <f t="array" ref="Y56">_xll.BDH("CMI US Equity","LT_CAPITAL_LEASE_OBLIGATIONS","FQ1 2024","FQ1 2024","Currency=USD","Period=FQ","BEST_FPERIOD_OVERRIDE=FQ","FILING_STATUS=MR","SCALING_FORMAT=MLN","Sort=A","Dates=H","DateFormat=P","Fill=—","Direction=H","UseDPDF=Y")</f>
        <v>122</v>
      </c>
      <c r="Z56" s="17" cm="1">
        <f t="array" ref="Z56">_xll.BDH("CMI US Equity","LT_CAPITAL_LEASE_OBLIGATIONS","FQ2 2024","FQ2 2024","Currency=USD","Period=FQ","BEST_FPERIOD_OVERRIDE=FQ","FILING_STATUS=MR","SCALING_FORMAT=MLN","Sort=A","Dates=H","DateFormat=P","Fill=—","Direction=H","UseDPDF=Y")</f>
        <v>123</v>
      </c>
      <c r="AA56" s="17" cm="1">
        <f t="array" ref="AA56">_xll.BDH("CMI US Equity","LT_CAPITAL_LEASE_OBLIGATIONS","FQ3 2024","FQ3 2024","Currency=USD","Period=FQ","BEST_FPERIOD_OVERRIDE=FQ","FILING_STATUS=MR","SCALING_FORMAT=MLN","Sort=A","Dates=H","DateFormat=P","Fill=—","Direction=H","UseDPDF=Y")</f>
        <v>124</v>
      </c>
      <c r="AB56" s="17" cm="1">
        <f t="array" ref="AB56">_xll.BDH("CMI US Equity","LT_CAPITAL_LEASE_OBLIGATIONS","FQ4 2024","FQ4 2024","Currency=USD","Period=FQ","BEST_FPERIOD_OVERRIDE=FQ","FILING_STATUS=MR","SCALING_FORMAT=MLN","Sort=A","Dates=H","DateFormat=P","Fill=—","Direction=H","UseDPDF=Y")</f>
        <v>105</v>
      </c>
      <c r="AC56" s="17" t="str" cm="1">
        <f t="array" ref="AC56">_xll.BDH("CMI US Equity","LT_CAPITAL_LEASE_OBLIGATIONS","FQ1 2025","FQ1 2025","Currency=USD","Period=FQ","BEST_FPERIOD_OVERRIDE=FQ","FILING_STATUS=MR","SCALING_FORMAT=MLN","Sort=A","Dates=H","DateFormat=P","Fill=—","Direction=H","UseDPDF=Y")</f>
        <v>—</v>
      </c>
      <c r="AD56" s="17" t="str" cm="1">
        <f t="array" ref="AD56">_xll.BDH("CMI US Equity","LT_CAPITAL_LEASE_OBLIGATIONS","FQ2 2025","FQ2 2025","Currency=USD","Period=FQ","BEST_FPERIOD_OVERRIDE=FQ","FILING_STATUS=MR","SCALING_FORMAT=MLN","Sort=A","Dates=H","DateFormat=P","Fill=—","Direction=H","UseDPDF=Y")</f>
        <v>—</v>
      </c>
      <c r="AE56" s="17" t="str" cm="1">
        <f t="array" ref="AE56">_xll.BDH("CMI US Equity","LT_CAPITAL_LEASE_OBLIGATIONS","FQ3 2025","FQ3 2025","Currency=USD","Period=FQ","BEST_FPERIOD_OVERRIDE=FQ","FILING_STATUS=MR","SCALING_FORMAT=MLN","Sort=A","Dates=H","DateFormat=P","Fill=—","Direction=H","UseDPDF=Y")</f>
        <v>—</v>
      </c>
      <c r="AF56" s="17" cm="1">
        <f t="array" ref="AF56">_xll.BDH("CMI US Equity","LT_CAPITAL_LEASE_OBLIGATIONS","FQ4 2025","FQ4 2025","Currency=USD","Period=FQ","BEST_FPERIOD_OVERRIDE=FQ","FILING_STATUS=MR","SCALING_FORMAT=MLN","Sort=A","Dates=H","DateFormat=P","Fill=—","Direction=H","UseDPDF=Y")</f>
        <v>111</v>
      </c>
    </row>
    <row r="57" spans="1:32" x14ac:dyDescent="0.25">
      <c r="A57" s="11" t="s">
        <v>161</v>
      </c>
      <c r="B57" s="11" t="s">
        <v>162</v>
      </c>
      <c r="C57" s="17" t="str" cm="1">
        <f t="array" ref="C57">_xll.BDH("CMI US Equity","BS_LT_OPERATING_LEASE_LIABS","FQ3 2018","FQ3 2018","Currency=USD","Period=FQ","BEST_FPERIOD_OVERRIDE=FQ","FILING_STATUS=MR","SCALING_FORMAT=MLN","Sort=A","Dates=H","DateFormat=P","Fill=—","Direction=H","UseDPDF=Y")</f>
        <v>—</v>
      </c>
      <c r="D57" s="17" t="str" cm="1">
        <f t="array" ref="D57">_xll.BDH("CMI US Equity","BS_LT_OPERATING_LEASE_LIABS","FQ4 2018","FQ4 2018","Currency=USD","Period=FQ","BEST_FPERIOD_OVERRIDE=FQ","FILING_STATUS=MR","SCALING_FORMAT=MLN","Sort=A","Dates=H","DateFormat=P","Fill=—","Direction=H","UseDPDF=Y")</f>
        <v>—</v>
      </c>
      <c r="E57" s="17" cm="1">
        <f t="array" ref="E57">_xll.BDH("CMI US Equity","BS_LT_OPERATING_LEASE_LIABS","FQ1 2019","FQ1 2019","Currency=USD","Period=FQ","BEST_FPERIOD_OVERRIDE=FQ","FILING_STATUS=MR","SCALING_FORMAT=MLN","Sort=A","Dates=H","DateFormat=P","Fill=—","Direction=H","UseDPDF=Y")</f>
        <v>302</v>
      </c>
      <c r="F57" s="17" cm="1">
        <f t="array" ref="F57">_xll.BDH("CMI US Equity","BS_LT_OPERATING_LEASE_LIABS","FQ2 2019","FQ2 2019","Currency=USD","Period=FQ","BEST_FPERIOD_OVERRIDE=FQ","FILING_STATUS=MR","SCALING_FORMAT=MLN","Sort=A","Dates=H","DateFormat=P","Fill=—","Direction=H","UseDPDF=Y")</f>
        <v>321</v>
      </c>
      <c r="G57" s="17" cm="1">
        <f t="array" ref="G57">_xll.BDH("CMI US Equity","BS_LT_OPERATING_LEASE_LIABS","FQ3 2019","FQ3 2019","Currency=USD","Period=FQ","BEST_FPERIOD_OVERRIDE=FQ","FILING_STATUS=MR","SCALING_FORMAT=MLN","Sort=A","Dates=H","DateFormat=P","Fill=—","Direction=H","UseDPDF=Y")</f>
        <v>333</v>
      </c>
      <c r="H57" s="17" cm="1">
        <f t="array" ref="H57">_xll.BDH("CMI US Equity","BS_LT_OPERATING_LEASE_LIABS","FQ4 2019","FQ4 2019","Currency=USD","Period=FQ","BEST_FPERIOD_OVERRIDE=FQ","FILING_STATUS=MR","SCALING_FORMAT=MLN","Sort=A","Dates=H","DateFormat=P","Fill=—","Direction=H","UseDPDF=Y")</f>
        <v>370</v>
      </c>
      <c r="I57" s="17" cm="1">
        <f t="array" ref="I57">_xll.BDH("CMI US Equity","BS_LT_OPERATING_LEASE_LIABS","FQ1 2020","FQ1 2020","Currency=USD","Period=FQ","BEST_FPERIOD_OVERRIDE=FQ","FILING_STATUS=MR","SCALING_FORMAT=MLN","Sort=A","Dates=H","DateFormat=P","Fill=—","Direction=H","UseDPDF=Y")</f>
        <v>349</v>
      </c>
      <c r="J57" s="17" cm="1">
        <f t="array" ref="J57">_xll.BDH("CMI US Equity","BS_LT_OPERATING_LEASE_LIABS","FQ2 2020","FQ2 2020","Currency=USD","Period=FQ","BEST_FPERIOD_OVERRIDE=FQ","FILING_STATUS=MR","SCALING_FORMAT=MLN","Sort=A","Dates=H","DateFormat=P","Fill=—","Direction=H","UseDPDF=Y")</f>
        <v>339</v>
      </c>
      <c r="K57" s="17" cm="1">
        <f t="array" ref="K57">_xll.BDH("CMI US Equity","BS_LT_OPERATING_LEASE_LIABS","FQ3 2020","FQ3 2020","Currency=USD","Period=FQ","BEST_FPERIOD_OVERRIDE=FQ","FILING_STATUS=MR","SCALING_FORMAT=MLN","Sort=A","Dates=H","DateFormat=P","Fill=—","Direction=H","UseDPDF=Y")</f>
        <v>322</v>
      </c>
      <c r="L57" s="17" cm="1">
        <f t="array" ref="L57">_xll.BDH("CMI US Equity","BS_LT_OPERATING_LEASE_LIABS","FQ4 2020","FQ4 2020","Currency=USD","Period=FQ","BEST_FPERIOD_OVERRIDE=FQ","FILING_STATUS=MR","SCALING_FORMAT=MLN","Sort=A","Dates=H","DateFormat=P","Fill=—","Direction=H","UseDPDF=Y")</f>
        <v>325</v>
      </c>
      <c r="M57" s="17" cm="1">
        <f t="array" ref="M57">_xll.BDH("CMI US Equity","BS_LT_OPERATING_LEASE_LIABS","FQ1 2021","FQ1 2021","Currency=USD","Period=FQ","BEST_FPERIOD_OVERRIDE=FQ","FILING_STATUS=MR","SCALING_FORMAT=MLN","Sort=A","Dates=H","DateFormat=P","Fill=—","Direction=H","UseDPDF=Y")</f>
        <v>343</v>
      </c>
      <c r="N57" s="17" cm="1">
        <f t="array" ref="N57">_xll.BDH("CMI US Equity","BS_LT_OPERATING_LEASE_LIABS","FQ2 2021","FQ2 2021","Currency=USD","Period=FQ","BEST_FPERIOD_OVERRIDE=FQ","FILING_STATUS=MR","SCALING_FORMAT=MLN","Sort=A","Dates=H","DateFormat=P","Fill=—","Direction=H","UseDPDF=Y")</f>
        <v>332</v>
      </c>
      <c r="O57" s="17" cm="1">
        <f t="array" ref="O57">_xll.BDH("CMI US Equity","BS_LT_OPERATING_LEASE_LIABS","FQ3 2021","FQ3 2021","Currency=USD","Period=FQ","BEST_FPERIOD_OVERRIDE=FQ","FILING_STATUS=MR","SCALING_FORMAT=MLN","Sort=A","Dates=H","DateFormat=P","Fill=—","Direction=H","UseDPDF=Y")</f>
        <v>327</v>
      </c>
      <c r="P57" s="17" cm="1">
        <f t="array" ref="P57">_xll.BDH("CMI US Equity","BS_LT_OPERATING_LEASE_LIABS","FQ4 2021","FQ4 2021","Currency=USD","Period=FQ","BEST_FPERIOD_OVERRIDE=FQ","FILING_STATUS=MR","SCALING_FORMAT=MLN","Sort=A","Dates=H","DateFormat=P","Fill=—","Direction=H","UseDPDF=Y")</f>
        <v>326</v>
      </c>
      <c r="Q57" s="17" cm="1">
        <f t="array" ref="Q57">_xll.BDH("CMI US Equity","BS_LT_OPERATING_LEASE_LIABS","FQ1 2022","FQ1 2022","Currency=USD","Period=FQ","BEST_FPERIOD_OVERRIDE=FQ","FILING_STATUS=MR","SCALING_FORMAT=MLN","Sort=A","Dates=H","DateFormat=P","Fill=—","Direction=H","UseDPDF=Y")</f>
        <v>326</v>
      </c>
      <c r="R57" s="17" cm="1">
        <f t="array" ref="R57">_xll.BDH("CMI US Equity","BS_LT_OPERATING_LEASE_LIABS","FQ2 2022","FQ2 2022","Currency=USD","Period=FQ","BEST_FPERIOD_OVERRIDE=FQ","FILING_STATUS=MR","SCALING_FORMAT=MLN","Sort=A","Dates=H","DateFormat=P","Fill=—","Direction=H","UseDPDF=Y")</f>
        <v>315</v>
      </c>
      <c r="S57" s="17" cm="1">
        <f t="array" ref="S57">_xll.BDH("CMI US Equity","BS_LT_OPERATING_LEASE_LIABS","FQ3 2022","FQ3 2022","Currency=USD","Period=FQ","BEST_FPERIOD_OVERRIDE=FQ","FILING_STATUS=MR","SCALING_FORMAT=MLN","Sort=A","Dates=H","DateFormat=P","Fill=—","Direction=H","UseDPDF=Y")</f>
        <v>347</v>
      </c>
      <c r="T57" s="17" cm="1">
        <f t="array" ref="T57">_xll.BDH("CMI US Equity","BS_LT_OPERATING_LEASE_LIABS","FQ4 2022","FQ4 2022","Currency=USD","Period=FQ","BEST_FPERIOD_OVERRIDE=FQ","FILING_STATUS=MR","SCALING_FORMAT=MLN","Sort=A","Dates=H","DateFormat=P","Fill=—","Direction=H","UseDPDF=Y")</f>
        <v>368</v>
      </c>
      <c r="U57" s="17" cm="1">
        <f t="array" ref="U57">_xll.BDH("CMI US Equity","BS_LT_OPERATING_LEASE_LIABS","FQ1 2023","FQ1 2023","Currency=USD","Period=FQ","BEST_FPERIOD_OVERRIDE=FQ","FILING_STATUS=MR","SCALING_FORMAT=MLN","Sort=A","Dates=H","DateFormat=P","Fill=—","Direction=H","UseDPDF=Y")</f>
        <v>364</v>
      </c>
      <c r="V57" s="17" cm="1">
        <f t="array" ref="V57">_xll.BDH("CMI US Equity","BS_LT_OPERATING_LEASE_LIABS","FQ2 2023","FQ2 2023","Currency=USD","Period=FQ","BEST_FPERIOD_OVERRIDE=FQ","FILING_STATUS=MR","SCALING_FORMAT=MLN","Sort=A","Dates=H","DateFormat=P","Fill=—","Direction=H","UseDPDF=Y")</f>
        <v>386</v>
      </c>
      <c r="W57" s="17" cm="1">
        <f t="array" ref="W57">_xll.BDH("CMI US Equity","BS_LT_OPERATING_LEASE_LIABS","FQ3 2023","FQ3 2023","Currency=USD","Period=FQ","BEST_FPERIOD_OVERRIDE=FQ","FILING_STATUS=MR","SCALING_FORMAT=MLN","Sort=A","Dates=H","DateFormat=P","Fill=—","Direction=H","UseDPDF=Y")</f>
        <v>373</v>
      </c>
      <c r="X57" s="17" cm="1">
        <f t="array" ref="X57">_xll.BDH("CMI US Equity","BS_LT_OPERATING_LEASE_LIABS","FQ4 2023","FQ4 2023","Currency=USD","Period=FQ","BEST_FPERIOD_OVERRIDE=FQ","FILING_STATUS=MR","SCALING_FORMAT=MLN","Sort=A","Dates=H","DateFormat=P","Fill=—","Direction=H","UseDPDF=Y")</f>
        <v>374</v>
      </c>
      <c r="Y57" s="17" cm="1">
        <f t="array" ref="Y57">_xll.BDH("CMI US Equity","BS_LT_OPERATING_LEASE_LIABS","FQ1 2024","FQ1 2024","Currency=USD","Period=FQ","BEST_FPERIOD_OVERRIDE=FQ","FILING_STATUS=MR","SCALING_FORMAT=MLN","Sort=A","Dates=H","DateFormat=P","Fill=—","Direction=H","UseDPDF=Y")</f>
        <v>332</v>
      </c>
      <c r="Z57" s="17" cm="1">
        <f t="array" ref="Z57">_xll.BDH("CMI US Equity","BS_LT_OPERATING_LEASE_LIABS","FQ2 2024","FQ2 2024","Currency=USD","Period=FQ","BEST_FPERIOD_OVERRIDE=FQ","FILING_STATUS=MR","SCALING_FORMAT=MLN","Sort=A","Dates=H","DateFormat=P","Fill=—","Direction=H","UseDPDF=Y")</f>
        <v>333</v>
      </c>
      <c r="AA57" s="17" cm="1">
        <f t="array" ref="AA57">_xll.BDH("CMI US Equity","BS_LT_OPERATING_LEASE_LIABS","FQ3 2024","FQ3 2024","Currency=USD","Period=FQ","BEST_FPERIOD_OVERRIDE=FQ","FILING_STATUS=MR","SCALING_FORMAT=MLN","Sort=A","Dates=H","DateFormat=P","Fill=—","Direction=H","UseDPDF=Y")</f>
        <v>393</v>
      </c>
      <c r="AB57" s="17" cm="1">
        <f t="array" ref="AB57">_xll.BDH("CMI US Equity","BS_LT_OPERATING_LEASE_LIABS","FQ4 2024","FQ4 2024","Currency=USD","Period=FQ","BEST_FPERIOD_OVERRIDE=FQ","FILING_STATUS=MR","SCALING_FORMAT=MLN","Sort=A","Dates=H","DateFormat=P","Fill=—","Direction=H","UseDPDF=Y")</f>
        <v>409</v>
      </c>
      <c r="AC57" s="17" t="str" cm="1">
        <f t="array" ref="AC57">_xll.BDH("CMI US Equity","BS_LT_OPERATING_LEASE_LIABS","FQ1 2025","FQ1 2025","Currency=USD","Period=FQ","BEST_FPERIOD_OVERRIDE=FQ","FILING_STATUS=MR","SCALING_FORMAT=MLN","Sort=A","Dates=H","DateFormat=P","Fill=—","Direction=H","UseDPDF=Y")</f>
        <v>—</v>
      </c>
      <c r="AD57" s="17" cm="1">
        <f t="array" ref="AD57">_xll.BDH("CMI US Equity","BS_LT_OPERATING_LEASE_LIABS","FQ2 2025","FQ2 2025","Currency=USD","Period=FQ","BEST_FPERIOD_OVERRIDE=FQ","FILING_STATUS=MR","SCALING_FORMAT=MLN","Sort=A","Dates=H","DateFormat=P","Fill=—","Direction=H","UseDPDF=Y")</f>
        <v>433</v>
      </c>
      <c r="AE57" s="17" cm="1">
        <f t="array" ref="AE57">_xll.BDH("CMI US Equity","BS_LT_OPERATING_LEASE_LIABS","FQ3 2025","FQ3 2025","Currency=USD","Period=FQ","BEST_FPERIOD_OVERRIDE=FQ","FILING_STATUS=MR","SCALING_FORMAT=MLN","Sort=A","Dates=H","DateFormat=P","Fill=—","Direction=H","UseDPDF=Y")</f>
        <v>428</v>
      </c>
      <c r="AF57" s="17" cm="1">
        <f t="array" ref="AF57">_xll.BDH("CMI US Equity","BS_LT_OPERATING_LEASE_LIABS","FQ4 2025","FQ4 2025","Currency=USD","Period=FQ","BEST_FPERIOD_OVERRIDE=FQ","FILING_STATUS=MR","SCALING_FORMAT=MLN","Sort=A","Dates=H","DateFormat=P","Fill=—","Direction=H","UseDPDF=Y")</f>
        <v>424</v>
      </c>
    </row>
    <row r="58" spans="1:32" x14ac:dyDescent="0.25">
      <c r="A58" s="10" t="s">
        <v>163</v>
      </c>
      <c r="B58" s="10" t="s">
        <v>164</v>
      </c>
      <c r="C58" s="13" cm="1">
        <f t="array" ref="C58">_xll.BDH("CMI US Equity","OTHER_NONCUR_LIABS_SUB_DETAILED","FQ3 2018","FQ3 2018","Currency=USD","Period=FQ","BEST_FPERIOD_OVERRIDE=FQ","FILING_STATUS=MR","SCALING_FORMAT=MLN","Sort=A","Dates=H","DateFormat=P","Fill=—","Direction=H","UseDPDF=Y")</f>
        <v>2953</v>
      </c>
      <c r="D58" s="13" cm="1">
        <f t="array" ref="D58">_xll.BDH("CMI US Equity","OTHER_NONCUR_LIABS_SUB_DETAILED","FQ4 2018","FQ4 2018","Currency=USD","Period=FQ","BEST_FPERIOD_OVERRIDE=FQ","FILING_STATUS=MR","SCALING_FORMAT=MLN","Sort=A","Dates=H","DateFormat=P","Fill=—","Direction=H","UseDPDF=Y")</f>
        <v>2822</v>
      </c>
      <c r="E58" s="13" cm="1">
        <f t="array" ref="E58">_xll.BDH("CMI US Equity","OTHER_NONCUR_LIABS_SUB_DETAILED","FQ1 2019","FQ1 2019","Currency=USD","Period=FQ","BEST_FPERIOD_OVERRIDE=FQ","FILING_STATUS=MR","SCALING_FORMAT=MLN","Sort=A","Dates=H","DateFormat=P","Fill=—","Direction=H","UseDPDF=Y")</f>
        <v>2785</v>
      </c>
      <c r="F58" s="13" cm="1">
        <f t="array" ref="F58">_xll.BDH("CMI US Equity","OTHER_NONCUR_LIABS_SUB_DETAILED","FQ2 2019","FQ2 2019","Currency=USD","Period=FQ","BEST_FPERIOD_OVERRIDE=FQ","FILING_STATUS=MR","SCALING_FORMAT=MLN","Sort=A","Dates=H","DateFormat=P","Fill=—","Direction=H","UseDPDF=Y")</f>
        <v>2824</v>
      </c>
      <c r="G58" s="13" cm="1">
        <f t="array" ref="G58">_xll.BDH("CMI US Equity","OTHER_NONCUR_LIABS_SUB_DETAILED","FQ3 2019","FQ3 2019","Currency=USD","Period=FQ","BEST_FPERIOD_OVERRIDE=FQ","FILING_STATUS=MR","SCALING_FORMAT=MLN","Sort=A","Dates=H","DateFormat=P","Fill=—","Direction=H","UseDPDF=Y")</f>
        <v>2916</v>
      </c>
      <c r="H58" s="13" cm="1">
        <f t="array" ref="H58">_xll.BDH("CMI US Equity","OTHER_NONCUR_LIABS_SUB_DETAILED","FQ4 2019","FQ4 2019","Currency=USD","Period=FQ","BEST_FPERIOD_OVERRIDE=FQ","FILING_STATUS=MR","SCALING_FORMAT=MLN","Sort=A","Dates=H","DateFormat=P","Fill=—","Direction=H","UseDPDF=Y")</f>
        <v>3066</v>
      </c>
      <c r="I58" s="13" cm="1">
        <f t="array" ref="I58">_xll.BDH("CMI US Equity","OTHER_NONCUR_LIABS_SUB_DETAILED","FQ1 2020","FQ1 2020","Currency=USD","Period=FQ","BEST_FPERIOD_OVERRIDE=FQ","FILING_STATUS=MR","SCALING_FORMAT=MLN","Sort=A","Dates=H","DateFormat=P","Fill=—","Direction=H","UseDPDF=Y")</f>
        <v>3147</v>
      </c>
      <c r="J58" s="13" cm="1">
        <f t="array" ref="J58">_xll.BDH("CMI US Equity","OTHER_NONCUR_LIABS_SUB_DETAILED","FQ2 2020","FQ2 2020","Currency=USD","Period=FQ","BEST_FPERIOD_OVERRIDE=FQ","FILING_STATUS=MR","SCALING_FORMAT=MLN","Sort=A","Dates=H","DateFormat=P","Fill=—","Direction=H","UseDPDF=Y")</f>
        <v>3290</v>
      </c>
      <c r="K58" s="13" cm="1">
        <f t="array" ref="K58">_xll.BDH("CMI US Equity","OTHER_NONCUR_LIABS_SUB_DETAILED","FQ3 2020","FQ3 2020","Currency=USD","Period=FQ","BEST_FPERIOD_OVERRIDE=FQ","FILING_STATUS=MR","SCALING_FORMAT=MLN","Sort=A","Dates=H","DateFormat=P","Fill=—","Direction=H","UseDPDF=Y")</f>
        <v>3287</v>
      </c>
      <c r="L58" s="13" cm="1">
        <f t="array" ref="L58">_xll.BDH("CMI US Equity","OTHER_NONCUR_LIABS_SUB_DETAILED","FQ4 2020","FQ4 2020","Currency=USD","Period=FQ","BEST_FPERIOD_OVERRIDE=FQ","FILING_STATUS=MR","SCALING_FORMAT=MLN","Sort=A","Dates=H","DateFormat=P","Fill=—","Direction=H","UseDPDF=Y")</f>
        <v>3365</v>
      </c>
      <c r="M58" s="13" cm="1">
        <f t="array" ref="M58">_xll.BDH("CMI US Equity","OTHER_NONCUR_LIABS_SUB_DETAILED","FQ1 2021","FQ1 2021","Currency=USD","Period=FQ","BEST_FPERIOD_OVERRIDE=FQ","FILING_STATUS=MR","SCALING_FORMAT=MLN","Sort=A","Dates=H","DateFormat=P","Fill=—","Direction=H","UseDPDF=Y")</f>
        <v>3308</v>
      </c>
      <c r="N58" s="13" cm="1">
        <f t="array" ref="N58">_xll.BDH("CMI US Equity","OTHER_NONCUR_LIABS_SUB_DETAILED","FQ2 2021","FQ2 2021","Currency=USD","Period=FQ","BEST_FPERIOD_OVERRIDE=FQ","FILING_STATUS=MR","SCALING_FORMAT=MLN","Sort=A","Dates=H","DateFormat=P","Fill=—","Direction=H","UseDPDF=Y")</f>
        <v>3259</v>
      </c>
      <c r="O58" s="13" cm="1">
        <f t="array" ref="O58">_xll.BDH("CMI US Equity","OTHER_NONCUR_LIABS_SUB_DETAILED","FQ3 2021","FQ3 2021","Currency=USD","Period=FQ","BEST_FPERIOD_OVERRIDE=FQ","FILING_STATUS=MR","SCALING_FORMAT=MLN","Sort=A","Dates=H","DateFormat=P","Fill=—","Direction=H","UseDPDF=Y")</f>
        <v>3270</v>
      </c>
      <c r="P58" s="13" cm="1">
        <f t="array" ref="P58">_xll.BDH("CMI US Equity","OTHER_NONCUR_LIABS_SUB_DETAILED","FQ4 2021","FQ4 2021","Currency=USD","Period=FQ","BEST_FPERIOD_OVERRIDE=FQ","FILING_STATUS=MR","SCALING_FORMAT=MLN","Sort=A","Dates=H","DateFormat=P","Fill=—","Direction=H","UseDPDF=Y")</f>
        <v>3320</v>
      </c>
      <c r="Q58" s="13" cm="1">
        <f t="array" ref="Q58">_xll.BDH("CMI US Equity","OTHER_NONCUR_LIABS_SUB_DETAILED","FQ1 2022","FQ1 2022","Currency=USD","Period=FQ","BEST_FPERIOD_OVERRIDE=FQ","FILING_STATUS=MR","SCALING_FORMAT=MLN","Sort=A","Dates=H","DateFormat=P","Fill=—","Direction=H","UseDPDF=Y")</f>
        <v>3419</v>
      </c>
      <c r="R58" s="13" cm="1">
        <f t="array" ref="R58">_xll.BDH("CMI US Equity","OTHER_NONCUR_LIABS_SUB_DETAILED","FQ2 2022","FQ2 2022","Currency=USD","Period=FQ","BEST_FPERIOD_OVERRIDE=FQ","FILING_STATUS=MR","SCALING_FORMAT=MLN","Sort=A","Dates=H","DateFormat=P","Fill=—","Direction=H","UseDPDF=Y")</f>
        <v>3346</v>
      </c>
      <c r="S58" s="13" cm="1">
        <f t="array" ref="S58">_xll.BDH("CMI US Equity","OTHER_NONCUR_LIABS_SUB_DETAILED","FQ3 2022","FQ3 2022","Currency=USD","Period=FQ","BEST_FPERIOD_OVERRIDE=FQ","FILING_STATUS=MR","SCALING_FORMAT=MLN","Sort=A","Dates=H","DateFormat=P","Fill=—","Direction=H","UseDPDF=Y")</f>
        <v>3832</v>
      </c>
      <c r="T58" s="13" cm="1">
        <f t="array" ref="T58">_xll.BDH("CMI US Equity","OTHER_NONCUR_LIABS_SUB_DETAILED","FQ4 2022","FQ4 2022","Currency=USD","Period=FQ","BEST_FPERIOD_OVERRIDE=FQ","FILING_STATUS=MR","SCALING_FORMAT=MLN","Sort=A","Dates=H","DateFormat=P","Fill=—","Direction=H","UseDPDF=Y")</f>
        <v>3787</v>
      </c>
      <c r="U58" s="13" cm="1">
        <f t="array" ref="U58">_xll.BDH("CMI US Equity","OTHER_NONCUR_LIABS_SUB_DETAILED","FQ1 2023","FQ1 2023","Currency=USD","Period=FQ","BEST_FPERIOD_OVERRIDE=FQ","FILING_STATUS=MR","SCALING_FORMAT=MLN","Sort=A","Dates=H","DateFormat=P","Fill=—","Direction=H","UseDPDF=Y")</f>
        <v>3856</v>
      </c>
      <c r="V58" s="13" cm="1">
        <f t="array" ref="V58">_xll.BDH("CMI US Equity","OTHER_NONCUR_LIABS_SUB_DETAILED","FQ2 2023","FQ2 2023","Currency=USD","Period=FQ","BEST_FPERIOD_OVERRIDE=FQ","FILING_STATUS=MR","SCALING_FORMAT=MLN","Sort=A","Dates=H","DateFormat=P","Fill=—","Direction=H","UseDPDF=Y")</f>
        <v>3859</v>
      </c>
      <c r="W58" s="13" cm="1">
        <f t="array" ref="W58">_xll.BDH("CMI US Equity","OTHER_NONCUR_LIABS_SUB_DETAILED","FQ3 2023","FQ3 2023","Currency=USD","Period=FQ","BEST_FPERIOD_OVERRIDE=FQ","FILING_STATUS=MR","SCALING_FORMAT=MLN","Sort=A","Dates=H","DateFormat=P","Fill=—","Direction=H","UseDPDF=Y")</f>
        <v>3970</v>
      </c>
      <c r="X58" s="13" cm="1">
        <f t="array" ref="X58">_xll.BDH("CMI US Equity","OTHER_NONCUR_LIABS_SUB_DETAILED","FQ4 2023","FQ4 2023","Currency=USD","Period=FQ","BEST_FPERIOD_OVERRIDE=FQ","FILING_STATUS=MR","SCALING_FORMAT=MLN","Sort=A","Dates=H","DateFormat=P","Fill=—","Direction=H","UseDPDF=Y")</f>
        <v>4022</v>
      </c>
      <c r="Y58" s="13" cm="1">
        <f t="array" ref="Y58">_xll.BDH("CMI US Equity","OTHER_NONCUR_LIABS_SUB_DETAILED","FQ1 2024","FQ1 2024","Currency=USD","Period=FQ","BEST_FPERIOD_OVERRIDE=FQ","FILING_STATUS=MR","SCALING_FORMAT=MLN","Sort=A","Dates=H","DateFormat=P","Fill=—","Direction=H","UseDPDF=Y")</f>
        <v>3937</v>
      </c>
      <c r="Z58" s="13" cm="1">
        <f t="array" ref="Z58">_xll.BDH("CMI US Equity","OTHER_NONCUR_LIABS_SUB_DETAILED","FQ2 2024","FQ2 2024","Currency=USD","Period=FQ","BEST_FPERIOD_OVERRIDE=FQ","FILING_STATUS=MR","SCALING_FORMAT=MLN","Sort=A","Dates=H","DateFormat=P","Fill=—","Direction=H","UseDPDF=Y")</f>
        <v>3841</v>
      </c>
      <c r="AA58" s="13" cm="1">
        <f t="array" ref="AA58">_xll.BDH("CMI US Equity","OTHER_NONCUR_LIABS_SUB_DETAILED","FQ3 2024","FQ3 2024","Currency=USD","Period=FQ","BEST_FPERIOD_OVERRIDE=FQ","FILING_STATUS=MR","SCALING_FORMAT=MLN","Sort=A","Dates=H","DateFormat=P","Fill=—","Direction=H","UseDPDF=Y")</f>
        <v>3859</v>
      </c>
      <c r="AB58" s="13" cm="1">
        <f t="array" ref="AB58">_xll.BDH("CMI US Equity","OTHER_NONCUR_LIABS_SUB_DETAILED","FQ4 2024","FQ4 2024","Currency=USD","Period=FQ","BEST_FPERIOD_OVERRIDE=FQ","FILING_STATUS=MR","SCALING_FORMAT=MLN","Sort=A","Dates=H","DateFormat=P","Fill=—","Direction=H","UseDPDF=Y")</f>
        <v>3805</v>
      </c>
      <c r="AC58" s="13" cm="1">
        <f t="array" ref="AC58">_xll.BDH("CMI US Equity","OTHER_NONCUR_LIABS_SUB_DETAILED","FQ1 2025","FQ1 2025","Currency=USD","Period=FQ","BEST_FPERIOD_OVERRIDE=FQ","FILING_STATUS=MR","SCALING_FORMAT=MLN","Sort=A","Dates=H","DateFormat=P","Fill=—","Direction=H","UseDPDF=Y")</f>
        <v>4189</v>
      </c>
      <c r="AD58" s="13" cm="1">
        <f t="array" ref="AD58">_xll.BDH("CMI US Equity","OTHER_NONCUR_LIABS_SUB_DETAILED","FQ2 2025","FQ2 2025","Currency=USD","Period=FQ","BEST_FPERIOD_OVERRIDE=FQ","FILING_STATUS=MR","SCALING_FORMAT=MLN","Sort=A","Dates=H","DateFormat=P","Fill=—","Direction=H","UseDPDF=Y")</f>
        <v>3831</v>
      </c>
      <c r="AE58" s="13" cm="1">
        <f t="array" ref="AE58">_xll.BDH("CMI US Equity","OTHER_NONCUR_LIABS_SUB_DETAILED","FQ3 2025","FQ3 2025","Currency=USD","Period=FQ","BEST_FPERIOD_OVERRIDE=FQ","FILING_STATUS=MR","SCALING_FORMAT=MLN","Sort=A","Dates=H","DateFormat=P","Fill=—","Direction=H","UseDPDF=Y")</f>
        <v>3834</v>
      </c>
      <c r="AF58" s="13" cm="1">
        <f t="array" ref="AF58">_xll.BDH("CMI US Equity","OTHER_NONCUR_LIABS_SUB_DETAILED","FQ4 2025","FQ4 2025","Currency=USD","Period=FQ","BEST_FPERIOD_OVERRIDE=FQ","FILING_STATUS=MR","SCALING_FORMAT=MLN","Sort=A","Dates=H","DateFormat=P","Fill=—","Direction=H","UseDPDF=Y")</f>
        <v>3758</v>
      </c>
    </row>
    <row r="59" spans="1:32" x14ac:dyDescent="0.25">
      <c r="A59" s="10" t="s">
        <v>165</v>
      </c>
      <c r="B59" s="10" t="s">
        <v>166</v>
      </c>
      <c r="C59" s="13" t="str" cm="1">
        <f t="array" ref="C59">_xll.BDH("CMI US Equity","BS_ACCRUED_LIABILITIES","FQ3 2018","FQ3 2018","Currency=USD","Period=FQ","BEST_FPERIOD_OVERRIDE=FQ","FILING_STATUS=MR","SCALING_FORMAT=MLN","Sort=A","Dates=H","DateFormat=P","Fill=—","Direction=H","UseDPDF=Y")</f>
        <v>—</v>
      </c>
      <c r="D59" s="13" cm="1">
        <f t="array" ref="D59">_xll.BDH("CMI US Equity","BS_ACCRUED_LIABILITIES","FQ4 2018","FQ4 2018","Currency=USD","Period=FQ","BEST_FPERIOD_OVERRIDE=FQ","FILING_STATUS=MR","SCALING_FORMAT=MLN","Sort=A","Dates=H","DateFormat=P","Fill=—","Direction=H","UseDPDF=Y")</f>
        <v>0</v>
      </c>
      <c r="E59" s="13" t="str" cm="1">
        <f t="array" ref="E59">_xll.BDH("CMI US Equity","BS_ACCRUED_LIABILITIES","FQ1 2019","FQ1 2019","Currency=USD","Period=FQ","BEST_FPERIOD_OVERRIDE=FQ","FILING_STATUS=MR","SCALING_FORMAT=MLN","Sort=A","Dates=H","DateFormat=P","Fill=—","Direction=H","UseDPDF=Y")</f>
        <v>—</v>
      </c>
      <c r="F59" s="13" t="str" cm="1">
        <f t="array" ref="F59">_xll.BDH("CMI US Equity","BS_ACCRUED_LIABILITIES","FQ2 2019","FQ2 2019","Currency=USD","Period=FQ","BEST_FPERIOD_OVERRIDE=FQ","FILING_STATUS=MR","SCALING_FORMAT=MLN","Sort=A","Dates=H","DateFormat=P","Fill=—","Direction=H","UseDPDF=Y")</f>
        <v>—</v>
      </c>
      <c r="G59" s="13" t="str" cm="1">
        <f t="array" ref="G59">_xll.BDH("CMI US Equity","BS_ACCRUED_LIABILITIES","FQ3 2019","FQ3 2019","Currency=USD","Period=FQ","BEST_FPERIOD_OVERRIDE=FQ","FILING_STATUS=MR","SCALING_FORMAT=MLN","Sort=A","Dates=H","DateFormat=P","Fill=—","Direction=H","UseDPDF=Y")</f>
        <v>—</v>
      </c>
      <c r="H59" s="13" cm="1">
        <f t="array" ref="H59">_xll.BDH("CMI US Equity","BS_ACCRUED_LIABILITIES","FQ4 2019","FQ4 2019","Currency=USD","Period=FQ","BEST_FPERIOD_OVERRIDE=FQ","FILING_STATUS=MR","SCALING_FORMAT=MLN","Sort=A","Dates=H","DateFormat=P","Fill=—","Direction=H","UseDPDF=Y")</f>
        <v>0</v>
      </c>
      <c r="I59" s="13" t="str" cm="1">
        <f t="array" ref="I59">_xll.BDH("CMI US Equity","BS_ACCRUED_LIABILITIES","FQ1 2020","FQ1 2020","Currency=USD","Period=FQ","BEST_FPERIOD_OVERRIDE=FQ","FILING_STATUS=MR","SCALING_FORMAT=MLN","Sort=A","Dates=H","DateFormat=P","Fill=—","Direction=H","UseDPDF=Y")</f>
        <v>—</v>
      </c>
      <c r="J59" s="13" t="str" cm="1">
        <f t="array" ref="J59">_xll.BDH("CMI US Equity","BS_ACCRUED_LIABILITIES","FQ2 2020","FQ2 2020","Currency=USD","Period=FQ","BEST_FPERIOD_OVERRIDE=FQ","FILING_STATUS=MR","SCALING_FORMAT=MLN","Sort=A","Dates=H","DateFormat=P","Fill=—","Direction=H","UseDPDF=Y")</f>
        <v>—</v>
      </c>
      <c r="K59" s="13" t="str" cm="1">
        <f t="array" ref="K59">_xll.BDH("CMI US Equity","BS_ACCRUED_LIABILITIES","FQ3 2020","FQ3 2020","Currency=USD","Period=FQ","BEST_FPERIOD_OVERRIDE=FQ","FILING_STATUS=MR","SCALING_FORMAT=MLN","Sort=A","Dates=H","DateFormat=P","Fill=—","Direction=H","UseDPDF=Y")</f>
        <v>—</v>
      </c>
      <c r="L59" s="13" cm="1">
        <f t="array" ref="L59">_xll.BDH("CMI US Equity","BS_ACCRUED_LIABILITIES","FQ4 2020","FQ4 2020","Currency=USD","Period=FQ","BEST_FPERIOD_OVERRIDE=FQ","FILING_STATUS=MR","SCALING_FORMAT=MLN","Sort=A","Dates=H","DateFormat=P","Fill=—","Direction=H","UseDPDF=Y")</f>
        <v>0</v>
      </c>
      <c r="M59" s="13" t="str" cm="1">
        <f t="array" ref="M59">_xll.BDH("CMI US Equity","BS_ACCRUED_LIABILITIES","FQ1 2021","FQ1 2021","Currency=USD","Period=FQ","BEST_FPERIOD_OVERRIDE=FQ","FILING_STATUS=MR","SCALING_FORMAT=MLN","Sort=A","Dates=H","DateFormat=P","Fill=—","Direction=H","UseDPDF=Y")</f>
        <v>—</v>
      </c>
      <c r="N59" s="13" cm="1">
        <f t="array" ref="N59">_xll.BDH("CMI US Equity","BS_ACCRUED_LIABILITIES","FQ2 2021","FQ2 2021","Currency=USD","Period=FQ","BEST_FPERIOD_OVERRIDE=FQ","FILING_STATUS=MR","SCALING_FORMAT=MLN","Sort=A","Dates=H","DateFormat=P","Fill=—","Direction=H","UseDPDF=Y")</f>
        <v>674</v>
      </c>
      <c r="O59" s="13" cm="1">
        <f t="array" ref="O59">_xll.BDH("CMI US Equity","BS_ACCRUED_LIABILITIES","FQ3 2021","FQ3 2021","Currency=USD","Period=FQ","BEST_FPERIOD_OVERRIDE=FQ","FILING_STATUS=MR","SCALING_FORMAT=MLN","Sort=A","Dates=H","DateFormat=P","Fill=—","Direction=H","UseDPDF=Y")</f>
        <v>703</v>
      </c>
      <c r="P59" s="13" cm="1">
        <f t="array" ref="P59">_xll.BDH("CMI US Equity","BS_ACCRUED_LIABILITIES","FQ4 2021","FQ4 2021","Currency=USD","Period=FQ","BEST_FPERIOD_OVERRIDE=FQ","FILING_STATUS=MR","SCALING_FORMAT=MLN","Sort=A","Dates=H","DateFormat=P","Fill=—","Direction=H","UseDPDF=Y")</f>
        <v>684</v>
      </c>
      <c r="Q59" s="13" cm="1">
        <f t="array" ref="Q59">_xll.BDH("CMI US Equity","BS_ACCRUED_LIABILITIES","FQ1 2022","FQ1 2022","Currency=USD","Period=FQ","BEST_FPERIOD_OVERRIDE=FQ","FILING_STATUS=MR","SCALING_FORMAT=MLN","Sort=A","Dates=H","DateFormat=P","Fill=—","Direction=H","UseDPDF=Y")</f>
        <v>709</v>
      </c>
      <c r="R59" s="13" cm="1">
        <f t="array" ref="R59">_xll.BDH("CMI US Equity","BS_ACCRUED_LIABILITIES","FQ2 2022","FQ2 2022","Currency=USD","Period=FQ","BEST_FPERIOD_OVERRIDE=FQ","FILING_STATUS=MR","SCALING_FORMAT=MLN","Sort=A","Dates=H","DateFormat=P","Fill=—","Direction=H","UseDPDF=Y")</f>
        <v>714</v>
      </c>
      <c r="S59" s="13" cm="1">
        <f t="array" ref="S59">_xll.BDH("CMI US Equity","BS_ACCRUED_LIABILITIES","FQ3 2022","FQ3 2022","Currency=USD","Period=FQ","BEST_FPERIOD_OVERRIDE=FQ","FILING_STATUS=MR","SCALING_FORMAT=MLN","Sort=A","Dates=H","DateFormat=P","Fill=—","Direction=H","UseDPDF=Y")</f>
        <v>742</v>
      </c>
      <c r="T59" s="13" t="str" cm="1">
        <f t="array" ref="T59">_xll.BDH("CMI US Equity","BS_ACCRUED_LIABILITIES","FQ4 2022","FQ4 2022","Currency=USD","Period=FQ","BEST_FPERIOD_OVERRIDE=FQ","FILING_STATUS=MR","SCALING_FORMAT=MLN","Sort=A","Dates=H","DateFormat=P","Fill=—","Direction=H","UseDPDF=Y")</f>
        <v>—</v>
      </c>
      <c r="U59" s="13" t="str" cm="1">
        <f t="array" ref="U59">_xll.BDH("CMI US Equity","BS_ACCRUED_LIABILITIES","FQ1 2023","FQ1 2023","Currency=USD","Period=FQ","BEST_FPERIOD_OVERRIDE=FQ","FILING_STATUS=MR","SCALING_FORMAT=MLN","Sort=A","Dates=H","DateFormat=P","Fill=—","Direction=H","UseDPDF=Y")</f>
        <v>—</v>
      </c>
      <c r="V59" s="13" t="str" cm="1">
        <f t="array" ref="V59">_xll.BDH("CMI US Equity","BS_ACCRUED_LIABILITIES","FQ2 2023","FQ2 2023","Currency=USD","Period=FQ","BEST_FPERIOD_OVERRIDE=FQ","FILING_STATUS=MR","SCALING_FORMAT=MLN","Sort=A","Dates=H","DateFormat=P","Fill=—","Direction=H","UseDPDF=Y")</f>
        <v>—</v>
      </c>
      <c r="W59" s="13" t="str" cm="1">
        <f t="array" ref="W59">_xll.BDH("CMI US Equity","BS_ACCRUED_LIABILITIES","FQ3 2023","FQ3 2023","Currency=USD","Period=FQ","BEST_FPERIOD_OVERRIDE=FQ","FILING_STATUS=MR","SCALING_FORMAT=MLN","Sort=A","Dates=H","DateFormat=P","Fill=—","Direction=H","UseDPDF=Y")</f>
        <v>—</v>
      </c>
      <c r="X59" s="13" t="str" cm="1">
        <f t="array" ref="X59">_xll.BDH("CMI US Equity","BS_ACCRUED_LIABILITIES","FQ4 2023","FQ4 2023","Currency=USD","Period=FQ","BEST_FPERIOD_OVERRIDE=FQ","FILING_STATUS=MR","SCALING_FORMAT=MLN","Sort=A","Dates=H","DateFormat=P","Fill=—","Direction=H","UseDPDF=Y")</f>
        <v>—</v>
      </c>
      <c r="Y59" s="13" t="str" cm="1">
        <f t="array" ref="Y59">_xll.BDH("CMI US Equity","BS_ACCRUED_LIABILITIES","FQ1 2024","FQ1 2024","Currency=USD","Period=FQ","BEST_FPERIOD_OVERRIDE=FQ","FILING_STATUS=MR","SCALING_FORMAT=MLN","Sort=A","Dates=H","DateFormat=P","Fill=—","Direction=H","UseDPDF=Y")</f>
        <v>—</v>
      </c>
      <c r="Z59" s="13" t="str" cm="1">
        <f t="array" ref="Z59">_xll.BDH("CMI US Equity","BS_ACCRUED_LIABILITIES","FQ2 2024","FQ2 2024","Currency=USD","Period=FQ","BEST_FPERIOD_OVERRIDE=FQ","FILING_STATUS=MR","SCALING_FORMAT=MLN","Sort=A","Dates=H","DateFormat=P","Fill=—","Direction=H","UseDPDF=Y")</f>
        <v>—</v>
      </c>
      <c r="AA59" s="13" t="str" cm="1">
        <f t="array" ref="AA59">_xll.BDH("CMI US Equity","BS_ACCRUED_LIABILITIES","FQ3 2024","FQ3 2024","Currency=USD","Period=FQ","BEST_FPERIOD_OVERRIDE=FQ","FILING_STATUS=MR","SCALING_FORMAT=MLN","Sort=A","Dates=H","DateFormat=P","Fill=—","Direction=H","UseDPDF=Y")</f>
        <v>—</v>
      </c>
      <c r="AB59" s="13" t="str" cm="1">
        <f t="array" ref="AB59">_xll.BDH("CMI US Equity","BS_ACCRUED_LIABILITIES","FQ4 2024","FQ4 2024","Currency=USD","Period=FQ","BEST_FPERIOD_OVERRIDE=FQ","FILING_STATUS=MR","SCALING_FORMAT=MLN","Sort=A","Dates=H","DateFormat=P","Fill=—","Direction=H","UseDPDF=Y")</f>
        <v>—</v>
      </c>
      <c r="AC59" s="13" t="str" cm="1">
        <f t="array" ref="AC59">_xll.BDH("CMI US Equity","BS_ACCRUED_LIABILITIES","FQ1 2025","FQ1 2025","Currency=USD","Period=FQ","BEST_FPERIOD_OVERRIDE=FQ","FILING_STATUS=MR","SCALING_FORMAT=MLN","Sort=A","Dates=H","DateFormat=P","Fill=—","Direction=H","UseDPDF=Y")</f>
        <v>—</v>
      </c>
      <c r="AD59" s="13" t="str" cm="1">
        <f t="array" ref="AD59">_xll.BDH("CMI US Equity","BS_ACCRUED_LIABILITIES","FQ2 2025","FQ2 2025","Currency=USD","Period=FQ","BEST_FPERIOD_OVERRIDE=FQ","FILING_STATUS=MR","SCALING_FORMAT=MLN","Sort=A","Dates=H","DateFormat=P","Fill=—","Direction=H","UseDPDF=Y")</f>
        <v>—</v>
      </c>
      <c r="AE59" s="13" t="str" cm="1">
        <f t="array" ref="AE59">_xll.BDH("CMI US Equity","BS_ACCRUED_LIABILITIES","FQ3 2025","FQ3 2025","Currency=USD","Period=FQ","BEST_FPERIOD_OVERRIDE=FQ","FILING_STATUS=MR","SCALING_FORMAT=MLN","Sort=A","Dates=H","DateFormat=P","Fill=—","Direction=H","UseDPDF=Y")</f>
        <v>—</v>
      </c>
      <c r="AF59" s="13" t="str" cm="1">
        <f t="array" ref="AF59">_xll.BDH("CMI US Equity","BS_ACCRUED_LIABILITIES","FQ4 2025","FQ4 2025","Currency=USD","Period=FQ","BEST_FPERIOD_OVERRIDE=FQ","FILING_STATUS=MR","SCALING_FORMAT=MLN","Sort=A","Dates=H","DateFormat=P","Fill=—","Direction=H","UseDPDF=Y")</f>
        <v>—</v>
      </c>
    </row>
    <row r="60" spans="1:32" x14ac:dyDescent="0.25">
      <c r="A60" s="10" t="s">
        <v>167</v>
      </c>
      <c r="B60" s="10" t="s">
        <v>168</v>
      </c>
      <c r="C60" s="13" cm="1">
        <f t="array" ref="C60">_xll.BDH("CMI US Equity","PENSION_LIABILITIES","FQ3 2018","FQ3 2018","Currency=USD","Period=FQ","BEST_FPERIOD_OVERRIDE=FQ","FILING_STATUS=MR","SCALING_FORMAT=MLN","Sort=A","Dates=H","DateFormat=P","Fill=—","Direction=H","UseDPDF=Y")</f>
        <v>612</v>
      </c>
      <c r="D60" s="13" cm="1">
        <f t="array" ref="D60">_xll.BDH("CMI US Equity","PENSION_LIABILITIES","FQ4 2018","FQ4 2018","Currency=USD","Period=FQ","BEST_FPERIOD_OVERRIDE=FQ","FILING_STATUS=MR","SCALING_FORMAT=MLN","Sort=A","Dates=H","DateFormat=P","Fill=—","Direction=H","UseDPDF=Y")</f>
        <v>532</v>
      </c>
      <c r="E60" s="13" cm="1">
        <f t="array" ref="E60">_xll.BDH("CMI US Equity","PENSION_LIABILITIES","FQ1 2019","FQ1 2019","Currency=USD","Period=FQ","BEST_FPERIOD_OVERRIDE=FQ","FILING_STATUS=MR","SCALING_FORMAT=MLN","Sort=A","Dates=H","DateFormat=P","Fill=—","Direction=H","UseDPDF=Y")</f>
        <v>520</v>
      </c>
      <c r="F60" s="13" cm="1">
        <f t="array" ref="F60">_xll.BDH("CMI US Equity","PENSION_LIABILITIES","FQ2 2019","FQ2 2019","Currency=USD","Period=FQ","BEST_FPERIOD_OVERRIDE=FQ","FILING_STATUS=MR","SCALING_FORMAT=MLN","Sort=A","Dates=H","DateFormat=P","Fill=—","Direction=H","UseDPDF=Y")</f>
        <v>522</v>
      </c>
      <c r="G60" s="13" cm="1">
        <f t="array" ref="G60">_xll.BDH("CMI US Equity","PENSION_LIABILITIES","FQ3 2019","FQ3 2019","Currency=USD","Period=FQ","BEST_FPERIOD_OVERRIDE=FQ","FILING_STATUS=MR","SCALING_FORMAT=MLN","Sort=A","Dates=H","DateFormat=P","Fill=—","Direction=H","UseDPDF=Y")</f>
        <v>521</v>
      </c>
      <c r="H60" s="13" cm="1">
        <f t="array" ref="H60">_xll.BDH("CMI US Equity","PENSION_LIABILITIES","FQ4 2019","FQ4 2019","Currency=USD","Period=FQ","BEST_FPERIOD_OVERRIDE=FQ","FILING_STATUS=MR","SCALING_FORMAT=MLN","Sort=A","Dates=H","DateFormat=P","Fill=—","Direction=H","UseDPDF=Y")</f>
        <v>591</v>
      </c>
      <c r="I60" s="13" cm="1">
        <f t="array" ref="I60">_xll.BDH("CMI US Equity","PENSION_LIABILITIES","FQ1 2020","FQ1 2020","Currency=USD","Period=FQ","BEST_FPERIOD_OVERRIDE=FQ","FILING_STATUS=MR","SCALING_FORMAT=MLN","Sort=A","Dates=H","DateFormat=P","Fill=—","Direction=H","UseDPDF=Y")</f>
        <v>588</v>
      </c>
      <c r="J60" s="13" cm="1">
        <f t="array" ref="J60">_xll.BDH("CMI US Equity","PENSION_LIABILITIES","FQ2 2020","FQ2 2020","Currency=USD","Period=FQ","BEST_FPERIOD_OVERRIDE=FQ","FILING_STATUS=MR","SCALING_FORMAT=MLN","Sort=A","Dates=H","DateFormat=P","Fill=—","Direction=H","UseDPDF=Y")</f>
        <v>578</v>
      </c>
      <c r="K60" s="13" cm="1">
        <f t="array" ref="K60">_xll.BDH("CMI US Equity","PENSION_LIABILITIES","FQ3 2020","FQ3 2020","Currency=USD","Period=FQ","BEST_FPERIOD_OVERRIDE=FQ","FILING_STATUS=MR","SCALING_FORMAT=MLN","Sort=A","Dates=H","DateFormat=P","Fill=—","Direction=H","UseDPDF=Y")</f>
        <v>571</v>
      </c>
      <c r="L60" s="13" cm="1">
        <f t="array" ref="L60">_xll.BDH("CMI US Equity","PENSION_LIABILITIES","FQ4 2020","FQ4 2020","Currency=USD","Period=FQ","BEST_FPERIOD_OVERRIDE=FQ","FILING_STATUS=MR","SCALING_FORMAT=MLN","Sort=A","Dates=H","DateFormat=P","Fill=—","Direction=H","UseDPDF=Y")</f>
        <v>630</v>
      </c>
      <c r="M60" s="13" cm="1">
        <f t="array" ref="M60">_xll.BDH("CMI US Equity","PENSION_LIABILITIES","FQ1 2021","FQ1 2021","Currency=USD","Period=FQ","BEST_FPERIOD_OVERRIDE=FQ","FILING_STATUS=MR","SCALING_FORMAT=MLN","Sort=A","Dates=H","DateFormat=P","Fill=—","Direction=H","UseDPDF=Y")</f>
        <v>621</v>
      </c>
      <c r="N60" s="13" cm="1">
        <f t="array" ref="N60">_xll.BDH("CMI US Equity","PENSION_LIABILITIES","FQ2 2021","FQ2 2021","Currency=USD","Period=FQ","BEST_FPERIOD_OVERRIDE=FQ","FILING_STATUS=MR","SCALING_FORMAT=MLN","Sort=A","Dates=H","DateFormat=P","Fill=—","Direction=H","UseDPDF=Y")</f>
        <v>617</v>
      </c>
      <c r="O60" s="13" cm="1">
        <f t="array" ref="O60">_xll.BDH("CMI US Equity","PENSION_LIABILITIES","FQ3 2021","FQ3 2021","Currency=USD","Period=FQ","BEST_FPERIOD_OVERRIDE=FQ","FILING_STATUS=MR","SCALING_FORMAT=MLN","Sort=A","Dates=H","DateFormat=P","Fill=—","Direction=H","UseDPDF=Y")</f>
        <v>623</v>
      </c>
      <c r="P60" s="13" cm="1">
        <f t="array" ref="P60">_xll.BDH("CMI US Equity","PENSION_LIABILITIES","FQ4 2021","FQ4 2021","Currency=USD","Period=FQ","BEST_FPERIOD_OVERRIDE=FQ","FILING_STATUS=MR","SCALING_FORMAT=MLN","Sort=A","Dates=H","DateFormat=P","Fill=—","Direction=H","UseDPDF=Y")</f>
        <v>604</v>
      </c>
      <c r="Q60" s="13" cm="1">
        <f t="array" ref="Q60">_xll.BDH("CMI US Equity","PENSION_LIABILITIES","FQ1 2022","FQ1 2022","Currency=USD","Period=FQ","BEST_FPERIOD_OVERRIDE=FQ","FILING_STATUS=MR","SCALING_FORMAT=MLN","Sort=A","Dates=H","DateFormat=P","Fill=—","Direction=H","UseDPDF=Y")</f>
        <v>593</v>
      </c>
      <c r="R60" s="13" cm="1">
        <f t="array" ref="R60">_xll.BDH("CMI US Equity","PENSION_LIABILITIES","FQ2 2022","FQ2 2022","Currency=USD","Period=FQ","BEST_FPERIOD_OVERRIDE=FQ","FILING_STATUS=MR","SCALING_FORMAT=MLN","Sort=A","Dates=H","DateFormat=P","Fill=—","Direction=H","UseDPDF=Y")</f>
        <v>589</v>
      </c>
      <c r="S60" s="13" cm="1">
        <f t="array" ref="S60">_xll.BDH("CMI US Equity","PENSION_LIABILITIES","FQ3 2022","FQ3 2022","Currency=USD","Period=FQ","BEST_FPERIOD_OVERRIDE=FQ","FILING_STATUS=MR","SCALING_FORMAT=MLN","Sort=A","Dates=H","DateFormat=P","Fill=—","Direction=H","UseDPDF=Y")</f>
        <v>678</v>
      </c>
      <c r="T60" s="13" t="str" cm="1">
        <f t="array" ref="T60">_xll.BDH("CMI US Equity","PENSION_LIABILITIES","FQ4 2022","FQ4 2022","Currency=USD","Period=FQ","BEST_FPERIOD_OVERRIDE=FQ","FILING_STATUS=MR","SCALING_FORMAT=MLN","Sort=A","Dates=H","DateFormat=P","Fill=—","Direction=H","UseDPDF=Y")</f>
        <v>—</v>
      </c>
      <c r="U60" s="13" t="str" cm="1">
        <f t="array" ref="U60">_xll.BDH("CMI US Equity","PENSION_LIABILITIES","FQ1 2023","FQ1 2023","Currency=USD","Period=FQ","BEST_FPERIOD_OVERRIDE=FQ","FILING_STATUS=MR","SCALING_FORMAT=MLN","Sort=A","Dates=H","DateFormat=P","Fill=—","Direction=H","UseDPDF=Y")</f>
        <v>—</v>
      </c>
      <c r="V60" s="13" t="str" cm="1">
        <f t="array" ref="V60">_xll.BDH("CMI US Equity","PENSION_LIABILITIES","FQ2 2023","FQ2 2023","Currency=USD","Period=FQ","BEST_FPERIOD_OVERRIDE=FQ","FILING_STATUS=MR","SCALING_FORMAT=MLN","Sort=A","Dates=H","DateFormat=P","Fill=—","Direction=H","UseDPDF=Y")</f>
        <v>—</v>
      </c>
      <c r="W60" s="13" t="str" cm="1">
        <f t="array" ref="W60">_xll.BDH("CMI US Equity","PENSION_LIABILITIES","FQ3 2023","FQ3 2023","Currency=USD","Period=FQ","BEST_FPERIOD_OVERRIDE=FQ","FILING_STATUS=MR","SCALING_FORMAT=MLN","Sort=A","Dates=H","DateFormat=P","Fill=—","Direction=H","UseDPDF=Y")</f>
        <v>—</v>
      </c>
      <c r="X60" s="13" t="str" cm="1">
        <f t="array" ref="X60">_xll.BDH("CMI US Equity","PENSION_LIABILITIES","FQ4 2023","FQ4 2023","Currency=USD","Period=FQ","BEST_FPERIOD_OVERRIDE=FQ","FILING_STATUS=MR","SCALING_FORMAT=MLN","Sort=A","Dates=H","DateFormat=P","Fill=—","Direction=H","UseDPDF=Y")</f>
        <v>—</v>
      </c>
      <c r="Y60" s="13" t="str" cm="1">
        <f t="array" ref="Y60">_xll.BDH("CMI US Equity","PENSION_LIABILITIES","FQ1 2024","FQ1 2024","Currency=USD","Period=FQ","BEST_FPERIOD_OVERRIDE=FQ","FILING_STATUS=MR","SCALING_FORMAT=MLN","Sort=A","Dates=H","DateFormat=P","Fill=—","Direction=H","UseDPDF=Y")</f>
        <v>—</v>
      </c>
      <c r="Z60" s="13" t="str" cm="1">
        <f t="array" ref="Z60">_xll.BDH("CMI US Equity","PENSION_LIABILITIES","FQ2 2024","FQ2 2024","Currency=USD","Period=FQ","BEST_FPERIOD_OVERRIDE=FQ","FILING_STATUS=MR","SCALING_FORMAT=MLN","Sort=A","Dates=H","DateFormat=P","Fill=—","Direction=H","UseDPDF=Y")</f>
        <v>—</v>
      </c>
      <c r="AA60" s="13" t="str" cm="1">
        <f t="array" ref="AA60">_xll.BDH("CMI US Equity","PENSION_LIABILITIES","FQ3 2024","FQ3 2024","Currency=USD","Period=FQ","BEST_FPERIOD_OVERRIDE=FQ","FILING_STATUS=MR","SCALING_FORMAT=MLN","Sort=A","Dates=H","DateFormat=P","Fill=—","Direction=H","UseDPDF=Y")</f>
        <v>—</v>
      </c>
      <c r="AB60" s="13" t="str" cm="1">
        <f t="array" ref="AB60">_xll.BDH("CMI US Equity","PENSION_LIABILITIES","FQ4 2024","FQ4 2024","Currency=USD","Period=FQ","BEST_FPERIOD_OVERRIDE=FQ","FILING_STATUS=MR","SCALING_FORMAT=MLN","Sort=A","Dates=H","DateFormat=P","Fill=—","Direction=H","UseDPDF=Y")</f>
        <v>—</v>
      </c>
      <c r="AC60" s="13" t="str" cm="1">
        <f t="array" ref="AC60">_xll.BDH("CMI US Equity","PENSION_LIABILITIES","FQ1 2025","FQ1 2025","Currency=USD","Period=FQ","BEST_FPERIOD_OVERRIDE=FQ","FILING_STATUS=MR","SCALING_FORMAT=MLN","Sort=A","Dates=H","DateFormat=P","Fill=—","Direction=H","UseDPDF=Y")</f>
        <v>—</v>
      </c>
      <c r="AD60" s="13" t="str" cm="1">
        <f t="array" ref="AD60">_xll.BDH("CMI US Equity","PENSION_LIABILITIES","FQ2 2025","FQ2 2025","Currency=USD","Period=FQ","BEST_FPERIOD_OVERRIDE=FQ","FILING_STATUS=MR","SCALING_FORMAT=MLN","Sort=A","Dates=H","DateFormat=P","Fill=—","Direction=H","UseDPDF=Y")</f>
        <v>—</v>
      </c>
      <c r="AE60" s="13" t="str" cm="1">
        <f t="array" ref="AE60">_xll.BDH("CMI US Equity","PENSION_LIABILITIES","FQ3 2025","FQ3 2025","Currency=USD","Period=FQ","BEST_FPERIOD_OVERRIDE=FQ","FILING_STATUS=MR","SCALING_FORMAT=MLN","Sort=A","Dates=H","DateFormat=P","Fill=—","Direction=H","UseDPDF=Y")</f>
        <v>—</v>
      </c>
      <c r="AF60" s="13" t="str" cm="1">
        <f t="array" ref="AF60">_xll.BDH("CMI US Equity","PENSION_LIABILITIES","FQ4 2025","FQ4 2025","Currency=USD","Period=FQ","BEST_FPERIOD_OVERRIDE=FQ","FILING_STATUS=MR","SCALING_FORMAT=MLN","Sort=A","Dates=H","DateFormat=P","Fill=—","Direction=H","UseDPDF=Y")</f>
        <v>—</v>
      </c>
    </row>
    <row r="61" spans="1:32" x14ac:dyDescent="0.25">
      <c r="A61" s="10" t="s">
        <v>145</v>
      </c>
      <c r="B61" s="10" t="s">
        <v>169</v>
      </c>
      <c r="C61" s="13" t="str" cm="1">
        <f t="array" ref="C61">_xll.BDH("CMI US Equity","LT_DEFERRED_REVENUE","FQ3 2018","FQ3 2018","Currency=USD","Period=FQ","BEST_FPERIOD_OVERRIDE=FQ","FILING_STATUS=MR","SCALING_FORMAT=MLN","Sort=A","Dates=H","DateFormat=P","Fill=—","Direction=H","UseDPDF=Y")</f>
        <v>—</v>
      </c>
      <c r="D61" s="13" cm="1">
        <f t="array" ref="D61">_xll.BDH("CMI US Equity","LT_DEFERRED_REVENUE","FQ4 2018","FQ4 2018","Currency=USD","Period=FQ","BEST_FPERIOD_OVERRIDE=FQ","FILING_STATUS=MR","SCALING_FORMAT=MLN","Sort=A","Dates=H","DateFormat=P","Fill=—","Direction=H","UseDPDF=Y")</f>
        <v>658</v>
      </c>
      <c r="E61" s="13" cm="1">
        <f t="array" ref="E61">_xll.BDH("CMI US Equity","LT_DEFERRED_REVENUE","FQ1 2019","FQ1 2019","Currency=USD","Period=FQ","BEST_FPERIOD_OVERRIDE=FQ","FILING_STATUS=MR","SCALING_FORMAT=MLN","Sort=A","Dates=H","DateFormat=P","Fill=—","Direction=H","UseDPDF=Y")</f>
        <v>697</v>
      </c>
      <c r="F61" s="13" cm="1">
        <f t="array" ref="F61">_xll.BDH("CMI US Equity","LT_DEFERRED_REVENUE","FQ2 2019","FQ2 2019","Currency=USD","Period=FQ","BEST_FPERIOD_OVERRIDE=FQ","FILING_STATUS=MR","SCALING_FORMAT=MLN","Sort=A","Dates=H","DateFormat=P","Fill=—","Direction=H","UseDPDF=Y")</f>
        <v>726</v>
      </c>
      <c r="G61" s="13" cm="1">
        <f t="array" ref="G61">_xll.BDH("CMI US Equity","LT_DEFERRED_REVENUE","FQ3 2019","FQ3 2019","Currency=USD","Period=FQ","BEST_FPERIOD_OVERRIDE=FQ","FILING_STATUS=MR","SCALING_FORMAT=MLN","Sort=A","Dates=H","DateFormat=P","Fill=—","Direction=H","UseDPDF=Y")</f>
        <v>769</v>
      </c>
      <c r="H61" s="13" cm="1">
        <f t="array" ref="H61">_xll.BDH("CMI US Equity","LT_DEFERRED_REVENUE","FQ4 2019","FQ4 2019","Currency=USD","Period=FQ","BEST_FPERIOD_OVERRIDE=FQ","FILING_STATUS=MR","SCALING_FORMAT=MLN","Sort=A","Dates=H","DateFormat=P","Fill=—","Direction=H","UseDPDF=Y")</f>
        <v>821</v>
      </c>
      <c r="I61" s="13" cm="1">
        <f t="array" ref="I61">_xll.BDH("CMI US Equity","LT_DEFERRED_REVENUE","FQ1 2020","FQ1 2020","Currency=USD","Period=FQ","BEST_FPERIOD_OVERRIDE=FQ","FILING_STATUS=MR","SCALING_FORMAT=MLN","Sort=A","Dates=H","DateFormat=P","Fill=—","Direction=H","UseDPDF=Y")</f>
        <v>837</v>
      </c>
      <c r="J61" s="13" cm="1">
        <f t="array" ref="J61">_xll.BDH("CMI US Equity","LT_DEFERRED_REVENUE","FQ2 2020","FQ2 2020","Currency=USD","Period=FQ","BEST_FPERIOD_OVERRIDE=FQ","FILING_STATUS=MR","SCALING_FORMAT=MLN","Sort=A","Dates=H","DateFormat=P","Fill=—","Direction=H","UseDPDF=Y")</f>
        <v>829</v>
      </c>
      <c r="K61" s="13" cm="1">
        <f t="array" ref="K61">_xll.BDH("CMI US Equity","LT_DEFERRED_REVENUE","FQ3 2020","FQ3 2020","Currency=USD","Period=FQ","BEST_FPERIOD_OVERRIDE=FQ","FILING_STATUS=MR","SCALING_FORMAT=MLN","Sort=A","Dates=H","DateFormat=P","Fill=—","Direction=H","UseDPDF=Y")</f>
        <v>837</v>
      </c>
      <c r="L61" s="13" cm="1">
        <f t="array" ref="L61">_xll.BDH("CMI US Equity","LT_DEFERRED_REVENUE","FQ4 2020","FQ4 2020","Currency=USD","Period=FQ","BEST_FPERIOD_OVERRIDE=FQ","FILING_STATUS=MR","SCALING_FORMAT=MLN","Sort=A","Dates=H","DateFormat=P","Fill=—","Direction=H","UseDPDF=Y")</f>
        <v>840</v>
      </c>
      <c r="M61" s="13" cm="1">
        <f t="array" ref="M61">_xll.BDH("CMI US Equity","LT_DEFERRED_REVENUE","FQ1 2021","FQ1 2021","Currency=USD","Period=FQ","BEST_FPERIOD_OVERRIDE=FQ","FILING_STATUS=MR","SCALING_FORMAT=MLN","Sort=A","Dates=H","DateFormat=P","Fill=—","Direction=H","UseDPDF=Y")</f>
        <v>828</v>
      </c>
      <c r="N61" s="13" cm="1">
        <f t="array" ref="N61">_xll.BDH("CMI US Equity","LT_DEFERRED_REVENUE","FQ2 2021","FQ2 2021","Currency=USD","Period=FQ","BEST_FPERIOD_OVERRIDE=FQ","FILING_STATUS=MR","SCALING_FORMAT=MLN","Sort=A","Dates=H","DateFormat=P","Fill=—","Direction=H","UseDPDF=Y")</f>
        <v>828</v>
      </c>
      <c r="O61" s="13" cm="1">
        <f t="array" ref="O61">_xll.BDH("CMI US Equity","LT_DEFERRED_REVENUE","FQ3 2021","FQ3 2021","Currency=USD","Period=FQ","BEST_FPERIOD_OVERRIDE=FQ","FILING_STATUS=MR","SCALING_FORMAT=MLN","Sort=A","Dates=H","DateFormat=P","Fill=—","Direction=H","UseDPDF=Y")</f>
        <v>836</v>
      </c>
      <c r="P61" s="13" cm="1">
        <f t="array" ref="P61">_xll.BDH("CMI US Equity","LT_DEFERRED_REVENUE","FQ4 2021","FQ4 2021","Currency=USD","Period=FQ","BEST_FPERIOD_OVERRIDE=FQ","FILING_STATUS=MR","SCALING_FORMAT=MLN","Sort=A","Dates=H","DateFormat=P","Fill=—","Direction=H","UseDPDF=Y")</f>
        <v>850</v>
      </c>
      <c r="Q61" s="13" cm="1">
        <f t="array" ref="Q61">_xll.BDH("CMI US Equity","LT_DEFERRED_REVENUE","FQ1 2022","FQ1 2022","Currency=USD","Period=FQ","BEST_FPERIOD_OVERRIDE=FQ","FILING_STATUS=MR","SCALING_FORMAT=MLN","Sort=A","Dates=H","DateFormat=P","Fill=—","Direction=H","UseDPDF=Y")</f>
        <v>877</v>
      </c>
      <c r="R61" s="13" cm="1">
        <f t="array" ref="R61">_xll.BDH("CMI US Equity","LT_DEFERRED_REVENUE","FQ2 2022","FQ2 2022","Currency=USD","Period=FQ","BEST_FPERIOD_OVERRIDE=FQ","FILING_STATUS=MR","SCALING_FORMAT=MLN","Sort=A","Dates=H","DateFormat=P","Fill=—","Direction=H","UseDPDF=Y")</f>
        <v>852</v>
      </c>
      <c r="S61" s="13" cm="1">
        <f t="array" ref="S61">_xll.BDH("CMI US Equity","LT_DEFERRED_REVENUE","FQ3 2022","FQ3 2022","Currency=USD","Period=FQ","BEST_FPERIOD_OVERRIDE=FQ","FILING_STATUS=MR","SCALING_FORMAT=MLN","Sort=A","Dates=H","DateFormat=P","Fill=—","Direction=H","UseDPDF=Y")</f>
        <v>867</v>
      </c>
      <c r="T61" s="13" cm="1">
        <f t="array" ref="T61">_xll.BDH("CMI US Equity","LT_DEFERRED_REVENUE","FQ4 2022","FQ4 2022","Currency=USD","Period=FQ","BEST_FPERIOD_OVERRIDE=FQ","FILING_STATUS=MR","SCALING_FORMAT=MLN","Sort=A","Dates=H","DateFormat=P","Fill=—","Direction=H","UseDPDF=Y")</f>
        <v>844</v>
      </c>
      <c r="U61" s="13" cm="1">
        <f t="array" ref="U61">_xll.BDH("CMI US Equity","LT_DEFERRED_REVENUE","FQ1 2023","FQ1 2023","Currency=USD","Period=FQ","BEST_FPERIOD_OVERRIDE=FQ","FILING_STATUS=MR","SCALING_FORMAT=MLN","Sort=A","Dates=H","DateFormat=P","Fill=—","Direction=H","UseDPDF=Y")</f>
        <v>937</v>
      </c>
      <c r="V61" s="13" cm="1">
        <f t="array" ref="V61">_xll.BDH("CMI US Equity","LT_DEFERRED_REVENUE","FQ2 2023","FQ2 2023","Currency=USD","Period=FQ","BEST_FPERIOD_OVERRIDE=FQ","FILING_STATUS=MR","SCALING_FORMAT=MLN","Sort=A","Dates=H","DateFormat=P","Fill=—","Direction=H","UseDPDF=Y")</f>
        <v>939</v>
      </c>
      <c r="W61" s="13" cm="1">
        <f t="array" ref="W61">_xll.BDH("CMI US Equity","LT_DEFERRED_REVENUE","FQ3 2023","FQ3 2023","Currency=USD","Period=FQ","BEST_FPERIOD_OVERRIDE=FQ","FILING_STATUS=MR","SCALING_FORMAT=MLN","Sort=A","Dates=H","DateFormat=P","Fill=—","Direction=H","UseDPDF=Y")</f>
        <v>1011</v>
      </c>
      <c r="X61" s="13" cm="1">
        <f t="array" ref="X61">_xll.BDH("CMI US Equity","LT_DEFERRED_REVENUE","FQ4 2023","FQ4 2023","Currency=USD","Period=FQ","BEST_FPERIOD_OVERRIDE=FQ","FILING_STATUS=MR","SCALING_FORMAT=MLN","Sort=A","Dates=H","DateFormat=P","Fill=—","Direction=H","UseDPDF=Y")</f>
        <v>966</v>
      </c>
      <c r="Y61" s="13" cm="1">
        <f t="array" ref="Y61">_xll.BDH("CMI US Equity","LT_DEFERRED_REVENUE","FQ1 2024","FQ1 2024","Currency=USD","Period=FQ","BEST_FPERIOD_OVERRIDE=FQ","FILING_STATUS=MR","SCALING_FORMAT=MLN","Sort=A","Dates=H","DateFormat=P","Fill=—","Direction=H","UseDPDF=Y")</f>
        <v>1061</v>
      </c>
      <c r="Z61" s="13" cm="1">
        <f t="array" ref="Z61">_xll.BDH("CMI US Equity","LT_DEFERRED_REVENUE","FQ2 2024","FQ2 2024","Currency=USD","Period=FQ","BEST_FPERIOD_OVERRIDE=FQ","FILING_STATUS=MR","SCALING_FORMAT=MLN","Sort=A","Dates=H","DateFormat=P","Fill=—","Direction=H","UseDPDF=Y")</f>
        <v>1046</v>
      </c>
      <c r="AA61" s="13" cm="1">
        <f t="array" ref="AA61">_xll.BDH("CMI US Equity","LT_DEFERRED_REVENUE","FQ3 2024","FQ3 2024","Currency=USD","Period=FQ","BEST_FPERIOD_OVERRIDE=FQ","FILING_STATUS=MR","SCALING_FORMAT=MLN","Sort=A","Dates=H","DateFormat=P","Fill=—","Direction=H","UseDPDF=Y")</f>
        <v>1090</v>
      </c>
      <c r="AB61" s="13" cm="1">
        <f t="array" ref="AB61">_xll.BDH("CMI US Equity","LT_DEFERRED_REVENUE","FQ4 2024","FQ4 2024","Currency=USD","Period=FQ","BEST_FPERIOD_OVERRIDE=FQ","FILING_STATUS=MR","SCALING_FORMAT=MLN","Sort=A","Dates=H","DateFormat=P","Fill=—","Direction=H","UseDPDF=Y")</f>
        <v>1065</v>
      </c>
      <c r="AC61" s="13" cm="1">
        <f t="array" ref="AC61">_xll.BDH("CMI US Equity","LT_DEFERRED_REVENUE","FQ1 2025","FQ1 2025","Currency=USD","Period=FQ","BEST_FPERIOD_OVERRIDE=FQ","FILING_STATUS=MR","SCALING_FORMAT=MLN","Sort=A","Dates=H","DateFormat=P","Fill=—","Direction=H","UseDPDF=Y")</f>
        <v>1053</v>
      </c>
      <c r="AD61" s="13" cm="1">
        <f t="array" ref="AD61">_xll.BDH("CMI US Equity","LT_DEFERRED_REVENUE","FQ2 2025","FQ2 2025","Currency=USD","Period=FQ","BEST_FPERIOD_OVERRIDE=FQ","FILING_STATUS=MR","SCALING_FORMAT=MLN","Sort=A","Dates=H","DateFormat=P","Fill=—","Direction=H","UseDPDF=Y")</f>
        <v>1059</v>
      </c>
      <c r="AE61" s="13" cm="1">
        <f t="array" ref="AE61">_xll.BDH("CMI US Equity","LT_DEFERRED_REVENUE","FQ3 2025","FQ3 2025","Currency=USD","Period=FQ","BEST_FPERIOD_OVERRIDE=FQ","FILING_STATUS=MR","SCALING_FORMAT=MLN","Sort=A","Dates=H","DateFormat=P","Fill=—","Direction=H","UseDPDF=Y")</f>
        <v>1119</v>
      </c>
      <c r="AF61" s="13" cm="1">
        <f t="array" ref="AF61">_xll.BDH("CMI US Equity","LT_DEFERRED_REVENUE","FQ4 2025","FQ4 2025","Currency=USD","Period=FQ","BEST_FPERIOD_OVERRIDE=FQ","FILING_STATUS=MR","SCALING_FORMAT=MLN","Sort=A","Dates=H","DateFormat=P","Fill=—","Direction=H","UseDPDF=Y")</f>
        <v>1054</v>
      </c>
    </row>
    <row r="62" spans="1:32" x14ac:dyDescent="0.25">
      <c r="A62" s="10" t="s">
        <v>147</v>
      </c>
      <c r="B62" s="10" t="s">
        <v>170</v>
      </c>
      <c r="C62" s="13" t="str" cm="1">
        <f t="array" ref="C62">_xll.BDH("CMI US Equity","BS_DERIV_HEDGING_LIAB_LT","FQ3 2018","FQ3 2018","Currency=USD","Period=FQ","BEST_FPERIOD_OVERRIDE=FQ","FILING_STATUS=MR","SCALING_FORMAT=MLN","Sort=A","Dates=H","DateFormat=P","Fill=—","Direction=H","UseDPDF=Y")</f>
        <v>—</v>
      </c>
      <c r="D62" s="13" t="str" cm="1">
        <f t="array" ref="D62">_xll.BDH("CMI US Equity","BS_DERIV_HEDGING_LIAB_LT","FQ4 2018","FQ4 2018","Currency=USD","Period=FQ","BEST_FPERIOD_OVERRIDE=FQ","FILING_STATUS=MR","SCALING_FORMAT=MLN","Sort=A","Dates=H","DateFormat=P","Fill=—","Direction=H","UseDPDF=Y")</f>
        <v>—</v>
      </c>
      <c r="E62" s="13" t="str" cm="1">
        <f t="array" ref="E62">_xll.BDH("CMI US Equity","BS_DERIV_HEDGING_LIAB_LT","FQ1 2019","FQ1 2019","Currency=USD","Period=FQ","BEST_FPERIOD_OVERRIDE=FQ","FILING_STATUS=MR","SCALING_FORMAT=MLN","Sort=A","Dates=H","DateFormat=P","Fill=—","Direction=H","UseDPDF=Y")</f>
        <v>—</v>
      </c>
      <c r="F62" s="13" t="str" cm="1">
        <f t="array" ref="F62">_xll.BDH("CMI US Equity","BS_DERIV_HEDGING_LIAB_LT","FQ2 2019","FQ2 2019","Currency=USD","Period=FQ","BEST_FPERIOD_OVERRIDE=FQ","FILING_STATUS=MR","SCALING_FORMAT=MLN","Sort=A","Dates=H","DateFormat=P","Fill=—","Direction=H","UseDPDF=Y")</f>
        <v>—</v>
      </c>
      <c r="G62" s="13" t="str" cm="1">
        <f t="array" ref="G62">_xll.BDH("CMI US Equity","BS_DERIV_HEDGING_LIAB_LT","FQ3 2019","FQ3 2019","Currency=USD","Period=FQ","BEST_FPERIOD_OVERRIDE=FQ","FILING_STATUS=MR","SCALING_FORMAT=MLN","Sort=A","Dates=H","DateFormat=P","Fill=—","Direction=H","UseDPDF=Y")</f>
        <v>—</v>
      </c>
      <c r="H62" s="13" cm="1">
        <f t="array" ref="H62">_xll.BDH("CMI US Equity","BS_DERIV_HEDGING_LIAB_LT","FQ4 2019","FQ4 2019","Currency=USD","Period=FQ","BEST_FPERIOD_OVERRIDE=FQ","FILING_STATUS=MR","SCALING_FORMAT=MLN","Sort=A","Dates=H","DateFormat=P","Fill=—","Direction=H","UseDPDF=Y")</f>
        <v>0</v>
      </c>
      <c r="I62" s="13" t="str" cm="1">
        <f t="array" ref="I62">_xll.BDH("CMI US Equity","BS_DERIV_HEDGING_LIAB_LT","FQ1 2020","FQ1 2020","Currency=USD","Period=FQ","BEST_FPERIOD_OVERRIDE=FQ","FILING_STATUS=MR","SCALING_FORMAT=MLN","Sort=A","Dates=H","DateFormat=P","Fill=—","Direction=H","UseDPDF=Y")</f>
        <v>—</v>
      </c>
      <c r="J62" s="13" t="str" cm="1">
        <f t="array" ref="J62">_xll.BDH("CMI US Equity","BS_DERIV_HEDGING_LIAB_LT","FQ2 2020","FQ2 2020","Currency=USD","Period=FQ","BEST_FPERIOD_OVERRIDE=FQ","FILING_STATUS=MR","SCALING_FORMAT=MLN","Sort=A","Dates=H","DateFormat=P","Fill=—","Direction=H","UseDPDF=Y")</f>
        <v>—</v>
      </c>
      <c r="K62" s="13" t="str" cm="1">
        <f t="array" ref="K62">_xll.BDH("CMI US Equity","BS_DERIV_HEDGING_LIAB_LT","FQ3 2020","FQ3 2020","Currency=USD","Period=FQ","BEST_FPERIOD_OVERRIDE=FQ","FILING_STATUS=MR","SCALING_FORMAT=MLN","Sort=A","Dates=H","DateFormat=P","Fill=—","Direction=H","UseDPDF=Y")</f>
        <v>—</v>
      </c>
      <c r="L62" s="13" t="str" cm="1">
        <f t="array" ref="L62">_xll.BDH("CMI US Equity","BS_DERIV_HEDGING_LIAB_LT","FQ4 2020","FQ4 2020","Currency=USD","Period=FQ","BEST_FPERIOD_OVERRIDE=FQ","FILING_STATUS=MR","SCALING_FORMAT=MLN","Sort=A","Dates=H","DateFormat=P","Fill=—","Direction=H","UseDPDF=Y")</f>
        <v>—</v>
      </c>
      <c r="M62" s="13" t="str" cm="1">
        <f t="array" ref="M62">_xll.BDH("CMI US Equity","BS_DERIV_HEDGING_LIAB_LT","FQ1 2021","FQ1 2021","Currency=USD","Period=FQ","BEST_FPERIOD_OVERRIDE=FQ","FILING_STATUS=MR","SCALING_FORMAT=MLN","Sort=A","Dates=H","DateFormat=P","Fill=—","Direction=H","UseDPDF=Y")</f>
        <v>—</v>
      </c>
      <c r="N62" s="13" t="str" cm="1">
        <f t="array" ref="N62">_xll.BDH("CMI US Equity","BS_DERIV_HEDGING_LIAB_LT","FQ2 2021","FQ2 2021","Currency=USD","Period=FQ","BEST_FPERIOD_OVERRIDE=FQ","FILING_STATUS=MR","SCALING_FORMAT=MLN","Sort=A","Dates=H","DateFormat=P","Fill=—","Direction=H","UseDPDF=Y")</f>
        <v>—</v>
      </c>
      <c r="O62" s="13" t="str" cm="1">
        <f t="array" ref="O62">_xll.BDH("CMI US Equity","BS_DERIV_HEDGING_LIAB_LT","FQ3 2021","FQ3 2021","Currency=USD","Period=FQ","BEST_FPERIOD_OVERRIDE=FQ","FILING_STATUS=MR","SCALING_FORMAT=MLN","Sort=A","Dates=H","DateFormat=P","Fill=—","Direction=H","UseDPDF=Y")</f>
        <v>—</v>
      </c>
      <c r="P62" s="13" t="str" cm="1">
        <f t="array" ref="P62">_xll.BDH("CMI US Equity","BS_DERIV_HEDGING_LIAB_LT","FQ4 2021","FQ4 2021","Currency=USD","Period=FQ","BEST_FPERIOD_OVERRIDE=FQ","FILING_STATUS=MR","SCALING_FORMAT=MLN","Sort=A","Dates=H","DateFormat=P","Fill=—","Direction=H","UseDPDF=Y")</f>
        <v>—</v>
      </c>
      <c r="Q62" s="13" t="str" cm="1">
        <f t="array" ref="Q62">_xll.BDH("CMI US Equity","BS_DERIV_HEDGING_LIAB_LT","FQ1 2022","FQ1 2022","Currency=USD","Period=FQ","BEST_FPERIOD_OVERRIDE=FQ","FILING_STATUS=MR","SCALING_FORMAT=MLN","Sort=A","Dates=H","DateFormat=P","Fill=—","Direction=H","UseDPDF=Y")</f>
        <v>—</v>
      </c>
      <c r="R62" s="13" t="str" cm="1">
        <f t="array" ref="R62">_xll.BDH("CMI US Equity","BS_DERIV_HEDGING_LIAB_LT","FQ2 2022","FQ2 2022","Currency=USD","Period=FQ","BEST_FPERIOD_OVERRIDE=FQ","FILING_STATUS=MR","SCALING_FORMAT=MLN","Sort=A","Dates=H","DateFormat=P","Fill=—","Direction=H","UseDPDF=Y")</f>
        <v>—</v>
      </c>
      <c r="S62" s="13" t="str" cm="1">
        <f t="array" ref="S62">_xll.BDH("CMI US Equity","BS_DERIV_HEDGING_LIAB_LT","FQ3 2022","FQ3 2022","Currency=USD","Period=FQ","BEST_FPERIOD_OVERRIDE=FQ","FILING_STATUS=MR","SCALING_FORMAT=MLN","Sort=A","Dates=H","DateFormat=P","Fill=—","Direction=H","UseDPDF=Y")</f>
        <v>—</v>
      </c>
      <c r="T62" s="13" t="str" cm="1">
        <f t="array" ref="T62">_xll.BDH("CMI US Equity","BS_DERIV_HEDGING_LIAB_LT","FQ4 2022","FQ4 2022","Currency=USD","Period=FQ","BEST_FPERIOD_OVERRIDE=FQ","FILING_STATUS=MR","SCALING_FORMAT=MLN","Sort=A","Dates=H","DateFormat=P","Fill=—","Direction=H","UseDPDF=Y")</f>
        <v>—</v>
      </c>
      <c r="U62" s="13" t="str" cm="1">
        <f t="array" ref="U62">_xll.BDH("CMI US Equity","BS_DERIV_HEDGING_LIAB_LT","FQ1 2023","FQ1 2023","Currency=USD","Period=FQ","BEST_FPERIOD_OVERRIDE=FQ","FILING_STATUS=MR","SCALING_FORMAT=MLN","Sort=A","Dates=H","DateFormat=P","Fill=—","Direction=H","UseDPDF=Y")</f>
        <v>—</v>
      </c>
      <c r="V62" s="13" t="str" cm="1">
        <f t="array" ref="V62">_xll.BDH("CMI US Equity","BS_DERIV_HEDGING_LIAB_LT","FQ2 2023","FQ2 2023","Currency=USD","Period=FQ","BEST_FPERIOD_OVERRIDE=FQ","FILING_STATUS=MR","SCALING_FORMAT=MLN","Sort=A","Dates=H","DateFormat=P","Fill=—","Direction=H","UseDPDF=Y")</f>
        <v>—</v>
      </c>
      <c r="W62" s="13" t="str" cm="1">
        <f t="array" ref="W62">_xll.BDH("CMI US Equity","BS_DERIV_HEDGING_LIAB_LT","FQ3 2023","FQ3 2023","Currency=USD","Period=FQ","BEST_FPERIOD_OVERRIDE=FQ","FILING_STATUS=MR","SCALING_FORMAT=MLN","Sort=A","Dates=H","DateFormat=P","Fill=—","Direction=H","UseDPDF=Y")</f>
        <v>—</v>
      </c>
      <c r="X62" s="13" t="str" cm="1">
        <f t="array" ref="X62">_xll.BDH("CMI US Equity","BS_DERIV_HEDGING_LIAB_LT","FQ4 2023","FQ4 2023","Currency=USD","Period=FQ","BEST_FPERIOD_OVERRIDE=FQ","FILING_STATUS=MR","SCALING_FORMAT=MLN","Sort=A","Dates=H","DateFormat=P","Fill=—","Direction=H","UseDPDF=Y")</f>
        <v>—</v>
      </c>
      <c r="Y62" s="13" t="str" cm="1">
        <f t="array" ref="Y62">_xll.BDH("CMI US Equity","BS_DERIV_HEDGING_LIAB_LT","FQ1 2024","FQ1 2024","Currency=USD","Period=FQ","BEST_FPERIOD_OVERRIDE=FQ","FILING_STATUS=MR","SCALING_FORMAT=MLN","Sort=A","Dates=H","DateFormat=P","Fill=—","Direction=H","UseDPDF=Y")</f>
        <v>—</v>
      </c>
      <c r="Z62" s="13" t="str" cm="1">
        <f t="array" ref="Z62">_xll.BDH("CMI US Equity","BS_DERIV_HEDGING_LIAB_LT","FQ2 2024","FQ2 2024","Currency=USD","Period=FQ","BEST_FPERIOD_OVERRIDE=FQ","FILING_STATUS=MR","SCALING_FORMAT=MLN","Sort=A","Dates=H","DateFormat=P","Fill=—","Direction=H","UseDPDF=Y")</f>
        <v>—</v>
      </c>
      <c r="AA62" s="13" t="str" cm="1">
        <f t="array" ref="AA62">_xll.BDH("CMI US Equity","BS_DERIV_HEDGING_LIAB_LT","FQ3 2024","FQ3 2024","Currency=USD","Period=FQ","BEST_FPERIOD_OVERRIDE=FQ","FILING_STATUS=MR","SCALING_FORMAT=MLN","Sort=A","Dates=H","DateFormat=P","Fill=—","Direction=H","UseDPDF=Y")</f>
        <v>—</v>
      </c>
      <c r="AB62" s="13" t="str" cm="1">
        <f t="array" ref="AB62">_xll.BDH("CMI US Equity","BS_DERIV_HEDGING_LIAB_LT","FQ4 2024","FQ4 2024","Currency=USD","Period=FQ","BEST_FPERIOD_OVERRIDE=FQ","FILING_STATUS=MR","SCALING_FORMAT=MLN","Sort=A","Dates=H","DateFormat=P","Fill=—","Direction=H","UseDPDF=Y")</f>
        <v>—</v>
      </c>
      <c r="AC62" s="13" t="str" cm="1">
        <f t="array" ref="AC62">_xll.BDH("CMI US Equity","BS_DERIV_HEDGING_LIAB_LT","FQ1 2025","FQ1 2025","Currency=USD","Period=FQ","BEST_FPERIOD_OVERRIDE=FQ","FILING_STATUS=MR","SCALING_FORMAT=MLN","Sort=A","Dates=H","DateFormat=P","Fill=—","Direction=H","UseDPDF=Y")</f>
        <v>—</v>
      </c>
      <c r="AD62" s="13" t="str" cm="1">
        <f t="array" ref="AD62">_xll.BDH("CMI US Equity","BS_DERIV_HEDGING_LIAB_LT","FQ2 2025","FQ2 2025","Currency=USD","Period=FQ","BEST_FPERIOD_OVERRIDE=FQ","FILING_STATUS=MR","SCALING_FORMAT=MLN","Sort=A","Dates=H","DateFormat=P","Fill=—","Direction=H","UseDPDF=Y")</f>
        <v>—</v>
      </c>
      <c r="AE62" s="13" t="str" cm="1">
        <f t="array" ref="AE62">_xll.BDH("CMI US Equity","BS_DERIV_HEDGING_LIAB_LT","FQ3 2025","FQ3 2025","Currency=USD","Period=FQ","BEST_FPERIOD_OVERRIDE=FQ","FILING_STATUS=MR","SCALING_FORMAT=MLN","Sort=A","Dates=H","DateFormat=P","Fill=—","Direction=H","UseDPDF=Y")</f>
        <v>—</v>
      </c>
      <c r="AF62" s="13" t="str" cm="1">
        <f t="array" ref="AF62">_xll.BDH("CMI US Equity","BS_DERIV_HEDGING_LIAB_LT","FQ4 2025","FQ4 2025","Currency=USD","Period=FQ","BEST_FPERIOD_OVERRIDE=FQ","FILING_STATUS=MR","SCALING_FORMAT=MLN","Sort=A","Dates=H","DateFormat=P","Fill=—","Direction=H","UseDPDF=Y")</f>
        <v>—</v>
      </c>
    </row>
    <row r="63" spans="1:32" x14ac:dyDescent="0.25">
      <c r="A63" s="10" t="s">
        <v>171</v>
      </c>
      <c r="B63" s="10" t="s">
        <v>172</v>
      </c>
      <c r="C63" s="13" cm="1">
        <f t="array" ref="C63">_xll.BDH("CMI US Equity","OTHER_NONCURRENT_LIABS_DETAILED","FQ3 2018","FQ3 2018","Currency=USD","Period=FQ","BEST_FPERIOD_OVERRIDE=FQ","FILING_STATUS=MR","SCALING_FORMAT=MLN","Sort=A","Dates=H","DateFormat=P","Fill=—","Direction=H","UseDPDF=Y")</f>
        <v>2341</v>
      </c>
      <c r="D63" s="13" cm="1">
        <f t="array" ref="D63">_xll.BDH("CMI US Equity","OTHER_NONCURRENT_LIABS_DETAILED","FQ4 2018","FQ4 2018","Currency=USD","Period=FQ","BEST_FPERIOD_OVERRIDE=FQ","FILING_STATUS=MR","SCALING_FORMAT=MLN","Sort=A","Dates=H","DateFormat=P","Fill=—","Direction=H","UseDPDF=Y")</f>
        <v>1632</v>
      </c>
      <c r="E63" s="13" cm="1">
        <f t="array" ref="E63">_xll.BDH("CMI US Equity","OTHER_NONCURRENT_LIABS_DETAILED","FQ1 2019","FQ1 2019","Currency=USD","Period=FQ","BEST_FPERIOD_OVERRIDE=FQ","FILING_STATUS=MR","SCALING_FORMAT=MLN","Sort=A","Dates=H","DateFormat=P","Fill=—","Direction=H","UseDPDF=Y")</f>
        <v>1568</v>
      </c>
      <c r="F63" s="13" cm="1">
        <f t="array" ref="F63">_xll.BDH("CMI US Equity","OTHER_NONCURRENT_LIABS_DETAILED","FQ2 2019","FQ2 2019","Currency=USD","Period=FQ","BEST_FPERIOD_OVERRIDE=FQ","FILING_STATUS=MR","SCALING_FORMAT=MLN","Sort=A","Dates=H","DateFormat=P","Fill=—","Direction=H","UseDPDF=Y")</f>
        <v>1576</v>
      </c>
      <c r="G63" s="13" cm="1">
        <f t="array" ref="G63">_xll.BDH("CMI US Equity","OTHER_NONCURRENT_LIABS_DETAILED","FQ3 2019","FQ3 2019","Currency=USD","Period=FQ","BEST_FPERIOD_OVERRIDE=FQ","FILING_STATUS=MR","SCALING_FORMAT=MLN","Sort=A","Dates=H","DateFormat=P","Fill=—","Direction=H","UseDPDF=Y")</f>
        <v>1626</v>
      </c>
      <c r="H63" s="13" cm="1">
        <f t="array" ref="H63">_xll.BDH("CMI US Equity","OTHER_NONCURRENT_LIABS_DETAILED","FQ4 2019","FQ4 2019","Currency=USD","Period=FQ","BEST_FPERIOD_OVERRIDE=FQ","FILING_STATUS=MR","SCALING_FORMAT=MLN","Sort=A","Dates=H","DateFormat=P","Fill=—","Direction=H","UseDPDF=Y")</f>
        <v>1654</v>
      </c>
      <c r="I63" s="13" cm="1">
        <f t="array" ref="I63">_xll.BDH("CMI US Equity","OTHER_NONCURRENT_LIABS_DETAILED","FQ1 2020","FQ1 2020","Currency=USD","Period=FQ","BEST_FPERIOD_OVERRIDE=FQ","FILING_STATUS=MR","SCALING_FORMAT=MLN","Sort=A","Dates=H","DateFormat=P","Fill=—","Direction=H","UseDPDF=Y")</f>
        <v>1722</v>
      </c>
      <c r="J63" s="13" cm="1">
        <f t="array" ref="J63">_xll.BDH("CMI US Equity","OTHER_NONCURRENT_LIABS_DETAILED","FQ2 2020","FQ2 2020","Currency=USD","Period=FQ","BEST_FPERIOD_OVERRIDE=FQ","FILING_STATUS=MR","SCALING_FORMAT=MLN","Sort=A","Dates=H","DateFormat=P","Fill=—","Direction=H","UseDPDF=Y")</f>
        <v>1883</v>
      </c>
      <c r="K63" s="13" cm="1">
        <f t="array" ref="K63">_xll.BDH("CMI US Equity","OTHER_NONCURRENT_LIABS_DETAILED","FQ3 2020","FQ3 2020","Currency=USD","Period=FQ","BEST_FPERIOD_OVERRIDE=FQ","FILING_STATUS=MR","SCALING_FORMAT=MLN","Sort=A","Dates=H","DateFormat=P","Fill=—","Direction=H","UseDPDF=Y")</f>
        <v>1879</v>
      </c>
      <c r="L63" s="13" cm="1">
        <f t="array" ref="L63">_xll.BDH("CMI US Equity","OTHER_NONCURRENT_LIABS_DETAILED","FQ4 2020","FQ4 2020","Currency=USD","Period=FQ","BEST_FPERIOD_OVERRIDE=FQ","FILING_STATUS=MR","SCALING_FORMAT=MLN","Sort=A","Dates=H","DateFormat=P","Fill=—","Direction=H","UseDPDF=Y")</f>
        <v>1895</v>
      </c>
      <c r="M63" s="13" cm="1">
        <f t="array" ref="M63">_xll.BDH("CMI US Equity","OTHER_NONCURRENT_LIABS_DETAILED","FQ1 2021","FQ1 2021","Currency=USD","Period=FQ","BEST_FPERIOD_OVERRIDE=FQ","FILING_STATUS=MR","SCALING_FORMAT=MLN","Sort=A","Dates=H","DateFormat=P","Fill=—","Direction=H","UseDPDF=Y")</f>
        <v>1859</v>
      </c>
      <c r="N63" s="13" cm="1">
        <f t="array" ref="N63">_xll.BDH("CMI US Equity","OTHER_NONCURRENT_LIABS_DETAILED","FQ2 2021","FQ2 2021","Currency=USD","Period=FQ","BEST_FPERIOD_OVERRIDE=FQ","FILING_STATUS=MR","SCALING_FORMAT=MLN","Sort=A","Dates=H","DateFormat=P","Fill=—","Direction=H","UseDPDF=Y")</f>
        <v>1140</v>
      </c>
      <c r="O63" s="13" cm="1">
        <f t="array" ref="O63">_xll.BDH("CMI US Equity","OTHER_NONCURRENT_LIABS_DETAILED","FQ3 2021","FQ3 2021","Currency=USD","Period=FQ","BEST_FPERIOD_OVERRIDE=FQ","FILING_STATUS=MR","SCALING_FORMAT=MLN","Sort=A","Dates=H","DateFormat=P","Fill=—","Direction=H","UseDPDF=Y")</f>
        <v>1108</v>
      </c>
      <c r="P63" s="13" cm="1">
        <f t="array" ref="P63">_xll.BDH("CMI US Equity","OTHER_NONCURRENT_LIABS_DETAILED","FQ4 2021","FQ4 2021","Currency=USD","Period=FQ","BEST_FPERIOD_OVERRIDE=FQ","FILING_STATUS=MR","SCALING_FORMAT=MLN","Sort=A","Dates=H","DateFormat=P","Fill=—","Direction=H","UseDPDF=Y")</f>
        <v>1182</v>
      </c>
      <c r="Q63" s="13" cm="1">
        <f t="array" ref="Q63">_xll.BDH("CMI US Equity","OTHER_NONCURRENT_LIABS_DETAILED","FQ1 2022","FQ1 2022","Currency=USD","Period=FQ","BEST_FPERIOD_OVERRIDE=FQ","FILING_STATUS=MR","SCALING_FORMAT=MLN","Sort=A","Dates=H","DateFormat=P","Fill=—","Direction=H","UseDPDF=Y")</f>
        <v>1240</v>
      </c>
      <c r="R63" s="13" cm="1">
        <f t="array" ref="R63">_xll.BDH("CMI US Equity","OTHER_NONCURRENT_LIABS_DETAILED","FQ2 2022","FQ2 2022","Currency=USD","Period=FQ","BEST_FPERIOD_OVERRIDE=FQ","FILING_STATUS=MR","SCALING_FORMAT=MLN","Sort=A","Dates=H","DateFormat=P","Fill=—","Direction=H","UseDPDF=Y")</f>
        <v>1191</v>
      </c>
      <c r="S63" s="13" cm="1">
        <f t="array" ref="S63">_xll.BDH("CMI US Equity","OTHER_NONCURRENT_LIABS_DETAILED","FQ3 2022","FQ3 2022","Currency=USD","Period=FQ","BEST_FPERIOD_OVERRIDE=FQ","FILING_STATUS=MR","SCALING_FORMAT=MLN","Sort=A","Dates=H","DateFormat=P","Fill=—","Direction=H","UseDPDF=Y")</f>
        <v>1545</v>
      </c>
      <c r="T63" s="13" cm="1">
        <f t="array" ref="T63">_xll.BDH("CMI US Equity","OTHER_NONCURRENT_LIABS_DETAILED","FQ4 2022","FQ4 2022","Currency=USD","Period=FQ","BEST_FPERIOD_OVERRIDE=FQ","FILING_STATUS=MR","SCALING_FORMAT=MLN","Sort=A","Dates=H","DateFormat=P","Fill=—","Direction=H","UseDPDF=Y")</f>
        <v>2943</v>
      </c>
      <c r="U63" s="13" cm="1">
        <f t="array" ref="U63">_xll.BDH("CMI US Equity","OTHER_NONCURRENT_LIABS_DETAILED","FQ1 2023","FQ1 2023","Currency=USD","Period=FQ","BEST_FPERIOD_OVERRIDE=FQ","FILING_STATUS=MR","SCALING_FORMAT=MLN","Sort=A","Dates=H","DateFormat=P","Fill=—","Direction=H","UseDPDF=Y")</f>
        <v>2919</v>
      </c>
      <c r="V63" s="13" cm="1">
        <f t="array" ref="V63">_xll.BDH("CMI US Equity","OTHER_NONCURRENT_LIABS_DETAILED","FQ2 2023","FQ2 2023","Currency=USD","Period=FQ","BEST_FPERIOD_OVERRIDE=FQ","FILING_STATUS=MR","SCALING_FORMAT=MLN","Sort=A","Dates=H","DateFormat=P","Fill=—","Direction=H","UseDPDF=Y")</f>
        <v>2920</v>
      </c>
      <c r="W63" s="13" cm="1">
        <f t="array" ref="W63">_xll.BDH("CMI US Equity","OTHER_NONCURRENT_LIABS_DETAILED","FQ3 2023","FQ3 2023","Currency=USD","Period=FQ","BEST_FPERIOD_OVERRIDE=FQ","FILING_STATUS=MR","SCALING_FORMAT=MLN","Sort=A","Dates=H","DateFormat=P","Fill=—","Direction=H","UseDPDF=Y")</f>
        <v>2959</v>
      </c>
      <c r="X63" s="13" cm="1">
        <f t="array" ref="X63">_xll.BDH("CMI US Equity","OTHER_NONCURRENT_LIABS_DETAILED","FQ4 2023","FQ4 2023","Currency=USD","Period=FQ","BEST_FPERIOD_OVERRIDE=FQ","FILING_STATUS=MR","SCALING_FORMAT=MLN","Sort=A","Dates=H","DateFormat=P","Fill=—","Direction=H","UseDPDF=Y")</f>
        <v>3056</v>
      </c>
      <c r="Y63" s="13" cm="1">
        <f t="array" ref="Y63">_xll.BDH("CMI US Equity","OTHER_NONCURRENT_LIABS_DETAILED","FQ1 2024","FQ1 2024","Currency=USD","Period=FQ","BEST_FPERIOD_OVERRIDE=FQ","FILING_STATUS=MR","SCALING_FORMAT=MLN","Sort=A","Dates=H","DateFormat=P","Fill=—","Direction=H","UseDPDF=Y")</f>
        <v>2876</v>
      </c>
      <c r="Z63" s="13" cm="1">
        <f t="array" ref="Z63">_xll.BDH("CMI US Equity","OTHER_NONCURRENT_LIABS_DETAILED","FQ2 2024","FQ2 2024","Currency=USD","Period=FQ","BEST_FPERIOD_OVERRIDE=FQ","FILING_STATUS=MR","SCALING_FORMAT=MLN","Sort=A","Dates=H","DateFormat=P","Fill=—","Direction=H","UseDPDF=Y")</f>
        <v>2795</v>
      </c>
      <c r="AA63" s="13" cm="1">
        <f t="array" ref="AA63">_xll.BDH("CMI US Equity","OTHER_NONCURRENT_LIABS_DETAILED","FQ3 2024","FQ3 2024","Currency=USD","Period=FQ","BEST_FPERIOD_OVERRIDE=FQ","FILING_STATUS=MR","SCALING_FORMAT=MLN","Sort=A","Dates=H","DateFormat=P","Fill=—","Direction=H","UseDPDF=Y")</f>
        <v>2769</v>
      </c>
      <c r="AB63" s="13" cm="1">
        <f t="array" ref="AB63">_xll.BDH("CMI US Equity","OTHER_NONCURRENT_LIABS_DETAILED","FQ4 2024","FQ4 2024","Currency=USD","Period=FQ","BEST_FPERIOD_OVERRIDE=FQ","FILING_STATUS=MR","SCALING_FORMAT=MLN","Sort=A","Dates=H","DateFormat=P","Fill=—","Direction=H","UseDPDF=Y")</f>
        <v>2740</v>
      </c>
      <c r="AC63" s="13" cm="1">
        <f t="array" ref="AC63">_xll.BDH("CMI US Equity","OTHER_NONCURRENT_LIABS_DETAILED","FQ1 2025","FQ1 2025","Currency=USD","Period=FQ","BEST_FPERIOD_OVERRIDE=FQ","FILING_STATUS=MR","SCALING_FORMAT=MLN","Sort=A","Dates=H","DateFormat=P","Fill=—","Direction=H","UseDPDF=Y")</f>
        <v>3136</v>
      </c>
      <c r="AD63" s="13" cm="1">
        <f t="array" ref="AD63">_xll.BDH("CMI US Equity","OTHER_NONCURRENT_LIABS_DETAILED","FQ2 2025","FQ2 2025","Currency=USD","Period=FQ","BEST_FPERIOD_OVERRIDE=FQ","FILING_STATUS=MR","SCALING_FORMAT=MLN","Sort=A","Dates=H","DateFormat=P","Fill=—","Direction=H","UseDPDF=Y")</f>
        <v>2772</v>
      </c>
      <c r="AE63" s="13" cm="1">
        <f t="array" ref="AE63">_xll.BDH("CMI US Equity","OTHER_NONCURRENT_LIABS_DETAILED","FQ3 2025","FQ3 2025","Currency=USD","Period=FQ","BEST_FPERIOD_OVERRIDE=FQ","FILING_STATUS=MR","SCALING_FORMAT=MLN","Sort=A","Dates=H","DateFormat=P","Fill=—","Direction=H","UseDPDF=Y")</f>
        <v>2715</v>
      </c>
      <c r="AF63" s="13" cm="1">
        <f t="array" ref="AF63">_xll.BDH("CMI US Equity","OTHER_NONCURRENT_LIABS_DETAILED","FQ4 2025","FQ4 2025","Currency=USD","Period=FQ","BEST_FPERIOD_OVERRIDE=FQ","FILING_STATUS=MR","SCALING_FORMAT=MLN","Sort=A","Dates=H","DateFormat=P","Fill=—","Direction=H","UseDPDF=Y")</f>
        <v>2704</v>
      </c>
    </row>
    <row r="64" spans="1:32" x14ac:dyDescent="0.25">
      <c r="A64" s="6" t="s">
        <v>173</v>
      </c>
      <c r="B64" s="6" t="s">
        <v>174</v>
      </c>
      <c r="C64" s="16" cm="1">
        <f t="array" ref="C64">_xll.BDH("CMI US Equity","NON_CUR_LIAB","FQ3 2018","FQ3 2018","Currency=USD","Period=FQ","BEST_FPERIOD_OVERRIDE=FQ","FILING_STATUS=MR","SCALING_FORMAT=MLN","Sort=A","Dates=H","DateFormat=P","Fill=—","Direction=H","UseDPDF=Y")</f>
        <v>4516</v>
      </c>
      <c r="D64" s="16" cm="1">
        <f t="array" ref="D64">_xll.BDH("CMI US Equity","NON_CUR_LIAB","FQ4 2018","FQ4 2018","Currency=USD","Period=FQ","BEST_FPERIOD_OVERRIDE=FQ","FILING_STATUS=MR","SCALING_FORMAT=MLN","Sort=A","Dates=H","DateFormat=P","Fill=—","Direction=H","UseDPDF=Y")</f>
        <v>4419</v>
      </c>
      <c r="E64" s="16" cm="1">
        <f t="array" ref="E64">_xll.BDH("CMI US Equity","NON_CUR_LIAB","FQ1 2019","FQ1 2019","Currency=USD","Period=FQ","BEST_FPERIOD_OVERRIDE=FQ","FILING_STATUS=MR","SCALING_FORMAT=MLN","Sort=A","Dates=H","DateFormat=P","Fill=—","Direction=H","UseDPDF=Y")</f>
        <v>4692</v>
      </c>
      <c r="F64" s="16" cm="1">
        <f t="array" ref="F64">_xll.BDH("CMI US Equity","NON_CUR_LIAB","FQ2 2019","FQ2 2019","Currency=USD","Period=FQ","BEST_FPERIOD_OVERRIDE=FQ","FILING_STATUS=MR","SCALING_FORMAT=MLN","Sort=A","Dates=H","DateFormat=P","Fill=—","Direction=H","UseDPDF=Y")</f>
        <v>4769</v>
      </c>
      <c r="G64" s="16" cm="1">
        <f t="array" ref="G64">_xll.BDH("CMI US Equity","NON_CUR_LIAB","FQ3 2019","FQ3 2019","Currency=USD","Period=FQ","BEST_FPERIOD_OVERRIDE=FQ","FILING_STATUS=MR","SCALING_FORMAT=MLN","Sort=A","Dates=H","DateFormat=P","Fill=—","Direction=H","UseDPDF=Y")</f>
        <v>4868</v>
      </c>
      <c r="H64" s="16" cm="1">
        <f t="array" ref="H64">_xll.BDH("CMI US Equity","NON_CUR_LIAB","FQ4 2019","FQ4 2019","Currency=USD","Period=FQ","BEST_FPERIOD_OVERRIDE=FQ","FILING_STATUS=MR","SCALING_FORMAT=MLN","Sort=A","Dates=H","DateFormat=P","Fill=—","Direction=H","UseDPDF=Y")</f>
        <v>5012</v>
      </c>
      <c r="I64" s="16" cm="1">
        <f t="array" ref="I64">_xll.BDH("CMI US Equity","NON_CUR_LIAB","FQ1 2020","FQ1 2020","Currency=USD","Period=FQ","BEST_FPERIOD_OVERRIDE=FQ","FILING_STATUS=MR","SCALING_FORMAT=MLN","Sort=A","Dates=H","DateFormat=P","Fill=—","Direction=H","UseDPDF=Y")</f>
        <v>5076</v>
      </c>
      <c r="J64" s="16" cm="1">
        <f t="array" ref="J64">_xll.BDH("CMI US Equity","NON_CUR_LIAB","FQ2 2020","FQ2 2020","Currency=USD","Period=FQ","BEST_FPERIOD_OVERRIDE=FQ","FILING_STATUS=MR","SCALING_FORMAT=MLN","Sort=A","Dates=H","DateFormat=P","Fill=—","Direction=H","UseDPDF=Y")</f>
        <v>5268</v>
      </c>
      <c r="K64" s="16" cm="1">
        <f t="array" ref="K64">_xll.BDH("CMI US Equity","NON_CUR_LIAB","FQ3 2020","FQ3 2020","Currency=USD","Period=FQ","BEST_FPERIOD_OVERRIDE=FQ","FILING_STATUS=MR","SCALING_FORMAT=MLN","Sort=A","Dates=H","DateFormat=P","Fill=—","Direction=H","UseDPDF=Y")</f>
        <v>7218</v>
      </c>
      <c r="L64" s="16" cm="1">
        <f t="array" ref="L64">_xll.BDH("CMI US Equity","NON_CUR_LIAB","FQ4 2020","FQ4 2020","Currency=USD","Period=FQ","BEST_FPERIOD_OVERRIDE=FQ","FILING_STATUS=MR","SCALING_FORMAT=MLN","Sort=A","Dates=H","DateFormat=P","Fill=—","Direction=H","UseDPDF=Y")</f>
        <v>7300</v>
      </c>
      <c r="M64" s="16" cm="1">
        <f t="array" ref="M64">_xll.BDH("CMI US Equity","NON_CUR_LIAB","FQ1 2021","FQ1 2021","Currency=USD","Period=FQ","BEST_FPERIOD_OVERRIDE=FQ","FILING_STATUS=MR","SCALING_FORMAT=MLN","Sort=A","Dates=H","DateFormat=P","Fill=—","Direction=H","UseDPDF=Y")</f>
        <v>7271</v>
      </c>
      <c r="N64" s="16" cm="1">
        <f t="array" ref="N64">_xll.BDH("CMI US Equity","NON_CUR_LIAB","FQ2 2021","FQ2 2021","Currency=USD","Period=FQ","BEST_FPERIOD_OVERRIDE=FQ","FILING_STATUS=MR","SCALING_FORMAT=MLN","Sort=A","Dates=H","DateFormat=P","Fill=—","Direction=H","UseDPDF=Y")</f>
        <v>7211</v>
      </c>
      <c r="O64" s="16" cm="1">
        <f t="array" ref="O64">_xll.BDH("CMI US Equity","NON_CUR_LIAB","FQ3 2021","FQ3 2021","Currency=USD","Period=FQ","BEST_FPERIOD_OVERRIDE=FQ","FILING_STATUS=MR","SCALING_FORMAT=MLN","Sort=A","Dates=H","DateFormat=P","Fill=—","Direction=H","UseDPDF=Y")</f>
        <v>7199</v>
      </c>
      <c r="P64" s="16" cm="1">
        <f t="array" ref="P64">_xll.BDH("CMI US Equity","NON_CUR_LIAB","FQ4 2021","FQ4 2021","Currency=USD","Period=FQ","BEST_FPERIOD_OVERRIDE=FQ","FILING_STATUS=MR","SCALING_FORMAT=MLN","Sort=A","Dates=H","DateFormat=P","Fill=—","Direction=H","UseDPDF=Y")</f>
        <v>7225</v>
      </c>
      <c r="Q64" s="16" cm="1">
        <f t="array" ref="Q64">_xll.BDH("CMI US Equity","NON_CUR_LIAB","FQ1 2022","FQ1 2022","Currency=USD","Period=FQ","BEST_FPERIOD_OVERRIDE=FQ","FILING_STATUS=MR","SCALING_FORMAT=MLN","Sort=A","Dates=H","DateFormat=P","Fill=—","Direction=H","UseDPDF=Y")</f>
        <v>7247</v>
      </c>
      <c r="R64" s="16" cm="1">
        <f t="array" ref="R64">_xll.BDH("CMI US Equity","NON_CUR_LIAB","FQ2 2022","FQ2 2022","Currency=USD","Period=FQ","BEST_FPERIOD_OVERRIDE=FQ","FILING_STATUS=MR","SCALING_FORMAT=MLN","Sort=A","Dates=H","DateFormat=P","Fill=—","Direction=H","UseDPDF=Y")</f>
        <v>7151</v>
      </c>
      <c r="S64" s="16" cm="1">
        <f t="array" ref="S64">_xll.BDH("CMI US Equity","NON_CUR_LIAB","FQ3 2022","FQ3 2022","Currency=USD","Period=FQ","BEST_FPERIOD_OVERRIDE=FQ","FILING_STATUS=MR","SCALING_FORMAT=MLN","Sort=A","Dates=H","DateFormat=P","Fill=—","Direction=H","UseDPDF=Y")</f>
        <v>9629</v>
      </c>
      <c r="T64" s="16" cm="1">
        <f t="array" ref="T64">_xll.BDH("CMI US Equity","NON_CUR_LIAB","FQ4 2022","FQ4 2022","Currency=USD","Period=FQ","BEST_FPERIOD_OVERRIDE=FQ","FILING_STATUS=MR","SCALING_FORMAT=MLN","Sort=A","Dates=H","DateFormat=P","Fill=—","Direction=H","UseDPDF=Y")</f>
        <v>8653</v>
      </c>
      <c r="U64" s="16" cm="1">
        <f t="array" ref="U64">_xll.BDH("CMI US Equity","NON_CUR_LIAB","FQ1 2023","FQ1 2023","Currency=USD","Period=FQ","BEST_FPERIOD_OVERRIDE=FQ","FILING_STATUS=MR","SCALING_FORMAT=MLN","Sort=A","Dates=H","DateFormat=P","Fill=—","Direction=H","UseDPDF=Y")</f>
        <v>8629</v>
      </c>
      <c r="V64" s="16" cm="1">
        <f t="array" ref="V64">_xll.BDH("CMI US Equity","NON_CUR_LIAB","FQ2 2023","FQ2 2023","Currency=USD","Period=FQ","BEST_FPERIOD_OVERRIDE=FQ","FILING_STATUS=MR","SCALING_FORMAT=MLN","Sort=A","Dates=H","DateFormat=P","Fill=—","Direction=H","UseDPDF=Y")</f>
        <v>9334</v>
      </c>
      <c r="W64" s="16" cm="1">
        <f t="array" ref="W64">_xll.BDH("CMI US Equity","NON_CUR_LIAB","FQ3 2023","FQ3 2023","Currency=USD","Period=FQ","BEST_FPERIOD_OVERRIDE=FQ","FILING_STATUS=MR","SCALING_FORMAT=MLN","Sort=A","Dates=H","DateFormat=P","Fill=—","Direction=H","UseDPDF=Y")</f>
        <v>9293</v>
      </c>
      <c r="X64" s="16" cm="1">
        <f t="array" ref="X64">_xll.BDH("CMI US Equity","NON_CUR_LIAB","FQ4 2023","FQ4 2023","Currency=USD","Period=FQ","BEST_FPERIOD_OVERRIDE=FQ","FILING_STATUS=MR","SCALING_FORMAT=MLN","Sort=A","Dates=H","DateFormat=P","Fill=—","Direction=H","UseDPDF=Y")</f>
        <v>9198</v>
      </c>
      <c r="Y64" s="16" cm="1">
        <f t="array" ref="Y64">_xll.BDH("CMI US Equity","NON_CUR_LIAB","FQ1 2024","FQ1 2024","Currency=USD","Period=FQ","BEST_FPERIOD_OVERRIDE=FQ","FILING_STATUS=MR","SCALING_FORMAT=MLN","Sort=A","Dates=H","DateFormat=P","Fill=—","Direction=H","UseDPDF=Y")</f>
        <v>10040</v>
      </c>
      <c r="Z64" s="16" cm="1">
        <f t="array" ref="Z64">_xll.BDH("CMI US Equity","NON_CUR_LIAB","FQ2 2024","FQ2 2024","Currency=USD","Period=FQ","BEST_FPERIOD_OVERRIDE=FQ","FILING_STATUS=MR","SCALING_FORMAT=MLN","Sort=A","Dates=H","DateFormat=P","Fill=—","Direction=H","UseDPDF=Y")</f>
        <v>9600</v>
      </c>
      <c r="AA64" s="16" cm="1">
        <f t="array" ref="AA64">_xll.BDH("CMI US Equity","NON_CUR_LIAB","FQ3 2024","FQ3 2024","Currency=USD","Period=FQ","BEST_FPERIOD_OVERRIDE=FQ","FILING_STATUS=MR","SCALING_FORMAT=MLN","Sort=A","Dates=H","DateFormat=P","Fill=—","Direction=H","UseDPDF=Y")</f>
        <v>9108</v>
      </c>
      <c r="AB64" s="16" cm="1">
        <f t="array" ref="AB64">_xll.BDH("CMI US Equity","NON_CUR_LIAB","FQ4 2024","FQ4 2024","Currency=USD","Period=FQ","BEST_FPERIOD_OVERRIDE=FQ","FILING_STATUS=MR","SCALING_FORMAT=MLN","Sort=A","Dates=H","DateFormat=P","Fill=—","Direction=H","UseDPDF=Y")</f>
        <v>8998</v>
      </c>
      <c r="AC64" s="16" cm="1">
        <f t="array" ref="AC64">_xll.BDH("CMI US Equity","NON_CUR_LIAB","FQ1 2025","FQ1 2025","Currency=USD","Period=FQ","BEST_FPERIOD_OVERRIDE=FQ","FILING_STATUS=MR","SCALING_FORMAT=MLN","Sort=A","Dates=H","DateFormat=P","Fill=—","Direction=H","UseDPDF=Y")</f>
        <v>8985</v>
      </c>
      <c r="AD64" s="16" cm="1">
        <f t="array" ref="AD64">_xll.BDH("CMI US Equity","NON_CUR_LIAB","FQ2 2025","FQ2 2025","Currency=USD","Period=FQ","BEST_FPERIOD_OVERRIDE=FQ","FILING_STATUS=MR","SCALING_FORMAT=MLN","Sort=A","Dates=H","DateFormat=P","Fill=—","Direction=H","UseDPDF=Y")</f>
        <v>11071</v>
      </c>
      <c r="AE64" s="16" cm="1">
        <f t="array" ref="AE64">_xll.BDH("CMI US Equity","NON_CUR_LIAB","FQ3 2025","FQ3 2025","Currency=USD","Period=FQ","BEST_FPERIOD_OVERRIDE=FQ","FILING_STATUS=MR","SCALING_FORMAT=MLN","Sort=A","Dates=H","DateFormat=P","Fill=—","Direction=H","UseDPDF=Y")</f>
        <v>11086</v>
      </c>
      <c r="AF64" s="16" cm="1">
        <f t="array" ref="AF64">_xll.BDH("CMI US Equity","NON_CUR_LIAB","FQ4 2025","FQ4 2025","Currency=USD","Period=FQ","BEST_FPERIOD_OVERRIDE=FQ","FILING_STATUS=MR","SCALING_FORMAT=MLN","Sort=A","Dates=H","DateFormat=P","Fill=—","Direction=H","UseDPDF=Y")</f>
        <v>10974</v>
      </c>
    </row>
    <row r="65" spans="1:32" x14ac:dyDescent="0.25">
      <c r="A65" s="6" t="s">
        <v>175</v>
      </c>
      <c r="B65" s="6" t="s">
        <v>176</v>
      </c>
      <c r="C65" s="16" cm="1">
        <f t="array" ref="C65">_xll.BDH("CMI US Equity","BS_TOT_LIAB2","FQ3 2018","FQ3 2018","Currency=USD","Period=FQ","BEST_FPERIOD_OVERRIDE=FQ","FILING_STATUS=MR","SCALING_FORMAT=MLN","Sort=A","Dates=H","DateFormat=P","Fill=—","Direction=H","UseDPDF=Y")</f>
        <v>10932</v>
      </c>
      <c r="D65" s="16" cm="1">
        <f t="array" ref="D65">_xll.BDH("CMI US Equity","BS_TOT_LIAB2","FQ4 2018","FQ4 2018","Currency=USD","Period=FQ","BEST_FPERIOD_OVERRIDE=FQ","FILING_STATUS=MR","SCALING_FORMAT=MLN","Sort=A","Dates=H","DateFormat=P","Fill=—","Direction=H","UseDPDF=Y")</f>
        <v>10803</v>
      </c>
      <c r="E65" s="16" cm="1">
        <f t="array" ref="E65">_xll.BDH("CMI US Equity","BS_TOT_LIAB2","FQ1 2019","FQ1 2019","Currency=USD","Period=FQ","BEST_FPERIOD_OVERRIDE=FQ","FILING_STATUS=MR","SCALING_FORMAT=MLN","Sort=A","Dates=H","DateFormat=P","Fill=—","Direction=H","UseDPDF=Y")</f>
        <v>11119</v>
      </c>
      <c r="F65" s="16" cm="1">
        <f t="array" ref="F65">_xll.BDH("CMI US Equity","BS_TOT_LIAB2","FQ2 2019","FQ2 2019","Currency=USD","Period=FQ","BEST_FPERIOD_OVERRIDE=FQ","FILING_STATUS=MR","SCALING_FORMAT=MLN","Sort=A","Dates=H","DateFormat=P","Fill=—","Direction=H","UseDPDF=Y")</f>
        <v>11058</v>
      </c>
      <c r="G65" s="16" cm="1">
        <f t="array" ref="G65">_xll.BDH("CMI US Equity","BS_TOT_LIAB2","FQ3 2019","FQ3 2019","Currency=USD","Period=FQ","BEST_FPERIOD_OVERRIDE=FQ","FILING_STATUS=MR","SCALING_FORMAT=MLN","Sort=A","Dates=H","DateFormat=P","Fill=—","Direction=H","UseDPDF=Y")</f>
        <v>11593</v>
      </c>
      <c r="H65" s="16" cm="1">
        <f t="array" ref="H65">_xll.BDH("CMI US Equity","BS_TOT_LIAB2","FQ4 2019","FQ4 2019","Currency=USD","Period=FQ","BEST_FPERIOD_OVERRIDE=FQ","FILING_STATUS=MR","SCALING_FORMAT=MLN","Sort=A","Dates=H","DateFormat=P","Fill=—","Direction=H","UseDPDF=Y")</f>
        <v>11272</v>
      </c>
      <c r="I65" s="16" cm="1">
        <f t="array" ref="I65">_xll.BDH("CMI US Equity","BS_TOT_LIAB2","FQ1 2020","FQ1 2020","Currency=USD","Period=FQ","BEST_FPERIOD_OVERRIDE=FQ","FILING_STATUS=MR","SCALING_FORMAT=MLN","Sort=A","Dates=H","DateFormat=P","Fill=—","Direction=H","UseDPDF=Y")</f>
        <v>12058</v>
      </c>
      <c r="J65" s="16" cm="1">
        <f t="array" ref="J65">_xll.BDH("CMI US Equity","BS_TOT_LIAB2","FQ2 2020","FQ2 2020","Currency=USD","Period=FQ","BEST_FPERIOD_OVERRIDE=FQ","FILING_STATUS=MR","SCALING_FORMAT=MLN","Sort=A","Dates=H","DateFormat=P","Fill=—","Direction=H","UseDPDF=Y")</f>
        <v>12184</v>
      </c>
      <c r="K65" s="16" cm="1">
        <f t="array" ref="K65">_xll.BDH("CMI US Equity","BS_TOT_LIAB2","FQ3 2020","FQ3 2020","Currency=USD","Period=FQ","BEST_FPERIOD_OVERRIDE=FQ","FILING_STATUS=MR","SCALING_FORMAT=MLN","Sort=A","Dates=H","DateFormat=P","Fill=—","Direction=H","UseDPDF=Y")</f>
        <v>12927</v>
      </c>
      <c r="L65" s="16" cm="1">
        <f t="array" ref="L65">_xll.BDH("CMI US Equity","BS_TOT_LIAB2","FQ4 2020","FQ4 2020","Currency=USD","Period=FQ","BEST_FPERIOD_OVERRIDE=FQ","FILING_STATUS=MR","SCALING_FORMAT=MLN","Sort=A","Dates=H","DateFormat=P","Fill=—","Direction=H","UseDPDF=Y")</f>
        <v>13635</v>
      </c>
      <c r="M65" s="16" cm="1">
        <f t="array" ref="M65">_xll.BDH("CMI US Equity","BS_TOT_LIAB2","FQ1 2021","FQ1 2021","Currency=USD","Period=FQ","BEST_FPERIOD_OVERRIDE=FQ","FILING_STATUS=MR","SCALING_FORMAT=MLN","Sort=A","Dates=H","DateFormat=P","Fill=—","Direction=H","UseDPDF=Y")</f>
        <v>13931</v>
      </c>
      <c r="N65" s="16" cm="1">
        <f t="array" ref="N65">_xll.BDH("CMI US Equity","BS_TOT_LIAB2","FQ2 2021","FQ2 2021","Currency=USD","Period=FQ","BEST_FPERIOD_OVERRIDE=FQ","FILING_STATUS=MR","SCALING_FORMAT=MLN","Sort=A","Dates=H","DateFormat=P","Fill=—","Direction=H","UseDPDF=Y")</f>
        <v>13815</v>
      </c>
      <c r="O65" s="16" cm="1">
        <f t="array" ref="O65">_xll.BDH("CMI US Equity","BS_TOT_LIAB2","FQ3 2021","FQ3 2021","Currency=USD","Period=FQ","BEST_FPERIOD_OVERRIDE=FQ","FILING_STATUS=MR","SCALING_FORMAT=MLN","Sort=A","Dates=H","DateFormat=P","Fill=—","Direction=H","UseDPDF=Y")</f>
        <v>14060</v>
      </c>
      <c r="P65" s="16" cm="1">
        <f t="array" ref="P65">_xll.BDH("CMI US Equity","BS_TOT_LIAB2","FQ4 2021","FQ4 2021","Currency=USD","Period=FQ","BEST_FPERIOD_OVERRIDE=FQ","FILING_STATUS=MR","SCALING_FORMAT=MLN","Sort=A","Dates=H","DateFormat=P","Fill=—","Direction=H","UseDPDF=Y")</f>
        <v>14309</v>
      </c>
      <c r="Q65" s="16" cm="1">
        <f t="array" ref="Q65">_xll.BDH("CMI US Equity","BS_TOT_LIAB2","FQ1 2022","FQ1 2022","Currency=USD","Period=FQ","BEST_FPERIOD_OVERRIDE=FQ","FILING_STATUS=MR","SCALING_FORMAT=MLN","Sort=A","Dates=H","DateFormat=P","Fill=—","Direction=H","UseDPDF=Y")</f>
        <v>14759</v>
      </c>
      <c r="R65" s="16" cm="1">
        <f t="array" ref="R65">_xll.BDH("CMI US Equity","BS_TOT_LIAB2","FQ2 2022","FQ2 2022","Currency=USD","Period=FQ","BEST_FPERIOD_OVERRIDE=FQ","FILING_STATUS=MR","SCALING_FORMAT=MLN","Sort=A","Dates=H","DateFormat=P","Fill=—","Direction=H","UseDPDF=Y")</f>
        <v>14822</v>
      </c>
      <c r="S65" s="16" cm="1">
        <f t="array" ref="S65">_xll.BDH("CMI US Equity","BS_TOT_LIAB2","FQ3 2022","FQ3 2022","Currency=USD","Period=FQ","BEST_FPERIOD_OVERRIDE=FQ","FILING_STATUS=MR","SCALING_FORMAT=MLN","Sort=A","Dates=H","DateFormat=P","Fill=—","Direction=H","UseDPDF=Y")</f>
        <v>20159</v>
      </c>
      <c r="T65" s="16" cm="1">
        <f t="array" ref="T65">_xll.BDH("CMI US Equity","BS_TOT_LIAB2","FQ4 2022","FQ4 2022","Currency=USD","Period=FQ","BEST_FPERIOD_OVERRIDE=FQ","FILING_STATUS=MR","SCALING_FORMAT=MLN","Sort=A","Dates=H","DateFormat=P","Fill=—","Direction=H","UseDPDF=Y")</f>
        <v>20074</v>
      </c>
      <c r="U65" s="16" cm="1">
        <f t="array" ref="U65">_xll.BDH("CMI US Equity","BS_TOT_LIAB2","FQ1 2023","FQ1 2023","Currency=USD","Period=FQ","BEST_FPERIOD_OVERRIDE=FQ","FILING_STATUS=MR","SCALING_FORMAT=MLN","Sort=A","Dates=H","DateFormat=P","Fill=—","Direction=H","UseDPDF=Y")</f>
        <v>20552</v>
      </c>
      <c r="V65" s="16" cm="1">
        <f t="array" ref="V65">_xll.BDH("CMI US Equity","BS_TOT_LIAB2","FQ2 2023","FQ2 2023","Currency=USD","Period=FQ","BEST_FPERIOD_OVERRIDE=FQ","FILING_STATUS=MR","SCALING_FORMAT=MLN","Sort=A","Dates=H","DateFormat=P","Fill=—","Direction=H","UseDPDF=Y")</f>
        <v>20379</v>
      </c>
      <c r="W65" s="16" cm="1">
        <f t="array" ref="W65">_xll.BDH("CMI US Equity","BS_TOT_LIAB2","FQ3 2023","FQ3 2023","Currency=USD","Period=FQ","BEST_FPERIOD_OVERRIDE=FQ","FILING_STATUS=MR","SCALING_FORMAT=MLN","Sort=A","Dates=H","DateFormat=P","Fill=—","Direction=H","UseDPDF=Y")</f>
        <v>20419</v>
      </c>
      <c r="X65" s="16" cm="1">
        <f t="array" ref="X65">_xll.BDH("CMI US Equity","BS_TOT_LIAB2","FQ4 2023","FQ4 2023","Currency=USD","Period=FQ","BEST_FPERIOD_OVERRIDE=FQ","FILING_STATUS=MR","SCALING_FORMAT=MLN","Sort=A","Dates=H","DateFormat=P","Fill=—","Direction=H","UseDPDF=Y")</f>
        <v>22101</v>
      </c>
      <c r="Y65" s="16" cm="1">
        <f t="array" ref="Y65">_xll.BDH("CMI US Equity","BS_TOT_LIAB2","FQ1 2024","FQ1 2024","Currency=USD","Period=FQ","BEST_FPERIOD_OVERRIDE=FQ","FILING_STATUS=MR","SCALING_FORMAT=MLN","Sort=A","Dates=H","DateFormat=P","Fill=—","Direction=H","UseDPDF=Y")</f>
        <v>21726</v>
      </c>
      <c r="Z65" s="16" cm="1">
        <f t="array" ref="Z65">_xll.BDH("CMI US Equity","BS_TOT_LIAB2","FQ2 2024","FQ2 2024","Currency=USD","Period=FQ","BEST_FPERIOD_OVERRIDE=FQ","FILING_STATUS=MR","SCALING_FORMAT=MLN","Sort=A","Dates=H","DateFormat=P","Fill=—","Direction=H","UseDPDF=Y")</f>
        <v>20744</v>
      </c>
      <c r="AA65" s="16" cm="1">
        <f t="array" ref="AA65">_xll.BDH("CMI US Equity","BS_TOT_LIAB2","FQ3 2024","FQ3 2024","Currency=USD","Period=FQ","BEST_FPERIOD_OVERRIDE=FQ","FILING_STATUS=MR","SCALING_FORMAT=MLN","Sort=A","Dates=H","DateFormat=P","Fill=—","Direction=H","UseDPDF=Y")</f>
        <v>20711</v>
      </c>
      <c r="AB65" s="16" cm="1">
        <f t="array" ref="AB65">_xll.BDH("CMI US Equity","BS_TOT_LIAB2","FQ4 2024","FQ4 2024","Currency=USD","Period=FQ","BEST_FPERIOD_OVERRIDE=FQ","FILING_STATUS=MR","SCALING_FORMAT=MLN","Sort=A","Dates=H","DateFormat=P","Fill=—","Direction=H","UseDPDF=Y")</f>
        <v>20232</v>
      </c>
      <c r="AC65" s="16" cm="1">
        <f t="array" ref="AC65">_xll.BDH("CMI US Equity","BS_TOT_LIAB2","FQ1 2025","FQ1 2025","Currency=USD","Period=FQ","BEST_FPERIOD_OVERRIDE=FQ","FILING_STATUS=MR","SCALING_FORMAT=MLN","Sort=A","Dates=H","DateFormat=P","Fill=—","Direction=H","UseDPDF=Y")</f>
        <v>20560</v>
      </c>
      <c r="AD65" s="16" cm="1">
        <f t="array" ref="AD65">_xll.BDH("CMI US Equity","BS_TOT_LIAB2","FQ2 2025","FQ2 2025","Currency=USD","Period=FQ","BEST_FPERIOD_OVERRIDE=FQ","FILING_STATUS=MR","SCALING_FORMAT=MLN","Sort=A","Dates=H","DateFormat=P","Fill=—","Direction=H","UseDPDF=Y")</f>
        <v>21386</v>
      </c>
      <c r="AE65" s="16" cm="1">
        <f t="array" ref="AE65">_xll.BDH("CMI US Equity","BS_TOT_LIAB2","FQ3 2025","FQ3 2025","Currency=USD","Period=FQ","BEST_FPERIOD_OVERRIDE=FQ","FILING_STATUS=MR","SCALING_FORMAT=MLN","Sort=A","Dates=H","DateFormat=P","Fill=—","Direction=H","UseDPDF=Y")</f>
        <v>20540</v>
      </c>
      <c r="AF65" s="16" cm="1">
        <f t="array" ref="AF65">_xll.BDH("CMI US Equity","BS_TOT_LIAB2","FQ4 2025","FQ4 2025","Currency=USD","Period=FQ","BEST_FPERIOD_OVERRIDE=FQ","FILING_STATUS=MR","SCALING_FORMAT=MLN","Sort=A","Dates=H","DateFormat=P","Fill=—","Direction=H","UseDPDF=Y")</f>
        <v>20584</v>
      </c>
    </row>
    <row r="66" spans="1:32" x14ac:dyDescent="0.25">
      <c r="A66" s="10" t="s">
        <v>177</v>
      </c>
      <c r="B66" s="10" t="s">
        <v>178</v>
      </c>
      <c r="C66" s="13" cm="1">
        <f t="array" ref="C66">_xll.BDH("CMI US Equity","PFD_EQTY_HYBRID_CAPITAL","FQ3 2018","FQ3 2018","Currency=USD","Period=FQ","BEST_FPERIOD_OVERRIDE=FQ","FILING_STATUS=MR","SCALING_FORMAT=MLN","Sort=A","Dates=H","DateFormat=P","Fill=—","Direction=H","UseDPDF=Y")</f>
        <v>0</v>
      </c>
      <c r="D66" s="13" cm="1">
        <f t="array" ref="D66">_xll.BDH("CMI US Equity","PFD_EQTY_HYBRID_CAPITAL","FQ4 2018","FQ4 2018","Currency=USD","Period=FQ","BEST_FPERIOD_OVERRIDE=FQ","FILING_STATUS=MR","SCALING_FORMAT=MLN","Sort=A","Dates=H","DateFormat=P","Fill=—","Direction=H","UseDPDF=Y")</f>
        <v>0</v>
      </c>
      <c r="E66" s="13" cm="1">
        <f t="array" ref="E66">_xll.BDH("CMI US Equity","PFD_EQTY_HYBRID_CAPITAL","FQ1 2019","FQ1 2019","Currency=USD","Period=FQ","BEST_FPERIOD_OVERRIDE=FQ","FILING_STATUS=MR","SCALING_FORMAT=MLN","Sort=A","Dates=H","DateFormat=P","Fill=—","Direction=H","UseDPDF=Y")</f>
        <v>0</v>
      </c>
      <c r="F66" s="13" cm="1">
        <f t="array" ref="F66">_xll.BDH("CMI US Equity","PFD_EQTY_HYBRID_CAPITAL","FQ2 2019","FQ2 2019","Currency=USD","Period=FQ","BEST_FPERIOD_OVERRIDE=FQ","FILING_STATUS=MR","SCALING_FORMAT=MLN","Sort=A","Dates=H","DateFormat=P","Fill=—","Direction=H","UseDPDF=Y")</f>
        <v>0</v>
      </c>
      <c r="G66" s="13" cm="1">
        <f t="array" ref="G66">_xll.BDH("CMI US Equity","PFD_EQTY_HYBRID_CAPITAL","FQ3 2019","FQ3 2019","Currency=USD","Period=FQ","BEST_FPERIOD_OVERRIDE=FQ","FILING_STATUS=MR","SCALING_FORMAT=MLN","Sort=A","Dates=H","DateFormat=P","Fill=—","Direction=H","UseDPDF=Y")</f>
        <v>0</v>
      </c>
      <c r="H66" s="13" cm="1">
        <f t="array" ref="H66">_xll.BDH("CMI US Equity","PFD_EQTY_HYBRID_CAPITAL","FQ4 2019","FQ4 2019","Currency=USD","Period=FQ","BEST_FPERIOD_OVERRIDE=FQ","FILING_STATUS=MR","SCALING_FORMAT=MLN","Sort=A","Dates=H","DateFormat=P","Fill=—","Direction=H","UseDPDF=Y")</f>
        <v>0</v>
      </c>
      <c r="I66" s="13" cm="1">
        <f t="array" ref="I66">_xll.BDH("CMI US Equity","PFD_EQTY_HYBRID_CAPITAL","FQ1 2020","FQ1 2020","Currency=USD","Period=FQ","BEST_FPERIOD_OVERRIDE=FQ","FILING_STATUS=MR","SCALING_FORMAT=MLN","Sort=A","Dates=H","DateFormat=P","Fill=—","Direction=H","UseDPDF=Y")</f>
        <v>0</v>
      </c>
      <c r="J66" s="13" cm="1">
        <f t="array" ref="J66">_xll.BDH("CMI US Equity","PFD_EQTY_HYBRID_CAPITAL","FQ2 2020","FQ2 2020","Currency=USD","Period=FQ","BEST_FPERIOD_OVERRIDE=FQ","FILING_STATUS=MR","SCALING_FORMAT=MLN","Sort=A","Dates=H","DateFormat=P","Fill=—","Direction=H","UseDPDF=Y")</f>
        <v>0</v>
      </c>
      <c r="K66" s="13" cm="1">
        <f t="array" ref="K66">_xll.BDH("CMI US Equity","PFD_EQTY_HYBRID_CAPITAL","FQ3 2020","FQ3 2020","Currency=USD","Period=FQ","BEST_FPERIOD_OVERRIDE=FQ","FILING_STATUS=MR","SCALING_FORMAT=MLN","Sort=A","Dates=H","DateFormat=P","Fill=—","Direction=H","UseDPDF=Y")</f>
        <v>0</v>
      </c>
      <c r="L66" s="13" cm="1">
        <f t="array" ref="L66">_xll.BDH("CMI US Equity","PFD_EQTY_HYBRID_CAPITAL","FQ4 2020","FQ4 2020","Currency=USD","Period=FQ","BEST_FPERIOD_OVERRIDE=FQ","FILING_STATUS=MR","SCALING_FORMAT=MLN","Sort=A","Dates=H","DateFormat=P","Fill=—","Direction=H","UseDPDF=Y")</f>
        <v>0</v>
      </c>
      <c r="M66" s="13" cm="1">
        <f t="array" ref="M66">_xll.BDH("CMI US Equity","PFD_EQTY_HYBRID_CAPITAL","FQ1 2021","FQ1 2021","Currency=USD","Period=FQ","BEST_FPERIOD_OVERRIDE=FQ","FILING_STATUS=MR","SCALING_FORMAT=MLN","Sort=A","Dates=H","DateFormat=P","Fill=—","Direction=H","UseDPDF=Y")</f>
        <v>0</v>
      </c>
      <c r="N66" s="13" cm="1">
        <f t="array" ref="N66">_xll.BDH("CMI US Equity","PFD_EQTY_HYBRID_CAPITAL","FQ2 2021","FQ2 2021","Currency=USD","Period=FQ","BEST_FPERIOD_OVERRIDE=FQ","FILING_STATUS=MR","SCALING_FORMAT=MLN","Sort=A","Dates=H","DateFormat=P","Fill=—","Direction=H","UseDPDF=Y")</f>
        <v>0</v>
      </c>
      <c r="O66" s="13" cm="1">
        <f t="array" ref="O66">_xll.BDH("CMI US Equity","PFD_EQTY_HYBRID_CAPITAL","FQ3 2021","FQ3 2021","Currency=USD","Period=FQ","BEST_FPERIOD_OVERRIDE=FQ","FILING_STATUS=MR","SCALING_FORMAT=MLN","Sort=A","Dates=H","DateFormat=P","Fill=—","Direction=H","UseDPDF=Y")</f>
        <v>0</v>
      </c>
      <c r="P66" s="13" cm="1">
        <f t="array" ref="P66">_xll.BDH("CMI US Equity","PFD_EQTY_HYBRID_CAPITAL","FQ4 2021","FQ4 2021","Currency=USD","Period=FQ","BEST_FPERIOD_OVERRIDE=FQ","FILING_STATUS=MR","SCALING_FORMAT=MLN","Sort=A","Dates=H","DateFormat=P","Fill=—","Direction=H","UseDPDF=Y")</f>
        <v>0</v>
      </c>
      <c r="Q66" s="13" cm="1">
        <f t="array" ref="Q66">_xll.BDH("CMI US Equity","PFD_EQTY_HYBRID_CAPITAL","FQ1 2022","FQ1 2022","Currency=USD","Period=FQ","BEST_FPERIOD_OVERRIDE=FQ","FILING_STATUS=MR","SCALING_FORMAT=MLN","Sort=A","Dates=H","DateFormat=P","Fill=—","Direction=H","UseDPDF=Y")</f>
        <v>0</v>
      </c>
      <c r="R66" s="13" cm="1">
        <f t="array" ref="R66">_xll.BDH("CMI US Equity","PFD_EQTY_HYBRID_CAPITAL","FQ2 2022","FQ2 2022","Currency=USD","Period=FQ","BEST_FPERIOD_OVERRIDE=FQ","FILING_STATUS=MR","SCALING_FORMAT=MLN","Sort=A","Dates=H","DateFormat=P","Fill=—","Direction=H","UseDPDF=Y")</f>
        <v>0</v>
      </c>
      <c r="S66" s="13" cm="1">
        <f t="array" ref="S66">_xll.BDH("CMI US Equity","PFD_EQTY_HYBRID_CAPITAL","FQ3 2022","FQ3 2022","Currency=USD","Period=FQ","BEST_FPERIOD_OVERRIDE=FQ","FILING_STATUS=MR","SCALING_FORMAT=MLN","Sort=A","Dates=H","DateFormat=P","Fill=—","Direction=H","UseDPDF=Y")</f>
        <v>0</v>
      </c>
      <c r="T66" s="13" cm="1">
        <f t="array" ref="T66">_xll.BDH("CMI US Equity","PFD_EQTY_HYBRID_CAPITAL","FQ4 2022","FQ4 2022","Currency=USD","Period=FQ","BEST_FPERIOD_OVERRIDE=FQ","FILING_STATUS=MR","SCALING_FORMAT=MLN","Sort=A","Dates=H","DateFormat=P","Fill=—","Direction=H","UseDPDF=Y")</f>
        <v>0</v>
      </c>
      <c r="U66" s="13" cm="1">
        <f t="array" ref="U66">_xll.BDH("CMI US Equity","PFD_EQTY_HYBRID_CAPITAL","FQ1 2023","FQ1 2023","Currency=USD","Period=FQ","BEST_FPERIOD_OVERRIDE=FQ","FILING_STATUS=MR","SCALING_FORMAT=MLN","Sort=A","Dates=H","DateFormat=P","Fill=—","Direction=H","UseDPDF=Y")</f>
        <v>0</v>
      </c>
      <c r="V66" s="13" cm="1">
        <f t="array" ref="V66">_xll.BDH("CMI US Equity","PFD_EQTY_HYBRID_CAPITAL","FQ2 2023","FQ2 2023","Currency=USD","Period=FQ","BEST_FPERIOD_OVERRIDE=FQ","FILING_STATUS=MR","SCALING_FORMAT=MLN","Sort=A","Dates=H","DateFormat=P","Fill=—","Direction=H","UseDPDF=Y")</f>
        <v>0</v>
      </c>
      <c r="W66" s="13" cm="1">
        <f t="array" ref="W66">_xll.BDH("CMI US Equity","PFD_EQTY_HYBRID_CAPITAL","FQ3 2023","FQ3 2023","Currency=USD","Period=FQ","BEST_FPERIOD_OVERRIDE=FQ","FILING_STATUS=MR","SCALING_FORMAT=MLN","Sort=A","Dates=H","DateFormat=P","Fill=—","Direction=H","UseDPDF=Y")</f>
        <v>0</v>
      </c>
      <c r="X66" s="13" cm="1">
        <f t="array" ref="X66">_xll.BDH("CMI US Equity","PFD_EQTY_HYBRID_CAPITAL","FQ4 2023","FQ4 2023","Currency=USD","Period=FQ","BEST_FPERIOD_OVERRIDE=FQ","FILING_STATUS=MR","SCALING_FORMAT=MLN","Sort=A","Dates=H","DateFormat=P","Fill=—","Direction=H","UseDPDF=Y")</f>
        <v>0</v>
      </c>
      <c r="Y66" s="13" cm="1">
        <f t="array" ref="Y66">_xll.BDH("CMI US Equity","PFD_EQTY_HYBRID_CAPITAL","FQ1 2024","FQ1 2024","Currency=USD","Period=FQ","BEST_FPERIOD_OVERRIDE=FQ","FILING_STATUS=MR","SCALING_FORMAT=MLN","Sort=A","Dates=H","DateFormat=P","Fill=—","Direction=H","UseDPDF=Y")</f>
        <v>0</v>
      </c>
      <c r="Z66" s="13" cm="1">
        <f t="array" ref="Z66">_xll.BDH("CMI US Equity","PFD_EQTY_HYBRID_CAPITAL","FQ2 2024","FQ2 2024","Currency=USD","Period=FQ","BEST_FPERIOD_OVERRIDE=FQ","FILING_STATUS=MR","SCALING_FORMAT=MLN","Sort=A","Dates=H","DateFormat=P","Fill=—","Direction=H","UseDPDF=Y")</f>
        <v>0</v>
      </c>
      <c r="AA66" s="13" cm="1">
        <f t="array" ref="AA66">_xll.BDH("CMI US Equity","PFD_EQTY_HYBRID_CAPITAL","FQ3 2024","FQ3 2024","Currency=USD","Period=FQ","BEST_FPERIOD_OVERRIDE=FQ","FILING_STATUS=MR","SCALING_FORMAT=MLN","Sort=A","Dates=H","DateFormat=P","Fill=—","Direction=H","UseDPDF=Y")</f>
        <v>0</v>
      </c>
      <c r="AB66" s="13" cm="1">
        <f t="array" ref="AB66">_xll.BDH("CMI US Equity","PFD_EQTY_HYBRID_CAPITAL","FQ4 2024","FQ4 2024","Currency=USD","Period=FQ","BEST_FPERIOD_OVERRIDE=FQ","FILING_STATUS=MR","SCALING_FORMAT=MLN","Sort=A","Dates=H","DateFormat=P","Fill=—","Direction=H","UseDPDF=Y")</f>
        <v>0</v>
      </c>
      <c r="AC66" s="13" cm="1">
        <f t="array" ref="AC66">_xll.BDH("CMI US Equity","PFD_EQTY_HYBRID_CAPITAL","FQ1 2025","FQ1 2025","Currency=USD","Period=FQ","BEST_FPERIOD_OVERRIDE=FQ","FILING_STATUS=MR","SCALING_FORMAT=MLN","Sort=A","Dates=H","DateFormat=P","Fill=—","Direction=H","UseDPDF=Y")</f>
        <v>0</v>
      </c>
      <c r="AD66" s="13" cm="1">
        <f t="array" ref="AD66">_xll.BDH("CMI US Equity","PFD_EQTY_HYBRID_CAPITAL","FQ2 2025","FQ2 2025","Currency=USD","Period=FQ","BEST_FPERIOD_OVERRIDE=FQ","FILING_STATUS=MR","SCALING_FORMAT=MLN","Sort=A","Dates=H","DateFormat=P","Fill=—","Direction=H","UseDPDF=Y")</f>
        <v>0</v>
      </c>
      <c r="AE66" s="13" cm="1">
        <f t="array" ref="AE66">_xll.BDH("CMI US Equity","PFD_EQTY_HYBRID_CAPITAL","FQ3 2025","FQ3 2025","Currency=USD","Period=FQ","BEST_FPERIOD_OVERRIDE=FQ","FILING_STATUS=MR","SCALING_FORMAT=MLN","Sort=A","Dates=H","DateFormat=P","Fill=—","Direction=H","UseDPDF=Y")</f>
        <v>0</v>
      </c>
      <c r="AF66" s="13" cm="1">
        <f t="array" ref="AF66">_xll.BDH("CMI US Equity","PFD_EQTY_HYBRID_CAPITAL","FQ4 2025","FQ4 2025","Currency=USD","Period=FQ","BEST_FPERIOD_OVERRIDE=FQ","FILING_STATUS=MR","SCALING_FORMAT=MLN","Sort=A","Dates=H","DateFormat=P","Fill=—","Direction=H","UseDPDF=Y")</f>
        <v>0</v>
      </c>
    </row>
    <row r="67" spans="1:32" x14ac:dyDescent="0.25">
      <c r="A67" s="10" t="s">
        <v>179</v>
      </c>
      <c r="B67" s="10" t="s">
        <v>180</v>
      </c>
      <c r="C67" s="13" cm="1">
        <f t="array" ref="C67">_xll.BDH("CMI US Equity","BS_SH_CAP_AND_APIC","FQ3 2018","FQ3 2018","Currency=USD","Period=FQ","BEST_FPERIOD_OVERRIDE=FQ","FILING_STATUS=MR","SCALING_FORMAT=MLN","Sort=A","Dates=H","DateFormat=P","Fill=—","Direction=H","UseDPDF=Y")</f>
        <v>2151</v>
      </c>
      <c r="D67" s="13" cm="1">
        <f t="array" ref="D67">_xll.BDH("CMI US Equity","BS_SH_CAP_AND_APIC","FQ4 2018","FQ4 2018","Currency=USD","Period=FQ","BEST_FPERIOD_OVERRIDE=FQ","FILING_STATUS=MR","SCALING_FORMAT=MLN","Sort=A","Dates=H","DateFormat=P","Fill=—","Direction=H","UseDPDF=Y")</f>
        <v>2271</v>
      </c>
      <c r="E67" s="13" cm="1">
        <f t="array" ref="E67">_xll.BDH("CMI US Equity","BS_SH_CAP_AND_APIC","FQ1 2019","FQ1 2019","Currency=USD","Period=FQ","BEST_FPERIOD_OVERRIDE=FQ","FILING_STATUS=MR","SCALING_FORMAT=MLN","Sort=A","Dates=H","DateFormat=P","Fill=—","Direction=H","UseDPDF=Y")</f>
        <v>2273</v>
      </c>
      <c r="F67" s="13" cm="1">
        <f t="array" ref="F67">_xll.BDH("CMI US Equity","BS_SH_CAP_AND_APIC","FQ2 2019","FQ2 2019","Currency=USD","Period=FQ","BEST_FPERIOD_OVERRIDE=FQ","FILING_STATUS=MR","SCALING_FORMAT=MLN","Sort=A","Dates=H","DateFormat=P","Fill=—","Direction=H","UseDPDF=Y")</f>
        <v>2307</v>
      </c>
      <c r="G67" s="13" cm="1">
        <f t="array" ref="G67">_xll.BDH("CMI US Equity","BS_SH_CAP_AND_APIC","FQ3 2019","FQ3 2019","Currency=USD","Period=FQ","BEST_FPERIOD_OVERRIDE=FQ","FILING_STATUS=MR","SCALING_FORMAT=MLN","Sort=A","Dates=H","DateFormat=P","Fill=—","Direction=H","UseDPDF=Y")</f>
        <v>2322</v>
      </c>
      <c r="H67" s="13" cm="1">
        <f t="array" ref="H67">_xll.BDH("CMI US Equity","BS_SH_CAP_AND_APIC","FQ4 2019","FQ4 2019","Currency=USD","Period=FQ","BEST_FPERIOD_OVERRIDE=FQ","FILING_STATUS=MR","SCALING_FORMAT=MLN","Sort=A","Dates=H","DateFormat=P","Fill=—","Direction=H","UseDPDF=Y")</f>
        <v>2346</v>
      </c>
      <c r="I67" s="13" cm="1">
        <f t="array" ref="I67">_xll.BDH("CMI US Equity","BS_SH_CAP_AND_APIC","FQ1 2020","FQ1 2020","Currency=USD","Period=FQ","BEST_FPERIOD_OVERRIDE=FQ","FILING_STATUS=MR","SCALING_FORMAT=MLN","Sort=A","Dates=H","DateFormat=P","Fill=—","Direction=H","UseDPDF=Y")</f>
        <v>2335</v>
      </c>
      <c r="J67" s="13" cm="1">
        <f t="array" ref="J67">_xll.BDH("CMI US Equity","BS_SH_CAP_AND_APIC","FQ2 2020","FQ2 2020","Currency=USD","Period=FQ","BEST_FPERIOD_OVERRIDE=FQ","FILING_STATUS=MR","SCALING_FORMAT=MLN","Sort=A","Dates=H","DateFormat=P","Fill=—","Direction=H","UseDPDF=Y")</f>
        <v>2353</v>
      </c>
      <c r="K67" s="13" cm="1">
        <f t="array" ref="K67">_xll.BDH("CMI US Equity","BS_SH_CAP_AND_APIC","FQ3 2020","FQ3 2020","Currency=USD","Period=FQ","BEST_FPERIOD_OVERRIDE=FQ","FILING_STATUS=MR","SCALING_FORMAT=MLN","Sort=A","Dates=H","DateFormat=P","Fill=—","Direction=H","UseDPDF=Y")</f>
        <v>2385</v>
      </c>
      <c r="L67" s="13" cm="1">
        <f t="array" ref="L67">_xll.BDH("CMI US Equity","BS_SH_CAP_AND_APIC","FQ4 2020","FQ4 2020","Currency=USD","Period=FQ","BEST_FPERIOD_OVERRIDE=FQ","FILING_STATUS=MR","SCALING_FORMAT=MLN","Sort=A","Dates=H","DateFormat=P","Fill=—","Direction=H","UseDPDF=Y")</f>
        <v>2404</v>
      </c>
      <c r="M67" s="13" cm="1">
        <f t="array" ref="M67">_xll.BDH("CMI US Equity","BS_SH_CAP_AND_APIC","FQ1 2021","FQ1 2021","Currency=USD","Period=FQ","BEST_FPERIOD_OVERRIDE=FQ","FILING_STATUS=MR","SCALING_FORMAT=MLN","Sort=A","Dates=H","DateFormat=P","Fill=—","Direction=H","UseDPDF=Y")</f>
        <v>2393</v>
      </c>
      <c r="N67" s="13" cm="1">
        <f t="array" ref="N67">_xll.BDH("CMI US Equity","BS_SH_CAP_AND_APIC","FQ2 2021","FQ2 2021","Currency=USD","Period=FQ","BEST_FPERIOD_OVERRIDE=FQ","FILING_STATUS=MR","SCALING_FORMAT=MLN","Sort=A","Dates=H","DateFormat=P","Fill=—","Direction=H","UseDPDF=Y")</f>
        <v>2405</v>
      </c>
      <c r="O67" s="13" cm="1">
        <f t="array" ref="O67">_xll.BDH("CMI US Equity","BS_SH_CAP_AND_APIC","FQ3 2021","FQ3 2021","Currency=USD","Period=FQ","BEST_FPERIOD_OVERRIDE=FQ","FILING_STATUS=MR","SCALING_FORMAT=MLN","Sort=A","Dates=H","DateFormat=P","Fill=—","Direction=H","UseDPDF=Y")</f>
        <v>2412</v>
      </c>
      <c r="P67" s="13" cm="1">
        <f t="array" ref="P67">_xll.BDH("CMI US Equity","BS_SH_CAP_AND_APIC","FQ4 2021","FQ4 2021","Currency=USD","Period=FQ","BEST_FPERIOD_OVERRIDE=FQ","FILING_STATUS=MR","SCALING_FORMAT=MLN","Sort=A","Dates=H","DateFormat=P","Fill=—","Direction=H","UseDPDF=Y")</f>
        <v>2427</v>
      </c>
      <c r="Q67" s="13" cm="1">
        <f t="array" ref="Q67">_xll.BDH("CMI US Equity","BS_SH_CAP_AND_APIC","FQ1 2022","FQ1 2022","Currency=USD","Period=FQ","BEST_FPERIOD_OVERRIDE=FQ","FILING_STATUS=MR","SCALING_FORMAT=MLN","Sort=A","Dates=H","DateFormat=P","Fill=—","Direction=H","UseDPDF=Y")</f>
        <v>2411</v>
      </c>
      <c r="R67" s="13" cm="1">
        <f t="array" ref="R67">_xll.BDH("CMI US Equity","BS_SH_CAP_AND_APIC","FQ2 2022","FQ2 2022","Currency=USD","Period=FQ","BEST_FPERIOD_OVERRIDE=FQ","FILING_STATUS=MR","SCALING_FORMAT=MLN","Sort=A","Dates=H","DateFormat=P","Fill=—","Direction=H","UseDPDF=Y")</f>
        <v>2423</v>
      </c>
      <c r="S67" s="13" cm="1">
        <f t="array" ref="S67">_xll.BDH("CMI US Equity","BS_SH_CAP_AND_APIC","FQ3 2022","FQ3 2022","Currency=USD","Period=FQ","BEST_FPERIOD_OVERRIDE=FQ","FILING_STATUS=MR","SCALING_FORMAT=MLN","Sort=A","Dates=H","DateFormat=P","Fill=—","Direction=H","UseDPDF=Y")</f>
        <v>2214</v>
      </c>
      <c r="T67" s="13" cm="1">
        <f t="array" ref="T67">_xll.BDH("CMI US Equity","BS_SH_CAP_AND_APIC","FQ4 2022","FQ4 2022","Currency=USD","Period=FQ","BEST_FPERIOD_OVERRIDE=FQ","FILING_STATUS=MR","SCALING_FORMAT=MLN","Sort=A","Dates=H","DateFormat=P","Fill=—","Direction=H","UseDPDF=Y")</f>
        <v>2243</v>
      </c>
      <c r="U67" s="13" cm="1">
        <f t="array" ref="U67">_xll.BDH("CMI US Equity","BS_SH_CAP_AND_APIC","FQ1 2023","FQ1 2023","Currency=USD","Period=FQ","BEST_FPERIOD_OVERRIDE=FQ","FILING_STATUS=MR","SCALING_FORMAT=MLN","Sort=A","Dates=H","DateFormat=P","Fill=—","Direction=H","UseDPDF=Y")</f>
        <v>2230</v>
      </c>
      <c r="V67" s="13" cm="1">
        <f t="array" ref="V67">_xll.BDH("CMI US Equity","BS_SH_CAP_AND_APIC","FQ2 2023","FQ2 2023","Currency=USD","Period=FQ","BEST_FPERIOD_OVERRIDE=FQ","FILING_STATUS=MR","SCALING_FORMAT=MLN","Sort=A","Dates=H","DateFormat=P","Fill=—","Direction=H","UseDPDF=Y")</f>
        <v>2532</v>
      </c>
      <c r="W67" s="13" cm="1">
        <f t="array" ref="W67">_xll.BDH("CMI US Equity","BS_SH_CAP_AND_APIC","FQ3 2023","FQ3 2023","Currency=USD","Period=FQ","BEST_FPERIOD_OVERRIDE=FQ","FILING_STATUS=MR","SCALING_FORMAT=MLN","Sort=A","Dates=H","DateFormat=P","Fill=—","Direction=H","UseDPDF=Y")</f>
        <v>2558</v>
      </c>
      <c r="X67" s="13" cm="1">
        <f t="array" ref="X67">_xll.BDH("CMI US Equity","BS_SH_CAP_AND_APIC","FQ4 2023","FQ4 2023","Currency=USD","Period=FQ","BEST_FPERIOD_OVERRIDE=FQ","FILING_STATUS=MR","SCALING_FORMAT=MLN","Sort=A","Dates=H","DateFormat=P","Fill=—","Direction=H","UseDPDF=Y")</f>
        <v>2564</v>
      </c>
      <c r="Y67" s="13" cm="1">
        <f t="array" ref="Y67">_xll.BDH("CMI US Equity","BS_SH_CAP_AND_APIC","FQ1 2024","FQ1 2024","Currency=USD","Period=FQ","BEST_FPERIOD_OVERRIDE=FQ","FILING_STATUS=MR","SCALING_FORMAT=MLN","Sort=A","Dates=H","DateFormat=P","Fill=—","Direction=H","UseDPDF=Y")</f>
        <v>2557</v>
      </c>
      <c r="Z67" s="13" cm="1">
        <f t="array" ref="Z67">_xll.BDH("CMI US Equity","BS_SH_CAP_AND_APIC","FQ2 2024","FQ2 2024","Currency=USD","Period=FQ","BEST_FPERIOD_OVERRIDE=FQ","FILING_STATUS=MR","SCALING_FORMAT=MLN","Sort=A","Dates=H","DateFormat=P","Fill=—","Direction=H","UseDPDF=Y")</f>
        <v>2582</v>
      </c>
      <c r="AA67" s="13" cm="1">
        <f t="array" ref="AA67">_xll.BDH("CMI US Equity","BS_SH_CAP_AND_APIC","FQ3 2024","FQ3 2024","Currency=USD","Period=FQ","BEST_FPERIOD_OVERRIDE=FQ","FILING_STATUS=MR","SCALING_FORMAT=MLN","Sort=A","Dates=H","DateFormat=P","Fill=—","Direction=H","UseDPDF=Y")</f>
        <v>2612</v>
      </c>
      <c r="AB67" s="13" cm="1">
        <f t="array" ref="AB67">_xll.BDH("CMI US Equity","BS_SH_CAP_AND_APIC","FQ4 2024","FQ4 2024","Currency=USD","Period=FQ","BEST_FPERIOD_OVERRIDE=FQ","FILING_STATUS=MR","SCALING_FORMAT=MLN","Sort=A","Dates=H","DateFormat=P","Fill=—","Direction=H","UseDPDF=Y")</f>
        <v>2636</v>
      </c>
      <c r="AC67" s="13" cm="1">
        <f t="array" ref="AC67">_xll.BDH("CMI US Equity","BS_SH_CAP_AND_APIC","FQ1 2025","FQ1 2025","Currency=USD","Period=FQ","BEST_FPERIOD_OVERRIDE=FQ","FILING_STATUS=MR","SCALING_FORMAT=MLN","Sort=A","Dates=H","DateFormat=P","Fill=—","Direction=H","UseDPDF=Y")</f>
        <v>2600</v>
      </c>
      <c r="AD67" s="13" cm="1">
        <f t="array" ref="AD67">_xll.BDH("CMI US Equity","BS_SH_CAP_AND_APIC","FQ2 2025","FQ2 2025","Currency=USD","Period=FQ","BEST_FPERIOD_OVERRIDE=FQ","FILING_STATUS=MR","SCALING_FORMAT=MLN","Sort=A","Dates=H","DateFormat=P","Fill=—","Direction=H","UseDPDF=Y")</f>
        <v>2624</v>
      </c>
      <c r="AE67" s="13" cm="1">
        <f t="array" ref="AE67">_xll.BDH("CMI US Equity","BS_SH_CAP_AND_APIC","FQ3 2025","FQ3 2025","Currency=USD","Period=FQ","BEST_FPERIOD_OVERRIDE=FQ","FILING_STATUS=MR","SCALING_FORMAT=MLN","Sort=A","Dates=H","DateFormat=P","Fill=—","Direction=H","UseDPDF=Y")</f>
        <v>2651</v>
      </c>
      <c r="AF67" s="13" cm="1">
        <f t="array" ref="AF67">_xll.BDH("CMI US Equity","BS_SH_CAP_AND_APIC","FQ4 2025","FQ4 2025","Currency=USD","Period=FQ","BEST_FPERIOD_OVERRIDE=FQ","FILING_STATUS=MR","SCALING_FORMAT=MLN","Sort=A","Dates=H","DateFormat=P","Fill=—","Direction=H","UseDPDF=Y")</f>
        <v>2673</v>
      </c>
    </row>
    <row r="68" spans="1:32" x14ac:dyDescent="0.25">
      <c r="A68" s="10" t="s">
        <v>181</v>
      </c>
      <c r="B68" s="10" t="s">
        <v>182</v>
      </c>
      <c r="C68" s="13" cm="1">
        <f t="array" ref="C68">_xll.BDH("CMI US Equity","BS_COMMON_STOCK","FQ3 2018","FQ3 2018","Currency=USD","Period=FQ","BEST_FPERIOD_OVERRIDE=FQ","FILING_STATUS=MR","SCALING_FORMAT=MLN","Sort=A","Dates=H","DateFormat=P","Fill=—","Direction=H","UseDPDF=Y")</f>
        <v>556</v>
      </c>
      <c r="D68" s="13" cm="1">
        <f t="array" ref="D68">_xll.BDH("CMI US Equity","BS_COMMON_STOCK","FQ4 2018","FQ4 2018","Currency=USD","Period=FQ","BEST_FPERIOD_OVERRIDE=FQ","FILING_STATUS=MR","SCALING_FORMAT=MLN","Sort=A","Dates=H","DateFormat=P","Fill=—","Direction=H","UseDPDF=Y")</f>
        <v>556</v>
      </c>
      <c r="E68" s="13" cm="1">
        <f t="array" ref="E68">_xll.BDH("CMI US Equity","BS_COMMON_STOCK","FQ1 2019","FQ1 2019","Currency=USD","Period=FQ","BEST_FPERIOD_OVERRIDE=FQ","FILING_STATUS=MR","SCALING_FORMAT=MLN","Sort=A","Dates=H","DateFormat=P","Fill=—","Direction=H","UseDPDF=Y")</f>
        <v>556</v>
      </c>
      <c r="F68" s="13" cm="1">
        <f t="array" ref="F68">_xll.BDH("CMI US Equity","BS_COMMON_STOCK","FQ2 2019","FQ2 2019","Currency=USD","Period=FQ","BEST_FPERIOD_OVERRIDE=FQ","FILING_STATUS=MR","SCALING_FORMAT=MLN","Sort=A","Dates=H","DateFormat=P","Fill=—","Direction=H","UseDPDF=Y")</f>
        <v>556</v>
      </c>
      <c r="G68" s="13" cm="1">
        <f t="array" ref="G68">_xll.BDH("CMI US Equity","BS_COMMON_STOCK","FQ3 2019","FQ3 2019","Currency=USD","Period=FQ","BEST_FPERIOD_OVERRIDE=FQ","FILING_STATUS=MR","SCALING_FORMAT=MLN","Sort=A","Dates=H","DateFormat=P","Fill=—","Direction=H","UseDPDF=Y")</f>
        <v>556</v>
      </c>
      <c r="H68" s="13" cm="1">
        <f t="array" ref="H68">_xll.BDH("CMI US Equity","BS_COMMON_STOCK","FQ4 2019","FQ4 2019","Currency=USD","Period=FQ","BEST_FPERIOD_OVERRIDE=FQ","FILING_STATUS=MR","SCALING_FORMAT=MLN","Sort=A","Dates=H","DateFormat=P","Fill=—","Direction=H","UseDPDF=Y")</f>
        <v>556</v>
      </c>
      <c r="I68" s="13" cm="1">
        <f t="array" ref="I68">_xll.BDH("CMI US Equity","BS_COMMON_STOCK","FQ1 2020","FQ1 2020","Currency=USD","Period=FQ","BEST_FPERIOD_OVERRIDE=FQ","FILING_STATUS=MR","SCALING_FORMAT=MLN","Sort=A","Dates=H","DateFormat=P","Fill=—","Direction=H","UseDPDF=Y")</f>
        <v>556</v>
      </c>
      <c r="J68" s="13" cm="1">
        <f t="array" ref="J68">_xll.BDH("CMI US Equity","BS_COMMON_STOCK","FQ2 2020","FQ2 2020","Currency=USD","Period=FQ","BEST_FPERIOD_OVERRIDE=FQ","FILING_STATUS=MR","SCALING_FORMAT=MLN","Sort=A","Dates=H","DateFormat=P","Fill=—","Direction=H","UseDPDF=Y")</f>
        <v>556</v>
      </c>
      <c r="K68" s="13" cm="1">
        <f t="array" ref="K68">_xll.BDH("CMI US Equity","BS_COMMON_STOCK","FQ3 2020","FQ3 2020","Currency=USD","Period=FQ","BEST_FPERIOD_OVERRIDE=FQ","FILING_STATUS=MR","SCALING_FORMAT=MLN","Sort=A","Dates=H","DateFormat=P","Fill=—","Direction=H","UseDPDF=Y")</f>
        <v>556</v>
      </c>
      <c r="L68" s="13" cm="1">
        <f t="array" ref="L68">_xll.BDH("CMI US Equity","BS_COMMON_STOCK","FQ4 2020","FQ4 2020","Currency=USD","Period=FQ","BEST_FPERIOD_OVERRIDE=FQ","FILING_STATUS=MR","SCALING_FORMAT=MLN","Sort=A","Dates=H","DateFormat=P","Fill=—","Direction=H","UseDPDF=Y")</f>
        <v>556</v>
      </c>
      <c r="M68" s="13" cm="1">
        <f t="array" ref="M68">_xll.BDH("CMI US Equity","BS_COMMON_STOCK","FQ1 2021","FQ1 2021","Currency=USD","Period=FQ","BEST_FPERIOD_OVERRIDE=FQ","FILING_STATUS=MR","SCALING_FORMAT=MLN","Sort=A","Dates=H","DateFormat=P","Fill=—","Direction=H","UseDPDF=Y")</f>
        <v>556</v>
      </c>
      <c r="N68" s="13" cm="1">
        <f t="array" ref="N68">_xll.BDH("CMI US Equity","BS_COMMON_STOCK","FQ2 2021","FQ2 2021","Currency=USD","Period=FQ","BEST_FPERIOD_OVERRIDE=FQ","FILING_STATUS=MR","SCALING_FORMAT=MLN","Sort=A","Dates=H","DateFormat=P","Fill=—","Direction=H","UseDPDF=Y")</f>
        <v>556</v>
      </c>
      <c r="O68" s="13" cm="1">
        <f t="array" ref="O68">_xll.BDH("CMI US Equity","BS_COMMON_STOCK","FQ3 2021","FQ3 2021","Currency=USD","Period=FQ","BEST_FPERIOD_OVERRIDE=FQ","FILING_STATUS=MR","SCALING_FORMAT=MLN","Sort=A","Dates=H","DateFormat=P","Fill=—","Direction=H","UseDPDF=Y")</f>
        <v>556</v>
      </c>
      <c r="P68" s="13" cm="1">
        <f t="array" ref="P68">_xll.BDH("CMI US Equity","BS_COMMON_STOCK","FQ4 2021","FQ4 2021","Currency=USD","Period=FQ","BEST_FPERIOD_OVERRIDE=FQ","FILING_STATUS=MR","SCALING_FORMAT=MLN","Sort=A","Dates=H","DateFormat=P","Fill=—","Direction=H","UseDPDF=Y")</f>
        <v>556</v>
      </c>
      <c r="Q68" s="13" cm="1">
        <f t="array" ref="Q68">_xll.BDH("CMI US Equity","BS_COMMON_STOCK","FQ1 2022","FQ1 2022","Currency=USD","Period=FQ","BEST_FPERIOD_OVERRIDE=FQ","FILING_STATUS=MR","SCALING_FORMAT=MLN","Sort=A","Dates=H","DateFormat=P","Fill=—","Direction=H","UseDPDF=Y")</f>
        <v>556</v>
      </c>
      <c r="R68" s="13" cm="1">
        <f t="array" ref="R68">_xll.BDH("CMI US Equity","BS_COMMON_STOCK","FQ2 2022","FQ2 2022","Currency=USD","Period=FQ","BEST_FPERIOD_OVERRIDE=FQ","FILING_STATUS=MR","SCALING_FORMAT=MLN","Sort=A","Dates=H","DateFormat=P","Fill=—","Direction=H","UseDPDF=Y")</f>
        <v>556</v>
      </c>
      <c r="S68" s="13" cm="1">
        <f t="array" ref="S68">_xll.BDH("CMI US Equity","BS_COMMON_STOCK","FQ3 2022","FQ3 2022","Currency=USD","Period=FQ","BEST_FPERIOD_OVERRIDE=FQ","FILING_STATUS=MR","SCALING_FORMAT=MLN","Sort=A","Dates=H","DateFormat=P","Fill=—","Direction=H","UseDPDF=Y")</f>
        <v>556</v>
      </c>
      <c r="T68" s="13" cm="1">
        <f t="array" ref="T68">_xll.BDH("CMI US Equity","BS_COMMON_STOCK","FQ4 2022","FQ4 2022","Currency=USD","Period=FQ","BEST_FPERIOD_OVERRIDE=FQ","FILING_STATUS=MR","SCALING_FORMAT=MLN","Sort=A","Dates=H","DateFormat=P","Fill=—","Direction=H","UseDPDF=Y")</f>
        <v>556</v>
      </c>
      <c r="U68" s="13" cm="1">
        <f t="array" ref="U68">_xll.BDH("CMI US Equity","BS_COMMON_STOCK","FQ1 2023","FQ1 2023","Currency=USD","Period=FQ","BEST_FPERIOD_OVERRIDE=FQ","FILING_STATUS=MR","SCALING_FORMAT=MLN","Sort=A","Dates=H","DateFormat=P","Fill=—","Direction=H","UseDPDF=Y")</f>
        <v>556</v>
      </c>
      <c r="V68" s="13" cm="1">
        <f t="array" ref="V68">_xll.BDH("CMI US Equity","BS_COMMON_STOCK","FQ2 2023","FQ2 2023","Currency=USD","Period=FQ","BEST_FPERIOD_OVERRIDE=FQ","FILING_STATUS=MR","SCALING_FORMAT=MLN","Sort=A","Dates=H","DateFormat=P","Fill=—","Direction=H","UseDPDF=Y")</f>
        <v>556</v>
      </c>
      <c r="W68" s="13" cm="1">
        <f t="array" ref="W68">_xll.BDH("CMI US Equity","BS_COMMON_STOCK","FQ3 2023","FQ3 2023","Currency=USD","Period=FQ","BEST_FPERIOD_OVERRIDE=FQ","FILING_STATUS=MR","SCALING_FORMAT=MLN","Sort=A","Dates=H","DateFormat=P","Fill=—","Direction=H","UseDPDF=Y")</f>
        <v>556</v>
      </c>
      <c r="X68" s="13" cm="1">
        <f t="array" ref="X68">_xll.BDH("CMI US Equity","BS_COMMON_STOCK","FQ4 2023","FQ4 2023","Currency=USD","Period=FQ","BEST_FPERIOD_OVERRIDE=FQ","FILING_STATUS=MR","SCALING_FORMAT=MLN","Sort=A","Dates=H","DateFormat=P","Fill=—","Direction=H","UseDPDF=Y")</f>
        <v>556</v>
      </c>
      <c r="Y68" s="13" cm="1">
        <f t="array" ref="Y68">_xll.BDH("CMI US Equity","BS_COMMON_STOCK","FQ1 2024","FQ1 2024","Currency=USD","Period=FQ","BEST_FPERIOD_OVERRIDE=FQ","FILING_STATUS=MR","SCALING_FORMAT=MLN","Sort=A","Dates=H","DateFormat=P","Fill=—","Direction=H","UseDPDF=Y")</f>
        <v>556</v>
      </c>
      <c r="Z68" s="13" cm="1">
        <f t="array" ref="Z68">_xll.BDH("CMI US Equity","BS_COMMON_STOCK","FQ2 2024","FQ2 2024","Currency=USD","Period=FQ","BEST_FPERIOD_OVERRIDE=FQ","FILING_STATUS=MR","SCALING_FORMAT=MLN","Sort=A","Dates=H","DateFormat=P","Fill=—","Direction=H","UseDPDF=Y")</f>
        <v>556</v>
      </c>
      <c r="AA68" s="13" cm="1">
        <f t="array" ref="AA68">_xll.BDH("CMI US Equity","BS_COMMON_STOCK","FQ3 2024","FQ3 2024","Currency=USD","Period=FQ","BEST_FPERIOD_OVERRIDE=FQ","FILING_STATUS=MR","SCALING_FORMAT=MLN","Sort=A","Dates=H","DateFormat=P","Fill=—","Direction=H","UseDPDF=Y")</f>
        <v>556</v>
      </c>
      <c r="AB68" s="13" cm="1">
        <f t="array" ref="AB68">_xll.BDH("CMI US Equity","BS_COMMON_STOCK","FQ4 2024","FQ4 2024","Currency=USD","Period=FQ","BEST_FPERIOD_OVERRIDE=FQ","FILING_STATUS=MR","SCALING_FORMAT=MLN","Sort=A","Dates=H","DateFormat=P","Fill=—","Direction=H","UseDPDF=Y")</f>
        <v>556</v>
      </c>
      <c r="AC68" s="13" cm="1">
        <f t="array" ref="AC68">_xll.BDH("CMI US Equity","BS_COMMON_STOCK","FQ1 2025","FQ1 2025","Currency=USD","Period=FQ","BEST_FPERIOD_OVERRIDE=FQ","FILING_STATUS=MR","SCALING_FORMAT=MLN","Sort=A","Dates=H","DateFormat=P","Fill=—","Direction=H","UseDPDF=Y")</f>
        <v>556.25</v>
      </c>
      <c r="AD68" s="13" cm="1">
        <f t="array" ref="AD68">_xll.BDH("CMI US Equity","BS_COMMON_STOCK","FQ2 2025","FQ2 2025","Currency=USD","Period=FQ","BEST_FPERIOD_OVERRIDE=FQ","FILING_STATUS=MR","SCALING_FORMAT=MLN","Sort=A","Dates=H","DateFormat=P","Fill=—","Direction=H","UseDPDF=Y")</f>
        <v>556</v>
      </c>
      <c r="AE68" s="13" cm="1">
        <f t="array" ref="AE68">_xll.BDH("CMI US Equity","BS_COMMON_STOCK","FQ3 2025","FQ3 2025","Currency=USD","Period=FQ","BEST_FPERIOD_OVERRIDE=FQ","FILING_STATUS=MR","SCALING_FORMAT=MLN","Sort=A","Dates=H","DateFormat=P","Fill=—","Direction=H","UseDPDF=Y")</f>
        <v>556</v>
      </c>
      <c r="AF68" s="13" cm="1">
        <f t="array" ref="AF68">_xll.BDH("CMI US Equity","BS_COMMON_STOCK","FQ4 2025","FQ4 2025","Currency=USD","Period=FQ","BEST_FPERIOD_OVERRIDE=FQ","FILING_STATUS=MR","SCALING_FORMAT=MLN","Sort=A","Dates=H","DateFormat=P","Fill=—","Direction=H","UseDPDF=Y")</f>
        <v>556</v>
      </c>
    </row>
    <row r="69" spans="1:32" x14ac:dyDescent="0.25">
      <c r="A69" s="10" t="s">
        <v>183</v>
      </c>
      <c r="B69" s="10" t="s">
        <v>184</v>
      </c>
      <c r="C69" s="13" cm="1">
        <f t="array" ref="C69">_xll.BDH("CMI US Equity","BS_ADD_PAID_IN_CAP","FQ3 2018","FQ3 2018","Currency=USD","Period=FQ","BEST_FPERIOD_OVERRIDE=FQ","FILING_STATUS=MR","SCALING_FORMAT=MLN","Sort=A","Dates=H","DateFormat=P","Fill=—","Direction=H","UseDPDF=Y")</f>
        <v>1595</v>
      </c>
      <c r="D69" s="13" cm="1">
        <f t="array" ref="D69">_xll.BDH("CMI US Equity","BS_ADD_PAID_IN_CAP","FQ4 2018","FQ4 2018","Currency=USD","Period=FQ","BEST_FPERIOD_OVERRIDE=FQ","FILING_STATUS=MR","SCALING_FORMAT=MLN","Sort=A","Dates=H","DateFormat=P","Fill=—","Direction=H","UseDPDF=Y")</f>
        <v>1715</v>
      </c>
      <c r="E69" s="13" cm="1">
        <f t="array" ref="E69">_xll.BDH("CMI US Equity","BS_ADD_PAID_IN_CAP","FQ1 2019","FQ1 2019","Currency=USD","Period=FQ","BEST_FPERIOD_OVERRIDE=FQ","FILING_STATUS=MR","SCALING_FORMAT=MLN","Sort=A","Dates=H","DateFormat=P","Fill=—","Direction=H","UseDPDF=Y")</f>
        <v>1717</v>
      </c>
      <c r="F69" s="13" cm="1">
        <f t="array" ref="F69">_xll.BDH("CMI US Equity","BS_ADD_PAID_IN_CAP","FQ2 2019","FQ2 2019","Currency=USD","Period=FQ","BEST_FPERIOD_OVERRIDE=FQ","FILING_STATUS=MR","SCALING_FORMAT=MLN","Sort=A","Dates=H","DateFormat=P","Fill=—","Direction=H","UseDPDF=Y")</f>
        <v>1751</v>
      </c>
      <c r="G69" s="13" cm="1">
        <f t="array" ref="G69">_xll.BDH("CMI US Equity","BS_ADD_PAID_IN_CAP","FQ3 2019","FQ3 2019","Currency=USD","Period=FQ","BEST_FPERIOD_OVERRIDE=FQ","FILING_STATUS=MR","SCALING_FORMAT=MLN","Sort=A","Dates=H","DateFormat=P","Fill=—","Direction=H","UseDPDF=Y")</f>
        <v>1766</v>
      </c>
      <c r="H69" s="13" cm="1">
        <f t="array" ref="H69">_xll.BDH("CMI US Equity","BS_ADD_PAID_IN_CAP","FQ4 2019","FQ4 2019","Currency=USD","Period=FQ","BEST_FPERIOD_OVERRIDE=FQ","FILING_STATUS=MR","SCALING_FORMAT=MLN","Sort=A","Dates=H","DateFormat=P","Fill=—","Direction=H","UseDPDF=Y")</f>
        <v>1790</v>
      </c>
      <c r="I69" s="13" cm="1">
        <f t="array" ref="I69">_xll.BDH("CMI US Equity","BS_ADD_PAID_IN_CAP","FQ1 2020","FQ1 2020","Currency=USD","Period=FQ","BEST_FPERIOD_OVERRIDE=FQ","FILING_STATUS=MR","SCALING_FORMAT=MLN","Sort=A","Dates=H","DateFormat=P","Fill=—","Direction=H","UseDPDF=Y")</f>
        <v>1779</v>
      </c>
      <c r="J69" s="13" cm="1">
        <f t="array" ref="J69">_xll.BDH("CMI US Equity","BS_ADD_PAID_IN_CAP","FQ2 2020","FQ2 2020","Currency=USD","Period=FQ","BEST_FPERIOD_OVERRIDE=FQ","FILING_STATUS=MR","SCALING_FORMAT=MLN","Sort=A","Dates=H","DateFormat=P","Fill=—","Direction=H","UseDPDF=Y")</f>
        <v>1797</v>
      </c>
      <c r="K69" s="13" cm="1">
        <f t="array" ref="K69">_xll.BDH("CMI US Equity","BS_ADD_PAID_IN_CAP","FQ3 2020","FQ3 2020","Currency=USD","Period=FQ","BEST_FPERIOD_OVERRIDE=FQ","FILING_STATUS=MR","SCALING_FORMAT=MLN","Sort=A","Dates=H","DateFormat=P","Fill=—","Direction=H","UseDPDF=Y")</f>
        <v>1829</v>
      </c>
      <c r="L69" s="13" cm="1">
        <f t="array" ref="L69">_xll.BDH("CMI US Equity","BS_ADD_PAID_IN_CAP","FQ4 2020","FQ4 2020","Currency=USD","Period=FQ","BEST_FPERIOD_OVERRIDE=FQ","FILING_STATUS=MR","SCALING_FORMAT=MLN","Sort=A","Dates=H","DateFormat=P","Fill=—","Direction=H","UseDPDF=Y")</f>
        <v>1848</v>
      </c>
      <c r="M69" s="13" cm="1">
        <f t="array" ref="M69">_xll.BDH("CMI US Equity","BS_ADD_PAID_IN_CAP","FQ1 2021","FQ1 2021","Currency=USD","Period=FQ","BEST_FPERIOD_OVERRIDE=FQ","FILING_STATUS=MR","SCALING_FORMAT=MLN","Sort=A","Dates=H","DateFormat=P","Fill=—","Direction=H","UseDPDF=Y")</f>
        <v>1837</v>
      </c>
      <c r="N69" s="13" cm="1">
        <f t="array" ref="N69">_xll.BDH("CMI US Equity","BS_ADD_PAID_IN_CAP","FQ2 2021","FQ2 2021","Currency=USD","Period=FQ","BEST_FPERIOD_OVERRIDE=FQ","FILING_STATUS=MR","SCALING_FORMAT=MLN","Sort=A","Dates=H","DateFormat=P","Fill=—","Direction=H","UseDPDF=Y")</f>
        <v>1849</v>
      </c>
      <c r="O69" s="13" cm="1">
        <f t="array" ref="O69">_xll.BDH("CMI US Equity","BS_ADD_PAID_IN_CAP","FQ3 2021","FQ3 2021","Currency=USD","Period=FQ","BEST_FPERIOD_OVERRIDE=FQ","FILING_STATUS=MR","SCALING_FORMAT=MLN","Sort=A","Dates=H","DateFormat=P","Fill=—","Direction=H","UseDPDF=Y")</f>
        <v>1856</v>
      </c>
      <c r="P69" s="13" cm="1">
        <f t="array" ref="P69">_xll.BDH("CMI US Equity","BS_ADD_PAID_IN_CAP","FQ4 2021","FQ4 2021","Currency=USD","Period=FQ","BEST_FPERIOD_OVERRIDE=FQ","FILING_STATUS=MR","SCALING_FORMAT=MLN","Sort=A","Dates=H","DateFormat=P","Fill=—","Direction=H","UseDPDF=Y")</f>
        <v>1871</v>
      </c>
      <c r="Q69" s="13" cm="1">
        <f t="array" ref="Q69">_xll.BDH("CMI US Equity","BS_ADD_PAID_IN_CAP","FQ1 2022","FQ1 2022","Currency=USD","Period=FQ","BEST_FPERIOD_OVERRIDE=FQ","FILING_STATUS=MR","SCALING_FORMAT=MLN","Sort=A","Dates=H","DateFormat=P","Fill=—","Direction=H","UseDPDF=Y")</f>
        <v>1855</v>
      </c>
      <c r="R69" s="13" cm="1">
        <f t="array" ref="R69">_xll.BDH("CMI US Equity","BS_ADD_PAID_IN_CAP","FQ2 2022","FQ2 2022","Currency=USD","Period=FQ","BEST_FPERIOD_OVERRIDE=FQ","FILING_STATUS=MR","SCALING_FORMAT=MLN","Sort=A","Dates=H","DateFormat=P","Fill=—","Direction=H","UseDPDF=Y")</f>
        <v>1867</v>
      </c>
      <c r="S69" s="13" cm="1">
        <f t="array" ref="S69">_xll.BDH("CMI US Equity","BS_ADD_PAID_IN_CAP","FQ3 2022","FQ3 2022","Currency=USD","Period=FQ","BEST_FPERIOD_OVERRIDE=FQ","FILING_STATUS=MR","SCALING_FORMAT=MLN","Sort=A","Dates=H","DateFormat=P","Fill=—","Direction=H","UseDPDF=Y")</f>
        <v>1658</v>
      </c>
      <c r="T69" s="13" cm="1">
        <f t="array" ref="T69">_xll.BDH("CMI US Equity","BS_ADD_PAID_IN_CAP","FQ4 2022","FQ4 2022","Currency=USD","Period=FQ","BEST_FPERIOD_OVERRIDE=FQ","FILING_STATUS=MR","SCALING_FORMAT=MLN","Sort=A","Dates=H","DateFormat=P","Fill=—","Direction=H","UseDPDF=Y")</f>
        <v>1687</v>
      </c>
      <c r="U69" s="13" cm="1">
        <f t="array" ref="U69">_xll.BDH("CMI US Equity","BS_ADD_PAID_IN_CAP","FQ1 2023","FQ1 2023","Currency=USD","Period=FQ","BEST_FPERIOD_OVERRIDE=FQ","FILING_STATUS=MR","SCALING_FORMAT=MLN","Sort=A","Dates=H","DateFormat=P","Fill=—","Direction=H","UseDPDF=Y")</f>
        <v>1674</v>
      </c>
      <c r="V69" s="13" cm="1">
        <f t="array" ref="V69">_xll.BDH("CMI US Equity","BS_ADD_PAID_IN_CAP","FQ2 2023","FQ2 2023","Currency=USD","Period=FQ","BEST_FPERIOD_OVERRIDE=FQ","FILING_STATUS=MR","SCALING_FORMAT=MLN","Sort=A","Dates=H","DateFormat=P","Fill=—","Direction=H","UseDPDF=Y")</f>
        <v>1976</v>
      </c>
      <c r="W69" s="13" cm="1">
        <f t="array" ref="W69">_xll.BDH("CMI US Equity","BS_ADD_PAID_IN_CAP","FQ3 2023","FQ3 2023","Currency=USD","Period=FQ","BEST_FPERIOD_OVERRIDE=FQ","FILING_STATUS=MR","SCALING_FORMAT=MLN","Sort=A","Dates=H","DateFormat=P","Fill=—","Direction=H","UseDPDF=Y")</f>
        <v>2002</v>
      </c>
      <c r="X69" s="13" cm="1">
        <f t="array" ref="X69">_xll.BDH("CMI US Equity","BS_ADD_PAID_IN_CAP","FQ4 2023","FQ4 2023","Currency=USD","Period=FQ","BEST_FPERIOD_OVERRIDE=FQ","FILING_STATUS=MR","SCALING_FORMAT=MLN","Sort=A","Dates=H","DateFormat=P","Fill=—","Direction=H","UseDPDF=Y")</f>
        <v>2008</v>
      </c>
      <c r="Y69" s="13" cm="1">
        <f t="array" ref="Y69">_xll.BDH("CMI US Equity","BS_ADD_PAID_IN_CAP","FQ1 2024","FQ1 2024","Currency=USD","Period=FQ","BEST_FPERIOD_OVERRIDE=FQ","FILING_STATUS=MR","SCALING_FORMAT=MLN","Sort=A","Dates=H","DateFormat=P","Fill=—","Direction=H","UseDPDF=Y")</f>
        <v>2001</v>
      </c>
      <c r="Z69" s="13" cm="1">
        <f t="array" ref="Z69">_xll.BDH("CMI US Equity","BS_ADD_PAID_IN_CAP","FQ2 2024","FQ2 2024","Currency=USD","Period=FQ","BEST_FPERIOD_OVERRIDE=FQ","FILING_STATUS=MR","SCALING_FORMAT=MLN","Sort=A","Dates=H","DateFormat=P","Fill=—","Direction=H","UseDPDF=Y")</f>
        <v>2026</v>
      </c>
      <c r="AA69" s="13" cm="1">
        <f t="array" ref="AA69">_xll.BDH("CMI US Equity","BS_ADD_PAID_IN_CAP","FQ3 2024","FQ3 2024","Currency=USD","Period=FQ","BEST_FPERIOD_OVERRIDE=FQ","FILING_STATUS=MR","SCALING_FORMAT=MLN","Sort=A","Dates=H","DateFormat=P","Fill=—","Direction=H","UseDPDF=Y")</f>
        <v>2056</v>
      </c>
      <c r="AB69" s="13" cm="1">
        <f t="array" ref="AB69">_xll.BDH("CMI US Equity","BS_ADD_PAID_IN_CAP","FQ4 2024","FQ4 2024","Currency=USD","Period=FQ","BEST_FPERIOD_OVERRIDE=FQ","FILING_STATUS=MR","SCALING_FORMAT=MLN","Sort=A","Dates=H","DateFormat=P","Fill=—","Direction=H","UseDPDF=Y")</f>
        <v>2080</v>
      </c>
      <c r="AC69" s="13" cm="1">
        <f t="array" ref="AC69">_xll.BDH("CMI US Equity","BS_ADD_PAID_IN_CAP","FQ1 2025","FQ1 2025","Currency=USD","Period=FQ","BEST_FPERIOD_OVERRIDE=FQ","FILING_STATUS=MR","SCALING_FORMAT=MLN","Sort=A","Dates=H","DateFormat=P","Fill=—","Direction=H","UseDPDF=Y")</f>
        <v>2043.75</v>
      </c>
      <c r="AD69" s="13" cm="1">
        <f t="array" ref="AD69">_xll.BDH("CMI US Equity","BS_ADD_PAID_IN_CAP","FQ2 2025","FQ2 2025","Currency=USD","Period=FQ","BEST_FPERIOD_OVERRIDE=FQ","FILING_STATUS=MR","SCALING_FORMAT=MLN","Sort=A","Dates=H","DateFormat=P","Fill=—","Direction=H","UseDPDF=Y")</f>
        <v>2068</v>
      </c>
      <c r="AE69" s="13" cm="1">
        <f t="array" ref="AE69">_xll.BDH("CMI US Equity","BS_ADD_PAID_IN_CAP","FQ3 2025","FQ3 2025","Currency=USD","Period=FQ","BEST_FPERIOD_OVERRIDE=FQ","FILING_STATUS=MR","SCALING_FORMAT=MLN","Sort=A","Dates=H","DateFormat=P","Fill=—","Direction=H","UseDPDF=Y")</f>
        <v>2095</v>
      </c>
      <c r="AF69" s="13" cm="1">
        <f t="array" ref="AF69">_xll.BDH("CMI US Equity","BS_ADD_PAID_IN_CAP","FQ4 2025","FQ4 2025","Currency=USD","Period=FQ","BEST_FPERIOD_OVERRIDE=FQ","FILING_STATUS=MR","SCALING_FORMAT=MLN","Sort=A","Dates=H","DateFormat=P","Fill=—","Direction=H","UseDPDF=Y")</f>
        <v>2117</v>
      </c>
    </row>
    <row r="70" spans="1:32" x14ac:dyDescent="0.25">
      <c r="A70" s="10" t="s">
        <v>185</v>
      </c>
      <c r="B70" s="10" t="s">
        <v>186</v>
      </c>
      <c r="C70" s="13" cm="1">
        <f t="array" ref="C70">_xll.BDH("CMI US Equity","BS_AMT_OF_TSY_STOCK","FQ3 2018","FQ3 2018","Currency=USD","Period=FQ","BEST_FPERIOD_OVERRIDE=FQ","FILING_STATUS=MR","SCALING_FORMAT=MLN","Sort=A","Dates=H","DateFormat=P","Fill=—","Direction=H","UseDPDF=Y")</f>
        <v>5674</v>
      </c>
      <c r="D70" s="13" cm="1">
        <f t="array" ref="D70">_xll.BDH("CMI US Equity","BS_AMT_OF_TSY_STOCK","FQ4 2018","FQ4 2018","Currency=USD","Period=FQ","BEST_FPERIOD_OVERRIDE=FQ","FILING_STATUS=MR","SCALING_FORMAT=MLN","Sort=A","Dates=H","DateFormat=P","Fill=—","Direction=H","UseDPDF=Y")</f>
        <v>6028</v>
      </c>
      <c r="E70" s="13" cm="1">
        <f t="array" ref="E70">_xll.BDH("CMI US Equity","BS_AMT_OF_TSY_STOCK","FQ1 2019","FQ1 2019","Currency=USD","Period=FQ","BEST_FPERIOD_OVERRIDE=FQ","FILING_STATUS=MR","SCALING_FORMAT=MLN","Sort=A","Dates=H","DateFormat=P","Fill=—","Direction=H","UseDPDF=Y")</f>
        <v>6111</v>
      </c>
      <c r="F70" s="13" cm="1">
        <f t="array" ref="F70">_xll.BDH("CMI US Equity","BS_AMT_OF_TSY_STOCK","FQ2 2019","FQ2 2019","Currency=USD","Period=FQ","BEST_FPERIOD_OVERRIDE=FQ","FILING_STATUS=MR","SCALING_FORMAT=MLN","Sort=A","Dates=H","DateFormat=P","Fill=—","Direction=H","UseDPDF=Y")</f>
        <v>6082</v>
      </c>
      <c r="G70" s="13" cm="1">
        <f t="array" ref="G70">_xll.BDH("CMI US Equity","BS_AMT_OF_TSY_STOCK","FQ3 2019","FQ3 2019","Currency=USD","Period=FQ","BEST_FPERIOD_OVERRIDE=FQ","FILING_STATUS=MR","SCALING_FORMAT=MLN","Sort=A","Dates=H","DateFormat=P","Fill=—","Direction=H","UseDPDF=Y")</f>
        <v>6784</v>
      </c>
      <c r="H70" s="13" cm="1">
        <f t="array" ref="H70">_xll.BDH("CMI US Equity","BS_AMT_OF_TSY_STOCK","FQ4 2019","FQ4 2019","Currency=USD","Period=FQ","BEST_FPERIOD_OVERRIDE=FQ","FILING_STATUS=MR","SCALING_FORMAT=MLN","Sort=A","Dates=H","DateFormat=P","Fill=—","Direction=H","UseDPDF=Y")</f>
        <v>7225</v>
      </c>
      <c r="I70" s="13" cm="1">
        <f t="array" ref="I70">_xll.BDH("CMI US Equity","BS_AMT_OF_TSY_STOCK","FQ1 2020","FQ1 2020","Currency=USD","Period=FQ","BEST_FPERIOD_OVERRIDE=FQ","FILING_STATUS=MR","SCALING_FORMAT=MLN","Sort=A","Dates=H","DateFormat=P","Fill=—","Direction=H","UseDPDF=Y")</f>
        <v>7744</v>
      </c>
      <c r="J70" s="13" cm="1">
        <f t="array" ref="J70">_xll.BDH("CMI US Equity","BS_AMT_OF_TSY_STOCK","FQ2 2020","FQ2 2020","Currency=USD","Period=FQ","BEST_FPERIOD_OVERRIDE=FQ","FILING_STATUS=MR","SCALING_FORMAT=MLN","Sort=A","Dates=H","DateFormat=P","Fill=—","Direction=H","UseDPDF=Y")</f>
        <v>7729</v>
      </c>
      <c r="K70" s="13" cm="1">
        <f t="array" ref="K70">_xll.BDH("CMI US Equity","BS_AMT_OF_TSY_STOCK","FQ3 2020","FQ3 2020","Currency=USD","Period=FQ","BEST_FPERIOD_OVERRIDE=FQ","FILING_STATUS=MR","SCALING_FORMAT=MLN","Sort=A","Dates=H","DateFormat=P","Fill=—","Direction=H","UseDPDF=Y")</f>
        <v>7696</v>
      </c>
      <c r="L70" s="13" cm="1">
        <f t="array" ref="L70">_xll.BDH("CMI US Equity","BS_AMT_OF_TSY_STOCK","FQ4 2020","FQ4 2020","Currency=USD","Period=FQ","BEST_FPERIOD_OVERRIDE=FQ","FILING_STATUS=MR","SCALING_FORMAT=MLN","Sort=A","Dates=H","DateFormat=P","Fill=—","Direction=H","UseDPDF=Y")</f>
        <v>7779</v>
      </c>
      <c r="M70" s="13" cm="1">
        <f t="array" ref="M70">_xll.BDH("CMI US Equity","BS_AMT_OF_TSY_STOCK","FQ1 2021","FQ1 2021","Currency=USD","Period=FQ","BEST_FPERIOD_OVERRIDE=FQ","FILING_STATUS=MR","SCALING_FORMAT=MLN","Sort=A","Dates=H","DateFormat=P","Fill=—","Direction=H","UseDPDF=Y")</f>
        <v>8172</v>
      </c>
      <c r="N70" s="13" cm="1">
        <f t="array" ref="N70">_xll.BDH("CMI US Equity","BS_AMT_OF_TSY_STOCK","FQ2 2021","FQ2 2021","Currency=USD","Period=FQ","BEST_FPERIOD_OVERRIDE=FQ","FILING_STATUS=MR","SCALING_FORMAT=MLN","Sort=A","Dates=H","DateFormat=P","Fill=—","Direction=H","UseDPDF=Y")</f>
        <v>8838</v>
      </c>
      <c r="O70" s="13" cm="1">
        <f t="array" ref="O70">_xll.BDH("CMI US Equity","BS_AMT_OF_TSY_STOCK","FQ3 2021","FQ3 2021","Currency=USD","Period=FQ","BEST_FPERIOD_OVERRIDE=FQ","FILING_STATUS=MR","SCALING_FORMAT=MLN","Sort=A","Dates=H","DateFormat=P","Fill=—","Direction=H","UseDPDF=Y")</f>
        <v>8974</v>
      </c>
      <c r="P70" s="13" cm="1">
        <f t="array" ref="P70">_xll.BDH("CMI US Equity","BS_AMT_OF_TSY_STOCK","FQ4 2021","FQ4 2021","Currency=USD","Period=FQ","BEST_FPERIOD_OVERRIDE=FQ","FILING_STATUS=MR","SCALING_FORMAT=MLN","Sort=A","Dates=H","DateFormat=P","Fill=—","Direction=H","UseDPDF=Y")</f>
        <v>9123</v>
      </c>
      <c r="Q70" s="13" cm="1">
        <f t="array" ref="Q70">_xll.BDH("CMI US Equity","BS_AMT_OF_TSY_STOCK","FQ1 2022","FQ1 2022","Currency=USD","Period=FQ","BEST_FPERIOD_OVERRIDE=FQ","FILING_STATUS=MR","SCALING_FORMAT=MLN","Sort=A","Dates=H","DateFormat=P","Fill=—","Direction=H","UseDPDF=Y")</f>
        <v>9412</v>
      </c>
      <c r="R70" s="13" cm="1">
        <f t="array" ref="R70">_xll.BDH("CMI US Equity","BS_AMT_OF_TSY_STOCK","FQ2 2022","FQ2 2022","Currency=USD","Period=FQ","BEST_FPERIOD_OVERRIDE=FQ","FILING_STATUS=MR","SCALING_FORMAT=MLN","Sort=A","Dates=H","DateFormat=P","Fill=—","Direction=H","UseDPDF=Y")</f>
        <v>9439</v>
      </c>
      <c r="S70" s="13" cm="1">
        <f t="array" ref="S70">_xll.BDH("CMI US Equity","BS_AMT_OF_TSY_STOCK","FQ3 2022","FQ3 2022","Currency=USD","Period=FQ","BEST_FPERIOD_OVERRIDE=FQ","FILING_STATUS=MR","SCALING_FORMAT=MLN","Sort=A","Dates=H","DateFormat=P","Fill=—","Direction=H","UseDPDF=Y")</f>
        <v>9449</v>
      </c>
      <c r="T70" s="13" cm="1">
        <f t="array" ref="T70">_xll.BDH("CMI US Equity","BS_AMT_OF_TSY_STOCK","FQ4 2022","FQ4 2022","Currency=USD","Period=FQ","BEST_FPERIOD_OVERRIDE=FQ","FILING_STATUS=MR","SCALING_FORMAT=MLN","Sort=A","Dates=H","DateFormat=P","Fill=—","Direction=H","UseDPDF=Y")</f>
        <v>9415</v>
      </c>
      <c r="U70" s="13" cm="1">
        <f t="array" ref="U70">_xll.BDH("CMI US Equity","BS_AMT_OF_TSY_STOCK","FQ1 2023","FQ1 2023","Currency=USD","Period=FQ","BEST_FPERIOD_OVERRIDE=FQ","FILING_STATUS=MR","SCALING_FORMAT=MLN","Sort=A","Dates=H","DateFormat=P","Fill=—","Direction=H","UseDPDF=Y")</f>
        <v>9389</v>
      </c>
      <c r="V70" s="13" cm="1">
        <f t="array" ref="V70">_xll.BDH("CMI US Equity","BS_AMT_OF_TSY_STOCK","FQ2 2023","FQ2 2023","Currency=USD","Period=FQ","BEST_FPERIOD_OVERRIDE=FQ","FILING_STATUS=MR","SCALING_FORMAT=MLN","Sort=A","Dates=H","DateFormat=P","Fill=—","Direction=H","UseDPDF=Y")</f>
        <v>9380</v>
      </c>
      <c r="W70" s="13" cm="1">
        <f t="array" ref="W70">_xll.BDH("CMI US Equity","BS_AMT_OF_TSY_STOCK","FQ3 2023","FQ3 2023","Currency=USD","Period=FQ","BEST_FPERIOD_OVERRIDE=FQ","FILING_STATUS=MR","SCALING_FORMAT=MLN","Sort=A","Dates=H","DateFormat=P","Fill=—","Direction=H","UseDPDF=Y")</f>
        <v>9369</v>
      </c>
      <c r="X70" s="13" cm="1">
        <f t="array" ref="X70">_xll.BDH("CMI US Equity","BS_AMT_OF_TSY_STOCK","FQ4 2023","FQ4 2023","Currency=USD","Period=FQ","BEST_FPERIOD_OVERRIDE=FQ","FILING_STATUS=MR","SCALING_FORMAT=MLN","Sort=A","Dates=H","DateFormat=P","Fill=—","Direction=H","UseDPDF=Y")</f>
        <v>9359</v>
      </c>
      <c r="Y70" s="13" cm="1">
        <f t="array" ref="Y70">_xll.BDH("CMI US Equity","BS_AMT_OF_TSY_STOCK","FQ1 2024","FQ1 2024","Currency=USD","Period=FQ","BEST_FPERIOD_OVERRIDE=FQ","FILING_STATUS=MR","SCALING_FORMAT=MLN","Sort=A","Dates=H","DateFormat=P","Fill=—","Direction=H","UseDPDF=Y")</f>
        <v>10831</v>
      </c>
      <c r="Z70" s="13" cm="1">
        <f t="array" ref="Z70">_xll.BDH("CMI US Equity","BS_AMT_OF_TSY_STOCK","FQ2 2024","FQ2 2024","Currency=USD","Period=FQ","BEST_FPERIOD_OVERRIDE=FQ","FILING_STATUS=MR","SCALING_FORMAT=MLN","Sort=A","Dates=H","DateFormat=P","Fill=—","Direction=H","UseDPDF=Y")</f>
        <v>10797</v>
      </c>
      <c r="AA70" s="13" cm="1">
        <f t="array" ref="AA70">_xll.BDH("CMI US Equity","BS_AMT_OF_TSY_STOCK","FQ3 2024","FQ3 2024","Currency=USD","Period=FQ","BEST_FPERIOD_OVERRIDE=FQ","FILING_STATUS=MR","SCALING_FORMAT=MLN","Sort=A","Dates=H","DateFormat=P","Fill=—","Direction=H","UseDPDF=Y")</f>
        <v>10783</v>
      </c>
      <c r="AB70" s="13" cm="1">
        <f t="array" ref="AB70">_xll.BDH("CMI US Equity","BS_AMT_OF_TSY_STOCK","FQ4 2024","FQ4 2024","Currency=USD","Period=FQ","BEST_FPERIOD_OVERRIDE=FQ","FILING_STATUS=MR","SCALING_FORMAT=MLN","Sort=A","Dates=H","DateFormat=P","Fill=—","Direction=H","UseDPDF=Y")</f>
        <v>10748</v>
      </c>
      <c r="AC70" s="13" cm="1">
        <f t="array" ref="AC70">_xll.BDH("CMI US Equity","BS_AMT_OF_TSY_STOCK","FQ1 2025","FQ1 2025","Currency=USD","Period=FQ","BEST_FPERIOD_OVERRIDE=FQ","FILING_STATUS=MR","SCALING_FORMAT=MLN","Sort=A","Dates=H","DateFormat=P","Fill=—","Direction=H","UseDPDF=Y")</f>
        <v>10711</v>
      </c>
      <c r="AD70" s="13" cm="1">
        <f t="array" ref="AD70">_xll.BDH("CMI US Equity","BS_AMT_OF_TSY_STOCK","FQ2 2025","FQ2 2025","Currency=USD","Period=FQ","BEST_FPERIOD_OVERRIDE=FQ","FILING_STATUS=MR","SCALING_FORMAT=MLN","Sort=A","Dates=H","DateFormat=P","Fill=—","Direction=H","UseDPDF=Y")</f>
        <v>10708</v>
      </c>
      <c r="AE70" s="13" cm="1">
        <f t="array" ref="AE70">_xll.BDH("CMI US Equity","BS_AMT_OF_TSY_STOCK","FQ3 2025","FQ3 2025","Currency=USD","Period=FQ","BEST_FPERIOD_OVERRIDE=FQ","FILING_STATUS=MR","SCALING_FORMAT=MLN","Sort=A","Dates=H","DateFormat=P","Fill=—","Direction=H","UseDPDF=Y")</f>
        <v>10676</v>
      </c>
      <c r="AF70" s="13" cm="1">
        <f t="array" ref="AF70">_xll.BDH("CMI US Equity","BS_AMT_OF_TSY_STOCK","FQ4 2025","FQ4 2025","Currency=USD","Period=FQ","BEST_FPERIOD_OVERRIDE=FQ","FILING_STATUS=MR","SCALING_FORMAT=MLN","Sort=A","Dates=H","DateFormat=P","Fill=—","Direction=H","UseDPDF=Y")</f>
        <v>10662</v>
      </c>
    </row>
    <row r="71" spans="1:32" x14ac:dyDescent="0.25">
      <c r="A71" s="10" t="s">
        <v>187</v>
      </c>
      <c r="B71" s="10" t="s">
        <v>188</v>
      </c>
      <c r="C71" s="13" cm="1">
        <f t="array" ref="C71">_xll.BDH("CMI US Equity","BS_PURE_RETAINED_EARNINGS","FQ3 2018","FQ3 2018","Currency=USD","Period=FQ","BEST_FPERIOD_OVERRIDE=FQ","FILING_STATUS=MR","SCALING_FORMAT=MLN","Sort=A","Dates=H","DateFormat=P","Fill=—","Direction=H","UseDPDF=Y")</f>
        <v>12519</v>
      </c>
      <c r="D71" s="13" cm="1">
        <f t="array" ref="D71">_xll.BDH("CMI US Equity","BS_PURE_RETAINED_EARNINGS","FQ4 2018","FQ4 2018","Currency=USD","Period=FQ","BEST_FPERIOD_OVERRIDE=FQ","FILING_STATUS=MR","SCALING_FORMAT=MLN","Sort=A","Dates=H","DateFormat=P","Fill=—","Direction=H","UseDPDF=Y")</f>
        <v>12917</v>
      </c>
      <c r="E71" s="13" cm="1">
        <f t="array" ref="E71">_xll.BDH("CMI US Equity","BS_PURE_RETAINED_EARNINGS","FQ1 2019","FQ1 2019","Currency=USD","Period=FQ","BEST_FPERIOD_OVERRIDE=FQ","FILING_STATUS=MR","SCALING_FORMAT=MLN","Sort=A","Dates=H","DateFormat=P","Fill=—","Direction=H","UseDPDF=Y")</f>
        <v>13401</v>
      </c>
      <c r="F71" s="13" cm="1">
        <f t="array" ref="F71">_xll.BDH("CMI US Equity","BS_PURE_RETAINED_EARNINGS","FQ2 2019","FQ2 2019","Currency=USD","Period=FQ","BEST_FPERIOD_OVERRIDE=FQ","FILING_STATUS=MR","SCALING_FORMAT=MLN","Sort=A","Dates=H","DateFormat=P","Fill=—","Direction=H","UseDPDF=Y")</f>
        <v>13897</v>
      </c>
      <c r="G71" s="13" cm="1">
        <f t="array" ref="G71">_xll.BDH("CMI US Equity","BS_PURE_RETAINED_EARNINGS","FQ3 2019","FQ3 2019","Currency=USD","Period=FQ","BEST_FPERIOD_OVERRIDE=FQ","FILING_STATUS=MR","SCALING_FORMAT=MLN","Sort=A","Dates=H","DateFormat=P","Fill=—","Direction=H","UseDPDF=Y")</f>
        <v>14315</v>
      </c>
      <c r="H71" s="13" cm="1">
        <f t="array" ref="H71">_xll.BDH("CMI US Equity","BS_PURE_RETAINED_EARNINGS","FQ4 2019","FQ4 2019","Currency=USD","Period=FQ","BEST_FPERIOD_OVERRIDE=FQ","FILING_STATUS=MR","SCALING_FORMAT=MLN","Sort=A","Dates=H","DateFormat=P","Fill=—","Direction=H","UseDPDF=Y")</f>
        <v>14416</v>
      </c>
      <c r="I71" s="13" cm="1">
        <f t="array" ref="I71">_xll.BDH("CMI US Equity","BS_PURE_RETAINED_EARNINGS","FQ1 2020","FQ1 2020","Currency=USD","Period=FQ","BEST_FPERIOD_OVERRIDE=FQ","FILING_STATUS=MR","SCALING_FORMAT=MLN","Sort=A","Dates=H","DateFormat=P","Fill=—","Direction=H","UseDPDF=Y")</f>
        <v>14728</v>
      </c>
      <c r="J71" s="13" cm="1">
        <f t="array" ref="J71">_xll.BDH("CMI US Equity","BS_PURE_RETAINED_EARNINGS","FQ2 2020","FQ2 2020","Currency=USD","Period=FQ","BEST_FPERIOD_OVERRIDE=FQ","FILING_STATUS=MR","SCALING_FORMAT=MLN","Sort=A","Dates=H","DateFormat=P","Fill=—","Direction=H","UseDPDF=Y")</f>
        <v>14811</v>
      </c>
      <c r="K71" s="13" cm="1">
        <f t="array" ref="K71">_xll.BDH("CMI US Equity","BS_PURE_RETAINED_EARNINGS","FQ3 2020","FQ3 2020","Currency=USD","Period=FQ","BEST_FPERIOD_OVERRIDE=FQ","FILING_STATUS=MR","SCALING_FORMAT=MLN","Sort=A","Dates=H","DateFormat=P","Fill=—","Direction=H","UseDPDF=Y")</f>
        <v>15118</v>
      </c>
      <c r="L71" s="13" cm="1">
        <f t="array" ref="L71">_xll.BDH("CMI US Equity","BS_PURE_RETAINED_EARNINGS","FQ4 2020","FQ4 2020","Currency=USD","Period=FQ","BEST_FPERIOD_OVERRIDE=FQ","FILING_STATUS=MR","SCALING_FORMAT=MLN","Sort=A","Dates=H","DateFormat=P","Fill=—","Direction=H","UseDPDF=Y")</f>
        <v>15419</v>
      </c>
      <c r="M71" s="13" cm="1">
        <f t="array" ref="M71">_xll.BDH("CMI US Equity","BS_PURE_RETAINED_EARNINGS","FQ1 2021","FQ1 2021","Currency=USD","Period=FQ","BEST_FPERIOD_OVERRIDE=FQ","FILING_STATUS=MR","SCALING_FORMAT=MLN","Sort=A","Dates=H","DateFormat=P","Fill=—","Direction=H","UseDPDF=Y")</f>
        <v>15825</v>
      </c>
      <c r="N71" s="13" cm="1">
        <f t="array" ref="N71">_xll.BDH("CMI US Equity","BS_PURE_RETAINED_EARNINGS","FQ2 2021","FQ2 2021","Currency=USD","Period=FQ","BEST_FPERIOD_OVERRIDE=FQ","FILING_STATUS=MR","SCALING_FORMAT=MLN","Sort=A","Dates=H","DateFormat=P","Fill=—","Direction=H","UseDPDF=Y")</f>
        <v>16228</v>
      </c>
      <c r="O71" s="13" cm="1">
        <f t="array" ref="O71">_xll.BDH("CMI US Equity","BS_PURE_RETAINED_EARNINGS","FQ3 2021","FQ3 2021","Currency=USD","Period=FQ","BEST_FPERIOD_OVERRIDE=FQ","FILING_STATUS=MR","SCALING_FORMAT=MLN","Sort=A","Dates=H","DateFormat=P","Fill=—","Direction=H","UseDPDF=Y")</f>
        <v>16555</v>
      </c>
      <c r="P71" s="13" cm="1">
        <f t="array" ref="P71">_xll.BDH("CMI US Equity","BS_PURE_RETAINED_EARNINGS","FQ4 2021","FQ4 2021","Currency=USD","Period=FQ","BEST_FPERIOD_OVERRIDE=FQ","FILING_STATUS=MR","SCALING_FORMAT=MLN","Sort=A","Dates=H","DateFormat=P","Fill=—","Direction=H","UseDPDF=Y")</f>
        <v>16741</v>
      </c>
      <c r="Q71" s="13" cm="1">
        <f t="array" ref="Q71">_xll.BDH("CMI US Equity","BS_PURE_RETAINED_EARNINGS","FQ1 2022","FQ1 2022","Currency=USD","Period=FQ","BEST_FPERIOD_OVERRIDE=FQ","FILING_STATUS=MR","SCALING_FORMAT=MLN","Sort=A","Dates=H","DateFormat=P","Fill=—","Direction=H","UseDPDF=Y")</f>
        <v>16952</v>
      </c>
      <c r="R71" s="13" cm="1">
        <f t="array" ref="R71">_xll.BDH("CMI US Equity","BS_PURE_RETAINED_EARNINGS","FQ2 2022","FQ2 2022","Currency=USD","Period=FQ","BEST_FPERIOD_OVERRIDE=FQ","FILING_STATUS=MR","SCALING_FORMAT=MLN","Sort=A","Dates=H","DateFormat=P","Fill=—","Direction=H","UseDPDF=Y")</f>
        <v>17450</v>
      </c>
      <c r="S71" s="13" cm="1">
        <f t="array" ref="S71">_xll.BDH("CMI US Equity","BS_PURE_RETAINED_EARNINGS","FQ3 2022","FQ3 2022","Currency=USD","Period=FQ","BEST_FPERIOD_OVERRIDE=FQ","FILING_STATUS=MR","SCALING_FORMAT=MLN","Sort=A","Dates=H","DateFormat=P","Fill=—","Direction=H","UseDPDF=Y")</f>
        <v>17628</v>
      </c>
      <c r="T71" s="13" cm="1">
        <f t="array" ref="T71">_xll.BDH("CMI US Equity","BS_PURE_RETAINED_EARNINGS","FQ4 2022","FQ4 2022","Currency=USD","Period=FQ","BEST_FPERIOD_OVERRIDE=FQ","FILING_STATUS=MR","SCALING_FORMAT=MLN","Sort=A","Dates=H","DateFormat=P","Fill=—","Direction=H","UseDPDF=Y")</f>
        <v>18037</v>
      </c>
      <c r="U71" s="13" cm="1">
        <f t="array" ref="U71">_xll.BDH("CMI US Equity","BS_PURE_RETAINED_EARNINGS","FQ1 2023","FQ1 2023","Currency=USD","Period=FQ","BEST_FPERIOD_OVERRIDE=FQ","FILING_STATUS=MR","SCALING_FORMAT=MLN","Sort=A","Dates=H","DateFormat=P","Fill=—","Direction=H","UseDPDF=Y")</f>
        <v>18605</v>
      </c>
      <c r="V71" s="13" cm="1">
        <f t="array" ref="V71">_xll.BDH("CMI US Equity","BS_PURE_RETAINED_EARNINGS","FQ2 2023","FQ2 2023","Currency=USD","Period=FQ","BEST_FPERIOD_OVERRIDE=FQ","FILING_STATUS=MR","SCALING_FORMAT=MLN","Sort=A","Dates=H","DateFormat=P","Fill=—","Direction=H","UseDPDF=Y")</f>
        <v>19102</v>
      </c>
      <c r="W71" s="13" cm="1">
        <f t="array" ref="W71">_xll.BDH("CMI US Equity","BS_PURE_RETAINED_EARNINGS","FQ3 2023","FQ3 2023","Currency=USD","Period=FQ","BEST_FPERIOD_OVERRIDE=FQ","FILING_STATUS=MR","SCALING_FORMAT=MLN","Sort=A","Dates=H","DateFormat=P","Fill=—","Direction=H","UseDPDF=Y")</f>
        <v>19520</v>
      </c>
      <c r="X71" s="13" cm="1">
        <f t="array" ref="X71">_xll.BDH("CMI US Equity","BS_PURE_RETAINED_EARNINGS","FQ4 2023","FQ4 2023","Currency=USD","Period=FQ","BEST_FPERIOD_OVERRIDE=FQ","FILING_STATUS=MR","SCALING_FORMAT=MLN","Sort=A","Dates=H","DateFormat=P","Fill=—","Direction=H","UseDPDF=Y")</f>
        <v>17851</v>
      </c>
      <c r="Y71" s="13" cm="1">
        <f t="array" ref="Y71">_xll.BDH("CMI US Equity","BS_PURE_RETAINED_EARNINGS","FQ1 2024","FQ1 2024","Currency=USD","Period=FQ","BEST_FPERIOD_OVERRIDE=FQ","FILING_STATUS=MR","SCALING_FORMAT=MLN","Sort=A","Dates=H","DateFormat=P","Fill=—","Direction=H","UseDPDF=Y")</f>
        <v>19605</v>
      </c>
      <c r="Z71" s="13" cm="1">
        <f t="array" ref="Z71">_xll.BDH("CMI US Equity","BS_PURE_RETAINED_EARNINGS","FQ2 2024","FQ2 2024","Currency=USD","Period=FQ","BEST_FPERIOD_OVERRIDE=FQ","FILING_STATUS=MR","SCALING_FORMAT=MLN","Sort=A","Dates=H","DateFormat=P","Fill=—","Direction=H","UseDPDF=Y")</f>
        <v>20101</v>
      </c>
      <c r="AA71" s="13" cm="1">
        <f t="array" ref="AA71">_xll.BDH("CMI US Equity","BS_PURE_RETAINED_EARNINGS","FQ3 2024","FQ3 2024","Currency=USD","Period=FQ","BEST_FPERIOD_OVERRIDE=FQ","FILING_STATUS=MR","SCALING_FORMAT=MLN","Sort=A","Dates=H","DateFormat=P","Fill=—","Direction=H","UseDPDF=Y")</f>
        <v>20660</v>
      </c>
      <c r="AB71" s="13" cm="1">
        <f t="array" ref="AB71">_xll.BDH("CMI US Equity","BS_PURE_RETAINED_EARNINGS","FQ4 2024","FQ4 2024","Currency=USD","Period=FQ","BEST_FPERIOD_OVERRIDE=FQ","FILING_STATUS=MR","SCALING_FORMAT=MLN","Sort=A","Dates=H","DateFormat=P","Fill=—","Direction=H","UseDPDF=Y")</f>
        <v>20828</v>
      </c>
      <c r="AC71" s="13" cm="1">
        <f t="array" ref="AC71">_xll.BDH("CMI US Equity","BS_PURE_RETAINED_EARNINGS","FQ1 2025","FQ1 2025","Currency=USD","Period=FQ","BEST_FPERIOD_OVERRIDE=FQ","FILING_STATUS=MR","SCALING_FORMAT=MLN","Sort=A","Dates=H","DateFormat=P","Fill=—","Direction=H","UseDPDF=Y")</f>
        <v>21401</v>
      </c>
      <c r="AD71" s="13" cm="1">
        <f t="array" ref="AD71">_xll.BDH("CMI US Equity","BS_PURE_RETAINED_EARNINGS","FQ2 2025","FQ2 2025","Currency=USD","Period=FQ","BEST_FPERIOD_OVERRIDE=FQ","FILING_STATUS=MR","SCALING_FORMAT=MLN","Sort=A","Dates=H","DateFormat=P","Fill=—","Direction=H","UseDPDF=Y")</f>
        <v>22040</v>
      </c>
      <c r="AE71" s="13" cm="1">
        <f t="array" ref="AE71">_xll.BDH("CMI US Equity","BS_PURE_RETAINED_EARNINGS","FQ3 2025","FQ3 2025","Currency=USD","Period=FQ","BEST_FPERIOD_OVERRIDE=FQ","FILING_STATUS=MR","SCALING_FORMAT=MLN","Sort=A","Dates=H","DateFormat=P","Fill=—","Direction=H","UseDPDF=Y")</f>
        <v>22300</v>
      </c>
      <c r="AF71" s="13" cm="1">
        <f t="array" ref="AF71">_xll.BDH("CMI US Equity","BS_PURE_RETAINED_EARNINGS","FQ4 2025","FQ4 2025","Currency=USD","Period=FQ","BEST_FPERIOD_OVERRIDE=FQ","FILING_STATUS=MR","SCALING_FORMAT=MLN","Sort=A","Dates=H","DateFormat=P","Fill=—","Direction=H","UseDPDF=Y")</f>
        <v>22616</v>
      </c>
    </row>
    <row r="72" spans="1:32" x14ac:dyDescent="0.25">
      <c r="A72" s="10" t="s">
        <v>189</v>
      </c>
      <c r="B72" s="10" t="s">
        <v>190</v>
      </c>
      <c r="C72" s="13" cm="1">
        <f t="array" ref="C72">_xll.BDH("CMI US Equity","OTHER_EQUITY_RATIO","FQ3 2018","FQ3 2018","Currency=USD","Period=FQ","BEST_FPERIOD_OVERRIDE=FQ","FILING_STATUS=MR","SCALING_FORMAT=MLN","Sort=A","Dates=H","DateFormat=P","Fill=—","Direction=H","UseDPDF=Y")</f>
        <v>-1805</v>
      </c>
      <c r="D72" s="13" cm="1">
        <f t="array" ref="D72">_xll.BDH("CMI US Equity","OTHER_EQUITY_RATIO","FQ4 2018","FQ4 2018","Currency=USD","Period=FQ","BEST_FPERIOD_OVERRIDE=FQ","FILING_STATUS=MR","SCALING_FORMAT=MLN","Sort=A","Dates=H","DateFormat=P","Fill=—","Direction=H","UseDPDF=Y")</f>
        <v>-1812</v>
      </c>
      <c r="E72" s="13" cm="1">
        <f t="array" ref="E72">_xll.BDH("CMI US Equity","OTHER_EQUITY_RATIO","FQ1 2019","FQ1 2019","Currency=USD","Period=FQ","BEST_FPERIOD_OVERRIDE=FQ","FILING_STATUS=MR","SCALING_FORMAT=MLN","Sort=A","Dates=H","DateFormat=P","Fill=—","Direction=H","UseDPDF=Y")</f>
        <v>-1743</v>
      </c>
      <c r="F72" s="13" cm="1">
        <f t="array" ref="F72">_xll.BDH("CMI US Equity","OTHER_EQUITY_RATIO","FQ2 2019","FQ2 2019","Currency=USD","Period=FQ","BEST_FPERIOD_OVERRIDE=FQ","FILING_STATUS=MR","SCALING_FORMAT=MLN","Sort=A","Dates=H","DateFormat=P","Fill=—","Direction=H","UseDPDF=Y")</f>
        <v>-1844</v>
      </c>
      <c r="G72" s="13" cm="1">
        <f t="array" ref="G72">_xll.BDH("CMI US Equity","OTHER_EQUITY_RATIO","FQ3 2019","FQ3 2019","Currency=USD","Period=FQ","BEST_FPERIOD_OVERRIDE=FQ","FILING_STATUS=MR","SCALING_FORMAT=MLN","Sort=A","Dates=H","DateFormat=P","Fill=—","Direction=H","UseDPDF=Y")</f>
        <v>-2043</v>
      </c>
      <c r="H72" s="13" cm="1">
        <f t="array" ref="H72">_xll.BDH("CMI US Equity","OTHER_EQUITY_RATIO","FQ4 2019","FQ4 2019","Currency=USD","Period=FQ","BEST_FPERIOD_OVERRIDE=FQ","FILING_STATUS=MR","SCALING_FORMAT=MLN","Sort=A","Dates=H","DateFormat=P","Fill=—","Direction=H","UseDPDF=Y")</f>
        <v>-2030</v>
      </c>
      <c r="I72" s="13" cm="1">
        <f t="array" ref="I72">_xll.BDH("CMI US Equity","OTHER_EQUITY_RATIO","FQ1 2020","FQ1 2020","Currency=USD","Period=FQ","BEST_FPERIOD_OVERRIDE=FQ","FILING_STATUS=MR","SCALING_FORMAT=MLN","Sort=A","Dates=H","DateFormat=P","Fill=—","Direction=H","UseDPDF=Y")</f>
        <v>-2251</v>
      </c>
      <c r="J72" s="13" cm="1">
        <f t="array" ref="J72">_xll.BDH("CMI US Equity","OTHER_EQUITY_RATIO","FQ2 2020","FQ2 2020","Currency=USD","Period=FQ","BEST_FPERIOD_OVERRIDE=FQ","FILING_STATUS=MR","SCALING_FORMAT=MLN","Sort=A","Dates=H","DateFormat=P","Fill=—","Direction=H","UseDPDF=Y")</f>
        <v>-2243</v>
      </c>
      <c r="K72" s="13" cm="1">
        <f t="array" ref="K72">_xll.BDH("CMI US Equity","OTHER_EQUITY_RATIO","FQ3 2020","FQ3 2020","Currency=USD","Period=FQ","BEST_FPERIOD_OVERRIDE=FQ","FILING_STATUS=MR","SCALING_FORMAT=MLN","Sort=A","Dates=H","DateFormat=P","Fill=—","Direction=H","UseDPDF=Y")</f>
        <v>-2107</v>
      </c>
      <c r="L72" s="13" cm="1">
        <f t="array" ref="L72">_xll.BDH("CMI US Equity","OTHER_EQUITY_RATIO","FQ4 2020","FQ4 2020","Currency=USD","Period=FQ","BEST_FPERIOD_OVERRIDE=FQ","FILING_STATUS=MR","SCALING_FORMAT=MLN","Sort=A","Dates=H","DateFormat=P","Fill=—","Direction=H","UseDPDF=Y")</f>
        <v>-1982</v>
      </c>
      <c r="M72" s="13" cm="1">
        <f t="array" ref="M72">_xll.BDH("CMI US Equity","OTHER_EQUITY_RATIO","FQ1 2021","FQ1 2021","Currency=USD","Period=FQ","BEST_FPERIOD_OVERRIDE=FQ","FILING_STATUS=MR","SCALING_FORMAT=MLN","Sort=A","Dates=H","DateFormat=P","Fill=—","Direction=H","UseDPDF=Y")</f>
        <v>-1937</v>
      </c>
      <c r="N72" s="13" cm="1">
        <f t="array" ref="N72">_xll.BDH("CMI US Equity","OTHER_EQUITY_RATIO","FQ2 2021","FQ2 2021","Currency=USD","Period=FQ","BEST_FPERIOD_OVERRIDE=FQ","FILING_STATUS=MR","SCALING_FORMAT=MLN","Sort=A","Dates=H","DateFormat=P","Fill=—","Direction=H","UseDPDF=Y")</f>
        <v>-1929</v>
      </c>
      <c r="O72" s="13" cm="1">
        <f t="array" ref="O72">_xll.BDH("CMI US Equity","OTHER_EQUITY_RATIO","FQ3 2021","FQ3 2021","Currency=USD","Period=FQ","BEST_FPERIOD_OVERRIDE=FQ","FILING_STATUS=MR","SCALING_FORMAT=MLN","Sort=A","Dates=H","DateFormat=P","Fill=—","Direction=H","UseDPDF=Y")</f>
        <v>-1911</v>
      </c>
      <c r="P72" s="13" cm="1">
        <f t="array" ref="P72">_xll.BDH("CMI US Equity","OTHER_EQUITY_RATIO","FQ4 2021","FQ4 2021","Currency=USD","Period=FQ","BEST_FPERIOD_OVERRIDE=FQ","FILING_STATUS=MR","SCALING_FORMAT=MLN","Sort=A","Dates=H","DateFormat=P","Fill=—","Direction=H","UseDPDF=Y")</f>
        <v>-1571</v>
      </c>
      <c r="Q72" s="13" cm="1">
        <f t="array" ref="Q72">_xll.BDH("CMI US Equity","OTHER_EQUITY_RATIO","FQ1 2022","FQ1 2022","Currency=USD","Period=FQ","BEST_FPERIOD_OVERRIDE=FQ","FILING_STATUS=MR","SCALING_FORMAT=MLN","Sort=A","Dates=H","DateFormat=P","Fill=—","Direction=H","UseDPDF=Y")</f>
        <v>-1515</v>
      </c>
      <c r="R72" s="13" cm="1">
        <f t="array" ref="R72">_xll.BDH("CMI US Equity","OTHER_EQUITY_RATIO","FQ2 2022","FQ2 2022","Currency=USD","Period=FQ","BEST_FPERIOD_OVERRIDE=FQ","FILING_STATUS=MR","SCALING_FORMAT=MLN","Sort=A","Dates=H","DateFormat=P","Fill=—","Direction=H","UseDPDF=Y")</f>
        <v>-1696</v>
      </c>
      <c r="S72" s="13" cm="1">
        <f t="array" ref="S72">_xll.BDH("CMI US Equity","OTHER_EQUITY_RATIO","FQ3 2022","FQ3 2022","Currency=USD","Period=FQ","BEST_FPERIOD_OVERRIDE=FQ","FILING_STATUS=MR","SCALING_FORMAT=MLN","Sort=A","Dates=H","DateFormat=P","Fill=—","Direction=H","UseDPDF=Y")</f>
        <v>-2013</v>
      </c>
      <c r="T72" s="13" cm="1">
        <f t="array" ref="T72">_xll.BDH("CMI US Equity","OTHER_EQUITY_RATIO","FQ4 2022","FQ4 2022","Currency=USD","Period=FQ","BEST_FPERIOD_OVERRIDE=FQ","FILING_STATUS=MR","SCALING_FORMAT=MLN","Sort=A","Dates=H","DateFormat=P","Fill=—","Direction=H","UseDPDF=Y")</f>
        <v>-1890</v>
      </c>
      <c r="U72" s="13" cm="1">
        <f t="array" ref="U72">_xll.BDH("CMI US Equity","OTHER_EQUITY_RATIO","FQ1 2023","FQ1 2023","Currency=USD","Period=FQ","BEST_FPERIOD_OVERRIDE=FQ","FILING_STATUS=MR","SCALING_FORMAT=MLN","Sort=A","Dates=H","DateFormat=P","Fill=—","Direction=H","UseDPDF=Y")</f>
        <v>-1823</v>
      </c>
      <c r="V72" s="13" cm="1">
        <f t="array" ref="V72">_xll.BDH("CMI US Equity","OTHER_EQUITY_RATIO","FQ2 2023","FQ2 2023","Currency=USD","Period=FQ","BEST_FPERIOD_OVERRIDE=FQ","FILING_STATUS=MR","SCALING_FORMAT=MLN","Sort=A","Dates=H","DateFormat=P","Fill=—","Direction=H","UseDPDF=Y")</f>
        <v>-1917</v>
      </c>
      <c r="W72" s="13" cm="1">
        <f t="array" ref="W72">_xll.BDH("CMI US Equity","OTHER_EQUITY_RATIO","FQ3 2023","FQ3 2023","Currency=USD","Period=FQ","BEST_FPERIOD_OVERRIDE=FQ","FILING_STATUS=MR","SCALING_FORMAT=MLN","Sort=A","Dates=H","DateFormat=P","Fill=—","Direction=H","UseDPDF=Y")</f>
        <v>-2051</v>
      </c>
      <c r="X72" s="13" cm="1">
        <f t="array" ref="X72">_xll.BDH("CMI US Equity","OTHER_EQUITY_RATIO","FQ4 2023","FQ4 2023","Currency=USD","Period=FQ","BEST_FPERIOD_OVERRIDE=FQ","FILING_STATUS=MR","SCALING_FORMAT=MLN","Sort=A","Dates=H","DateFormat=P","Fill=—","Direction=H","UseDPDF=Y")</f>
        <v>-2206</v>
      </c>
      <c r="Y72" s="13" cm="1">
        <f t="array" ref="Y72">_xll.BDH("CMI US Equity","OTHER_EQUITY_RATIO","FQ1 2024","FQ1 2024","Currency=USD","Period=FQ","BEST_FPERIOD_OVERRIDE=FQ","FILING_STATUS=MR","SCALING_FORMAT=MLN","Sort=A","Dates=H","DateFormat=P","Fill=—","Direction=H","UseDPDF=Y")</f>
        <v>-2264</v>
      </c>
      <c r="Z72" s="13" cm="1">
        <f t="array" ref="Z72">_xll.BDH("CMI US Equity","OTHER_EQUITY_RATIO","FQ2 2024","FQ2 2024","Currency=USD","Period=FQ","BEST_FPERIOD_OVERRIDE=FQ","FILING_STATUS=MR","SCALING_FORMAT=MLN","Sort=A","Dates=H","DateFormat=P","Fill=—","Direction=H","UseDPDF=Y")</f>
        <v>-2335</v>
      </c>
      <c r="AA72" s="13" cm="1">
        <f t="array" ref="AA72">_xll.BDH("CMI US Equity","OTHER_EQUITY_RATIO","FQ3 2024","FQ3 2024","Currency=USD","Period=FQ","BEST_FPERIOD_OVERRIDE=FQ","FILING_STATUS=MR","SCALING_FORMAT=MLN","Sort=A","Dates=H","DateFormat=P","Fill=—","Direction=H","UseDPDF=Y")</f>
        <v>-2174</v>
      </c>
      <c r="AB72" s="13" cm="1">
        <f t="array" ref="AB72">_xll.BDH("CMI US Equity","OTHER_EQUITY_RATIO","FQ4 2024","FQ4 2024","Currency=USD","Period=FQ","BEST_FPERIOD_OVERRIDE=FQ","FILING_STATUS=MR","SCALING_FORMAT=MLN","Sort=A","Dates=H","DateFormat=P","Fill=—","Direction=H","UseDPDF=Y")</f>
        <v>-2445</v>
      </c>
      <c r="AC72" s="13" cm="1">
        <f t="array" ref="AC72">_xll.BDH("CMI US Equity","OTHER_EQUITY_RATIO","FQ1 2025","FQ1 2025","Currency=USD","Period=FQ","BEST_FPERIOD_OVERRIDE=FQ","FILING_STATUS=MR","SCALING_FORMAT=MLN","Sort=A","Dates=H","DateFormat=P","Fill=—","Direction=H","UseDPDF=Y")</f>
        <v>-2366</v>
      </c>
      <c r="AD72" s="13" cm="1">
        <f t="array" ref="AD72">_xll.BDH("CMI US Equity","OTHER_EQUITY_RATIO","FQ2 2025","FQ2 2025","Currency=USD","Period=FQ","BEST_FPERIOD_OVERRIDE=FQ","FILING_STATUS=MR","SCALING_FORMAT=MLN","Sort=A","Dates=H","DateFormat=P","Fill=—","Direction=H","UseDPDF=Y")</f>
        <v>-2167</v>
      </c>
      <c r="AE72" s="13" cm="1">
        <f t="array" ref="AE72">_xll.BDH("CMI US Equity","OTHER_EQUITY_RATIO","FQ3 2025","FQ3 2025","Currency=USD","Period=FQ","BEST_FPERIOD_OVERRIDE=FQ","FILING_STATUS=MR","SCALING_FORMAT=MLN","Sort=A","Dates=H","DateFormat=P","Fill=—","Direction=H","UseDPDF=Y")</f>
        <v>-2211</v>
      </c>
      <c r="AF72" s="13" cm="1">
        <f t="array" ref="AF72">_xll.BDH("CMI US Equity","OTHER_EQUITY_RATIO","FQ4 2025","FQ4 2025","Currency=USD","Period=FQ","BEST_FPERIOD_OVERRIDE=FQ","FILING_STATUS=MR","SCALING_FORMAT=MLN","Sort=A","Dates=H","DateFormat=P","Fill=—","Direction=H","UseDPDF=Y")</f>
        <v>-2278</v>
      </c>
    </row>
    <row r="73" spans="1:32" x14ac:dyDescent="0.25">
      <c r="A73" s="6" t="s">
        <v>191</v>
      </c>
      <c r="B73" s="6" t="s">
        <v>192</v>
      </c>
      <c r="C73" s="16" cm="1">
        <f t="array" ref="C73">_xll.BDH("CMI US Equity","EQTY_BEF_MINORITY_INT_DETAILED","FQ3 2018","FQ3 2018","Currency=USD","Period=FQ","BEST_FPERIOD_OVERRIDE=FQ","FILING_STATUS=MR","SCALING_FORMAT=MLN","Sort=A","Dates=H","DateFormat=P","Fill=—","Direction=H","UseDPDF=Y")</f>
        <v>7191</v>
      </c>
      <c r="D73" s="16" cm="1">
        <f t="array" ref="D73">_xll.BDH("CMI US Equity","EQTY_BEF_MINORITY_INT_DETAILED","FQ4 2018","FQ4 2018","Currency=USD","Period=FQ","BEST_FPERIOD_OVERRIDE=FQ","FILING_STATUS=MR","SCALING_FORMAT=MLN","Sort=A","Dates=H","DateFormat=P","Fill=—","Direction=H","UseDPDF=Y")</f>
        <v>7348</v>
      </c>
      <c r="E73" s="16" cm="1">
        <f t="array" ref="E73">_xll.BDH("CMI US Equity","EQTY_BEF_MINORITY_INT_DETAILED","FQ1 2019","FQ1 2019","Currency=USD","Period=FQ","BEST_FPERIOD_OVERRIDE=FQ","FILING_STATUS=MR","SCALING_FORMAT=MLN","Sort=A","Dates=H","DateFormat=P","Fill=—","Direction=H","UseDPDF=Y")</f>
        <v>7820</v>
      </c>
      <c r="F73" s="16" cm="1">
        <f t="array" ref="F73">_xll.BDH("CMI US Equity","EQTY_BEF_MINORITY_INT_DETAILED","FQ2 2019","FQ2 2019","Currency=USD","Period=FQ","BEST_FPERIOD_OVERRIDE=FQ","FILING_STATUS=MR","SCALING_FORMAT=MLN","Sort=A","Dates=H","DateFormat=P","Fill=—","Direction=H","UseDPDF=Y")</f>
        <v>8278</v>
      </c>
      <c r="G73" s="16" cm="1">
        <f t="array" ref="G73">_xll.BDH("CMI US Equity","EQTY_BEF_MINORITY_INT_DETAILED","FQ3 2019","FQ3 2019","Currency=USD","Period=FQ","BEST_FPERIOD_OVERRIDE=FQ","FILING_STATUS=MR","SCALING_FORMAT=MLN","Sort=A","Dates=H","DateFormat=P","Fill=—","Direction=H","UseDPDF=Y")</f>
        <v>7810</v>
      </c>
      <c r="H73" s="16" cm="1">
        <f t="array" ref="H73">_xll.BDH("CMI US Equity","EQTY_BEF_MINORITY_INT_DETAILED","FQ4 2019","FQ4 2019","Currency=USD","Period=FQ","BEST_FPERIOD_OVERRIDE=FQ","FILING_STATUS=MR","SCALING_FORMAT=MLN","Sort=A","Dates=H","DateFormat=P","Fill=—","Direction=H","UseDPDF=Y")</f>
        <v>7507</v>
      </c>
      <c r="I73" s="16" cm="1">
        <f t="array" ref="I73">_xll.BDH("CMI US Equity","EQTY_BEF_MINORITY_INT_DETAILED","FQ1 2020","FQ1 2020","Currency=USD","Period=FQ","BEST_FPERIOD_OVERRIDE=FQ","FILING_STATUS=MR","SCALING_FORMAT=MLN","Sort=A","Dates=H","DateFormat=P","Fill=—","Direction=H","UseDPDF=Y")</f>
        <v>7068</v>
      </c>
      <c r="J73" s="16" cm="1">
        <f t="array" ref="J73">_xll.BDH("CMI US Equity","EQTY_BEF_MINORITY_INT_DETAILED","FQ2 2020","FQ2 2020","Currency=USD","Period=FQ","BEST_FPERIOD_OVERRIDE=FQ","FILING_STATUS=MR","SCALING_FORMAT=MLN","Sort=A","Dates=H","DateFormat=P","Fill=—","Direction=H","UseDPDF=Y")</f>
        <v>7192</v>
      </c>
      <c r="K73" s="16" cm="1">
        <f t="array" ref="K73">_xll.BDH("CMI US Equity","EQTY_BEF_MINORITY_INT_DETAILED","FQ3 2020","FQ3 2020","Currency=USD","Period=FQ","BEST_FPERIOD_OVERRIDE=FQ","FILING_STATUS=MR","SCALING_FORMAT=MLN","Sort=A","Dates=H","DateFormat=P","Fill=—","Direction=H","UseDPDF=Y")</f>
        <v>7700</v>
      </c>
      <c r="L73" s="16" cm="1">
        <f t="array" ref="L73">_xll.BDH("CMI US Equity","EQTY_BEF_MINORITY_INT_DETAILED","FQ4 2020","FQ4 2020","Currency=USD","Period=FQ","BEST_FPERIOD_OVERRIDE=FQ","FILING_STATUS=MR","SCALING_FORMAT=MLN","Sort=A","Dates=H","DateFormat=P","Fill=—","Direction=H","UseDPDF=Y")</f>
        <v>8062</v>
      </c>
      <c r="M73" s="16" cm="1">
        <f t="array" ref="M73">_xll.BDH("CMI US Equity","EQTY_BEF_MINORITY_INT_DETAILED","FQ1 2021","FQ1 2021","Currency=USD","Period=FQ","BEST_FPERIOD_OVERRIDE=FQ","FILING_STATUS=MR","SCALING_FORMAT=MLN","Sort=A","Dates=H","DateFormat=P","Fill=—","Direction=H","UseDPDF=Y")</f>
        <v>8109</v>
      </c>
      <c r="N73" s="16" cm="1">
        <f t="array" ref="N73">_xll.BDH("CMI US Equity","EQTY_BEF_MINORITY_INT_DETAILED","FQ2 2021","FQ2 2021","Currency=USD","Period=FQ","BEST_FPERIOD_OVERRIDE=FQ","FILING_STATUS=MR","SCALING_FORMAT=MLN","Sort=A","Dates=H","DateFormat=P","Fill=—","Direction=H","UseDPDF=Y")</f>
        <v>7866</v>
      </c>
      <c r="O73" s="16" cm="1">
        <f t="array" ref="O73">_xll.BDH("CMI US Equity","EQTY_BEF_MINORITY_INT_DETAILED","FQ3 2021","FQ3 2021","Currency=USD","Period=FQ","BEST_FPERIOD_OVERRIDE=FQ","FILING_STATUS=MR","SCALING_FORMAT=MLN","Sort=A","Dates=H","DateFormat=P","Fill=—","Direction=H","UseDPDF=Y")</f>
        <v>8082</v>
      </c>
      <c r="P73" s="16" cm="1">
        <f t="array" ref="P73">_xll.BDH("CMI US Equity","EQTY_BEF_MINORITY_INT_DETAILED","FQ4 2021","FQ4 2021","Currency=USD","Period=FQ","BEST_FPERIOD_OVERRIDE=FQ","FILING_STATUS=MR","SCALING_FORMAT=MLN","Sort=A","Dates=H","DateFormat=P","Fill=—","Direction=H","UseDPDF=Y")</f>
        <v>8474</v>
      </c>
      <c r="Q73" s="16" cm="1">
        <f t="array" ref="Q73">_xll.BDH("CMI US Equity","EQTY_BEF_MINORITY_INT_DETAILED","FQ1 2022","FQ1 2022","Currency=USD","Period=FQ","BEST_FPERIOD_OVERRIDE=FQ","FILING_STATUS=MR","SCALING_FORMAT=MLN","Sort=A","Dates=H","DateFormat=P","Fill=—","Direction=H","UseDPDF=Y")</f>
        <v>8436</v>
      </c>
      <c r="R73" s="16" cm="1">
        <f t="array" ref="R73">_xll.BDH("CMI US Equity","EQTY_BEF_MINORITY_INT_DETAILED","FQ2 2022","FQ2 2022","Currency=USD","Period=FQ","BEST_FPERIOD_OVERRIDE=FQ","FILING_STATUS=MR","SCALING_FORMAT=MLN","Sort=A","Dates=H","DateFormat=P","Fill=—","Direction=H","UseDPDF=Y")</f>
        <v>8738</v>
      </c>
      <c r="S73" s="16" cm="1">
        <f t="array" ref="S73">_xll.BDH("CMI US Equity","EQTY_BEF_MINORITY_INT_DETAILED","FQ3 2022","FQ3 2022","Currency=USD","Period=FQ","BEST_FPERIOD_OVERRIDE=FQ","FILING_STATUS=MR","SCALING_FORMAT=MLN","Sort=A","Dates=H","DateFormat=P","Fill=—","Direction=H","UseDPDF=Y")</f>
        <v>8380</v>
      </c>
      <c r="T73" s="16" cm="1">
        <f t="array" ref="T73">_xll.BDH("CMI US Equity","EQTY_BEF_MINORITY_INT_DETAILED","FQ4 2022","FQ4 2022","Currency=USD","Period=FQ","BEST_FPERIOD_OVERRIDE=FQ","FILING_STATUS=MR","SCALING_FORMAT=MLN","Sort=A","Dates=H","DateFormat=P","Fill=—","Direction=H","UseDPDF=Y")</f>
        <v>8975</v>
      </c>
      <c r="U73" s="16" cm="1">
        <f t="array" ref="U73">_xll.BDH("CMI US Equity","EQTY_BEF_MINORITY_INT_DETAILED","FQ1 2023","FQ1 2023","Currency=USD","Period=FQ","BEST_FPERIOD_OVERRIDE=FQ","FILING_STATUS=MR","SCALING_FORMAT=MLN","Sort=A","Dates=H","DateFormat=P","Fill=—","Direction=H","UseDPDF=Y")</f>
        <v>9623</v>
      </c>
      <c r="V73" s="16" cm="1">
        <f t="array" ref="V73">_xll.BDH("CMI US Equity","EQTY_BEF_MINORITY_INT_DETAILED","FQ2 2023","FQ2 2023","Currency=USD","Period=FQ","BEST_FPERIOD_OVERRIDE=FQ","FILING_STATUS=MR","SCALING_FORMAT=MLN","Sort=A","Dates=H","DateFormat=P","Fill=—","Direction=H","UseDPDF=Y")</f>
        <v>10337</v>
      </c>
      <c r="W73" s="16" cm="1">
        <f t="array" ref="W73">_xll.BDH("CMI US Equity","EQTY_BEF_MINORITY_INT_DETAILED","FQ3 2023","FQ3 2023","Currency=USD","Period=FQ","BEST_FPERIOD_OVERRIDE=FQ","FILING_STATUS=MR","SCALING_FORMAT=MLN","Sort=A","Dates=H","DateFormat=P","Fill=—","Direction=H","UseDPDF=Y")</f>
        <v>10658</v>
      </c>
      <c r="X73" s="16" cm="1">
        <f t="array" ref="X73">_xll.BDH("CMI US Equity","EQTY_BEF_MINORITY_INT_DETAILED","FQ4 2023","FQ4 2023","Currency=USD","Period=FQ","BEST_FPERIOD_OVERRIDE=FQ","FILING_STATUS=MR","SCALING_FORMAT=MLN","Sort=A","Dates=H","DateFormat=P","Fill=—","Direction=H","UseDPDF=Y")</f>
        <v>8850</v>
      </c>
      <c r="Y73" s="16" cm="1">
        <f t="array" ref="Y73">_xll.BDH("CMI US Equity","EQTY_BEF_MINORITY_INT_DETAILED","FQ1 2024","FQ1 2024","Currency=USD","Period=FQ","BEST_FPERIOD_OVERRIDE=FQ","FILING_STATUS=MR","SCALING_FORMAT=MLN","Sort=A","Dates=H","DateFormat=P","Fill=—","Direction=H","UseDPDF=Y")</f>
        <v>9067</v>
      </c>
      <c r="Z73" s="16" cm="1">
        <f t="array" ref="Z73">_xll.BDH("CMI US Equity","EQTY_BEF_MINORITY_INT_DETAILED","FQ2 2024","FQ2 2024","Currency=USD","Period=FQ","BEST_FPERIOD_OVERRIDE=FQ","FILING_STATUS=MR","SCALING_FORMAT=MLN","Sort=A","Dates=H","DateFormat=P","Fill=—","Direction=H","UseDPDF=Y")</f>
        <v>9551</v>
      </c>
      <c r="AA73" s="16" cm="1">
        <f t="array" ref="AA73">_xll.BDH("CMI US Equity","EQTY_BEF_MINORITY_INT_DETAILED","FQ3 2024","FQ3 2024","Currency=USD","Period=FQ","BEST_FPERIOD_OVERRIDE=FQ","FILING_STATUS=MR","SCALING_FORMAT=MLN","Sort=A","Dates=H","DateFormat=P","Fill=—","Direction=H","UseDPDF=Y")</f>
        <v>10315</v>
      </c>
      <c r="AB73" s="16" cm="1">
        <f t="array" ref="AB73">_xll.BDH("CMI US Equity","EQTY_BEF_MINORITY_INT_DETAILED","FQ4 2024","FQ4 2024","Currency=USD","Period=FQ","BEST_FPERIOD_OVERRIDE=FQ","FILING_STATUS=MR","SCALING_FORMAT=MLN","Sort=A","Dates=H","DateFormat=P","Fill=—","Direction=H","UseDPDF=Y")</f>
        <v>10271</v>
      </c>
      <c r="AC73" s="16" cm="1">
        <f t="array" ref="AC73">_xll.BDH("CMI US Equity","EQTY_BEF_MINORITY_INT_DETAILED","FQ1 2025","FQ1 2025","Currency=USD","Period=FQ","BEST_FPERIOD_OVERRIDE=FQ","FILING_STATUS=MR","SCALING_FORMAT=MLN","Sort=A","Dates=H","DateFormat=P","Fill=—","Direction=H","UseDPDF=Y")</f>
        <v>10924</v>
      </c>
      <c r="AD73" s="16" cm="1">
        <f t="array" ref="AD73">_xll.BDH("CMI US Equity","EQTY_BEF_MINORITY_INT_DETAILED","FQ2 2025","FQ2 2025","Currency=USD","Period=FQ","BEST_FPERIOD_OVERRIDE=FQ","FILING_STATUS=MR","SCALING_FORMAT=MLN","Sort=A","Dates=H","DateFormat=P","Fill=—","Direction=H","UseDPDF=Y")</f>
        <v>11789</v>
      </c>
      <c r="AE73" s="16" cm="1">
        <f t="array" ref="AE73">_xll.BDH("CMI US Equity","EQTY_BEF_MINORITY_INT_DETAILED","FQ3 2025","FQ3 2025","Currency=USD","Period=FQ","BEST_FPERIOD_OVERRIDE=FQ","FILING_STATUS=MR","SCALING_FORMAT=MLN","Sort=A","Dates=H","DateFormat=P","Fill=—","Direction=H","UseDPDF=Y")</f>
        <v>12064</v>
      </c>
      <c r="AF73" s="16" cm="1">
        <f t="array" ref="AF73">_xll.BDH("CMI US Equity","EQTY_BEF_MINORITY_INT_DETAILED","FQ4 2025","FQ4 2025","Currency=USD","Period=FQ","BEST_FPERIOD_OVERRIDE=FQ","FILING_STATUS=MR","SCALING_FORMAT=MLN","Sort=A","Dates=H","DateFormat=P","Fill=—","Direction=H","UseDPDF=Y")</f>
        <v>12349</v>
      </c>
    </row>
    <row r="74" spans="1:32" x14ac:dyDescent="0.25">
      <c r="A74" s="10" t="s">
        <v>193</v>
      </c>
      <c r="B74" s="10" t="s">
        <v>194</v>
      </c>
      <c r="C74" s="13" cm="1">
        <f t="array" ref="C74">_xll.BDH("CMI US Equity","MINORITY_NONCONTROLLING_INTEREST","FQ3 2018","FQ3 2018","Currency=USD","Period=FQ","BEST_FPERIOD_OVERRIDE=FQ","FILING_STATUS=MR","SCALING_FORMAT=MLN","Sort=A","Dates=H","DateFormat=P","Fill=—","Direction=H","UseDPDF=Y")</f>
        <v>869</v>
      </c>
      <c r="D74" s="13" cm="1">
        <f t="array" ref="D74">_xll.BDH("CMI US Equity","MINORITY_NONCONTROLLING_INTEREST","FQ4 2018","FQ4 2018","Currency=USD","Period=FQ","BEST_FPERIOD_OVERRIDE=FQ","FILING_STATUS=MR","SCALING_FORMAT=MLN","Sort=A","Dates=H","DateFormat=P","Fill=—","Direction=H","UseDPDF=Y")</f>
        <v>911</v>
      </c>
      <c r="E74" s="13" cm="1">
        <f t="array" ref="E74">_xll.BDH("CMI US Equity","MINORITY_NONCONTROLLING_INTEREST","FQ1 2019","FQ1 2019","Currency=USD","Period=FQ","BEST_FPERIOD_OVERRIDE=FQ","FILING_STATUS=MR","SCALING_FORMAT=MLN","Sort=A","Dates=H","DateFormat=P","Fill=—","Direction=H","UseDPDF=Y")</f>
        <v>907</v>
      </c>
      <c r="F74" s="13" cm="1">
        <f t="array" ref="F74">_xll.BDH("CMI US Equity","MINORITY_NONCONTROLLING_INTEREST","FQ2 2019","FQ2 2019","Currency=USD","Period=FQ","BEST_FPERIOD_OVERRIDE=FQ","FILING_STATUS=MR","SCALING_FORMAT=MLN","Sort=A","Dates=H","DateFormat=P","Fill=—","Direction=H","UseDPDF=Y")</f>
        <v>918</v>
      </c>
      <c r="G74" s="13" cm="1">
        <f t="array" ref="G74">_xll.BDH("CMI US Equity","MINORITY_NONCONTROLLING_INTEREST","FQ3 2019","FQ3 2019","Currency=USD","Period=FQ","BEST_FPERIOD_OVERRIDE=FQ","FILING_STATUS=MR","SCALING_FORMAT=MLN","Sort=A","Dates=H","DateFormat=P","Fill=—","Direction=H","UseDPDF=Y")</f>
        <v>943</v>
      </c>
      <c r="H74" s="13" cm="1">
        <f t="array" ref="H74">_xll.BDH("CMI US Equity","MINORITY_NONCONTROLLING_INTEREST","FQ4 2019","FQ4 2019","Currency=USD","Period=FQ","BEST_FPERIOD_OVERRIDE=FQ","FILING_STATUS=MR","SCALING_FORMAT=MLN","Sort=A","Dates=H","DateFormat=P","Fill=—","Direction=H","UseDPDF=Y")</f>
        <v>958</v>
      </c>
      <c r="I74" s="13" cm="1">
        <f t="array" ref="I74">_xll.BDH("CMI US Equity","MINORITY_NONCONTROLLING_INTEREST","FQ1 2020","FQ1 2020","Currency=USD","Period=FQ","BEST_FPERIOD_OVERRIDE=FQ","FILING_STATUS=MR","SCALING_FORMAT=MLN","Sort=A","Dates=H","DateFormat=P","Fill=—","Direction=H","UseDPDF=Y")</f>
        <v>950</v>
      </c>
      <c r="J74" s="13" cm="1">
        <f t="array" ref="J74">_xll.BDH("CMI US Equity","MINORITY_NONCONTROLLING_INTEREST","FQ2 2020","FQ2 2020","Currency=USD","Period=FQ","BEST_FPERIOD_OVERRIDE=FQ","FILING_STATUS=MR","SCALING_FORMAT=MLN","Sort=A","Dates=H","DateFormat=P","Fill=—","Direction=H","UseDPDF=Y")</f>
        <v>938</v>
      </c>
      <c r="K74" s="13" cm="1">
        <f t="array" ref="K74">_xll.BDH("CMI US Equity","MINORITY_NONCONTROLLING_INTEREST","FQ3 2020","FQ3 2020","Currency=USD","Period=FQ","BEST_FPERIOD_OVERRIDE=FQ","FILING_STATUS=MR","SCALING_FORMAT=MLN","Sort=A","Dates=H","DateFormat=P","Fill=—","Direction=H","UseDPDF=Y")</f>
        <v>941</v>
      </c>
      <c r="L74" s="13" cm="1">
        <f t="array" ref="L74">_xll.BDH("CMI US Equity","MINORITY_NONCONTROLLING_INTEREST","FQ4 2020","FQ4 2020","Currency=USD","Period=FQ","BEST_FPERIOD_OVERRIDE=FQ","FILING_STATUS=MR","SCALING_FORMAT=MLN","Sort=A","Dates=H","DateFormat=P","Fill=—","Direction=H","UseDPDF=Y")</f>
        <v>927</v>
      </c>
      <c r="M74" s="13" cm="1">
        <f t="array" ref="M74">_xll.BDH("CMI US Equity","MINORITY_NONCONTROLLING_INTEREST","FQ1 2021","FQ1 2021","Currency=USD","Period=FQ","BEST_FPERIOD_OVERRIDE=FQ","FILING_STATUS=MR","SCALING_FORMAT=MLN","Sort=A","Dates=H","DateFormat=P","Fill=—","Direction=H","UseDPDF=Y")</f>
        <v>922</v>
      </c>
      <c r="N74" s="13" cm="1">
        <f t="array" ref="N74">_xll.BDH("CMI US Equity","MINORITY_NONCONTROLLING_INTEREST","FQ2 2021","FQ2 2021","Currency=USD","Period=FQ","BEST_FPERIOD_OVERRIDE=FQ","FILING_STATUS=MR","SCALING_FORMAT=MLN","Sort=A","Dates=H","DateFormat=P","Fill=—","Direction=H","UseDPDF=Y")</f>
        <v>927</v>
      </c>
      <c r="O74" s="13" cm="1">
        <f t="array" ref="O74">_xll.BDH("CMI US Equity","MINORITY_NONCONTROLLING_INTEREST","FQ3 2021","FQ3 2021","Currency=USD","Period=FQ","BEST_FPERIOD_OVERRIDE=FQ","FILING_STATUS=MR","SCALING_FORMAT=MLN","Sort=A","Dates=H","DateFormat=P","Fill=—","Direction=H","UseDPDF=Y")</f>
        <v>921</v>
      </c>
      <c r="P74" s="13" cm="1">
        <f t="array" ref="P74">_xll.BDH("CMI US Equity","MINORITY_NONCONTROLLING_INTEREST","FQ4 2021","FQ4 2021","Currency=USD","Period=FQ","BEST_FPERIOD_OVERRIDE=FQ","FILING_STATUS=MR","SCALING_FORMAT=MLN","Sort=A","Dates=H","DateFormat=P","Fill=—","Direction=H","UseDPDF=Y")</f>
        <v>927</v>
      </c>
      <c r="Q74" s="13" cm="1">
        <f t="array" ref="Q74">_xll.BDH("CMI US Equity","MINORITY_NONCONTROLLING_INTEREST","FQ1 2022","FQ1 2022","Currency=USD","Period=FQ","BEST_FPERIOD_OVERRIDE=FQ","FILING_STATUS=MR","SCALING_FORMAT=MLN","Sort=A","Dates=H","DateFormat=P","Fill=—","Direction=H","UseDPDF=Y")</f>
        <v>927</v>
      </c>
      <c r="R74" s="13" cm="1">
        <f t="array" ref="R74">_xll.BDH("CMI US Equity","MINORITY_NONCONTROLLING_INTEREST","FQ2 2022","FQ2 2022","Currency=USD","Period=FQ","BEST_FPERIOD_OVERRIDE=FQ","FILING_STATUS=MR","SCALING_FORMAT=MLN","Sort=A","Dates=H","DateFormat=P","Fill=—","Direction=H","UseDPDF=Y")</f>
        <v>917</v>
      </c>
      <c r="S74" s="13" cm="1">
        <f t="array" ref="S74">_xll.BDH("CMI US Equity","MINORITY_NONCONTROLLING_INTEREST","FQ3 2022","FQ3 2022","Currency=USD","Period=FQ","BEST_FPERIOD_OVERRIDE=FQ","FILING_STATUS=MR","SCALING_FORMAT=MLN","Sort=A","Dates=H","DateFormat=P","Fill=—","Direction=H","UseDPDF=Y")</f>
        <v>1230</v>
      </c>
      <c r="T74" s="13" cm="1">
        <f t="array" ref="T74">_xll.BDH("CMI US Equity","MINORITY_NONCONTROLLING_INTEREST","FQ4 2022","FQ4 2022","Currency=USD","Period=FQ","BEST_FPERIOD_OVERRIDE=FQ","FILING_STATUS=MR","SCALING_FORMAT=MLN","Sort=A","Dates=H","DateFormat=P","Fill=—","Direction=H","UseDPDF=Y")</f>
        <v>1250</v>
      </c>
      <c r="U74" s="13" cm="1">
        <f t="array" ref="U74">_xll.BDH("CMI US Equity","MINORITY_NONCONTROLLING_INTEREST","FQ1 2023","FQ1 2023","Currency=USD","Period=FQ","BEST_FPERIOD_OVERRIDE=FQ","FILING_STATUS=MR","SCALING_FORMAT=MLN","Sort=A","Dates=H","DateFormat=P","Fill=—","Direction=H","UseDPDF=Y")</f>
        <v>1258</v>
      </c>
      <c r="V74" s="13" cm="1">
        <f t="array" ref="V74">_xll.BDH("CMI US Equity","MINORITY_NONCONTROLLING_INTEREST","FQ2 2023","FQ2 2023","Currency=USD","Period=FQ","BEST_FPERIOD_OVERRIDE=FQ","FILING_STATUS=MR","SCALING_FORMAT=MLN","Sort=A","Dates=H","DateFormat=P","Fill=—","Direction=H","UseDPDF=Y")</f>
        <v>1019</v>
      </c>
      <c r="W74" s="13" cm="1">
        <f t="array" ref="W74">_xll.BDH("CMI US Equity","MINORITY_NONCONTROLLING_INTEREST","FQ3 2023","FQ3 2023","Currency=USD","Period=FQ","BEST_FPERIOD_OVERRIDE=FQ","FILING_STATUS=MR","SCALING_FORMAT=MLN","Sort=A","Dates=H","DateFormat=P","Fill=—","Direction=H","UseDPDF=Y")</f>
        <v>1020</v>
      </c>
      <c r="X74" s="13" cm="1">
        <f t="array" ref="X74">_xll.BDH("CMI US Equity","MINORITY_NONCONTROLLING_INTEREST","FQ4 2023","FQ4 2023","Currency=USD","Period=FQ","BEST_FPERIOD_OVERRIDE=FQ","FILING_STATUS=MR","SCALING_FORMAT=MLN","Sort=A","Dates=H","DateFormat=P","Fill=—","Direction=H","UseDPDF=Y")</f>
        <v>1054</v>
      </c>
      <c r="Y74" s="13" cm="1">
        <f t="array" ref="Y74">_xll.BDH("CMI US Equity","MINORITY_NONCONTROLLING_INTEREST","FQ1 2024","FQ1 2024","Currency=USD","Period=FQ","BEST_FPERIOD_OVERRIDE=FQ","FILING_STATUS=MR","SCALING_FORMAT=MLN","Sort=A","Dates=H","DateFormat=P","Fill=—","Direction=H","UseDPDF=Y")</f>
        <v>1034</v>
      </c>
      <c r="Z74" s="13" cm="1">
        <f t="array" ref="Z74">_xll.BDH("CMI US Equity","MINORITY_NONCONTROLLING_INTEREST","FQ2 2024","FQ2 2024","Currency=USD","Period=FQ","BEST_FPERIOD_OVERRIDE=FQ","FILING_STATUS=MR","SCALING_FORMAT=MLN","Sort=A","Dates=H","DateFormat=P","Fill=—","Direction=H","UseDPDF=Y")</f>
        <v>1025</v>
      </c>
      <c r="AA74" s="13" cm="1">
        <f t="array" ref="AA74">_xll.BDH("CMI US Equity","MINORITY_NONCONTROLLING_INTEREST","FQ3 2024","FQ3 2024","Currency=USD","Period=FQ","BEST_FPERIOD_OVERRIDE=FQ","FILING_STATUS=MR","SCALING_FORMAT=MLN","Sort=A","Dates=H","DateFormat=P","Fill=—","Direction=H","UseDPDF=Y")</f>
        <v>1026</v>
      </c>
      <c r="AB74" s="13" cm="1">
        <f t="array" ref="AB74">_xll.BDH("CMI US Equity","MINORITY_NONCONTROLLING_INTEREST","FQ4 2024","FQ4 2024","Currency=USD","Period=FQ","BEST_FPERIOD_OVERRIDE=FQ","FILING_STATUS=MR","SCALING_FORMAT=MLN","Sort=A","Dates=H","DateFormat=P","Fill=—","Direction=H","UseDPDF=Y")</f>
        <v>1037</v>
      </c>
      <c r="AC74" s="13" cm="1">
        <f t="array" ref="AC74">_xll.BDH("CMI US Equity","MINORITY_NONCONTROLLING_INTEREST","FQ1 2025","FQ1 2025","Currency=USD","Period=FQ","BEST_FPERIOD_OVERRIDE=FQ","FILING_STATUS=MR","SCALING_FORMAT=MLN","Sort=A","Dates=H","DateFormat=P","Fill=—","Direction=H","UseDPDF=Y")</f>
        <v>1047</v>
      </c>
      <c r="AD74" s="13" cm="1">
        <f t="array" ref="AD74">_xll.BDH("CMI US Equity","MINORITY_NONCONTROLLING_INTEREST","FQ2 2025","FQ2 2025","Currency=USD","Period=FQ","BEST_FPERIOD_OVERRIDE=FQ","FILING_STATUS=MR","SCALING_FORMAT=MLN","Sort=A","Dates=H","DateFormat=P","Fill=—","Direction=H","UseDPDF=Y")</f>
        <v>1084</v>
      </c>
      <c r="AE74" s="13" cm="1">
        <f t="array" ref="AE74">_xll.BDH("CMI US Equity","MINORITY_NONCONTROLLING_INTEREST","FQ3 2025","FQ3 2025","Currency=USD","Period=FQ","BEST_FPERIOD_OVERRIDE=FQ","FILING_STATUS=MR","SCALING_FORMAT=MLN","Sort=A","Dates=H","DateFormat=P","Fill=—","Direction=H","UseDPDF=Y")</f>
        <v>1034</v>
      </c>
      <c r="AF74" s="13" cm="1">
        <f t="array" ref="AF74">_xll.BDH("CMI US Equity","MINORITY_NONCONTROLLING_INTEREST","FQ4 2025","FQ4 2025","Currency=USD","Period=FQ","BEST_FPERIOD_OVERRIDE=FQ","FILING_STATUS=MR","SCALING_FORMAT=MLN","Sort=A","Dates=H","DateFormat=P","Fill=—","Direction=H","UseDPDF=Y")</f>
        <v>1059</v>
      </c>
    </row>
    <row r="75" spans="1:32" x14ac:dyDescent="0.25">
      <c r="A75" s="6" t="s">
        <v>195</v>
      </c>
      <c r="B75" s="6" t="s">
        <v>196</v>
      </c>
      <c r="C75" s="16" cm="1">
        <f t="array" ref="C75">_xll.BDH("CMI US Equity","TOTAL_EQUITY","FQ3 2018","FQ3 2018","Currency=USD","Period=FQ","BEST_FPERIOD_OVERRIDE=FQ","FILING_STATUS=MR","SCALING_FORMAT=MLN","Sort=A","Dates=H","DateFormat=P","Fill=—","Direction=H","UseDPDF=Y")</f>
        <v>8060</v>
      </c>
      <c r="D75" s="16" cm="1">
        <f t="array" ref="D75">_xll.BDH("CMI US Equity","TOTAL_EQUITY","FQ4 2018","FQ4 2018","Currency=USD","Period=FQ","BEST_FPERIOD_OVERRIDE=FQ","FILING_STATUS=MR","SCALING_FORMAT=MLN","Sort=A","Dates=H","DateFormat=P","Fill=—","Direction=H","UseDPDF=Y")</f>
        <v>8259</v>
      </c>
      <c r="E75" s="16" cm="1">
        <f t="array" ref="E75">_xll.BDH("CMI US Equity","TOTAL_EQUITY","FQ1 2019","FQ1 2019","Currency=USD","Period=FQ","BEST_FPERIOD_OVERRIDE=FQ","FILING_STATUS=MR","SCALING_FORMAT=MLN","Sort=A","Dates=H","DateFormat=P","Fill=—","Direction=H","UseDPDF=Y")</f>
        <v>8727</v>
      </c>
      <c r="F75" s="16" cm="1">
        <f t="array" ref="F75">_xll.BDH("CMI US Equity","TOTAL_EQUITY","FQ2 2019","FQ2 2019","Currency=USD","Period=FQ","BEST_FPERIOD_OVERRIDE=FQ","FILING_STATUS=MR","SCALING_FORMAT=MLN","Sort=A","Dates=H","DateFormat=P","Fill=—","Direction=H","UseDPDF=Y")</f>
        <v>9196</v>
      </c>
      <c r="G75" s="16" cm="1">
        <f t="array" ref="G75">_xll.BDH("CMI US Equity","TOTAL_EQUITY","FQ3 2019","FQ3 2019","Currency=USD","Period=FQ","BEST_FPERIOD_OVERRIDE=FQ","FILING_STATUS=MR","SCALING_FORMAT=MLN","Sort=A","Dates=H","DateFormat=P","Fill=—","Direction=H","UseDPDF=Y")</f>
        <v>8753</v>
      </c>
      <c r="H75" s="16" cm="1">
        <f t="array" ref="H75">_xll.BDH("CMI US Equity","TOTAL_EQUITY","FQ4 2019","FQ4 2019","Currency=USD","Period=FQ","BEST_FPERIOD_OVERRIDE=FQ","FILING_STATUS=MR","SCALING_FORMAT=MLN","Sort=A","Dates=H","DateFormat=P","Fill=—","Direction=H","UseDPDF=Y")</f>
        <v>8465</v>
      </c>
      <c r="I75" s="16" cm="1">
        <f t="array" ref="I75">_xll.BDH("CMI US Equity","TOTAL_EQUITY","FQ1 2020","FQ1 2020","Currency=USD","Period=FQ","BEST_FPERIOD_OVERRIDE=FQ","FILING_STATUS=MR","SCALING_FORMAT=MLN","Sort=A","Dates=H","DateFormat=P","Fill=—","Direction=H","UseDPDF=Y")</f>
        <v>8018</v>
      </c>
      <c r="J75" s="16" cm="1">
        <f t="array" ref="J75">_xll.BDH("CMI US Equity","TOTAL_EQUITY","FQ2 2020","FQ2 2020","Currency=USD","Period=FQ","BEST_FPERIOD_OVERRIDE=FQ","FILING_STATUS=MR","SCALING_FORMAT=MLN","Sort=A","Dates=H","DateFormat=P","Fill=—","Direction=H","UseDPDF=Y")</f>
        <v>8130</v>
      </c>
      <c r="K75" s="16" cm="1">
        <f t="array" ref="K75">_xll.BDH("CMI US Equity","TOTAL_EQUITY","FQ3 2020","FQ3 2020","Currency=USD","Period=FQ","BEST_FPERIOD_OVERRIDE=FQ","FILING_STATUS=MR","SCALING_FORMAT=MLN","Sort=A","Dates=H","DateFormat=P","Fill=—","Direction=H","UseDPDF=Y")</f>
        <v>8641</v>
      </c>
      <c r="L75" s="16" cm="1">
        <f t="array" ref="L75">_xll.BDH("CMI US Equity","TOTAL_EQUITY","FQ4 2020","FQ4 2020","Currency=USD","Period=FQ","BEST_FPERIOD_OVERRIDE=FQ","FILING_STATUS=MR","SCALING_FORMAT=MLN","Sort=A","Dates=H","DateFormat=P","Fill=—","Direction=H","UseDPDF=Y")</f>
        <v>8989</v>
      </c>
      <c r="M75" s="16" cm="1">
        <f t="array" ref="M75">_xll.BDH("CMI US Equity","TOTAL_EQUITY","FQ1 2021","FQ1 2021","Currency=USD","Period=FQ","BEST_FPERIOD_OVERRIDE=FQ","FILING_STATUS=MR","SCALING_FORMAT=MLN","Sort=A","Dates=H","DateFormat=P","Fill=—","Direction=H","UseDPDF=Y")</f>
        <v>9031</v>
      </c>
      <c r="N75" s="16" cm="1">
        <f t="array" ref="N75">_xll.BDH("CMI US Equity","TOTAL_EQUITY","FQ2 2021","FQ2 2021","Currency=USD","Period=FQ","BEST_FPERIOD_OVERRIDE=FQ","FILING_STATUS=MR","SCALING_FORMAT=MLN","Sort=A","Dates=H","DateFormat=P","Fill=—","Direction=H","UseDPDF=Y")</f>
        <v>8793</v>
      </c>
      <c r="O75" s="16" cm="1">
        <f t="array" ref="O75">_xll.BDH("CMI US Equity","TOTAL_EQUITY","FQ3 2021","FQ3 2021","Currency=USD","Period=FQ","BEST_FPERIOD_OVERRIDE=FQ","FILING_STATUS=MR","SCALING_FORMAT=MLN","Sort=A","Dates=H","DateFormat=P","Fill=—","Direction=H","UseDPDF=Y")</f>
        <v>9003</v>
      </c>
      <c r="P75" s="16" cm="1">
        <f t="array" ref="P75">_xll.BDH("CMI US Equity","TOTAL_EQUITY","FQ4 2021","FQ4 2021","Currency=USD","Period=FQ","BEST_FPERIOD_OVERRIDE=FQ","FILING_STATUS=MR","SCALING_FORMAT=MLN","Sort=A","Dates=H","DateFormat=P","Fill=—","Direction=H","UseDPDF=Y")</f>
        <v>9401</v>
      </c>
      <c r="Q75" s="16" cm="1">
        <f t="array" ref="Q75">_xll.BDH("CMI US Equity","TOTAL_EQUITY","FQ1 2022","FQ1 2022","Currency=USD","Period=FQ","BEST_FPERIOD_OVERRIDE=FQ","FILING_STATUS=MR","SCALING_FORMAT=MLN","Sort=A","Dates=H","DateFormat=P","Fill=—","Direction=H","UseDPDF=Y")</f>
        <v>9363</v>
      </c>
      <c r="R75" s="16" cm="1">
        <f t="array" ref="R75">_xll.BDH("CMI US Equity","TOTAL_EQUITY","FQ2 2022","FQ2 2022","Currency=USD","Period=FQ","BEST_FPERIOD_OVERRIDE=FQ","FILING_STATUS=MR","SCALING_FORMAT=MLN","Sort=A","Dates=H","DateFormat=P","Fill=—","Direction=H","UseDPDF=Y")</f>
        <v>9655</v>
      </c>
      <c r="S75" s="16" cm="1">
        <f t="array" ref="S75">_xll.BDH("CMI US Equity","TOTAL_EQUITY","FQ3 2022","FQ3 2022","Currency=USD","Period=FQ","BEST_FPERIOD_OVERRIDE=FQ","FILING_STATUS=MR","SCALING_FORMAT=MLN","Sort=A","Dates=H","DateFormat=P","Fill=—","Direction=H","UseDPDF=Y")</f>
        <v>9610</v>
      </c>
      <c r="T75" s="16" cm="1">
        <f t="array" ref="T75">_xll.BDH("CMI US Equity","TOTAL_EQUITY","FQ4 2022","FQ4 2022","Currency=USD","Period=FQ","BEST_FPERIOD_OVERRIDE=FQ","FILING_STATUS=MR","SCALING_FORMAT=MLN","Sort=A","Dates=H","DateFormat=P","Fill=—","Direction=H","UseDPDF=Y")</f>
        <v>10225</v>
      </c>
      <c r="U75" s="16" cm="1">
        <f t="array" ref="U75">_xll.BDH("CMI US Equity","TOTAL_EQUITY","FQ1 2023","FQ1 2023","Currency=USD","Period=FQ","BEST_FPERIOD_OVERRIDE=FQ","FILING_STATUS=MR","SCALING_FORMAT=MLN","Sort=A","Dates=H","DateFormat=P","Fill=—","Direction=H","UseDPDF=Y")</f>
        <v>10881</v>
      </c>
      <c r="V75" s="16" cm="1">
        <f t="array" ref="V75">_xll.BDH("CMI US Equity","TOTAL_EQUITY","FQ2 2023","FQ2 2023","Currency=USD","Period=FQ","BEST_FPERIOD_OVERRIDE=FQ","FILING_STATUS=MR","SCALING_FORMAT=MLN","Sort=A","Dates=H","DateFormat=P","Fill=—","Direction=H","UseDPDF=Y")</f>
        <v>11356</v>
      </c>
      <c r="W75" s="16" cm="1">
        <f t="array" ref="W75">_xll.BDH("CMI US Equity","TOTAL_EQUITY","FQ3 2023","FQ3 2023","Currency=USD","Period=FQ","BEST_FPERIOD_OVERRIDE=FQ","FILING_STATUS=MR","SCALING_FORMAT=MLN","Sort=A","Dates=H","DateFormat=P","Fill=—","Direction=H","UseDPDF=Y")</f>
        <v>11678</v>
      </c>
      <c r="X75" s="16" cm="1">
        <f t="array" ref="X75">_xll.BDH("CMI US Equity","TOTAL_EQUITY","FQ4 2023","FQ4 2023","Currency=USD","Period=FQ","BEST_FPERIOD_OVERRIDE=FQ","FILING_STATUS=MR","SCALING_FORMAT=MLN","Sort=A","Dates=H","DateFormat=P","Fill=—","Direction=H","UseDPDF=Y")</f>
        <v>9904</v>
      </c>
      <c r="Y75" s="16" cm="1">
        <f t="array" ref="Y75">_xll.BDH("CMI US Equity","TOTAL_EQUITY","FQ1 2024","FQ1 2024","Currency=USD","Period=FQ","BEST_FPERIOD_OVERRIDE=FQ","FILING_STATUS=MR","SCALING_FORMAT=MLN","Sort=A","Dates=H","DateFormat=P","Fill=—","Direction=H","UseDPDF=Y")</f>
        <v>10101</v>
      </c>
      <c r="Z75" s="16" cm="1">
        <f t="array" ref="Z75">_xll.BDH("CMI US Equity","TOTAL_EQUITY","FQ2 2024","FQ2 2024","Currency=USD","Period=FQ","BEST_FPERIOD_OVERRIDE=FQ","FILING_STATUS=MR","SCALING_FORMAT=MLN","Sort=A","Dates=H","DateFormat=P","Fill=—","Direction=H","UseDPDF=Y")</f>
        <v>10576</v>
      </c>
      <c r="AA75" s="16" cm="1">
        <f t="array" ref="AA75">_xll.BDH("CMI US Equity","TOTAL_EQUITY","FQ3 2024","FQ3 2024","Currency=USD","Period=FQ","BEST_FPERIOD_OVERRIDE=FQ","FILING_STATUS=MR","SCALING_FORMAT=MLN","Sort=A","Dates=H","DateFormat=P","Fill=—","Direction=H","UseDPDF=Y")</f>
        <v>11341</v>
      </c>
      <c r="AB75" s="16" cm="1">
        <f t="array" ref="AB75">_xll.BDH("CMI US Equity","TOTAL_EQUITY","FQ4 2024","FQ4 2024","Currency=USD","Period=FQ","BEST_FPERIOD_OVERRIDE=FQ","FILING_STATUS=MR","SCALING_FORMAT=MLN","Sort=A","Dates=H","DateFormat=P","Fill=—","Direction=H","UseDPDF=Y")</f>
        <v>11308</v>
      </c>
      <c r="AC75" s="16" cm="1">
        <f t="array" ref="AC75">_xll.BDH("CMI US Equity","TOTAL_EQUITY","FQ1 2025","FQ1 2025","Currency=USD","Period=FQ","BEST_FPERIOD_OVERRIDE=FQ","FILING_STATUS=MR","SCALING_FORMAT=MLN","Sort=A","Dates=H","DateFormat=P","Fill=—","Direction=H","UseDPDF=Y")</f>
        <v>11971</v>
      </c>
      <c r="AD75" s="16" cm="1">
        <f t="array" ref="AD75">_xll.BDH("CMI US Equity","TOTAL_EQUITY","FQ2 2025","FQ2 2025","Currency=USD","Period=FQ","BEST_FPERIOD_OVERRIDE=FQ","FILING_STATUS=MR","SCALING_FORMAT=MLN","Sort=A","Dates=H","DateFormat=P","Fill=—","Direction=H","UseDPDF=Y")</f>
        <v>12873</v>
      </c>
      <c r="AE75" s="16" cm="1">
        <f t="array" ref="AE75">_xll.BDH("CMI US Equity","TOTAL_EQUITY","FQ3 2025","FQ3 2025","Currency=USD","Period=FQ","BEST_FPERIOD_OVERRIDE=FQ","FILING_STATUS=MR","SCALING_FORMAT=MLN","Sort=A","Dates=H","DateFormat=P","Fill=—","Direction=H","UseDPDF=Y")</f>
        <v>13098</v>
      </c>
      <c r="AF75" s="16" cm="1">
        <f t="array" ref="AF75">_xll.BDH("CMI US Equity","TOTAL_EQUITY","FQ4 2025","FQ4 2025","Currency=USD","Period=FQ","BEST_FPERIOD_OVERRIDE=FQ","FILING_STATUS=MR","SCALING_FORMAT=MLN","Sort=A","Dates=H","DateFormat=P","Fill=—","Direction=H","UseDPDF=Y")</f>
        <v>13408</v>
      </c>
    </row>
    <row r="76" spans="1:32" x14ac:dyDescent="0.25">
      <c r="A76" s="6" t="s">
        <v>197</v>
      </c>
      <c r="B76" s="6" t="s">
        <v>198</v>
      </c>
      <c r="C76" s="16" cm="1">
        <f t="array" ref="C76">_xll.BDH("CMI US Equity","TOT_LIAB_AND_EQY","FQ3 2018","FQ3 2018","Currency=USD","Period=FQ","BEST_FPERIOD_OVERRIDE=FQ","FILING_STATUS=MR","SCALING_FORMAT=MLN","Sort=A","Dates=H","DateFormat=P","Fill=—","Direction=H","UseDPDF=Y")</f>
        <v>18992</v>
      </c>
      <c r="D76" s="16" cm="1">
        <f t="array" ref="D76">_xll.BDH("CMI US Equity","TOT_LIAB_AND_EQY","FQ4 2018","FQ4 2018","Currency=USD","Period=FQ","BEST_FPERIOD_OVERRIDE=FQ","FILING_STATUS=MR","SCALING_FORMAT=MLN","Sort=A","Dates=H","DateFormat=P","Fill=—","Direction=H","UseDPDF=Y")</f>
        <v>19062</v>
      </c>
      <c r="E76" s="16" cm="1">
        <f t="array" ref="E76">_xll.BDH("CMI US Equity","TOT_LIAB_AND_EQY","FQ1 2019","FQ1 2019","Currency=USD","Period=FQ","BEST_FPERIOD_OVERRIDE=FQ","FILING_STATUS=MR","SCALING_FORMAT=MLN","Sort=A","Dates=H","DateFormat=P","Fill=—","Direction=H","UseDPDF=Y")</f>
        <v>19846</v>
      </c>
      <c r="F76" s="16" cm="1">
        <f t="array" ref="F76">_xll.BDH("CMI US Equity","TOT_LIAB_AND_EQY","FQ2 2019","FQ2 2019","Currency=USD","Period=FQ","BEST_FPERIOD_OVERRIDE=FQ","FILING_STATUS=MR","SCALING_FORMAT=MLN","Sort=A","Dates=H","DateFormat=P","Fill=—","Direction=H","UseDPDF=Y")</f>
        <v>20254</v>
      </c>
      <c r="G76" s="16" cm="1">
        <f t="array" ref="G76">_xll.BDH("CMI US Equity","TOT_LIAB_AND_EQY","FQ3 2019","FQ3 2019","Currency=USD","Period=FQ","BEST_FPERIOD_OVERRIDE=FQ","FILING_STATUS=MR","SCALING_FORMAT=MLN","Sort=A","Dates=H","DateFormat=P","Fill=—","Direction=H","UseDPDF=Y")</f>
        <v>20346</v>
      </c>
      <c r="H76" s="16" cm="1">
        <f t="array" ref="H76">_xll.BDH("CMI US Equity","TOT_LIAB_AND_EQY","FQ4 2019","FQ4 2019","Currency=USD","Period=FQ","BEST_FPERIOD_OVERRIDE=FQ","FILING_STATUS=MR","SCALING_FORMAT=MLN","Sort=A","Dates=H","DateFormat=P","Fill=—","Direction=H","UseDPDF=Y")</f>
        <v>19737</v>
      </c>
      <c r="I76" s="16" cm="1">
        <f t="array" ref="I76">_xll.BDH("CMI US Equity","TOT_LIAB_AND_EQY","FQ1 2020","FQ1 2020","Currency=USD","Period=FQ","BEST_FPERIOD_OVERRIDE=FQ","FILING_STATUS=MR","SCALING_FORMAT=MLN","Sort=A","Dates=H","DateFormat=P","Fill=—","Direction=H","UseDPDF=Y")</f>
        <v>20076</v>
      </c>
      <c r="J76" s="16" cm="1">
        <f t="array" ref="J76">_xll.BDH("CMI US Equity","TOT_LIAB_AND_EQY","FQ2 2020","FQ2 2020","Currency=USD","Period=FQ","BEST_FPERIOD_OVERRIDE=FQ","FILING_STATUS=MR","SCALING_FORMAT=MLN","Sort=A","Dates=H","DateFormat=P","Fill=—","Direction=H","UseDPDF=Y")</f>
        <v>20314</v>
      </c>
      <c r="K76" s="16" cm="1">
        <f t="array" ref="K76">_xll.BDH("CMI US Equity","TOT_LIAB_AND_EQY","FQ3 2020","FQ3 2020","Currency=USD","Period=FQ","BEST_FPERIOD_OVERRIDE=FQ","FILING_STATUS=MR","SCALING_FORMAT=MLN","Sort=A","Dates=H","DateFormat=P","Fill=—","Direction=H","UseDPDF=Y")</f>
        <v>21568</v>
      </c>
      <c r="L76" s="16" cm="1">
        <f t="array" ref="L76">_xll.BDH("CMI US Equity","TOT_LIAB_AND_EQY","FQ4 2020","FQ4 2020","Currency=USD","Period=FQ","BEST_FPERIOD_OVERRIDE=FQ","FILING_STATUS=MR","SCALING_FORMAT=MLN","Sort=A","Dates=H","DateFormat=P","Fill=—","Direction=H","UseDPDF=Y")</f>
        <v>22624</v>
      </c>
      <c r="M76" s="16" cm="1">
        <f t="array" ref="M76">_xll.BDH("CMI US Equity","TOT_LIAB_AND_EQY","FQ1 2021","FQ1 2021","Currency=USD","Period=FQ","BEST_FPERIOD_OVERRIDE=FQ","FILING_STATUS=MR","SCALING_FORMAT=MLN","Sort=A","Dates=H","DateFormat=P","Fill=—","Direction=H","UseDPDF=Y")</f>
        <v>22962</v>
      </c>
      <c r="N76" s="16" cm="1">
        <f t="array" ref="N76">_xll.BDH("CMI US Equity","TOT_LIAB_AND_EQY","FQ2 2021","FQ2 2021","Currency=USD","Period=FQ","BEST_FPERIOD_OVERRIDE=FQ","FILING_STATUS=MR","SCALING_FORMAT=MLN","Sort=A","Dates=H","DateFormat=P","Fill=—","Direction=H","UseDPDF=Y")</f>
        <v>22608</v>
      </c>
      <c r="O76" s="16" cm="1">
        <f t="array" ref="O76">_xll.BDH("CMI US Equity","TOT_LIAB_AND_EQY","FQ3 2021","FQ3 2021","Currency=USD","Period=FQ","BEST_FPERIOD_OVERRIDE=FQ","FILING_STATUS=MR","SCALING_FORMAT=MLN","Sort=A","Dates=H","DateFormat=P","Fill=—","Direction=H","UseDPDF=Y")</f>
        <v>23063</v>
      </c>
      <c r="P76" s="16" cm="1">
        <f t="array" ref="P76">_xll.BDH("CMI US Equity","TOT_LIAB_AND_EQY","FQ4 2021","FQ4 2021","Currency=USD","Period=FQ","BEST_FPERIOD_OVERRIDE=FQ","FILING_STATUS=MR","SCALING_FORMAT=MLN","Sort=A","Dates=H","DateFormat=P","Fill=—","Direction=H","UseDPDF=Y")</f>
        <v>23710</v>
      </c>
      <c r="Q76" s="16" cm="1">
        <f t="array" ref="Q76">_xll.BDH("CMI US Equity","TOT_LIAB_AND_EQY","FQ1 2022","FQ1 2022","Currency=USD","Period=FQ","BEST_FPERIOD_OVERRIDE=FQ","FILING_STATUS=MR","SCALING_FORMAT=MLN","Sort=A","Dates=H","DateFormat=P","Fill=—","Direction=H","UseDPDF=Y")</f>
        <v>24122</v>
      </c>
      <c r="R76" s="16" cm="1">
        <f t="array" ref="R76">_xll.BDH("CMI US Equity","TOT_LIAB_AND_EQY","FQ2 2022","FQ2 2022","Currency=USD","Period=FQ","BEST_FPERIOD_OVERRIDE=FQ","FILING_STATUS=MR","SCALING_FORMAT=MLN","Sort=A","Dates=H","DateFormat=P","Fill=—","Direction=H","UseDPDF=Y")</f>
        <v>24477</v>
      </c>
      <c r="S76" s="16" cm="1">
        <f t="array" ref="S76">_xll.BDH("CMI US Equity","TOT_LIAB_AND_EQY","FQ3 2022","FQ3 2022","Currency=USD","Period=FQ","BEST_FPERIOD_OVERRIDE=FQ","FILING_STATUS=MR","SCALING_FORMAT=MLN","Sort=A","Dates=H","DateFormat=P","Fill=—","Direction=H","UseDPDF=Y")</f>
        <v>29769</v>
      </c>
      <c r="T76" s="16" cm="1">
        <f t="array" ref="T76">_xll.BDH("CMI US Equity","TOT_LIAB_AND_EQY","FQ4 2022","FQ4 2022","Currency=USD","Period=FQ","BEST_FPERIOD_OVERRIDE=FQ","FILING_STATUS=MR","SCALING_FORMAT=MLN","Sort=A","Dates=H","DateFormat=P","Fill=—","Direction=H","UseDPDF=Y")</f>
        <v>30299</v>
      </c>
      <c r="U76" s="16" cm="1">
        <f t="array" ref="U76">_xll.BDH("CMI US Equity","TOT_LIAB_AND_EQY","FQ1 2023","FQ1 2023","Currency=USD","Period=FQ","BEST_FPERIOD_OVERRIDE=FQ","FILING_STATUS=MR","SCALING_FORMAT=MLN","Sort=A","Dates=H","DateFormat=P","Fill=—","Direction=H","UseDPDF=Y")</f>
        <v>31433</v>
      </c>
      <c r="V76" s="16" cm="1">
        <f t="array" ref="V76">_xll.BDH("CMI US Equity","TOT_LIAB_AND_EQY","FQ2 2023","FQ2 2023","Currency=USD","Period=FQ","BEST_FPERIOD_OVERRIDE=FQ","FILING_STATUS=MR","SCALING_FORMAT=MLN","Sort=A","Dates=H","DateFormat=P","Fill=—","Direction=H","UseDPDF=Y")</f>
        <v>31735</v>
      </c>
      <c r="W76" s="16" cm="1">
        <f t="array" ref="W76">_xll.BDH("CMI US Equity","TOT_LIAB_AND_EQY","FQ3 2023","FQ3 2023","Currency=USD","Period=FQ","BEST_FPERIOD_OVERRIDE=FQ","FILING_STATUS=MR","SCALING_FORMAT=MLN","Sort=A","Dates=H","DateFormat=P","Fill=—","Direction=H","UseDPDF=Y")</f>
        <v>32097</v>
      </c>
      <c r="X76" s="16" cm="1">
        <f t="array" ref="X76">_xll.BDH("CMI US Equity","TOT_LIAB_AND_EQY","FQ4 2023","FQ4 2023","Currency=USD","Period=FQ","BEST_FPERIOD_OVERRIDE=FQ","FILING_STATUS=MR","SCALING_FORMAT=MLN","Sort=A","Dates=H","DateFormat=P","Fill=—","Direction=H","UseDPDF=Y")</f>
        <v>32005</v>
      </c>
      <c r="Y76" s="16" cm="1">
        <f t="array" ref="Y76">_xll.BDH("CMI US Equity","TOT_LIAB_AND_EQY","FQ1 2024","FQ1 2024","Currency=USD","Period=FQ","BEST_FPERIOD_OVERRIDE=FQ","FILING_STATUS=MR","SCALING_FORMAT=MLN","Sort=A","Dates=H","DateFormat=P","Fill=—","Direction=H","UseDPDF=Y")</f>
        <v>31827</v>
      </c>
      <c r="Z76" s="16" cm="1">
        <f t="array" ref="Z76">_xll.BDH("CMI US Equity","TOT_LIAB_AND_EQY","FQ2 2024","FQ2 2024","Currency=USD","Period=FQ","BEST_FPERIOD_OVERRIDE=FQ","FILING_STATUS=MR","SCALING_FORMAT=MLN","Sort=A","Dates=H","DateFormat=P","Fill=—","Direction=H","UseDPDF=Y")</f>
        <v>31320</v>
      </c>
      <c r="AA76" s="16" cm="1">
        <f t="array" ref="AA76">_xll.BDH("CMI US Equity","TOT_LIAB_AND_EQY","FQ3 2024","FQ3 2024","Currency=USD","Period=FQ","BEST_FPERIOD_OVERRIDE=FQ","FILING_STATUS=MR","SCALING_FORMAT=MLN","Sort=A","Dates=H","DateFormat=P","Fill=—","Direction=H","UseDPDF=Y")</f>
        <v>32052</v>
      </c>
      <c r="AB76" s="16" cm="1">
        <f t="array" ref="AB76">_xll.BDH("CMI US Equity","TOT_LIAB_AND_EQY","FQ4 2024","FQ4 2024","Currency=USD","Period=FQ","BEST_FPERIOD_OVERRIDE=FQ","FILING_STATUS=MR","SCALING_FORMAT=MLN","Sort=A","Dates=H","DateFormat=P","Fill=—","Direction=H","UseDPDF=Y")</f>
        <v>31540</v>
      </c>
      <c r="AC76" s="16" cm="1">
        <f t="array" ref="AC76">_xll.BDH("CMI US Equity","TOT_LIAB_AND_EQY","FQ1 2025","FQ1 2025","Currency=USD","Period=FQ","BEST_FPERIOD_OVERRIDE=FQ","FILING_STATUS=MR","SCALING_FORMAT=MLN","Sort=A","Dates=H","DateFormat=P","Fill=—","Direction=H","UseDPDF=Y")</f>
        <v>32531</v>
      </c>
      <c r="AD76" s="16" cm="1">
        <f t="array" ref="AD76">_xll.BDH("CMI US Equity","TOT_LIAB_AND_EQY","FQ2 2025","FQ2 2025","Currency=USD","Period=FQ","BEST_FPERIOD_OVERRIDE=FQ","FILING_STATUS=MR","SCALING_FORMAT=MLN","Sort=A","Dates=H","DateFormat=P","Fill=—","Direction=H","UseDPDF=Y")</f>
        <v>34259</v>
      </c>
      <c r="AE76" s="16" cm="1">
        <f t="array" ref="AE76">_xll.BDH("CMI US Equity","TOT_LIAB_AND_EQY","FQ3 2025","FQ3 2025","Currency=USD","Period=FQ","BEST_FPERIOD_OVERRIDE=FQ","FILING_STATUS=MR","SCALING_FORMAT=MLN","Sort=A","Dates=H","DateFormat=P","Fill=—","Direction=H","UseDPDF=Y")</f>
        <v>33638</v>
      </c>
      <c r="AF76" s="16" cm="1">
        <f t="array" ref="AF76">_xll.BDH("CMI US Equity","TOT_LIAB_AND_EQY","FQ4 2025","FQ4 2025","Currency=USD","Period=FQ","BEST_FPERIOD_OVERRIDE=FQ","FILING_STATUS=MR","SCALING_FORMAT=MLN","Sort=A","Dates=H","DateFormat=P","Fill=—","Direction=H","UseDPDF=Y")</f>
        <v>33992</v>
      </c>
    </row>
    <row r="77" spans="1:32" x14ac:dyDescent="0.25">
      <c r="A77" s="6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spans="1:32" x14ac:dyDescent="0.25">
      <c r="A78" s="6" t="s">
        <v>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spans="1:32" x14ac:dyDescent="0.25">
      <c r="A79" s="10" t="s">
        <v>199</v>
      </c>
      <c r="B79" s="10" t="s">
        <v>200</v>
      </c>
      <c r="C79" s="12" t="s">
        <v>201</v>
      </c>
      <c r="D79" s="12" t="s">
        <v>201</v>
      </c>
      <c r="E79" s="12" t="s">
        <v>201</v>
      </c>
      <c r="F79" s="12" t="s">
        <v>201</v>
      </c>
      <c r="G79" s="12" t="s">
        <v>201</v>
      </c>
      <c r="H79" s="12" t="s">
        <v>201</v>
      </c>
      <c r="I79" s="12" t="s">
        <v>201</v>
      </c>
      <c r="J79" s="12" t="s">
        <v>201</v>
      </c>
      <c r="K79" s="12" t="s">
        <v>201</v>
      </c>
      <c r="L79" s="12" t="s">
        <v>201</v>
      </c>
      <c r="M79" s="12" t="s">
        <v>201</v>
      </c>
      <c r="N79" s="12" t="s">
        <v>201</v>
      </c>
      <c r="O79" s="12" t="s">
        <v>201</v>
      </c>
      <c r="P79" s="12" t="s">
        <v>201</v>
      </c>
      <c r="Q79" s="12" t="s">
        <v>201</v>
      </c>
      <c r="R79" s="12" t="s">
        <v>201</v>
      </c>
      <c r="S79" s="12" t="s">
        <v>201</v>
      </c>
      <c r="T79" s="12" t="s">
        <v>201</v>
      </c>
      <c r="U79" s="12" t="s">
        <v>201</v>
      </c>
      <c r="V79" s="12" t="s">
        <v>201</v>
      </c>
      <c r="W79" s="12" t="s">
        <v>201</v>
      </c>
      <c r="X79" s="12" t="s">
        <v>201</v>
      </c>
      <c r="Y79" s="12" t="s">
        <v>201</v>
      </c>
      <c r="Z79" s="12" t="s">
        <v>201</v>
      </c>
      <c r="AA79" s="12" t="s">
        <v>201</v>
      </c>
      <c r="AB79" s="12" t="s">
        <v>201</v>
      </c>
      <c r="AC79" s="12" t="s">
        <v>201</v>
      </c>
      <c r="AD79" s="12" t="s">
        <v>201</v>
      </c>
      <c r="AE79" s="12" t="s">
        <v>201</v>
      </c>
      <c r="AF79" s="12" t="s">
        <v>201</v>
      </c>
    </row>
    <row r="80" spans="1:32" x14ac:dyDescent="0.25">
      <c r="A80" s="10" t="s">
        <v>202</v>
      </c>
      <c r="B80" s="10" t="s">
        <v>203</v>
      </c>
      <c r="C80" s="13" cm="1">
        <f t="array" ref="C80">_xll.BDH("CMI US Equity","BS_SH_OUT","FQ3 2018","FQ3 2018","Currency=USD","Period=FQ","BEST_FPERIOD_OVERRIDE=FQ","FILING_STATUS=MR","Sort=A","Dates=H","DateFormat=P","Fill=—","Direction=H","UseDPDF=Y")</f>
        <v>160</v>
      </c>
      <c r="D80" s="13" cm="1">
        <f t="array" ref="D80">_xll.BDH("CMI US Equity","BS_SH_OUT","FQ4 2018","FQ4 2018","Currency=USD","Period=FQ","BEST_FPERIOD_OVERRIDE=FQ","FILING_STATUS=MR","Sort=A","Dates=H","DateFormat=P","Fill=—","Direction=H","UseDPDF=Y")</f>
        <v>157.6</v>
      </c>
      <c r="E80" s="13" cm="1">
        <f t="array" ref="E80">_xll.BDH("CMI US Equity","BS_SH_OUT","FQ1 2019","FQ1 2019","Currency=USD","Period=FQ","BEST_FPERIOD_OVERRIDE=FQ","FILING_STATUS=MR","Sort=A","Dates=H","DateFormat=P","Fill=—","Direction=H","UseDPDF=Y")</f>
        <v>157.19999999999999</v>
      </c>
      <c r="F80" s="13" cm="1">
        <f t="array" ref="F80">_xll.BDH("CMI US Equity","BS_SH_OUT","FQ2 2019","FQ2 2019","Currency=USD","Period=FQ","BEST_FPERIOD_OVERRIDE=FQ","FILING_STATUS=MR","Sort=A","Dates=H","DateFormat=P","Fill=—","Direction=H","UseDPDF=Y")</f>
        <v>157.5</v>
      </c>
      <c r="G80" s="13" cm="1">
        <f t="array" ref="G80">_xll.BDH("CMI US Equity","BS_SH_OUT","FQ3 2019","FQ3 2019","Currency=USD","Period=FQ","BEST_FPERIOD_OVERRIDE=FQ","FILING_STATUS=MR","Sort=A","Dates=H","DateFormat=P","Fill=—","Direction=H","UseDPDF=Y")</f>
        <v>152.9</v>
      </c>
      <c r="H80" s="13" cm="1">
        <f t="array" ref="H80">_xll.BDH("CMI US Equity","BS_SH_OUT","FQ4 2019","FQ4 2019","Currency=USD","Period=FQ","BEST_FPERIOD_OVERRIDE=FQ","FILING_STATUS=MR","Sort=A","Dates=H","DateFormat=P","Fill=—","Direction=H","UseDPDF=Y")</f>
        <v>150.30000000000001</v>
      </c>
      <c r="I80" s="13" cm="1">
        <f t="array" ref="I80">_xll.BDH("CMI US Equity","BS_SH_OUT","FQ1 2020","FQ1 2020","Currency=USD","Period=FQ","BEST_FPERIOD_OVERRIDE=FQ","FILING_STATUS=MR","Sort=A","Dates=H","DateFormat=P","Fill=—","Direction=H","UseDPDF=Y")</f>
        <v>147.4</v>
      </c>
      <c r="J80" s="13" cm="1">
        <f t="array" ref="J80">_xll.BDH("CMI US Equity","BS_SH_OUT","FQ2 2020","FQ2 2020","Currency=USD","Period=FQ","BEST_FPERIOD_OVERRIDE=FQ","FILING_STATUS=MR","Sort=A","Dates=H","DateFormat=P","Fill=—","Direction=H","UseDPDF=Y")</f>
        <v>147.5</v>
      </c>
      <c r="K80" s="13" cm="1">
        <f t="array" ref="K80">_xll.BDH("CMI US Equity","BS_SH_OUT","FQ3 2020","FQ3 2020","Currency=USD","Period=FQ","BEST_FPERIOD_OVERRIDE=FQ","FILING_STATUS=MR","Sort=A","Dates=H","DateFormat=P","Fill=—","Direction=H","UseDPDF=Y")</f>
        <v>148.1</v>
      </c>
      <c r="L80" s="13" cm="1">
        <f t="array" ref="L80">_xll.BDH("CMI US Equity","BS_SH_OUT","FQ4 2020","FQ4 2020","Currency=USD","Period=FQ","BEST_FPERIOD_OVERRIDE=FQ","FILING_STATUS=MR","Sort=A","Dates=H","DateFormat=P","Fill=—","Direction=H","UseDPDF=Y")</f>
        <v>147.6</v>
      </c>
      <c r="M80" s="13" cm="1">
        <f t="array" ref="M80">_xll.BDH("CMI US Equity","BS_SH_OUT","FQ1 2021","FQ1 2021","Currency=USD","Period=FQ","BEST_FPERIOD_OVERRIDE=FQ","FILING_STATUS=MR","Sort=A","Dates=H","DateFormat=P","Fill=—","Direction=H","UseDPDF=Y")</f>
        <v>146.19999999999999</v>
      </c>
      <c r="N80" s="13" cm="1">
        <f t="array" ref="N80">_xll.BDH("CMI US Equity","BS_SH_OUT","FQ2 2021","FQ2 2021","Currency=USD","Period=FQ","BEST_FPERIOD_OVERRIDE=FQ","FILING_STATUS=MR","Sort=A","Dates=H","DateFormat=P","Fill=—","Direction=H","UseDPDF=Y")</f>
        <v>143.69999999999999</v>
      </c>
      <c r="O80" s="13" cm="1">
        <f t="array" ref="O80">_xll.BDH("CMI US Equity","BS_SH_OUT","FQ3 2021","FQ3 2021","Currency=USD","Period=FQ","BEST_FPERIOD_OVERRIDE=FQ","FILING_STATUS=MR","Sort=A","Dates=H","DateFormat=P","Fill=—","Direction=H","UseDPDF=Y")</f>
        <v>143.1</v>
      </c>
      <c r="P80" s="13" cm="1">
        <f t="array" ref="P80">_xll.BDH("CMI US Equity","BS_SH_OUT","FQ4 2021","FQ4 2021","Currency=USD","Period=FQ","BEST_FPERIOD_OVERRIDE=FQ","FILING_STATUS=MR","Sort=A","Dates=H","DateFormat=P","Fill=—","Direction=H","UseDPDF=Y")</f>
        <v>142.5</v>
      </c>
      <c r="Q80" s="13" cm="1">
        <f t="array" ref="Q80">_xll.BDH("CMI US Equity","BS_SH_OUT","FQ1 2022","FQ1 2022","Currency=USD","Period=FQ","BEST_FPERIOD_OVERRIDE=FQ","FILING_STATUS=MR","Sort=A","Dates=H","DateFormat=P","Fill=—","Direction=H","UseDPDF=Y")</f>
        <v>141.1</v>
      </c>
      <c r="R80" s="13" cm="1">
        <f t="array" ref="R80">_xll.BDH("CMI US Equity","BS_SH_OUT","FQ2 2022","FQ2 2022","Currency=USD","Period=FQ","BEST_FPERIOD_OVERRIDE=FQ","FILING_STATUS=MR","Sort=A","Dates=H","DateFormat=P","Fill=—","Direction=H","UseDPDF=Y")</f>
        <v>141</v>
      </c>
      <c r="S80" s="13" cm="1">
        <f t="array" ref="S80">_xll.BDH("CMI US Equity","BS_SH_OUT","FQ3 2022","FQ3 2022","Currency=USD","Period=FQ","BEST_FPERIOD_OVERRIDE=FQ","FILING_STATUS=MR","Sort=A","Dates=H","DateFormat=P","Fill=—","Direction=H","UseDPDF=Y")</f>
        <v>141</v>
      </c>
      <c r="T80" s="13" cm="1">
        <f t="array" ref="T80">_xll.BDH("CMI US Equity","BS_SH_OUT","FQ4 2022","FQ4 2022","Currency=USD","Period=FQ","BEST_FPERIOD_OVERRIDE=FQ","FILING_STATUS=MR","Sort=A","Dates=H","DateFormat=P","Fill=—","Direction=H","UseDPDF=Y")</f>
        <v>141.30000000000001</v>
      </c>
      <c r="U80" s="13" cm="1">
        <f t="array" ref="U80">_xll.BDH("CMI US Equity","BS_SH_OUT","FQ1 2023","FQ1 2023","Currency=USD","Period=FQ","BEST_FPERIOD_OVERRIDE=FQ","FILING_STATUS=MR","Sort=A","Dates=H","DateFormat=P","Fill=—","Direction=H","UseDPDF=Y")</f>
        <v>141.6</v>
      </c>
      <c r="V80" s="13" cm="1">
        <f t="array" ref="V80">_xll.BDH("CMI US Equity","BS_SH_OUT","FQ2 2023","FQ2 2023","Currency=USD","Period=FQ","BEST_FPERIOD_OVERRIDE=FQ","FILING_STATUS=MR","Sort=A","Dates=H","DateFormat=P","Fill=—","Direction=H","UseDPDF=Y")</f>
        <v>141.6</v>
      </c>
      <c r="W80" s="13" cm="1">
        <f t="array" ref="W80">_xll.BDH("CMI US Equity","BS_SH_OUT","FQ3 2023","FQ3 2023","Currency=USD","Period=FQ","BEST_FPERIOD_OVERRIDE=FQ","FILING_STATUS=MR","Sort=A","Dates=H","DateFormat=P","Fill=—","Direction=H","UseDPDF=Y")</f>
        <v>141.69999999999999</v>
      </c>
      <c r="X80" s="13" cm="1">
        <f t="array" ref="X80">_xll.BDH("CMI US Equity","BS_SH_OUT","FQ4 2023","FQ4 2023","Currency=USD","Period=FQ","BEST_FPERIOD_OVERRIDE=FQ","FILING_STATUS=MR","Sort=A","Dates=H","DateFormat=P","Fill=—","Direction=H","UseDPDF=Y")</f>
        <v>141.80000000000001</v>
      </c>
      <c r="Y80" s="13" cm="1">
        <f t="array" ref="Y80">_xll.BDH("CMI US Equity","BS_SH_OUT","FQ1 2024","FQ1 2024","Currency=USD","Period=FQ","BEST_FPERIOD_OVERRIDE=FQ","FILING_STATUS=MR","Sort=A","Dates=H","DateFormat=P","Fill=—","Direction=H","UseDPDF=Y")</f>
        <v>136.80000000000001</v>
      </c>
      <c r="Z80" s="13" cm="1">
        <f t="array" ref="Z80">_xll.BDH("CMI US Equity","BS_SH_OUT","FQ2 2024","FQ2 2024","Currency=USD","Period=FQ","BEST_FPERIOD_OVERRIDE=FQ","FILING_STATUS=MR","Sort=A","Dates=H","DateFormat=P","Fill=—","Direction=H","UseDPDF=Y")</f>
        <v>137</v>
      </c>
      <c r="AA80" s="13" cm="1">
        <f t="array" ref="AA80">_xll.BDH("CMI US Equity","BS_SH_OUT","FQ3 2024","FQ3 2024","Currency=USD","Period=FQ","BEST_FPERIOD_OVERRIDE=FQ","FILING_STATUS=MR","Sort=A","Dates=H","DateFormat=P","Fill=—","Direction=H","UseDPDF=Y")</f>
        <v>137.1</v>
      </c>
      <c r="AB80" s="13" cm="1">
        <f t="array" ref="AB80">_xll.BDH("CMI US Equity","BS_SH_OUT","FQ4 2024","FQ4 2024","Currency=USD","Period=FQ","BEST_FPERIOD_OVERRIDE=FQ","FILING_STATUS=MR","Sort=A","Dates=H","DateFormat=P","Fill=—","Direction=H","UseDPDF=Y")</f>
        <v>137.4</v>
      </c>
      <c r="AC80" s="13" cm="1">
        <f t="array" ref="AC80">_xll.BDH("CMI US Equity","BS_SH_OUT","FQ1 2025","FQ1 2025","Currency=USD","Period=FQ","BEST_FPERIOD_OVERRIDE=FQ","FILING_STATUS=MR","Sort=A","Dates=H","DateFormat=P","Fill=—","Direction=H","UseDPDF=Y")</f>
        <v>137.69999999999999</v>
      </c>
      <c r="AD80" s="13" cm="1">
        <f t="array" ref="AD80">_xll.BDH("CMI US Equity","BS_SH_OUT","FQ2 2025","FQ2 2025","Currency=USD","Period=FQ","BEST_FPERIOD_OVERRIDE=FQ","FILING_STATUS=MR","Sort=A","Dates=H","DateFormat=P","Fill=—","Direction=H","UseDPDF=Y")</f>
        <v>137.80000000000001</v>
      </c>
      <c r="AE80" s="13" cm="1">
        <f t="array" ref="AE80">_xll.BDH("CMI US Equity","BS_SH_OUT","FQ3 2025","FQ3 2025","Currency=USD","Period=FQ","BEST_FPERIOD_OVERRIDE=FQ","FILING_STATUS=MR","Sort=A","Dates=H","DateFormat=P","Fill=—","Direction=H","UseDPDF=Y")</f>
        <v>138</v>
      </c>
      <c r="AF80" s="13" cm="1">
        <f t="array" ref="AF80">_xll.BDH("CMI US Equity","BS_SH_OUT","FQ4 2025","FQ4 2025","Currency=USD","Period=FQ","BEST_FPERIOD_OVERRIDE=FQ","FILING_STATUS=MR","Sort=A","Dates=H","DateFormat=P","Fill=—","Direction=H","UseDPDF=Y")</f>
        <v>138.1</v>
      </c>
    </row>
    <row r="81" spans="1:32" x14ac:dyDescent="0.25">
      <c r="A81" s="10" t="s">
        <v>204</v>
      </c>
      <c r="B81" s="10" t="s">
        <v>205</v>
      </c>
      <c r="C81" s="13" cm="1">
        <f t="array" ref="C81">_xll.BDH("CMI US Equity","BS_NUM_OF_TSY_SH","FQ3 2018","FQ3 2018","Currency=USD","Period=FQ","BEST_FPERIOD_OVERRIDE=FQ","FILING_STATUS=MR","Sort=A","Dates=H","DateFormat=P","Fill=—","Direction=H","UseDPDF=Y")</f>
        <v>61.9</v>
      </c>
      <c r="D81" s="13" cm="1">
        <f t="array" ref="D81">_xll.BDH("CMI US Equity","BS_NUM_OF_TSY_SH","FQ4 2018","FQ4 2018","Currency=USD","Period=FQ","BEST_FPERIOD_OVERRIDE=FQ","FILING_STATUS=MR","Sort=A","Dates=H","DateFormat=P","Fill=—","Direction=H","UseDPDF=Y")</f>
        <v>64.400000000000006</v>
      </c>
      <c r="E81" s="13" cm="1">
        <f t="array" ref="E81">_xll.BDH("CMI US Equity","BS_NUM_OF_TSY_SH","FQ1 2019","FQ1 2019","Currency=USD","Period=FQ","BEST_FPERIOD_OVERRIDE=FQ","FILING_STATUS=MR","Sort=A","Dates=H","DateFormat=P","Fill=—","Direction=H","UseDPDF=Y")</f>
        <v>64.900000000000006</v>
      </c>
      <c r="F81" s="13" cm="1">
        <f t="array" ref="F81">_xll.BDH("CMI US Equity","BS_NUM_OF_TSY_SH","FQ2 2019","FQ2 2019","Currency=USD","Period=FQ","BEST_FPERIOD_OVERRIDE=FQ","FILING_STATUS=MR","Sort=A","Dates=H","DateFormat=P","Fill=—","Direction=H","UseDPDF=Y")</f>
        <v>64.599999999999994</v>
      </c>
      <c r="G81" s="13" cm="1">
        <f t="array" ref="G81">_xll.BDH("CMI US Equity","BS_NUM_OF_TSY_SH","FQ3 2019","FQ3 2019","Currency=USD","Period=FQ","BEST_FPERIOD_OVERRIDE=FQ","FILING_STATUS=MR","Sort=A","Dates=H","DateFormat=P","Fill=—","Direction=H","UseDPDF=Y")</f>
        <v>69.2</v>
      </c>
      <c r="H81" s="13" cm="1">
        <f t="array" ref="H81">_xll.BDH("CMI US Equity","BS_NUM_OF_TSY_SH","FQ4 2019","FQ4 2019","Currency=USD","Period=FQ","BEST_FPERIOD_OVERRIDE=FQ","FILING_STATUS=MR","Sort=A","Dates=H","DateFormat=P","Fill=—","Direction=H","UseDPDF=Y")</f>
        <v>71.7</v>
      </c>
      <c r="I81" s="13" cm="1">
        <f t="array" ref="I81">_xll.BDH("CMI US Equity","BS_NUM_OF_TSY_SH","FQ1 2020","FQ1 2020","Currency=USD","Period=FQ","BEST_FPERIOD_OVERRIDE=FQ","FILING_STATUS=MR","Sort=A","Dates=H","DateFormat=P","Fill=—","Direction=H","UseDPDF=Y")</f>
        <v>74.900000000000006</v>
      </c>
      <c r="J81" s="13" cm="1">
        <f t="array" ref="J81">_xll.BDH("CMI US Equity","BS_NUM_OF_TSY_SH","FQ2 2020","FQ2 2020","Currency=USD","Period=FQ","BEST_FPERIOD_OVERRIDE=FQ","FILING_STATUS=MR","Sort=A","Dates=H","DateFormat=P","Fill=—","Direction=H","UseDPDF=Y")</f>
        <v>74.8</v>
      </c>
      <c r="K81" s="13" cm="1">
        <f t="array" ref="K81">_xll.BDH("CMI US Equity","BS_NUM_OF_TSY_SH","FQ3 2020","FQ3 2020","Currency=USD","Period=FQ","BEST_FPERIOD_OVERRIDE=FQ","FILING_STATUS=MR","Sort=A","Dates=H","DateFormat=P","Fill=—","Direction=H","UseDPDF=Y")</f>
        <v>74.400000000000006</v>
      </c>
      <c r="L81" s="13" cm="1">
        <f t="array" ref="L81">_xll.BDH("CMI US Equity","BS_NUM_OF_TSY_SH","FQ4 2020","FQ4 2020","Currency=USD","Period=FQ","BEST_FPERIOD_OVERRIDE=FQ","FILING_STATUS=MR","Sort=A","Dates=H","DateFormat=P","Fill=—","Direction=H","UseDPDF=Y")</f>
        <v>74.8</v>
      </c>
      <c r="M81" s="13" cm="1">
        <f t="array" ref="M81">_xll.BDH("CMI US Equity","BS_NUM_OF_TSY_SH","FQ1 2021","FQ1 2021","Currency=USD","Period=FQ","BEST_FPERIOD_OVERRIDE=FQ","FILING_STATUS=MR","Sort=A","Dates=H","DateFormat=P","Fill=—","Direction=H","UseDPDF=Y")</f>
        <v>76.2</v>
      </c>
      <c r="N81" s="13" cm="1">
        <f t="array" ref="N81">_xll.BDH("CMI US Equity","BS_NUM_OF_TSY_SH","FQ2 2021","FQ2 2021","Currency=USD","Period=FQ","BEST_FPERIOD_OVERRIDE=FQ","FILING_STATUS=MR","Sort=A","Dates=H","DateFormat=P","Fill=—","Direction=H","UseDPDF=Y")</f>
        <v>78.8</v>
      </c>
      <c r="O81" s="13" cm="1">
        <f t="array" ref="O81">_xll.BDH("CMI US Equity","BS_NUM_OF_TSY_SH","FQ3 2021","FQ3 2021","Currency=USD","Period=FQ","BEST_FPERIOD_OVERRIDE=FQ","FILING_STATUS=MR","Sort=A","Dates=H","DateFormat=P","Fill=—","Direction=H","UseDPDF=Y")</f>
        <v>79.400000000000006</v>
      </c>
      <c r="P81" s="13" cm="1">
        <f t="array" ref="P81">_xll.BDH("CMI US Equity","BS_NUM_OF_TSY_SH","FQ4 2021","FQ4 2021","Currency=USD","Period=FQ","BEST_FPERIOD_OVERRIDE=FQ","FILING_STATUS=MR","Sort=A","Dates=H","DateFormat=P","Fill=—","Direction=H","UseDPDF=Y")</f>
        <v>80</v>
      </c>
      <c r="Q81" s="13" cm="1">
        <f t="array" ref="Q81">_xll.BDH("CMI US Equity","BS_NUM_OF_TSY_SH","FQ1 2022","FQ1 2022","Currency=USD","Period=FQ","BEST_FPERIOD_OVERRIDE=FQ","FILING_STATUS=MR","Sort=A","Dates=H","DateFormat=P","Fill=—","Direction=H","UseDPDF=Y")</f>
        <v>81.400000000000006</v>
      </c>
      <c r="R81" s="13" cm="1">
        <f t="array" ref="R81">_xll.BDH("CMI US Equity","BS_NUM_OF_TSY_SH","FQ2 2022","FQ2 2022","Currency=USD","Period=FQ","BEST_FPERIOD_OVERRIDE=FQ","FILING_STATUS=MR","Sort=A","Dates=H","DateFormat=P","Fill=—","Direction=H","UseDPDF=Y")</f>
        <v>81.5</v>
      </c>
      <c r="S81" s="13" cm="1">
        <f t="array" ref="S81">_xll.BDH("CMI US Equity","BS_NUM_OF_TSY_SH","FQ3 2022","FQ3 2022","Currency=USD","Period=FQ","BEST_FPERIOD_OVERRIDE=FQ","FILING_STATUS=MR","Sort=A","Dates=H","DateFormat=P","Fill=—","Direction=H","UseDPDF=Y")</f>
        <v>81.5</v>
      </c>
      <c r="T81" s="13" cm="1">
        <f t="array" ref="T81">_xll.BDH("CMI US Equity","BS_NUM_OF_TSY_SH","FQ4 2022","FQ4 2022","Currency=USD","Period=FQ","BEST_FPERIOD_OVERRIDE=FQ","FILING_STATUS=MR","Sort=A","Dates=H","DateFormat=P","Fill=—","Direction=H","UseDPDF=Y")</f>
        <v>81.2</v>
      </c>
      <c r="U81" s="13" cm="1">
        <f t="array" ref="U81">_xll.BDH("CMI US Equity","BS_NUM_OF_TSY_SH","FQ1 2023","FQ1 2023","Currency=USD","Period=FQ","BEST_FPERIOD_OVERRIDE=FQ","FILING_STATUS=MR","Sort=A","Dates=H","DateFormat=P","Fill=—","Direction=H","UseDPDF=Y")</f>
        <v>80.900000000000006</v>
      </c>
      <c r="V81" s="13" cm="1">
        <f t="array" ref="V81">_xll.BDH("CMI US Equity","BS_NUM_OF_TSY_SH","FQ2 2023","FQ2 2023","Currency=USD","Period=FQ","BEST_FPERIOD_OVERRIDE=FQ","FILING_STATUS=MR","Sort=A","Dates=H","DateFormat=P","Fill=—","Direction=H","UseDPDF=Y")</f>
        <v>80.900000000000006</v>
      </c>
      <c r="W81" s="13" cm="1">
        <f t="array" ref="W81">_xll.BDH("CMI US Equity","BS_NUM_OF_TSY_SH","FQ3 2023","FQ3 2023","Currency=USD","Period=FQ","BEST_FPERIOD_OVERRIDE=FQ","FILING_STATUS=MR","Sort=A","Dates=H","DateFormat=P","Fill=—","Direction=H","UseDPDF=Y")</f>
        <v>80.8</v>
      </c>
      <c r="X81" s="13" cm="1">
        <f t="array" ref="X81">_xll.BDH("CMI US Equity","BS_NUM_OF_TSY_SH","FQ4 2023","FQ4 2023","Currency=USD","Period=FQ","BEST_FPERIOD_OVERRIDE=FQ","FILING_STATUS=MR","Sort=A","Dates=H","DateFormat=P","Fill=—","Direction=H","UseDPDF=Y")</f>
        <v>80.7</v>
      </c>
      <c r="Y81" s="13" cm="1">
        <f t="array" ref="Y81">_xll.BDH("CMI US Equity","BS_NUM_OF_TSY_SH","FQ1 2024","FQ1 2024","Currency=USD","Period=FQ","BEST_FPERIOD_OVERRIDE=FQ","FILING_STATUS=MR","Sort=A","Dates=H","DateFormat=P","Fill=—","Direction=H","UseDPDF=Y")</f>
        <v>85.7</v>
      </c>
      <c r="Z81" s="13" cm="1">
        <f t="array" ref="Z81">_xll.BDH("CMI US Equity","BS_NUM_OF_TSY_SH","FQ2 2024","FQ2 2024","Currency=USD","Period=FQ","BEST_FPERIOD_OVERRIDE=FQ","FILING_STATUS=MR","Sort=A","Dates=H","DateFormat=P","Fill=—","Direction=H","UseDPDF=Y")</f>
        <v>85.5</v>
      </c>
      <c r="AA81" s="13" cm="1">
        <f t="array" ref="AA81">_xll.BDH("CMI US Equity","BS_NUM_OF_TSY_SH","FQ3 2024","FQ3 2024","Currency=USD","Period=FQ","BEST_FPERIOD_OVERRIDE=FQ","FILING_STATUS=MR","Sort=A","Dates=H","DateFormat=P","Fill=—","Direction=H","UseDPDF=Y")</f>
        <v>85.4</v>
      </c>
      <c r="AB81" s="13" cm="1">
        <f t="array" ref="AB81">_xll.BDH("CMI US Equity","BS_NUM_OF_TSY_SH","FQ4 2024","FQ4 2024","Currency=USD","Period=FQ","BEST_FPERIOD_OVERRIDE=FQ","FILING_STATUS=MR","Sort=A","Dates=H","DateFormat=P","Fill=—","Direction=H","UseDPDF=Y")</f>
        <v>85.1</v>
      </c>
      <c r="AC81" s="13" cm="1">
        <f t="array" ref="AC81">_xll.BDH("CMI US Equity","BS_NUM_OF_TSY_SH","FQ1 2025","FQ1 2025","Currency=USD","Period=FQ","BEST_FPERIOD_OVERRIDE=FQ","FILING_STATUS=MR","Sort=A","Dates=H","DateFormat=P","Fill=—","Direction=H","UseDPDF=Y")</f>
        <v>84.8</v>
      </c>
      <c r="AD81" s="13" cm="1">
        <f t="array" ref="AD81">_xll.BDH("CMI US Equity","BS_NUM_OF_TSY_SH","FQ2 2025","FQ2 2025","Currency=USD","Period=FQ","BEST_FPERIOD_OVERRIDE=FQ","FILING_STATUS=MR","Sort=A","Dates=H","DateFormat=P","Fill=—","Direction=H","UseDPDF=Y")</f>
        <v>84.7</v>
      </c>
      <c r="AE81" s="13" cm="1">
        <f t="array" ref="AE81">_xll.BDH("CMI US Equity","BS_NUM_OF_TSY_SH","FQ3 2025","FQ3 2025","Currency=USD","Period=FQ","BEST_FPERIOD_OVERRIDE=FQ","FILING_STATUS=MR","Sort=A","Dates=H","DateFormat=P","Fill=—","Direction=H","UseDPDF=Y")</f>
        <v>84.5</v>
      </c>
      <c r="AF81" s="13" cm="1">
        <f t="array" ref="AF81">_xll.BDH("CMI US Equity","BS_NUM_OF_TSY_SH","FQ4 2025","FQ4 2025","Currency=USD","Period=FQ","BEST_FPERIOD_OVERRIDE=FQ","FILING_STATUS=MR","Sort=A","Dates=H","DateFormat=P","Fill=—","Direction=H","UseDPDF=Y")</f>
        <v>84.4</v>
      </c>
    </row>
    <row r="82" spans="1:32" x14ac:dyDescent="0.25">
      <c r="A82" s="10" t="s">
        <v>206</v>
      </c>
      <c r="B82" s="10" t="s">
        <v>207</v>
      </c>
      <c r="C82" s="13" cm="1">
        <f t="array" ref="C82">_xll.BDH("CMI US Equity","BS_PENSION_RSRV","FQ3 2018","FQ3 2018","Currency=USD","Period=FQ","BEST_FPERIOD_OVERRIDE=FQ","FILING_STATUS=MR","SCALING_FORMAT=MLN","Sort=A","Dates=H","DateFormat=P","Fill=—","Direction=H","UseDPDF=Y")</f>
        <v>612</v>
      </c>
      <c r="D82" s="13" cm="1">
        <f t="array" ref="D82">_xll.BDH("CMI US Equity","BS_PENSION_RSRV","FQ4 2018","FQ4 2018","Currency=USD","Period=FQ","BEST_FPERIOD_OVERRIDE=FQ","FILING_STATUS=MR","SCALING_FORMAT=MLN","Sort=A","Dates=H","DateFormat=P","Fill=—","Direction=H","UseDPDF=Y")</f>
        <v>532</v>
      </c>
      <c r="E82" s="13" cm="1">
        <f t="array" ref="E82">_xll.BDH("CMI US Equity","BS_PENSION_RSRV","FQ1 2019","FQ1 2019","Currency=USD","Period=FQ","BEST_FPERIOD_OVERRIDE=FQ","FILING_STATUS=MR","SCALING_FORMAT=MLN","Sort=A","Dates=H","DateFormat=P","Fill=—","Direction=H","UseDPDF=Y")</f>
        <v>520</v>
      </c>
      <c r="F82" s="13" cm="1">
        <f t="array" ref="F82">_xll.BDH("CMI US Equity","BS_PENSION_RSRV","FQ2 2019","FQ2 2019","Currency=USD","Period=FQ","BEST_FPERIOD_OVERRIDE=FQ","FILING_STATUS=MR","SCALING_FORMAT=MLN","Sort=A","Dates=H","DateFormat=P","Fill=—","Direction=H","UseDPDF=Y")</f>
        <v>522</v>
      </c>
      <c r="G82" s="13" cm="1">
        <f t="array" ref="G82">_xll.BDH("CMI US Equity","BS_PENSION_RSRV","FQ3 2019","FQ3 2019","Currency=USD","Period=FQ","BEST_FPERIOD_OVERRIDE=FQ","FILING_STATUS=MR","SCALING_FORMAT=MLN","Sort=A","Dates=H","DateFormat=P","Fill=—","Direction=H","UseDPDF=Y")</f>
        <v>521</v>
      </c>
      <c r="H82" s="13" cm="1">
        <f t="array" ref="H82">_xll.BDH("CMI US Equity","BS_PENSION_RSRV","FQ4 2019","FQ4 2019","Currency=USD","Period=FQ","BEST_FPERIOD_OVERRIDE=FQ","FILING_STATUS=MR","SCALING_FORMAT=MLN","Sort=A","Dates=H","DateFormat=P","Fill=—","Direction=H","UseDPDF=Y")</f>
        <v>591</v>
      </c>
      <c r="I82" s="13" cm="1">
        <f t="array" ref="I82">_xll.BDH("CMI US Equity","BS_PENSION_RSRV","FQ1 2020","FQ1 2020","Currency=USD","Period=FQ","BEST_FPERIOD_OVERRIDE=FQ","FILING_STATUS=MR","SCALING_FORMAT=MLN","Sort=A","Dates=H","DateFormat=P","Fill=—","Direction=H","UseDPDF=Y")</f>
        <v>588</v>
      </c>
      <c r="J82" s="13" cm="1">
        <f t="array" ref="J82">_xll.BDH("CMI US Equity","BS_PENSION_RSRV","FQ2 2020","FQ2 2020","Currency=USD","Period=FQ","BEST_FPERIOD_OVERRIDE=FQ","FILING_STATUS=MR","SCALING_FORMAT=MLN","Sort=A","Dates=H","DateFormat=P","Fill=—","Direction=H","UseDPDF=Y")</f>
        <v>578</v>
      </c>
      <c r="K82" s="13" cm="1">
        <f t="array" ref="K82">_xll.BDH("CMI US Equity","BS_PENSION_RSRV","FQ3 2020","FQ3 2020","Currency=USD","Period=FQ","BEST_FPERIOD_OVERRIDE=FQ","FILING_STATUS=MR","SCALING_FORMAT=MLN","Sort=A","Dates=H","DateFormat=P","Fill=—","Direction=H","UseDPDF=Y")</f>
        <v>571</v>
      </c>
      <c r="L82" s="13" cm="1">
        <f t="array" ref="L82">_xll.BDH("CMI US Equity","BS_PENSION_RSRV","FQ4 2020","FQ4 2020","Currency=USD","Period=FQ","BEST_FPERIOD_OVERRIDE=FQ","FILING_STATUS=MR","SCALING_FORMAT=MLN","Sort=A","Dates=H","DateFormat=P","Fill=—","Direction=H","UseDPDF=Y")</f>
        <v>630</v>
      </c>
      <c r="M82" s="13" cm="1">
        <f t="array" ref="M82">_xll.BDH("CMI US Equity","BS_PENSION_RSRV","FQ1 2021","FQ1 2021","Currency=USD","Period=FQ","BEST_FPERIOD_OVERRIDE=FQ","FILING_STATUS=MR","SCALING_FORMAT=MLN","Sort=A","Dates=H","DateFormat=P","Fill=—","Direction=H","UseDPDF=Y")</f>
        <v>621</v>
      </c>
      <c r="N82" s="13" cm="1">
        <f t="array" ref="N82">_xll.BDH("CMI US Equity","BS_PENSION_RSRV","FQ2 2021","FQ2 2021","Currency=USD","Period=FQ","BEST_FPERIOD_OVERRIDE=FQ","FILING_STATUS=MR","SCALING_FORMAT=MLN","Sort=A","Dates=H","DateFormat=P","Fill=—","Direction=H","UseDPDF=Y")</f>
        <v>617</v>
      </c>
      <c r="O82" s="13" cm="1">
        <f t="array" ref="O82">_xll.BDH("CMI US Equity","BS_PENSION_RSRV","FQ3 2021","FQ3 2021","Currency=USD","Period=FQ","BEST_FPERIOD_OVERRIDE=FQ","FILING_STATUS=MR","SCALING_FORMAT=MLN","Sort=A","Dates=H","DateFormat=P","Fill=—","Direction=H","UseDPDF=Y")</f>
        <v>623</v>
      </c>
      <c r="P82" s="13" cm="1">
        <f t="array" ref="P82">_xll.BDH("CMI US Equity","BS_PENSION_RSRV","FQ4 2021","FQ4 2021","Currency=USD","Period=FQ","BEST_FPERIOD_OVERRIDE=FQ","FILING_STATUS=MR","SCALING_FORMAT=MLN","Sort=A","Dates=H","DateFormat=P","Fill=—","Direction=H","UseDPDF=Y")</f>
        <v>604</v>
      </c>
      <c r="Q82" s="13" cm="1">
        <f t="array" ref="Q82">_xll.BDH("CMI US Equity","BS_PENSION_RSRV","FQ1 2022","FQ1 2022","Currency=USD","Period=FQ","BEST_FPERIOD_OVERRIDE=FQ","FILING_STATUS=MR","SCALING_FORMAT=MLN","Sort=A","Dates=H","DateFormat=P","Fill=—","Direction=H","UseDPDF=Y")</f>
        <v>593</v>
      </c>
      <c r="R82" s="13" cm="1">
        <f t="array" ref="R82">_xll.BDH("CMI US Equity","BS_PENSION_RSRV","FQ2 2022","FQ2 2022","Currency=USD","Period=FQ","BEST_FPERIOD_OVERRIDE=FQ","FILING_STATUS=MR","SCALING_FORMAT=MLN","Sort=A","Dates=H","DateFormat=P","Fill=—","Direction=H","UseDPDF=Y")</f>
        <v>589</v>
      </c>
      <c r="S82" s="13" cm="1">
        <f t="array" ref="S82">_xll.BDH("CMI US Equity","BS_PENSION_RSRV","FQ3 2022","FQ3 2022","Currency=USD","Period=FQ","BEST_FPERIOD_OVERRIDE=FQ","FILING_STATUS=MR","SCALING_FORMAT=MLN","Sort=A","Dates=H","DateFormat=P","Fill=—","Direction=H","UseDPDF=Y")</f>
        <v>678</v>
      </c>
      <c r="T82" s="13" t="str" cm="1">
        <f t="array" ref="T82">_xll.BDH("CMI US Equity","BS_PENSION_RSRV","FQ4 2022","FQ4 2022","Currency=USD","Period=FQ","BEST_FPERIOD_OVERRIDE=FQ","FILING_STATUS=MR","SCALING_FORMAT=MLN","Sort=A","Dates=H","DateFormat=P","Fill=—","Direction=H","UseDPDF=Y")</f>
        <v>—</v>
      </c>
      <c r="U82" s="13" t="str" cm="1">
        <f t="array" ref="U82">_xll.BDH("CMI US Equity","BS_PENSION_RSRV","FQ1 2023","FQ1 2023","Currency=USD","Period=FQ","BEST_FPERIOD_OVERRIDE=FQ","FILING_STATUS=MR","SCALING_FORMAT=MLN","Sort=A","Dates=H","DateFormat=P","Fill=—","Direction=H","UseDPDF=Y")</f>
        <v>—</v>
      </c>
      <c r="V82" s="13" t="str" cm="1">
        <f t="array" ref="V82">_xll.BDH("CMI US Equity","BS_PENSION_RSRV","FQ2 2023","FQ2 2023","Currency=USD","Period=FQ","BEST_FPERIOD_OVERRIDE=FQ","FILING_STATUS=MR","SCALING_FORMAT=MLN","Sort=A","Dates=H","DateFormat=P","Fill=—","Direction=H","UseDPDF=Y")</f>
        <v>—</v>
      </c>
      <c r="W82" s="13" cm="1">
        <f t="array" ref="W82">_xll.BDH("CMI US Equity","BS_PENSION_RSRV","FQ3 2023","FQ3 2023","Currency=USD","Period=FQ","BEST_FPERIOD_OVERRIDE=FQ","FILING_STATUS=MR","SCALING_FORMAT=MLN","Sort=A","Dates=H","DateFormat=P","Fill=—","Direction=H","UseDPDF=Y")</f>
        <v>0</v>
      </c>
      <c r="X82" s="13" t="str" cm="1">
        <f t="array" ref="X82">_xll.BDH("CMI US Equity","BS_PENSION_RSRV","FQ4 2023","FQ4 2023","Currency=USD","Period=FQ","BEST_FPERIOD_OVERRIDE=FQ","FILING_STATUS=MR","SCALING_FORMAT=MLN","Sort=A","Dates=H","DateFormat=P","Fill=—","Direction=H","UseDPDF=Y")</f>
        <v>—</v>
      </c>
      <c r="Y82" s="13" t="str" cm="1">
        <f t="array" ref="Y82">_xll.BDH("CMI US Equity","BS_PENSION_RSRV","FQ1 2024","FQ1 2024","Currency=USD","Period=FQ","BEST_FPERIOD_OVERRIDE=FQ","FILING_STATUS=MR","SCALING_FORMAT=MLN","Sort=A","Dates=H","DateFormat=P","Fill=—","Direction=H","UseDPDF=Y")</f>
        <v>—</v>
      </c>
      <c r="Z82" s="13" t="str" cm="1">
        <f t="array" ref="Z82">_xll.BDH("CMI US Equity","BS_PENSION_RSRV","FQ2 2024","FQ2 2024","Currency=USD","Period=FQ","BEST_FPERIOD_OVERRIDE=FQ","FILING_STATUS=MR","SCALING_FORMAT=MLN","Sort=A","Dates=H","DateFormat=P","Fill=—","Direction=H","UseDPDF=Y")</f>
        <v>—</v>
      </c>
      <c r="AA82" s="13" cm="1">
        <f t="array" ref="AA82">_xll.BDH("CMI US Equity","BS_PENSION_RSRV","FQ3 2024","FQ3 2024","Currency=USD","Period=FQ","BEST_FPERIOD_OVERRIDE=FQ","FILING_STATUS=MR","SCALING_FORMAT=MLN","Sort=A","Dates=H","DateFormat=P","Fill=—","Direction=H","UseDPDF=Y")</f>
        <v>0</v>
      </c>
      <c r="AB82" s="13" cm="1">
        <f t="array" ref="AB82">_xll.BDH("CMI US Equity","BS_PENSION_RSRV","FQ4 2024","FQ4 2024","Currency=USD","Period=FQ","BEST_FPERIOD_OVERRIDE=FQ","FILING_STATUS=MR","SCALING_FORMAT=MLN","Sort=A","Dates=H","DateFormat=P","Fill=—","Direction=H","UseDPDF=Y")</f>
        <v>0</v>
      </c>
      <c r="AC82" s="13" t="str" cm="1">
        <f t="array" ref="AC82">_xll.BDH("CMI US Equity","BS_PENSION_RSRV","FQ1 2025","FQ1 2025","Currency=USD","Period=FQ","BEST_FPERIOD_OVERRIDE=FQ","FILING_STATUS=MR","SCALING_FORMAT=MLN","Sort=A","Dates=H","DateFormat=P","Fill=—","Direction=H","UseDPDF=Y")</f>
        <v>—</v>
      </c>
      <c r="AD82" s="13" t="str" cm="1">
        <f t="array" ref="AD82">_xll.BDH("CMI US Equity","BS_PENSION_RSRV","FQ2 2025","FQ2 2025","Currency=USD","Period=FQ","BEST_FPERIOD_OVERRIDE=FQ","FILING_STATUS=MR","SCALING_FORMAT=MLN","Sort=A","Dates=H","DateFormat=P","Fill=—","Direction=H","UseDPDF=Y")</f>
        <v>—</v>
      </c>
      <c r="AE82" s="13" cm="1">
        <f t="array" ref="AE82">_xll.BDH("CMI US Equity","BS_PENSION_RSRV","FQ3 2025","FQ3 2025","Currency=USD","Period=FQ","BEST_FPERIOD_OVERRIDE=FQ","FILING_STATUS=MR","SCALING_FORMAT=MLN","Sort=A","Dates=H","DateFormat=P","Fill=—","Direction=H","UseDPDF=Y")</f>
        <v>0</v>
      </c>
      <c r="AF82" s="13" cm="1">
        <f t="array" ref="AF82">_xll.BDH("CMI US Equity","BS_PENSION_RSRV","FQ4 2025","FQ4 2025","Currency=USD","Period=FQ","BEST_FPERIOD_OVERRIDE=FQ","FILING_STATUS=MR","SCALING_FORMAT=MLN","Sort=A","Dates=H","DateFormat=P","Fill=—","Direction=H","UseDPDF=Y")</f>
        <v>0</v>
      </c>
    </row>
    <row r="83" spans="1:32" x14ac:dyDescent="0.25">
      <c r="A83" s="10" t="s">
        <v>208</v>
      </c>
      <c r="B83" s="10" t="s">
        <v>209</v>
      </c>
      <c r="C83" s="13" t="str" cm="1">
        <f t="array" ref="C83">_xll.BDH("CMI US Equity","BS_FUTURE_MIN_OPER_LEASE_OBLIG","FQ3 2018","FQ3 2018","Currency=USD","Period=FQ","BEST_FPERIOD_OVERRIDE=FQ","FILING_STATUS=MR","SCALING_FORMAT=MLN","Sort=A","Dates=H","DateFormat=P","Fill=—","Direction=H","UseDPDF=Y")</f>
        <v>—</v>
      </c>
      <c r="D83" s="13" cm="1">
        <f t="array" ref="D83">_xll.BDH("CMI US Equity","BS_FUTURE_MIN_OPER_LEASE_OBLIG","FQ4 2018","FQ4 2018","Currency=USD","Period=FQ","BEST_FPERIOD_OVERRIDE=FQ","FILING_STATUS=MR","SCALING_FORMAT=MLN","Sort=A","Dates=H","DateFormat=P","Fill=—","Direction=H","UseDPDF=Y")</f>
        <v>508</v>
      </c>
      <c r="E83" s="13" cm="1">
        <f t="array" ref="E83">_xll.BDH("CMI US Equity","BS_FUTURE_MIN_OPER_LEASE_OBLIG","FQ1 2019","FQ1 2019","Currency=USD","Period=FQ","BEST_FPERIOD_OVERRIDE=FQ","FILING_STATUS=MR","SCALING_FORMAT=MLN","Sort=A","Dates=H","DateFormat=P","Fill=—","Direction=H","UseDPDF=Y")</f>
        <v>482</v>
      </c>
      <c r="F83" s="13" cm="1">
        <f t="array" ref="F83">_xll.BDH("CMI US Equity","BS_FUTURE_MIN_OPER_LEASE_OBLIG","FQ2 2019","FQ2 2019","Currency=USD","Period=FQ","BEST_FPERIOD_OVERRIDE=FQ","FILING_STATUS=MR","SCALING_FORMAT=MLN","Sort=A","Dates=H","DateFormat=P","Fill=—","Direction=H","UseDPDF=Y")</f>
        <v>497</v>
      </c>
      <c r="G83" s="13" cm="1">
        <f t="array" ref="G83">_xll.BDH("CMI US Equity","BS_FUTURE_MIN_OPER_LEASE_OBLIG","FQ3 2019","FQ3 2019","Currency=USD","Period=FQ","BEST_FPERIOD_OVERRIDE=FQ","FILING_STATUS=MR","SCALING_FORMAT=MLN","Sort=A","Dates=H","DateFormat=P","Fill=—","Direction=H","UseDPDF=Y")</f>
        <v>507</v>
      </c>
      <c r="H83" s="13" cm="1">
        <f t="array" ref="H83">_xll.BDH("CMI US Equity","BS_FUTURE_MIN_OPER_LEASE_OBLIG","FQ4 2019","FQ4 2019","Currency=USD","Period=FQ","BEST_FPERIOD_OVERRIDE=FQ","FILING_STATUS=MR","SCALING_FORMAT=MLN","Sort=A","Dates=H","DateFormat=P","Fill=—","Direction=H","UseDPDF=Y")</f>
        <v>552</v>
      </c>
      <c r="I83" s="13" t="str" cm="1">
        <f t="array" ref="I83">_xll.BDH("CMI US Equity","BS_FUTURE_MIN_OPER_LEASE_OBLIG","FQ1 2020","FQ1 2020","Currency=USD","Period=FQ","BEST_FPERIOD_OVERRIDE=FQ","FILING_STATUS=MR","SCALING_FORMAT=MLN","Sort=A","Dates=H","DateFormat=P","Fill=—","Direction=H","UseDPDF=Y")</f>
        <v>—</v>
      </c>
      <c r="J83" s="13" t="str" cm="1">
        <f t="array" ref="J83">_xll.BDH("CMI US Equity","BS_FUTURE_MIN_OPER_LEASE_OBLIG","FQ2 2020","FQ2 2020","Currency=USD","Period=FQ","BEST_FPERIOD_OVERRIDE=FQ","FILING_STATUS=MR","SCALING_FORMAT=MLN","Sort=A","Dates=H","DateFormat=P","Fill=—","Direction=H","UseDPDF=Y")</f>
        <v>—</v>
      </c>
      <c r="K83" s="13" t="str" cm="1">
        <f t="array" ref="K83">_xll.BDH("CMI US Equity","BS_FUTURE_MIN_OPER_LEASE_OBLIG","FQ3 2020","FQ3 2020","Currency=USD","Period=FQ","BEST_FPERIOD_OVERRIDE=FQ","FILING_STATUS=MR","SCALING_FORMAT=MLN","Sort=A","Dates=H","DateFormat=P","Fill=—","Direction=H","UseDPDF=Y")</f>
        <v>—</v>
      </c>
      <c r="L83" s="13" cm="1">
        <f t="array" ref="L83">_xll.BDH("CMI US Equity","BS_FUTURE_MIN_OPER_LEASE_OBLIG","FQ4 2020","FQ4 2020","Currency=USD","Period=FQ","BEST_FPERIOD_OVERRIDE=FQ","FILING_STATUS=MR","SCALING_FORMAT=MLN","Sort=A","Dates=H","DateFormat=P","Fill=—","Direction=H","UseDPDF=Y")</f>
        <v>492</v>
      </c>
      <c r="M83" s="13" t="str" cm="1">
        <f t="array" ref="M83">_xll.BDH("CMI US Equity","BS_FUTURE_MIN_OPER_LEASE_OBLIG","FQ1 2021","FQ1 2021","Currency=USD","Period=FQ","BEST_FPERIOD_OVERRIDE=FQ","FILING_STATUS=MR","SCALING_FORMAT=MLN","Sort=A","Dates=H","DateFormat=P","Fill=—","Direction=H","UseDPDF=Y")</f>
        <v>—</v>
      </c>
      <c r="N83" s="13" t="str" cm="1">
        <f t="array" ref="N83">_xll.BDH("CMI US Equity","BS_FUTURE_MIN_OPER_LEASE_OBLIG","FQ2 2021","FQ2 2021","Currency=USD","Period=FQ","BEST_FPERIOD_OVERRIDE=FQ","FILING_STATUS=MR","SCALING_FORMAT=MLN","Sort=A","Dates=H","DateFormat=P","Fill=—","Direction=H","UseDPDF=Y")</f>
        <v>—</v>
      </c>
      <c r="O83" s="13" t="str" cm="1">
        <f t="array" ref="O83">_xll.BDH("CMI US Equity","BS_FUTURE_MIN_OPER_LEASE_OBLIG","FQ3 2021","FQ3 2021","Currency=USD","Period=FQ","BEST_FPERIOD_OVERRIDE=FQ","FILING_STATUS=MR","SCALING_FORMAT=MLN","Sort=A","Dates=H","DateFormat=P","Fill=—","Direction=H","UseDPDF=Y")</f>
        <v>—</v>
      </c>
      <c r="P83" s="13" cm="1">
        <f t="array" ref="P83">_xll.BDH("CMI US Equity","BS_FUTURE_MIN_OPER_LEASE_OBLIG","FQ4 2021","FQ4 2021","Currency=USD","Period=FQ","BEST_FPERIOD_OVERRIDE=FQ","FILING_STATUS=MR","SCALING_FORMAT=MLN","Sort=A","Dates=H","DateFormat=P","Fill=—","Direction=H","UseDPDF=Y")</f>
        <v>486</v>
      </c>
      <c r="Q83" s="13" t="str" cm="1">
        <f t="array" ref="Q83">_xll.BDH("CMI US Equity","BS_FUTURE_MIN_OPER_LEASE_OBLIG","FQ1 2022","FQ1 2022","Currency=USD","Period=FQ","BEST_FPERIOD_OVERRIDE=FQ","FILING_STATUS=MR","SCALING_FORMAT=MLN","Sort=A","Dates=H","DateFormat=P","Fill=—","Direction=H","UseDPDF=Y")</f>
        <v>—</v>
      </c>
      <c r="R83" s="13" t="str" cm="1">
        <f t="array" ref="R83">_xll.BDH("CMI US Equity","BS_FUTURE_MIN_OPER_LEASE_OBLIG","FQ2 2022","FQ2 2022","Currency=USD","Period=FQ","BEST_FPERIOD_OVERRIDE=FQ","FILING_STATUS=MR","SCALING_FORMAT=MLN","Sort=A","Dates=H","DateFormat=P","Fill=—","Direction=H","UseDPDF=Y")</f>
        <v>—</v>
      </c>
      <c r="S83" s="13" t="str" cm="1">
        <f t="array" ref="S83">_xll.BDH("CMI US Equity","BS_FUTURE_MIN_OPER_LEASE_OBLIG","FQ3 2022","FQ3 2022","Currency=USD","Period=FQ","BEST_FPERIOD_OVERRIDE=FQ","FILING_STATUS=MR","SCALING_FORMAT=MLN","Sort=A","Dates=H","DateFormat=P","Fill=—","Direction=H","UseDPDF=Y")</f>
        <v>—</v>
      </c>
      <c r="T83" s="13" cm="1">
        <f t="array" ref="T83">_xll.BDH("CMI US Equity","BS_FUTURE_MIN_OPER_LEASE_OBLIG","FQ4 2022","FQ4 2022","Currency=USD","Period=FQ","BEST_FPERIOD_OVERRIDE=FQ","FILING_STATUS=MR","SCALING_FORMAT=MLN","Sort=A","Dates=H","DateFormat=P","Fill=—","Direction=H","UseDPDF=Y")</f>
        <v>557</v>
      </c>
      <c r="U83" s="13" t="str" cm="1">
        <f t="array" ref="U83">_xll.BDH("CMI US Equity","BS_FUTURE_MIN_OPER_LEASE_OBLIG","FQ1 2023","FQ1 2023","Currency=USD","Period=FQ","BEST_FPERIOD_OVERRIDE=FQ","FILING_STATUS=MR","SCALING_FORMAT=MLN","Sort=A","Dates=H","DateFormat=P","Fill=—","Direction=H","UseDPDF=Y")</f>
        <v>—</v>
      </c>
      <c r="V83" s="13" t="str" cm="1">
        <f t="array" ref="V83">_xll.BDH("CMI US Equity","BS_FUTURE_MIN_OPER_LEASE_OBLIG","FQ2 2023","FQ2 2023","Currency=USD","Period=FQ","BEST_FPERIOD_OVERRIDE=FQ","FILING_STATUS=MR","SCALING_FORMAT=MLN","Sort=A","Dates=H","DateFormat=P","Fill=—","Direction=H","UseDPDF=Y")</f>
        <v>—</v>
      </c>
      <c r="W83" s="13" t="str" cm="1">
        <f t="array" ref="W83">_xll.BDH("CMI US Equity","BS_FUTURE_MIN_OPER_LEASE_OBLIG","FQ3 2023","FQ3 2023","Currency=USD","Period=FQ","BEST_FPERIOD_OVERRIDE=FQ","FILING_STATUS=MR","SCALING_FORMAT=MLN","Sort=A","Dates=H","DateFormat=P","Fill=—","Direction=H","UseDPDF=Y")</f>
        <v>—</v>
      </c>
      <c r="X83" s="13" cm="1">
        <f t="array" ref="X83">_xll.BDH("CMI US Equity","BS_FUTURE_MIN_OPER_LEASE_OBLIG","FQ4 2023","FQ4 2023","Currency=USD","Period=FQ","BEST_FPERIOD_OVERRIDE=FQ","FILING_STATUS=MR","SCALING_FORMAT=MLN","Sort=A","Dates=H","DateFormat=P","Fill=—","Direction=H","UseDPDF=Y")</f>
        <v>576</v>
      </c>
      <c r="Y83" s="13" t="str" cm="1">
        <f t="array" ref="Y83">_xll.BDH("CMI US Equity","BS_FUTURE_MIN_OPER_LEASE_OBLIG","FQ1 2024","FQ1 2024","Currency=USD","Period=FQ","BEST_FPERIOD_OVERRIDE=FQ","FILING_STATUS=MR","SCALING_FORMAT=MLN","Sort=A","Dates=H","DateFormat=P","Fill=—","Direction=H","UseDPDF=Y")</f>
        <v>—</v>
      </c>
      <c r="Z83" s="13" t="str" cm="1">
        <f t="array" ref="Z83">_xll.BDH("CMI US Equity","BS_FUTURE_MIN_OPER_LEASE_OBLIG","FQ2 2024","FQ2 2024","Currency=USD","Period=FQ","BEST_FPERIOD_OVERRIDE=FQ","FILING_STATUS=MR","SCALING_FORMAT=MLN","Sort=A","Dates=H","DateFormat=P","Fill=—","Direction=H","UseDPDF=Y")</f>
        <v>—</v>
      </c>
      <c r="AA83" s="13" t="str" cm="1">
        <f t="array" ref="AA83">_xll.BDH("CMI US Equity","BS_FUTURE_MIN_OPER_LEASE_OBLIG","FQ3 2024","FQ3 2024","Currency=USD","Period=FQ","BEST_FPERIOD_OVERRIDE=FQ","FILING_STATUS=MR","SCALING_FORMAT=MLN","Sort=A","Dates=H","DateFormat=P","Fill=—","Direction=H","UseDPDF=Y")</f>
        <v>—</v>
      </c>
      <c r="AB83" s="13" cm="1">
        <f t="array" ref="AB83">_xll.BDH("CMI US Equity","BS_FUTURE_MIN_OPER_LEASE_OBLIG","FQ4 2024","FQ4 2024","Currency=USD","Period=FQ","BEST_FPERIOD_OVERRIDE=FQ","FILING_STATUS=MR","SCALING_FORMAT=MLN","Sort=A","Dates=H","DateFormat=P","Fill=—","Direction=H","UseDPDF=Y")</f>
        <v>622</v>
      </c>
      <c r="AC83" s="13" t="str" cm="1">
        <f t="array" ref="AC83">_xll.BDH("CMI US Equity","BS_FUTURE_MIN_OPER_LEASE_OBLIG","FQ1 2025","FQ1 2025","Currency=USD","Period=FQ","BEST_FPERIOD_OVERRIDE=FQ","FILING_STATUS=MR","SCALING_FORMAT=MLN","Sort=A","Dates=H","DateFormat=P","Fill=—","Direction=H","UseDPDF=Y")</f>
        <v>—</v>
      </c>
      <c r="AD83" s="13" t="str" cm="1">
        <f t="array" ref="AD83">_xll.BDH("CMI US Equity","BS_FUTURE_MIN_OPER_LEASE_OBLIG","FQ2 2025","FQ2 2025","Currency=USD","Period=FQ","BEST_FPERIOD_OVERRIDE=FQ","FILING_STATUS=MR","SCALING_FORMAT=MLN","Sort=A","Dates=H","DateFormat=P","Fill=—","Direction=H","UseDPDF=Y")</f>
        <v>—</v>
      </c>
      <c r="AE83" s="13" t="str" cm="1">
        <f t="array" ref="AE83">_xll.BDH("CMI US Equity","BS_FUTURE_MIN_OPER_LEASE_OBLIG","FQ3 2025","FQ3 2025","Currency=USD","Period=FQ","BEST_FPERIOD_OVERRIDE=FQ","FILING_STATUS=MR","SCALING_FORMAT=MLN","Sort=A","Dates=H","DateFormat=P","Fill=—","Direction=H","UseDPDF=Y")</f>
        <v>—</v>
      </c>
      <c r="AF83" s="13" cm="1">
        <f t="array" ref="AF83">_xll.BDH("CMI US Equity","BS_FUTURE_MIN_OPER_LEASE_OBLIG","FQ4 2025","FQ4 2025","Currency=USD","Period=FQ","BEST_FPERIOD_OVERRIDE=FQ","FILING_STATUS=MR","SCALING_FORMAT=MLN","Sort=A","Dates=H","DateFormat=P","Fill=—","Direction=H","UseDPDF=Y")</f>
        <v>649</v>
      </c>
    </row>
    <row r="84" spans="1:32" x14ac:dyDescent="0.25">
      <c r="A84" s="10" t="s">
        <v>210</v>
      </c>
      <c r="B84" s="10" t="s">
        <v>211</v>
      </c>
      <c r="C84" s="13" cm="1">
        <f t="array" ref="C84">_xll.BDH("CMI US Equity","BS_TOTAL_CAPITAL_LEASES","FQ3 2018","FQ3 2018","Currency=USD","Period=FQ","BEST_FPERIOD_OVERRIDE=FQ","FILING_STATUS=MR","SCALING_FORMAT=MLN","Sort=A","Dates=H","DateFormat=P","Fill=—","Direction=H","UseDPDF=Y")</f>
        <v>133</v>
      </c>
      <c r="D84" s="13" cm="1">
        <f t="array" ref="D84">_xll.BDH("CMI US Equity","BS_TOTAL_CAPITAL_LEASES","FQ4 2018","FQ4 2018","Currency=USD","Period=FQ","BEST_FPERIOD_OVERRIDE=FQ","FILING_STATUS=MR","SCALING_FORMAT=MLN","Sort=A","Dates=H","DateFormat=P","Fill=—","Direction=H","UseDPDF=Y")</f>
        <v>132</v>
      </c>
      <c r="E84" s="13" cm="1">
        <f t="array" ref="E84">_xll.BDH("CMI US Equity","BS_TOTAL_CAPITAL_LEASES","FQ1 2019","FQ1 2019","Currency=USD","Period=FQ","BEST_FPERIOD_OVERRIDE=FQ","FILING_STATUS=MR","SCALING_FORMAT=MLN","Sort=A","Dates=H","DateFormat=P","Fill=—","Direction=H","UseDPDF=Y")</f>
        <v>122</v>
      </c>
      <c r="F84" s="13" cm="1">
        <f t="array" ref="F84">_xll.BDH("CMI US Equity","BS_TOTAL_CAPITAL_LEASES","FQ2 2019","FQ2 2019","Currency=USD","Period=FQ","BEST_FPERIOD_OVERRIDE=FQ","FILING_STATUS=MR","SCALING_FORMAT=MLN","Sort=A","Dates=H","DateFormat=P","Fill=—","Direction=H","UseDPDF=Y")</f>
        <v>125</v>
      </c>
      <c r="G84" s="13" cm="1">
        <f t="array" ref="G84">_xll.BDH("CMI US Equity","BS_TOTAL_CAPITAL_LEASES","FQ3 2019","FQ3 2019","Currency=USD","Period=FQ","BEST_FPERIOD_OVERRIDE=FQ","FILING_STATUS=MR","SCALING_FORMAT=MLN","Sort=A","Dates=H","DateFormat=P","Fill=—","Direction=H","UseDPDF=Y")</f>
        <v>122</v>
      </c>
      <c r="H84" s="13" cm="1">
        <f t="array" ref="H84">_xll.BDH("CMI US Equity","BS_TOTAL_CAPITAL_LEASES","FQ4 2019","FQ4 2019","Currency=USD","Period=FQ","BEST_FPERIOD_OVERRIDE=FQ","FILING_STATUS=MR","SCALING_FORMAT=MLN","Sort=A","Dates=H","DateFormat=P","Fill=—","Direction=H","UseDPDF=Y")</f>
        <v>90</v>
      </c>
      <c r="I84" s="13" cm="1">
        <f t="array" ref="I84">_xll.BDH("CMI US Equity","BS_TOTAL_CAPITAL_LEASES","FQ1 2020","FQ1 2020","Currency=USD","Period=FQ","BEST_FPERIOD_OVERRIDE=FQ","FILING_STATUS=MR","SCALING_FORMAT=MLN","Sort=A","Dates=H","DateFormat=P","Fill=—","Direction=H","UseDPDF=Y")</f>
        <v>89</v>
      </c>
      <c r="J84" s="13" cm="1">
        <f t="array" ref="J84">_xll.BDH("CMI US Equity","BS_TOTAL_CAPITAL_LEASES","FQ2 2020","FQ2 2020","Currency=USD","Period=FQ","BEST_FPERIOD_OVERRIDE=FQ","FILING_STATUS=MR","SCALING_FORMAT=MLN","Sort=A","Dates=H","DateFormat=P","Fill=—","Direction=H","UseDPDF=Y")</f>
        <v>88</v>
      </c>
      <c r="K84" s="13" cm="1">
        <f t="array" ref="K84">_xll.BDH("CMI US Equity","BS_TOTAL_CAPITAL_LEASES","FQ3 2020","FQ3 2020","Currency=USD","Period=FQ","BEST_FPERIOD_OVERRIDE=FQ","FILING_STATUS=MR","SCALING_FORMAT=MLN","Sort=A","Dates=H","DateFormat=P","Fill=—","Direction=H","UseDPDF=Y")</f>
        <v>87</v>
      </c>
      <c r="L84" s="13" cm="1">
        <f t="array" ref="L84">_xll.BDH("CMI US Equity","BS_TOTAL_CAPITAL_LEASES","FQ4 2020","FQ4 2020","Currency=USD","Period=FQ","BEST_FPERIOD_OVERRIDE=FQ","FILING_STATUS=MR","SCALING_FORMAT=MLN","Sort=A","Dates=H","DateFormat=P","Fill=—","Direction=H","UseDPDF=Y")</f>
        <v>91</v>
      </c>
      <c r="M84" s="13" cm="1">
        <f t="array" ref="M84">_xll.BDH("CMI US Equity","BS_TOTAL_CAPITAL_LEASES","FQ1 2021","FQ1 2021","Currency=USD","Period=FQ","BEST_FPERIOD_OVERRIDE=FQ","FILING_STATUS=MR","SCALING_FORMAT=MLN","Sort=A","Dates=H","DateFormat=P","Fill=—","Direction=H","UseDPDF=Y")</f>
        <v>89</v>
      </c>
      <c r="N84" s="13" cm="1">
        <f t="array" ref="N84">_xll.BDH("CMI US Equity","BS_TOTAL_CAPITAL_LEASES","FQ2 2021","FQ2 2021","Currency=USD","Period=FQ","BEST_FPERIOD_OVERRIDE=FQ","FILING_STATUS=MR","SCALING_FORMAT=MLN","Sort=A","Dates=H","DateFormat=P","Fill=—","Direction=H","UseDPDF=Y")</f>
        <v>89</v>
      </c>
      <c r="O84" s="13" cm="1">
        <f t="array" ref="O84">_xll.BDH("CMI US Equity","BS_TOTAL_CAPITAL_LEASES","FQ3 2021","FQ3 2021","Currency=USD","Period=FQ","BEST_FPERIOD_OVERRIDE=FQ","FILING_STATUS=MR","SCALING_FORMAT=MLN","Sort=A","Dates=H","DateFormat=P","Fill=—","Direction=H","UseDPDF=Y")</f>
        <v>89</v>
      </c>
      <c r="P84" s="13" cm="1">
        <f t="array" ref="P84">_xll.BDH("CMI US Equity","BS_TOTAL_CAPITAL_LEASES","FQ4 2021","FQ4 2021","Currency=USD","Period=FQ","BEST_FPERIOD_OVERRIDE=FQ","FILING_STATUS=MR","SCALING_FORMAT=MLN","Sort=A","Dates=H","DateFormat=P","Fill=—","Direction=H","UseDPDF=Y")</f>
        <v>89</v>
      </c>
      <c r="Q84" s="13" cm="1">
        <f t="array" ref="Q84">_xll.BDH("CMI US Equity","BS_TOTAL_CAPITAL_LEASES","FQ1 2022","FQ1 2022","Currency=USD","Period=FQ","BEST_FPERIOD_OVERRIDE=FQ","FILING_STATUS=MR","SCALING_FORMAT=MLN","Sort=A","Dates=H","DateFormat=P","Fill=—","Direction=H","UseDPDF=Y")</f>
        <v>87</v>
      </c>
      <c r="R84" s="13" cm="1">
        <f t="array" ref="R84">_xll.BDH("CMI US Equity","BS_TOTAL_CAPITAL_LEASES","FQ2 2022","FQ2 2022","Currency=USD","Period=FQ","BEST_FPERIOD_OVERRIDE=FQ","FILING_STATUS=MR","SCALING_FORMAT=MLN","Sort=A","Dates=H","DateFormat=P","Fill=—","Direction=H","UseDPDF=Y")</f>
        <v>83</v>
      </c>
      <c r="S84" s="13" cm="1">
        <f t="array" ref="S84">_xll.BDH("CMI US Equity","BS_TOTAL_CAPITAL_LEASES","FQ3 2022","FQ3 2022","Currency=USD","Period=FQ","BEST_FPERIOD_OVERRIDE=FQ","FILING_STATUS=MR","SCALING_FORMAT=MLN","Sort=A","Dates=H","DateFormat=P","Fill=—","Direction=H","UseDPDF=Y")</f>
        <v>109</v>
      </c>
      <c r="T84" s="13" cm="1">
        <f t="array" ref="T84">_xll.BDH("CMI US Equity","BS_TOTAL_CAPITAL_LEASES","FQ4 2022","FQ4 2022","Currency=USD","Period=FQ","BEST_FPERIOD_OVERRIDE=FQ","FILING_STATUS=MR","SCALING_FORMAT=MLN","Sort=A","Dates=H","DateFormat=P","Fill=—","Direction=H","UseDPDF=Y")</f>
        <v>113</v>
      </c>
      <c r="U84" s="13" cm="1">
        <f t="array" ref="U84">_xll.BDH("CMI US Equity","BS_TOTAL_CAPITAL_LEASES","FQ1 2023","FQ1 2023","Currency=USD","Period=FQ","BEST_FPERIOD_OVERRIDE=FQ","FILING_STATUS=MR","SCALING_FORMAT=MLN","Sort=A","Dates=H","DateFormat=P","Fill=—","Direction=H","UseDPDF=Y")</f>
        <v>111</v>
      </c>
      <c r="V84" s="13" cm="1">
        <f t="array" ref="V84">_xll.BDH("CMI US Equity","BS_TOTAL_CAPITAL_LEASES","FQ2 2023","FQ2 2023","Currency=USD","Period=FQ","BEST_FPERIOD_OVERRIDE=FQ","FILING_STATUS=MR","SCALING_FORMAT=MLN","Sort=A","Dates=H","DateFormat=P","Fill=—","Direction=H","UseDPDF=Y")</f>
        <v>111</v>
      </c>
      <c r="W84" s="13" cm="1">
        <f t="array" ref="W84">_xll.BDH("CMI US Equity","BS_TOTAL_CAPITAL_LEASES","FQ3 2023","FQ3 2023","Currency=USD","Period=FQ","BEST_FPERIOD_OVERRIDE=FQ","FILING_STATUS=MR","SCALING_FORMAT=MLN","Sort=A","Dates=H","DateFormat=P","Fill=—","Direction=H","UseDPDF=Y")</f>
        <v>100</v>
      </c>
      <c r="X84" s="13" cm="1">
        <f t="array" ref="X84">_xll.BDH("CMI US Equity","BS_TOTAL_CAPITAL_LEASES","FQ4 2023","FQ4 2023","Currency=USD","Period=FQ","BEST_FPERIOD_OVERRIDE=FQ","FILING_STATUS=MR","SCALING_FORMAT=MLN","Sort=A","Dates=H","DateFormat=P","Fill=—","Direction=H","UseDPDF=Y")</f>
        <v>111</v>
      </c>
      <c r="Y84" s="13" cm="1">
        <f t="array" ref="Y84">_xll.BDH("CMI US Equity","BS_TOTAL_CAPITAL_LEASES","FQ1 2024","FQ1 2024","Currency=USD","Period=FQ","BEST_FPERIOD_OVERRIDE=FQ","FILING_STATUS=MR","SCALING_FORMAT=MLN","Sort=A","Dates=H","DateFormat=P","Fill=—","Direction=H","UseDPDF=Y")</f>
        <v>122</v>
      </c>
      <c r="Z84" s="13" cm="1">
        <f t="array" ref="Z84">_xll.BDH("CMI US Equity","BS_TOTAL_CAPITAL_LEASES","FQ2 2024","FQ2 2024","Currency=USD","Period=FQ","BEST_FPERIOD_OVERRIDE=FQ","FILING_STATUS=MR","SCALING_FORMAT=MLN","Sort=A","Dates=H","DateFormat=P","Fill=—","Direction=H","UseDPDF=Y")</f>
        <v>123</v>
      </c>
      <c r="AA84" s="13" cm="1">
        <f t="array" ref="AA84">_xll.BDH("CMI US Equity","BS_TOTAL_CAPITAL_LEASES","FQ3 2024","FQ3 2024","Currency=USD","Period=FQ","BEST_FPERIOD_OVERRIDE=FQ","FILING_STATUS=MR","SCALING_FORMAT=MLN","Sort=A","Dates=H","DateFormat=P","Fill=—","Direction=H","UseDPDF=Y")</f>
        <v>124</v>
      </c>
      <c r="AB84" s="13" cm="1">
        <f t="array" ref="AB84">_xll.BDH("CMI US Equity","BS_TOTAL_CAPITAL_LEASES","FQ4 2024","FQ4 2024","Currency=USD","Period=FQ","BEST_FPERIOD_OVERRIDE=FQ","FILING_STATUS=MR","SCALING_FORMAT=MLN","Sort=A","Dates=H","DateFormat=P","Fill=—","Direction=H","UseDPDF=Y")</f>
        <v>125</v>
      </c>
      <c r="AC84" s="13" t="str" cm="1">
        <f t="array" ref="AC84">_xll.BDH("CMI US Equity","BS_TOTAL_CAPITAL_LEASES","FQ1 2025","FQ1 2025","Currency=USD","Period=FQ","BEST_FPERIOD_OVERRIDE=FQ","FILING_STATUS=MR","SCALING_FORMAT=MLN","Sort=A","Dates=H","DateFormat=P","Fill=—","Direction=H","UseDPDF=Y")</f>
        <v>—</v>
      </c>
      <c r="AD84" s="13" t="str" cm="1">
        <f t="array" ref="AD84">_xll.BDH("CMI US Equity","BS_TOTAL_CAPITAL_LEASES","FQ2 2025","FQ2 2025","Currency=USD","Period=FQ","BEST_FPERIOD_OVERRIDE=FQ","FILING_STATUS=MR","SCALING_FORMAT=MLN","Sort=A","Dates=H","DateFormat=P","Fill=—","Direction=H","UseDPDF=Y")</f>
        <v>—</v>
      </c>
      <c r="AE84" s="13" t="str" cm="1">
        <f t="array" ref="AE84">_xll.BDH("CMI US Equity","BS_TOTAL_CAPITAL_LEASES","FQ3 2025","FQ3 2025","Currency=USD","Period=FQ","BEST_FPERIOD_OVERRIDE=FQ","FILING_STATUS=MR","SCALING_FORMAT=MLN","Sort=A","Dates=H","DateFormat=P","Fill=—","Direction=H","UseDPDF=Y")</f>
        <v>—</v>
      </c>
      <c r="AF84" s="13" cm="1">
        <f t="array" ref="AF84">_xll.BDH("CMI US Equity","BS_TOTAL_CAPITAL_LEASES","FQ4 2025","FQ4 2025","Currency=USD","Period=FQ","BEST_FPERIOD_OVERRIDE=FQ","FILING_STATUS=MR","SCALING_FORMAT=MLN","Sort=A","Dates=H","DateFormat=P","Fill=—","Direction=H","UseDPDF=Y")</f>
        <v>136</v>
      </c>
    </row>
    <row r="85" spans="1:32" x14ac:dyDescent="0.25">
      <c r="A85" s="10" t="s">
        <v>212</v>
      </c>
      <c r="B85" s="10" t="s">
        <v>213</v>
      </c>
      <c r="C85" s="13" t="str" cm="1">
        <f t="array" ref="C85">_xll.BDH("CMI US Equity","BS_OPTIONS_OUTSTANDING","FQ3 2018","FQ3 2018","Currency=USD","Period=FQ","BEST_FPERIOD_OVERRIDE=FQ","FILING_STATUS=MR","Sort=A","Dates=H","DateFormat=P","Fill=—","Direction=H","UseDPDF=Y")</f>
        <v>—</v>
      </c>
      <c r="D85" s="13" cm="1">
        <f t="array" ref="D85">_xll.BDH("CMI US Equity","BS_OPTIONS_OUTSTANDING","FQ4 2018","FQ4 2018","Currency=USD","Period=FQ","BEST_FPERIOD_OVERRIDE=FQ","FILING_STATUS=MR","Sort=A","Dates=H","DateFormat=P","Fill=—","Direction=H","UseDPDF=Y")</f>
        <v>3.2437</v>
      </c>
      <c r="E85" s="13" t="str" cm="1">
        <f t="array" ref="E85">_xll.BDH("CMI US Equity","BS_OPTIONS_OUTSTANDING","FQ1 2019","FQ1 2019","Currency=USD","Period=FQ","BEST_FPERIOD_OVERRIDE=FQ","FILING_STATUS=MR","Sort=A","Dates=H","DateFormat=P","Fill=—","Direction=H","UseDPDF=Y")</f>
        <v>—</v>
      </c>
      <c r="F85" s="13" t="str" cm="1">
        <f t="array" ref="F85">_xll.BDH("CMI US Equity","BS_OPTIONS_OUTSTANDING","FQ2 2019","FQ2 2019","Currency=USD","Period=FQ","BEST_FPERIOD_OVERRIDE=FQ","FILING_STATUS=MR","Sort=A","Dates=H","DateFormat=P","Fill=—","Direction=H","UseDPDF=Y")</f>
        <v>—</v>
      </c>
      <c r="G85" s="13" t="str" cm="1">
        <f t="array" ref="G85">_xll.BDH("CMI US Equity","BS_OPTIONS_OUTSTANDING","FQ3 2019","FQ3 2019","Currency=USD","Period=FQ","BEST_FPERIOD_OVERRIDE=FQ","FILING_STATUS=MR","Sort=A","Dates=H","DateFormat=P","Fill=—","Direction=H","UseDPDF=Y")</f>
        <v>—</v>
      </c>
      <c r="H85" s="13" cm="1">
        <f t="array" ref="H85">_xll.BDH("CMI US Equity","BS_OPTIONS_OUTSTANDING","FQ4 2019","FQ4 2019","Currency=USD","Period=FQ","BEST_FPERIOD_OVERRIDE=FQ","FILING_STATUS=MR","Sort=A","Dates=H","DateFormat=P","Fill=—","Direction=H","UseDPDF=Y")</f>
        <v>3.2376</v>
      </c>
      <c r="I85" s="13" t="str" cm="1">
        <f t="array" ref="I85">_xll.BDH("CMI US Equity","BS_OPTIONS_OUTSTANDING","FQ1 2020","FQ1 2020","Currency=USD","Period=FQ","BEST_FPERIOD_OVERRIDE=FQ","FILING_STATUS=MR","Sort=A","Dates=H","DateFormat=P","Fill=—","Direction=H","UseDPDF=Y")</f>
        <v>—</v>
      </c>
      <c r="J85" s="13" t="str" cm="1">
        <f t="array" ref="J85">_xll.BDH("CMI US Equity","BS_OPTIONS_OUTSTANDING","FQ2 2020","FQ2 2020","Currency=USD","Period=FQ","BEST_FPERIOD_OVERRIDE=FQ","FILING_STATUS=MR","Sort=A","Dates=H","DateFormat=P","Fill=—","Direction=H","UseDPDF=Y")</f>
        <v>—</v>
      </c>
      <c r="K85" s="13" t="str" cm="1">
        <f t="array" ref="K85">_xll.BDH("CMI US Equity","BS_OPTIONS_OUTSTANDING","FQ3 2020","FQ3 2020","Currency=USD","Period=FQ","BEST_FPERIOD_OVERRIDE=FQ","FILING_STATUS=MR","Sort=A","Dates=H","DateFormat=P","Fill=—","Direction=H","UseDPDF=Y")</f>
        <v>—</v>
      </c>
      <c r="L85" s="13" cm="1">
        <f t="array" ref="L85">_xll.BDH("CMI US Equity","BS_OPTIONS_OUTSTANDING","FQ4 2020","FQ4 2020","Currency=USD","Period=FQ","BEST_FPERIOD_OVERRIDE=FQ","FILING_STATUS=MR","Sort=A","Dates=H","DateFormat=P","Fill=—","Direction=H","UseDPDF=Y")</f>
        <v>3.1755</v>
      </c>
      <c r="M85" s="13" t="str" cm="1">
        <f t="array" ref="M85">_xll.BDH("CMI US Equity","BS_OPTIONS_OUTSTANDING","FQ1 2021","FQ1 2021","Currency=USD","Period=FQ","BEST_FPERIOD_OVERRIDE=FQ","FILING_STATUS=MR","Sort=A","Dates=H","DateFormat=P","Fill=—","Direction=H","UseDPDF=Y")</f>
        <v>—</v>
      </c>
      <c r="N85" s="13" t="str" cm="1">
        <f t="array" ref="N85">_xll.BDH("CMI US Equity","BS_OPTIONS_OUTSTANDING","FQ2 2021","FQ2 2021","Currency=USD","Period=FQ","BEST_FPERIOD_OVERRIDE=FQ","FILING_STATUS=MR","Sort=A","Dates=H","DateFormat=P","Fill=—","Direction=H","UseDPDF=Y")</f>
        <v>—</v>
      </c>
      <c r="O85" s="13" t="str" cm="1">
        <f t="array" ref="O85">_xll.BDH("CMI US Equity","BS_OPTIONS_OUTSTANDING","FQ3 2021","FQ3 2021","Currency=USD","Period=FQ","BEST_FPERIOD_OVERRIDE=FQ","FILING_STATUS=MR","Sort=A","Dates=H","DateFormat=P","Fill=—","Direction=H","UseDPDF=Y")</f>
        <v>—</v>
      </c>
      <c r="P85" s="13" cm="1">
        <f t="array" ref="P85">_xll.BDH("CMI US Equity","BS_OPTIONS_OUTSTANDING","FQ4 2021","FQ4 2021","Currency=USD","Period=FQ","BEST_FPERIOD_OVERRIDE=FQ","FILING_STATUS=MR","Sort=A","Dates=H","DateFormat=P","Fill=—","Direction=H","UseDPDF=Y")</f>
        <v>2.7431000000000001</v>
      </c>
      <c r="Q85" s="13" t="str" cm="1">
        <f t="array" ref="Q85">_xll.BDH("CMI US Equity","BS_OPTIONS_OUTSTANDING","FQ1 2022","FQ1 2022","Currency=USD","Period=FQ","BEST_FPERIOD_OVERRIDE=FQ","FILING_STATUS=MR","Sort=A","Dates=H","DateFormat=P","Fill=—","Direction=H","UseDPDF=Y")</f>
        <v>—</v>
      </c>
      <c r="R85" s="13" t="str" cm="1">
        <f t="array" ref="R85">_xll.BDH("CMI US Equity","BS_OPTIONS_OUTSTANDING","FQ2 2022","FQ2 2022","Currency=USD","Period=FQ","BEST_FPERIOD_OVERRIDE=FQ","FILING_STATUS=MR","Sort=A","Dates=H","DateFormat=P","Fill=—","Direction=H","UseDPDF=Y")</f>
        <v>—</v>
      </c>
      <c r="S85" s="13" t="str" cm="1">
        <f t="array" ref="S85">_xll.BDH("CMI US Equity","BS_OPTIONS_OUTSTANDING","FQ3 2022","FQ3 2022","Currency=USD","Period=FQ","BEST_FPERIOD_OVERRIDE=FQ","FILING_STATUS=MR","Sort=A","Dates=H","DateFormat=P","Fill=—","Direction=H","UseDPDF=Y")</f>
        <v>—</v>
      </c>
      <c r="T85" s="13" cm="1">
        <f t="array" ref="T85">_xll.BDH("CMI US Equity","BS_OPTIONS_OUTSTANDING","FQ4 2022","FQ4 2022","Currency=USD","Period=FQ","BEST_FPERIOD_OVERRIDE=FQ","FILING_STATUS=MR","Sort=A","Dates=H","DateFormat=P","Fill=—","Direction=H","UseDPDF=Y")</f>
        <v>2.1459999999999999</v>
      </c>
      <c r="U85" s="13" t="str" cm="1">
        <f t="array" ref="U85">_xll.BDH("CMI US Equity","BS_OPTIONS_OUTSTANDING","FQ1 2023","FQ1 2023","Currency=USD","Period=FQ","BEST_FPERIOD_OVERRIDE=FQ","FILING_STATUS=MR","Sort=A","Dates=H","DateFormat=P","Fill=—","Direction=H","UseDPDF=Y")</f>
        <v>—</v>
      </c>
      <c r="V85" s="13" t="str" cm="1">
        <f t="array" ref="V85">_xll.BDH("CMI US Equity","BS_OPTIONS_OUTSTANDING","FQ2 2023","FQ2 2023","Currency=USD","Period=FQ","BEST_FPERIOD_OVERRIDE=FQ","FILING_STATUS=MR","Sort=A","Dates=H","DateFormat=P","Fill=—","Direction=H","UseDPDF=Y")</f>
        <v>—</v>
      </c>
      <c r="W85" s="13" t="str" cm="1">
        <f t="array" ref="W85">_xll.BDH("CMI US Equity","BS_OPTIONS_OUTSTANDING","FQ3 2023","FQ3 2023","Currency=USD","Period=FQ","BEST_FPERIOD_OVERRIDE=FQ","FILING_STATUS=MR","Sort=A","Dates=H","DateFormat=P","Fill=—","Direction=H","UseDPDF=Y")</f>
        <v>—</v>
      </c>
      <c r="X85" s="13" cm="1">
        <f t="array" ref="X85">_xll.BDH("CMI US Equity","BS_OPTIONS_OUTSTANDING","FQ4 2023","FQ4 2023","Currency=USD","Period=FQ","BEST_FPERIOD_OVERRIDE=FQ","FILING_STATUS=MR","Sort=A","Dates=H","DateFormat=P","Fill=—","Direction=H","UseDPDF=Y")</f>
        <v>1.8144</v>
      </c>
      <c r="Y85" s="13" t="str" cm="1">
        <f t="array" ref="Y85">_xll.BDH("CMI US Equity","BS_OPTIONS_OUTSTANDING","FQ1 2024","FQ1 2024","Currency=USD","Period=FQ","BEST_FPERIOD_OVERRIDE=FQ","FILING_STATUS=MR","Sort=A","Dates=H","DateFormat=P","Fill=—","Direction=H","UseDPDF=Y")</f>
        <v>—</v>
      </c>
      <c r="Z85" s="13" t="str" cm="1">
        <f t="array" ref="Z85">_xll.BDH("CMI US Equity","BS_OPTIONS_OUTSTANDING","FQ2 2024","FQ2 2024","Currency=USD","Period=FQ","BEST_FPERIOD_OVERRIDE=FQ","FILING_STATUS=MR","Sort=A","Dates=H","DateFormat=P","Fill=—","Direction=H","UseDPDF=Y")</f>
        <v>—</v>
      </c>
      <c r="AA85" s="13" t="str" cm="1">
        <f t="array" ref="AA85">_xll.BDH("CMI US Equity","BS_OPTIONS_OUTSTANDING","FQ3 2024","FQ3 2024","Currency=USD","Period=FQ","BEST_FPERIOD_OVERRIDE=FQ","FILING_STATUS=MR","Sort=A","Dates=H","DateFormat=P","Fill=—","Direction=H","UseDPDF=Y")</f>
        <v>—</v>
      </c>
      <c r="AB85" s="13" cm="1">
        <f t="array" ref="AB85">_xll.BDH("CMI US Equity","BS_OPTIONS_OUTSTANDING","FQ4 2024","FQ4 2024","Currency=USD","Period=FQ","BEST_FPERIOD_OVERRIDE=FQ","FILING_STATUS=MR","Sort=A","Dates=H","DateFormat=P","Fill=—","Direction=H","UseDPDF=Y")</f>
        <v>0.81430000000000002</v>
      </c>
      <c r="AC85" s="13" t="str" cm="1">
        <f t="array" ref="AC85">_xll.BDH("CMI US Equity","BS_OPTIONS_OUTSTANDING","FQ1 2025","FQ1 2025","Currency=USD","Period=FQ","BEST_FPERIOD_OVERRIDE=FQ","FILING_STATUS=MR","Sort=A","Dates=H","DateFormat=P","Fill=—","Direction=H","UseDPDF=Y")</f>
        <v>—</v>
      </c>
      <c r="AD85" s="13" t="str" cm="1">
        <f t="array" ref="AD85">_xll.BDH("CMI US Equity","BS_OPTIONS_OUTSTANDING","FQ2 2025","FQ2 2025","Currency=USD","Period=FQ","BEST_FPERIOD_OVERRIDE=FQ","FILING_STATUS=MR","Sort=A","Dates=H","DateFormat=P","Fill=—","Direction=H","UseDPDF=Y")</f>
        <v>—</v>
      </c>
      <c r="AE85" s="13" t="str" cm="1">
        <f t="array" ref="AE85">_xll.BDH("CMI US Equity","BS_OPTIONS_OUTSTANDING","FQ3 2025","FQ3 2025","Currency=USD","Period=FQ","BEST_FPERIOD_OVERRIDE=FQ","FILING_STATUS=MR","Sort=A","Dates=H","DateFormat=P","Fill=—","Direction=H","UseDPDF=Y")</f>
        <v>—</v>
      </c>
      <c r="AF85" s="13" cm="1">
        <f t="array" ref="AF85">_xll.BDH("CMI US Equity","BS_OPTIONS_OUTSTANDING","FQ4 2025","FQ4 2025","Currency=USD","Period=FQ","BEST_FPERIOD_OVERRIDE=FQ","FILING_STATUS=MR","Sort=A","Dates=H","DateFormat=P","Fill=—","Direction=H","UseDPDF=Y")</f>
        <v>0.3957</v>
      </c>
    </row>
    <row r="86" spans="1:32" x14ac:dyDescent="0.25">
      <c r="A86" s="10" t="s">
        <v>214</v>
      </c>
      <c r="B86" s="10" t="s">
        <v>215</v>
      </c>
      <c r="C86" s="13" cm="1">
        <f t="array" ref="C86">_xll.BDH("CMI US Equity","NET_DEBT","FQ3 2018","FQ3 2018","Currency=USD","Period=FQ","BEST_FPERIOD_OVERRIDE=FQ","FILING_STATUS=MR","SCALING_FORMAT=MLN","Sort=A","Dates=H","DateFormat=P","Fill=—","Direction=H","UseDPDF=Y")</f>
        <v>1058</v>
      </c>
      <c r="D86" s="13" cm="1">
        <f t="array" ref="D86">_xll.BDH("CMI US Equity","NET_DEBT","FQ4 2018","FQ4 2018","Currency=USD","Period=FQ","BEST_FPERIOD_OVERRIDE=FQ","FILING_STATUS=MR","SCALING_FORMAT=MLN","Sort=A","Dates=H","DateFormat=P","Fill=—","Direction=H","UseDPDF=Y")</f>
        <v>951</v>
      </c>
      <c r="E86" s="13" cm="1">
        <f t="array" ref="E86">_xll.BDH("CMI US Equity","NET_DEBT","FQ1 2019","FQ1 2019","Currency=USD","Period=FQ","BEST_FPERIOD_OVERRIDE=FQ","FILING_STATUS=MR","SCALING_FORMAT=MLN","Sort=A","Dates=H","DateFormat=P","Fill=—","Direction=H","UseDPDF=Y")</f>
        <v>1274</v>
      </c>
      <c r="F86" s="13" cm="1">
        <f t="array" ref="F86">_xll.BDH("CMI US Equity","NET_DEBT","FQ2 2019","FQ2 2019","Currency=USD","Period=FQ","BEST_FPERIOD_OVERRIDE=FQ","FILING_STATUS=MR","SCALING_FORMAT=MLN","Sort=A","Dates=H","DateFormat=P","Fill=—","Direction=H","UseDPDF=Y")</f>
        <v>937</v>
      </c>
      <c r="G86" s="13" cm="1">
        <f t="array" ref="G86">_xll.BDH("CMI US Equity","NET_DEBT","FQ3 2019","FQ3 2019","Currency=USD","Period=FQ","BEST_FPERIOD_OVERRIDE=FQ","FILING_STATUS=MR","SCALING_FORMAT=MLN","Sort=A","Dates=H","DateFormat=P","Fill=—","Direction=H","UseDPDF=Y")</f>
        <v>1255</v>
      </c>
      <c r="H86" s="13" cm="1">
        <f t="array" ref="H86">_xll.BDH("CMI US Equity","NET_DEBT","FQ4 2019","FQ4 2019","Currency=USD","Period=FQ","BEST_FPERIOD_OVERRIDE=FQ","FILING_STATUS=MR","SCALING_FORMAT=MLN","Sort=A","Dates=H","DateFormat=P","Fill=—","Direction=H","UseDPDF=Y")</f>
        <v>1398</v>
      </c>
      <c r="I86" s="13" cm="1">
        <f t="array" ref="I86">_xll.BDH("CMI US Equity","NET_DEBT","FQ1 2020","FQ1 2020","Currency=USD","Period=FQ","BEST_FPERIOD_OVERRIDE=FQ","FILING_STATUS=MR","SCALING_FORMAT=MLN","Sort=A","Dates=H","DateFormat=P","Fill=—","Direction=H","UseDPDF=Y")</f>
        <v>1805</v>
      </c>
      <c r="J86" s="13" cm="1">
        <f t="array" ref="J86">_xll.BDH("CMI US Equity","NET_DEBT","FQ2 2020","FQ2 2020","Currency=USD","Period=FQ","BEST_FPERIOD_OVERRIDE=FQ","FILING_STATUS=MR","SCALING_FORMAT=MLN","Sort=A","Dates=H","DateFormat=P","Fill=—","Direction=H","UseDPDF=Y")</f>
        <v>2212</v>
      </c>
      <c r="K86" s="13" cm="1">
        <f t="array" ref="K86">_xll.BDH("CMI US Equity","NET_DEBT","FQ3 2020","FQ3 2020","Currency=USD","Period=FQ","BEST_FPERIOD_OVERRIDE=FQ","FILING_STATUS=MR","SCALING_FORMAT=MLN","Sort=A","Dates=H","DateFormat=P","Fill=—","Direction=H","UseDPDF=Y")</f>
        <v>1255</v>
      </c>
      <c r="L86" s="13" cm="1">
        <f t="array" ref="L86">_xll.BDH("CMI US Equity","NET_DEBT","FQ4 2020","FQ4 2020","Currency=USD","Period=FQ","BEST_FPERIOD_OVERRIDE=FQ","FILING_STATUS=MR","SCALING_FORMAT=MLN","Sort=A","Dates=H","DateFormat=P","Fill=—","Direction=H","UseDPDF=Y")</f>
        <v>755</v>
      </c>
      <c r="M86" s="13" cm="1">
        <f t="array" ref="M86">_xll.BDH("CMI US Equity","NET_DEBT","FQ1 2021","FQ1 2021","Currency=USD","Period=FQ","BEST_FPERIOD_OVERRIDE=FQ","FILING_STATUS=MR","SCALING_FORMAT=MLN","Sort=A","Dates=H","DateFormat=P","Fill=—","Direction=H","UseDPDF=Y")</f>
        <v>1204</v>
      </c>
      <c r="N86" s="13" cm="1">
        <f t="array" ref="N86">_xll.BDH("CMI US Equity","NET_DEBT","FQ2 2021","FQ2 2021","Currency=USD","Period=FQ","BEST_FPERIOD_OVERRIDE=FQ","FILING_STATUS=MR","SCALING_FORMAT=MLN","Sort=A","Dates=H","DateFormat=P","Fill=—","Direction=H","UseDPDF=Y")</f>
        <v>1472</v>
      </c>
      <c r="O86" s="13" cm="1">
        <f t="array" ref="O86">_xll.BDH("CMI US Equity","NET_DEBT","FQ3 2021","FQ3 2021","Currency=USD","Period=FQ","BEST_FPERIOD_OVERRIDE=FQ","FILING_STATUS=MR","SCALING_FORMAT=MLN","Sort=A","Dates=H","DateFormat=P","Fill=—","Direction=H","UseDPDF=Y")</f>
        <v>1378</v>
      </c>
      <c r="P86" s="13" cm="1">
        <f t="array" ref="P86">_xll.BDH("CMI US Equity","NET_DEBT","FQ4 2021","FQ4 2021","Currency=USD","Period=FQ","BEST_FPERIOD_OVERRIDE=FQ","FILING_STATUS=MR","SCALING_FORMAT=MLN","Sort=A","Dates=H","DateFormat=P","Fill=—","Direction=H","UseDPDF=Y")</f>
        <v>1426</v>
      </c>
      <c r="Q86" s="13" cm="1">
        <f t="array" ref="Q86">_xll.BDH("CMI US Equity","NET_DEBT","FQ1 2022","FQ1 2022","Currency=USD","Period=FQ","BEST_FPERIOD_OVERRIDE=FQ","FILING_STATUS=MR","SCALING_FORMAT=MLN","Sort=A","Dates=H","DateFormat=P","Fill=—","Direction=H","UseDPDF=Y")</f>
        <v>1775</v>
      </c>
      <c r="R86" s="13" cm="1">
        <f t="array" ref="R86">_xll.BDH("CMI US Equity","NET_DEBT","FQ2 2022","FQ2 2022","Currency=USD","Period=FQ","BEST_FPERIOD_OVERRIDE=FQ","FILING_STATUS=MR","SCALING_FORMAT=MLN","Sort=A","Dates=H","DateFormat=P","Fill=—","Direction=H","UseDPDF=Y")</f>
        <v>1862</v>
      </c>
      <c r="S86" s="13" cm="1">
        <f t="array" ref="S86">_xll.BDH("CMI US Equity","NET_DEBT","FQ3 2022","FQ3 2022","Currency=USD","Period=FQ","BEST_FPERIOD_OVERRIDE=FQ","FILING_STATUS=MR","SCALING_FORMAT=MLN","Sort=A","Dates=H","DateFormat=P","Fill=—","Direction=H","UseDPDF=Y")</f>
        <v>5623</v>
      </c>
      <c r="T86" s="13" cm="1">
        <f t="array" ref="T86">_xll.BDH("CMI US Equity","NET_DEBT","FQ4 2022","FQ4 2022","Currency=USD","Period=FQ","BEST_FPERIOD_OVERRIDE=FQ","FILING_STATUS=MR","SCALING_FORMAT=MLN","Sort=A","Dates=H","DateFormat=P","Fill=—","Direction=H","UseDPDF=Y")</f>
        <v>5782</v>
      </c>
      <c r="U86" s="13" cm="1">
        <f t="array" ref="U86">_xll.BDH("CMI US Equity","NET_DEBT","FQ1 2023","FQ1 2023","Currency=USD","Period=FQ","BEST_FPERIOD_OVERRIDE=FQ","FILING_STATUS=MR","SCALING_FORMAT=MLN","Sort=A","Dates=H","DateFormat=P","Fill=—","Direction=H","UseDPDF=Y")</f>
        <v>5810</v>
      </c>
      <c r="V86" s="13" cm="1">
        <f t="array" ref="V86">_xll.BDH("CMI US Equity","NET_DEBT","FQ2 2023","FQ2 2023","Currency=USD","Period=FQ","BEST_FPERIOD_OVERRIDE=FQ","FILING_STATUS=MR","SCALING_FORMAT=MLN","Sort=A","Dates=H","DateFormat=P","Fill=—","Direction=H","UseDPDF=Y")</f>
        <v>5907</v>
      </c>
      <c r="W86" s="13" cm="1">
        <f t="array" ref="W86">_xll.BDH("CMI US Equity","NET_DEBT","FQ3 2023","FQ3 2023","Currency=USD","Period=FQ","BEST_FPERIOD_OVERRIDE=FQ","FILING_STATUS=MR","SCALING_FORMAT=MLN","Sort=A","Dates=H","DateFormat=P","Fill=—","Direction=H","UseDPDF=Y")</f>
        <v>5131</v>
      </c>
      <c r="X86" s="13" cm="1">
        <f t="array" ref="X86">_xll.BDH("CMI US Equity","NET_DEBT","FQ4 2023","FQ4 2023","Currency=USD","Period=FQ","BEST_FPERIOD_OVERRIDE=FQ","FILING_STATUS=MR","SCALING_FORMAT=MLN","Sort=A","Dates=H","DateFormat=P","Fill=—","Direction=H","UseDPDF=Y")</f>
        <v>4467</v>
      </c>
      <c r="Y86" s="13" cm="1">
        <f t="array" ref="Y86">_xll.BDH("CMI US Equity","NET_DEBT","FQ1 2024","FQ1 2024","Currency=USD","Period=FQ","BEST_FPERIOD_OVERRIDE=FQ","FILING_STATUS=MR","SCALING_FORMAT=MLN","Sort=A","Dates=H","DateFormat=P","Fill=—","Direction=H","UseDPDF=Y")</f>
        <v>4245</v>
      </c>
      <c r="Z86" s="13" cm="1">
        <f t="array" ref="Z86">_xll.BDH("CMI US Equity","NET_DEBT","FQ2 2024","FQ2 2024","Currency=USD","Period=FQ","BEST_FPERIOD_OVERRIDE=FQ","FILING_STATUS=MR","SCALING_FORMAT=MLN","Sort=A","Dates=H","DateFormat=P","Fill=—","Direction=H","UseDPDF=Y")</f>
        <v>5784</v>
      </c>
      <c r="AA86" s="13" cm="1">
        <f t="array" ref="AA86">_xll.BDH("CMI US Equity","NET_DEBT","FQ3 2024","FQ3 2024","Currency=USD","Period=FQ","BEST_FPERIOD_OVERRIDE=FQ","FILING_STATUS=MR","SCALING_FORMAT=MLN","Sort=A","Dates=H","DateFormat=P","Fill=—","Direction=H","UseDPDF=Y")</f>
        <v>5862</v>
      </c>
      <c r="AB86" s="13" cm="1">
        <f t="array" ref="AB86">_xll.BDH("CMI US Equity","NET_DEBT","FQ4 2024","FQ4 2024","Currency=USD","Period=FQ","BEST_FPERIOD_OVERRIDE=FQ","FILING_STATUS=MR","SCALING_FORMAT=MLN","Sort=A","Dates=H","DateFormat=P","Fill=—","Direction=H","UseDPDF=Y")</f>
        <v>5334</v>
      </c>
      <c r="AC86" s="13" cm="1">
        <f t="array" ref="AC86">_xll.BDH("CMI US Equity","NET_DEBT","FQ1 2025","FQ1 2025","Currency=USD","Period=FQ","BEST_FPERIOD_OVERRIDE=FQ","FILING_STATUS=MR","SCALING_FORMAT=MLN","Sort=A","Dates=H","DateFormat=P","Fill=—","Direction=H","UseDPDF=Y")</f>
        <v>5330</v>
      </c>
      <c r="AD86" s="13" cm="1">
        <f t="array" ref="AD86">_xll.BDH("CMI US Equity","NET_DEBT","FQ2 2025","FQ2 2025","Currency=USD","Period=FQ","BEST_FPERIOD_OVERRIDE=FQ","FILING_STATUS=MR","SCALING_FORMAT=MLN","Sort=A","Dates=H","DateFormat=P","Fill=—","Direction=H","UseDPDF=Y")</f>
        <v>5610</v>
      </c>
      <c r="AE86" s="13" cm="1">
        <f t="array" ref="AE86">_xll.BDH("CMI US Equity","NET_DEBT","FQ3 2025","FQ3 2025","Currency=USD","Period=FQ","BEST_FPERIOD_OVERRIDE=FQ","FILING_STATUS=MR","SCALING_FORMAT=MLN","Sort=A","Dates=H","DateFormat=P","Fill=—","Direction=H","UseDPDF=Y")</f>
        <v>5023</v>
      </c>
      <c r="AF86" s="13" cm="1">
        <f t="array" ref="AF86">_xll.BDH("CMI US Equity","NET_DEBT","FQ4 2025","FQ4 2025","Currency=USD","Period=FQ","BEST_FPERIOD_OVERRIDE=FQ","FILING_STATUS=MR","SCALING_FORMAT=MLN","Sort=A","Dates=H","DateFormat=P","Fill=—","Direction=H","UseDPDF=Y")</f>
        <v>4505</v>
      </c>
    </row>
    <row r="87" spans="1:32" x14ac:dyDescent="0.25">
      <c r="A87" s="10" t="s">
        <v>216</v>
      </c>
      <c r="B87" s="10" t="s">
        <v>217</v>
      </c>
      <c r="C87" s="14" cm="1">
        <f t="array" ref="C87">_xll.BDH("CMI US Equity","NET_DEBT_TO_SHRHLDR_EQTY","FQ3 2018","FQ3 2018","Currency=USD","Period=FQ","BEST_FPERIOD_OVERRIDE=FQ","FILING_STATUS=MR","Sort=A","Dates=H","DateFormat=P","Fill=—","Direction=H","UseDPDF=Y")</f>
        <v>13.1266</v>
      </c>
      <c r="D87" s="14" cm="1">
        <f t="array" ref="D87">_xll.BDH("CMI US Equity","NET_DEBT_TO_SHRHLDR_EQTY","FQ4 2018","FQ4 2018","Currency=USD","Period=FQ","BEST_FPERIOD_OVERRIDE=FQ","FILING_STATUS=MR","Sort=A","Dates=H","DateFormat=P","Fill=—","Direction=H","UseDPDF=Y")</f>
        <v>11.514699999999999</v>
      </c>
      <c r="E87" s="14" cm="1">
        <f t="array" ref="E87">_xll.BDH("CMI US Equity","NET_DEBT_TO_SHRHLDR_EQTY","FQ1 2019","FQ1 2019","Currency=USD","Period=FQ","BEST_FPERIOD_OVERRIDE=FQ","FILING_STATUS=MR","Sort=A","Dates=H","DateFormat=P","Fill=—","Direction=H","UseDPDF=Y")</f>
        <v>14.5984</v>
      </c>
      <c r="F87" s="14" cm="1">
        <f t="array" ref="F87">_xll.BDH("CMI US Equity","NET_DEBT_TO_SHRHLDR_EQTY","FQ2 2019","FQ2 2019","Currency=USD","Period=FQ","BEST_FPERIOD_OVERRIDE=FQ","FILING_STATUS=MR","Sort=A","Dates=H","DateFormat=P","Fill=—","Direction=H","UseDPDF=Y")</f>
        <v>10.1892</v>
      </c>
      <c r="G87" s="14" cm="1">
        <f t="array" ref="G87">_xll.BDH("CMI US Equity","NET_DEBT_TO_SHRHLDR_EQTY","FQ3 2019","FQ3 2019","Currency=USD","Period=FQ","BEST_FPERIOD_OVERRIDE=FQ","FILING_STATUS=MR","Sort=A","Dates=H","DateFormat=P","Fill=—","Direction=H","UseDPDF=Y")</f>
        <v>14.337899999999999</v>
      </c>
      <c r="H87" s="14" cm="1">
        <f t="array" ref="H87">_xll.BDH("CMI US Equity","NET_DEBT_TO_SHRHLDR_EQTY","FQ4 2019","FQ4 2019","Currency=USD","Period=FQ","BEST_FPERIOD_OVERRIDE=FQ","FILING_STATUS=MR","Sort=A","Dates=H","DateFormat=P","Fill=—","Direction=H","UseDPDF=Y")</f>
        <v>16.5151</v>
      </c>
      <c r="I87" s="14" cm="1">
        <f t="array" ref="I87">_xll.BDH("CMI US Equity","NET_DEBT_TO_SHRHLDR_EQTY","FQ1 2020","FQ1 2020","Currency=USD","Period=FQ","BEST_FPERIOD_OVERRIDE=FQ","FILING_STATUS=MR","Sort=A","Dates=H","DateFormat=P","Fill=—","Direction=H","UseDPDF=Y")</f>
        <v>22.511800000000001</v>
      </c>
      <c r="J87" s="14" cm="1">
        <f t="array" ref="J87">_xll.BDH("CMI US Equity","NET_DEBT_TO_SHRHLDR_EQTY","FQ2 2020","FQ2 2020","Currency=USD","Period=FQ","BEST_FPERIOD_OVERRIDE=FQ","FILING_STATUS=MR","Sort=A","Dates=H","DateFormat=P","Fill=—","Direction=H","UseDPDF=Y")</f>
        <v>27.207899999999999</v>
      </c>
      <c r="K87" s="14" cm="1">
        <f t="array" ref="K87">_xll.BDH("CMI US Equity","NET_DEBT_TO_SHRHLDR_EQTY","FQ3 2020","FQ3 2020","Currency=USD","Period=FQ","BEST_FPERIOD_OVERRIDE=FQ","FILING_STATUS=MR","Sort=A","Dates=H","DateFormat=P","Fill=—","Direction=H","UseDPDF=Y")</f>
        <v>14.5238</v>
      </c>
      <c r="L87" s="14" cm="1">
        <f t="array" ref="L87">_xll.BDH("CMI US Equity","NET_DEBT_TO_SHRHLDR_EQTY","FQ4 2020","FQ4 2020","Currency=USD","Period=FQ","BEST_FPERIOD_OVERRIDE=FQ","FILING_STATUS=MR","Sort=A","Dates=H","DateFormat=P","Fill=—","Direction=H","UseDPDF=Y")</f>
        <v>8.3992000000000004</v>
      </c>
      <c r="M87" s="14" cm="1">
        <f t="array" ref="M87">_xll.BDH("CMI US Equity","NET_DEBT_TO_SHRHLDR_EQTY","FQ1 2021","FQ1 2021","Currency=USD","Period=FQ","BEST_FPERIOD_OVERRIDE=FQ","FILING_STATUS=MR","Sort=A","Dates=H","DateFormat=P","Fill=—","Direction=H","UseDPDF=Y")</f>
        <v>13.331899999999999</v>
      </c>
      <c r="N87" s="14" cm="1">
        <f t="array" ref="N87">_xll.BDH("CMI US Equity","NET_DEBT_TO_SHRHLDR_EQTY","FQ2 2021","FQ2 2021","Currency=USD","Period=FQ","BEST_FPERIOD_OVERRIDE=FQ","FILING_STATUS=MR","Sort=A","Dates=H","DateFormat=P","Fill=—","Direction=H","UseDPDF=Y")</f>
        <v>16.740600000000001</v>
      </c>
      <c r="O87" s="14" cm="1">
        <f t="array" ref="O87">_xll.BDH("CMI US Equity","NET_DEBT_TO_SHRHLDR_EQTY","FQ3 2021","FQ3 2021","Currency=USD","Period=FQ","BEST_FPERIOD_OVERRIDE=FQ","FILING_STATUS=MR","Sort=A","Dates=H","DateFormat=P","Fill=—","Direction=H","UseDPDF=Y")</f>
        <v>15.305999999999999</v>
      </c>
      <c r="P87" s="14" cm="1">
        <f t="array" ref="P87">_xll.BDH("CMI US Equity","NET_DEBT_TO_SHRHLDR_EQTY","FQ4 2021","FQ4 2021","Currency=USD","Period=FQ","BEST_FPERIOD_OVERRIDE=FQ","FILING_STATUS=MR","Sort=A","Dates=H","DateFormat=P","Fill=—","Direction=H","UseDPDF=Y")</f>
        <v>15.1686</v>
      </c>
      <c r="Q87" s="14" cm="1">
        <f t="array" ref="Q87">_xll.BDH("CMI US Equity","NET_DEBT_TO_SHRHLDR_EQTY","FQ1 2022","FQ1 2022","Currency=USD","Period=FQ","BEST_FPERIOD_OVERRIDE=FQ","FILING_STATUS=MR","Sort=A","Dates=H","DateFormat=P","Fill=—","Direction=H","UseDPDF=Y")</f>
        <v>18.957599999999999</v>
      </c>
      <c r="R87" s="14" cm="1">
        <f t="array" ref="R87">_xll.BDH("CMI US Equity","NET_DEBT_TO_SHRHLDR_EQTY","FQ2 2022","FQ2 2022","Currency=USD","Period=FQ","BEST_FPERIOD_OVERRIDE=FQ","FILING_STATUS=MR","Sort=A","Dates=H","DateFormat=P","Fill=—","Direction=H","UseDPDF=Y")</f>
        <v>19.285299999999999</v>
      </c>
      <c r="S87" s="14" cm="1">
        <f t="array" ref="S87">_xll.BDH("CMI US Equity","NET_DEBT_TO_SHRHLDR_EQTY","FQ3 2022","FQ3 2022","Currency=USD","Period=FQ","BEST_FPERIOD_OVERRIDE=FQ","FILING_STATUS=MR","Sort=A","Dates=H","DateFormat=P","Fill=—","Direction=H","UseDPDF=Y")</f>
        <v>58.512</v>
      </c>
      <c r="T87" s="14" cm="1">
        <f t="array" ref="T87">_xll.BDH("CMI US Equity","NET_DEBT_TO_SHRHLDR_EQTY","FQ4 2022","FQ4 2022","Currency=USD","Period=FQ","BEST_FPERIOD_OVERRIDE=FQ","FILING_STATUS=MR","Sort=A","Dates=H","DateFormat=P","Fill=—","Direction=H","UseDPDF=Y")</f>
        <v>56.547699999999999</v>
      </c>
      <c r="U87" s="14" cm="1">
        <f t="array" ref="U87">_xll.BDH("CMI US Equity","NET_DEBT_TO_SHRHLDR_EQTY","FQ1 2023","FQ1 2023","Currency=USD","Period=FQ","BEST_FPERIOD_OVERRIDE=FQ","FILING_STATUS=MR","Sort=A","Dates=H","DateFormat=P","Fill=—","Direction=H","UseDPDF=Y")</f>
        <v>53.395800000000001</v>
      </c>
      <c r="V87" s="14" cm="1">
        <f t="array" ref="V87">_xll.BDH("CMI US Equity","NET_DEBT_TO_SHRHLDR_EQTY","FQ2 2023","FQ2 2023","Currency=USD","Period=FQ","BEST_FPERIOD_OVERRIDE=FQ","FILING_STATUS=MR","Sort=A","Dates=H","DateFormat=P","Fill=—","Direction=H","UseDPDF=Y")</f>
        <v>52.016599999999997</v>
      </c>
      <c r="W87" s="14" cm="1">
        <f t="array" ref="W87">_xll.BDH("CMI US Equity","NET_DEBT_TO_SHRHLDR_EQTY","FQ3 2023","FQ3 2023","Currency=USD","Period=FQ","BEST_FPERIOD_OVERRIDE=FQ","FILING_STATUS=MR","Sort=A","Dates=H","DateFormat=P","Fill=—","Direction=H","UseDPDF=Y")</f>
        <v>43.9373</v>
      </c>
      <c r="X87" s="14" cm="1">
        <f t="array" ref="X87">_xll.BDH("CMI US Equity","NET_DEBT_TO_SHRHLDR_EQTY","FQ4 2023","FQ4 2023","Currency=USD","Period=FQ","BEST_FPERIOD_OVERRIDE=FQ","FILING_STATUS=MR","Sort=A","Dates=H","DateFormat=P","Fill=—","Direction=H","UseDPDF=Y")</f>
        <v>45.103000000000002</v>
      </c>
      <c r="Y87" s="14" cm="1">
        <f t="array" ref="Y87">_xll.BDH("CMI US Equity","NET_DEBT_TO_SHRHLDR_EQTY","FQ1 2024","FQ1 2024","Currency=USD","Period=FQ","BEST_FPERIOD_OVERRIDE=FQ","FILING_STATUS=MR","Sort=A","Dates=H","DateFormat=P","Fill=—","Direction=H","UseDPDF=Y")</f>
        <v>42.025500000000001</v>
      </c>
      <c r="Z87" s="14" cm="1">
        <f t="array" ref="Z87">_xll.BDH("CMI US Equity","NET_DEBT_TO_SHRHLDR_EQTY","FQ2 2024","FQ2 2024","Currency=USD","Period=FQ","BEST_FPERIOD_OVERRIDE=FQ","FILING_STATUS=MR","Sort=A","Dates=H","DateFormat=P","Fill=—","Direction=H","UseDPDF=Y")</f>
        <v>54.689900000000002</v>
      </c>
      <c r="AA87" s="14" cm="1">
        <f t="array" ref="AA87">_xll.BDH("CMI US Equity","NET_DEBT_TO_SHRHLDR_EQTY","FQ3 2024","FQ3 2024","Currency=USD","Period=FQ","BEST_FPERIOD_OVERRIDE=FQ","FILING_STATUS=MR","Sort=A","Dates=H","DateFormat=P","Fill=—","Direction=H","UseDPDF=Y")</f>
        <v>51.688600000000001</v>
      </c>
      <c r="AB87" s="14" cm="1">
        <f t="array" ref="AB87">_xll.BDH("CMI US Equity","NET_DEBT_TO_SHRHLDR_EQTY","FQ4 2024","FQ4 2024","Currency=USD","Period=FQ","BEST_FPERIOD_OVERRIDE=FQ","FILING_STATUS=MR","Sort=A","Dates=H","DateFormat=P","Fill=—","Direction=H","UseDPDF=Y")</f>
        <v>47.170099999999998</v>
      </c>
      <c r="AC87" s="14" cm="1">
        <f t="array" ref="AC87">_xll.BDH("CMI US Equity","NET_DEBT_TO_SHRHLDR_EQTY","FQ1 2025","FQ1 2025","Currency=USD","Period=FQ","BEST_FPERIOD_OVERRIDE=FQ","FILING_STATUS=MR","Sort=A","Dates=H","DateFormat=P","Fill=—","Direction=H","UseDPDF=Y")</f>
        <v>44.524299999999997</v>
      </c>
      <c r="AD87" s="14" cm="1">
        <f t="array" ref="AD87">_xll.BDH("CMI US Equity","NET_DEBT_TO_SHRHLDR_EQTY","FQ2 2025","FQ2 2025","Currency=USD","Period=FQ","BEST_FPERIOD_OVERRIDE=FQ","FILING_STATUS=MR","Sort=A","Dates=H","DateFormat=P","Fill=—","Direction=H","UseDPDF=Y")</f>
        <v>43.579599999999999</v>
      </c>
      <c r="AE87" s="14" cm="1">
        <f t="array" ref="AE87">_xll.BDH("CMI US Equity","NET_DEBT_TO_SHRHLDR_EQTY","FQ3 2025","FQ3 2025","Currency=USD","Period=FQ","BEST_FPERIOD_OVERRIDE=FQ","FILING_STATUS=MR","Sort=A","Dates=H","DateFormat=P","Fill=—","Direction=H","UseDPDF=Y")</f>
        <v>38.349400000000003</v>
      </c>
      <c r="AF87" s="14" cm="1">
        <f t="array" ref="AF87">_xll.BDH("CMI US Equity","NET_DEBT_TO_SHRHLDR_EQTY","FQ4 2025","FQ4 2025","Currency=USD","Period=FQ","BEST_FPERIOD_OVERRIDE=FQ","FILING_STATUS=MR","Sort=A","Dates=H","DateFormat=P","Fill=—","Direction=H","UseDPDF=Y")</f>
        <v>33.599299999999999</v>
      </c>
    </row>
    <row r="88" spans="1:32" x14ac:dyDescent="0.25">
      <c r="A88" s="10" t="s">
        <v>218</v>
      </c>
      <c r="B88" s="10" t="s">
        <v>219</v>
      </c>
      <c r="C88" s="14" cm="1">
        <f t="array" ref="C88">_xll.BDH("CMI US Equity","TCE_RATIO","FQ3 2018","FQ3 2018","Currency=USD","Period=FQ","BEST_FPERIOD_OVERRIDE=FQ","FILING_STATUS=MR","Sort=A","Dates=H","DateFormat=P","Fill=—","Direction=H","UseDPDF=Y")</f>
        <v>30.303599999999999</v>
      </c>
      <c r="D88" s="14" cm="1">
        <f t="array" ref="D88">_xll.BDH("CMI US Equity","TCE_RATIO","FQ4 2018","FQ4 2018","Currency=USD","Period=FQ","BEST_FPERIOD_OVERRIDE=FQ","FILING_STATUS=MR","Sort=A","Dates=H","DateFormat=P","Fill=—","Direction=H","UseDPDF=Y")</f>
        <v>31.203399999999998</v>
      </c>
      <c r="E88" s="14" cm="1">
        <f t="array" ref="E88">_xll.BDH("CMI US Equity","TCE_RATIO","FQ1 2019","FQ1 2019","Currency=USD","Period=FQ","BEST_FPERIOD_OVERRIDE=FQ","FILING_STATUS=MR","Sort=A","Dates=H","DateFormat=P","Fill=—","Direction=H","UseDPDF=Y")</f>
        <v>32.536700000000003</v>
      </c>
      <c r="F88" s="14" cm="1">
        <f t="array" ref="F88">_xll.BDH("CMI US Equity","TCE_RATIO","FQ2 2019","FQ2 2019","Currency=USD","Period=FQ","BEST_FPERIOD_OVERRIDE=FQ","FILING_STATUS=MR","Sort=A","Dates=H","DateFormat=P","Fill=—","Direction=H","UseDPDF=Y")</f>
        <v>34.298900000000003</v>
      </c>
      <c r="G88" s="14" cm="1">
        <f t="array" ref="G88">_xll.BDH("CMI US Equity","TCE_RATIO","FQ3 2019","FQ3 2019","Currency=USD","Period=FQ","BEST_FPERIOD_OVERRIDE=FQ","FILING_STATUS=MR","Sort=A","Dates=H","DateFormat=P","Fill=—","Direction=H","UseDPDF=Y")</f>
        <v>30.494599999999998</v>
      </c>
      <c r="H88" s="14" cm="1">
        <f t="array" ref="H88">_xll.BDH("CMI US Equity","TCE_RATIO","FQ4 2019","FQ4 2019","Currency=USD","Period=FQ","BEST_FPERIOD_OVERRIDE=FQ","FILING_STATUS=MR","Sort=A","Dates=H","DateFormat=P","Fill=—","Direction=H","UseDPDF=Y")</f>
        <v>29.905999999999999</v>
      </c>
      <c r="I88" s="14" cm="1">
        <f t="array" ref="I88">_xll.BDH("CMI US Equity","TCE_RATIO","FQ1 2020","FQ1 2020","Currency=USD","Period=FQ","BEST_FPERIOD_OVERRIDE=FQ","FILING_STATUS=MR","Sort=A","Dates=H","DateFormat=P","Fill=—","Direction=H","UseDPDF=Y")</f>
        <v>27.036100000000001</v>
      </c>
      <c r="J88" s="14" cm="1">
        <f t="array" ref="J88">_xll.BDH("CMI US Equity","TCE_RATIO","FQ2 2020","FQ2 2020","Currency=USD","Period=FQ","BEST_FPERIOD_OVERRIDE=FQ","FILING_STATUS=MR","Sort=A","Dates=H","DateFormat=P","Fill=—","Direction=H","UseDPDF=Y")</f>
        <v>27.1526</v>
      </c>
      <c r="K88" s="14" cm="1">
        <f t="array" ref="K88">_xll.BDH("CMI US Equity","TCE_RATIO","FQ3 2020","FQ3 2020","Currency=USD","Period=FQ","BEST_FPERIOD_OVERRIDE=FQ","FILING_STATUS=MR","Sort=A","Dates=H","DateFormat=P","Fill=—","Direction=H","UseDPDF=Y")</f>
        <v>28.107800000000001</v>
      </c>
      <c r="L88" s="14" cm="1">
        <f t="array" ref="L88">_xll.BDH("CMI US Equity","TCE_RATIO","FQ4 2020","FQ4 2020","Currency=USD","Period=FQ","BEST_FPERIOD_OVERRIDE=FQ","FILING_STATUS=MR","Sort=A","Dates=H","DateFormat=P","Fill=—","Direction=H","UseDPDF=Y")</f>
        <v>28.505500000000001</v>
      </c>
      <c r="M88" s="14" cm="1">
        <f t="array" ref="M88">_xll.BDH("CMI US Equity","TCE_RATIO","FQ1 2021","FQ1 2021","Currency=USD","Period=FQ","BEST_FPERIOD_OVERRIDE=FQ","FILING_STATUS=MR","Sort=A","Dates=H","DateFormat=P","Fill=—","Direction=H","UseDPDF=Y")</f>
        <v>28.274100000000001</v>
      </c>
      <c r="N88" s="14" cm="1">
        <f t="array" ref="N88">_xll.BDH("CMI US Equity","TCE_RATIO","FQ2 2021","FQ2 2021","Currency=USD","Period=FQ","BEST_FPERIOD_OVERRIDE=FQ","FILING_STATUS=MR","Sort=A","Dates=H","DateFormat=P","Fill=—","Direction=H","UseDPDF=Y")</f>
        <v>27.646599999999999</v>
      </c>
      <c r="O88" s="14" cm="1">
        <f t="array" ref="O88">_xll.BDH("CMI US Equity","TCE_RATIO","FQ3 2021","FQ3 2021","Currency=USD","Period=FQ","BEST_FPERIOD_OVERRIDE=FQ","FILING_STATUS=MR","Sort=A","Dates=H","DateFormat=P","Fill=—","Direction=H","UseDPDF=Y")</f>
        <v>28.158999999999999</v>
      </c>
      <c r="P88" s="14" cm="1">
        <f t="array" ref="P88">_xll.BDH("CMI US Equity","TCE_RATIO","FQ4 2021","FQ4 2021","Currency=USD","Period=FQ","BEST_FPERIOD_OVERRIDE=FQ","FILING_STATUS=MR","Sort=A","Dates=H","DateFormat=P","Fill=—","Direction=H","UseDPDF=Y")</f>
        <v>29.210599999999999</v>
      </c>
      <c r="Q88" s="14" cm="1">
        <f t="array" ref="Q88">_xll.BDH("CMI US Equity","TCE_RATIO","FQ1 2022","FQ1 2022","Currency=USD","Period=FQ","BEST_FPERIOD_OVERRIDE=FQ","FILING_STATUS=MR","Sort=A","Dates=H","DateFormat=P","Fill=—","Direction=H","UseDPDF=Y")</f>
        <v>28.436499999999999</v>
      </c>
      <c r="R88" s="14" cm="1">
        <f t="array" ref="R88">_xll.BDH("CMI US Equity","TCE_RATIO","FQ2 2022","FQ2 2022","Currency=USD","Period=FQ","BEST_FPERIOD_OVERRIDE=FQ","FILING_STATUS=MR","Sort=A","Dates=H","DateFormat=P","Fill=—","Direction=H","UseDPDF=Y")</f>
        <v>28.562999999999999</v>
      </c>
      <c r="S88" s="14" cm="1">
        <f t="array" ref="S88">_xll.BDH("CMI US Equity","TCE_RATIO","FQ3 2022","FQ3 2022","Currency=USD","Period=FQ","BEST_FPERIOD_OVERRIDE=FQ","FILING_STATUS=MR","Sort=A","Dates=H","DateFormat=P","Fill=—","Direction=H","UseDPDF=Y")</f>
        <v>14.231299999999999</v>
      </c>
      <c r="T88" s="14" cm="1">
        <f t="array" ref="T88">_xll.BDH("CMI US Equity","TCE_RATIO","FQ4 2022","FQ4 2022","Currency=USD","Period=FQ","BEST_FPERIOD_OVERRIDE=FQ","FILING_STATUS=MR","Sort=A","Dates=H","DateFormat=P","Fill=—","Direction=H","UseDPDF=Y")</f>
        <v>15.612</v>
      </c>
      <c r="U88" s="14" cm="1">
        <f t="array" ref="U88">_xll.BDH("CMI US Equity","TCE_RATIO","FQ1 2023","FQ1 2023","Currency=USD","Period=FQ","BEST_FPERIOD_OVERRIDE=FQ","FILING_STATUS=MR","Sort=A","Dates=H","DateFormat=P","Fill=—","Direction=H","UseDPDF=Y")</f>
        <v>17.4739</v>
      </c>
      <c r="V88" s="14" cm="1">
        <f t="array" ref="V88">_xll.BDH("CMI US Equity","TCE_RATIO","FQ2 2023","FQ2 2023","Currency=USD","Period=FQ","BEST_FPERIOD_OVERRIDE=FQ","FILING_STATUS=MR","Sort=A","Dates=H","DateFormat=P","Fill=—","Direction=H","UseDPDF=Y")</f>
        <v>19.9985</v>
      </c>
      <c r="W88" s="14" cm="1">
        <f t="array" ref="W88">_xll.BDH("CMI US Equity","TCE_RATIO","FQ3 2023","FQ3 2023","Currency=USD","Period=FQ","BEST_FPERIOD_OVERRIDE=FQ","FILING_STATUS=MR","Sort=A","Dates=H","DateFormat=P","Fill=—","Direction=H","UseDPDF=Y")</f>
        <v>21.180099999999999</v>
      </c>
      <c r="X88" s="14" cm="1">
        <f t="array" ref="X88">_xll.BDH("CMI US Equity","TCE_RATIO","FQ4 2023","FQ4 2023","Currency=USD","Period=FQ","BEST_FPERIOD_OVERRIDE=FQ","FILING_STATUS=MR","Sort=A","Dates=H","DateFormat=P","Fill=—","Direction=H","UseDPDF=Y")</f>
        <v>14.199400000000001</v>
      </c>
      <c r="Y88" s="14" cm="1">
        <f t="array" ref="Y88">_xll.BDH("CMI US Equity","TCE_RATIO","FQ1 2024","FQ1 2024","Currency=USD","Period=FQ","BEST_FPERIOD_OVERRIDE=FQ","FILING_STATUS=MR","Sort=A","Dates=H","DateFormat=P","Fill=—","Direction=H","UseDPDF=Y")</f>
        <v>15.5974</v>
      </c>
      <c r="Z88" s="14" cm="1">
        <f t="array" ref="Z88">_xll.BDH("CMI US Equity","TCE_RATIO","FQ2 2024","FQ2 2024","Currency=USD","Period=FQ","BEST_FPERIOD_OVERRIDE=FQ","FILING_STATUS=MR","Sort=A","Dates=H","DateFormat=P","Fill=—","Direction=H","UseDPDF=Y")</f>
        <v>17.616599999999998</v>
      </c>
      <c r="AA88" s="14" cm="1">
        <f t="array" ref="AA88">_xll.BDH("CMI US Equity","TCE_RATIO","FQ3 2024","FQ3 2024","Currency=USD","Period=FQ","BEST_FPERIOD_OVERRIDE=FQ","FILING_STATUS=MR","Sort=A","Dates=H","DateFormat=P","Fill=—","Direction=H","UseDPDF=Y")</f>
        <v>20.0199</v>
      </c>
      <c r="AB88" s="14" cm="1">
        <f t="array" ref="AB88">_xll.BDH("CMI US Equity","TCE_RATIO","FQ4 2024","FQ4 2024","Currency=USD","Period=FQ","BEST_FPERIOD_OVERRIDE=FQ","FILING_STATUS=MR","Sort=A","Dates=H","DateFormat=P","Fill=—","Direction=H","UseDPDF=Y")</f>
        <v>20.694299999999998</v>
      </c>
      <c r="AC88" s="14" cm="1">
        <f t="array" ref="AC88">_xll.BDH("CMI US Equity","TCE_RATIO","FQ1 2025","FQ1 2025","Currency=USD","Period=FQ","BEST_FPERIOD_OVERRIDE=FQ","FILING_STATUS=MR","Sort=A","Dates=H","DateFormat=P","Fill=—","Direction=H","UseDPDF=Y")</f>
        <v>22.089200000000002</v>
      </c>
      <c r="AD88" s="14" cm="1">
        <f t="array" ref="AD88">_xll.BDH("CMI US Equity","TCE_RATIO","FQ2 2025","FQ2 2025","Currency=USD","Period=FQ","BEST_FPERIOD_OVERRIDE=FQ","FILING_STATUS=MR","Sort=A","Dates=H","DateFormat=P","Fill=—","Direction=H","UseDPDF=Y")</f>
        <v>23.651900000000001</v>
      </c>
      <c r="AE88" s="14" cm="1">
        <f t="array" ref="AE88">_xll.BDH("CMI US Equity","TCE_RATIO","FQ3 2025","FQ3 2025","Currency=USD","Period=FQ","BEST_FPERIOD_OVERRIDE=FQ","FILING_STATUS=MR","Sort=A","Dates=H","DateFormat=P","Fill=—","Direction=H","UseDPDF=Y")</f>
        <v>25.788599999999999</v>
      </c>
      <c r="AF88" s="14" cm="1">
        <f t="array" ref="AF88">_xll.BDH("CMI US Equity","TCE_RATIO","FQ4 2025","FQ4 2025","Currency=USD","Period=FQ","BEST_FPERIOD_OVERRIDE=FQ","FILING_STATUS=MR","Sort=A","Dates=H","DateFormat=P","Fill=—","Direction=H","UseDPDF=Y")</f>
        <v>26.8842</v>
      </c>
    </row>
    <row r="89" spans="1:32" x14ac:dyDescent="0.25">
      <c r="A89" s="10" t="s">
        <v>220</v>
      </c>
      <c r="B89" s="10" t="s">
        <v>221</v>
      </c>
      <c r="C89" s="14" cm="1">
        <f t="array" ref="C89">_xll.BDH("CMI US Equity","CUR_RATIO","FQ3 2018","FQ3 2018","Currency=USD","Period=FQ","BEST_FPERIOD_OVERRIDE=FQ","FILING_STATUS=MR","Sort=A","Dates=H","DateFormat=P","Fill=—","Direction=H","UseDPDF=Y")</f>
        <v>1.5373000000000001</v>
      </c>
      <c r="D89" s="14" cm="1">
        <f t="array" ref="D89">_xll.BDH("CMI US Equity","CUR_RATIO","FQ4 2018","FQ4 2018","Currency=USD","Period=FQ","BEST_FPERIOD_OVERRIDE=FQ","FILING_STATUS=MR","Sort=A","Dates=H","DateFormat=P","Fill=—","Direction=H","UseDPDF=Y")</f>
        <v>1.5379</v>
      </c>
      <c r="E89" s="14" cm="1">
        <f t="array" ref="E89">_xll.BDH("CMI US Equity","CUR_RATIO","FQ1 2019","FQ1 2019","Currency=USD","Period=FQ","BEST_FPERIOD_OVERRIDE=FQ","FILING_STATUS=MR","Sort=A","Dates=H","DateFormat=P","Fill=—","Direction=H","UseDPDF=Y")</f>
        <v>1.5701000000000001</v>
      </c>
      <c r="F89" s="14" cm="1">
        <f t="array" ref="F89">_xll.BDH("CMI US Equity","CUR_RATIO","FQ2 2019","FQ2 2019","Currency=USD","Period=FQ","BEST_FPERIOD_OVERRIDE=FQ","FILING_STATUS=MR","Sort=A","Dates=H","DateFormat=P","Fill=—","Direction=H","UseDPDF=Y")</f>
        <v>1.6616</v>
      </c>
      <c r="G89" s="14" cm="1">
        <f t="array" ref="G89">_xll.BDH("CMI US Equity","CUR_RATIO","FQ3 2019","FQ3 2019","Currency=USD","Period=FQ","BEST_FPERIOD_OVERRIDE=FQ","FILING_STATUS=MR","Sort=A","Dates=H","DateFormat=P","Fill=—","Direction=H","UseDPDF=Y")</f>
        <v>1.5208999999999999</v>
      </c>
      <c r="H89" s="14" cm="1">
        <f t="array" ref="H89">_xll.BDH("CMI US Equity","CUR_RATIO","FQ4 2019","FQ4 2019","Currency=USD","Period=FQ","BEST_FPERIOD_OVERRIDE=FQ","FILING_STATUS=MR","Sort=A","Dates=H","DateFormat=P","Fill=—","Direction=H","UseDPDF=Y")</f>
        <v>1.4995000000000001</v>
      </c>
      <c r="I89" s="14" cm="1">
        <f t="array" ref="I89">_xll.BDH("CMI US Equity","CUR_RATIO","FQ1 2020","FQ1 2020","Currency=USD","Period=FQ","BEST_FPERIOD_OVERRIDE=FQ","FILING_STATUS=MR","Sort=A","Dates=H","DateFormat=P","Fill=—","Direction=H","UseDPDF=Y")</f>
        <v>1.4021999999999999</v>
      </c>
      <c r="J89" s="14" cm="1">
        <f t="array" ref="J89">_xll.BDH("CMI US Equity","CUR_RATIO","FQ2 2020","FQ2 2020","Currency=USD","Period=FQ","BEST_FPERIOD_OVERRIDE=FQ","FILING_STATUS=MR","Sort=A","Dates=H","DateFormat=P","Fill=—","Direction=H","UseDPDF=Y")</f>
        <v>1.4218999999999999</v>
      </c>
      <c r="K89" s="14" cm="1">
        <f t="array" ref="K89">_xll.BDH("CMI US Equity","CUR_RATIO","FQ3 2020","FQ3 2020","Currency=USD","Period=FQ","BEST_FPERIOD_OVERRIDE=FQ","FILING_STATUS=MR","Sort=A","Dates=H","DateFormat=P","Fill=—","Direction=H","UseDPDF=Y")</f>
        <v>1.9376</v>
      </c>
      <c r="L89" s="14" cm="1">
        <f t="array" ref="L89">_xll.BDH("CMI US Equity","CUR_RATIO","FQ4 2020","FQ4 2020","Currency=USD","Period=FQ","BEST_FPERIOD_OVERRIDE=FQ","FILING_STATUS=MR","Sort=A","Dates=H","DateFormat=P","Fill=—","Direction=H","UseDPDF=Y")</f>
        <v>1.8779999999999999</v>
      </c>
      <c r="M89" s="14" cm="1">
        <f t="array" ref="M89">_xll.BDH("CMI US Equity","CUR_RATIO","FQ1 2021","FQ1 2021","Currency=USD","Period=FQ","BEST_FPERIOD_OVERRIDE=FQ","FILING_STATUS=MR","Sort=A","Dates=H","DateFormat=P","Fill=—","Direction=H","UseDPDF=Y")</f>
        <v>1.8201000000000001</v>
      </c>
      <c r="N89" s="14" cm="1">
        <f t="array" ref="N89">_xll.BDH("CMI US Equity","CUR_RATIO","FQ2 2021","FQ2 2021","Currency=USD","Period=FQ","BEST_FPERIOD_OVERRIDE=FQ","FILING_STATUS=MR","Sort=A","Dates=H","DateFormat=P","Fill=—","Direction=H","UseDPDF=Y")</f>
        <v>1.8066</v>
      </c>
      <c r="O89" s="14" cm="1">
        <f t="array" ref="O89">_xll.BDH("CMI US Equity","CUR_RATIO","FQ3 2021","FQ3 2021","Currency=USD","Period=FQ","BEST_FPERIOD_OVERRIDE=FQ","FILING_STATUS=MR","Sort=A","Dates=H","DateFormat=P","Fill=—","Direction=H","UseDPDF=Y")</f>
        <v>1.7957000000000001</v>
      </c>
      <c r="P89" s="14" cm="1">
        <f t="array" ref="P89">_xll.BDH("CMI US Equity","CUR_RATIO","FQ4 2021","FQ4 2021","Currency=USD","Period=FQ","BEST_FPERIOD_OVERRIDE=FQ","FILING_STATUS=MR","Sort=A","Dates=H","DateFormat=P","Fill=—","Direction=H","UseDPDF=Y")</f>
        <v>1.7376</v>
      </c>
      <c r="Q89" s="14" cm="1">
        <f t="array" ref="Q89">_xll.BDH("CMI US Equity","CUR_RATIO","FQ1 2022","FQ1 2022","Currency=USD","Period=FQ","BEST_FPERIOD_OVERRIDE=FQ","FILING_STATUS=MR","Sort=A","Dates=H","DateFormat=P","Fill=—","Direction=H","UseDPDF=Y")</f>
        <v>1.6768000000000001</v>
      </c>
      <c r="R89" s="14" cm="1">
        <f t="array" ref="R89">_xll.BDH("CMI US Equity","CUR_RATIO","FQ2 2022","FQ2 2022","Currency=USD","Period=FQ","BEST_FPERIOD_OVERRIDE=FQ","FILING_STATUS=MR","Sort=A","Dates=H","DateFormat=P","Fill=—","Direction=H","UseDPDF=Y")</f>
        <v>1.6637</v>
      </c>
      <c r="S89" s="14" cm="1">
        <f t="array" ref="S89">_xll.BDH("CMI US Equity","CUR_RATIO","FQ3 2022","FQ3 2022","Currency=USD","Period=FQ","BEST_FPERIOD_OVERRIDE=FQ","FILING_STATUS=MR","Sort=A","Dates=H","DateFormat=P","Fill=—","Direction=H","UseDPDF=Y")</f>
        <v>1.3673</v>
      </c>
      <c r="T89" s="14" cm="1">
        <f t="array" ref="T89">_xll.BDH("CMI US Equity","CUR_RATIO","FQ4 2022","FQ4 2022","Currency=USD","Period=FQ","BEST_FPERIOD_OVERRIDE=FQ","FILING_STATUS=MR","Sort=A","Dates=H","DateFormat=P","Fill=—","Direction=H","UseDPDF=Y")</f>
        <v>1.2653000000000001</v>
      </c>
      <c r="U89" s="14" cm="1">
        <f t="array" ref="U89">_xll.BDH("CMI US Equity","CUR_RATIO","FQ1 2023","FQ1 2023","Currency=USD","Period=FQ","BEST_FPERIOD_OVERRIDE=FQ","FILING_STATUS=MR","Sort=A","Dates=H","DateFormat=P","Fill=—","Direction=H","UseDPDF=Y")</f>
        <v>1.2888999999999999</v>
      </c>
      <c r="V89" s="14" cm="1">
        <f t="array" ref="V89">_xll.BDH("CMI US Equity","CUR_RATIO","FQ2 2023","FQ2 2023","Currency=USD","Period=FQ","BEST_FPERIOD_OVERRIDE=FQ","FILING_STATUS=MR","Sort=A","Dates=H","DateFormat=P","Fill=—","Direction=H","UseDPDF=Y")</f>
        <v>1.3952</v>
      </c>
      <c r="W89" s="14" cm="1">
        <f t="array" ref="W89">_xll.BDH("CMI US Equity","CUR_RATIO","FQ3 2023","FQ3 2023","Currency=USD","Period=FQ","BEST_FPERIOD_OVERRIDE=FQ","FILING_STATUS=MR","Sort=A","Dates=H","DateFormat=P","Fill=—","Direction=H","UseDPDF=Y")</f>
        <v>1.4301999999999999</v>
      </c>
      <c r="X89" s="14" cm="1">
        <f t="array" ref="X89">_xll.BDH("CMI US Equity","CUR_RATIO","FQ4 2023","FQ4 2023","Currency=USD","Period=FQ","BEST_FPERIOD_OVERRIDE=FQ","FILING_STATUS=MR","Sort=A","Dates=H","DateFormat=P","Fill=—","Direction=H","UseDPDF=Y")</f>
        <v>1.1778999999999999</v>
      </c>
      <c r="Y89" s="14" cm="1">
        <f t="array" ref="Y89">_xll.BDH("CMI US Equity","CUR_RATIO","FQ1 2024","FQ1 2024","Currency=USD","Period=FQ","BEST_FPERIOD_OVERRIDE=FQ","FILING_STATUS=MR","Sort=A","Dates=H","DateFormat=P","Fill=—","Direction=H","UseDPDF=Y")</f>
        <v>1.3366</v>
      </c>
      <c r="Z89" s="14" cm="1">
        <f t="array" ref="Z89">_xll.BDH("CMI US Equity","CUR_RATIO","FQ2 2024","FQ2 2024","Currency=USD","Period=FQ","BEST_FPERIOD_OVERRIDE=FQ","FILING_STATUS=MR","Sort=A","Dates=H","DateFormat=P","Fill=—","Direction=H","UseDPDF=Y")</f>
        <v>1.3426</v>
      </c>
      <c r="AA89" s="14" cm="1">
        <f t="array" ref="AA89">_xll.BDH("CMI US Equity","CUR_RATIO","FQ3 2024","FQ3 2024","Currency=USD","Period=FQ","BEST_FPERIOD_OVERRIDE=FQ","FILING_STATUS=MR","Sort=A","Dates=H","DateFormat=P","Fill=—","Direction=H","UseDPDF=Y")</f>
        <v>1.32</v>
      </c>
      <c r="AB89" s="14" cm="1">
        <f t="array" ref="AB89">_xll.BDH("CMI US Equity","CUR_RATIO","FQ4 2024","FQ4 2024","Currency=USD","Period=FQ","BEST_FPERIOD_OVERRIDE=FQ","FILING_STATUS=MR","Sort=A","Dates=H","DateFormat=P","Fill=—","Direction=H","UseDPDF=Y")</f>
        <v>1.3131999999999999</v>
      </c>
      <c r="AC89" s="14" cm="1">
        <f t="array" ref="AC89">_xll.BDH("CMI US Equity","CUR_RATIO","FQ1 2025","FQ1 2025","Currency=USD","Period=FQ","BEST_FPERIOD_OVERRIDE=FQ","FILING_STATUS=MR","Sort=A","Dates=H","DateFormat=P","Fill=—","Direction=H","UseDPDF=Y")</f>
        <v>1.3425</v>
      </c>
      <c r="AD89" s="14" cm="1">
        <f t="array" ref="AD89">_xll.BDH("CMI US Equity","CUR_RATIO","FQ2 2025","FQ2 2025","Currency=USD","Period=FQ","BEST_FPERIOD_OVERRIDE=FQ","FILING_STATUS=MR","Sort=A","Dates=H","DateFormat=P","Fill=—","Direction=H","UseDPDF=Y")</f>
        <v>1.6415999999999999</v>
      </c>
      <c r="AE89" s="14" cm="1">
        <f t="array" ref="AE89">_xll.BDH("CMI US Equity","CUR_RATIO","FQ3 2025","FQ3 2025","Currency=USD","Period=FQ","BEST_FPERIOD_OVERRIDE=FQ","FILING_STATUS=MR","Sort=A","Dates=H","DateFormat=P","Fill=—","Direction=H","UseDPDF=Y")</f>
        <v>1.7685999999999999</v>
      </c>
      <c r="AF89" s="14" cm="1">
        <f t="array" ref="AF89">_xll.BDH("CMI US Equity","CUR_RATIO","FQ4 2025","FQ4 2025","Currency=USD","Period=FQ","BEST_FPERIOD_OVERRIDE=FQ","FILING_STATUS=MR","Sort=A","Dates=H","DateFormat=P","Fill=—","Direction=H","UseDPDF=Y")</f>
        <v>1.7612000000000001</v>
      </c>
    </row>
    <row r="90" spans="1:32" x14ac:dyDescent="0.25">
      <c r="A90" s="10" t="s">
        <v>222</v>
      </c>
      <c r="B90" s="10" t="s">
        <v>223</v>
      </c>
      <c r="C90" s="14" cm="1">
        <f t="array" ref="C90">_xll.BDH("CMI US Equity","CASH_CONVERSION_CYCLE","FQ3 2018","FQ3 2018","Currency=USD","Period=FQ","BEST_FPERIOD_OVERRIDE=FQ","FILING_STATUS=MR","FA_ADJUSTED=GAAP","Sort=A","Dates=H","DateFormat=P","Fill=—","Direction=H","UseDPDF=Y")</f>
        <v>74.486000000000004</v>
      </c>
      <c r="D90" s="14" cm="1">
        <f t="array" ref="D90">_xll.BDH("CMI US Equity","CASH_CONVERSION_CYCLE","FQ4 2018","FQ4 2018","Currency=USD","Period=FQ","BEST_FPERIOD_OVERRIDE=FQ","FILING_STATUS=MR","FA_ADJUSTED=GAAP","Sort=A","Dates=H","DateFormat=P","Fill=—","Direction=H","UseDPDF=Y")</f>
        <v>70.489900000000006</v>
      </c>
      <c r="E90" s="14" cm="1">
        <f t="array" ref="E90">_xll.BDH("CMI US Equity","CASH_CONVERSION_CYCLE","FQ1 2019","FQ1 2019","Currency=USD","Period=FQ","BEST_FPERIOD_OVERRIDE=FQ","FILING_STATUS=MR","FA_ADJUSTED=GAAP","Sort=A","Dates=H","DateFormat=P","Fill=—","Direction=H","UseDPDF=Y")</f>
        <v>71.116399999999999</v>
      </c>
      <c r="F90" s="14" cm="1">
        <f t="array" ref="F90">_xll.BDH("CMI US Equity","CASH_CONVERSION_CYCLE","FQ2 2019","FQ2 2019","Currency=USD","Period=FQ","BEST_FPERIOD_OVERRIDE=FQ","FILING_STATUS=MR","FA_ADJUSTED=GAAP","Sort=A","Dates=H","DateFormat=P","Fill=—","Direction=H","UseDPDF=Y")</f>
        <v>73.714200000000005</v>
      </c>
      <c r="G90" s="14" cm="1">
        <f t="array" ref="G90">_xll.BDH("CMI US Equity","CASH_CONVERSION_CYCLE","FQ3 2019","FQ3 2019","Currency=USD","Period=FQ","BEST_FPERIOD_OVERRIDE=FQ","FILING_STATUS=MR","FA_ADJUSTED=GAAP","Sort=A","Dates=H","DateFormat=P","Fill=—","Direction=H","UseDPDF=Y")</f>
        <v>74.129300000000001</v>
      </c>
      <c r="H90" s="14" cm="1">
        <f t="array" ref="H90">_xll.BDH("CMI US Equity","CASH_CONVERSION_CYCLE","FQ4 2019","FQ4 2019","Currency=USD","Period=FQ","BEST_FPERIOD_OVERRIDE=FQ","FILING_STATUS=MR","FA_ADJUSTED=GAAP","Sort=A","Dates=H","DateFormat=P","Fill=—","Direction=H","UseDPDF=Y")</f>
        <v>73.09</v>
      </c>
      <c r="I90" s="14" cm="1">
        <f t="array" ref="I90">_xll.BDH("CMI US Equity","CASH_CONVERSION_CYCLE","FQ1 2020","FQ1 2020","Currency=USD","Period=FQ","BEST_FPERIOD_OVERRIDE=FQ","FILING_STATUS=MR","FA_ADJUSTED=GAAP","Sort=A","Dates=H","DateFormat=P","Fill=—","Direction=H","UseDPDF=Y")</f>
        <v>74.777699999999996</v>
      </c>
      <c r="J90" s="14" cm="1">
        <f t="array" ref="J90">_xll.BDH("CMI US Equity","CASH_CONVERSION_CYCLE","FQ2 2020","FQ2 2020","Currency=USD","Period=FQ","BEST_FPERIOD_OVERRIDE=FQ","FILING_STATUS=MR","FA_ADJUSTED=GAAP","Sort=A","Dates=H","DateFormat=P","Fill=—","Direction=H","UseDPDF=Y")</f>
        <v>88.994200000000006</v>
      </c>
      <c r="K90" s="14" cm="1">
        <f t="array" ref="K90">_xll.BDH("CMI US Equity","CASH_CONVERSION_CYCLE","FQ3 2020","FQ3 2020","Currency=USD","Period=FQ","BEST_FPERIOD_OVERRIDE=FQ","FILING_STATUS=MR","FA_ADJUSTED=GAAP","Sort=A","Dates=H","DateFormat=P","Fill=—","Direction=H","UseDPDF=Y")</f>
        <v>89.391400000000004</v>
      </c>
      <c r="L90" s="14" cm="1">
        <f t="array" ref="L90">_xll.BDH("CMI US Equity","CASH_CONVERSION_CYCLE","FQ4 2020","FQ4 2020","Currency=USD","Period=FQ","BEST_FPERIOD_OVERRIDE=FQ","FILING_STATUS=MR","FA_ADJUSTED=GAAP","Sort=A","Dates=H","DateFormat=P","Fill=—","Direction=H","UseDPDF=Y")</f>
        <v>85.404600000000002</v>
      </c>
      <c r="M90" s="14" cm="1">
        <f t="array" ref="M90">_xll.BDH("CMI US Equity","CASH_CONVERSION_CYCLE","FQ1 2021","FQ1 2021","Currency=USD","Period=FQ","BEST_FPERIOD_OVERRIDE=FQ","FILING_STATUS=MR","FA_ADJUSTED=GAAP","Sort=A","Dates=H","DateFormat=P","Fill=—","Direction=H","UseDPDF=Y")</f>
        <v>78.7958</v>
      </c>
      <c r="N90" s="14" cm="1">
        <f t="array" ref="N90">_xll.BDH("CMI US Equity","CASH_CONVERSION_CYCLE","FQ2 2021","FQ2 2021","Currency=USD","Period=FQ","BEST_FPERIOD_OVERRIDE=FQ","FILING_STATUS=MR","FA_ADJUSTED=GAAP","Sort=A","Dates=H","DateFormat=P","Fill=—","Direction=H","UseDPDF=Y")</f>
        <v>83.238799999999998</v>
      </c>
      <c r="O90" s="14" cm="1">
        <f t="array" ref="O90">_xll.BDH("CMI US Equity","CASH_CONVERSION_CYCLE","FQ3 2021","FQ3 2021","Currency=USD","Period=FQ","BEST_FPERIOD_OVERRIDE=FQ","FILING_STATUS=MR","FA_ADJUSTED=GAAP","Sort=A","Dates=H","DateFormat=P","Fill=—","Direction=H","UseDPDF=Y")</f>
        <v>82.922700000000006</v>
      </c>
      <c r="P90" s="14" cm="1">
        <f t="array" ref="P90">_xll.BDH("CMI US Equity","CASH_CONVERSION_CYCLE","FQ4 2021","FQ4 2021","Currency=USD","Period=FQ","BEST_FPERIOD_OVERRIDE=FQ","FILING_STATUS=MR","FA_ADJUSTED=GAAP","Sort=A","Dates=H","DateFormat=P","Fill=—","Direction=H","UseDPDF=Y")</f>
        <v>81.455500000000001</v>
      </c>
      <c r="Q90" s="14" cm="1">
        <f t="array" ref="Q90">_xll.BDH("CMI US Equity","CASH_CONVERSION_CYCLE","FQ1 2022","FQ1 2022","Currency=USD","Period=FQ","BEST_FPERIOD_OVERRIDE=FQ","FILING_STATUS=MR","FA_ADJUSTED=GAAP","Sort=A","Dates=H","DateFormat=P","Fill=—","Direction=H","UseDPDF=Y")</f>
        <v>74.934100000000001</v>
      </c>
      <c r="R90" s="14" cm="1">
        <f t="array" ref="R90">_xll.BDH("CMI US Equity","CASH_CONVERSION_CYCLE","FQ2 2022","FQ2 2022","Currency=USD","Period=FQ","BEST_FPERIOD_OVERRIDE=FQ","FILING_STATUS=MR","FA_ADJUSTED=GAAP","Sort=A","Dates=H","DateFormat=P","Fill=—","Direction=H","UseDPDF=Y")</f>
        <v>84.317899999999995</v>
      </c>
      <c r="S90" s="14" cm="1">
        <f t="array" ref="S90">_xll.BDH("CMI US Equity","CASH_CONVERSION_CYCLE","FQ3 2022","FQ3 2022","Currency=USD","Period=FQ","BEST_FPERIOD_OVERRIDE=FQ","FILING_STATUS=MR","FA_ADJUSTED=GAAP","Sort=A","Dates=H","DateFormat=P","Fill=—","Direction=H","UseDPDF=Y")</f>
        <v>89.826899999999995</v>
      </c>
      <c r="T90" s="14" cm="1">
        <f t="array" ref="T90">_xll.BDH("CMI US Equity","CASH_CONVERSION_CYCLE","FQ4 2022","FQ4 2022","Currency=USD","Period=FQ","BEST_FPERIOD_OVERRIDE=FQ","FILING_STATUS=MR","FA_ADJUSTED=GAAP","Sort=A","Dates=H","DateFormat=P","Fill=—","Direction=H","UseDPDF=Y")</f>
        <v>86.132099999999994</v>
      </c>
      <c r="U90" s="14" cm="1">
        <f t="array" ref="U90">_xll.BDH("CMI US Equity","CASH_CONVERSION_CYCLE","FQ1 2023","FQ1 2023","Currency=USD","Period=FQ","BEST_FPERIOD_OVERRIDE=FQ","FILING_STATUS=MR","FA_ADJUSTED=GAAP","Sort=A","Dates=H","DateFormat=P","Fill=—","Direction=H","UseDPDF=Y")</f>
        <v>81.363600000000005</v>
      </c>
      <c r="V90" s="14" cm="1">
        <f t="array" ref="V90">_xll.BDH("CMI US Equity","CASH_CONVERSION_CYCLE","FQ2 2023","FQ2 2023","Currency=USD","Period=FQ","BEST_FPERIOD_OVERRIDE=FQ","FILING_STATUS=MR","FA_ADJUSTED=GAAP","Sort=A","Dates=H","DateFormat=P","Fill=—","Direction=H","UseDPDF=Y")</f>
        <v>82.470799999999997</v>
      </c>
      <c r="W90" s="14" cm="1">
        <f t="array" ref="W90">_xll.BDH("CMI US Equity","CASH_CONVERSION_CYCLE","FQ3 2023","FQ3 2023","Currency=USD","Period=FQ","BEST_FPERIOD_OVERRIDE=FQ","FILING_STATUS=MR","FA_ADJUSTED=GAAP","Sort=A","Dates=H","DateFormat=P","Fill=—","Direction=H","UseDPDF=Y")</f>
        <v>81.250600000000006</v>
      </c>
      <c r="X90" s="14" cm="1">
        <f t="array" ref="X90">_xll.BDH("CMI US Equity","CASH_CONVERSION_CYCLE","FQ4 2023","FQ4 2023","Currency=USD","Period=FQ","BEST_FPERIOD_OVERRIDE=FQ","FILING_STATUS=MR","FA_ADJUSTED=GAAP","Sort=A","Dates=H","DateFormat=P","Fill=—","Direction=H","UseDPDF=Y")</f>
        <v>77.519300000000001</v>
      </c>
      <c r="Y90" s="14" cm="1">
        <f t="array" ref="Y90">_xll.BDH("CMI US Equity","CASH_CONVERSION_CYCLE","FQ1 2024","FQ1 2024","Currency=USD","Period=FQ","BEST_FPERIOD_OVERRIDE=FQ","FILING_STATUS=MR","FA_ADJUSTED=GAAP","Sort=A","Dates=H","DateFormat=P","Fill=—","Direction=H","UseDPDF=Y")</f>
        <v>78.409300000000002</v>
      </c>
      <c r="Z90" s="14" cm="1">
        <f t="array" ref="Z90">_xll.BDH("CMI US Equity","CASH_CONVERSION_CYCLE","FQ2 2024","FQ2 2024","Currency=USD","Period=FQ","BEST_FPERIOD_OVERRIDE=FQ","FILING_STATUS=MR","FA_ADJUSTED=GAAP","Sort=A","Dates=H","DateFormat=P","Fill=—","Direction=H","UseDPDF=Y")</f>
        <v>83.438999999999993</v>
      </c>
      <c r="AA90" s="14" cm="1">
        <f t="array" ref="AA90">_xll.BDH("CMI US Equity","CASH_CONVERSION_CYCLE","FQ3 2024","FQ3 2024","Currency=USD","Period=FQ","BEST_FPERIOD_OVERRIDE=FQ","FILING_STATUS=MR","FA_ADJUSTED=GAAP","Sort=A","Dates=H","DateFormat=P","Fill=—","Direction=H","UseDPDF=Y")</f>
        <v>84.995900000000006</v>
      </c>
      <c r="AB90" s="14" cm="1">
        <f t="array" ref="AB90">_xll.BDH("CMI US Equity","CASH_CONVERSION_CYCLE","FQ4 2024","FQ4 2024","Currency=USD","Period=FQ","BEST_FPERIOD_OVERRIDE=FQ","FILING_STATUS=MR","FA_ADJUSTED=GAAP","Sort=A","Dates=H","DateFormat=P","Fill=—","Direction=H","UseDPDF=Y")</f>
        <v>80.786199999999994</v>
      </c>
      <c r="AC90" s="14" cm="1">
        <f t="array" ref="AC90">_xll.BDH("CMI US Equity","CASH_CONVERSION_CYCLE","FQ1 2025","FQ1 2025","Currency=USD","Period=FQ","BEST_FPERIOD_OVERRIDE=FQ","FILING_STATUS=MR","FA_ADJUSTED=GAAP","Sort=A","Dates=H","DateFormat=P","Fill=—","Direction=H","UseDPDF=Y")</f>
        <v>83.236699999999999</v>
      </c>
      <c r="AD90" s="14" cm="1">
        <f t="array" ref="AD90">_xll.BDH("CMI US Equity","CASH_CONVERSION_CYCLE","FQ2 2025","FQ2 2025","Currency=USD","Period=FQ","BEST_FPERIOD_OVERRIDE=FQ","FILING_STATUS=MR","FA_ADJUSTED=GAAP","Sort=A","Dates=H","DateFormat=P","Fill=—","Direction=H","UseDPDF=Y")</f>
        <v>89.291700000000006</v>
      </c>
      <c r="AE90" s="14" cm="1">
        <f t="array" ref="AE90">_xll.BDH("CMI US Equity","CASH_CONVERSION_CYCLE","FQ3 2025","FQ3 2025","Currency=USD","Period=FQ","BEST_FPERIOD_OVERRIDE=FQ","FILING_STATUS=MR","FA_ADJUSTED=GAAP","Sort=A","Dates=H","DateFormat=P","Fill=—","Direction=H","UseDPDF=Y")</f>
        <v>92.099900000000005</v>
      </c>
      <c r="AF90" s="14" cm="1">
        <f t="array" ref="AF90">_xll.BDH("CMI US Equity","CASH_CONVERSION_CYCLE","FQ4 2025","FQ4 2025","Currency=USD","Period=FQ","BEST_FPERIOD_OVERRIDE=FQ","FILING_STATUS=MR","FA_ADJUSTED=GAAP","Sort=A","Dates=H","DateFormat=P","Fill=—","Direction=H","UseDPDF=Y")</f>
        <v>87.4602</v>
      </c>
    </row>
    <row r="91" spans="1:32" x14ac:dyDescent="0.25">
      <c r="A91" s="10" t="s">
        <v>224</v>
      </c>
      <c r="B91" s="10" t="s">
        <v>225</v>
      </c>
      <c r="C91" s="13" cm="1">
        <f t="array" ref="C91">_xll.BDH("CMI US Equity","BS_CASH_HELD_OVERSEAS","FQ3 2018","FQ3 2018","Currency=USD","Period=FQ","BEST_FPERIOD_OVERRIDE=FQ","FILING_STATUS=MR","SCALING_FORMAT=MLN","Sort=A","Dates=H","DateFormat=P","Fill=—","Direction=H","UseDPDF=Y")</f>
        <v>777</v>
      </c>
      <c r="D91" s="13" cm="1">
        <f t="array" ref="D91">_xll.BDH("CMI US Equity","BS_CASH_HELD_OVERSEAS","FQ4 2018","FQ4 2018","Currency=USD","Period=FQ","BEST_FPERIOD_OVERRIDE=FQ","FILING_STATUS=MR","SCALING_FORMAT=MLN","Sort=A","Dates=H","DateFormat=P","Fill=—","Direction=H","UseDPDF=Y")</f>
        <v>1059</v>
      </c>
      <c r="E91" s="13" cm="1">
        <f t="array" ref="E91">_xll.BDH("CMI US Equity","BS_CASH_HELD_OVERSEAS","FQ1 2019","FQ1 2019","Currency=USD","Period=FQ","BEST_FPERIOD_OVERRIDE=FQ","FILING_STATUS=MR","SCALING_FORMAT=MLN","Sort=A","Dates=H","DateFormat=P","Fill=—","Direction=H","UseDPDF=Y")</f>
        <v>1024</v>
      </c>
      <c r="F91" s="13" cm="1">
        <f t="array" ref="F91">_xll.BDH("CMI US Equity","BS_CASH_HELD_OVERSEAS","FQ2 2019","FQ2 2019","Currency=USD","Period=FQ","BEST_FPERIOD_OVERRIDE=FQ","FILING_STATUS=MR","SCALING_FORMAT=MLN","Sort=A","Dates=H","DateFormat=P","Fill=—","Direction=H","UseDPDF=Y")</f>
        <v>1072</v>
      </c>
      <c r="G91" s="13" cm="1">
        <f t="array" ref="G91">_xll.BDH("CMI US Equity","BS_CASH_HELD_OVERSEAS","FQ3 2019","FQ3 2019","Currency=USD","Period=FQ","BEST_FPERIOD_OVERRIDE=FQ","FILING_STATUS=MR","SCALING_FORMAT=MLN","Sort=A","Dates=H","DateFormat=P","Fill=—","Direction=H","UseDPDF=Y")</f>
        <v>1129</v>
      </c>
      <c r="H91" s="13" cm="1">
        <f t="array" ref="H91">_xll.BDH("CMI US Equity","BS_CASH_HELD_OVERSEAS","FQ4 2019","FQ4 2019","Currency=USD","Period=FQ","BEST_FPERIOD_OVERRIDE=FQ","FILING_STATUS=MR","SCALING_FORMAT=MLN","Sort=A","Dates=H","DateFormat=P","Fill=—","Direction=H","UseDPDF=Y")</f>
        <v>947</v>
      </c>
      <c r="I91" s="13" cm="1">
        <f t="array" ref="I91">_xll.BDH("CMI US Equity","BS_CASH_HELD_OVERSEAS","FQ1 2020","FQ1 2020","Currency=USD","Period=FQ","BEST_FPERIOD_OVERRIDE=FQ","FILING_STATUS=MR","SCALING_FORMAT=MLN","Sort=A","Dates=H","DateFormat=P","Fill=—","Direction=H","UseDPDF=Y")</f>
        <v>997</v>
      </c>
      <c r="J91" s="13" cm="1">
        <f t="array" ref="J91">_xll.BDH("CMI US Equity","BS_CASH_HELD_OVERSEAS","FQ2 2020","FQ2 2020","Currency=USD","Period=FQ","BEST_FPERIOD_OVERRIDE=FQ","FILING_STATUS=MR","SCALING_FORMAT=MLN","Sort=A","Dates=H","DateFormat=P","Fill=—","Direction=H","UseDPDF=Y")</f>
        <v>915</v>
      </c>
      <c r="K91" s="13" cm="1">
        <f t="array" ref="K91">_xll.BDH("CMI US Equity","BS_CASH_HELD_OVERSEAS","FQ3 2020","FQ3 2020","Currency=USD","Period=FQ","BEST_FPERIOD_OVERRIDE=FQ","FILING_STATUS=MR","SCALING_FORMAT=MLN","Sort=A","Dates=H","DateFormat=P","Fill=—","Direction=H","UseDPDF=Y")</f>
        <v>1174</v>
      </c>
      <c r="L91" s="13" cm="1">
        <f t="array" ref="L91">_xll.BDH("CMI US Equity","BS_CASH_HELD_OVERSEAS","FQ4 2020","FQ4 2020","Currency=USD","Period=FQ","BEST_FPERIOD_OVERRIDE=FQ","FILING_STATUS=MR","SCALING_FORMAT=MLN","Sort=A","Dates=H","DateFormat=P","Fill=—","Direction=H","UseDPDF=Y")</f>
        <v>1487</v>
      </c>
      <c r="M91" s="13" cm="1">
        <f t="array" ref="M91">_xll.BDH("CMI US Equity","BS_CASH_HELD_OVERSEAS","FQ1 2021","FQ1 2021","Currency=USD","Period=FQ","BEST_FPERIOD_OVERRIDE=FQ","FILING_STATUS=MR","SCALING_FORMAT=MLN","Sort=A","Dates=H","DateFormat=P","Fill=—","Direction=H","UseDPDF=Y")</f>
        <v>1422</v>
      </c>
      <c r="N91" s="13" cm="1">
        <f t="array" ref="N91">_xll.BDH("CMI US Equity","BS_CASH_HELD_OVERSEAS","FQ2 2021","FQ2 2021","Currency=USD","Period=FQ","BEST_FPERIOD_OVERRIDE=FQ","FILING_STATUS=MR","SCALING_FORMAT=MLN","Sort=A","Dates=H","DateFormat=P","Fill=—","Direction=H","UseDPDF=Y")</f>
        <v>1475</v>
      </c>
      <c r="O91" s="13" cm="1">
        <f t="array" ref="O91">_xll.BDH("CMI US Equity","BS_CASH_HELD_OVERSEAS","FQ3 2021","FQ3 2021","Currency=USD","Period=FQ","BEST_FPERIOD_OVERRIDE=FQ","FILING_STATUS=MR","SCALING_FORMAT=MLN","Sort=A","Dates=H","DateFormat=P","Fill=—","Direction=H","UseDPDF=Y")</f>
        <v>1310</v>
      </c>
      <c r="P91" s="13" cm="1">
        <f t="array" ref="P91">_xll.BDH("CMI US Equity","BS_CASH_HELD_OVERSEAS","FQ4 2021","FQ4 2021","Currency=USD","Period=FQ","BEST_FPERIOD_OVERRIDE=FQ","FILING_STATUS=MR","SCALING_FORMAT=MLN","Sort=A","Dates=H","DateFormat=P","Fill=—","Direction=H","UseDPDF=Y")</f>
        <v>2083</v>
      </c>
      <c r="Q91" s="13" cm="1">
        <f t="array" ref="Q91">_xll.BDH("CMI US Equity","BS_CASH_HELD_OVERSEAS","FQ1 2022","FQ1 2022","Currency=USD","Period=FQ","BEST_FPERIOD_OVERRIDE=FQ","FILING_STATUS=MR","SCALING_FORMAT=MLN","Sort=A","Dates=H","DateFormat=P","Fill=—","Direction=H","UseDPDF=Y")</f>
        <v>1455</v>
      </c>
      <c r="R91" s="13" cm="1">
        <f t="array" ref="R91">_xll.BDH("CMI US Equity","BS_CASH_HELD_OVERSEAS","FQ2 2022","FQ2 2022","Currency=USD","Period=FQ","BEST_FPERIOD_OVERRIDE=FQ","FILING_STATUS=MR","SCALING_FORMAT=MLN","Sort=A","Dates=H","DateFormat=P","Fill=—","Direction=H","UseDPDF=Y")</f>
        <v>1730</v>
      </c>
      <c r="S91" s="13" cm="1">
        <f t="array" ref="S91">_xll.BDH("CMI US Equity","BS_CASH_HELD_OVERSEAS","FQ3 2022","FQ3 2022","Currency=USD","Period=FQ","BEST_FPERIOD_OVERRIDE=FQ","FILING_STATUS=MR","SCALING_FORMAT=MLN","Sort=A","Dates=H","DateFormat=P","Fill=—","Direction=H","UseDPDF=Y")</f>
        <v>1633</v>
      </c>
      <c r="T91" s="13" cm="1">
        <f t="array" ref="T91">_xll.BDH("CMI US Equity","BS_CASH_HELD_OVERSEAS","FQ4 2022","FQ4 2022","Currency=USD","Period=FQ","BEST_FPERIOD_OVERRIDE=FQ","FILING_STATUS=MR","SCALING_FORMAT=MLN","Sort=A","Dates=H","DateFormat=P","Fill=—","Direction=H","UseDPDF=Y")</f>
        <v>1231</v>
      </c>
      <c r="U91" s="13" cm="1">
        <f t="array" ref="U91">_xll.BDH("CMI US Equity","BS_CASH_HELD_OVERSEAS","FQ1 2023","FQ1 2023","Currency=USD","Period=FQ","BEST_FPERIOD_OVERRIDE=FQ","FILING_STATUS=MR","SCALING_FORMAT=MLN","Sort=A","Dates=H","DateFormat=P","Fill=—","Direction=H","UseDPDF=Y")</f>
        <v>1322</v>
      </c>
      <c r="V91" s="13" cm="1">
        <f t="array" ref="V91">_xll.BDH("CMI US Equity","BS_CASH_HELD_OVERSEAS","FQ2 2023","FQ2 2023","Currency=USD","Period=FQ","BEST_FPERIOD_OVERRIDE=FQ","FILING_STATUS=MR","SCALING_FORMAT=MLN","Sort=A","Dates=H","DateFormat=P","Fill=—","Direction=H","UseDPDF=Y")</f>
        <v>997</v>
      </c>
      <c r="W91" s="13" cm="1">
        <f t="array" ref="W91">_xll.BDH("CMI US Equity","BS_CASH_HELD_OVERSEAS","FQ3 2023","FQ3 2023","Currency=USD","Period=FQ","BEST_FPERIOD_OVERRIDE=FQ","FILING_STATUS=MR","SCALING_FORMAT=MLN","Sort=A","Dates=H","DateFormat=P","Fill=—","Direction=H","UseDPDF=Y")</f>
        <v>1342</v>
      </c>
      <c r="X91" s="13" cm="1">
        <f t="array" ref="X91">_xll.BDH("CMI US Equity","BS_CASH_HELD_OVERSEAS","FQ4 2023","FQ4 2023","Currency=USD","Period=FQ","BEST_FPERIOD_OVERRIDE=FQ","FILING_STATUS=MR","SCALING_FORMAT=MLN","Sort=A","Dates=H","DateFormat=P","Fill=—","Direction=H","UseDPDF=Y")</f>
        <v>1208</v>
      </c>
      <c r="Y91" s="13" cm="1">
        <f t="array" ref="Y91">_xll.BDH("CMI US Equity","BS_CASH_HELD_OVERSEAS","FQ1 2024","FQ1 2024","Currency=USD","Period=FQ","BEST_FPERIOD_OVERRIDE=FQ","FILING_STATUS=MR","SCALING_FORMAT=MLN","Sort=A","Dates=H","DateFormat=P","Fill=—","Direction=H","UseDPDF=Y")</f>
        <v>2541</v>
      </c>
      <c r="Z91" s="13" cm="1">
        <f t="array" ref="Z91">_xll.BDH("CMI US Equity","BS_CASH_HELD_OVERSEAS","FQ2 2024","FQ2 2024","Currency=USD","Period=FQ","BEST_FPERIOD_OVERRIDE=FQ","FILING_STATUS=MR","SCALING_FORMAT=MLN","Sort=A","Dates=H","DateFormat=P","Fill=—","Direction=H","UseDPDF=Y")</f>
        <v>1590</v>
      </c>
      <c r="AA91" s="13" cm="1">
        <f t="array" ref="AA91">_xll.BDH("CMI US Equity","BS_CASH_HELD_OVERSEAS","FQ3 2024","FQ3 2024","Currency=USD","Period=FQ","BEST_FPERIOD_OVERRIDE=FQ","FILING_STATUS=MR","SCALING_FORMAT=MLN","Sort=A","Dates=H","DateFormat=P","Fill=—","Direction=H","UseDPDF=Y")</f>
        <v>890</v>
      </c>
      <c r="AB91" s="13" cm="1">
        <f t="array" ref="AB91">_xll.BDH("CMI US Equity","BS_CASH_HELD_OVERSEAS","FQ4 2024","FQ4 2024","Currency=USD","Period=FQ","BEST_FPERIOD_OVERRIDE=FQ","FILING_STATUS=MR","SCALING_FORMAT=MLN","Sort=A","Dates=H","DateFormat=P","Fill=—","Direction=H","UseDPDF=Y")</f>
        <v>1067</v>
      </c>
      <c r="AC91" s="13" cm="1">
        <f t="array" ref="AC91">_xll.BDH("CMI US Equity","BS_CASH_HELD_OVERSEAS","FQ1 2025","FQ1 2025","Currency=USD","Period=FQ","BEST_FPERIOD_OVERRIDE=FQ","FILING_STATUS=MR","SCALING_FORMAT=MLN","Sort=A","Dates=H","DateFormat=P","Fill=—","Direction=H","UseDPDF=Y")</f>
        <v>1532</v>
      </c>
      <c r="AD91" s="13" cm="1">
        <f t="array" ref="AD91">_xll.BDH("CMI US Equity","BS_CASH_HELD_OVERSEAS","FQ2 2025","FQ2 2025","Currency=USD","Period=FQ","BEST_FPERIOD_OVERRIDE=FQ","FILING_STATUS=MR","SCALING_FORMAT=MLN","Sort=A","Dates=H","DateFormat=P","Fill=—","Direction=H","UseDPDF=Y")</f>
        <v>2319</v>
      </c>
      <c r="AE91" s="13" cm="1">
        <f t="array" ref="AE91">_xll.BDH("CMI US Equity","BS_CASH_HELD_OVERSEAS","FQ3 2025","FQ3 2025","Currency=USD","Period=FQ","BEST_FPERIOD_OVERRIDE=FQ","FILING_STATUS=MR","SCALING_FORMAT=MLN","Sort=A","Dates=H","DateFormat=P","Fill=—","Direction=H","UseDPDF=Y")</f>
        <v>1591</v>
      </c>
      <c r="AF91" s="13" cm="1">
        <f t="array" ref="AF91">_xll.BDH("CMI US Equity","BS_CASH_HELD_OVERSEAS","FQ4 2025","FQ4 2025","Currency=USD","Period=FQ","BEST_FPERIOD_OVERRIDE=FQ","FILING_STATUS=MR","SCALING_FORMAT=MLN","Sort=A","Dates=H","DateFormat=P","Fill=—","Direction=H","UseDPDF=Y")</f>
        <v>2845</v>
      </c>
    </row>
    <row r="92" spans="1:32" x14ac:dyDescent="0.25">
      <c r="A92" s="10" t="s">
        <v>226</v>
      </c>
      <c r="B92" s="10" t="s">
        <v>227</v>
      </c>
      <c r="C92" s="14" t="str" cm="1">
        <f t="array" ref="C92">_xll.BDH("CMI US Equity","NUM_OF_EMPLOYEES","FQ3 2018","FQ3 2018","Currency=USD","Period=FQ","BEST_FPERIOD_OVERRIDE=FQ","FILING_STATUS=MR","Sort=A","Dates=H","DateFormat=P","Fill=—","Direction=H","UseDPDF=Y")</f>
        <v>—</v>
      </c>
      <c r="D92" s="14" cm="1">
        <f t="array" ref="D92">_xll.BDH("CMI US Equity","NUM_OF_EMPLOYEES","FQ4 2018","FQ4 2018","Currency=USD","Period=FQ","BEST_FPERIOD_OVERRIDE=FQ","FILING_STATUS=MR","Sort=A","Dates=H","DateFormat=P","Fill=—","Direction=H","UseDPDF=Y")</f>
        <v>62610</v>
      </c>
      <c r="E92" s="14" t="str" cm="1">
        <f t="array" ref="E92">_xll.BDH("CMI US Equity","NUM_OF_EMPLOYEES","FQ1 2019","FQ1 2019","Currency=USD","Period=FQ","BEST_FPERIOD_OVERRIDE=FQ","FILING_STATUS=MR","Sort=A","Dates=H","DateFormat=P","Fill=—","Direction=H","UseDPDF=Y")</f>
        <v>—</v>
      </c>
      <c r="F92" s="14" t="str" cm="1">
        <f t="array" ref="F92">_xll.BDH("CMI US Equity","NUM_OF_EMPLOYEES","FQ2 2019","FQ2 2019","Currency=USD","Period=FQ","BEST_FPERIOD_OVERRIDE=FQ","FILING_STATUS=MR","Sort=A","Dates=H","DateFormat=P","Fill=—","Direction=H","UseDPDF=Y")</f>
        <v>—</v>
      </c>
      <c r="G92" s="14" t="str" cm="1">
        <f t="array" ref="G92">_xll.BDH("CMI US Equity","NUM_OF_EMPLOYEES","FQ3 2019","FQ3 2019","Currency=USD","Period=FQ","BEST_FPERIOD_OVERRIDE=FQ","FILING_STATUS=MR","Sort=A","Dates=H","DateFormat=P","Fill=—","Direction=H","UseDPDF=Y")</f>
        <v>—</v>
      </c>
      <c r="H92" s="14" cm="1">
        <f t="array" ref="H92">_xll.BDH("CMI US Equity","NUM_OF_EMPLOYEES","FQ4 2019","FQ4 2019","Currency=USD","Period=FQ","BEST_FPERIOD_OVERRIDE=FQ","FILING_STATUS=MR","Sort=A","Dates=H","DateFormat=P","Fill=—","Direction=H","UseDPDF=Y")</f>
        <v>61615</v>
      </c>
      <c r="I92" s="14" cm="1">
        <f t="array" ref="I92">_xll.BDH("CMI US Equity","NUM_OF_EMPLOYEES","FQ1 2020","FQ1 2020","Currency=USD","Period=FQ","BEST_FPERIOD_OVERRIDE=FQ","FILING_STATUS=MR","Sort=A","Dates=H","DateFormat=P","Fill=—","Direction=H","UseDPDF=Y")</f>
        <v>61600</v>
      </c>
      <c r="J92" s="14" cm="1">
        <f t="array" ref="J92">_xll.BDH("CMI US Equity","NUM_OF_EMPLOYEES","FQ2 2020","FQ2 2020","Currency=USD","Period=FQ","BEST_FPERIOD_OVERRIDE=FQ","FILING_STATUS=MR","Sort=A","Dates=H","DateFormat=P","Fill=—","Direction=H","UseDPDF=Y")</f>
        <v>61600</v>
      </c>
      <c r="K92" s="14" t="str" cm="1">
        <f t="array" ref="K92">_xll.BDH("CMI US Equity","NUM_OF_EMPLOYEES","FQ3 2020","FQ3 2020","Currency=USD","Period=FQ","BEST_FPERIOD_OVERRIDE=FQ","FILING_STATUS=MR","Sort=A","Dates=H","DateFormat=P","Fill=—","Direction=H","UseDPDF=Y")</f>
        <v>—</v>
      </c>
      <c r="L92" s="14" t="str" cm="1">
        <f t="array" ref="L92">_xll.BDH("CMI US Equity","NUM_OF_EMPLOYEES","FQ4 2020","FQ4 2020","Currency=USD","Period=FQ","BEST_FPERIOD_OVERRIDE=FQ","FILING_STATUS=MR","Sort=A","Dates=H","DateFormat=P","Fill=—","Direction=H","UseDPDF=Y")</f>
        <v>—</v>
      </c>
      <c r="M92" s="14" cm="1">
        <f t="array" ref="M92">_xll.BDH("CMI US Equity","NUM_OF_EMPLOYEES","FQ1 2021","FQ1 2021","Currency=USD","Period=FQ","BEST_FPERIOD_OVERRIDE=FQ","FILING_STATUS=MR","Sort=A","Dates=H","DateFormat=P","Fill=—","Direction=H","UseDPDF=Y")</f>
        <v>57825</v>
      </c>
      <c r="N92" s="14" cm="1">
        <f t="array" ref="N92">_xll.BDH("CMI US Equity","NUM_OF_EMPLOYEES","FQ2 2021","FQ2 2021","Currency=USD","Period=FQ","BEST_FPERIOD_OVERRIDE=FQ","FILING_STATUS=MR","Sort=A","Dates=H","DateFormat=P","Fill=—","Direction=H","UseDPDF=Y")</f>
        <v>57825</v>
      </c>
      <c r="O92" s="14" cm="1">
        <f t="array" ref="O92">_xll.BDH("CMI US Equity","NUM_OF_EMPLOYEES","FQ3 2021","FQ3 2021","Currency=USD","Period=FQ","BEST_FPERIOD_OVERRIDE=FQ","FILING_STATUS=MR","Sort=A","Dates=H","DateFormat=P","Fill=—","Direction=H","UseDPDF=Y")</f>
        <v>57825</v>
      </c>
      <c r="P92" s="14" t="str" cm="1">
        <f t="array" ref="P92">_xll.BDH("CMI US Equity","NUM_OF_EMPLOYEES","FQ4 2021","FQ4 2021","Currency=USD","Period=FQ","BEST_FPERIOD_OVERRIDE=FQ","FILING_STATUS=MR","Sort=A","Dates=H","DateFormat=P","Fill=—","Direction=H","UseDPDF=Y")</f>
        <v>—</v>
      </c>
      <c r="Q92" s="14" cm="1">
        <f t="array" ref="Q92">_xll.BDH("CMI US Equity","NUM_OF_EMPLOYEES","FQ1 2022","FQ1 2022","Currency=USD","Period=FQ","BEST_FPERIOD_OVERRIDE=FQ","FILING_STATUS=MR","Sort=A","Dates=H","DateFormat=P","Fill=—","Direction=H","UseDPDF=Y")</f>
        <v>59900</v>
      </c>
      <c r="R92" s="14" cm="1">
        <f t="array" ref="R92">_xll.BDH("CMI US Equity","NUM_OF_EMPLOYEES","FQ2 2022","FQ2 2022","Currency=USD","Period=FQ","BEST_FPERIOD_OVERRIDE=FQ","FILING_STATUS=MR","Sort=A","Dates=H","DateFormat=P","Fill=—","Direction=H","UseDPDF=Y")</f>
        <v>59900</v>
      </c>
      <c r="S92" s="14" cm="1">
        <f t="array" ref="S92">_xll.BDH("CMI US Equity","NUM_OF_EMPLOYEES","FQ3 2022","FQ3 2022","Currency=USD","Period=FQ","BEST_FPERIOD_OVERRIDE=FQ","FILING_STATUS=MR","Sort=A","Dates=H","DateFormat=P","Fill=—","Direction=H","UseDPDF=Y")</f>
        <v>59900</v>
      </c>
      <c r="T92" s="14" t="str" cm="1">
        <f t="array" ref="T92">_xll.BDH("CMI US Equity","NUM_OF_EMPLOYEES","FQ4 2022","FQ4 2022","Currency=USD","Period=FQ","BEST_FPERIOD_OVERRIDE=FQ","FILING_STATUS=MR","Sort=A","Dates=H","DateFormat=P","Fill=—","Direction=H","UseDPDF=Y")</f>
        <v>—</v>
      </c>
      <c r="U92" s="14" cm="1">
        <f t="array" ref="U92">_xll.BDH("CMI US Equity","NUM_OF_EMPLOYEES","FQ1 2023","FQ1 2023","Currency=USD","Period=FQ","BEST_FPERIOD_OVERRIDE=FQ","FILING_STATUS=MR","Sort=A","Dates=H","DateFormat=P","Fill=—","Direction=H","UseDPDF=Y")</f>
        <v>73600</v>
      </c>
      <c r="V92" s="14" cm="1">
        <f t="array" ref="V92">_xll.BDH("CMI US Equity","NUM_OF_EMPLOYEES","FQ2 2023","FQ2 2023","Currency=USD","Period=FQ","BEST_FPERIOD_OVERRIDE=FQ","FILING_STATUS=MR","Sort=A","Dates=H","DateFormat=P","Fill=—","Direction=H","UseDPDF=Y")</f>
        <v>73600</v>
      </c>
      <c r="W92" s="14" cm="1">
        <f t="array" ref="W92">_xll.BDH("CMI US Equity","NUM_OF_EMPLOYEES","FQ3 2023","FQ3 2023","Currency=USD","Period=FQ","BEST_FPERIOD_OVERRIDE=FQ","FILING_STATUS=MR","Sort=A","Dates=H","DateFormat=P","Fill=—","Direction=H","UseDPDF=Y")</f>
        <v>73600</v>
      </c>
      <c r="X92" s="14" cm="1">
        <f t="array" ref="X92">_xll.BDH("CMI US Equity","NUM_OF_EMPLOYEES","FQ4 2023","FQ4 2023","Currency=USD","Period=FQ","BEST_FPERIOD_OVERRIDE=FQ","FILING_STATUS=MR","Sort=A","Dates=H","DateFormat=P","Fill=—","Direction=H","UseDPDF=Y")</f>
        <v>75500</v>
      </c>
      <c r="Y92" s="14" cm="1">
        <f t="array" ref="Y92">_xll.BDH("CMI US Equity","NUM_OF_EMPLOYEES","FQ1 2024","FQ1 2024","Currency=USD","Period=FQ","BEST_FPERIOD_OVERRIDE=FQ","FILING_STATUS=MR","Sort=A","Dates=H","DateFormat=P","Fill=—","Direction=H","UseDPDF=Y")</f>
        <v>75500</v>
      </c>
      <c r="Z92" s="14" cm="1">
        <f t="array" ref="Z92">_xll.BDH("CMI US Equity","NUM_OF_EMPLOYEES","FQ2 2024","FQ2 2024","Currency=USD","Period=FQ","BEST_FPERIOD_OVERRIDE=FQ","FILING_STATUS=MR","Sort=A","Dates=H","DateFormat=P","Fill=—","Direction=H","UseDPDF=Y")</f>
        <v>75000</v>
      </c>
      <c r="AA92" s="14" cm="1">
        <f t="array" ref="AA92">_xll.BDH("CMI US Equity","NUM_OF_EMPLOYEES","FQ3 2024","FQ3 2024","Currency=USD","Period=FQ","BEST_FPERIOD_OVERRIDE=FQ","FILING_STATUS=MR","Sort=A","Dates=H","DateFormat=P","Fill=—","Direction=H","UseDPDF=Y")</f>
        <v>75500</v>
      </c>
      <c r="AB92" s="14" cm="1">
        <f t="array" ref="AB92">_xll.BDH("CMI US Equity","NUM_OF_EMPLOYEES","FQ4 2024","FQ4 2024","Currency=USD","Period=FQ","BEST_FPERIOD_OVERRIDE=FQ","FILING_STATUS=MR","Sort=A","Dates=H","DateFormat=P","Fill=—","Direction=H","UseDPDF=Y")</f>
        <v>69600</v>
      </c>
      <c r="AC92" s="14" cm="1">
        <f t="array" ref="AC92">_xll.BDH("CMI US Equity","NUM_OF_EMPLOYEES","FQ1 2025","FQ1 2025","Currency=USD","Period=FQ","BEST_FPERIOD_OVERRIDE=FQ","FILING_STATUS=MR","Sort=A","Dates=H","DateFormat=P","Fill=—","Direction=H","UseDPDF=Y")</f>
        <v>69600</v>
      </c>
      <c r="AD92" s="14" cm="1">
        <f t="array" ref="AD92">_xll.BDH("CMI US Equity","NUM_OF_EMPLOYEES","FQ2 2025","FQ2 2025","Currency=USD","Period=FQ","BEST_FPERIOD_OVERRIDE=FQ","FILING_STATUS=MR","Sort=A","Dates=H","DateFormat=P","Fill=—","Direction=H","UseDPDF=Y")</f>
        <v>69600</v>
      </c>
      <c r="AE92" s="14" cm="1">
        <f t="array" ref="AE92">_xll.BDH("CMI US Equity","NUM_OF_EMPLOYEES","FQ3 2025","FQ3 2025","Currency=USD","Period=FQ","BEST_FPERIOD_OVERRIDE=FQ","FILING_STATUS=MR","Sort=A","Dates=H","DateFormat=P","Fill=—","Direction=H","UseDPDF=Y")</f>
        <v>70000</v>
      </c>
      <c r="AF92" s="14" t="str" cm="1">
        <f t="array" ref="AF92">_xll.BDH("CMI US Equity","NUM_OF_EMPLOYEES","FQ4 2025","FQ4 2025","Currency=USD","Period=FQ","BEST_FPERIOD_OVERRIDE=FQ","FILING_STATUS=MR","Sort=A","Dates=H","DateFormat=P","Fill=—","Direction=H","UseDPDF=Y")</f>
        <v>—</v>
      </c>
    </row>
    <row r="93" spans="1:32" x14ac:dyDescent="0.25">
      <c r="A93" s="7" t="s">
        <v>228</v>
      </c>
      <c r="B93" s="7"/>
      <c r="C93" s="7" t="s">
        <v>1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2026-02-19T01:52:36Z</dcterms:modified>
</cp:coreProperties>
</file>