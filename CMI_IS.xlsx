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30E8E37A-73DA-42B7-BDF0-DB67EA888F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1" i="2" l="1" a="1"/>
  <c r="T51" i="2" a="1"/>
  <c r="G33" i="2" a="1"/>
  <c r="G46" i="2" a="1"/>
  <c r="G62" i="2" a="1"/>
  <c r="G17" i="2" a="1"/>
  <c r="G19" i="2" a="1"/>
  <c r="S33" i="2" a="1"/>
  <c r="S16" i="2" a="1"/>
  <c r="S6" i="2" a="1"/>
  <c r="S7" i="2" a="1"/>
  <c r="S8" i="2" a="1"/>
  <c r="C44" i="2" a="1"/>
  <c r="O44" i="2" a="1"/>
  <c r="K44" i="2" a="1"/>
  <c r="AA40" i="2" a="1"/>
  <c r="W53" i="2" a="1"/>
  <c r="W58" i="2" a="1"/>
  <c r="W33" i="2" a="1"/>
  <c r="K6" i="2" a="1"/>
  <c r="K23" i="2" a="1"/>
  <c r="K16" i="2" a="1"/>
  <c r="AA17" i="2" a="1"/>
  <c r="C22" i="2" a="1"/>
  <c r="AA65" i="2" a="1"/>
  <c r="AA8" i="2" a="1"/>
  <c r="AA9" i="2" a="1"/>
  <c r="AA20" i="2" a="1"/>
  <c r="C11" i="2" a="1"/>
  <c r="S70" i="2" a="1"/>
  <c r="S50" i="2" a="1"/>
  <c r="G70" i="2" a="1"/>
  <c r="C43" i="2" a="1"/>
  <c r="C36" i="2" a="1"/>
  <c r="C73" i="2" a="1"/>
  <c r="C38" i="2" a="1"/>
  <c r="W9" i="2" a="1"/>
  <c r="W22" i="2" a="1"/>
  <c r="W8" i="2" a="1"/>
  <c r="K52" i="2" a="1"/>
  <c r="K56" i="2" a="1"/>
  <c r="O16" i="2" a="1"/>
  <c r="O65" i="2" a="1"/>
  <c r="O23" i="2" a="1"/>
  <c r="C66" i="2" a="1"/>
  <c r="O47" i="2" a="1"/>
  <c r="O42" i="2" a="1"/>
  <c r="O43" i="2" a="1"/>
  <c r="O29" i="2" a="1"/>
  <c r="O69" i="2" a="1"/>
  <c r="C55" i="2" a="1"/>
  <c r="O53" i="2" a="1"/>
  <c r="AA66" i="2" a="1"/>
  <c r="K68" i="2" a="1"/>
  <c r="W47" i="2" a="1"/>
  <c r="W25" i="2" a="1"/>
  <c r="W71" i="2" a="1"/>
  <c r="S63" i="2" a="1"/>
  <c r="W67" i="2" a="1"/>
  <c r="G67" i="2" a="1"/>
  <c r="AA58" i="2" a="1"/>
  <c r="S43" i="2" a="1"/>
  <c r="S29" i="2" a="1"/>
  <c r="S32" i="2" a="1"/>
  <c r="K27" i="2" a="1"/>
  <c r="K31" i="2" a="1"/>
  <c r="K32" i="2" a="1"/>
  <c r="K72" i="2" a="1"/>
  <c r="AA24" i="2" a="1"/>
  <c r="S56" i="2" a="1"/>
  <c r="T56" i="2" a="1"/>
  <c r="G44" i="2" a="1"/>
  <c r="G6" i="2" a="1"/>
  <c r="G16" i="2" a="1"/>
  <c r="G8" i="2" a="1"/>
  <c r="G18" i="2" a="1"/>
  <c r="S41" i="2" a="1"/>
  <c r="S9" i="2" a="1"/>
  <c r="S15" i="2" a="1"/>
  <c r="S20" i="2" a="1"/>
  <c r="S12" i="2" a="1"/>
  <c r="C40" i="2" a="1"/>
  <c r="O33" i="2" a="1"/>
  <c r="K33" i="2" a="1"/>
  <c r="AA39" i="2" a="1"/>
  <c r="W70" i="2" a="1"/>
  <c r="AA56" i="2" a="1"/>
  <c r="H56" i="2" a="1"/>
  <c r="U51" i="2" a="1"/>
  <c r="G40" i="2" a="1"/>
  <c r="G22" i="2" a="1"/>
  <c r="G23" i="2" a="1"/>
  <c r="G9" i="2" a="1"/>
  <c r="G65" i="2" a="1"/>
  <c r="S44" i="2" a="1"/>
  <c r="S23" i="2" a="1"/>
  <c r="S65" i="2" a="1"/>
  <c r="J51" i="2" a="1"/>
  <c r="V51" i="2" a="1"/>
  <c r="C33" i="2" a="1"/>
  <c r="O40" i="2" a="1"/>
  <c r="K41" i="2" a="1"/>
  <c r="AA33" i="2" a="1"/>
  <c r="W57" i="2" a="1"/>
  <c r="AA51" i="2" a="1"/>
  <c r="W40" i="2" a="1"/>
  <c r="H51" i="2" a="1"/>
  <c r="U56" i="2" a="1"/>
  <c r="G39" i="2" a="1"/>
  <c r="G11" i="2" a="1"/>
  <c r="G12" i="2" a="1"/>
  <c r="G21" i="2" a="1"/>
  <c r="S40" i="2" a="1"/>
  <c r="S13" i="2" a="1"/>
  <c r="S18" i="2" a="1"/>
  <c r="S46" i="2" a="1"/>
  <c r="S21" i="2" a="1"/>
  <c r="V56" i="2" a="1"/>
  <c r="C41" i="2" a="1"/>
  <c r="O34" i="2" a="1"/>
  <c r="K39" i="2" a="1"/>
  <c r="AA41" i="2" a="1"/>
  <c r="W55" i="2" a="1"/>
  <c r="W39" i="2" a="1"/>
  <c r="K10" i="2" a="1"/>
  <c r="K9" i="2" a="1"/>
  <c r="K15" i="2" a="1"/>
  <c r="K18" i="2" a="1"/>
  <c r="AA46" i="2" a="1"/>
  <c r="C10" i="2" a="1"/>
  <c r="C9" i="2" a="1"/>
  <c r="C13" i="2" a="1"/>
  <c r="AA19" i="2" a="1"/>
  <c r="AA18" i="2" a="1"/>
  <c r="C8" i="2" a="1"/>
  <c r="S55" i="2" a="1"/>
  <c r="G58" i="2" a="1"/>
  <c r="O56" i="2" a="1"/>
  <c r="C28" i="2" a="1"/>
  <c r="C42" i="2" a="1"/>
  <c r="W17" i="2" a="1"/>
  <c r="C27" i="2" a="1"/>
  <c r="W20" i="2" a="1"/>
  <c r="W13" i="2" a="1"/>
  <c r="W21" i="2" a="1"/>
  <c r="K70" i="2" a="1"/>
  <c r="O8" i="2" a="1"/>
  <c r="O13" i="2" a="1"/>
  <c r="O22" i="2" a="1"/>
  <c r="O9" i="2" a="1"/>
  <c r="C67" i="2" a="1"/>
  <c r="O38" i="2" a="1"/>
  <c r="O31" i="2" a="1"/>
  <c r="O36" i="2" a="1"/>
  <c r="O66" i="2" a="1"/>
  <c r="C50" i="2" a="1"/>
  <c r="G51" i="2" a="1"/>
  <c r="G34" i="2" a="1"/>
  <c r="I56" i="2" a="1"/>
  <c r="G7" i="2" a="1"/>
  <c r="G64" i="2" a="1"/>
  <c r="G13" i="2" a="1"/>
  <c r="S39" i="2" a="1"/>
  <c r="S62" i="2" a="1"/>
  <c r="S17" i="2" a="1"/>
  <c r="S11" i="2" a="1"/>
  <c r="S22" i="2" a="1"/>
  <c r="C39" i="2" a="1"/>
  <c r="O41" i="2" a="1"/>
  <c r="K34" i="2" a="1"/>
  <c r="C51" i="2" a="1"/>
  <c r="AA34" i="2" a="1"/>
  <c r="W50" i="2" a="1"/>
  <c r="W44" i="2" a="1"/>
  <c r="K65" i="2" a="1"/>
  <c r="K8" i="2" a="1"/>
  <c r="K11" i="2" a="1"/>
  <c r="K62" i="2" a="1"/>
  <c r="AA13" i="2" a="1"/>
  <c r="C19" i="2" a="1"/>
  <c r="AA6" i="2" a="1"/>
  <c r="C18" i="2" a="1"/>
  <c r="AA62" i="2" a="1"/>
  <c r="C46" i="2" a="1"/>
  <c r="C15" i="2" a="1"/>
  <c r="S57" i="2" a="1"/>
  <c r="G52" i="2" a="1"/>
  <c r="C37" i="2" a="1"/>
  <c r="W16" i="2" a="1"/>
  <c r="C24" i="2" a="1"/>
  <c r="C35" i="2" a="1"/>
  <c r="C32" i="2" a="1"/>
  <c r="C30" i="2" a="1"/>
  <c r="W12" i="2" a="1"/>
  <c r="K50" i="2" a="1"/>
  <c r="K58" i="2" a="1"/>
  <c r="O15" i="2" a="1"/>
  <c r="O7" i="2" a="1"/>
  <c r="O21" i="2" a="1"/>
  <c r="W51" i="2" a="1"/>
  <c r="C68" i="2" a="1"/>
  <c r="O72" i="2" a="1"/>
  <c r="O37" i="2" a="1"/>
  <c r="O25" i="2" a="1"/>
  <c r="O68" i="2" a="1"/>
  <c r="C52" i="2" a="1"/>
  <c r="O52" i="2" a="1"/>
  <c r="AA69" i="2" a="1"/>
  <c r="K66" i="2" a="1"/>
  <c r="W37" i="2" a="1"/>
  <c r="W43" i="2" a="1"/>
  <c r="W38" i="2" a="1"/>
  <c r="S67" i="2" a="1"/>
  <c r="W66" i="2" a="1"/>
  <c r="G63" i="2" a="1"/>
  <c r="AA50" i="2" a="1"/>
  <c r="S73" i="2" a="1"/>
  <c r="S26" i="2" a="1"/>
  <c r="S37" i="2" a="1"/>
  <c r="S38" i="2" a="1"/>
  <c r="K14" i="2" a="1"/>
  <c r="K73" i="2" a="1"/>
  <c r="K26" i="2" a="1"/>
  <c r="AA30" i="2" a="1"/>
  <c r="AA35" i="2" a="1"/>
  <c r="AA27" i="2" a="1"/>
  <c r="AA72" i="2" a="1"/>
  <c r="G38" i="2" a="1"/>
  <c r="G47" i="2" a="1"/>
  <c r="G43" i="2" a="1"/>
  <c r="P40" i="2" a="1"/>
  <c r="T17" i="2" a="1"/>
  <c r="T12" i="2" a="1"/>
  <c r="T10" i="2" a="1"/>
  <c r="T18" i="2" a="1"/>
  <c r="T41" i="2" a="1"/>
  <c r="G56" i="2" a="1"/>
  <c r="S34" i="2" a="1"/>
  <c r="O39" i="2" a="1"/>
  <c r="W34" i="2" a="1"/>
  <c r="K19" i="2" a="1"/>
  <c r="C12" i="2" a="1"/>
  <c r="AA64" i="2" a="1"/>
  <c r="G53" i="2" a="1"/>
  <c r="W10" i="2" a="1"/>
  <c r="W18" i="2" a="1"/>
  <c r="K55" i="2" a="1"/>
  <c r="O64" i="2" a="1"/>
  <c r="O28" i="2" a="1"/>
  <c r="O67" i="2" a="1"/>
  <c r="O55" i="2" a="1"/>
  <c r="W26" i="2" a="1"/>
  <c r="G66" i="2" a="1"/>
  <c r="S27" i="2" a="1"/>
  <c r="S30" i="2" a="1"/>
  <c r="K28" i="2" a="1"/>
  <c r="AA36" i="2" a="1"/>
  <c r="G29" i="2" a="1"/>
  <c r="G72" i="2" a="1"/>
  <c r="T9" i="2" a="1"/>
  <c r="T20" i="2" a="1"/>
  <c r="H46" i="2" a="1"/>
  <c r="H17" i="2" a="1"/>
  <c r="D39" i="2" a="1"/>
  <c r="W64" i="2" a="1"/>
  <c r="O63" i="2" a="1"/>
  <c r="O50" i="2" a="1"/>
  <c r="W29" i="2" a="1"/>
  <c r="S42" i="2" a="1"/>
  <c r="AA37" i="2" a="1"/>
  <c r="G32" i="2" a="1"/>
  <c r="T8" i="2" a="1"/>
  <c r="H23" i="2" a="1"/>
  <c r="D34" i="2" a="1"/>
  <c r="D7" i="2" a="1"/>
  <c r="AB40" i="2" a="1"/>
  <c r="L34" i="2" a="1"/>
  <c r="P7" i="2" a="1"/>
  <c r="P13" i="2" a="1"/>
  <c r="AB21" i="2" a="1"/>
  <c r="AB62" i="2" a="1"/>
  <c r="L7" i="2" a="1"/>
  <c r="L16" i="2" a="1"/>
  <c r="X53" i="2" a="1"/>
  <c r="AB19" i="2" a="1"/>
  <c r="L13" i="2" a="1"/>
  <c r="X33" i="2" a="1"/>
  <c r="W32" i="2" a="1"/>
  <c r="D20" i="2" a="1"/>
  <c r="AB20" i="2" a="1"/>
  <c r="P51" i="2" a="1"/>
  <c r="G27" i="2" a="1"/>
  <c r="L56" i="2" a="1"/>
  <c r="L18" i="2" a="1"/>
  <c r="K17" i="2" a="1"/>
  <c r="D6" i="2" a="1"/>
  <c r="K22" i="2" a="1"/>
  <c r="K12" i="2" a="1"/>
  <c r="AA11" i="2" a="1"/>
  <c r="C16" i="2" a="1"/>
  <c r="G50" i="2" a="1"/>
  <c r="C29" i="2" a="1"/>
  <c r="K51" i="2" a="1"/>
  <c r="O17" i="2" a="1"/>
  <c r="O14" i="2" a="1"/>
  <c r="W28" i="2" a="1"/>
  <c r="G68" i="2" a="1"/>
  <c r="K29" i="2" a="1"/>
  <c r="AA29" i="2" a="1"/>
  <c r="G26" i="2" a="1"/>
  <c r="T65" i="2" a="1"/>
  <c r="D23" i="2" a="1"/>
  <c r="D11" i="2" a="1"/>
  <c r="H33" i="2" a="1"/>
  <c r="AB51" i="2" a="1"/>
  <c r="P16" i="2" a="1"/>
  <c r="P23" i="2" a="1"/>
  <c r="AB18" i="2" a="1"/>
  <c r="L22" i="2" a="1"/>
  <c r="L20" i="2" a="1"/>
  <c r="X40" i="2" a="1"/>
  <c r="P9" i="2" a="1"/>
  <c r="AB46" i="2" a="1"/>
  <c r="L46" i="2" a="1"/>
  <c r="W56" i="2" a="1"/>
  <c r="D46" i="2" a="1"/>
  <c r="L44" i="2" a="1"/>
  <c r="AB10" i="2" a="1"/>
  <c r="L65" i="2" a="1"/>
  <c r="T33" i="2" a="1"/>
  <c r="D8" i="2" a="1"/>
  <c r="L41" i="2" a="1"/>
  <c r="AB12" i="2" a="1"/>
  <c r="L9" i="2" a="1"/>
  <c r="D65" i="2" a="1"/>
  <c r="C65" i="2" a="1"/>
  <c r="D9" i="2" a="1"/>
  <c r="P12" i="2" a="1"/>
  <c r="G41" i="2" a="1"/>
  <c r="S64" i="2" a="1"/>
  <c r="K40" i="2" a="1"/>
  <c r="AA63" i="2" a="1"/>
  <c r="W73" i="2" a="1"/>
  <c r="G69" i="2" a="1"/>
  <c r="S24" i="2" a="1"/>
  <c r="S25" i="2" a="1"/>
  <c r="AA38" i="2" a="1"/>
  <c r="AA73" i="2" a="1"/>
  <c r="G42" i="2" a="1"/>
  <c r="P33" i="2" a="1"/>
  <c r="T23" i="2" a="1"/>
  <c r="T6" i="2" a="1"/>
  <c r="H22" i="2" a="1"/>
  <c r="H15" i="2" a="1"/>
  <c r="D44" i="2" a="1"/>
  <c r="D17" i="2" a="1"/>
  <c r="AB34" i="2" a="1"/>
  <c r="AB56" i="2" a="1"/>
  <c r="P62" i="2" a="1"/>
  <c r="AB15" i="2" a="1"/>
  <c r="L8" i="2" a="1"/>
  <c r="X58" i="2" a="1"/>
  <c r="C57" i="2" a="1"/>
  <c r="H16" i="2" a="1"/>
  <c r="H41" i="2" a="1"/>
  <c r="AB17" i="2" a="1"/>
  <c r="L6" i="2" a="1"/>
  <c r="T22" i="2" a="1"/>
  <c r="T11" i="2" a="1"/>
  <c r="D13" i="2" a="1"/>
  <c r="P10" i="2" a="1"/>
  <c r="L21" i="2" a="1"/>
  <c r="C23" i="2" a="1"/>
  <c r="D21" i="2" a="1"/>
  <c r="P6" i="2" a="1"/>
  <c r="K64" i="2" a="1"/>
  <c r="AA23" i="2" a="1"/>
  <c r="C7" i="2" a="1"/>
  <c r="C17" i="2" a="1"/>
  <c r="G55" i="2" a="1"/>
  <c r="C25" i="2" a="1"/>
  <c r="W23" i="2" a="1"/>
  <c r="O19" i="2" a="1"/>
  <c r="O11" i="2" a="1"/>
  <c r="O30" i="2" a="1"/>
  <c r="C70" i="2" a="1"/>
  <c r="AA68" i="2" a="1"/>
  <c r="W14" i="2" a="1"/>
  <c r="W24" i="2" a="1"/>
  <c r="S31" i="2" a="1"/>
  <c r="K38" i="2" a="1"/>
  <c r="K24" i="2" a="1"/>
  <c r="AA47" i="2" a="1"/>
  <c r="AA25" i="2" a="1"/>
  <c r="G73" i="2" a="1"/>
  <c r="P44" i="2" a="1"/>
  <c r="T15" i="2" a="1"/>
  <c r="T21" i="2" a="1"/>
  <c r="H12" i="2" a="1"/>
  <c r="H10" i="2" a="1"/>
  <c r="D16" i="2" a="1"/>
  <c r="D64" i="2" a="1"/>
  <c r="H34" i="2" a="1"/>
  <c r="L33" i="2" a="1"/>
  <c r="P65" i="2" a="1"/>
  <c r="AB22" i="2" a="1"/>
  <c r="P56" i="2" a="1"/>
  <c r="AA70" i="2" a="1"/>
  <c r="D15" i="2" a="1"/>
  <c r="L51" i="2" a="1"/>
  <c r="P20" i="2" a="1"/>
  <c r="AB9" i="2" a="1"/>
  <c r="X41" i="2" a="1"/>
  <c r="P39" i="2" a="1"/>
  <c r="D10" i="2" a="1"/>
  <c r="P8" i="2" a="1"/>
  <c r="X57" i="2" a="1"/>
  <c r="C72" i="2" a="1"/>
  <c r="W69" i="2" a="1"/>
  <c r="D33" i="2" a="1"/>
  <c r="AB23" i="2" a="1"/>
  <c r="I51" i="2" a="1"/>
  <c r="S10" i="2" a="1"/>
  <c r="C56" i="2" a="1"/>
  <c r="K7" i="2" a="1"/>
  <c r="AA15" i="2" a="1"/>
  <c r="AA12" i="2" a="1"/>
  <c r="C21" i="2" a="1"/>
  <c r="O51" i="2" a="1"/>
  <c r="C14" i="2" a="1"/>
  <c r="W6" i="2" a="1"/>
  <c r="O18" i="2" a="1"/>
  <c r="O12" i="2" a="1"/>
  <c r="O26" i="2" a="1"/>
  <c r="C58" i="2" a="1"/>
  <c r="W72" i="2" a="1"/>
  <c r="S68" i="2" a="1"/>
  <c r="AA55" i="2" a="1"/>
  <c r="S47" i="2" a="1"/>
  <c r="K47" i="2" a="1"/>
  <c r="AA31" i="2" a="1"/>
  <c r="G30" i="2" a="1"/>
  <c r="G14" i="2" a="1"/>
  <c r="P41" i="2" a="1"/>
  <c r="T19" i="2" a="1"/>
  <c r="T34" i="2" a="1"/>
  <c r="H13" i="2" a="1"/>
  <c r="H8" i="2" a="1"/>
  <c r="D41" i="2" a="1"/>
  <c r="W7" i="2" a="1"/>
  <c r="AA67" i="2" a="1"/>
  <c r="K48" i="2" a="1"/>
  <c r="D40" i="2" a="1"/>
  <c r="AB44" i="2" a="1"/>
  <c r="P11" i="2" a="1"/>
  <c r="L19" i="2" a="1"/>
  <c r="H7" i="2" a="1"/>
  <c r="T39" i="2" a="1"/>
  <c r="D62" i="2" a="1"/>
  <c r="AB13" i="2" a="1"/>
  <c r="X39" i="2" a="1"/>
  <c r="K35" i="2" a="1"/>
  <c r="P22" i="2" a="1"/>
  <c r="L15" i="2" a="1"/>
  <c r="K13" i="2" a="1"/>
  <c r="AA16" i="2" a="1"/>
  <c r="C64" i="2" a="1"/>
  <c r="C62" i="2" a="1"/>
  <c r="W65" i="2" a="1"/>
  <c r="W62" i="2" a="1"/>
  <c r="O20" i="2" a="1"/>
  <c r="O73" i="2" a="1"/>
  <c r="S28" i="2" a="1"/>
  <c r="K30" i="2" a="1"/>
  <c r="H9" i="2" a="1"/>
  <c r="P18" i="2" a="1"/>
  <c r="X52" i="2" a="1"/>
  <c r="G71" i="2" a="1"/>
  <c r="H44" i="2" a="1"/>
  <c r="AB65" i="2" a="1"/>
  <c r="X50" i="2" a="1"/>
  <c r="C71" i="2" a="1"/>
  <c r="S36" i="2" a="1"/>
  <c r="H40" i="2" a="1"/>
  <c r="AB64" i="2" a="1"/>
  <c r="X55" i="2" a="1"/>
  <c r="G20" i="2" a="1"/>
  <c r="S19" i="2" a="1"/>
  <c r="AA44" i="2" a="1"/>
  <c r="K63" i="2" a="1"/>
  <c r="W42" i="2" a="1"/>
  <c r="S69" i="2" a="1"/>
  <c r="AA57" i="2" a="1"/>
  <c r="K36" i="2" a="1"/>
  <c r="K43" i="2" a="1"/>
  <c r="AA14" i="2" a="1"/>
  <c r="G24" i="2" a="1"/>
  <c r="G35" i="2" a="1"/>
  <c r="P34" i="2" a="1"/>
  <c r="D19" i="2" a="1"/>
  <c r="H18" i="2" a="1"/>
  <c r="AB41" i="2" a="1"/>
  <c r="AB7" i="2" a="1"/>
  <c r="H21" i="2" a="1"/>
  <c r="G57" i="2" a="1"/>
  <c r="W35" i="2" a="1"/>
  <c r="AB33" i="2" a="1"/>
  <c r="AB8" i="2" a="1"/>
  <c r="X34" i="2" a="1"/>
  <c r="K21" i="2" a="1"/>
  <c r="AA21" i="2" a="1"/>
  <c r="AA22" i="2" a="1"/>
  <c r="S58" i="2" a="1"/>
  <c r="C47" i="2" a="1"/>
  <c r="C26" i="2" a="1"/>
  <c r="W15" i="2" a="1"/>
  <c r="O6" i="2" a="1"/>
  <c r="C63" i="2" a="1"/>
  <c r="O24" i="2" a="1"/>
  <c r="C53" i="2" a="1"/>
  <c r="K67" i="2" a="1"/>
  <c r="S66" i="2" a="1"/>
  <c r="AA53" i="2" a="1"/>
  <c r="S35" i="2" a="1"/>
  <c r="K37" i="2" a="1"/>
  <c r="AA43" i="2" a="1"/>
  <c r="H6" i="2" a="1"/>
  <c r="P19" i="2" a="1"/>
  <c r="O46" i="2" a="1"/>
  <c r="O27" i="2" a="1"/>
  <c r="AA42" i="2" a="1"/>
  <c r="L39" i="2" a="1"/>
  <c r="L23" i="2" a="1"/>
  <c r="G10" i="2" a="1"/>
  <c r="J56" i="2" a="1"/>
  <c r="W52" i="2" a="1"/>
  <c r="K20" i="2" a="1"/>
  <c r="AA7" i="2" a="1"/>
  <c r="C20" i="2" a="1"/>
  <c r="S52" i="2" a="1"/>
  <c r="C31" i="2" a="1"/>
  <c r="W46" i="2" a="1"/>
  <c r="W11" i="2" a="1"/>
  <c r="O10" i="2" a="1"/>
  <c r="C69" i="2" a="1"/>
  <c r="O48" i="2" a="1"/>
  <c r="O58" i="2" a="1"/>
  <c r="K69" i="2" a="1"/>
  <c r="W31" i="2" a="1"/>
  <c r="W68" i="2" a="1"/>
  <c r="S71" i="2" a="1"/>
  <c r="K71" i="2" a="1"/>
  <c r="K25" i="2" a="1"/>
  <c r="AA28" i="2" a="1"/>
  <c r="G48" i="2" a="1"/>
  <c r="G37" i="2" a="1"/>
  <c r="T46" i="2" a="1"/>
  <c r="T62" i="2" a="1"/>
  <c r="T44" i="2" a="1"/>
  <c r="O71" i="2" a="1"/>
  <c r="W36" i="2" a="1"/>
  <c r="D51" i="2" a="1"/>
  <c r="L17" i="2" a="1"/>
  <c r="K46" i="2" a="1"/>
  <c r="AA10" i="2" a="1"/>
  <c r="C6" i="2" a="1"/>
  <c r="S53" i="2" a="1"/>
  <c r="C48" i="2" a="1"/>
  <c r="W19" i="2" a="1"/>
  <c r="K53" i="2" a="1"/>
  <c r="O62" i="2" a="1"/>
  <c r="O32" i="2" a="1"/>
  <c r="O35" i="2" a="1"/>
  <c r="O57" i="2" a="1"/>
  <c r="W27" i="2" a="1"/>
  <c r="W63" i="2" a="1"/>
  <c r="AA52" i="2" a="1"/>
  <c r="S14" i="2" a="1"/>
  <c r="AA71" i="2" a="1"/>
  <c r="AA26" i="2" a="1"/>
  <c r="G36" i="2" a="1"/>
  <c r="G25" i="2" a="1"/>
  <c r="T7" i="2" a="1"/>
  <c r="T64" i="2" a="1"/>
  <c r="T40" i="2" a="1"/>
  <c r="H62" i="2" a="1"/>
  <c r="H11" i="2" a="1"/>
  <c r="D22" i="2" a="1"/>
  <c r="D18" i="2" a="1"/>
  <c r="D12" i="2" a="1"/>
  <c r="AB39" i="2" a="1"/>
  <c r="H39" i="2" a="1"/>
  <c r="D56" i="2" a="1"/>
  <c r="L40" i="2" a="1"/>
  <c r="P21" i="2" a="1"/>
  <c r="P64" i="2" a="1"/>
  <c r="P17" i="2" a="1"/>
  <c r="P46" i="2" a="1"/>
  <c r="AB11" i="2" a="1"/>
  <c r="AB6" i="2" a="1"/>
  <c r="AB16" i="2" a="1"/>
  <c r="L10" i="2" a="1"/>
  <c r="L64" i="2" a="1"/>
  <c r="L12" i="2" a="1"/>
  <c r="L62" i="2" a="1"/>
  <c r="X44" i="2" a="1"/>
  <c r="X70" i="2" a="1"/>
  <c r="G15" i="2" a="1"/>
  <c r="C34" i="2" a="1"/>
  <c r="W41" i="2" a="1"/>
  <c r="O70" i="2" a="1"/>
  <c r="W48" i="2" a="1"/>
  <c r="W30" i="2" a="1"/>
  <c r="S48" i="2" a="1"/>
  <c r="S72" i="2" a="1"/>
  <c r="K42" i="2" a="1"/>
  <c r="AA32" i="2" a="1"/>
  <c r="AA48" i="2" a="1"/>
  <c r="G31" i="2" a="1"/>
  <c r="G28" i="2" a="1"/>
  <c r="T13" i="2" a="1"/>
  <c r="T16" i="2" a="1"/>
  <c r="H64" i="2" a="1"/>
  <c r="H20" i="2" a="1"/>
  <c r="H19" i="2" a="1"/>
  <c r="K57" i="2" a="1"/>
  <c r="H65" i="2" a="1"/>
  <c r="P15" i="2" a="1"/>
  <c r="L11" i="2" a="1"/>
  <c r="X65" i="2" a="1"/>
  <c r="X10" i="2" a="1"/>
  <c r="X16" i="2" a="1"/>
  <c r="X15" i="2" a="1"/>
  <c r="AB69" i="2" a="1"/>
  <c r="T57" i="2" a="1"/>
  <c r="L53" i="2" a="1"/>
  <c r="H52" i="2" a="1"/>
  <c r="H57" i="2" a="1"/>
  <c r="T47" i="2" a="1"/>
  <c r="T29" i="2" a="1"/>
  <c r="T25" i="2" a="1"/>
  <c r="T48" i="2" a="1"/>
  <c r="X38" i="2" a="1"/>
  <c r="X43" i="2" a="1"/>
  <c r="X32" i="2" a="1"/>
  <c r="D57" i="2" a="1"/>
  <c r="D55" i="2" a="1"/>
  <c r="AB27" i="2" a="1"/>
  <c r="AB29" i="2" a="1"/>
  <c r="AB37" i="2" a="1"/>
  <c r="AB42" i="2" a="1"/>
  <c r="H24" i="2" a="1"/>
  <c r="H42" i="2" a="1"/>
  <c r="H29" i="2" a="1"/>
  <c r="L14" i="2" a="1"/>
  <c r="L27" i="2" a="1"/>
  <c r="L31" i="2" a="1"/>
  <c r="L30" i="2" a="1"/>
  <c r="T68" i="2" a="1"/>
  <c r="T63" i="2" a="1"/>
  <c r="D27" i="2" a="1"/>
  <c r="D31" i="2" a="1"/>
  <c r="D35" i="2" a="1"/>
  <c r="L67" i="2" a="1"/>
  <c r="X66" i="2" a="1"/>
  <c r="P57" i="2" a="1"/>
  <c r="P29" i="2" a="1"/>
  <c r="P37" i="2" a="1"/>
  <c r="P24" i="2" a="1"/>
  <c r="AB58" i="2" a="1"/>
  <c r="AB55" i="2" a="1"/>
  <c r="I19" i="2" a="1"/>
  <c r="I8" i="2" a="1"/>
  <c r="I9" i="2" a="1"/>
  <c r="I39" i="2" a="1"/>
  <c r="M34" i="2" a="1"/>
  <c r="AC34" i="2" a="1"/>
  <c r="U7" i="2" a="1"/>
  <c r="U12" i="2" a="1"/>
  <c r="U13" i="2" a="1"/>
  <c r="U15" i="2" a="1"/>
  <c r="AC26" i="2" a="1"/>
  <c r="AC27" i="2" a="1"/>
  <c r="Y33" i="2" a="1"/>
  <c r="AC72" i="2" a="1"/>
  <c r="AC53" i="2" a="1"/>
  <c r="Q23" i="2" a="1"/>
  <c r="AC51" i="2" a="1"/>
  <c r="Q64" i="2" a="1"/>
  <c r="U40" i="2" a="1"/>
  <c r="Q7" i="2" a="1"/>
  <c r="Q27" i="2" a="1"/>
  <c r="Q24" i="2" a="1"/>
  <c r="Q14" i="2" a="1"/>
  <c r="Q28" i="2" a="1"/>
  <c r="M70" i="2" a="1"/>
  <c r="E16" i="2" a="1"/>
  <c r="Q25" i="2" a="1"/>
  <c r="Q41" i="2" a="1"/>
  <c r="Q44" i="2" a="1"/>
  <c r="X20" i="2" a="1"/>
  <c r="X21" i="2" a="1"/>
  <c r="X9" i="2" a="1"/>
  <c r="X13" i="2" a="1"/>
  <c r="AB63" i="2" a="1"/>
  <c r="T53" i="2" a="1"/>
  <c r="L55" i="2" a="1"/>
  <c r="H55" i="2" a="1"/>
  <c r="P63" i="2" a="1"/>
  <c r="T42" i="2" a="1"/>
  <c r="T72" i="2" a="1"/>
  <c r="T28" i="2" a="1"/>
  <c r="T36" i="2" a="1"/>
  <c r="X48" i="2" a="1"/>
  <c r="X31" i="2" a="1"/>
  <c r="X47" i="2" a="1"/>
  <c r="D52" i="2" a="1"/>
  <c r="D63" i="2" a="1"/>
  <c r="AB26" i="2" a="1"/>
  <c r="X62" i="2" a="1"/>
  <c r="X18" i="2" a="1"/>
  <c r="X11" i="2" a="1"/>
  <c r="X7" i="2" a="1"/>
  <c r="T58" i="2" a="1"/>
  <c r="T50" i="2" a="1"/>
  <c r="L58" i="2" a="1"/>
  <c r="H50" i="2" a="1"/>
  <c r="P67" i="2" a="1"/>
  <c r="X23" i="2" a="1"/>
  <c r="X12" i="2" a="1"/>
  <c r="X22" i="2" a="1"/>
  <c r="AB68" i="2" a="1"/>
  <c r="T52" i="2" a="1"/>
  <c r="X56" i="2" a="1"/>
  <c r="L50" i="2" a="1"/>
  <c r="H58" i="2" a="1"/>
  <c r="P66" i="2" a="1"/>
  <c r="T35" i="2" a="1"/>
  <c r="T71" i="2" a="1"/>
  <c r="T31" i="2" a="1"/>
  <c r="X25" i="2" a="1"/>
  <c r="X30" i="2" a="1"/>
  <c r="X72" i="2" a="1"/>
  <c r="X37" i="2" a="1"/>
  <c r="D53" i="2" a="1"/>
  <c r="D68" i="2" a="1"/>
  <c r="AB14" i="2" a="1"/>
  <c r="AB25" i="2" a="1"/>
  <c r="AB73" i="2" a="1"/>
  <c r="H28" i="2" a="1"/>
  <c r="H47" i="2" a="1"/>
  <c r="H43" i="2" a="1"/>
  <c r="H73" i="2" a="1"/>
  <c r="L48" i="2" a="1"/>
  <c r="L37" i="2" a="1"/>
  <c r="L72" i="2" a="1"/>
  <c r="H63" i="2" a="1"/>
  <c r="T66" i="2" a="1"/>
  <c r="D30" i="2" a="1"/>
  <c r="D29" i="2" a="1"/>
  <c r="D36" i="2" a="1"/>
  <c r="D26" i="2" a="1"/>
  <c r="X68" i="2" a="1"/>
  <c r="P53" i="2" a="1"/>
  <c r="P31" i="2" a="1"/>
  <c r="P38" i="2" a="1"/>
  <c r="P35" i="2" a="1"/>
  <c r="P43" i="2" a="1"/>
  <c r="AB53" i="2" a="1"/>
  <c r="I6" i="2" a="1"/>
  <c r="I62" i="2" a="1"/>
  <c r="I18" i="2" a="1"/>
  <c r="I11" i="2" a="1"/>
  <c r="I33" i="2" a="1"/>
  <c r="M44" i="2" a="1"/>
  <c r="AC44" i="2" a="1"/>
  <c r="U10" i="2" a="1"/>
  <c r="U17" i="2" a="1"/>
  <c r="U16" i="2" a="1"/>
  <c r="AC31" i="2" a="1"/>
  <c r="AC24" i="2" a="1"/>
  <c r="AC48" i="2" a="1"/>
  <c r="Y39" i="2" a="1"/>
  <c r="Y34" i="2" a="1"/>
  <c r="AC52" i="2" a="1"/>
  <c r="Q9" i="2" a="1"/>
  <c r="Q19" i="2" a="1"/>
  <c r="E33" i="2" a="1"/>
  <c r="U39" i="2" a="1"/>
  <c r="E41" i="2" a="1"/>
  <c r="U34" i="2" a="1"/>
  <c r="Q38" i="2" a="1"/>
  <c r="Y55" i="2" a="1"/>
  <c r="E21" i="2" a="1"/>
  <c r="X6" i="2" a="1"/>
  <c r="X8" i="2" a="1"/>
  <c r="X64" i="2" a="1"/>
  <c r="AB67" i="2" a="1"/>
  <c r="T55" i="2" a="1"/>
  <c r="X51" i="2" a="1"/>
  <c r="L57" i="2" a="1"/>
  <c r="H53" i="2" a="1"/>
  <c r="P69" i="2" a="1"/>
  <c r="T30" i="2" a="1"/>
  <c r="T26" i="2" a="1"/>
  <c r="T14" i="2" a="1"/>
  <c r="X28" i="2" a="1"/>
  <c r="X42" i="2" a="1"/>
  <c r="X29" i="2" a="1"/>
  <c r="X35" i="2" a="1"/>
  <c r="D58" i="2" a="1"/>
  <c r="D67" i="2" a="1"/>
  <c r="AB28" i="2" a="1"/>
  <c r="AB72" i="2" a="1"/>
  <c r="AB48" i="2" a="1"/>
  <c r="H72" i="2" a="1"/>
  <c r="H14" i="2" a="1"/>
  <c r="H71" i="2" a="1"/>
  <c r="H26" i="2" a="1"/>
  <c r="L36" i="2" a="1"/>
  <c r="L28" i="2" a="1"/>
  <c r="L42" i="2" a="1"/>
  <c r="H68" i="2" a="1"/>
  <c r="T67" i="2" a="1"/>
  <c r="D47" i="2" a="1"/>
  <c r="D71" i="2" a="1"/>
  <c r="D43" i="2" a="1"/>
  <c r="L66" i="2" a="1"/>
  <c r="X63" i="2" a="1"/>
  <c r="P70" i="2" a="1"/>
  <c r="P14" i="2" a="1"/>
  <c r="P27" i="2" a="1"/>
  <c r="P73" i="2" a="1"/>
  <c r="P47" i="2" a="1"/>
  <c r="AB70" i="2" a="1"/>
  <c r="I65" i="2" a="1"/>
  <c r="I46" i="2" a="1"/>
  <c r="I15" i="2" a="1"/>
  <c r="I40" i="2" a="1"/>
  <c r="M41" i="2" a="1"/>
  <c r="AC33" i="2" a="1"/>
  <c r="U65" i="2" a="1"/>
  <c r="U46" i="2" a="1"/>
  <c r="U22" i="2" a="1"/>
  <c r="U18" i="2" a="1"/>
  <c r="AC35" i="2" a="1"/>
  <c r="AC71" i="2" a="1"/>
  <c r="AC36" i="2" a="1"/>
  <c r="Y40" i="2" a="1"/>
  <c r="AC58" i="2" a="1"/>
  <c r="Q18" i="2" a="1"/>
  <c r="Q8" i="2" a="1"/>
  <c r="Q46" i="2" a="1"/>
  <c r="AC55" i="2" a="1"/>
  <c r="Q16" i="2" a="1"/>
  <c r="U33" i="2" a="1"/>
  <c r="E51" i="2" a="1"/>
  <c r="M52" i="2" a="1"/>
  <c r="E8" i="2" a="1"/>
  <c r="Q32" i="2" a="1"/>
  <c r="Q71" i="2" a="1"/>
  <c r="Y52" i="2" a="1"/>
  <c r="Q29" i="2" a="1"/>
  <c r="E10" i="2" a="1"/>
  <c r="X46" i="2" a="1"/>
  <c r="L52" i="2" a="1"/>
  <c r="T38" i="2" a="1"/>
  <c r="AB36" i="2" a="1"/>
  <c r="L26" i="2" a="1"/>
  <c r="D42" i="2" a="1"/>
  <c r="D32" i="2" a="1"/>
  <c r="P36" i="2" a="1"/>
  <c r="I20" i="2" a="1"/>
  <c r="I23" i="2" a="1"/>
  <c r="M33" i="2" a="1"/>
  <c r="U21" i="2" a="1"/>
  <c r="U11" i="2" a="1"/>
  <c r="AC43" i="2" a="1"/>
  <c r="AC47" i="2" a="1"/>
  <c r="Q15" i="2" a="1"/>
  <c r="Q17" i="2" a="1"/>
  <c r="E40" i="2" a="1"/>
  <c r="Q20" i="2" a="1"/>
  <c r="M58" i="2" a="1"/>
  <c r="Q72" i="2" a="1"/>
  <c r="E20" i="2" a="1"/>
  <c r="E46" i="2" a="1"/>
  <c r="Y42" i="2" a="1"/>
  <c r="Y32" i="2" a="1"/>
  <c r="E13" i="2" a="1"/>
  <c r="U35" i="2" a="1"/>
  <c r="Y73" i="2" a="1"/>
  <c r="U71" i="2" a="1"/>
  <c r="T43" i="2" a="1"/>
  <c r="X27" i="2" a="1"/>
  <c r="AB30" i="2" a="1"/>
  <c r="H48" i="2" a="1"/>
  <c r="L38" i="2" a="1"/>
  <c r="X17" i="2" a="1"/>
  <c r="H70" i="2" a="1"/>
  <c r="X24" i="2" a="1"/>
  <c r="AB38" i="2" a="1"/>
  <c r="H36" i="2" a="1"/>
  <c r="L35" i="2" a="1"/>
  <c r="D28" i="2" a="1"/>
  <c r="P52" i="2" a="1"/>
  <c r="AB57" i="2" a="1"/>
  <c r="I10" i="2" a="1"/>
  <c r="M53" i="2" a="1"/>
  <c r="Y58" i="2" a="1"/>
  <c r="Q73" i="2" a="1"/>
  <c r="Y64" i="2" a="1"/>
  <c r="Y21" i="2" a="1"/>
  <c r="Y29" i="2" a="1"/>
  <c r="Y12" i="2" a="1"/>
  <c r="Y27" i="2" a="1"/>
  <c r="U72" i="2" a="1"/>
  <c r="U73" i="2" a="1"/>
  <c r="T73" i="2" a="1"/>
  <c r="AB43" i="2" a="1"/>
  <c r="H25" i="2" a="1"/>
  <c r="L25" i="2" a="1"/>
  <c r="D24" i="2" a="1"/>
  <c r="P50" i="2" a="1"/>
  <c r="AB50" i="2" a="1"/>
  <c r="E22" i="2" a="1"/>
  <c r="E23" i="2" a="1"/>
  <c r="E6" i="2" a="1"/>
  <c r="E12" i="2" a="1"/>
  <c r="U30" i="2" a="1"/>
  <c r="Y6" i="2" a="1"/>
  <c r="Y30" i="2" a="1"/>
  <c r="Y71" i="2" a="1"/>
  <c r="Y14" i="2" a="1"/>
  <c r="AC15" i="2" a="1"/>
  <c r="AC22" i="2" a="1"/>
  <c r="M31" i="2" a="1"/>
  <c r="M28" i="2" a="1"/>
  <c r="AC8" i="2" a="1"/>
  <c r="X19" i="2" a="1"/>
  <c r="P68" i="2" a="1"/>
  <c r="X73" i="2" a="1"/>
  <c r="AB35" i="2" a="1"/>
  <c r="L73" i="2" a="1"/>
  <c r="H66" i="2" a="1"/>
  <c r="D37" i="2" a="1"/>
  <c r="P32" i="2" a="1"/>
  <c r="AB52" i="2" a="1"/>
  <c r="I41" i="2" a="1"/>
  <c r="AC39" i="2" a="1"/>
  <c r="U6" i="2" a="1"/>
  <c r="AC42" i="2" a="1"/>
  <c r="AC38" i="2" a="1"/>
  <c r="AC73" i="2" a="1"/>
  <c r="Q13" i="2" a="1"/>
  <c r="Q21" i="2" a="1"/>
  <c r="E44" i="2" a="1"/>
  <c r="Q37" i="2" a="1"/>
  <c r="Y50" i="2" a="1"/>
  <c r="E62" i="2" a="1"/>
  <c r="Q48" i="2" a="1"/>
  <c r="E64" i="2" a="1"/>
  <c r="Y72" i="2" a="1"/>
  <c r="Y24" i="2" a="1"/>
  <c r="U38" i="2" a="1"/>
  <c r="U43" i="2" a="1"/>
  <c r="M42" i="2" a="1"/>
  <c r="M73" i="2" a="1"/>
  <c r="D50" i="2" a="1"/>
  <c r="AB47" i="2" a="1"/>
  <c r="H27" i="2" a="1"/>
  <c r="L47" i="2" a="1"/>
  <c r="D38" i="2" a="1"/>
  <c r="L63" i="2" a="1"/>
  <c r="P71" i="2" a="1"/>
  <c r="I22" i="2" a="1"/>
  <c r="Q34" i="2" a="1"/>
  <c r="Q36" i="2" a="1"/>
  <c r="Y13" i="2" a="1"/>
  <c r="E65" i="2" a="1"/>
  <c r="U26" i="2" a="1"/>
  <c r="Y11" i="2" a="1"/>
  <c r="Y48" i="2" a="1"/>
  <c r="M30" i="2" a="1"/>
  <c r="M29" i="2" a="1"/>
  <c r="M48" i="2" a="1"/>
  <c r="M35" i="2" a="1"/>
  <c r="M37" i="2" a="1"/>
  <c r="I43" i="2" a="1"/>
  <c r="I47" i="2" a="1"/>
  <c r="I37" i="2" a="1"/>
  <c r="AC19" i="2" a="1"/>
  <c r="M18" i="2" a="1"/>
  <c r="I73" i="2" a="1"/>
  <c r="M8" i="2" a="1"/>
  <c r="I24" i="2" a="1"/>
  <c r="M17" i="2" a="1"/>
  <c r="I25" i="2" a="1"/>
  <c r="I70" i="2" a="1"/>
  <c r="E25" i="2" a="1"/>
  <c r="E35" i="2" a="1"/>
  <c r="E43" i="2" a="1"/>
  <c r="E55" i="2" a="1"/>
  <c r="E71" i="2" a="1"/>
  <c r="Q53" i="2" a="1"/>
  <c r="Y51" i="2" a="1"/>
  <c r="E67" i="2" a="1"/>
  <c r="Z27" i="2" a="1"/>
  <c r="R24" i="2" a="1"/>
  <c r="AD34" i="2" a="1"/>
  <c r="AC66" i="2" a="1"/>
  <c r="AC68" i="2" a="1"/>
  <c r="V44" i="2" a="1"/>
  <c r="R30" i="2" a="1"/>
  <c r="R73" i="2" a="1"/>
  <c r="R43" i="2" a="1"/>
  <c r="R37" i="2" a="1"/>
  <c r="Z39" i="2" a="1"/>
  <c r="F44" i="2" a="1"/>
  <c r="U68" i="2" a="1"/>
  <c r="AB66" i="2" a="1"/>
  <c r="T27" i="2" a="1"/>
  <c r="X36" i="2" a="1"/>
  <c r="D70" i="2" a="1"/>
  <c r="AB24" i="2" a="1"/>
  <c r="H38" i="2" a="1"/>
  <c r="L24" i="2" a="1"/>
  <c r="D73" i="2" a="1"/>
  <c r="P55" i="2" a="1"/>
  <c r="P42" i="2" a="1"/>
  <c r="I7" i="2" a="1"/>
  <c r="I44" i="2" a="1"/>
  <c r="AC41" i="2" a="1"/>
  <c r="U19" i="2" a="1"/>
  <c r="AC32" i="2" a="1"/>
  <c r="AC37" i="2" a="1"/>
  <c r="AC30" i="2" a="1"/>
  <c r="Q12" i="2" a="1"/>
  <c r="AC50" i="2" a="1"/>
  <c r="Q22" i="2" a="1"/>
  <c r="Q35" i="2" a="1"/>
  <c r="Q31" i="2" a="1"/>
  <c r="AC56" i="2" a="1"/>
  <c r="Y19" i="2" a="1"/>
  <c r="U27" i="2" a="1"/>
  <c r="Y18" i="2" a="1"/>
  <c r="U48" i="2" a="1"/>
  <c r="Y17" i="2" a="1"/>
  <c r="U31" i="2" a="1"/>
  <c r="U47" i="2" a="1"/>
  <c r="T32" i="2" a="1"/>
  <c r="X26" i="2" a="1"/>
  <c r="AB32" i="2" a="1"/>
  <c r="H31" i="2" a="1"/>
  <c r="H67" i="2" a="1"/>
  <c r="D25" i="2" a="1"/>
  <c r="P58" i="2" a="1"/>
  <c r="I13" i="2" a="1"/>
  <c r="I21" i="2" a="1"/>
  <c r="M40" i="2" a="1"/>
  <c r="U62" i="2" a="1"/>
  <c r="U9" i="2" a="1"/>
  <c r="AC25" i="2" a="1"/>
  <c r="AC14" i="2" a="1"/>
  <c r="AC57" i="2" a="1"/>
  <c r="Q62" i="2" a="1"/>
  <c r="Q65" i="2" a="1"/>
  <c r="U44" i="2" a="1"/>
  <c r="Q26" i="2" a="1"/>
  <c r="Y53" i="2" a="1"/>
  <c r="Y57" i="2" a="1"/>
  <c r="Q39" i="2" a="1"/>
  <c r="E7" i="2" a="1"/>
  <c r="Y9" i="2" a="1"/>
  <c r="Y23" i="2" a="1"/>
  <c r="M47" i="2" a="1"/>
  <c r="U36" i="2" a="1"/>
  <c r="Y36" i="2" a="1"/>
  <c r="Y38" i="2" a="1"/>
  <c r="U28" i="2" a="1"/>
  <c r="M36" i="2" a="1"/>
  <c r="M72" i="2" a="1"/>
  <c r="AC23" i="2" a="1"/>
  <c r="M9" i="2" a="1"/>
  <c r="M12" i="2" a="1"/>
  <c r="M46" i="2" a="1"/>
  <c r="M64" i="2" a="1"/>
  <c r="M10" i="2" a="1"/>
  <c r="AC11" i="2" a="1"/>
  <c r="I42" i="2" a="1"/>
  <c r="I30" i="2" a="1"/>
  <c r="I27" i="2" a="1"/>
  <c r="M15" i="2" a="1"/>
  <c r="I52" i="2" a="1"/>
  <c r="E72" i="2" a="1"/>
  <c r="E14" i="2" a="1"/>
  <c r="E28" i="2" a="1"/>
  <c r="E57" i="2" a="1"/>
  <c r="Q50" i="2" a="1"/>
  <c r="Q55" i="2" a="1"/>
  <c r="U57" i="2" a="1"/>
  <c r="E63" i="2" a="1"/>
  <c r="Z29" i="2" a="1"/>
  <c r="AD39" i="2" a="1"/>
  <c r="R31" i="2" a="1"/>
  <c r="AD40" i="2" a="1"/>
  <c r="AD41" i="2" a="1"/>
  <c r="R48" i="2" a="1"/>
  <c r="Z72" i="2" a="1"/>
  <c r="V41" i="2" a="1"/>
  <c r="V39" i="2" a="1"/>
  <c r="R72" i="2" a="1"/>
  <c r="Z41" i="2" a="1"/>
  <c r="F41" i="2" a="1"/>
  <c r="Q63" i="2" a="1"/>
  <c r="L70" i="2" a="1"/>
  <c r="T24" i="2" a="1"/>
  <c r="X14" i="2" a="1"/>
  <c r="D66" i="2" a="1"/>
  <c r="AB31" i="2" a="1"/>
  <c r="H32" i="2" a="1"/>
  <c r="L29" i="2" a="1"/>
  <c r="D72" i="2" a="1"/>
  <c r="X67" i="2" a="1"/>
  <c r="P28" i="2" a="1"/>
  <c r="I64" i="2" a="1"/>
  <c r="M39" i="2" a="1"/>
  <c r="U64" i="2" a="1"/>
  <c r="U23" i="2" a="1"/>
  <c r="AC29" i="2" a="1"/>
  <c r="Y41" i="2" a="1"/>
  <c r="E39" i="2" a="1"/>
  <c r="Q10" i="2" a="1"/>
  <c r="AC70" i="2" a="1"/>
  <c r="E34" i="2" a="1"/>
  <c r="M50" i="2" a="1"/>
  <c r="M57" i="2" a="1"/>
  <c r="Q42" i="2" a="1"/>
  <c r="Y46" i="2" a="1"/>
  <c r="Y10" i="2" a="1"/>
  <c r="Y20" i="2" a="1"/>
  <c r="Y26" i="2" a="1"/>
  <c r="Y31" i="2" a="1"/>
  <c r="M24" i="2" a="1"/>
  <c r="Y28" i="2" a="1"/>
  <c r="AB71" i="2" a="1"/>
  <c r="L71" i="2" a="1"/>
  <c r="L32" i="2" a="1"/>
  <c r="T70" i="2" a="1"/>
  <c r="H37" i="2" a="1"/>
  <c r="AC40" i="2" a="1"/>
  <c r="AC28" i="2" a="1"/>
  <c r="Q6" i="2" a="1"/>
  <c r="Y70" i="2" a="1"/>
  <c r="AC18" i="2" a="1"/>
  <c r="J44" i="2" a="1"/>
  <c r="F9" i="2" a="1"/>
  <c r="N37" i="2" a="1"/>
  <c r="R41" i="2" a="1"/>
  <c r="N73" i="2" a="1"/>
  <c r="J48" i="2" a="1"/>
  <c r="J43" i="2" a="1"/>
  <c r="J14" i="2" a="1"/>
  <c r="Z10" i="2" a="1"/>
  <c r="F35" i="2" a="1"/>
  <c r="F24" i="2" a="1"/>
  <c r="Z21" i="2" a="1"/>
  <c r="Z13" i="2" a="1"/>
  <c r="F47" i="2" a="1"/>
  <c r="F73" i="2" a="1"/>
  <c r="Z9" i="2" a="1"/>
  <c r="F26" i="2" a="1"/>
  <c r="V36" i="2" a="1"/>
  <c r="R62" i="2" a="1"/>
  <c r="R7" i="2" a="1"/>
  <c r="N19" i="2" a="1"/>
  <c r="V9" i="2" a="1"/>
  <c r="R15" i="2" a="1"/>
  <c r="J17" i="2" a="1"/>
  <c r="V6" i="2" a="1"/>
  <c r="V10" i="2" a="1"/>
  <c r="R20" i="2" a="1"/>
  <c r="V62" i="2" a="1"/>
  <c r="N17" i="2" a="1"/>
  <c r="V19" i="2" a="1"/>
  <c r="V20" i="2" a="1"/>
  <c r="R22" i="2" a="1"/>
  <c r="L68" i="2" a="1"/>
  <c r="I16" i="2" a="1"/>
  <c r="M26" i="2" a="1"/>
  <c r="Q56" i="2" a="1"/>
  <c r="I26" i="2" a="1"/>
  <c r="I32" i="2" a="1"/>
  <c r="AC10" i="2" a="1"/>
  <c r="M56" i="2" a="1"/>
  <c r="I50" i="2" a="1"/>
  <c r="E31" i="2" a="1"/>
  <c r="E48" i="2" a="1"/>
  <c r="Q52" i="2" a="1"/>
  <c r="U58" i="2" a="1"/>
  <c r="R35" i="2" a="1"/>
  <c r="AD33" i="2" a="1"/>
  <c r="R38" i="2" a="1"/>
  <c r="R25" i="2" a="1"/>
  <c r="Z35" i="2" a="1"/>
  <c r="Z33" i="2" a="1"/>
  <c r="F33" i="2" a="1"/>
  <c r="F15" i="2" a="1"/>
  <c r="M68" i="2" a="1"/>
  <c r="F17" i="2" a="1"/>
  <c r="N48" i="2" a="1"/>
  <c r="AD56" i="2" a="1"/>
  <c r="AD37" i="2" a="1"/>
  <c r="AD35" i="2" a="1"/>
  <c r="AD27" i="2" a="1"/>
  <c r="J36" i="2" a="1"/>
  <c r="N44" i="2" a="1"/>
  <c r="Z64" i="2" a="1"/>
  <c r="U32" i="2" a="1"/>
  <c r="I38" i="2" a="1"/>
  <c r="E38" i="2" a="1"/>
  <c r="Q58" i="2" a="1"/>
  <c r="Z14" i="2" a="1"/>
  <c r="Z48" i="2" a="1"/>
  <c r="AC69" i="2" a="1"/>
  <c r="R47" i="2" a="1"/>
  <c r="U66" i="2" a="1"/>
  <c r="L69" i="2" a="1"/>
  <c r="I17" i="2" a="1"/>
  <c r="Y8" i="2" a="1"/>
  <c r="Y35" i="2" a="1"/>
  <c r="Y37" i="2" a="1"/>
  <c r="AC21" i="2" a="1"/>
  <c r="AC20" i="2" a="1"/>
  <c r="M13" i="2" a="1"/>
  <c r="I55" i="2" a="1"/>
  <c r="E36" i="2" a="1"/>
  <c r="E68" i="2" a="1"/>
  <c r="Z73" i="2" a="1"/>
  <c r="Z34" i="2" a="1"/>
  <c r="T37" i="2" a="1"/>
  <c r="L43" i="2" a="1"/>
  <c r="Q30" i="2" a="1"/>
  <c r="Y7" i="2" a="1"/>
  <c r="Y22" i="2" a="1"/>
  <c r="M71" i="2" a="1"/>
  <c r="AC64" i="2" a="1"/>
  <c r="Q51" i="2" a="1"/>
  <c r="AC6" i="2" a="1"/>
  <c r="I28" i="2" a="1"/>
  <c r="I29" i="2" a="1"/>
  <c r="M11" i="2" a="1"/>
  <c r="I58" i="2" a="1"/>
  <c r="E47" i="2" a="1"/>
  <c r="E37" i="2" a="1"/>
  <c r="Q57" i="2" a="1"/>
  <c r="U55" i="2" a="1"/>
  <c r="Z37" i="2" a="1"/>
  <c r="Z36" i="2" a="1"/>
  <c r="Z43" i="2" a="1"/>
  <c r="Z28" i="2" a="1"/>
  <c r="R29" i="2" a="1"/>
  <c r="U69" i="2" a="1"/>
  <c r="Q67" i="2" a="1"/>
  <c r="M66" i="2" a="1"/>
  <c r="M67" i="2" a="1"/>
  <c r="N47" i="2" a="1"/>
  <c r="F64" i="2" a="1"/>
  <c r="N25" i="2" a="1"/>
  <c r="N71" i="2" a="1"/>
  <c r="F62" i="2" a="1"/>
  <c r="AD25" i="2" a="1"/>
  <c r="I63" i="2" a="1"/>
  <c r="AD48" i="2" a="1"/>
  <c r="AD72" i="2" a="1"/>
  <c r="N22" i="2" a="1"/>
  <c r="V64" i="2" a="1"/>
  <c r="AD17" i="2" a="1"/>
  <c r="AD50" i="2" a="1"/>
  <c r="AD8" i="2" a="1"/>
  <c r="V53" i="2" a="1"/>
  <c r="N57" i="2" a="1"/>
  <c r="J63" i="2" a="1"/>
  <c r="J52" i="2" a="1"/>
  <c r="Z57" i="2" a="1"/>
  <c r="R56" i="2" a="1"/>
  <c r="R57" i="2" a="1"/>
  <c r="R70" i="2" a="1"/>
  <c r="X69" i="2" a="1"/>
  <c r="I12" i="2" a="1"/>
  <c r="U8" i="2" a="1"/>
  <c r="Y44" i="2" a="1"/>
  <c r="U41" i="2" a="1"/>
  <c r="E18" i="2" a="1"/>
  <c r="E15" i="2" a="1"/>
  <c r="U29" i="2" a="1"/>
  <c r="Y43" i="2" a="1"/>
  <c r="Y47" i="2" a="1"/>
  <c r="M14" i="2" a="1"/>
  <c r="Q68" i="2" a="1"/>
  <c r="F12" i="2" a="1"/>
  <c r="N26" i="2" a="1"/>
  <c r="N35" i="2" a="1"/>
  <c r="N27" i="2" a="1"/>
  <c r="J37" i="2" a="1"/>
  <c r="J32" i="2" a="1"/>
  <c r="Z6" i="2" a="1"/>
  <c r="F28" i="2" a="1"/>
  <c r="F71" i="2" a="1"/>
  <c r="Z19" i="2" a="1"/>
  <c r="F30" i="2" a="1"/>
  <c r="F38" i="2" a="1"/>
  <c r="Z20" i="2" a="1"/>
  <c r="F14" i="2" a="1"/>
  <c r="Z16" i="2" a="1"/>
  <c r="Z22" i="2" a="1"/>
  <c r="F27" i="2" a="1"/>
  <c r="F36" i="2" a="1"/>
  <c r="R19" i="2" a="1"/>
  <c r="N9" i="2" a="1"/>
  <c r="R65" i="2" a="1"/>
  <c r="N11" i="2" a="1"/>
  <c r="J8" i="2" a="1"/>
  <c r="N65" i="2" a="1"/>
  <c r="N62" i="2" a="1"/>
  <c r="N8" i="2" a="1"/>
  <c r="N6" i="2" a="1"/>
  <c r="N15" i="2" a="1"/>
  <c r="V23" i="2" a="1"/>
  <c r="J22" i="2" a="1"/>
  <c r="J10" i="2" a="1"/>
  <c r="AD53" i="2" a="1"/>
  <c r="AD10" i="2" a="1"/>
  <c r="J69" i="2" a="1"/>
  <c r="J58" i="2" a="1"/>
  <c r="Z52" i="2" a="1"/>
  <c r="Z68" i="2" a="1"/>
  <c r="F67" i="2" a="1"/>
  <c r="X71" i="2" a="1"/>
  <c r="H69" i="2" a="1"/>
  <c r="P30" i="2" a="1"/>
  <c r="Q40" i="2" a="1"/>
  <c r="Q47" i="2" a="1"/>
  <c r="U42" i="2" a="1"/>
  <c r="U37" i="2" a="1"/>
  <c r="M43" i="2" a="1"/>
  <c r="M27" i="2" a="1"/>
  <c r="AC9" i="2" a="1"/>
  <c r="I71" i="2" a="1"/>
  <c r="I14" i="2" a="1"/>
  <c r="I48" i="2" a="1"/>
  <c r="E24" i="2" a="1"/>
  <c r="E32" i="2" a="1"/>
  <c r="E53" i="2" a="1"/>
  <c r="U70" i="2" a="1"/>
  <c r="E66" i="2" a="1"/>
  <c r="R71" i="2" a="1"/>
  <c r="Z38" i="2" a="1"/>
  <c r="R36" i="2" a="1"/>
  <c r="Z31" i="2" a="1"/>
  <c r="F40" i="2" a="1"/>
  <c r="Q69" i="2" a="1"/>
  <c r="J33" i="2" a="1"/>
  <c r="F13" i="2" a="1"/>
  <c r="F6" i="2" a="1"/>
  <c r="N72" i="2" a="1"/>
  <c r="AD51" i="2" a="1"/>
  <c r="D14" i="2" a="1"/>
  <c r="P72" i="2" a="1"/>
  <c r="I34" i="2" a="1"/>
  <c r="U20" i="2" a="1"/>
  <c r="Q11" i="2" a="1"/>
  <c r="E56" i="2" a="1"/>
  <c r="Q43" i="2" a="1"/>
  <c r="Y16" i="2" a="1"/>
  <c r="M32" i="2" a="1"/>
  <c r="M38" i="2" a="1"/>
  <c r="AC17" i="2" a="1"/>
  <c r="I35" i="2" a="1"/>
  <c r="AC46" i="2" a="1"/>
  <c r="AC13" i="2" a="1"/>
  <c r="M51" i="2" a="1"/>
  <c r="M20" i="2" a="1"/>
  <c r="E27" i="2" a="1"/>
  <c r="E50" i="2" a="1"/>
  <c r="E73" i="2" a="1"/>
  <c r="Y56" i="2" a="1"/>
  <c r="Z24" i="2" a="1"/>
  <c r="AD44" i="2" a="1"/>
  <c r="R42" i="2" a="1"/>
  <c r="V33" i="2" a="1"/>
  <c r="V40" i="2" a="1"/>
  <c r="Z40" i="2" a="1"/>
  <c r="F34" i="2" a="1"/>
  <c r="F18" i="2" a="1"/>
  <c r="F46" i="2" a="1"/>
  <c r="N30" i="2" a="1"/>
  <c r="F20" i="2" a="1"/>
  <c r="Y67" i="2" a="1"/>
  <c r="AD43" i="2" a="1"/>
  <c r="I67" i="2" a="1"/>
  <c r="N39" i="2" a="1"/>
  <c r="J42" i="2" a="1"/>
  <c r="F43" i="2" a="1"/>
  <c r="J28" i="2" a="1"/>
  <c r="Z23" i="2" a="1"/>
  <c r="F42" i="2" a="1"/>
  <c r="J31" i="2" a="1"/>
  <c r="V25" i="2" a="1"/>
  <c r="F25" i="2" a="1"/>
  <c r="F37" i="2" a="1"/>
  <c r="V35" i="2" a="1"/>
  <c r="Z11" i="2" a="1"/>
  <c r="R8" i="2" a="1"/>
  <c r="N16" i="2" a="1"/>
  <c r="N23" i="2" a="1"/>
  <c r="R9" i="2" a="1"/>
  <c r="N7" i="2" a="1"/>
  <c r="V11" i="2" a="1"/>
  <c r="V18" i="2" a="1"/>
  <c r="V22" i="2" a="1"/>
  <c r="J23" i="2" a="1"/>
  <c r="J7" i="2" a="1"/>
  <c r="J9" i="2" a="1"/>
  <c r="J6" i="2" a="1"/>
  <c r="J12" i="2" a="1"/>
  <c r="V65" i="2" a="1"/>
  <c r="J21" i="2" a="1"/>
  <c r="AD11" i="2" a="1"/>
  <c r="AD18" i="2" a="1"/>
  <c r="H30" i="2" a="1"/>
  <c r="P25" i="2" a="1"/>
  <c r="M55" i="2" a="1"/>
  <c r="E9" i="2" a="1"/>
  <c r="Y65" i="2" a="1"/>
  <c r="U25" i="2" a="1"/>
  <c r="M25" i="2" a="1"/>
  <c r="AC12" i="2" a="1"/>
  <c r="J34" i="2" a="1"/>
  <c r="F21" i="2" a="1"/>
  <c r="R40" i="2" a="1"/>
  <c r="AD30" i="2" a="1"/>
  <c r="AD73" i="2" a="1"/>
  <c r="Y66" i="2" a="1"/>
  <c r="I69" i="2" a="1"/>
  <c r="J26" i="2" a="1"/>
  <c r="N34" i="2" a="1"/>
  <c r="J35" i="2" a="1"/>
  <c r="Z15" i="2" a="1"/>
  <c r="V43" i="2" a="1"/>
  <c r="V29" i="2" a="1"/>
  <c r="Z17" i="2" a="1"/>
  <c r="AC7" i="2" a="1"/>
  <c r="F65" i="2" a="1"/>
  <c r="F8" i="2" a="1"/>
  <c r="N31" i="2" a="1"/>
  <c r="J30" i="2" a="1"/>
  <c r="V16" i="2" a="1"/>
  <c r="J64" i="2" a="1"/>
  <c r="R64" i="2" a="1"/>
  <c r="AD46" i="2" a="1"/>
  <c r="AD21" i="2" a="1"/>
  <c r="R68" i="2" a="1"/>
  <c r="N58" i="2" a="1"/>
  <c r="F58" i="2" a="1"/>
  <c r="Z70" i="2" a="1"/>
  <c r="V67" i="2" a="1"/>
  <c r="Z69" i="2" a="1"/>
  <c r="Z56" i="2" a="1"/>
  <c r="AD9" i="2" a="1"/>
  <c r="V69" i="2" a="1"/>
  <c r="T69" i="2" a="1"/>
  <c r="AD22" i="2" a="1"/>
  <c r="D69" i="2" a="1"/>
  <c r="E17" i="2" a="1"/>
  <c r="M62" i="2" a="1"/>
  <c r="I57" i="2" a="1"/>
  <c r="U50" i="2" a="1"/>
  <c r="AC63" i="2" a="1"/>
  <c r="R26" i="2" a="1"/>
  <c r="J39" i="2" a="1"/>
  <c r="F22" i="2" a="1"/>
  <c r="R44" i="2" a="1"/>
  <c r="AD32" i="2" a="1"/>
  <c r="J29" i="2" a="1"/>
  <c r="V31" i="2" a="1"/>
  <c r="V14" i="2" a="1"/>
  <c r="R12" i="2" a="1"/>
  <c r="R6" i="2" a="1"/>
  <c r="N20" i="2" a="1"/>
  <c r="N64" i="2" a="1"/>
  <c r="AD13" i="2" a="1"/>
  <c r="AD12" i="2" a="1"/>
  <c r="V55" i="2" a="1"/>
  <c r="N53" i="2" a="1"/>
  <c r="J53" i="2" a="1"/>
  <c r="Z53" i="2" a="1"/>
  <c r="F51" i="2" a="1"/>
  <c r="Z66" i="2" a="1"/>
  <c r="AD63" i="2" a="1"/>
  <c r="V63" i="2" a="1"/>
  <c r="R50" i="2" a="1"/>
  <c r="AC65" i="2" a="1"/>
  <c r="E26" i="2" a="1"/>
  <c r="U53" i="2" a="1"/>
  <c r="M69" i="2" a="1"/>
  <c r="R34" i="2" a="1"/>
  <c r="AD36" i="2" a="1"/>
  <c r="V73" i="2" a="1"/>
  <c r="N46" i="2" a="1"/>
  <c r="N70" i="2" a="1"/>
  <c r="N66" i="2" a="1"/>
  <c r="F68" i="2" a="1"/>
  <c r="Q33" i="2" a="1"/>
  <c r="N32" i="2" a="1"/>
  <c r="N41" i="2" a="1"/>
  <c r="F29" i="2" a="1"/>
  <c r="Z46" i="2" a="1"/>
  <c r="V48" i="2" a="1"/>
  <c r="V46" i="2" a="1"/>
  <c r="V15" i="2" a="1"/>
  <c r="V70" i="2" a="1"/>
  <c r="J70" i="2" a="1"/>
  <c r="N68" i="2" a="1"/>
  <c r="AD69" i="2" a="1"/>
  <c r="N63" i="2" a="1"/>
  <c r="Y25" i="2" a="1"/>
  <c r="AC16" i="2" a="1"/>
  <c r="E29" i="2" a="1"/>
  <c r="U52" i="2" a="1"/>
  <c r="Z32" i="2" a="1"/>
  <c r="Z44" i="2" a="1"/>
  <c r="N29" i="2" a="1"/>
  <c r="F7" i="2" a="1"/>
  <c r="AD28" i="2" a="1"/>
  <c r="AD71" i="2" a="1"/>
  <c r="Z7" i="2" a="1"/>
  <c r="J72" i="2" a="1"/>
  <c r="V32" i="2" a="1"/>
  <c r="V71" i="2" a="1"/>
  <c r="Z65" i="2" a="1"/>
  <c r="N12" i="2" a="1"/>
  <c r="J11" i="2" a="1"/>
  <c r="R13" i="2" a="1"/>
  <c r="AD70" i="2" a="1"/>
  <c r="R69" i="2" a="1"/>
  <c r="F70" i="2" a="1"/>
  <c r="H35" i="2" a="1"/>
  <c r="M16" i="2" a="1"/>
  <c r="Z71" i="2" a="1"/>
  <c r="F39" i="2" a="1"/>
  <c r="N36" i="2" a="1"/>
  <c r="Y69" i="2" a="1"/>
  <c r="R46" i="2" a="1"/>
  <c r="V13" i="2" a="1"/>
  <c r="J20" i="2" a="1"/>
  <c r="AD58" i="2" a="1"/>
  <c r="V57" i="2" a="1"/>
  <c r="F53" i="2" a="1"/>
  <c r="R52" i="2" a="1"/>
  <c r="M7" i="2" a="1"/>
  <c r="AD38" i="2" a="1"/>
  <c r="AD14" i="2" a="1"/>
  <c r="Z62" i="2" a="1"/>
  <c r="J24" i="2" a="1"/>
  <c r="V72" i="2" a="1"/>
  <c r="J19" i="2" a="1"/>
  <c r="J16" i="2" a="1"/>
  <c r="AD20" i="2" a="1"/>
  <c r="F57" i="2" a="1"/>
  <c r="R51" i="2" a="1"/>
  <c r="AD67" i="2" a="1"/>
  <c r="N10" i="2" a="1"/>
  <c r="F55" i="2" a="1"/>
  <c r="Y62" i="2" a="1"/>
  <c r="AC62" i="2" a="1"/>
  <c r="E30" i="2" a="1"/>
  <c r="E69" i="2" a="1"/>
  <c r="AC67" i="2" a="1"/>
  <c r="Q66" i="2" a="1"/>
  <c r="F11" i="2" a="1"/>
  <c r="N42" i="2" a="1"/>
  <c r="AD29" i="2" a="1"/>
  <c r="I66" i="2" a="1"/>
  <c r="N40" i="2" a="1"/>
  <c r="V28" i="2" a="1"/>
  <c r="N18" i="2" a="1"/>
  <c r="R10" i="2" a="1"/>
  <c r="AD52" i="2" a="1"/>
  <c r="AD23" i="2" a="1"/>
  <c r="N55" i="2" a="1"/>
  <c r="V68" i="2" a="1"/>
  <c r="R53" i="2" a="1"/>
  <c r="Z63" i="2" a="1"/>
  <c r="J50" i="2" a="1"/>
  <c r="Z51" i="2" a="1"/>
  <c r="AD66" i="2" a="1"/>
  <c r="J41" i="2" a="1"/>
  <c r="AD6" i="2" a="1"/>
  <c r="Z55" i="2" a="1"/>
  <c r="M22" i="2" a="1"/>
  <c r="J40" i="2" a="1"/>
  <c r="Z12" i="2" a="1"/>
  <c r="AD15" i="2" a="1"/>
  <c r="Z67" i="2" a="1"/>
  <c r="R28" i="2" a="1"/>
  <c r="N28" i="2" a="1"/>
  <c r="R21" i="2" a="1"/>
  <c r="V50" i="2" a="1"/>
  <c r="U24" i="2" a="1"/>
  <c r="M19" i="2" a="1"/>
  <c r="M23" i="2" a="1"/>
  <c r="E42" i="2" a="1"/>
  <c r="Z47" i="2" a="1"/>
  <c r="Z42" i="2" a="1"/>
  <c r="U67" i="2" a="1"/>
  <c r="F23" i="2" a="1"/>
  <c r="J73" i="2" a="1"/>
  <c r="AD31" i="2" a="1"/>
  <c r="J38" i="2" a="1"/>
  <c r="V38" i="2" a="1"/>
  <c r="F48" i="2" a="1"/>
  <c r="V37" i="2" a="1"/>
  <c r="R23" i="2" a="1"/>
  <c r="N13" i="2" a="1"/>
  <c r="V12" i="2" a="1"/>
  <c r="J15" i="2" a="1"/>
  <c r="AD57" i="2" a="1"/>
  <c r="AD62" i="2" a="1"/>
  <c r="V58" i="2" a="1"/>
  <c r="F52" i="2" a="1"/>
  <c r="N67" i="2" a="1"/>
  <c r="AD26" i="2" a="1"/>
  <c r="J65" i="2" a="1"/>
  <c r="J66" i="2" a="1"/>
  <c r="F56" i="2" a="1"/>
  <c r="Z26" i="2" a="1"/>
  <c r="R39" i="2" a="1"/>
  <c r="F31" i="2" a="1"/>
  <c r="N21" i="2" a="1"/>
  <c r="R67" i="2" a="1"/>
  <c r="Z50" i="2" a="1"/>
  <c r="P26" i="2" a="1"/>
  <c r="F19" i="2" a="1"/>
  <c r="F72" i="2" a="1"/>
  <c r="AD64" i="2" a="1"/>
  <c r="D48" i="2" a="1"/>
  <c r="E19" i="2" a="1"/>
  <c r="M6" i="2" a="1"/>
  <c r="M65" i="2" a="1"/>
  <c r="E52" i="2" a="1"/>
  <c r="R27" i="2" a="1"/>
  <c r="Z30" i="2" a="1"/>
  <c r="U63" i="2" a="1"/>
  <c r="N38" i="2" a="1"/>
  <c r="F10" i="2" a="1"/>
  <c r="AD42" i="2" a="1"/>
  <c r="AD47" i="2" a="1"/>
  <c r="J71" i="2" a="1"/>
  <c r="V42" i="2" a="1"/>
  <c r="J18" i="2" a="1"/>
  <c r="J46" i="2" a="1"/>
  <c r="V7" i="2" a="1"/>
  <c r="AD16" i="2" a="1"/>
  <c r="R66" i="2" a="1"/>
  <c r="R63" i="2" a="1"/>
  <c r="J67" i="2" a="1"/>
  <c r="J55" i="2" a="1"/>
  <c r="Z58" i="2" a="1"/>
  <c r="N69" i="2" a="1"/>
  <c r="F69" i="2" a="1"/>
  <c r="F63" i="2" a="1"/>
  <c r="N56" i="2" a="1"/>
  <c r="U14" i="2" a="1"/>
  <c r="Z25" i="2" a="1"/>
  <c r="F16" i="2" a="1"/>
  <c r="F32" i="2" a="1"/>
  <c r="J62" i="2" a="1"/>
  <c r="V52" i="2" a="1"/>
  <c r="F50" i="2" a="1"/>
  <c r="AD68" i="2" a="1"/>
  <c r="E11" i="2" a="1"/>
  <c r="E70" i="2" a="1"/>
  <c r="J47" i="2" a="1"/>
  <c r="J27" i="2" a="1"/>
  <c r="V24" i="2" a="1"/>
  <c r="J13" i="2" a="1"/>
  <c r="N52" i="2" a="1"/>
  <c r="V66" i="2" a="1"/>
  <c r="I72" i="2" a="1"/>
  <c r="R32" i="2" a="1"/>
  <c r="N24" i="2" a="1"/>
  <c r="Y63" i="2" a="1"/>
  <c r="Z18" i="2" a="1"/>
  <c r="M63" i="2" a="1"/>
  <c r="N43" i="2" a="1"/>
  <c r="I68" i="2" a="1"/>
  <c r="N33" i="2" a="1"/>
  <c r="Z8" i="2" a="1"/>
  <c r="V30" i="2" a="1"/>
  <c r="V26" i="2" a="1"/>
  <c r="R16" i="2" a="1"/>
  <c r="R17" i="2" a="1"/>
  <c r="R11" i="2" a="1"/>
  <c r="V21" i="2" a="1"/>
  <c r="AD55" i="2" a="1"/>
  <c r="AD65" i="2" a="1"/>
  <c r="N50" i="2" a="1"/>
  <c r="J57" i="2" a="1"/>
  <c r="N51" i="2" a="1"/>
  <c r="P48" i="2" a="1"/>
  <c r="Y15" i="2" a="1"/>
  <c r="I31" i="2" a="1"/>
  <c r="I36" i="2" a="1"/>
  <c r="E58" i="2" a="1"/>
  <c r="R14" i="2" a="1"/>
  <c r="N14" i="2" a="1"/>
  <c r="Y68" i="2" a="1"/>
  <c r="V27" i="2" a="1"/>
  <c r="V17" i="2" a="1"/>
  <c r="AD7" i="2" a="1"/>
  <c r="R58" i="2" a="1"/>
  <c r="M21" i="2" a="1"/>
  <c r="V34" i="2" a="1"/>
  <c r="AD24" i="2" a="1"/>
  <c r="J25" i="2" a="1"/>
  <c r="V8" i="2" a="1"/>
  <c r="AD19" i="2" a="1"/>
  <c r="J68" i="2" a="1"/>
  <c r="R55" i="2" a="1"/>
  <c r="I53" i="2" a="1"/>
  <c r="Q70" i="2" a="1"/>
  <c r="R33" i="2" a="1"/>
  <c r="V47" i="2" a="1"/>
  <c r="R18" i="2" a="1"/>
  <c r="F66" i="2" a="1"/>
  <c r="L11" i="2" l="1"/>
  <c r="P15" i="2"/>
  <c r="H65" i="2"/>
  <c r="K57" i="2"/>
  <c r="H19" i="2"/>
  <c r="H20" i="2"/>
  <c r="H64" i="2"/>
  <c r="T16" i="2"/>
  <c r="T13" i="2"/>
  <c r="G28" i="2"/>
  <c r="G31" i="2"/>
  <c r="AA48" i="2"/>
  <c r="AA32" i="2"/>
  <c r="K42" i="2"/>
  <c r="S72" i="2"/>
  <c r="S48" i="2"/>
  <c r="W30" i="2"/>
  <c r="W48" i="2"/>
  <c r="O70" i="2"/>
  <c r="W41" i="2"/>
  <c r="C34" i="2"/>
  <c r="G15" i="2"/>
  <c r="X70" i="2"/>
  <c r="X44" i="2"/>
  <c r="L62" i="2"/>
  <c r="L12" i="2"/>
  <c r="L64" i="2"/>
  <c r="L10" i="2"/>
  <c r="AB16" i="2"/>
  <c r="AB6" i="2"/>
  <c r="AB11" i="2"/>
  <c r="P46" i="2"/>
  <c r="P17" i="2"/>
  <c r="P64" i="2"/>
  <c r="P21" i="2"/>
  <c r="L40" i="2"/>
  <c r="D56" i="2"/>
  <c r="H39" i="2"/>
  <c r="AB39" i="2"/>
  <c r="D12" i="2"/>
  <c r="D18" i="2"/>
  <c r="D22" i="2"/>
  <c r="H11" i="2"/>
  <c r="H62" i="2"/>
  <c r="T40" i="2"/>
  <c r="T64" i="2"/>
  <c r="T7" i="2"/>
  <c r="G25" i="2"/>
  <c r="G36" i="2"/>
  <c r="AA26" i="2"/>
  <c r="AA71" i="2"/>
  <c r="S14" i="2"/>
  <c r="AA52" i="2"/>
  <c r="W63" i="2"/>
  <c r="W27" i="2"/>
  <c r="O57" i="2"/>
  <c r="O35" i="2"/>
  <c r="O32" i="2"/>
  <c r="O62" i="2"/>
  <c r="K53" i="2"/>
  <c r="W19" i="2"/>
  <c r="C48" i="2"/>
  <c r="S53" i="2"/>
  <c r="C6" i="2"/>
  <c r="AA10" i="2"/>
  <c r="K46" i="2"/>
  <c r="L17" i="2"/>
  <c r="D51" i="2"/>
  <c r="W36" i="2"/>
  <c r="O71" i="2"/>
  <c r="T44" i="2"/>
  <c r="T62" i="2"/>
  <c r="T46" i="2"/>
  <c r="G37" i="2"/>
  <c r="G48" i="2"/>
  <c r="AA28" i="2"/>
  <c r="K25" i="2"/>
  <c r="K71" i="2"/>
  <c r="S71" i="2"/>
  <c r="W68" i="2"/>
  <c r="W31" i="2"/>
  <c r="K69" i="2"/>
  <c r="O58" i="2"/>
  <c r="O48" i="2"/>
  <c r="C69" i="2"/>
  <c r="O10" i="2"/>
  <c r="W11" i="2"/>
  <c r="W46" i="2"/>
  <c r="C31" i="2"/>
  <c r="S52" i="2"/>
  <c r="C20" i="2"/>
  <c r="AA7" i="2"/>
  <c r="K20" i="2"/>
  <c r="W52" i="2"/>
  <c r="J56" i="2"/>
  <c r="G10" i="2"/>
  <c r="L23" i="2"/>
  <c r="L39" i="2"/>
  <c r="AA42" i="2"/>
  <c r="O27" i="2"/>
  <c r="O46" i="2"/>
  <c r="P19" i="2"/>
  <c r="H6" i="2"/>
  <c r="AA43" i="2"/>
  <c r="K37" i="2"/>
  <c r="S35" i="2"/>
  <c r="AA53" i="2"/>
  <c r="S66" i="2"/>
  <c r="K67" i="2"/>
  <c r="C53" i="2"/>
  <c r="O24" i="2"/>
  <c r="C63" i="2"/>
  <c r="O6" i="2"/>
  <c r="W15" i="2"/>
  <c r="C26" i="2"/>
  <c r="C47" i="2"/>
  <c r="S58" i="2"/>
  <c r="AA22" i="2"/>
  <c r="AA21" i="2"/>
  <c r="K21" i="2"/>
  <c r="X34" i="2"/>
  <c r="AB8" i="2"/>
  <c r="AB33" i="2"/>
  <c r="W35" i="2"/>
  <c r="G57" i="2"/>
  <c r="H21" i="2"/>
  <c r="AB7" i="2"/>
  <c r="AB41" i="2"/>
  <c r="H18" i="2"/>
  <c r="D19" i="2"/>
  <c r="P34" i="2"/>
  <c r="G35" i="2"/>
  <c r="G24" i="2"/>
  <c r="AA14" i="2"/>
  <c r="K43" i="2"/>
  <c r="K36" i="2"/>
  <c r="AA57" i="2"/>
  <c r="S69" i="2"/>
  <c r="W42" i="2"/>
  <c r="K63" i="2"/>
  <c r="AA44" i="2"/>
  <c r="S19" i="2"/>
  <c r="G20" i="2"/>
  <c r="X55" i="2"/>
  <c r="AB64" i="2"/>
  <c r="H40" i="2"/>
  <c r="S36" i="2"/>
  <c r="C71" i="2"/>
  <c r="X50" i="2"/>
  <c r="AB65" i="2"/>
  <c r="H44" i="2"/>
  <c r="G71" i="2"/>
  <c r="X52" i="2"/>
  <c r="P18" i="2"/>
  <c r="H9" i="2"/>
  <c r="K30" i="2"/>
  <c r="S28" i="2"/>
  <c r="O73" i="2"/>
  <c r="O20" i="2"/>
  <c r="W62" i="2"/>
  <c r="W65" i="2"/>
  <c r="C62" i="2"/>
  <c r="C64" i="2"/>
  <c r="AA16" i="2"/>
  <c r="K13" i="2"/>
  <c r="L15" i="2"/>
  <c r="P22" i="2"/>
  <c r="K35" i="2"/>
  <c r="X39" i="2"/>
  <c r="AB13" i="2"/>
  <c r="D62" i="2"/>
  <c r="T39" i="2"/>
  <c r="H7" i="2"/>
  <c r="L19" i="2"/>
  <c r="P11" i="2"/>
  <c r="AB44" i="2"/>
  <c r="D40" i="2"/>
  <c r="K48" i="2"/>
  <c r="AA67" i="2"/>
  <c r="W7" i="2"/>
  <c r="D41" i="2"/>
  <c r="H8" i="2"/>
  <c r="H13" i="2"/>
  <c r="T34" i="2"/>
  <c r="T19" i="2"/>
  <c r="P41" i="2"/>
  <c r="G14" i="2"/>
  <c r="G30" i="2"/>
  <c r="AA31" i="2"/>
  <c r="K47" i="2"/>
  <c r="S47" i="2"/>
  <c r="AA55" i="2"/>
  <c r="S68" i="2"/>
  <c r="W72" i="2"/>
  <c r="C58" i="2"/>
  <c r="O26" i="2"/>
  <c r="O12" i="2"/>
  <c r="O18" i="2"/>
  <c r="W6" i="2"/>
  <c r="C14" i="2"/>
  <c r="O51" i="2"/>
  <c r="C21" i="2"/>
  <c r="AA12" i="2"/>
  <c r="AA15" i="2"/>
  <c r="K7" i="2"/>
  <c r="C56" i="2"/>
  <c r="S10" i="2"/>
  <c r="I51" i="2"/>
  <c r="AB23" i="2"/>
  <c r="D33" i="2"/>
  <c r="W69" i="2"/>
  <c r="C72" i="2"/>
  <c r="X57" i="2"/>
  <c r="P8" i="2"/>
  <c r="D10" i="2"/>
  <c r="P39" i="2"/>
  <c r="X41" i="2"/>
  <c r="AB9" i="2"/>
  <c r="P20" i="2"/>
  <c r="L51" i="2"/>
  <c r="D15" i="2"/>
  <c r="AA70" i="2"/>
  <c r="P56" i="2"/>
  <c r="AB22" i="2"/>
  <c r="P65" i="2"/>
  <c r="L33" i="2"/>
  <c r="H34" i="2"/>
  <c r="D64" i="2"/>
  <c r="D16" i="2"/>
  <c r="H10" i="2"/>
  <c r="H12" i="2"/>
  <c r="T21" i="2"/>
  <c r="T15" i="2"/>
  <c r="P44" i="2"/>
  <c r="G73" i="2"/>
  <c r="AA25" i="2"/>
  <c r="AA47" i="2"/>
  <c r="K24" i="2"/>
  <c r="K38" i="2"/>
  <c r="S31" i="2"/>
  <c r="W24" i="2"/>
  <c r="W14" i="2"/>
  <c r="AA68" i="2"/>
  <c r="C70" i="2"/>
  <c r="O30" i="2"/>
  <c r="O11" i="2"/>
  <c r="O19" i="2"/>
  <c r="W23" i="2"/>
  <c r="C25" i="2"/>
  <c r="G55" i="2"/>
  <c r="C17" i="2"/>
  <c r="C7" i="2"/>
  <c r="AA23" i="2"/>
  <c r="K64" i="2"/>
  <c r="P6" i="2"/>
  <c r="D21" i="2"/>
  <c r="C23" i="2"/>
  <c r="L21" i="2"/>
  <c r="P10" i="2"/>
  <c r="D13" i="2"/>
  <c r="T11" i="2"/>
  <c r="T22" i="2"/>
  <c r="L6" i="2"/>
  <c r="AB17" i="2"/>
  <c r="H41" i="2"/>
  <c r="H16" i="2"/>
  <c r="C57" i="2"/>
  <c r="X58" i="2"/>
  <c r="L8" i="2"/>
  <c r="AB15" i="2"/>
  <c r="P62" i="2"/>
  <c r="AB56" i="2"/>
  <c r="AB34" i="2"/>
  <c r="D17" i="2"/>
  <c r="D44" i="2"/>
  <c r="H15" i="2"/>
  <c r="H22" i="2"/>
  <c r="T6" i="2"/>
  <c r="T23" i="2"/>
  <c r="P33" i="2"/>
  <c r="G42" i="2"/>
  <c r="AA73" i="2"/>
  <c r="AA38" i="2"/>
  <c r="S25" i="2"/>
  <c r="S24" i="2"/>
  <c r="G69" i="2"/>
  <c r="W73" i="2"/>
  <c r="AA63" i="2"/>
  <c r="K40" i="2"/>
  <c r="S64" i="2"/>
  <c r="G41" i="2"/>
  <c r="P12" i="2"/>
  <c r="D9" i="2"/>
  <c r="C65" i="2"/>
  <c r="D65" i="2"/>
  <c r="L9" i="2"/>
  <c r="AB12" i="2"/>
  <c r="L41" i="2"/>
  <c r="D8" i="2"/>
  <c r="T33" i="2"/>
  <c r="L65" i="2"/>
  <c r="AB10" i="2"/>
  <c r="L44" i="2"/>
  <c r="D46" i="2"/>
  <c r="W56" i="2"/>
  <c r="L46" i="2"/>
  <c r="AB46" i="2"/>
  <c r="P9" i="2"/>
  <c r="X40" i="2"/>
  <c r="L20" i="2"/>
  <c r="L22" i="2"/>
  <c r="AB18" i="2"/>
  <c r="P23" i="2"/>
  <c r="P16" i="2"/>
  <c r="AB51" i="2"/>
  <c r="H33" i="2"/>
  <c r="D11" i="2"/>
  <c r="D23" i="2"/>
  <c r="T65" i="2"/>
  <c r="G26" i="2"/>
  <c r="AA29" i="2"/>
  <c r="K29" i="2"/>
  <c r="G68" i="2"/>
  <c r="W28" i="2"/>
  <c r="O14" i="2"/>
  <c r="O17" i="2"/>
  <c r="K51" i="2"/>
  <c r="C29" i="2"/>
  <c r="G50" i="2"/>
  <c r="C16" i="2"/>
  <c r="AA11" i="2"/>
  <c r="K12" i="2"/>
  <c r="K22" i="2"/>
  <c r="D6" i="2"/>
  <c r="K17" i="2"/>
  <c r="L18" i="2"/>
  <c r="L56" i="2"/>
  <c r="G27" i="2"/>
  <c r="P51" i="2"/>
  <c r="AB20" i="2"/>
  <c r="D20" i="2"/>
  <c r="W32" i="2"/>
  <c r="X33" i="2"/>
  <c r="L13" i="2"/>
  <c r="AB19" i="2"/>
  <c r="X53" i="2"/>
  <c r="L16" i="2"/>
  <c r="L7" i="2"/>
  <c r="AB62" i="2"/>
  <c r="AB21" i="2"/>
  <c r="P13" i="2"/>
  <c r="P7" i="2"/>
  <c r="L34" i="2"/>
  <c r="AB40" i="2"/>
  <c r="D7" i="2"/>
  <c r="D34" i="2"/>
  <c r="H23" i="2"/>
  <c r="T8" i="2"/>
  <c r="G32" i="2"/>
  <c r="AA37" i="2"/>
  <c r="S42" i="2"/>
  <c r="W29" i="2"/>
  <c r="O50" i="2"/>
  <c r="O63" i="2"/>
  <c r="W64" i="2"/>
  <c r="D39" i="2"/>
  <c r="H17" i="2"/>
  <c r="H46" i="2"/>
  <c r="T20" i="2"/>
  <c r="T9" i="2"/>
  <c r="G72" i="2"/>
  <c r="G29" i="2"/>
  <c r="AA36" i="2"/>
  <c r="K28" i="2"/>
  <c r="S30" i="2"/>
  <c r="S27" i="2"/>
  <c r="G66" i="2"/>
  <c r="W26" i="2"/>
  <c r="O55" i="2"/>
  <c r="O67" i="2"/>
  <c r="O28" i="2"/>
  <c r="O64" i="2"/>
  <c r="K55" i="2"/>
  <c r="W18" i="2"/>
  <c r="W10" i="2"/>
  <c r="G53" i="2"/>
  <c r="AA64" i="2"/>
  <c r="C12" i="2"/>
  <c r="K19" i="2"/>
  <c r="W34" i="2"/>
  <c r="O39" i="2"/>
  <c r="S34" i="2"/>
  <c r="G56" i="2"/>
  <c r="T41" i="2"/>
  <c r="T18" i="2"/>
  <c r="T10" i="2"/>
  <c r="T12" i="2"/>
  <c r="T17" i="2"/>
  <c r="P40" i="2"/>
  <c r="G43" i="2"/>
  <c r="G47" i="2"/>
  <c r="G38" i="2"/>
  <c r="AA72" i="2"/>
  <c r="AA27" i="2"/>
  <c r="AA35" i="2"/>
  <c r="AA30" i="2"/>
  <c r="K26" i="2"/>
  <c r="K73" i="2"/>
  <c r="K14" i="2"/>
  <c r="S38" i="2"/>
  <c r="S37" i="2"/>
  <c r="S26" i="2"/>
  <c r="S73" i="2"/>
  <c r="AA50" i="2"/>
  <c r="G63" i="2"/>
  <c r="W66" i="2"/>
  <c r="S67" i="2"/>
  <c r="W38" i="2"/>
  <c r="W43" i="2"/>
  <c r="W37" i="2"/>
  <c r="K66" i="2"/>
  <c r="AA69" i="2"/>
  <c r="O52" i="2"/>
  <c r="C52" i="2"/>
  <c r="O68" i="2"/>
  <c r="O25" i="2"/>
  <c r="O37" i="2"/>
  <c r="O72" i="2"/>
  <c r="C68" i="2"/>
  <c r="W51" i="2"/>
  <c r="O21" i="2"/>
  <c r="O7" i="2"/>
  <c r="O15" i="2"/>
  <c r="K58" i="2"/>
  <c r="K50" i="2"/>
  <c r="W12" i="2"/>
  <c r="C30" i="2"/>
  <c r="C32" i="2"/>
  <c r="C35" i="2"/>
  <c r="C24" i="2"/>
  <c r="W16" i="2"/>
  <c r="C37" i="2"/>
  <c r="G52" i="2"/>
  <c r="S57" i="2"/>
  <c r="C15" i="2"/>
  <c r="C46" i="2"/>
  <c r="AA62" i="2"/>
  <c r="C18" i="2"/>
  <c r="AA6" i="2"/>
  <c r="C19" i="2"/>
  <c r="AA13" i="2"/>
  <c r="K62" i="2"/>
  <c r="K11" i="2"/>
  <c r="K8" i="2"/>
  <c r="K65" i="2"/>
  <c r="W44" i="2"/>
  <c r="W50" i="2"/>
  <c r="AA34" i="2"/>
  <c r="C51" i="2"/>
  <c r="K34" i="2"/>
  <c r="O41" i="2"/>
  <c r="C39" i="2"/>
  <c r="S22" i="2"/>
  <c r="S11" i="2"/>
  <c r="S17" i="2"/>
  <c r="S62" i="2"/>
  <c r="S39" i="2"/>
  <c r="G13" i="2"/>
  <c r="G64" i="2"/>
  <c r="G7" i="2"/>
  <c r="I56" i="2"/>
  <c r="G34" i="2"/>
  <c r="G51" i="2"/>
  <c r="C50" i="2"/>
  <c r="O66" i="2"/>
  <c r="O36" i="2"/>
  <c r="O31" i="2"/>
  <c r="O38" i="2"/>
  <c r="C67" i="2"/>
  <c r="O9" i="2"/>
  <c r="O22" i="2"/>
  <c r="O13" i="2"/>
  <c r="O8" i="2"/>
  <c r="K70" i="2"/>
  <c r="W21" i="2"/>
  <c r="W13" i="2"/>
  <c r="W20" i="2"/>
  <c r="C27" i="2"/>
  <c r="W17" i="2"/>
  <c r="C42" i="2"/>
  <c r="C28" i="2"/>
  <c r="O56" i="2"/>
  <c r="G58" i="2"/>
  <c r="S55" i="2"/>
  <c r="C8" i="2"/>
  <c r="AA18" i="2"/>
  <c r="AA19" i="2"/>
  <c r="C13" i="2"/>
  <c r="C9" i="2"/>
  <c r="C10" i="2"/>
  <c r="AA46" i="2"/>
  <c r="K18" i="2"/>
  <c r="K15" i="2"/>
  <c r="K9" i="2"/>
  <c r="K10" i="2"/>
  <c r="W39" i="2"/>
  <c r="W55" i="2"/>
  <c r="AA41" i="2"/>
  <c r="K39" i="2"/>
  <c r="O34" i="2"/>
  <c r="C41" i="2"/>
  <c r="V56" i="2"/>
  <c r="S21" i="2"/>
  <c r="S46" i="2"/>
  <c r="S18" i="2"/>
  <c r="S13" i="2"/>
  <c r="S40" i="2"/>
  <c r="G21" i="2"/>
  <c r="G12" i="2"/>
  <c r="G11" i="2"/>
  <c r="G39" i="2"/>
  <c r="U56" i="2"/>
  <c r="H51" i="2"/>
  <c r="W40" i="2"/>
  <c r="AA51" i="2"/>
  <c r="W57" i="2"/>
  <c r="AA33" i="2"/>
  <c r="K41" i="2"/>
  <c r="O40" i="2"/>
  <c r="C33" i="2"/>
  <c r="V51" i="2"/>
  <c r="J51" i="2"/>
  <c r="S65" i="2"/>
  <c r="S23" i="2"/>
  <c r="S44" i="2"/>
  <c r="G65" i="2"/>
  <c r="G9" i="2"/>
  <c r="G23" i="2"/>
  <c r="G22" i="2"/>
  <c r="G40" i="2"/>
  <c r="U51" i="2"/>
  <c r="H56" i="2"/>
  <c r="AA56" i="2"/>
  <c r="W70" i="2"/>
  <c r="AA39" i="2"/>
  <c r="K33" i="2"/>
  <c r="O33" i="2"/>
  <c r="C40" i="2"/>
  <c r="S12" i="2"/>
  <c r="S20" i="2"/>
  <c r="S15" i="2"/>
  <c r="S9" i="2"/>
  <c r="S41" i="2"/>
  <c r="G18" i="2"/>
  <c r="G8" i="2"/>
  <c r="G16" i="2"/>
  <c r="G6" i="2"/>
  <c r="G44" i="2"/>
  <c r="T56" i="2"/>
  <c r="S56" i="2"/>
  <c r="AA24" i="2"/>
  <c r="K72" i="2"/>
  <c r="K32" i="2"/>
  <c r="K31" i="2"/>
  <c r="K27" i="2"/>
  <c r="S32" i="2"/>
  <c r="S29" i="2"/>
  <c r="S43" i="2"/>
  <c r="AA58" i="2"/>
  <c r="G67" i="2"/>
  <c r="W67" i="2"/>
  <c r="S63" i="2"/>
  <c r="W71" i="2"/>
  <c r="W25" i="2"/>
  <c r="W47" i="2"/>
  <c r="K68" i="2"/>
  <c r="AA66" i="2"/>
  <c r="O53" i="2"/>
  <c r="C55" i="2"/>
  <c r="O69" i="2"/>
  <c r="O29" i="2"/>
  <c r="O43" i="2"/>
  <c r="O42" i="2"/>
  <c r="O47" i="2"/>
  <c r="C66" i="2"/>
  <c r="O23" i="2"/>
  <c r="O65" i="2"/>
  <c r="O16" i="2"/>
  <c r="K56" i="2"/>
  <c r="K52" i="2"/>
  <c r="W8" i="2"/>
  <c r="W22" i="2"/>
  <c r="W9" i="2"/>
  <c r="C38" i="2"/>
  <c r="C73" i="2"/>
  <c r="C36" i="2"/>
  <c r="C43" i="2"/>
  <c r="G70" i="2"/>
  <c r="S50" i="2"/>
  <c r="S70" i="2"/>
  <c r="C11" i="2"/>
  <c r="AA20" i="2"/>
  <c r="AA9" i="2"/>
  <c r="AA8" i="2"/>
  <c r="AA65" i="2"/>
  <c r="C22" i="2"/>
  <c r="AA17" i="2"/>
  <c r="K16" i="2"/>
  <c r="K23" i="2"/>
  <c r="K6" i="2"/>
  <c r="W33" i="2"/>
  <c r="W58" i="2"/>
  <c r="W53" i="2"/>
  <c r="AA40" i="2"/>
  <c r="K44" i="2"/>
  <c r="O44" i="2"/>
  <c r="C44" i="2"/>
  <c r="S8" i="2"/>
  <c r="S7" i="2"/>
  <c r="S6" i="2"/>
  <c r="S16" i="2"/>
  <c r="S33" i="2"/>
  <c r="G19" i="2"/>
  <c r="G17" i="2"/>
  <c r="G62" i="2"/>
  <c r="G46" i="2"/>
  <c r="G33" i="2"/>
  <c r="T51" i="2"/>
  <c r="S51" i="2"/>
  <c r="F66" i="2"/>
  <c r="R18" i="2"/>
  <c r="V47" i="2"/>
  <c r="R33" i="2"/>
  <c r="Q70" i="2"/>
  <c r="I53" i="2"/>
  <c r="R55" i="2"/>
  <c r="J68" i="2"/>
  <c r="AD19" i="2"/>
  <c r="V8" i="2"/>
  <c r="J25" i="2"/>
  <c r="AD24" i="2"/>
  <c r="V34" i="2"/>
  <c r="M21" i="2"/>
  <c r="R58" i="2"/>
  <c r="AD7" i="2"/>
  <c r="V17" i="2"/>
  <c r="V27" i="2"/>
  <c r="Y68" i="2"/>
  <c r="N14" i="2"/>
  <c r="R14" i="2"/>
  <c r="E58" i="2"/>
  <c r="I36" i="2"/>
  <c r="I31" i="2"/>
  <c r="Y15" i="2"/>
  <c r="P48" i="2"/>
  <c r="N51" i="2"/>
  <c r="J57" i="2"/>
  <c r="N50" i="2"/>
  <c r="AD65" i="2"/>
  <c r="AD55" i="2"/>
  <c r="V21" i="2"/>
  <c r="R11" i="2"/>
  <c r="R17" i="2"/>
  <c r="R16" i="2"/>
  <c r="V26" i="2"/>
  <c r="V30" i="2"/>
  <c r="Z8" i="2"/>
  <c r="N33" i="2"/>
  <c r="I68" i="2"/>
  <c r="N43" i="2"/>
  <c r="M63" i="2"/>
  <c r="Z18" i="2"/>
  <c r="Y63" i="2"/>
  <c r="N24" i="2"/>
  <c r="R32" i="2"/>
  <c r="I72" i="2"/>
  <c r="V66" i="2"/>
  <c r="N52" i="2"/>
  <c r="J13" i="2"/>
  <c r="V24" i="2"/>
  <c r="J27" i="2"/>
  <c r="J47" i="2"/>
  <c r="E70" i="2"/>
  <c r="E11" i="2"/>
  <c r="AD68" i="2"/>
  <c r="F50" i="2"/>
  <c r="V52" i="2"/>
  <c r="J62" i="2"/>
  <c r="F32" i="2"/>
  <c r="F16" i="2"/>
  <c r="Z25" i="2"/>
  <c r="U14" i="2"/>
  <c r="N56" i="2"/>
  <c r="F63" i="2"/>
  <c r="F69" i="2"/>
  <c r="N69" i="2"/>
  <c r="Z58" i="2"/>
  <c r="J55" i="2"/>
  <c r="J67" i="2"/>
  <c r="R63" i="2"/>
  <c r="R66" i="2"/>
  <c r="AD16" i="2"/>
  <c r="V7" i="2"/>
  <c r="J46" i="2"/>
  <c r="J18" i="2"/>
  <c r="V42" i="2"/>
  <c r="J71" i="2"/>
  <c r="AD47" i="2"/>
  <c r="AD42" i="2"/>
  <c r="F10" i="2"/>
  <c r="N38" i="2"/>
  <c r="U63" i="2"/>
  <c r="Z30" i="2"/>
  <c r="R27" i="2"/>
  <c r="E52" i="2"/>
  <c r="M65" i="2"/>
  <c r="M6" i="2"/>
  <c r="E19" i="2"/>
  <c r="D48" i="2"/>
  <c r="AD64" i="2"/>
  <c r="F72" i="2"/>
  <c r="F19" i="2"/>
  <c r="P26" i="2"/>
  <c r="Z50" i="2"/>
  <c r="R67" i="2"/>
  <c r="N21" i="2"/>
  <c r="F31" i="2"/>
  <c r="R39" i="2"/>
  <c r="Z26" i="2"/>
  <c r="F56" i="2"/>
  <c r="J66" i="2"/>
  <c r="J65" i="2"/>
  <c r="AD26" i="2"/>
  <c r="N67" i="2"/>
  <c r="F52" i="2"/>
  <c r="V58" i="2"/>
  <c r="AD62" i="2"/>
  <c r="AD57" i="2"/>
  <c r="J15" i="2"/>
  <c r="V12" i="2"/>
  <c r="N13" i="2"/>
  <c r="R23" i="2"/>
  <c r="V37" i="2"/>
  <c r="F48" i="2"/>
  <c r="V38" i="2"/>
  <c r="J38" i="2"/>
  <c r="AD31" i="2"/>
  <c r="J73" i="2"/>
  <c r="F23" i="2"/>
  <c r="U67" i="2"/>
  <c r="Z42" i="2"/>
  <c r="Z47" i="2"/>
  <c r="E42" i="2"/>
  <c r="M23" i="2"/>
  <c r="M19" i="2"/>
  <c r="U24" i="2"/>
  <c r="V50" i="2"/>
  <c r="R21" i="2"/>
  <c r="N28" i="2"/>
  <c r="R28" i="2"/>
  <c r="Z67" i="2"/>
  <c r="AD15" i="2"/>
  <c r="Z12" i="2"/>
  <c r="J40" i="2"/>
  <c r="M22" i="2"/>
  <c r="Z55" i="2"/>
  <c r="AD6" i="2"/>
  <c r="J41" i="2"/>
  <c r="AD66" i="2"/>
  <c r="Z51" i="2"/>
  <c r="J50" i="2"/>
  <c r="Z63" i="2"/>
  <c r="R53" i="2"/>
  <c r="V68" i="2"/>
  <c r="N55" i="2"/>
  <c r="AD23" i="2"/>
  <c r="AD52" i="2"/>
  <c r="R10" i="2"/>
  <c r="N18" i="2"/>
  <c r="V28" i="2"/>
  <c r="N40" i="2"/>
  <c r="I66" i="2"/>
  <c r="AD29" i="2"/>
  <c r="N42" i="2"/>
  <c r="F11" i="2"/>
  <c r="Q66" i="2"/>
  <c r="AC67" i="2"/>
  <c r="E69" i="2"/>
  <c r="E30" i="2"/>
  <c r="AC62" i="2"/>
  <c r="Y62" i="2"/>
  <c r="F55" i="2"/>
  <c r="N10" i="2"/>
  <c r="AD67" i="2"/>
  <c r="R51" i="2"/>
  <c r="F57" i="2"/>
  <c r="AD20" i="2"/>
  <c r="J16" i="2"/>
  <c r="J19" i="2"/>
  <c r="V72" i="2"/>
  <c r="J24" i="2"/>
  <c r="Z62" i="2"/>
  <c r="AD14" i="2"/>
  <c r="AD38" i="2"/>
  <c r="M7" i="2"/>
  <c r="R52" i="2"/>
  <c r="F53" i="2"/>
  <c r="V57" i="2"/>
  <c r="AD58" i="2"/>
  <c r="J20" i="2"/>
  <c r="V13" i="2"/>
  <c r="R46" i="2"/>
  <c r="Y69" i="2"/>
  <c r="N36" i="2"/>
  <c r="F39" i="2"/>
  <c r="Z71" i="2"/>
  <c r="M16" i="2"/>
  <c r="H35" i="2"/>
  <c r="F70" i="2"/>
  <c r="R69" i="2"/>
  <c r="AD70" i="2"/>
  <c r="R13" i="2"/>
  <c r="J11" i="2"/>
  <c r="N12" i="2"/>
  <c r="Z65" i="2"/>
  <c r="V71" i="2"/>
  <c r="V32" i="2"/>
  <c r="J72" i="2"/>
  <c r="Z7" i="2"/>
  <c r="AD71" i="2"/>
  <c r="AD28" i="2"/>
  <c r="F7" i="2"/>
  <c r="N29" i="2"/>
  <c r="Z44" i="2"/>
  <c r="Z32" i="2"/>
  <c r="U52" i="2"/>
  <c r="E29" i="2"/>
  <c r="AC16" i="2"/>
  <c r="Y25" i="2"/>
  <c r="N63" i="2"/>
  <c r="AD69" i="2"/>
  <c r="N68" i="2"/>
  <c r="J70" i="2"/>
  <c r="V70" i="2"/>
  <c r="V15" i="2"/>
  <c r="V46" i="2"/>
  <c r="V48" i="2"/>
  <c r="Z46" i="2"/>
  <c r="F29" i="2"/>
  <c r="N41" i="2"/>
  <c r="N32" i="2"/>
  <c r="Q33" i="2"/>
  <c r="F68" i="2"/>
  <c r="N66" i="2"/>
  <c r="N70" i="2"/>
  <c r="N46" i="2"/>
  <c r="V73" i="2"/>
  <c r="AD36" i="2"/>
  <c r="R34" i="2"/>
  <c r="M69" i="2"/>
  <c r="U53" i="2"/>
  <c r="E26" i="2"/>
  <c r="AC65" i="2"/>
  <c r="R50" i="2"/>
  <c r="V63" i="2"/>
  <c r="AD63" i="2"/>
  <c r="Z66" i="2"/>
  <c r="F51" i="2"/>
  <c r="Z53" i="2"/>
  <c r="J53" i="2"/>
  <c r="N53" i="2"/>
  <c r="V55" i="2"/>
  <c r="AD12" i="2"/>
  <c r="AD13" i="2"/>
  <c r="N64" i="2"/>
  <c r="N20" i="2"/>
  <c r="R6" i="2"/>
  <c r="R12" i="2"/>
  <c r="V14" i="2"/>
  <c r="V31" i="2"/>
  <c r="J29" i="2"/>
  <c r="AD32" i="2"/>
  <c r="R44" i="2"/>
  <c r="F22" i="2"/>
  <c r="J39" i="2"/>
  <c r="R26" i="2"/>
  <c r="AC63" i="2"/>
  <c r="U50" i="2"/>
  <c r="I57" i="2"/>
  <c r="M62" i="2"/>
  <c r="E17" i="2"/>
  <c r="D69" i="2"/>
  <c r="AD22" i="2"/>
  <c r="T69" i="2"/>
  <c r="V69" i="2"/>
  <c r="AD9" i="2"/>
  <c r="Z56" i="2"/>
  <c r="Z69" i="2"/>
  <c r="V67" i="2"/>
  <c r="Z70" i="2"/>
  <c r="F58" i="2"/>
  <c r="N58" i="2"/>
  <c r="R68" i="2"/>
  <c r="AD21" i="2"/>
  <c r="AD46" i="2"/>
  <c r="R64" i="2"/>
  <c r="J64" i="2"/>
  <c r="V16" i="2"/>
  <c r="J30" i="2"/>
  <c r="N31" i="2"/>
  <c r="F8" i="2"/>
  <c r="F65" i="2"/>
  <c r="AC7" i="2"/>
  <c r="Z17" i="2"/>
  <c r="V29" i="2"/>
  <c r="V43" i="2"/>
  <c r="Z15" i="2"/>
  <c r="J35" i="2"/>
  <c r="N34" i="2"/>
  <c r="J26" i="2"/>
  <c r="I69" i="2"/>
  <c r="Y66" i="2"/>
  <c r="AD73" i="2"/>
  <c r="AD30" i="2"/>
  <c r="R40" i="2"/>
  <c r="F21" i="2"/>
  <c r="J34" i="2"/>
  <c r="AC12" i="2"/>
  <c r="M25" i="2"/>
  <c r="U25" i="2"/>
  <c r="Y65" i="2"/>
  <c r="E9" i="2"/>
  <c r="M55" i="2"/>
  <c r="P25" i="2"/>
  <c r="H30" i="2"/>
  <c r="AD18" i="2"/>
  <c r="AD11" i="2"/>
  <c r="J21" i="2"/>
  <c r="V65" i="2"/>
  <c r="J12" i="2"/>
  <c r="J6" i="2"/>
  <c r="J9" i="2"/>
  <c r="J7" i="2"/>
  <c r="J23" i="2"/>
  <c r="V22" i="2"/>
  <c r="V18" i="2"/>
  <c r="V11" i="2"/>
  <c r="N7" i="2"/>
  <c r="R9" i="2"/>
  <c r="N23" i="2"/>
  <c r="N16" i="2"/>
  <c r="R8" i="2"/>
  <c r="Z11" i="2"/>
  <c r="V35" i="2"/>
  <c r="F37" i="2"/>
  <c r="F25" i="2"/>
  <c r="V25" i="2"/>
  <c r="J31" i="2"/>
  <c r="F42" i="2"/>
  <c r="Z23" i="2"/>
  <c r="J28" i="2"/>
  <c r="F43" i="2"/>
  <c r="J42" i="2"/>
  <c r="N39" i="2"/>
  <c r="I67" i="2"/>
  <c r="AD43" i="2"/>
  <c r="Y67" i="2"/>
  <c r="F20" i="2"/>
  <c r="N30" i="2"/>
  <c r="F46" i="2"/>
  <c r="F18" i="2"/>
  <c r="F34" i="2"/>
  <c r="Z40" i="2"/>
  <c r="V40" i="2"/>
  <c r="V33" i="2"/>
  <c r="R42" i="2"/>
  <c r="AD44" i="2"/>
  <c r="Z24" i="2"/>
  <c r="Y56" i="2"/>
  <c r="E73" i="2"/>
  <c r="E50" i="2"/>
  <c r="E27" i="2"/>
  <c r="M20" i="2"/>
  <c r="M51" i="2"/>
  <c r="AC13" i="2"/>
  <c r="AC46" i="2"/>
  <c r="I35" i="2"/>
  <c r="AC17" i="2"/>
  <c r="M38" i="2"/>
  <c r="M32" i="2"/>
  <c r="Y16" i="2"/>
  <c r="Q43" i="2"/>
  <c r="E56" i="2"/>
  <c r="Q11" i="2"/>
  <c r="U20" i="2"/>
  <c r="I34" i="2"/>
  <c r="P72" i="2"/>
  <c r="D14" i="2"/>
  <c r="AD51" i="2"/>
  <c r="N72" i="2"/>
  <c r="F6" i="2"/>
  <c r="F13" i="2"/>
  <c r="J33" i="2"/>
  <c r="Q69" i="2"/>
  <c r="F40" i="2"/>
  <c r="Z31" i="2"/>
  <c r="R36" i="2"/>
  <c r="Z38" i="2"/>
  <c r="R71" i="2"/>
  <c r="E66" i="2"/>
  <c r="U70" i="2"/>
  <c r="E53" i="2"/>
  <c r="E32" i="2"/>
  <c r="E24" i="2"/>
  <c r="I48" i="2"/>
  <c r="I14" i="2"/>
  <c r="I71" i="2"/>
  <c r="AC9" i="2"/>
  <c r="M27" i="2"/>
  <c r="M43" i="2"/>
  <c r="U37" i="2"/>
  <c r="U42" i="2"/>
  <c r="Q47" i="2"/>
  <c r="Q40" i="2"/>
  <c r="P30" i="2"/>
  <c r="H69" i="2"/>
  <c r="X71" i="2"/>
  <c r="F67" i="2"/>
  <c r="Z68" i="2"/>
  <c r="Z52" i="2"/>
  <c r="J58" i="2"/>
  <c r="J69" i="2"/>
  <c r="AD10" i="2"/>
  <c r="AD53" i="2"/>
  <c r="J10" i="2"/>
  <c r="J22" i="2"/>
  <c r="V23" i="2"/>
  <c r="N15" i="2"/>
  <c r="N6" i="2"/>
  <c r="N8" i="2"/>
  <c r="N62" i="2"/>
  <c r="N65" i="2"/>
  <c r="J8" i="2"/>
  <c r="N11" i="2"/>
  <c r="R65" i="2"/>
  <c r="N9" i="2"/>
  <c r="R19" i="2"/>
  <c r="F36" i="2"/>
  <c r="F27" i="2"/>
  <c r="Z22" i="2"/>
  <c r="Z16" i="2"/>
  <c r="F14" i="2"/>
  <c r="Z20" i="2"/>
  <c r="F38" i="2"/>
  <c r="F30" i="2"/>
  <c r="Z19" i="2"/>
  <c r="F71" i="2"/>
  <c r="F28" i="2"/>
  <c r="Z6" i="2"/>
  <c r="J32" i="2"/>
  <c r="J37" i="2"/>
  <c r="N27" i="2"/>
  <c r="N35" i="2"/>
  <c r="N26" i="2"/>
  <c r="F12" i="2"/>
  <c r="Q68" i="2"/>
  <c r="M14" i="2"/>
  <c r="Y47" i="2"/>
  <c r="Y43" i="2"/>
  <c r="U29" i="2"/>
  <c r="E15" i="2"/>
  <c r="E18" i="2"/>
  <c r="U41" i="2"/>
  <c r="Y44" i="2"/>
  <c r="U8" i="2"/>
  <c r="I12" i="2"/>
  <c r="X69" i="2"/>
  <c r="R70" i="2"/>
  <c r="R57" i="2"/>
  <c r="R56" i="2"/>
  <c r="Z57" i="2"/>
  <c r="J52" i="2"/>
  <c r="J63" i="2"/>
  <c r="N57" i="2"/>
  <c r="V53" i="2"/>
  <c r="AD8" i="2"/>
  <c r="AD50" i="2"/>
  <c r="AD17" i="2"/>
  <c r="V64" i="2"/>
  <c r="N22" i="2"/>
  <c r="AD72" i="2"/>
  <c r="AD48" i="2"/>
  <c r="I63" i="2"/>
  <c r="AD25" i="2"/>
  <c r="F62" i="2"/>
  <c r="N71" i="2"/>
  <c r="N25" i="2"/>
  <c r="F64" i="2"/>
  <c r="N47" i="2"/>
  <c r="M67" i="2"/>
  <c r="M66" i="2"/>
  <c r="Q67" i="2"/>
  <c r="U69" i="2"/>
  <c r="R29" i="2"/>
  <c r="Z28" i="2"/>
  <c r="Z43" i="2"/>
  <c r="Z36" i="2"/>
  <c r="Z37" i="2"/>
  <c r="U55" i="2"/>
  <c r="Q57" i="2"/>
  <c r="E37" i="2"/>
  <c r="E47" i="2"/>
  <c r="I58" i="2"/>
  <c r="M11" i="2"/>
  <c r="I29" i="2"/>
  <c r="I28" i="2"/>
  <c r="AC6" i="2"/>
  <c r="Q51" i="2"/>
  <c r="AC64" i="2"/>
  <c r="M71" i="2"/>
  <c r="Y22" i="2"/>
  <c r="Y7" i="2"/>
  <c r="Q30" i="2"/>
  <c r="L43" i="2"/>
  <c r="T37" i="2"/>
  <c r="Z34" i="2"/>
  <c r="Z73" i="2"/>
  <c r="E68" i="2"/>
  <c r="E36" i="2"/>
  <c r="I55" i="2"/>
  <c r="M13" i="2"/>
  <c r="AC20" i="2"/>
  <c r="AC21" i="2"/>
  <c r="Y37" i="2"/>
  <c r="Y35" i="2"/>
  <c r="Y8" i="2"/>
  <c r="I17" i="2"/>
  <c r="L69" i="2"/>
  <c r="U66" i="2"/>
  <c r="R47" i="2"/>
  <c r="AC69" i="2"/>
  <c r="Z48" i="2"/>
  <c r="Z14" i="2"/>
  <c r="Q58" i="2"/>
  <c r="E38" i="2"/>
  <c r="I38" i="2"/>
  <c r="U32" i="2"/>
  <c r="Z64" i="2"/>
  <c r="N44" i="2"/>
  <c r="J36" i="2"/>
  <c r="AD27" i="2"/>
  <c r="AD35" i="2"/>
  <c r="AD37" i="2"/>
  <c r="AD56" i="2"/>
  <c r="N48" i="2"/>
  <c r="F17" i="2"/>
  <c r="M68" i="2"/>
  <c r="F15" i="2"/>
  <c r="F33" i="2"/>
  <c r="Z33" i="2"/>
  <c r="Z35" i="2"/>
  <c r="R25" i="2"/>
  <c r="R38" i="2"/>
  <c r="AD33" i="2"/>
  <c r="R35" i="2"/>
  <c r="U58" i="2"/>
  <c r="Q52" i="2"/>
  <c r="E48" i="2"/>
  <c r="E31" i="2"/>
  <c r="I50" i="2"/>
  <c r="M56" i="2"/>
  <c r="AC10" i="2"/>
  <c r="I32" i="2"/>
  <c r="I26" i="2"/>
  <c r="Q56" i="2"/>
  <c r="M26" i="2"/>
  <c r="I16" i="2"/>
  <c r="L68" i="2"/>
  <c r="R22" i="2"/>
  <c r="V20" i="2"/>
  <c r="V19" i="2"/>
  <c r="N17" i="2"/>
  <c r="V62" i="2"/>
  <c r="R20" i="2"/>
  <c r="V10" i="2"/>
  <c r="V6" i="2"/>
  <c r="J17" i="2"/>
  <c r="R15" i="2"/>
  <c r="V9" i="2"/>
  <c r="N19" i="2"/>
  <c r="R7" i="2"/>
  <c r="R62" i="2"/>
  <c r="V36" i="2"/>
  <c r="F26" i="2"/>
  <c r="Z9" i="2"/>
  <c r="F73" i="2"/>
  <c r="F47" i="2"/>
  <c r="Z13" i="2"/>
  <c r="Z21" i="2"/>
  <c r="F24" i="2"/>
  <c r="F35" i="2"/>
  <c r="Z10" i="2"/>
  <c r="J14" i="2"/>
  <c r="J43" i="2"/>
  <c r="J48" i="2"/>
  <c r="N73" i="2"/>
  <c r="R41" i="2"/>
  <c r="N37" i="2"/>
  <c r="F9" i="2"/>
  <c r="J44" i="2"/>
  <c r="AC18" i="2"/>
  <c r="Y70" i="2"/>
  <c r="Q6" i="2"/>
  <c r="AC28" i="2"/>
  <c r="AC40" i="2"/>
  <c r="H37" i="2"/>
  <c r="T70" i="2"/>
  <c r="L32" i="2"/>
  <c r="L71" i="2"/>
  <c r="AB71" i="2"/>
  <c r="Y28" i="2"/>
  <c r="M24" i="2"/>
  <c r="Y31" i="2"/>
  <c r="Y26" i="2"/>
  <c r="Y20" i="2"/>
  <c r="Y10" i="2"/>
  <c r="Y46" i="2"/>
  <c r="Q42" i="2"/>
  <c r="M57" i="2"/>
  <c r="M50" i="2"/>
  <c r="E34" i="2"/>
  <c r="AC70" i="2"/>
  <c r="Q10" i="2"/>
  <c r="E39" i="2"/>
  <c r="Y41" i="2"/>
  <c r="AC29" i="2"/>
  <c r="U23" i="2"/>
  <c r="U64" i="2"/>
  <c r="M39" i="2"/>
  <c r="I64" i="2"/>
  <c r="P28" i="2"/>
  <c r="X67" i="2"/>
  <c r="D72" i="2"/>
  <c r="L29" i="2"/>
  <c r="H32" i="2"/>
  <c r="AB31" i="2"/>
  <c r="D66" i="2"/>
  <c r="X14" i="2"/>
  <c r="T24" i="2"/>
  <c r="L70" i="2"/>
  <c r="Q63" i="2"/>
  <c r="F41" i="2"/>
  <c r="Z41" i="2"/>
  <c r="R72" i="2"/>
  <c r="V39" i="2"/>
  <c r="V41" i="2"/>
  <c r="Z72" i="2"/>
  <c r="R48" i="2"/>
  <c r="AD41" i="2"/>
  <c r="AD40" i="2"/>
  <c r="R31" i="2"/>
  <c r="AD39" i="2"/>
  <c r="Z29" i="2"/>
  <c r="E63" i="2"/>
  <c r="U57" i="2"/>
  <c r="Q55" i="2"/>
  <c r="Q50" i="2"/>
  <c r="E57" i="2"/>
  <c r="E28" i="2"/>
  <c r="E14" i="2"/>
  <c r="E72" i="2"/>
  <c r="I52" i="2"/>
  <c r="M15" i="2"/>
  <c r="I27" i="2"/>
  <c r="I30" i="2"/>
  <c r="I42" i="2"/>
  <c r="AC11" i="2"/>
  <c r="M10" i="2"/>
  <c r="M64" i="2"/>
  <c r="M46" i="2"/>
  <c r="M12" i="2"/>
  <c r="M9" i="2"/>
  <c r="AC23" i="2"/>
  <c r="M72" i="2"/>
  <c r="M36" i="2"/>
  <c r="U28" i="2"/>
  <c r="Y38" i="2"/>
  <c r="Y36" i="2"/>
  <c r="U36" i="2"/>
  <c r="M47" i="2"/>
  <c r="Y23" i="2"/>
  <c r="Y9" i="2"/>
  <c r="E7" i="2"/>
  <c r="Q39" i="2"/>
  <c r="Y57" i="2"/>
  <c r="Y53" i="2"/>
  <c r="Q26" i="2"/>
  <c r="U44" i="2"/>
  <c r="Q65" i="2"/>
  <c r="Q62" i="2"/>
  <c r="AC57" i="2"/>
  <c r="AC14" i="2"/>
  <c r="AC25" i="2"/>
  <c r="U9" i="2"/>
  <c r="U62" i="2"/>
  <c r="M40" i="2"/>
  <c r="I21" i="2"/>
  <c r="I13" i="2"/>
  <c r="P58" i="2"/>
  <c r="D25" i="2"/>
  <c r="H67" i="2"/>
  <c r="H31" i="2"/>
  <c r="AB32" i="2"/>
  <c r="X26" i="2"/>
  <c r="T32" i="2"/>
  <c r="U47" i="2"/>
  <c r="U31" i="2"/>
  <c r="Y17" i="2"/>
  <c r="U48" i="2"/>
  <c r="Y18" i="2"/>
  <c r="U27" i="2"/>
  <c r="Y19" i="2"/>
  <c r="AC56" i="2"/>
  <c r="Q31" i="2"/>
  <c r="Q35" i="2"/>
  <c r="Q22" i="2"/>
  <c r="AC50" i="2"/>
  <c r="Q12" i="2"/>
  <c r="AC30" i="2"/>
  <c r="AC37" i="2"/>
  <c r="AC32" i="2"/>
  <c r="U19" i="2"/>
  <c r="AC41" i="2"/>
  <c r="I44" i="2"/>
  <c r="I7" i="2"/>
  <c r="P42" i="2"/>
  <c r="P55" i="2"/>
  <c r="D73" i="2"/>
  <c r="L24" i="2"/>
  <c r="H38" i="2"/>
  <c r="AB24" i="2"/>
  <c r="D70" i="2"/>
  <c r="X36" i="2"/>
  <c r="T27" i="2"/>
  <c r="AB66" i="2"/>
  <c r="U68" i="2"/>
  <c r="F44" i="2"/>
  <c r="Z39" i="2"/>
  <c r="R37" i="2"/>
  <c r="R43" i="2"/>
  <c r="R73" i="2"/>
  <c r="R30" i="2"/>
  <c r="V44" i="2"/>
  <c r="AC68" i="2"/>
  <c r="AC66" i="2"/>
  <c r="AD34" i="2"/>
  <c r="R24" i="2"/>
  <c r="Z27" i="2"/>
  <c r="E67" i="2"/>
  <c r="Y51" i="2"/>
  <c r="Q53" i="2"/>
  <c r="E71" i="2"/>
  <c r="E55" i="2"/>
  <c r="E43" i="2"/>
  <c r="E35" i="2"/>
  <c r="E25" i="2"/>
  <c r="I70" i="2"/>
  <c r="I25" i="2"/>
  <c r="M17" i="2"/>
  <c r="I24" i="2"/>
  <c r="M8" i="2"/>
  <c r="I73" i="2"/>
  <c r="M18" i="2"/>
  <c r="AC19" i="2"/>
  <c r="I37" i="2"/>
  <c r="I47" i="2"/>
  <c r="I43" i="2"/>
  <c r="M37" i="2"/>
  <c r="M35" i="2"/>
  <c r="M48" i="2"/>
  <c r="M29" i="2"/>
  <c r="M30" i="2"/>
  <c r="Y48" i="2"/>
  <c r="Y11" i="2"/>
  <c r="U26" i="2"/>
  <c r="E65" i="2"/>
  <c r="Y13" i="2"/>
  <c r="Q36" i="2"/>
  <c r="Q34" i="2"/>
  <c r="I22" i="2"/>
  <c r="P71" i="2"/>
  <c r="L63" i="2"/>
  <c r="D38" i="2"/>
  <c r="L47" i="2"/>
  <c r="H27" i="2"/>
  <c r="AB47" i="2"/>
  <c r="D50" i="2"/>
  <c r="M73" i="2"/>
  <c r="M42" i="2"/>
  <c r="U43" i="2"/>
  <c r="U38" i="2"/>
  <c r="Y24" i="2"/>
  <c r="Y72" i="2"/>
  <c r="E64" i="2"/>
  <c r="Q48" i="2"/>
  <c r="E62" i="2"/>
  <c r="Y50" i="2"/>
  <c r="Q37" i="2"/>
  <c r="E44" i="2"/>
  <c r="Q21" i="2"/>
  <c r="Q13" i="2"/>
  <c r="AC73" i="2"/>
  <c r="AC38" i="2"/>
  <c r="AC42" i="2"/>
  <c r="U6" i="2"/>
  <c r="AC39" i="2"/>
  <c r="I41" i="2"/>
  <c r="AB52" i="2"/>
  <c r="P32" i="2"/>
  <c r="D37" i="2"/>
  <c r="H66" i="2"/>
  <c r="L73" i="2"/>
  <c r="AB35" i="2"/>
  <c r="X73" i="2"/>
  <c r="P68" i="2"/>
  <c r="X19" i="2"/>
  <c r="AC8" i="2"/>
  <c r="M28" i="2"/>
  <c r="M31" i="2"/>
  <c r="AC22" i="2"/>
  <c r="AC15" i="2"/>
  <c r="Y14" i="2"/>
  <c r="Y71" i="2"/>
  <c r="Y30" i="2"/>
  <c r="Y6" i="2"/>
  <c r="U30" i="2"/>
  <c r="E12" i="2"/>
  <c r="E6" i="2"/>
  <c r="E23" i="2"/>
  <c r="E22" i="2"/>
  <c r="AB50" i="2"/>
  <c r="P50" i="2"/>
  <c r="D24" i="2"/>
  <c r="L25" i="2"/>
  <c r="H25" i="2"/>
  <c r="AB43" i="2"/>
  <c r="T73" i="2"/>
  <c r="U73" i="2"/>
  <c r="U72" i="2"/>
  <c r="Y27" i="2"/>
  <c r="Y12" i="2"/>
  <c r="Y29" i="2"/>
  <c r="Y21" i="2"/>
  <c r="Y64" i="2"/>
  <c r="Q73" i="2"/>
  <c r="Y58" i="2"/>
  <c r="M53" i="2"/>
  <c r="I10" i="2"/>
  <c r="AB57" i="2"/>
  <c r="P52" i="2"/>
  <c r="D28" i="2"/>
  <c r="L35" i="2"/>
  <c r="H36" i="2"/>
  <c r="AB38" i="2"/>
  <c r="X24" i="2"/>
  <c r="H70" i="2"/>
  <c r="X17" i="2"/>
  <c r="L38" i="2"/>
  <c r="H48" i="2"/>
  <c r="AB30" i="2"/>
  <c r="X27" i="2"/>
  <c r="T43" i="2"/>
  <c r="U71" i="2"/>
  <c r="Y73" i="2"/>
  <c r="U35" i="2"/>
  <c r="E13" i="2"/>
  <c r="Y32" i="2"/>
  <c r="Y42" i="2"/>
  <c r="E46" i="2"/>
  <c r="E20" i="2"/>
  <c r="Q72" i="2"/>
  <c r="M58" i="2"/>
  <c r="Q20" i="2"/>
  <c r="E40" i="2"/>
  <c r="Q17" i="2"/>
  <c r="Q15" i="2"/>
  <c r="AC47" i="2"/>
  <c r="AC43" i="2"/>
  <c r="U11" i="2"/>
  <c r="U21" i="2"/>
  <c r="M33" i="2"/>
  <c r="I23" i="2"/>
  <c r="I20" i="2"/>
  <c r="P36" i="2"/>
  <c r="D32" i="2"/>
  <c r="D42" i="2"/>
  <c r="L26" i="2"/>
  <c r="AB36" i="2"/>
  <c r="T38" i="2"/>
  <c r="L52" i="2"/>
  <c r="X46" i="2"/>
  <c r="E10" i="2"/>
  <c r="Q29" i="2"/>
  <c r="Y52" i="2"/>
  <c r="Q71" i="2"/>
  <c r="Q32" i="2"/>
  <c r="E8" i="2"/>
  <c r="M52" i="2"/>
  <c r="E51" i="2"/>
  <c r="U33" i="2"/>
  <c r="Q16" i="2"/>
  <c r="AC55" i="2"/>
  <c r="Q46" i="2"/>
  <c r="Q8" i="2"/>
  <c r="Q18" i="2"/>
  <c r="AC58" i="2"/>
  <c r="Y40" i="2"/>
  <c r="AC36" i="2"/>
  <c r="AC71" i="2"/>
  <c r="AC35" i="2"/>
  <c r="U18" i="2"/>
  <c r="U22" i="2"/>
  <c r="U46" i="2"/>
  <c r="U65" i="2"/>
  <c r="AC33" i="2"/>
  <c r="M41" i="2"/>
  <c r="I40" i="2"/>
  <c r="I15" i="2"/>
  <c r="I46" i="2"/>
  <c r="I65" i="2"/>
  <c r="AB70" i="2"/>
  <c r="P47" i="2"/>
  <c r="P73" i="2"/>
  <c r="P27" i="2"/>
  <c r="P14" i="2"/>
  <c r="P70" i="2"/>
  <c r="X63" i="2"/>
  <c r="L66" i="2"/>
  <c r="D43" i="2"/>
  <c r="D71" i="2"/>
  <c r="D47" i="2"/>
  <c r="T67" i="2"/>
  <c r="H68" i="2"/>
  <c r="L42" i="2"/>
  <c r="L28" i="2"/>
  <c r="L36" i="2"/>
  <c r="H26" i="2"/>
  <c r="H71" i="2"/>
  <c r="H14" i="2"/>
  <c r="H72" i="2"/>
  <c r="AB48" i="2"/>
  <c r="AB72" i="2"/>
  <c r="AB28" i="2"/>
  <c r="D67" i="2"/>
  <c r="D58" i="2"/>
  <c r="X35" i="2"/>
  <c r="X29" i="2"/>
  <c r="X42" i="2"/>
  <c r="X28" i="2"/>
  <c r="T14" i="2"/>
  <c r="T26" i="2"/>
  <c r="T30" i="2"/>
  <c r="P69" i="2"/>
  <c r="H53" i="2"/>
  <c r="L57" i="2"/>
  <c r="X51" i="2"/>
  <c r="T55" i="2"/>
  <c r="AB67" i="2"/>
  <c r="X64" i="2"/>
  <c r="X8" i="2"/>
  <c r="X6" i="2"/>
  <c r="E21" i="2"/>
  <c r="Y55" i="2"/>
  <c r="Q38" i="2"/>
  <c r="U34" i="2"/>
  <c r="E41" i="2"/>
  <c r="U39" i="2"/>
  <c r="E33" i="2"/>
  <c r="Q19" i="2"/>
  <c r="Q9" i="2"/>
  <c r="AC52" i="2"/>
  <c r="Y34" i="2"/>
  <c r="Y39" i="2"/>
  <c r="AC48" i="2"/>
  <c r="AC24" i="2"/>
  <c r="AC31" i="2"/>
  <c r="U16" i="2"/>
  <c r="U17" i="2"/>
  <c r="U10" i="2"/>
  <c r="AC44" i="2"/>
  <c r="M44" i="2"/>
  <c r="I33" i="2"/>
  <c r="I11" i="2"/>
  <c r="I18" i="2"/>
  <c r="I62" i="2"/>
  <c r="I6" i="2"/>
  <c r="AB53" i="2"/>
  <c r="P43" i="2"/>
  <c r="P35" i="2"/>
  <c r="P38" i="2"/>
  <c r="P31" i="2"/>
  <c r="P53" i="2"/>
  <c r="X68" i="2"/>
  <c r="D26" i="2"/>
  <c r="D36" i="2"/>
  <c r="D29" i="2"/>
  <c r="D30" i="2"/>
  <c r="T66" i="2"/>
  <c r="H63" i="2"/>
  <c r="L72" i="2"/>
  <c r="L37" i="2"/>
  <c r="L48" i="2"/>
  <c r="H73" i="2"/>
  <c r="H43" i="2"/>
  <c r="H47" i="2"/>
  <c r="H28" i="2"/>
  <c r="AB73" i="2"/>
  <c r="AB25" i="2"/>
  <c r="AB14" i="2"/>
  <c r="D68" i="2"/>
  <c r="D53" i="2"/>
  <c r="X37" i="2"/>
  <c r="X72" i="2"/>
  <c r="X30" i="2"/>
  <c r="X25" i="2"/>
  <c r="T31" i="2"/>
  <c r="T71" i="2"/>
  <c r="T35" i="2"/>
  <c r="P66" i="2"/>
  <c r="H58" i="2"/>
  <c r="L50" i="2"/>
  <c r="X56" i="2"/>
  <c r="T52" i="2"/>
  <c r="AB68" i="2"/>
  <c r="X22" i="2"/>
  <c r="X12" i="2"/>
  <c r="X23" i="2"/>
  <c r="P67" i="2"/>
  <c r="H50" i="2"/>
  <c r="L58" i="2"/>
  <c r="T50" i="2"/>
  <c r="T58" i="2"/>
  <c r="X7" i="2"/>
  <c r="X11" i="2"/>
  <c r="X18" i="2"/>
  <c r="X62" i="2"/>
  <c r="AB26" i="2"/>
  <c r="D63" i="2"/>
  <c r="D52" i="2"/>
  <c r="X47" i="2"/>
  <c r="X31" i="2"/>
  <c r="X48" i="2"/>
  <c r="T36" i="2"/>
  <c r="T28" i="2"/>
  <c r="T72" i="2"/>
  <c r="T42" i="2"/>
  <c r="P63" i="2"/>
  <c r="H55" i="2"/>
  <c r="L55" i="2"/>
  <c r="T53" i="2"/>
  <c r="AB63" i="2"/>
  <c r="X13" i="2"/>
  <c r="X9" i="2"/>
  <c r="X21" i="2"/>
  <c r="X20" i="2"/>
  <c r="Q44" i="2"/>
  <c r="Q41" i="2"/>
  <c r="Q25" i="2"/>
  <c r="E16" i="2"/>
  <c r="M70" i="2"/>
  <c r="Q28" i="2"/>
  <c r="Q14" i="2"/>
  <c r="Q24" i="2"/>
  <c r="Q27" i="2"/>
  <c r="Q7" i="2"/>
  <c r="U40" i="2"/>
  <c r="Q64" i="2"/>
  <c r="AC51" i="2"/>
  <c r="Q23" i="2"/>
  <c r="AC53" i="2"/>
  <c r="AC72" i="2"/>
  <c r="Y33" i="2"/>
  <c r="AC27" i="2"/>
  <c r="AC26" i="2"/>
  <c r="U15" i="2"/>
  <c r="U13" i="2"/>
  <c r="U12" i="2"/>
  <c r="U7" i="2"/>
  <c r="AC34" i="2"/>
  <c r="M34" i="2"/>
  <c r="I39" i="2"/>
  <c r="I9" i="2"/>
  <c r="I8" i="2"/>
  <c r="I19" i="2"/>
  <c r="AB55" i="2"/>
  <c r="AB58" i="2"/>
  <c r="P24" i="2"/>
  <c r="P37" i="2"/>
  <c r="P29" i="2"/>
  <c r="P57" i="2"/>
  <c r="X66" i="2"/>
  <c r="L67" i="2"/>
  <c r="D35" i="2"/>
  <c r="D31" i="2"/>
  <c r="D27" i="2"/>
  <c r="T63" i="2"/>
  <c r="T68" i="2"/>
  <c r="L30" i="2"/>
  <c r="L31" i="2"/>
  <c r="L27" i="2"/>
  <c r="L14" i="2"/>
  <c r="H29" i="2"/>
  <c r="H42" i="2"/>
  <c r="H24" i="2"/>
  <c r="AB42" i="2"/>
  <c r="AB37" i="2"/>
  <c r="AB29" i="2"/>
  <c r="AB27" i="2"/>
  <c r="D55" i="2"/>
  <c r="D57" i="2"/>
  <c r="X32" i="2"/>
  <c r="X43" i="2"/>
  <c r="X38" i="2"/>
  <c r="T48" i="2"/>
  <c r="T25" i="2"/>
  <c r="T29" i="2"/>
  <c r="T47" i="2"/>
  <c r="H57" i="2"/>
  <c r="H52" i="2"/>
  <c r="L53" i="2"/>
  <c r="T57" i="2"/>
  <c r="AB69" i="2"/>
  <c r="X15" i="2"/>
  <c r="X16" i="2"/>
  <c r="X10" i="2"/>
  <c r="X6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<sst xmlns="http://schemas.openxmlformats.org/spreadsheetml/2006/main" count="220" uniqueCount="187">
  <si>
    <t>Revenue</t>
  </si>
  <si>
    <t>Gross Profit</t>
  </si>
  <si>
    <t>Reference Items</t>
  </si>
  <si>
    <t>Right click to show data transparency (not supported for all values)</t>
  </si>
  <si>
    <t>Cummins Inc (CMI US) - BBG Adjusted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</si>
  <si>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</si>
  <si>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</si>
  <si>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</si>
  <si>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</si>
  <si>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</si>
  <si>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</si>
  <si>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</si>
  <si>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</si>
  <si>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</si>
  <si>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</si>
  <si>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</si>
  <si>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</si>
  <si>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</si>
  <si>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</si>
  <si>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</si>
  <si>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</si>
  <si>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</si>
  <si>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</si>
  <si>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</si>
  <si>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</si>
  <si>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</si>
  <si>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</si>
  <si>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</si>
  <si>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</si>
  <si>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</si>
  <si>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</si>
  <si>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</si>
  <si>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</si>
  <si>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</si>
  <si>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</si>
  <si>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</si>
  <si>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</si>
  <si>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03/31/2019</t>
  </si>
  <si>
    <t>06/30/2019</t>
  </si>
  <si>
    <t>09/29/2019</t>
  </si>
  <si>
    <t>12/31/2019</t>
  </si>
  <si>
    <t>03/29/2020</t>
  </si>
  <si>
    <t>06/28/2020</t>
  </si>
  <si>
    <t>09/27/2020</t>
  </si>
  <si>
    <t>12/31/2020</t>
  </si>
  <si>
    <t>04/04/2021</t>
  </si>
  <si>
    <t>07/04/2021</t>
  </si>
  <si>
    <t>10/03/2021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</si>
  <si>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</si>
  <si>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</si>
  <si>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</si>
  <si>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</si>
  <si>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</si>
  <si>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</si>
  <si>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</si>
  <si>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</si>
  <si>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</si>
  <si>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</si>
  <si>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</si>
  <si>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</si>
  <si>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</si>
  <si>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</si>
  <si>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</si>
  <si>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</si>
  <si>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</si>
  <si>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</si>
  <si>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</si>
  <si>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</si>
  <si>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</si>
  <si>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</si>
  <si>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</si>
  <si>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</si>
  <si>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</si>
  <si>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</si>
  <si>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</si>
  <si>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</si>
  <si>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</si>
  <si>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</si>
  <si>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</si>
  <si>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</si>
  <si>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</si>
  <si>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</si>
  <si>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</si>
  <si>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</si>
  <si>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</si>
  <si>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</si>
  <si>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</si>
  <si>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</si>
  <si>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</si>
  <si>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</si>
  <si>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</si>
  <si>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</si>
  <si>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</si>
  <si>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</si>
  <si>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</si>
  <si>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</si>
  <si>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</si>
  <si>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</si>
  <si>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</si>
  <si>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</si>
  <si>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</si>
  <si>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</si>
  <si>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</si>
  <si>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</si>
  <si>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</si>
  <si>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</si>
  <si>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</si>
  <si>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</si>
  <si>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</si>
  <si>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</si>
  <si>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</si>
  <si>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</si>
  <si>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</si>
  <si>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Sale of Investments</t>
  </si>
  <si>
    <t>IS_GAIN_LOSS_ON_INVESTMENTS</t>
  </si>
  <si>
    <t xml:space="preserve">    + Insurance Settlement</t>
  </si>
  <si>
    <t>IS_INSURANCE_SETTLEMENTS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</si>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</sst>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19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4" fontId="8" fillId="34" borderId="2" xfId="58" applyNumberFormat="1" applyFont="1" applyFill="1" applyBorder="1" applyAlignment="1" applyProtection="1">
      <alignment horizontal="right"/>
    </xf>
    <xf numFmtId="171" fontId="11" fillId="34" borderId="2" xfId="59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BDH|12335242245806722840</stp>
        <tr r="AC34" s="2"/>
      </tp>
      <tp t="s">
        <v>#N/A N/A</v>
        <stp/>
        <stp>BDH|12423012181822029253</stp>
        <tr r="S51" s="2"/>
      </tp>
      <tp t="s">
        <v>#N/A N/A</v>
        <stp/>
        <stp>BDH|15425301893966619302</stp>
        <tr r="M58" s="2"/>
      </tp>
      <tp t="s">
        <v>#N/A N/A</v>
        <stp/>
        <stp>BDH|15266646684353581265</stp>
        <tr r="AD53" s="2"/>
      </tp>
      <tp t="s">
        <v>#N/A N/A</v>
        <stp/>
        <stp>BDH|12325793587232817541</stp>
        <tr r="AC29" s="2"/>
      </tp>
      <tp t="s">
        <v>#N/A N/A</v>
        <stp/>
        <stp>BDH|18171658263491490320</stp>
        <tr r="N9" s="2"/>
      </tp>
      <tp t="s">
        <v>#N/A N/A</v>
        <stp/>
        <stp>BDH|13805404295557935356</stp>
        <tr r="U36" s="2"/>
        <tr r="U48" s="2"/>
      </tp>
      <tp t="s">
        <v>#N/A N/A</v>
        <stp/>
        <stp>BDH|11956327192517982600</stp>
        <tr r="AD13" s="2"/>
      </tp>
      <tp t="s">
        <v>#N/A N/A</v>
        <stp/>
        <stp>BDH|13960217399066781464</stp>
        <tr r="R32" s="2"/>
      </tp>
      <tp t="s">
        <v>#N/A N/A</v>
        <stp/>
        <stp>BDH|10865384595260529000</stp>
        <tr r="AB66" s="2"/>
      </tp>
      <tp t="s">
        <v>#N/A N/A</v>
        <stp/>
        <stp>BDH|15732524763218725417</stp>
        <tr r="O15" s="2"/>
      </tp>
      <tp t="s">
        <v>#N/A N/A</v>
        <stp/>
        <stp>BDH|17070067042778689116</stp>
        <tr r="AB19" s="2"/>
      </tp>
      <tp t="s">
        <v>#N/A N/A</v>
        <stp/>
        <stp>BDH|10675741600064575943</stp>
        <tr r="R64" s="2"/>
      </tp>
      <tp t="s">
        <v>#N/A N/A</v>
        <stp/>
        <stp>BDH|11486565148268064298</stp>
        <tr r="Q10" s="2"/>
      </tp>
      <tp t="s">
        <v>#N/A N/A</v>
        <stp/>
        <stp>BDH|13097251171435240933</stp>
        <tr r="J71" s="2"/>
      </tp>
      <tp t="s">
        <v>#N/A N/A</v>
        <stp/>
        <stp>BDH|10804940840385883211</stp>
        <tr r="AB14" s="2"/>
      </tp>
      <tp t="s">
        <v>#N/A N/A</v>
        <stp/>
        <stp>BDH|17969341115878508787</stp>
        <tr r="Z47" s="2"/>
      </tp>
      <tp t="s">
        <v>#N/A N/A</v>
        <stp/>
        <stp>BDH|11047695308789714439</stp>
        <tr r="AB30" s="2"/>
      </tp>
      <tp t="s">
        <v>#N/A N/A</v>
        <stp/>
        <stp>BDH|11125520823439538509</stp>
        <tr r="O48" s="2"/>
        <tr r="O36" s="2"/>
      </tp>
      <tp t="s">
        <v>#N/A N/A</v>
        <stp/>
        <stp>BDH|10572140332239094177</stp>
        <tr r="I69" s="2"/>
      </tp>
      <tp t="s">
        <v>#N/A N/A</v>
        <stp/>
        <stp>BDH|17090932723556046042</stp>
        <tr r="W37" s="2"/>
      </tp>
      <tp t="s">
        <v>#N/A N/A</v>
        <stp/>
        <stp>BDH|10267129692584034666</stp>
        <tr r="J42" s="2"/>
      </tp>
      <tp t="s">
        <v>#N/A N/A</v>
        <stp/>
        <stp>BDH|12967199078116760883</stp>
        <tr r="Z66" s="2"/>
      </tp>
      <tp t="s">
        <v>#N/A N/A</v>
        <stp/>
        <stp>BDH|11669364287762874280</stp>
        <tr r="L66" s="2"/>
      </tp>
      <tp t="s">
        <v>#N/A N/A</v>
        <stp/>
        <stp>BDH|17931384180972429437</stp>
        <tr r="C43" s="2"/>
      </tp>
      <tp t="s">
        <v>#N/A N/A</v>
        <stp/>
        <stp>BDH|17053720819942553980</stp>
        <tr r="G33" s="2"/>
      </tp>
      <tp t="s">
        <v>#N/A N/A</v>
        <stp/>
        <stp>BDH|18203189729719403813</stp>
        <tr r="D19" s="2"/>
      </tp>
      <tp t="s">
        <v>#N/A N/A</v>
        <stp/>
        <stp>BDH|18281270031354214706</stp>
        <tr r="AC58" s="2"/>
      </tp>
      <tp t="s">
        <v>#N/A N/A</v>
        <stp/>
        <stp>BDH|10060670550009758062</stp>
        <tr r="C67" s="2"/>
      </tp>
      <tp t="s">
        <v>#N/A N/A</v>
        <stp/>
        <stp>BDH|15992849626337510283</stp>
        <tr r="P7" s="2"/>
      </tp>
      <tp t="s">
        <v>#N/A N/A</v>
        <stp/>
        <stp>BDH|17142622297675542774</stp>
        <tr r="U65" s="2"/>
      </tp>
      <tp t="s">
        <v>#N/A N/A</v>
        <stp/>
        <stp>BDH|18182549070414427488</stp>
        <tr r="U29" s="2"/>
      </tp>
      <tp t="s">
        <v>#N/A N/A</v>
        <stp/>
        <stp>BDH|15522976676966980747</stp>
        <tr r="C39" s="2"/>
      </tp>
      <tp t="s">
        <v>#N/A N/A</v>
        <stp/>
        <stp>BDH|14034307258520798870</stp>
        <tr r="Q34" s="2"/>
      </tp>
      <tp t="s">
        <v>#N/A N/A</v>
        <stp/>
        <stp>BDH|11931372526948909298</stp>
        <tr r="X21" s="2"/>
      </tp>
      <tp t="s">
        <v>#N/A N/A</v>
        <stp/>
        <stp>BDH|14915093889024408268</stp>
        <tr r="L63" s="2"/>
      </tp>
      <tp t="s">
        <v>#N/A N/A</v>
        <stp/>
        <stp>BDH|15954024628338159594</stp>
        <tr r="M7" s="2"/>
      </tp>
      <tp t="s">
        <v>#N/A N/A</v>
        <stp/>
        <stp>BDH|12713179894843910366</stp>
        <tr r="F67" s="2"/>
      </tp>
      <tp t="s">
        <v>#N/A N/A</v>
        <stp/>
        <stp>BDH|13348055234119023388</stp>
        <tr r="I19" s="2"/>
      </tp>
      <tp t="s">
        <v>#N/A N/A</v>
        <stp/>
        <stp>BDH|18066217276913919441</stp>
        <tr r="I47" s="2"/>
      </tp>
      <tp t="s">
        <v>#N/A N/A</v>
        <stp/>
        <stp>BDH|11549485493226151055</stp>
        <tr r="C6" s="2"/>
      </tp>
      <tp t="s">
        <v>#N/A N/A</v>
        <stp/>
        <stp>BDH|11292994832556664724</stp>
        <tr r="Y40" s="2"/>
      </tp>
      <tp t="s">
        <v>#N/A N/A</v>
        <stp/>
        <stp>BDH|10714967017081935339</stp>
        <tr r="U19" s="2"/>
      </tp>
      <tp t="s">
        <v>#N/A N/A</v>
        <stp/>
        <stp>BDH|14404894544456142444</stp>
        <tr r="P29" s="2"/>
      </tp>
      <tp t="s">
        <v>#N/A N/A</v>
        <stp/>
        <stp>BDH|13333053231322186891</stp>
        <tr r="F58" s="2"/>
      </tp>
      <tp t="s">
        <v>#N/A N/A</v>
        <stp/>
        <stp>BDH|18293310238603284169</stp>
        <tr r="Q15" s="2"/>
      </tp>
      <tp t="s">
        <v>#N/A N/A</v>
        <stp/>
        <stp>BDH|14811995721276945378</stp>
        <tr r="AD11" s="2"/>
      </tp>
      <tp t="s">
        <v>#N/A N/A</v>
        <stp/>
        <stp>BDH|13124818707846312658</stp>
        <tr r="Z25" s="2"/>
      </tp>
      <tp t="s">
        <v>#N/A N/A</v>
        <stp/>
        <stp>BDH|18040078002932744139</stp>
        <tr r="R27" s="2"/>
      </tp>
      <tp t="s">
        <v>#N/A N/A</v>
        <stp/>
        <stp>BDH|15444864343343761170</stp>
        <tr r="J41" s="2"/>
      </tp>
      <tp t="s">
        <v>#N/A N/A</v>
        <stp/>
        <stp>BDH|16919216485153820456</stp>
        <tr r="K10" s="2"/>
      </tp>
      <tp t="s">
        <v>#N/A N/A</v>
        <stp/>
        <stp>BDH|17638124085327522241</stp>
        <tr r="O41" s="2"/>
      </tp>
      <tp t="s">
        <v>#N/A N/A</v>
        <stp/>
        <stp>BDH|14698315530529026643</stp>
        <tr r="G68" s="2"/>
      </tp>
      <tp t="s">
        <v>#N/A N/A</v>
        <stp/>
        <stp>BDH|13994111889518203915</stp>
        <tr r="N72" s="2"/>
      </tp>
      <tp t="s">
        <v>#N/A N/A</v>
        <stp/>
        <stp>BDH|12016988276962439587</stp>
        <tr r="W18" s="2"/>
      </tp>
      <tp t="s">
        <v>#N/A N/A</v>
        <stp/>
        <stp>BDH|18014959932318443164</stp>
        <tr r="F35" s="2"/>
      </tp>
      <tp t="s">
        <v>#N/A N/A</v>
        <stp/>
        <stp>BDH|12968085287716399700</stp>
        <tr r="C48" s="2"/>
        <tr r="C36" s="2"/>
      </tp>
      <tp t="s">
        <v>#N/A N/A</v>
        <stp/>
        <stp>BDH|15270470495274136758</stp>
        <tr r="U26" s="2"/>
      </tp>
      <tp t="s">
        <v>#N/A N/A</v>
        <stp/>
        <stp>BDH|11806424094601840615</stp>
        <tr r="F41" s="2"/>
      </tp>
      <tp t="s">
        <v>#N/A N/A</v>
        <stp/>
        <stp>BDH|18421445235542271603</stp>
        <tr r="R35" s="2"/>
      </tp>
      <tp t="s">
        <v>#N/A N/A</v>
        <stp/>
        <stp>BDH|16648307255712264978</stp>
        <tr r="H64" s="2"/>
      </tp>
      <tp t="s">
        <v>#N/A N/A</v>
        <stp/>
        <stp>BDH|12894602297884998200</stp>
        <tr r="AC17" s="2"/>
      </tp>
      <tp t="s">
        <v>#N/A N/A</v>
        <stp/>
        <stp>BDH|16331719152738033764</stp>
        <tr r="H46" s="2"/>
      </tp>
      <tp t="s">
        <v>#N/A N/A</v>
        <stp/>
        <stp>BDH|13533898764140768690</stp>
        <tr r="E39" s="2"/>
      </tp>
      <tp t="s">
        <v>#N/A N/A</v>
        <stp/>
        <stp>BDH|15195940047441486204</stp>
        <tr r="S16" s="2"/>
      </tp>
      <tp t="s">
        <v>#N/A N/A</v>
        <stp/>
        <stp>BDH|17033801554121355012</stp>
        <tr r="I16" s="2"/>
      </tp>
      <tp t="s">
        <v>#N/A N/A</v>
        <stp/>
        <stp>BDH|11877444016838528762</stp>
        <tr r="S34" s="2"/>
      </tp>
      <tp t="s">
        <v>#N/A N/A</v>
        <stp/>
        <stp>BDH|12738884320196197563</stp>
        <tr r="U46" s="2"/>
      </tp>
      <tp t="s">
        <v>#N/A N/A</v>
        <stp/>
        <stp>BDH|16187849903055760096</stp>
        <tr r="J52" s="2"/>
      </tp>
      <tp t="s">
        <v>#N/A N/A</v>
        <stp/>
        <stp>BDH|18321274022757609481</stp>
        <tr r="AB27" s="2"/>
      </tp>
      <tp t="s">
        <v>#N/A N/A</v>
        <stp/>
        <stp>BDH|11153699407865036948</stp>
        <tr r="Y29" s="2"/>
      </tp>
      <tp t="s">
        <v>#N/A N/A</v>
        <stp/>
        <stp>BDH|10448997525520063036</stp>
        <tr r="J67" s="2"/>
      </tp>
      <tp t="s">
        <v>#N/A N/A</v>
        <stp/>
        <stp>BDH|16869197962239875301</stp>
        <tr r="R31" s="2"/>
      </tp>
      <tp t="s">
        <v>#N/A N/A</v>
        <stp/>
        <stp>BDH|13219800546651611584</stp>
        <tr r="K53" s="2"/>
      </tp>
      <tp t="s">
        <v>#N/A N/A</v>
        <stp/>
        <stp>BDH|12326751818536141957</stp>
        <tr r="AA37" s="2"/>
      </tp>
      <tp t="s">
        <v>#N/A N/A</v>
        <stp/>
        <stp>BDH|14082822681858107787</stp>
        <tr r="Q66" s="2"/>
      </tp>
      <tp t="s">
        <v>#N/A N/A</v>
        <stp/>
        <stp>BDH|15503548193036631491</stp>
        <tr r="AD55" s="2"/>
      </tp>
      <tp t="s">
        <v>#N/A N/A</v>
        <stp/>
        <stp>BDH|13100895750833447616</stp>
        <tr r="R9" s="2"/>
      </tp>
      <tp t="s">
        <v>#N/A N/A</v>
        <stp/>
        <stp>BDH|17833071482686834283</stp>
        <tr r="C66" s="2"/>
      </tp>
      <tp t="s">
        <v>#N/A N/A</v>
        <stp/>
        <stp>BDH|10002836222837912648</stp>
        <tr r="V18" s="2"/>
      </tp>
      <tp t="s">
        <v>#N/A N/A</v>
        <stp/>
        <stp>BDH|17243612483384664692</stp>
        <tr r="C69" s="2"/>
      </tp>
      <tp t="s">
        <v>#N/A N/A</v>
        <stp/>
        <stp>BDH|14816971478002119388</stp>
        <tr r="H66" s="2"/>
      </tp>
      <tp t="s">
        <v>#N/A N/A</v>
        <stp/>
        <stp>BDH|14632641189074003551</stp>
        <tr r="D16" s="2"/>
      </tp>
      <tp t="s">
        <v>#N/A N/A</v>
        <stp/>
        <stp>BDH|10155804275011958534</stp>
        <tr r="Z57" s="2"/>
      </tp>
      <tp t="s">
        <v>#N/A N/A</v>
        <stp/>
        <stp>BDH|11128730087817860238</stp>
        <tr r="S63" s="2"/>
      </tp>
      <tp t="s">
        <v>#N/A N/A</v>
        <stp/>
        <stp>BDH|18393139611104444448</stp>
        <tr r="AA71" s="2"/>
      </tp>
      <tp t="s">
        <v>#N/A N/A</v>
        <stp/>
        <stp>BDH|11582808447367161229</stp>
        <tr r="P15" s="2"/>
      </tp>
      <tp t="s">
        <v>#N/A N/A</v>
        <stp/>
        <stp>BDH|13477302903570667818</stp>
        <tr r="H72" s="2"/>
      </tp>
      <tp t="s">
        <v>#N/A N/A</v>
        <stp/>
        <stp>BDH|14550034254840474960</stp>
        <tr r="F11" s="2"/>
      </tp>
      <tp t="s">
        <v>#N/A N/A</v>
        <stp/>
        <stp>BDH|12983879228368606803</stp>
        <tr r="R36" s="2"/>
        <tr r="R48" s="2"/>
      </tp>
      <tp t="s">
        <v>#N/A N/A</v>
        <stp/>
        <stp>BDH|14144484863366324894</stp>
        <tr r="C58" s="2"/>
      </tp>
      <tp t="s">
        <v>#N/A N/A</v>
        <stp/>
        <stp>BDH|16602178428278312590</stp>
        <tr r="Z24" s="2"/>
      </tp>
      <tp t="s">
        <v>#N/A N/A</v>
        <stp/>
        <stp>BDH|18200018384990709838</stp>
        <tr r="K38" s="2"/>
      </tp>
      <tp t="s">
        <v>#N/A N/A</v>
        <stp/>
        <stp>BDH|11654258144527118856</stp>
        <tr r="F12" s="2"/>
      </tp>
      <tp t="s">
        <v>#N/A N/A</v>
        <stp/>
        <stp>BDH|11551220709838851355</stp>
        <tr r="T15" s="2"/>
      </tp>
      <tp t="s">
        <v>#N/A N/A</v>
        <stp/>
        <stp>BDH|11455241145026747900</stp>
        <tr r="D53" s="2"/>
      </tp>
      <tp t="s">
        <v>#N/A N/A</v>
        <stp/>
        <stp>BDH|10767822557843499640</stp>
        <tr r="X18" s="2"/>
      </tp>
      <tp t="s">
        <v>#N/A N/A</v>
        <stp/>
        <stp>BDH|16151162434829471523</stp>
        <tr r="AC32" s="2"/>
      </tp>
      <tp t="s">
        <v>#N/A N/A</v>
        <stp/>
        <stp>BDH|11206303729888722097</stp>
        <tr r="U40" s="2"/>
      </tp>
      <tp t="s">
        <v>#N/A N/A</v>
        <stp/>
        <stp>BDH|17471387879299823283</stp>
        <tr r="K27" s="2"/>
      </tp>
      <tp t="s">
        <v>#N/A N/A</v>
        <stp/>
        <stp>BDH|13366233980149433812</stp>
        <tr r="AB8" s="2"/>
      </tp>
      <tp t="s">
        <v>#N/A N/A</v>
        <stp/>
        <stp>BDH|15473001922336519975</stp>
        <tr r="I37" s="2"/>
      </tp>
      <tp t="s">
        <v>#N/A N/A</v>
        <stp/>
        <stp>BDH|18228609733861672431</stp>
        <tr r="G57" s="2"/>
      </tp>
      <tp t="s">
        <v>#N/A N/A</v>
        <stp/>
        <stp>BDH|11717710350872877998</stp>
        <tr r="Z26" s="2"/>
      </tp>
      <tp t="s">
        <v>#N/A N/A</v>
        <stp/>
        <stp>BDH|15702926028332298493</stp>
        <tr r="Q69" s="2"/>
      </tp>
      <tp t="s">
        <v>#N/A N/A</v>
        <stp/>
        <stp>BDH|11410127894077465603</stp>
        <tr r="AC40" s="2"/>
      </tp>
      <tp t="s">
        <v>#N/A N/A</v>
        <stp/>
        <stp>BDH|13144751022348331636</stp>
        <tr r="W32" s="2"/>
      </tp>
      <tp t="s">
        <v>#N/A N/A</v>
        <stp/>
        <stp>BDH|12091636211165380874</stp>
        <tr r="S28" s="2"/>
      </tp>
      <tp t="s">
        <v>#N/A N/A</v>
        <stp/>
        <stp>BDH|14731971029235083204</stp>
        <tr r="O73" s="2"/>
      </tp>
      <tp t="s">
        <v>#N/A N/A</v>
        <stp/>
        <stp>BDH|17929854250193435116</stp>
        <tr r="V43" s="2"/>
      </tp>
      <tp t="s">
        <v>#N/A N/A</v>
        <stp/>
        <stp>BDH|14545223547152032890</stp>
        <tr r="V13" s="2"/>
      </tp>
      <tp t="s">
        <v>#N/A N/A</v>
        <stp/>
        <stp>BDH|18387147958625089171</stp>
        <tr r="I35" s="2"/>
      </tp>
      <tp t="s">
        <v>#N/A N/A</v>
        <stp/>
        <stp>BDH|15684305621784987851</stp>
        <tr r="Z29" s="2"/>
      </tp>
      <tp t="s">
        <v>#N/A N/A</v>
        <stp/>
        <stp>BDH|18203061734054227790</stp>
        <tr r="W48" s="2"/>
        <tr r="W36" s="2"/>
      </tp>
      <tp t="s">
        <v>#N/A N/A</v>
        <stp/>
        <stp>BDH|10378191077079223740</stp>
        <tr r="T44" s="2"/>
      </tp>
      <tp t="s">
        <v>#N/A N/A</v>
        <stp/>
        <stp>BDH|11293836208153478276</stp>
        <tr r="N12" s="2"/>
      </tp>
      <tp t="s">
        <v>#N/A N/A</v>
        <stp/>
        <stp>BDH|12682948598422602866</stp>
        <tr r="H13" s="2"/>
      </tp>
      <tp t="s">
        <v>#N/A N/A</v>
        <stp/>
        <stp>BDH|13774089361479182453</stp>
        <tr r="O39" s="2"/>
      </tp>
      <tp t="s">
        <v>#N/A N/A</v>
        <stp/>
        <stp>BDH|17882649398529768992</stp>
        <tr r="AA33" s="2"/>
      </tp>
      <tp t="s">
        <v>#N/A N/A</v>
        <stp/>
        <stp>BDH|11249537669629640346</stp>
        <tr r="L26" s="2"/>
      </tp>
      <tp t="s">
        <v>#N/A N/A</v>
        <stp/>
        <stp>BDH|10142722173960921842</stp>
        <tr r="AD68" s="2"/>
      </tp>
      <tp t="s">
        <v>#N/A N/A</v>
        <stp/>
        <stp>BDH|12528103716408725289</stp>
        <tr r="M21" s="2"/>
      </tp>
      <tp t="s">
        <v>#N/A N/A</v>
        <stp/>
        <stp>BDH|14299498964307682956</stp>
        <tr r="G36" s="2"/>
        <tr r="G48" s="2"/>
      </tp>
      <tp t="s">
        <v>#N/A N/A</v>
        <stp/>
        <stp>BDH|15851901907001566564</stp>
        <tr r="E25" s="2"/>
      </tp>
      <tp t="s">
        <v>#N/A N/A</v>
        <stp/>
        <stp>BDH|11918645105799074671</stp>
        <tr r="E20" s="2"/>
      </tp>
      <tp t="s">
        <v>#N/A N/A</v>
        <stp/>
        <stp>BDH|11795004524999283306</stp>
        <tr r="D69" s="2"/>
      </tp>
      <tp t="s">
        <v>#N/A N/A</v>
        <stp/>
        <stp>BDH|17398091513078166791</stp>
        <tr r="R24" s="2"/>
      </tp>
      <tp t="s">
        <v>#N/A N/A</v>
        <stp/>
        <stp>BDH|15496915381705637837</stp>
        <tr r="C19" s="2"/>
      </tp>
      <tp t="s">
        <v>#N/A N/A</v>
        <stp/>
        <stp>BDH|14938952655165140499</stp>
        <tr r="AC35" s="2"/>
      </tp>
      <tp t="s">
        <v>#N/A N/A</v>
        <stp/>
        <stp>BDH|11494610845458546245</stp>
        <tr r="D44" s="2"/>
      </tp>
      <tp t="s">
        <v>#N/A N/A</v>
        <stp/>
        <stp>BDH|16484978170321384017</stp>
        <tr r="I56" s="2"/>
      </tp>
      <tp t="s">
        <v>#N/A N/A</v>
        <stp/>
        <stp>BDH|13650519086592093504</stp>
        <tr r="H12" s="2"/>
      </tp>
      <tp t="s">
        <v>#N/A N/A</v>
        <stp/>
        <stp>BDH|10685115883237359773</stp>
        <tr r="J14" s="2"/>
      </tp>
      <tp t="s">
        <v>#N/A N/A</v>
        <stp/>
        <stp>BDH|15702361698386953001</stp>
        <tr r="C37" s="2"/>
      </tp>
      <tp t="s">
        <v>#N/A N/A</v>
        <stp/>
        <stp>BDH|10683201651818237662</stp>
        <tr r="V6" s="2"/>
      </tp>
      <tp t="s">
        <v>#N/A N/A</v>
        <stp/>
        <stp>BDH|17525218210884197971</stp>
        <tr r="S67" s="2"/>
      </tp>
      <tp t="s">
        <v>#N/A N/A</v>
        <stp/>
        <stp>BDH|16022374314144241939</stp>
        <tr r="T52" s="2"/>
      </tp>
      <tp t="s">
        <v>#N/A N/A</v>
        <stp/>
        <stp>BDH|13273827162182535623</stp>
        <tr r="U12" s="2"/>
      </tp>
      <tp t="s">
        <v>#N/A N/A</v>
        <stp/>
        <stp>BDH|11277935818454964450</stp>
        <tr r="T23" s="2"/>
      </tp>
      <tp t="s">
        <v>#N/A N/A</v>
        <stp/>
        <stp>BDH|15327976416031457536</stp>
        <tr r="E72" s="2"/>
      </tp>
      <tp t="s">
        <v>#N/A N/A</v>
        <stp/>
        <stp>BDH|14687234803466406963</stp>
        <tr r="C12" s="2"/>
      </tp>
      <tp t="s">
        <v>#N/A N/A</v>
        <stp/>
        <stp>BDH|14090674622729278034</stp>
        <tr r="E31" s="2"/>
      </tp>
      <tp t="s">
        <v>#N/A N/A</v>
        <stp/>
        <stp>BDH|16368949858000834335</stp>
        <tr r="L6" s="2"/>
      </tp>
      <tp t="s">
        <v>#N/A N/A</v>
        <stp/>
        <stp>BDH|15618039945309338170</stp>
        <tr r="U64" s="2"/>
      </tp>
      <tp t="s">
        <v>#N/A N/A</v>
        <stp/>
        <stp>BDH|11610852164742357407</stp>
        <tr r="N7" s="2"/>
      </tp>
      <tp t="s">
        <v>#N/A N/A</v>
        <stp/>
        <stp>BDH|12801090226910196919</stp>
        <tr r="C7" s="2"/>
      </tp>
      <tp t="s">
        <v>#N/A N/A</v>
        <stp/>
        <stp>BDH|14408182904049978563</stp>
        <tr r="AB26" s="2"/>
      </tp>
      <tp t="s">
        <v>#N/A N/A</v>
        <stp/>
        <stp>BDH|10164834300590245168</stp>
        <tr r="G64" s="2"/>
      </tp>
      <tp t="s">
        <v>#N/A N/A</v>
        <stp/>
        <stp>BDH|13220331384288684951</stp>
        <tr r="R42" s="2"/>
      </tp>
      <tp t="s">
        <v>#N/A N/A</v>
        <stp/>
        <stp>BDH|11927438019984038958</stp>
        <tr r="W66" s="2"/>
      </tp>
      <tp t="s">
        <v>#N/A N/A</v>
        <stp/>
        <stp>BDH|13663524012729918794</stp>
        <tr r="M71" s="2"/>
      </tp>
      <tp t="s">
        <v>#N/A N/A</v>
        <stp/>
        <stp>BDH|15161473357164502922</stp>
        <tr r="I65" s="2"/>
      </tp>
      <tp t="s">
        <v>#N/A N/A</v>
        <stp/>
        <stp>BDH|17735685414531975840</stp>
        <tr r="X28" s="2"/>
      </tp>
      <tp t="s">
        <v>#N/A N/A</v>
        <stp/>
        <stp>BDH|18163755866748343888</stp>
        <tr r="F28" s="2"/>
      </tp>
      <tp t="s">
        <v>#N/A N/A</v>
        <stp/>
        <stp>BDH|15216396992475579359</stp>
        <tr r="Q70" s="2"/>
      </tp>
      <tp t="s">
        <v>#N/A N/A</v>
        <stp/>
        <stp>BDH|11428198803140086971</stp>
        <tr r="S35" s="2"/>
      </tp>
      <tp t="s">
        <v>#N/A N/A</v>
        <stp/>
        <stp>BDH|16127495125308770132</stp>
        <tr r="O38" s="2"/>
      </tp>
      <tp t="s">
        <v>#N/A N/A</v>
        <stp/>
        <stp>BDH|15610742099115501774</stp>
        <tr r="U50" s="2"/>
      </tp>
      <tp t="s">
        <v>#N/A N/A</v>
        <stp/>
        <stp>BDH|10032490892960730445</stp>
        <tr r="N8" s="2"/>
      </tp>
      <tp t="s">
        <v>#N/A N/A</v>
        <stp/>
        <stp>BDH|12586705242571726989</stp>
        <tr r="Z53" s="2"/>
      </tp>
      <tp t="s">
        <v>#N/A N/A</v>
        <stp/>
        <stp>BDH|16253140848198127273</stp>
        <tr r="AD30" s="2"/>
      </tp>
      <tp t="s">
        <v>#N/A N/A</v>
        <stp/>
        <stp>BDH|13079188630459742147</stp>
        <tr r="X44" s="2"/>
      </tp>
      <tp t="s">
        <v>#N/A N/A</v>
        <stp/>
        <stp>BDH|17147918867432808346</stp>
        <tr r="M9" s="2"/>
      </tp>
      <tp t="s">
        <v>#N/A N/A</v>
        <stp/>
        <stp>BDH|17593194818329684791</stp>
        <tr r="AC33" s="2"/>
      </tp>
      <tp t="s">
        <v>#N/A N/A</v>
        <stp/>
        <stp>BDH|12118383733608941387</stp>
        <tr r="AD73" s="2"/>
      </tp>
      <tp t="s">
        <v>#N/A N/A</v>
        <stp/>
        <stp>BDH|10393711108678303645</stp>
        <tr r="Y13" s="2"/>
      </tp>
      <tp t="s">
        <v>#N/A N/A</v>
        <stp/>
        <stp>BDH|13521942088783249860</stp>
        <tr r="V25" s="2"/>
      </tp>
      <tp t="s">
        <v>#N/A N/A</v>
        <stp/>
        <stp>BDH|15124596148005899849</stp>
        <tr r="P56" s="2"/>
      </tp>
      <tp t="s">
        <v>#N/A N/A</v>
        <stp/>
        <stp>BDH|14588714649138152636</stp>
        <tr r="AC65" s="2"/>
      </tp>
      <tp t="s">
        <v>#N/A N/A</v>
        <stp/>
        <stp>BDH|15271230184863921533</stp>
        <tr r="AA16" s="2"/>
      </tp>
      <tp t="s">
        <v>#N/A N/A</v>
        <stp/>
        <stp>BDH|13708358508829409015</stp>
        <tr r="E38" s="2"/>
      </tp>
      <tp t="s">
        <v>#N/A N/A</v>
        <stp/>
        <stp>BDH|14704855442662798396</stp>
        <tr r="AA30" s="2"/>
      </tp>
      <tp t="s">
        <v>#N/A N/A</v>
        <stp/>
        <stp>BDH|18217796351664040749</stp>
        <tr r="AA70" s="2"/>
      </tp>
      <tp t="s">
        <v>#N/A N/A</v>
        <stp/>
        <stp>BDH|18250487826055116232</stp>
        <tr r="U27" s="2"/>
      </tp>
      <tp t="s">
        <v>#N/A N/A</v>
        <stp/>
        <stp>BDH|14652926258698348911</stp>
        <tr r="G7" s="2"/>
      </tp>
      <tp t="s">
        <v>#N/A N/A</v>
        <stp/>
        <stp>BDH|12861824645817240038</stp>
        <tr r="M46" s="2"/>
      </tp>
      <tp t="s">
        <v>#N/A N/A</v>
        <stp/>
        <stp>BDH|12260903613946970298</stp>
        <tr r="AD19" s="2"/>
      </tp>
      <tp t="s">
        <v>#N/A N/A</v>
        <stp/>
        <stp>BDH|14769260345559031551</stp>
        <tr r="F18" s="2"/>
      </tp>
      <tp t="s">
        <v>#N/A N/A</v>
        <stp/>
        <stp>BDH|16498559049191049894</stp>
        <tr r="V68" s="2"/>
      </tp>
      <tp t="s">
        <v>#N/A N/A</v>
        <stp/>
        <stp>BDH|11663462251379880788</stp>
        <tr r="L46" s="2"/>
      </tp>
      <tp t="s">
        <v>#N/A N/A</v>
        <stp/>
        <stp>BDH|16583395756177960932</stp>
        <tr r="X55" s="2"/>
      </tp>
      <tp t="s">
        <v>#N/A N/A</v>
        <stp/>
        <stp>BDH|18131445146440523653</stp>
        <tr r="X39" s="2"/>
      </tp>
      <tp t="s">
        <v>#N/A N/A</v>
        <stp/>
        <stp>BDH|14230268142818132441</stp>
        <tr r="W19" s="2"/>
      </tp>
      <tp t="s">
        <v>#N/A N/A</v>
        <stp/>
        <stp>BDH|11057314324628023663</stp>
        <tr r="O66" s="2"/>
      </tp>
      <tp t="s">
        <v>#N/A N/A</v>
        <stp/>
        <stp>BDH|12988388940738523318</stp>
        <tr r="R53" s="2"/>
      </tp>
      <tp t="s">
        <v>#N/A N/A</v>
        <stp/>
        <stp>BDH|18424950291292242477</stp>
        <tr r="F19" s="2"/>
      </tp>
      <tp t="s">
        <v>#N/A N/A</v>
        <stp/>
        <stp>BDH|13106014589965817049</stp>
        <tr r="K7" s="2"/>
      </tp>
      <tp t="s">
        <v>#N/A N/A</v>
        <stp/>
        <stp>BDH|13730708945088348650</stp>
        <tr r="C51" s="2"/>
      </tp>
      <tp t="s">
        <v>#N/A N/A</v>
        <stp/>
        <stp>BDH|17494954360804501207</stp>
        <tr r="J55" s="2"/>
      </tp>
      <tp t="s">
        <v>#N/A N/A</v>
        <stp/>
        <stp>BDH|12290767411218669243</stp>
        <tr r="N44" s="2"/>
      </tp>
      <tp t="s">
        <v>#N/A N/A</v>
        <stp/>
        <stp>BDH|14711332396788255871</stp>
        <tr r="C34" s="2"/>
      </tp>
      <tp t="s">
        <v>#N/A N/A</v>
        <stp/>
        <stp>BDH|14303210381180136054</stp>
        <tr r="R46" s="2"/>
      </tp>
      <tp t="s">
        <v>#N/A N/A</v>
        <stp/>
        <stp>BDH|17032160796365697402</stp>
        <tr r="R66" s="2"/>
      </tp>
      <tp t="s">
        <v>#N/A N/A</v>
        <stp/>
        <stp>BDH|13347457727399191263</stp>
        <tr r="Q9" s="2"/>
      </tp>
      <tp t="s">
        <v>#N/A N/A</v>
        <stp/>
        <stp>BDH|10526804471701431062</stp>
        <tr r="C55" s="2"/>
      </tp>
      <tp t="s">
        <v>#N/A N/A</v>
        <stp/>
        <stp>BDH|10249372959770309864</stp>
        <tr r="N62" s="2"/>
      </tp>
      <tp t="s">
        <v>#N/A N/A</v>
        <stp/>
        <stp>BDH|14046451912507600896</stp>
        <tr r="L71" s="2"/>
      </tp>
      <tp t="s">
        <v>#N/A N/A</v>
        <stp/>
        <stp>BDH|16428284065778214409</stp>
        <tr r="X20" s="2"/>
      </tp>
      <tp t="s">
        <v>#N/A N/A</v>
        <stp/>
        <stp>BDH|18442671268862820487</stp>
        <tr r="S48" s="2"/>
        <tr r="S36" s="2"/>
      </tp>
      <tp t="s">
        <v>#N/A N/A</v>
        <stp/>
        <stp>BDH|13402279418598701679</stp>
        <tr r="W72" s="2"/>
      </tp>
      <tp t="s">
        <v>#N/A N/A</v>
        <stp/>
        <stp>BDH|18406607124097897520</stp>
        <tr r="D8" s="2"/>
      </tp>
      <tp t="s">
        <v>#N/A N/A</v>
        <stp/>
        <stp>BDH|16730521788943678612</stp>
        <tr r="AC22" s="2"/>
      </tp>
      <tp t="s">
        <v>#N/A N/A</v>
        <stp/>
        <stp>BDH|13908735004422372874</stp>
        <tr r="AC12" s="2"/>
      </tp>
      <tp t="s">
        <v>#N/A N/A</v>
        <stp/>
        <stp>BDH|16523821413484657584</stp>
        <tr r="C28" s="2"/>
      </tp>
      <tp t="s">
        <v>#N/A N/A</v>
        <stp/>
        <stp>BDH|14549714950238995009</stp>
        <tr r="S31" s="2"/>
      </tp>
      <tp t="s">
        <v>#N/A N/A</v>
        <stp/>
        <stp>BDH|13571470378659357754</stp>
        <tr r="U8" s="2"/>
      </tp>
      <tp t="s">
        <v>#N/A N/A</v>
        <stp/>
        <stp>BDH|14765020346437940961</stp>
        <tr r="R69" s="2"/>
      </tp>
      <tp t="s">
        <v>#N/A N/A</v>
        <stp/>
        <stp>BDH|10216028713098859745</stp>
        <tr r="N42" s="2"/>
      </tp>
      <tp t="s">
        <v>#N/A N/A</v>
        <stp/>
        <stp>BDH|13090251298123037526</stp>
        <tr r="D28" s="2"/>
      </tp>
      <tp t="s">
        <v>#N/A N/A</v>
        <stp/>
        <stp>BDH|12823019586664792078</stp>
        <tr r="D47" s="2"/>
      </tp>
      <tp t="s">
        <v>#N/A N/A</v>
        <stp/>
        <stp>BDH|14701915157593703592</stp>
        <tr r="AD66" s="2"/>
      </tp>
      <tp t="s">
        <v>#N/A N/A</v>
        <stp/>
        <stp>BDH|12890412100411540939</stp>
        <tr r="T32" s="2"/>
      </tp>
      <tp t="s">
        <v>#N/A N/A</v>
        <stp/>
        <stp>BDH|14916919819753903178</stp>
        <tr r="AD17" s="2"/>
      </tp>
      <tp t="s">
        <v>#N/A N/A</v>
        <stp/>
        <stp>BDH|12190718623788442184</stp>
        <tr r="Z40" s="2"/>
      </tp>
      <tp t="s">
        <v>#N/A N/A</v>
        <stp/>
        <stp>BDH|17192671888140222722</stp>
        <tr r="AD67" s="2"/>
      </tp>
      <tp t="s">
        <v>#N/A N/A</v>
        <stp/>
        <stp>BDH|12904818233610012752</stp>
        <tr r="AA10" s="2"/>
      </tp>
      <tp t="s">
        <v>#N/A N/A</v>
        <stp/>
        <stp>BDH|14584852500836787568</stp>
        <tr r="R16" s="2"/>
      </tp>
      <tp t="s">
        <v>#N/A N/A</v>
        <stp/>
        <stp>BDH|11258859212635067252</stp>
        <tr r="AB58" s="2"/>
      </tp>
      <tp t="s">
        <v>#N/A N/A</v>
        <stp/>
        <stp>BDH|17851864570135906243</stp>
        <tr r="U42" s="2"/>
      </tp>
      <tp t="s">
        <v>#N/A N/A</v>
        <stp/>
        <stp>BDH|10009662141514772932</stp>
        <tr r="U39" s="2"/>
      </tp>
      <tp t="s">
        <v>#N/A N/A</v>
        <stp/>
        <stp>BDH|14137652256539729167</stp>
        <tr r="AA40" s="2"/>
      </tp>
      <tp t="s">
        <v>#N/A N/A</v>
        <stp/>
        <stp>BDH|12839845157100084089</stp>
        <tr r="X36" s="2"/>
        <tr r="X48" s="2"/>
      </tp>
      <tp t="s">
        <v>#N/A N/A</v>
        <stp/>
        <stp>BDH|10530593674994855927</stp>
        <tr r="AB52" s="2"/>
      </tp>
      <tp t="s">
        <v>#N/A N/A</v>
        <stp/>
        <stp>BDH|16889949544342416699</stp>
        <tr r="AB70" s="2"/>
      </tp>
      <tp t="s">
        <v>#N/A N/A</v>
        <stp/>
        <stp>BDH|16308000702400092943</stp>
        <tr r="L51" s="2"/>
      </tp>
      <tp t="s">
        <v>#N/A N/A</v>
        <stp/>
        <stp>BDH|10513792388725602577</stp>
        <tr r="S23" s="2"/>
      </tp>
      <tp t="s">
        <v>#N/A N/A</v>
        <stp/>
        <stp>BDH|13140527780429318853</stp>
        <tr r="W57" s="2"/>
      </tp>
      <tp t="s">
        <v>#N/A N/A</v>
        <stp/>
        <stp>BDH|11453560066784433954</stp>
        <tr r="H18" s="2"/>
      </tp>
      <tp t="s">
        <v>#N/A N/A</v>
        <stp/>
        <stp>BDH|16184052216329081174</stp>
        <tr r="O71" s="2"/>
      </tp>
      <tp t="s">
        <v>#N/A N/A</v>
        <stp/>
        <stp>BDH|18128378911663432672</stp>
        <tr r="W70" s="2"/>
      </tp>
      <tp t="s">
        <v>#N/A N/A</v>
        <stp/>
        <stp>BDH|18180026127882161713</stp>
        <tr r="AA56" s="2"/>
      </tp>
      <tp t="s">
        <v>#N/A N/A</v>
        <stp/>
        <stp>BDH|10691786298295487463</stp>
        <tr r="Q52" s="2"/>
      </tp>
      <tp t="s">
        <v>#N/A N/A</v>
        <stp/>
        <stp>BDH|17302752914096239879</stp>
        <tr r="AA15" s="2"/>
      </tp>
      <tp t="s">
        <v>#N/A N/A</v>
        <stp/>
        <stp>BDH|15700485596924986376</stp>
        <tr r="AD46" s="2"/>
      </tp>
      <tp t="s">
        <v>#N/A N/A</v>
        <stp/>
        <stp>BDH|16334572218165380888</stp>
        <tr r="E29" s="2"/>
      </tp>
      <tp t="s">
        <v>#N/A N/A</v>
        <stp/>
        <stp>BDH|15206615310254571915</stp>
        <tr r="I31" s="2"/>
      </tp>
      <tp t="s">
        <v>#N/A N/A</v>
        <stp/>
        <stp>BDH|12006709160258270459</stp>
        <tr r="F21" s="2"/>
      </tp>
      <tp t="s">
        <v>#N/A N/A</v>
        <stp/>
        <stp>BDH|15435722315605437919</stp>
        <tr r="M32" s="2"/>
      </tp>
      <tp t="s">
        <v>#N/A N/A</v>
        <stp/>
        <stp>BDH|16348816727644090731</stp>
        <tr r="J17" s="2"/>
      </tp>
      <tp t="s">
        <v>#N/A N/A</v>
        <stp/>
        <stp>BDH|14175555383165901386</stp>
        <tr r="P10" s="2"/>
      </tp>
      <tp t="s">
        <v>#N/A N/A</v>
        <stp/>
        <stp>BDH|16573757545868744248</stp>
        <tr r="V33" s="2"/>
      </tp>
      <tp t="s">
        <v>#N/A N/A</v>
        <stp/>
        <stp>BDH|13112852369912027047</stp>
        <tr r="X23" s="2"/>
      </tp>
      <tp t="s">
        <v>#N/A N/A</v>
        <stp/>
        <stp>BDH|12172049438238598618</stp>
        <tr r="X10" s="2"/>
      </tp>
      <tp t="s">
        <v>#N/A N/A</v>
        <stp/>
        <stp>BDH|15731491566820399826</stp>
        <tr r="D21" s="2"/>
      </tp>
      <tp t="s">
        <v>#N/A N/A</v>
        <stp/>
        <stp>BDH|14694931576730209594</stp>
        <tr r="O37" s="2"/>
      </tp>
      <tp t="s">
        <v>#N/A N/A</v>
        <stp/>
        <stp>BDH|10053869266437054687</stp>
        <tr r="Z7" s="2"/>
      </tp>
      <tp t="s">
        <v>#N/A N/A</v>
        <stp/>
        <stp>BDH|15933352326733665845</stp>
        <tr r="U30" s="2"/>
      </tp>
      <tp t="s">
        <v>#N/A N/A</v>
        <stp/>
        <stp>BDH|17193249349579501710</stp>
        <tr r="F63" s="2"/>
      </tp>
      <tp t="s">
        <v>#N/A N/A</v>
        <stp/>
        <stp>BDH|13992517182509713863</stp>
        <tr r="D50" s="2"/>
      </tp>
      <tp t="s">
        <v>#N/A N/A</v>
        <stp/>
        <stp>BDH|12293627685170661380</stp>
        <tr r="V11" s="2"/>
      </tp>
      <tp t="s">
        <v>#N/A N/A</v>
        <stp/>
        <stp>BDH|14840031947819670614</stp>
        <tr r="E16" s="2"/>
      </tp>
      <tp t="s">
        <v>#N/A N/A</v>
        <stp/>
        <stp>BDH|11933558029101607884</stp>
        <tr r="G12" s="2"/>
      </tp>
      <tp t="s">
        <v>#N/A N/A</v>
        <stp/>
        <stp>BDH|10650536430600606988</stp>
        <tr r="AB28" s="2"/>
      </tp>
      <tp t="s">
        <v>#N/A N/A</v>
        <stp/>
        <stp>BDH|12043680797452675024</stp>
        <tr r="AA6" s="2"/>
      </tp>
      <tp t="s">
        <v>#N/A N/A</v>
        <stp/>
        <stp>BDH|16896951358940655583</stp>
        <tr r="T35" s="2"/>
      </tp>
      <tp t="s">
        <v>#N/A N/A</v>
        <stp/>
        <stp>BDH|14160150137729166086</stp>
        <tr r="S47" s="2"/>
      </tp>
      <tp t="s">
        <v>#N/A N/A</v>
        <stp/>
        <stp>BDH|17973393299636371404</stp>
        <tr r="N16" s="2"/>
      </tp>
      <tp t="s">
        <v>#N/A N/A</v>
        <stp/>
        <stp>BDH|14455387198357873663</stp>
        <tr r="W46" s="2"/>
      </tp>
      <tp t="s">
        <v>#N/A N/A</v>
        <stp/>
        <stp>BDH|18158767381968849032</stp>
        <tr r="X57" s="2"/>
      </tp>
      <tp t="s">
        <v>#N/A N/A</v>
        <stp/>
        <stp>BDH|17862026593442684320</stp>
        <tr r="E8" s="2"/>
      </tp>
      <tp t="s">
        <v>#N/A N/A</v>
        <stp/>
        <stp>BDH|17471632389170283610</stp>
        <tr r="E24" s="2"/>
      </tp>
      <tp t="s">
        <v>#N/A N/A</v>
        <stp/>
        <stp>BDH|12859931814532033721</stp>
        <tr r="Q63" s="2"/>
      </tp>
      <tp t="s">
        <v>#N/A N/A</v>
        <stp/>
        <stp>BDH|17952041663666158821</stp>
        <tr r="J73" s="2"/>
      </tp>
      <tp t="s">
        <v>#N/A N/A</v>
        <stp/>
        <stp>BDH|14730393806401165947</stp>
        <tr r="K64" s="2"/>
      </tp>
      <tp t="s">
        <v>#N/A N/A</v>
        <stp/>
        <stp>BDH|10459915506566993054</stp>
        <tr r="P35" s="2"/>
      </tp>
      <tp t="s">
        <v>#N/A N/A</v>
        <stp/>
        <stp>BDH|16990392485857841521</stp>
        <tr r="K63" s="2"/>
      </tp>
      <tp t="s">
        <v>#N/A N/A</v>
        <stp/>
        <stp>BDH|10860569196943680003</stp>
        <tr r="K33" s="2"/>
      </tp>
      <tp t="s">
        <v>#N/A N/A</v>
        <stp/>
        <stp>BDH|11311597419681226809</stp>
        <tr r="V56" s="2"/>
      </tp>
      <tp t="s">
        <v>#N/A N/A</v>
        <stp/>
        <stp>BDH|10763914012854136051</stp>
        <tr r="F66" s="2"/>
      </tp>
      <tp t="s">
        <v>#N/A N/A</v>
        <stp/>
        <stp>BDH|14533653810787791870</stp>
        <tr r="U21" s="2"/>
      </tp>
      <tp t="s">
        <v>#N/A N/A</v>
        <stp/>
        <stp>BDH|14563856271875599247</stp>
        <tr r="M42" s="2"/>
      </tp>
      <tp t="s">
        <v>#N/A N/A</v>
        <stp/>
        <stp>BDH|15969302988010462269</stp>
        <tr r="P30" s="2"/>
      </tp>
      <tp t="s">
        <v>#N/A N/A</v>
        <stp/>
        <stp>BDH|10753298464111887912</stp>
        <tr r="H14" s="2"/>
      </tp>
      <tp t="s">
        <v>#N/A N/A</v>
        <stp/>
        <stp>BDH|11169909511763745656</stp>
        <tr r="P71" s="2"/>
      </tp>
      <tp t="s">
        <v>#N/A N/A</v>
        <stp/>
        <stp>BDH|15906956109490303043</stp>
        <tr r="T42" s="2"/>
      </tp>
      <tp t="s">
        <v>#N/A N/A</v>
        <stp/>
        <stp>BDH|16988699591596462373</stp>
        <tr r="Y42" s="2"/>
      </tp>
      <tp t="s">
        <v>#N/A N/A</v>
        <stp/>
        <stp>BDH|10311452181469527902</stp>
        <tr r="X26" s="2"/>
      </tp>
      <tp t="s">
        <v>#N/A N/A</v>
        <stp/>
        <stp>BDH|12121070011537223873</stp>
        <tr r="T9" s="2"/>
      </tp>
      <tp t="s">
        <v>#N/A N/A</v>
        <stp/>
        <stp>BDH|14002784793091842763</stp>
        <tr r="AA63" s="2"/>
      </tp>
      <tp t="s">
        <v>#N/A N/A</v>
        <stp/>
        <stp>BDH|14699908390508713045</stp>
        <tr r="J38" s="2"/>
      </tp>
      <tp t="s">
        <v>#N/A N/A</v>
        <stp/>
        <stp>BDH|17822969745263958567</stp>
        <tr r="T34" s="2"/>
      </tp>
      <tp t="s">
        <v>#N/A N/A</v>
        <stp/>
        <stp>BDH|11231249800066751952</stp>
        <tr r="M33" s="2"/>
      </tp>
      <tp t="s">
        <v>#N/A N/A</v>
        <stp/>
        <stp>BDH|15971988131206202557</stp>
        <tr r="S43" s="2"/>
      </tp>
      <tp t="s">
        <v>#N/A N/A</v>
        <stp/>
        <stp>BDH|18149912436696043816</stp>
        <tr r="R19" s="2"/>
      </tp>
      <tp t="s">
        <v>#N/A N/A</v>
        <stp/>
        <stp>BDH|13755335375568427331</stp>
        <tr r="E63" s="2"/>
      </tp>
      <tp t="s">
        <v>#N/A N/A</v>
        <stp/>
        <stp>BDH|13076585020761690989</stp>
        <tr r="J51" s="2"/>
      </tp>
      <tp t="s">
        <v>#N/A N/A</v>
        <stp/>
        <stp>BDH|15462481896685138128</stp>
        <tr r="C52" s="2"/>
      </tp>
      <tp t="s">
        <v>#N/A N/A</v>
        <stp/>
        <stp>BDH|14763787497174705269</stp>
        <tr r="C23" s="2"/>
      </tp>
      <tp t="s">
        <v>#N/A N/A</v>
        <stp/>
        <stp>BDH|11613918739713656401</stp>
        <tr r="R55" s="2"/>
      </tp>
      <tp t="s">
        <v>#N/A N/A</v>
        <stp/>
        <stp>BDH|13643918031255610087</stp>
        <tr r="O63" s="2"/>
      </tp>
      <tp t="s">
        <v>#N/A N/A</v>
        <stp/>
        <stp>BDH|14058147865776873913</stp>
        <tr r="L21" s="2"/>
      </tp>
      <tp t="s">
        <v>#N/A N/A</v>
        <stp/>
        <stp>BDH|17215642821956945955</stp>
        <tr r="W26" s="2"/>
      </tp>
      <tp t="s">
        <v>#N/A N/A</v>
        <stp/>
        <stp>BDH|15974586384894823062</stp>
        <tr r="D68" s="2"/>
      </tp>
      <tp t="s">
        <v>#N/A N/A</v>
        <stp/>
        <stp>BDH|14700126129029491232</stp>
        <tr r="S9" s="2"/>
      </tp>
      <tp t="s">
        <v>#N/A N/A</v>
        <stp/>
        <stp>BDH|12544394485955383012</stp>
        <tr r="H30" s="2"/>
      </tp>
      <tp t="s">
        <v>#N/A N/A</v>
        <stp/>
        <stp>BDH|11072226237054754897</stp>
        <tr r="AC8" s="2"/>
      </tp>
      <tp t="s">
        <v>#N/A N/A</v>
        <stp/>
        <stp>BDH|14009670397241833630</stp>
        <tr r="P48" s="2"/>
        <tr r="P36" s="2"/>
      </tp>
      <tp t="s">
        <v>#N/A N/A</v>
        <stp/>
        <stp>BDH|16904648284997315316</stp>
        <tr r="V9" s="2"/>
      </tp>
      <tp t="s">
        <v>#N/A N/A</v>
        <stp/>
        <stp>BDH|13560534387032979021</stp>
        <tr r="M50" s="2"/>
      </tp>
      <tp t="s">
        <v>#N/A N/A</v>
        <stp/>
        <stp>BDH|10932706460225625824</stp>
        <tr r="C46" s="2"/>
      </tp>
      <tp t="s">
        <v>#N/A N/A</v>
        <stp/>
        <stp>BDH|17341873882732327984</stp>
        <tr r="V32" s="2"/>
      </tp>
      <tp t="s">
        <v>#N/A N/A</v>
        <stp/>
        <stp>BDH|14484401149780573849</stp>
        <tr r="AA21" s="2"/>
      </tp>
      <tp t="s">
        <v>#N/A N/A</v>
        <stp/>
        <stp>BDH|11830725852256465907</stp>
        <tr r="Y9" s="2"/>
      </tp>
      <tp t="s">
        <v>#N/A N/A</v>
        <stp/>
        <stp>BDH|16035291106869611163</stp>
        <tr r="V52" s="2"/>
      </tp>
      <tp t="s">
        <v>#N/A N/A</v>
        <stp/>
        <stp>BDH|16930848702235629767</stp>
        <tr r="Y8" s="2"/>
      </tp>
      <tp t="s">
        <v>#N/A N/A</v>
        <stp/>
        <stp>BDH|12743990100337249030</stp>
        <tr r="W43" s="2"/>
      </tp>
      <tp t="s">
        <v>#N/A N/A</v>
        <stp/>
        <stp>BDH|16824163101319725277</stp>
        <tr r="H28" s="2"/>
      </tp>
      <tp t="s">
        <v>#N/A N/A</v>
        <stp/>
        <stp>BDH|10814042901308216419</stp>
        <tr r="H47" s="2"/>
      </tp>
      <tp t="s">
        <v>#N/A N/A</v>
        <stp/>
        <stp>BDH|15018426228857286869</stp>
        <tr r="E26" s="2"/>
      </tp>
      <tp t="s">
        <v>#N/A N/A</v>
        <stp/>
        <stp>BDH|15231045044348616459</stp>
        <tr r="O30" s="2"/>
      </tp>
      <tp t="s">
        <v>#N/A N/A</v>
        <stp/>
        <stp>BDH|18234490772834083285</stp>
        <tr r="X65" s="2"/>
      </tp>
      <tp t="s">
        <v>#N/A N/A</v>
        <stp/>
        <stp>BDH|10406220794580282605</stp>
        <tr r="T67" s="2"/>
      </tp>
      <tp t="s">
        <v>#N/A N/A</v>
        <stp/>
        <stp>BDH|10027247792384561232</stp>
        <tr r="Y68" s="2"/>
      </tp>
      <tp t="s">
        <v>#N/A N/A</v>
        <stp/>
        <stp>BDH|17145458578981961853</stp>
        <tr r="Y64" s="2"/>
      </tp>
      <tp t="s">
        <v>#N/A N/A</v>
        <stp/>
        <stp>BDH|11764985259697041764</stp>
        <tr r="F42" s="2"/>
      </tp>
      <tp t="s">
        <v>#N/A N/A</v>
        <stp/>
        <stp>BDH|14717278959727944931</stp>
        <tr r="N38" s="2"/>
      </tp>
      <tp t="s">
        <v>#N/A N/A</v>
        <stp/>
        <stp>BDH|16947132618829237233</stp>
        <tr r="O18" s="2"/>
      </tp>
      <tp t="s">
        <v>#N/A N/A</v>
        <stp/>
        <stp>BDH|10990911278561573264</stp>
        <tr r="R10" s="2"/>
      </tp>
      <tp t="s">
        <v>#N/A N/A</v>
        <stp/>
        <stp>BDH|16806703443318901010</stp>
        <tr r="Y19" s="2"/>
      </tp>
      <tp t="s">
        <v>#N/A N/A</v>
        <stp/>
        <stp>BDH|17548039542156566835</stp>
        <tr r="N67" s="2"/>
      </tp>
      <tp t="s">
        <v>#N/A N/A</v>
        <stp/>
        <stp>BDH|12823683421929482271</stp>
        <tr r="M47" s="2"/>
      </tp>
      <tp t="s">
        <v>#N/A N/A</v>
        <stp/>
        <stp>BDH|12972730250538759585</stp>
        <tr r="I58" s="2"/>
      </tp>
      <tp t="s">
        <v>#N/A N/A</v>
        <stp/>
        <stp>BDH|10175723760418405432</stp>
        <tr r="AA35" s="2"/>
      </tp>
      <tp t="s">
        <v>#N/A N/A</v>
        <stp/>
        <stp>BDH|14558159797777877684</stp>
        <tr r="M30" s="2"/>
      </tp>
      <tp t="s">
        <v>#N/A N/A</v>
        <stp/>
        <stp>BDH|11345616654259643678</stp>
        <tr r="W44" s="2"/>
      </tp>
      <tp t="s">
        <v>#N/A N/A</v>
        <stp/>
        <stp>BDH|13269320781283733616</stp>
        <tr r="J69" s="2"/>
      </tp>
      <tp t="s">
        <v>#N/A N/A</v>
        <stp/>
        <stp>BDH|10258372993290866780</stp>
        <tr r="Q40" s="2"/>
      </tp>
      <tp t="s">
        <v>#N/A N/A</v>
        <stp/>
        <stp>BDH|17247328833859337395</stp>
        <tr r="D33" s="2"/>
      </tp>
      <tp t="s">
        <v>#N/A N/A</v>
        <stp/>
        <stp>BDH|10440448787050999171</stp>
        <tr r="AA47" s="2"/>
      </tp>
      <tp t="s">
        <v>#N/A N/A</v>
        <stp/>
        <stp>BDH|13546921858775756732</stp>
        <tr r="L7" s="2"/>
      </tp>
      <tp t="s">
        <v>#N/A N/A</v>
        <stp/>
        <stp>BDH|15168290463785101906</stp>
        <tr r="I53" s="2"/>
      </tp>
      <tp t="s">
        <v>#N/A N/A</v>
        <stp/>
        <stp>BDH|18424088768197007490</stp>
        <tr r="C22" s="2"/>
      </tp>
      <tp t="s">
        <v>#N/A N/A</v>
        <stp/>
        <stp>BDH|14389640659989561368</stp>
        <tr r="O44" s="2"/>
      </tp>
      <tp t="s">
        <v>#N/A N/A</v>
        <stp/>
        <stp>BDH|17848087711573494882</stp>
        <tr r="L44" s="2"/>
      </tp>
      <tp t="s">
        <v>#N/A N/A</v>
        <stp/>
        <stp>BDH|16373697137926288823</stp>
        <tr r="Y39" s="2"/>
      </tp>
      <tp t="s">
        <v>#N/A N/A</v>
        <stp/>
        <stp>BDH|17129349248085594853</stp>
        <tr r="J36" s="2"/>
        <tr r="J48" s="2"/>
      </tp>
      <tp t="s">
        <v>#N/A N/A</v>
        <stp/>
        <stp>BDH|16777347109218235056</stp>
        <tr r="L22" s="2"/>
      </tp>
      <tp t="s">
        <v>#N/A N/A</v>
        <stp/>
        <stp>BDH|12953254158288915019</stp>
        <tr r="AC53" s="2"/>
      </tp>
      <tp t="s">
        <v>#N/A N/A</v>
        <stp/>
        <stp>BDH|12231949476053585296</stp>
        <tr r="Y33" s="2"/>
      </tp>
      <tp t="s">
        <v>#N/A N/A</v>
        <stp/>
        <stp>BDH|14305841974971857753</stp>
        <tr r="D30" s="2"/>
      </tp>
      <tp t="s">
        <v>#N/A N/A</v>
        <stp/>
        <stp>BDH|16856960074331536419</stp>
        <tr r="O67" s="2"/>
      </tp>
      <tp t="s">
        <v>#N/A N/A</v>
        <stp/>
        <stp>BDH|15699270554108296796</stp>
        <tr r="K22" s="2"/>
      </tp>
      <tp t="s">
        <v>#N/A N/A</v>
        <stp/>
        <stp>BDH|13055689158151850393</stp>
        <tr r="G23" s="2"/>
      </tp>
      <tp t="s">
        <v>#N/A N/A</v>
        <stp/>
        <stp>BDH|16052231721756120226</stp>
        <tr r="Q23" s="2"/>
      </tp>
      <tp t="s">
        <v>#N/A N/A</v>
        <stp/>
        <stp>BDH|17937704728411031104</stp>
        <tr r="J37" s="2"/>
      </tp>
      <tp t="s">
        <v>#N/A N/A</v>
        <stp/>
        <stp>BDH|18180460786226776067</stp>
        <tr r="AA69" s="2"/>
      </tp>
      <tp t="s">
        <v>#N/A N/A</v>
        <stp/>
        <stp>BDH|13432992631682518996</stp>
        <tr r="R57" s="2"/>
      </tp>
      <tp t="s">
        <v>#N/A N/A</v>
        <stp/>
        <stp>BDH|14640203305517113327</stp>
        <tr r="L13" s="2"/>
      </tp>
      <tp t="s">
        <v>#N/A N/A</v>
        <stp/>
        <stp>BDH|15184044169720802174</stp>
        <tr r="N11" s="2"/>
      </tp>
      <tp t="s">
        <v>#N/A N/A</v>
        <stp/>
        <stp>BDH|15546767201029463949</stp>
        <tr r="K34" s="2"/>
      </tp>
      <tp t="s">
        <v>#N/A N/A</v>
        <stp/>
        <stp>BDH|12551877331463210835</stp>
        <tr r="C20" s="2"/>
      </tp>
      <tp t="s">
        <v>#N/A N/A</v>
        <stp/>
        <stp>BDH|18376525067078150156</stp>
        <tr r="AA55" s="2"/>
      </tp>
      <tp t="s">
        <v>#N/A N/A</v>
        <stp/>
        <stp>BDH|14510585940341015688</stp>
        <tr r="K40" s="2"/>
      </tp>
      <tp t="s">
        <v>#N/A N/A</v>
        <stp/>
        <stp>BDH|17694719893723401854</stp>
        <tr r="AC31" s="2"/>
      </tp>
      <tp t="s">
        <v>#N/A N/A</v>
        <stp/>
        <stp>BDH|14390757034605199765</stp>
        <tr r="E18" s="2"/>
      </tp>
      <tp t="s">
        <v>#N/A N/A</v>
        <stp/>
        <stp>BDH|16497105780288517557</stp>
        <tr r="D42" s="2"/>
      </tp>
      <tp t="s">
        <v>#N/A N/A</v>
        <stp/>
        <stp>BDH|12755626004110499614</stp>
        <tr r="I20" s="2"/>
      </tp>
      <tp t="s">
        <v>#N/A N/A</v>
        <stp/>
        <stp>BDH|11334950457117574808</stp>
        <tr r="W27" s="2"/>
      </tp>
      <tp t="s">
        <v>#N/A N/A</v>
        <stp/>
        <stp>BDH|13208595309733142777</stp>
        <tr r="J53" s="2"/>
      </tp>
      <tp t="s">
        <v>#N/A N/A</v>
        <stp/>
        <stp>BDH|16578123537457244162</stp>
        <tr r="S13" s="2"/>
      </tp>
      <tp t="s">
        <v>#N/A N/A</v>
        <stp/>
        <stp>BDH|10096101403492102156</stp>
        <tr r="U17" s="2"/>
      </tp>
      <tp t="s">
        <v>#N/A N/A</v>
        <stp/>
        <stp>BDH|11003288958792388649</stp>
        <tr r="E52" s="2"/>
      </tp>
      <tp t="s">
        <v>#N/A N/A</v>
        <stp/>
        <stp>BDH|16609172542766307778</stp>
        <tr r="K36" s="2"/>
        <tr r="K48" s="2"/>
      </tp>
      <tp t="s">
        <v>#N/A N/A</v>
        <stp/>
        <stp>BDH|10157407426297726376</stp>
        <tr r="T70" s="2"/>
      </tp>
      <tp t="s">
        <v>#N/A N/A</v>
        <stp/>
        <stp>BDH|11834181107332789092</stp>
        <tr r="K31" s="2"/>
      </tp>
      <tp t="s">
        <v>#N/A N/A</v>
        <stp/>
        <stp>BDH|17905317222680794443</stp>
        <tr r="G66" s="2"/>
      </tp>
      <tp t="s">
        <v>#N/A N/A</v>
        <stp/>
        <stp>BDH|12418522615636211286</stp>
        <tr r="M73" s="2"/>
      </tp>
      <tp t="s">
        <v>#N/A N/A</v>
        <stp/>
        <stp>BDH|10830048433198236951</stp>
        <tr r="L65" s="2"/>
      </tp>
      <tp t="s">
        <v>#N/A N/A</v>
        <stp/>
        <stp>BDH|14455548998563580952</stp>
        <tr r="Z27" s="2"/>
      </tp>
      <tp t="s">
        <v>#N/A N/A</v>
        <stp/>
        <stp>BDH|10177546562318784988</stp>
        <tr r="J44" s="2"/>
      </tp>
      <tp t="s">
        <v>#N/A N/A</v>
        <stp/>
        <stp>BDH|12039845892819629889</stp>
        <tr r="T72" s="2"/>
      </tp>
      <tp t="s">
        <v>#N/A N/A</v>
        <stp/>
        <stp>BDH|10886520279410806002</stp>
        <tr r="AA11" s="2"/>
      </tp>
      <tp t="s">
        <v>#N/A N/A</v>
        <stp/>
        <stp>BDH|15675834681205814273</stp>
        <tr r="D14" s="2"/>
      </tp>
      <tp t="s">
        <v>#N/A N/A</v>
        <stp/>
        <stp>BDH|15734283474515074711</stp>
        <tr r="F13" s="2"/>
      </tp>
      <tp t="s">
        <v>#N/A N/A</v>
        <stp/>
        <stp>BDH|13087154048223425745</stp>
        <tr r="W9" s="2"/>
      </tp>
      <tp t="s">
        <v>#N/A N/A</v>
        <stp/>
        <stp>BDH|11961278717615259568</stp>
        <tr r="K52" s="2"/>
      </tp>
      <tp t="s">
        <v>#N/A N/A</v>
        <stp/>
        <stp>BDH|11895736707873654750</stp>
        <tr r="AB39" s="2"/>
      </tp>
      <tp t="s">
        <v>#N/A N/A</v>
        <stp/>
        <stp>BDH|13367037043301812456</stp>
        <tr r="O33" s="2"/>
      </tp>
      <tp t="s">
        <v>#N/A N/A</v>
        <stp/>
        <stp>BDH|17093899625738257707</stp>
        <tr r="U62" s="2"/>
      </tp>
      <tp t="s">
        <v>#N/A N/A</v>
        <stp/>
        <stp>BDH|16621809250180537826</stp>
        <tr r="P14" s="2"/>
      </tp>
      <tp t="s">
        <v>#N/A N/A</v>
        <stp/>
        <stp>BDH|13592007047692308605</stp>
        <tr r="D52" s="2"/>
      </tp>
      <tp t="s">
        <v>#N/A N/A</v>
        <stp/>
        <stp>BDH|17939686667746161265</stp>
        <tr r="Z70" s="2"/>
      </tp>
      <tp t="s">
        <v>#N/A N/A</v>
        <stp/>
        <stp>BDH|11424618394228463551</stp>
        <tr r="L53" s="2"/>
      </tp>
      <tp t="s">
        <v>#N/A N/A</v>
        <stp/>
        <stp>BDH|12309947602209120144</stp>
        <tr r="W25" s="2"/>
      </tp>
      <tp t="s">
        <v>#N/A N/A</v>
        <stp/>
        <stp>BDH|10361202033216842483</stp>
        <tr r="D38" s="2"/>
      </tp>
      <tp t="s">
        <v>#N/A N/A</v>
        <stp/>
        <stp>BDH|12179069201686167745</stp>
        <tr r="Q35" s="2"/>
      </tp>
      <tp t="s">
        <v>#N/A N/A</v>
        <stp/>
        <stp>BDH|15661653044021088542</stp>
        <tr r="R52" s="2"/>
      </tp>
      <tp t="s">
        <v>#N/A N/A</v>
        <stp/>
        <stp>BDH|11512253962257062110</stp>
        <tr r="Q8" s="2"/>
      </tp>
      <tp t="s">
        <v>#N/A N/A</v>
        <stp/>
        <stp>BDH|14924083878073357391</stp>
        <tr r="AB33" s="2"/>
      </tp>
      <tp t="s">
        <v>#N/A N/A</v>
        <stp/>
        <stp>BDH|14012218222295563242</stp>
        <tr r="E67" s="2"/>
      </tp>
      <tp t="s">
        <v>#N/A N/A</v>
        <stp/>
        <stp>BDH|18047819146906791121</stp>
        <tr r="W65" s="2"/>
      </tp>
      <tp t="s">
        <v>#N/A N/A</v>
        <stp/>
        <stp>BDH|13386072530007727418</stp>
        <tr r="V42" s="2"/>
      </tp>
      <tp t="s">
        <v>#N/A N/A</v>
        <stp/>
        <stp>BDH|14815775986378915022</stp>
        <tr r="Y46" s="2"/>
      </tp>
      <tp t="s">
        <v>#N/A N/A</v>
        <stp/>
        <stp>BDH|14458320893988458540</stp>
        <tr r="Z12" s="2"/>
      </tp>
      <tp t="s">
        <v>#N/A N/A</v>
        <stp/>
        <stp>BDH|17151895761482446888</stp>
        <tr r="G58" s="2"/>
      </tp>
      <tp t="s">
        <v>#N/A N/A</v>
        <stp/>
        <stp>BDH|10380473218745946300</stp>
        <tr r="Y10" s="2"/>
      </tp>
      <tp t="s">
        <v>#N/A N/A</v>
        <stp/>
        <stp>BDH|15693202556721440015</stp>
        <tr r="W28" s="2"/>
      </tp>
      <tp t="s">
        <v>#N/A N/A</v>
        <stp/>
        <stp>BDH|12828007889221482802</stp>
        <tr r="X6" s="2"/>
      </tp>
      <tp t="s">
        <v>#N/A N/A</v>
        <stp/>
        <stp>BDH|17326241120194602043</stp>
        <tr r="P31" s="2"/>
      </tp>
      <tp t="s">
        <v>#N/A N/A</v>
        <stp/>
        <stp>BDH|15627957978581865963</stp>
        <tr r="K14" s="2"/>
      </tp>
      <tp t="s">
        <v>#N/A N/A</v>
        <stp/>
        <stp>BDH|15430325115315246145</stp>
        <tr r="AD7" s="2"/>
      </tp>
      <tp t="s">
        <v>#N/A N/A</v>
        <stp/>
        <stp>BDH|11312559775751645110</stp>
        <tr r="C24" s="2"/>
      </tp>
      <tp t="s">
        <v>#N/A N/A</v>
        <stp/>
        <stp>BDH|11033486893868933762</stp>
        <tr r="J58" s="2"/>
      </tp>
      <tp t="s">
        <v>#N/A N/A</v>
        <stp/>
        <stp>BDH|11175167859876928036</stp>
        <tr r="Z67" s="2"/>
      </tp>
      <tp t="s">
        <v>#N/A N/A</v>
        <stp/>
        <stp>BDH|15428671145182436660</stp>
        <tr r="K66" s="2"/>
      </tp>
      <tp t="s">
        <v>#N/A N/A</v>
        <stp/>
        <stp>BDH|11543347486930041939</stp>
        <tr r="L36" s="2"/>
        <tr r="L48" s="2"/>
      </tp>
      <tp t="s">
        <v>#N/A N/A</v>
        <stp/>
        <stp>BDH|15453466698692708992</stp>
        <tr r="Q50" s="2"/>
      </tp>
      <tp t="s">
        <v>#N/A N/A</v>
        <stp/>
        <stp>BDH|12616956893769502815</stp>
        <tr r="P64" s="2"/>
      </tp>
      <tp t="s">
        <v>#N/A N/A</v>
        <stp/>
        <stp>BDH|14733028731276059208</stp>
        <tr r="P22" s="2"/>
      </tp>
      <tp t="s">
        <v>#N/A N/A</v>
        <stp/>
        <stp>BDH|12024635061379095852</stp>
        <tr r="W31" s="2"/>
      </tp>
      <tp t="s">
        <v>#N/A N/A</v>
        <stp/>
        <stp>BDH|14151238614157878399</stp>
        <tr r="S26" s="2"/>
      </tp>
      <tp t="s">
        <v>#N/A N/A</v>
        <stp/>
        <stp>BDH|13223253216765471627</stp>
        <tr r="T30" s="2"/>
      </tp>
      <tp t="s">
        <v>#N/A N/A</v>
        <stp/>
        <stp>BDH|16396745224128184850</stp>
        <tr r="W68" s="2"/>
      </tp>
      <tp t="s">
        <v>#N/A N/A</v>
        <stp/>
        <stp>BDH|15749575922546630728</stp>
        <tr r="U70" s="2"/>
      </tp>
      <tp t="s">
        <v>#N/A N/A</v>
        <stp/>
        <stp>BDH|10618134126348237879</stp>
        <tr r="F70" s="2"/>
      </tp>
      <tp t="s">
        <v>#N/A N/A</v>
        <stp/>
        <stp>BDH|15134609393859485006</stp>
        <tr r="N50" s="2"/>
      </tp>
      <tp t="s">
        <v>#N/A N/A</v>
        <stp/>
        <stp>BDH|16105245253816874486</stp>
        <tr r="M39" s="2"/>
      </tp>
      <tp t="s">
        <v>#N/A N/A</v>
        <stp/>
        <stp>BDH|12519076930550469205</stp>
        <tr r="E33" s="2"/>
      </tp>
      <tp t="s">
        <v>#N/A N/A</v>
        <stp/>
        <stp>BDH|13560495225220391637</stp>
        <tr r="R65" s="2"/>
      </tp>
      <tp t="s">
        <v>#N/A N/A</v>
        <stp/>
        <stp>BDH|10720293662845139248</stp>
        <tr r="G16" s="2"/>
      </tp>
      <tp t="s">
        <v>#N/A N/A</v>
        <stp/>
        <stp>BDH|17017809414299455484</stp>
        <tr r="W10" s="2"/>
      </tp>
      <tp t="s">
        <v>#N/A N/A</v>
        <stp/>
        <stp>BDH|11513248731073963010</stp>
        <tr r="M70" s="2"/>
      </tp>
      <tp t="s">
        <v>#N/A N/A</v>
        <stp/>
        <stp>BDH|17901718471426592242</stp>
        <tr r="C47" s="2"/>
      </tp>
      <tp t="s">
        <v>#N/A N/A</v>
        <stp/>
        <stp>BDH|11648618958788297956</stp>
        <tr r="P37" s="2"/>
      </tp>
      <tp t="s">
        <v>#N/A N/A</v>
        <stp/>
        <stp>BDH|15132495113943076006</stp>
        <tr r="K6" s="2"/>
      </tp>
      <tp t="s">
        <v>#N/A N/A</v>
        <stp/>
        <stp>BDH|14452070769205617470</stp>
        <tr r="AC56" s="2"/>
      </tp>
      <tp t="s">
        <v>#N/A N/A</v>
        <stp/>
        <stp>BDH|11995750841626393752</stp>
        <tr r="I34" s="2"/>
      </tp>
      <tp t="s">
        <v>#N/A N/A</v>
        <stp/>
        <stp>BDH|15916934888452131598</stp>
        <tr r="I6" s="2"/>
      </tp>
      <tp t="s">
        <v>#N/A N/A</v>
        <stp/>
        <stp>BDH|16058104040507225788</stp>
        <tr r="C10" s="2"/>
      </tp>
      <tp t="s">
        <v>#N/A N/A</v>
        <stp/>
        <stp>BDH|12272082540327580250</stp>
        <tr r="AB57" s="2"/>
      </tp>
      <tp t="s">
        <v>#N/A N/A</v>
        <stp/>
        <stp>BDH|17347560218432093277</stp>
        <tr r="T47" s="2"/>
      </tp>
      <tp t="s">
        <v>#N/A N/A</v>
        <stp/>
        <stp>BDH|17532321873711645180</stp>
        <tr r="L17" s="2"/>
      </tp>
      <tp t="s">
        <v>#N/A N/A</v>
        <stp/>
        <stp>BDH|18050267478079720731</stp>
        <tr r="F43" s="2"/>
      </tp>
      <tp t="s">
        <v>#N/A N/A</v>
        <stp/>
        <stp>BDH|18339747483254727092</stp>
        <tr r="AC18" s="2"/>
      </tp>
      <tp t="s">
        <v>#N/A N/A</v>
        <stp/>
        <stp>BDH|16580197550161215035</stp>
        <tr r="O28" s="2"/>
      </tp>
      <tp t="s">
        <v>#N/A N/A</v>
        <stp/>
        <stp>BDH|13188694053742119176</stp>
        <tr r="AA7" s="2"/>
      </tp>
      <tp t="s">
        <v>#N/A N/A</v>
        <stp/>
        <stp>BDH|16324086158614717494</stp>
        <tr r="H68" s="2"/>
      </tp>
      <tp t="s">
        <v>#N/A N/A</v>
        <stp/>
        <stp>BDH|16882344952287188439</stp>
        <tr r="R71" s="2"/>
      </tp>
      <tp t="s">
        <v>#N/A N/A</v>
        <stp/>
        <stp>BDH|11084320155286044284</stp>
        <tr r="M43" s="2"/>
      </tp>
      <tp t="s">
        <v>#N/A N/A</v>
        <stp/>
        <stp>BDH|10473490390936203807</stp>
        <tr r="D9" s="2"/>
      </tp>
      <tp t="s">
        <v>#N/A N/A</v>
        <stp/>
        <stp>BDH|17920005142891232161</stp>
        <tr r="M34" s="2"/>
      </tp>
      <tp t="s">
        <v>#N/A N/A</v>
        <stp/>
        <stp>BDH|12670895095651694126</stp>
        <tr r="F38" s="2"/>
      </tp>
      <tp t="s">
        <v>#N/A N/A</v>
        <stp/>
        <stp>BDH|14847350537936530115</stp>
        <tr r="S58" s="2"/>
      </tp>
      <tp t="s">
        <v>#N/A N/A</v>
        <stp/>
        <stp>BDH|11773895277414136968</stp>
        <tr r="Q62" s="2"/>
      </tp>
      <tp t="s">
        <v>#N/A N/A</v>
        <stp/>
        <stp>BDH|11805201350441308459</stp>
        <tr r="T57" s="2"/>
      </tp>
      <tp t="s">
        <v>#N/A N/A</v>
        <stp/>
        <stp>BDH|15541575333329762987</stp>
        <tr r="F24" s="2"/>
      </tp>
      <tp t="s">
        <v>#N/A N/A</v>
        <stp/>
        <stp>BDH|17892090937430103467</stp>
        <tr r="H63" s="2"/>
      </tp>
      <tp t="s">
        <v>#N/A N/A</v>
        <stp/>
        <stp>BDH|10180286466830914479</stp>
        <tr r="R39" s="2"/>
      </tp>
      <tp t="s">
        <v>#N/A N/A</v>
        <stp/>
        <stp>BDH|11781746300426060028</stp>
        <tr r="AC24" s="2"/>
      </tp>
      <tp t="s">
        <v>#N/A N/A</v>
        <stp/>
        <stp>BDH|16313243712062784727</stp>
        <tr r="H23" s="2"/>
      </tp>
      <tp t="s">
        <v>#N/A N/A</v>
        <stp/>
        <stp>BDH|18015555410858134442</stp>
        <tr r="N29" s="2"/>
      </tp>
      <tp t="s">
        <v>#N/A N/A</v>
        <stp/>
        <stp>BDH|17750277800572150714</stp>
        <tr r="Y67" s="2"/>
      </tp>
      <tp t="s">
        <v>#N/A N/A</v>
        <stp/>
        <stp>BDH|11986733820017289386</stp>
        <tr r="T37" s="2"/>
      </tp>
      <tp t="s">
        <v>#N/A N/A</v>
        <stp/>
        <stp>BDH|12438442166790159048</stp>
        <tr r="J26" s="2"/>
      </tp>
      <tp t="s">
        <v>#N/A N/A</v>
        <stp/>
        <stp>BDH|16107300369534390783</stp>
        <tr r="Y70" s="2"/>
      </tp>
      <tp t="s">
        <v>#N/A N/A</v>
        <stp/>
        <stp>BDH|11959691246874608726</stp>
        <tr r="H9" s="2"/>
      </tp>
      <tp t="s">
        <v>#N/A N/A</v>
        <stp/>
        <stp>BDH|16686790239773166150</stp>
        <tr r="G71" s="2"/>
      </tp>
      <tp t="s">
        <v>#N/A N/A</v>
        <stp/>
        <stp>BDH|11276459111930182456</stp>
        <tr r="D13" s="2"/>
      </tp>
      <tp t="s">
        <v>#N/A N/A</v>
        <stp/>
        <stp>BDH|14977149561210773393</stp>
        <tr r="J46" s="2"/>
      </tp>
      <tp t="s">
        <v>#N/A N/A</v>
        <stp/>
        <stp>BDH|16682521566285996091</stp>
        <tr r="AB17" s="2"/>
      </tp>
      <tp t="s">
        <v>#N/A N/A</v>
        <stp/>
        <stp>BDH|13521333607711489178</stp>
        <tr r="F6" s="2"/>
      </tp>
      <tp t="s">
        <v>#N/A N/A</v>
        <stp/>
        <stp>BDH|10363067673590759734</stp>
        <tr r="X42" s="2"/>
      </tp>
      <tp t="s">
        <v>#N/A N/A</v>
        <stp/>
        <stp>BDH|16549778444346517364</stp>
        <tr r="H56" s="2"/>
      </tp>
      <tp t="s">
        <v>#N/A N/A</v>
        <stp/>
        <stp>BDH|13514011867165007069</stp>
        <tr r="I17" s="2"/>
      </tp>
      <tp t="s">
        <v>#N/A N/A</v>
        <stp/>
        <stp>BDH|13426084641234180393</stp>
        <tr r="L23" s="2"/>
      </tp>
      <tp t="s">
        <v>#N/A N/A</v>
        <stp/>
        <stp>BDH|16625327883204604949</stp>
        <tr r="S70" s="2"/>
      </tp>
      <tp t="s">
        <v>#N/A N/A</v>
        <stp/>
        <stp>BDH|16677676024591554352</stp>
        <tr r="J43" s="2"/>
      </tp>
      <tp t="s">
        <v>#N/A N/A</v>
        <stp/>
        <stp>BDH|12963542143151343280</stp>
        <tr r="F39" s="2"/>
      </tp>
      <tp t="s">
        <v>#N/A N/A</v>
        <stp/>
        <stp>BDH|12168099110917925459</stp>
        <tr r="G41" s="2"/>
      </tp>
      <tp t="s">
        <v>#N/A N/A</v>
        <stp/>
        <stp>BDH|11810148607396968661</stp>
        <tr r="G29" s="2"/>
      </tp>
      <tp t="s">
        <v>#N/A N/A</v>
        <stp/>
        <stp>BDH|10251235016857082432</stp>
        <tr r="M57" s="2"/>
      </tp>
      <tp t="s">
        <v>#N/A N/A</v>
        <stp/>
        <stp>BDH|12556782854652402294</stp>
        <tr r="M6" s="2"/>
      </tp>
      <tp t="s">
        <v>#N/A N/A</v>
        <stp/>
        <stp>BDH|13784466546825360605</stp>
        <tr r="G62" s="2"/>
      </tp>
      <tp t="s">
        <v>#N/A N/A</v>
        <stp/>
        <stp>BDH|13807290041111752408</stp>
        <tr r="I55" s="2"/>
      </tp>
      <tp t="s">
        <v>#N/A N/A</v>
        <stp/>
        <stp>BDH|12566723425024278371</stp>
        <tr r="J34" s="2"/>
      </tp>
      <tp t="s">
        <v>#N/A N/A</v>
        <stp/>
        <stp>BDH|12413997888282152132</stp>
        <tr r="T29" s="2"/>
      </tp>
      <tp t="s">
        <v>#N/A N/A</v>
        <stp/>
        <stp>BDH|13442142712157065456</stp>
        <tr r="E50" s="2"/>
      </tp>
      <tp t="s">
        <v>#N/A N/A</v>
        <stp/>
        <stp>BDH|13696692745610942152</stp>
        <tr r="U57" s="2"/>
      </tp>
      <tp t="s">
        <v>#N/A N/A</v>
        <stp/>
        <stp>BDH|17429629145434332168</stp>
        <tr r="O32" s="2"/>
      </tp>
      <tp t="s">
        <v>#N/A N/A</v>
        <stp/>
        <stp>BDH|17686389431947066061</stp>
        <tr r="R62" s="2"/>
      </tp>
      <tp t="s">
        <v>#N/A N/A</v>
        <stp/>
        <stp>BDH|16031987970561684963</stp>
        <tr r="T68" s="2"/>
      </tp>
      <tp t="s">
        <v>#N/A N/A</v>
        <stp/>
        <stp>BDH|15866706815760456311</stp>
        <tr r="T55" s="2"/>
      </tp>
      <tp t="s">
        <v>#N/A N/A</v>
        <stp/>
        <stp>BDH|12456620651005808476</stp>
        <tr r="V38" s="2"/>
      </tp>
      <tp t="s">
        <v>#N/A N/A</v>
        <stp/>
        <stp>BDH|13308905381791361390</stp>
        <tr r="W14" s="2"/>
      </tp>
      <tp t="s">
        <v>#N/A N/A</v>
        <stp/>
        <stp>BDH|10866379372171620503</stp>
        <tr r="H35" s="2"/>
      </tp>
      <tp t="s">
        <v>#N/A N/A</v>
        <stp/>
        <stp>BDH|12210434260844397495</stp>
        <tr r="X46" s="2"/>
      </tp>
      <tp t="s">
        <v>#N/A N/A</v>
        <stp/>
        <stp>BDH|17576474215745908751</stp>
        <tr r="Y56" s="2"/>
      </tp>
      <tp t="s">
        <v>#N/A N/A</v>
        <stp/>
        <stp>BDH|14146384540371605252</stp>
        <tr r="O20" s="2"/>
      </tp>
      <tp t="s">
        <v>#N/A N/A</v>
        <stp/>
        <stp>BDH|17867640986298669167</stp>
        <tr r="G30" s="2"/>
      </tp>
      <tp t="s">
        <v>#N/A N/A</v>
        <stp/>
        <stp>BDH|11095580831253270466</stp>
        <tr r="C42" s="2"/>
      </tp>
      <tp t="s">
        <v>#N/A N/A</v>
        <stp/>
        <stp>BDH|13791453275717361791</stp>
        <tr r="Y15" s="2"/>
      </tp>
      <tp t="s">
        <v>#N/A N/A</v>
        <stp/>
        <stp>BDH|15325330878746231778</stp>
        <tr r="N21" s="2"/>
      </tp>
      <tp t="s">
        <v>#N/A N/A</v>
        <stp/>
        <stp>BDH|13646638905800927545</stp>
        <tr r="L64" s="2"/>
      </tp>
      <tp t="s">
        <v>#N/A N/A</v>
        <stp/>
        <stp>BDH|11788928137612853973</stp>
        <tr r="C64" s="2"/>
      </tp>
      <tp t="s">
        <v>#N/A N/A</v>
        <stp/>
        <stp>BDH|10036489146642697253</stp>
        <tr r="O43" s="2"/>
      </tp>
      <tp t="s">
        <v>#N/A N/A</v>
        <stp/>
        <stp>BDH|16728794624541751202</stp>
        <tr r="N57" s="2"/>
      </tp>
      <tp t="s">
        <v>#N/A N/A</v>
        <stp/>
        <stp>BDH|18445255580607451592</stp>
        <tr r="T46" s="2"/>
      </tp>
      <tp t="s">
        <v>#N/A N/A</v>
        <stp/>
        <stp>BDH|12051999187800188338</stp>
        <tr r="J11" s="2"/>
      </tp>
      <tp t="s">
        <v>#N/A N/A</v>
        <stp/>
        <stp>BDH|10573215428549556968</stp>
        <tr r="H33" s="2"/>
      </tp>
      <tp t="s">
        <v>#N/A N/A</v>
        <stp/>
        <stp>BDH|11969630104517678078</stp>
        <tr r="U43" s="2"/>
      </tp>
      <tp t="s">
        <v>#N/A N/A</v>
        <stp/>
        <stp>BDH|18280287987417213509</stp>
        <tr r="AB68" s="2"/>
      </tp>
      <tp t="s">
        <v>#N/A N/A</v>
        <stp/>
        <stp>BDH|16115756765394665382</stp>
        <tr r="R67" s="2"/>
      </tp>
      <tp t="s">
        <v>#N/A N/A</v>
        <stp/>
        <stp>BDH|12008392451263298745</stp>
        <tr r="L70" s="2"/>
      </tp>
      <tp t="s">
        <v>#N/A N/A</v>
        <stp/>
        <stp>BDH|13823846903603372827</stp>
        <tr r="H50" s="2"/>
      </tp>
      <tp t="s">
        <v>#N/A N/A</v>
        <stp/>
        <stp>BDH|14011608468846670201</stp>
        <tr r="I43" s="2"/>
      </tp>
      <tp t="s">
        <v>#N/A N/A</v>
        <stp/>
        <stp>BDH|17397671956861913555</stp>
        <tr r="J18" s="2"/>
      </tp>
      <tp t="s">
        <v>#N/A N/A</v>
        <stp/>
        <stp>BDH|16042453423727613618</stp>
        <tr r="T51" s="2"/>
      </tp>
      <tp t="s">
        <v>#N/A N/A</v>
        <stp/>
        <stp>BDH|13730896059296205948</stp>
        <tr r="N18" s="2"/>
      </tp>
      <tp t="s">
        <v>#N/A N/A</v>
        <stp/>
        <stp>BDH|12975854204149153284</stp>
        <tr r="V8" s="2"/>
      </tp>
      <tp t="s">
        <v>#N/A N/A</v>
        <stp/>
        <stp>BDH|12432792366975910738</stp>
        <tr r="F44" s="2"/>
      </tp>
      <tp t="s">
        <v>#N/A N/A</v>
        <stp/>
        <stp>BDH|17682585069985541037</stp>
        <tr r="Y41" s="2"/>
      </tp>
      <tp t="s">
        <v>#N/A N/A</v>
        <stp/>
        <stp>BDH|18164300335819352070</stp>
        <tr r="Q18" s="2"/>
      </tp>
      <tp t="s">
        <v>#N/A N/A</v>
        <stp/>
        <stp>BDH|11197636086377066940</stp>
        <tr r="K13" s="2"/>
      </tp>
      <tp t="s">
        <v>#N/A N/A</v>
        <stp/>
        <stp>BDH|16019887718576479847</stp>
        <tr r="M66" s="2"/>
      </tp>
      <tp t="s">
        <v>#N/A N/A</v>
        <stp/>
        <stp>BDH|14023642774253251720</stp>
        <tr r="AB11" s="2"/>
      </tp>
      <tp t="s">
        <v>#N/A N/A</v>
        <stp/>
        <stp>BDH|16566661023535124629</stp>
        <tr r="H39" s="2"/>
      </tp>
      <tp t="s">
        <v>#N/A N/A</v>
        <stp/>
        <stp>BDH|14078717692099796271</stp>
        <tr r="V55" s="2"/>
      </tp>
      <tp t="s">
        <v>#N/A N/A</v>
        <stp/>
        <stp>BDH|13761124586379676260</stp>
        <tr r="Z37" s="2"/>
      </tp>
      <tp t="s">
        <v>#N/A N/A</v>
        <stp/>
        <stp>BDH|11688981897025389583</stp>
        <tr r="X30" s="2"/>
      </tp>
      <tp t="s">
        <v>#N/A N/A</v>
        <stp/>
        <stp>BDH|13148850476588360535</stp>
        <tr r="X33" s="2"/>
      </tp>
      <tp t="s">
        <v>#N/A N/A</v>
        <stp/>
        <stp>BDH|17096764064643777479</stp>
        <tr r="K50" s="2"/>
      </tp>
      <tp t="s">
        <v>#N/A N/A</v>
        <stp/>
        <stp>BDH|14414762096882083919</stp>
        <tr r="T33" s="2"/>
      </tp>
      <tp t="s">
        <v>#N/A N/A</v>
        <stp/>
        <stp>BDH|17261738934324598658</stp>
        <tr r="AC64" s="2"/>
      </tp>
      <tp t="s">
        <v>#N/A N/A</v>
        <stp/>
        <stp>BDH|13997733529810469726</stp>
        <tr r="Z14" s="2"/>
      </tp>
      <tp t="s">
        <v>#N/A N/A</v>
        <stp/>
        <stp>BDH|11672794469048137921</stp>
        <tr r="O10" s="2"/>
      </tp>
      <tp t="s">
        <v>#N/A N/A</v>
        <stp/>
        <stp>BDH|13312955843247529850</stp>
        <tr r="N36" s="2"/>
        <tr r="N48" s="2"/>
      </tp>
      <tp t="s">
        <v>#N/A N/A</v>
        <stp/>
        <stp>BDH|14361360308205951308</stp>
        <tr r="M12" s="2"/>
      </tp>
      <tp t="s">
        <v>#N/A N/A</v>
        <stp/>
        <stp>BDH|15379876698225926017</stp>
        <tr r="U52" s="2"/>
      </tp>
      <tp t="s">
        <v>#N/A N/A</v>
        <stp/>
        <stp>BDH|15925219369853541339</stp>
        <tr r="K37" s="2"/>
      </tp>
      <tp t="s">
        <v>#N/A N/A</v>
        <stp/>
        <stp>BDH|13922010091852675990</stp>
        <tr r="H27" s="2"/>
      </tp>
      <tp t="s">
        <v>#N/A N/A</v>
        <stp/>
        <stp>BDH|16061728915228632986</stp>
        <tr r="Q11" s="2"/>
      </tp>
      <tp t="s">
        <v>#N/A N/A</v>
        <stp/>
        <stp>BDH|17441189227774005122</stp>
        <tr r="J47" s="2"/>
      </tp>
      <tp t="s">
        <v>#N/A N/A</v>
        <stp/>
        <stp>BDH|13128413168697775766</stp>
        <tr r="E68" s="2"/>
      </tp>
      <tp t="s">
        <v>#N/A N/A</v>
        <stp/>
        <stp>BDH|16181564512382511185</stp>
        <tr r="K65" s="2"/>
      </tp>
      <tp t="s">
        <v>#N/A N/A</v>
        <stp/>
        <stp>BDH|10908792957281920268</stp>
        <tr r="N41" s="2"/>
      </tp>
      <tp t="s">
        <v>#N/A N/A</v>
        <stp/>
        <stp>BDH|12678573879875362433</stp>
        <tr r="AA65" s="2"/>
      </tp>
      <tp t="s">
        <v>#N/A N/A</v>
        <stp/>
        <stp>BDH|16196267434773316581</stp>
        <tr r="N19" s="2"/>
      </tp>
      <tp t="s">
        <v>#N/A N/A</v>
        <stp/>
        <stp>BDH|15566491847906084230</stp>
        <tr r="AD32" s="2"/>
      </tp>
      <tp t="s">
        <v>#N/A N/A</v>
        <stp/>
        <stp>BDH|18277883251321974598</stp>
        <tr r="C70" s="2"/>
      </tp>
      <tp t="s">
        <v>#N/A N/A</v>
        <stp/>
        <stp>BDH|17630075933162122783</stp>
        <tr r="AA23" s="2"/>
      </tp>
      <tp t="s">
        <v>#N/A N/A</v>
        <stp/>
        <stp>BDH|11372946739239329371</stp>
        <tr r="Z56" s="2"/>
      </tp>
      <tp t="s">
        <v>#N/A N/A</v>
        <stp/>
        <stp>BDH|13102405723231924513</stp>
        <tr r="F56" s="2"/>
      </tp>
      <tp t="s">
        <v>#N/A N/A</v>
        <stp/>
        <stp>BDH|16053913288052311474</stp>
        <tr r="X62" s="2"/>
      </tp>
      <tp t="s">
        <v>#N/A N/A</v>
        <stp/>
        <stp>BDH|10723190200813796364</stp>
        <tr r="AA38" s="2"/>
      </tp>
      <tp t="s">
        <v>#N/A N/A</v>
        <stp/>
        <stp>BDH|10843554103631622573</stp>
        <tr r="X73" s="2"/>
      </tp>
      <tp t="s">
        <v>#N/A N/A</v>
        <stp/>
        <stp>BDH|10940982899245542438</stp>
        <tr r="U69" s="2"/>
      </tp>
      <tp t="s">
        <v>#N/A N/A</v>
        <stp/>
        <stp>BDH|11765711760048829909</stp>
        <tr r="AC23" s="2"/>
      </tp>
      <tp t="s">
        <v>#N/A N/A</v>
        <stp/>
        <stp>BDH|15991959892830762479</stp>
        <tr r="I39" s="2"/>
      </tp>
      <tp t="s">
        <v>#N/A N/A</v>
        <stp/>
        <stp>BDH|14510470918821083145</stp>
        <tr r="U10" s="2"/>
      </tp>
      <tp t="s">
        <v>#N/A N/A</v>
        <stp/>
        <stp>BDH|15856798641796811687</stp>
        <tr r="V71" s="2"/>
      </tp>
      <tp t="s">
        <v>#N/A N/A</v>
        <stp/>
        <stp>BDH|16080251036516710776</stp>
        <tr r="S62" s="2"/>
      </tp>
      <tp t="s">
        <v>#N/A N/A</v>
        <stp/>
        <stp>BDH|13772378307712264467</stp>
        <tr r="O31" s="2"/>
      </tp>
      <tp t="s">
        <v>#N/A N/A</v>
        <stp/>
        <stp>BDH|15702856945698485707</stp>
        <tr r="F71" s="2"/>
      </tp>
      <tp t="s">
        <v>#N/A N/A</v>
        <stp/>
        <stp>BDH|18115426623209438178</stp>
        <tr r="W39" s="2"/>
      </tp>
      <tp t="s">
        <v>#N/A N/A</v>
        <stp/>
        <stp>BDH|16721748125111037455</stp>
        <tr r="AD64" s="2"/>
      </tp>
      <tp t="s">
        <v>#N/A N/A</v>
        <stp/>
        <stp>BDH|16622658672551570075</stp>
        <tr r="O47" s="2"/>
      </tp>
      <tp t="s">
        <v>#N/A N/A</v>
        <stp/>
        <stp>BDH|15500625551497319761</stp>
        <tr r="Q13" s="2"/>
      </tp>
      <tp t="s">
        <v>#N/A N/A</v>
        <stp/>
        <stp>BDH|15158504872280069103</stp>
        <tr r="W7" s="2"/>
      </tp>
      <tp t="s">
        <v>#N/A N/A</v>
        <stp/>
        <stp>BDH|15428448057655573700</stp>
        <tr r="G46" s="2"/>
      </tp>
      <tp t="s">
        <v>#N/A N/A</v>
        <stp/>
        <stp>BDH|16580015532471426202</stp>
        <tr r="V30" s="2"/>
      </tp>
      <tp t="s">
        <v>#N/A N/A</v>
        <stp/>
        <stp>BDH|11058564460872012647</stp>
        <tr r="W55" s="2"/>
      </tp>
      <tp t="s">
        <v>#N/A N/A</v>
        <stp/>
        <stp>BDH|16173098270037945036</stp>
        <tr r="S27" s="2"/>
      </tp>
      <tp t="s">
        <v>#N/A N/A</v>
        <stp/>
        <stp>BDH|11378175196066761971</stp>
        <tr r="AD18" s="2"/>
      </tp>
      <tp t="s">
        <v>#N/A N/A</v>
        <stp/>
        <stp>BDH|13652647155973500571</stp>
        <tr r="Y72" s="2"/>
      </tp>
      <tp t="s">
        <v>#N/A N/A</v>
        <stp/>
        <stp>BDH|17156365422485988596</stp>
        <tr r="T39" s="2"/>
      </tp>
      <tp t="s">
        <v>#N/A N/A</v>
        <stp/>
        <stp>BDH|15058734365801542364</stp>
        <tr r="P44" s="2"/>
      </tp>
      <tp t="s">
        <v>#N/A N/A</v>
        <stp/>
        <stp>BDH|17361756384807101966</stp>
        <tr r="G24" s="2"/>
      </tp>
      <tp t="s">
        <v>#N/A N/A</v>
        <stp/>
        <stp>BDH|12592573215833682347</stp>
        <tr r="R15" s="2"/>
      </tp>
      <tp t="s">
        <v>#N/A N/A</v>
        <stp/>
        <stp>BDH|10533491038168271938</stp>
        <tr r="M68" s="2"/>
      </tp>
      <tp t="s">
        <v>#N/A N/A</v>
        <stp/>
        <stp>BDH|14972116946800846727</stp>
        <tr r="AC7" s="2"/>
      </tp>
      <tp t="s">
        <v>#N/A N/A</v>
        <stp/>
        <stp>BDH|12876189494879691565</stp>
        <tr r="F29" s="2"/>
      </tp>
      <tp t="s">
        <v>#N/A N/A</v>
        <stp/>
        <stp>BDH|16805658427540944478</stp>
        <tr r="AA46" s="2"/>
      </tp>
      <tp t="s">
        <v>#N/A N/A</v>
        <stp/>
        <stp>BDH|15559225660214563357</stp>
        <tr r="C31" s="2"/>
      </tp>
      <tp t="s">
        <v>#N/A N/A</v>
        <stp/>
        <stp>BDH|15201760244085401532</stp>
        <tr r="G11" s="2"/>
      </tp>
      <tp t="s">
        <v>#N/A N/A</v>
        <stp/>
        <stp>BDH|14130951323011229826</stp>
        <tr r="J62" s="2"/>
      </tp>
      <tp t="s">
        <v>#N/A N/A</v>
        <stp/>
        <stp>BDH|12711221373259900884</stp>
        <tr r="T17" s="2"/>
      </tp>
      <tp t="s">
        <v>#N/A N/A</v>
        <stp/>
        <stp>BDH|17084479546565529433</stp>
        <tr r="J8" s="2"/>
      </tp>
      <tp t="s">
        <v>#N/A N/A</v>
        <stp/>
        <stp>BDH|16100572710484069014</stp>
        <tr r="W64" s="2"/>
      </tp>
      <tp t="s">
        <v>#N/A N/A</v>
        <stp/>
        <stp>BDH|11993437005170173380</stp>
        <tr r="Y35" s="2"/>
      </tp>
      <tp t="s">
        <v>#N/A N/A</v>
        <stp/>
        <stp>BDH|14840137560960672540</stp>
        <tr r="M24" s="2"/>
      </tp>
      <tp t="s">
        <v>#N/A N/A</v>
        <stp/>
        <stp>BDH|16797586856597097707</stp>
        <tr r="U7" s="2"/>
      </tp>
      <tp t="s">
        <v>#N/A N/A</v>
        <stp/>
        <stp>BDH|12757208715371335695</stp>
        <tr r="AD26" s="2"/>
      </tp>
      <tp t="s">
        <v>#N/A N/A</v>
        <stp/>
        <stp>BDH|14570358117613625396</stp>
        <tr r="W47" s="2"/>
      </tp>
      <tp t="s">
        <v>#N/A N/A</v>
        <stp/>
        <stp>BDH|14829204814230326173</stp>
        <tr r="C9" s="2"/>
      </tp>
      <tp t="s">
        <v>#N/A N/A</v>
        <stp/>
        <stp>BDH|14002863934858805113</stp>
        <tr r="C50" s="2"/>
      </tp>
      <tp t="s">
        <v>#N/A N/A</v>
        <stp/>
        <stp>BDH|10498039577552905325</stp>
        <tr r="O26" s="2"/>
      </tp>
      <tp t="s">
        <v>#N/A N/A</v>
        <stp/>
        <stp>BDH|15072807699816590471</stp>
        <tr r="D23" s="2"/>
      </tp>
      <tp t="s">
        <v>#N/A N/A</v>
        <stp/>
        <stp>BDH|13499720645584107289</stp>
        <tr r="S52" s="2"/>
      </tp>
      <tp t="s">
        <v>#N/A N/A</v>
        <stp/>
        <stp>BDH|13603986939406432995</stp>
        <tr r="AA42" s="2"/>
      </tp>
      <tp t="s">
        <v>#N/A N/A</v>
        <stp/>
        <stp>BDH|17246880251219263543</stp>
        <tr r="E27" s="2"/>
      </tp>
      <tp t="s">
        <v>#N/A N/A</v>
        <stp/>
        <stp>BDH|12173795960980684529</stp>
        <tr r="AC43" s="2"/>
      </tp>
      <tp t="s">
        <v>#N/A N/A</v>
        <stp/>
        <stp>BDH|14666100043505992202</stp>
        <tr r="I50" s="2"/>
      </tp>
      <tp t="s">
        <v>#N/A N/A</v>
        <stp/>
        <stp>BDH|16679953589244006569</stp>
        <tr r="N32" s="2"/>
      </tp>
      <tp t="s">
        <v>#N/A N/A</v>
        <stp/>
        <stp>BDH|10254641422912917010</stp>
        <tr r="E66" s="2"/>
      </tp>
      <tp t="s">
        <v>#N/A N/A</v>
        <stp/>
        <stp>BDH|14223614657159891802</stp>
        <tr r="N14" s="2"/>
      </tp>
      <tp t="s">
        <v>#N/A N/A</v>
        <stp/>
        <stp>BDH|10980437573704428118</stp>
        <tr r="G32" s="2"/>
      </tp>
      <tp t="s">
        <v>#N/A N/A</v>
        <stp/>
        <stp>BDH|13556989134606196941</stp>
        <tr r="P38" s="2"/>
      </tp>
      <tp t="s">
        <v>#N/A N/A</v>
        <stp/>
        <stp>BDH|14104584365679606862</stp>
        <tr r="N47" s="2"/>
      </tp>
      <tp t="s">
        <v>#N/A N/A</v>
        <stp/>
        <stp>BDH|11439106479814181539</stp>
        <tr r="N65" s="2"/>
      </tp>
      <tp t="s">
        <v>#N/A N/A</v>
        <stp/>
        <stp>BDH|11463738087979713190</stp>
        <tr r="I66" s="2"/>
      </tp>
      <tp t="s">
        <v>#N/A N/A</v>
        <stp/>
        <stp>BDH|16157116909988945815</stp>
        <tr r="R40" s="2"/>
      </tp>
      <tp t="s">
        <v>#N/A N/A</v>
        <stp/>
        <stp>BDH|11901381776443689102</stp>
        <tr r="E62" s="2"/>
      </tp>
      <tp t="s">
        <v>#N/A N/A</v>
        <stp/>
        <stp>BDH|16640762091088017709</stp>
        <tr r="AA13" s="2"/>
      </tp>
      <tp t="s">
        <v>#N/A N/A</v>
        <stp/>
        <stp>BDH|14053460291796086871</stp>
        <tr r="R17" s="2"/>
      </tp>
      <tp t="s">
        <v>#N/A N/A</v>
        <stp/>
        <stp>BDH|13949425203637011789</stp>
        <tr r="G20" s="2"/>
      </tp>
      <tp t="s">
        <v>#N/A N/A</v>
        <stp/>
        <stp>BDH|10149359809456441291</stp>
        <tr r="AA50" s="2"/>
      </tp>
      <tp t="s">
        <v>#N/A N/A</v>
        <stp/>
        <stp>BDH|11172471093398727323</stp>
        <tr r="D18" s="2"/>
      </tp>
      <tp t="s">
        <v>#N/A N/A</v>
        <stp/>
        <stp>BDH|14413585376918032994</stp>
        <tr r="K71" s="2"/>
      </tp>
      <tp t="s">
        <v>#N/A N/A</v>
        <stp/>
        <stp>BDH|11848702705547981673</stp>
        <tr r="I12" s="2"/>
      </tp>
      <tp t="s">
        <v>#N/A N/A</v>
        <stp/>
        <stp>BDH|13211025350345428416</stp>
        <tr r="C57" s="2"/>
      </tp>
      <tp t="s">
        <v>#N/A N/A</v>
        <stp/>
        <stp>BDH|13655620860010962482</stp>
        <tr r="X38" s="2"/>
      </tp>
      <tp t="s">
        <v>#N/A N/A</v>
        <stp/>
        <stp>BDH|10911345196314995978</stp>
        <tr r="C16" s="2"/>
      </tp>
      <tp t="s">
        <v>#N/A N/A</v>
        <stp/>
        <stp>BDH|14464849480873669034</stp>
        <tr r="R12" s="2"/>
      </tp>
      <tp t="s">
        <v>#N/A N/A</v>
        <stp/>
        <stp>BDH|16383208030399067961</stp>
        <tr r="P21" s="2"/>
      </tp>
      <tp t="s">
        <v>#N/A N/A</v>
        <stp/>
        <stp>BDH|14470478371832559226</stp>
        <tr r="AC26" s="2"/>
      </tp>
      <tp t="s">
        <v>#N/A N/A</v>
        <stp/>
        <stp>BDH|15100752980924878989</stp>
        <tr r="O42" s="2"/>
      </tp>
      <tp t="s">
        <v>#N/A N/A</v>
        <stp/>
        <stp>BDH|14688814703088402348</stp>
        <tr r="S24" s="2"/>
      </tp>
      <tp t="s">
        <v>#N/A N/A</v>
        <stp/>
        <stp>BDH|10845109381087792999</stp>
        <tr r="AA24" s="2"/>
      </tp>
      <tp t="s">
        <v>#N/A N/A</v>
        <stp/>
        <stp>BDH|11782244104586380232</stp>
        <tr r="R58" s="2"/>
      </tp>
      <tp t="s">
        <v>#N/A N/A</v>
        <stp/>
        <stp>BDH|11491547357973340533</stp>
        <tr r="O6" s="2"/>
      </tp>
      <tp t="s">
        <v>#N/A N/A</v>
        <stp/>
        <stp>BDH|15938159608172167129</stp>
        <tr r="O72" s="2"/>
      </tp>
      <tp t="s">
        <v>#N/A N/A</v>
        <stp/>
        <stp>BDH|16586948984946360607</stp>
        <tr r="AA57" s="2"/>
      </tp>
      <tp t="s">
        <v>#N/A N/A</v>
        <stp/>
        <stp>BDH|17630667011130131766</stp>
        <tr r="AA17" s="2"/>
      </tp>
      <tp t="s">
        <v>#N/A N/A</v>
        <stp/>
        <stp>BDH|13645998930589115772</stp>
        <tr r="H55" s="2"/>
      </tp>
      <tp t="s">
        <v>#N/A N/A</v>
        <stp/>
        <stp>BDH|13385250550406676596</stp>
        <tr r="I63" s="2"/>
      </tp>
      <tp t="s">
        <v>#N/A N/A</v>
        <stp/>
        <stp>BDH|13298100014835642191</stp>
        <tr r="F40" s="2"/>
      </tp>
      <tp t="s">
        <v>#N/A N/A</v>
        <stp/>
        <stp>BDH|13795502029932362158</stp>
        <tr r="AD16" s="2"/>
      </tp>
      <tp t="s">
        <v>#N/A N/A</v>
        <stp/>
        <stp>BDH|16833302370402819786</stp>
        <tr r="R8" s="2"/>
      </tp>
      <tp t="s">
        <v>#N/A N/A</v>
        <stp/>
        <stp>BDH|13014104925472571587</stp>
        <tr r="AC66" s="2"/>
      </tp>
      <tp t="s">
        <v>#N/A N/A</v>
        <stp/>
        <stp>BDH|18255666481723837256</stp>
        <tr r="W53" s="2"/>
      </tp>
      <tp t="s">
        <v>#N/A N/A</v>
        <stp/>
        <stp>BDH|12917324526597638332</stp>
        <tr r="D46" s="2"/>
      </tp>
      <tp t="s">
        <v>#N/A N/A</v>
        <stp/>
        <stp>BDH|16229156617988980915</stp>
        <tr r="AD35" s="2"/>
      </tp>
      <tp t="s">
        <v>#N/A N/A</v>
        <stp/>
        <stp>BDH|12800046570096303471</stp>
        <tr r="E22" s="2"/>
      </tp>
      <tp t="s">
        <v>#N/A N/A</v>
        <stp/>
        <stp>BDH|10449645318285019505</stp>
        <tr r="T12" s="2"/>
      </tp>
      <tp t="s">
        <v>#N/A N/A</v>
        <stp/>
        <stp>BDH|13237784450306444059</stp>
        <tr r="Q24" s="2"/>
      </tp>
      <tp t="s">
        <v>#N/A N/A</v>
        <stp/>
        <stp>BDH|15081957212568525291</stp>
        <tr r="E21" s="2"/>
      </tp>
      <tp t="s">
        <v>#N/A N/A</v>
        <stp/>
        <stp>BDH|17801549778034959662</stp>
        <tr r="AD37" s="2"/>
      </tp>
      <tp t="s">
        <v>#N/A N/A</v>
        <stp/>
        <stp>BDH|11005588240814178327</stp>
        <tr r="G50" s="2"/>
      </tp>
      <tp t="s">
        <v>#N/A N/A</v>
        <stp/>
        <stp>BDH|16319054665161150689</stp>
        <tr r="D22" s="2"/>
      </tp>
      <tp t="s">
        <v>#N/A N/A</v>
        <stp/>
        <stp>BDH|12056330689657037908</stp>
        <tr r="T8" s="2"/>
      </tp>
      <tp t="s">
        <v>#N/A N/A</v>
        <stp/>
        <stp>BDH|11662609898051497809</stp>
        <tr r="H67" s="2"/>
      </tp>
      <tp t="s">
        <v>#N/A N/A</v>
        <stp/>
        <stp>BDH|15842522349946932503</stp>
        <tr r="J30" s="2"/>
      </tp>
      <tp t="s">
        <v>#N/A N/A</v>
        <stp/>
        <stp>BDH|15902666157122120334</stp>
        <tr r="P63" s="2"/>
      </tp>
      <tp t="s">
        <v>#N/A N/A</v>
        <stp/>
        <stp>BDH|10323557247015563391</stp>
        <tr r="P41" s="2"/>
      </tp>
      <tp t="s">
        <v>#N/A N/A</v>
        <stp/>
        <stp>BDH|12049455670074823206</stp>
        <tr r="C18" s="2"/>
      </tp>
      <tp t="s">
        <v>#N/A N/A</v>
        <stp/>
        <stp>BDH|13848171613651641561</stp>
        <tr r="U38" s="2"/>
      </tp>
      <tp t="s">
        <v>#N/A N/A</v>
        <stp/>
        <stp>BDH|14241105819475494639</stp>
        <tr r="J33" s="2"/>
      </tp>
      <tp t="s">
        <v>#N/A N/A</v>
        <stp/>
        <stp>BDH|10393160558560357310</stp>
        <tr r="AB46" s="2"/>
      </tp>
      <tp t="s">
        <v>#N/A N/A</v>
        <stp/>
        <stp>BDH|16918424017477398300</stp>
        <tr r="X58" s="2"/>
      </tp>
      <tp t="s">
        <v>#N/A N/A</v>
        <stp/>
        <stp>BDH|13677991201104593949</stp>
        <tr r="N24" s="2"/>
      </tp>
      <tp t="s">
        <v>#N/A N/A</v>
        <stp/>
        <stp>BDH|16456638907422940569</stp>
        <tr r="P53" s="2"/>
      </tp>
      <tp t="s">
        <v>#N/A N/A</v>
        <stp/>
        <stp>BDH|15450857312199464296</stp>
        <tr r="K44" s="2"/>
      </tp>
      <tp t="s">
        <v>#N/A N/A</v>
        <stp/>
        <stp>BDH|15961717934222573477</stp>
        <tr r="Q37" s="2"/>
      </tp>
      <tp t="s">
        <v>#N/A N/A</v>
        <stp/>
        <stp>BDH|17933669644870624231</stp>
        <tr r="X68" s="2"/>
      </tp>
      <tp t="s">
        <v>#N/A N/A</v>
        <stp/>
        <stp>BDH|17382446930132745617</stp>
        <tr r="V53" s="2"/>
      </tp>
      <tp t="s">
        <v>#N/A N/A</v>
        <stp/>
        <stp>BDH|11778647652784304236</stp>
        <tr r="K9" s="2"/>
      </tp>
      <tp t="s">
        <v>#N/A N/A</v>
        <stp/>
        <stp>BDH|15559778009424266293</stp>
        <tr r="H22" s="2"/>
      </tp>
      <tp t="s">
        <v>#N/A N/A</v>
        <stp/>
        <stp>BDH|12013963883411434616</stp>
        <tr r="G31" s="2"/>
      </tp>
      <tp t="s">
        <v>#N/A N/A</v>
        <stp/>
        <stp>BDH|12080541714172989092</stp>
        <tr r="N26" s="2"/>
      </tp>
      <tp t="s">
        <v>#N/A N/A</v>
        <stp/>
        <stp>BDH|10149469404870041030</stp>
        <tr r="V27" s="2"/>
      </tp>
      <tp t="s">
        <v>#N/A N/A</v>
        <stp/>
        <stp>BDH|12820619478370087710</stp>
        <tr r="G38" s="2"/>
      </tp>
      <tp t="s">
        <v>#N/A N/A</v>
        <stp/>
        <stp>BDH|13788371322566571042</stp>
        <tr r="S68" s="2"/>
      </tp>
      <tp t="s">
        <v>#N/A N/A</v>
        <stp/>
        <stp>BDH|15994353389752173877</stp>
        <tr r="S64" s="2"/>
      </tp>
      <tp t="s">
        <v>#N/A N/A</v>
        <stp/>
        <stp>BDH|17830486496218774627</stp>
        <tr r="V44" s="2"/>
      </tp>
      <tp t="s">
        <v>#N/A N/A</v>
        <stp/>
        <stp>BDH|15615895611239848154</stp>
        <tr r="AD52" s="2"/>
      </tp>
      <tp t="s">
        <v>#N/A N/A</v>
        <stp/>
        <stp>BDH|17856163277542962733</stp>
        <tr r="X25" s="2"/>
      </tp>
      <tp t="s">
        <v>#N/A N/A</v>
        <stp/>
        <stp>BDH|14346368056987690172</stp>
        <tr r="P18" s="2"/>
      </tp>
      <tp t="s">
        <v>#N/A N/A</v>
        <stp/>
        <stp>BDH|12459617801053349354</stp>
        <tr r="H51" s="2"/>
      </tp>
      <tp t="s">
        <v>#N/A N/A</v>
        <stp/>
        <stp>BDH|17018137630211124006</stp>
        <tr r="V29" s="2"/>
      </tp>
      <tp t="s">
        <v>#N/A N/A</v>
        <stp/>
        <stp>BDH|15342660933111779537</stp>
        <tr r="N23" s="2"/>
      </tp>
      <tp t="s">
        <v>#N/A N/A</v>
        <stp/>
        <stp>BDH|11486226314887188164</stp>
        <tr r="C72" s="2"/>
      </tp>
      <tp t="s">
        <v>#N/A N/A</v>
        <stp/>
        <stp>BDH|13515418678497154380</stp>
        <tr r="Q12" s="2"/>
      </tp>
      <tp t="s">
        <v>#N/A N/A</v>
        <stp/>
        <stp>BDH|17365267350460599450</stp>
        <tr r="AD38" s="2"/>
      </tp>
      <tp t="s">
        <v>#N/A N/A</v>
        <stp/>
        <stp>BDH|12729684609112436278</stp>
        <tr r="V47" s="2"/>
      </tp>
      <tp t="s">
        <v>#N/A N/A</v>
        <stp/>
        <stp>BDH|11203721824606547640</stp>
        <tr r="Q38" s="2"/>
      </tp>
      <tp t="s">
        <v>#N/A N/A</v>
        <stp/>
        <stp>BDH|17428571740334679601</stp>
        <tr r="D65" s="2"/>
      </tp>
      <tp t="s">
        <v>#N/A N/A</v>
        <stp/>
        <stp>BDH|13606631183250997985</stp>
        <tr r="K42" s="2"/>
      </tp>
      <tp t="s">
        <v>#N/A N/A</v>
        <stp/>
        <stp>BDH|11777009057804125468</stp>
        <tr r="U6" s="2"/>
      </tp>
      <tp t="s">
        <v>#N/A N/A</v>
        <stp/>
        <stp>BDH|11848264860862800319</stp>
        <tr r="AC63" s="2"/>
      </tp>
      <tp t="s">
        <v>#N/A N/A</v>
        <stp/>
        <stp>BDH|18107346557668142242</stp>
        <tr r="F15" s="2"/>
      </tp>
      <tp t="s">
        <v>#N/A N/A</v>
        <stp/>
        <stp>BDH|11577235530773496758</stp>
        <tr r="AB21" s="2"/>
      </tp>
      <tp t="s">
        <v>#N/A N/A</v>
        <stp/>
        <stp>BDH|14496918680722986354</stp>
        <tr r="K51" s="2"/>
      </tp>
      <tp t="s">
        <v>#N/A N/A</v>
        <stp/>
        <stp>BDH|14782146215101970167</stp>
        <tr r="O58" s="2"/>
      </tp>
      <tp t="s">
        <v>#N/A N/A</v>
        <stp/>
        <stp>BDH|16433495557561346202</stp>
        <tr r="J64" s="2"/>
      </tp>
      <tp t="s">
        <v>#N/A N/A</v>
        <stp/>
        <stp>BDH|12978033131135385006</stp>
        <tr r="P27" s="2"/>
      </tp>
      <tp t="s">
        <v>#N/A N/A</v>
        <stp/>
        <stp>BDH|14097611387479562784</stp>
        <tr r="AB13" s="2"/>
      </tp>
      <tp t="s">
        <v>#N/A N/A</v>
        <stp/>
        <stp>BDH|13114015949494566778</stp>
        <tr r="H24" s="2"/>
      </tp>
      <tp t="s">
        <v>#N/A N/A</v>
        <stp/>
        <stp>BDH|14392411958324501548</stp>
        <tr r="W69" s="2"/>
      </tp>
      <tp t="s">
        <v>#N/A N/A</v>
        <stp/>
        <stp>BDH|17821511544235028764</stp>
        <tr r="I26" s="2"/>
      </tp>
      <tp t="s">
        <v>#N/A N/A</v>
        <stp/>
        <stp>BDH|11017239838125207131</stp>
        <tr r="C65" s="2"/>
      </tp>
      <tp t="s">
        <v>#N/A N/A</v>
        <stp/>
        <stp>BDH|10295022218005659043</stp>
        <tr r="Z36" s="2"/>
        <tr r="Z48" s="2"/>
      </tp>
      <tp t="s">
        <v>#N/A N/A</v>
        <stp/>
        <stp>BDH|12651175591479903738</stp>
        <tr r="C13" s="2"/>
      </tp>
      <tp t="s">
        <v>#N/A N/A</v>
        <stp/>
        <stp>BDH|11044071917125814126</stp>
        <tr r="M64" s="2"/>
      </tp>
      <tp t="s">
        <v>#N/A N/A</v>
        <stp/>
        <stp>BDH|13237163901236738080</stp>
        <tr r="I72" s="2"/>
      </tp>
      <tp t="s">
        <v>#N/A N/A</v>
        <stp/>
        <stp>BDH|13173448793519925323</stp>
        <tr r="O16" s="2"/>
      </tp>
      <tp t="s">
        <v>#N/A N/A</v>
        <stp/>
        <stp>BDH|10538529801455231492</stp>
        <tr r="L38" s="2"/>
      </tp>
      <tp t="s">
        <v>#N/A N/A</v>
        <stp/>
        <stp>BDH|16518264328805633700</stp>
        <tr r="M52" s="2"/>
      </tp>
      <tp t="s">
        <v>#N/A N/A</v>
        <stp/>
        <stp>BDH|16968215065176327032</stp>
        <tr r="O19" s="2"/>
      </tp>
      <tp t="s">
        <v>#N/A N/A</v>
        <stp/>
        <stp>BDH|17428735428536219018</stp>
        <tr r="AD70" s="2"/>
      </tp>
      <tp t="s">
        <v>#N/A N/A</v>
        <stp/>
        <stp>BDH|17952386618579045858</stp>
        <tr r="X40" s="2"/>
      </tp>
      <tp t="s">
        <v>#N/A N/A</v>
        <stp/>
        <stp>BDH|15290182977123263433</stp>
        <tr r="J29" s="2"/>
      </tp>
      <tp t="s">
        <v>#N/A N/A</v>
        <stp/>
        <stp>BDH|10533603083853820925</stp>
        <tr r="E19" s="2"/>
      </tp>
      <tp t="s">
        <v>#N/A N/A</v>
        <stp/>
        <stp>BDH|14878497614364057191</stp>
        <tr r="D51" s="2"/>
      </tp>
      <tp t="s">
        <v>#N/A N/A</v>
        <stp/>
        <stp>BDH|16891500861176050759</stp>
        <tr r="D57" s="2"/>
      </tp>
      <tp t="s">
        <v>#N/A N/A</v>
        <stp/>
        <stp>BDH|16650889124650063857</stp>
        <tr r="J32" s="2"/>
      </tp>
      <tp t="s">
        <v>#N/A N/A</v>
        <stp/>
        <stp>BDH|10486047895854324999</stp>
        <tr r="Y55" s="2"/>
      </tp>
      <tp t="s">
        <v>#N/A N/A</v>
        <stp/>
        <stp>BDH|14329223139125416432</stp>
        <tr r="M19" s="2"/>
      </tp>
      <tp t="s">
        <v>#N/A N/A</v>
        <stp/>
        <stp>BDH|15055229377654880023</stp>
        <tr r="Z44" s="2"/>
      </tp>
      <tp t="s">
        <v>#N/A N/A</v>
        <stp/>
        <stp>BDH|12522782089570882939</stp>
        <tr r="W42" s="2"/>
      </tp>
      <tp t="s">
        <v>#N/A N/A</v>
        <stp/>
        <stp>BDH|15717187622291486376</stp>
        <tr r="O14" s="2"/>
      </tp>
      <tp t="s">
        <v>#N/A N/A</v>
        <stp/>
        <stp>BDH|16969240813927074607</stp>
        <tr r="AA32" s="2"/>
      </tp>
      <tp t="s">
        <v>#N/A N/A</v>
        <stp/>
        <stp>BDH|14914410133936156140</stp>
        <tr r="Z6" s="2"/>
      </tp>
      <tp t="s">
        <v>#N/A N/A</v>
        <stp/>
        <stp>BDH|12753968524079575513</stp>
        <tr r="F30" s="2"/>
      </tp>
      <tp t="s">
        <v>#N/A N/A</v>
        <stp/>
        <stp>BDH|16906951193272887164</stp>
        <tr r="I13" s="2"/>
      </tp>
      <tp t="s">
        <v>#N/A N/A</v>
        <stp/>
        <stp>BDH|10174008613564610057</stp>
        <tr r="X12" s="2"/>
      </tp>
      <tp t="s">
        <v>#N/A N/A</v>
        <stp/>
        <stp>BDH|12971596267764242041</stp>
        <tr r="T27" s="2"/>
      </tp>
      <tp t="s">
        <v>#N/A N/A</v>
        <stp/>
        <stp>BDH|14555200377205561179</stp>
        <tr r="AC25" s="2"/>
      </tp>
      <tp t="s">
        <v>#N/A N/A</v>
        <stp/>
        <stp>BDH|10425342253912468178</stp>
        <tr r="E55" s="2"/>
      </tp>
      <tp t="s">
        <v>#N/A N/A</v>
        <stp/>
        <stp>BDH|16621667713500733444</stp>
        <tr r="R7" s="2"/>
      </tp>
      <tp t="s">
        <v>#N/A N/A</v>
        <stp/>
        <stp>BDH|14298416044435181466</stp>
        <tr r="AD51" s="2"/>
      </tp>
      <tp t="s">
        <v>#N/A N/A</v>
        <stp/>
        <stp>BDH|12994883875698451033</stp>
        <tr r="H58" s="2"/>
      </tp>
      <tp t="s">
        <v>#N/A N/A</v>
        <stp/>
        <stp>BDH|15528362630719152911</stp>
        <tr r="AD39" s="2"/>
      </tp>
      <tp t="s">
        <v>#N/A N/A</v>
        <stp/>
        <stp>BDH|11586744969632961728</stp>
        <tr r="P32" s="2"/>
      </tp>
      <tp t="s">
        <v>#N/A N/A</v>
        <stp/>
        <stp>BDH|14386481087174758997</stp>
        <tr r="P9" s="2"/>
      </tp>
      <tp t="s">
        <v>#N/A N/A</v>
        <stp/>
        <stp>BDH|15250246806774063627</stp>
        <tr r="G6" s="2"/>
      </tp>
      <tp t="s">
        <v>#N/A N/A</v>
        <stp/>
        <stp>BDH|14292376908883953167</stp>
        <tr r="G53" s="2"/>
      </tp>
      <tp t="s">
        <v>#N/A N/A</v>
        <stp/>
        <stp>BDH|14653047532932338069</stp>
        <tr r="G22" s="2"/>
      </tp>
      <tp t="s">
        <v>#N/A N/A</v>
        <stp/>
        <stp>BDH|17698266842316364250</stp>
        <tr r="V51" s="2"/>
      </tp>
      <tp t="s">
        <v>#N/A N/A</v>
        <stp/>
        <stp>BDH|10040439576264663276</stp>
        <tr r="H32" s="2"/>
      </tp>
      <tp t="s">
        <v>#N/A N/A</v>
        <stp/>
        <stp>BDH|17204809030009739017</stp>
        <tr r="S39" s="2"/>
      </tp>
      <tp t="s">
        <v>#N/A N/A</v>
        <stp/>
        <stp>BDH|11374465416469311841</stp>
        <tr r="AD20" s="2"/>
      </tp>
      <tp t="s">
        <v>#N/A N/A</v>
        <stp/>
        <stp>BDH|17792386638183526169</stp>
        <tr r="T7" s="2"/>
      </tp>
      <tp t="s">
        <v>#N/A N/A</v>
        <stp/>
        <stp>BDH|16377698231324523290</stp>
        <tr r="L14" s="2"/>
      </tp>
      <tp t="s">
        <v>#N/A N/A</v>
        <stp/>
        <stp>BDH|14448250966192362735</stp>
        <tr r="X53" s="2"/>
      </tp>
      <tp t="s">
        <v>#N/A N/A</v>
        <stp/>
        <stp>BDH|13078125214745357331</stp>
        <tr r="R38" s="2"/>
      </tp>
      <tp t="s">
        <v>#N/A N/A</v>
        <stp/>
        <stp>BDH|13559731735373466111</stp>
        <tr r="P70" s="2"/>
      </tp>
      <tp t="s">
        <v>#N/A N/A</v>
        <stp/>
        <stp>BDH|12686913825889150553</stp>
        <tr r="P72" s="2"/>
      </tp>
      <tp t="s">
        <v>#N/A N/A</v>
        <stp/>
        <stp>BDH|12625802792254875251</stp>
        <tr r="T13" s="2"/>
      </tp>
      <tp t="s">
        <v>#N/A N/A</v>
        <stp/>
        <stp>BDH|16335792780809798558</stp>
        <tr r="S73" s="2"/>
      </tp>
      <tp t="s">
        <v>#N/A N/A</v>
        <stp/>
        <stp>BDH|12572199460555574511</stp>
        <tr r="V72" s="2"/>
      </tp>
      <tp t="s">
        <v>#N/A N/A</v>
        <stp/>
        <stp>BDH|10856535661941836793</stp>
        <tr r="J19" s="2"/>
      </tp>
      <tp t="s">
        <v>#N/A N/A</v>
        <stp/>
        <stp>BDH|17777787655844859492</stp>
        <tr r="L10" s="2"/>
      </tp>
      <tp t="s">
        <v>#N/A N/A</v>
        <stp/>
        <stp>BDH|11734385168123839258</stp>
        <tr r="O56" s="2"/>
      </tp>
      <tp t="s">
        <v>#N/A N/A</v>
        <stp/>
        <stp>BDH|15520880120162072871</stp>
        <tr r="V16" s="2"/>
      </tp>
      <tp t="s">
        <v>#N/A N/A</v>
        <stp/>
        <stp>BDH|17518207832620943341</stp>
        <tr r="AC15" s="2"/>
      </tp>
      <tp t="s">
        <v>#N/A N/A</v>
        <stp/>
        <stp>BDH|12144478608716078535</stp>
        <tr r="D27" s="2"/>
      </tp>
      <tp t="s">
        <v>#N/A N/A</v>
        <stp/>
        <stp>BDH|15259239681082458881</stp>
        <tr r="Z50" s="2"/>
      </tp>
      <tp t="s">
        <v>#N/A N/A</v>
        <stp/>
        <stp>BDH|13008066910291132688</stp>
        <tr r="J40" s="2"/>
      </tp>
      <tp t="s">
        <v>#N/A N/A</v>
        <stp/>
        <stp>BDH|17849355822204319735</stp>
        <tr r="W16" s="2"/>
      </tp>
      <tp t="s">
        <v>#N/A N/A</v>
        <stp/>
        <stp>BDH|15440104033855891719</stp>
        <tr r="W17" s="2"/>
      </tp>
      <tp t="s">
        <v>#N/A N/A</v>
        <stp/>
        <stp>BDH|17590888467979760530</stp>
        <tr r="T58" s="2"/>
      </tp>
      <tp t="s">
        <v>#N/A N/A</v>
        <stp/>
        <stp>BDH|15876056803926305635</stp>
        <tr r="O8" s="2"/>
      </tp>
      <tp t="s">
        <v>#N/A N/A</v>
        <stp/>
        <stp>BDH|15707958992355814568</stp>
        <tr r="Z64" s="2"/>
      </tp>
      <tp t="s">
        <v>#N/A N/A</v>
        <stp/>
        <stp>BDH|10901564717922096365</stp>
        <tr r="Q19" s="2"/>
      </tp>
      <tp t="s">
        <v>#N/A N/A</v>
        <stp/>
        <stp>BDH|13548893255313435830</stp>
        <tr r="S57" s="2"/>
      </tp>
      <tp t="s">
        <v>#N/A N/A</v>
        <stp/>
        <stp>BDH|17861710250130266056</stp>
        <tr r="H52" s="2"/>
      </tp>
      <tp t="s">
        <v>#N/A N/A</v>
        <stp/>
        <stp>BDH|13926436073145453036</stp>
        <tr r="H40" s="2"/>
      </tp>
    </main>
    <main first="bofaddin.rtdserver">
      <tp t="s">
        <v>#N/A N/A</v>
        <stp/>
        <stp>BDH|9535976244643070</stp>
        <tr r="I67" s="2"/>
      </tp>
      <tp t="s">
        <v>#N/A N/A</v>
        <stp/>
        <stp>BDH|1264823680239974435</stp>
        <tr r="W8" s="2"/>
      </tp>
      <tp t="s">
        <v>#N/A N/A</v>
        <stp/>
        <stp>BDH|9976178467693214113</stp>
        <tr r="Y50" s="2"/>
      </tp>
      <tp t="s">
        <v>#N/A N/A</v>
        <stp/>
        <stp>BDH|1004807275467907572</stp>
        <tr r="X64" s="2"/>
      </tp>
      <tp t="s">
        <v>#N/A N/A</v>
        <stp/>
        <stp>BDH|1188631866595691891</stp>
        <tr r="AD41" s="2"/>
      </tp>
      <tp t="s">
        <v>#N/A N/A</v>
        <stp/>
        <stp>BDH|8065536022987863423</stp>
        <tr r="C35" s="2"/>
      </tp>
      <tp t="s">
        <v>#N/A N/A</v>
        <stp/>
        <stp>BDH|9838317264909621932</stp>
        <tr r="Z41" s="2"/>
      </tp>
      <tp t="s">
        <v>#N/A N/A</v>
        <stp/>
        <stp>BDH|7496520884826969027</stp>
        <tr r="AC14" s="2"/>
      </tp>
      <tp t="s">
        <v>#N/A N/A</v>
        <stp/>
        <stp>BDH|9316581233482741163</stp>
        <tr r="N10" s="2"/>
      </tp>
      <tp t="s">
        <v>#N/A N/A</v>
        <stp/>
        <stp>BDH|7672426812548628692</stp>
        <tr r="U44" s="2"/>
      </tp>
      <tp t="s">
        <v>#N/A N/A</v>
        <stp/>
        <stp>BDH|4852467839559900670</stp>
        <tr r="AA62" s="2"/>
      </tp>
      <tp t="s">
        <v>#N/A N/A</v>
        <stp/>
        <stp>BDH|6376824738178974999</stp>
        <tr r="W52" s="2"/>
      </tp>
      <tp t="s">
        <v>#N/A N/A</v>
        <stp/>
        <stp>BDH|9188019257774032494</stp>
        <tr r="R33" s="2"/>
      </tp>
      <tp t="s">
        <v>#N/A N/A</v>
        <stp/>
        <stp>BDH|6878831514955811689</stp>
        <tr r="T38" s="2"/>
      </tp>
      <tp t="s">
        <v>#N/A N/A</v>
        <stp/>
        <stp>BDH|7955247082962836381</stp>
        <tr r="I40" s="2"/>
      </tp>
      <tp t="s">
        <v>#N/A N/A</v>
        <stp/>
        <stp>BDH|5839848055235285173</stp>
        <tr r="F64" s="2"/>
      </tp>
      <tp t="s">
        <v>#N/A N/A</v>
        <stp/>
        <stp>BDH|4632608109969734746</stp>
        <tr r="C15" s="2"/>
      </tp>
      <tp t="s">
        <v>#N/A N/A</v>
        <stp/>
        <stp>BDH|8225404223401559380</stp>
        <tr r="F50" s="2"/>
      </tp>
      <tp t="s">
        <v>#N/A N/A</v>
        <stp/>
        <stp>BDH|9587244582629822677</stp>
        <tr r="G51" s="2"/>
      </tp>
      <tp t="s">
        <v>#N/A N/A</v>
        <stp/>
        <stp>BDH|1222087820518640719</stp>
        <tr r="X63" s="2"/>
      </tp>
      <tp t="s">
        <v>#N/A N/A</v>
        <stp/>
        <stp>BDH|4995883213147029600</stp>
        <tr r="O22" s="2"/>
      </tp>
      <tp t="s">
        <v>#N/A N/A</v>
        <stp/>
        <stp>BDH|8680023436812758567</stp>
        <tr r="D73" s="2"/>
      </tp>
      <tp t="s">
        <v>#N/A N/A</v>
        <stp/>
        <stp>BDH|5012439126696090964</stp>
        <tr r="P28" s="2"/>
      </tp>
      <tp t="s">
        <v>#N/A N/A</v>
        <stp/>
        <stp>BDH|1374112080325342124</stp>
        <tr r="N27" s="2"/>
      </tp>
      <tp t="s">
        <v>#N/A N/A</v>
        <stp/>
        <stp>BDH|4321508240549139015</stp>
        <tr r="H10" s="2"/>
      </tp>
      <tp t="s">
        <v>#N/A N/A</v>
        <stp/>
        <stp>BDH|7063533214916030945</stp>
        <tr r="E46" s="2"/>
      </tp>
      <tp t="s">
        <v>#N/A N/A</v>
        <stp/>
        <stp>BDH|6688919477551768548</stp>
        <tr r="K23" s="2"/>
      </tp>
      <tp t="s">
        <v>#N/A N/A</v>
        <stp/>
        <stp>BDH|4023394007053488891</stp>
        <tr r="M69" s="2"/>
      </tp>
      <tp t="s">
        <v>#N/A N/A</v>
        <stp/>
        <stp>BDH|5161871846016687351</stp>
        <tr r="T28" s="2"/>
      </tp>
      <tp t="s">
        <v>#N/A N/A</v>
        <stp/>
        <stp>BDH|7396357305448139017</stp>
        <tr r="Q57" s="2"/>
      </tp>
      <tp t="s">
        <v>#N/A N/A</v>
        <stp/>
        <stp>BDH|2805345827997910829</stp>
        <tr r="W71" s="2"/>
      </tp>
      <tp t="s">
        <v>#N/A N/A</v>
        <stp/>
        <stp>BDH|3542726489653945376</stp>
        <tr r="N20" s="2"/>
      </tp>
      <tp t="s">
        <v>#N/A N/A</v>
        <stp/>
        <stp>BDH|2731226697114276105</stp>
        <tr r="K25" s="2"/>
      </tp>
      <tp t="s">
        <v>#N/A N/A</v>
        <stp/>
        <stp>BDH|6426876908361978329</stp>
        <tr r="Q28" s="2"/>
      </tp>
      <tp t="s">
        <v>#N/A N/A</v>
        <stp/>
        <stp>BDH|4771855129807803533</stp>
        <tr r="AD12" s="2"/>
      </tp>
      <tp t="s">
        <v>#N/A N/A</v>
        <stp/>
        <stp>BDH|6517547576898572022</stp>
        <tr r="E6" s="2"/>
      </tp>
      <tp t="s">
        <v>#N/A N/A</v>
        <stp/>
        <stp>BDH|3639038581592738528</stp>
        <tr r="G9" s="2"/>
      </tp>
      <tp t="s">
        <v>#N/A N/A</v>
        <stp/>
        <stp>BDH|1352480192711913118</stp>
        <tr r="Z22" s="2"/>
      </tp>
      <tp t="s">
        <v>#N/A N/A</v>
        <stp/>
        <stp>BDH|5188913692298531165</stp>
        <tr r="E69" s="2"/>
      </tp>
      <tp t="s">
        <v>#N/A N/A</v>
        <stp/>
        <stp>BDH|1453573675757970894</stp>
        <tr r="M20" s="2"/>
      </tp>
      <tp t="s">
        <v>#N/A N/A</v>
        <stp/>
        <stp>BDH|5651063144315750841</stp>
        <tr r="AA34" s="2"/>
      </tp>
      <tp t="s">
        <v>#N/A N/A</v>
        <stp/>
        <stp>BDH|1009535418718915151</stp>
        <tr r="N31" s="2"/>
      </tp>
      <tp t="s">
        <v>#N/A N/A</v>
        <stp/>
        <stp>BDH|5176792566711016997</stp>
        <tr r="E32" s="2"/>
      </tp>
      <tp t="s">
        <v>#N/A N/A</v>
        <stp/>
        <stp>BDH|9584778482628506222</stp>
        <tr r="I62" s="2"/>
      </tp>
      <tp t="s">
        <v>#N/A N/A</v>
        <stp/>
        <stp>BDH|8658242638114502181</stp>
        <tr r="T24" s="2"/>
      </tp>
      <tp t="s">
        <v>#N/A N/A</v>
        <stp/>
        <stp>BDH|3236973013982627572</stp>
        <tr r="W24" s="2"/>
      </tp>
      <tp t="s">
        <v>#N/A N/A</v>
        <stp/>
        <stp>BDH|2659424682954646674</stp>
        <tr r="Q73" s="2"/>
      </tp>
      <tp t="s">
        <v>#N/A N/A</v>
        <stp/>
        <stp>BDH|8257603976820458571</stp>
        <tr r="AB20" s="2"/>
      </tp>
      <tp t="s">
        <v>#N/A N/A</v>
        <stp/>
        <stp>BDH|5094053585855460438</stp>
        <tr r="W6" s="2"/>
      </tp>
      <tp t="s">
        <v>#N/A N/A</v>
        <stp/>
        <stp>BDH|1281794315298396390</stp>
        <tr r="Y71" s="2"/>
      </tp>
      <tp t="s">
        <v>#N/A N/A</v>
        <stp/>
        <stp>BDH|2113521584850430370</stp>
        <tr r="G18" s="2"/>
      </tp>
      <tp t="s">
        <v>#N/A N/A</v>
        <stp/>
        <stp>BDH|7630778718248539580</stp>
        <tr r="D15" s="2"/>
      </tp>
      <tp t="s">
        <v>#N/A N/A</v>
        <stp/>
        <stp>BDH|8856023930814638380</stp>
        <tr r="U22" s="2"/>
      </tp>
      <tp t="s">
        <v>#N/A N/A</v>
        <stp/>
        <stp>BDH|8061247250530858393</stp>
        <tr r="W12" s="2"/>
      </tp>
      <tp t="s">
        <v>#N/A N/A</v>
        <stp/>
        <stp>BDH|2943281357919486073</stp>
        <tr r="K18" s="2"/>
      </tp>
      <tp t="s">
        <v>#N/A N/A</v>
        <stp/>
        <stp>BDH|6233451924955901808</stp>
        <tr r="W33" s="2"/>
      </tp>
      <tp t="s">
        <v>#N/A N/A</v>
        <stp/>
        <stp>BDH|6665962251365939226</stp>
        <tr r="V7" s="2"/>
      </tp>
      <tp t="s">
        <v>#N/A N/A</v>
        <stp/>
        <stp>BDH|3063639986070793083</stp>
        <tr r="Y34" s="2"/>
      </tp>
      <tp t="s">
        <v>#N/A N/A</v>
        <stp/>
        <stp>BDH|5990571360423036843</stp>
        <tr r="R70" s="2"/>
      </tp>
      <tp t="s">
        <v>#N/A N/A</v>
        <stp/>
        <stp>BDH|9317307944320950357</stp>
        <tr r="Z62" s="2"/>
      </tp>
      <tp t="s">
        <v>#N/A N/A</v>
        <stp/>
        <stp>BDH|3616802352887980469</stp>
        <tr r="X13" s="2"/>
      </tp>
      <tp t="s">
        <v>#N/A N/A</v>
        <stp/>
        <stp>BDH|1558903649365527429</stp>
        <tr r="C62" s="2"/>
      </tp>
      <tp t="s">
        <v>#N/A N/A</v>
        <stp/>
        <stp>BDH|2963996679767077610</stp>
        <tr r="M72" s="2"/>
      </tp>
      <tp t="s">
        <v>#N/A N/A</v>
        <stp/>
        <stp>BDH|7829913045705365273</stp>
        <tr r="I10" s="2"/>
      </tp>
      <tp t="s">
        <v>#N/A N/A</v>
        <stp/>
        <stp>BDH|5252164693004811472</stp>
        <tr r="Y44" s="2"/>
      </tp>
      <tp t="s">
        <v>#N/A N/A</v>
        <stp/>
        <stp>BDH|2476709690875446484</stp>
        <tr r="J20" s="2"/>
      </tp>
      <tp t="s">
        <v>#N/A N/A</v>
        <stp/>
        <stp>BDH|2821397075588980351</stp>
        <tr r="Z65" s="2"/>
      </tp>
      <tp t="s">
        <v>#N/A N/A</v>
        <stp/>
        <stp>BDH|1520131060993822866</stp>
        <tr r="W73" s="2"/>
      </tp>
      <tp t="s">
        <v>#N/A N/A</v>
        <stp/>
        <stp>BDH|4876826469384206383</stp>
        <tr r="W38" s="2"/>
      </tp>
      <tp t="s">
        <v>#N/A N/A</v>
        <stp/>
        <stp>BDH|9479837938866547937</stp>
        <tr r="L58" s="2"/>
      </tp>
      <tp t="s">
        <v>#N/A N/A</v>
        <stp/>
        <stp>BDH|3793073378319788012</stp>
        <tr r="J22" s="2"/>
      </tp>
      <tp t="s">
        <v>#N/A N/A</v>
        <stp/>
        <stp>BDH|3505913559622045038</stp>
        <tr r="G21" s="2"/>
      </tp>
      <tp t="s">
        <v>#N/A N/A</v>
        <stp/>
        <stp>BDH|1017291696872077510</stp>
        <tr r="Y62" s="2"/>
      </tp>
      <tp t="s">
        <v>#N/A N/A</v>
        <stp/>
        <stp>BDH|9115152232721907706</stp>
        <tr r="T64" s="2"/>
      </tp>
      <tp t="s">
        <v>#N/A N/A</v>
        <stp/>
        <stp>BDH|7733972651587665187</stp>
        <tr r="C38" s="2"/>
      </tp>
      <tp t="s">
        <v>#N/A N/A</v>
        <stp/>
        <stp>BDH|5124569998853481740</stp>
        <tr r="N69" s="2"/>
      </tp>
      <tp t="s">
        <v>#N/A N/A</v>
        <stp/>
        <stp>BDH|1595375039504614819</stp>
        <tr r="N28" s="2"/>
      </tp>
      <tp t="s">
        <v>#N/A N/A</v>
        <stp/>
        <stp>BDH|1431591487700200149</stp>
        <tr r="E71" s="2"/>
      </tp>
      <tp t="s">
        <v>#N/A N/A</v>
        <stp/>
        <stp>BDH|7441833203006929406</stp>
        <tr r="J9" s="2"/>
      </tp>
      <tp t="s">
        <v>#N/A N/A</v>
        <stp/>
        <stp>BDH|6462176659219583621</stp>
        <tr r="Q41" s="2"/>
      </tp>
      <tp t="s">
        <v>#N/A N/A</v>
        <stp/>
        <stp>BDH|9097371000112773529</stp>
        <tr r="N15" s="2"/>
      </tp>
      <tp t="s">
        <v>#N/A N/A</v>
        <stp/>
        <stp>BDH|3073458805709416365</stp>
        <tr r="R29" s="2"/>
      </tp>
      <tp t="s">
        <v>#N/A N/A</v>
        <stp/>
        <stp>BDH|3425909842302147143</stp>
        <tr r="Y12" s="2"/>
      </tp>
      <tp t="s">
        <v>#N/A N/A</v>
        <stp/>
        <stp>BDH|6928493665818786124</stp>
        <tr r="O69" s="2"/>
      </tp>
      <tp t="s">
        <v>#N/A N/A</v>
        <stp/>
        <stp>BDH|3259908571327458772</stp>
        <tr r="E70" s="2"/>
      </tp>
      <tp t="s">
        <v>#N/A N/A</v>
        <stp/>
        <stp>BDH|8149302336001196467</stp>
        <tr r="M26" s="2"/>
      </tp>
      <tp t="s">
        <v>#N/A N/A</v>
        <stp/>
        <stp>BDH|8226010907473315661</stp>
        <tr r="D29" s="2"/>
      </tp>
      <tp t="s">
        <v>#N/A N/A</v>
        <stp/>
        <stp>BDH|9827355628090686525</stp>
        <tr r="AB55" s="2"/>
      </tp>
      <tp t="s">
        <v>#N/A N/A</v>
        <stp/>
        <stp>BDH|3728234998033992641</stp>
        <tr r="U63" s="2"/>
      </tp>
      <tp t="s">
        <v>#N/A N/A</v>
        <stp/>
        <stp>BDH|5461085039233320802</stp>
        <tr r="AD21" s="2"/>
      </tp>
      <tp t="s">
        <v>#N/A N/A</v>
        <stp/>
        <stp>BDH|8949189965827629540</stp>
        <tr r="K67" s="2"/>
      </tp>
      <tp t="s">
        <v>#N/A N/A</v>
        <stp/>
        <stp>BDH|1668376344283302809</stp>
        <tr r="V73" s="2"/>
      </tp>
      <tp t="s">
        <v>#N/A N/A</v>
        <stp/>
        <stp>BDH|4324175883526107609</stp>
        <tr r="AB56" s="2"/>
      </tp>
      <tp t="s">
        <v>#N/A N/A</v>
        <stp/>
        <stp>BDH|6244406920488701524</stp>
        <tr r="D72" s="2"/>
      </tp>
      <tp t="s">
        <v>#N/A N/A</v>
        <stp/>
        <stp>BDH|9338554894109732123</stp>
        <tr r="C25" s="2"/>
      </tp>
      <tp t="s">
        <v>#N/A N/A</v>
        <stp/>
        <stp>BDH|2717842768645585492</stp>
        <tr r="O53" s="2"/>
      </tp>
      <tp t="s">
        <v>#N/A N/A</v>
        <stp/>
        <stp>BDH|1164062016044552902</stp>
        <tr r="AA67" s="2"/>
      </tp>
      <tp t="s">
        <v>#N/A N/A</v>
        <stp/>
        <stp>BDH|9494017153029745858</stp>
        <tr r="F57" s="2"/>
      </tp>
      <tp t="s">
        <v>#N/A N/A</v>
        <stp/>
        <stp>BDH|8151604634543297332</stp>
        <tr r="AB24" s="2"/>
      </tp>
      <tp t="s">
        <v>#N/A N/A</v>
        <stp/>
        <stp>BDH|1343429396783190230</stp>
        <tr r="F26" s="2"/>
      </tp>
      <tp t="s">
        <v>#N/A N/A</v>
        <stp/>
        <stp>BDH|9255699126069805909</stp>
        <tr r="E14" s="2"/>
      </tp>
      <tp t="s">
        <v>#N/A N/A</v>
        <stp/>
        <stp>BDH|7141603796127340216</stp>
        <tr r="T69" s="2"/>
      </tp>
      <tp t="s">
        <v>#N/A N/A</v>
        <stp/>
        <stp>BDH|2974441106289939270</stp>
        <tr r="N68" s="2"/>
      </tp>
      <tp t="s">
        <v>#N/A N/A</v>
        <stp/>
        <stp>BDH|4562656502519556627</stp>
        <tr r="S72" s="2"/>
      </tp>
      <tp t="s">
        <v>#N/A N/A</v>
        <stp/>
        <stp>BDH|2399785135482859931</stp>
        <tr r="AD33" s="2"/>
      </tp>
      <tp t="s">
        <v>#N/A N/A</v>
        <stp/>
        <stp>BDH|64067775970277777</stp>
        <tr r="O50" s="2"/>
      </tp>
      <tp t="s">
        <v>#N/A N/A</v>
        <stp/>
        <stp>BDH|3844850999095879961</stp>
        <tr r="H44" s="2"/>
      </tp>
      <tp t="s">
        <v>#N/A N/A</v>
        <stp/>
        <stp>BDH|2379024379862560978</stp>
        <tr r="U16" s="2"/>
      </tp>
      <tp t="s">
        <v>#N/A N/A</v>
        <stp/>
        <stp>BDH|8099683556990783530</stp>
        <tr r="T10" s="2"/>
      </tp>
      <tp t="s">
        <v>#N/A N/A</v>
        <stp/>
        <stp>BDH|2390419185180960048</stp>
        <tr r="M41" s="2"/>
      </tp>
      <tp t="s">
        <v>#N/A N/A</v>
        <stp/>
        <stp>BDH|6491501373368921247</stp>
        <tr r="K32" s="2"/>
      </tp>
      <tp t="s">
        <v>#N/A N/A</v>
        <stp/>
        <stp>BDH|6560570531948126683</stp>
        <tr r="AC39" s="2"/>
      </tp>
      <tp t="s">
        <v>#N/A N/A</v>
        <stp/>
        <stp>BDH|2541713253666871843</stp>
        <tr r="R6" s="2"/>
      </tp>
      <tp t="s">
        <v>#N/A N/A</v>
        <stp/>
        <stp>BDH|7696350352849211685</stp>
        <tr r="Q26" s="2"/>
      </tp>
      <tp t="s">
        <v>#N/A N/A</v>
        <stp/>
        <stp>BDH|4801965756790388600</stp>
        <tr r="AB67" s="2"/>
      </tp>
      <tp t="s">
        <v>#N/A N/A</v>
        <stp/>
        <stp>BDH|1142874908103290449</stp>
        <tr r="F62" s="2"/>
      </tp>
      <tp t="s">
        <v>#N/A N/A</v>
        <stp/>
        <stp>BDH|1172076905389231695</stp>
        <tr r="R22" s="2"/>
      </tp>
      <tp t="s">
        <v>#N/A N/A</v>
        <stp/>
        <stp>BDH|3406875149385450464</stp>
        <tr r="D56" s="2"/>
      </tp>
      <tp t="s">
        <v>#N/A N/A</v>
        <stp/>
        <stp>BDH|3741406278337724908</stp>
        <tr r="Q72" s="2"/>
      </tp>
      <tp t="s">
        <v>#N/A N/A</v>
        <stp/>
        <stp>BDH|3898421266447330875</stp>
        <tr r="D32" s="2"/>
      </tp>
      <tp t="s">
        <v>#N/A N/A</v>
        <stp/>
        <stp>BDH|3879840650626038653</stp>
        <tr r="AA58" s="2"/>
      </tp>
      <tp t="s">
        <v>#N/A N/A</v>
        <stp/>
        <stp>BDH|9260008356391984341</stp>
        <tr r="AB64" s="2"/>
      </tp>
      <tp t="s">
        <v>#N/A N/A</v>
        <stp/>
        <stp>BDH|3691990170062692170</stp>
        <tr r="Q71" s="2"/>
      </tp>
      <tp t="s">
        <v>#N/A N/A</v>
        <stp/>
        <stp>BDH|7983744795781435625</stp>
        <tr r="I46" s="2"/>
      </tp>
      <tp t="s">
        <v>#N/A N/A</v>
        <stp/>
        <stp>BDH|8177776349974410179</stp>
        <tr r="P24" s="2"/>
      </tp>
      <tp t="s">
        <v>#N/A N/A</v>
        <stp/>
        <stp>BDH|8152466829143799356</stp>
        <tr r="Z19" s="2"/>
      </tp>
      <tp t="s">
        <v>#N/A N/A</v>
        <stp/>
        <stp>BDH|9221657118114694453</stp>
        <tr r="J66" s="2"/>
      </tp>
      <tp t="s">
        <v>#N/A N/A</v>
        <stp/>
        <stp>BDH|2485608039011537855</stp>
        <tr r="AC55" s="2"/>
      </tp>
      <tp t="s">
        <v>#N/A N/A</v>
        <stp/>
        <stp>BDH|8225724419931501117</stp>
        <tr r="O65" s="2"/>
      </tp>
      <tp t="s">
        <v>#N/A N/A</v>
        <stp/>
        <stp>BDH|9386470212303283199</stp>
        <tr r="G52" s="2"/>
      </tp>
      <tp t="s">
        <v>#N/A N/A</v>
        <stp/>
        <stp>BDH|7069210277509398572</stp>
        <tr r="AD15" s="2"/>
      </tp>
      <tp t="s">
        <v>#N/A N/A</v>
        <stp/>
        <stp>BDH|2418205454538107339</stp>
        <tr r="I9" s="2"/>
      </tp>
      <tp t="s">
        <v>#N/A N/A</v>
        <stp/>
        <stp>BDH|2102591387565577488</stp>
        <tr r="H19" s="2"/>
      </tp>
      <tp t="s">
        <v>#N/A N/A</v>
        <stp/>
        <stp>BDH|1395922122874611063</stp>
        <tr r="J24" s="2"/>
      </tp>
      <tp t="s">
        <v>#N/A N/A</v>
        <stp/>
        <stp>BDH|9445129333907350254</stp>
        <tr r="M38" s="2"/>
      </tp>
      <tp t="s">
        <v>#N/A N/A</v>
        <stp/>
        <stp>BDH|4506812136510089116</stp>
        <tr r="M23" s="2"/>
      </tp>
      <tp t="s">
        <v>#N/A N/A</v>
        <stp/>
        <stp>BDH|9551179593656617945</stp>
        <tr r="AB10" s="2"/>
      </tp>
      <tp t="s">
        <v>#N/A N/A</v>
        <stp/>
        <stp>BDH|4474822676435209023</stp>
        <tr r="P66" s="2"/>
      </tp>
      <tp t="s">
        <v>#N/A N/A</v>
        <stp/>
        <stp>BDH|6022876399200831963</stp>
        <tr r="H71" s="2"/>
      </tp>
      <tp t="s">
        <v>#N/A N/A</v>
        <stp/>
        <stp>BDH|8212249208166849266</stp>
        <tr r="AC27" s="2"/>
      </tp>
      <tp t="s">
        <v>#N/A N/A</v>
        <stp/>
        <stp>BDH|2190330303126637974</stp>
        <tr r="V21" s="2"/>
      </tp>
      <tp t="s">
        <v>#N/A N/A</v>
        <stp/>
        <stp>BDH|4780853221883715356</stp>
        <tr r="F23" s="2"/>
      </tp>
      <tp t="s">
        <v>#N/A N/A</v>
        <stp/>
        <stp>BDH|3703368480027168114</stp>
        <tr r="M67" s="2"/>
      </tp>
      <tp t="s">
        <v>#N/A N/A</v>
        <stp/>
        <stp>BDH|3766459522062278932</stp>
        <tr r="E28" s="2"/>
      </tp>
      <tp t="s">
        <v>#N/A N/A</v>
        <stp/>
        <stp>BDH|5664117214489556203</stp>
        <tr r="AD50" s="2"/>
      </tp>
      <tp t="s">
        <v>#N/A N/A</v>
        <stp/>
        <stp>BDH|8276883995760189780</stp>
        <tr r="S55" s="2"/>
      </tp>
      <tp t="s">
        <v>#N/A N/A</v>
        <stp/>
        <stp>BDH|1001242221326567969</stp>
        <tr r="X34" s="2"/>
      </tp>
      <tp t="s">
        <v>#N/A N/A</v>
        <stp/>
        <stp>BDH|4612191423929877038</stp>
        <tr r="L29" s="2"/>
      </tp>
      <tp t="s">
        <v>#N/A N/A</v>
        <stp/>
        <stp>BDH|8624361726994414357</stp>
        <tr r="N52" s="2"/>
      </tp>
      <tp t="s">
        <v>#N/A N/A</v>
        <stp/>
        <stp>BDH|4719347827798041307</stp>
        <tr r="O46" s="2"/>
      </tp>
      <tp t="s">
        <v>#N/A N/A</v>
        <stp/>
        <stp>BDH|1255176340598553250</stp>
        <tr r="Q55" s="2"/>
      </tp>
      <tp t="s">
        <v>#N/A N/A</v>
        <stp/>
        <stp>BDH|3689662412053114962</stp>
        <tr r="G25" s="2"/>
      </tp>
      <tp t="s">
        <v>#N/A N/A</v>
        <stp/>
        <stp>BDH|6589930406276308765</stp>
        <tr r="AD56" s="2"/>
      </tp>
      <tp t="s">
        <v>#N/A N/A</v>
        <stp/>
        <stp>BDH|2896934424455755324</stp>
        <tr r="Z16" s="2"/>
      </tp>
      <tp t="s">
        <v>#N/A N/A</v>
        <stp/>
        <stp>BDH|3134237780985860307</stp>
        <tr r="T43" s="2"/>
      </tp>
      <tp t="s">
        <v>#N/A N/A</v>
        <stp/>
        <stp>BDH|1137615699433010223</stp>
        <tr r="S44" s="2"/>
      </tp>
      <tp t="s">
        <v>#N/A N/A</v>
        <stp/>
        <stp>BDH|3143792754588642628</stp>
        <tr r="D6" s="2"/>
      </tp>
      <tp t="s">
        <v>#N/A N/A</v>
        <stp/>
        <stp>BDH|6874069350458039474</stp>
        <tr r="W13" s="2"/>
      </tp>
      <tp t="s">
        <v>#N/A N/A</v>
        <stp/>
        <stp>BDH|8646415922503865232</stp>
        <tr r="AD44" s="2"/>
      </tp>
      <tp t="s">
        <v>#N/A N/A</v>
        <stp/>
        <stp>BDH|7848815333702634120</stp>
        <tr r="L15" s="2"/>
      </tp>
      <tp t="s">
        <v>#N/A N/A</v>
        <stp/>
        <stp>BDH|9004576618261441357</stp>
        <tr r="AB47" s="2"/>
      </tp>
      <tp t="s">
        <v>#N/A N/A</v>
        <stp/>
        <stp>BDH|7936980636120089290</stp>
        <tr r="U72" s="2"/>
      </tp>
      <tp t="s">
        <v>#N/A N/A</v>
        <stp/>
        <stp>BDH|3650481791837298624</stp>
        <tr r="C56" s="2"/>
      </tp>
      <tp t="s">
        <v>#N/A N/A</v>
        <stp/>
        <stp>BDH|6570680034608749414</stp>
        <tr r="S71" s="2"/>
      </tp>
      <tp t="s">
        <v>#N/A N/A</v>
        <stp/>
        <stp>BDH|1591076056703386886</stp>
        <tr r="V28" s="2"/>
      </tp>
      <tp t="s">
        <v>#N/A N/A</v>
        <stp/>
        <stp>BDH|3729742923939752085</stp>
        <tr r="M65" s="2"/>
      </tp>
      <tp t="s">
        <v>#N/A N/A</v>
        <stp/>
        <stp>BDH|4266277970909216781</stp>
        <tr r="N66" s="2"/>
      </tp>
      <tp t="s">
        <v>#N/A N/A</v>
        <stp/>
        <stp>BDH|4100428960690422982</stp>
        <tr r="AB69" s="2"/>
      </tp>
      <tp t="s">
        <v>#N/A N/A</v>
        <stp/>
        <stp>BDH|6814537407329723572</stp>
        <tr r="V40" s="2"/>
      </tp>
      <tp t="s">
        <v>#N/A N/A</v>
        <stp/>
        <stp>BDH|7878917575957009107</stp>
        <tr r="AA39" s="2"/>
      </tp>
      <tp t="s">
        <v>#N/A N/A</v>
        <stp/>
        <stp>BDH|2820807061323681030</stp>
        <tr r="H31" s="2"/>
      </tp>
      <tp t="s">
        <v>#N/A N/A</v>
        <stp/>
        <stp>BDH|6052756688080349637</stp>
        <tr r="E9" s="2"/>
      </tp>
      <tp t="s">
        <v>#N/A N/A</v>
        <stp/>
        <stp>BDH|1258375201289055499</stp>
        <tr r="AD40" s="2"/>
      </tp>
      <tp t="s">
        <v>#N/A N/A</v>
        <stp/>
        <stp>BDH|5070850126871260139</stp>
        <tr r="D12" s="2"/>
      </tp>
      <tp t="s">
        <v>#N/A N/A</v>
        <stp/>
        <stp>BDH|5221020588406246480</stp>
        <tr r="H38" s="2"/>
      </tp>
      <tp t="s">
        <v>#N/A N/A</v>
        <stp/>
        <stp>BDH|4412178834579530003</stp>
        <tr r="AC42" s="2"/>
      </tp>
      <tp t="s">
        <v>#N/A N/A</v>
        <stp/>
        <stp>BDH|8304732366496011048</stp>
        <tr r="V41" s="2"/>
      </tp>
      <tp t="s">
        <v>#N/A N/A</v>
        <stp/>
        <stp>BDH|1316083686460758691</stp>
        <tr r="F27" s="2"/>
      </tp>
      <tp t="s">
        <v>#N/A N/A</v>
        <stp/>
        <stp>BDH|7078690893841805617</stp>
        <tr r="E64" s="2"/>
      </tp>
      <tp t="s">
        <v>#N/A N/A</v>
        <stp/>
        <stp>BDH|2082448744648206518</stp>
        <tr r="G72" s="2"/>
      </tp>
      <tp t="s">
        <v>#N/A N/A</v>
        <stp/>
        <stp>BDH|1305624153279408466</stp>
        <tr r="O55" s="2"/>
      </tp>
      <tp t="s">
        <v>#N/A N/A</v>
        <stp/>
        <stp>BDH|5437307546908530579</stp>
        <tr r="D67" s="2"/>
      </tp>
      <tp t="s">
        <v>#N/A N/A</v>
        <stp/>
        <stp>BDH|6178701290922933586</stp>
        <tr r="AC46" s="2"/>
      </tp>
      <tp t="s">
        <v>#N/A N/A</v>
        <stp/>
        <stp>BDH|5746273727938289258</stp>
        <tr r="L20" s="2"/>
      </tp>
      <tp t="s">
        <v>#N/A N/A</v>
        <stp/>
        <stp>BDH|1167165114446610847</stp>
        <tr r="Y28" s="2"/>
      </tp>
      <tp t="s">
        <v>#N/A N/A</v>
        <stp/>
        <stp>BDH|1989187283964679356</stp>
        <tr r="P46" s="2"/>
      </tp>
      <tp t="s">
        <v>#N/A N/A</v>
        <stp/>
        <stp>BDH|7352690309486154839</stp>
        <tr r="AC37" s="2"/>
      </tp>
      <tp t="s">
        <v>#N/A N/A</v>
        <stp/>
        <stp>BDH|2156825616113245711</stp>
        <tr r="I23" s="2"/>
      </tp>
      <tp t="s">
        <v>#N/A N/A</v>
        <stp/>
        <stp>BDH|3765419313530396905</stp>
        <tr r="AD36" s="2"/>
        <tr r="AD48" s="2"/>
      </tp>
      <tp t="s">
        <v>#N/A N/A</v>
        <stp/>
        <stp>BDH|1652122232864339837</stp>
        <tr r="S30" s="2"/>
      </tp>
      <tp t="s">
        <v>#N/A N/A</v>
        <stp/>
        <stp>BDH|3791163387647839282</stp>
        <tr r="Y65" s="2"/>
      </tp>
      <tp t="s">
        <v>#N/A N/A</v>
        <stp/>
        <stp>BDH|2684327341483250911</stp>
        <tr r="L30" s="2"/>
      </tp>
      <tp t="s">
        <v>#N/A N/A</v>
        <stp/>
        <stp>BDH|3422573398559445980</stp>
        <tr r="K26" s="2"/>
      </tp>
      <tp t="s">
        <v>#N/A N/A</v>
        <stp/>
        <stp>BDH|7928205560538970472</stp>
        <tr r="AB7" s="2"/>
      </tp>
      <tp t="s">
        <v>#N/A N/A</v>
        <stp/>
        <stp>BDH|5561804874824264144</stp>
        <tr r="R43" s="2"/>
      </tp>
      <tp t="s">
        <v>#N/A N/A</v>
        <stp/>
        <stp>BDH|2542295685890774793</stp>
        <tr r="N35" s="2"/>
      </tp>
      <tp t="s">
        <v>#N/A N/A</v>
        <stp/>
        <stp>BDH|5029155577958224449</stp>
        <tr r="AD65" s="2"/>
      </tp>
      <tp t="s">
        <v>#N/A N/A</v>
        <stp/>
        <stp>BDH|7086308689697969453</stp>
        <tr r="P17" s="2"/>
      </tp>
      <tp t="s">
        <v>#N/A N/A</v>
        <stp/>
        <stp>BDH|1614218505458309440</stp>
        <tr r="I11" s="2"/>
      </tp>
      <tp t="s">
        <v>#N/A N/A</v>
        <stp/>
        <stp>BDH|4455500113809380619</stp>
        <tr r="I18" s="2"/>
      </tp>
      <tp t="s">
        <v>#N/A N/A</v>
        <stp/>
        <stp>BDH|9537697522271296391</stp>
        <tr r="AC71" s="2"/>
      </tp>
      <tp t="s">
        <v>#N/A N/A</v>
        <stp/>
        <stp>BDH|13125153385191340</stp>
        <tr r="H37" s="2"/>
      </tp>
      <tp t="s">
        <v>#N/A N/A</v>
        <stp/>
        <stp>BDH|4130818668430186236</stp>
        <tr r="G63" s="2"/>
      </tp>
      <tp t="s">
        <v>#N/A N/A</v>
        <stp/>
        <stp>BDH|9855250521362367353</stp>
        <tr r="Z63" s="2"/>
      </tp>
      <tp t="s">
        <v>#N/A N/A</v>
        <stp/>
        <stp>BDH|2717627468293374941</stp>
        <tr r="AB44" s="2"/>
      </tp>
      <tp t="s">
        <v>#N/A N/A</v>
        <stp/>
        <stp>BDH|7142782487017536712</stp>
        <tr r="Q67" s="2"/>
      </tp>
      <tp t="s">
        <v>#N/A N/A</v>
        <stp/>
        <stp>BDH|5797593925279681377</stp>
        <tr r="Z73" s="2"/>
      </tp>
      <tp t="s">
        <v>#N/A N/A</v>
        <stp/>
        <stp>BDH|9326410718677558359</stp>
        <tr r="S10" s="2"/>
      </tp>
      <tp t="s">
        <v>#N/A N/A</v>
        <stp/>
        <stp>BDH|8425100538981172376</stp>
        <tr r="R68" s="2"/>
      </tp>
      <tp t="s">
        <v>#N/A N/A</v>
        <stp/>
        <stp>BDH|2842953154940250616</stp>
        <tr r="K72" s="2"/>
      </tp>
      <tp t="s">
        <v>#N/A N/A</v>
        <stp/>
        <stp>BDH|3153089107708037358</stp>
        <tr r="I64" s="2"/>
      </tp>
      <tp t="s">
        <v>#N/A N/A</v>
        <stp/>
        <stp>BDH|9742379552431195683</stp>
        <tr r="J23" s="2"/>
      </tp>
      <tp t="s">
        <v>#N/A N/A</v>
        <stp/>
        <stp>BDH|7924664892381169170</stp>
        <tr r="H65" s="2"/>
      </tp>
      <tp t="s">
        <v>#N/A N/A</v>
        <stp/>
        <stp>BDH|2224762640071832877</stp>
        <tr r="K57" s="2"/>
      </tp>
      <tp t="s">
        <v>#N/A N/A</v>
        <stp/>
        <stp>BDH|8416971037008629295</stp>
        <tr r="AD58" s="2"/>
      </tp>
      <tp t="s">
        <v>#N/A N/A</v>
        <stp/>
        <stp>BDH|8045799287697487814</stp>
        <tr r="J50" s="2"/>
      </tp>
      <tp t="s">
        <v>#N/A N/A</v>
        <stp/>
        <stp>BDH|4737826634961879622</stp>
        <tr r="S41" s="2"/>
      </tp>
      <tp t="s">
        <v>#N/A N/A</v>
        <stp/>
        <stp>BDH|4027299883714014215</stp>
        <tr r="M35" s="2"/>
      </tp>
      <tp t="s">
        <v>#N/A N/A</v>
        <stp/>
        <stp>BDH|2962990113300026289</stp>
        <tr r="L72" s="2"/>
      </tp>
      <tp t="s">
        <v>#N/A N/A</v>
        <stp/>
        <stp>BDH|6896637908109804138</stp>
        <tr r="O62" s="2"/>
      </tp>
      <tp t="s">
        <v>#N/A N/A</v>
        <stp/>
        <stp>BDH|2475068286013457183</stp>
        <tr r="V12" s="2"/>
      </tp>
      <tp t="s">
        <v>#N/A N/A</v>
        <stp/>
        <stp>BDH|3158264369117308844</stp>
        <tr r="Q7" s="2"/>
      </tp>
      <tp t="s">
        <v>#N/A N/A</v>
        <stp/>
        <stp>BDH|2201716158181654945</stp>
        <tr r="J25" s="2"/>
      </tp>
      <tp t="s">
        <v>#N/A N/A</v>
        <stp/>
        <stp>BDH|6933610986561247158</stp>
        <tr r="Y58" s="2"/>
      </tp>
      <tp t="s">
        <v>#N/A N/A</v>
        <stp/>
        <stp>BDH|5167307100459631796</stp>
        <tr r="O52" s="2"/>
      </tp>
      <tp t="s">
        <v>#N/A N/A</v>
        <stp/>
        <stp>BDH|9674851970096878851</stp>
        <tr r="J65" s="2"/>
      </tp>
      <tp t="s">
        <v>#N/A N/A</v>
        <stp/>
        <stp>BDH|2018900573881832558</stp>
        <tr r="O23" s="2"/>
      </tp>
      <tp t="s">
        <v>#N/A N/A</v>
        <stp/>
        <stp>BDH|3667491900289492654</stp>
        <tr r="C32" s="2"/>
      </tp>
      <tp t="s">
        <v>#N/A N/A</v>
        <stp/>
        <stp>BDH|9340776571319898834</stp>
        <tr r="Z10" s="2"/>
      </tp>
      <tp t="s">
        <v>#N/A N/A</v>
        <stp/>
        <stp>BDH|7676144057888253392</stp>
        <tr r="F65" s="2"/>
      </tp>
      <tp t="s">
        <v>#N/A N/A</v>
        <stp/>
        <stp>BDH|3046485034045296919</stp>
        <tr r="V66" s="2"/>
      </tp>
      <tp t="s">
        <v>#N/A N/A</v>
        <stp/>
        <stp>BDH|9094395142993666523</stp>
        <tr r="X56" s="2"/>
      </tp>
      <tp t="s">
        <v>#N/A N/A</v>
        <stp/>
        <stp>BDH|2335619471349846249</stp>
        <tr r="O34" s="2"/>
      </tp>
      <tp t="s">
        <v>#N/A N/A</v>
        <stp/>
        <stp>BDH|7385810346504871709</stp>
        <tr r="D11" s="2"/>
      </tp>
      <tp t="s">
        <v>#N/A N/A</v>
        <stp/>
        <stp>BDH|1585501299550197518</stp>
        <tr r="G56" s="2"/>
      </tp>
      <tp t="s">
        <v>#N/A N/A</v>
        <stp/>
        <stp>BDH|4526247985994909202</stp>
        <tr r="V26" s="2"/>
      </tp>
      <tp t="s">
        <v>#N/A N/A</v>
        <stp/>
        <stp>BDH|9766926919560958961</stp>
        <tr r="H21" s="2"/>
      </tp>
      <tp t="s">
        <v>#N/A N/A</v>
        <stp/>
        <stp>BDH|7205742394364114505</stp>
        <tr r="K73" s="2"/>
      </tp>
      <tp t="s">
        <v>#N/A N/A</v>
        <stp/>
        <stp>BDH|9806883995004648402</stp>
        <tr r="AC6" s="2"/>
      </tp>
      <tp t="s">
        <v>#N/A N/A</v>
        <stp/>
        <stp>BDH|4511074730507480854</stp>
        <tr r="M27" s="2"/>
      </tp>
      <tp t="s">
        <v>#N/A N/A</v>
        <stp/>
        <stp>BDH|4244340984973443466</stp>
        <tr r="R23" s="2"/>
      </tp>
      <tp t="s">
        <v>#N/A N/A</v>
        <stp/>
        <stp>BDH|5702507883257008756</stp>
        <tr r="K11" s="2"/>
      </tp>
      <tp t="s">
        <v>#N/A N/A</v>
        <stp/>
        <stp>BDH|3847528284602837403</stp>
        <tr r="AD9" s="2"/>
      </tp>
      <tp t="s">
        <v>#N/A N/A</v>
        <stp/>
        <stp>BDH|9428625364835515412</stp>
        <tr r="N37" s="2"/>
      </tp>
      <tp t="s">
        <v>#N/A N/A</v>
        <stp/>
        <stp>BDH|4545573266817478879</stp>
        <tr r="F55" s="2"/>
      </tp>
      <tp t="s">
        <v>#N/A N/A</v>
        <stp/>
        <stp>BDH|6049848523320322437</stp>
        <tr r="Z21" s="2"/>
      </tp>
      <tp t="s">
        <v>#N/A N/A</v>
        <stp/>
        <stp>BDH|7401917742415361739</stp>
        <tr r="S40" s="2"/>
      </tp>
      <tp t="s">
        <v>#N/A N/A</v>
        <stp/>
        <stp>BDH|9055576203742724675</stp>
        <tr r="F47" s="2"/>
      </tp>
      <tp t="s">
        <v>#N/A N/A</v>
        <stp/>
        <stp>BDH|4666662727118233012</stp>
        <tr r="C21" s="2"/>
      </tp>
      <tp t="s">
        <v>#N/A N/A</v>
        <stp/>
        <stp>BDH|1544554996692752742</stp>
        <tr r="Z28" s="2"/>
      </tp>
      <tp t="s">
        <v>#N/A N/A</v>
        <stp/>
        <stp>BDH|2876571849623653854</stp>
        <tr r="W62" s="2"/>
      </tp>
      <tp t="s">
        <v>#N/A N/A</v>
        <stp/>
        <stp>BDH|2301360947089732407</stp>
        <tr r="AB63" s="2"/>
      </tp>
      <tp t="s">
        <v>#N/A N/A</v>
        <stp/>
        <stp>BDH|8268280918722020178</stp>
        <tr r="P8" s="2"/>
      </tp>
      <tp t="s">
        <v>#N/A N/A</v>
        <stp/>
        <stp>BDH|5000858259592886218</stp>
        <tr r="L31" s="2"/>
      </tp>
      <tp t="s">
        <v>#N/A N/A</v>
        <stp/>
        <stp>BDH|9316159261476499069</stp>
        <tr r="AC28" s="2"/>
      </tp>
      <tp t="s">
        <v>#N/A N/A</v>
        <stp/>
        <stp>BDH|9709981301431644820</stp>
        <tr r="T71" s="2"/>
      </tp>
      <tp t="s">
        <v>#N/A N/A</v>
        <stp/>
        <stp>BDH|1191460406068997423</stp>
        <tr r="T21" s="2"/>
      </tp>
      <tp t="s">
        <v>#N/A N/A</v>
        <stp/>
        <stp>BDH|4906438992038380814</stp>
        <tr r="E15" s="2"/>
      </tp>
      <tp t="s">
        <v>#N/A N/A</v>
        <stp/>
        <stp>BDH|1650956498500018819</stp>
        <tr r="AB42" s="2"/>
      </tp>
      <tp t="s">
        <v>#N/A N/A</v>
        <stp/>
        <stp>BDH|7272888486788725614</stp>
        <tr r="E23" s="2"/>
      </tp>
      <tp t="s">
        <v>#N/A N/A</v>
        <stp/>
        <stp>BDH|4984898776196999445</stp>
        <tr r="G40" s="2"/>
      </tp>
      <tp t="s">
        <v>#N/A N/A</v>
        <stp/>
        <stp>BDH|4199542824143903909</stp>
        <tr r="D71" s="2"/>
      </tp>
      <tp t="s">
        <v>#N/A N/A</v>
        <stp/>
        <stp>BDH|5818816577903239049</stp>
        <tr r="E44" s="2"/>
      </tp>
      <tp t="s">
        <v>#N/A N/A</v>
        <stp/>
        <stp>BDH|1758925183070708997</stp>
        <tr r="T31" s="2"/>
      </tp>
      <tp t="s">
        <v>#N/A N/A</v>
        <stp/>
        <stp>BDH|8785683541205117675</stp>
        <tr r="O13" s="2"/>
      </tp>
      <tp t="s">
        <v>#N/A N/A</v>
        <stp/>
        <stp>BDH|4694598985219275916</stp>
        <tr r="N71" s="2"/>
      </tp>
      <tp t="s">
        <v>#N/A N/A</v>
        <stp/>
        <stp>BDH|7882837605615419336</stp>
        <tr r="J7" s="2"/>
      </tp>
      <tp t="s">
        <v>#N/A N/A</v>
        <stp/>
        <stp>BDH|9795954035262928873</stp>
        <tr r="V69" s="2"/>
      </tp>
      <tp t="s">
        <v>#N/A N/A</v>
        <stp/>
        <stp>BDH|2064917528436534626</stp>
        <tr r="H73" s="2"/>
      </tp>
      <tp t="s">
        <v>#N/A N/A</v>
        <stp/>
        <stp>BDH|9591615191727318896</stp>
        <tr r="AC51" s="2"/>
      </tp>
      <tp t="s">
        <v>#N/A N/A</v>
        <stp/>
        <stp>BDH|6341586786825519749</stp>
        <tr r="J70" s="2"/>
      </tp>
      <tp t="s">
        <v>#N/A N/A</v>
        <stp/>
        <stp>BDH|2506865436711110184</stp>
        <tr r="Y38" s="2"/>
      </tp>
      <tp t="s">
        <v>#N/A N/A</v>
        <stp/>
        <stp>BDH|3781328686190937169</stp>
        <tr r="Z33" s="2"/>
      </tp>
      <tp t="s">
        <v>#N/A N/A</v>
        <stp/>
        <stp>BDH|9859654963895649547</stp>
        <tr r="AB40" s="2"/>
      </tp>
      <tp t="s">
        <v>#N/A N/A</v>
        <stp/>
        <stp>BDH|2209298766568548745</stp>
        <tr r="L32" s="2"/>
      </tp>
      <tp t="s">
        <v>#N/A N/A</v>
        <stp/>
        <stp>BDH|9748985791989311908</stp>
        <tr r="U37" s="2"/>
      </tp>
      <tp t="s">
        <v>#N/A N/A</v>
        <stp/>
        <stp>BDH|7960750398229377956</stp>
        <tr r="D31" s="2"/>
      </tp>
      <tp t="s">
        <v>#N/A N/A</v>
        <stp/>
        <stp>BDH|4834449073726991842</stp>
        <tr r="L43" s="2"/>
      </tp>
      <tp t="s">
        <v>#N/A N/A</v>
        <stp/>
        <stp>BDH|3180171714388690265</stp>
        <tr r="AC73" s="2"/>
      </tp>
      <tp t="s">
        <v>#N/A N/A</v>
        <stp/>
        <stp>BDH|8904531883525347989</stp>
        <tr r="H62" s="2"/>
      </tp>
      <tp t="s">
        <v>#N/A N/A</v>
        <stp/>
        <stp>BDH|1411279843289112731</stp>
        <tr r="Z9" s="2"/>
      </tp>
      <tp t="s">
        <v>#N/A N/A</v>
        <stp/>
        <stp>BDH|9119497715660723588</stp>
        <tr r="P67" s="2"/>
      </tp>
      <tp t="s">
        <v>#N/A N/A</v>
        <stp/>
        <stp>BDH|7265314186543270642</stp>
        <tr r="S15" s="2"/>
      </tp>
      <tp t="s">
        <v>#N/A N/A</v>
        <stp/>
        <stp>BDH|7555926725351246436</stp>
        <tr r="AA8" s="2"/>
      </tp>
      <tp t="s">
        <v>#N/A N/A</v>
        <stp/>
        <stp>BDH|3476921960303761624</stp>
        <tr r="H29" s="2"/>
      </tp>
      <tp t="s">
        <v>#N/A N/A</v>
        <stp/>
        <stp>BDH|9185455606837847398</stp>
        <tr r="U35" s="2"/>
      </tp>
      <tp t="s">
        <v>#N/A N/A</v>
        <stp/>
        <stp>BDH|1190510585393736611</stp>
        <tr r="E56" s="2"/>
      </tp>
      <tp t="s">
        <v>#N/A N/A</v>
        <stp/>
        <stp>BDH|8806706050375978628</stp>
        <tr r="S6" s="2"/>
      </tp>
      <tp t="s">
        <v>#N/A N/A</v>
        <stp/>
        <stp>BDH|8064975491103545234</stp>
        <tr r="Z32" s="2"/>
      </tp>
      <tp t="s">
        <v>#N/A N/A</v>
        <stp/>
        <stp>BDH|2380610006819704434</stp>
        <tr r="D66" s="2"/>
      </tp>
      <tp t="s">
        <v>#N/A N/A</v>
        <stp/>
        <stp>BDH|3436672720939110725</stp>
        <tr r="AC16" s="2"/>
      </tp>
      <tp t="s">
        <v>#N/A N/A</v>
        <stp/>
        <stp>BDH|7694122881065796236</stp>
        <tr r="I8" s="2"/>
      </tp>
      <tp t="s">
        <v>#N/A N/A</v>
        <stp/>
        <stp>BDH|4649102657510627967</stp>
        <tr r="M56" s="2"/>
      </tp>
      <tp t="s">
        <v>#N/A N/A</v>
        <stp/>
        <stp>BDH|5154858434785518241</stp>
        <tr r="E11" s="2"/>
      </tp>
      <tp t="s">
        <v>#N/A N/A</v>
        <stp/>
        <stp>BDH|2200792418038474568</stp>
        <tr r="P68" s="2"/>
      </tp>
      <tp t="s">
        <v>#N/A N/A</v>
        <stp/>
        <stp>BDH|5664778115553138945</stp>
        <tr r="L8" s="2"/>
      </tp>
      <tp t="s">
        <v>#N/A N/A</v>
        <stp/>
        <stp>BDH|8202534003840607429</stp>
        <tr r="Z58" s="2"/>
      </tp>
      <tp t="s">
        <v>#N/A N/A</v>
        <stp/>
        <stp>BDH|6787615161829943688</stp>
        <tr r="F46" s="2"/>
      </tp>
      <tp t="s">
        <v>#N/A N/A</v>
        <stp/>
        <stp>BDH|4064799888433100163</stp>
        <tr r="E12" s="2"/>
      </tp>
      <tp t="s">
        <v>#N/A N/A</v>
        <stp/>
        <stp>BDH|2884240616668864043</stp>
        <tr r="V23" s="2"/>
      </tp>
      <tp t="s">
        <v>#N/A N/A</v>
        <stp/>
        <stp>BDH|3277731791496721206</stp>
        <tr r="D43" s="2"/>
      </tp>
      <tp t="s">
        <v>#N/A N/A</v>
        <stp/>
        <stp>BDH|5033211639358687591</stp>
        <tr r="X70" s="2"/>
      </tp>
      <tp t="s">
        <v>#N/A N/A</v>
        <stp/>
        <stp>BDH|9300547650107462773</stp>
        <tr r="Y53" s="2"/>
      </tp>
      <tp t="s">
        <v>#N/A N/A</v>
        <stp/>
        <stp>BDH|3831652522927950924</stp>
        <tr r="K19" s="2"/>
      </tp>
      <tp t="s">
        <v>#N/A N/A</v>
        <stp/>
        <stp>BDH|1116125714680134829</stp>
        <tr r="S22" s="2"/>
      </tp>
      <tp t="s">
        <v>#N/A N/A</v>
        <stp/>
        <stp>BDH|3640869728312473283</stp>
        <tr r="W23" s="2"/>
      </tp>
      <tp t="s">
        <v>#N/A N/A</v>
        <stp/>
        <stp>BDH|3235490565821932935</stp>
        <tr r="Q56" s="2"/>
      </tp>
      <tp t="s">
        <v>#N/A N/A</v>
        <stp/>
        <stp>BDH|9303623374461768072</stp>
        <tr r="Y21" s="2"/>
      </tp>
      <tp t="s">
        <v>#N/A N/A</v>
        <stp/>
        <stp>BDH|48046059676152739</stp>
        <tr r="I25" s="2"/>
      </tp>
      <tp t="s">
        <v>#N/A N/A</v>
        <stp/>
        <stp>BDH|1462171725778597092</stp>
        <tr r="M63" s="2"/>
      </tp>
      <tp t="s">
        <v>#N/A N/A</v>
        <stp/>
        <stp>BDH|2129570921126928952</stp>
        <tr r="W29" s="2"/>
      </tp>
      <tp t="s">
        <v>#N/A N/A</v>
        <stp/>
        <stp>BDH|7597681211543462939</stp>
        <tr r="Y57" s="2"/>
      </tp>
      <tp t="s">
        <v>#N/A N/A</v>
        <stp/>
        <stp>BDH|8673739746123919218</stp>
        <tr r="AA31" s="2"/>
      </tp>
      <tp t="s">
        <v>#N/A N/A</v>
        <stp/>
        <stp>BDH|4175984952384789670</stp>
        <tr r="Q58" s="2"/>
      </tp>
      <tp t="s">
        <v>#N/A N/A</v>
        <stp/>
        <stp>BDH|7921779570475555806</stp>
        <tr r="AC38" s="2"/>
      </tp>
      <tp t="s">
        <v>#N/A N/A</v>
        <stp/>
        <stp>BDH|5767068165688479188</stp>
        <tr r="T65" s="2"/>
      </tp>
      <tp t="s">
        <v>#N/A N/A</v>
        <stp/>
        <stp>BDH|6926540673539466732</stp>
        <tr r="AA28" s="2"/>
      </tp>
      <tp t="s">
        <v>#N/A N/A</v>
        <stp/>
        <stp>BDH|7542911076312347189</stp>
        <tr r="Q64" s="2"/>
      </tp>
      <tp t="s">
        <v>#N/A N/A</v>
        <stp/>
        <stp>BDH|4418111788793691425</stp>
        <tr r="U58" s="2"/>
      </tp>
      <tp t="s">
        <v>#N/A N/A</v>
        <stp/>
        <stp>BDH|8633482435964708153</stp>
        <tr r="X8" s="2"/>
      </tp>
      <tp t="s">
        <v>#N/A N/A</v>
        <stp/>
        <stp>BDH|9527779339442426560</stp>
        <tr r="F9" s="2"/>
      </tp>
      <tp t="s">
        <v>#N/A N/A</v>
        <stp/>
        <stp>BDH|1473039405169372287</stp>
        <tr r="W63" s="2"/>
      </tp>
      <tp t="s">
        <v>#N/A N/A</v>
        <stp/>
        <stp>BDH|4765399480921304430</stp>
        <tr r="H15" s="2"/>
      </tp>
      <tp t="s">
        <v>#N/A N/A</v>
        <stp/>
        <stp>BDH|4791908146634753791</stp>
        <tr r="X29" s="2"/>
      </tp>
      <tp t="s">
        <v>#N/A N/A</v>
        <stp/>
        <stp>BDH|2740263098464614736</stp>
        <tr r="V37" s="2"/>
      </tp>
      <tp t="s">
        <v>#N/A N/A</v>
        <stp/>
        <stp>BDH|8979400302337409133</stp>
        <tr r="L67" s="2"/>
      </tp>
      <tp t="s">
        <v>#N/A N/A</v>
        <stp/>
        <stp>BDH|8137439148976338457</stp>
        <tr r="L73" s="2"/>
      </tp>
      <tp t="s">
        <v>#N/A N/A</v>
        <stp/>
        <stp>BDH|1052359562968889636</stp>
        <tr r="Q47" s="2"/>
      </tp>
      <tp t="s">
        <v>#N/A N/A</v>
        <stp/>
        <stp>BDH|4257020883407611180</stp>
        <tr r="T66" s="2"/>
      </tp>
      <tp t="s">
        <v>#N/A N/A</v>
        <stp/>
        <stp>BDH|9696396323714208636</stp>
        <tr r="AA14" s="2"/>
      </tp>
      <tp t="s">
        <v>#N/A N/A</v>
        <stp/>
        <stp>BDH|7230033555960782810</stp>
        <tr r="Y43" s="2"/>
      </tp>
      <tp t="s">
        <v>#N/A N/A</v>
        <stp/>
        <stp>BDH|7421556147604140853</stp>
        <tr r="M18" s="2"/>
      </tp>
      <tp t="s">
        <v>#N/A N/A</v>
        <stp/>
        <stp>BDH|5085119947799104353</stp>
        <tr r="H34" s="2"/>
      </tp>
      <tp t="s">
        <v>#N/A N/A</v>
        <stp/>
        <stp>BDH|6003933400700786565</stp>
        <tr r="R34" s="2"/>
      </tp>
      <tp t="s">
        <v>#N/A N/A</v>
        <stp/>
        <stp>BDH|7492310392736416117</stp>
        <tr r="AA12" s="2"/>
      </tp>
      <tp t="s">
        <v>#N/A N/A</v>
        <stp/>
        <stp>BDH|8950107847757447093</stp>
        <tr r="I51" s="2"/>
      </tp>
      <tp t="s">
        <v>#N/A N/A</v>
        <stp/>
        <stp>BDH|9527048813805705769</stp>
        <tr r="Y24" s="2"/>
      </tp>
      <tp t="s">
        <v>#N/A N/A</v>
        <stp/>
        <stp>BDH|1744672239006992835</stp>
        <tr r="W56" s="2"/>
      </tp>
      <tp t="s">
        <v>#N/A N/A</v>
        <stp/>
        <stp>BDH|5518528611968043359</stp>
        <tr r="Z55" s="2"/>
      </tp>
      <tp t="s">
        <v>#N/A N/A</v>
        <stp/>
        <stp>BDH|2613345940969402651</stp>
        <tr r="AB36" s="2"/>
        <tr r="AB48" s="2"/>
      </tp>
      <tp t="s">
        <v>#N/A N/A</v>
        <stp/>
        <stp>BDH|5267493592227035595</stp>
        <tr r="R28" s="2"/>
      </tp>
      <tp t="s">
        <v>#N/A N/A</v>
        <stp/>
        <stp>BDH|2277600454788491329</stp>
        <tr r="G28" s="2"/>
      </tp>
      <tp t="s">
        <v>#N/A N/A</v>
        <stp/>
        <stp>BDH|6223950836574941281</stp>
        <tr r="X9" s="2"/>
      </tp>
      <tp t="s">
        <v>#N/A N/A</v>
        <stp/>
        <stp>BDH|6142592607418615196</stp>
        <tr r="L41" s="2"/>
      </tp>
      <tp t="s">
        <v>#N/A N/A</v>
        <stp/>
        <stp>BDH|3134916218667104698</stp>
        <tr r="H36" s="2"/>
        <tr r="H48" s="2"/>
      </tp>
      <tp t="s">
        <v>#N/A N/A</v>
        <stp/>
        <stp>BDH|5198727112289280038</stp>
        <tr r="H41" s="2"/>
      </tp>
      <tp t="s">
        <v>#N/A N/A</v>
        <stp/>
        <stp>BDH|1177310767239461723</stp>
        <tr r="J31" s="2"/>
      </tp>
      <tp t="s">
        <v>#N/A N/A</v>
        <stp/>
        <stp>BDH|4141701661308886799</stp>
        <tr r="U68" s="2"/>
      </tp>
      <tp t="s">
        <v>#N/A N/A</v>
        <stp/>
        <stp>BDH|6954948017146586291</stp>
        <tr r="Q33" s="2"/>
      </tp>
      <tp t="s">
        <v>#N/A N/A</v>
        <stp/>
        <stp>BDH|6656418732913557866</stp>
        <tr r="K24" s="2"/>
      </tp>
      <tp t="s">
        <v>#N/A N/A</v>
        <stp/>
        <stp>BDH|3577545615008238507</stp>
        <tr r="M17" s="2"/>
      </tp>
      <tp t="s">
        <v>#N/A N/A</v>
        <stp/>
        <stp>BDH|2266458185095772133</stp>
        <tr r="F51" s="2"/>
      </tp>
      <tp t="s">
        <v>#N/A N/A</v>
        <stp/>
        <stp>BDH|8587947146187407854</stp>
        <tr r="U33" s="2"/>
      </tp>
      <tp t="s">
        <v>#N/A N/A</v>
        <stp/>
        <stp>BDH|9135081634935849531</stp>
        <tr r="M29" s="2"/>
      </tp>
      <tp t="s">
        <v>#N/A N/A</v>
        <stp/>
        <stp>BDH|6265520492715630536</stp>
        <tr r="S46" s="2"/>
      </tp>
      <tp t="s">
        <v>#N/A N/A</v>
        <stp/>
        <stp>BDH|8518966986585745651</stp>
        <tr r="W20" s="2"/>
      </tp>
      <tp t="s">
        <v>#N/A N/A</v>
        <stp/>
        <stp>BDH|6500310316869467711</stp>
        <tr r="D64" s="2"/>
      </tp>
      <tp t="s">
        <v>#N/A N/A</v>
        <stp/>
        <stp>BDH|7635412159109970532</stp>
        <tr r="W22" s="2"/>
      </tp>
      <tp t="s">
        <v>#N/A N/A</v>
        <stp/>
        <stp>BDH|1580962597913419845</stp>
        <tr r="N73" s="2"/>
      </tp>
      <tp t="s">
        <v>#N/A N/A</v>
        <stp/>
        <stp>BDH|8838587847403476071</stp>
        <tr r="R30" s="2"/>
      </tp>
      <tp t="s">
        <v>#N/A N/A</v>
        <stp/>
        <stp>BDH|9112150090452560958</stp>
        <tr r="D34" s="2"/>
      </tp>
      <tp t="s">
        <v>#N/A N/A</v>
        <stp/>
        <stp>BDH|4623050618818943763</stp>
        <tr r="AB32" s="2"/>
      </tp>
      <tp t="s">
        <v>#N/A N/A</v>
        <stp/>
        <stp>BDH|3357478059120846815</stp>
        <tr r="Y11" s="2"/>
      </tp>
      <tp t="s">
        <v>#N/A N/A</v>
        <stp/>
        <stp>BDH|2512240455499627668</stp>
        <tr r="E57" s="2"/>
      </tp>
      <tp t="s">
        <v>#N/A N/A</v>
        <stp/>
        <stp>BDH|6840633023088592082</stp>
        <tr r="J63" s="2"/>
      </tp>
      <tp t="s">
        <v>#N/A N/A</v>
        <stp/>
        <stp>BDH|2105488974223161893</stp>
        <tr r="Q30" s="2"/>
      </tp>
      <tp t="s">
        <v>#N/A N/A</v>
        <stp/>
        <stp>BDH|29578643825679312</stp>
        <tr r="V15" s="2"/>
      </tp>
      <tp t="s">
        <v>#N/A N/A</v>
        <stp/>
        <stp>BDH|72487106457793492</stp>
        <tr r="R26" s="2"/>
      </tp>
      <tp t="s">
        <v>#N/A N/A</v>
        <stp/>
        <stp>BDH|6662864189594747947</stp>
        <tr r="AA26" s="2"/>
      </tp>
      <tp t="s">
        <v>#N/A N/A</v>
        <stp/>
        <stp>BDH|1462965182288310398</stp>
        <tr r="K62" s="2"/>
      </tp>
      <tp t="s">
        <v>#N/A N/A</v>
        <stp/>
        <stp>BDH|3931108313671004903</stp>
        <tr r="U67" s="2"/>
      </tp>
      <tp t="s">
        <v>#N/A N/A</v>
        <stp/>
        <stp>BDH|6757935259305413428</stp>
        <tr r="L40" s="2"/>
      </tp>
      <tp t="s">
        <v>#N/A N/A</v>
        <stp/>
        <stp>BDH|3378584287743701633</stp>
        <tr r="K46" s="2"/>
      </tp>
      <tp t="s">
        <v>#N/A N/A</v>
        <stp/>
        <stp>BDH|5247137378908204032</stp>
        <tr r="T6" s="2"/>
      </tp>
      <tp t="s">
        <v>#N/A N/A</v>
        <stp/>
        <stp>BDH|5495780565576561946</stp>
        <tr r="AB16" s="2"/>
      </tp>
      <tp t="s">
        <v>#N/A N/A</v>
        <stp/>
        <stp>BDH|6667956186744993840</stp>
        <tr r="U13" s="2"/>
      </tp>
      <tp t="s">
        <v>#N/A N/A</v>
        <stp/>
        <stp>BDH|1622686736768301722</stp>
        <tr r="Y17" s="2"/>
      </tp>
      <tp t="s">
        <v>#N/A N/A</v>
        <stp/>
        <stp>BDH|8869356753596467333</stp>
        <tr r="W50" s="2"/>
      </tp>
      <tp t="s">
        <v>#N/A N/A</v>
        <stp/>
        <stp>BDH|6319393001038114631</stp>
        <tr r="D70" s="2"/>
      </tp>
      <tp t="s">
        <v>#N/A N/A</v>
        <stp/>
        <stp>BDH|6662103723076501890</stp>
        <tr r="F32" s="2"/>
      </tp>
      <tp t="s">
        <v>#N/A N/A</v>
        <stp/>
        <stp>BDH|5956880628724376033</stp>
        <tr r="Q65" s="2"/>
      </tp>
      <tp t="s">
        <v>#N/A N/A</v>
        <stp/>
        <stp>BDH|3420789774350528841</stp>
        <tr r="AA64" s="2"/>
      </tp>
      <tp t="s">
        <v>#N/A N/A</v>
        <stp/>
        <stp>BDH|3285657829445869985</stp>
        <tr r="Q42" s="2"/>
      </tp>
      <tp t="s">
        <v>#N/A N/A</v>
        <stp/>
        <stp>BDH|9479110659314313206</stp>
        <tr r="AB38" s="2"/>
      </tp>
      <tp t="s">
        <v>#N/A N/A</v>
        <stp/>
        <stp>BDH|6059817345290844130</stp>
        <tr r="J72" s="2"/>
      </tp>
      <tp t="s">
        <v>#N/A N/A</v>
        <stp/>
        <stp>BDH|2915276597411048361</stp>
        <tr r="U71" s="2"/>
      </tp>
      <tp t="s">
        <v>#N/A N/A</v>
        <stp/>
        <stp>BDH|2192965308791464140</stp>
        <tr r="G13" s="2"/>
      </tp>
      <tp t="s">
        <v>#N/A N/A</v>
        <stp/>
        <stp>BDH|5674716279708917689</stp>
        <tr r="J28" s="2"/>
      </tp>
      <tp t="s">
        <v>#N/A N/A</v>
        <stp/>
        <stp>BDH|9968876674489517436</stp>
        <tr r="AC21" s="2"/>
      </tp>
      <tp t="s">
        <v>#N/A N/A</v>
        <stp/>
        <stp>BDH|6145108243109896163</stp>
        <tr r="D25" s="2"/>
      </tp>
      <tp t="s">
        <v>#N/A N/A</v>
        <stp/>
        <stp>BDH|9825773202840242533</stp>
        <tr r="U51" s="2"/>
      </tp>
      <tp t="s">
        <v>#N/A N/A</v>
        <stp/>
        <stp>BDH|3659148296654990403</stp>
        <tr r="Q25" s="2"/>
      </tp>
      <tp t="s">
        <v>#N/A N/A</v>
        <stp/>
        <stp>BDH|4363623664228194796</stp>
        <tr r="X67" s="2"/>
      </tp>
      <tp t="s">
        <v>#N/A N/A</v>
        <stp/>
        <stp>BDH|5947688893682645394</stp>
        <tr r="Y30" s="2"/>
      </tp>
      <tp t="s">
        <v>#N/A N/A</v>
        <stp/>
        <stp>BDH|1739976891182400877</stp>
        <tr r="E73" s="2"/>
      </tp>
      <tp t="s">
        <v>#N/A N/A</v>
        <stp/>
        <stp>BDH|4466233462033663818</stp>
        <tr r="Z20" s="2"/>
      </tp>
      <tp t="s">
        <v>#N/A N/A</v>
        <stp/>
        <stp>BDH|9681080938426433704</stp>
        <tr r="E47" s="2"/>
      </tp>
      <tp t="s">
        <v>#N/A N/A</v>
        <stp/>
        <stp>BDH|2629108629689909341</stp>
        <tr r="AB53" s="2"/>
      </tp>
      <tp t="s">
        <v>#N/A N/A</v>
        <stp/>
        <stp>BDH|2121077057149732555</stp>
        <tr r="M37" s="2"/>
      </tp>
      <tp t="s">
        <v>#N/A N/A</v>
        <stp/>
        <stp>BDH|4520332592614540125</stp>
        <tr r="O29" s="2"/>
      </tp>
      <tp t="s">
        <v>#N/A N/A</v>
        <stp/>
        <stp>BDH|5996860317121838637</stp>
        <tr r="L24" s="2"/>
      </tp>
      <tp t="s">
        <v>#N/A N/A</v>
        <stp/>
        <stp>BDH|1012307194992316276</stp>
        <tr r="AC70" s="2"/>
      </tp>
      <tp t="s">
        <v>#N/A N/A</v>
        <stp/>
        <stp>BDH|2767937752216705319</stp>
        <tr r="AA66" s="2"/>
      </tp>
      <tp t="s">
        <v>#N/A N/A</v>
        <stp/>
        <stp>BDH|9330439910200020704</stp>
        <tr r="L27" s="2"/>
      </tp>
      <tp t="s">
        <v>#N/A N/A</v>
        <stp/>
        <stp>BDH|4309603845509664462</stp>
        <tr r="T53" s="2"/>
      </tp>
      <tp t="s">
        <v>#N/A N/A</v>
        <stp/>
        <stp>BDH|8119244742321304424</stp>
        <tr r="J68" s="2"/>
      </tp>
      <tp t="s">
        <v>#N/A N/A</v>
        <stp/>
        <stp>BDH|1038998737111169199</stp>
        <tr r="O68" s="2"/>
      </tp>
      <tp t="s">
        <v>#N/A N/A</v>
        <stp/>
        <stp>BDH|3047248993720713361</stp>
        <tr r="V14" s="2"/>
      </tp>
      <tp t="s">
        <v>#N/A N/A</v>
        <stp/>
        <stp>BDH|4303556230260360938</stp>
        <tr r="P40" s="2"/>
      </tp>
      <tp t="s">
        <v>#N/A N/A</v>
        <stp/>
        <stp>BDH|2670018446429586429</stp>
        <tr r="L62" s="2"/>
      </tp>
      <tp t="s">
        <v>#N/A N/A</v>
        <stp/>
        <stp>BDH|3522417486636516209</stp>
        <tr r="W34" s="2"/>
      </tp>
      <tp t="s">
        <v>#N/A N/A</v>
        <stp/>
        <stp>BDH|9301205023812212066</stp>
        <tr r="AB6" s="2"/>
      </tp>
      <tp t="s">
        <v>#N/A N/A</v>
        <stp/>
        <stp>BDH|4458809079907086797</stp>
        <tr r="E65" s="2"/>
      </tp>
      <tp t="s">
        <v>#N/A N/A</v>
        <stp/>
        <stp>BDH|8596370719365935465</stp>
        <tr r="O51" s="2"/>
      </tp>
      <tp t="s">
        <v>#N/A N/A</v>
        <stp/>
        <stp>BDH|4128414847376139929</stp>
        <tr r="AB37" s="2"/>
      </tp>
      <tp t="s">
        <v>#N/A N/A</v>
        <stp/>
        <stp>BDH|7812140501158013580</stp>
        <tr r="AA43" s="2"/>
      </tp>
      <tp t="s">
        <v>#N/A N/A</v>
        <stp/>
        <stp>BDH|5112754891388776874</stp>
        <tr r="N13" s="2"/>
      </tp>
      <tp t="s">
        <v>#N/A N/A</v>
        <stp/>
        <stp>BDH|6194080239019029750</stp>
        <tr r="J16" s="2"/>
      </tp>
      <tp t="s">
        <v>#N/A N/A</v>
        <stp/>
        <stp>BDH|5769898432683841612</stp>
        <tr r="AD27" s="2"/>
      </tp>
      <tp t="s">
        <v>#N/A N/A</v>
        <stp/>
        <stp>BDH|62345310605721132</stp>
        <tr r="W21" s="2"/>
      </tp>
      <tp t="s">
        <v>#N/A N/A</v>
        <stp/>
        <stp>BDH|3970357732362280568</stp>
        <tr r="AA41" s="2"/>
      </tp>
      <tp t="s">
        <v>#N/A N/A</v>
        <stp/>
        <stp>BDH|7833407506492611522</stp>
        <tr r="U31" s="2"/>
      </tp>
      <tp t="s">
        <v>#N/A N/A</v>
        <stp/>
        <stp>BDH|9730599298669980851</stp>
        <tr r="Q46" s="2"/>
      </tp>
      <tp t="s">
        <v>#N/A N/A</v>
        <stp/>
        <stp>BDH|1941692784889960275</stp>
        <tr r="I27" s="2"/>
      </tp>
      <tp t="s">
        <v>#N/A N/A</v>
        <stp/>
        <stp>BDH|9612851378852849093</stp>
        <tr r="C73" s="2"/>
      </tp>
      <tp t="s">
        <v>#N/A N/A</v>
        <stp/>
        <stp>BDH|4135694065029112976</stp>
        <tr r="L19" s="2"/>
      </tp>
      <tp t="s">
        <v>#N/A N/A</v>
        <stp/>
        <stp>BDH|5109320704060904258</stp>
        <tr r="V57" s="2"/>
      </tp>
      <tp t="s">
        <v>#N/A N/A</v>
        <stp/>
        <stp>BDH|4631102439693594113</stp>
        <tr r="S20" s="2"/>
      </tp>
      <tp t="s">
        <v>#N/A N/A</v>
        <stp/>
        <stp>BDH|2162060628455230152</stp>
        <tr r="L9" s="2"/>
      </tp>
      <tp t="s">
        <v>#N/A N/A</v>
        <stp/>
        <stp>BDH|5359646290089993766</stp>
        <tr r="C17" s="2"/>
      </tp>
      <tp t="s">
        <v>#N/A N/A</v>
        <stp/>
        <stp>BDH|7920474134745430106</stp>
        <tr r="L47" s="2"/>
      </tp>
      <tp t="s">
        <v>#N/A N/A</v>
        <stp/>
        <stp>BDH|9122900559819732811</stp>
        <tr r="F31" s="2"/>
      </tp>
      <tp t="s">
        <v>#N/A N/A</v>
        <stp/>
        <stp>BDH|6377080437692404369</stp>
        <tr r="S37" s="2"/>
      </tp>
      <tp t="s">
        <v>#N/A N/A</v>
        <stp/>
        <stp>BDH|1357418979116415017</stp>
        <tr r="L16" s="2"/>
      </tp>
      <tp t="s">
        <v>#N/A N/A</v>
        <stp/>
        <stp>BDH|4594594744213321252</stp>
        <tr r="K56" s="2"/>
      </tp>
      <tp t="s">
        <v>#N/A N/A</v>
        <stp/>
        <stp>BDH|4317320048717079066</stp>
        <tr r="X15" s="2"/>
      </tp>
      <tp t="s">
        <v>#N/A N/A</v>
        <stp/>
        <stp>BDH|3062275459545302520</stp>
        <tr r="H7" s="2"/>
      </tp>
      <tp t="s">
        <v>#N/A N/A</v>
        <stp/>
        <stp>BDH|3486247949863544238</stp>
        <tr r="O40" s="2"/>
      </tp>
      <tp t="s">
        <v>#N/A N/A</v>
        <stp/>
        <stp>BDH|7805019631083236350</stp>
        <tr r="L69" s="2"/>
      </tp>
      <tp t="s">
        <v>#N/A N/A</v>
        <stp/>
        <stp>BDH|5666270413354584682</stp>
        <tr r="AA19" s="2"/>
      </tp>
      <tp t="s">
        <v>#N/A N/A</v>
        <stp/>
        <stp>BDH|6939760183119419454</stp>
        <tr r="M62" s="2"/>
      </tp>
      <tp t="s">
        <v>#N/A N/A</v>
        <stp/>
        <stp>BDH|4422510058394420445</stp>
        <tr r="J12" s="2"/>
      </tp>
      <tp t="s">
        <v>#N/A N/A</v>
        <stp/>
        <stp>BDH|8481569744348131552</stp>
        <tr r="AB22" s="2"/>
      </tp>
      <tp t="s">
        <v>#N/A N/A</v>
        <stp/>
        <stp>BDH|2875296394238015577</stp>
        <tr r="X27" s="2"/>
      </tp>
      <tp t="s">
        <v>#N/A N/A</v>
        <stp/>
        <stp>BDH|6372754912372769611</stp>
        <tr r="F7" s="2"/>
      </tp>
      <tp t="s">
        <v>#N/A N/A</v>
        <stp/>
        <stp>BDH|1378665634000709044</stp>
        <tr r="H26" s="2"/>
      </tp>
      <tp t="s">
        <v>#N/A N/A</v>
        <stp/>
        <stp>BDH|2320772671453168574</stp>
        <tr r="AA72" s="2"/>
      </tp>
      <tp t="s">
        <v>#N/A N/A</v>
        <stp/>
        <stp>BDH|1102534052596032338</stp>
        <tr r="D40" s="2"/>
      </tp>
      <tp t="s">
        <v>#N/A N/A</v>
        <stp/>
        <stp>BDH|7621861981760811394</stp>
        <tr r="L39" s="2"/>
      </tp>
      <tp t="s">
        <v>#N/A N/A</v>
        <stp/>
        <stp>BDH|8547796158187232966</stp>
        <tr r="I28" s="2"/>
      </tp>
      <tp t="s">
        <v>#N/A N/A</v>
        <stp/>
        <stp>BDH|4770186019024738414</stp>
        <tr r="R51" s="2"/>
      </tp>
      <tp t="s">
        <v>#N/A N/A</v>
        <stp/>
        <stp>BDH|2520056065839187949</stp>
        <tr r="R63" s="2"/>
      </tp>
      <tp t="s">
        <v>#N/A N/A</v>
        <stp/>
        <stp>BDH|4676904018219977178</stp>
        <tr r="I29" s="2"/>
      </tp>
      <tp t="s">
        <v>#N/A N/A</v>
        <stp/>
        <stp>BDH|2768139584958761761</stp>
        <tr r="AA73" s="2"/>
      </tp>
      <tp t="s">
        <v>#N/A N/A</v>
        <stp/>
        <stp>BDH|2475943982817763049</stp>
        <tr r="E58" s="2"/>
      </tp>
      <tp t="s">
        <v>#N/A N/A</v>
        <stp/>
        <stp>BDH|9121366076460139910</stp>
        <tr r="L12" s="2"/>
      </tp>
      <tp t="s">
        <v>#N/A N/A</v>
        <stp/>
        <stp>BDH|8274957203761533402</stp>
        <tr r="F34" s="2"/>
      </tp>
      <tp t="s">
        <v>#N/A N/A</v>
        <stp/>
        <stp>BDH|9707898209752073760</stp>
        <tr r="S17" s="2"/>
      </tp>
      <tp t="s">
        <v>#N/A N/A</v>
        <stp/>
        <stp>BDH|5305194817479953826</stp>
        <tr r="G35" s="2"/>
      </tp>
      <tp t="s">
        <v>#N/A N/A</v>
        <stp/>
        <stp>BDH|9634476781329355859</stp>
        <tr r="U53" s="2"/>
      </tp>
      <tp t="s">
        <v>#N/A N/A</v>
        <stp/>
        <stp>BDH|6977165969803360633</stp>
        <tr r="U32" s="2"/>
      </tp>
      <tp t="s">
        <v>#N/A N/A</v>
        <stp/>
        <stp>BDH|4024374934702019243</stp>
        <tr r="G69" s="2"/>
      </tp>
      <tp t="s">
        <v>#N/A N/A</v>
        <stp/>
        <stp>BDH|4744111210355618574</stp>
        <tr r="AD31" s="2"/>
      </tp>
      <tp t="s">
        <v>#N/A N/A</v>
        <stp/>
        <stp>BDH|4256036873125635233</stp>
        <tr r="AC50" s="2"/>
      </tp>
      <tp t="s">
        <v>#N/A N/A</v>
        <stp/>
        <stp>BDH|4354866455449201452</stp>
        <tr r="P26" s="2"/>
      </tp>
      <tp t="s">
        <v>#N/A N/A</v>
        <stp/>
        <stp>BDH|6643852577548712546</stp>
        <tr r="X22" s="2"/>
      </tp>
      <tp t="s">
        <v>#N/A N/A</v>
        <stp/>
        <stp>BDH|2317263414107674202</stp>
        <tr r="Z30" s="2"/>
      </tp>
      <tp t="s">
        <v>#N/A N/A</v>
        <stp/>
        <stp>BDH|6429693899569482474</stp>
        <tr r="V31" s="2"/>
      </tp>
      <tp t="s">
        <v>#N/A N/A</v>
        <stp/>
        <stp>BDH|6240343857182607637</stp>
        <tr r="S11" s="2"/>
      </tp>
      <tp t="s">
        <v>#N/A N/A</v>
        <stp/>
        <stp>BDH|4823414071490448385</stp>
        <tr r="P43" s="2"/>
      </tp>
      <tp t="s">
        <v>#N/A N/A</v>
        <stp/>
        <stp>BDH|2281335131297508113</stp>
        <tr r="U66" s="2"/>
      </tp>
      <tp t="s">
        <v>#N/A N/A</v>
        <stp/>
        <stp>BDH|7909942394863854050</stp>
        <tr r="AC41" s="2"/>
      </tp>
      <tp t="s">
        <v>#N/A N/A</v>
        <stp/>
        <stp>BDH|8420855705970798460</stp>
        <tr r="U24" s="2"/>
      </tp>
      <tp t="s">
        <v>#N/A N/A</v>
        <stp/>
        <stp>BDH|3484505004566214470</stp>
        <tr r="Q29" s="2"/>
      </tp>
      <tp t="s">
        <v>#N/A N/A</v>
        <stp/>
        <stp>BDH|7905451014904825253</stp>
        <tr r="Y7" s="2"/>
      </tp>
      <tp t="s">
        <v>#N/A N/A</v>
        <stp/>
        <stp>BDH|7709783637962533580</stp>
        <tr r="W51" s="2"/>
      </tp>
      <tp t="s">
        <v>#N/A N/A</v>
        <stp/>
        <stp>BDH|8289334232105073966</stp>
        <tr r="H43" s="2"/>
      </tp>
      <tp t="s">
        <v>#N/A N/A</v>
        <stp/>
        <stp>BDH|58701201036157873</stp>
        <tr r="AD72" s="2"/>
      </tp>
      <tp t="s">
        <v>#N/A N/A</v>
        <stp/>
        <stp>BDH|3511590601120562322</stp>
        <tr r="L56" s="2"/>
      </tp>
      <tp t="s">
        <v>#N/A N/A</v>
        <stp/>
        <stp>BDH|5165575853166675692</stp>
        <tr r="C11" s="2"/>
      </tp>
      <tp t="s">
        <v>#N/A N/A</v>
        <stp/>
        <stp>BDH|2905488097128525293</stp>
        <tr r="G55" s="2"/>
      </tp>
      <tp t="s">
        <v>#N/A N/A</v>
        <stp/>
        <stp>BDH|1733379952802036091</stp>
        <tr r="AB41" s="2"/>
      </tp>
      <tp t="s">
        <v>#N/A N/A</v>
        <stp/>
        <stp>BDH|8264985870560210337</stp>
        <tr r="J35" s="2"/>
      </tp>
      <tp t="s">
        <v>#N/A N/A</v>
        <stp/>
        <stp>BDH|7787907795921027397</stp>
        <tr r="AD34" s="2"/>
      </tp>
      <tp t="s">
        <v>#N/A N/A</v>
        <stp/>
        <stp>BDH|7940392436674460691</stp>
        <tr r="H20" s="2"/>
      </tp>
      <tp t="s">
        <v>#N/A N/A</v>
        <stp/>
        <stp>BDH|3849858981622614427</stp>
        <tr r="K17" s="2"/>
      </tp>
      <tp t="s">
        <v>#N/A N/A</v>
        <stp/>
        <stp>BDH|9302589994659464928</stp>
        <tr r="L18" s="2"/>
      </tp>
      <tp t="s">
        <v>#N/A N/A</v>
        <stp/>
        <stp>BDH|2034406509344242721</stp>
        <tr r="Z34" s="2"/>
      </tp>
      <tp t="s">
        <v>#N/A N/A</v>
        <stp/>
        <stp>BDH|2337949469279617113</stp>
        <tr r="U55" s="2"/>
      </tp>
      <tp t="s">
        <v>#N/A N/A</v>
        <stp/>
        <stp>BDH|7843651172933809093</stp>
        <tr r="X71" s="2"/>
      </tp>
      <tp t="s">
        <v>#N/A N/A</v>
        <stp/>
        <stp>BDH|7281385383508138165</stp>
        <tr r="Z51" s="2"/>
      </tp>
      <tp t="s">
        <v>#N/A N/A</v>
        <stp/>
        <stp>BDH|1805121901870367576</stp>
        <tr r="AB65" s="2"/>
      </tp>
      <tp t="s">
        <v>#N/A N/A</v>
        <stp/>
        <stp>BDH|2437711223981911306</stp>
        <tr r="C41" s="2"/>
      </tp>
      <tp t="s">
        <v>#N/A N/A</v>
        <stp/>
        <stp>BDH|7399284625505425756</stp>
        <tr r="X52" s="2"/>
      </tp>
      <tp t="s">
        <v>#N/A N/A</v>
        <stp/>
        <stp>BDH|4492408155113882359</stp>
        <tr r="Y36" s="2"/>
        <tr r="Y48" s="2"/>
      </tp>
      <tp t="s">
        <v>#N/A N/A</v>
        <stp/>
        <stp>BDH|1536493173023117427</stp>
        <tr r="G26" s="2"/>
      </tp>
      <tp t="s">
        <v>#N/A N/A</v>
        <stp/>
        <stp>BDH|4878609560549609823</stp>
        <tr r="D55" s="2"/>
      </tp>
      <tp t="s">
        <v>#N/A N/A</v>
        <stp/>
        <stp>BDH|4407253558237641126</stp>
        <tr r="I21" s="2"/>
      </tp>
      <tp t="s">
        <v>#N/A N/A</v>
        <stp/>
        <stp>BDH|3511680196618007163</stp>
        <tr r="T56" s="2"/>
      </tp>
      <tp t="s">
        <v>#N/A N/A</v>
        <stp/>
        <stp>BDH|1877597336761603334</stp>
        <tr r="X37" s="2"/>
      </tp>
      <tp t="s">
        <v>#N/A N/A</v>
        <stp/>
        <stp>BDH|2528139468761496181</stp>
        <tr r="Y6" s="2"/>
      </tp>
      <tp t="s">
        <v>#N/A N/A</v>
        <stp/>
        <stp>BDH|9193573384663026206</stp>
        <tr r="C44" s="2"/>
      </tp>
      <tp t="s">
        <v>#N/A N/A</v>
        <stp/>
        <stp>BDH|2783347964491155344</stp>
        <tr r="V19" s="2"/>
      </tp>
      <tp t="s">
        <v>#N/A N/A</v>
        <stp/>
        <stp>BDH|2241850053722738805</stp>
        <tr r="AD6" s="2"/>
      </tp>
      <tp t="s">
        <v>#N/A N/A</v>
        <stp/>
        <stp>BDH|1071627647221455723</stp>
        <tr r="R72" s="2"/>
      </tp>
      <tp t="s">
        <v>#N/A N/A</v>
        <stp/>
        <stp>BDH|9657548961706609962</stp>
        <tr r="H42" s="2"/>
      </tp>
      <tp t="s">
        <v>#N/A N/A</v>
        <stp/>
        <stp>BDH|8385568350185186874</stp>
        <tr r="N51" s="2"/>
      </tp>
      <tp t="s">
        <v>#N/A N/A</v>
        <stp/>
        <stp>BDH|6352007789529907237</stp>
        <tr r="K29" s="2"/>
      </tp>
      <tp t="s">
        <v>#N/A N/A</v>
        <stp/>
        <stp>BDH|9696291095440898721</stp>
        <tr r="T22" s="2"/>
      </tp>
      <tp t="s">
        <v>#N/A N/A</v>
        <stp/>
        <stp>BDH|6315446375982677242</stp>
        <tr r="Y52" s="2"/>
      </tp>
      <tp t="s">
        <v>#N/A N/A</v>
        <stp/>
        <stp>BDH|5602161341913165601</stp>
        <tr r="I7" s="2"/>
      </tp>
      <tp t="s">
        <v>#N/A N/A</v>
        <stp/>
        <stp>BDH|4440101651457411271</stp>
        <tr r="C68" s="2"/>
      </tp>
      <tp t="s">
        <v>#N/A N/A</v>
        <stp/>
        <stp>BDH|1481498532262960101</stp>
        <tr r="Q27" s="2"/>
      </tp>
      <tp t="s">
        <v>#N/A N/A</v>
        <stp/>
        <stp>BDH|7096315657827353339</stp>
        <tr r="T20" s="2"/>
      </tp>
      <tp t="s">
        <v>#N/A N/A</v>
        <stp/>
        <stp>BDH|9978046433956905913</stp>
        <tr r="P16" s="2"/>
      </tp>
      <tp t="s">
        <v>#N/A N/A</v>
        <stp/>
        <stp>BDH|3670798668846923191</stp>
        <tr r="K16" s="2"/>
      </tp>
      <tp t="s">
        <v>#N/A N/A</v>
        <stp/>
        <stp>BDH|6650894437520852877</stp>
        <tr r="C33" s="2"/>
      </tp>
      <tp t="s">
        <v>#N/A N/A</v>
        <stp/>
        <stp>BDH|6848114260485780195</stp>
        <tr r="Y16" s="2"/>
      </tp>
      <tp t="s">
        <v>#N/A N/A</v>
        <stp/>
        <stp>BDH|6705500083179557754</stp>
        <tr r="N58" s="2"/>
      </tp>
      <tp t="s">
        <v>#N/A N/A</v>
        <stp/>
        <stp>BDH|4414382539704068511</stp>
        <tr r="U47" s="2"/>
      </tp>
      <tp t="s">
        <v>#N/A N/A</v>
        <stp/>
        <stp>BDH|1034570541147582269</stp>
        <tr r="X47" s="2"/>
      </tp>
      <tp t="s">
        <v>#N/A N/A</v>
        <stp/>
        <stp>BDH|6468294621895868615</stp>
        <tr r="V35" s="2"/>
      </tp>
      <tp t="s">
        <v>#N/A N/A</v>
        <stp/>
        <stp>BDH|6267468708195903206</stp>
        <tr r="AB23" s="2"/>
      </tp>
      <tp t="s">
        <v>#N/A N/A</v>
        <stp/>
        <stp>BDH|7532238716167010653</stp>
        <tr r="X16" s="2"/>
      </tp>
      <tp t="s">
        <v>#N/A N/A</v>
        <stp/>
        <stp>BDH|5189508972830576232</stp>
        <tr r="G27" s="2"/>
      </tp>
      <tp t="s">
        <v>#N/A N/A</v>
        <stp/>
        <stp>BDH|7039366695119222148</stp>
        <tr r="AC67" s="2"/>
      </tp>
      <tp t="s">
        <v>#N/A N/A</v>
        <stp/>
        <stp>BDH|93451006719437533</stp>
        <tr r="Y51" s="2"/>
      </tp>
      <tp t="s">
        <v>#N/A N/A</v>
        <stp/>
        <stp>BDH|6868322742762372510</stp>
        <tr r="AA9" s="2"/>
      </tp>
      <tp t="s">
        <v>#N/A N/A</v>
        <stp/>
        <stp>BDH|4237474603863902553</stp>
        <tr r="O17" s="2"/>
      </tp>
      <tp t="s">
        <v>#N/A N/A</v>
        <stp/>
        <stp>BDH|1396681203453507270</stp>
        <tr r="R37" s="2"/>
      </tp>
      <tp t="s">
        <v>#N/A N/A</v>
        <stp/>
        <stp>BDH|8248305059429535157</stp>
        <tr r="Y26" s="2"/>
      </tp>
      <tp t="s">
        <v>#N/A N/A</v>
        <stp/>
        <stp>BDH|1527886432954448809</stp>
        <tr r="P47" s="2"/>
      </tp>
      <tp t="s">
        <v>#N/A N/A</v>
        <stp/>
        <stp>BDH|6833613318341945635</stp>
        <tr r="X72" s="2"/>
      </tp>
      <tp t="s">
        <v>#N/A N/A</v>
        <stp/>
        <stp>BDH|5754252654090485498</stp>
        <tr r="P25" s="2"/>
      </tp>
      <tp t="s">
        <v>#N/A N/A</v>
        <stp/>
        <stp>BDH|3213327957614592794</stp>
        <tr r="K30" s="2"/>
      </tp>
      <tp t="s">
        <v>#N/A N/A</v>
        <stp/>
        <stp>BDH|1375419528545854492</stp>
        <tr r="P12" s="2"/>
      </tp>
      <tp t="s">
        <v>#N/A N/A</v>
        <stp/>
        <stp>BDH|4585667228271783745</stp>
        <tr r="W35" s="2"/>
      </tp>
      <tp t="s">
        <v>#N/A N/A</v>
        <stp/>
        <stp>BDH|9089604009361004817</stp>
        <tr r="M51" s="2"/>
      </tp>
      <tp t="s">
        <v>#N/A N/A</v>
        <stp/>
        <stp>BDH|1972255482804706914</stp>
        <tr r="I38" s="2"/>
      </tp>
      <tp t="s">
        <v>#N/A N/A</v>
        <stp/>
        <stp>BDH|6146249535300882117</stp>
        <tr r="Z39" s="2"/>
      </tp>
      <tp t="s">
        <v>#N/A N/A</v>
        <stp/>
        <stp>BDH|6214662614271132689</stp>
        <tr r="Y27" s="2"/>
      </tp>
      <tp t="s">
        <v>#N/A N/A</v>
        <stp/>
        <stp>BDH|6577015606038495887</stp>
        <tr r="AD14" s="2"/>
      </tp>
      <tp t="s">
        <v>#N/A N/A</v>
        <stp/>
        <stp>BDH|5823781218084187175</stp>
        <tr r="D39" s="2"/>
      </tp>
      <tp t="s">
        <v>#N/A N/A</v>
        <stp/>
        <stp>BDH|8224971229297127220</stp>
        <tr r="G17" s="2"/>
      </tp>
      <tp t="s">
        <v>#N/A N/A</v>
        <stp/>
        <stp>BDH|5356779069334259602</stp>
        <tr r="S7" s="2"/>
      </tp>
      <tp t="s">
        <v>#N/A N/A</v>
        <stp/>
        <stp>BDH|9055244117579515599</stp>
        <tr r="AB18" s="2"/>
      </tp>
      <tp t="s">
        <v>#N/A N/A</v>
        <stp/>
        <stp>BDH|2500486797979525038</stp>
        <tr r="Q22" s="2"/>
      </tp>
      <tp t="s">
        <v>#N/A N/A</v>
        <stp/>
        <stp>BDH|1930487316360276299</stp>
        <tr r="P34" s="2"/>
      </tp>
      <tp t="s">
        <v>#N/A N/A</v>
        <stp/>
        <stp>BDH|7440880279187858918</stp>
        <tr r="N17" s="2"/>
      </tp>
      <tp t="s">
        <v>#N/A N/A</v>
        <stp/>
        <stp>BDH|4537383261824007302</stp>
        <tr r="M53" s="2"/>
      </tp>
      <tp t="s">
        <v>#N/A N/A</v>
        <stp/>
        <stp>BDH|6138699346100045223</stp>
        <tr r="G8" s="2"/>
      </tp>
      <tp t="s">
        <v>#N/A N/A</v>
        <stp/>
        <stp>BDH|1259725517491805025</stp>
        <tr r="R21" s="2"/>
      </tp>
      <tp t="s">
        <v>#N/A N/A</v>
        <stp/>
        <stp>BDH|7163092153233793718</stp>
        <tr r="I22" s="2"/>
      </tp>
      <tp t="s">
        <v>#N/A N/A</v>
        <stp/>
        <stp>BDH|8794932501983433432</stp>
        <tr r="U41" s="2"/>
      </tp>
      <tp t="s">
        <v>#N/A N/A</v>
        <stp/>
        <stp>BDH|9968025055529526390</stp>
        <tr r="S18" s="2"/>
      </tp>
      <tp t="s">
        <v>#N/A N/A</v>
        <stp/>
        <stp>BDH|1187010956782411003</stp>
        <tr r="K70" s="2"/>
      </tp>
      <tp t="s">
        <v>#N/A N/A</v>
        <stp/>
        <stp>BDH|7898473338142771420</stp>
        <tr r="U56" s="2"/>
      </tp>
      <tp t="s">
        <v>#N/A N/A</v>
        <stp/>
        <stp>BDH|5131565116335529268</stp>
        <tr r="H17" s="2"/>
      </tp>
      <tp t="s">
        <v>#N/A N/A</v>
        <stp/>
        <stp>BDH|2534719745442593576</stp>
        <tr r="N33" s="2"/>
      </tp>
      <tp t="s">
        <v>#N/A N/A</v>
        <stp/>
        <stp>BDH|7983234608924499758</stp>
        <tr r="R20" s="2"/>
      </tp>
      <tp t="s">
        <v>#N/A N/A</v>
        <stp/>
        <stp>BDH|5866300229907765554</stp>
        <tr r="Z69" s="2"/>
      </tp>
      <tp t="s">
        <v>#N/A N/A</v>
        <stp/>
        <stp>BDH|7624116525802186031</stp>
        <tr r="Y18" s="2"/>
      </tp>
      <tp t="s">
        <v>#N/A N/A</v>
        <stp/>
        <stp>BDH|7949006441882181799</stp>
        <tr r="Z15" s="2"/>
      </tp>
      <tp t="s">
        <v>#N/A N/A</v>
        <stp/>
        <stp>BDH|6448566213261995591</stp>
        <tr r="L50" s="2"/>
      </tp>
      <tp t="s">
        <v>#N/A N/A</v>
        <stp/>
        <stp>BDH|3579954440881450952</stp>
        <tr r="H16" s="2"/>
      </tp>
      <tp t="s">
        <v>#N/A N/A</v>
        <stp/>
        <stp>BDH|6328819277527118850</stp>
        <tr r="P50" s="2"/>
      </tp>
      <tp t="s">
        <v>#N/A N/A</v>
        <stp/>
        <stp>BDH|3548271549360939341</stp>
        <tr r="J57" s="2"/>
      </tp>
      <tp t="s">
        <v>#N/A N/A</v>
        <stp/>
        <stp>BDH|4651845611689325262</stp>
        <tr r="J6" s="2"/>
      </tp>
      <tp t="s">
        <v>#N/A N/A</v>
        <stp/>
        <stp>BDH|5778225338574831626</stp>
        <tr r="F22" s="2"/>
      </tp>
      <tp t="s">
        <v>#N/A N/A</v>
        <stp/>
        <stp>BDH|1593676206814046534</stp>
        <tr r="AD8" s="2"/>
      </tp>
      <tp t="s">
        <v>#N/A N/A</v>
        <stp/>
        <stp>BDH|3741080108693485642</stp>
        <tr r="Q16" s="2"/>
      </tp>
      <tp t="s">
        <v>#N/A N/A</v>
        <stp/>
        <stp>BDH|2233400516666630767</stp>
        <tr r="M31" s="2"/>
      </tp>
      <tp t="s">
        <v>#N/A N/A</v>
        <stp/>
        <stp>BDH|6572748690478384661</stp>
        <tr r="AA48" s="2"/>
        <tr r="AA36" s="2"/>
      </tp>
      <tp t="s">
        <v>#N/A N/A</v>
        <stp/>
        <stp>BDH|5003657145146592718</stp>
        <tr r="H25" s="2"/>
      </tp>
      <tp t="s">
        <v>#N/A N/A</v>
        <stp/>
        <stp>BDH|6954783202423449430</stp>
        <tr r="N22" s="2"/>
      </tp>
      <tp t="s">
        <v>#N/A N/A</v>
        <stp/>
        <stp>BDH|2263108760505501633</stp>
        <tr r="I24" s="2"/>
      </tp>
      <tp t="s">
        <v>#N/A N/A</v>
        <stp/>
        <stp>BDH|4244957967615580811</stp>
        <tr r="Z46" s="2"/>
      </tp>
      <tp t="s">
        <v>#N/A N/A</v>
        <stp/>
        <stp>BDH|1083337342602746223</stp>
        <tr r="D10" s="2"/>
      </tp>
      <tp t="s">
        <v>#N/A N/A</v>
        <stp/>
        <stp>BDH|2741149277981379326</stp>
        <tr r="L68" s="2"/>
      </tp>
      <tp t="s">
        <v>#N/A N/A</v>
        <stp/>
        <stp>BDH|2589268930863600601</stp>
        <tr r="Q36" s="2"/>
        <tr r="Q48" s="2"/>
      </tp>
      <tp t="s">
        <v>#N/A N/A</v>
        <stp/>
        <stp>BDH|4472151164380681566</stp>
        <tr r="I52" s="2"/>
      </tp>
      <tp t="s">
        <v>#N/A N/A</v>
        <stp/>
        <stp>BDH|6843000739751659229</stp>
        <tr r="G34" s="2"/>
      </tp>
      <tp t="s">
        <v>#N/A N/A</v>
        <stp/>
        <stp>BDH|4579740300345933127</stp>
        <tr r="X19" s="2"/>
      </tp>
      <tp t="s">
        <v>#N/A N/A</v>
        <stp/>
        <stp>BDH|4415812849749183678</stp>
        <tr r="I15" s="2"/>
      </tp>
      <tp t="s">
        <v>#N/A N/A</v>
        <stp/>
        <stp>BDH|4416076038445605575</stp>
        <tr r="L42" s="2"/>
      </tp>
      <tp t="s">
        <v>#N/A N/A</v>
        <stp/>
        <stp>BDH|9361590885241594203</stp>
        <tr r="T11" s="2"/>
      </tp>
      <tp t="s">
        <v>#N/A N/A</v>
        <stp/>
        <stp>BDH|7974960083879729809</stp>
        <tr r="J27" s="2"/>
      </tp>
      <tp t="s">
        <v>#N/A N/A</v>
        <stp/>
        <stp>BDH|1653215380944964856</stp>
        <tr r="I36" s="2"/>
        <tr r="I48" s="2"/>
      </tp>
      <tp t="s">
        <v>#N/A N/A</v>
        <stp/>
        <stp>BDH|6084978591029509889</stp>
        <tr r="AA22" s="2"/>
      </tp>
      <tp t="s">
        <v>#N/A N/A</v>
        <stp/>
        <stp>BDH|5167506217663841559</stp>
        <tr r="O57" s="2"/>
      </tp>
      <tp t="s">
        <v>#N/A N/A</v>
        <stp/>
        <stp>BDH|1678483120818083858</stp>
        <tr r="AA44" s="2"/>
      </tp>
      <tp t="s">
        <v>#N/A N/A</v>
        <stp/>
        <stp>BDH|6088791444610498215</stp>
        <tr r="D62" s="2"/>
      </tp>
      <tp t="s">
        <v>#N/A N/A</v>
        <stp/>
        <stp>BDH|2136302433711278487</stp>
        <tr r="Q20" s="2"/>
      </tp>
      <tp t="s">
        <v>#N/A N/A</v>
        <stp/>
        <stp>BDH|4892156011151725236</stp>
        <tr r="G37" s="2"/>
      </tp>
      <tp t="s">
        <v>#N/A N/A</v>
        <stp/>
        <stp>BDH|8683030421084413983</stp>
        <tr r="X66" s="2"/>
      </tp>
      <tp t="s">
        <v>#N/A N/A</v>
        <stp/>
        <stp>BDH|1440413332242792391</stp>
        <tr r="I44" s="2"/>
      </tp>
      <tp t="s">
        <v>#N/A N/A</v>
        <stp/>
        <stp>BDH|1902252941050364014</stp>
        <tr r="T40" s="2"/>
      </tp>
      <tp t="s">
        <v>#N/A N/A</v>
        <stp/>
        <stp>BDH|5751866579495076875</stp>
        <tr r="O64" s="2"/>
      </tp>
      <tp t="s">
        <v>#N/A N/A</v>
        <stp/>
        <stp>BDH|2133422497059210194</stp>
        <tr r="G15" s="2"/>
      </tp>
      <tp t="s">
        <v>#N/A N/A</v>
        <stp/>
        <stp>BDH|3793332796399576788</stp>
        <tr r="H8" s="2"/>
      </tp>
      <tp t="s">
        <v>#N/A N/A</v>
        <stp/>
        <stp>BDH|4903665274283469130</stp>
        <tr r="Z52" s="2"/>
      </tp>
      <tp t="s">
        <v>#N/A N/A</v>
        <stp/>
        <stp>BDH|9455449581884856653</stp>
        <tr r="T26" s="2"/>
      </tp>
      <tp t="s">
        <v>#N/A N/A</v>
        <stp/>
        <stp>BDH|6135762839476645343</stp>
        <tr r="Z23" s="2"/>
      </tp>
      <tp t="s">
        <v>#N/A N/A</v>
        <stp/>
        <stp>BDH|7532315215766893451</stp>
        <tr r="P33" s="2"/>
      </tp>
      <tp t="s">
        <v>#N/A N/A</v>
        <stp/>
        <stp>BDH|1644564772402816672</stp>
        <tr r="V24" s="2"/>
      </tp>
      <tp t="s">
        <v>#N/A N/A</v>
        <stp/>
        <stp>BDH|7404519922850398797</stp>
        <tr r="F68" s="2"/>
      </tp>
      <tp t="s">
        <v>#N/A N/A</v>
        <stp/>
        <stp>BDH|2977582806022409216</stp>
        <tr r="N55" s="2"/>
      </tp>
      <tp t="s">
        <v>#N/A N/A</v>
        <stp/>
        <stp>BDH|4011958742798116642</stp>
        <tr r="AD23" s="2"/>
      </tp>
      <tp t="s">
        <v>#N/A N/A</v>
        <stp/>
        <stp>BDH|2966925022928385693</stp>
        <tr r="F16" s="2"/>
      </tp>
      <tp t="s">
        <v>#N/A N/A</v>
        <stp/>
        <stp>BDH|1289589505136496589</stp>
        <tr r="C53" s="2"/>
      </tp>
      <tp t="s">
        <v>#N/A N/A</v>
        <stp/>
        <stp>BDH|7267149331184243668</stp>
        <tr r="K68" s="2"/>
      </tp>
      <tp t="s">
        <v>#N/A N/A</v>
        <stp/>
        <stp>BDH|1535206955807383602</stp>
        <tr r="C71" s="2"/>
      </tp>
      <tp t="s">
        <v>#N/A N/A</v>
        <stp/>
        <stp>BDH|7403915987298768966</stp>
        <tr r="P52" s="2"/>
      </tp>
      <tp t="s">
        <v>#N/A N/A</v>
        <stp/>
        <stp>BDH|1676450114186516526</stp>
        <tr r="Y47" s="2"/>
      </tp>
      <tp t="s">
        <v>#N/A N/A</v>
        <stp/>
        <stp>BDH|2783302842660047259</stp>
        <tr r="G67" s="2"/>
      </tp>
      <tp t="s">
        <v>#N/A N/A</v>
        <stp/>
        <stp>BDH|6103665454260250217</stp>
        <tr r="AC9" s="2"/>
      </tp>
      <tp t="s">
        <v>#N/A N/A</v>
        <stp/>
        <stp>BDH|6903257377553923724</stp>
        <tr r="R25" s="2"/>
      </tp>
      <tp t="s">
        <v>#N/A N/A</v>
        <stp/>
        <stp>BDH|1470262257493151243</stp>
        <tr r="T14" s="2"/>
      </tp>
      <tp t="s">
        <v>#N/A N/A</v>
        <stp/>
        <stp>BDH|9482171081406437166</stp>
        <tr r="N6" s="2"/>
      </tp>
      <tp t="s">
        <v>#N/A N/A</v>
        <stp/>
        <stp>BDH|5291507056337423514</stp>
        <tr r="P6" s="2"/>
      </tp>
      <tp t="s">
        <v>#N/A N/A</v>
        <stp/>
        <stp>BDH|2938637518642591066</stp>
        <tr r="O11" s="2"/>
      </tp>
      <tp t="s">
        <v>#N/A N/A</v>
        <stp/>
        <stp>BDH|2473389576451903053</stp>
        <tr r="S50" s="2"/>
      </tp>
      <tp t="s">
        <v>#N/A N/A</v>
        <stp/>
        <stp>BDH|5656632246328467819</stp>
        <tr r="AC47" s="2"/>
      </tp>
      <tp t="s">
        <v>#N/A N/A</v>
        <stp/>
        <stp>BDH|6966392320894178474</stp>
        <tr r="Y20" s="2"/>
      </tp>
      <tp t="s">
        <v>#N/A N/A</v>
        <stp/>
        <stp>BDH|8040331132577470838</stp>
        <tr r="W58" s="2"/>
      </tp>
      <tp t="s">
        <v>#N/A N/A</v>
        <stp/>
        <stp>BDH|4829169378271042403</stp>
        <tr r="AB72" s="2"/>
      </tp>
      <tp t="s">
        <v>#N/A N/A</v>
        <stp/>
        <stp>BDH|1300963848149870221</stp>
        <tr r="S42" s="2"/>
      </tp>
      <tp t="s">
        <v>#N/A N/A</v>
        <stp/>
        <stp>BDH|4227573546484764637</stp>
        <tr r="Z43" s="2"/>
      </tp>
      <tp t="s">
        <v>#N/A N/A</v>
        <stp/>
        <stp>BDH|5120373748970093599</stp>
        <tr r="K21" s="2"/>
      </tp>
      <tp t="s">
        <v>#N/A N/A</v>
        <stp/>
        <stp>BDH|6090234713203173162</stp>
        <tr r="S14" s="2"/>
      </tp>
      <tp t="s">
        <v>#N/A N/A</v>
        <stp/>
        <stp>BDH|9545991075370557082</stp>
        <tr r="X43" s="2"/>
      </tp>
      <tp t="s">
        <v>#N/A N/A</v>
        <stp/>
        <stp>BDH|9354522218392559886</stp>
        <tr r="I32" s="2"/>
      </tp>
      <tp t="s">
        <v>#N/A N/A</v>
        <stp/>
        <stp>BDH|1084415974292025710</stp>
        <tr r="M44" s="2"/>
      </tp>
      <tp t="s">
        <v>#N/A N/A</v>
        <stp/>
        <stp>BDH|6432123076374666328</stp>
        <tr r="M25" s="2"/>
      </tp>
      <tp t="s">
        <v>#N/A N/A</v>
        <stp/>
        <stp>BDH|7608241659237897068</stp>
        <tr r="Q14" s="2"/>
      </tp>
      <tp t="s">
        <v>#N/A N/A</v>
        <stp/>
        <stp>BDH|8850368746358421099</stp>
        <tr r="K28" s="2"/>
      </tp>
      <tp t="s">
        <v>#N/A N/A</v>
        <stp/>
        <stp>BDH|8573562153868472713</stp>
        <tr r="O7" s="2"/>
      </tp>
      <tp t="s">
        <v>#N/A N/A</v>
        <stp/>
        <stp>BDH|5500073448680769173</stp>
        <tr r="I73" s="2"/>
      </tp>
      <tp t="s">
        <v>#N/A N/A</v>
        <stp/>
        <stp>BDH|7681512732188934968</stp>
        <tr r="G73" s="2"/>
      </tp>
      <tp t="s">
        <v>#N/A N/A</v>
        <stp/>
        <stp>BDH|9194923918076909781</stp>
        <tr r="P20" s="2"/>
      </tp>
      <tp t="s">
        <v>#N/A N/A</v>
        <stp/>
        <stp>BDH|2509569588896864998</stp>
        <tr r="U11" s="2"/>
      </tp>
      <tp t="s">
        <v>#N/A N/A</v>
        <stp/>
        <stp>BDH|8189583807449407418</stp>
        <tr r="N53" s="2"/>
      </tp>
      <tp t="s">
        <v>#N/A N/A</v>
        <stp/>
        <stp>BDH|1427451058197456761</stp>
        <tr r="AD69" s="2"/>
      </tp>
      <tp t="s">
        <v>#N/A N/A</v>
        <stp/>
        <stp>BDH|3901997939860225939</stp>
        <tr r="F10" s="2"/>
      </tp>
      <tp t="s">
        <v>#N/A N/A</v>
        <stp/>
        <stp>BDH|8642997480390543923</stp>
        <tr r="AC57" s="2"/>
      </tp>
      <tp t="s">
        <v>#N/A N/A</v>
        <stp/>
        <stp>BDH|1820564993935017859</stp>
        <tr r="P55" s="2"/>
      </tp>
      <tp t="s">
        <v>#N/A N/A</v>
        <stp/>
        <stp>BDH|9880963002277124752</stp>
        <tr r="C40" s="2"/>
      </tp>
      <tp t="s">
        <v>#N/A N/A</v>
        <stp/>
        <stp>BDH|7884819998201904760</stp>
        <tr r="E35" s="2"/>
      </tp>
      <tp t="s">
        <v>#N/A N/A</v>
        <stp/>
        <stp>BDH|5832351255203138071</stp>
        <tr r="L55" s="2"/>
      </tp>
      <tp t="s">
        <v>#N/A N/A</v>
        <stp/>
        <stp>BDH|6378432738236586736</stp>
        <tr r="U73" s="2"/>
      </tp>
      <tp t="s">
        <v>#N/A N/A</v>
        <stp/>
        <stp>BDH|4461683222316701678</stp>
        <tr r="S21" s="2"/>
      </tp>
      <tp t="s">
        <v>#N/A N/A</v>
        <stp/>
        <stp>BDH|7112465041724953304</stp>
        <tr r="E51" s="2"/>
      </tp>
      <tp t="s">
        <v>#N/A N/A</v>
        <stp/>
        <stp>BDH|2860133335777145702</stp>
        <tr r="H6" s="2"/>
      </tp>
      <tp t="s">
        <v>#N/A N/A</v>
        <stp/>
        <stp>BDH|5129144372222934111</stp>
        <tr r="Q31" s="2"/>
      </tp>
      <tp t="s">
        <v>#N/A N/A</v>
        <stp/>
        <stp>BDH|3504003160754390197</stp>
        <tr r="X32" s="2"/>
      </tp>
      <tp t="s">
        <v>#N/A N/A</v>
        <stp/>
        <stp>BDH|4833132120771785601</stp>
        <tr r="F25" s="2"/>
      </tp>
      <tp t="s">
        <v>#N/A N/A</v>
        <stp/>
        <stp>BDH|1206685029753822661</stp>
        <tr r="P58" s="2"/>
      </tp>
      <tp t="s">
        <v>#N/A N/A</v>
        <stp/>
        <stp>BDH|3007330035557838436</stp>
        <tr r="G39" s="2"/>
      </tp>
      <tp t="s">
        <v>#N/A N/A</v>
        <stp/>
        <stp>BDH|9169803919793642333</stp>
        <tr r="AB51" s="2"/>
      </tp>
      <tp t="s">
        <v>#N/A N/A</v>
        <stp/>
        <stp>BDH|3056005174193175770</stp>
        <tr r="K43" s="2"/>
      </tp>
      <tp t="s">
        <v>#N/A N/A</v>
        <stp/>
        <stp>BDH|4411034211173790635</stp>
        <tr r="Z17" s="2"/>
      </tp>
      <tp t="s">
        <v>#N/A N/A</v>
        <stp/>
        <stp>BDH|7413471939188183893</stp>
        <tr r="X41" s="2"/>
      </tp>
      <tp t="s">
        <v>#N/A N/A</v>
        <stp/>
        <stp>BDH|6883250830113643488</stp>
        <tr r="R73" s="2"/>
      </tp>
      <tp t="s">
        <v>#N/A N/A</v>
        <stp/>
        <stp>BDH|5405224144202411150</stp>
        <tr r="V46" s="2"/>
      </tp>
      <tp t="s">
        <v>#N/A N/A</v>
        <stp/>
        <stp>BDH|9709783087677870135</stp>
        <tr r="V50" s="2"/>
      </tp>
      <tp t="s">
        <v>#N/A N/A</v>
        <stp/>
        <stp>BDH|2040618145191111165</stp>
        <tr r="M11" s="2"/>
      </tp>
      <tp t="s">
        <v>#N/A N/A</v>
        <stp/>
        <stp>BDH|3982342891389864074</stp>
        <tr r="U34" s="2"/>
      </tp>
      <tp t="s">
        <v>#N/A N/A</v>
        <stp/>
        <stp>BDH|6007333615516690233</stp>
        <tr r="Y31" s="2"/>
      </tp>
      <tp t="s">
        <v>#N/A N/A</v>
        <stp/>
        <stp>BDH|1473780973789655894</stp>
        <tr r="E13" s="2"/>
      </tp>
      <tp t="s">
        <v>#N/A N/A</v>
        <stp/>
        <stp>BDH|3246697269244522774</stp>
        <tr r="S56" s="2"/>
      </tp>
      <tp t="s">
        <v>#N/A N/A</v>
        <stp/>
        <stp>BDH|4141703399753905903</stp>
        <tr r="P13" s="2"/>
      </tp>
      <tp t="s">
        <v>#N/A N/A</v>
        <stp/>
        <stp>BDH|3783236035692682062</stp>
        <tr r="E43" s="2"/>
      </tp>
      <tp t="s">
        <v>#N/A N/A</v>
        <stp/>
        <stp>BDH|3605825590012570004</stp>
        <tr r="AD63" s="2"/>
      </tp>
      <tp t="s">
        <v>#N/A N/A</v>
        <stp/>
        <stp>BDH|5025580769877696169</stp>
        <tr r="Z68" s="2"/>
      </tp>
      <tp t="s">
        <v>#N/A N/A</v>
        <stp/>
        <stp>BDH|5321497937156908420</stp>
        <tr r="Q44" s="2"/>
      </tp>
      <tp t="s">
        <v>#N/A N/A</v>
        <stp/>
        <stp>BDH|6547214055980185170</stp>
        <tr r="R13" s="2"/>
      </tp>
      <tp t="s">
        <v>#N/A N/A</v>
        <stp/>
        <stp>BDH|9446254589222865177</stp>
        <tr r="AB29" s="2"/>
      </tp>
      <tp t="s">
        <v>#N/A N/A</v>
        <stp/>
        <stp>BDH|3750229202152385336</stp>
        <tr r="P62" s="2"/>
      </tp>
      <tp t="s">
        <v>#N/A N/A</v>
        <stp/>
        <stp>BDH|8248357733560295817</stp>
        <tr r="Y23" s="2"/>
      </tp>
      <tp t="s">
        <v>#N/A N/A</v>
        <stp/>
        <stp>BDH|8336516226759187621</stp>
        <tr r="F52" s="2"/>
      </tp>
      <tp t="s">
        <v>#N/A N/A</v>
        <stp/>
        <stp>BDH|1475161741510109458</stp>
        <tr r="D48" s="2"/>
        <tr r="D36" s="2"/>
      </tp>
      <tp t="s">
        <v>#N/A N/A</v>
        <stp/>
        <stp>BDH|5088117268472738095</stp>
        <tr r="AD43" s="2"/>
      </tp>
      <tp t="s">
        <v>#N/A N/A</v>
        <stp/>
        <stp>BDH|4301810157298291105</stp>
        <tr r="AD24" s="2"/>
      </tp>
      <tp t="s">
        <v>#N/A N/A</v>
        <stp/>
        <stp>BDH|1407783075598852953</stp>
        <tr r="AB43" s="2"/>
      </tp>
      <tp t="s">
        <v>#N/A N/A</v>
        <stp/>
        <stp>BDH|5245883488405457023</stp>
        <tr r="Z13" s="2"/>
      </tp>
      <tp t="s">
        <v>#N/A N/A</v>
        <stp/>
        <stp>BDH|9592371592333598017</stp>
        <tr r="E10" s="2"/>
      </tp>
      <tp t="s">
        <v>#N/A N/A</v>
        <stp/>
        <stp>BDH|8313111960219412626</stp>
        <tr r="Z38" s="2"/>
      </tp>
      <tp t="s">
        <v>#N/A N/A</v>
        <stp/>
        <stp>BDH|9315177823398109223</stp>
        <tr r="C14" s="2"/>
      </tp>
      <tp t="s">
        <v>#N/A N/A</v>
        <stp/>
        <stp>BDH|4430479605805523560</stp>
        <tr r="C8" s="2"/>
      </tp>
      <tp t="s">
        <v>#N/A N/A</v>
        <stp/>
        <stp>BDH|7703333157124479527</stp>
        <tr r="D17" s="2"/>
      </tp>
      <tp t="s">
        <v>#N/A N/A</v>
        <stp/>
        <stp>BDH|2203956404468064360</stp>
        <tr r="AB15" s="2"/>
      </tp>
      <tp t="s">
        <v>#N/A N/A</v>
        <stp/>
        <stp>BDH|7273520187959792351</stp>
        <tr r="L37" s="2"/>
      </tp>
      <tp t="s">
        <v>#N/A N/A</v>
        <stp/>
        <stp>BDH|3293921120239242177</stp>
        <tr r="I30" s="2"/>
      </tp>
      <tp t="s">
        <v>#N/A N/A</v>
        <stp/>
        <stp>BDH|99451795181797106</stp>
        <tr r="AC62" s="2"/>
      </tp>
      <tp t="s">
        <v>#N/A N/A</v>
        <stp/>
        <stp>BDH|8904730609069052795</stp>
        <tr r="Q6" s="2"/>
      </tp>
      <tp t="s">
        <v>#N/A N/A</v>
        <stp/>
        <stp>BDH|4439194352780245162</stp>
        <tr r="AD47" s="2"/>
      </tp>
      <tp t="s">
        <v>#N/A N/A</v>
        <stp/>
        <stp>BDH|3917364714009192917</stp>
        <tr r="Q53" s="2"/>
      </tp>
      <tp t="s">
        <v>#N/A N/A</v>
        <stp/>
        <stp>BDH|3159528133007221394</stp>
        <tr r="AA18" s="2"/>
      </tp>
      <tp t="s">
        <v>#N/A N/A</v>
        <stp/>
        <stp>BDH|2659227549166461329</stp>
        <tr r="R50" s="2"/>
      </tp>
      <tp t="s">
        <v>#N/A N/A</v>
        <stp/>
        <stp>BDH|1511347609467208422</stp>
        <tr r="H69" s="2"/>
      </tp>
      <tp t="s">
        <v>#N/A N/A</v>
        <stp/>
        <stp>BDH|4929051477376543464</stp>
        <tr r="AC20" s="2"/>
      </tp>
      <tp t="s">
        <v>#N/A N/A</v>
        <stp/>
        <stp>BDH|5311619548904299203</stp>
        <tr r="H70" s="2"/>
      </tp>
      <tp t="s">
        <v>#N/A N/A</v>
        <stp/>
        <stp>BDH|3328304171725881322</stp>
        <tr r="G44" s="2"/>
      </tp>
      <tp t="s">
        <v>#N/A N/A</v>
        <stp/>
        <stp>BDH|8158021956944444893</stp>
        <tr r="E40" s="2"/>
      </tp>
      <tp t="s">
        <v>#N/A N/A</v>
        <stp/>
        <stp>BDH|4980550312374274540</stp>
        <tr r="L28" s="2"/>
      </tp>
      <tp t="s">
        <v>#N/A N/A</v>
        <stp/>
        <stp>BDH|3629793676394681669</stp>
        <tr r="AA20" s="2"/>
      </tp>
      <tp t="s">
        <v>#N/A N/A</v>
        <stp/>
        <stp>BDH|2671520321223823745</stp>
        <tr r="K41" s="2"/>
      </tp>
      <tp t="s">
        <v>#N/A N/A</v>
        <stp/>
        <stp>BDH|1986618751410077304</stp>
        <tr r="V70" s="2"/>
      </tp>
      <tp t="s">
        <v>#N/A N/A</v>
        <stp/>
        <stp>BDH|2880076953252744450</stp>
        <tr r="G43" s="2"/>
      </tp>
      <tp t="s">
        <v>#N/A N/A</v>
        <stp/>
        <stp>BDH|1280792183258040767</stp>
        <tr r="U18" s="2"/>
      </tp>
      <tp t="s">
        <v>#N/A N/A</v>
        <stp/>
        <stp>BDH|2760165404901372398</stp>
        <tr r="AB71" s="2"/>
      </tp>
      <tp t="s">
        <v>#N/A N/A</v>
        <stp/>
        <stp>BDH|3177729908562666725</stp>
        <tr r="D20" s="2"/>
      </tp>
      <tp t="s">
        <v>#N/A N/A</v>
        <stp/>
        <stp>BDH|9837022023052790812</stp>
        <tr r="Q17" s="2"/>
      </tp>
      <tp t="s">
        <v>#N/A N/A</v>
        <stp/>
        <stp>BDH|3200298332702162176</stp>
        <tr r="Z42" s="2"/>
      </tp>
      <tp t="s">
        <v>#N/A N/A</v>
        <stp/>
        <stp>BDH|4393154921991237796</stp>
        <tr r="K20" s="2"/>
      </tp>
      <tp t="s">
        <v>#N/A N/A</v>
        <stp/>
        <stp>BDH|8572328827330572898</stp>
        <tr r="Y66" s="2"/>
      </tp>
      <tp t="s">
        <v>#N/A N/A</v>
        <stp/>
        <stp>BDH|7562542129312751323</stp>
        <tr r="H53" s="2"/>
      </tp>
      <tp t="s">
        <v>#N/A N/A</v>
        <stp/>
        <stp>BDH|2270395860652062463</stp>
        <tr r="AA51" s="2"/>
      </tp>
      <tp t="s">
        <v>#N/A N/A</v>
        <stp/>
        <stp>BDH|7466290540705191515</stp>
        <tr r="E7" s="2"/>
      </tp>
      <tp t="s">
        <v>#N/A N/A</v>
        <stp/>
        <stp>BDH|2792465022496850363</stp>
        <tr r="Y73" s="2"/>
      </tp>
      <tp t="s">
        <v>#N/A N/A</v>
        <stp/>
        <stp>BDH|8064193190455805432</stp>
        <tr r="X31" s="2"/>
      </tp>
      <tp t="s">
        <v>#N/A N/A</v>
        <stp/>
        <stp>BDH|8738507324067704971</stp>
        <tr r="L34" s="2"/>
      </tp>
      <tp t="s">
        <v>#N/A N/A</v>
        <stp/>
        <stp>BDH|4656534696751366834</stp>
        <tr r="X51" s="2"/>
      </tp>
      <tp t="s">
        <v>#N/A N/A</v>
        <stp/>
        <stp>BDH|9489826088179999141</stp>
        <tr r="L33" s="2"/>
      </tp>
      <tp t="s">
        <v>#N/A N/A</v>
        <stp/>
        <stp>BDH|1168361260597693223</stp>
        <tr r="S25" s="2"/>
      </tp>
      <tp t="s">
        <v>#N/A N/A</v>
        <stp/>
        <stp>BDH|4481663845515285269</stp>
        <tr r="Q32" s="2"/>
      </tp>
      <tp t="s">
        <v>#N/A N/A</v>
        <stp/>
        <stp>BDH|4358328100335014320</stp>
        <tr r="I42" s="2"/>
      </tp>
      <tp t="s">
        <v>#N/A N/A</v>
        <stp/>
        <stp>BDH|2668843748679973636</stp>
        <tr r="V20" s="2"/>
      </tp>
      <tp t="s">
        <v>#N/A N/A</v>
        <stp/>
        <stp>BDH|2243610353307670766</stp>
        <tr r="P19" s="2"/>
      </tp>
      <tp t="s">
        <v>#N/A N/A</v>
        <stp/>
        <stp>BDH|5881047158772645327</stp>
        <tr r="Q39" s="2"/>
      </tp>
      <tp t="s">
        <v>#N/A N/A</v>
        <stp/>
        <stp>BDH|8808376198990572326</stp>
        <tr r="AC68" s="2"/>
      </tp>
      <tp t="s">
        <v>#N/A N/A</v>
        <stp/>
        <stp>BDH|4507820754799007127</stp>
        <tr r="W30" s="2"/>
      </tp>
      <tp t="s">
        <v>#N/A N/A</v>
        <stp/>
        <stp>BDH|5521404523292661011</stp>
        <tr r="K47" s="2"/>
      </tp>
      <tp t="s">
        <v>#N/A N/A</v>
        <stp/>
        <stp>BDH|5622769690592818890</stp>
        <tr r="U23" s="2"/>
      </tp>
      <tp t="s">
        <v>#N/A N/A</v>
        <stp/>
        <stp>BDH|7015055195818268740</stp>
        <tr r="X11" s="2"/>
      </tp>
      <tp t="s">
        <v>#N/A N/A</v>
        <stp/>
        <stp>BDH|8780936752763639664</stp>
        <tr r="G10" s="2"/>
      </tp>
      <tp t="s">
        <v>#N/A N/A</v>
        <stp/>
        <stp>BDH|2155390159506663306</stp>
        <tr r="X50" s="2"/>
      </tp>
      <tp t="s">
        <v>#N/A N/A</v>
        <stp/>
        <stp>BDH|5290057618887050280</stp>
        <tr r="T16" s="2"/>
      </tp>
      <tp t="s">
        <v>#N/A N/A</v>
        <stp/>
        <stp>BDH|7744175374188132826</stp>
        <tr r="AB25" s="2"/>
      </tp>
      <tp t="s">
        <v>#N/A N/A</v>
        <stp/>
        <stp>BDH|6784824671328637058</stp>
        <tr r="P42" s="2"/>
      </tp>
      <tp t="s">
        <v>#N/A N/A</v>
        <stp/>
        <stp>BDH|2799330605838414824</stp>
        <tr r="E17" s="2"/>
      </tp>
      <tp t="s">
        <v>#N/A N/A</v>
        <stp/>
        <stp>BDH|1663833437469280271</stp>
        <tr r="G70" s="2"/>
      </tp>
      <tp t="s">
        <v>#N/A N/A</v>
        <stp/>
        <stp>BDH|2615374459821920465</stp>
        <tr r="N34" s="2"/>
      </tp>
      <tp t="s">
        <v>#N/A N/A</v>
        <stp/>
        <stp>BDH|5122088058351201078</stp>
        <tr r="S19" s="2"/>
      </tp>
      <tp t="s">
        <v>#N/A N/A</v>
        <stp/>
        <stp>BDH|1644179701603749239</stp>
        <tr r="J10" s="2"/>
      </tp>
      <tp t="s">
        <v>#N/A N/A</v>
        <stp/>
        <stp>BDH|4582054001251051453</stp>
        <tr r="M8" s="2"/>
      </tp>
      <tp t="s">
        <v>#N/A N/A</v>
        <stp/>
        <stp>BDH|5084154945201317073</stp>
        <tr r="AD57" s="2"/>
      </tp>
      <tp t="s">
        <v>#N/A N/A</v>
        <stp/>
        <stp>BDH|6849853264838451188</stp>
        <tr r="H57" s="2"/>
      </tp>
      <tp t="s">
        <v>#N/A N/A</v>
        <stp/>
        <stp>BDH|6653334458408172999</stp>
        <tr r="D63" s="2"/>
      </tp>
      <tp t="s">
        <v>#N/A N/A</v>
        <stp/>
        <stp>BDH|1919562839871207717</stp>
        <tr r="L57" s="2"/>
      </tp>
      <tp t="s">
        <v>#N/A N/A</v>
        <stp/>
        <stp>BDH|2206640638557012246</stp>
        <tr r="AB73" s="2"/>
      </tp>
      <tp t="s">
        <v>#N/A N/A</v>
        <stp/>
        <stp>BDH|5286861128899613402</stp>
        <tr r="AA29" s="2"/>
      </tp>
      <tp t="s">
        <v>#N/A N/A</v>
        <stp/>
        <stp>BDH|6948075314415918099</stp>
        <tr r="W41" s="2"/>
      </tp>
      <tp t="s">
        <v>#N/A N/A</v>
        <stp/>
        <stp>BDH|8677738510974723897</stp>
        <tr r="D7" s="2"/>
      </tp>
      <tp t="s">
        <v>#N/A N/A</v>
        <stp/>
        <stp>BDH|3098187511961065023</stp>
        <tr r="R56" s="2"/>
      </tp>
      <tp t="s">
        <v>#N/A N/A</v>
        <stp/>
        <stp>BDH|4378080201911180702</stp>
        <tr r="E42" s="2"/>
      </tp>
      <tp t="s">
        <v>#N/A N/A</v>
        <stp/>
        <stp>BDH|5559641702208959927</stp>
        <tr r="O24" s="2"/>
      </tp>
      <tp t="s">
        <v>#N/A N/A</v>
        <stp/>
        <stp>BDH|7957101205222306671</stp>
        <tr r="U25" s="2"/>
      </tp>
      <tp t="s">
        <v>#N/A N/A</v>
        <stp/>
        <stp>BDH|4316069714342865515</stp>
        <tr r="AB31" s="2"/>
      </tp>
      <tp t="s">
        <v>#N/A N/A</v>
        <stp/>
        <stp>BDH|7256085961947682448</stp>
        <tr r="Y37" s="2"/>
      </tp>
      <tp t="s">
        <v>#N/A N/A</v>
        <stp/>
        <stp>BDH|2722180701017277624</stp>
        <tr r="H11" s="2"/>
      </tp>
      <tp t="s">
        <v>#N/A N/A</v>
        <stp/>
        <stp>BDH|2905533047751558061</stp>
        <tr r="V48" s="2"/>
        <tr r="V36" s="2"/>
      </tp>
      <tp t="s">
        <v>#N/A N/A</v>
        <stp/>
        <stp>BDH|2470388152031601765</stp>
        <tr r="N43" s="2"/>
      </tp>
      <tp t="s">
        <v>#N/A N/A</v>
        <stp/>
        <stp>BDH|9861968720292928293</stp>
        <tr r="G42" s="2"/>
      </tp>
      <tp t="s">
        <v>#N/A N/A</v>
        <stp/>
        <stp>BDH|2710099344165257160</stp>
        <tr r="Y22" s="2"/>
      </tp>
      <tp t="s">
        <v>#N/A N/A</v>
        <stp/>
        <stp>BDH|1787076999003533923</stp>
        <tr r="L11" s="2"/>
      </tp>
      <tp t="s">
        <v>#N/A N/A</v>
        <stp/>
        <stp>BDH|1349461748107753450</stp>
        <tr r="Z31" s="2"/>
      </tp>
      <tp t="s">
        <v>#N/A N/A</v>
        <stp/>
        <stp>BDH|6026191426865761278</stp>
        <tr r="AC36" s="2"/>
        <tr r="AC48" s="2"/>
      </tp>
      <tp t="s">
        <v>#N/A N/A</v>
        <stp/>
        <stp>BDH|4911012338106929351</stp>
        <tr r="S33" s="2"/>
      </tp>
      <tp t="s">
        <v>#N/A N/A</v>
        <stp/>
        <stp>BDH|7874708275157682273</stp>
        <tr r="Q68" s="2"/>
      </tp>
      <tp t="s">
        <v>#N/A N/A</v>
        <stp/>
        <stp>BDH|5010124848772119074</stp>
        <tr r="C63" s="2"/>
      </tp>
      <tp t="s">
        <v>#N/A N/A</v>
        <stp/>
        <stp>BDH|1324720053845965474</stp>
        <tr r="I68" s="2"/>
      </tp>
      <tp t="s">
        <v>#N/A N/A</v>
        <stp/>
        <stp>BDH|4211180986487095800</stp>
        <tr r="R18" s="2"/>
      </tp>
      <tp t="s">
        <v>#N/A N/A</v>
        <stp/>
        <stp>BDH|5433689413465251502</stp>
        <tr r="AC19" s="2"/>
      </tp>
      <tp t="s">
        <v>#N/A N/A</v>
        <stp/>
        <stp>BDH|4683756804423854226</stp>
        <tr r="V39" s="2"/>
      </tp>
      <tp t="s">
        <v>#N/A N/A</v>
        <stp/>
        <stp>BDH|4057998122059119475</stp>
        <tr r="I14" s="2"/>
      </tp>
      <tp t="s">
        <v>#N/A N/A</v>
        <stp/>
        <stp>BDH|3189653150732907000</stp>
        <tr r="AC72" s="2"/>
      </tp>
      <tp t="s">
        <v>#N/A N/A</v>
        <stp/>
        <stp>BDH|3510529908860392416</stp>
        <tr r="AC44" s="2"/>
      </tp>
      <tp t="s">
        <v>#N/A N/A</v>
        <stp/>
        <stp>BDH|8904372788264385579</stp>
        <tr r="Y32" s="2"/>
      </tp>
      <tp t="s">
        <v>#N/A N/A</v>
        <stp/>
        <stp>BDH|4717926024375468872</stp>
        <tr r="J56" s="2"/>
      </tp>
      <tp t="s">
        <v>#N/A N/A</v>
        <stp/>
        <stp>BDH|9116555024674422862</stp>
        <tr r="P73" s="2"/>
      </tp>
      <tp t="s">
        <v>#N/A N/A</v>
        <stp/>
        <stp>BDH|7970461288151317863</stp>
        <tr r="F14" s="2"/>
      </tp>
      <tp t="s">
        <v>#N/A N/A</v>
        <stp/>
        <stp>BDH|6986878048430262869</stp>
        <tr r="E30" s="2"/>
      </tp>
      <tp t="s">
        <v>#N/A N/A</v>
        <stp/>
        <stp>BDH|3473498569912445129</stp>
        <tr r="S32" s="2"/>
      </tp>
      <tp t="s">
        <v>#N/A N/A</v>
        <stp/>
        <stp>BDH|6812217791418995734</stp>
        <tr r="R44" s="2"/>
      </tp>
      <tp t="s">
        <v>#N/A N/A</v>
        <stp/>
        <stp>BDH|7737433529914875770</stp>
        <tr r="S29" s="2"/>
      </tp>
      <tp t="s">
        <v>#N/A N/A</v>
        <stp/>
        <stp>BDH|4903396488658833531</stp>
        <tr r="AD71" s="2"/>
      </tp>
      <tp t="s">
        <v>#N/A N/A</v>
        <stp/>
        <stp>BDH|5308251214521988589</stp>
        <tr r="AD25" s="2"/>
      </tp>
      <tp t="s">
        <v>#N/A N/A</v>
        <stp/>
        <stp>BDH|9438372572157578873</stp>
        <tr r="AB12" s="2"/>
      </tp>
      <tp t="s">
        <v>#N/A N/A</v>
        <stp/>
        <stp>BDH|3500575334683128445</stp>
        <tr r="E37" s="2"/>
      </tp>
      <tp t="s">
        <v>#N/A N/A</v>
        <stp/>
        <stp>BDH|5477270025140399768</stp>
        <tr r="X14" s="2"/>
      </tp>
      <tp t="s">
        <v>#N/A N/A</v>
        <stp/>
        <stp>BDH|6125926453938081007</stp>
        <tr r="V62" s="2"/>
      </tp>
      <tp t="s">
        <v>#N/A N/A</v>
        <stp/>
        <stp>BDH|5818006639750777461</stp>
        <tr r="AB34" s="2"/>
      </tp>
      <tp t="s">
        <v>#N/A N/A</v>
        <stp/>
        <stp>BDH|7490041647624369542</stp>
        <tr r="AB50" s="2"/>
      </tp>
      <tp t="s">
        <v>#N/A N/A</v>
        <stp/>
        <stp>BDH|9823453138129798527</stp>
        <tr r="P65" s="2"/>
      </tp>
      <tp t="s">
        <v>#N/A N/A</v>
        <stp/>
        <stp>BDH|1981285564470380772</stp>
        <tr r="AB9" s="2"/>
      </tp>
      <tp t="s">
        <v>#N/A N/A</v>
        <stp/>
        <stp>BDH|5108986550169834207</stp>
        <tr r="O35" s="2"/>
      </tp>
      <tp t="s">
        <v>#N/A N/A</v>
        <stp/>
        <stp>BDH|3507217130065624530</stp>
        <tr r="V17" s="2"/>
      </tp>
      <tp t="s">
        <v>#N/A N/A</v>
        <stp/>
        <stp>BDH|6515532982859240074</stp>
        <tr r="AC52" s="2"/>
      </tp>
      <tp t="s">
        <v>#N/A N/A</v>
        <stp/>
        <stp>BDH|9281995179850744530</stp>
        <tr r="F17" s="2"/>
      </tp>
      <tp t="s">
        <v>#N/A N/A</v>
        <stp/>
        <stp>BDH|2425465960156332471</stp>
        <tr r="F73" s="2"/>
      </tp>
      <tp t="s">
        <v>#N/A N/A</v>
        <stp/>
        <stp>BDH|6413768304975988693</stp>
        <tr r="S65" s="2"/>
      </tp>
      <tp t="s">
        <v>#N/A N/A</v>
        <stp/>
        <stp>BDH|2066409312611316472</stp>
        <tr r="S66" s="2"/>
      </tp>
      <tp t="s">
        <v>#N/A N/A</v>
        <stp/>
        <stp>BDH|1886326108148609822</stp>
        <tr r="F20" s="2"/>
      </tp>
      <tp t="s">
        <v>#N/A N/A</v>
        <stp/>
        <stp>BDH|7922401878884444233</stp>
        <tr r="N40" s="2"/>
      </tp>
      <tp t="s">
        <v>#N/A N/A</v>
        <stp/>
        <stp>BDH|3093716005480322617</stp>
        <tr r="K69" s="2"/>
      </tp>
      <tp t="s">
        <v>#N/A N/A</v>
        <stp/>
        <stp>BDH|5188914791322262549</stp>
        <tr r="N30" s="2"/>
      </tp>
      <tp t="s">
        <v>#N/A N/A</v>
        <stp/>
        <stp>BDH|6500662463261204556</stp>
        <tr r="Z8" s="2"/>
      </tp>
      <tp t="s">
        <v>#N/A N/A</v>
        <stp/>
        <stp>BDH|6103813421736495822</stp>
        <tr r="N70" s="2"/>
      </tp>
      <tp t="s">
        <v>#N/A N/A</v>
        <stp/>
        <stp>BDH|7313286448041506227</stp>
        <tr r="Z71" s="2"/>
      </tp>
      <tp t="s">
        <v>#N/A N/A</v>
        <stp/>
        <stp>BDH|3061918135598882383</stp>
        <tr r="AA27" s="2"/>
      </tp>
      <tp t="s">
        <v>#N/A N/A</v>
        <stp/>
        <stp>BDH|1905290086360206906</stp>
        <tr r="F8" s="2"/>
      </tp>
      <tp t="s">
        <v>#N/A N/A</v>
        <stp/>
        <stp>BDH|7593055622474483328</stp>
        <tr r="AD28" s="2"/>
      </tp>
      <tp t="s">
        <v>#N/A N/A</v>
        <stp/>
        <stp>BDH|7067296643874650786</stp>
        <tr r="G47" s="2"/>
      </tp>
      <tp t="s">
        <v>#N/A N/A</v>
        <stp/>
        <stp>BDH|4566682418964057515</stp>
        <tr r="O70" s="2"/>
      </tp>
      <tp t="s">
        <v>#N/A N/A</v>
        <stp/>
        <stp>BDH|3213307766120626469</stp>
        <tr r="U14" s="2"/>
      </tp>
      <tp t="s">
        <v>#N/A N/A</v>
        <stp/>
        <stp>BDH|3509876067719445659</stp>
        <tr r="E36" s="2"/>
        <tr r="E48" s="2"/>
      </tp>
      <tp t="s">
        <v>#N/A N/A</v>
        <stp/>
        <stp>BDH|2141820801140264856</stp>
        <tr r="K55" s="2"/>
      </tp>
      <tp t="s">
        <v>#N/A N/A</v>
        <stp/>
        <stp>BDH|6491796310793865108</stp>
        <tr r="P69" s="2"/>
      </tp>
      <tp t="s">
        <v>#N/A N/A</v>
        <stp/>
        <stp>BDH|3384241428407804623</stp>
        <tr r="R47" s="2"/>
      </tp>
      <tp t="s">
        <v>#N/A N/A</v>
        <stp/>
        <stp>BDH|7712046933917394169</stp>
        <tr r="C26" s="2"/>
      </tp>
      <tp t="s">
        <v>#N/A N/A</v>
        <stp/>
        <stp>BDH|4145590876341184458</stp>
        <tr r="W67" s="2"/>
      </tp>
      <tp t="s">
        <v>#N/A N/A</v>
        <stp/>
        <stp>BDH|9729023590927766483</stp>
        <tr r="K8" s="2"/>
      </tp>
      <tp t="s">
        <v>#N/A N/A</v>
        <stp/>
        <stp>BDH|5675070809886601041</stp>
        <tr r="R14" s="2"/>
      </tp>
      <tp t="s">
        <v>#N/A N/A</v>
        <stp/>
        <stp>BDH|5908673001494543413</stp>
        <tr r="M13" s="2"/>
      </tp>
      <tp t="s">
        <v>#N/A N/A</v>
        <stp/>
        <stp>BDH|8840272586106769759</stp>
        <tr r="F69" s="2"/>
      </tp>
      <tp t="s">
        <v>#N/A N/A</v>
        <stp/>
        <stp>BDH|5025637008942767271</stp>
        <tr r="N39" s="2"/>
      </tp>
      <tp t="s">
        <v>#N/A N/A</v>
        <stp/>
        <stp>BDH|2023602267036906760</stp>
        <tr r="F37" s="2"/>
      </tp>
      <tp t="s">
        <v>#N/A N/A</v>
        <stp/>
        <stp>BDH|5759486716186885596</stp>
        <tr r="C27" s="2"/>
      </tp>
      <tp t="s">
        <v>#N/A N/A</v>
        <stp/>
        <stp>BDH|8828346654325330820</stp>
        <tr r="V10" s="2"/>
      </tp>
      <tp t="s">
        <v>#N/A N/A</v>
        <stp/>
        <stp>BDH|5298147519314620204</stp>
        <tr r="AB62" s="2"/>
      </tp>
      <tp t="s">
        <v>#N/A N/A</v>
        <stp/>
        <stp>BDH|7106372249856319550</stp>
        <tr r="X17" s="2"/>
      </tp>
      <tp t="s">
        <v>#N/A N/A</v>
        <stp/>
        <stp>BDH|6956023675236103416</stp>
        <tr r="U9" s="2"/>
      </tp>
      <tp t="s">
        <v>#N/A N/A</v>
        <stp/>
        <stp>BDH|4771587048927020191</stp>
        <tr r="D41" s="2"/>
      </tp>
      <tp t="s">
        <v>#N/A N/A</v>
        <stp/>
        <stp>BDH|9649083693075506669</stp>
        <tr r="X69" s="2"/>
      </tp>
      <tp t="s">
        <v>#N/A N/A</v>
        <stp/>
        <stp>BDH|6580248865640921126</stp>
        <tr r="I71" s="2"/>
      </tp>
      <tp t="s">
        <v>#N/A N/A</v>
        <stp/>
        <stp>BDH|9778618929198523653</stp>
        <tr r="T19" s="2"/>
      </tp>
      <tp t="s">
        <v>#N/A N/A</v>
        <stp/>
        <stp>BDH|4479211478787721563</stp>
        <tr r="AC13" s="2"/>
      </tp>
      <tp t="s">
        <v>#N/A N/A</v>
        <stp/>
        <stp>BDH|8654991812862674179</stp>
        <tr r="AA53" s="2"/>
      </tp>
      <tp t="s">
        <v>#N/A N/A</v>
        <stp/>
        <stp>BDH|2169993886971139138</stp>
        <tr r="I57" s="2"/>
      </tp>
      <tp t="s">
        <v>#N/A N/A</v>
        <stp/>
        <stp>BDH|6921706133906366757</stp>
        <tr r="AD29" s="2"/>
      </tp>
      <tp t="s">
        <v>#N/A N/A</v>
        <stp/>
        <stp>BDH|7524677301150736291</stp>
        <tr r="V22" s="2"/>
      </tp>
      <tp t="s">
        <v>#N/A N/A</v>
        <stp/>
        <stp>BDH|5972164918634923231</stp>
        <tr r="M36" s="2"/>
        <tr r="M48" s="2"/>
      </tp>
      <tp t="s">
        <v>#N/A N/A</v>
        <stp/>
        <stp>BDH|8507042694931026383</stp>
        <tr r="D58" s="2"/>
      </tp>
      <tp t="s">
        <v>#N/A N/A</v>
        <stp/>
        <stp>BDH|6445266046471203244</stp>
        <tr r="G14" s="2"/>
      </tp>
      <tp t="s">
        <v>#N/A N/A</v>
        <stp/>
        <stp>BDH|4845280531952128429</stp>
        <tr r="O21" s="2"/>
      </tp>
      <tp t="s">
        <v>#N/A N/A</v>
        <stp/>
        <stp>BDH|6002676142101484631</stp>
        <tr r="I70" s="2"/>
      </tp>
      <tp t="s">
        <v>#N/A N/A</v>
        <stp/>
        <stp>BDH|2689923986133639367</stp>
        <tr r="J13" s="2"/>
      </tp>
      <tp t="s">
        <v>#N/A N/A</v>
        <stp/>
        <stp>BDH|9206373281668129964</stp>
        <tr r="O25" s="2"/>
      </tp>
      <tp t="s">
        <v>#N/A N/A</v>
        <stp/>
        <stp>BDH|5809987963770961994</stp>
        <tr r="N25" s="2"/>
      </tp>
      <tp t="s">
        <v>#N/A N/A</v>
        <stp/>
        <stp>BDH|1499818112609555215</stp>
        <tr r="R11" s="2"/>
      </tp>
      <tp t="s">
        <v>#N/A N/A</v>
        <stp/>
        <stp>BDH|5412097708966098061</stp>
        <tr r="S69" s="2"/>
      </tp>
      <tp t="s">
        <v>#N/A N/A</v>
        <stp/>
        <stp>BDH|9067435577548157165</stp>
        <tr r="I33" s="2"/>
      </tp>
      <tp t="s">
        <v>#N/A N/A</v>
        <stp/>
        <stp>BDH|8529379763897387912</stp>
        <tr r="T62" s="2"/>
      </tp>
      <tp t="s">
        <v>#N/A N/A</v>
        <stp/>
        <stp>BDH|9498857097129644208</stp>
        <tr r="M10" s="2"/>
      </tp>
      <tp t="s">
        <v>#N/A N/A</v>
        <stp/>
        <stp>BDH|5410550722811616055</stp>
        <tr r="K15" s="2"/>
      </tp>
      <tp t="s">
        <v>#N/A N/A</v>
        <stp/>
        <stp>BDH|3789718817064408242</stp>
        <tr r="E53" s="2"/>
      </tp>
      <tp t="s">
        <v>#N/A N/A</v>
        <stp/>
        <stp>BDH|6983661002424467781</stp>
        <tr r="P39" s="2"/>
      </tp>
      <tp t="s">
        <v>#N/A N/A</v>
        <stp/>
        <stp>BDH|7486601458686434193</stp>
        <tr r="Q21" s="2"/>
      </tp>
      <tp t="s">
        <v>#N/A N/A</v>
        <stp/>
        <stp>BDH|5971433632185901473</stp>
        <tr r="AD42" s="2"/>
      </tp>
      <tp t="s">
        <v>#N/A N/A</v>
        <stp/>
        <stp>BDH|3513024460561986784</stp>
        <tr r="N63" s="2"/>
      </tp>
      <tp t="s">
        <v>#N/A N/A</v>
        <stp/>
        <stp>BDH|1061417130325129073</stp>
        <tr r="W11" s="2"/>
      </tp>
      <tp t="s">
        <v>#N/A N/A</v>
        <stp/>
        <stp>BDH|6486347536855400053</stp>
        <tr r="V34" s="2"/>
      </tp>
      <tp t="s">
        <v>#N/A N/A</v>
        <stp/>
        <stp>BDH|1165573746090158364</stp>
        <tr r="D35" s="2"/>
      </tp>
      <tp t="s">
        <v>#N/A N/A</v>
        <stp/>
        <stp>BDH|6278188447527872720</stp>
        <tr r="M16" s="2"/>
      </tp>
      <tp t="s">
        <v>#N/A N/A</v>
        <stp/>
        <stp>BDH|1320598442737592495</stp>
        <tr r="P57" s="2"/>
      </tp>
      <tp t="s">
        <v>#N/A N/A</v>
        <stp/>
        <stp>BDH|9384855344304070269</stp>
        <tr r="K35" s="2"/>
      </tp>
      <tp t="s">
        <v>#N/A N/A</v>
        <stp/>
        <stp>BDH|8605765406738673445</stp>
        <tr r="Y25" s="2"/>
      </tp>
      <tp t="s">
        <v>#N/A N/A</v>
        <stp/>
        <stp>BDH|1353847491760579377</stp>
        <tr r="M55" s="2"/>
      </tp>
      <tp t="s">
        <v>#N/A N/A</v>
        <stp/>
        <stp>BDH|3596640554661768263</stp>
        <tr r="P11" s="2"/>
      </tp>
      <tp t="s">
        <v>#N/A N/A</v>
        <stp/>
        <stp>BDH|3032007251963217673</stp>
        <tr r="W40" s="2"/>
      </tp>
      <tp t="s">
        <v>#N/A N/A</v>
        <stp/>
        <stp>BDH|3053322515130232200</stp>
        <tr r="P51" s="2"/>
      </tp>
      <tp t="s">
        <v>#N/A N/A</v>
        <stp/>
        <stp>BDH|2628414145593572222</stp>
        <tr r="AA25" s="2"/>
      </tp>
      <tp t="s">
        <v>#N/A N/A</v>
        <stp/>
        <stp>BDH|3789524272372730051</stp>
        <tr r="T63" s="2"/>
      </tp>
      <tp t="s">
        <v>#N/A N/A</v>
        <stp/>
        <stp>BDH|7558608460697734376</stp>
        <tr r="T25" s="2"/>
      </tp>
      <tp t="s">
        <v>#N/A N/A</v>
        <stp/>
        <stp>BDH|22041670040116943</stp>
        <tr r="I41" s="2"/>
      </tp>
      <tp t="s">
        <v>#N/A N/A</v>
        <stp/>
        <stp>BDH|478347412857829068</stp>
        <tr r="F33" s="2"/>
      </tp>
      <tp t="s">
        <v>#N/A N/A</v>
        <stp/>
        <stp>BDH|167537576481378698</stp>
        <tr r="M15" s="2"/>
      </tp>
      <tp t="s">
        <v>#N/A N/A</v>
        <stp/>
        <stp>BDH|859379566732324246</stp>
        <tr r="M14" s="2"/>
      </tp>
      <tp t="s">
        <v>#N/A N/A</v>
        <stp/>
        <stp>BDH|447744656556832117</stp>
        <tr r="X35" s="2"/>
      </tp>
      <tp t="s">
        <v>#N/A N/A</v>
        <stp/>
        <stp>BDH|710818113165996966</stp>
        <tr r="N46" s="2"/>
      </tp>
      <tp t="s">
        <v>#N/A N/A</v>
        <stp/>
        <stp>BDH|271002048948537997</stp>
        <tr r="AA68" s="2"/>
      </tp>
      <tp t="s">
        <v>#N/A N/A</v>
        <stp/>
        <stp>BDH|600873484365185038</stp>
        <tr r="Z11" s="2"/>
      </tp>
      <tp t="s">
        <v>#N/A N/A</v>
        <stp/>
        <stp>BDH|909637558674734240</stp>
        <tr r="T18" s="2"/>
      </tp>
      <tp t="s">
        <v>#N/A N/A</v>
        <stp/>
        <stp>BDH|119570308885787452</stp>
        <tr r="S38" s="2"/>
      </tp>
      <tp t="s">
        <v>#N/A N/A</v>
        <stp/>
        <stp>BDH|571801447931450986</stp>
        <tr r="V67" s="2"/>
      </tp>
      <tp t="s">
        <v>#N/A N/A</v>
        <stp/>
        <stp>BDH|982075406743765703</stp>
        <tr r="E41" s="2"/>
      </tp>
      <tp t="s">
        <v>#N/A N/A</v>
        <stp/>
        <stp>BDH|887102831476443077</stp>
        <tr r="S53" s="2"/>
      </tp>
      <tp t="s">
        <v>#N/A N/A</v>
        <stp/>
        <stp>BDH|195326879337241728</stp>
        <tr r="Z35" s="2"/>
      </tp>
      <tp t="s">
        <v>#N/A N/A</v>
        <stp/>
        <stp>BDH|115238079284018507</stp>
        <tr r="K39" s="2"/>
      </tp>
      <tp t="s">
        <v>#N/A N/A</v>
        <stp/>
        <stp>BDH|131454419065703417</stp>
        <tr r="O27" s="2"/>
      </tp>
      <tp t="s">
        <v>#N/A N/A</v>
        <stp/>
        <stp>BDH|311060762912389038</stp>
        <tr r="V65" s="2"/>
      </tp>
      <tp t="s">
        <v>#N/A N/A</v>
        <stp/>
        <stp>BDH|415029501500276454</stp>
        <tr r="C29" s="2"/>
      </tp>
      <tp t="s">
        <v>#N/A N/A</v>
        <stp/>
        <stp>BDH|863921725265392958</stp>
        <tr r="F53" s="2"/>
      </tp>
      <tp t="s">
        <v>#N/A N/A</v>
        <stp/>
        <stp>BDH|741167406630065612</stp>
        <tr r="D24" s="2"/>
      </tp>
      <tp t="s">
        <v>#N/A N/A</v>
        <stp/>
        <stp>BDH|465263143477603643</stp>
        <tr r="C30" s="2"/>
      </tp>
      <tp t="s">
        <v>#N/A N/A</v>
        <stp/>
        <stp>BDH|873364506502931741</stp>
        <tr r="O12" s="2"/>
      </tp>
      <tp t="s">
        <v>#N/A N/A</v>
        <stp/>
        <stp>BDH|540951187386603143</stp>
        <tr r="D37" s="2"/>
      </tp>
      <tp t="s">
        <v>#N/A N/A</v>
        <stp/>
        <stp>BDH|340018835262192707</stp>
        <tr r="D26" s="2"/>
      </tp>
      <tp t="s">
        <v>#N/A N/A</v>
        <stp/>
        <stp>BDH|273180511679111864</stp>
        <tr r="P23" s="2"/>
      </tp>
      <tp t="s">
        <v>#N/A N/A</v>
        <stp/>
        <stp>BDH|868449081244581907</stp>
        <tr r="AD62" s="2"/>
      </tp>
      <tp t="s">
        <v>#N/A N/A</v>
        <stp/>
        <stp>BDH|765584248184507438</stp>
        <tr r="AC11" s="2"/>
      </tp>
      <tp t="s">
        <v>#N/A N/A</v>
        <stp/>
        <stp>BDH|884044169720122756</stp>
        <tr r="K58" s="2"/>
      </tp>
      <tp t="s">
        <v>#N/A N/A</v>
        <stp/>
        <stp>BDH|975583864855355744</stp>
        <tr r="N56" s="2"/>
      </tp>
      <tp t="s">
        <v>#N/A N/A</v>
        <stp/>
        <stp>BDH|207213353187060136</stp>
        <tr r="J21" s="2"/>
      </tp>
      <tp t="s">
        <v>#N/A N/A</v>
        <stp/>
        <stp>BDH|891651001586401076</stp>
        <tr r="T41" s="2"/>
      </tp>
      <tp t="s">
        <v>#N/A N/A</v>
        <stp/>
        <stp>BDH|888378418086975411</stp>
        <tr r="AC69" s="2"/>
      </tp>
      <tp t="s">
        <v>#N/A N/A</v>
        <stp/>
        <stp>BDH|956166954563012727</stp>
        <tr r="V63" s="2"/>
      </tp>
      <tp t="s">
        <v>#N/A N/A</v>
        <stp/>
        <stp>BDH|231695643640160202</stp>
        <tr r="X24" s="2"/>
      </tp>
      <tp t="s">
        <v>#N/A N/A</v>
        <stp/>
        <stp>BDH|672469232656117197</stp>
        <tr r="M28" s="2"/>
      </tp>
      <tp t="s">
        <v>#N/A N/A</v>
        <stp/>
        <stp>BDH|515708667565178467</stp>
        <tr r="AD22" s="2"/>
      </tp>
      <tp t="s">
        <v>#N/A N/A</v>
        <stp/>
        <stp>BDH|613161535612785045</stp>
        <tr r="Y69" s="2"/>
      </tp>
      <tp t="s">
        <v>#N/A N/A</v>
        <stp/>
        <stp>BDH|744649657270323313</stp>
        <tr r="U28" s="2"/>
      </tp>
      <tp t="s">
        <v>#N/A N/A</v>
        <stp/>
        <stp>BDH|108618531157299243</stp>
        <tr r="N64" s="2"/>
      </tp>
      <tp t="s">
        <v>#N/A N/A</v>
        <stp/>
        <stp>BDH|766626517531180637</stp>
        <tr r="G19" s="2"/>
      </tp>
      <tp t="s">
        <v>#N/A N/A</v>
        <stp/>
        <stp>BDH|762660444526356459</stp>
        <tr r="S12" s="2"/>
      </tp>
      <tp t="s">
        <v>#N/A N/A</v>
        <stp/>
        <stp>BDH|833071607230020307</stp>
        <tr r="Z18" s="2"/>
      </tp>
      <tp t="s">
        <v>#N/A N/A</v>
        <stp/>
        <stp>BDH|358038068344135128</stp>
        <tr r="V58" s="2"/>
      </tp>
      <tp t="s">
        <v>#N/A N/A</v>
        <stp/>
        <stp>BDH|925044948591155664</stp>
        <tr r="L52" s="2"/>
      </tp>
      <tp t="s">
        <v>#N/A N/A</v>
        <stp/>
        <stp>BDH|206484461233312363</stp>
        <tr r="U15" s="2"/>
      </tp>
      <tp t="s">
        <v>#N/A N/A</v>
        <stp/>
        <stp>BDH|490923488715307623</stp>
        <tr r="K12" s="2"/>
      </tp>
      <tp t="s">
        <v>#N/A N/A</v>
        <stp/>
        <stp>BDH|975111915912375040</stp>
        <tr r="Q43" s="2"/>
      </tp>
      <tp t="s">
        <v>#N/A N/A</v>
        <stp/>
        <stp>BDH|237795560043847090</stp>
        <tr r="Y63" s="2"/>
      </tp>
      <tp t="s">
        <v>#N/A N/A</v>
        <stp/>
        <stp>BDH|426554370485644508</stp>
        <tr r="T73" s="2"/>
      </tp>
      <tp t="s">
        <v>#N/A N/A</v>
        <stp/>
        <stp>BDH|573137734411210126</stp>
        <tr r="M22" s="2"/>
      </tp>
      <tp t="s">
        <v>#N/A N/A</v>
        <stp/>
        <stp>BDH|643262879849731105</stp>
        <tr r="L35" s="2"/>
      </tp>
      <tp t="s">
        <v>#N/A N/A</v>
        <stp/>
        <stp>BDH|349992576440380396</stp>
        <tr r="AC10" s="2"/>
      </tp>
      <tp t="s">
        <v>#N/A N/A</v>
        <stp/>
        <stp>BDH|920261462738797068</stp>
        <tr r="AA52" s="2"/>
      </tp>
      <tp t="s">
        <v>#N/A N/A</v>
        <stp/>
        <stp>BDH|600776292737282507</stp>
        <tr r="AB35" s="2"/>
      </tp>
      <tp t="s">
        <v>#N/A N/A</v>
        <stp/>
        <stp>BDH|962161756272775925</stp>
        <tr r="X7" s="2"/>
      </tp>
      <tp t="s">
        <v>#N/A N/A</v>
        <stp/>
        <stp>BDH|240973034127647237</stp>
        <tr r="J39" s="2"/>
      </tp>
      <tp t="s">
        <v>#N/A N/A</v>
        <stp/>
        <stp>BDH|815903648145351767</stp>
        <tr r="E34" s="2"/>
      </tp>
      <tp t="s">
        <v>#N/A N/A</v>
        <stp/>
        <stp>BDH|985224377879917341</stp>
        <tr r="AC30" s="2"/>
      </tp>
      <tp t="s">
        <v>#N/A N/A</v>
        <stp/>
        <stp>BDH|725159621658708466</stp>
        <tr r="W15" s="2"/>
      </tp>
      <tp t="s">
        <v>#N/A N/A</v>
        <stp/>
        <stp>BDH|797037800876412865</stp>
        <tr r="S8" s="2"/>
      </tp>
      <tp t="s">
        <v>#N/A N/A</v>
        <stp/>
        <stp>BDH|556044335649658445</stp>
        <tr r="T36" s="2"/>
        <tr r="T48" s="2"/>
      </tp>
      <tp t="s">
        <v>#N/A N/A</v>
        <stp/>
        <stp>BDH|666871657832742161</stp>
        <tr r="Y14" s="2"/>
      </tp>
      <tp t="s">
        <v>#N/A N/A</v>
        <stp/>
        <stp>BDH|401174594077371136</stp>
        <tr r="F72" s="2"/>
      </tp>
      <tp t="s">
        <v>#N/A N/A</v>
        <stp/>
        <stp>BDH|249240318872010872</stp>
        <tr r="U20" s="2"/>
      </tp>
      <tp t="s">
        <v>#N/A N/A</v>
        <stp/>
        <stp>BDH|496042292083383357</stp>
        <tr r="Z72" s="2"/>
      </tp>
      <tp t="s">
        <v>#N/A N/A</v>
        <stp/>
        <stp>BDH|629072372416519855</stp>
        <tr r="T50" s="2"/>
      </tp>
      <tp t="s">
        <v>#N/A N/A</v>
        <stp/>
        <stp>BDH|873459998087101299</stp>
        <tr r="AD10" s="2"/>
      </tp>
      <tp t="s">
        <v>#N/A N/A</v>
        <stp/>
        <stp>BDH|705408398380226532</stp>
        <tr r="O9" s="2"/>
      </tp>
      <tp t="s">
        <v>#N/A N/A</v>
        <stp/>
        <stp>BDH|762786925404288908</stp>
        <tr r="F48" s="2"/>
        <tr r="F36" s="2"/>
      </tp>
      <tp t="s">
        <v>#N/A N/A</v>
        <stp/>
        <stp>BDH|304589034159080428</stp>
        <tr r="Q51" s="2"/>
      </tp>
      <tp t="s">
        <v>#N/A N/A</v>
        <stp/>
        <stp>BDH|465410258229551312</stp>
        <tr r="M40" s="2"/>
      </tp>
      <tp t="s">
        <v>#N/A N/A</v>
        <stp/>
        <stp>BDH|570460979150268897</stp>
        <tr r="G65" s="2"/>
      </tp>
      <tp t="s">
        <v>#N/A N/A</v>
        <stp/>
        <stp>BDH|694588190383729487</stp>
        <tr r="V64" s="2"/>
      </tp>
      <tp t="s">
        <v>#N/A N/A</v>
        <stp/>
        <stp>BDH|902642083695645134</stp>
        <tr r="J15" s="2"/>
      </tp>
      <tp t="s">
        <v>#N/A N/A</v>
        <stp/>
        <stp>BDH|483776283113583638</stp>
        <tr r="L25" s="2"/>
      </tp>
      <tp t="s">
        <v>#N/A N/A</v>
        <stp/>
        <stp>BDH|314648293002564737</stp>
        <tr r="R4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4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67</v>
      </c>
      <c r="C6" s="16" cm="1">
        <f t="array" ref="C6">_xll.BDH("CMI US Equity","SALES_REV_TURN","FQ1 2019","FQ1 2019","Currency=USD","Period=FQ","BEST_FPERIOD_OVERRIDE=FQ","FILING_STATUS=MR","SCALING_FORMAT=MLN","FA_ADJUSTED=Adjusted","Sort=A","Dates=H","DateFormat=P","Fill=—","Direction=H","UseDPDF=Y")</f>
        <v>6004</v>
      </c>
      <c r="D6" s="16" cm="1">
        <f t="array" ref="D6">_xll.BDH("CMI US Equity","SALES_REV_TURN","FQ2 2019","FQ2 2019","Currency=USD","Period=FQ","BEST_FPERIOD_OVERRIDE=FQ","FILING_STATUS=MR","SCALING_FORMAT=MLN","FA_ADJUSTED=Adjusted","Sort=A","Dates=H","DateFormat=P","Fill=—","Direction=H","UseDPDF=Y")</f>
        <v>6221</v>
      </c>
      <c r="E6" s="16" cm="1">
        <f t="array" ref="E6">_xll.BDH("CMI US Equity","SALES_REV_TURN","FQ3 2019","FQ3 2019","Currency=USD","Period=FQ","BEST_FPERIOD_OVERRIDE=FQ","FILING_STATUS=MR","SCALING_FORMAT=MLN","FA_ADJUSTED=Adjusted","Sort=A","Dates=H","DateFormat=P","Fill=—","Direction=H","UseDPDF=Y")</f>
        <v>5768</v>
      </c>
      <c r="F6" s="16" cm="1">
        <f t="array" ref="F6">_xll.BDH("CMI US Equity","SALES_REV_TURN","FQ4 2019","FQ4 2019","Currency=USD","Period=FQ","BEST_FPERIOD_OVERRIDE=FQ","FILING_STATUS=MR","SCALING_FORMAT=MLN","FA_ADJUSTED=Adjusted","Sort=A","Dates=H","DateFormat=P","Fill=—","Direction=H","UseDPDF=Y")</f>
        <v>5578</v>
      </c>
      <c r="G6" s="16" cm="1">
        <f t="array" ref="G6">_xll.BDH("CMI US Equity","SALES_REV_TURN","FQ1 2020","FQ1 2020","Currency=USD","Period=FQ","BEST_FPERIOD_OVERRIDE=FQ","FILING_STATUS=MR","SCALING_FORMAT=MLN","FA_ADJUSTED=Adjusted","Sort=A","Dates=H","DateFormat=P","Fill=—","Direction=H","UseDPDF=Y")</f>
        <v>5011</v>
      </c>
      <c r="H6" s="16" cm="1">
        <f t="array" ref="H6">_xll.BDH("CMI US Equity","SALES_REV_TURN","FQ2 2020","FQ2 2020","Currency=USD","Period=FQ","BEST_FPERIOD_OVERRIDE=FQ","FILING_STATUS=MR","SCALING_FORMAT=MLN","FA_ADJUSTED=Adjusted","Sort=A","Dates=H","DateFormat=P","Fill=—","Direction=H","UseDPDF=Y")</f>
        <v>3852</v>
      </c>
      <c r="I6" s="16" cm="1">
        <f t="array" ref="I6">_xll.BDH("CMI US Equity","SALES_REV_TURN","FQ3 2020","FQ3 2020","Currency=USD","Period=FQ","BEST_FPERIOD_OVERRIDE=FQ","FILING_STATUS=MR","SCALING_FORMAT=MLN","FA_ADJUSTED=Adjusted","Sort=A","Dates=H","DateFormat=P","Fill=—","Direction=H","UseDPDF=Y")</f>
        <v>5118</v>
      </c>
      <c r="J6" s="16" cm="1">
        <f t="array" ref="J6">_xll.BDH("CMI US Equity","SALES_REV_TURN","FQ4 2020","FQ4 2020","Currency=USD","Period=FQ","BEST_FPERIOD_OVERRIDE=FQ","FILING_STATUS=MR","SCALING_FORMAT=MLN","FA_ADJUSTED=Adjusted","Sort=A","Dates=H","DateFormat=P","Fill=—","Direction=H","UseDPDF=Y")</f>
        <v>5830</v>
      </c>
      <c r="K6" s="16" cm="1">
        <f t="array" ref="K6">_xll.BDH("CMI US Equity","SALES_REV_TURN","FQ1 2021","FQ1 2021","Currency=USD","Period=FQ","BEST_FPERIOD_OVERRIDE=FQ","FILING_STATUS=MR","SCALING_FORMAT=MLN","FA_ADJUSTED=Adjusted","Sort=A","Dates=H","DateFormat=P","Fill=—","Direction=H","UseDPDF=Y")</f>
        <v>6092</v>
      </c>
      <c r="L6" s="16" cm="1">
        <f t="array" ref="L6">_xll.BDH("CMI US Equity","SALES_REV_TURN","FQ2 2021","FQ2 2021","Currency=USD","Period=FQ","BEST_FPERIOD_OVERRIDE=FQ","FILING_STATUS=MR","SCALING_FORMAT=MLN","FA_ADJUSTED=Adjusted","Sort=A","Dates=H","DateFormat=P","Fill=—","Direction=H","UseDPDF=Y")</f>
        <v>6111</v>
      </c>
      <c r="M6" s="16" cm="1">
        <f t="array" ref="M6">_xll.BDH("CMI US Equity","SALES_REV_TURN","FQ3 2021","FQ3 2021","Currency=USD","Period=FQ","BEST_FPERIOD_OVERRIDE=FQ","FILING_STATUS=MR","SCALING_FORMAT=MLN","FA_ADJUSTED=Adjusted","Sort=A","Dates=H","DateFormat=P","Fill=—","Direction=H","UseDPDF=Y")</f>
        <v>5968</v>
      </c>
      <c r="N6" s="16" cm="1">
        <f t="array" ref="N6">_xll.BDH("CMI US Equity","SALES_REV_TURN","FQ4 2021","FQ4 2021","Currency=USD","Period=FQ","BEST_FPERIOD_OVERRIDE=FQ","FILING_STATUS=MR","SCALING_FORMAT=MLN","FA_ADJUSTED=Adjusted","Sort=A","Dates=H","DateFormat=P","Fill=—","Direction=H","UseDPDF=Y")</f>
        <v>5850</v>
      </c>
      <c r="O6" s="16" cm="1">
        <f t="array" ref="O6">_xll.BDH("CMI US Equity","SALES_REV_TURN","FQ1 2022","FQ1 2022","Currency=USD","Period=FQ","BEST_FPERIOD_OVERRIDE=FQ","FILING_STATUS=MR","SCALING_FORMAT=MLN","FA_ADJUSTED=Adjusted","Sort=A","Dates=H","DateFormat=P","Fill=—","Direction=H","UseDPDF=Y")</f>
        <v>6385</v>
      </c>
      <c r="P6" s="16" cm="1">
        <f t="array" ref="P6">_xll.BDH("CMI US Equity","SALES_REV_TURN","FQ2 2022","FQ2 2022","Currency=USD","Period=FQ","BEST_FPERIOD_OVERRIDE=FQ","FILING_STATUS=MR","SCALING_FORMAT=MLN","FA_ADJUSTED=Adjusted","Sort=A","Dates=H","DateFormat=P","Fill=—","Direction=H","UseDPDF=Y")</f>
        <v>6586</v>
      </c>
      <c r="Q6" s="16" cm="1">
        <f t="array" ref="Q6">_xll.BDH("CMI US Equity","SALES_REV_TURN","FQ3 2022","FQ3 2022","Currency=USD","Period=FQ","BEST_FPERIOD_OVERRIDE=FQ","FILING_STATUS=MR","SCALING_FORMAT=MLN","FA_ADJUSTED=Adjusted","Sort=A","Dates=H","DateFormat=P","Fill=—","Direction=H","UseDPDF=Y")</f>
        <v>7333</v>
      </c>
      <c r="R6" s="16" cm="1">
        <f t="array" ref="R6">_xll.BDH("CMI US Equity","SALES_REV_TURN","FQ4 2022","FQ4 2022","Currency=USD","Period=FQ","BEST_FPERIOD_OVERRIDE=FQ","FILING_STATUS=MR","SCALING_FORMAT=MLN","FA_ADJUSTED=Adjusted","Sort=A","Dates=H","DateFormat=P","Fill=—","Direction=H","UseDPDF=Y")</f>
        <v>7770</v>
      </c>
      <c r="S6" s="16" cm="1">
        <f t="array" ref="S6">_xll.BDH("CMI US Equity","SALES_REV_TURN","FQ1 2023","FQ1 2023","Currency=USD","Period=FQ","BEST_FPERIOD_OVERRIDE=FQ","FILING_STATUS=MR","SCALING_FORMAT=MLN","FA_ADJUSTED=Adjusted","Sort=A","Dates=H","DateFormat=P","Fill=—","Direction=H","UseDPDF=Y")</f>
        <v>8453</v>
      </c>
      <c r="T6" s="16" cm="1">
        <f t="array" ref="T6">_xll.BDH("CMI US Equity","SALES_REV_TURN","FQ2 2023","FQ2 2023","Currency=USD","Period=FQ","BEST_FPERIOD_OVERRIDE=FQ","FILING_STATUS=MR","SCALING_FORMAT=MLN","FA_ADJUSTED=Adjusted","Sort=A","Dates=H","DateFormat=P","Fill=—","Direction=H","UseDPDF=Y")</f>
        <v>8638</v>
      </c>
      <c r="U6" s="16" cm="1">
        <f t="array" ref="U6">_xll.BDH("CMI US Equity","SALES_REV_TURN","FQ3 2023","FQ3 2023","Currency=USD","Period=FQ","BEST_FPERIOD_OVERRIDE=FQ","FILING_STATUS=MR","SCALING_FORMAT=MLN","FA_ADJUSTED=Adjusted","Sort=A","Dates=H","DateFormat=P","Fill=—","Direction=H","UseDPDF=Y")</f>
        <v>8431</v>
      </c>
      <c r="V6" s="16" cm="1">
        <f t="array" ref="V6">_xll.BDH("CMI US Equity","SALES_REV_TURN","FQ4 2023","FQ4 2023","Currency=USD","Period=FQ","BEST_FPERIOD_OVERRIDE=FQ","FILING_STATUS=MR","SCALING_FORMAT=MLN","FA_ADJUSTED=Adjusted","Sort=A","Dates=H","DateFormat=P","Fill=—","Direction=H","UseDPDF=Y")</f>
        <v>8543</v>
      </c>
      <c r="W6" s="16" cm="1">
        <f t="array" ref="W6">_xll.BDH("CMI US Equity","SALES_REV_TURN","FQ1 2024","FQ1 2024","Currency=USD","Period=FQ","BEST_FPERIOD_OVERRIDE=FQ","FILING_STATUS=MR","SCALING_FORMAT=MLN","FA_ADJUSTED=Adjusted","Sort=A","Dates=H","DateFormat=P","Fill=—","Direction=H","UseDPDF=Y")</f>
        <v>8403</v>
      </c>
      <c r="X6" s="16" cm="1">
        <f t="array" ref="X6">_xll.BDH("CMI US Equity","SALES_REV_TURN","FQ2 2024","FQ2 2024","Currency=USD","Period=FQ","BEST_FPERIOD_OVERRIDE=FQ","FILING_STATUS=MR","SCALING_FORMAT=MLN","FA_ADJUSTED=Adjusted","Sort=A","Dates=H","DateFormat=P","Fill=—","Direction=H","UseDPDF=Y")</f>
        <v>8796</v>
      </c>
      <c r="Y6" s="16" cm="1">
        <f t="array" ref="Y6">_xll.BDH("CMI US Equity","SALES_REV_TURN","FQ3 2024","FQ3 2024","Currency=USD","Period=FQ","BEST_FPERIOD_OVERRIDE=FQ","FILING_STATUS=MR","SCALING_FORMAT=MLN","FA_ADJUSTED=Adjusted","Sort=A","Dates=H","DateFormat=P","Fill=—","Direction=H","UseDPDF=Y")</f>
        <v>8456</v>
      </c>
      <c r="Z6" s="16" cm="1">
        <f t="array" ref="Z6">_xll.BDH("CMI US Equity","SALES_REV_TURN","FQ4 2024","FQ4 2024","Currency=USD","Period=FQ","BEST_FPERIOD_OVERRIDE=FQ","FILING_STATUS=MR","SCALING_FORMAT=MLN","FA_ADJUSTED=Adjusted","Sort=A","Dates=H","DateFormat=P","Fill=—","Direction=H","UseDPDF=Y")</f>
        <v>8447</v>
      </c>
      <c r="AA6" s="16" cm="1">
        <f t="array" ref="AA6">_xll.BDH("CMI US Equity","SALES_REV_TURN","FQ1 2025","FQ1 2025","Currency=USD","Period=FQ","BEST_FPERIOD_OVERRIDE=FQ","FILING_STATUS=MR","SCALING_FORMAT=MLN","FA_ADJUSTED=Adjusted","Sort=A","Dates=H","DateFormat=P","Fill=—","Direction=H","UseDPDF=Y")</f>
        <v>8174</v>
      </c>
      <c r="AB6" s="16" cm="1">
        <f t="array" ref="AB6">_xll.BDH("CMI US Equity","SALES_REV_TURN","FQ2 2025","FQ2 2025","Currency=USD","Period=FQ","BEST_FPERIOD_OVERRIDE=FQ","FILING_STATUS=MR","SCALING_FORMAT=MLN","FA_ADJUSTED=Adjusted","Sort=A","Dates=H","DateFormat=P","Fill=—","Direction=H","UseDPDF=Y")</f>
        <v>8643</v>
      </c>
      <c r="AC6" s="16" cm="1">
        <f t="array" ref="AC6">_xll.BDH("CMI US Equity","SALES_REV_TURN","FQ3 2025","FQ3 2025","Currency=USD","Period=FQ","BEST_FPERIOD_OVERRIDE=FQ","FILING_STATUS=MR","SCALING_FORMAT=MLN","FA_ADJUSTED=Adjusted","Sort=A","Dates=H","DateFormat=P","Fill=—","Direction=H","UseDPDF=Y")</f>
        <v>8317</v>
      </c>
      <c r="AD6" s="16" cm="1">
        <f t="array" ref="AD6">_xll.BDH("CMI US Equity","SALES_REV_TURN","FQ4 2025","FQ4 2025","Currency=USD","Period=FQ","BEST_FPERIOD_OVERRIDE=FQ","FILING_STATUS=MR","SCALING_FORMAT=MLN","FA_ADJUSTED=Adjusted","Sort=A","Dates=H","DateFormat=P","Fill=—","Direction=H","UseDPDF=Y")</f>
        <v>8536</v>
      </c>
      <c r="AE6" s="16">
        <v>8377.5882352941208</v>
      </c>
      <c r="AF6" s="16">
        <v>8926.9411764705892</v>
      </c>
    </row>
    <row r="7" spans="1:32" x14ac:dyDescent="0.25">
      <c r="A7" s="10" t="s">
        <v>68</v>
      </c>
      <c r="B7" s="10" t="s">
        <v>69</v>
      </c>
      <c r="C7" s="13" cm="1">
        <f t="array" ref="C7">_xll.BDH("CMI US Equity","IS_SALES_AND_SERVICES_REVENUES","FQ1 2019","FQ1 2019","Currency=USD","Period=FQ","BEST_FPERIOD_OVERRIDE=FQ","FILING_STATUS=MR","SCALING_FORMAT=MLN","FA_ADJUSTED=Adjusted","Sort=A","Dates=H","DateFormat=P","Fill=—","Direction=H","UseDPDF=Y")</f>
        <v>6004</v>
      </c>
      <c r="D7" s="13" cm="1">
        <f t="array" ref="D7">_xll.BDH("CMI US Equity","IS_SALES_AND_SERVICES_REVENUES","FQ2 2019","FQ2 2019","Currency=USD","Period=FQ","BEST_FPERIOD_OVERRIDE=FQ","FILING_STATUS=MR","SCALING_FORMAT=MLN","FA_ADJUSTED=Adjusted","Sort=A","Dates=H","DateFormat=P","Fill=—","Direction=H","UseDPDF=Y")</f>
        <v>6221</v>
      </c>
      <c r="E7" s="13" cm="1">
        <f t="array" ref="E7">_xll.BDH("CMI US Equity","IS_SALES_AND_SERVICES_REVENUES","FQ3 2019","FQ3 2019","Currency=USD","Period=FQ","BEST_FPERIOD_OVERRIDE=FQ","FILING_STATUS=MR","SCALING_FORMAT=MLN","FA_ADJUSTED=Adjusted","Sort=A","Dates=H","DateFormat=P","Fill=—","Direction=H","UseDPDF=Y")</f>
        <v>5768</v>
      </c>
      <c r="F7" s="13" cm="1">
        <f t="array" ref="F7">_xll.BDH("CMI US Equity","IS_SALES_AND_SERVICES_REVENUES","FQ4 2019","FQ4 2019","Currency=USD","Period=FQ","BEST_FPERIOD_OVERRIDE=FQ","FILING_STATUS=MR","SCALING_FORMAT=MLN","FA_ADJUSTED=Adjusted","Sort=A","Dates=H","DateFormat=P","Fill=—","Direction=H","UseDPDF=Y")</f>
        <v>5578</v>
      </c>
      <c r="G7" s="13" cm="1">
        <f t="array" ref="G7">_xll.BDH("CMI US Equity","IS_SALES_AND_SERVICES_REVENUES","FQ1 2020","FQ1 2020","Currency=USD","Period=FQ","BEST_FPERIOD_OVERRIDE=FQ","FILING_STATUS=MR","SCALING_FORMAT=MLN","FA_ADJUSTED=Adjusted","Sort=A","Dates=H","DateFormat=P","Fill=—","Direction=H","UseDPDF=Y")</f>
        <v>5011</v>
      </c>
      <c r="H7" s="13" cm="1">
        <f t="array" ref="H7">_xll.BDH("CMI US Equity","IS_SALES_AND_SERVICES_REVENUES","FQ2 2020","FQ2 2020","Currency=USD","Period=FQ","BEST_FPERIOD_OVERRIDE=FQ","FILING_STATUS=MR","SCALING_FORMAT=MLN","FA_ADJUSTED=Adjusted","Sort=A","Dates=H","DateFormat=P","Fill=—","Direction=H","UseDPDF=Y")</f>
        <v>3852</v>
      </c>
      <c r="I7" s="13" cm="1">
        <f t="array" ref="I7">_xll.BDH("CMI US Equity","IS_SALES_AND_SERVICES_REVENUES","FQ3 2020","FQ3 2020","Currency=USD","Period=FQ","BEST_FPERIOD_OVERRIDE=FQ","FILING_STATUS=MR","SCALING_FORMAT=MLN","FA_ADJUSTED=Adjusted","Sort=A","Dates=H","DateFormat=P","Fill=—","Direction=H","UseDPDF=Y")</f>
        <v>5118</v>
      </c>
      <c r="J7" s="13" cm="1">
        <f t="array" ref="J7">_xll.BDH("CMI US Equity","IS_SALES_AND_SERVICES_REVENUES","FQ4 2020","FQ4 2020","Currency=USD","Period=FQ","BEST_FPERIOD_OVERRIDE=FQ","FILING_STATUS=MR","SCALING_FORMAT=MLN","FA_ADJUSTED=Adjusted","Sort=A","Dates=H","DateFormat=P","Fill=—","Direction=H","UseDPDF=Y")</f>
        <v>5830</v>
      </c>
      <c r="K7" s="13" cm="1">
        <f t="array" ref="K7">_xll.BDH("CMI US Equity","IS_SALES_AND_SERVICES_REVENUES","FQ1 2021","FQ1 2021","Currency=USD","Period=FQ","BEST_FPERIOD_OVERRIDE=FQ","FILING_STATUS=MR","SCALING_FORMAT=MLN","FA_ADJUSTED=Adjusted","Sort=A","Dates=H","DateFormat=P","Fill=—","Direction=H","UseDPDF=Y")</f>
        <v>6092</v>
      </c>
      <c r="L7" s="13" cm="1">
        <f t="array" ref="L7">_xll.BDH("CMI US Equity","IS_SALES_AND_SERVICES_REVENUES","FQ2 2021","FQ2 2021","Currency=USD","Period=FQ","BEST_FPERIOD_OVERRIDE=FQ","FILING_STATUS=MR","SCALING_FORMAT=MLN","FA_ADJUSTED=Adjusted","Sort=A","Dates=H","DateFormat=P","Fill=—","Direction=H","UseDPDF=Y")</f>
        <v>6111</v>
      </c>
      <c r="M7" s="13" cm="1">
        <f t="array" ref="M7">_xll.BDH("CMI US Equity","IS_SALES_AND_SERVICES_REVENUES","FQ3 2021","FQ3 2021","Currency=USD","Period=FQ","BEST_FPERIOD_OVERRIDE=FQ","FILING_STATUS=MR","SCALING_FORMAT=MLN","FA_ADJUSTED=Adjusted","Sort=A","Dates=H","DateFormat=P","Fill=—","Direction=H","UseDPDF=Y")</f>
        <v>5968</v>
      </c>
      <c r="N7" s="13" cm="1">
        <f t="array" ref="N7">_xll.BDH("CMI US Equity","IS_SALES_AND_SERVICES_REVENUES","FQ4 2021","FQ4 2021","Currency=USD","Period=FQ","BEST_FPERIOD_OVERRIDE=FQ","FILING_STATUS=MR","SCALING_FORMAT=MLN","FA_ADJUSTED=Adjusted","Sort=A","Dates=H","DateFormat=P","Fill=—","Direction=H","UseDPDF=Y")</f>
        <v>5850</v>
      </c>
      <c r="O7" s="13" cm="1">
        <f t="array" ref="O7">_xll.BDH("CMI US Equity","IS_SALES_AND_SERVICES_REVENUES","FQ1 2022","FQ1 2022","Currency=USD","Period=FQ","BEST_FPERIOD_OVERRIDE=FQ","FILING_STATUS=MR","SCALING_FORMAT=MLN","FA_ADJUSTED=Adjusted","Sort=A","Dates=H","DateFormat=P","Fill=—","Direction=H","UseDPDF=Y")</f>
        <v>6385</v>
      </c>
      <c r="P7" s="13" cm="1">
        <f t="array" ref="P7">_xll.BDH("CMI US Equity","IS_SALES_AND_SERVICES_REVENUES","FQ2 2022","FQ2 2022","Currency=USD","Period=FQ","BEST_FPERIOD_OVERRIDE=FQ","FILING_STATUS=MR","SCALING_FORMAT=MLN","FA_ADJUSTED=Adjusted","Sort=A","Dates=H","DateFormat=P","Fill=—","Direction=H","UseDPDF=Y")</f>
        <v>6586</v>
      </c>
      <c r="Q7" s="13" cm="1">
        <f t="array" ref="Q7">_xll.BDH("CMI US Equity","IS_SALES_AND_SERVICES_REVENUES","FQ3 2022","FQ3 2022","Currency=USD","Period=FQ","BEST_FPERIOD_OVERRIDE=FQ","FILING_STATUS=MR","SCALING_FORMAT=MLN","FA_ADJUSTED=Adjusted","Sort=A","Dates=H","DateFormat=P","Fill=—","Direction=H","UseDPDF=Y")</f>
        <v>7333</v>
      </c>
      <c r="R7" s="13" cm="1">
        <f t="array" ref="R7">_xll.BDH("CMI US Equity","IS_SALES_AND_SERVICES_REVENUES","FQ4 2022","FQ4 2022","Currency=USD","Period=FQ","BEST_FPERIOD_OVERRIDE=FQ","FILING_STATUS=MR","SCALING_FORMAT=MLN","FA_ADJUSTED=Adjusted","Sort=A","Dates=H","DateFormat=P","Fill=—","Direction=H","UseDPDF=Y")</f>
        <v>7770</v>
      </c>
      <c r="S7" s="13" cm="1">
        <f t="array" ref="S7">_xll.BDH("CMI US Equity","IS_SALES_AND_SERVICES_REVENUES","FQ1 2023","FQ1 2023","Currency=USD","Period=FQ","BEST_FPERIOD_OVERRIDE=FQ","FILING_STATUS=MR","SCALING_FORMAT=MLN","FA_ADJUSTED=Adjusted","Sort=A","Dates=H","DateFormat=P","Fill=—","Direction=H","UseDPDF=Y")</f>
        <v>8453</v>
      </c>
      <c r="T7" s="13" cm="1">
        <f t="array" ref="T7">_xll.BDH("CMI US Equity","IS_SALES_AND_SERVICES_REVENUES","FQ2 2023","FQ2 2023","Currency=USD","Period=FQ","BEST_FPERIOD_OVERRIDE=FQ","FILING_STATUS=MR","SCALING_FORMAT=MLN","FA_ADJUSTED=Adjusted","Sort=A","Dates=H","DateFormat=P","Fill=—","Direction=H","UseDPDF=Y")</f>
        <v>8638</v>
      </c>
      <c r="U7" s="13" cm="1">
        <f t="array" ref="U7">_xll.BDH("CMI US Equity","IS_SALES_AND_SERVICES_REVENUES","FQ3 2023","FQ3 2023","Currency=USD","Period=FQ","BEST_FPERIOD_OVERRIDE=FQ","FILING_STATUS=MR","SCALING_FORMAT=MLN","FA_ADJUSTED=Adjusted","Sort=A","Dates=H","DateFormat=P","Fill=—","Direction=H","UseDPDF=Y")</f>
        <v>8431</v>
      </c>
      <c r="V7" s="13" cm="1">
        <f t="array" ref="V7">_xll.BDH("CMI US Equity","IS_SALES_AND_SERVICES_REVENUES","FQ4 2023","FQ4 2023","Currency=USD","Period=FQ","BEST_FPERIOD_OVERRIDE=FQ","FILING_STATUS=MR","SCALING_FORMAT=MLN","FA_ADJUSTED=Adjusted","Sort=A","Dates=H","DateFormat=P","Fill=—","Direction=H","UseDPDF=Y")</f>
        <v>8543</v>
      </c>
      <c r="W7" s="13" cm="1">
        <f t="array" ref="W7">_xll.BDH("CMI US Equity","IS_SALES_AND_SERVICES_REVENUES","FQ1 2024","FQ1 2024","Currency=USD","Period=FQ","BEST_FPERIOD_OVERRIDE=FQ","FILING_STATUS=MR","SCALING_FORMAT=MLN","FA_ADJUSTED=Adjusted","Sort=A","Dates=H","DateFormat=P","Fill=—","Direction=H","UseDPDF=Y")</f>
        <v>8403</v>
      </c>
      <c r="X7" s="13" cm="1">
        <f t="array" ref="X7">_xll.BDH("CMI US Equity","IS_SALES_AND_SERVICES_REVENUES","FQ2 2024","FQ2 2024","Currency=USD","Period=FQ","BEST_FPERIOD_OVERRIDE=FQ","FILING_STATUS=MR","SCALING_FORMAT=MLN","FA_ADJUSTED=Adjusted","Sort=A","Dates=H","DateFormat=P","Fill=—","Direction=H","UseDPDF=Y")</f>
        <v>8796</v>
      </c>
      <c r="Y7" s="13" cm="1">
        <f t="array" ref="Y7">_xll.BDH("CMI US Equity","IS_SALES_AND_SERVICES_REVENUES","FQ3 2024","FQ3 2024","Currency=USD","Period=FQ","BEST_FPERIOD_OVERRIDE=FQ","FILING_STATUS=MR","SCALING_FORMAT=MLN","FA_ADJUSTED=Adjusted","Sort=A","Dates=H","DateFormat=P","Fill=—","Direction=H","UseDPDF=Y")</f>
        <v>8456</v>
      </c>
      <c r="Z7" s="13" cm="1">
        <f t="array" ref="Z7">_xll.BDH("CMI US Equity","IS_SALES_AND_SERVICES_REVENUES","FQ4 2024","FQ4 2024","Currency=USD","Period=FQ","BEST_FPERIOD_OVERRIDE=FQ","FILING_STATUS=MR","SCALING_FORMAT=MLN","FA_ADJUSTED=Adjusted","Sort=A","Dates=H","DateFormat=P","Fill=—","Direction=H","UseDPDF=Y")</f>
        <v>8447</v>
      </c>
      <c r="AA7" s="13" cm="1">
        <f t="array" ref="AA7">_xll.BDH("CMI US Equity","IS_SALES_AND_SERVICES_REVENUES","FQ1 2025","FQ1 2025","Currency=USD","Period=FQ","BEST_FPERIOD_OVERRIDE=FQ","FILING_STATUS=MR","SCALING_FORMAT=MLN","FA_ADJUSTED=Adjusted","Sort=A","Dates=H","DateFormat=P","Fill=—","Direction=H","UseDPDF=Y")</f>
        <v>8174</v>
      </c>
      <c r="AB7" s="13" cm="1">
        <f t="array" ref="AB7">_xll.BDH("CMI US Equity","IS_SALES_AND_SERVICES_REVENUES","FQ2 2025","FQ2 2025","Currency=USD","Period=FQ","BEST_FPERIOD_OVERRIDE=FQ","FILING_STATUS=MR","SCALING_FORMAT=MLN","FA_ADJUSTED=Adjusted","Sort=A","Dates=H","DateFormat=P","Fill=—","Direction=H","UseDPDF=Y")</f>
        <v>8643</v>
      </c>
      <c r="AC7" s="13" cm="1">
        <f t="array" ref="AC7">_xll.BDH("CMI US Equity","IS_SALES_AND_SERVICES_REVENUES","FQ3 2025","FQ3 2025","Currency=USD","Period=FQ","BEST_FPERIOD_OVERRIDE=FQ","FILING_STATUS=MR","SCALING_FORMAT=MLN","FA_ADJUSTED=Adjusted","Sort=A","Dates=H","DateFormat=P","Fill=—","Direction=H","UseDPDF=Y")</f>
        <v>8317</v>
      </c>
      <c r="AD7" s="13" cm="1">
        <f t="array" ref="AD7">_xll.BDH("CMI US Equity","IS_SALES_AND_SERVICES_REVENUES","FQ4 2025","FQ4 2025","Currency=USD","Period=FQ","BEST_FPERIOD_OVERRIDE=FQ","FILING_STATUS=MR","SCALING_FORMAT=MLN","FA_ADJUSTED=Adjusted","Sort=A","Dates=H","DateFormat=P","Fill=—","Direction=H","UseDPDF=Y")</f>
        <v>8536</v>
      </c>
      <c r="AE7" s="13"/>
      <c r="AF7" s="13"/>
    </row>
    <row r="8" spans="1:32" x14ac:dyDescent="0.25">
      <c r="A8" s="10" t="s">
        <v>70</v>
      </c>
      <c r="B8" s="10" t="s">
        <v>71</v>
      </c>
      <c r="C8" s="13" cm="1">
        <f t="array" ref="C8">_xll.BDH("CMI US Equity","IS_COGS_TO_FE_AND_PP_AND_G","FQ1 2019","FQ1 2019","Currency=USD","Period=FQ","BEST_FPERIOD_OVERRIDE=FQ","FILING_STATUS=MR","SCALING_FORMAT=MLN","FA_ADJUSTED=Adjusted","Sort=A","Dates=H","DateFormat=P","Fill=—","Direction=H","UseDPDF=Y")</f>
        <v>4472</v>
      </c>
      <c r="D8" s="13" cm="1">
        <f t="array" ref="D8">_xll.BDH("CMI US Equity","IS_COGS_TO_FE_AND_PP_AND_G","FQ2 2019","FQ2 2019","Currency=USD","Period=FQ","BEST_FPERIOD_OVERRIDE=FQ","FILING_STATUS=MR","SCALING_FORMAT=MLN","FA_ADJUSTED=Adjusted","Sort=A","Dates=H","DateFormat=P","Fill=—","Direction=H","UseDPDF=Y")</f>
        <v>4580</v>
      </c>
      <c r="E8" s="13" cm="1">
        <f t="array" ref="E8">_xll.BDH("CMI US Equity","IS_COGS_TO_FE_AND_PP_AND_G","FQ3 2019","FQ3 2019","Currency=USD","Period=FQ","BEST_FPERIOD_OVERRIDE=FQ","FILING_STATUS=MR","SCALING_FORMAT=MLN","FA_ADJUSTED=Adjusted","Sort=A","Dates=H","DateFormat=P","Fill=—","Direction=H","UseDPDF=Y")</f>
        <v>4274</v>
      </c>
      <c r="F8" s="13" cm="1">
        <f t="array" ref="F8">_xll.BDH("CMI US Equity","IS_COGS_TO_FE_AND_PP_AND_G","FQ4 2019","FQ4 2019","Currency=USD","Period=FQ","BEST_FPERIOD_OVERRIDE=FQ","FILING_STATUS=MR","SCALING_FORMAT=MLN","FA_ADJUSTED=Adjusted","Sort=A","Dates=H","DateFormat=P","Fill=—","Direction=H","UseDPDF=Y")</f>
        <v>4265</v>
      </c>
      <c r="G8" s="13" cm="1">
        <f t="array" ref="G8">_xll.BDH("CMI US Equity","IS_COGS_TO_FE_AND_PP_AND_G","FQ1 2020","FQ1 2020","Currency=USD","Period=FQ","BEST_FPERIOD_OVERRIDE=FQ","FILING_STATUS=MR","SCALING_FORMAT=MLN","FA_ADJUSTED=Adjusted","Sort=A","Dates=H","DateFormat=P","Fill=—","Direction=H","UseDPDF=Y")</f>
        <v>3717</v>
      </c>
      <c r="H8" s="13" cm="1">
        <f t="array" ref="H8">_xll.BDH("CMI US Equity","IS_COGS_TO_FE_AND_PP_AND_G","FQ2 2020","FQ2 2020","Currency=USD","Period=FQ","BEST_FPERIOD_OVERRIDE=FQ","FILING_STATUS=MR","SCALING_FORMAT=MLN","FA_ADJUSTED=Adjusted","Sort=A","Dates=H","DateFormat=P","Fill=—","Direction=H","UseDPDF=Y")</f>
        <v>2962</v>
      </c>
      <c r="I8" s="13" cm="1">
        <f t="array" ref="I8">_xll.BDH("CMI US Equity","IS_COGS_TO_FE_AND_PP_AND_G","FQ3 2020","FQ3 2020","Currency=USD","Period=FQ","BEST_FPERIOD_OVERRIDE=FQ","FILING_STATUS=MR","SCALING_FORMAT=MLN","FA_ADJUSTED=Adjusted","Sort=A","Dates=H","DateFormat=P","Fill=—","Direction=H","UseDPDF=Y")</f>
        <v>3769</v>
      </c>
      <c r="J8" s="13" cm="1">
        <f t="array" ref="J8">_xll.BDH("CMI US Equity","IS_COGS_TO_FE_AND_PP_AND_G","FQ4 2020","FQ4 2020","Currency=USD","Period=FQ","BEST_FPERIOD_OVERRIDE=FQ","FILING_STATUS=MR","SCALING_FORMAT=MLN","FA_ADJUSTED=Adjusted","Sort=A","Dates=H","DateFormat=P","Fill=—","Direction=H","UseDPDF=Y")</f>
        <v>4469</v>
      </c>
      <c r="K8" s="13" cm="1">
        <f t="array" ref="K8">_xll.BDH("CMI US Equity","IS_COGS_TO_FE_AND_PP_AND_G","FQ1 2021","FQ1 2021","Currency=USD","Period=FQ","BEST_FPERIOD_OVERRIDE=FQ","FILING_STATUS=MR","SCALING_FORMAT=MLN","FA_ADJUSTED=Adjusted","Sort=A","Dates=H","DateFormat=P","Fill=—","Direction=H","UseDPDF=Y")</f>
        <v>4606</v>
      </c>
      <c r="L8" s="13" cm="1">
        <f t="array" ref="L8">_xll.BDH("CMI US Equity","IS_COGS_TO_FE_AND_PP_AND_G","FQ2 2021","FQ2 2021","Currency=USD","Period=FQ","BEST_FPERIOD_OVERRIDE=FQ","FILING_STATUS=MR","SCALING_FORMAT=MLN","FA_ADJUSTED=Adjusted","Sort=A","Dates=H","DateFormat=P","Fill=—","Direction=H","UseDPDF=Y")</f>
        <v>4633</v>
      </c>
      <c r="M8" s="13" cm="1">
        <f t="array" ref="M8">_xll.BDH("CMI US Equity","IS_COGS_TO_FE_AND_PP_AND_G","FQ3 2021","FQ3 2021","Currency=USD","Period=FQ","BEST_FPERIOD_OVERRIDE=FQ","FILING_STATUS=MR","SCALING_FORMAT=MLN","FA_ADJUSTED=Adjusted","Sort=A","Dates=H","DateFormat=P","Fill=—","Direction=H","UseDPDF=Y")</f>
        <v>4554</v>
      </c>
      <c r="N8" s="13" cm="1">
        <f t="array" ref="N8">_xll.BDH("CMI US Equity","IS_COGS_TO_FE_AND_PP_AND_G","FQ4 2021","FQ4 2021","Currency=USD","Period=FQ","BEST_FPERIOD_OVERRIDE=FQ","FILING_STATUS=MR","SCALING_FORMAT=MLN","FA_ADJUSTED=Adjusted","Sort=A","Dates=H","DateFormat=P","Fill=—","Direction=H","UseDPDF=Y")</f>
        <v>4533</v>
      </c>
      <c r="O8" s="13" cm="1">
        <f t="array" ref="O8">_xll.BDH("CMI US Equity","IS_COGS_TO_FE_AND_PP_AND_G","FQ1 2022","FQ1 2022","Currency=USD","Period=FQ","BEST_FPERIOD_OVERRIDE=FQ","FILING_STATUS=MR","SCALING_FORMAT=MLN","FA_ADJUSTED=Adjusted","Sort=A","Dates=H","DateFormat=P","Fill=—","Direction=H","UseDPDF=Y")</f>
        <v>4853</v>
      </c>
      <c r="P8" s="13" cm="1">
        <f t="array" ref="P8">_xll.BDH("CMI US Equity","IS_COGS_TO_FE_AND_PP_AND_G","FQ2 2022","FQ2 2022","Currency=USD","Period=FQ","BEST_FPERIOD_OVERRIDE=FQ","FILING_STATUS=MR","SCALING_FORMAT=MLN","FA_ADJUSTED=Adjusted","Sort=A","Dates=H","DateFormat=P","Fill=—","Direction=H","UseDPDF=Y")</f>
        <v>4860</v>
      </c>
      <c r="Q8" s="13" cm="1">
        <f t="array" ref="Q8">_xll.BDH("CMI US Equity","IS_COGS_TO_FE_AND_PP_AND_G","FQ3 2022","FQ3 2022","Currency=USD","Period=FQ","BEST_FPERIOD_OVERRIDE=FQ","FILING_STATUS=MR","SCALING_FORMAT=MLN","FA_ADJUSTED=Adjusted","Sort=A","Dates=H","DateFormat=P","Fill=—","Direction=H","UseDPDF=Y")</f>
        <v>5691</v>
      </c>
      <c r="R8" s="13" cm="1">
        <f t="array" ref="R8">_xll.BDH("CMI US Equity","IS_COGS_TO_FE_AND_PP_AND_G","FQ4 2022","FQ4 2022","Currency=USD","Period=FQ","BEST_FPERIOD_OVERRIDE=FQ","FILING_STATUS=MR","SCALING_FORMAT=MLN","FA_ADJUSTED=Adjusted","Sort=A","Dates=H","DateFormat=P","Fill=—","Direction=H","UseDPDF=Y")</f>
        <v>5951</v>
      </c>
      <c r="S8" s="13" cm="1">
        <f t="array" ref="S8">_xll.BDH("CMI US Equity","IS_COGS_TO_FE_AND_PP_AND_G","FQ1 2023","FQ1 2023","Currency=USD","Period=FQ","BEST_FPERIOD_OVERRIDE=FQ","FILING_STATUS=MR","SCALING_FORMAT=MLN","FA_ADJUSTED=Adjusted","Sort=A","Dates=H","DateFormat=P","Fill=—","Direction=H","UseDPDF=Y")</f>
        <v>6424</v>
      </c>
      <c r="T8" s="13" cm="1">
        <f t="array" ref="T8">_xll.BDH("CMI US Equity","IS_COGS_TO_FE_AND_PP_AND_G","FQ2 2023","FQ2 2023","Currency=USD","Period=FQ","BEST_FPERIOD_OVERRIDE=FQ","FILING_STATUS=MR","SCALING_FORMAT=MLN","FA_ADJUSTED=Adjusted","Sort=A","Dates=H","DateFormat=P","Fill=—","Direction=H","UseDPDF=Y")</f>
        <v>6490</v>
      </c>
      <c r="U8" s="13" cm="1">
        <f t="array" ref="U8">_xll.BDH("CMI US Equity","IS_COGS_TO_FE_AND_PP_AND_G","FQ3 2023","FQ3 2023","Currency=USD","Period=FQ","BEST_FPERIOD_OVERRIDE=FQ","FILING_STATUS=MR","SCALING_FORMAT=MLN","FA_ADJUSTED=Adjusted","Sort=A","Dates=H","DateFormat=P","Fill=—","Direction=H","UseDPDF=Y")</f>
        <v>6360</v>
      </c>
      <c r="V8" s="13" cm="1">
        <f t="array" ref="V8">_xll.BDH("CMI US Equity","IS_COGS_TO_FE_AND_PP_AND_G","FQ4 2023","FQ4 2023","Currency=USD","Period=FQ","BEST_FPERIOD_OVERRIDE=FQ","FILING_STATUS=MR","SCALING_FORMAT=MLN","FA_ADJUSTED=Adjusted","Sort=A","Dates=H","DateFormat=P","Fill=—","Direction=H","UseDPDF=Y")</f>
        <v>6542</v>
      </c>
      <c r="W8" s="13" cm="1">
        <f t="array" ref="W8">_xll.BDH("CMI US Equity","IS_COGS_TO_FE_AND_PP_AND_G","FQ1 2024","FQ1 2024","Currency=USD","Period=FQ","BEST_FPERIOD_OVERRIDE=FQ","FILING_STATUS=MR","SCALING_FORMAT=MLN","FA_ADJUSTED=Adjusted","Sort=A","Dates=H","DateFormat=P","Fill=—","Direction=H","UseDPDF=Y")</f>
        <v>6362</v>
      </c>
      <c r="X8" s="13" cm="1">
        <f t="array" ref="X8">_xll.BDH("CMI US Equity","IS_COGS_TO_FE_AND_PP_AND_G","FQ2 2024","FQ2 2024","Currency=USD","Period=FQ","BEST_FPERIOD_OVERRIDE=FQ","FILING_STATUS=MR","SCALING_FORMAT=MLN","FA_ADJUSTED=Adjusted","Sort=A","Dates=H","DateFormat=P","Fill=—","Direction=H","UseDPDF=Y")</f>
        <v>6603</v>
      </c>
      <c r="Y8" s="13" cm="1">
        <f t="array" ref="Y8">_xll.BDH("CMI US Equity","IS_COGS_TO_FE_AND_PP_AND_G","FQ3 2024","FQ3 2024","Currency=USD","Period=FQ","BEST_FPERIOD_OVERRIDE=FQ","FILING_STATUS=MR","SCALING_FORMAT=MLN","FA_ADJUSTED=Adjusted","Sort=A","Dates=H","DateFormat=P","Fill=—","Direction=H","UseDPDF=Y")</f>
        <v>6285</v>
      </c>
      <c r="Z8" s="13" cm="1">
        <f t="array" ref="Z8">_xll.BDH("CMI US Equity","IS_COGS_TO_FE_AND_PP_AND_G","FQ4 2024","FQ4 2024","Currency=USD","Period=FQ","BEST_FPERIOD_OVERRIDE=FQ","FILING_STATUS=MR","SCALING_FORMAT=MLN","FA_ADJUSTED=Adjusted","Sort=A","Dates=H","DateFormat=P","Fill=—","Direction=H","UseDPDF=Y")</f>
        <v>6413</v>
      </c>
      <c r="AA8" s="13" cm="1">
        <f t="array" ref="AA8">_xll.BDH("CMI US Equity","IS_COGS_TO_FE_AND_PP_AND_G","FQ1 2025","FQ1 2025","Currency=USD","Period=FQ","BEST_FPERIOD_OVERRIDE=FQ","FILING_STATUS=MR","SCALING_FORMAT=MLN","FA_ADJUSTED=Adjusted","Sort=A","Dates=H","DateFormat=P","Fill=—","Direction=H","UseDPDF=Y")</f>
        <v>6019</v>
      </c>
      <c r="AB8" s="13" cm="1">
        <f t="array" ref="AB8">_xll.BDH("CMI US Equity","IS_COGS_TO_FE_AND_PP_AND_G","FQ2 2025","FQ2 2025","Currency=USD","Period=FQ","BEST_FPERIOD_OVERRIDE=FQ","FILING_STATUS=MR","SCALING_FORMAT=MLN","FA_ADJUSTED=Adjusted","Sort=A","Dates=H","DateFormat=P","Fill=—","Direction=H","UseDPDF=Y")</f>
        <v>6362</v>
      </c>
      <c r="AC8" s="13" cm="1">
        <f t="array" ref="AC8">_xll.BDH("CMI US Equity","IS_COGS_TO_FE_AND_PP_AND_G","FQ3 2025","FQ3 2025","Currency=USD","Period=FQ","BEST_FPERIOD_OVERRIDE=FQ","FILING_STATUS=MR","SCALING_FORMAT=MLN","FA_ADJUSTED=Adjusted","Sort=A","Dates=H","DateFormat=P","Fill=—","Direction=H","UseDPDF=Y")</f>
        <v>6188</v>
      </c>
      <c r="AD8" s="13" cm="1">
        <f t="array" ref="AD8">_xll.BDH("CMI US Equity","IS_COGS_TO_FE_AND_PP_AND_G","FQ4 2025","FQ4 2025","Currency=USD","Period=FQ","BEST_FPERIOD_OVERRIDE=FQ","FILING_STATUS=MR","SCALING_FORMAT=MLN","FA_ADJUSTED=Adjusted","Sort=A","Dates=H","DateFormat=P","Fill=—","Direction=H","UseDPDF=Y")</f>
        <v>6585</v>
      </c>
      <c r="AE8" s="13"/>
      <c r="AF8" s="13"/>
    </row>
    <row r="9" spans="1:32" x14ac:dyDescent="0.25">
      <c r="A9" s="10" t="s">
        <v>72</v>
      </c>
      <c r="B9" s="10" t="s">
        <v>73</v>
      </c>
      <c r="C9" s="13" cm="1">
        <f t="array" ref="C9">_xll.BDH("CMI US Equity","IS_COG_AND_SERVICES_SOLD","FQ1 2019","FQ1 2019","Currency=USD","Period=FQ","BEST_FPERIOD_OVERRIDE=FQ","FILING_STATUS=MR","SCALING_FORMAT=MLN","FA_ADJUSTED=Adjusted","Sort=A","Dates=H","DateFormat=P","Fill=—","Direction=H","UseDPDF=Y")</f>
        <v>4472</v>
      </c>
      <c r="D9" s="13" cm="1">
        <f t="array" ref="D9">_xll.BDH("CMI US Equity","IS_COG_AND_SERVICES_SOLD","FQ2 2019","FQ2 2019","Currency=USD","Period=FQ","BEST_FPERIOD_OVERRIDE=FQ","FILING_STATUS=MR","SCALING_FORMAT=MLN","FA_ADJUSTED=Adjusted","Sort=A","Dates=H","DateFormat=P","Fill=—","Direction=H","UseDPDF=Y")</f>
        <v>4580</v>
      </c>
      <c r="E9" s="13" cm="1">
        <f t="array" ref="E9">_xll.BDH("CMI US Equity","IS_COG_AND_SERVICES_SOLD","FQ3 2019","FQ3 2019","Currency=USD","Period=FQ","BEST_FPERIOD_OVERRIDE=FQ","FILING_STATUS=MR","SCALING_FORMAT=MLN","FA_ADJUSTED=Adjusted","Sort=A","Dates=H","DateFormat=P","Fill=—","Direction=H","UseDPDF=Y")</f>
        <v>4274</v>
      </c>
      <c r="F9" s="13" cm="1">
        <f t="array" ref="F9">_xll.BDH("CMI US Equity","IS_COG_AND_SERVICES_SOLD","FQ4 2019","FQ4 2019","Currency=USD","Period=FQ","BEST_FPERIOD_OVERRIDE=FQ","FILING_STATUS=MR","SCALING_FORMAT=MLN","FA_ADJUSTED=Adjusted","Sort=A","Dates=H","DateFormat=P","Fill=—","Direction=H","UseDPDF=Y")</f>
        <v>4265</v>
      </c>
      <c r="G9" s="13" cm="1">
        <f t="array" ref="G9">_xll.BDH("CMI US Equity","IS_COG_AND_SERVICES_SOLD","FQ1 2020","FQ1 2020","Currency=USD","Period=FQ","BEST_FPERIOD_OVERRIDE=FQ","FILING_STATUS=MR","SCALING_FORMAT=MLN","FA_ADJUSTED=Adjusted","Sort=A","Dates=H","DateFormat=P","Fill=—","Direction=H","UseDPDF=Y")</f>
        <v>3717</v>
      </c>
      <c r="H9" s="13" cm="1">
        <f t="array" ref="H9">_xll.BDH("CMI US Equity","IS_COG_AND_SERVICES_SOLD","FQ2 2020","FQ2 2020","Currency=USD","Period=FQ","BEST_FPERIOD_OVERRIDE=FQ","FILING_STATUS=MR","SCALING_FORMAT=MLN","FA_ADJUSTED=Adjusted","Sort=A","Dates=H","DateFormat=P","Fill=—","Direction=H","UseDPDF=Y")</f>
        <v>2962</v>
      </c>
      <c r="I9" s="13" cm="1">
        <f t="array" ref="I9">_xll.BDH("CMI US Equity","IS_COG_AND_SERVICES_SOLD","FQ3 2020","FQ3 2020","Currency=USD","Period=FQ","BEST_FPERIOD_OVERRIDE=FQ","FILING_STATUS=MR","SCALING_FORMAT=MLN","FA_ADJUSTED=Adjusted","Sort=A","Dates=H","DateFormat=P","Fill=—","Direction=H","UseDPDF=Y")</f>
        <v>3769</v>
      </c>
      <c r="J9" s="13" cm="1">
        <f t="array" ref="J9">_xll.BDH("CMI US Equity","IS_COG_AND_SERVICES_SOLD","FQ4 2020","FQ4 2020","Currency=USD","Period=FQ","BEST_FPERIOD_OVERRIDE=FQ","FILING_STATUS=MR","SCALING_FORMAT=MLN","FA_ADJUSTED=Adjusted","Sort=A","Dates=H","DateFormat=P","Fill=—","Direction=H","UseDPDF=Y")</f>
        <v>4469</v>
      </c>
      <c r="K9" s="13" cm="1">
        <f t="array" ref="K9">_xll.BDH("CMI US Equity","IS_COG_AND_SERVICES_SOLD","FQ1 2021","FQ1 2021","Currency=USD","Period=FQ","BEST_FPERIOD_OVERRIDE=FQ","FILING_STATUS=MR","SCALING_FORMAT=MLN","FA_ADJUSTED=Adjusted","Sort=A","Dates=H","DateFormat=P","Fill=—","Direction=H","UseDPDF=Y")</f>
        <v>4606</v>
      </c>
      <c r="L9" s="13" cm="1">
        <f t="array" ref="L9">_xll.BDH("CMI US Equity","IS_COG_AND_SERVICES_SOLD","FQ2 2021","FQ2 2021","Currency=USD","Period=FQ","BEST_FPERIOD_OVERRIDE=FQ","FILING_STATUS=MR","SCALING_FORMAT=MLN","FA_ADJUSTED=Adjusted","Sort=A","Dates=H","DateFormat=P","Fill=—","Direction=H","UseDPDF=Y")</f>
        <v>4633</v>
      </c>
      <c r="M9" s="13" cm="1">
        <f t="array" ref="M9">_xll.BDH("CMI US Equity","IS_COG_AND_SERVICES_SOLD","FQ3 2021","FQ3 2021","Currency=USD","Period=FQ","BEST_FPERIOD_OVERRIDE=FQ","FILING_STATUS=MR","SCALING_FORMAT=MLN","FA_ADJUSTED=Adjusted","Sort=A","Dates=H","DateFormat=P","Fill=—","Direction=H","UseDPDF=Y")</f>
        <v>4554</v>
      </c>
      <c r="N9" s="13" cm="1">
        <f t="array" ref="N9">_xll.BDH("CMI US Equity","IS_COG_AND_SERVICES_SOLD","FQ4 2021","FQ4 2021","Currency=USD","Period=FQ","BEST_FPERIOD_OVERRIDE=FQ","FILING_STATUS=MR","SCALING_FORMAT=MLN","FA_ADJUSTED=Adjusted","Sort=A","Dates=H","DateFormat=P","Fill=—","Direction=H","UseDPDF=Y")</f>
        <v>4533</v>
      </c>
      <c r="O9" s="13" cm="1">
        <f t="array" ref="O9">_xll.BDH("CMI US Equity","IS_COG_AND_SERVICES_SOLD","FQ1 2022","FQ1 2022","Currency=USD","Period=FQ","BEST_FPERIOD_OVERRIDE=FQ","FILING_STATUS=MR","SCALING_FORMAT=MLN","FA_ADJUSTED=Adjusted","Sort=A","Dates=H","DateFormat=P","Fill=—","Direction=H","UseDPDF=Y")</f>
        <v>4853</v>
      </c>
      <c r="P9" s="13" cm="1">
        <f t="array" ref="P9">_xll.BDH("CMI US Equity","IS_COG_AND_SERVICES_SOLD","FQ2 2022","FQ2 2022","Currency=USD","Period=FQ","BEST_FPERIOD_OVERRIDE=FQ","FILING_STATUS=MR","SCALING_FORMAT=MLN","FA_ADJUSTED=Adjusted","Sort=A","Dates=H","DateFormat=P","Fill=—","Direction=H","UseDPDF=Y")</f>
        <v>4860</v>
      </c>
      <c r="Q9" s="13" cm="1">
        <f t="array" ref="Q9">_xll.BDH("CMI US Equity","IS_COG_AND_SERVICES_SOLD","FQ3 2022","FQ3 2022","Currency=USD","Period=FQ","BEST_FPERIOD_OVERRIDE=FQ","FILING_STATUS=MR","SCALING_FORMAT=MLN","FA_ADJUSTED=Adjusted","Sort=A","Dates=H","DateFormat=P","Fill=—","Direction=H","UseDPDF=Y")</f>
        <v>5691</v>
      </c>
      <c r="R9" s="13" cm="1">
        <f t="array" ref="R9">_xll.BDH("CMI US Equity","IS_COG_AND_SERVICES_SOLD","FQ4 2022","FQ4 2022","Currency=USD","Period=FQ","BEST_FPERIOD_OVERRIDE=FQ","FILING_STATUS=MR","SCALING_FORMAT=MLN","FA_ADJUSTED=Adjusted","Sort=A","Dates=H","DateFormat=P","Fill=—","Direction=H","UseDPDF=Y")</f>
        <v>5951</v>
      </c>
      <c r="S9" s="13" cm="1">
        <f t="array" ref="S9">_xll.BDH("CMI US Equity","IS_COG_AND_SERVICES_SOLD","FQ1 2023","FQ1 2023","Currency=USD","Period=FQ","BEST_FPERIOD_OVERRIDE=FQ","FILING_STATUS=MR","SCALING_FORMAT=MLN","FA_ADJUSTED=Adjusted","Sort=A","Dates=H","DateFormat=P","Fill=—","Direction=H","UseDPDF=Y")</f>
        <v>6424</v>
      </c>
      <c r="T9" s="13" cm="1">
        <f t="array" ref="T9">_xll.BDH("CMI US Equity","IS_COG_AND_SERVICES_SOLD","FQ2 2023","FQ2 2023","Currency=USD","Period=FQ","BEST_FPERIOD_OVERRIDE=FQ","FILING_STATUS=MR","SCALING_FORMAT=MLN","FA_ADJUSTED=Adjusted","Sort=A","Dates=H","DateFormat=P","Fill=—","Direction=H","UseDPDF=Y")</f>
        <v>6490</v>
      </c>
      <c r="U9" s="13" cm="1">
        <f t="array" ref="U9">_xll.BDH("CMI US Equity","IS_COG_AND_SERVICES_SOLD","FQ3 2023","FQ3 2023","Currency=USD","Period=FQ","BEST_FPERIOD_OVERRIDE=FQ","FILING_STATUS=MR","SCALING_FORMAT=MLN","FA_ADJUSTED=Adjusted","Sort=A","Dates=H","DateFormat=P","Fill=—","Direction=H","UseDPDF=Y")</f>
        <v>6360</v>
      </c>
      <c r="V9" s="13" cm="1">
        <f t="array" ref="V9">_xll.BDH("CMI US Equity","IS_COG_AND_SERVICES_SOLD","FQ4 2023","FQ4 2023","Currency=USD","Period=FQ","BEST_FPERIOD_OVERRIDE=FQ","FILING_STATUS=MR","SCALING_FORMAT=MLN","FA_ADJUSTED=Adjusted","Sort=A","Dates=H","DateFormat=P","Fill=—","Direction=H","UseDPDF=Y")</f>
        <v>6542</v>
      </c>
      <c r="W9" s="13" cm="1">
        <f t="array" ref="W9">_xll.BDH("CMI US Equity","IS_COG_AND_SERVICES_SOLD","FQ1 2024","FQ1 2024","Currency=USD","Period=FQ","BEST_FPERIOD_OVERRIDE=FQ","FILING_STATUS=MR","SCALING_FORMAT=MLN","FA_ADJUSTED=Adjusted","Sort=A","Dates=H","DateFormat=P","Fill=—","Direction=H","UseDPDF=Y")</f>
        <v>6362</v>
      </c>
      <c r="X9" s="13" cm="1">
        <f t="array" ref="X9">_xll.BDH("CMI US Equity","IS_COG_AND_SERVICES_SOLD","FQ2 2024","FQ2 2024","Currency=USD","Period=FQ","BEST_FPERIOD_OVERRIDE=FQ","FILING_STATUS=MR","SCALING_FORMAT=MLN","FA_ADJUSTED=Adjusted","Sort=A","Dates=H","DateFormat=P","Fill=—","Direction=H","UseDPDF=Y")</f>
        <v>6603</v>
      </c>
      <c r="Y9" s="13" cm="1">
        <f t="array" ref="Y9">_xll.BDH("CMI US Equity","IS_COG_AND_SERVICES_SOLD","FQ3 2024","FQ3 2024","Currency=USD","Period=FQ","BEST_FPERIOD_OVERRIDE=FQ","FILING_STATUS=MR","SCALING_FORMAT=MLN","FA_ADJUSTED=Adjusted","Sort=A","Dates=H","DateFormat=P","Fill=—","Direction=H","UseDPDF=Y")</f>
        <v>6285</v>
      </c>
      <c r="Z9" s="13" cm="1">
        <f t="array" ref="Z9">_xll.BDH("CMI US Equity","IS_COG_AND_SERVICES_SOLD","FQ4 2024","FQ4 2024","Currency=USD","Period=FQ","BEST_FPERIOD_OVERRIDE=FQ","FILING_STATUS=MR","SCALING_FORMAT=MLN","FA_ADJUSTED=Adjusted","Sort=A","Dates=H","DateFormat=P","Fill=—","Direction=H","UseDPDF=Y")</f>
        <v>6413</v>
      </c>
      <c r="AA9" s="13" cm="1">
        <f t="array" ref="AA9">_xll.BDH("CMI US Equity","IS_COG_AND_SERVICES_SOLD","FQ1 2025","FQ1 2025","Currency=USD","Period=FQ","BEST_FPERIOD_OVERRIDE=FQ","FILING_STATUS=MR","SCALING_FORMAT=MLN","FA_ADJUSTED=Adjusted","Sort=A","Dates=H","DateFormat=P","Fill=—","Direction=H","UseDPDF=Y")</f>
        <v>6019</v>
      </c>
      <c r="AB9" s="13" cm="1">
        <f t="array" ref="AB9">_xll.BDH("CMI US Equity","IS_COG_AND_SERVICES_SOLD","FQ2 2025","FQ2 2025","Currency=USD","Period=FQ","BEST_FPERIOD_OVERRIDE=FQ","FILING_STATUS=MR","SCALING_FORMAT=MLN","FA_ADJUSTED=Adjusted","Sort=A","Dates=H","DateFormat=P","Fill=—","Direction=H","UseDPDF=Y")</f>
        <v>6362</v>
      </c>
      <c r="AC9" s="13" cm="1">
        <f t="array" ref="AC9">_xll.BDH("CMI US Equity","IS_COG_AND_SERVICES_SOLD","FQ3 2025","FQ3 2025","Currency=USD","Period=FQ","BEST_FPERIOD_OVERRIDE=FQ","FILING_STATUS=MR","SCALING_FORMAT=MLN","FA_ADJUSTED=Adjusted","Sort=A","Dates=H","DateFormat=P","Fill=—","Direction=H","UseDPDF=Y")</f>
        <v>6188</v>
      </c>
      <c r="AD9" s="13" cm="1">
        <f t="array" ref="AD9">_xll.BDH("CMI US Equity","IS_COG_AND_SERVICES_SOLD","FQ4 2025","FQ4 2025","Currency=USD","Period=FQ","BEST_FPERIOD_OVERRIDE=FQ","FILING_STATUS=MR","SCALING_FORMAT=MLN","FA_ADJUSTED=Adjusted","Sort=A","Dates=H","DateFormat=P","Fill=—","Direction=H","UseDPDF=Y")</f>
        <v>6585</v>
      </c>
      <c r="AE9" s="13"/>
      <c r="AF9" s="13"/>
    </row>
    <row r="10" spans="1:32" x14ac:dyDescent="0.25">
      <c r="A10" s="6" t="s">
        <v>1</v>
      </c>
      <c r="B10" s="6" t="s">
        <v>74</v>
      </c>
      <c r="C10" s="16" cm="1">
        <f t="array" ref="C10">_xll.BDH("CMI US Equity","GROSS_PROFIT","FQ1 2019","FQ1 2019","Currency=USD","Period=FQ","BEST_FPERIOD_OVERRIDE=FQ","FILING_STATUS=MR","SCALING_FORMAT=MLN","FA_ADJUSTED=Adjusted","Sort=A","Dates=H","DateFormat=P","Fill=—","Direction=H","UseDPDF=Y")</f>
        <v>1532</v>
      </c>
      <c r="D10" s="16" cm="1">
        <f t="array" ref="D10">_xll.BDH("CMI US Equity","GROSS_PROFIT","FQ2 2019","FQ2 2019","Currency=USD","Period=FQ","BEST_FPERIOD_OVERRIDE=FQ","FILING_STATUS=MR","SCALING_FORMAT=MLN","FA_ADJUSTED=Adjusted","Sort=A","Dates=H","DateFormat=P","Fill=—","Direction=H","UseDPDF=Y")</f>
        <v>1641</v>
      </c>
      <c r="E10" s="16" cm="1">
        <f t="array" ref="E10">_xll.BDH("CMI US Equity","GROSS_PROFIT","FQ3 2019","FQ3 2019","Currency=USD","Period=FQ","BEST_FPERIOD_OVERRIDE=FQ","FILING_STATUS=MR","SCALING_FORMAT=MLN","FA_ADJUSTED=Adjusted","Sort=A","Dates=H","DateFormat=P","Fill=—","Direction=H","UseDPDF=Y")</f>
        <v>1494</v>
      </c>
      <c r="F10" s="16" cm="1">
        <f t="array" ref="F10">_xll.BDH("CMI US Equity","GROSS_PROFIT","FQ4 2019","FQ4 2019","Currency=USD","Period=FQ","BEST_FPERIOD_OVERRIDE=FQ","FILING_STATUS=MR","SCALING_FORMAT=MLN","FA_ADJUSTED=Adjusted","Sort=A","Dates=H","DateFormat=P","Fill=—","Direction=H","UseDPDF=Y")</f>
        <v>1313</v>
      </c>
      <c r="G10" s="16" cm="1">
        <f t="array" ref="G10">_xll.BDH("CMI US Equity","GROSS_PROFIT","FQ1 2020","FQ1 2020","Currency=USD","Period=FQ","BEST_FPERIOD_OVERRIDE=FQ","FILING_STATUS=MR","SCALING_FORMAT=MLN","FA_ADJUSTED=Adjusted","Sort=A","Dates=H","DateFormat=P","Fill=—","Direction=H","UseDPDF=Y")</f>
        <v>1294</v>
      </c>
      <c r="H10" s="16" cm="1">
        <f t="array" ref="H10">_xll.BDH("CMI US Equity","GROSS_PROFIT","FQ2 2020","FQ2 2020","Currency=USD","Period=FQ","BEST_FPERIOD_OVERRIDE=FQ","FILING_STATUS=MR","SCALING_FORMAT=MLN","FA_ADJUSTED=Adjusted","Sort=A","Dates=H","DateFormat=P","Fill=—","Direction=H","UseDPDF=Y")</f>
        <v>890</v>
      </c>
      <c r="I10" s="16" cm="1">
        <f t="array" ref="I10">_xll.BDH("CMI US Equity","GROSS_PROFIT","FQ3 2020","FQ3 2020","Currency=USD","Period=FQ","BEST_FPERIOD_OVERRIDE=FQ","FILING_STATUS=MR","SCALING_FORMAT=MLN","FA_ADJUSTED=Adjusted","Sort=A","Dates=H","DateFormat=P","Fill=—","Direction=H","UseDPDF=Y")</f>
        <v>1349</v>
      </c>
      <c r="J10" s="16" cm="1">
        <f t="array" ref="J10">_xll.BDH("CMI US Equity","GROSS_PROFIT","FQ4 2020","FQ4 2020","Currency=USD","Period=FQ","BEST_FPERIOD_OVERRIDE=FQ","FILING_STATUS=MR","SCALING_FORMAT=MLN","FA_ADJUSTED=Adjusted","Sort=A","Dates=H","DateFormat=P","Fill=—","Direction=H","UseDPDF=Y")</f>
        <v>1361</v>
      </c>
      <c r="K10" s="16" cm="1">
        <f t="array" ref="K10">_xll.BDH("CMI US Equity","GROSS_PROFIT","FQ1 2021","FQ1 2021","Currency=USD","Period=FQ","BEST_FPERIOD_OVERRIDE=FQ","FILING_STATUS=MR","SCALING_FORMAT=MLN","FA_ADJUSTED=Adjusted","Sort=A","Dates=H","DateFormat=P","Fill=—","Direction=H","UseDPDF=Y")</f>
        <v>1486</v>
      </c>
      <c r="L10" s="16" cm="1">
        <f t="array" ref="L10">_xll.BDH("CMI US Equity","GROSS_PROFIT","FQ2 2021","FQ2 2021","Currency=USD","Period=FQ","BEST_FPERIOD_OVERRIDE=FQ","FILING_STATUS=MR","SCALING_FORMAT=MLN","FA_ADJUSTED=Adjusted","Sort=A","Dates=H","DateFormat=P","Fill=—","Direction=H","UseDPDF=Y")</f>
        <v>1478</v>
      </c>
      <c r="M10" s="16" cm="1">
        <f t="array" ref="M10">_xll.BDH("CMI US Equity","GROSS_PROFIT","FQ3 2021","FQ3 2021","Currency=USD","Period=FQ","BEST_FPERIOD_OVERRIDE=FQ","FILING_STATUS=MR","SCALING_FORMAT=MLN","FA_ADJUSTED=Adjusted","Sort=A","Dates=H","DateFormat=P","Fill=—","Direction=H","UseDPDF=Y")</f>
        <v>1414</v>
      </c>
      <c r="N10" s="16" cm="1">
        <f t="array" ref="N10">_xll.BDH("CMI US Equity","GROSS_PROFIT","FQ4 2021","FQ4 2021","Currency=USD","Period=FQ","BEST_FPERIOD_OVERRIDE=FQ","FILING_STATUS=MR","SCALING_FORMAT=MLN","FA_ADJUSTED=Adjusted","Sort=A","Dates=H","DateFormat=P","Fill=—","Direction=H","UseDPDF=Y")</f>
        <v>1317</v>
      </c>
      <c r="O10" s="16" cm="1">
        <f t="array" ref="O10">_xll.BDH("CMI US Equity","GROSS_PROFIT","FQ1 2022","FQ1 2022","Currency=USD","Period=FQ","BEST_FPERIOD_OVERRIDE=FQ","FILING_STATUS=MR","SCALING_FORMAT=MLN","FA_ADJUSTED=Adjusted","Sort=A","Dates=H","DateFormat=P","Fill=—","Direction=H","UseDPDF=Y")</f>
        <v>1532</v>
      </c>
      <c r="P10" s="16" cm="1">
        <f t="array" ref="P10">_xll.BDH("CMI US Equity","GROSS_PROFIT","FQ2 2022","FQ2 2022","Currency=USD","Period=FQ","BEST_FPERIOD_OVERRIDE=FQ","FILING_STATUS=MR","SCALING_FORMAT=MLN","FA_ADJUSTED=Adjusted","Sort=A","Dates=H","DateFormat=P","Fill=—","Direction=H","UseDPDF=Y")</f>
        <v>1726</v>
      </c>
      <c r="Q10" s="16" cm="1">
        <f t="array" ref="Q10">_xll.BDH("CMI US Equity","GROSS_PROFIT","FQ3 2022","FQ3 2022","Currency=USD","Period=FQ","BEST_FPERIOD_OVERRIDE=FQ","FILING_STATUS=MR","SCALING_FORMAT=MLN","FA_ADJUSTED=Adjusted","Sort=A","Dates=H","DateFormat=P","Fill=—","Direction=H","UseDPDF=Y")</f>
        <v>1642</v>
      </c>
      <c r="R10" s="16" cm="1">
        <f t="array" ref="R10">_xll.BDH("CMI US Equity","GROSS_PROFIT","FQ4 2022","FQ4 2022","Currency=USD","Period=FQ","BEST_FPERIOD_OVERRIDE=FQ","FILING_STATUS=MR","SCALING_FORMAT=MLN","FA_ADJUSTED=Adjusted","Sort=A","Dates=H","DateFormat=P","Fill=—","Direction=H","UseDPDF=Y")</f>
        <v>1819</v>
      </c>
      <c r="S10" s="16" cm="1">
        <f t="array" ref="S10">_xll.BDH("CMI US Equity","GROSS_PROFIT","FQ1 2023","FQ1 2023","Currency=USD","Period=FQ","BEST_FPERIOD_OVERRIDE=FQ","FILING_STATUS=MR","SCALING_FORMAT=MLN","FA_ADJUSTED=Adjusted","Sort=A","Dates=H","DateFormat=P","Fill=—","Direction=H","UseDPDF=Y")</f>
        <v>2029</v>
      </c>
      <c r="T10" s="16" cm="1">
        <f t="array" ref="T10">_xll.BDH("CMI US Equity","GROSS_PROFIT","FQ2 2023","FQ2 2023","Currency=USD","Period=FQ","BEST_FPERIOD_OVERRIDE=FQ","FILING_STATUS=MR","SCALING_FORMAT=MLN","FA_ADJUSTED=Adjusted","Sort=A","Dates=H","DateFormat=P","Fill=—","Direction=H","UseDPDF=Y")</f>
        <v>2148</v>
      </c>
      <c r="U10" s="16" cm="1">
        <f t="array" ref="U10">_xll.BDH("CMI US Equity","GROSS_PROFIT","FQ3 2023","FQ3 2023","Currency=USD","Period=FQ","BEST_FPERIOD_OVERRIDE=FQ","FILING_STATUS=MR","SCALING_FORMAT=MLN","FA_ADJUSTED=Adjusted","Sort=A","Dates=H","DateFormat=P","Fill=—","Direction=H","UseDPDF=Y")</f>
        <v>2071</v>
      </c>
      <c r="V10" s="16" cm="1">
        <f t="array" ref="V10">_xll.BDH("CMI US Equity","GROSS_PROFIT","FQ4 2023","FQ4 2023","Currency=USD","Period=FQ","BEST_FPERIOD_OVERRIDE=FQ","FILING_STATUS=MR","SCALING_FORMAT=MLN","FA_ADJUSTED=Adjusted","Sort=A","Dates=H","DateFormat=P","Fill=—","Direction=H","UseDPDF=Y")</f>
        <v>2001</v>
      </c>
      <c r="W10" s="16" cm="1">
        <f t="array" ref="W10">_xll.BDH("CMI US Equity","GROSS_PROFIT","FQ1 2024","FQ1 2024","Currency=USD","Period=FQ","BEST_FPERIOD_OVERRIDE=FQ","FILING_STATUS=MR","SCALING_FORMAT=MLN","FA_ADJUSTED=Adjusted","Sort=A","Dates=H","DateFormat=P","Fill=—","Direction=H","UseDPDF=Y")</f>
        <v>2041</v>
      </c>
      <c r="X10" s="16" cm="1">
        <f t="array" ref="X10">_xll.BDH("CMI US Equity","GROSS_PROFIT","FQ2 2024","FQ2 2024","Currency=USD","Period=FQ","BEST_FPERIOD_OVERRIDE=FQ","FILING_STATUS=MR","SCALING_FORMAT=MLN","FA_ADJUSTED=Adjusted","Sort=A","Dates=H","DateFormat=P","Fill=—","Direction=H","UseDPDF=Y")</f>
        <v>2193</v>
      </c>
      <c r="Y10" s="16" cm="1">
        <f t="array" ref="Y10">_xll.BDH("CMI US Equity","GROSS_PROFIT","FQ3 2024","FQ3 2024","Currency=USD","Period=FQ","BEST_FPERIOD_OVERRIDE=FQ","FILING_STATUS=MR","SCALING_FORMAT=MLN","FA_ADJUSTED=Adjusted","Sort=A","Dates=H","DateFormat=P","Fill=—","Direction=H","UseDPDF=Y")</f>
        <v>2171</v>
      </c>
      <c r="Z10" s="16" cm="1">
        <f t="array" ref="Z10">_xll.BDH("CMI US Equity","GROSS_PROFIT","FQ4 2024","FQ4 2024","Currency=USD","Period=FQ","BEST_FPERIOD_OVERRIDE=FQ","FILING_STATUS=MR","SCALING_FORMAT=MLN","FA_ADJUSTED=Adjusted","Sort=A","Dates=H","DateFormat=P","Fill=—","Direction=H","UseDPDF=Y")</f>
        <v>2034</v>
      </c>
      <c r="AA10" s="16" cm="1">
        <f t="array" ref="AA10">_xll.BDH("CMI US Equity","GROSS_PROFIT","FQ1 2025","FQ1 2025","Currency=USD","Period=FQ","BEST_FPERIOD_OVERRIDE=FQ","FILING_STATUS=MR","SCALING_FORMAT=MLN","FA_ADJUSTED=Adjusted","Sort=A","Dates=H","DateFormat=P","Fill=—","Direction=H","UseDPDF=Y")</f>
        <v>2155</v>
      </c>
      <c r="AB10" s="16" cm="1">
        <f t="array" ref="AB10">_xll.BDH("CMI US Equity","GROSS_PROFIT","FQ2 2025","FQ2 2025","Currency=USD","Period=FQ","BEST_FPERIOD_OVERRIDE=FQ","FILING_STATUS=MR","SCALING_FORMAT=MLN","FA_ADJUSTED=Adjusted","Sort=A","Dates=H","DateFormat=P","Fill=—","Direction=H","UseDPDF=Y")</f>
        <v>2281</v>
      </c>
      <c r="AC10" s="16" cm="1">
        <f t="array" ref="AC10">_xll.BDH("CMI US Equity","GROSS_PROFIT","FQ3 2025","FQ3 2025","Currency=USD","Period=FQ","BEST_FPERIOD_OVERRIDE=FQ","FILING_STATUS=MR","SCALING_FORMAT=MLN","FA_ADJUSTED=Adjusted","Sort=A","Dates=H","DateFormat=P","Fill=—","Direction=H","UseDPDF=Y")</f>
        <v>2129</v>
      </c>
      <c r="AD10" s="16" cm="1">
        <f t="array" ref="AD10">_xll.BDH("CMI US Equity","GROSS_PROFIT","FQ4 2025","FQ4 2025","Currency=USD","Period=FQ","BEST_FPERIOD_OVERRIDE=FQ","FILING_STATUS=MR","SCALING_FORMAT=MLN","FA_ADJUSTED=Adjusted","Sort=A","Dates=H","DateFormat=P","Fill=—","Direction=H","UseDPDF=Y")</f>
        <v>1951</v>
      </c>
      <c r="AE10" s="16">
        <v>2175.3245611764701</v>
      </c>
      <c r="AF10" s="16">
        <v>2358.58712823529</v>
      </c>
    </row>
    <row r="11" spans="1:32" x14ac:dyDescent="0.25">
      <c r="A11" s="10" t="s">
        <v>75</v>
      </c>
      <c r="B11" s="10" t="s">
        <v>76</v>
      </c>
      <c r="C11" s="13" cm="1">
        <f t="array" ref="C11">_xll.BDH("CMI US Equity","IS_OTHER_OPER_INC","FQ1 2019","FQ1 2019","Currency=USD","Period=FQ","BEST_FPERIOD_OVERRIDE=FQ","FILING_STATUS=MR","SCALING_FORMAT=MLN","FA_ADJUSTED=Adjusted","Sort=A","Dates=H","DateFormat=P","Fill=—","Direction=H","UseDPDF=Y")</f>
        <v>92</v>
      </c>
      <c r="D11" s="13" cm="1">
        <f t="array" ref="D11">_xll.BDH("CMI US Equity","IS_OTHER_OPER_INC","FQ2 2019","FQ2 2019","Currency=USD","Period=FQ","BEST_FPERIOD_OVERRIDE=FQ","FILING_STATUS=MR","SCALING_FORMAT=MLN","FA_ADJUSTED=Adjusted","Sort=A","Dates=H","DateFormat=P","Fill=—","Direction=H","UseDPDF=Y")</f>
        <v>96</v>
      </c>
      <c r="E11" s="13" cm="1">
        <f t="array" ref="E11">_xll.BDH("CMI US Equity","IS_OTHER_OPER_INC","FQ3 2019","FQ3 2019","Currency=USD","Period=FQ","BEST_FPERIOD_OVERRIDE=FQ","FILING_STATUS=MR","SCALING_FORMAT=MLN","FA_ADJUSTED=Adjusted","Sort=A","Dates=H","DateFormat=P","Fill=—","Direction=H","UseDPDF=Y")</f>
        <v>68</v>
      </c>
      <c r="F11" s="13" cm="1">
        <f t="array" ref="F11">_xll.BDH("CMI US Equity","IS_OTHER_OPER_INC","FQ4 2019","FQ4 2019","Currency=USD","Period=FQ","BEST_FPERIOD_OVERRIDE=FQ","FILING_STATUS=MR","SCALING_FORMAT=MLN","FA_ADJUSTED=Adjusted","Sort=A","Dates=H","DateFormat=P","Fill=—","Direction=H","UseDPDF=Y")</f>
        <v>74</v>
      </c>
      <c r="G11" s="13" cm="1">
        <f t="array" ref="G11">_xll.BDH("CMI US Equity","IS_OTHER_OPER_INC","FQ1 2020","FQ1 2020","Currency=USD","Period=FQ","BEST_FPERIOD_OVERRIDE=FQ","FILING_STATUS=MR","SCALING_FORMAT=MLN","FA_ADJUSTED=Adjusted","Sort=A","Dates=H","DateFormat=P","Fill=—","Direction=H","UseDPDF=Y")</f>
        <v>129</v>
      </c>
      <c r="H11" s="13" cm="1">
        <f t="array" ref="H11">_xll.BDH("CMI US Equity","IS_OTHER_OPER_INC","FQ2 2020","FQ2 2020","Currency=USD","Period=FQ","BEST_FPERIOD_OVERRIDE=FQ","FILING_STATUS=MR","SCALING_FORMAT=MLN","FA_ADJUSTED=Adjusted","Sort=A","Dates=H","DateFormat=P","Fill=—","Direction=H","UseDPDF=Y")</f>
        <v>115</v>
      </c>
      <c r="I11" s="13" cm="1">
        <f t="array" ref="I11">_xll.BDH("CMI US Equity","IS_OTHER_OPER_INC","FQ3 2020","FQ3 2020","Currency=USD","Period=FQ","BEST_FPERIOD_OVERRIDE=FQ","FILING_STATUS=MR","SCALING_FORMAT=MLN","FA_ADJUSTED=Adjusted","Sort=A","Dates=H","DateFormat=P","Fill=—","Direction=H","UseDPDF=Y")</f>
        <v>98</v>
      </c>
      <c r="J11" s="13" cm="1">
        <f t="array" ref="J11">_xll.BDH("CMI US Equity","IS_OTHER_OPER_INC","FQ4 2020","FQ4 2020","Currency=USD","Period=FQ","BEST_FPERIOD_OVERRIDE=FQ","FILING_STATUS=MR","SCALING_FORMAT=MLN","FA_ADJUSTED=Adjusted","Sort=A","Dates=H","DateFormat=P","Fill=—","Direction=H","UseDPDF=Y")</f>
        <v>110</v>
      </c>
      <c r="K11" s="13" cm="1">
        <f t="array" ref="K11">_xll.BDH("CMI US Equity","IS_OTHER_OPER_INC","FQ1 2021","FQ1 2021","Currency=USD","Period=FQ","BEST_FPERIOD_OVERRIDE=FQ","FILING_STATUS=MR","SCALING_FORMAT=MLN","FA_ADJUSTED=Adjusted","Sort=A","Dates=H","DateFormat=P","Fill=—","Direction=H","UseDPDF=Y")</f>
        <v>166</v>
      </c>
      <c r="L11" s="13" cm="1">
        <f t="array" ref="L11">_xll.BDH("CMI US Equity","IS_OTHER_OPER_INC","FQ2 2021","FQ2 2021","Currency=USD","Period=FQ","BEST_FPERIOD_OVERRIDE=FQ","FILING_STATUS=MR","SCALING_FORMAT=MLN","FA_ADJUSTED=Adjusted","Sort=A","Dates=H","DateFormat=P","Fill=—","Direction=H","UseDPDF=Y")</f>
        <v>137</v>
      </c>
      <c r="M11" s="13" cm="1">
        <f t="array" ref="M11">_xll.BDH("CMI US Equity","IS_OTHER_OPER_INC","FQ3 2021","FQ3 2021","Currency=USD","Period=FQ","BEST_FPERIOD_OVERRIDE=FQ","FILING_STATUS=MR","SCALING_FORMAT=MLN","FA_ADJUSTED=Adjusted","Sort=A","Dates=H","DateFormat=P","Fill=—","Direction=H","UseDPDF=Y")</f>
        <v>94</v>
      </c>
      <c r="N11" s="13" cm="1">
        <f t="array" ref="N11">_xll.BDH("CMI US Equity","IS_OTHER_OPER_INC","FQ4 2021","FQ4 2021","Currency=USD","Period=FQ","BEST_FPERIOD_OVERRIDE=FQ","FILING_STATUS=MR","SCALING_FORMAT=MLN","FA_ADJUSTED=Adjusted","Sort=A","Dates=H","DateFormat=P","Fill=—","Direction=H","UseDPDF=Y")</f>
        <v>109</v>
      </c>
      <c r="O11" s="13" cm="1">
        <f t="array" ref="O11">_xll.BDH("CMI US Equity","IS_OTHER_OPER_INC","FQ1 2022","FQ1 2022","Currency=USD","Period=FQ","BEST_FPERIOD_OVERRIDE=FQ","FILING_STATUS=MR","SCALING_FORMAT=MLN","FA_ADJUSTED=Adjusted","Sort=A","Dates=H","DateFormat=P","Fill=—","Direction=H","UseDPDF=Y")</f>
        <v>96</v>
      </c>
      <c r="P11" s="13" cm="1">
        <f t="array" ref="P11">_xll.BDH("CMI US Equity","IS_OTHER_OPER_INC","FQ2 2022","FQ2 2022","Currency=USD","Period=FQ","BEST_FPERIOD_OVERRIDE=FQ","FILING_STATUS=MR","SCALING_FORMAT=MLN","FA_ADJUSTED=Adjusted","Sort=A","Dates=H","DateFormat=P","Fill=—","Direction=H","UseDPDF=Y")</f>
        <v>95</v>
      </c>
      <c r="Q11" s="13" cm="1">
        <f t="array" ref="Q11">_xll.BDH("CMI US Equity","IS_OTHER_OPER_INC","FQ3 2022","FQ3 2022","Currency=USD","Period=FQ","BEST_FPERIOD_OVERRIDE=FQ","FILING_STATUS=MR","SCALING_FORMAT=MLN","FA_ADJUSTED=Adjusted","Sort=A","Dates=H","DateFormat=P","Fill=—","Direction=H","UseDPDF=Y")</f>
        <v>70</v>
      </c>
      <c r="R11" s="13" cm="1">
        <f t="array" ref="R11">_xll.BDH("CMI US Equity","IS_OTHER_OPER_INC","FQ4 2022","FQ4 2022","Currency=USD","Period=FQ","BEST_FPERIOD_OVERRIDE=FQ","FILING_STATUS=MR","SCALING_FORMAT=MLN","FA_ADJUSTED=Adjusted","Sort=A","Dates=H","DateFormat=P","Fill=—","Direction=H","UseDPDF=Y")</f>
        <v>88</v>
      </c>
      <c r="S11" s="13" cm="1">
        <f t="array" ref="S11">_xll.BDH("CMI US Equity","IS_OTHER_OPER_INC","FQ1 2023","FQ1 2023","Currency=USD","Period=FQ","BEST_FPERIOD_OVERRIDE=FQ","FILING_STATUS=MR","SCALING_FORMAT=MLN","FA_ADJUSTED=Adjusted","Sort=A","Dates=H","DateFormat=P","Fill=—","Direction=H","UseDPDF=Y")</f>
        <v>119</v>
      </c>
      <c r="T11" s="13" cm="1">
        <f t="array" ref="T11">_xll.BDH("CMI US Equity","IS_OTHER_OPER_INC","FQ2 2023","FQ2 2023","Currency=USD","Period=FQ","BEST_FPERIOD_OVERRIDE=FQ","FILING_STATUS=MR","SCALING_FORMAT=MLN","FA_ADJUSTED=Adjusted","Sort=A","Dates=H","DateFormat=P","Fill=—","Direction=H","UseDPDF=Y")</f>
        <v>133</v>
      </c>
      <c r="U11" s="13" cm="1">
        <f t="array" ref="U11">_xll.BDH("CMI US Equity","IS_OTHER_OPER_INC","FQ3 2023","FQ3 2023","Currency=USD","Period=FQ","BEST_FPERIOD_OVERRIDE=FQ","FILING_STATUS=MR","SCALING_FORMAT=MLN","FA_ADJUSTED=Adjusted","Sort=A","Dates=H","DateFormat=P","Fill=—","Direction=H","UseDPDF=Y")</f>
        <v>118</v>
      </c>
      <c r="V11" s="13" cm="1">
        <f t="array" ref="V11">_xll.BDH("CMI US Equity","IS_OTHER_OPER_INC","FQ4 2023","FQ4 2023","Currency=USD","Period=FQ","BEST_FPERIOD_OVERRIDE=FQ","FILING_STATUS=MR","SCALING_FORMAT=MLN","FA_ADJUSTED=Adjusted","Sort=A","Dates=H","DateFormat=P","Fill=—","Direction=H","UseDPDF=Y")</f>
        <v>113</v>
      </c>
      <c r="W11" s="13" cm="1">
        <f t="array" ref="W11">_xll.BDH("CMI US Equity","IS_OTHER_OPER_INC","FQ1 2024","FQ1 2024","Currency=USD","Period=FQ","BEST_FPERIOD_OVERRIDE=FQ","FILING_STATUS=MR","SCALING_FORMAT=MLN","FA_ADJUSTED=Adjusted","Sort=A","Dates=H","DateFormat=P","Fill=—","Direction=H","UseDPDF=Y")</f>
        <v>123</v>
      </c>
      <c r="X11" s="13" cm="1">
        <f t="array" ref="X11">_xll.BDH("CMI US Equity","IS_OTHER_OPER_INC","FQ2 2024","FQ2 2024","Currency=USD","Period=FQ","BEST_FPERIOD_OVERRIDE=FQ","FILING_STATUS=MR","SCALING_FORMAT=MLN","FA_ADJUSTED=Adjusted","Sort=A","Dates=H","DateFormat=P","Fill=—","Direction=H","UseDPDF=Y")</f>
        <v>103</v>
      </c>
      <c r="Y11" s="13" cm="1">
        <f t="array" ref="Y11">_xll.BDH("CMI US Equity","IS_OTHER_OPER_INC","FQ3 2024","FQ3 2024","Currency=USD","Period=FQ","BEST_FPERIOD_OVERRIDE=FQ","FILING_STATUS=MR","SCALING_FORMAT=MLN","FA_ADJUSTED=Adjusted","Sort=A","Dates=H","DateFormat=P","Fill=—","Direction=H","UseDPDF=Y")</f>
        <v>99</v>
      </c>
      <c r="Z11" s="13" cm="1">
        <f t="array" ref="Z11">_xll.BDH("CMI US Equity","IS_OTHER_OPER_INC","FQ4 2024","FQ4 2024","Currency=USD","Period=FQ","BEST_FPERIOD_OVERRIDE=FQ","FILING_STATUS=MR","SCALING_FORMAT=MLN","FA_ADJUSTED=Adjusted","Sort=A","Dates=H","DateFormat=P","Fill=—","Direction=H","UseDPDF=Y")</f>
        <v>70</v>
      </c>
      <c r="AA11" s="13" cm="1">
        <f t="array" ref="AA11">_xll.BDH("CMI US Equity","IS_OTHER_OPER_INC","FQ1 2025","FQ1 2025","Currency=USD","Period=FQ","BEST_FPERIOD_OVERRIDE=FQ","FILING_STATUS=MR","SCALING_FORMAT=MLN","FA_ADJUSTED=Adjusted","Sort=A","Dates=H","DateFormat=P","Fill=—","Direction=H","UseDPDF=Y")</f>
        <v>131</v>
      </c>
      <c r="AB11" s="13" cm="1">
        <f t="array" ref="AB11">_xll.BDH("CMI US Equity","IS_OTHER_OPER_INC","FQ2 2025","FQ2 2025","Currency=USD","Period=FQ","BEST_FPERIOD_OVERRIDE=FQ","FILING_STATUS=MR","SCALING_FORMAT=MLN","FA_ADJUSTED=Adjusted","Sort=A","Dates=H","DateFormat=P","Fill=—","Direction=H","UseDPDF=Y")</f>
        <v>118</v>
      </c>
      <c r="AC11" s="13" cm="1">
        <f t="array" ref="AC11">_xll.BDH("CMI US Equity","IS_OTHER_OPER_INC","FQ3 2025","FQ3 2025","Currency=USD","Period=FQ","BEST_FPERIOD_OVERRIDE=FQ","FILING_STATUS=MR","SCALING_FORMAT=MLN","FA_ADJUSTED=Adjusted","Sort=A","Dates=H","DateFormat=P","Fill=—","Direction=H","UseDPDF=Y")</f>
        <v>104</v>
      </c>
      <c r="AD11" s="13" cm="1">
        <f t="array" ref="AD11">_xll.BDH("CMI US Equity","IS_OTHER_OPER_INC","FQ4 2025","FQ4 2025","Currency=USD","Period=FQ","BEST_FPERIOD_OVERRIDE=FQ","FILING_STATUS=MR","SCALING_FORMAT=MLN","FA_ADJUSTED=Adjusted","Sort=A","Dates=H","DateFormat=P","Fill=—","Direction=H","UseDPDF=Y")</f>
        <v>116</v>
      </c>
      <c r="AE11" s="13"/>
      <c r="AF11" s="13"/>
    </row>
    <row r="12" spans="1:32" x14ac:dyDescent="0.25">
      <c r="A12" s="10" t="s">
        <v>77</v>
      </c>
      <c r="B12" s="10" t="s">
        <v>78</v>
      </c>
      <c r="C12" s="13" cm="1">
        <f t="array" ref="C12">_xll.BDH("CMI US Equity","IS_OPERATING_EXPN","FQ1 2019","FQ1 2019","Currency=USD","Period=FQ","BEST_FPERIOD_OVERRIDE=FQ","FILING_STATUS=MR","SCALING_FORMAT=MLN","FA_ADJUSTED=Adjusted","Sort=A","Dates=H","DateFormat=P","Fill=—","Direction=H","UseDPDF=Y")</f>
        <v>830</v>
      </c>
      <c r="D12" s="13" cm="1">
        <f t="array" ref="D12">_xll.BDH("CMI US Equity","IS_OPERATING_EXPN","FQ2 2019","FQ2 2019","Currency=USD","Period=FQ","BEST_FPERIOD_OVERRIDE=FQ","FILING_STATUS=MR","SCALING_FORMAT=MLN","FA_ADJUSTED=Adjusted","Sort=A","Dates=H","DateFormat=P","Fill=—","Direction=H","UseDPDF=Y")</f>
        <v>907</v>
      </c>
      <c r="E12" s="13" cm="1">
        <f t="array" ref="E12">_xll.BDH("CMI US Equity","IS_OPERATING_EXPN","FQ3 2019","FQ3 2019","Currency=USD","Period=FQ","BEST_FPERIOD_OVERRIDE=FQ","FILING_STATUS=MR","SCALING_FORMAT=MLN","FA_ADJUSTED=Adjusted","Sort=A","Dates=H","DateFormat=P","Fill=—","Direction=H","UseDPDF=Y")</f>
        <v>841</v>
      </c>
      <c r="F12" s="13" cm="1">
        <f t="array" ref="F12">_xll.BDH("CMI US Equity","IS_OPERATING_EXPN","FQ4 2019","FQ4 2019","Currency=USD","Period=FQ","BEST_FPERIOD_OVERRIDE=FQ","FILING_STATUS=MR","SCALING_FORMAT=MLN","FA_ADJUSTED=Adjusted","Sort=A","Dates=H","DateFormat=P","Fill=—","Direction=H","UseDPDF=Y")</f>
        <v>904</v>
      </c>
      <c r="G12" s="13" cm="1">
        <f t="array" ref="G12">_xll.BDH("CMI US Equity","IS_OPERATING_EXPN","FQ1 2020","FQ1 2020","Currency=USD","Period=FQ","BEST_FPERIOD_OVERRIDE=FQ","FILING_STATUS=MR","SCALING_FORMAT=MLN","FA_ADJUSTED=Adjusted","Sort=A","Dates=H","DateFormat=P","Fill=—","Direction=H","UseDPDF=Y")</f>
        <v>834</v>
      </c>
      <c r="H12" s="13" cm="1">
        <f t="array" ref="H12">_xll.BDH("CMI US Equity","IS_OPERATING_EXPN","FQ2 2020","FQ2 2020","Currency=USD","Period=FQ","BEST_FPERIOD_OVERRIDE=FQ","FILING_STATUS=MR","SCALING_FORMAT=MLN","FA_ADJUSTED=Adjusted","Sort=A","Dates=H","DateFormat=P","Fill=—","Direction=H","UseDPDF=Y")</f>
        <v>723</v>
      </c>
      <c r="I12" s="13" cm="1">
        <f t="array" ref="I12">_xll.BDH("CMI US Equity","IS_OPERATING_EXPN","FQ3 2020","FQ3 2020","Currency=USD","Period=FQ","BEST_FPERIOD_OVERRIDE=FQ","FILING_STATUS=MR","SCALING_FORMAT=MLN","FA_ADJUSTED=Adjusted","Sort=A","Dates=H","DateFormat=P","Fill=—","Direction=H","UseDPDF=Y")</f>
        <v>793</v>
      </c>
      <c r="J12" s="13" cm="1">
        <f t="array" ref="J12">_xll.BDH("CMI US Equity","IS_OPERATING_EXPN","FQ4 2020","FQ4 2020","Currency=USD","Period=FQ","BEST_FPERIOD_OVERRIDE=FQ","FILING_STATUS=MR","SCALING_FORMAT=MLN","FA_ADJUSTED=Adjusted","Sort=A","Dates=H","DateFormat=P","Fill=—","Direction=H","UseDPDF=Y")</f>
        <v>849</v>
      </c>
      <c r="K12" s="13" cm="1">
        <f t="array" ref="K12">_xll.BDH("CMI US Equity","IS_OPERATING_EXPN","FQ1 2021","FQ1 2021","Currency=USD","Period=FQ","BEST_FPERIOD_OVERRIDE=FQ","FILING_STATUS=MR","SCALING_FORMAT=MLN","FA_ADJUSTED=Adjusted","Sort=A","Dates=H","DateFormat=P","Fill=—","Direction=H","UseDPDF=Y")</f>
        <v>839</v>
      </c>
      <c r="L12" s="13" cm="1">
        <f t="array" ref="L12">_xll.BDH("CMI US Equity","IS_OPERATING_EXPN","FQ2 2021","FQ2 2021","Currency=USD","Period=FQ","BEST_FPERIOD_OVERRIDE=FQ","FILING_STATUS=MR","SCALING_FORMAT=MLN","FA_ADJUSTED=Adjusted","Sort=A","Dates=H","DateFormat=P","Fill=—","Direction=H","UseDPDF=Y")</f>
        <v>900</v>
      </c>
      <c r="M12" s="13" cm="1">
        <f t="array" ref="M12">_xll.BDH("CMI US Equity","IS_OPERATING_EXPN","FQ3 2021","FQ3 2021","Currency=USD","Period=FQ","BEST_FPERIOD_OVERRIDE=FQ","FILING_STATUS=MR","SCALING_FORMAT=MLN","FA_ADJUSTED=Adjusted","Sort=A","Dates=H","DateFormat=P","Fill=—","Direction=H","UseDPDF=Y")</f>
        <v>841</v>
      </c>
      <c r="N12" s="13" cm="1">
        <f t="array" ref="N12">_xll.BDH("CMI US Equity","IS_OPERATING_EXPN","FQ4 2021","FQ4 2021","Currency=USD","Period=FQ","BEST_FPERIOD_OVERRIDE=FQ","FILING_STATUS=MR","SCALING_FORMAT=MLN","FA_ADJUSTED=Adjusted","Sort=A","Dates=H","DateFormat=P","Fill=—","Direction=H","UseDPDF=Y")</f>
        <v>931</v>
      </c>
      <c r="O12" s="13" cm="1">
        <f t="array" ref="O12">_xll.BDH("CMI US Equity","IS_OPERATING_EXPN","FQ1 2022","FQ1 2022","Currency=USD","Period=FQ","BEST_FPERIOD_OVERRIDE=FQ","FILING_STATUS=MR","SCALING_FORMAT=MLN","FA_ADJUSTED=Adjusted","Sort=A","Dates=H","DateFormat=P","Fill=—","Direction=H","UseDPDF=Y")</f>
        <v>1020</v>
      </c>
      <c r="P12" s="13" cm="1">
        <f t="array" ref="P12">_xll.BDH("CMI US Equity","IS_OPERATING_EXPN","FQ2 2022","FQ2 2022","Currency=USD","Period=FQ","BEST_FPERIOD_OVERRIDE=FQ","FILING_STATUS=MR","SCALING_FORMAT=MLN","FA_ADJUSTED=Adjusted","Sort=A","Dates=H","DateFormat=P","Fill=—","Direction=H","UseDPDF=Y")</f>
        <v>876</v>
      </c>
      <c r="Q12" s="13" cm="1">
        <f t="array" ref="Q12">_xll.BDH("CMI US Equity","IS_OPERATING_EXPN","FQ3 2022","FQ3 2022","Currency=USD","Period=FQ","BEST_FPERIOD_OVERRIDE=FQ","FILING_STATUS=MR","SCALING_FORMAT=MLN","FA_ADJUSTED=Adjusted","Sort=A","Dates=H","DateFormat=P","Fill=—","Direction=H","UseDPDF=Y")</f>
        <v>1115</v>
      </c>
      <c r="R12" s="13" cm="1">
        <f t="array" ref="R12">_xll.BDH("CMI US Equity","IS_OPERATING_EXPN","FQ4 2022","FQ4 2022","Currency=USD","Period=FQ","BEST_FPERIOD_OVERRIDE=FQ","FILING_STATUS=MR","SCALING_FORMAT=MLN","FA_ADJUSTED=Adjusted","Sort=A","Dates=H","DateFormat=P","Fill=—","Direction=H","UseDPDF=Y")</f>
        <v>1105</v>
      </c>
      <c r="S12" s="13" cm="1">
        <f t="array" ref="S12">_xll.BDH("CMI US Equity","IS_OPERATING_EXPN","FQ1 2023","FQ1 2023","Currency=USD","Period=FQ","BEST_FPERIOD_OVERRIDE=FQ","FILING_STATUS=MR","SCALING_FORMAT=MLN","FA_ADJUSTED=Adjusted","Sort=A","Dates=H","DateFormat=P","Fill=—","Direction=H","UseDPDF=Y")</f>
        <v>1121</v>
      </c>
      <c r="T12" s="13" cm="1">
        <f t="array" ref="T12">_xll.BDH("CMI US Equity","IS_OPERATING_EXPN","FQ2 2023","FQ2 2023","Currency=USD","Period=FQ","BEST_FPERIOD_OVERRIDE=FQ","FILING_STATUS=MR","SCALING_FORMAT=MLN","FA_ADJUSTED=Adjusted","Sort=A","Dates=H","DateFormat=P","Fill=—","Direction=H","UseDPDF=Y")</f>
        <v>1282</v>
      </c>
      <c r="U12" s="13" cm="1">
        <f t="array" ref="U12">_xll.BDH("CMI US Equity","IS_OPERATING_EXPN","FQ3 2023","FQ3 2023","Currency=USD","Period=FQ","BEST_FPERIOD_OVERRIDE=FQ","FILING_STATUS=MR","SCALING_FORMAT=MLN","FA_ADJUSTED=Adjusted","Sort=A","Dates=H","DateFormat=P","Fill=—","Direction=H","UseDPDF=Y")</f>
        <v>1210</v>
      </c>
      <c r="V12" s="13" cm="1">
        <f t="array" ref="V12">_xll.BDH("CMI US Equity","IS_OPERATING_EXPN","FQ4 2023","FQ4 2023","Currency=USD","Period=FQ","BEST_FPERIOD_OVERRIDE=FQ","FILING_STATUS=MR","SCALING_FORMAT=MLN","FA_ADJUSTED=Adjusted","Sort=A","Dates=H","DateFormat=P","Fill=—","Direction=H","UseDPDF=Y")</f>
        <v>3326</v>
      </c>
      <c r="W12" s="13" cm="1">
        <f t="array" ref="W12">_xll.BDH("CMI US Equity","IS_OPERATING_EXPN","FQ1 2024","FQ1 2024","Currency=USD","Period=FQ","BEST_FPERIOD_OVERRIDE=FQ","FILING_STATUS=MR","SCALING_FORMAT=MLN","FA_ADJUSTED=Adjusted","Sort=A","Dates=H","DateFormat=P","Fill=—","Direction=H","UseDPDF=Y")</f>
        <v>1212</v>
      </c>
      <c r="X12" s="13" cm="1">
        <f t="array" ref="X12">_xll.BDH("CMI US Equity","IS_OPERATING_EXPN","FQ2 2024","FQ2 2024","Currency=USD","Period=FQ","BEST_FPERIOD_OVERRIDE=FQ","FILING_STATUS=MR","SCALING_FORMAT=MLN","FA_ADJUSTED=Adjusted","Sort=A","Dates=H","DateFormat=P","Fill=—","Direction=H","UseDPDF=Y")</f>
        <v>1251</v>
      </c>
      <c r="Y12" s="13" cm="1">
        <f t="array" ref="Y12">_xll.BDH("CMI US Equity","IS_OPERATING_EXPN","FQ3 2024","FQ3 2024","Currency=USD","Period=FQ","BEST_FPERIOD_OVERRIDE=FQ","FILING_STATUS=MR","SCALING_FORMAT=MLN","FA_ADJUSTED=Adjusted","Sort=A","Dates=H","DateFormat=P","Fill=—","Direction=H","UseDPDF=Y")</f>
        <v>1218</v>
      </c>
      <c r="Z12" s="13" cm="1">
        <f t="array" ref="Z12">_xll.BDH("CMI US Equity","IS_OPERATING_EXPN","FQ4 2024","FQ4 2024","Currency=USD","Period=FQ","BEST_FPERIOD_OVERRIDE=FQ","FILING_STATUS=MR","SCALING_FORMAT=MLN","FA_ADJUSTED=Adjusted","Sort=A","Dates=H","DateFormat=P","Fill=—","Direction=H","UseDPDF=Y")</f>
        <v>1357</v>
      </c>
      <c r="AA12" s="13" cm="1">
        <f t="array" ref="AA12">_xll.BDH("CMI US Equity","IS_OPERATING_EXPN","FQ1 2025","FQ1 2025","Currency=USD","Period=FQ","BEST_FPERIOD_OVERRIDE=FQ","FILING_STATUS=MR","SCALING_FORMAT=MLN","FA_ADJUSTED=Adjusted","Sort=A","Dates=H","DateFormat=P","Fill=—","Direction=H","UseDPDF=Y")</f>
        <v>1152</v>
      </c>
      <c r="AB12" s="13" cm="1">
        <f t="array" ref="AB12">_xll.BDH("CMI US Equity","IS_OPERATING_EXPN","FQ2 2025","FQ2 2025","Currency=USD","Period=FQ","BEST_FPERIOD_OVERRIDE=FQ","FILING_STATUS=MR","SCALING_FORMAT=MLN","FA_ADJUSTED=Adjusted","Sort=A","Dates=H","DateFormat=P","Fill=—","Direction=H","UseDPDF=Y")</f>
        <v>1173</v>
      </c>
      <c r="AC12" s="13" cm="1">
        <f t="array" ref="AC12">_xll.BDH("CMI US Equity","IS_OPERATING_EXPN","FQ3 2025","FQ3 2025","Currency=USD","Period=FQ","BEST_FPERIOD_OVERRIDE=FQ","FILING_STATUS=MR","SCALING_FORMAT=MLN","FA_ADJUSTED=Adjusted","Sort=A","Dates=H","DateFormat=P","Fill=—","Direction=H","UseDPDF=Y")</f>
        <v>1377</v>
      </c>
      <c r="AD12" s="13" cm="1">
        <f t="array" ref="AD12">_xll.BDH("CMI US Equity","IS_OPERATING_EXPN","FQ4 2025","FQ4 2025","Currency=USD","Period=FQ","BEST_FPERIOD_OVERRIDE=FQ","FILING_STATUS=MR","SCALING_FORMAT=MLN","FA_ADJUSTED=Adjusted","Sort=A","Dates=H","DateFormat=P","Fill=—","Direction=H","UseDPDF=Y")</f>
        <v>1036</v>
      </c>
      <c r="AE12" s="13"/>
      <c r="AF12" s="13"/>
    </row>
    <row r="13" spans="1:32" x14ac:dyDescent="0.25">
      <c r="A13" s="10" t="s">
        <v>79</v>
      </c>
      <c r="B13" s="10" t="s">
        <v>80</v>
      </c>
      <c r="C13" s="13" cm="1">
        <f t="array" ref="C13">_xll.BDH("CMI US Equity","IS_SGA_EXPENSE","FQ1 2019","FQ1 2019","Currency=USD","Period=FQ","BEST_FPERIOD_OVERRIDE=FQ","FILING_STATUS=MR","SCALING_FORMAT=MLN","FA_ADJUSTED=Adjusted","Sort=A","Dates=H","DateFormat=P","Fill=—","Direction=H","UseDPDF=Y")</f>
        <v>593</v>
      </c>
      <c r="D13" s="13" cm="1">
        <f t="array" ref="D13">_xll.BDH("CMI US Equity","IS_SGA_EXPENSE","FQ2 2019","FQ2 2019","Currency=USD","Period=FQ","BEST_FPERIOD_OVERRIDE=FQ","FILING_STATUS=MR","SCALING_FORMAT=MLN","FA_ADJUSTED=Adjusted","Sort=A","Dates=H","DateFormat=P","Fill=—","Direction=H","UseDPDF=Y")</f>
        <v>629</v>
      </c>
      <c r="E13" s="13" cm="1">
        <f t="array" ref="E13">_xll.BDH("CMI US Equity","IS_SGA_EXPENSE","FQ3 2019","FQ3 2019","Currency=USD","Period=FQ","BEST_FPERIOD_OVERRIDE=FQ","FILING_STATUS=MR","SCALING_FORMAT=MLN","FA_ADJUSTED=Adjusted","Sort=A","Dates=H","DateFormat=P","Fill=—","Direction=H","UseDPDF=Y")</f>
        <v>600</v>
      </c>
      <c r="F13" s="13" cm="1">
        <f t="array" ref="F13">_xll.BDH("CMI US Equity","IS_SGA_EXPENSE","FQ4 2019","FQ4 2019","Currency=USD","Period=FQ","BEST_FPERIOD_OVERRIDE=FQ","FILING_STATUS=MR","SCALING_FORMAT=MLN","FA_ADJUSTED=Adjusted","Sort=A","Dates=H","DateFormat=P","Fill=—","Direction=H","UseDPDF=Y")</f>
        <v>632</v>
      </c>
      <c r="G13" s="13" cm="1">
        <f t="array" ref="G13">_xll.BDH("CMI US Equity","IS_SGA_EXPENSE","FQ1 2020","FQ1 2020","Currency=USD","Period=FQ","BEST_FPERIOD_OVERRIDE=FQ","FILING_STATUS=MR","SCALING_FORMAT=MLN","FA_ADJUSTED=Adjusted","Sort=A","Dates=H","DateFormat=P","Fill=—","Direction=H","UseDPDF=Y")</f>
        <v>546</v>
      </c>
      <c r="H13" s="13" cm="1">
        <f t="array" ref="H13">_xll.BDH("CMI US Equity","IS_SGA_EXPENSE","FQ2 2020","FQ2 2020","Currency=USD","Period=FQ","BEST_FPERIOD_OVERRIDE=FQ","FILING_STATUS=MR","SCALING_FORMAT=MLN","FA_ADJUSTED=Adjusted","Sort=A","Dates=H","DateFormat=P","Fill=—","Direction=H","UseDPDF=Y")</f>
        <v>470</v>
      </c>
      <c r="I13" s="13" cm="1">
        <f t="array" ref="I13">_xll.BDH("CMI US Equity","IS_SGA_EXPENSE","FQ3 2020","FQ3 2020","Currency=USD","Period=FQ","BEST_FPERIOD_OVERRIDE=FQ","FILING_STATUS=MR","SCALING_FORMAT=MLN","FA_ADJUSTED=Adjusted","Sort=A","Dates=H","DateFormat=P","Fill=—","Direction=H","UseDPDF=Y")</f>
        <v>533</v>
      </c>
      <c r="J13" s="13" cm="1">
        <f t="array" ref="J13">_xll.BDH("CMI US Equity","IS_SGA_EXPENSE","FQ4 2020","FQ4 2020","Currency=USD","Period=FQ","BEST_FPERIOD_OVERRIDE=FQ","FILING_STATUS=MR","SCALING_FORMAT=MLN","FA_ADJUSTED=Adjusted","Sort=A","Dates=H","DateFormat=P","Fill=—","Direction=H","UseDPDF=Y")</f>
        <v>576</v>
      </c>
      <c r="K13" s="13" cm="1">
        <f t="array" ref="K13">_xll.BDH("CMI US Equity","IS_SGA_EXPENSE","FQ1 2021","FQ1 2021","Currency=USD","Period=FQ","BEST_FPERIOD_OVERRIDE=FQ","FILING_STATUS=MR","SCALING_FORMAT=MLN","FA_ADJUSTED=Adjusted","Sort=A","Dates=H","DateFormat=P","Fill=—","Direction=H","UseDPDF=Y")</f>
        <v>574</v>
      </c>
      <c r="L13" s="13" cm="1">
        <f t="array" ref="L13">_xll.BDH("CMI US Equity","IS_SGA_EXPENSE","FQ2 2021","FQ2 2021","Currency=USD","Period=FQ","BEST_FPERIOD_OVERRIDE=FQ","FILING_STATUS=MR","SCALING_FORMAT=MLN","FA_ADJUSTED=Adjusted","Sort=A","Dates=H","DateFormat=P","Fill=—","Direction=H","UseDPDF=Y")</f>
        <v>600</v>
      </c>
      <c r="M13" s="13" cm="1">
        <f t="array" ref="M13">_xll.BDH("CMI US Equity","IS_SGA_EXPENSE","FQ3 2021","FQ3 2021","Currency=USD","Period=FQ","BEST_FPERIOD_OVERRIDE=FQ","FILING_STATUS=MR","SCALING_FORMAT=MLN","FA_ADJUSTED=Adjusted","Sort=A","Dates=H","DateFormat=P","Fill=—","Direction=H","UseDPDF=Y")</f>
        <v>571</v>
      </c>
      <c r="N13" s="13" cm="1">
        <f t="array" ref="N13">_xll.BDH("CMI US Equity","IS_SGA_EXPENSE","FQ4 2021","FQ4 2021","Currency=USD","Period=FQ","BEST_FPERIOD_OVERRIDE=FQ","FILING_STATUS=MR","SCALING_FORMAT=MLN","FA_ADJUSTED=Adjusted","Sort=A","Dates=H","DateFormat=P","Fill=—","Direction=H","UseDPDF=Y")</f>
        <v>629</v>
      </c>
      <c r="O13" s="13" cm="1">
        <f t="array" ref="O13">_xll.BDH("CMI US Equity","IS_SGA_EXPENSE","FQ1 2022","FQ1 2022","Currency=USD","Period=FQ","BEST_FPERIOD_OVERRIDE=FQ","FILING_STATUS=MR","SCALING_FORMAT=MLN","FA_ADJUSTED=Adjusted","Sort=A","Dates=H","DateFormat=P","Fill=—","Direction=H","UseDPDF=Y")</f>
        <v>615</v>
      </c>
      <c r="P13" s="13" cm="1">
        <f t="array" ref="P13">_xll.BDH("CMI US Equity","IS_SGA_EXPENSE","FQ2 2022","FQ2 2022","Currency=USD","Period=FQ","BEST_FPERIOD_OVERRIDE=FQ","FILING_STATUS=MR","SCALING_FORMAT=MLN","FA_ADJUSTED=Adjusted","Sort=A","Dates=H","DateFormat=P","Fill=—","Direction=H","UseDPDF=Y")</f>
        <v>622</v>
      </c>
      <c r="Q13" s="13" cm="1">
        <f t="array" ref="Q13">_xll.BDH("CMI US Equity","IS_SGA_EXPENSE","FQ3 2022","FQ3 2022","Currency=USD","Period=FQ","BEST_FPERIOD_OVERRIDE=FQ","FILING_STATUS=MR","SCALING_FORMAT=MLN","FA_ADJUSTED=Adjusted","Sort=A","Dates=H","DateFormat=P","Fill=—","Direction=H","UseDPDF=Y")</f>
        <v>708</v>
      </c>
      <c r="R13" s="13" cm="1">
        <f t="array" ref="R13">_xll.BDH("CMI US Equity","IS_SGA_EXPENSE","FQ4 2022","FQ4 2022","Currency=USD","Period=FQ","BEST_FPERIOD_OVERRIDE=FQ","FILING_STATUS=MR","SCALING_FORMAT=MLN","FA_ADJUSTED=Adjusted","Sort=A","Dates=H","DateFormat=P","Fill=—","Direction=H","UseDPDF=Y")</f>
        <v>742</v>
      </c>
      <c r="S13" s="13" cm="1">
        <f t="array" ref="S13">_xll.BDH("CMI US Equity","IS_SGA_EXPENSE","FQ1 2023","FQ1 2023","Currency=USD","Period=FQ","BEST_FPERIOD_OVERRIDE=FQ","FILING_STATUS=MR","SCALING_FORMAT=MLN","FA_ADJUSTED=Adjusted","Sort=A","Dates=H","DateFormat=P","Fill=—","Direction=H","UseDPDF=Y")</f>
        <v>753</v>
      </c>
      <c r="T13" s="13" cm="1">
        <f t="array" ref="T13">_xll.BDH("CMI US Equity","IS_SGA_EXPENSE","FQ2 2023","FQ2 2023","Currency=USD","Period=FQ","BEST_FPERIOD_OVERRIDE=FQ","FILING_STATUS=MR","SCALING_FORMAT=MLN","FA_ADJUSTED=Adjusted","Sort=A","Dates=H","DateFormat=P","Fill=—","Direction=H","UseDPDF=Y")</f>
        <v>873</v>
      </c>
      <c r="U13" s="13" cm="1">
        <f t="array" ref="U13">_xll.BDH("CMI US Equity","IS_SGA_EXPENSE","FQ3 2023","FQ3 2023","Currency=USD","Period=FQ","BEST_FPERIOD_OVERRIDE=FQ","FILING_STATUS=MR","SCALING_FORMAT=MLN","FA_ADJUSTED=Adjusted","Sort=A","Dates=H","DateFormat=P","Fill=—","Direction=H","UseDPDF=Y")</f>
        <v>831</v>
      </c>
      <c r="V13" s="13" cm="1">
        <f t="array" ref="V13">_xll.BDH("CMI US Equity","IS_SGA_EXPENSE","FQ4 2023","FQ4 2023","Currency=USD","Period=FQ","BEST_FPERIOD_OVERRIDE=FQ","FILING_STATUS=MR","SCALING_FORMAT=MLN","FA_ADJUSTED=Adjusted","Sort=A","Dates=H","DateFormat=P","Fill=—","Direction=H","UseDPDF=Y")</f>
        <v>876</v>
      </c>
      <c r="W13" s="13" cm="1">
        <f t="array" ref="W13">_xll.BDH("CMI US Equity","IS_SGA_EXPENSE","FQ1 2024","FQ1 2024","Currency=USD","Period=FQ","BEST_FPERIOD_OVERRIDE=FQ","FILING_STATUS=MR","SCALING_FORMAT=MLN","FA_ADJUSTED=Adjusted","Sort=A","Dates=H","DateFormat=P","Fill=—","Direction=H","UseDPDF=Y")</f>
        <v>839</v>
      </c>
      <c r="X13" s="13" cm="1">
        <f t="array" ref="X13">_xll.BDH("CMI US Equity","IS_SGA_EXPENSE","FQ2 2024","FQ2 2024","Currency=USD","Period=FQ","BEST_FPERIOD_OVERRIDE=FQ","FILING_STATUS=MR","SCALING_FORMAT=MLN","FA_ADJUSTED=Adjusted","Sort=A","Dates=H","DateFormat=P","Fill=—","Direction=H","UseDPDF=Y")</f>
        <v>828</v>
      </c>
      <c r="Y13" s="13" cm="1">
        <f t="array" ref="Y13">_xll.BDH("CMI US Equity","IS_SGA_EXPENSE","FQ3 2024","FQ3 2024","Currency=USD","Period=FQ","BEST_FPERIOD_OVERRIDE=FQ","FILING_STATUS=MR","SCALING_FORMAT=MLN","FA_ADJUSTED=Adjusted","Sort=A","Dates=H","DateFormat=P","Fill=—","Direction=H","UseDPDF=Y")</f>
        <v>807</v>
      </c>
      <c r="Z13" s="13" cm="1">
        <f t="array" ref="Z13">_xll.BDH("CMI US Equity","IS_SGA_EXPENSE","FQ4 2024","FQ4 2024","Currency=USD","Period=FQ","BEST_FPERIOD_OVERRIDE=FQ","FILING_STATUS=MR","SCALING_FORMAT=MLN","FA_ADJUSTED=Adjusted","Sort=A","Dates=H","DateFormat=P","Fill=—","Direction=H","UseDPDF=Y")</f>
        <v>801</v>
      </c>
      <c r="AA13" s="13" cm="1">
        <f t="array" ref="AA13">_xll.BDH("CMI US Equity","IS_SGA_EXPENSE","FQ1 2025","FQ1 2025","Currency=USD","Period=FQ","BEST_FPERIOD_OVERRIDE=FQ","FILING_STATUS=MR","SCALING_FORMAT=MLN","FA_ADJUSTED=Adjusted","Sort=A","Dates=H","DateFormat=P","Fill=—","Direction=H","UseDPDF=Y")</f>
        <v>771</v>
      </c>
      <c r="AB13" s="13" cm="1">
        <f t="array" ref="AB13">_xll.BDH("CMI US Equity","IS_SGA_EXPENSE","FQ2 2025","FQ2 2025","Currency=USD","Period=FQ","BEST_FPERIOD_OVERRIDE=FQ","FILING_STATUS=MR","SCALING_FORMAT=MLN","FA_ADJUSTED=Adjusted","Sort=A","Dates=H","DateFormat=P","Fill=—","Direction=H","UseDPDF=Y")</f>
        <v>779</v>
      </c>
      <c r="AC13" s="13" cm="1">
        <f t="array" ref="AC13">_xll.BDH("CMI US Equity","IS_SGA_EXPENSE","FQ3 2025","FQ3 2025","Currency=USD","Period=FQ","BEST_FPERIOD_OVERRIDE=FQ","FILING_STATUS=MR","SCALING_FORMAT=MLN","FA_ADJUSTED=Adjusted","Sort=A","Dates=H","DateFormat=P","Fill=—","Direction=H","UseDPDF=Y")</f>
        <v>789</v>
      </c>
      <c r="AD13" s="13" cm="1">
        <f t="array" ref="AD13">_xll.BDH("CMI US Equity","IS_SGA_EXPENSE","FQ4 2025","FQ4 2025","Currency=USD","Period=FQ","BEST_FPERIOD_OVERRIDE=FQ","FILING_STATUS=MR","SCALING_FORMAT=MLN","FA_ADJUSTED=Adjusted","Sort=A","Dates=H","DateFormat=P","Fill=—","Direction=H","UseDPDF=Y")</f>
        <v>786</v>
      </c>
      <c r="AE13" s="13"/>
      <c r="AF13" s="13"/>
    </row>
    <row r="14" spans="1:32" x14ac:dyDescent="0.25">
      <c r="A14" s="10" t="s">
        <v>81</v>
      </c>
      <c r="B14" s="10" t="s">
        <v>82</v>
      </c>
      <c r="C14" s="13" cm="1">
        <f t="array" ref="C14">_xll.BDH("CMI US Equity","IS_OPERATING_EXPENSES_RD","FQ1 2019","FQ1 2019","Currency=USD","Period=FQ","BEST_FPERIOD_OVERRIDE=FQ","FILING_STATUS=MR","SCALING_FORMAT=MLN","Sort=A","Dates=H","DateFormat=P","Fill=—","Direction=H","UseDPDF=Y")</f>
        <v>237</v>
      </c>
      <c r="D14" s="13" cm="1">
        <f t="array" ref="D14">_xll.BDH("CMI US Equity","IS_OPERATING_EXPENSES_RD","FQ2 2019","FQ2 2019","Currency=USD","Period=FQ","BEST_FPERIOD_OVERRIDE=FQ","FILING_STATUS=MR","SCALING_FORMAT=MLN","Sort=A","Dates=H","DateFormat=P","Fill=—","Direction=H","UseDPDF=Y")</f>
        <v>251</v>
      </c>
      <c r="E14" s="13" cm="1">
        <f t="array" ref="E14">_xll.BDH("CMI US Equity","IS_OPERATING_EXPENSES_RD","FQ3 2019","FQ3 2019","Currency=USD","Period=FQ","BEST_FPERIOD_OVERRIDE=FQ","FILING_STATUS=MR","SCALING_FORMAT=MLN","Sort=A","Dates=H","DateFormat=P","Fill=—","Direction=H","UseDPDF=Y")</f>
        <v>242</v>
      </c>
      <c r="F14" s="13" cm="1">
        <f t="array" ref="F14">_xll.BDH("CMI US Equity","IS_OPERATING_EXPENSES_RD","FQ4 2019","FQ4 2019","Currency=USD","Period=FQ","BEST_FPERIOD_OVERRIDE=FQ","FILING_STATUS=MR","SCALING_FORMAT=MLN","Sort=A","Dates=H","DateFormat=P","Fill=—","Direction=H","UseDPDF=Y")</f>
        <v>271</v>
      </c>
      <c r="G14" s="13" cm="1">
        <f t="array" ref="G14">_xll.BDH("CMI US Equity","IS_OPERATING_EXPENSES_RD","FQ1 2020","FQ1 2020","Currency=USD","Period=FQ","BEST_FPERIOD_OVERRIDE=FQ","FILING_STATUS=MR","SCALING_FORMAT=MLN","Sort=A","Dates=H","DateFormat=P","Fill=—","Direction=H","UseDPDF=Y")</f>
        <v>238</v>
      </c>
      <c r="H14" s="13" cm="1">
        <f t="array" ref="H14">_xll.BDH("CMI US Equity","IS_OPERATING_EXPENSES_RD","FQ2 2020","FQ2 2020","Currency=USD","Period=FQ","BEST_FPERIOD_OVERRIDE=FQ","FILING_STATUS=MR","SCALING_FORMAT=MLN","Sort=A","Dates=H","DateFormat=P","Fill=—","Direction=H","UseDPDF=Y")</f>
        <v>189</v>
      </c>
      <c r="I14" s="13" cm="1">
        <f t="array" ref="I14">_xll.BDH("CMI US Equity","IS_OPERATING_EXPENSES_RD","FQ3 2020","FQ3 2020","Currency=USD","Period=FQ","BEST_FPERIOD_OVERRIDE=FQ","FILING_STATUS=MR","SCALING_FORMAT=MLN","Sort=A","Dates=H","DateFormat=P","Fill=—","Direction=H","UseDPDF=Y")</f>
        <v>224</v>
      </c>
      <c r="J14" s="13" cm="1">
        <f t="array" ref="J14">_xll.BDH("CMI US Equity","IS_OPERATING_EXPENSES_RD","FQ4 2020","FQ4 2020","Currency=USD","Period=FQ","BEST_FPERIOD_OVERRIDE=FQ","FILING_STATUS=MR","SCALING_FORMAT=MLN","Sort=A","Dates=H","DateFormat=P","Fill=—","Direction=H","UseDPDF=Y")</f>
        <v>255</v>
      </c>
      <c r="K14" s="13" cm="1">
        <f t="array" ref="K14">_xll.BDH("CMI US Equity","IS_OPERATING_EXPENSES_RD","FQ1 2021","FQ1 2021","Currency=USD","Period=FQ","BEST_FPERIOD_OVERRIDE=FQ","FILING_STATUS=MR","SCALING_FORMAT=MLN","Sort=A","Dates=H","DateFormat=P","Fill=—","Direction=H","UseDPDF=Y")</f>
        <v>260</v>
      </c>
      <c r="L14" s="13" cm="1">
        <f t="array" ref="L14">_xll.BDH("CMI US Equity","IS_OPERATING_EXPENSES_RD","FQ2 2021","FQ2 2021","Currency=USD","Period=FQ","BEST_FPERIOD_OVERRIDE=FQ","FILING_STATUS=MR","SCALING_FORMAT=MLN","Sort=A","Dates=H","DateFormat=P","Fill=—","Direction=H","UseDPDF=Y")</f>
        <v>276</v>
      </c>
      <c r="M14" s="13" cm="1">
        <f t="array" ref="M14">_xll.BDH("CMI US Equity","IS_OPERATING_EXPENSES_RD","FQ3 2021","FQ3 2021","Currency=USD","Period=FQ","BEST_FPERIOD_OVERRIDE=FQ","FILING_STATUS=MR","SCALING_FORMAT=MLN","Sort=A","Dates=H","DateFormat=P","Fill=—","Direction=H","UseDPDF=Y")</f>
        <v>266</v>
      </c>
      <c r="N14" s="13" cm="1">
        <f t="array" ref="N14">_xll.BDH("CMI US Equity","IS_OPERATING_EXPENSES_RD","FQ4 2021","FQ4 2021","Currency=USD","Period=FQ","BEST_FPERIOD_OVERRIDE=FQ","FILING_STATUS=MR","SCALING_FORMAT=MLN","Sort=A","Dates=H","DateFormat=P","Fill=—","Direction=H","UseDPDF=Y")</f>
        <v>288</v>
      </c>
      <c r="O14" s="13" cm="1">
        <f t="array" ref="O14">_xll.BDH("CMI US Equity","IS_OPERATING_EXPENSES_RD","FQ1 2022","FQ1 2022","Currency=USD","Period=FQ","BEST_FPERIOD_OVERRIDE=FQ","FILING_STATUS=MR","SCALING_FORMAT=MLN","Sort=A","Dates=H","DateFormat=P","Fill=—","Direction=H","UseDPDF=Y")</f>
        <v>298</v>
      </c>
      <c r="P14" s="13" cm="1">
        <f t="array" ref="P14">_xll.BDH("CMI US Equity","IS_OPERATING_EXPENSES_RD","FQ2 2022","FQ2 2022","Currency=USD","Period=FQ","BEST_FPERIOD_OVERRIDE=FQ","FILING_STATUS=MR","SCALING_FORMAT=MLN","Sort=A","Dates=H","DateFormat=P","Fill=—","Direction=H","UseDPDF=Y")</f>
        <v>299</v>
      </c>
      <c r="Q14" s="13" cm="1">
        <f t="array" ref="Q14">_xll.BDH("CMI US Equity","IS_OPERATING_EXPENSES_RD","FQ3 2022","FQ3 2022","Currency=USD","Period=FQ","BEST_FPERIOD_OVERRIDE=FQ","FILING_STATUS=MR","SCALING_FORMAT=MLN","Sort=A","Dates=H","DateFormat=P","Fill=—","Direction=H","UseDPDF=Y")</f>
        <v>348</v>
      </c>
      <c r="R14" s="13" cm="1">
        <f t="array" ref="R14">_xll.BDH("CMI US Equity","IS_OPERATING_EXPENSES_RD","FQ4 2022","FQ4 2022","Currency=USD","Period=FQ","BEST_FPERIOD_OVERRIDE=FQ","FILING_STATUS=MR","SCALING_FORMAT=MLN","Sort=A","Dates=H","DateFormat=P","Fill=—","Direction=H","UseDPDF=Y")</f>
        <v>333</v>
      </c>
      <c r="S14" s="13" cm="1">
        <f t="array" ref="S14">_xll.BDH("CMI US Equity","IS_OPERATING_EXPENSES_RD","FQ1 2023","FQ1 2023","Currency=USD","Period=FQ","BEST_FPERIOD_OVERRIDE=FQ","FILING_STATUS=MR","SCALING_FORMAT=MLN","Sort=A","Dates=H","DateFormat=P","Fill=—","Direction=H","UseDPDF=Y")</f>
        <v>350</v>
      </c>
      <c r="T14" s="13" cm="1">
        <f t="array" ref="T14">_xll.BDH("CMI US Equity","IS_OPERATING_EXPENSES_RD","FQ2 2023","FQ2 2023","Currency=USD","Period=FQ","BEST_FPERIOD_OVERRIDE=FQ","FILING_STATUS=MR","SCALING_FORMAT=MLN","Sort=A","Dates=H","DateFormat=P","Fill=—","Direction=H","UseDPDF=Y")</f>
        <v>384</v>
      </c>
      <c r="U14" s="13" cm="1">
        <f t="array" ref="U14">_xll.BDH("CMI US Equity","IS_OPERATING_EXPENSES_RD","FQ3 2023","FQ3 2023","Currency=USD","Period=FQ","BEST_FPERIOD_OVERRIDE=FQ","FILING_STATUS=MR","SCALING_FORMAT=MLN","Sort=A","Dates=H","DateFormat=P","Fill=—","Direction=H","UseDPDF=Y")</f>
        <v>376</v>
      </c>
      <c r="V14" s="13" cm="1">
        <f t="array" ref="V14">_xll.BDH("CMI US Equity","IS_OPERATING_EXPENSES_RD","FQ4 2023","FQ4 2023","Currency=USD","Period=FQ","BEST_FPERIOD_OVERRIDE=FQ","FILING_STATUS=MR","SCALING_FORMAT=MLN","Sort=A","Dates=H","DateFormat=P","Fill=—","Direction=H","UseDPDF=Y")</f>
        <v>390</v>
      </c>
      <c r="W14" s="13" cm="1">
        <f t="array" ref="W14">_xll.BDH("CMI US Equity","IS_OPERATING_EXPENSES_RD","FQ1 2024","FQ1 2024","Currency=USD","Period=FQ","BEST_FPERIOD_OVERRIDE=FQ","FILING_STATUS=MR","SCALING_FORMAT=MLN","Sort=A","Dates=H","DateFormat=P","Fill=—","Direction=H","UseDPDF=Y")</f>
        <v>369</v>
      </c>
      <c r="X14" s="13" cm="1">
        <f t="array" ref="X14">_xll.BDH("CMI US Equity","IS_OPERATING_EXPENSES_RD","FQ2 2024","FQ2 2024","Currency=USD","Period=FQ","BEST_FPERIOD_OVERRIDE=FQ","FILING_STATUS=MR","SCALING_FORMAT=MLN","Sort=A","Dates=H","DateFormat=P","Fill=—","Direction=H","UseDPDF=Y")</f>
        <v>379</v>
      </c>
      <c r="Y14" s="13" cm="1">
        <f t="array" ref="Y14">_xll.BDH("CMI US Equity","IS_OPERATING_EXPENSES_RD","FQ3 2024","FQ3 2024","Currency=USD","Period=FQ","BEST_FPERIOD_OVERRIDE=FQ","FILING_STATUS=MR","SCALING_FORMAT=MLN","Sort=A","Dates=H","DateFormat=P","Fill=—","Direction=H","UseDPDF=Y")</f>
        <v>359</v>
      </c>
      <c r="Z14" s="13" cm="1">
        <f t="array" ref="Z14">_xll.BDH("CMI US Equity","IS_OPERATING_EXPENSES_RD","FQ4 2024","FQ4 2024","Currency=USD","Period=FQ","BEST_FPERIOD_OVERRIDE=FQ","FILING_STATUS=MR","SCALING_FORMAT=MLN","Sort=A","Dates=H","DateFormat=P","Fill=—","Direction=H","UseDPDF=Y")</f>
        <v>356</v>
      </c>
      <c r="AA14" s="13" cm="1">
        <f t="array" ref="AA14">_xll.BDH("CMI US Equity","IS_OPERATING_EXPENSES_RD","FQ1 2025","FQ1 2025","Currency=USD","Period=FQ","BEST_FPERIOD_OVERRIDE=FQ","FILING_STATUS=MR","SCALING_FORMAT=MLN","Sort=A","Dates=H","DateFormat=P","Fill=—","Direction=H","UseDPDF=Y")</f>
        <v>344</v>
      </c>
      <c r="AB14" s="13" cm="1">
        <f t="array" ref="AB14">_xll.BDH("CMI US Equity","IS_OPERATING_EXPENSES_RD","FQ2 2025","FQ2 2025","Currency=USD","Period=FQ","BEST_FPERIOD_OVERRIDE=FQ","FILING_STATUS=MR","SCALING_FORMAT=MLN","Sort=A","Dates=H","DateFormat=P","Fill=—","Direction=H","UseDPDF=Y")</f>
        <v>357</v>
      </c>
      <c r="AC14" s="13" cm="1">
        <f t="array" ref="AC14">_xll.BDH("CMI US Equity","IS_OPERATING_EXPENSES_RD","FQ3 2025","FQ3 2025","Currency=USD","Period=FQ","BEST_FPERIOD_OVERRIDE=FQ","FILING_STATUS=MR","SCALING_FORMAT=MLN","Sort=A","Dates=H","DateFormat=P","Fill=—","Direction=H","UseDPDF=Y")</f>
        <v>345</v>
      </c>
      <c r="AD14" s="13" cm="1">
        <f t="array" ref="AD14">_xll.BDH("CMI US Equity","IS_OPERATING_EXPENSES_RD","FQ4 2025","FQ4 2025","Currency=USD","Period=FQ","BEST_FPERIOD_OVERRIDE=FQ","FILING_STATUS=MR","SCALING_FORMAT=MLN","Sort=A","Dates=H","DateFormat=P","Fill=—","Direction=H","UseDPDF=Y")</f>
        <v>350</v>
      </c>
      <c r="AE14" s="13"/>
      <c r="AF14" s="13"/>
    </row>
    <row r="15" spans="1:32" x14ac:dyDescent="0.25">
      <c r="A15" s="10" t="s">
        <v>83</v>
      </c>
      <c r="B15" s="10" t="s">
        <v>84</v>
      </c>
      <c r="C15" s="13" cm="1">
        <f t="array" ref="C15">_xll.BDH("CMI US Equity","IS_OTHER_OPERATING_EXPENSES","FQ1 2019","FQ1 2019","Currency=USD","Period=FQ","BEST_FPERIOD_OVERRIDE=FQ","FILING_STATUS=MR","SCALING_FORMAT=MLN","FA_ADJUSTED=Adjusted","Sort=A","Dates=H","DateFormat=P","Fill=—","Direction=H","UseDPDF=Y")</f>
        <v>0</v>
      </c>
      <c r="D15" s="13" cm="1">
        <f t="array" ref="D15">_xll.BDH("CMI US Equity","IS_OTHER_OPERATING_EXPENSES","FQ2 2019","FQ2 2019","Currency=USD","Period=FQ","BEST_FPERIOD_OVERRIDE=FQ","FILING_STATUS=MR","SCALING_FORMAT=MLN","FA_ADJUSTED=Adjusted","Sort=A","Dates=H","DateFormat=P","Fill=—","Direction=H","UseDPDF=Y")</f>
        <v>27</v>
      </c>
      <c r="E15" s="13" cm="1">
        <f t="array" ref="E15">_xll.BDH("CMI US Equity","IS_OTHER_OPERATING_EXPENSES","FQ3 2019","FQ3 2019","Currency=USD","Period=FQ","BEST_FPERIOD_OVERRIDE=FQ","FILING_STATUS=MR","SCALING_FORMAT=MLN","FA_ADJUSTED=Adjusted","Sort=A","Dates=H","DateFormat=P","Fill=—","Direction=H","UseDPDF=Y")</f>
        <v>-1</v>
      </c>
      <c r="F15" s="13" cm="1">
        <f t="array" ref="F15">_xll.BDH("CMI US Equity","IS_OTHER_OPERATING_EXPENSES","FQ4 2019","FQ4 2019","Currency=USD","Period=FQ","BEST_FPERIOD_OVERRIDE=FQ","FILING_STATUS=MR","SCALING_FORMAT=MLN","FA_ADJUSTED=Adjusted","Sort=A","Dates=H","DateFormat=P","Fill=—","Direction=H","UseDPDF=Y")</f>
        <v>1</v>
      </c>
      <c r="G15" s="13" cm="1">
        <f t="array" ref="G15">_xll.BDH("CMI US Equity","IS_OTHER_OPERATING_EXPENSES","FQ1 2020","FQ1 2020","Currency=USD","Period=FQ","BEST_FPERIOD_OVERRIDE=FQ","FILING_STATUS=MR","SCALING_FORMAT=MLN","FA_ADJUSTED=Adjusted","Sort=A","Dates=H","DateFormat=P","Fill=—","Direction=H","UseDPDF=Y")</f>
        <v>50</v>
      </c>
      <c r="H15" s="13" cm="1">
        <f t="array" ref="H15">_xll.BDH("CMI US Equity","IS_OTHER_OPERATING_EXPENSES","FQ2 2020","FQ2 2020","Currency=USD","Period=FQ","BEST_FPERIOD_OVERRIDE=FQ","FILING_STATUS=MR","SCALING_FORMAT=MLN","FA_ADJUSTED=Adjusted","Sort=A","Dates=H","DateFormat=P","Fill=—","Direction=H","UseDPDF=Y")</f>
        <v>64</v>
      </c>
      <c r="I15" s="13" cm="1">
        <f t="array" ref="I15">_xll.BDH("CMI US Equity","IS_OTHER_OPERATING_EXPENSES","FQ3 2020","FQ3 2020","Currency=USD","Period=FQ","BEST_FPERIOD_OVERRIDE=FQ","FILING_STATUS=MR","SCALING_FORMAT=MLN","FA_ADJUSTED=Adjusted","Sort=A","Dates=H","DateFormat=P","Fill=—","Direction=H","UseDPDF=Y")</f>
        <v>36</v>
      </c>
      <c r="J15" s="13" cm="1">
        <f t="array" ref="J15">_xll.BDH("CMI US Equity","IS_OTHER_OPERATING_EXPENSES","FQ4 2020","FQ4 2020","Currency=USD","Period=FQ","BEST_FPERIOD_OVERRIDE=FQ","FILING_STATUS=MR","SCALING_FORMAT=MLN","FA_ADJUSTED=Adjusted","Sort=A","Dates=H","DateFormat=P","Fill=—","Direction=H","UseDPDF=Y")</f>
        <v>18</v>
      </c>
      <c r="K15" s="13" cm="1">
        <f t="array" ref="K15">_xll.BDH("CMI US Equity","IS_OTHER_OPERATING_EXPENSES","FQ1 2021","FQ1 2021","Currency=USD","Period=FQ","BEST_FPERIOD_OVERRIDE=FQ","FILING_STATUS=MR","SCALING_FORMAT=MLN","FA_ADJUSTED=Adjusted","Sort=A","Dates=H","DateFormat=P","Fill=—","Direction=H","UseDPDF=Y")</f>
        <v>5</v>
      </c>
      <c r="L15" s="13" cm="1">
        <f t="array" ref="L15">_xll.BDH("CMI US Equity","IS_OTHER_OPERATING_EXPENSES","FQ2 2021","FQ2 2021","Currency=USD","Period=FQ","BEST_FPERIOD_OVERRIDE=FQ","FILING_STATUS=MR","SCALING_FORMAT=MLN","FA_ADJUSTED=Adjusted","Sort=A","Dates=H","DateFormat=P","Fill=—","Direction=H","UseDPDF=Y")</f>
        <v>24</v>
      </c>
      <c r="M15" s="13" cm="1">
        <f t="array" ref="M15">_xll.BDH("CMI US Equity","IS_OTHER_OPERATING_EXPENSES","FQ3 2021","FQ3 2021","Currency=USD","Period=FQ","BEST_FPERIOD_OVERRIDE=FQ","FILING_STATUS=MR","SCALING_FORMAT=MLN","FA_ADJUSTED=Adjusted","Sort=A","Dates=H","DateFormat=P","Fill=—","Direction=H","UseDPDF=Y")</f>
        <v>4</v>
      </c>
      <c r="N15" s="13" cm="1">
        <f t="array" ref="N15">_xll.BDH("CMI US Equity","IS_OTHER_OPERATING_EXPENSES","FQ4 2021","FQ4 2021","Currency=USD","Period=FQ","BEST_FPERIOD_OVERRIDE=FQ","FILING_STATUS=MR","SCALING_FORMAT=MLN","FA_ADJUSTED=Adjusted","Sort=A","Dates=H","DateFormat=P","Fill=—","Direction=H","UseDPDF=Y")</f>
        <v>14</v>
      </c>
      <c r="O15" s="13" cm="1">
        <f t="array" ref="O15">_xll.BDH("CMI US Equity","IS_OTHER_OPERATING_EXPENSES","FQ1 2022","FQ1 2022","Currency=USD","Period=FQ","BEST_FPERIOD_OVERRIDE=FQ","FILING_STATUS=MR","SCALING_FORMAT=MLN","FA_ADJUSTED=Adjusted","Sort=A","Dates=H","DateFormat=P","Fill=—","Direction=H","UseDPDF=Y")</f>
        <v>107</v>
      </c>
      <c r="P15" s="13" cm="1">
        <f t="array" ref="P15">_xll.BDH("CMI US Equity","IS_OTHER_OPERATING_EXPENSES","FQ2 2022","FQ2 2022","Currency=USD","Period=FQ","BEST_FPERIOD_OVERRIDE=FQ","FILING_STATUS=MR","SCALING_FORMAT=MLN","FA_ADJUSTED=Adjusted","Sort=A","Dates=H","DateFormat=P","Fill=—","Direction=H","UseDPDF=Y")</f>
        <v>-45</v>
      </c>
      <c r="Q15" s="13" cm="1">
        <f t="array" ref="Q15">_xll.BDH("CMI US Equity","IS_OTHER_OPERATING_EXPENSES","FQ3 2022","FQ3 2022","Currency=USD","Period=FQ","BEST_FPERIOD_OVERRIDE=FQ","FILING_STATUS=MR","SCALING_FORMAT=MLN","FA_ADJUSTED=Adjusted","Sort=A","Dates=H","DateFormat=P","Fill=—","Direction=H","UseDPDF=Y")</f>
        <v>59</v>
      </c>
      <c r="R15" s="13" cm="1">
        <f t="array" ref="R15">_xll.BDH("CMI US Equity","IS_OTHER_OPERATING_EXPENSES","FQ4 2022","FQ4 2022","Currency=USD","Period=FQ","BEST_FPERIOD_OVERRIDE=FQ","FILING_STATUS=MR","SCALING_FORMAT=MLN","FA_ADJUSTED=Adjusted","Sort=A","Dates=H","DateFormat=P","Fill=—","Direction=H","UseDPDF=Y")</f>
        <v>30</v>
      </c>
      <c r="S15" s="13" cm="1">
        <f t="array" ref="S15">_xll.BDH("CMI US Equity","IS_OTHER_OPERATING_EXPENSES","FQ1 2023","FQ1 2023","Currency=USD","Period=FQ","BEST_FPERIOD_OVERRIDE=FQ","FILING_STATUS=MR","SCALING_FORMAT=MLN","FA_ADJUSTED=Adjusted","Sort=A","Dates=H","DateFormat=P","Fill=—","Direction=H","UseDPDF=Y")</f>
        <v>18</v>
      </c>
      <c r="T15" s="13" cm="1">
        <f t="array" ref="T15">_xll.BDH("CMI US Equity","IS_OTHER_OPERATING_EXPENSES","FQ2 2023","FQ2 2023","Currency=USD","Period=FQ","BEST_FPERIOD_OVERRIDE=FQ","FILING_STATUS=MR","SCALING_FORMAT=MLN","FA_ADJUSTED=Adjusted","Sort=A","Dates=H","DateFormat=P","Fill=—","Direction=H","UseDPDF=Y")</f>
        <v>25</v>
      </c>
      <c r="U15" s="13" cm="1">
        <f t="array" ref="U15">_xll.BDH("CMI US Equity","IS_OTHER_OPERATING_EXPENSES","FQ3 2023","FQ3 2023","Currency=USD","Period=FQ","BEST_FPERIOD_OVERRIDE=FQ","FILING_STATUS=MR","SCALING_FORMAT=MLN","FA_ADJUSTED=Adjusted","Sort=A","Dates=H","DateFormat=P","Fill=—","Direction=H","UseDPDF=Y")</f>
        <v>3</v>
      </c>
      <c r="V15" s="13" cm="1">
        <f t="array" ref="V15">_xll.BDH("CMI US Equity","IS_OTHER_OPERATING_EXPENSES","FQ4 2023","FQ4 2023","Currency=USD","Period=FQ","BEST_FPERIOD_OVERRIDE=FQ","FILING_STATUS=MR","SCALING_FORMAT=MLN","FA_ADJUSTED=Adjusted","Sort=A","Dates=H","DateFormat=P","Fill=—","Direction=H","UseDPDF=Y")</f>
        <v>2060</v>
      </c>
      <c r="W15" s="13" cm="1">
        <f t="array" ref="W15">_xll.BDH("CMI US Equity","IS_OTHER_OPERATING_EXPENSES","FQ1 2024","FQ1 2024","Currency=USD","Period=FQ","BEST_FPERIOD_OVERRIDE=FQ","FILING_STATUS=MR","SCALING_FORMAT=MLN","FA_ADJUSTED=Adjusted","Sort=A","Dates=H","DateFormat=P","Fill=—","Direction=H","UseDPDF=Y")</f>
        <v>4</v>
      </c>
      <c r="X15" s="13" cm="1">
        <f t="array" ref="X15">_xll.BDH("CMI US Equity","IS_OTHER_OPERATING_EXPENSES","FQ2 2024","FQ2 2024","Currency=USD","Period=FQ","BEST_FPERIOD_OVERRIDE=FQ","FILING_STATUS=MR","SCALING_FORMAT=MLN","FA_ADJUSTED=Adjusted","Sort=A","Dates=H","DateFormat=P","Fill=—","Direction=H","UseDPDF=Y")</f>
        <v>44</v>
      </c>
      <c r="Y15" s="13" cm="1">
        <f t="array" ref="Y15">_xll.BDH("CMI US Equity","IS_OTHER_OPERATING_EXPENSES","FQ3 2024","FQ3 2024","Currency=USD","Period=FQ","BEST_FPERIOD_OVERRIDE=FQ","FILING_STATUS=MR","SCALING_FORMAT=MLN","FA_ADJUSTED=Adjusted","Sort=A","Dates=H","DateFormat=P","Fill=—","Direction=H","UseDPDF=Y")</f>
        <v>52</v>
      </c>
      <c r="Z15" s="13" cm="1">
        <f t="array" ref="Z15">_xll.BDH("CMI US Equity","IS_OTHER_OPERATING_EXPENSES","FQ4 2024","FQ4 2024","Currency=USD","Period=FQ","BEST_FPERIOD_OVERRIDE=FQ","FILING_STATUS=MR","SCALING_FORMAT=MLN","FA_ADJUSTED=Adjusted","Sort=A","Dates=H","DateFormat=P","Fill=—","Direction=H","UseDPDF=Y")</f>
        <v>200</v>
      </c>
      <c r="AA15" s="13" cm="1">
        <f t="array" ref="AA15">_xll.BDH("CMI US Equity","IS_OTHER_OPERATING_EXPENSES","FQ1 2025","FQ1 2025","Currency=USD","Period=FQ","BEST_FPERIOD_OVERRIDE=FQ","FILING_STATUS=MR","SCALING_FORMAT=MLN","FA_ADJUSTED=Adjusted","Sort=A","Dates=H","DateFormat=P","Fill=—","Direction=H","UseDPDF=Y")</f>
        <v>37</v>
      </c>
      <c r="AB15" s="13" cm="1">
        <f t="array" ref="AB15">_xll.BDH("CMI US Equity","IS_OTHER_OPERATING_EXPENSES","FQ2 2025","FQ2 2025","Currency=USD","Period=FQ","BEST_FPERIOD_OVERRIDE=FQ","FILING_STATUS=MR","SCALING_FORMAT=MLN","FA_ADJUSTED=Adjusted","Sort=A","Dates=H","DateFormat=P","Fill=—","Direction=H","UseDPDF=Y")</f>
        <v>37</v>
      </c>
      <c r="AC15" s="13" cm="1">
        <f t="array" ref="AC15">_xll.BDH("CMI US Equity","IS_OTHER_OPERATING_EXPENSES","FQ3 2025","FQ3 2025","Currency=USD","Period=FQ","BEST_FPERIOD_OVERRIDE=FQ","FILING_STATUS=MR","SCALING_FORMAT=MLN","FA_ADJUSTED=Adjusted","Sort=A","Dates=H","DateFormat=P","Fill=—","Direction=H","UseDPDF=Y")</f>
        <v>243</v>
      </c>
      <c r="AD15" s="13" cm="1">
        <f t="array" ref="AD15">_xll.BDH("CMI US Equity","IS_OTHER_OPERATING_EXPENSES","FQ4 2025","FQ4 2025","Currency=USD","Period=FQ","BEST_FPERIOD_OVERRIDE=FQ","FILING_STATUS=MR","SCALING_FORMAT=MLN","FA_ADJUSTED=Adjusted","Sort=A","Dates=H","DateFormat=P","Fill=—","Direction=H","UseDPDF=Y")</f>
        <v>-100</v>
      </c>
      <c r="AE15" s="13"/>
      <c r="AF15" s="13"/>
    </row>
    <row r="16" spans="1:32" x14ac:dyDescent="0.25">
      <c r="A16" s="6" t="s">
        <v>85</v>
      </c>
      <c r="B16" s="6" t="s">
        <v>86</v>
      </c>
      <c r="C16" s="16" cm="1">
        <f t="array" ref="C16">_xll.BDH("CMI US Equity","IS_OPER_INC","FQ1 2019","FQ1 2019","Currency=USD","Period=FQ","BEST_FPERIOD_OVERRIDE=FQ","FILING_STATUS=MR","SCALING_FORMAT=MLN","FA_ADJUSTED=Adjusted","Sort=A","Dates=H","DateFormat=P","Fill=—","Direction=H","UseDPDF=Y")</f>
        <v>794</v>
      </c>
      <c r="D16" s="16" cm="1">
        <f t="array" ref="D16">_xll.BDH("CMI US Equity","IS_OPER_INC","FQ2 2019","FQ2 2019","Currency=USD","Period=FQ","BEST_FPERIOD_OVERRIDE=FQ","FILING_STATUS=MR","SCALING_FORMAT=MLN","FA_ADJUSTED=Adjusted","Sort=A","Dates=H","DateFormat=P","Fill=—","Direction=H","UseDPDF=Y")</f>
        <v>830</v>
      </c>
      <c r="E16" s="16" cm="1">
        <f t="array" ref="E16">_xll.BDH("CMI US Equity","IS_OPER_INC","FQ3 2019","FQ3 2019","Currency=USD","Period=FQ","BEST_FPERIOD_OVERRIDE=FQ","FILING_STATUS=MR","SCALING_FORMAT=MLN","FA_ADJUSTED=Adjusted","Sort=A","Dates=H","DateFormat=P","Fill=—","Direction=H","UseDPDF=Y")</f>
        <v>721</v>
      </c>
      <c r="F16" s="16" cm="1">
        <f t="array" ref="F16">_xll.BDH("CMI US Equity","IS_OPER_INC","FQ4 2019","FQ4 2019","Currency=USD","Period=FQ","BEST_FPERIOD_OVERRIDE=FQ","FILING_STATUS=MR","SCALING_FORMAT=MLN","FA_ADJUSTED=Adjusted","Sort=A","Dates=H","DateFormat=P","Fill=—","Direction=H","UseDPDF=Y")</f>
        <v>483</v>
      </c>
      <c r="G16" s="16" cm="1">
        <f t="array" ref="G16">_xll.BDH("CMI US Equity","IS_OPER_INC","FQ1 2020","FQ1 2020","Currency=USD","Period=FQ","BEST_FPERIOD_OVERRIDE=FQ","FILING_STATUS=MR","SCALING_FORMAT=MLN","FA_ADJUSTED=Adjusted","Sort=A","Dates=H","DateFormat=P","Fill=—","Direction=H","UseDPDF=Y")</f>
        <v>589</v>
      </c>
      <c r="H16" s="16" cm="1">
        <f t="array" ref="H16">_xll.BDH("CMI US Equity","IS_OPER_INC","FQ2 2020","FQ2 2020","Currency=USD","Period=FQ","BEST_FPERIOD_OVERRIDE=FQ","FILING_STATUS=MR","SCALING_FORMAT=MLN","FA_ADJUSTED=Adjusted","Sort=A","Dates=H","DateFormat=P","Fill=—","Direction=H","UseDPDF=Y")</f>
        <v>282</v>
      </c>
      <c r="I16" s="16" cm="1">
        <f t="array" ref="I16">_xll.BDH("CMI US Equity","IS_OPER_INC","FQ3 2020","FQ3 2020","Currency=USD","Period=FQ","BEST_FPERIOD_OVERRIDE=FQ","FILING_STATUS=MR","SCALING_FORMAT=MLN","FA_ADJUSTED=Adjusted","Sort=A","Dates=H","DateFormat=P","Fill=—","Direction=H","UseDPDF=Y")</f>
        <v>654</v>
      </c>
      <c r="J16" s="16" cm="1">
        <f t="array" ref="J16">_xll.BDH("CMI US Equity","IS_OPER_INC","FQ4 2020","FQ4 2020","Currency=USD","Period=FQ","BEST_FPERIOD_OVERRIDE=FQ","FILING_STATUS=MR","SCALING_FORMAT=MLN","FA_ADJUSTED=Adjusted","Sort=A","Dates=H","DateFormat=P","Fill=—","Direction=H","UseDPDF=Y")</f>
        <v>622</v>
      </c>
      <c r="K16" s="16" cm="1">
        <f t="array" ref="K16">_xll.BDH("CMI US Equity","IS_OPER_INC","FQ1 2021","FQ1 2021","Currency=USD","Period=FQ","BEST_FPERIOD_OVERRIDE=FQ","FILING_STATUS=MR","SCALING_FORMAT=MLN","FA_ADJUSTED=Adjusted","Sort=A","Dates=H","DateFormat=P","Fill=—","Direction=H","UseDPDF=Y")</f>
        <v>813</v>
      </c>
      <c r="L16" s="16" cm="1">
        <f t="array" ref="L16">_xll.BDH("CMI US Equity","IS_OPER_INC","FQ2 2021","FQ2 2021","Currency=USD","Period=FQ","BEST_FPERIOD_OVERRIDE=FQ","FILING_STATUS=MR","SCALING_FORMAT=MLN","FA_ADJUSTED=Adjusted","Sort=A","Dates=H","DateFormat=P","Fill=—","Direction=H","UseDPDF=Y")</f>
        <v>715</v>
      </c>
      <c r="M16" s="16" cm="1">
        <f t="array" ref="M16">_xll.BDH("CMI US Equity","IS_OPER_INC","FQ3 2021","FQ3 2021","Currency=USD","Period=FQ","BEST_FPERIOD_OVERRIDE=FQ","FILING_STATUS=MR","SCALING_FORMAT=MLN","FA_ADJUSTED=Adjusted","Sort=A","Dates=H","DateFormat=P","Fill=—","Direction=H","UseDPDF=Y")</f>
        <v>667</v>
      </c>
      <c r="N16" s="16" cm="1">
        <f t="array" ref="N16">_xll.BDH("CMI US Equity","IS_OPER_INC","FQ4 2021","FQ4 2021","Currency=USD","Period=FQ","BEST_FPERIOD_OVERRIDE=FQ","FILING_STATUS=MR","SCALING_FORMAT=MLN","FA_ADJUSTED=Adjusted","Sort=A","Dates=H","DateFormat=P","Fill=—","Direction=H","UseDPDF=Y")</f>
        <v>495</v>
      </c>
      <c r="O16" s="16" cm="1">
        <f t="array" ref="O16">_xll.BDH("CMI US Equity","IS_OPER_INC","FQ1 2022","FQ1 2022","Currency=USD","Period=FQ","BEST_FPERIOD_OVERRIDE=FQ","FILING_STATUS=MR","SCALING_FORMAT=MLN","FA_ADJUSTED=Adjusted","Sort=A","Dates=H","DateFormat=P","Fill=—","Direction=H","UseDPDF=Y")</f>
        <v>608</v>
      </c>
      <c r="P16" s="16" cm="1">
        <f t="array" ref="P16">_xll.BDH("CMI US Equity","IS_OPER_INC","FQ2 2022","FQ2 2022","Currency=USD","Period=FQ","BEST_FPERIOD_OVERRIDE=FQ","FILING_STATUS=MR","SCALING_FORMAT=MLN","FA_ADJUSTED=Adjusted","Sort=A","Dates=H","DateFormat=P","Fill=—","Direction=H","UseDPDF=Y")</f>
        <v>945</v>
      </c>
      <c r="Q16" s="16" cm="1">
        <f t="array" ref="Q16">_xll.BDH("CMI US Equity","IS_OPER_INC","FQ3 2022","FQ3 2022","Currency=USD","Period=FQ","BEST_FPERIOD_OVERRIDE=FQ","FILING_STATUS=MR","SCALING_FORMAT=MLN","FA_ADJUSTED=Adjusted","Sort=A","Dates=H","DateFormat=P","Fill=—","Direction=H","UseDPDF=Y")</f>
        <v>597</v>
      </c>
      <c r="R16" s="16" cm="1">
        <f t="array" ref="R16">_xll.BDH("CMI US Equity","IS_OPER_INC","FQ4 2022","FQ4 2022","Currency=USD","Period=FQ","BEST_FPERIOD_OVERRIDE=FQ","FILING_STATUS=MR","SCALING_FORMAT=MLN","FA_ADJUSTED=Adjusted","Sort=A","Dates=H","DateFormat=P","Fill=—","Direction=H","UseDPDF=Y")</f>
        <v>802</v>
      </c>
      <c r="S16" s="16" cm="1">
        <f t="array" ref="S16">_xll.BDH("CMI US Equity","IS_OPER_INC","FQ1 2023","FQ1 2023","Currency=USD","Period=FQ","BEST_FPERIOD_OVERRIDE=FQ","FILING_STATUS=MR","SCALING_FORMAT=MLN","FA_ADJUSTED=Adjusted","Sort=A","Dates=H","DateFormat=P","Fill=—","Direction=H","UseDPDF=Y")</f>
        <v>1027</v>
      </c>
      <c r="T16" s="16" cm="1">
        <f t="array" ref="T16">_xll.BDH("CMI US Equity","IS_OPER_INC","FQ2 2023","FQ2 2023","Currency=USD","Period=FQ","BEST_FPERIOD_OVERRIDE=FQ","FILING_STATUS=MR","SCALING_FORMAT=MLN","FA_ADJUSTED=Adjusted","Sort=A","Dates=H","DateFormat=P","Fill=—","Direction=H","UseDPDF=Y")</f>
        <v>999</v>
      </c>
      <c r="U16" s="16" cm="1">
        <f t="array" ref="U16">_xll.BDH("CMI US Equity","IS_OPER_INC","FQ3 2023","FQ3 2023","Currency=USD","Period=FQ","BEST_FPERIOD_OVERRIDE=FQ","FILING_STATUS=MR","SCALING_FORMAT=MLN","FA_ADJUSTED=Adjusted","Sort=A","Dates=H","DateFormat=P","Fill=—","Direction=H","UseDPDF=Y")</f>
        <v>979</v>
      </c>
      <c r="V16" s="16" cm="1">
        <f t="array" ref="V16">_xll.BDH("CMI US Equity","IS_OPER_INC","FQ4 2023","FQ4 2023","Currency=USD","Period=FQ","BEST_FPERIOD_OVERRIDE=FQ","FILING_STATUS=MR","SCALING_FORMAT=MLN","FA_ADJUSTED=Adjusted","Sort=A","Dates=H","DateFormat=P","Fill=—","Direction=H","UseDPDF=Y")</f>
        <v>-1212</v>
      </c>
      <c r="W16" s="16" cm="1">
        <f t="array" ref="W16">_xll.BDH("CMI US Equity","IS_OPER_INC","FQ1 2024","FQ1 2024","Currency=USD","Period=FQ","BEST_FPERIOD_OVERRIDE=FQ","FILING_STATUS=MR","SCALING_FORMAT=MLN","FA_ADJUSTED=Adjusted","Sort=A","Dates=H","DateFormat=P","Fill=—","Direction=H","UseDPDF=Y")</f>
        <v>952</v>
      </c>
      <c r="X16" s="16" cm="1">
        <f t="array" ref="X16">_xll.BDH("CMI US Equity","IS_OPER_INC","FQ2 2024","FQ2 2024","Currency=USD","Period=FQ","BEST_FPERIOD_OVERRIDE=FQ","FILING_STATUS=MR","SCALING_FORMAT=MLN","FA_ADJUSTED=Adjusted","Sort=A","Dates=H","DateFormat=P","Fill=—","Direction=H","UseDPDF=Y")</f>
        <v>1045</v>
      </c>
      <c r="Y16" s="16" cm="1">
        <f t="array" ref="Y16">_xll.BDH("CMI US Equity","IS_OPER_INC","FQ3 2024","FQ3 2024","Currency=USD","Period=FQ","BEST_FPERIOD_OVERRIDE=FQ","FILING_STATUS=MR","SCALING_FORMAT=MLN","FA_ADJUSTED=Adjusted","Sort=A","Dates=H","DateFormat=P","Fill=—","Direction=H","UseDPDF=Y")</f>
        <v>1052</v>
      </c>
      <c r="Z16" s="16" cm="1">
        <f t="array" ref="Z16">_xll.BDH("CMI US Equity","IS_OPER_INC","FQ4 2024","FQ4 2024","Currency=USD","Period=FQ","BEST_FPERIOD_OVERRIDE=FQ","FILING_STATUS=MR","SCALING_FORMAT=MLN","FA_ADJUSTED=Adjusted","Sort=A","Dates=H","DateFormat=P","Fill=—","Direction=H","UseDPDF=Y")</f>
        <v>747</v>
      </c>
      <c r="AA16" s="16" cm="1">
        <f t="array" ref="AA16">_xll.BDH("CMI US Equity","IS_OPER_INC","FQ1 2025","FQ1 2025","Currency=USD","Period=FQ","BEST_FPERIOD_OVERRIDE=FQ","FILING_STATUS=MR","SCALING_FORMAT=MLN","FA_ADJUSTED=Adjusted","Sort=A","Dates=H","DateFormat=P","Fill=—","Direction=H","UseDPDF=Y")</f>
        <v>1134</v>
      </c>
      <c r="AB16" s="16" cm="1">
        <f t="array" ref="AB16">_xll.BDH("CMI US Equity","IS_OPER_INC","FQ2 2025","FQ2 2025","Currency=USD","Period=FQ","BEST_FPERIOD_OVERRIDE=FQ","FILING_STATUS=MR","SCALING_FORMAT=MLN","FA_ADJUSTED=Adjusted","Sort=A","Dates=H","DateFormat=P","Fill=—","Direction=H","UseDPDF=Y")</f>
        <v>1226</v>
      </c>
      <c r="AC16" s="16" cm="1">
        <f t="array" ref="AC16">_xll.BDH("CMI US Equity","IS_OPER_INC","FQ3 2025","FQ3 2025","Currency=USD","Period=FQ","BEST_FPERIOD_OVERRIDE=FQ","FILING_STATUS=MR","SCALING_FORMAT=MLN","FA_ADJUSTED=Adjusted","Sort=A","Dates=H","DateFormat=P","Fill=—","Direction=H","UseDPDF=Y")</f>
        <v>856</v>
      </c>
      <c r="AD16" s="16" cm="1">
        <f t="array" ref="AD16">_xll.BDH("CMI US Equity","IS_OPER_INC","FQ4 2025","FQ4 2025","Currency=USD","Period=FQ","BEST_FPERIOD_OVERRIDE=FQ","FILING_STATUS=MR","SCALING_FORMAT=MLN","FA_ADJUSTED=Adjusted","Sort=A","Dates=H","DateFormat=P","Fill=—","Direction=H","UseDPDF=Y")</f>
        <v>1031</v>
      </c>
      <c r="AE16" s="16">
        <v>1140.8</v>
      </c>
      <c r="AF16" s="16">
        <v>1241.7</v>
      </c>
    </row>
    <row r="17" spans="1:32" x14ac:dyDescent="0.25">
      <c r="A17" s="10" t="s">
        <v>87</v>
      </c>
      <c r="B17" s="10" t="s">
        <v>88</v>
      </c>
      <c r="C17" s="13" cm="1">
        <f t="array" ref="C17">_xll.BDH("CMI US Equity","IS_NONOP_INCOME_LOSS","FQ1 2019","FQ1 2019","Currency=USD","Period=FQ","BEST_FPERIOD_OVERRIDE=FQ","FILING_STATUS=MR","SCALING_FORMAT=MLN","FA_ADJUSTED=Adjusted","Sort=A","Dates=H","DateFormat=P","Fill=—","Direction=H","UseDPDF=Y")</f>
        <v>-46</v>
      </c>
      <c r="D17" s="13" cm="1">
        <f t="array" ref="D17">_xll.BDH("CMI US Equity","IS_NONOP_INCOME_LOSS","FQ2 2019","FQ2 2019","Currency=USD","Period=FQ","BEST_FPERIOD_OVERRIDE=FQ","FILING_STATUS=MR","SCALING_FORMAT=MLN","FA_ADJUSTED=Adjusted","Sort=A","Dates=H","DateFormat=P","Fill=—","Direction=H","UseDPDF=Y")</f>
        <v>-23</v>
      </c>
      <c r="E17" s="13" cm="1">
        <f t="array" ref="E17">_xll.BDH("CMI US Equity","IS_NONOP_INCOME_LOSS","FQ3 2019","FQ3 2019","Currency=USD","Period=FQ","BEST_FPERIOD_OVERRIDE=FQ","FILING_STATUS=MR","SCALING_FORMAT=MLN","FA_ADJUSTED=Adjusted","Sort=A","Dates=H","DateFormat=P","Fill=—","Direction=H","UseDPDF=Y")</f>
        <v>-20.556999999999999</v>
      </c>
      <c r="F17" s="13" cm="1">
        <f t="array" ref="F17">_xll.BDH("CMI US Equity","IS_NONOP_INCOME_LOSS","FQ4 2019","FQ4 2019","Currency=USD","Period=FQ","BEST_FPERIOD_OVERRIDE=FQ","FILING_STATUS=MR","SCALING_FORMAT=MLN","FA_ADJUSTED=Adjusted","Sort=A","Dates=H","DateFormat=P","Fill=—","Direction=H","UseDPDF=Y")</f>
        <v>-6</v>
      </c>
      <c r="G17" s="13" cm="1">
        <f t="array" ref="G17">_xll.BDH("CMI US Equity","IS_NONOP_INCOME_LOSS","FQ1 2020","FQ1 2020","Currency=USD","Period=FQ","BEST_FPERIOD_OVERRIDE=FQ","FILING_STATUS=MR","SCALING_FORMAT=MLN","FA_ADJUSTED=Adjusted","Sort=A","Dates=H","DateFormat=P","Fill=—","Direction=H","UseDPDF=Y")</f>
        <v>-21</v>
      </c>
      <c r="H17" s="13" cm="1">
        <f t="array" ref="H17">_xll.BDH("CMI US Equity","IS_NONOP_INCOME_LOSS","FQ2 2020","FQ2 2020","Currency=USD","Period=FQ","BEST_FPERIOD_OVERRIDE=FQ","FILING_STATUS=MR","SCALING_FORMAT=MLN","FA_ADJUSTED=Adjusted","Sort=A","Dates=H","DateFormat=P","Fill=—","Direction=H","UseDPDF=Y")</f>
        <v>-26</v>
      </c>
      <c r="I17" s="13" cm="1">
        <f t="array" ref="I17">_xll.BDH("CMI US Equity","IS_NONOP_INCOME_LOSS","FQ3 2020","FQ3 2020","Currency=USD","Period=FQ","BEST_FPERIOD_OVERRIDE=FQ","FILING_STATUS=MR","SCALING_FORMAT=MLN","FA_ADJUSTED=Adjusted","Sort=A","Dates=H","DateFormat=P","Fill=—","Direction=H","UseDPDF=Y")</f>
        <v>-16</v>
      </c>
      <c r="J17" s="13" cm="1">
        <f t="array" ref="J17">_xll.BDH("CMI US Equity","IS_NONOP_INCOME_LOSS","FQ4 2020","FQ4 2020","Currency=USD","Period=FQ","BEST_FPERIOD_OVERRIDE=FQ","FILING_STATUS=MR","SCALING_FORMAT=MLN","FA_ADJUSTED=Adjusted","Sort=A","Dates=H","DateFormat=P","Fill=—","Direction=H","UseDPDF=Y")</f>
        <v>-6</v>
      </c>
      <c r="K17" s="13" cm="1">
        <f t="array" ref="K17">_xll.BDH("CMI US Equity","IS_NONOP_INCOME_LOSS","FQ1 2021","FQ1 2021","Currency=USD","Period=FQ","BEST_FPERIOD_OVERRIDE=FQ","FILING_STATUS=MR","SCALING_FORMAT=MLN","FA_ADJUSTED=Adjusted","Sort=A","Dates=H","DateFormat=P","Fill=—","Direction=H","UseDPDF=Y")</f>
        <v>27</v>
      </c>
      <c r="L17" s="13" cm="1">
        <f t="array" ref="L17">_xll.BDH("CMI US Equity","IS_NONOP_INCOME_LOSS","FQ2 2021","FQ2 2021","Currency=USD","Period=FQ","BEST_FPERIOD_OVERRIDE=FQ","FILING_STATUS=MR","SCALING_FORMAT=MLN","FA_ADJUSTED=Adjusted","Sort=A","Dates=H","DateFormat=P","Fill=—","Direction=H","UseDPDF=Y")</f>
        <v>-44</v>
      </c>
      <c r="M17" s="13" cm="1">
        <f t="array" ref="M17">_xll.BDH("CMI US Equity","IS_NONOP_INCOME_LOSS","FQ3 2021","FQ3 2021","Currency=USD","Period=FQ","BEST_FPERIOD_OVERRIDE=FQ","FILING_STATUS=MR","SCALING_FORMAT=MLN","FA_ADJUSTED=Adjusted","Sort=A","Dates=H","DateFormat=P","Fill=—","Direction=H","UseDPDF=Y")</f>
        <v>-6</v>
      </c>
      <c r="N17" s="13" cm="1">
        <f t="array" ref="N17">_xll.BDH("CMI US Equity","IS_NONOP_INCOME_LOSS","FQ4 2021","FQ4 2021","Currency=USD","Period=FQ","BEST_FPERIOD_OVERRIDE=FQ","FILING_STATUS=MR","SCALING_FORMAT=MLN","FA_ADJUSTED=Adjusted","Sort=A","Dates=H","DateFormat=P","Fill=—","Direction=H","UseDPDF=Y")</f>
        <v>-19</v>
      </c>
      <c r="O17" s="13" cm="1">
        <f t="array" ref="O17">_xll.BDH("CMI US Equity","IS_NONOP_INCOME_LOSS","FQ1 2022","FQ1 2022","Currency=USD","Period=FQ","BEST_FPERIOD_OVERRIDE=FQ","FILING_STATUS=MR","SCALING_FORMAT=MLN","FA_ADJUSTED=Adjusted","Sort=A","Dates=H","DateFormat=P","Fill=—","Direction=H","UseDPDF=Y")</f>
        <v>26</v>
      </c>
      <c r="P17" s="13" cm="1">
        <f t="array" ref="P17">_xll.BDH("CMI US Equity","IS_NONOP_INCOME_LOSS","FQ2 2022","FQ2 2022","Currency=USD","Period=FQ","BEST_FPERIOD_OVERRIDE=FQ","FILING_STATUS=MR","SCALING_FORMAT=MLN","FA_ADJUSTED=Adjusted","Sort=A","Dates=H","DateFormat=P","Fill=—","Direction=H","UseDPDF=Y")</f>
        <v>42</v>
      </c>
      <c r="Q17" s="13" cm="1">
        <f t="array" ref="Q17">_xll.BDH("CMI US Equity","IS_NONOP_INCOME_LOSS","FQ3 2022","FQ3 2022","Currency=USD","Period=FQ","BEST_FPERIOD_OVERRIDE=FQ","FILING_STATUS=MR","SCALING_FORMAT=MLN","FA_ADJUSTED=Adjusted","Sort=A","Dates=H","DateFormat=P","Fill=—","Direction=H","UseDPDF=Y")</f>
        <v>-11</v>
      </c>
      <c r="R17" s="13" cm="1">
        <f t="array" ref="R17">_xll.BDH("CMI US Equity","IS_NONOP_INCOME_LOSS","FQ4 2022","FQ4 2022","Currency=USD","Period=FQ","BEST_FPERIOD_OVERRIDE=FQ","FILING_STATUS=MR","SCALING_FORMAT=MLN","FA_ADJUSTED=Adjusted","Sort=A","Dates=H","DateFormat=P","Fill=—","Direction=H","UseDPDF=Y")</f>
        <v>24</v>
      </c>
      <c r="S17" s="13" cm="1">
        <f t="array" ref="S17">_xll.BDH("CMI US Equity","IS_NONOP_INCOME_LOSS","FQ1 2023","FQ1 2023","Currency=USD","Period=FQ","BEST_FPERIOD_OVERRIDE=FQ","FILING_STATUS=MR","SCALING_FORMAT=MLN","FA_ADJUSTED=Adjusted","Sort=A","Dates=H","DateFormat=P","Fill=—","Direction=H","UseDPDF=Y")</f>
        <v>-3</v>
      </c>
      <c r="T17" s="13" cm="1">
        <f t="array" ref="T17">_xll.BDH("CMI US Equity","IS_NONOP_INCOME_LOSS","FQ2 2023","FQ2 2023","Currency=USD","Period=FQ","BEST_FPERIOD_OVERRIDE=FQ","FILING_STATUS=MR","SCALING_FORMAT=MLN","FA_ADJUSTED=Adjusted","Sort=A","Dates=H","DateFormat=P","Fill=—","Direction=H","UseDPDF=Y")</f>
        <v>47</v>
      </c>
      <c r="U17" s="13" cm="1">
        <f t="array" ref="U17">_xll.BDH("CMI US Equity","IS_NONOP_INCOME_LOSS","FQ3 2023","FQ3 2023","Currency=USD","Period=FQ","BEST_FPERIOD_OVERRIDE=FQ","FILING_STATUS=MR","SCALING_FORMAT=MLN","FA_ADJUSTED=Adjusted","Sort=A","Dates=H","DateFormat=P","Fill=—","Direction=H","UseDPDF=Y")</f>
        <v>44</v>
      </c>
      <c r="V17" s="13" cm="1">
        <f t="array" ref="V17">_xll.BDH("CMI US Equity","IS_NONOP_INCOME_LOSS","FQ4 2023","FQ4 2023","Currency=USD","Period=FQ","BEST_FPERIOD_OVERRIDE=FQ","FILING_STATUS=MR","SCALING_FORMAT=MLN","FA_ADJUSTED=Adjusted","Sort=A","Dates=H","DateFormat=P","Fill=—","Direction=H","UseDPDF=Y")</f>
        <v>18</v>
      </c>
      <c r="W17" s="13" cm="1">
        <f t="array" ref="W17">_xll.BDH("CMI US Equity","IS_NONOP_INCOME_LOSS","FQ1 2024","FQ1 2024","Currency=USD","Period=FQ","BEST_FPERIOD_OVERRIDE=FQ","FILING_STATUS=MR","SCALING_FORMAT=MLN","FA_ADJUSTED=Adjusted","Sort=A","Dates=H","DateFormat=P","Fill=—","Direction=H","UseDPDF=Y")</f>
        <v>6</v>
      </c>
      <c r="X17" s="13" cm="1">
        <f t="array" ref="X17">_xll.BDH("CMI US Equity","IS_NONOP_INCOME_LOSS","FQ2 2024","FQ2 2024","Currency=USD","Period=FQ","BEST_FPERIOD_OVERRIDE=FQ","FILING_STATUS=MR","SCALING_FORMAT=MLN","FA_ADJUSTED=Adjusted","Sort=A","Dates=H","DateFormat=P","Fill=—","Direction=H","UseDPDF=Y")</f>
        <v>66</v>
      </c>
      <c r="Y17" s="13" cm="1">
        <f t="array" ref="Y17">_xll.BDH("CMI US Equity","IS_NONOP_INCOME_LOSS","FQ3 2024","FQ3 2024","Currency=USD","Period=FQ","BEST_FPERIOD_OVERRIDE=FQ","FILING_STATUS=MR","SCALING_FORMAT=MLN","FA_ADJUSTED=Adjusted","Sort=A","Dates=H","DateFormat=P","Fill=—","Direction=H","UseDPDF=Y")</f>
        <v>42</v>
      </c>
      <c r="Z17" s="13" cm="1">
        <f t="array" ref="Z17">_xll.BDH("CMI US Equity","IS_NONOP_INCOME_LOSS","FQ4 2024","FQ4 2024","Currency=USD","Period=FQ","BEST_FPERIOD_OVERRIDE=FQ","FILING_STATUS=MR","SCALING_FORMAT=MLN","FA_ADJUSTED=Adjusted","Sort=A","Dates=H","DateFormat=P","Fill=—","Direction=H","UseDPDF=Y")</f>
        <v>45</v>
      </c>
      <c r="AA17" s="13" cm="1">
        <f t="array" ref="AA17">_xll.BDH("CMI US Equity","IS_NONOP_INCOME_LOSS","FQ1 2025","FQ1 2025","Currency=USD","Period=FQ","BEST_FPERIOD_OVERRIDE=FQ","FILING_STATUS=MR","SCALING_FORMAT=MLN","FA_ADJUSTED=Adjusted","Sort=A","Dates=H","DateFormat=P","Fill=—","Direction=H","UseDPDF=Y")</f>
        <v>17</v>
      </c>
      <c r="AB17" s="13" cm="1">
        <f t="array" ref="AB17">_xll.BDH("CMI US Equity","IS_NONOP_INCOME_LOSS","FQ2 2025","FQ2 2025","Currency=USD","Period=FQ","BEST_FPERIOD_OVERRIDE=FQ","FILING_STATUS=MR","SCALING_FORMAT=MLN","FA_ADJUSTED=Adjusted","Sort=A","Dates=H","DateFormat=P","Fill=—","Direction=H","UseDPDF=Y")</f>
        <v>19</v>
      </c>
      <c r="AC17" s="13" cm="1">
        <f t="array" ref="AC17">_xll.BDH("CMI US Equity","IS_NONOP_INCOME_LOSS","FQ3 2025","FQ3 2025","Currency=USD","Period=FQ","BEST_FPERIOD_OVERRIDE=FQ","FILING_STATUS=MR","SCALING_FORMAT=MLN","FA_ADJUSTED=Adjusted","Sort=A","Dates=H","DateFormat=P","Fill=—","Direction=H","UseDPDF=Y")</f>
        <v>43</v>
      </c>
      <c r="AD17" s="13" cm="1">
        <f t="array" ref="AD17">_xll.BDH("CMI US Equity","IS_NONOP_INCOME_LOSS","FQ4 2025","FQ4 2025","Currency=USD","Period=FQ","BEST_FPERIOD_OVERRIDE=FQ","FILING_STATUS=MR","SCALING_FORMAT=MLN","FA_ADJUSTED=Adjusted","Sort=A","Dates=H","DateFormat=P","Fill=—","Direction=H","UseDPDF=Y")</f>
        <v>22</v>
      </c>
      <c r="AE17" s="13"/>
      <c r="AF17" s="13"/>
    </row>
    <row r="18" spans="1:32" x14ac:dyDescent="0.25">
      <c r="A18" s="10" t="s">
        <v>89</v>
      </c>
      <c r="B18" s="10" t="s">
        <v>90</v>
      </c>
      <c r="C18" s="13" cm="1">
        <f t="array" ref="C18">_xll.BDH("CMI US Equity","IS_NET_INTEREST_EXPENSE","FQ1 2019","FQ1 2019","Currency=USD","Period=FQ","BEST_FPERIOD_OVERRIDE=FQ","FILING_STATUS=MR","SCALING_FORMAT=MLN","FA_ADJUSTED=Adjusted","Sort=A","Dates=H","DateFormat=P","Fill=—","Direction=H","UseDPDF=Y")</f>
        <v>20</v>
      </c>
      <c r="D18" s="13" cm="1">
        <f t="array" ref="D18">_xll.BDH("CMI US Equity","IS_NET_INTEREST_EXPENSE","FQ2 2019","FQ2 2019","Currency=USD","Period=FQ","BEST_FPERIOD_OVERRIDE=FQ","FILING_STATUS=MR","SCALING_FORMAT=MLN","FA_ADJUSTED=Adjusted","Sort=A","Dates=H","DateFormat=P","Fill=—","Direction=H","UseDPDF=Y")</f>
        <v>17</v>
      </c>
      <c r="E18" s="13" cm="1">
        <f t="array" ref="E18">_xll.BDH("CMI US Equity","IS_NET_INTEREST_EXPENSE","FQ3 2019","FQ3 2019","Currency=USD","Period=FQ","BEST_FPERIOD_OVERRIDE=FQ","FILING_STATUS=MR","SCALING_FORMAT=MLN","FA_ADJUSTED=Adjusted","Sort=A","Dates=H","DateFormat=P","Fill=—","Direction=H","UseDPDF=Y")</f>
        <v>12</v>
      </c>
      <c r="F18" s="13" cm="1">
        <f t="array" ref="F18">_xll.BDH("CMI US Equity","IS_NET_INTEREST_EXPENSE","FQ4 2019","FQ4 2019","Currency=USD","Period=FQ","BEST_FPERIOD_OVERRIDE=FQ","FILING_STATUS=MR","SCALING_FORMAT=MLN","FA_ADJUSTED=Adjusted","Sort=A","Dates=H","DateFormat=P","Fill=—","Direction=H","UseDPDF=Y")</f>
        <v>14</v>
      </c>
      <c r="G18" s="13" cm="1">
        <f t="array" ref="G18">_xll.BDH("CMI US Equity","IS_NET_INTEREST_EXPENSE","FQ1 2020","FQ1 2020","Currency=USD","Period=FQ","BEST_FPERIOD_OVERRIDE=FQ","FILING_STATUS=MR","SCALING_FORMAT=MLN","FA_ADJUSTED=Adjusted","Sort=A","Dates=H","DateFormat=P","Fill=—","Direction=H","UseDPDF=Y")</f>
        <v>16</v>
      </c>
      <c r="H18" s="13" cm="1">
        <f t="array" ref="H18">_xll.BDH("CMI US Equity","IS_NET_INTEREST_EXPENSE","FQ2 2020","FQ2 2020","Currency=USD","Period=FQ","BEST_FPERIOD_OVERRIDE=FQ","FILING_STATUS=MR","SCALING_FORMAT=MLN","FA_ADJUSTED=Adjusted","Sort=A","Dates=H","DateFormat=P","Fill=—","Direction=H","UseDPDF=Y")</f>
        <v>19</v>
      </c>
      <c r="I18" s="13" cm="1">
        <f t="array" ref="I18">_xll.BDH("CMI US Equity","IS_NET_INTEREST_EXPENSE","FQ3 2020","FQ3 2020","Currency=USD","Period=FQ","BEST_FPERIOD_OVERRIDE=FQ","FILING_STATUS=MR","SCALING_FORMAT=MLN","FA_ADJUSTED=Adjusted","Sort=A","Dates=H","DateFormat=P","Fill=—","Direction=H","UseDPDF=Y")</f>
        <v>21</v>
      </c>
      <c r="J18" s="13" cm="1">
        <f t="array" ref="J18">_xll.BDH("CMI US Equity","IS_NET_INTEREST_EXPENSE","FQ4 2020","FQ4 2020","Currency=USD","Period=FQ","BEST_FPERIOD_OVERRIDE=FQ","FILING_STATUS=MR","SCALING_FORMAT=MLN","FA_ADJUSTED=Adjusted","Sort=A","Dates=H","DateFormat=P","Fill=—","Direction=H","UseDPDF=Y")</f>
        <v>23</v>
      </c>
      <c r="K18" s="13" cm="1">
        <f t="array" ref="K18">_xll.BDH("CMI US Equity","IS_NET_INTEREST_EXPENSE","FQ1 2021","FQ1 2021","Currency=USD","Period=FQ","BEST_FPERIOD_OVERRIDE=FQ","FILING_STATUS=MR","SCALING_FORMAT=MLN","FA_ADJUSTED=Adjusted","Sort=A","Dates=H","DateFormat=P","Fill=—","Direction=H","UseDPDF=Y")</f>
        <v>22</v>
      </c>
      <c r="L18" s="13" cm="1">
        <f t="array" ref="L18">_xll.BDH("CMI US Equity","IS_NET_INTEREST_EXPENSE","FQ2 2021","FQ2 2021","Currency=USD","Period=FQ","BEST_FPERIOD_OVERRIDE=FQ","FILING_STATUS=MR","SCALING_FORMAT=MLN","FA_ADJUSTED=Adjusted","Sort=A","Dates=H","DateFormat=P","Fill=—","Direction=H","UseDPDF=Y")</f>
        <v>24</v>
      </c>
      <c r="M18" s="13" cm="1">
        <f t="array" ref="M18">_xll.BDH("CMI US Equity","IS_NET_INTEREST_EXPENSE","FQ3 2021","FQ3 2021","Currency=USD","Period=FQ","BEST_FPERIOD_OVERRIDE=FQ","FILING_STATUS=MR","SCALING_FORMAT=MLN","FA_ADJUSTED=Adjusted","Sort=A","Dates=H","DateFormat=P","Fill=—","Direction=H","UseDPDF=Y")</f>
        <v>21</v>
      </c>
      <c r="N18" s="13" cm="1">
        <f t="array" ref="N18">_xll.BDH("CMI US Equity","IS_NET_INTEREST_EXPENSE","FQ4 2021","FQ4 2021","Currency=USD","Period=FQ","BEST_FPERIOD_OVERRIDE=FQ","FILING_STATUS=MR","SCALING_FORMAT=MLN","FA_ADJUSTED=Adjusted","Sort=A","Dates=H","DateFormat=P","Fill=—","Direction=H","UseDPDF=Y")</f>
        <v>19</v>
      </c>
      <c r="O18" s="13" cm="1">
        <f t="array" ref="O18">_xll.BDH("CMI US Equity","IS_NET_INTEREST_EXPENSE","FQ1 2022","FQ1 2022","Currency=USD","Period=FQ","BEST_FPERIOD_OVERRIDE=FQ","FILING_STATUS=MR","SCALING_FORMAT=MLN","FA_ADJUSTED=Adjusted","Sort=A","Dates=H","DateFormat=P","Fill=—","Direction=H","UseDPDF=Y")</f>
        <v>9</v>
      </c>
      <c r="P18" s="13" cm="1">
        <f t="array" ref="P18">_xll.BDH("CMI US Equity","IS_NET_INTEREST_EXPENSE","FQ2 2022","FQ2 2022","Currency=USD","Period=FQ","BEST_FPERIOD_OVERRIDE=FQ","FILING_STATUS=MR","SCALING_FORMAT=MLN","FA_ADJUSTED=Adjusted","Sort=A","Dates=H","DateFormat=P","Fill=—","Direction=H","UseDPDF=Y")</f>
        <v>27</v>
      </c>
      <c r="Q18" s="13" cm="1">
        <f t="array" ref="Q18">_xll.BDH("CMI US Equity","IS_NET_INTEREST_EXPENSE","FQ3 2022","FQ3 2022","Currency=USD","Period=FQ","BEST_FPERIOD_OVERRIDE=FQ","FILING_STATUS=MR","SCALING_FORMAT=MLN","FA_ADJUSTED=Adjusted","Sort=A","Dates=H","DateFormat=P","Fill=—","Direction=H","UseDPDF=Y")</f>
        <v>47</v>
      </c>
      <c r="R18" s="13" cm="1">
        <f t="array" ref="R18">_xll.BDH("CMI US Equity","IS_NET_INTEREST_EXPENSE","FQ4 2022","FQ4 2022","Currency=USD","Period=FQ","BEST_FPERIOD_OVERRIDE=FQ","FILING_STATUS=MR","SCALING_FORMAT=MLN","FA_ADJUSTED=Adjusted","Sort=A","Dates=H","DateFormat=P","Fill=—","Direction=H","UseDPDF=Y")</f>
        <v>67</v>
      </c>
      <c r="S18" s="13" cm="1">
        <f t="array" ref="S18">_xll.BDH("CMI US Equity","IS_NET_INTEREST_EXPENSE","FQ1 2023","FQ1 2023","Currency=USD","Period=FQ","BEST_FPERIOD_OVERRIDE=FQ","FILING_STATUS=MR","SCALING_FORMAT=MLN","FA_ADJUSTED=Adjusted","Sort=A","Dates=H","DateFormat=P","Fill=—","Direction=H","UseDPDF=Y")</f>
        <v>69</v>
      </c>
      <c r="T18" s="13" cm="1">
        <f t="array" ref="T18">_xll.BDH("CMI US Equity","IS_NET_INTEREST_EXPENSE","FQ2 2023","FQ2 2023","Currency=USD","Period=FQ","BEST_FPERIOD_OVERRIDE=FQ","FILING_STATUS=MR","SCALING_FORMAT=MLN","FA_ADJUSTED=Adjusted","Sort=A","Dates=H","DateFormat=P","Fill=—","Direction=H","UseDPDF=Y")</f>
        <v>74</v>
      </c>
      <c r="U18" s="13" cm="1">
        <f t="array" ref="U18">_xll.BDH("CMI US Equity","IS_NET_INTEREST_EXPENSE","FQ3 2023","FQ3 2023","Currency=USD","Period=FQ","BEST_FPERIOD_OVERRIDE=FQ","FILING_STATUS=MR","SCALING_FORMAT=MLN","FA_ADJUSTED=Adjusted","Sort=A","Dates=H","DateFormat=P","Fill=—","Direction=H","UseDPDF=Y")</f>
        <v>73</v>
      </c>
      <c r="V18" s="13" cm="1">
        <f t="array" ref="V18">_xll.BDH("CMI US Equity","IS_NET_INTEREST_EXPENSE","FQ4 2023","FQ4 2023","Currency=USD","Period=FQ","BEST_FPERIOD_OVERRIDE=FQ","FILING_STATUS=MR","SCALING_FORMAT=MLN","FA_ADJUSTED=Adjusted","Sort=A","Dates=H","DateFormat=P","Fill=—","Direction=H","UseDPDF=Y")</f>
        <v>64</v>
      </c>
      <c r="W18" s="13" cm="1">
        <f t="array" ref="W18">_xll.BDH("CMI US Equity","IS_NET_INTEREST_EXPENSE","FQ1 2024","FQ1 2024","Currency=USD","Period=FQ","BEST_FPERIOD_OVERRIDE=FQ","FILING_STATUS=MR","SCALING_FORMAT=MLN","FA_ADJUSTED=Adjusted","Sort=A","Dates=H","DateFormat=P","Fill=—","Direction=H","UseDPDF=Y")</f>
        <v>60</v>
      </c>
      <c r="X18" s="13" cm="1">
        <f t="array" ref="X18">_xll.BDH("CMI US Equity","IS_NET_INTEREST_EXPENSE","FQ2 2024","FQ2 2024","Currency=USD","Period=FQ","BEST_FPERIOD_OVERRIDE=FQ","FILING_STATUS=MR","SCALING_FORMAT=MLN","FA_ADJUSTED=Adjusted","Sort=A","Dates=H","DateFormat=P","Fill=—","Direction=H","UseDPDF=Y")</f>
        <v>79</v>
      </c>
      <c r="Y18" s="13" cm="1">
        <f t="array" ref="Y18">_xll.BDH("CMI US Equity","IS_NET_INTEREST_EXPENSE","FQ3 2024","FQ3 2024","Currency=USD","Period=FQ","BEST_FPERIOD_OVERRIDE=FQ","FILING_STATUS=MR","SCALING_FORMAT=MLN","FA_ADJUSTED=Adjusted","Sort=A","Dates=H","DateFormat=P","Fill=—","Direction=H","UseDPDF=Y")</f>
        <v>69</v>
      </c>
      <c r="Z18" s="13" cm="1">
        <f t="array" ref="Z18">_xll.BDH("CMI US Equity","IS_NET_INTEREST_EXPENSE","FQ4 2024","FQ4 2024","Currency=USD","Period=FQ","BEST_FPERIOD_OVERRIDE=FQ","FILING_STATUS=MR","SCALING_FORMAT=MLN","FA_ADJUSTED=Adjusted","Sort=A","Dates=H","DateFormat=P","Fill=—","Direction=H","UseDPDF=Y")</f>
        <v>75</v>
      </c>
      <c r="AA18" s="13" cm="1">
        <f t="array" ref="AA18">_xll.BDH("CMI US Equity","IS_NET_INTEREST_EXPENSE","FQ1 2025","FQ1 2025","Currency=USD","Period=FQ","BEST_FPERIOD_OVERRIDE=FQ","FILING_STATUS=MR","SCALING_FORMAT=MLN","FA_ADJUSTED=Adjusted","Sort=A","Dates=H","DateFormat=P","Fill=—","Direction=H","UseDPDF=Y")</f>
        <v>43</v>
      </c>
      <c r="AB18" s="13" cm="1">
        <f t="array" ref="AB18">_xll.BDH("CMI US Equity","IS_NET_INTEREST_EXPENSE","FQ2 2025","FQ2 2025","Currency=USD","Period=FQ","BEST_FPERIOD_OVERRIDE=FQ","FILING_STATUS=MR","SCALING_FORMAT=MLN","FA_ADJUSTED=Adjusted","Sort=A","Dates=H","DateFormat=P","Fill=—","Direction=H","UseDPDF=Y")</f>
        <v>57</v>
      </c>
      <c r="AC18" s="13" cm="1">
        <f t="array" ref="AC18">_xll.BDH("CMI US Equity","IS_NET_INTEREST_EXPENSE","FQ3 2025","FQ3 2025","Currency=USD","Period=FQ","BEST_FPERIOD_OVERRIDE=FQ","FILING_STATUS=MR","SCALING_FORMAT=MLN","FA_ADJUSTED=Adjusted","Sort=A","Dates=H","DateFormat=P","Fill=—","Direction=H","UseDPDF=Y")</f>
        <v>54</v>
      </c>
      <c r="AD18" s="13" cm="1">
        <f t="array" ref="AD18">_xll.BDH("CMI US Equity","IS_NET_INTEREST_EXPENSE","FQ4 2025","FQ4 2025","Currency=USD","Period=FQ","BEST_FPERIOD_OVERRIDE=FQ","FILING_STATUS=MR","SCALING_FORMAT=MLN","FA_ADJUSTED=Adjusted","Sort=A","Dates=H","DateFormat=P","Fill=—","Direction=H","UseDPDF=Y")</f>
        <v>61</v>
      </c>
      <c r="AE18" s="13"/>
      <c r="AF18" s="13"/>
    </row>
    <row r="19" spans="1:32" x14ac:dyDescent="0.25">
      <c r="A19" s="11" t="s">
        <v>91</v>
      </c>
      <c r="B19" s="11" t="s">
        <v>92</v>
      </c>
      <c r="C19" s="18" cm="1">
        <f t="array" ref="C19">_xll.BDH("CMI US Equity","IS_INT_EXPENSE","FQ1 2019","FQ1 2019","Currency=USD","Period=FQ","BEST_FPERIOD_OVERRIDE=FQ","FILING_STATUS=MR","SCALING_FORMAT=MLN","FA_ADJUSTED=Adjusted","Sort=A","Dates=H","DateFormat=P","Fill=—","Direction=H","UseDPDF=Y")</f>
        <v>32</v>
      </c>
      <c r="D19" s="18" cm="1">
        <f t="array" ref="D19">_xll.BDH("CMI US Equity","IS_INT_EXPENSE","FQ2 2019","FQ2 2019","Currency=USD","Period=FQ","BEST_FPERIOD_OVERRIDE=FQ","FILING_STATUS=MR","SCALING_FORMAT=MLN","FA_ADJUSTED=Adjusted","Sort=A","Dates=H","DateFormat=P","Fill=—","Direction=H","UseDPDF=Y")</f>
        <v>29</v>
      </c>
      <c r="E19" s="18" cm="1">
        <f t="array" ref="E19">_xll.BDH("CMI US Equity","IS_INT_EXPENSE","FQ3 2019","FQ3 2019","Currency=USD","Period=FQ","BEST_FPERIOD_OVERRIDE=FQ","FILING_STATUS=MR","SCALING_FORMAT=MLN","FA_ADJUSTED=Adjusted","Sort=A","Dates=H","DateFormat=P","Fill=—","Direction=H","UseDPDF=Y")</f>
        <v>26</v>
      </c>
      <c r="F19" s="18" cm="1">
        <f t="array" ref="F19">_xll.BDH("CMI US Equity","IS_INT_EXPENSE","FQ4 2019","FQ4 2019","Currency=USD","Period=FQ","BEST_FPERIOD_OVERRIDE=FQ","FILING_STATUS=MR","SCALING_FORMAT=MLN","FA_ADJUSTED=Adjusted","Sort=A","Dates=H","DateFormat=P","Fill=—","Direction=H","UseDPDF=Y")</f>
        <v>22</v>
      </c>
      <c r="G19" s="18" cm="1">
        <f t="array" ref="G19">_xll.BDH("CMI US Equity","IS_INT_EXPENSE","FQ1 2020","FQ1 2020","Currency=USD","Period=FQ","BEST_FPERIOD_OVERRIDE=FQ","FILING_STATUS=MR","SCALING_FORMAT=MLN","FA_ADJUSTED=Adjusted","Sort=A","Dates=H","DateFormat=P","Fill=—","Direction=H","UseDPDF=Y")</f>
        <v>23</v>
      </c>
      <c r="H19" s="18" cm="1">
        <f t="array" ref="H19">_xll.BDH("CMI US Equity","IS_INT_EXPENSE","FQ2 2020","FQ2 2020","Currency=USD","Period=FQ","BEST_FPERIOD_OVERRIDE=FQ","FILING_STATUS=MR","SCALING_FORMAT=MLN","FA_ADJUSTED=Adjusted","Sort=A","Dates=H","DateFormat=P","Fill=—","Direction=H","UseDPDF=Y")</f>
        <v>23</v>
      </c>
      <c r="I19" s="18" cm="1">
        <f t="array" ref="I19">_xll.BDH("CMI US Equity","IS_INT_EXPENSE","FQ3 2020","FQ3 2020","Currency=USD","Period=FQ","BEST_FPERIOD_OVERRIDE=FQ","FILING_STATUS=MR","SCALING_FORMAT=MLN","FA_ADJUSTED=Adjusted","Sort=A","Dates=H","DateFormat=P","Fill=—","Direction=H","UseDPDF=Y")</f>
        <v>25</v>
      </c>
      <c r="J19" s="18" cm="1">
        <f t="array" ref="J19">_xll.BDH("CMI US Equity","IS_INT_EXPENSE","FQ4 2020","FQ4 2020","Currency=USD","Period=FQ","BEST_FPERIOD_OVERRIDE=FQ","FILING_STATUS=MR","SCALING_FORMAT=MLN","FA_ADJUSTED=Adjusted","Sort=A","Dates=H","DateFormat=P","Fill=—","Direction=H","UseDPDF=Y")</f>
        <v>29</v>
      </c>
      <c r="K19" s="18" cm="1">
        <f t="array" ref="K19">_xll.BDH("CMI US Equity","IS_INT_EXPENSE","FQ1 2021","FQ1 2021","Currency=USD","Period=FQ","BEST_FPERIOD_OVERRIDE=FQ","FILING_STATUS=MR","SCALING_FORMAT=MLN","FA_ADJUSTED=Adjusted","Sort=A","Dates=H","DateFormat=P","Fill=—","Direction=H","UseDPDF=Y")</f>
        <v>28</v>
      </c>
      <c r="L19" s="18" cm="1">
        <f t="array" ref="L19">_xll.BDH("CMI US Equity","IS_INT_EXPENSE","FQ2 2021","FQ2 2021","Currency=USD","Period=FQ","BEST_FPERIOD_OVERRIDE=FQ","FILING_STATUS=MR","SCALING_FORMAT=MLN","FA_ADJUSTED=Adjusted","Sort=A","Dates=H","DateFormat=P","Fill=—","Direction=H","UseDPDF=Y")</f>
        <v>29</v>
      </c>
      <c r="M19" s="18" cm="1">
        <f t="array" ref="M19">_xll.BDH("CMI US Equity","IS_INT_EXPENSE","FQ3 2021","FQ3 2021","Currency=USD","Period=FQ","BEST_FPERIOD_OVERRIDE=FQ","FILING_STATUS=MR","SCALING_FORMAT=MLN","FA_ADJUSTED=Adjusted","Sort=A","Dates=H","DateFormat=P","Fill=—","Direction=H","UseDPDF=Y")</f>
        <v>28</v>
      </c>
      <c r="N19" s="18" cm="1">
        <f t="array" ref="N19">_xll.BDH("CMI US Equity","IS_INT_EXPENSE","FQ4 2021","FQ4 2021","Currency=USD","Period=FQ","BEST_FPERIOD_OVERRIDE=FQ","FILING_STATUS=MR","SCALING_FORMAT=MLN","FA_ADJUSTED=Adjusted","Sort=A","Dates=H","DateFormat=P","Fill=—","Direction=H","UseDPDF=Y")</f>
        <v>26</v>
      </c>
      <c r="O19" s="18" cm="1">
        <f t="array" ref="O19">_xll.BDH("CMI US Equity","IS_INT_EXPENSE","FQ1 2022","FQ1 2022","Currency=USD","Period=FQ","BEST_FPERIOD_OVERRIDE=FQ","FILING_STATUS=MR","SCALING_FORMAT=MLN","FA_ADJUSTED=Adjusted","Sort=A","Dates=H","DateFormat=P","Fill=—","Direction=H","UseDPDF=Y")</f>
        <v>17</v>
      </c>
      <c r="P19" s="18" cm="1">
        <f t="array" ref="P19">_xll.BDH("CMI US Equity","IS_INT_EXPENSE","FQ2 2022","FQ2 2022","Currency=USD","Period=FQ","BEST_FPERIOD_OVERRIDE=FQ","FILING_STATUS=MR","SCALING_FORMAT=MLN","FA_ADJUSTED=Adjusted","Sort=A","Dates=H","DateFormat=P","Fill=—","Direction=H","UseDPDF=Y")</f>
        <v>34</v>
      </c>
      <c r="Q19" s="18" cm="1">
        <f t="array" ref="Q19">_xll.BDH("CMI US Equity","IS_INT_EXPENSE","FQ3 2022","FQ3 2022","Currency=USD","Period=FQ","BEST_FPERIOD_OVERRIDE=FQ","FILING_STATUS=MR","SCALING_FORMAT=MLN","FA_ADJUSTED=Adjusted","Sort=A","Dates=H","DateFormat=P","Fill=—","Direction=H","UseDPDF=Y")</f>
        <v>61</v>
      </c>
      <c r="R19" s="18" cm="1">
        <f t="array" ref="R19">_xll.BDH("CMI US Equity","IS_INT_EXPENSE","FQ4 2022","FQ4 2022","Currency=USD","Period=FQ","BEST_FPERIOD_OVERRIDE=FQ","FILING_STATUS=MR","SCALING_FORMAT=MLN","FA_ADJUSTED=Adjusted","Sort=A","Dates=H","DateFormat=P","Fill=—","Direction=H","UseDPDF=Y")</f>
        <v>87</v>
      </c>
      <c r="S19" s="18" cm="1">
        <f t="array" ref="S19">_xll.BDH("CMI US Equity","IS_INT_EXPENSE","FQ1 2023","FQ1 2023","Currency=USD","Period=FQ","BEST_FPERIOD_OVERRIDE=FQ","FILING_STATUS=MR","SCALING_FORMAT=MLN","FA_ADJUSTED=Adjusted","Sort=A","Dates=H","DateFormat=P","Fill=—","Direction=H","UseDPDF=Y")</f>
        <v>87</v>
      </c>
      <c r="T19" s="18" cm="1">
        <f t="array" ref="T19">_xll.BDH("CMI US Equity","IS_INT_EXPENSE","FQ2 2023","FQ2 2023","Currency=USD","Period=FQ","BEST_FPERIOD_OVERRIDE=FQ","FILING_STATUS=MR","SCALING_FORMAT=MLN","FA_ADJUSTED=Adjusted","Sort=A","Dates=H","DateFormat=P","Fill=—","Direction=H","UseDPDF=Y")</f>
        <v>99</v>
      </c>
      <c r="U19" s="18" cm="1">
        <f t="array" ref="U19">_xll.BDH("CMI US Equity","IS_INT_EXPENSE","FQ3 2023","FQ3 2023","Currency=USD","Period=FQ","BEST_FPERIOD_OVERRIDE=FQ","FILING_STATUS=MR","SCALING_FORMAT=MLN","FA_ADJUSTED=Adjusted","Sort=A","Dates=H","DateFormat=P","Fill=—","Direction=H","UseDPDF=Y")</f>
        <v>97</v>
      </c>
      <c r="V19" s="18" cm="1">
        <f t="array" ref="V19">_xll.BDH("CMI US Equity","IS_INT_EXPENSE","FQ4 2023","FQ4 2023","Currency=USD","Period=FQ","BEST_FPERIOD_OVERRIDE=FQ","FILING_STATUS=MR","SCALING_FORMAT=MLN","FA_ADJUSTED=Adjusted","Sort=A","Dates=H","DateFormat=P","Fill=—","Direction=H","UseDPDF=Y")</f>
        <v>92</v>
      </c>
      <c r="W19" s="18" cm="1">
        <f t="array" ref="W19">_xll.BDH("CMI US Equity","IS_INT_EXPENSE","FQ1 2024","FQ1 2024","Currency=USD","Period=FQ","BEST_FPERIOD_OVERRIDE=FQ","FILING_STATUS=MR","SCALING_FORMAT=MLN","FA_ADJUSTED=Adjusted","Sort=A","Dates=H","DateFormat=P","Fill=—","Direction=H","UseDPDF=Y")</f>
        <v>89</v>
      </c>
      <c r="X19" s="18" cm="1">
        <f t="array" ref="X19">_xll.BDH("CMI US Equity","IS_INT_EXPENSE","FQ2 2024","FQ2 2024","Currency=USD","Period=FQ","BEST_FPERIOD_OVERRIDE=FQ","FILING_STATUS=MR","SCALING_FORMAT=MLN","FA_ADJUSTED=Adjusted","Sort=A","Dates=H","DateFormat=P","Fill=—","Direction=H","UseDPDF=Y")</f>
        <v>109</v>
      </c>
      <c r="Y19" s="18" cm="1">
        <f t="array" ref="Y19">_xll.BDH("CMI US Equity","IS_INT_EXPENSE","FQ3 2024","FQ3 2024","Currency=USD","Period=FQ","BEST_FPERIOD_OVERRIDE=FQ","FILING_STATUS=MR","SCALING_FORMAT=MLN","FA_ADJUSTED=Adjusted","Sort=A","Dates=H","DateFormat=P","Fill=—","Direction=H","UseDPDF=Y")</f>
        <v>83</v>
      </c>
      <c r="Z19" s="18" cm="1">
        <f t="array" ref="Z19">_xll.BDH("CMI US Equity","IS_INT_EXPENSE","FQ4 2024","FQ4 2024","Currency=USD","Period=FQ","BEST_FPERIOD_OVERRIDE=FQ","FILING_STATUS=MR","SCALING_FORMAT=MLN","FA_ADJUSTED=Adjusted","Sort=A","Dates=H","DateFormat=P","Fill=—","Direction=H","UseDPDF=Y")</f>
        <v>89</v>
      </c>
      <c r="AA19" s="18" cm="1">
        <f t="array" ref="AA19">_xll.BDH("CMI US Equity","IS_INT_EXPENSE","FQ1 2025","FQ1 2025","Currency=USD","Period=FQ","BEST_FPERIOD_OVERRIDE=FQ","FILING_STATUS=MR","SCALING_FORMAT=MLN","FA_ADJUSTED=Adjusted","Sort=A","Dates=H","DateFormat=P","Fill=—","Direction=H","UseDPDF=Y")</f>
        <v>77</v>
      </c>
      <c r="AB19" s="18" cm="1">
        <f t="array" ref="AB19">_xll.BDH("CMI US Equity","IS_INT_EXPENSE","FQ2 2025","FQ2 2025","Currency=USD","Period=FQ","BEST_FPERIOD_OVERRIDE=FQ","FILING_STATUS=MR","SCALING_FORMAT=MLN","FA_ADJUSTED=Adjusted","Sort=A","Dates=H","DateFormat=P","Fill=—","Direction=H","UseDPDF=Y")</f>
        <v>87</v>
      </c>
      <c r="AC19" s="18" cm="1">
        <f t="array" ref="AC19">_xll.BDH("CMI US Equity","IS_INT_EXPENSE","FQ3 2025","FQ3 2025","Currency=USD","Period=FQ","BEST_FPERIOD_OVERRIDE=FQ","FILING_STATUS=MR","SCALING_FORMAT=MLN","FA_ADJUSTED=Adjusted","Sort=A","Dates=H","DateFormat=P","Fill=—","Direction=H","UseDPDF=Y")</f>
        <v>83</v>
      </c>
      <c r="AD19" s="18" cm="1">
        <f t="array" ref="AD19">_xll.BDH("CMI US Equity","IS_INT_EXPENSE","FQ4 2025","FQ4 2025","Currency=USD","Period=FQ","BEST_FPERIOD_OVERRIDE=FQ","FILING_STATUS=MR","SCALING_FORMAT=MLN","FA_ADJUSTED=Adjusted","Sort=A","Dates=H","DateFormat=P","Fill=—","Direction=H","UseDPDF=Y")</f>
        <v>82</v>
      </c>
      <c r="AE19" s="18"/>
      <c r="AF19" s="18"/>
    </row>
    <row r="20" spans="1:32" x14ac:dyDescent="0.25">
      <c r="A20" s="11" t="s">
        <v>93</v>
      </c>
      <c r="B20" s="11" t="s">
        <v>94</v>
      </c>
      <c r="C20" s="18" cm="1">
        <f t="array" ref="C20">_xll.BDH("CMI US Equity","IS_INT_INC","FQ1 2019","FQ1 2019","Currency=USD","Period=FQ","BEST_FPERIOD_OVERRIDE=FQ","FILING_STATUS=MR","SCALING_FORMAT=MLN","FA_ADJUSTED=Adjusted","Sort=A","Dates=H","DateFormat=P","Fill=—","Direction=H","UseDPDF=Y")</f>
        <v>12</v>
      </c>
      <c r="D20" s="18" cm="1">
        <f t="array" ref="D20">_xll.BDH("CMI US Equity","IS_INT_INC","FQ2 2019","FQ2 2019","Currency=USD","Period=FQ","BEST_FPERIOD_OVERRIDE=FQ","FILING_STATUS=MR","SCALING_FORMAT=MLN","FA_ADJUSTED=Adjusted","Sort=A","Dates=H","DateFormat=P","Fill=—","Direction=H","UseDPDF=Y")</f>
        <v>12</v>
      </c>
      <c r="E20" s="18" cm="1">
        <f t="array" ref="E20">_xll.BDH("CMI US Equity","IS_INT_INC","FQ3 2019","FQ3 2019","Currency=USD","Period=FQ","BEST_FPERIOD_OVERRIDE=FQ","FILING_STATUS=MR","SCALING_FORMAT=MLN","FA_ADJUSTED=Adjusted","Sort=A","Dates=H","DateFormat=P","Fill=—","Direction=H","UseDPDF=Y")</f>
        <v>14</v>
      </c>
      <c r="F20" s="18" cm="1">
        <f t="array" ref="F20">_xll.BDH("CMI US Equity","IS_INT_INC","FQ4 2019","FQ4 2019","Currency=USD","Period=FQ","BEST_FPERIOD_OVERRIDE=FQ","FILING_STATUS=MR","SCALING_FORMAT=MLN","FA_ADJUSTED=Adjusted","Sort=A","Dates=H","DateFormat=P","Fill=—","Direction=H","UseDPDF=Y")</f>
        <v>8</v>
      </c>
      <c r="G20" s="18" cm="1">
        <f t="array" ref="G20">_xll.BDH("CMI US Equity","IS_INT_INC","FQ1 2020","FQ1 2020","Currency=USD","Period=FQ","BEST_FPERIOD_OVERRIDE=FQ","FILING_STATUS=MR","SCALING_FORMAT=MLN","FA_ADJUSTED=Adjusted","Sort=A","Dates=H","DateFormat=P","Fill=—","Direction=H","UseDPDF=Y")</f>
        <v>7</v>
      </c>
      <c r="H20" s="18" cm="1">
        <f t="array" ref="H20">_xll.BDH("CMI US Equity","IS_INT_INC","FQ2 2020","FQ2 2020","Currency=USD","Period=FQ","BEST_FPERIOD_OVERRIDE=FQ","FILING_STATUS=MR","SCALING_FORMAT=MLN","FA_ADJUSTED=Adjusted","Sort=A","Dates=H","DateFormat=P","Fill=—","Direction=H","UseDPDF=Y")</f>
        <v>4</v>
      </c>
      <c r="I20" s="18" cm="1">
        <f t="array" ref="I20">_xll.BDH("CMI US Equity","IS_INT_INC","FQ3 2020","FQ3 2020","Currency=USD","Period=FQ","BEST_FPERIOD_OVERRIDE=FQ","FILING_STATUS=MR","SCALING_FORMAT=MLN","FA_ADJUSTED=Adjusted","Sort=A","Dates=H","DateFormat=P","Fill=—","Direction=H","UseDPDF=Y")</f>
        <v>4</v>
      </c>
      <c r="J20" s="18" cm="1">
        <f t="array" ref="J20">_xll.BDH("CMI US Equity","IS_INT_INC","FQ4 2020","FQ4 2020","Currency=USD","Period=FQ","BEST_FPERIOD_OVERRIDE=FQ","FILING_STATUS=MR","SCALING_FORMAT=MLN","FA_ADJUSTED=Adjusted","Sort=A","Dates=H","DateFormat=P","Fill=—","Direction=H","UseDPDF=Y")</f>
        <v>6</v>
      </c>
      <c r="K20" s="18" cm="1">
        <f t="array" ref="K20">_xll.BDH("CMI US Equity","IS_INT_INC","FQ1 2021","FQ1 2021","Currency=USD","Period=FQ","BEST_FPERIOD_OVERRIDE=FQ","FILING_STATUS=MR","SCALING_FORMAT=MLN","FA_ADJUSTED=Adjusted","Sort=A","Dates=H","DateFormat=P","Fill=—","Direction=H","UseDPDF=Y")</f>
        <v>6</v>
      </c>
      <c r="L20" s="18" cm="1">
        <f t="array" ref="L20">_xll.BDH("CMI US Equity","IS_INT_INC","FQ2 2021","FQ2 2021","Currency=USD","Period=FQ","BEST_FPERIOD_OVERRIDE=FQ","FILING_STATUS=MR","SCALING_FORMAT=MLN","FA_ADJUSTED=Adjusted","Sort=A","Dates=H","DateFormat=P","Fill=—","Direction=H","UseDPDF=Y")</f>
        <v>5</v>
      </c>
      <c r="M20" s="18" cm="1">
        <f t="array" ref="M20">_xll.BDH("CMI US Equity","IS_INT_INC","FQ3 2021","FQ3 2021","Currency=USD","Period=FQ","BEST_FPERIOD_OVERRIDE=FQ","FILING_STATUS=MR","SCALING_FORMAT=MLN","FA_ADJUSTED=Adjusted","Sort=A","Dates=H","DateFormat=P","Fill=—","Direction=H","UseDPDF=Y")</f>
        <v>7</v>
      </c>
      <c r="N20" s="18" cm="1">
        <f t="array" ref="N20">_xll.BDH("CMI US Equity","IS_INT_INC","FQ4 2021","FQ4 2021","Currency=USD","Period=FQ","BEST_FPERIOD_OVERRIDE=FQ","FILING_STATUS=MR","SCALING_FORMAT=MLN","FA_ADJUSTED=Adjusted","Sort=A","Dates=H","DateFormat=P","Fill=—","Direction=H","UseDPDF=Y")</f>
        <v>7</v>
      </c>
      <c r="O20" s="18" cm="1">
        <f t="array" ref="O20">_xll.BDH("CMI US Equity","IS_INT_INC","FQ1 2022","FQ1 2022","Currency=USD","Period=FQ","BEST_FPERIOD_OVERRIDE=FQ","FILING_STATUS=MR","SCALING_FORMAT=MLN","FA_ADJUSTED=Adjusted","Sort=A","Dates=H","DateFormat=P","Fill=—","Direction=H","UseDPDF=Y")</f>
        <v>8</v>
      </c>
      <c r="P20" s="18" cm="1">
        <f t="array" ref="P20">_xll.BDH("CMI US Equity","IS_INT_INC","FQ2 2022","FQ2 2022","Currency=USD","Period=FQ","BEST_FPERIOD_OVERRIDE=FQ","FILING_STATUS=MR","SCALING_FORMAT=MLN","FA_ADJUSTED=Adjusted","Sort=A","Dates=H","DateFormat=P","Fill=—","Direction=H","UseDPDF=Y")</f>
        <v>7</v>
      </c>
      <c r="Q20" s="18" cm="1">
        <f t="array" ref="Q20">_xll.BDH("CMI US Equity","IS_INT_INC","FQ3 2022","FQ3 2022","Currency=USD","Period=FQ","BEST_FPERIOD_OVERRIDE=FQ","FILING_STATUS=MR","SCALING_FORMAT=MLN","FA_ADJUSTED=Adjusted","Sort=A","Dates=H","DateFormat=P","Fill=—","Direction=H","UseDPDF=Y")</f>
        <v>14</v>
      </c>
      <c r="R20" s="18" cm="1">
        <f t="array" ref="R20">_xll.BDH("CMI US Equity","IS_INT_INC","FQ4 2022","FQ4 2022","Currency=USD","Period=FQ","BEST_FPERIOD_OVERRIDE=FQ","FILING_STATUS=MR","SCALING_FORMAT=MLN","FA_ADJUSTED=Adjusted","Sort=A","Dates=H","DateFormat=P","Fill=—","Direction=H","UseDPDF=Y")</f>
        <v>20</v>
      </c>
      <c r="S20" s="18" cm="1">
        <f t="array" ref="S20">_xll.BDH("CMI US Equity","IS_INT_INC","FQ1 2023","FQ1 2023","Currency=USD","Period=FQ","BEST_FPERIOD_OVERRIDE=FQ","FILING_STATUS=MR","SCALING_FORMAT=MLN","FA_ADJUSTED=Adjusted","Sort=A","Dates=H","DateFormat=P","Fill=—","Direction=H","UseDPDF=Y")</f>
        <v>18</v>
      </c>
      <c r="T20" s="18" cm="1">
        <f t="array" ref="T20">_xll.BDH("CMI US Equity","IS_INT_INC","FQ2 2023","FQ2 2023","Currency=USD","Period=FQ","BEST_FPERIOD_OVERRIDE=FQ","FILING_STATUS=MR","SCALING_FORMAT=MLN","FA_ADJUSTED=Adjusted","Sort=A","Dates=H","DateFormat=P","Fill=—","Direction=H","UseDPDF=Y")</f>
        <v>25</v>
      </c>
      <c r="U20" s="18" cm="1">
        <f t="array" ref="U20">_xll.BDH("CMI US Equity","IS_INT_INC","FQ3 2023","FQ3 2023","Currency=USD","Period=FQ","BEST_FPERIOD_OVERRIDE=FQ","FILING_STATUS=MR","SCALING_FORMAT=MLN","FA_ADJUSTED=Adjusted","Sort=A","Dates=H","DateFormat=P","Fill=—","Direction=H","UseDPDF=Y")</f>
        <v>24</v>
      </c>
      <c r="V20" s="18" cm="1">
        <f t="array" ref="V20">_xll.BDH("CMI US Equity","IS_INT_INC","FQ4 2023","FQ4 2023","Currency=USD","Period=FQ","BEST_FPERIOD_OVERRIDE=FQ","FILING_STATUS=MR","SCALING_FORMAT=MLN","FA_ADJUSTED=Adjusted","Sort=A","Dates=H","DateFormat=P","Fill=—","Direction=H","UseDPDF=Y")</f>
        <v>28</v>
      </c>
      <c r="W20" s="18" cm="1">
        <f t="array" ref="W20">_xll.BDH("CMI US Equity","IS_INT_INC","FQ1 2024","FQ1 2024","Currency=USD","Period=FQ","BEST_FPERIOD_OVERRIDE=FQ","FILING_STATUS=MR","SCALING_FORMAT=MLN","FA_ADJUSTED=Adjusted","Sort=A","Dates=H","DateFormat=P","Fill=—","Direction=H","UseDPDF=Y")</f>
        <v>29</v>
      </c>
      <c r="X20" s="18" cm="1">
        <f t="array" ref="X20">_xll.BDH("CMI US Equity","IS_INT_INC","FQ2 2024","FQ2 2024","Currency=USD","Period=FQ","BEST_FPERIOD_OVERRIDE=FQ","FILING_STATUS=MR","SCALING_FORMAT=MLN","FA_ADJUSTED=Adjusted","Sort=A","Dates=H","DateFormat=P","Fill=—","Direction=H","UseDPDF=Y")</f>
        <v>30</v>
      </c>
      <c r="Y20" s="18" cm="1">
        <f t="array" ref="Y20">_xll.BDH("CMI US Equity","IS_INT_INC","FQ3 2024","FQ3 2024","Currency=USD","Period=FQ","BEST_FPERIOD_OVERRIDE=FQ","FILING_STATUS=MR","SCALING_FORMAT=MLN","FA_ADJUSTED=Adjusted","Sort=A","Dates=H","DateFormat=P","Fill=—","Direction=H","UseDPDF=Y")</f>
        <v>14</v>
      </c>
      <c r="Z20" s="18" cm="1">
        <f t="array" ref="Z20">_xll.BDH("CMI US Equity","IS_INT_INC","FQ4 2024","FQ4 2024","Currency=USD","Period=FQ","BEST_FPERIOD_OVERRIDE=FQ","FILING_STATUS=MR","SCALING_FORMAT=MLN","FA_ADJUSTED=Adjusted","Sort=A","Dates=H","DateFormat=P","Fill=—","Direction=H","UseDPDF=Y")</f>
        <v>14</v>
      </c>
      <c r="AA20" s="18" cm="1">
        <f t="array" ref="AA20">_xll.BDH("CMI US Equity","IS_INT_INC","FQ1 2025","FQ1 2025","Currency=USD","Period=FQ","BEST_FPERIOD_OVERRIDE=FQ","FILING_STATUS=MR","SCALING_FORMAT=MLN","FA_ADJUSTED=Adjusted","Sort=A","Dates=H","DateFormat=P","Fill=—","Direction=H","UseDPDF=Y")</f>
        <v>34</v>
      </c>
      <c r="AB20" s="18" cm="1">
        <f t="array" ref="AB20">_xll.BDH("CMI US Equity","IS_INT_INC","FQ2 2025","FQ2 2025","Currency=USD","Period=FQ","BEST_FPERIOD_OVERRIDE=FQ","FILING_STATUS=MR","SCALING_FORMAT=MLN","FA_ADJUSTED=Adjusted","Sort=A","Dates=H","DateFormat=P","Fill=—","Direction=H","UseDPDF=Y")</f>
        <v>30</v>
      </c>
      <c r="AC20" s="18" cm="1">
        <f t="array" ref="AC20">_xll.BDH("CMI US Equity","IS_INT_INC","FQ3 2025","FQ3 2025","Currency=USD","Period=FQ","BEST_FPERIOD_OVERRIDE=FQ","FILING_STATUS=MR","SCALING_FORMAT=MLN","FA_ADJUSTED=Adjusted","Sort=A","Dates=H","DateFormat=P","Fill=—","Direction=H","UseDPDF=Y")</f>
        <v>29</v>
      </c>
      <c r="AD20" s="18" cm="1">
        <f t="array" ref="AD20">_xll.BDH("CMI US Equity","IS_INT_INC","FQ4 2025","FQ4 2025","Currency=USD","Period=FQ","BEST_FPERIOD_OVERRIDE=FQ","FILING_STATUS=MR","SCALING_FORMAT=MLN","FA_ADJUSTED=Adjusted","Sort=A","Dates=H","DateFormat=P","Fill=—","Direction=H","UseDPDF=Y")</f>
        <v>21</v>
      </c>
      <c r="AE20" s="18"/>
      <c r="AF20" s="18"/>
    </row>
    <row r="21" spans="1:32" x14ac:dyDescent="0.25">
      <c r="A21" s="10" t="s">
        <v>95</v>
      </c>
      <c r="B21" s="10" t="s">
        <v>96</v>
      </c>
      <c r="C21" s="13" cm="1">
        <f t="array" ref="C21">_xll.BDH("CMI US Equity","IS_FOREIGN_EXCH_LOSS","FQ1 2019","FQ1 2019","Currency=USD","Period=FQ","BEST_FPERIOD_OVERRIDE=FQ","FILING_STATUS=MR","SCALING_FORMAT=MLN","FA_ADJUSTED=Adjusted","Sort=A","Dates=H","DateFormat=P","Fill=—","Direction=H","UseDPDF=Y")</f>
        <v>6</v>
      </c>
      <c r="D21" s="13" cm="1">
        <f t="array" ref="D21">_xll.BDH("CMI US Equity","IS_FOREIGN_EXCH_LOSS","FQ2 2019","FQ2 2019","Currency=USD","Period=FQ","BEST_FPERIOD_OVERRIDE=FQ","FILING_STATUS=MR","SCALING_FORMAT=MLN","FA_ADJUSTED=Adjusted","Sort=A","Dates=H","DateFormat=P","Fill=—","Direction=H","UseDPDF=Y")</f>
        <v>2</v>
      </c>
      <c r="E21" s="13" cm="1">
        <f t="array" ref="E21">_xll.BDH("CMI US Equity","IS_FOREIGN_EXCH_LOSS","FQ3 2019","FQ3 2019","Currency=USD","Period=FQ","BEST_FPERIOD_OVERRIDE=FQ","FILING_STATUS=MR","SCALING_FORMAT=MLN","FA_ADJUSTED=Adjusted","Sort=A","Dates=H","DateFormat=P","Fill=—","Direction=H","UseDPDF=Y")</f>
        <v>-36</v>
      </c>
      <c r="F21" s="13" cm="1">
        <f t="array" ref="F21">_xll.BDH("CMI US Equity","IS_FOREIGN_EXCH_LOSS","FQ4 2019","FQ4 2019","Currency=USD","Period=FQ","BEST_FPERIOD_OVERRIDE=FQ","FILING_STATUS=MR","SCALING_FORMAT=MLN","FA_ADJUSTED=Adjusted","Sort=A","Dates=H","DateFormat=P","Fill=—","Direction=H","UseDPDF=Y")</f>
        <v>0</v>
      </c>
      <c r="G21" s="13" cm="1">
        <f t="array" ref="G21">_xll.BDH("CMI US Equity","IS_FOREIGN_EXCH_LOSS","FQ1 2020","FQ1 2020","Currency=USD","Period=FQ","BEST_FPERIOD_OVERRIDE=FQ","FILING_STATUS=MR","SCALING_FORMAT=MLN","FA_ADJUSTED=Adjusted","Sort=A","Dates=H","DateFormat=P","Fill=—","Direction=H","UseDPDF=Y")</f>
        <v>-1</v>
      </c>
      <c r="H21" s="13" cm="1">
        <f t="array" ref="H21">_xll.BDH("CMI US Equity","IS_FOREIGN_EXCH_LOSS","FQ2 2020","FQ2 2020","Currency=USD","Period=FQ","BEST_FPERIOD_OVERRIDE=FQ","FILING_STATUS=MR","SCALING_FORMAT=MLN","FA_ADJUSTED=Adjusted","Sort=A","Dates=H","DateFormat=P","Fill=—","Direction=H","UseDPDF=Y")</f>
        <v>2</v>
      </c>
      <c r="I21" s="13" cm="1">
        <f t="array" ref="I21">_xll.BDH("CMI US Equity","IS_FOREIGN_EXCH_LOSS","FQ3 2020","FQ3 2020","Currency=USD","Period=FQ","BEST_FPERIOD_OVERRIDE=FQ","FILING_STATUS=MR","SCALING_FORMAT=MLN","FA_ADJUSTED=Adjusted","Sort=A","Dates=H","DateFormat=P","Fill=—","Direction=H","UseDPDF=Y")</f>
        <v>-2</v>
      </c>
      <c r="J21" s="13" cm="1">
        <f t="array" ref="J21">_xll.BDH("CMI US Equity","IS_FOREIGN_EXCH_LOSS","FQ4 2020","FQ4 2020","Currency=USD","Period=FQ","BEST_FPERIOD_OVERRIDE=FQ","FILING_STATUS=MR","SCALING_FORMAT=MLN","FA_ADJUSTED=Adjusted","Sort=A","Dates=H","DateFormat=P","Fill=—","Direction=H","UseDPDF=Y")</f>
        <v>-3</v>
      </c>
      <c r="K21" s="13" cm="1">
        <f t="array" ref="K21">_xll.BDH("CMI US Equity","IS_FOREIGN_EXCH_LOSS","FQ1 2021","FQ1 2021","Currency=USD","Period=FQ","BEST_FPERIOD_OVERRIDE=FQ","FILING_STATUS=MR","SCALING_FORMAT=MLN","FA_ADJUSTED=Adjusted","Sort=A","Dates=H","DateFormat=P","Fill=—","Direction=H","UseDPDF=Y")</f>
        <v>-5</v>
      </c>
      <c r="L21" s="13" cm="1">
        <f t="array" ref="L21">_xll.BDH("CMI US Equity","IS_FOREIGN_EXCH_LOSS","FQ2 2021","FQ2 2021","Currency=USD","Period=FQ","BEST_FPERIOD_OVERRIDE=FQ","FILING_STATUS=MR","SCALING_FORMAT=MLN","FA_ADJUSTED=Adjusted","Sort=A","Dates=H","DateFormat=P","Fill=—","Direction=H","UseDPDF=Y")</f>
        <v>-3</v>
      </c>
      <c r="M21" s="13" cm="1">
        <f t="array" ref="M21">_xll.BDH("CMI US Equity","IS_FOREIGN_EXCH_LOSS","FQ3 2021","FQ3 2021","Currency=USD","Period=FQ","BEST_FPERIOD_OVERRIDE=FQ","FILING_STATUS=MR","SCALING_FORMAT=MLN","FA_ADJUSTED=Adjusted","Sort=A","Dates=H","DateFormat=P","Fill=—","Direction=H","UseDPDF=Y")</f>
        <v>-7</v>
      </c>
      <c r="N21" s="13" cm="1">
        <f t="array" ref="N21">_xll.BDH("CMI US Equity","IS_FOREIGN_EXCH_LOSS","FQ4 2021","FQ4 2021","Currency=USD","Period=FQ","BEST_FPERIOD_OVERRIDE=FQ","FILING_STATUS=MR","SCALING_FORMAT=MLN","FA_ADJUSTED=Adjusted","Sort=A","Dates=H","DateFormat=P","Fill=—","Direction=H","UseDPDF=Y")</f>
        <v>3</v>
      </c>
      <c r="O21" s="13" cm="1">
        <f t="array" ref="O21">_xll.BDH("CMI US Equity","IS_FOREIGN_EXCH_LOSS","FQ1 2022","FQ1 2022","Currency=USD","Period=FQ","BEST_FPERIOD_OVERRIDE=FQ","FILING_STATUS=MR","SCALING_FORMAT=MLN","FA_ADJUSTED=Adjusted","Sort=A","Dates=H","DateFormat=P","Fill=—","Direction=H","UseDPDF=Y")</f>
        <v>-12</v>
      </c>
      <c r="P21" s="13" cm="1">
        <f t="array" ref="P21">_xll.BDH("CMI US Equity","IS_FOREIGN_EXCH_LOSS","FQ2 2022","FQ2 2022","Currency=USD","Period=FQ","BEST_FPERIOD_OVERRIDE=FQ","FILING_STATUS=MR","SCALING_FORMAT=MLN","FA_ADJUSTED=Adjusted","Sort=A","Dates=H","DateFormat=P","Fill=—","Direction=H","UseDPDF=Y")</f>
        <v>-1</v>
      </c>
      <c r="Q21" s="13" cm="1">
        <f t="array" ref="Q21">_xll.BDH("CMI US Equity","IS_FOREIGN_EXCH_LOSS","FQ3 2022","FQ3 2022","Currency=USD","Period=FQ","BEST_FPERIOD_OVERRIDE=FQ","FILING_STATUS=MR","SCALING_FORMAT=MLN","FA_ADJUSTED=Adjusted","Sort=A","Dates=H","DateFormat=P","Fill=—","Direction=H","UseDPDF=Y")</f>
        <v>-20</v>
      </c>
      <c r="R21" s="13" cm="1">
        <f t="array" ref="R21">_xll.BDH("CMI US Equity","IS_FOREIGN_EXCH_LOSS","FQ4 2022","FQ4 2022","Currency=USD","Period=FQ","BEST_FPERIOD_OVERRIDE=FQ","FILING_STATUS=MR","SCALING_FORMAT=MLN","FA_ADJUSTED=Adjusted","Sort=A","Dates=H","DateFormat=P","Fill=—","Direction=H","UseDPDF=Y")</f>
        <v>0</v>
      </c>
      <c r="S21" s="13" t="str" cm="1">
        <f t="array" ref="S21">_xll.BDH("CMI US Equity","IS_FOREIGN_EXCH_LOSS","FQ1 2023","FQ1 2023","Currency=USD","Period=FQ","BEST_FPERIOD_OVERRIDE=FQ","FILING_STATUS=MR","SCALING_FORMAT=MLN","FA_ADJUSTED=Adjusted","Sort=A","Dates=H","DateFormat=P","Fill=—","Direction=H","UseDPDF=Y")</f>
        <v>—</v>
      </c>
      <c r="T21" s="13" cm="1">
        <f t="array" ref="T21">_xll.BDH("CMI US Equity","IS_FOREIGN_EXCH_LOSS","FQ2 2023","FQ2 2023","Currency=USD","Period=FQ","BEST_FPERIOD_OVERRIDE=FQ","FILING_STATUS=MR","SCALING_FORMAT=MLN","FA_ADJUSTED=Adjusted","Sort=A","Dates=H","DateFormat=P","Fill=—","Direction=H","UseDPDF=Y")</f>
        <v>-11</v>
      </c>
      <c r="U21" s="13" cm="1">
        <f t="array" ref="U21">_xll.BDH("CMI US Equity","IS_FOREIGN_EXCH_LOSS","FQ3 2023","FQ3 2023","Currency=USD","Period=FQ","BEST_FPERIOD_OVERRIDE=FQ","FILING_STATUS=MR","SCALING_FORMAT=MLN","FA_ADJUSTED=Adjusted","Sort=A","Dates=H","DateFormat=P","Fill=—","Direction=H","UseDPDF=Y")</f>
        <v>5</v>
      </c>
      <c r="V21" s="13" cm="1">
        <f t="array" ref="V21">_xll.BDH("CMI US Equity","IS_FOREIGN_EXCH_LOSS","FQ4 2023","FQ4 2023","Currency=USD","Period=FQ","BEST_FPERIOD_OVERRIDE=FQ","FILING_STATUS=MR","SCALING_FORMAT=MLN","FA_ADJUSTED=Adjusted","Sort=A","Dates=H","DateFormat=P","Fill=—","Direction=H","UseDPDF=Y")</f>
        <v>26</v>
      </c>
      <c r="W21" s="13" cm="1">
        <f t="array" ref="W21">_xll.BDH("CMI US Equity","IS_FOREIGN_EXCH_LOSS","FQ1 2024","FQ1 2024","Currency=USD","Period=FQ","BEST_FPERIOD_OVERRIDE=FQ","FILING_STATUS=MR","SCALING_FORMAT=MLN","FA_ADJUSTED=Adjusted","Sort=A","Dates=H","DateFormat=P","Fill=—","Direction=H","UseDPDF=Y")</f>
        <v>11</v>
      </c>
      <c r="X21" s="13" cm="1">
        <f t="array" ref="X21">_xll.BDH("CMI US Equity","IS_FOREIGN_EXCH_LOSS","FQ2 2024","FQ2 2024","Currency=USD","Period=FQ","BEST_FPERIOD_OVERRIDE=FQ","FILING_STATUS=MR","SCALING_FORMAT=MLN","FA_ADJUSTED=Adjusted","Sort=A","Dates=H","DateFormat=P","Fill=—","Direction=H","UseDPDF=Y")</f>
        <v>12</v>
      </c>
      <c r="Y21" s="13" cm="1">
        <f t="array" ref="Y21">_xll.BDH("CMI US Equity","IS_FOREIGN_EXCH_LOSS","FQ3 2024","FQ3 2024","Currency=USD","Period=FQ","BEST_FPERIOD_OVERRIDE=FQ","FILING_STATUS=MR","SCALING_FORMAT=MLN","FA_ADJUSTED=Adjusted","Sort=A","Dates=H","DateFormat=P","Fill=—","Direction=H","UseDPDF=Y")</f>
        <v>10</v>
      </c>
      <c r="Z21" s="13" cm="1">
        <f t="array" ref="Z21">_xll.BDH("CMI US Equity","IS_FOREIGN_EXCH_LOSS","FQ4 2024","FQ4 2024","Currency=USD","Period=FQ","BEST_FPERIOD_OVERRIDE=FQ","FILING_STATUS=MR","SCALING_FORMAT=MLN","FA_ADJUSTED=Adjusted","Sort=A","Dates=H","DateFormat=P","Fill=—","Direction=H","UseDPDF=Y")</f>
        <v>8</v>
      </c>
      <c r="AA21" s="13" cm="1">
        <f t="array" ref="AA21">_xll.BDH("CMI US Equity","IS_FOREIGN_EXCH_LOSS","FQ1 2025","FQ1 2025","Currency=USD","Period=FQ","BEST_FPERIOD_OVERRIDE=FQ","FILING_STATUS=MR","SCALING_FORMAT=MLN","FA_ADJUSTED=Adjusted","Sort=A","Dates=H","DateFormat=P","Fill=—","Direction=H","UseDPDF=Y")</f>
        <v>-5</v>
      </c>
      <c r="AB21" s="13" cm="1">
        <f t="array" ref="AB21">_xll.BDH("CMI US Equity","IS_FOREIGN_EXCH_LOSS","FQ2 2025","FQ2 2025","Currency=USD","Period=FQ","BEST_FPERIOD_OVERRIDE=FQ","FILING_STATUS=MR","SCALING_FORMAT=MLN","FA_ADJUSTED=Adjusted","Sort=A","Dates=H","DateFormat=P","Fill=—","Direction=H","UseDPDF=Y")</f>
        <v>-16</v>
      </c>
      <c r="AC21" s="13" cm="1">
        <f t="array" ref="AC21">_xll.BDH("CMI US Equity","IS_FOREIGN_EXCH_LOSS","FQ3 2025","FQ3 2025","Currency=USD","Period=FQ","BEST_FPERIOD_OVERRIDE=FQ","FILING_STATUS=MR","SCALING_FORMAT=MLN","FA_ADJUSTED=Adjusted","Sort=A","Dates=H","DateFormat=P","Fill=—","Direction=H","UseDPDF=Y")</f>
        <v>12</v>
      </c>
      <c r="AD21" s="13" cm="1">
        <f t="array" ref="AD21">_xll.BDH("CMI US Equity","IS_FOREIGN_EXCH_LOSS","FQ4 2025","FQ4 2025","Currency=USD","Period=FQ","BEST_FPERIOD_OVERRIDE=FQ","FILING_STATUS=MR","SCALING_FORMAT=MLN","FA_ADJUSTED=Adjusted","Sort=A","Dates=H","DateFormat=P","Fill=—","Direction=H","UseDPDF=Y")</f>
        <v>-4</v>
      </c>
      <c r="AE21" s="13"/>
      <c r="AF21" s="13"/>
    </row>
    <row r="22" spans="1:32" x14ac:dyDescent="0.25">
      <c r="A22" s="10" t="s">
        <v>97</v>
      </c>
      <c r="B22" s="10" t="s">
        <v>98</v>
      </c>
      <c r="C22" s="13" cm="1">
        <f t="array" ref="C22">_xll.BDH("CMI US Equity","IS_OTHER_NON_OPERATING_INC_LOSS","FQ1 2019","FQ1 2019","Currency=USD","Period=FQ","BEST_FPERIOD_OVERRIDE=FQ","FILING_STATUS=MR","SCALING_FORMAT=MLN","FA_ADJUSTED=Adjusted","Sort=A","Dates=H","DateFormat=P","Fill=—","Direction=H","UseDPDF=Y")</f>
        <v>-72</v>
      </c>
      <c r="D22" s="13" cm="1">
        <f t="array" ref="D22">_xll.BDH("CMI US Equity","IS_OTHER_NON_OPERATING_INC_LOSS","FQ2 2019","FQ2 2019","Currency=USD","Period=FQ","BEST_FPERIOD_OVERRIDE=FQ","FILING_STATUS=MR","SCALING_FORMAT=MLN","FA_ADJUSTED=Adjusted","Sort=A","Dates=H","DateFormat=P","Fill=—","Direction=H","UseDPDF=Y")</f>
        <v>-42</v>
      </c>
      <c r="E22" s="13" cm="1">
        <f t="array" ref="E22">_xll.BDH("CMI US Equity","IS_OTHER_NON_OPERATING_INC_LOSS","FQ3 2019","FQ3 2019","Currency=USD","Period=FQ","BEST_FPERIOD_OVERRIDE=FQ","FILING_STATUS=MR","SCALING_FORMAT=MLN","FA_ADJUSTED=Adjusted","Sort=A","Dates=H","DateFormat=P","Fill=—","Direction=H","UseDPDF=Y")</f>
        <v>3.4430000000000001</v>
      </c>
      <c r="F22" s="13" cm="1">
        <f t="array" ref="F22">_xll.BDH("CMI US Equity","IS_OTHER_NON_OPERATING_INC_LOSS","FQ4 2019","FQ4 2019","Currency=USD","Period=FQ","BEST_FPERIOD_OVERRIDE=FQ","FILING_STATUS=MR","SCALING_FORMAT=MLN","FA_ADJUSTED=Adjusted","Sort=A","Dates=H","DateFormat=P","Fill=—","Direction=H","UseDPDF=Y")</f>
        <v>-20</v>
      </c>
      <c r="G22" s="13" cm="1">
        <f t="array" ref="G22">_xll.BDH("CMI US Equity","IS_OTHER_NON_OPERATING_INC_LOSS","FQ1 2020","FQ1 2020","Currency=USD","Period=FQ","BEST_FPERIOD_OVERRIDE=FQ","FILING_STATUS=MR","SCALING_FORMAT=MLN","FA_ADJUSTED=Adjusted","Sort=A","Dates=H","DateFormat=P","Fill=—","Direction=H","UseDPDF=Y")</f>
        <v>-36</v>
      </c>
      <c r="H22" s="13" cm="1">
        <f t="array" ref="H22">_xll.BDH("CMI US Equity","IS_OTHER_NON_OPERATING_INC_LOSS","FQ2 2020","FQ2 2020","Currency=USD","Period=FQ","BEST_FPERIOD_OVERRIDE=FQ","FILING_STATUS=MR","SCALING_FORMAT=MLN","FA_ADJUSTED=Adjusted","Sort=A","Dates=H","DateFormat=P","Fill=—","Direction=H","UseDPDF=Y")</f>
        <v>-47</v>
      </c>
      <c r="I22" s="13" cm="1">
        <f t="array" ref="I22">_xll.BDH("CMI US Equity","IS_OTHER_NON_OPERATING_INC_LOSS","FQ3 2020","FQ3 2020","Currency=USD","Period=FQ","BEST_FPERIOD_OVERRIDE=FQ","FILING_STATUS=MR","SCALING_FORMAT=MLN","FA_ADJUSTED=Adjusted","Sort=A","Dates=H","DateFormat=P","Fill=—","Direction=H","UseDPDF=Y")</f>
        <v>-35</v>
      </c>
      <c r="J22" s="13" cm="1">
        <f t="array" ref="J22">_xll.BDH("CMI US Equity","IS_OTHER_NON_OPERATING_INC_LOSS","FQ4 2020","FQ4 2020","Currency=USD","Period=FQ","BEST_FPERIOD_OVERRIDE=FQ","FILING_STATUS=MR","SCALING_FORMAT=MLN","FA_ADJUSTED=Adjusted","Sort=A","Dates=H","DateFormat=P","Fill=—","Direction=H","UseDPDF=Y")</f>
        <v>-26</v>
      </c>
      <c r="K22" s="13" cm="1">
        <f t="array" ref="K22">_xll.BDH("CMI US Equity","IS_OTHER_NON_OPERATING_INC_LOSS","FQ1 2021","FQ1 2021","Currency=USD","Period=FQ","BEST_FPERIOD_OVERRIDE=FQ","FILING_STATUS=MR","SCALING_FORMAT=MLN","FA_ADJUSTED=Adjusted","Sort=A","Dates=H","DateFormat=P","Fill=—","Direction=H","UseDPDF=Y")</f>
        <v>10</v>
      </c>
      <c r="L22" s="13" cm="1">
        <f t="array" ref="L22">_xll.BDH("CMI US Equity","IS_OTHER_NON_OPERATING_INC_LOSS","FQ2 2021","FQ2 2021","Currency=USD","Period=FQ","BEST_FPERIOD_OVERRIDE=FQ","FILING_STATUS=MR","SCALING_FORMAT=MLN","FA_ADJUSTED=Adjusted","Sort=A","Dates=H","DateFormat=P","Fill=—","Direction=H","UseDPDF=Y")</f>
        <v>-65</v>
      </c>
      <c r="M22" s="13" cm="1">
        <f t="array" ref="M22">_xll.BDH("CMI US Equity","IS_OTHER_NON_OPERATING_INC_LOSS","FQ3 2021","FQ3 2021","Currency=USD","Period=FQ","BEST_FPERIOD_OVERRIDE=FQ","FILING_STATUS=MR","SCALING_FORMAT=MLN","FA_ADJUSTED=Adjusted","Sort=A","Dates=H","DateFormat=P","Fill=—","Direction=H","UseDPDF=Y")</f>
        <v>-20</v>
      </c>
      <c r="N22" s="13" cm="1">
        <f t="array" ref="N22">_xll.BDH("CMI US Equity","IS_OTHER_NON_OPERATING_INC_LOSS","FQ4 2021","FQ4 2021","Currency=USD","Period=FQ","BEST_FPERIOD_OVERRIDE=FQ","FILING_STATUS=MR","SCALING_FORMAT=MLN","FA_ADJUSTED=Adjusted","Sort=A","Dates=H","DateFormat=P","Fill=—","Direction=H","UseDPDF=Y")</f>
        <v>-41</v>
      </c>
      <c r="O22" s="13" cm="1">
        <f t="array" ref="O22">_xll.BDH("CMI US Equity","IS_OTHER_NON_OPERATING_INC_LOSS","FQ1 2022","FQ1 2022","Currency=USD","Period=FQ","BEST_FPERIOD_OVERRIDE=FQ","FILING_STATUS=MR","SCALING_FORMAT=MLN","FA_ADJUSTED=Adjusted","Sort=A","Dates=H","DateFormat=P","Fill=—","Direction=H","UseDPDF=Y")</f>
        <v>29</v>
      </c>
      <c r="P22" s="13" cm="1">
        <f t="array" ref="P22">_xll.BDH("CMI US Equity","IS_OTHER_NON_OPERATING_INC_LOSS","FQ2 2022","FQ2 2022","Currency=USD","Period=FQ","BEST_FPERIOD_OVERRIDE=FQ","FILING_STATUS=MR","SCALING_FORMAT=MLN","FA_ADJUSTED=Adjusted","Sort=A","Dates=H","DateFormat=P","Fill=—","Direction=H","UseDPDF=Y")</f>
        <v>16</v>
      </c>
      <c r="Q22" s="13" cm="1">
        <f t="array" ref="Q22">_xll.BDH("CMI US Equity","IS_OTHER_NON_OPERATING_INC_LOSS","FQ3 2022","FQ3 2022","Currency=USD","Period=FQ","BEST_FPERIOD_OVERRIDE=FQ","FILING_STATUS=MR","SCALING_FORMAT=MLN","FA_ADJUSTED=Adjusted","Sort=A","Dates=H","DateFormat=P","Fill=—","Direction=H","UseDPDF=Y")</f>
        <v>-38</v>
      </c>
      <c r="R22" s="13" cm="1">
        <f t="array" ref="R22">_xll.BDH("CMI US Equity","IS_OTHER_NON_OPERATING_INC_LOSS","FQ4 2022","FQ4 2022","Currency=USD","Period=FQ","BEST_FPERIOD_OVERRIDE=FQ","FILING_STATUS=MR","SCALING_FORMAT=MLN","FA_ADJUSTED=Adjusted","Sort=A","Dates=H","DateFormat=P","Fill=—","Direction=H","UseDPDF=Y")</f>
        <v>-43</v>
      </c>
      <c r="S22" s="13" cm="1">
        <f t="array" ref="S22">_xll.BDH("CMI US Equity","IS_OTHER_NON_OPERATING_INC_LOSS","FQ1 2023","FQ1 2023","Currency=USD","Period=FQ","BEST_FPERIOD_OVERRIDE=FQ","FILING_STATUS=MR","SCALING_FORMAT=MLN","FA_ADJUSTED=Adjusted","Sort=A","Dates=H","DateFormat=P","Fill=—","Direction=H","UseDPDF=Y")</f>
        <v>-72</v>
      </c>
      <c r="T22" s="13" cm="1">
        <f t="array" ref="T22">_xll.BDH("CMI US Equity","IS_OTHER_NON_OPERATING_INC_LOSS","FQ2 2023","FQ2 2023","Currency=USD","Period=FQ","BEST_FPERIOD_OVERRIDE=FQ","FILING_STATUS=MR","SCALING_FORMAT=MLN","FA_ADJUSTED=Adjusted","Sort=A","Dates=H","DateFormat=P","Fill=—","Direction=H","UseDPDF=Y")</f>
        <v>-16</v>
      </c>
      <c r="U22" s="13" cm="1">
        <f t="array" ref="U22">_xll.BDH("CMI US Equity","IS_OTHER_NON_OPERATING_INC_LOSS","FQ3 2023","FQ3 2023","Currency=USD","Period=FQ","BEST_FPERIOD_OVERRIDE=FQ","FILING_STATUS=MR","SCALING_FORMAT=MLN","FA_ADJUSTED=Adjusted","Sort=A","Dates=H","DateFormat=P","Fill=—","Direction=H","UseDPDF=Y")</f>
        <v>-34</v>
      </c>
      <c r="V22" s="13" cm="1">
        <f t="array" ref="V22">_xll.BDH("CMI US Equity","IS_OTHER_NON_OPERATING_INC_LOSS","FQ4 2023","FQ4 2023","Currency=USD","Period=FQ","BEST_FPERIOD_OVERRIDE=FQ","FILING_STATUS=MR","SCALING_FORMAT=MLN","FA_ADJUSTED=Adjusted","Sort=A","Dates=H","DateFormat=P","Fill=—","Direction=H","UseDPDF=Y")</f>
        <v>-72</v>
      </c>
      <c r="W22" s="13" cm="1">
        <f t="array" ref="W22">_xll.BDH("CMI US Equity","IS_OTHER_NON_OPERATING_INC_LOSS","FQ1 2024","FQ1 2024","Currency=USD","Period=FQ","BEST_FPERIOD_OVERRIDE=FQ","FILING_STATUS=MR","SCALING_FORMAT=MLN","FA_ADJUSTED=Adjusted","Sort=A","Dates=H","DateFormat=P","Fill=—","Direction=H","UseDPDF=Y")</f>
        <v>-65</v>
      </c>
      <c r="X22" s="13" cm="1">
        <f t="array" ref="X22">_xll.BDH("CMI US Equity","IS_OTHER_NON_OPERATING_INC_LOSS","FQ2 2024","FQ2 2024","Currency=USD","Period=FQ","BEST_FPERIOD_OVERRIDE=FQ","FILING_STATUS=MR","SCALING_FORMAT=MLN","FA_ADJUSTED=Adjusted","Sort=A","Dates=H","DateFormat=P","Fill=—","Direction=H","UseDPDF=Y")</f>
        <v>-25</v>
      </c>
      <c r="Y22" s="13" cm="1">
        <f t="array" ref="Y22">_xll.BDH("CMI US Equity","IS_OTHER_NON_OPERATING_INC_LOSS","FQ3 2024","FQ3 2024","Currency=USD","Period=FQ","BEST_FPERIOD_OVERRIDE=FQ","FILING_STATUS=MR","SCALING_FORMAT=MLN","FA_ADJUSTED=Adjusted","Sort=A","Dates=H","DateFormat=P","Fill=—","Direction=H","UseDPDF=Y")</f>
        <v>-37</v>
      </c>
      <c r="Z22" s="13" cm="1">
        <f t="array" ref="Z22">_xll.BDH("CMI US Equity","IS_OTHER_NON_OPERATING_INC_LOSS","FQ4 2024","FQ4 2024","Currency=USD","Period=FQ","BEST_FPERIOD_OVERRIDE=FQ","FILING_STATUS=MR","SCALING_FORMAT=MLN","FA_ADJUSTED=Adjusted","Sort=A","Dates=H","DateFormat=P","Fill=—","Direction=H","UseDPDF=Y")</f>
        <v>-38</v>
      </c>
      <c r="AA22" s="13" cm="1">
        <f t="array" ref="AA22">_xll.BDH("CMI US Equity","IS_OTHER_NON_OPERATING_INC_LOSS","FQ1 2025","FQ1 2025","Currency=USD","Period=FQ","BEST_FPERIOD_OVERRIDE=FQ","FILING_STATUS=MR","SCALING_FORMAT=MLN","FA_ADJUSTED=Adjusted","Sort=A","Dates=H","DateFormat=P","Fill=—","Direction=H","UseDPDF=Y")</f>
        <v>-21</v>
      </c>
      <c r="AB22" s="13" cm="1">
        <f t="array" ref="AB22">_xll.BDH("CMI US Equity","IS_OTHER_NON_OPERATING_INC_LOSS","FQ2 2025","FQ2 2025","Currency=USD","Period=FQ","BEST_FPERIOD_OVERRIDE=FQ","FILING_STATUS=MR","SCALING_FORMAT=MLN","FA_ADJUSTED=Adjusted","Sort=A","Dates=H","DateFormat=P","Fill=—","Direction=H","UseDPDF=Y")</f>
        <v>-22</v>
      </c>
      <c r="AC22" s="13" cm="1">
        <f t="array" ref="AC22">_xll.BDH("CMI US Equity","IS_OTHER_NON_OPERATING_INC_LOSS","FQ3 2025","FQ3 2025","Currency=USD","Period=FQ","BEST_FPERIOD_OVERRIDE=FQ","FILING_STATUS=MR","SCALING_FORMAT=MLN","FA_ADJUSTED=Adjusted","Sort=A","Dates=H","DateFormat=P","Fill=—","Direction=H","UseDPDF=Y")</f>
        <v>-23</v>
      </c>
      <c r="AD22" s="13" cm="1">
        <f t="array" ref="AD22">_xll.BDH("CMI US Equity","IS_OTHER_NON_OPERATING_INC_LOSS","FQ4 2025","FQ4 2025","Currency=USD","Period=FQ","BEST_FPERIOD_OVERRIDE=FQ","FILING_STATUS=MR","SCALING_FORMAT=MLN","FA_ADJUSTED=Adjusted","Sort=A","Dates=H","DateFormat=P","Fill=—","Direction=H","UseDPDF=Y")</f>
        <v>-35</v>
      </c>
      <c r="AE22" s="13"/>
      <c r="AF22" s="13"/>
    </row>
    <row r="23" spans="1:32" x14ac:dyDescent="0.25">
      <c r="A23" s="6" t="s">
        <v>99</v>
      </c>
      <c r="B23" s="6" t="s">
        <v>100</v>
      </c>
      <c r="C23" s="16" cm="1">
        <f t="array" ref="C23">_xll.BDH("CMI US Equity","PRETAX_INC","FQ1 2019","FQ1 2019","Currency=USD","Period=FQ","BEST_FPERIOD_OVERRIDE=FQ","FILING_STATUS=MR","SCALING_FORMAT=MLN","FA_ADJUSTED=Adjusted","Sort=A","Dates=H","DateFormat=P","Fill=—","Direction=H","UseDPDF=Y")</f>
        <v>840</v>
      </c>
      <c r="D23" s="16" cm="1">
        <f t="array" ref="D23">_xll.BDH("CMI US Equity","PRETAX_INC","FQ2 2019","FQ2 2019","Currency=USD","Period=FQ","BEST_FPERIOD_OVERRIDE=FQ","FILING_STATUS=MR","SCALING_FORMAT=MLN","FA_ADJUSTED=Adjusted","Sort=A","Dates=H","DateFormat=P","Fill=—","Direction=H","UseDPDF=Y")</f>
        <v>853</v>
      </c>
      <c r="E23" s="16" cm="1">
        <f t="array" ref="E23">_xll.BDH("CMI US Equity","PRETAX_INC","FQ3 2019","FQ3 2019","Currency=USD","Period=FQ","BEST_FPERIOD_OVERRIDE=FQ","FILING_STATUS=MR","SCALING_FORMAT=MLN","FA_ADJUSTED=Adjusted","Sort=A","Dates=H","DateFormat=P","Fill=—","Direction=H","UseDPDF=Y")</f>
        <v>741.55700000000002</v>
      </c>
      <c r="F23" s="16" cm="1">
        <f t="array" ref="F23">_xll.BDH("CMI US Equity","PRETAX_INC","FQ4 2019","FQ4 2019","Currency=USD","Period=FQ","BEST_FPERIOD_OVERRIDE=FQ","FILING_STATUS=MR","SCALING_FORMAT=MLN","FA_ADJUSTED=Adjusted","Sort=A","Dates=H","DateFormat=P","Fill=—","Direction=H","UseDPDF=Y")</f>
        <v>489</v>
      </c>
      <c r="G23" s="16" cm="1">
        <f t="array" ref="G23">_xll.BDH("CMI US Equity","PRETAX_INC","FQ1 2020","FQ1 2020","Currency=USD","Period=FQ","BEST_FPERIOD_OVERRIDE=FQ","FILING_STATUS=MR","SCALING_FORMAT=MLN","FA_ADJUSTED=Adjusted","Sort=A","Dates=H","DateFormat=P","Fill=—","Direction=H","UseDPDF=Y")</f>
        <v>610</v>
      </c>
      <c r="H23" s="16" cm="1">
        <f t="array" ref="H23">_xll.BDH("CMI US Equity","PRETAX_INC","FQ2 2020","FQ2 2020","Currency=USD","Period=FQ","BEST_FPERIOD_OVERRIDE=FQ","FILING_STATUS=MR","SCALING_FORMAT=MLN","FA_ADJUSTED=Adjusted","Sort=A","Dates=H","DateFormat=P","Fill=—","Direction=H","UseDPDF=Y")</f>
        <v>308</v>
      </c>
      <c r="I23" s="16" cm="1">
        <f t="array" ref="I23">_xll.BDH("CMI US Equity","PRETAX_INC","FQ3 2020","FQ3 2020","Currency=USD","Period=FQ","BEST_FPERIOD_OVERRIDE=FQ","FILING_STATUS=MR","SCALING_FORMAT=MLN","FA_ADJUSTED=Adjusted","Sort=A","Dates=H","DateFormat=P","Fill=—","Direction=H","UseDPDF=Y")</f>
        <v>670</v>
      </c>
      <c r="J23" s="16" cm="1">
        <f t="array" ref="J23">_xll.BDH("CMI US Equity","PRETAX_INC","FQ4 2020","FQ4 2020","Currency=USD","Period=FQ","BEST_FPERIOD_OVERRIDE=FQ","FILING_STATUS=MR","SCALING_FORMAT=MLN","FA_ADJUSTED=Adjusted","Sort=A","Dates=H","DateFormat=P","Fill=—","Direction=H","UseDPDF=Y")</f>
        <v>628</v>
      </c>
      <c r="K23" s="16" cm="1">
        <f t="array" ref="K23">_xll.BDH("CMI US Equity","PRETAX_INC","FQ1 2021","FQ1 2021","Currency=USD","Period=FQ","BEST_FPERIOD_OVERRIDE=FQ","FILING_STATUS=MR","SCALING_FORMAT=MLN","FA_ADJUSTED=Adjusted","Sort=A","Dates=H","DateFormat=P","Fill=—","Direction=H","UseDPDF=Y")</f>
        <v>786</v>
      </c>
      <c r="L23" s="16" cm="1">
        <f t="array" ref="L23">_xll.BDH("CMI US Equity","PRETAX_INC","FQ2 2021","FQ2 2021","Currency=USD","Period=FQ","BEST_FPERIOD_OVERRIDE=FQ","FILING_STATUS=MR","SCALING_FORMAT=MLN","FA_ADJUSTED=Adjusted","Sort=A","Dates=H","DateFormat=P","Fill=—","Direction=H","UseDPDF=Y")</f>
        <v>759</v>
      </c>
      <c r="M23" s="16" cm="1">
        <f t="array" ref="M23">_xll.BDH("CMI US Equity","PRETAX_INC","FQ3 2021","FQ3 2021","Currency=USD","Period=FQ","BEST_FPERIOD_OVERRIDE=FQ","FILING_STATUS=MR","SCALING_FORMAT=MLN","FA_ADJUSTED=Adjusted","Sort=A","Dates=H","DateFormat=P","Fill=—","Direction=H","UseDPDF=Y")</f>
        <v>673</v>
      </c>
      <c r="N23" s="16" cm="1">
        <f t="array" ref="N23">_xll.BDH("CMI US Equity","PRETAX_INC","FQ4 2021","FQ4 2021","Currency=USD","Period=FQ","BEST_FPERIOD_OVERRIDE=FQ","FILING_STATUS=MR","SCALING_FORMAT=MLN","FA_ADJUSTED=Adjusted","Sort=A","Dates=H","DateFormat=P","Fill=—","Direction=H","UseDPDF=Y")</f>
        <v>514</v>
      </c>
      <c r="O23" s="16" cm="1">
        <f t="array" ref="O23">_xll.BDH("CMI US Equity","PRETAX_INC","FQ1 2022","FQ1 2022","Currency=USD","Period=FQ","BEST_FPERIOD_OVERRIDE=FQ","FILING_STATUS=MR","SCALING_FORMAT=MLN","FA_ADJUSTED=Adjusted","Sort=A","Dates=H","DateFormat=P","Fill=—","Direction=H","UseDPDF=Y")</f>
        <v>582</v>
      </c>
      <c r="P23" s="16" cm="1">
        <f t="array" ref="P23">_xll.BDH("CMI US Equity","PRETAX_INC","FQ2 2022","FQ2 2022","Currency=USD","Period=FQ","BEST_FPERIOD_OVERRIDE=FQ","FILING_STATUS=MR","SCALING_FORMAT=MLN","FA_ADJUSTED=Adjusted","Sort=A","Dates=H","DateFormat=P","Fill=—","Direction=H","UseDPDF=Y")</f>
        <v>903</v>
      </c>
      <c r="Q23" s="16" cm="1">
        <f t="array" ref="Q23">_xll.BDH("CMI US Equity","PRETAX_INC","FQ3 2022","FQ3 2022","Currency=USD","Period=FQ","BEST_FPERIOD_OVERRIDE=FQ","FILING_STATUS=MR","SCALING_FORMAT=MLN","FA_ADJUSTED=Adjusted","Sort=A","Dates=H","DateFormat=P","Fill=—","Direction=H","UseDPDF=Y")</f>
        <v>608</v>
      </c>
      <c r="R23" s="16" cm="1">
        <f t="array" ref="R23">_xll.BDH("CMI US Equity","PRETAX_INC","FQ4 2022","FQ4 2022","Currency=USD","Period=FQ","BEST_FPERIOD_OVERRIDE=FQ","FILING_STATUS=MR","SCALING_FORMAT=MLN","FA_ADJUSTED=Adjusted","Sort=A","Dates=H","DateFormat=P","Fill=—","Direction=H","UseDPDF=Y")</f>
        <v>778</v>
      </c>
      <c r="S23" s="16" cm="1">
        <f t="array" ref="S23">_xll.BDH("CMI US Equity","PRETAX_INC","FQ1 2023","FQ1 2023","Currency=USD","Period=FQ","BEST_FPERIOD_OVERRIDE=FQ","FILING_STATUS=MR","SCALING_FORMAT=MLN","FA_ADJUSTED=Adjusted","Sort=A","Dates=H","DateFormat=P","Fill=—","Direction=H","UseDPDF=Y")</f>
        <v>1030</v>
      </c>
      <c r="T23" s="16" cm="1">
        <f t="array" ref="T23">_xll.BDH("CMI US Equity","PRETAX_INC","FQ2 2023","FQ2 2023","Currency=USD","Period=FQ","BEST_FPERIOD_OVERRIDE=FQ","FILING_STATUS=MR","SCALING_FORMAT=MLN","FA_ADJUSTED=Adjusted","Sort=A","Dates=H","DateFormat=P","Fill=—","Direction=H","UseDPDF=Y")</f>
        <v>952</v>
      </c>
      <c r="U23" s="16" cm="1">
        <f t="array" ref="U23">_xll.BDH("CMI US Equity","PRETAX_INC","FQ3 2023","FQ3 2023","Currency=USD","Period=FQ","BEST_FPERIOD_OVERRIDE=FQ","FILING_STATUS=MR","SCALING_FORMAT=MLN","FA_ADJUSTED=Adjusted","Sort=A","Dates=H","DateFormat=P","Fill=—","Direction=H","UseDPDF=Y")</f>
        <v>935</v>
      </c>
      <c r="V23" s="16" cm="1">
        <f t="array" ref="V23">_xll.BDH("CMI US Equity","PRETAX_INC","FQ4 2023","FQ4 2023","Currency=USD","Period=FQ","BEST_FPERIOD_OVERRIDE=FQ","FILING_STATUS=MR","SCALING_FORMAT=MLN","FA_ADJUSTED=Adjusted","Sort=A","Dates=H","DateFormat=P","Fill=—","Direction=H","UseDPDF=Y")</f>
        <v>-1230</v>
      </c>
      <c r="W23" s="16" cm="1">
        <f t="array" ref="W23">_xll.BDH("CMI US Equity","PRETAX_INC","FQ1 2024","FQ1 2024","Currency=USD","Period=FQ","BEST_FPERIOD_OVERRIDE=FQ","FILING_STATUS=MR","SCALING_FORMAT=MLN","FA_ADJUSTED=Adjusted","Sort=A","Dates=H","DateFormat=P","Fill=—","Direction=H","UseDPDF=Y")</f>
        <v>946</v>
      </c>
      <c r="X23" s="16" cm="1">
        <f t="array" ref="X23">_xll.BDH("CMI US Equity","PRETAX_INC","FQ2 2024","FQ2 2024","Currency=USD","Period=FQ","BEST_FPERIOD_OVERRIDE=FQ","FILING_STATUS=MR","SCALING_FORMAT=MLN","FA_ADJUSTED=Adjusted","Sort=A","Dates=H","DateFormat=P","Fill=—","Direction=H","UseDPDF=Y")</f>
        <v>979</v>
      </c>
      <c r="Y23" s="16" cm="1">
        <f t="array" ref="Y23">_xll.BDH("CMI US Equity","PRETAX_INC","FQ3 2024","FQ3 2024","Currency=USD","Period=FQ","BEST_FPERIOD_OVERRIDE=FQ","FILING_STATUS=MR","SCALING_FORMAT=MLN","FA_ADJUSTED=Adjusted","Sort=A","Dates=H","DateFormat=P","Fill=—","Direction=H","UseDPDF=Y")</f>
        <v>1010</v>
      </c>
      <c r="Z23" s="16" cm="1">
        <f t="array" ref="Z23">_xll.BDH("CMI US Equity","PRETAX_INC","FQ4 2024","FQ4 2024","Currency=USD","Period=FQ","BEST_FPERIOD_OVERRIDE=FQ","FILING_STATUS=MR","SCALING_FORMAT=MLN","FA_ADJUSTED=Adjusted","Sort=A","Dates=H","DateFormat=P","Fill=—","Direction=H","UseDPDF=Y")</f>
        <v>702</v>
      </c>
      <c r="AA23" s="16" cm="1">
        <f t="array" ref="AA23">_xll.BDH("CMI US Equity","PRETAX_INC","FQ1 2025","FQ1 2025","Currency=USD","Period=FQ","BEST_FPERIOD_OVERRIDE=FQ","FILING_STATUS=MR","SCALING_FORMAT=MLN","FA_ADJUSTED=Adjusted","Sort=A","Dates=H","DateFormat=P","Fill=—","Direction=H","UseDPDF=Y")</f>
        <v>1117</v>
      </c>
      <c r="AB23" s="16" cm="1">
        <f t="array" ref="AB23">_xll.BDH("CMI US Equity","PRETAX_INC","FQ2 2025","FQ2 2025","Currency=USD","Period=FQ","BEST_FPERIOD_OVERRIDE=FQ","FILING_STATUS=MR","SCALING_FORMAT=MLN","FA_ADJUSTED=Adjusted","Sort=A","Dates=H","DateFormat=P","Fill=—","Direction=H","UseDPDF=Y")</f>
        <v>1207</v>
      </c>
      <c r="AC23" s="16" cm="1">
        <f t="array" ref="AC23">_xll.BDH("CMI US Equity","PRETAX_INC","FQ3 2025","FQ3 2025","Currency=USD","Period=FQ","BEST_FPERIOD_OVERRIDE=FQ","FILING_STATUS=MR","SCALING_FORMAT=MLN","FA_ADJUSTED=Adjusted","Sort=A","Dates=H","DateFormat=P","Fill=—","Direction=H","UseDPDF=Y")</f>
        <v>813</v>
      </c>
      <c r="AD23" s="16" cm="1">
        <f t="array" ref="AD23">_xll.BDH("CMI US Equity","PRETAX_INC","FQ4 2025","FQ4 2025","Currency=USD","Period=FQ","BEST_FPERIOD_OVERRIDE=FQ","FILING_STATUS=MR","SCALING_FORMAT=MLN","FA_ADJUSTED=Adjusted","Sort=A","Dates=H","DateFormat=P","Fill=—","Direction=H","UseDPDF=Y")</f>
        <v>1009</v>
      </c>
      <c r="AE23" s="16">
        <v>1073.4670000000001</v>
      </c>
      <c r="AF23" s="16">
        <v>1219.8</v>
      </c>
    </row>
    <row r="24" spans="1:32" x14ac:dyDescent="0.25">
      <c r="A24" s="10" t="s">
        <v>101</v>
      </c>
      <c r="B24" s="10" t="s">
        <v>102</v>
      </c>
      <c r="C24" s="13" cm="1">
        <f t="array" ref="C24">_xll.BDH("CMI US Equity","IS_ABNORMAL_ITEM","FQ1 2019","FQ1 2019","Currency=USD","Period=FQ","BEST_FPERIOD_OVERRIDE=FQ","FILING_STATUS=MR","SCALING_FORMAT=MLN","Sort=A","Dates=H","DateFormat=P","Fill=—","Direction=H","UseDPDF=Y")</f>
        <v>-5</v>
      </c>
      <c r="D24" s="13" cm="1">
        <f t="array" ref="D24">_xll.BDH("CMI US Equity","IS_ABNORMAL_ITEM","FQ2 2019","FQ2 2019","Currency=USD","Period=FQ","BEST_FPERIOD_OVERRIDE=FQ","FILING_STATUS=MR","SCALING_FORMAT=MLN","Sort=A","Dates=H","DateFormat=P","Fill=—","Direction=H","UseDPDF=Y")</f>
        <v>-18</v>
      </c>
      <c r="E24" s="13" cm="1">
        <f t="array" ref="E24">_xll.BDH("CMI US Equity","IS_ABNORMAL_ITEM","FQ3 2019","FQ3 2019","Currency=USD","Period=FQ","BEST_FPERIOD_OVERRIDE=FQ","FILING_STATUS=MR","SCALING_FORMAT=MLN","Sort=A","Dates=H","DateFormat=P","Fill=—","Direction=H","UseDPDF=Y")</f>
        <v>-13.443</v>
      </c>
      <c r="F24" s="13" cm="1">
        <f t="array" ref="F24">_xll.BDH("CMI US Equity","IS_ABNORMAL_ITEM","FQ4 2019","FQ4 2019","Currency=USD","Period=FQ","BEST_FPERIOD_OVERRIDE=FQ","FILING_STATUS=MR","SCALING_FORMAT=MLN","Sort=A","Dates=H","DateFormat=P","Fill=—","Direction=H","UseDPDF=Y")</f>
        <v>126</v>
      </c>
      <c r="G24" s="13" cm="1">
        <f t="array" ref="G24">_xll.BDH("CMI US Equity","IS_ABNORMAL_ITEM","FQ1 2020","FQ1 2020","Currency=USD","Period=FQ","BEST_FPERIOD_OVERRIDE=FQ","FILING_STATUS=MR","SCALING_FORMAT=MLN","Sort=A","Dates=H","DateFormat=P","Fill=—","Direction=H","UseDPDF=Y")</f>
        <v>-45</v>
      </c>
      <c r="H24" s="13" cm="1">
        <f t="array" ref="H24">_xll.BDH("CMI US Equity","IS_ABNORMAL_ITEM","FQ2 2020","FQ2 2020","Currency=USD","Period=FQ","BEST_FPERIOD_OVERRIDE=FQ","FILING_STATUS=MR","SCALING_FORMAT=MLN","Sort=A","Dates=H","DateFormat=P","Fill=—","Direction=H","UseDPDF=Y")</f>
        <v>-54</v>
      </c>
      <c r="I24" s="13" cm="1">
        <f t="array" ref="I24">_xll.BDH("CMI US Equity","IS_ABNORMAL_ITEM","FQ3 2020","FQ3 2020","Currency=USD","Period=FQ","BEST_FPERIOD_OVERRIDE=FQ","FILING_STATUS=MR","SCALING_FORMAT=MLN","Sort=A","Dates=H","DateFormat=P","Fill=—","Direction=H","UseDPDF=Y")</f>
        <v>-16</v>
      </c>
      <c r="J24" s="13" cm="1">
        <f t="array" ref="J24">_xll.BDH("CMI US Equity","IS_ABNORMAL_ITEM","FQ4 2020","FQ4 2020","Currency=USD","Period=FQ","BEST_FPERIOD_OVERRIDE=FQ","FILING_STATUS=MR","SCALING_FORMAT=MLN","Sort=A","Dates=H","DateFormat=P","Fill=—","Direction=H","UseDPDF=Y")</f>
        <v>-7</v>
      </c>
      <c r="K24" s="13" cm="1">
        <f t="array" ref="K24">_xll.BDH("CMI US Equity","IS_ABNORMAL_ITEM","FQ1 2021","FQ1 2021","Currency=USD","Period=FQ","BEST_FPERIOD_OVERRIDE=FQ","FILING_STATUS=MR","SCALING_FORMAT=MLN","Sort=A","Dates=H","DateFormat=P","Fill=—","Direction=H","UseDPDF=Y")</f>
        <v>3</v>
      </c>
      <c r="L24" s="13" cm="1">
        <f t="array" ref="L24">_xll.BDH("CMI US Equity","IS_ABNORMAL_ITEM","FQ2 2021","FQ2 2021","Currency=USD","Period=FQ","BEST_FPERIOD_OVERRIDE=FQ","FILING_STATUS=MR","SCALING_FORMAT=MLN","Sort=A","Dates=H","DateFormat=P","Fill=—","Direction=H","UseDPDF=Y")</f>
        <v>-20</v>
      </c>
      <c r="M24" s="13" cm="1">
        <f t="array" ref="M24">_xll.BDH("CMI US Equity","IS_ABNORMAL_ITEM","FQ3 2021","FQ3 2021","Currency=USD","Period=FQ","BEST_FPERIOD_OVERRIDE=FQ","FILING_STATUS=MR","SCALING_FORMAT=MLN","Sort=A","Dates=H","DateFormat=P","Fill=—","Direction=H","UseDPDF=Y")</f>
        <v>-2</v>
      </c>
      <c r="N24" s="13" cm="1">
        <f t="array" ref="N24">_xll.BDH("CMI US Equity","IS_ABNORMAL_ITEM","FQ4 2021","FQ4 2021","Currency=USD","Period=FQ","BEST_FPERIOD_OVERRIDE=FQ","FILING_STATUS=MR","SCALING_FORMAT=MLN","Sort=A","Dates=H","DateFormat=P","Fill=—","Direction=H","UseDPDF=Y")</f>
        <v>0</v>
      </c>
      <c r="O24" s="13" cm="1">
        <f t="array" ref="O24">_xll.BDH("CMI US Equity","IS_ABNORMAL_ITEM","FQ1 2022","FQ1 2022","Currency=USD","Period=FQ","BEST_FPERIOD_OVERRIDE=FQ","FILING_STATUS=MR","SCALING_FORMAT=MLN","Sort=A","Dates=H","DateFormat=P","Fill=—","Direction=H","UseDPDF=Y")</f>
        <v>4</v>
      </c>
      <c r="P24" s="13" cm="1">
        <f t="array" ref="P24">_xll.BDH("CMI US Equity","IS_ABNORMAL_ITEM","FQ2 2022","FQ2 2022","Currency=USD","Period=FQ","BEST_FPERIOD_OVERRIDE=FQ","FILING_STATUS=MR","SCALING_FORMAT=MLN","Sort=A","Dates=H","DateFormat=P","Fill=—","Direction=H","UseDPDF=Y")</f>
        <v>48</v>
      </c>
      <c r="Q24" s="13" cm="1">
        <f t="array" ref="Q24">_xll.BDH("CMI US Equity","IS_ABNORMAL_ITEM","FQ3 2022","FQ3 2022","Currency=USD","Period=FQ","BEST_FPERIOD_OVERRIDE=FQ","FILING_STATUS=MR","SCALING_FORMAT=MLN","Sort=A","Dates=H","DateFormat=P","Fill=—","Direction=H","UseDPDF=Y")</f>
        <v>0</v>
      </c>
      <c r="R24" s="13" cm="1">
        <f t="array" ref="R24">_xll.BDH("CMI US Equity","IS_ABNORMAL_ITEM","FQ4 2022","FQ4 2022","Currency=USD","Period=FQ","BEST_FPERIOD_OVERRIDE=FQ","FILING_STATUS=MR","SCALING_FORMAT=MLN","Sort=A","Dates=H","DateFormat=P","Fill=—","Direction=H","UseDPDF=Y")</f>
        <v>0</v>
      </c>
      <c r="S24" s="13" cm="1">
        <f t="array" ref="S24">_xll.BDH("CMI US Equity","IS_ABNORMAL_ITEM","FQ1 2023","FQ1 2023","Currency=USD","Period=FQ","BEST_FPERIOD_OVERRIDE=FQ","FILING_STATUS=MR","SCALING_FORMAT=MLN","Sort=A","Dates=H","DateFormat=P","Fill=—","Direction=H","UseDPDF=Y")</f>
        <v>1</v>
      </c>
      <c r="T24" s="13" cm="1">
        <f t="array" ref="T24">_xll.BDH("CMI US Equity","IS_ABNORMAL_ITEM","FQ2 2023","FQ2 2023","Currency=USD","Period=FQ","BEST_FPERIOD_OVERRIDE=FQ","FILING_STATUS=MR","SCALING_FORMAT=MLN","Sort=A","Dates=H","DateFormat=P","Fill=—","Direction=H","UseDPDF=Y")</f>
        <v>3</v>
      </c>
      <c r="U24" s="13" cm="1">
        <f t="array" ref="U24">_xll.BDH("CMI US Equity","IS_ABNORMAL_ITEM","FQ3 2023","FQ3 2023","Currency=USD","Period=FQ","BEST_FPERIOD_OVERRIDE=FQ","FILING_STATUS=MR","SCALING_FORMAT=MLN","Sort=A","Dates=H","DateFormat=P","Fill=—","Direction=H","UseDPDF=Y")</f>
        <v>57</v>
      </c>
      <c r="V24" s="13" cm="1">
        <f t="array" ref="V24">_xll.BDH("CMI US Equity","IS_ABNORMAL_ITEM","FQ4 2023","FQ4 2023","Currency=USD","Period=FQ","BEST_FPERIOD_OVERRIDE=FQ","FILING_STATUS=MR","SCALING_FORMAT=MLN","Sort=A","Dates=H","DateFormat=P","Fill=—","Direction=H","UseDPDF=Y")</f>
        <v>0</v>
      </c>
      <c r="W24" s="13" cm="1">
        <f t="array" ref="W24">_xll.BDH("CMI US Equity","IS_ABNORMAL_ITEM","FQ1 2024","FQ1 2024","Currency=USD","Period=FQ","BEST_FPERIOD_OVERRIDE=FQ","FILING_STATUS=MR","SCALING_FORMAT=MLN","Sort=A","Dates=H","DateFormat=P","Fill=—","Direction=H","UseDPDF=Y")</f>
        <v>-1275</v>
      </c>
      <c r="X24" s="13" cm="1">
        <f t="array" ref="X24">_xll.BDH("CMI US Equity","IS_ABNORMAL_ITEM","FQ2 2024","FQ2 2024","Currency=USD","Period=FQ","BEST_FPERIOD_OVERRIDE=FQ","FILING_STATUS=MR","SCALING_FORMAT=MLN","Sort=A","Dates=H","DateFormat=P","Fill=—","Direction=H","UseDPDF=Y")</f>
        <v>2</v>
      </c>
      <c r="Y24" s="13" cm="1">
        <f t="array" ref="Y24">_xll.BDH("CMI US Equity","IS_ABNORMAL_ITEM","FQ3 2024","FQ3 2024","Currency=USD","Period=FQ","BEST_FPERIOD_OVERRIDE=FQ","FILING_STATUS=MR","SCALING_FORMAT=MLN","Sort=A","Dates=H","DateFormat=P","Fill=—","Direction=H","UseDPDF=Y")</f>
        <v>-33</v>
      </c>
      <c r="Z24" s="13" cm="1">
        <f t="array" ref="Z24">_xll.BDH("CMI US Equity","IS_ABNORMAL_ITEM","FQ4 2024","FQ4 2024","Currency=USD","Period=FQ","BEST_FPERIOD_OVERRIDE=FQ","FILING_STATUS=MR","SCALING_FORMAT=MLN","Sort=A","Dates=H","DateFormat=P","Fill=—","Direction=H","UseDPDF=Y")</f>
        <v>40</v>
      </c>
      <c r="AA24" s="13" cm="1">
        <f t="array" ref="AA24">_xll.BDH("CMI US Equity","IS_ABNORMAL_ITEM","FQ1 2025","FQ1 2025","Currency=USD","Period=FQ","BEST_FPERIOD_OVERRIDE=FQ","FILING_STATUS=MR","SCALING_FORMAT=MLN","Sort=A","Dates=H","DateFormat=P","Fill=—","Direction=H","UseDPDF=Y")</f>
        <v>0</v>
      </c>
      <c r="AB24" s="13" cm="1">
        <f t="array" ref="AB24">_xll.BDH("CMI US Equity","IS_ABNORMAL_ITEM","FQ2 2025","FQ2 2025","Currency=USD","Period=FQ","BEST_FPERIOD_OVERRIDE=FQ","FILING_STATUS=MR","SCALING_FORMAT=MLN","Sort=A","Dates=H","DateFormat=P","Fill=—","Direction=H","UseDPDF=Y")</f>
        <v>-18</v>
      </c>
      <c r="AC24" s="13" cm="1">
        <f t="array" ref="AC24">_xll.BDH("CMI US Equity","IS_ABNORMAL_ITEM","FQ3 2025","FQ3 2025","Currency=USD","Period=FQ","BEST_FPERIOD_OVERRIDE=FQ","FILING_STATUS=MR","SCALING_FORMAT=MLN","Sort=A","Dates=H","DateFormat=P","Fill=—","Direction=H","UseDPDF=Y")</f>
        <v>-17</v>
      </c>
      <c r="AD24" s="13" cm="1">
        <f t="array" ref="AD24">_xll.BDH("CMI US Equity","IS_ABNORMAL_ITEM","FQ4 2025","FQ4 2025","Currency=USD","Period=FQ","BEST_FPERIOD_OVERRIDE=FQ","FILING_STATUS=MR","SCALING_FORMAT=MLN","Sort=A","Dates=H","DateFormat=P","Fill=—","Direction=H","UseDPDF=Y")</f>
        <v>218</v>
      </c>
      <c r="AE24" s="13"/>
      <c r="AF24" s="13"/>
    </row>
    <row r="25" spans="1:32" x14ac:dyDescent="0.25">
      <c r="A25" s="10" t="s">
        <v>103</v>
      </c>
      <c r="B25" s="10" t="s">
        <v>104</v>
      </c>
      <c r="C25" s="13" t="str" cm="1">
        <f t="array" ref="C25">_xll.BDH("CMI US Equity","IS_DERIVATIVES_HEDGING","FQ1 2019","FQ1 2019","Currency=USD","Period=FQ","BEST_FPERIOD_OVERRIDE=FQ","FILING_STATUS=MR","SCALING_FORMAT=MLN","Sort=A","Dates=H","DateFormat=P","Fill=—","Direction=H","UseDPDF=Y")</f>
        <v>—</v>
      </c>
      <c r="D25" s="13" t="str" cm="1">
        <f t="array" ref="D25">_xll.BDH("CMI US Equity","IS_DERIVATIVES_HEDGING","FQ2 2019","FQ2 2019","Currency=USD","Period=FQ","BEST_FPERIOD_OVERRIDE=FQ","FILING_STATUS=MR","SCALING_FORMAT=MLN","Sort=A","Dates=H","DateFormat=P","Fill=—","Direction=H","UseDPDF=Y")</f>
        <v>—</v>
      </c>
      <c r="E25" s="13" cm="1">
        <f t="array" ref="E25">_xll.BDH("CMI US Equity","IS_DERIVATIVES_HEDGING","FQ3 2019","FQ3 2019","Currency=USD","Period=FQ","BEST_FPERIOD_OVERRIDE=FQ","FILING_STATUS=MR","SCALING_FORMAT=MLN","Sort=A","Dates=H","DateFormat=P","Fill=—","Direction=H","UseDPDF=Y")</f>
        <v>-35.442999999999998</v>
      </c>
      <c r="F25" s="13" t="str" cm="1">
        <f t="array" ref="F25">_xll.BDH("CMI US Equity","IS_DERIVATIVES_HEDGING","FQ4 2019","FQ4 2019","Currency=USD","Period=FQ","BEST_FPERIOD_OVERRIDE=FQ","FILING_STATUS=MR","SCALING_FORMAT=MLN","Sort=A","Dates=H","DateFormat=P","Fill=—","Direction=H","UseDPDF=Y")</f>
        <v>—</v>
      </c>
      <c r="G25" s="13" t="str" cm="1">
        <f t="array" ref="G25">_xll.BDH("CMI US Equity","IS_DERIVATIVES_HEDGING","FQ1 2020","FQ1 2020","Currency=USD","Period=FQ","BEST_FPERIOD_OVERRIDE=FQ","FILING_STATUS=MR","SCALING_FORMAT=MLN","Sort=A","Dates=H","DateFormat=P","Fill=—","Direction=H","UseDPDF=Y")</f>
        <v>—</v>
      </c>
      <c r="H25" s="13" t="str" cm="1">
        <f t="array" ref="H25">_xll.BDH("CMI US Equity","IS_DERIVATIVES_HEDGING","FQ2 2020","FQ2 2020","Currency=USD","Period=FQ","BEST_FPERIOD_OVERRIDE=FQ","FILING_STATUS=MR","SCALING_FORMAT=MLN","Sort=A","Dates=H","DateFormat=P","Fill=—","Direction=H","UseDPDF=Y")</f>
        <v>—</v>
      </c>
      <c r="I25" s="13" t="str" cm="1">
        <f t="array" ref="I25">_xll.BDH("CMI US Equity","IS_DERIVATIVES_HEDGING","FQ3 2020","FQ3 2020","Currency=USD","Period=FQ","BEST_FPERIOD_OVERRIDE=FQ","FILING_STATUS=MR","SCALING_FORMAT=MLN","Sort=A","Dates=H","DateFormat=P","Fill=—","Direction=H","UseDPDF=Y")</f>
        <v>—</v>
      </c>
      <c r="J25" s="13" t="str" cm="1">
        <f t="array" ref="J25">_xll.BDH("CMI US Equity","IS_DERIVATIVES_HEDGING","FQ4 2020","FQ4 2020","Currency=USD","Period=FQ","BEST_FPERIOD_OVERRIDE=FQ","FILING_STATUS=MR","SCALING_FORMAT=MLN","Sort=A","Dates=H","DateFormat=P","Fill=—","Direction=H","UseDPDF=Y")</f>
        <v>—</v>
      </c>
      <c r="K25" s="13" t="str" cm="1">
        <f t="array" ref="K25">_xll.BDH("CMI US Equity","IS_DERIVATIVES_HEDGING","FQ1 2021","FQ1 2021","Currency=USD","Period=FQ","BEST_FPERIOD_OVERRIDE=FQ","FILING_STATUS=MR","SCALING_FORMAT=MLN","Sort=A","Dates=H","DateFormat=P","Fill=—","Direction=H","UseDPDF=Y")</f>
        <v>—</v>
      </c>
      <c r="L25" s="13" t="str" cm="1">
        <f t="array" ref="L25">_xll.BDH("CMI US Equity","IS_DERIVATIVES_HEDGING","FQ2 2021","FQ2 2021","Currency=USD","Period=FQ","BEST_FPERIOD_OVERRIDE=FQ","FILING_STATUS=MR","SCALING_FORMAT=MLN","Sort=A","Dates=H","DateFormat=P","Fill=—","Direction=H","UseDPDF=Y")</f>
        <v>—</v>
      </c>
      <c r="M25" s="13" t="str" cm="1">
        <f t="array" ref="M25">_xll.BDH("CMI US Equity","IS_DERIVATIVES_HEDGING","FQ3 2021","FQ3 2021","Currency=USD","Period=FQ","BEST_FPERIOD_OVERRIDE=FQ","FILING_STATUS=MR","SCALING_FORMAT=MLN","Sort=A","Dates=H","DateFormat=P","Fill=—","Direction=H","UseDPDF=Y")</f>
        <v>—</v>
      </c>
      <c r="N25" s="13" t="str" cm="1">
        <f t="array" ref="N25">_xll.BDH("CMI US Equity","IS_DERIVATIVES_HEDGING","FQ4 2021","FQ4 2021","Currency=USD","Period=FQ","BEST_FPERIOD_OVERRIDE=FQ","FILING_STATUS=MR","SCALING_FORMAT=MLN","Sort=A","Dates=H","DateFormat=P","Fill=—","Direction=H","UseDPDF=Y")</f>
        <v>—</v>
      </c>
      <c r="O25" s="13" t="str" cm="1">
        <f t="array" ref="O25">_xll.BDH("CMI US Equity","IS_DERIVATIVES_HEDGING","FQ1 2022","FQ1 2022","Currency=USD","Period=FQ","BEST_FPERIOD_OVERRIDE=FQ","FILING_STATUS=MR","SCALING_FORMAT=MLN","Sort=A","Dates=H","DateFormat=P","Fill=—","Direction=H","UseDPDF=Y")</f>
        <v>—</v>
      </c>
      <c r="P25" s="13" t="str" cm="1">
        <f t="array" ref="P25">_xll.BDH("CMI US Equity","IS_DERIVATIVES_HEDGING","FQ2 2022","FQ2 2022","Currency=USD","Period=FQ","BEST_FPERIOD_OVERRIDE=FQ","FILING_STATUS=MR","SCALING_FORMAT=MLN","Sort=A","Dates=H","DateFormat=P","Fill=—","Direction=H","UseDPDF=Y")</f>
        <v>—</v>
      </c>
      <c r="Q25" s="13" t="str" cm="1">
        <f t="array" ref="Q25">_xll.BDH("CMI US Equity","IS_DERIVATIVES_HEDGING","FQ3 2022","FQ3 2022","Currency=USD","Period=FQ","BEST_FPERIOD_OVERRIDE=FQ","FILING_STATUS=MR","SCALING_FORMAT=MLN","Sort=A","Dates=H","DateFormat=P","Fill=—","Direction=H","UseDPDF=Y")</f>
        <v>—</v>
      </c>
      <c r="R25" s="13" t="str" cm="1">
        <f t="array" ref="R25">_xll.BDH("CMI US Equity","IS_DERIVATIVES_HEDGING","FQ4 2022","FQ4 2022","Currency=USD","Period=FQ","BEST_FPERIOD_OVERRIDE=FQ","FILING_STATUS=MR","SCALING_FORMAT=MLN","Sort=A","Dates=H","DateFormat=P","Fill=—","Direction=H","UseDPDF=Y")</f>
        <v>—</v>
      </c>
      <c r="S25" s="13" t="str" cm="1">
        <f t="array" ref="S25">_xll.BDH("CMI US Equity","IS_DERIVATIVES_HEDGING","FQ1 2023","FQ1 2023","Currency=USD","Period=FQ","BEST_FPERIOD_OVERRIDE=FQ","FILING_STATUS=MR","SCALING_FORMAT=MLN","Sort=A","Dates=H","DateFormat=P","Fill=—","Direction=H","UseDPDF=Y")</f>
        <v>—</v>
      </c>
      <c r="T25" s="13" t="str" cm="1">
        <f t="array" ref="T25">_xll.BDH("CMI US Equity","IS_DERIVATIVES_HEDGING","FQ2 2023","FQ2 2023","Currency=USD","Period=FQ","BEST_FPERIOD_OVERRIDE=FQ","FILING_STATUS=MR","SCALING_FORMAT=MLN","Sort=A","Dates=H","DateFormat=P","Fill=—","Direction=H","UseDPDF=Y")</f>
        <v>—</v>
      </c>
      <c r="U25" s="13" t="str" cm="1">
        <f t="array" ref="U25">_xll.BDH("CMI US Equity","IS_DERIVATIVES_HEDGING","FQ3 2023","FQ3 2023","Currency=USD","Period=FQ","BEST_FPERIOD_OVERRIDE=FQ","FILING_STATUS=MR","SCALING_FORMAT=MLN","Sort=A","Dates=H","DateFormat=P","Fill=—","Direction=H","UseDPDF=Y")</f>
        <v>—</v>
      </c>
      <c r="V25" s="13" t="str" cm="1">
        <f t="array" ref="V25">_xll.BDH("CMI US Equity","IS_DERIVATIVES_HEDGING","FQ4 2023","FQ4 2023","Currency=USD","Period=FQ","BEST_FPERIOD_OVERRIDE=FQ","FILING_STATUS=MR","SCALING_FORMAT=MLN","Sort=A","Dates=H","DateFormat=P","Fill=—","Direction=H","UseDPDF=Y")</f>
        <v>—</v>
      </c>
      <c r="W25" s="13" t="str" cm="1">
        <f t="array" ref="W25">_xll.BDH("CMI US Equity","IS_DERIVATIVES_HEDGING","FQ1 2024","FQ1 2024","Currency=USD","Period=FQ","BEST_FPERIOD_OVERRIDE=FQ","FILING_STATUS=MR","SCALING_FORMAT=MLN","Sort=A","Dates=H","DateFormat=P","Fill=—","Direction=H","UseDPDF=Y")</f>
        <v>—</v>
      </c>
      <c r="X25" s="13" t="str" cm="1">
        <f t="array" ref="X25">_xll.BDH("CMI US Equity","IS_DERIVATIVES_HEDGING","FQ2 2024","FQ2 2024","Currency=USD","Period=FQ","BEST_FPERIOD_OVERRIDE=FQ","FILING_STATUS=MR","SCALING_FORMAT=MLN","Sort=A","Dates=H","DateFormat=P","Fill=—","Direction=H","UseDPDF=Y")</f>
        <v>—</v>
      </c>
      <c r="Y25" s="13" t="str" cm="1">
        <f t="array" ref="Y25">_xll.BDH("CMI US Equity","IS_DERIVATIVES_HEDGING","FQ3 2024","FQ3 2024","Currency=USD","Period=FQ","BEST_FPERIOD_OVERRIDE=FQ","FILING_STATUS=MR","SCALING_FORMAT=MLN","Sort=A","Dates=H","DateFormat=P","Fill=—","Direction=H","UseDPDF=Y")</f>
        <v>—</v>
      </c>
      <c r="Z25" s="13" t="str" cm="1">
        <f t="array" ref="Z25">_xll.BDH("CMI US Equity","IS_DERIVATIVES_HEDGING","FQ4 2024","FQ4 2024","Currency=USD","Period=FQ","BEST_FPERIOD_OVERRIDE=FQ","FILING_STATUS=MR","SCALING_FORMAT=MLN","Sort=A","Dates=H","DateFormat=P","Fill=—","Direction=H","UseDPDF=Y")</f>
        <v>—</v>
      </c>
      <c r="AA25" s="13" t="str" cm="1">
        <f t="array" ref="AA25">_xll.BDH("CMI US Equity","IS_DERIVATIVES_HEDGING","FQ1 2025","FQ1 2025","Currency=USD","Period=FQ","BEST_FPERIOD_OVERRIDE=FQ","FILING_STATUS=MR","SCALING_FORMAT=MLN","Sort=A","Dates=H","DateFormat=P","Fill=—","Direction=H","UseDPDF=Y")</f>
        <v>—</v>
      </c>
      <c r="AB25" s="13" t="str" cm="1">
        <f t="array" ref="AB25">_xll.BDH("CMI US Equity","IS_DERIVATIVES_HEDGING","FQ2 2025","FQ2 2025","Currency=USD","Period=FQ","BEST_FPERIOD_OVERRIDE=FQ","FILING_STATUS=MR","SCALING_FORMAT=MLN","Sort=A","Dates=H","DateFormat=P","Fill=—","Direction=H","UseDPDF=Y")</f>
        <v>—</v>
      </c>
      <c r="AC25" s="13" t="str" cm="1">
        <f t="array" ref="AC25">_xll.BDH("CMI US Equity","IS_DERIVATIVES_HEDGING","FQ3 2025","FQ3 2025","Currency=USD","Period=FQ","BEST_FPERIOD_OVERRIDE=FQ","FILING_STATUS=MR","SCALING_FORMAT=MLN","Sort=A","Dates=H","DateFormat=P","Fill=—","Direction=H","UseDPDF=Y")</f>
        <v>—</v>
      </c>
      <c r="AD25" s="13" t="str" cm="1">
        <f t="array" ref="AD25">_xll.BDH("CMI US Equity","IS_DERIVATIVES_HEDGING","FQ4 2025","FQ4 2025","Currency=USD","Period=FQ","BEST_FPERIOD_OVERRIDE=FQ","FILING_STATUS=MR","SCALING_FORMAT=MLN","Sort=A","Dates=H","DateFormat=P","Fill=—","Direction=H","UseDPDF=Y")</f>
        <v>—</v>
      </c>
      <c r="AE25" s="13"/>
      <c r="AF25" s="13"/>
    </row>
    <row r="26" spans="1:32" x14ac:dyDescent="0.25">
      <c r="A26" s="10" t="s">
        <v>105</v>
      </c>
      <c r="B26" s="10" t="s">
        <v>106</v>
      </c>
      <c r="C26" s="13" cm="1">
        <f t="array" ref="C26">_xll.BDH("CMI US Equity","IS_GAIN_LOSS_DISPOSAL_ASSETS","FQ1 2019","FQ1 2019","Currency=USD","Period=FQ","BEST_FPERIOD_OVERRIDE=FQ","FILING_STATUS=MR","SCALING_FORMAT=MLN","Sort=A","Dates=H","DateFormat=P","Fill=—","Direction=H","UseDPDF=Y")</f>
        <v>-5</v>
      </c>
      <c r="D26" s="13" t="str" cm="1">
        <f t="array" ref="D26">_xll.BDH("CMI US Equity","IS_GAIN_LOSS_DISPOSAL_ASSETS","FQ2 2019","FQ2 2019","Currency=USD","Period=FQ","BEST_FPERIOD_OVERRIDE=FQ","FILING_STATUS=MR","SCALING_FORMAT=MLN","Sort=A","Dates=H","DateFormat=P","Fill=—","Direction=H","UseDPDF=Y")</f>
        <v>—</v>
      </c>
      <c r="E26" s="13" cm="1">
        <f t="array" ref="E26">_xll.BDH("CMI US Equity","IS_GAIN_LOSS_DISPOSAL_ASSETS","FQ3 2019","FQ3 2019","Currency=USD","Period=FQ","BEST_FPERIOD_OVERRIDE=FQ","FILING_STATUS=MR","SCALING_FORMAT=MLN","Sort=A","Dates=H","DateFormat=P","Fill=—","Direction=H","UseDPDF=Y")</f>
        <v>2</v>
      </c>
      <c r="F26" s="13" cm="1">
        <f t="array" ref="F26">_xll.BDH("CMI US Equity","IS_GAIN_LOSS_DISPOSAL_ASSETS","FQ4 2019","FQ4 2019","Currency=USD","Period=FQ","BEST_FPERIOD_OVERRIDE=FQ","FILING_STATUS=MR","SCALING_FORMAT=MLN","Sort=A","Dates=H","DateFormat=P","Fill=—","Direction=H","UseDPDF=Y")</f>
        <v>5</v>
      </c>
      <c r="G26" s="13" cm="1">
        <f t="array" ref="G26">_xll.BDH("CMI US Equity","IS_GAIN_LOSS_DISPOSAL_ASSETS","FQ1 2020","FQ1 2020","Currency=USD","Period=FQ","BEST_FPERIOD_OVERRIDE=FQ","FILING_STATUS=MR","SCALING_FORMAT=MLN","Sort=A","Dates=H","DateFormat=P","Fill=—","Direction=H","UseDPDF=Y")</f>
        <v>1</v>
      </c>
      <c r="H26" s="13" t="str" cm="1">
        <f t="array" ref="H26">_xll.BDH("CMI US Equity","IS_GAIN_LOSS_DISPOSAL_ASSETS","FQ2 2020","FQ2 2020","Currency=USD","Period=FQ","BEST_FPERIOD_OVERRIDE=FQ","FILING_STATUS=MR","SCALING_FORMAT=MLN","Sort=A","Dates=H","DateFormat=P","Fill=—","Direction=H","UseDPDF=Y")</f>
        <v>—</v>
      </c>
      <c r="I26" s="13" cm="1">
        <f t="array" ref="I26">_xll.BDH("CMI US Equity","IS_GAIN_LOSS_DISPOSAL_ASSETS","FQ3 2020","FQ3 2020","Currency=USD","Period=FQ","BEST_FPERIOD_OVERRIDE=FQ","FILING_STATUS=MR","SCALING_FORMAT=MLN","Sort=A","Dates=H","DateFormat=P","Fill=—","Direction=H","UseDPDF=Y")</f>
        <v>2</v>
      </c>
      <c r="J26" s="13" t="str" cm="1">
        <f t="array" ref="J26">_xll.BDH("CMI US Equity","IS_GAIN_LOSS_DISPOSAL_ASSETS","FQ4 2020","FQ4 2020","Currency=USD","Period=FQ","BEST_FPERIOD_OVERRIDE=FQ","FILING_STATUS=MR","SCALING_FORMAT=MLN","Sort=A","Dates=H","DateFormat=P","Fill=—","Direction=H","UseDPDF=Y")</f>
        <v>—</v>
      </c>
      <c r="K26" s="13" cm="1">
        <f t="array" ref="K26">_xll.BDH("CMI US Equity","IS_GAIN_LOSS_DISPOSAL_ASSETS","FQ1 2021","FQ1 2021","Currency=USD","Period=FQ","BEST_FPERIOD_OVERRIDE=FQ","FILING_STATUS=MR","SCALING_FORMAT=MLN","Sort=A","Dates=H","DateFormat=P","Fill=—","Direction=H","UseDPDF=Y")</f>
        <v>-1</v>
      </c>
      <c r="L26" s="13" t="str" cm="1">
        <f t="array" ref="L26">_xll.BDH("CMI US Equity","IS_GAIN_LOSS_DISPOSAL_ASSETS","FQ2 2021","FQ2 2021","Currency=USD","Period=FQ","BEST_FPERIOD_OVERRIDE=FQ","FILING_STATUS=MR","SCALING_FORMAT=MLN","Sort=A","Dates=H","DateFormat=P","Fill=—","Direction=H","UseDPDF=Y")</f>
        <v>—</v>
      </c>
      <c r="M26" s="13" cm="1">
        <f t="array" ref="M26">_xll.BDH("CMI US Equity","IS_GAIN_LOSS_DISPOSAL_ASSETS","FQ3 2021","FQ3 2021","Currency=USD","Period=FQ","BEST_FPERIOD_OVERRIDE=FQ","FILING_STATUS=MR","SCALING_FORMAT=MLN","Sort=A","Dates=H","DateFormat=P","Fill=—","Direction=H","UseDPDF=Y")</f>
        <v>-2</v>
      </c>
      <c r="N26" s="13" t="str" cm="1">
        <f t="array" ref="N26">_xll.BDH("CMI US Equity","IS_GAIN_LOSS_DISPOSAL_ASSETS","FQ4 2021","FQ4 2021","Currency=USD","Period=FQ","BEST_FPERIOD_OVERRIDE=FQ","FILING_STATUS=MR","SCALING_FORMAT=MLN","Sort=A","Dates=H","DateFormat=P","Fill=—","Direction=H","UseDPDF=Y")</f>
        <v>—</v>
      </c>
      <c r="O26" s="13" cm="1">
        <f t="array" ref="O26">_xll.BDH("CMI US Equity","IS_GAIN_LOSS_DISPOSAL_ASSETS","FQ1 2022","FQ1 2022","Currency=USD","Period=FQ","BEST_FPERIOD_OVERRIDE=FQ","FILING_STATUS=MR","SCALING_FORMAT=MLN","Sort=A","Dates=H","DateFormat=P","Fill=—","Direction=H","UseDPDF=Y")</f>
        <v>-1</v>
      </c>
      <c r="P26" s="13" t="str" cm="1">
        <f t="array" ref="P26">_xll.BDH("CMI US Equity","IS_GAIN_LOSS_DISPOSAL_ASSETS","FQ2 2022","FQ2 2022","Currency=USD","Period=FQ","BEST_FPERIOD_OVERRIDE=FQ","FILING_STATUS=MR","SCALING_FORMAT=MLN","Sort=A","Dates=H","DateFormat=P","Fill=—","Direction=H","UseDPDF=Y")</f>
        <v>—</v>
      </c>
      <c r="Q26" s="13" t="str" cm="1">
        <f t="array" ref="Q26">_xll.BDH("CMI US Equity","IS_GAIN_LOSS_DISPOSAL_ASSETS","FQ3 2022","FQ3 2022","Currency=USD","Period=FQ","BEST_FPERIOD_OVERRIDE=FQ","FILING_STATUS=MR","SCALING_FORMAT=MLN","Sort=A","Dates=H","DateFormat=P","Fill=—","Direction=H","UseDPDF=Y")</f>
        <v>—</v>
      </c>
      <c r="R26" s="13" t="str" cm="1">
        <f t="array" ref="R26">_xll.BDH("CMI US Equity","IS_GAIN_LOSS_DISPOSAL_ASSETS","FQ4 2022","FQ4 2022","Currency=USD","Period=FQ","BEST_FPERIOD_OVERRIDE=FQ","FILING_STATUS=MR","SCALING_FORMAT=MLN","Sort=A","Dates=H","DateFormat=P","Fill=—","Direction=H","UseDPDF=Y")</f>
        <v>—</v>
      </c>
      <c r="S26" s="13" t="str" cm="1">
        <f t="array" ref="S26">_xll.BDH("CMI US Equity","IS_GAIN_LOSS_DISPOSAL_ASSETS","FQ1 2023","FQ1 2023","Currency=USD","Period=FQ","BEST_FPERIOD_OVERRIDE=FQ","FILING_STATUS=MR","SCALING_FORMAT=MLN","Sort=A","Dates=H","DateFormat=P","Fill=—","Direction=H","UseDPDF=Y")</f>
        <v>—</v>
      </c>
      <c r="T26" s="13" t="str" cm="1">
        <f t="array" ref="T26">_xll.BDH("CMI US Equity","IS_GAIN_LOSS_DISPOSAL_ASSETS","FQ2 2023","FQ2 2023","Currency=USD","Period=FQ","BEST_FPERIOD_OVERRIDE=FQ","FILING_STATUS=MR","SCALING_FORMAT=MLN","Sort=A","Dates=H","DateFormat=P","Fill=—","Direction=H","UseDPDF=Y")</f>
        <v>—</v>
      </c>
      <c r="U26" s="13" cm="1">
        <f t="array" ref="U26">_xll.BDH("CMI US Equity","IS_GAIN_LOSS_DISPOSAL_ASSETS","FQ3 2023","FQ3 2023","Currency=USD","Period=FQ","BEST_FPERIOD_OVERRIDE=FQ","FILING_STATUS=MR","SCALING_FORMAT=MLN","Sort=A","Dates=H","DateFormat=P","Fill=—","Direction=H","UseDPDF=Y")</f>
        <v>28</v>
      </c>
      <c r="V26" s="13" t="str" cm="1">
        <f t="array" ref="V26">_xll.BDH("CMI US Equity","IS_GAIN_LOSS_DISPOSAL_ASSETS","FQ4 2023","FQ4 2023","Currency=USD","Period=FQ","BEST_FPERIOD_OVERRIDE=FQ","FILING_STATUS=MR","SCALING_FORMAT=MLN","Sort=A","Dates=H","DateFormat=P","Fill=—","Direction=H","UseDPDF=Y")</f>
        <v>—</v>
      </c>
      <c r="W26" s="13" t="str" cm="1">
        <f t="array" ref="W26">_xll.BDH("CMI US Equity","IS_GAIN_LOSS_DISPOSAL_ASSETS","FQ1 2024","FQ1 2024","Currency=USD","Period=FQ","BEST_FPERIOD_OVERRIDE=FQ","FILING_STATUS=MR","SCALING_FORMAT=MLN","Sort=A","Dates=H","DateFormat=P","Fill=—","Direction=H","UseDPDF=Y")</f>
        <v>—</v>
      </c>
      <c r="X26" s="13" t="str" cm="1">
        <f t="array" ref="X26">_xll.BDH("CMI US Equity","IS_GAIN_LOSS_DISPOSAL_ASSETS","FQ2 2024","FQ2 2024","Currency=USD","Period=FQ","BEST_FPERIOD_OVERRIDE=FQ","FILING_STATUS=MR","SCALING_FORMAT=MLN","Sort=A","Dates=H","DateFormat=P","Fill=—","Direction=H","UseDPDF=Y")</f>
        <v>—</v>
      </c>
      <c r="Y26" s="13" t="str" cm="1">
        <f t="array" ref="Y26">_xll.BDH("CMI US Equity","IS_GAIN_LOSS_DISPOSAL_ASSETS","FQ3 2024","FQ3 2024","Currency=USD","Period=FQ","BEST_FPERIOD_OVERRIDE=FQ","FILING_STATUS=MR","SCALING_FORMAT=MLN","Sort=A","Dates=H","DateFormat=P","Fill=—","Direction=H","UseDPDF=Y")</f>
        <v>—</v>
      </c>
      <c r="Z26" s="13" t="str" cm="1">
        <f t="array" ref="Z26">_xll.BDH("CMI US Equity","IS_GAIN_LOSS_DISPOSAL_ASSETS","FQ4 2024","FQ4 2024","Currency=USD","Period=FQ","BEST_FPERIOD_OVERRIDE=FQ","FILING_STATUS=MR","SCALING_FORMAT=MLN","Sort=A","Dates=H","DateFormat=P","Fill=—","Direction=H","UseDPDF=Y")</f>
        <v>—</v>
      </c>
      <c r="AA26" s="13" t="str" cm="1">
        <f t="array" ref="AA26">_xll.BDH("CMI US Equity","IS_GAIN_LOSS_DISPOSAL_ASSETS","FQ1 2025","FQ1 2025","Currency=USD","Period=FQ","BEST_FPERIOD_OVERRIDE=FQ","FILING_STATUS=MR","SCALING_FORMAT=MLN","Sort=A","Dates=H","DateFormat=P","Fill=—","Direction=H","UseDPDF=Y")</f>
        <v>—</v>
      </c>
      <c r="AB26" s="13" t="str" cm="1">
        <f t="array" ref="AB26">_xll.BDH("CMI US Equity","IS_GAIN_LOSS_DISPOSAL_ASSETS","FQ2 2025","FQ2 2025","Currency=USD","Period=FQ","BEST_FPERIOD_OVERRIDE=FQ","FILING_STATUS=MR","SCALING_FORMAT=MLN","Sort=A","Dates=H","DateFormat=P","Fill=—","Direction=H","UseDPDF=Y")</f>
        <v>—</v>
      </c>
      <c r="AC26" s="13" t="str" cm="1">
        <f t="array" ref="AC26">_xll.BDH("CMI US Equity","IS_GAIN_LOSS_DISPOSAL_ASSETS","FQ3 2025","FQ3 2025","Currency=USD","Period=FQ","BEST_FPERIOD_OVERRIDE=FQ","FILING_STATUS=MR","SCALING_FORMAT=MLN","Sort=A","Dates=H","DateFormat=P","Fill=—","Direction=H","UseDPDF=Y")</f>
        <v>—</v>
      </c>
      <c r="AD26" s="13" t="str" cm="1">
        <f t="array" ref="AD26">_xll.BDH("CMI US Equity","IS_GAIN_LOSS_DISPOSAL_ASSETS","FQ4 2025","FQ4 2025","Currency=USD","Period=FQ","BEST_FPERIOD_OVERRIDE=FQ","FILING_STATUS=MR","SCALING_FORMAT=MLN","Sort=A","Dates=H","DateFormat=P","Fill=—","Direction=H","UseDPDF=Y")</f>
        <v>—</v>
      </c>
      <c r="AE26" s="13"/>
      <c r="AF26" s="13"/>
    </row>
    <row r="27" spans="1:32" x14ac:dyDescent="0.25">
      <c r="A27" s="10" t="s">
        <v>107</v>
      </c>
      <c r="B27" s="10" t="s">
        <v>108</v>
      </c>
      <c r="C27" s="13" t="str" cm="1">
        <f t="array" ref="C27">_xll.BDH("CMI US Equity","IS_IMPAIRMENT_ASSETS","FQ1 2019","FQ1 2019","Currency=USD","Period=FQ","BEST_FPERIOD_OVERRIDE=FQ","FILING_STATUS=MR","SCALING_FORMAT=MLN","Sort=A","Dates=H","DateFormat=P","Fill=—","Direction=H","UseDPDF=Y")</f>
        <v>—</v>
      </c>
      <c r="D27" s="13" t="str" cm="1">
        <f t="array" ref="D27">_xll.BDH("CMI US Equity","IS_IMPAIRMENT_ASSETS","FQ2 2019","FQ2 2019","Currency=USD","Period=FQ","BEST_FPERIOD_OVERRIDE=FQ","FILING_STATUS=MR","SCALING_FORMAT=MLN","Sort=A","Dates=H","DateFormat=P","Fill=—","Direction=H","UseDPDF=Y")</f>
        <v>—</v>
      </c>
      <c r="E27" s="13" cm="1">
        <f t="array" ref="E27">_xll.BDH("CMI US Equity","IS_IMPAIRMENT_ASSETS","FQ3 2019","FQ3 2019","Currency=USD","Period=FQ","BEST_FPERIOD_OVERRIDE=FQ","FILING_STATUS=MR","SCALING_FORMAT=MLN","Sort=A","Dates=H","DateFormat=P","Fill=—","Direction=H","UseDPDF=Y")</f>
        <v>20</v>
      </c>
      <c r="F27" s="13" cm="1">
        <f t="array" ref="F27">_xll.BDH("CMI US Equity","IS_IMPAIRMENT_ASSETS","FQ4 2019","FQ4 2019","Currency=USD","Period=FQ","BEST_FPERIOD_OVERRIDE=FQ","FILING_STATUS=MR","SCALING_FORMAT=MLN","Sort=A","Dates=H","DateFormat=P","Fill=—","Direction=H","UseDPDF=Y")</f>
        <v>2</v>
      </c>
      <c r="G27" s="13" cm="1">
        <f t="array" ref="G27">_xll.BDH("CMI US Equity","IS_IMPAIRMENT_ASSETS","FQ1 2020","FQ1 2020","Currency=USD","Period=FQ","BEST_FPERIOD_OVERRIDE=FQ","FILING_STATUS=MR","SCALING_FORMAT=MLN","Sort=A","Dates=H","DateFormat=P","Fill=—","Direction=H","UseDPDF=Y")</f>
        <v>2</v>
      </c>
      <c r="H27" s="13" t="str" cm="1">
        <f t="array" ref="H27">_xll.BDH("CMI US Equity","IS_IMPAIRMENT_ASSETS","FQ2 2020","FQ2 2020","Currency=USD","Period=FQ","BEST_FPERIOD_OVERRIDE=FQ","FILING_STATUS=MR","SCALING_FORMAT=MLN","Sort=A","Dates=H","DateFormat=P","Fill=—","Direction=H","UseDPDF=Y")</f>
        <v>—</v>
      </c>
      <c r="I27" s="13" cm="1">
        <f t="array" ref="I27">_xll.BDH("CMI US Equity","IS_IMPAIRMENT_ASSETS","FQ3 2020","FQ3 2020","Currency=USD","Period=FQ","BEST_FPERIOD_OVERRIDE=FQ","FILING_STATUS=MR","SCALING_FORMAT=MLN","Sort=A","Dates=H","DateFormat=P","Fill=—","Direction=H","UseDPDF=Y")</f>
        <v>13</v>
      </c>
      <c r="J27" s="13" t="str" cm="1">
        <f t="array" ref="J27">_xll.BDH("CMI US Equity","IS_IMPAIRMENT_ASSETS","FQ4 2020","FQ4 2020","Currency=USD","Period=FQ","BEST_FPERIOD_OVERRIDE=FQ","FILING_STATUS=MR","SCALING_FORMAT=MLN","Sort=A","Dates=H","DateFormat=P","Fill=—","Direction=H","UseDPDF=Y")</f>
        <v>—</v>
      </c>
      <c r="K27" s="13" cm="1">
        <f t="array" ref="K27">_xll.BDH("CMI US Equity","IS_IMPAIRMENT_ASSETS","FQ1 2021","FQ1 2021","Currency=USD","Period=FQ","BEST_FPERIOD_OVERRIDE=FQ","FILING_STATUS=MR","SCALING_FORMAT=MLN","Sort=A","Dates=H","DateFormat=P","Fill=—","Direction=H","UseDPDF=Y")</f>
        <v>4</v>
      </c>
      <c r="L27" s="13" t="str" cm="1">
        <f t="array" ref="L27">_xll.BDH("CMI US Equity","IS_IMPAIRMENT_ASSETS","FQ2 2021","FQ2 2021","Currency=USD","Period=FQ","BEST_FPERIOD_OVERRIDE=FQ","FILING_STATUS=MR","SCALING_FORMAT=MLN","Sort=A","Dates=H","DateFormat=P","Fill=—","Direction=H","UseDPDF=Y")</f>
        <v>—</v>
      </c>
      <c r="M27" s="13" cm="1">
        <f t="array" ref="M27">_xll.BDH("CMI US Equity","IS_IMPAIRMENT_ASSETS","FQ3 2021","FQ3 2021","Currency=USD","Period=FQ","BEST_FPERIOD_OVERRIDE=FQ","FILING_STATUS=MR","SCALING_FORMAT=MLN","Sort=A","Dates=H","DateFormat=P","Fill=—","Direction=H","UseDPDF=Y")</f>
        <v>3</v>
      </c>
      <c r="N27" s="13" t="str" cm="1">
        <f t="array" ref="N27">_xll.BDH("CMI US Equity","IS_IMPAIRMENT_ASSETS","FQ4 2021","FQ4 2021","Currency=USD","Period=FQ","BEST_FPERIOD_OVERRIDE=FQ","FILING_STATUS=MR","SCALING_FORMAT=MLN","Sort=A","Dates=H","DateFormat=P","Fill=—","Direction=H","UseDPDF=Y")</f>
        <v>—</v>
      </c>
      <c r="O27" s="13" cm="1">
        <f t="array" ref="O27">_xll.BDH("CMI US Equity","IS_IMPAIRMENT_ASSETS","FQ1 2022","FQ1 2022","Currency=USD","Period=FQ","BEST_FPERIOD_OVERRIDE=FQ","FILING_STATUS=MR","SCALING_FORMAT=MLN","Sort=A","Dates=H","DateFormat=P","Fill=—","Direction=H","UseDPDF=Y")</f>
        <v>5</v>
      </c>
      <c r="P27" s="13" t="str" cm="1">
        <f t="array" ref="P27">_xll.BDH("CMI US Equity","IS_IMPAIRMENT_ASSETS","FQ2 2022","FQ2 2022","Currency=USD","Period=FQ","BEST_FPERIOD_OVERRIDE=FQ","FILING_STATUS=MR","SCALING_FORMAT=MLN","Sort=A","Dates=H","DateFormat=P","Fill=—","Direction=H","UseDPDF=Y")</f>
        <v>—</v>
      </c>
      <c r="Q27" s="13" t="str" cm="1">
        <f t="array" ref="Q27">_xll.BDH("CMI US Equity","IS_IMPAIRMENT_ASSETS","FQ3 2022","FQ3 2022","Currency=USD","Period=FQ","BEST_FPERIOD_OVERRIDE=FQ","FILING_STATUS=MR","SCALING_FORMAT=MLN","Sort=A","Dates=H","DateFormat=P","Fill=—","Direction=H","UseDPDF=Y")</f>
        <v>—</v>
      </c>
      <c r="R27" s="13" t="str" cm="1">
        <f t="array" ref="R27">_xll.BDH("CMI US Equity","IS_IMPAIRMENT_ASSETS","FQ4 2022","FQ4 2022","Currency=USD","Period=FQ","BEST_FPERIOD_OVERRIDE=FQ","FILING_STATUS=MR","SCALING_FORMAT=MLN","Sort=A","Dates=H","DateFormat=P","Fill=—","Direction=H","UseDPDF=Y")</f>
        <v>—</v>
      </c>
      <c r="S27" s="13" cm="1">
        <f t="array" ref="S27">_xll.BDH("CMI US Equity","IS_IMPAIRMENT_ASSETS","FQ1 2023","FQ1 2023","Currency=USD","Period=FQ","BEST_FPERIOD_OVERRIDE=FQ","FILING_STATUS=MR","SCALING_FORMAT=MLN","Sort=A","Dates=H","DateFormat=P","Fill=—","Direction=H","UseDPDF=Y")</f>
        <v>1</v>
      </c>
      <c r="T27" s="13" cm="1">
        <f t="array" ref="T27">_xll.BDH("CMI US Equity","IS_IMPAIRMENT_ASSETS","FQ2 2023","FQ2 2023","Currency=USD","Period=FQ","BEST_FPERIOD_OVERRIDE=FQ","FILING_STATUS=MR","SCALING_FORMAT=MLN","Sort=A","Dates=H","DateFormat=P","Fill=—","Direction=H","UseDPDF=Y")</f>
        <v>1</v>
      </c>
      <c r="U27" s="13" cm="1">
        <f t="array" ref="U27">_xll.BDH("CMI US Equity","IS_IMPAIRMENT_ASSETS","FQ3 2023","FQ3 2023","Currency=USD","Period=FQ","BEST_FPERIOD_OVERRIDE=FQ","FILING_STATUS=MR","SCALING_FORMAT=MLN","Sort=A","Dates=H","DateFormat=P","Fill=—","Direction=H","UseDPDF=Y")</f>
        <v>1</v>
      </c>
      <c r="V27" s="13" t="str" cm="1">
        <f t="array" ref="V27">_xll.BDH("CMI US Equity","IS_IMPAIRMENT_ASSETS","FQ4 2023","FQ4 2023","Currency=USD","Period=FQ","BEST_FPERIOD_OVERRIDE=FQ","FILING_STATUS=MR","SCALING_FORMAT=MLN","Sort=A","Dates=H","DateFormat=P","Fill=—","Direction=H","UseDPDF=Y")</f>
        <v>—</v>
      </c>
      <c r="W27" s="13" t="str" cm="1">
        <f t="array" ref="W27">_xll.BDH("CMI US Equity","IS_IMPAIRMENT_ASSETS","FQ1 2024","FQ1 2024","Currency=USD","Period=FQ","BEST_FPERIOD_OVERRIDE=FQ","FILING_STATUS=MR","SCALING_FORMAT=MLN","Sort=A","Dates=H","DateFormat=P","Fill=—","Direction=H","UseDPDF=Y")</f>
        <v>—</v>
      </c>
      <c r="X27" s="13" t="str" cm="1">
        <f t="array" ref="X27">_xll.BDH("CMI US Equity","IS_IMPAIRMENT_ASSETS","FQ2 2024","FQ2 2024","Currency=USD","Period=FQ","BEST_FPERIOD_OVERRIDE=FQ","FILING_STATUS=MR","SCALING_FORMAT=MLN","Sort=A","Dates=H","DateFormat=P","Fill=—","Direction=H","UseDPDF=Y")</f>
        <v>—</v>
      </c>
      <c r="Y27" s="13" cm="1">
        <f t="array" ref="Y27">_xll.BDH("CMI US Equity","IS_IMPAIRMENT_ASSETS","FQ3 2024","FQ3 2024","Currency=USD","Period=FQ","BEST_FPERIOD_OVERRIDE=FQ","FILING_STATUS=MR","SCALING_FORMAT=MLN","Sort=A","Dates=H","DateFormat=P","Fill=—","Direction=H","UseDPDF=Y")</f>
        <v>2</v>
      </c>
      <c r="Z27" s="13" cm="1">
        <f t="array" ref="Z27">_xll.BDH("CMI US Equity","IS_IMPAIRMENT_ASSETS","FQ4 2024","FQ4 2024","Currency=USD","Period=FQ","BEST_FPERIOD_OVERRIDE=FQ","FILING_STATUS=MR","SCALING_FORMAT=MLN","Sort=A","Dates=H","DateFormat=P","Fill=—","Direction=H","UseDPDF=Y")</f>
        <v>15</v>
      </c>
      <c r="AA27" s="13" t="str" cm="1">
        <f t="array" ref="AA27">_xll.BDH("CMI US Equity","IS_IMPAIRMENT_ASSETS","FQ1 2025","FQ1 2025","Currency=USD","Period=FQ","BEST_FPERIOD_OVERRIDE=FQ","FILING_STATUS=MR","SCALING_FORMAT=MLN","Sort=A","Dates=H","DateFormat=P","Fill=—","Direction=H","UseDPDF=Y")</f>
        <v>—</v>
      </c>
      <c r="AB27" s="13" t="str" cm="1">
        <f t="array" ref="AB27">_xll.BDH("CMI US Equity","IS_IMPAIRMENT_ASSETS","FQ2 2025","FQ2 2025","Currency=USD","Period=FQ","BEST_FPERIOD_OVERRIDE=FQ","FILING_STATUS=MR","SCALING_FORMAT=MLN","Sort=A","Dates=H","DateFormat=P","Fill=—","Direction=H","UseDPDF=Y")</f>
        <v>—</v>
      </c>
      <c r="AC27" s="13" cm="1">
        <f t="array" ref="AC27">_xll.BDH("CMI US Equity","IS_IMPAIRMENT_ASSETS","FQ3 2025","FQ3 2025","Currency=USD","Period=FQ","BEST_FPERIOD_OVERRIDE=FQ","FILING_STATUS=MR","SCALING_FORMAT=MLN","Sort=A","Dates=H","DateFormat=P","Fill=—","Direction=H","UseDPDF=Y")</f>
        <v>4</v>
      </c>
      <c r="AD27" s="13" t="str" cm="1">
        <f t="array" ref="AD27">_xll.BDH("CMI US Equity","IS_IMPAIRMENT_ASSETS","FQ4 2025","FQ4 2025","Currency=USD","Period=FQ","BEST_FPERIOD_OVERRIDE=FQ","FILING_STATUS=MR","SCALING_FORMAT=MLN","Sort=A","Dates=H","DateFormat=P","Fill=—","Direction=H","UseDPDF=Y")</f>
        <v>—</v>
      </c>
      <c r="AE27" s="13"/>
      <c r="AF27" s="13"/>
    </row>
    <row r="28" spans="1:32" x14ac:dyDescent="0.25">
      <c r="A28" s="10" t="s">
        <v>109</v>
      </c>
      <c r="B28" s="10" t="s">
        <v>110</v>
      </c>
      <c r="C28" s="13" t="str" cm="1">
        <f t="array" ref="C28">_xll.BDH("CMI US Equity","IS_SALE_OF_BUSINESS","FQ1 2019","FQ1 2019","Currency=USD","Period=FQ","BEST_FPERIOD_OVERRIDE=FQ","FILING_STATUS=MR","SCALING_FORMAT=MLN","Sort=A","Dates=H","DateFormat=P","Fill=—","Direction=H","UseDPDF=Y")</f>
        <v>—</v>
      </c>
      <c r="D28" s="13" t="str" cm="1">
        <f t="array" ref="D28">_xll.BDH("CMI US Equity","IS_SALE_OF_BUSINESS","FQ2 2019","FQ2 2019","Currency=USD","Period=FQ","BEST_FPERIOD_OVERRIDE=FQ","FILING_STATUS=MR","SCALING_FORMAT=MLN","Sort=A","Dates=H","DateFormat=P","Fill=—","Direction=H","UseDPDF=Y")</f>
        <v>—</v>
      </c>
      <c r="E28" s="13" t="str" cm="1">
        <f t="array" ref="E28">_xll.BDH("CMI US Equity","IS_SALE_OF_BUSINESS","FQ3 2019","FQ3 2019","Currency=USD","Period=FQ","BEST_FPERIOD_OVERRIDE=FQ","FILING_STATUS=MR","SCALING_FORMAT=MLN","Sort=A","Dates=H","DateFormat=P","Fill=—","Direction=H","UseDPDF=Y")</f>
        <v>—</v>
      </c>
      <c r="F28" s="13" t="str" cm="1">
        <f t="array" ref="F28">_xll.BDH("CMI US Equity","IS_SALE_OF_BUSINESS","FQ4 2019","FQ4 2019","Currency=USD","Period=FQ","BEST_FPERIOD_OVERRIDE=FQ","FILING_STATUS=MR","SCALING_FORMAT=MLN","Sort=A","Dates=H","DateFormat=P","Fill=—","Direction=H","UseDPDF=Y")</f>
        <v>—</v>
      </c>
      <c r="G28" s="13" t="str" cm="1">
        <f t="array" ref="G28">_xll.BDH("CMI US Equity","IS_SALE_OF_BUSINESS","FQ1 2020","FQ1 2020","Currency=USD","Period=FQ","BEST_FPERIOD_OVERRIDE=FQ","FILING_STATUS=MR","SCALING_FORMAT=MLN","Sort=A","Dates=H","DateFormat=P","Fill=—","Direction=H","UseDPDF=Y")</f>
        <v>—</v>
      </c>
      <c r="H28" s="13" t="str" cm="1">
        <f t="array" ref="H28">_xll.BDH("CMI US Equity","IS_SALE_OF_BUSINESS","FQ2 2020","FQ2 2020","Currency=USD","Period=FQ","BEST_FPERIOD_OVERRIDE=FQ","FILING_STATUS=MR","SCALING_FORMAT=MLN","Sort=A","Dates=H","DateFormat=P","Fill=—","Direction=H","UseDPDF=Y")</f>
        <v>—</v>
      </c>
      <c r="I28" s="13" t="str" cm="1">
        <f t="array" ref="I28">_xll.BDH("CMI US Equity","IS_SALE_OF_BUSINESS","FQ3 2020","FQ3 2020","Currency=USD","Period=FQ","BEST_FPERIOD_OVERRIDE=FQ","FILING_STATUS=MR","SCALING_FORMAT=MLN","Sort=A","Dates=H","DateFormat=P","Fill=—","Direction=H","UseDPDF=Y")</f>
        <v>—</v>
      </c>
      <c r="J28" s="13" t="str" cm="1">
        <f t="array" ref="J28">_xll.BDH("CMI US Equity","IS_SALE_OF_BUSINESS","FQ4 2020","FQ4 2020","Currency=USD","Period=FQ","BEST_FPERIOD_OVERRIDE=FQ","FILING_STATUS=MR","SCALING_FORMAT=MLN","Sort=A","Dates=H","DateFormat=P","Fill=—","Direction=H","UseDPDF=Y")</f>
        <v>—</v>
      </c>
      <c r="K28" s="13" t="str" cm="1">
        <f t="array" ref="K28">_xll.BDH("CMI US Equity","IS_SALE_OF_BUSINESS","FQ1 2021","FQ1 2021","Currency=USD","Period=FQ","BEST_FPERIOD_OVERRIDE=FQ","FILING_STATUS=MR","SCALING_FORMAT=MLN","Sort=A","Dates=H","DateFormat=P","Fill=—","Direction=H","UseDPDF=Y")</f>
        <v>—</v>
      </c>
      <c r="L28" s="13" t="str" cm="1">
        <f t="array" ref="L28">_xll.BDH("CMI US Equity","IS_SALE_OF_BUSINESS","FQ2 2021","FQ2 2021","Currency=USD","Period=FQ","BEST_FPERIOD_OVERRIDE=FQ","FILING_STATUS=MR","SCALING_FORMAT=MLN","Sort=A","Dates=H","DateFormat=P","Fill=—","Direction=H","UseDPDF=Y")</f>
        <v>—</v>
      </c>
      <c r="M28" s="13" t="str" cm="1">
        <f t="array" ref="M28">_xll.BDH("CMI US Equity","IS_SALE_OF_BUSINESS","FQ3 2021","FQ3 2021","Currency=USD","Period=FQ","BEST_FPERIOD_OVERRIDE=FQ","FILING_STATUS=MR","SCALING_FORMAT=MLN","Sort=A","Dates=H","DateFormat=P","Fill=—","Direction=H","UseDPDF=Y")</f>
        <v>—</v>
      </c>
      <c r="N28" s="13" t="str" cm="1">
        <f t="array" ref="N28">_xll.BDH("CMI US Equity","IS_SALE_OF_BUSINESS","FQ4 2021","FQ4 2021","Currency=USD","Period=FQ","BEST_FPERIOD_OVERRIDE=FQ","FILING_STATUS=MR","SCALING_FORMAT=MLN","Sort=A","Dates=H","DateFormat=P","Fill=—","Direction=H","UseDPDF=Y")</f>
        <v>—</v>
      </c>
      <c r="O28" s="13" t="str" cm="1">
        <f t="array" ref="O28">_xll.BDH("CMI US Equity","IS_SALE_OF_BUSINESS","FQ1 2022","FQ1 2022","Currency=USD","Period=FQ","BEST_FPERIOD_OVERRIDE=FQ","FILING_STATUS=MR","SCALING_FORMAT=MLN","Sort=A","Dates=H","DateFormat=P","Fill=—","Direction=H","UseDPDF=Y")</f>
        <v>—</v>
      </c>
      <c r="P28" s="13" t="str" cm="1">
        <f t="array" ref="P28">_xll.BDH("CMI US Equity","IS_SALE_OF_BUSINESS","FQ2 2022","FQ2 2022","Currency=USD","Period=FQ","BEST_FPERIOD_OVERRIDE=FQ","FILING_STATUS=MR","SCALING_FORMAT=MLN","Sort=A","Dates=H","DateFormat=P","Fill=—","Direction=H","UseDPDF=Y")</f>
        <v>—</v>
      </c>
      <c r="Q28" s="13" t="str" cm="1">
        <f t="array" ref="Q28">_xll.BDH("CMI US Equity","IS_SALE_OF_BUSINESS","FQ3 2022","FQ3 2022","Currency=USD","Period=FQ","BEST_FPERIOD_OVERRIDE=FQ","FILING_STATUS=MR","SCALING_FORMAT=MLN","Sort=A","Dates=H","DateFormat=P","Fill=—","Direction=H","UseDPDF=Y")</f>
        <v>—</v>
      </c>
      <c r="R28" s="13" t="str" cm="1">
        <f t="array" ref="R28">_xll.BDH("CMI US Equity","IS_SALE_OF_BUSINESS","FQ4 2022","FQ4 2022","Currency=USD","Period=FQ","BEST_FPERIOD_OVERRIDE=FQ","FILING_STATUS=MR","SCALING_FORMAT=MLN","Sort=A","Dates=H","DateFormat=P","Fill=—","Direction=H","UseDPDF=Y")</f>
        <v>—</v>
      </c>
      <c r="S28" s="13" t="str" cm="1">
        <f t="array" ref="S28">_xll.BDH("CMI US Equity","IS_SALE_OF_BUSINESS","FQ1 2023","FQ1 2023","Currency=USD","Period=FQ","BEST_FPERIOD_OVERRIDE=FQ","FILING_STATUS=MR","SCALING_FORMAT=MLN","Sort=A","Dates=H","DateFormat=P","Fill=—","Direction=H","UseDPDF=Y")</f>
        <v>—</v>
      </c>
      <c r="T28" s="13" t="str" cm="1">
        <f t="array" ref="T28">_xll.BDH("CMI US Equity","IS_SALE_OF_BUSINESS","FQ2 2023","FQ2 2023","Currency=USD","Period=FQ","BEST_FPERIOD_OVERRIDE=FQ","FILING_STATUS=MR","SCALING_FORMAT=MLN","Sort=A","Dates=H","DateFormat=P","Fill=—","Direction=H","UseDPDF=Y")</f>
        <v>—</v>
      </c>
      <c r="U28" s="13" t="str" cm="1">
        <f t="array" ref="U28">_xll.BDH("CMI US Equity","IS_SALE_OF_BUSINESS","FQ3 2023","FQ3 2023","Currency=USD","Period=FQ","BEST_FPERIOD_OVERRIDE=FQ","FILING_STATUS=MR","SCALING_FORMAT=MLN","Sort=A","Dates=H","DateFormat=P","Fill=—","Direction=H","UseDPDF=Y")</f>
        <v>—</v>
      </c>
      <c r="V28" s="13" t="str" cm="1">
        <f t="array" ref="V28">_xll.BDH("CMI US Equity","IS_SALE_OF_BUSINESS","FQ4 2023","FQ4 2023","Currency=USD","Period=FQ","BEST_FPERIOD_OVERRIDE=FQ","FILING_STATUS=MR","SCALING_FORMAT=MLN","Sort=A","Dates=H","DateFormat=P","Fill=—","Direction=H","UseDPDF=Y")</f>
        <v>—</v>
      </c>
      <c r="W28" s="13" cm="1">
        <f t="array" ref="W28">_xll.BDH("CMI US Equity","IS_SALE_OF_BUSINESS","FQ1 2024","FQ1 2024","Currency=USD","Period=FQ","BEST_FPERIOD_OVERRIDE=FQ","FILING_STATUS=MR","SCALING_FORMAT=MLN","Sort=A","Dates=H","DateFormat=P","Fill=—","Direction=H","UseDPDF=Y")</f>
        <v>-1298</v>
      </c>
      <c r="X28" s="13" t="str" cm="1">
        <f t="array" ref="X28">_xll.BDH("CMI US Equity","IS_SALE_OF_BUSINESS","FQ2 2024","FQ2 2024","Currency=USD","Period=FQ","BEST_FPERIOD_OVERRIDE=FQ","FILING_STATUS=MR","SCALING_FORMAT=MLN","Sort=A","Dates=H","DateFormat=P","Fill=—","Direction=H","UseDPDF=Y")</f>
        <v>—</v>
      </c>
      <c r="Y28" s="13" t="str" cm="1">
        <f t="array" ref="Y28">_xll.BDH("CMI US Equity","IS_SALE_OF_BUSINESS","FQ3 2024","FQ3 2024","Currency=USD","Period=FQ","BEST_FPERIOD_OVERRIDE=FQ","FILING_STATUS=MR","SCALING_FORMAT=MLN","Sort=A","Dates=H","DateFormat=P","Fill=—","Direction=H","UseDPDF=Y")</f>
        <v>—</v>
      </c>
      <c r="Z28" s="13" t="str" cm="1">
        <f t="array" ref="Z28">_xll.BDH("CMI US Equity","IS_SALE_OF_BUSINESS","FQ4 2024","FQ4 2024","Currency=USD","Period=FQ","BEST_FPERIOD_OVERRIDE=FQ","FILING_STATUS=MR","SCALING_FORMAT=MLN","Sort=A","Dates=H","DateFormat=P","Fill=—","Direction=H","UseDPDF=Y")</f>
        <v>—</v>
      </c>
      <c r="AA28" s="13" t="str" cm="1">
        <f t="array" ref="AA28">_xll.BDH("CMI US Equity","IS_SALE_OF_BUSINESS","FQ1 2025","FQ1 2025","Currency=USD","Period=FQ","BEST_FPERIOD_OVERRIDE=FQ","FILING_STATUS=MR","SCALING_FORMAT=MLN","Sort=A","Dates=H","DateFormat=P","Fill=—","Direction=H","UseDPDF=Y")</f>
        <v>—</v>
      </c>
      <c r="AB28" s="13" t="str" cm="1">
        <f t="array" ref="AB28">_xll.BDH("CMI US Equity","IS_SALE_OF_BUSINESS","FQ2 2025","FQ2 2025","Currency=USD","Period=FQ","BEST_FPERIOD_OVERRIDE=FQ","FILING_STATUS=MR","SCALING_FORMAT=MLN","Sort=A","Dates=H","DateFormat=P","Fill=—","Direction=H","UseDPDF=Y")</f>
        <v>—</v>
      </c>
      <c r="AC28" s="13" t="str" cm="1">
        <f t="array" ref="AC28">_xll.BDH("CMI US Equity","IS_SALE_OF_BUSINESS","FQ3 2025","FQ3 2025","Currency=USD","Period=FQ","BEST_FPERIOD_OVERRIDE=FQ","FILING_STATUS=MR","SCALING_FORMAT=MLN","Sort=A","Dates=H","DateFormat=P","Fill=—","Direction=H","UseDPDF=Y")</f>
        <v>—</v>
      </c>
      <c r="AD28" s="13" t="str" cm="1">
        <f t="array" ref="AD28">_xll.BDH("CMI US Equity","IS_SALE_OF_BUSINESS","FQ4 2025","FQ4 2025","Currency=USD","Period=FQ","BEST_FPERIOD_OVERRIDE=FQ","FILING_STATUS=MR","SCALING_FORMAT=MLN","Sort=A","Dates=H","DateFormat=P","Fill=—","Direction=H","UseDPDF=Y")</f>
        <v>—</v>
      </c>
      <c r="AE28" s="13"/>
      <c r="AF28" s="13"/>
    </row>
    <row r="29" spans="1:32" x14ac:dyDescent="0.25">
      <c r="A29" s="10" t="s">
        <v>111</v>
      </c>
      <c r="B29" s="10" t="s">
        <v>112</v>
      </c>
      <c r="C29" s="13" t="str" cm="1">
        <f t="array" ref="C29">_xll.BDH("CMI US Equity","IS_RESTRUCTURING_EXPENSES","FQ1 2019","FQ1 2019","Currency=USD","Period=FQ","BEST_FPERIOD_OVERRIDE=FQ","FILING_STATUS=MR","SCALING_FORMAT=MLN","Sort=A","Dates=H","DateFormat=P","Fill=—","Direction=H","UseDPDF=Y")</f>
        <v>—</v>
      </c>
      <c r="D29" s="13" t="str" cm="1">
        <f t="array" ref="D29">_xll.BDH("CMI US Equity","IS_RESTRUCTURING_EXPENSES","FQ2 2019","FQ2 2019","Currency=USD","Period=FQ","BEST_FPERIOD_OVERRIDE=FQ","FILING_STATUS=MR","SCALING_FORMAT=MLN","Sort=A","Dates=H","DateFormat=P","Fill=—","Direction=H","UseDPDF=Y")</f>
        <v>—</v>
      </c>
      <c r="E29" s="13" t="str" cm="1">
        <f t="array" ref="E29">_xll.BDH("CMI US Equity","IS_RESTRUCTURING_EXPENSES","FQ3 2019","FQ3 2019","Currency=USD","Period=FQ","BEST_FPERIOD_OVERRIDE=FQ","FILING_STATUS=MR","SCALING_FORMAT=MLN","Sort=A","Dates=H","DateFormat=P","Fill=—","Direction=H","UseDPDF=Y")</f>
        <v>—</v>
      </c>
      <c r="F29" s="13" cm="1">
        <f t="array" ref="F29">_xll.BDH("CMI US Equity","IS_RESTRUCTURING_EXPENSES","FQ4 2019","FQ4 2019","Currency=USD","Period=FQ","BEST_FPERIOD_OVERRIDE=FQ","FILING_STATUS=MR","SCALING_FORMAT=MLN","Sort=A","Dates=H","DateFormat=P","Fill=—","Direction=H","UseDPDF=Y")</f>
        <v>119</v>
      </c>
      <c r="G29" s="13" cm="1">
        <f t="array" ref="G29">_xll.BDH("CMI US Equity","IS_RESTRUCTURING_EXPENSES","FQ1 2020","FQ1 2020","Currency=USD","Period=FQ","BEST_FPERIOD_OVERRIDE=FQ","FILING_STATUS=MR","SCALING_FORMAT=MLN","Sort=A","Dates=H","DateFormat=P","Fill=—","Direction=H","UseDPDF=Y")</f>
        <v>-48</v>
      </c>
      <c r="H29" s="13" cm="1">
        <f t="array" ref="H29">_xll.BDH("CMI US Equity","IS_RESTRUCTURING_EXPENSES","FQ2 2020","FQ2 2020","Currency=USD","Period=FQ","BEST_FPERIOD_OVERRIDE=FQ","FILING_STATUS=MR","SCALING_FORMAT=MLN","Sort=A","Dates=H","DateFormat=P","Fill=—","Direction=H","UseDPDF=Y")</f>
        <v>-33</v>
      </c>
      <c r="I29" s="13" cm="1">
        <f t="array" ref="I29">_xll.BDH("CMI US Equity","IS_RESTRUCTURING_EXPENSES","FQ3 2020","FQ3 2020","Currency=USD","Period=FQ","BEST_FPERIOD_OVERRIDE=FQ","FILING_STATUS=MR","SCALING_FORMAT=MLN","Sort=A","Dates=H","DateFormat=P","Fill=—","Direction=H","UseDPDF=Y")</f>
        <v>-19</v>
      </c>
      <c r="J29" s="13" t="str" cm="1">
        <f t="array" ref="J29">_xll.BDH("CMI US Equity","IS_RESTRUCTURING_EXPENSES","FQ4 2020","FQ4 2020","Currency=USD","Period=FQ","BEST_FPERIOD_OVERRIDE=FQ","FILING_STATUS=MR","SCALING_FORMAT=MLN","Sort=A","Dates=H","DateFormat=P","Fill=—","Direction=H","UseDPDF=Y")</f>
        <v>—</v>
      </c>
      <c r="K29" s="13" t="str" cm="1">
        <f t="array" ref="K29">_xll.BDH("CMI US Equity","IS_RESTRUCTURING_EXPENSES","FQ1 2021","FQ1 2021","Currency=USD","Period=FQ","BEST_FPERIOD_OVERRIDE=FQ","FILING_STATUS=MR","SCALING_FORMAT=MLN","Sort=A","Dates=H","DateFormat=P","Fill=—","Direction=H","UseDPDF=Y")</f>
        <v>—</v>
      </c>
      <c r="L29" s="13" t="str" cm="1">
        <f t="array" ref="L29">_xll.BDH("CMI US Equity","IS_RESTRUCTURING_EXPENSES","FQ2 2021","FQ2 2021","Currency=USD","Period=FQ","BEST_FPERIOD_OVERRIDE=FQ","FILING_STATUS=MR","SCALING_FORMAT=MLN","Sort=A","Dates=H","DateFormat=P","Fill=—","Direction=H","UseDPDF=Y")</f>
        <v>—</v>
      </c>
      <c r="M29" s="13" t="str" cm="1">
        <f t="array" ref="M29">_xll.BDH("CMI US Equity","IS_RESTRUCTURING_EXPENSES","FQ3 2021","FQ3 2021","Currency=USD","Period=FQ","BEST_FPERIOD_OVERRIDE=FQ","FILING_STATUS=MR","SCALING_FORMAT=MLN","Sort=A","Dates=H","DateFormat=P","Fill=—","Direction=H","UseDPDF=Y")</f>
        <v>—</v>
      </c>
      <c r="N29" s="13" t="str" cm="1">
        <f t="array" ref="N29">_xll.BDH("CMI US Equity","IS_RESTRUCTURING_EXPENSES","FQ4 2021","FQ4 2021","Currency=USD","Period=FQ","BEST_FPERIOD_OVERRIDE=FQ","FILING_STATUS=MR","SCALING_FORMAT=MLN","Sort=A","Dates=H","DateFormat=P","Fill=—","Direction=H","UseDPDF=Y")</f>
        <v>—</v>
      </c>
      <c r="O29" s="13" t="str" cm="1">
        <f t="array" ref="O29">_xll.BDH("CMI US Equity","IS_RESTRUCTURING_EXPENSES","FQ1 2022","FQ1 2022","Currency=USD","Period=FQ","BEST_FPERIOD_OVERRIDE=FQ","FILING_STATUS=MR","SCALING_FORMAT=MLN","Sort=A","Dates=H","DateFormat=P","Fill=—","Direction=H","UseDPDF=Y")</f>
        <v>—</v>
      </c>
      <c r="P29" s="13" t="str" cm="1">
        <f t="array" ref="P29">_xll.BDH("CMI US Equity","IS_RESTRUCTURING_EXPENSES","FQ2 2022","FQ2 2022","Currency=USD","Period=FQ","BEST_FPERIOD_OVERRIDE=FQ","FILING_STATUS=MR","SCALING_FORMAT=MLN","Sort=A","Dates=H","DateFormat=P","Fill=—","Direction=H","UseDPDF=Y")</f>
        <v>—</v>
      </c>
      <c r="Q29" s="13" t="str" cm="1">
        <f t="array" ref="Q29">_xll.BDH("CMI US Equity","IS_RESTRUCTURING_EXPENSES","FQ3 2022","FQ3 2022","Currency=USD","Period=FQ","BEST_FPERIOD_OVERRIDE=FQ","FILING_STATUS=MR","SCALING_FORMAT=MLN","Sort=A","Dates=H","DateFormat=P","Fill=—","Direction=H","UseDPDF=Y")</f>
        <v>—</v>
      </c>
      <c r="R29" s="13" t="str" cm="1">
        <f t="array" ref="R29">_xll.BDH("CMI US Equity","IS_RESTRUCTURING_EXPENSES","FQ4 2022","FQ4 2022","Currency=USD","Period=FQ","BEST_FPERIOD_OVERRIDE=FQ","FILING_STATUS=MR","SCALING_FORMAT=MLN","Sort=A","Dates=H","DateFormat=P","Fill=—","Direction=H","UseDPDF=Y")</f>
        <v>—</v>
      </c>
      <c r="S29" s="13" t="str" cm="1">
        <f t="array" ref="S29">_xll.BDH("CMI US Equity","IS_RESTRUCTURING_EXPENSES","FQ1 2023","FQ1 2023","Currency=USD","Period=FQ","BEST_FPERIOD_OVERRIDE=FQ","FILING_STATUS=MR","SCALING_FORMAT=MLN","Sort=A","Dates=H","DateFormat=P","Fill=—","Direction=H","UseDPDF=Y")</f>
        <v>—</v>
      </c>
      <c r="T29" s="13" t="str" cm="1">
        <f t="array" ref="T29">_xll.BDH("CMI US Equity","IS_RESTRUCTURING_EXPENSES","FQ2 2023","FQ2 2023","Currency=USD","Period=FQ","BEST_FPERIOD_OVERRIDE=FQ","FILING_STATUS=MR","SCALING_FORMAT=MLN","Sort=A","Dates=H","DateFormat=P","Fill=—","Direction=H","UseDPDF=Y")</f>
        <v>—</v>
      </c>
      <c r="U29" s="13" t="str" cm="1">
        <f t="array" ref="U29">_xll.BDH("CMI US Equity","IS_RESTRUCTURING_EXPENSES","FQ3 2023","FQ3 2023","Currency=USD","Period=FQ","BEST_FPERIOD_OVERRIDE=FQ","FILING_STATUS=MR","SCALING_FORMAT=MLN","Sort=A","Dates=H","DateFormat=P","Fill=—","Direction=H","UseDPDF=Y")</f>
        <v>—</v>
      </c>
      <c r="V29" s="13" t="str" cm="1">
        <f t="array" ref="V29">_xll.BDH("CMI US Equity","IS_RESTRUCTURING_EXPENSES","FQ4 2023","FQ4 2023","Currency=USD","Period=FQ","BEST_FPERIOD_OVERRIDE=FQ","FILING_STATUS=MR","SCALING_FORMAT=MLN","Sort=A","Dates=H","DateFormat=P","Fill=—","Direction=H","UseDPDF=Y")</f>
        <v>—</v>
      </c>
      <c r="W29" s="13" cm="1">
        <f t="array" ref="W29">_xll.BDH("CMI US Equity","IS_RESTRUCTURING_EXPENSES","FQ1 2024","FQ1 2024","Currency=USD","Period=FQ","BEST_FPERIOD_OVERRIDE=FQ","FILING_STATUS=MR","SCALING_FORMAT=MLN","Sort=A","Dates=H","DateFormat=P","Fill=—","Direction=H","UseDPDF=Y")</f>
        <v>29</v>
      </c>
      <c r="X29" s="13" t="str" cm="1">
        <f t="array" ref="X29">_xll.BDH("CMI US Equity","IS_RESTRUCTURING_EXPENSES","FQ2 2024","FQ2 2024","Currency=USD","Period=FQ","BEST_FPERIOD_OVERRIDE=FQ","FILING_STATUS=MR","SCALING_FORMAT=MLN","Sort=A","Dates=H","DateFormat=P","Fill=—","Direction=H","UseDPDF=Y")</f>
        <v>—</v>
      </c>
      <c r="Y29" s="13" t="str" cm="1">
        <f t="array" ref="Y29">_xll.BDH("CMI US Equity","IS_RESTRUCTURING_EXPENSES","FQ3 2024","FQ3 2024","Currency=USD","Period=FQ","BEST_FPERIOD_OVERRIDE=FQ","FILING_STATUS=MR","SCALING_FORMAT=MLN","Sort=A","Dates=H","DateFormat=P","Fill=—","Direction=H","UseDPDF=Y")</f>
        <v>—</v>
      </c>
      <c r="Z29" s="13" t="str" cm="1">
        <f t="array" ref="Z29">_xll.BDH("CMI US Equity","IS_RESTRUCTURING_EXPENSES","FQ4 2024","FQ4 2024","Currency=USD","Period=FQ","BEST_FPERIOD_OVERRIDE=FQ","FILING_STATUS=MR","SCALING_FORMAT=MLN","Sort=A","Dates=H","DateFormat=P","Fill=—","Direction=H","UseDPDF=Y")</f>
        <v>—</v>
      </c>
      <c r="AA29" s="13" t="str" cm="1">
        <f t="array" ref="AA29">_xll.BDH("CMI US Equity","IS_RESTRUCTURING_EXPENSES","FQ1 2025","FQ1 2025","Currency=USD","Period=FQ","BEST_FPERIOD_OVERRIDE=FQ","FILING_STATUS=MR","SCALING_FORMAT=MLN","Sort=A","Dates=H","DateFormat=P","Fill=—","Direction=H","UseDPDF=Y")</f>
        <v>—</v>
      </c>
      <c r="AB29" s="13" t="str" cm="1">
        <f t="array" ref="AB29">_xll.BDH("CMI US Equity","IS_RESTRUCTURING_EXPENSES","FQ2 2025","FQ2 2025","Currency=USD","Period=FQ","BEST_FPERIOD_OVERRIDE=FQ","FILING_STATUS=MR","SCALING_FORMAT=MLN","Sort=A","Dates=H","DateFormat=P","Fill=—","Direction=H","UseDPDF=Y")</f>
        <v>—</v>
      </c>
      <c r="AC29" s="13" t="str" cm="1">
        <f t="array" ref="AC29">_xll.BDH("CMI US Equity","IS_RESTRUCTURING_EXPENSES","FQ3 2025","FQ3 2025","Currency=USD","Period=FQ","BEST_FPERIOD_OVERRIDE=FQ","FILING_STATUS=MR","SCALING_FORMAT=MLN","Sort=A","Dates=H","DateFormat=P","Fill=—","Direction=H","UseDPDF=Y")</f>
        <v>—</v>
      </c>
      <c r="AD29" s="13" cm="1">
        <f t="array" ref="AD29">_xll.BDH("CMI US Equity","IS_RESTRUCTURING_EXPENSES","FQ4 2025","FQ4 2025","Currency=USD","Period=FQ","BEST_FPERIOD_OVERRIDE=FQ","FILING_STATUS=MR","SCALING_FORMAT=MLN","Sort=A","Dates=H","DateFormat=P","Fill=—","Direction=H","UseDPDF=Y")</f>
        <v>218</v>
      </c>
      <c r="AE29" s="13"/>
      <c r="AF29" s="13"/>
    </row>
    <row r="30" spans="1:32" x14ac:dyDescent="0.25">
      <c r="A30" s="10" t="s">
        <v>113</v>
      </c>
      <c r="B30" s="10" t="s">
        <v>114</v>
      </c>
      <c r="C30" s="13" t="str" cm="1">
        <f t="array" ref="C30">_xll.BDH("CMI US Equity","IS_GAIN_LOSS_ON_INVESTMENTS","FQ1 2019","FQ1 2019","Currency=USD","Period=FQ","BEST_FPERIOD_OVERRIDE=FQ","FILING_STATUS=MR","SCALING_FORMAT=MLN","Sort=A","Dates=H","DateFormat=P","Fill=—","Direction=H","UseDPDF=Y")</f>
        <v>—</v>
      </c>
      <c r="D30" s="13" t="str" cm="1">
        <f t="array" ref="D30">_xll.BDH("CMI US Equity","IS_GAIN_LOSS_ON_INVESTMENTS","FQ2 2019","FQ2 2019","Currency=USD","Period=FQ","BEST_FPERIOD_OVERRIDE=FQ","FILING_STATUS=MR","SCALING_FORMAT=MLN","Sort=A","Dates=H","DateFormat=P","Fill=—","Direction=H","UseDPDF=Y")</f>
        <v>—</v>
      </c>
      <c r="E30" s="13" t="str" cm="1">
        <f t="array" ref="E30">_xll.BDH("CMI US Equity","IS_GAIN_LOSS_ON_INVESTMENTS","FQ3 2019","FQ3 2019","Currency=USD","Period=FQ","BEST_FPERIOD_OVERRIDE=FQ","FILING_STATUS=MR","SCALING_FORMAT=MLN","Sort=A","Dates=H","DateFormat=P","Fill=—","Direction=H","UseDPDF=Y")</f>
        <v>—</v>
      </c>
      <c r="F30" s="13" cm="1">
        <f t="array" ref="F30">_xll.BDH("CMI US Equity","IS_GAIN_LOSS_ON_INVESTMENTS","FQ4 2019","FQ4 2019","Currency=USD","Period=FQ","BEST_FPERIOD_OVERRIDE=FQ","FILING_STATUS=MR","SCALING_FORMAT=MLN","Sort=A","Dates=H","DateFormat=P","Fill=—","Direction=H","UseDPDF=Y")</f>
        <v>-3</v>
      </c>
      <c r="G30" s="13" t="str" cm="1">
        <f t="array" ref="G30">_xll.BDH("CMI US Equity","IS_GAIN_LOSS_ON_INVESTMENTS","FQ1 2020","FQ1 2020","Currency=USD","Period=FQ","BEST_FPERIOD_OVERRIDE=FQ","FILING_STATUS=MR","SCALING_FORMAT=MLN","Sort=A","Dates=H","DateFormat=P","Fill=—","Direction=H","UseDPDF=Y")</f>
        <v>—</v>
      </c>
      <c r="H30" s="13" t="str" cm="1">
        <f t="array" ref="H30">_xll.BDH("CMI US Equity","IS_GAIN_LOSS_ON_INVESTMENTS","FQ2 2020","FQ2 2020","Currency=USD","Period=FQ","BEST_FPERIOD_OVERRIDE=FQ","FILING_STATUS=MR","SCALING_FORMAT=MLN","Sort=A","Dates=H","DateFormat=P","Fill=—","Direction=H","UseDPDF=Y")</f>
        <v>—</v>
      </c>
      <c r="I30" s="13" t="str" cm="1">
        <f t="array" ref="I30">_xll.BDH("CMI US Equity","IS_GAIN_LOSS_ON_INVESTMENTS","FQ3 2020","FQ3 2020","Currency=USD","Period=FQ","BEST_FPERIOD_OVERRIDE=FQ","FILING_STATUS=MR","SCALING_FORMAT=MLN","Sort=A","Dates=H","DateFormat=P","Fill=—","Direction=H","UseDPDF=Y")</f>
        <v>—</v>
      </c>
      <c r="J30" s="13" t="str" cm="1">
        <f t="array" ref="J30">_xll.BDH("CMI US Equity","IS_GAIN_LOSS_ON_INVESTMENTS","FQ4 2020","FQ4 2020","Currency=USD","Period=FQ","BEST_FPERIOD_OVERRIDE=FQ","FILING_STATUS=MR","SCALING_FORMAT=MLN","Sort=A","Dates=H","DateFormat=P","Fill=—","Direction=H","UseDPDF=Y")</f>
        <v>—</v>
      </c>
      <c r="K30" s="13" t="str" cm="1">
        <f t="array" ref="K30">_xll.BDH("CMI US Equity","IS_GAIN_LOSS_ON_INVESTMENTS","FQ1 2021","FQ1 2021","Currency=USD","Period=FQ","BEST_FPERIOD_OVERRIDE=FQ","FILING_STATUS=MR","SCALING_FORMAT=MLN","Sort=A","Dates=H","DateFormat=P","Fill=—","Direction=H","UseDPDF=Y")</f>
        <v>—</v>
      </c>
      <c r="L30" s="13" t="str" cm="1">
        <f t="array" ref="L30">_xll.BDH("CMI US Equity","IS_GAIN_LOSS_ON_INVESTMENTS","FQ2 2021","FQ2 2021","Currency=USD","Period=FQ","BEST_FPERIOD_OVERRIDE=FQ","FILING_STATUS=MR","SCALING_FORMAT=MLN","Sort=A","Dates=H","DateFormat=P","Fill=—","Direction=H","UseDPDF=Y")</f>
        <v>—</v>
      </c>
      <c r="M30" s="13" cm="1">
        <f t="array" ref="M30">_xll.BDH("CMI US Equity","IS_GAIN_LOSS_ON_INVESTMENTS","FQ3 2021","FQ3 2021","Currency=USD","Period=FQ","BEST_FPERIOD_OVERRIDE=FQ","FILING_STATUS=MR","SCALING_FORMAT=MLN","Sort=A","Dates=H","DateFormat=P","Fill=—","Direction=H","UseDPDF=Y")</f>
        <v>-2</v>
      </c>
      <c r="N30" s="13" t="str" cm="1">
        <f t="array" ref="N30">_xll.BDH("CMI US Equity","IS_GAIN_LOSS_ON_INVESTMENTS","FQ4 2021","FQ4 2021","Currency=USD","Period=FQ","BEST_FPERIOD_OVERRIDE=FQ","FILING_STATUS=MR","SCALING_FORMAT=MLN","Sort=A","Dates=H","DateFormat=P","Fill=—","Direction=H","UseDPDF=Y")</f>
        <v>—</v>
      </c>
      <c r="O30" s="13" t="str" cm="1">
        <f t="array" ref="O30">_xll.BDH("CMI US Equity","IS_GAIN_LOSS_ON_INVESTMENTS","FQ1 2022","FQ1 2022","Currency=USD","Period=FQ","BEST_FPERIOD_OVERRIDE=FQ","FILING_STATUS=MR","SCALING_FORMAT=MLN","Sort=A","Dates=H","DateFormat=P","Fill=—","Direction=H","UseDPDF=Y")</f>
        <v>—</v>
      </c>
      <c r="P30" s="13" t="str" cm="1">
        <f t="array" ref="P30">_xll.BDH("CMI US Equity","IS_GAIN_LOSS_ON_INVESTMENTS","FQ2 2022","FQ2 2022","Currency=USD","Period=FQ","BEST_FPERIOD_OVERRIDE=FQ","FILING_STATUS=MR","SCALING_FORMAT=MLN","Sort=A","Dates=H","DateFormat=P","Fill=—","Direction=H","UseDPDF=Y")</f>
        <v>—</v>
      </c>
      <c r="Q30" s="13" t="str" cm="1">
        <f t="array" ref="Q30">_xll.BDH("CMI US Equity","IS_GAIN_LOSS_ON_INVESTMENTS","FQ3 2022","FQ3 2022","Currency=USD","Period=FQ","BEST_FPERIOD_OVERRIDE=FQ","FILING_STATUS=MR","SCALING_FORMAT=MLN","Sort=A","Dates=H","DateFormat=P","Fill=—","Direction=H","UseDPDF=Y")</f>
        <v>—</v>
      </c>
      <c r="R30" s="13" t="str" cm="1">
        <f t="array" ref="R30">_xll.BDH("CMI US Equity","IS_GAIN_LOSS_ON_INVESTMENTS","FQ4 2022","FQ4 2022","Currency=USD","Period=FQ","BEST_FPERIOD_OVERRIDE=FQ","FILING_STATUS=MR","SCALING_FORMAT=MLN","Sort=A","Dates=H","DateFormat=P","Fill=—","Direction=H","UseDPDF=Y")</f>
        <v>—</v>
      </c>
      <c r="S30" s="13" t="str" cm="1">
        <f t="array" ref="S30">_xll.BDH("CMI US Equity","IS_GAIN_LOSS_ON_INVESTMENTS","FQ1 2023","FQ1 2023","Currency=USD","Period=FQ","BEST_FPERIOD_OVERRIDE=FQ","FILING_STATUS=MR","SCALING_FORMAT=MLN","Sort=A","Dates=H","DateFormat=P","Fill=—","Direction=H","UseDPDF=Y")</f>
        <v>—</v>
      </c>
      <c r="T30" s="13" t="str" cm="1">
        <f t="array" ref="T30">_xll.BDH("CMI US Equity","IS_GAIN_LOSS_ON_INVESTMENTS","FQ2 2023","FQ2 2023","Currency=USD","Period=FQ","BEST_FPERIOD_OVERRIDE=FQ","FILING_STATUS=MR","SCALING_FORMAT=MLN","Sort=A","Dates=H","DateFormat=P","Fill=—","Direction=H","UseDPDF=Y")</f>
        <v>—</v>
      </c>
      <c r="U30" s="13" t="str" cm="1">
        <f t="array" ref="U30">_xll.BDH("CMI US Equity","IS_GAIN_LOSS_ON_INVESTMENTS","FQ3 2023","FQ3 2023","Currency=USD","Period=FQ","BEST_FPERIOD_OVERRIDE=FQ","FILING_STATUS=MR","SCALING_FORMAT=MLN","Sort=A","Dates=H","DateFormat=P","Fill=—","Direction=H","UseDPDF=Y")</f>
        <v>—</v>
      </c>
      <c r="V30" s="13" t="str" cm="1">
        <f t="array" ref="V30">_xll.BDH("CMI US Equity","IS_GAIN_LOSS_ON_INVESTMENTS","FQ4 2023","FQ4 2023","Currency=USD","Period=FQ","BEST_FPERIOD_OVERRIDE=FQ","FILING_STATUS=MR","SCALING_FORMAT=MLN","Sort=A","Dates=H","DateFormat=P","Fill=—","Direction=H","UseDPDF=Y")</f>
        <v>—</v>
      </c>
      <c r="W30" s="13" cm="1">
        <f t="array" ref="W30">_xll.BDH("CMI US Equity","IS_GAIN_LOSS_ON_INVESTMENTS","FQ1 2024","FQ1 2024","Currency=USD","Period=FQ","BEST_FPERIOD_OVERRIDE=FQ","FILING_STATUS=MR","SCALING_FORMAT=MLN","Sort=A","Dates=H","DateFormat=P","Fill=—","Direction=H","UseDPDF=Y")</f>
        <v>-4</v>
      </c>
      <c r="X30" s="13" t="str" cm="1">
        <f t="array" ref="X30">_xll.BDH("CMI US Equity","IS_GAIN_LOSS_ON_INVESTMENTS","FQ2 2024","FQ2 2024","Currency=USD","Period=FQ","BEST_FPERIOD_OVERRIDE=FQ","FILING_STATUS=MR","SCALING_FORMAT=MLN","Sort=A","Dates=H","DateFormat=P","Fill=—","Direction=H","UseDPDF=Y")</f>
        <v>—</v>
      </c>
      <c r="Y30" s="13" cm="1">
        <f t="array" ref="Y30">_xll.BDH("CMI US Equity","IS_GAIN_LOSS_ON_INVESTMENTS","FQ3 2024","FQ3 2024","Currency=USD","Period=FQ","BEST_FPERIOD_OVERRIDE=FQ","FILING_STATUS=MR","SCALING_FORMAT=MLN","Sort=A","Dates=H","DateFormat=P","Fill=—","Direction=H","UseDPDF=Y")</f>
        <v>-6</v>
      </c>
      <c r="Z30" s="13" cm="1">
        <f t="array" ref="Z30">_xll.BDH("CMI US Equity","IS_GAIN_LOSS_ON_INVESTMENTS","FQ4 2024","FQ4 2024","Currency=USD","Period=FQ","BEST_FPERIOD_OVERRIDE=FQ","FILING_STATUS=MR","SCALING_FORMAT=MLN","Sort=A","Dates=H","DateFormat=P","Fill=—","Direction=H","UseDPDF=Y")</f>
        <v>2</v>
      </c>
      <c r="AA30" s="13" t="str" cm="1">
        <f t="array" ref="AA30">_xll.BDH("CMI US Equity","IS_GAIN_LOSS_ON_INVESTMENTS","FQ1 2025","FQ1 2025","Currency=USD","Period=FQ","BEST_FPERIOD_OVERRIDE=FQ","FILING_STATUS=MR","SCALING_FORMAT=MLN","Sort=A","Dates=H","DateFormat=P","Fill=—","Direction=H","UseDPDF=Y")</f>
        <v>—</v>
      </c>
      <c r="AB30" s="13" cm="1">
        <f t="array" ref="AB30">_xll.BDH("CMI US Equity","IS_GAIN_LOSS_ON_INVESTMENTS","FQ2 2025","FQ2 2025","Currency=USD","Period=FQ","BEST_FPERIOD_OVERRIDE=FQ","FILING_STATUS=MR","SCALING_FORMAT=MLN","Sort=A","Dates=H","DateFormat=P","Fill=—","Direction=H","UseDPDF=Y")</f>
        <v>-7</v>
      </c>
      <c r="AC30" s="13" cm="1">
        <f t="array" ref="AC30">_xll.BDH("CMI US Equity","IS_GAIN_LOSS_ON_INVESTMENTS","FQ3 2025","FQ3 2025","Currency=USD","Period=FQ","BEST_FPERIOD_OVERRIDE=FQ","FILING_STATUS=MR","SCALING_FORMAT=MLN","Sort=A","Dates=H","DateFormat=P","Fill=—","Direction=H","UseDPDF=Y")</f>
        <v>-7</v>
      </c>
      <c r="AD30" s="13" t="str" cm="1">
        <f t="array" ref="AD30">_xll.BDH("CMI US Equity","IS_GAIN_LOSS_ON_INVESTMENTS","FQ4 2025","FQ4 2025","Currency=USD","Period=FQ","BEST_FPERIOD_OVERRIDE=FQ","FILING_STATUS=MR","SCALING_FORMAT=MLN","Sort=A","Dates=H","DateFormat=P","Fill=—","Direction=H","UseDPDF=Y")</f>
        <v>—</v>
      </c>
      <c r="AE30" s="13"/>
      <c r="AF30" s="13"/>
    </row>
    <row r="31" spans="1:32" x14ac:dyDescent="0.25">
      <c r="A31" s="10" t="s">
        <v>115</v>
      </c>
      <c r="B31" s="10" t="s">
        <v>116</v>
      </c>
      <c r="C31" s="13" t="str" cm="1">
        <f t="array" ref="C31">_xll.BDH("CMI US Equity","IS_INSURANCE_SETTLEMENTS","FQ1 2019","FQ1 2019","Currency=USD","Period=FQ","BEST_FPERIOD_OVERRIDE=FQ","FILING_STATUS=MR","SCALING_FORMAT=MLN","Sort=A","Dates=H","DateFormat=P","Fill=—","Direction=H","UseDPDF=Y")</f>
        <v>—</v>
      </c>
      <c r="D31" s="13" cm="1">
        <f t="array" ref="D31">_xll.BDH("CMI US Equity","IS_INSURANCE_SETTLEMENTS","FQ2 2019","FQ2 2019","Currency=USD","Period=FQ","BEST_FPERIOD_OVERRIDE=FQ","FILING_STATUS=MR","SCALING_FORMAT=MLN","Sort=A","Dates=H","DateFormat=P","Fill=—","Direction=H","UseDPDF=Y")</f>
        <v>-18</v>
      </c>
      <c r="E31" s="13" t="str" cm="1">
        <f t="array" ref="E31">_xll.BDH("CMI US Equity","IS_INSURANCE_SETTLEMENTS","FQ3 2019","FQ3 2019","Currency=USD","Period=FQ","BEST_FPERIOD_OVERRIDE=FQ","FILING_STATUS=MR","SCALING_FORMAT=MLN","Sort=A","Dates=H","DateFormat=P","Fill=—","Direction=H","UseDPDF=Y")</f>
        <v>—</v>
      </c>
      <c r="F31" s="13" cm="1">
        <f t="array" ref="F31">_xll.BDH("CMI US Equity","IS_INSURANCE_SETTLEMENTS","FQ4 2019","FQ4 2019","Currency=USD","Period=FQ","BEST_FPERIOD_OVERRIDE=FQ","FILING_STATUS=MR","SCALING_FORMAT=MLN","Sort=A","Dates=H","DateFormat=P","Fill=—","Direction=H","UseDPDF=Y")</f>
        <v>3</v>
      </c>
      <c r="G31" s="13" t="str" cm="1">
        <f t="array" ref="G31">_xll.BDH("CMI US Equity","IS_INSURANCE_SETTLEMENTS","FQ1 2020","FQ1 2020","Currency=USD","Period=FQ","BEST_FPERIOD_OVERRIDE=FQ","FILING_STATUS=MR","SCALING_FORMAT=MLN","Sort=A","Dates=H","DateFormat=P","Fill=—","Direction=H","UseDPDF=Y")</f>
        <v>—</v>
      </c>
      <c r="H31" s="13" cm="1">
        <f t="array" ref="H31">_xll.BDH("CMI US Equity","IS_INSURANCE_SETTLEMENTS","FQ2 2020","FQ2 2020","Currency=USD","Period=FQ","BEST_FPERIOD_OVERRIDE=FQ","FILING_STATUS=MR","SCALING_FORMAT=MLN","Sort=A","Dates=H","DateFormat=P","Fill=—","Direction=H","UseDPDF=Y")</f>
        <v>-21</v>
      </c>
      <c r="I31" s="13" cm="1">
        <f t="array" ref="I31">_xll.BDH("CMI US Equity","IS_INSURANCE_SETTLEMENTS","FQ3 2020","FQ3 2020","Currency=USD","Period=FQ","BEST_FPERIOD_OVERRIDE=FQ","FILING_STATUS=MR","SCALING_FORMAT=MLN","Sort=A","Dates=H","DateFormat=P","Fill=—","Direction=H","UseDPDF=Y")</f>
        <v>-12</v>
      </c>
      <c r="J31" s="13" cm="1">
        <f t="array" ref="J31">_xll.BDH("CMI US Equity","IS_INSURANCE_SETTLEMENTS","FQ4 2020","FQ4 2020","Currency=USD","Period=FQ","BEST_FPERIOD_OVERRIDE=FQ","FILING_STATUS=MR","SCALING_FORMAT=MLN","Sort=A","Dates=H","DateFormat=P","Fill=—","Direction=H","UseDPDF=Y")</f>
        <v>-7</v>
      </c>
      <c r="K31" s="13" t="str" cm="1">
        <f t="array" ref="K31">_xll.BDH("CMI US Equity","IS_INSURANCE_SETTLEMENTS","FQ1 2021","FQ1 2021","Currency=USD","Period=FQ","BEST_FPERIOD_OVERRIDE=FQ","FILING_STATUS=MR","SCALING_FORMAT=MLN","Sort=A","Dates=H","DateFormat=P","Fill=—","Direction=H","UseDPDF=Y")</f>
        <v>—</v>
      </c>
      <c r="L31" s="13" cm="1">
        <f t="array" ref="L31">_xll.BDH("CMI US Equity","IS_INSURANCE_SETTLEMENTS","FQ2 2021","FQ2 2021","Currency=USD","Period=FQ","BEST_FPERIOD_OVERRIDE=FQ","FILING_STATUS=MR","SCALING_FORMAT=MLN","Sort=A","Dates=H","DateFormat=P","Fill=—","Direction=H","UseDPDF=Y")</f>
        <v>-20</v>
      </c>
      <c r="M31" s="13" cm="1">
        <f t="array" ref="M31">_xll.BDH("CMI US Equity","IS_INSURANCE_SETTLEMENTS","FQ3 2021","FQ3 2021","Currency=USD","Period=FQ","BEST_FPERIOD_OVERRIDE=FQ","FILING_STATUS=MR","SCALING_FORMAT=MLN","Sort=A","Dates=H","DateFormat=P","Fill=—","Direction=H","UseDPDF=Y")</f>
        <v>-1</v>
      </c>
      <c r="N31" s="13" t="str" cm="1">
        <f t="array" ref="N31">_xll.BDH("CMI US Equity","IS_INSURANCE_SETTLEMENTS","FQ4 2021","FQ4 2021","Currency=USD","Period=FQ","BEST_FPERIOD_OVERRIDE=FQ","FILING_STATUS=MR","SCALING_FORMAT=MLN","Sort=A","Dates=H","DateFormat=P","Fill=—","Direction=H","UseDPDF=Y")</f>
        <v>—</v>
      </c>
      <c r="O31" s="13" t="str" cm="1">
        <f t="array" ref="O31">_xll.BDH("CMI US Equity","IS_INSURANCE_SETTLEMENTS","FQ1 2022","FQ1 2022","Currency=USD","Period=FQ","BEST_FPERIOD_OVERRIDE=FQ","FILING_STATUS=MR","SCALING_FORMAT=MLN","Sort=A","Dates=H","DateFormat=P","Fill=—","Direction=H","UseDPDF=Y")</f>
        <v>—</v>
      </c>
      <c r="P31" s="13" cm="1">
        <f t="array" ref="P31">_xll.BDH("CMI US Equity","IS_INSURANCE_SETTLEMENTS","FQ2 2022","FQ2 2022","Currency=USD","Period=FQ","BEST_FPERIOD_OVERRIDE=FQ","FILING_STATUS=MR","SCALING_FORMAT=MLN","Sort=A","Dates=H","DateFormat=P","Fill=—","Direction=H","UseDPDF=Y")</f>
        <v>48</v>
      </c>
      <c r="Q31" s="13" t="str" cm="1">
        <f t="array" ref="Q31">_xll.BDH("CMI US Equity","IS_INSURANCE_SETTLEMENTS","FQ3 2022","FQ3 2022","Currency=USD","Period=FQ","BEST_FPERIOD_OVERRIDE=FQ","FILING_STATUS=MR","SCALING_FORMAT=MLN","Sort=A","Dates=H","DateFormat=P","Fill=—","Direction=H","UseDPDF=Y")</f>
        <v>—</v>
      </c>
      <c r="R31" s="13" t="str" cm="1">
        <f t="array" ref="R31">_xll.BDH("CMI US Equity","IS_INSURANCE_SETTLEMENTS","FQ4 2022","FQ4 2022","Currency=USD","Period=FQ","BEST_FPERIOD_OVERRIDE=FQ","FILING_STATUS=MR","SCALING_FORMAT=MLN","Sort=A","Dates=H","DateFormat=P","Fill=—","Direction=H","UseDPDF=Y")</f>
        <v>—</v>
      </c>
      <c r="S31" s="13" t="str" cm="1">
        <f t="array" ref="S31">_xll.BDH("CMI US Equity","IS_INSURANCE_SETTLEMENTS","FQ1 2023","FQ1 2023","Currency=USD","Period=FQ","BEST_FPERIOD_OVERRIDE=FQ","FILING_STATUS=MR","SCALING_FORMAT=MLN","Sort=A","Dates=H","DateFormat=P","Fill=—","Direction=H","UseDPDF=Y")</f>
        <v>—</v>
      </c>
      <c r="T31" s="13" cm="1">
        <f t="array" ref="T31">_xll.BDH("CMI US Equity","IS_INSURANCE_SETTLEMENTS","FQ2 2023","FQ2 2023","Currency=USD","Period=FQ","BEST_FPERIOD_OVERRIDE=FQ","FILING_STATUS=MR","SCALING_FORMAT=MLN","Sort=A","Dates=H","DateFormat=P","Fill=—","Direction=H","UseDPDF=Y")</f>
        <v>2</v>
      </c>
      <c r="U31" s="13" cm="1">
        <f t="array" ref="U31">_xll.BDH("CMI US Equity","IS_INSURANCE_SETTLEMENTS","FQ3 2023","FQ3 2023","Currency=USD","Period=FQ","BEST_FPERIOD_OVERRIDE=FQ","FILING_STATUS=MR","SCALING_FORMAT=MLN","Sort=A","Dates=H","DateFormat=P","Fill=—","Direction=H","UseDPDF=Y")</f>
        <v>28</v>
      </c>
      <c r="V31" s="13" t="str" cm="1">
        <f t="array" ref="V31">_xll.BDH("CMI US Equity","IS_INSURANCE_SETTLEMENTS","FQ4 2023","FQ4 2023","Currency=USD","Period=FQ","BEST_FPERIOD_OVERRIDE=FQ","FILING_STATUS=MR","SCALING_FORMAT=MLN","Sort=A","Dates=H","DateFormat=P","Fill=—","Direction=H","UseDPDF=Y")</f>
        <v>—</v>
      </c>
      <c r="W31" s="13" cm="1">
        <f t="array" ref="W31">_xll.BDH("CMI US Equity","IS_INSURANCE_SETTLEMENTS","FQ1 2024","FQ1 2024","Currency=USD","Period=FQ","BEST_FPERIOD_OVERRIDE=FQ","FILING_STATUS=MR","SCALING_FORMAT=MLN","Sort=A","Dates=H","DateFormat=P","Fill=—","Direction=H","UseDPDF=Y")</f>
        <v>-2</v>
      </c>
      <c r="X31" s="13" cm="1">
        <f t="array" ref="X31">_xll.BDH("CMI US Equity","IS_INSURANCE_SETTLEMENTS","FQ2 2024","FQ2 2024","Currency=USD","Period=FQ","BEST_FPERIOD_OVERRIDE=FQ","FILING_STATUS=MR","SCALING_FORMAT=MLN","Sort=A","Dates=H","DateFormat=P","Fill=—","Direction=H","UseDPDF=Y")</f>
        <v>2</v>
      </c>
      <c r="Y31" s="13" cm="1">
        <f t="array" ref="Y31">_xll.BDH("CMI US Equity","IS_INSURANCE_SETTLEMENTS","FQ3 2024","FQ3 2024","Currency=USD","Period=FQ","BEST_FPERIOD_OVERRIDE=FQ","FILING_STATUS=MR","SCALING_FORMAT=MLN","Sort=A","Dates=H","DateFormat=P","Fill=—","Direction=H","UseDPDF=Y")</f>
        <v>-29</v>
      </c>
      <c r="Z31" s="13" cm="1">
        <f t="array" ref="Z31">_xll.BDH("CMI US Equity","IS_INSURANCE_SETTLEMENTS","FQ4 2024","FQ4 2024","Currency=USD","Period=FQ","BEST_FPERIOD_OVERRIDE=FQ","FILING_STATUS=MR","SCALING_FORMAT=MLN","Sort=A","Dates=H","DateFormat=P","Fill=—","Direction=H","UseDPDF=Y")</f>
        <v>23</v>
      </c>
      <c r="AA31" s="13" t="str" cm="1">
        <f t="array" ref="AA31">_xll.BDH("CMI US Equity","IS_INSURANCE_SETTLEMENTS","FQ1 2025","FQ1 2025","Currency=USD","Period=FQ","BEST_FPERIOD_OVERRIDE=FQ","FILING_STATUS=MR","SCALING_FORMAT=MLN","Sort=A","Dates=H","DateFormat=P","Fill=—","Direction=H","UseDPDF=Y")</f>
        <v>—</v>
      </c>
      <c r="AB31" s="13" cm="1">
        <f t="array" ref="AB31">_xll.BDH("CMI US Equity","IS_INSURANCE_SETTLEMENTS","FQ2 2025","FQ2 2025","Currency=USD","Period=FQ","BEST_FPERIOD_OVERRIDE=FQ","FILING_STATUS=MR","SCALING_FORMAT=MLN","Sort=A","Dates=H","DateFormat=P","Fill=—","Direction=H","UseDPDF=Y")</f>
        <v>-11</v>
      </c>
      <c r="AC31" s="13" cm="1">
        <f t="array" ref="AC31">_xll.BDH("CMI US Equity","IS_INSURANCE_SETTLEMENTS","FQ3 2025","FQ3 2025","Currency=USD","Period=FQ","BEST_FPERIOD_OVERRIDE=FQ","FILING_STATUS=MR","SCALING_FORMAT=MLN","Sort=A","Dates=H","DateFormat=P","Fill=—","Direction=H","UseDPDF=Y")</f>
        <v>-14</v>
      </c>
      <c r="AD31" s="13" t="str" cm="1">
        <f t="array" ref="AD31">_xll.BDH("CMI US Equity","IS_INSURANCE_SETTLEMENTS","FQ4 2025","FQ4 2025","Currency=USD","Period=FQ","BEST_FPERIOD_OVERRIDE=FQ","FILING_STATUS=MR","SCALING_FORMAT=MLN","Sort=A","Dates=H","DateFormat=P","Fill=—","Direction=H","UseDPDF=Y")</f>
        <v>—</v>
      </c>
      <c r="AE31" s="13"/>
      <c r="AF31" s="13"/>
    </row>
    <row r="32" spans="1:32" x14ac:dyDescent="0.25">
      <c r="A32" s="10" t="s">
        <v>117</v>
      </c>
      <c r="B32" s="10" t="s">
        <v>118</v>
      </c>
      <c r="C32" s="13" t="str" cm="1">
        <f t="array" ref="C32">_xll.BDH("CMI US Equity","IS_OTHER_ONE_TIME_ITEMS","FQ1 2019","FQ1 2019","Currency=USD","Period=FQ","BEST_FPERIOD_OVERRIDE=FQ","FILING_STATUS=MR","SCALING_FORMAT=MLN","Sort=A","Dates=H","DateFormat=P","Fill=—","Direction=H","UseDPDF=Y")</f>
        <v>—</v>
      </c>
      <c r="D32" s="13" t="str" cm="1">
        <f t="array" ref="D32">_xll.BDH("CMI US Equity","IS_OTHER_ONE_TIME_ITEMS","FQ2 2019","FQ2 2019","Currency=USD","Period=FQ","BEST_FPERIOD_OVERRIDE=FQ","FILING_STATUS=MR","SCALING_FORMAT=MLN","Sort=A","Dates=H","DateFormat=P","Fill=—","Direction=H","UseDPDF=Y")</f>
        <v>—</v>
      </c>
      <c r="E32" s="13" t="str" cm="1">
        <f t="array" ref="E32">_xll.BDH("CMI US Equity","IS_OTHER_ONE_TIME_ITEMS","FQ3 2019","FQ3 2019","Currency=USD","Period=FQ","BEST_FPERIOD_OVERRIDE=FQ","FILING_STATUS=MR","SCALING_FORMAT=MLN","Sort=A","Dates=H","DateFormat=P","Fill=—","Direction=H","UseDPDF=Y")</f>
        <v>—</v>
      </c>
      <c r="F32" s="13" t="str" cm="1">
        <f t="array" ref="F32">_xll.BDH("CMI US Equity","IS_OTHER_ONE_TIME_ITEMS","FQ4 2019","FQ4 2019","Currency=USD","Period=FQ","BEST_FPERIOD_OVERRIDE=FQ","FILING_STATUS=MR","SCALING_FORMAT=MLN","Sort=A","Dates=H","DateFormat=P","Fill=—","Direction=H","UseDPDF=Y")</f>
        <v>—</v>
      </c>
      <c r="G32" s="13" t="str" cm="1">
        <f t="array" ref="G32">_xll.BDH("CMI US Equity","IS_OTHER_ONE_TIME_ITEMS","FQ1 2020","FQ1 2020","Currency=USD","Period=FQ","BEST_FPERIOD_OVERRIDE=FQ","FILING_STATUS=MR","SCALING_FORMAT=MLN","Sort=A","Dates=H","DateFormat=P","Fill=—","Direction=H","UseDPDF=Y")</f>
        <v>—</v>
      </c>
      <c r="H32" s="13" t="str" cm="1">
        <f t="array" ref="H32">_xll.BDH("CMI US Equity","IS_OTHER_ONE_TIME_ITEMS","FQ2 2020","FQ2 2020","Currency=USD","Period=FQ","BEST_FPERIOD_OVERRIDE=FQ","FILING_STATUS=MR","SCALING_FORMAT=MLN","Sort=A","Dates=H","DateFormat=P","Fill=—","Direction=H","UseDPDF=Y")</f>
        <v>—</v>
      </c>
      <c r="I32" s="13" t="str" cm="1">
        <f t="array" ref="I32">_xll.BDH("CMI US Equity","IS_OTHER_ONE_TIME_ITEMS","FQ3 2020","FQ3 2020","Currency=USD","Period=FQ","BEST_FPERIOD_OVERRIDE=FQ","FILING_STATUS=MR","SCALING_FORMAT=MLN","Sort=A","Dates=H","DateFormat=P","Fill=—","Direction=H","UseDPDF=Y")</f>
        <v>—</v>
      </c>
      <c r="J32" s="13" t="str" cm="1">
        <f t="array" ref="J32">_xll.BDH("CMI US Equity","IS_OTHER_ONE_TIME_ITEMS","FQ4 2020","FQ4 2020","Currency=USD","Period=FQ","BEST_FPERIOD_OVERRIDE=FQ","FILING_STATUS=MR","SCALING_FORMAT=MLN","Sort=A","Dates=H","DateFormat=P","Fill=—","Direction=H","UseDPDF=Y")</f>
        <v>—</v>
      </c>
      <c r="K32" s="13" t="str" cm="1">
        <f t="array" ref="K32">_xll.BDH("CMI US Equity","IS_OTHER_ONE_TIME_ITEMS","FQ1 2021","FQ1 2021","Currency=USD","Period=FQ","BEST_FPERIOD_OVERRIDE=FQ","FILING_STATUS=MR","SCALING_FORMAT=MLN","Sort=A","Dates=H","DateFormat=P","Fill=—","Direction=H","UseDPDF=Y")</f>
        <v>—</v>
      </c>
      <c r="L32" s="13" t="str" cm="1">
        <f t="array" ref="L32">_xll.BDH("CMI US Equity","IS_OTHER_ONE_TIME_ITEMS","FQ2 2021","FQ2 2021","Currency=USD","Period=FQ","BEST_FPERIOD_OVERRIDE=FQ","FILING_STATUS=MR","SCALING_FORMAT=MLN","Sort=A","Dates=H","DateFormat=P","Fill=—","Direction=H","UseDPDF=Y")</f>
        <v>—</v>
      </c>
      <c r="M32" s="13" t="str" cm="1">
        <f t="array" ref="M32">_xll.BDH("CMI US Equity","IS_OTHER_ONE_TIME_ITEMS","FQ3 2021","FQ3 2021","Currency=USD","Period=FQ","BEST_FPERIOD_OVERRIDE=FQ","FILING_STATUS=MR","SCALING_FORMAT=MLN","Sort=A","Dates=H","DateFormat=P","Fill=—","Direction=H","UseDPDF=Y")</f>
        <v>—</v>
      </c>
      <c r="N32" s="13" t="str" cm="1">
        <f t="array" ref="N32">_xll.BDH("CMI US Equity","IS_OTHER_ONE_TIME_ITEMS","FQ4 2021","FQ4 2021","Currency=USD","Period=FQ","BEST_FPERIOD_OVERRIDE=FQ","FILING_STATUS=MR","SCALING_FORMAT=MLN","Sort=A","Dates=H","DateFormat=P","Fill=—","Direction=H","UseDPDF=Y")</f>
        <v>—</v>
      </c>
      <c r="O32" s="13" t="str" cm="1">
        <f t="array" ref="O32">_xll.BDH("CMI US Equity","IS_OTHER_ONE_TIME_ITEMS","FQ1 2022","FQ1 2022","Currency=USD","Period=FQ","BEST_FPERIOD_OVERRIDE=FQ","FILING_STATUS=MR","SCALING_FORMAT=MLN","Sort=A","Dates=H","DateFormat=P","Fill=—","Direction=H","UseDPDF=Y")</f>
        <v>—</v>
      </c>
      <c r="P32" s="13" t="str" cm="1">
        <f t="array" ref="P32">_xll.BDH("CMI US Equity","IS_OTHER_ONE_TIME_ITEMS","FQ2 2022","FQ2 2022","Currency=USD","Period=FQ","BEST_FPERIOD_OVERRIDE=FQ","FILING_STATUS=MR","SCALING_FORMAT=MLN","Sort=A","Dates=H","DateFormat=P","Fill=—","Direction=H","UseDPDF=Y")</f>
        <v>—</v>
      </c>
      <c r="Q32" s="13" t="str" cm="1">
        <f t="array" ref="Q32">_xll.BDH("CMI US Equity","IS_OTHER_ONE_TIME_ITEMS","FQ3 2022","FQ3 2022","Currency=USD","Period=FQ","BEST_FPERIOD_OVERRIDE=FQ","FILING_STATUS=MR","SCALING_FORMAT=MLN","Sort=A","Dates=H","DateFormat=P","Fill=—","Direction=H","UseDPDF=Y")</f>
        <v>—</v>
      </c>
      <c r="R32" s="13" t="str" cm="1">
        <f t="array" ref="R32">_xll.BDH("CMI US Equity","IS_OTHER_ONE_TIME_ITEMS","FQ4 2022","FQ4 2022","Currency=USD","Period=FQ","BEST_FPERIOD_OVERRIDE=FQ","FILING_STATUS=MR","SCALING_FORMAT=MLN","Sort=A","Dates=H","DateFormat=P","Fill=—","Direction=H","UseDPDF=Y")</f>
        <v>—</v>
      </c>
      <c r="S32" s="13" t="str" cm="1">
        <f t="array" ref="S32">_xll.BDH("CMI US Equity","IS_OTHER_ONE_TIME_ITEMS","FQ1 2023","FQ1 2023","Currency=USD","Period=FQ","BEST_FPERIOD_OVERRIDE=FQ","FILING_STATUS=MR","SCALING_FORMAT=MLN","Sort=A","Dates=H","DateFormat=P","Fill=—","Direction=H","UseDPDF=Y")</f>
        <v>—</v>
      </c>
      <c r="T32" s="13" t="str" cm="1">
        <f t="array" ref="T32">_xll.BDH("CMI US Equity","IS_OTHER_ONE_TIME_ITEMS","FQ2 2023","FQ2 2023","Currency=USD","Period=FQ","BEST_FPERIOD_OVERRIDE=FQ","FILING_STATUS=MR","SCALING_FORMAT=MLN","Sort=A","Dates=H","DateFormat=P","Fill=—","Direction=H","UseDPDF=Y")</f>
        <v>—</v>
      </c>
      <c r="U32" s="13" t="str" cm="1">
        <f t="array" ref="U32">_xll.BDH("CMI US Equity","IS_OTHER_ONE_TIME_ITEMS","FQ3 2023","FQ3 2023","Currency=USD","Period=FQ","BEST_FPERIOD_OVERRIDE=FQ","FILING_STATUS=MR","SCALING_FORMAT=MLN","Sort=A","Dates=H","DateFormat=P","Fill=—","Direction=H","UseDPDF=Y")</f>
        <v>—</v>
      </c>
      <c r="V32" s="13" t="str" cm="1">
        <f t="array" ref="V32">_xll.BDH("CMI US Equity","IS_OTHER_ONE_TIME_ITEMS","FQ4 2023","FQ4 2023","Currency=USD","Period=FQ","BEST_FPERIOD_OVERRIDE=FQ","FILING_STATUS=MR","SCALING_FORMAT=MLN","Sort=A","Dates=H","DateFormat=P","Fill=—","Direction=H","UseDPDF=Y")</f>
        <v>—</v>
      </c>
      <c r="W32" s="13" t="str" cm="1">
        <f t="array" ref="W32">_xll.BDH("CMI US Equity","IS_OTHER_ONE_TIME_ITEMS","FQ1 2024","FQ1 2024","Currency=USD","Period=FQ","BEST_FPERIOD_OVERRIDE=FQ","FILING_STATUS=MR","SCALING_FORMAT=MLN","Sort=A","Dates=H","DateFormat=P","Fill=—","Direction=H","UseDPDF=Y")</f>
        <v>—</v>
      </c>
      <c r="X32" s="13" t="str" cm="1">
        <f t="array" ref="X32">_xll.BDH("CMI US Equity","IS_OTHER_ONE_TIME_ITEMS","FQ2 2024","FQ2 2024","Currency=USD","Period=FQ","BEST_FPERIOD_OVERRIDE=FQ","FILING_STATUS=MR","SCALING_FORMAT=MLN","Sort=A","Dates=H","DateFormat=P","Fill=—","Direction=H","UseDPDF=Y")</f>
        <v>—</v>
      </c>
      <c r="Y32" s="13" t="str" cm="1">
        <f t="array" ref="Y32">_xll.BDH("CMI US Equity","IS_OTHER_ONE_TIME_ITEMS","FQ3 2024","FQ3 2024","Currency=USD","Period=FQ","BEST_FPERIOD_OVERRIDE=FQ","FILING_STATUS=MR","SCALING_FORMAT=MLN","Sort=A","Dates=H","DateFormat=P","Fill=—","Direction=H","UseDPDF=Y")</f>
        <v>—</v>
      </c>
      <c r="Z32" s="13" t="str" cm="1">
        <f t="array" ref="Z32">_xll.BDH("CMI US Equity","IS_OTHER_ONE_TIME_ITEMS","FQ4 2024","FQ4 2024","Currency=USD","Period=FQ","BEST_FPERIOD_OVERRIDE=FQ","FILING_STATUS=MR","SCALING_FORMAT=MLN","Sort=A","Dates=H","DateFormat=P","Fill=—","Direction=H","UseDPDF=Y")</f>
        <v>—</v>
      </c>
      <c r="AA32" s="13" t="str" cm="1">
        <f t="array" ref="AA32">_xll.BDH("CMI US Equity","IS_OTHER_ONE_TIME_ITEMS","FQ1 2025","FQ1 2025","Currency=USD","Period=FQ","BEST_FPERIOD_OVERRIDE=FQ","FILING_STATUS=MR","SCALING_FORMAT=MLN","Sort=A","Dates=H","DateFormat=P","Fill=—","Direction=H","UseDPDF=Y")</f>
        <v>—</v>
      </c>
      <c r="AB32" s="13" t="str" cm="1">
        <f t="array" ref="AB32">_xll.BDH("CMI US Equity","IS_OTHER_ONE_TIME_ITEMS","FQ2 2025","FQ2 2025","Currency=USD","Period=FQ","BEST_FPERIOD_OVERRIDE=FQ","FILING_STATUS=MR","SCALING_FORMAT=MLN","Sort=A","Dates=H","DateFormat=P","Fill=—","Direction=H","UseDPDF=Y")</f>
        <v>—</v>
      </c>
      <c r="AC32" s="13" t="str" cm="1">
        <f t="array" ref="AC32">_xll.BDH("CMI US Equity","IS_OTHER_ONE_TIME_ITEMS","FQ3 2025","FQ3 2025","Currency=USD","Period=FQ","BEST_FPERIOD_OVERRIDE=FQ","FILING_STATUS=MR","SCALING_FORMAT=MLN","Sort=A","Dates=H","DateFormat=P","Fill=—","Direction=H","UseDPDF=Y")</f>
        <v>—</v>
      </c>
      <c r="AD32" s="13" t="str" cm="1">
        <f t="array" ref="AD32">_xll.BDH("CMI US Equity","IS_OTHER_ONE_TIME_ITEMS","FQ4 2025","FQ4 2025","Currency=USD","Period=FQ","BEST_FPERIOD_OVERRIDE=FQ","FILING_STATUS=MR","SCALING_FORMAT=MLN","Sort=A","Dates=H","DateFormat=P","Fill=—","Direction=H","UseDPDF=Y")</f>
        <v>—</v>
      </c>
      <c r="AE32" s="13"/>
      <c r="AF32" s="13"/>
    </row>
    <row r="33" spans="1:32" x14ac:dyDescent="0.25">
      <c r="A33" s="6" t="s">
        <v>119</v>
      </c>
      <c r="B33" s="6" t="s">
        <v>100</v>
      </c>
      <c r="C33" s="16" cm="1">
        <f t="array" ref="C33">_xll.BDH("CMI US Equity","PRETAX_INC","FQ1 2019","FQ1 2019","Currency=USD","Period=FQ","BEST_FPERIOD_OVERRIDE=FQ","FILING_STATUS=MR","SCALING_FORMAT=MLN","FA_ADJUSTED=GAAP","Sort=A","Dates=H","DateFormat=P","Fill=—","Direction=H","UseDPDF=Y")</f>
        <v>845</v>
      </c>
      <c r="D33" s="16" cm="1">
        <f t="array" ref="D33">_xll.BDH("CMI US Equity","PRETAX_INC","FQ2 2019","FQ2 2019","Currency=USD","Period=FQ","BEST_FPERIOD_OVERRIDE=FQ","FILING_STATUS=MR","SCALING_FORMAT=MLN","FA_ADJUSTED=GAAP","Sort=A","Dates=H","DateFormat=P","Fill=—","Direction=H","UseDPDF=Y")</f>
        <v>871</v>
      </c>
      <c r="E33" s="16" cm="1">
        <f t="array" ref="E33">_xll.BDH("CMI US Equity","PRETAX_INC","FQ3 2019","FQ3 2019","Currency=USD","Period=FQ","BEST_FPERIOD_OVERRIDE=FQ","FILING_STATUS=MR","SCALING_FORMAT=MLN","FA_ADJUSTED=GAAP","Sort=A","Dates=H","DateFormat=P","Fill=—","Direction=H","UseDPDF=Y")</f>
        <v>755</v>
      </c>
      <c r="F33" s="16" cm="1">
        <f t="array" ref="F33">_xll.BDH("CMI US Equity","PRETAX_INC","FQ4 2019","FQ4 2019","Currency=USD","Period=FQ","BEST_FPERIOD_OVERRIDE=FQ","FILING_STATUS=MR","SCALING_FORMAT=MLN","FA_ADJUSTED=GAAP","Sort=A","Dates=H","DateFormat=P","Fill=—","Direction=H","UseDPDF=Y")</f>
        <v>363</v>
      </c>
      <c r="G33" s="16" cm="1">
        <f t="array" ref="G33">_xll.BDH("CMI US Equity","PRETAX_INC","FQ1 2020","FQ1 2020","Currency=USD","Period=FQ","BEST_FPERIOD_OVERRIDE=FQ","FILING_STATUS=MR","SCALING_FORMAT=MLN","FA_ADJUSTED=GAAP","Sort=A","Dates=H","DateFormat=P","Fill=—","Direction=H","UseDPDF=Y")</f>
        <v>655</v>
      </c>
      <c r="H33" s="16" cm="1">
        <f t="array" ref="H33">_xll.BDH("CMI US Equity","PRETAX_INC","FQ2 2020","FQ2 2020","Currency=USD","Period=FQ","BEST_FPERIOD_OVERRIDE=FQ","FILING_STATUS=MR","SCALING_FORMAT=MLN","FA_ADJUSTED=GAAP","Sort=A","Dates=H","DateFormat=P","Fill=—","Direction=H","UseDPDF=Y")</f>
        <v>362</v>
      </c>
      <c r="I33" s="16" cm="1">
        <f t="array" ref="I33">_xll.BDH("CMI US Equity","PRETAX_INC","FQ3 2020","FQ3 2020","Currency=USD","Period=FQ","BEST_FPERIOD_OVERRIDE=FQ","FILING_STATUS=MR","SCALING_FORMAT=MLN","FA_ADJUSTED=GAAP","Sort=A","Dates=H","DateFormat=P","Fill=—","Direction=H","UseDPDF=Y")</f>
        <v>686</v>
      </c>
      <c r="J33" s="16" cm="1">
        <f t="array" ref="J33">_xll.BDH("CMI US Equity","PRETAX_INC","FQ4 2020","FQ4 2020","Currency=USD","Period=FQ","BEST_FPERIOD_OVERRIDE=FQ","FILING_STATUS=MR","SCALING_FORMAT=MLN","FA_ADJUSTED=GAAP","Sort=A","Dates=H","DateFormat=P","Fill=—","Direction=H","UseDPDF=Y")</f>
        <v>635</v>
      </c>
      <c r="K33" s="16" cm="1">
        <f t="array" ref="K33">_xll.BDH("CMI US Equity","PRETAX_INC","FQ1 2021","FQ1 2021","Currency=USD","Period=FQ","BEST_FPERIOD_OVERRIDE=FQ","FILING_STATUS=MR","SCALING_FORMAT=MLN","FA_ADJUSTED=GAAP","Sort=A","Dates=H","DateFormat=P","Fill=—","Direction=H","UseDPDF=Y")</f>
        <v>783</v>
      </c>
      <c r="L33" s="16" cm="1">
        <f t="array" ref="L33">_xll.BDH("CMI US Equity","PRETAX_INC","FQ2 2021","FQ2 2021","Currency=USD","Period=FQ","BEST_FPERIOD_OVERRIDE=FQ","FILING_STATUS=MR","SCALING_FORMAT=MLN","FA_ADJUSTED=GAAP","Sort=A","Dates=H","DateFormat=P","Fill=—","Direction=H","UseDPDF=Y")</f>
        <v>779</v>
      </c>
      <c r="M33" s="16" cm="1">
        <f t="array" ref="M33">_xll.BDH("CMI US Equity","PRETAX_INC","FQ3 2021","FQ3 2021","Currency=USD","Period=FQ","BEST_FPERIOD_OVERRIDE=FQ","FILING_STATUS=MR","SCALING_FORMAT=MLN","FA_ADJUSTED=GAAP","Sort=A","Dates=H","DateFormat=P","Fill=—","Direction=H","UseDPDF=Y")</f>
        <v>675</v>
      </c>
      <c r="N33" s="16" cm="1">
        <f t="array" ref="N33">_xll.BDH("CMI US Equity","PRETAX_INC","FQ4 2021","FQ4 2021","Currency=USD","Period=FQ","BEST_FPERIOD_OVERRIDE=FQ","FILING_STATUS=MR","SCALING_FORMAT=MLN","FA_ADJUSTED=GAAP","Sort=A","Dates=H","DateFormat=P","Fill=—","Direction=H","UseDPDF=Y")</f>
        <v>514</v>
      </c>
      <c r="O33" s="16" cm="1">
        <f t="array" ref="O33">_xll.BDH("CMI US Equity","PRETAX_INC","FQ1 2022","FQ1 2022","Currency=USD","Period=FQ","BEST_FPERIOD_OVERRIDE=FQ","FILING_STATUS=MR","SCALING_FORMAT=MLN","FA_ADJUSTED=GAAP","Sort=A","Dates=H","DateFormat=P","Fill=—","Direction=H","UseDPDF=Y")</f>
        <v>578</v>
      </c>
      <c r="P33" s="16" cm="1">
        <f t="array" ref="P33">_xll.BDH("CMI US Equity","PRETAX_INC","FQ2 2022","FQ2 2022","Currency=USD","Period=FQ","BEST_FPERIOD_OVERRIDE=FQ","FILING_STATUS=MR","SCALING_FORMAT=MLN","FA_ADJUSTED=GAAP","Sort=A","Dates=H","DateFormat=P","Fill=—","Direction=H","UseDPDF=Y")</f>
        <v>855</v>
      </c>
      <c r="Q33" s="16" cm="1">
        <f t="array" ref="Q33">_xll.BDH("CMI US Equity","PRETAX_INC","FQ3 2022","FQ3 2022","Currency=USD","Period=FQ","BEST_FPERIOD_OVERRIDE=FQ","FILING_STATUS=MR","SCALING_FORMAT=MLN","FA_ADJUSTED=GAAP","Sort=A","Dates=H","DateFormat=P","Fill=—","Direction=H","UseDPDF=Y")</f>
        <v>608</v>
      </c>
      <c r="R33" s="16" cm="1">
        <f t="array" ref="R33">_xll.BDH("CMI US Equity","PRETAX_INC","FQ4 2022","FQ4 2022","Currency=USD","Period=FQ","BEST_FPERIOD_OVERRIDE=FQ","FILING_STATUS=MR","SCALING_FORMAT=MLN","FA_ADJUSTED=GAAP","Sort=A","Dates=H","DateFormat=P","Fill=—","Direction=H","UseDPDF=Y")</f>
        <v>778</v>
      </c>
      <c r="S33" s="16" cm="1">
        <f t="array" ref="S33">_xll.BDH("CMI US Equity","PRETAX_INC","FQ1 2023","FQ1 2023","Currency=USD","Period=FQ","BEST_FPERIOD_OVERRIDE=FQ","FILING_STATUS=MR","SCALING_FORMAT=MLN","FA_ADJUSTED=GAAP","Sort=A","Dates=H","DateFormat=P","Fill=—","Direction=H","UseDPDF=Y")</f>
        <v>1029</v>
      </c>
      <c r="T33" s="16" cm="1">
        <f t="array" ref="T33">_xll.BDH("CMI US Equity","PRETAX_INC","FQ2 2023","FQ2 2023","Currency=USD","Period=FQ","BEST_FPERIOD_OVERRIDE=FQ","FILING_STATUS=MR","SCALING_FORMAT=MLN","FA_ADJUSTED=GAAP","Sort=A","Dates=H","DateFormat=P","Fill=—","Direction=H","UseDPDF=Y")</f>
        <v>949</v>
      </c>
      <c r="U33" s="16" cm="1">
        <f t="array" ref="U33">_xll.BDH("CMI US Equity","PRETAX_INC","FQ3 2023","FQ3 2023","Currency=USD","Period=FQ","BEST_FPERIOD_OVERRIDE=FQ","FILING_STATUS=MR","SCALING_FORMAT=MLN","FA_ADJUSTED=GAAP","Sort=A","Dates=H","DateFormat=P","Fill=—","Direction=H","UseDPDF=Y")</f>
        <v>878</v>
      </c>
      <c r="V33" s="16" cm="1">
        <f t="array" ref="V33">_xll.BDH("CMI US Equity","PRETAX_INC","FQ4 2023","FQ4 2023","Currency=USD","Period=FQ","BEST_FPERIOD_OVERRIDE=FQ","FILING_STATUS=MR","SCALING_FORMAT=MLN","FA_ADJUSTED=GAAP","Sort=A","Dates=H","DateFormat=P","Fill=—","Direction=H","UseDPDF=Y")</f>
        <v>-1230</v>
      </c>
      <c r="W33" s="16" cm="1">
        <f t="array" ref="W33">_xll.BDH("CMI US Equity","PRETAX_INC","FQ1 2024","FQ1 2024","Currency=USD","Period=FQ","BEST_FPERIOD_OVERRIDE=FQ","FILING_STATUS=MR","SCALING_FORMAT=MLN","FA_ADJUSTED=GAAP","Sort=A","Dates=H","DateFormat=P","Fill=—","Direction=H","UseDPDF=Y")</f>
        <v>2221</v>
      </c>
      <c r="X33" s="16" cm="1">
        <f t="array" ref="X33">_xll.BDH("CMI US Equity","PRETAX_INC","FQ2 2024","FQ2 2024","Currency=USD","Period=FQ","BEST_FPERIOD_OVERRIDE=FQ","FILING_STATUS=MR","SCALING_FORMAT=MLN","FA_ADJUSTED=GAAP","Sort=A","Dates=H","DateFormat=P","Fill=—","Direction=H","UseDPDF=Y")</f>
        <v>977</v>
      </c>
      <c r="Y33" s="16" cm="1">
        <f t="array" ref="Y33">_xll.BDH("CMI US Equity","PRETAX_INC","FQ3 2024","FQ3 2024","Currency=USD","Period=FQ","BEST_FPERIOD_OVERRIDE=FQ","FILING_STATUS=MR","SCALING_FORMAT=MLN","FA_ADJUSTED=GAAP","Sort=A","Dates=H","DateFormat=P","Fill=—","Direction=H","UseDPDF=Y")</f>
        <v>1043</v>
      </c>
      <c r="Z33" s="16" cm="1">
        <f t="array" ref="Z33">_xll.BDH("CMI US Equity","PRETAX_INC","FQ4 2024","FQ4 2024","Currency=USD","Period=FQ","BEST_FPERIOD_OVERRIDE=FQ","FILING_STATUS=MR","SCALING_FORMAT=MLN","FA_ADJUSTED=GAAP","Sort=A","Dates=H","DateFormat=P","Fill=—","Direction=H","UseDPDF=Y")</f>
        <v>662</v>
      </c>
      <c r="AA33" s="16" cm="1">
        <f t="array" ref="AA33">_xll.BDH("CMI US Equity","PRETAX_INC","FQ1 2025","FQ1 2025","Currency=USD","Period=FQ","BEST_FPERIOD_OVERRIDE=FQ","FILING_STATUS=MR","SCALING_FORMAT=MLN","FA_ADJUSTED=GAAP","Sort=A","Dates=H","DateFormat=P","Fill=—","Direction=H","UseDPDF=Y")</f>
        <v>1117</v>
      </c>
      <c r="AB33" s="16" cm="1">
        <f t="array" ref="AB33">_xll.BDH("CMI US Equity","PRETAX_INC","FQ2 2025","FQ2 2025","Currency=USD","Period=FQ","BEST_FPERIOD_OVERRIDE=FQ","FILING_STATUS=MR","SCALING_FORMAT=MLN","FA_ADJUSTED=GAAP","Sort=A","Dates=H","DateFormat=P","Fill=—","Direction=H","UseDPDF=Y")</f>
        <v>1225</v>
      </c>
      <c r="AC33" s="16" cm="1">
        <f t="array" ref="AC33">_xll.BDH("CMI US Equity","PRETAX_INC","FQ3 2025","FQ3 2025","Currency=USD","Period=FQ","BEST_FPERIOD_OVERRIDE=FQ","FILING_STATUS=MR","SCALING_FORMAT=MLN","FA_ADJUSTED=GAAP","Sort=A","Dates=H","DateFormat=P","Fill=—","Direction=H","UseDPDF=Y")</f>
        <v>830</v>
      </c>
      <c r="AD33" s="16" cm="1">
        <f t="array" ref="AD33">_xll.BDH("CMI US Equity","PRETAX_INC","FQ4 2025","FQ4 2025","Currency=USD","Period=FQ","BEST_FPERIOD_OVERRIDE=FQ","FILING_STATUS=MR","SCALING_FORMAT=MLN","FA_ADJUSTED=GAAP","Sort=A","Dates=H","DateFormat=P","Fill=—","Direction=H","UseDPDF=Y")</f>
        <v>791</v>
      </c>
      <c r="AE33" s="16">
        <v>1073.4670000000001</v>
      </c>
      <c r="AF33" s="16">
        <v>1219.8</v>
      </c>
    </row>
    <row r="34" spans="1:32" x14ac:dyDescent="0.25">
      <c r="A34" s="10" t="s">
        <v>120</v>
      </c>
      <c r="B34" s="10" t="s">
        <v>121</v>
      </c>
      <c r="C34" s="13" cm="1">
        <f t="array" ref="C34">_xll.BDH("CMI US Equity","IS_INC_TAX_EXP","FQ1 2019","FQ1 2019","Currency=USD","Period=FQ","BEST_FPERIOD_OVERRIDE=FQ","FILING_STATUS=MR","SCALING_FORMAT=MLN","FA_ADJUSTED=GAAP","Sort=A","Dates=H","DateFormat=P","Fill=—","Direction=H","UseDPDF=Y")</f>
        <v>176</v>
      </c>
      <c r="D34" s="13" cm="1">
        <f t="array" ref="D34">_xll.BDH("CMI US Equity","IS_INC_TAX_EXP","FQ2 2019","FQ2 2019","Currency=USD","Period=FQ","BEST_FPERIOD_OVERRIDE=FQ","FILING_STATUS=MR","SCALING_FORMAT=MLN","FA_ADJUSTED=GAAP","Sort=A","Dates=H","DateFormat=P","Fill=—","Direction=H","UseDPDF=Y")</f>
        <v>186</v>
      </c>
      <c r="E34" s="13" cm="1">
        <f t="array" ref="E34">_xll.BDH("CMI US Equity","IS_INC_TAX_EXP","FQ3 2019","FQ3 2019","Currency=USD","Period=FQ","BEST_FPERIOD_OVERRIDE=FQ","FILING_STATUS=MR","SCALING_FORMAT=MLN","FA_ADJUSTED=GAAP","Sort=A","Dates=H","DateFormat=P","Fill=—","Direction=H","UseDPDF=Y")</f>
        <v>139</v>
      </c>
      <c r="F34" s="13" cm="1">
        <f t="array" ref="F34">_xll.BDH("CMI US Equity","IS_INC_TAX_EXP","FQ4 2019","FQ4 2019","Currency=USD","Period=FQ","BEST_FPERIOD_OVERRIDE=FQ","FILING_STATUS=MR","SCALING_FORMAT=MLN","FA_ADJUSTED=GAAP","Sort=A","Dates=H","DateFormat=P","Fill=—","Direction=H","UseDPDF=Y")</f>
        <v>65</v>
      </c>
      <c r="G34" s="13" cm="1">
        <f t="array" ref="G34">_xll.BDH("CMI US Equity","IS_INC_TAX_EXP","FQ1 2020","FQ1 2020","Currency=USD","Period=FQ","BEST_FPERIOD_OVERRIDE=FQ","FILING_STATUS=MR","SCALING_FORMAT=MLN","FA_ADJUSTED=GAAP","Sort=A","Dates=H","DateFormat=P","Fill=—","Direction=H","UseDPDF=Y")</f>
        <v>127</v>
      </c>
      <c r="H34" s="13" cm="1">
        <f t="array" ref="H34">_xll.BDH("CMI US Equity","IS_INC_TAX_EXP","FQ2 2020","FQ2 2020","Currency=USD","Period=FQ","BEST_FPERIOD_OVERRIDE=FQ","FILING_STATUS=MR","SCALING_FORMAT=MLN","FA_ADJUSTED=GAAP","Sort=A","Dates=H","DateFormat=P","Fill=—","Direction=H","UseDPDF=Y")</f>
        <v>93</v>
      </c>
      <c r="I34" s="13" cm="1">
        <f t="array" ref="I34">_xll.BDH("CMI US Equity","IS_INC_TAX_EXP","FQ3 2020","FQ3 2020","Currency=USD","Period=FQ","BEST_FPERIOD_OVERRIDE=FQ","FILING_STATUS=MR","SCALING_FORMAT=MLN","FA_ADJUSTED=GAAP","Sort=A","Dates=H","DateFormat=P","Fill=—","Direction=H","UseDPDF=Y")</f>
        <v>182</v>
      </c>
      <c r="J34" s="13" cm="1">
        <f t="array" ref="J34">_xll.BDH("CMI US Equity","IS_INC_TAX_EXP","FQ4 2020","FQ4 2020","Currency=USD","Period=FQ","BEST_FPERIOD_OVERRIDE=FQ","FILING_STATUS=MR","SCALING_FORMAT=MLN","FA_ADJUSTED=GAAP","Sort=A","Dates=H","DateFormat=P","Fill=—","Direction=H","UseDPDF=Y")</f>
        <v>125</v>
      </c>
      <c r="K34" s="13" cm="1">
        <f t="array" ref="K34">_xll.BDH("CMI US Equity","IS_INC_TAX_EXP","FQ1 2021","FQ1 2021","Currency=USD","Period=FQ","BEST_FPERIOD_OVERRIDE=FQ","FILING_STATUS=MR","SCALING_FORMAT=MLN","FA_ADJUSTED=GAAP","Sort=A","Dates=H","DateFormat=P","Fill=—","Direction=H","UseDPDF=Y")</f>
        <v>172</v>
      </c>
      <c r="L34" s="13" cm="1">
        <f t="array" ref="L34">_xll.BDH("CMI US Equity","IS_INC_TAX_EXP","FQ2 2021","FQ2 2021","Currency=USD","Period=FQ","BEST_FPERIOD_OVERRIDE=FQ","FILING_STATUS=MR","SCALING_FORMAT=MLN","FA_ADJUSTED=GAAP","Sort=A","Dates=H","DateFormat=P","Fill=—","Direction=H","UseDPDF=Y")</f>
        <v>167</v>
      </c>
      <c r="M34" s="13" cm="1">
        <f t="array" ref="M34">_xll.BDH("CMI US Equity","IS_INC_TAX_EXP","FQ3 2021","FQ3 2021","Currency=USD","Period=FQ","BEST_FPERIOD_OVERRIDE=FQ","FILING_STATUS=MR","SCALING_FORMAT=MLN","FA_ADJUSTED=GAAP","Sort=A","Dates=H","DateFormat=P","Fill=—","Direction=H","UseDPDF=Y")</f>
        <v>134</v>
      </c>
      <c r="N34" s="13" cm="1">
        <f t="array" ref="N34">_xll.BDH("CMI US Equity","IS_INC_TAX_EXP","FQ4 2021","FQ4 2021","Currency=USD","Period=FQ","BEST_FPERIOD_OVERRIDE=FQ","FILING_STATUS=MR","SCALING_FORMAT=MLN","FA_ADJUSTED=GAAP","Sort=A","Dates=H","DateFormat=P","Fill=—","Direction=H","UseDPDF=Y")</f>
        <v>114</v>
      </c>
      <c r="O34" s="13" cm="1">
        <f t="array" ref="O34">_xll.BDH("CMI US Equity","IS_INC_TAX_EXP","FQ1 2022","FQ1 2022","Currency=USD","Period=FQ","BEST_FPERIOD_OVERRIDE=FQ","FILING_STATUS=MR","SCALING_FORMAT=MLN","FA_ADJUSTED=GAAP","Sort=A","Dates=H","DateFormat=P","Fill=—","Direction=H","UseDPDF=Y")</f>
        <v>155</v>
      </c>
      <c r="P34" s="13" cm="1">
        <f t="array" ref="P34">_xll.BDH("CMI US Equity","IS_INC_TAX_EXP","FQ2 2022","FQ2 2022","Currency=USD","Period=FQ","BEST_FPERIOD_OVERRIDE=FQ","FILING_STATUS=MR","SCALING_FORMAT=MLN","FA_ADJUSTED=GAAP","Sort=A","Dates=H","DateFormat=P","Fill=—","Direction=H","UseDPDF=Y")</f>
        <v>148</v>
      </c>
      <c r="Q34" s="13" cm="1">
        <f t="array" ref="Q34">_xll.BDH("CMI US Equity","IS_INC_TAX_EXP","FQ3 2022","FQ3 2022","Currency=USD","Period=FQ","BEST_FPERIOD_OVERRIDE=FQ","FILING_STATUS=MR","SCALING_FORMAT=MLN","FA_ADJUSTED=GAAP","Sort=A","Dates=H","DateFormat=P","Fill=—","Direction=H","UseDPDF=Y")</f>
        <v>199</v>
      </c>
      <c r="R34" s="13" cm="1">
        <f t="array" ref="R34">_xll.BDH("CMI US Equity","IS_INC_TAX_EXP","FQ4 2022","FQ4 2022","Currency=USD","Period=FQ","BEST_FPERIOD_OVERRIDE=FQ","FILING_STATUS=MR","SCALING_FORMAT=MLN","FA_ADJUSTED=GAAP","Sort=A","Dates=H","DateFormat=P","Fill=—","Direction=H","UseDPDF=Y")</f>
        <v>134</v>
      </c>
      <c r="S34" s="13" cm="1">
        <f t="array" ref="S34">_xll.BDH("CMI US Equity","IS_INC_TAX_EXP","FQ1 2023","FQ1 2023","Currency=USD","Period=FQ","BEST_FPERIOD_OVERRIDE=FQ","FILING_STATUS=MR","SCALING_FORMAT=MLN","FA_ADJUSTED=GAAP","Sort=A","Dates=H","DateFormat=P","Fill=—","Direction=H","UseDPDF=Y")</f>
        <v>223</v>
      </c>
      <c r="T34" s="13" cm="1">
        <f t="array" ref="T34">_xll.BDH("CMI US Equity","IS_INC_TAX_EXP","FQ2 2023","FQ2 2023","Currency=USD","Period=FQ","BEST_FPERIOD_OVERRIDE=FQ","FILING_STATUS=MR","SCALING_FORMAT=MLN","FA_ADJUSTED=GAAP","Sort=A","Dates=H","DateFormat=P","Fill=—","Direction=H","UseDPDF=Y")</f>
        <v>212</v>
      </c>
      <c r="U34" s="13" cm="1">
        <f t="array" ref="U34">_xll.BDH("CMI US Equity","IS_INC_TAX_EXP","FQ3 2023","FQ3 2023","Currency=USD","Period=FQ","BEST_FPERIOD_OVERRIDE=FQ","FILING_STATUS=MR","SCALING_FORMAT=MLN","FA_ADJUSTED=GAAP","Sort=A","Dates=H","DateFormat=P","Fill=—","Direction=H","UseDPDF=Y")</f>
        <v>188</v>
      </c>
      <c r="V34" s="13" cm="1">
        <f t="array" ref="V34">_xll.BDH("CMI US Equity","IS_INC_TAX_EXP","FQ4 2023","FQ4 2023","Currency=USD","Period=FQ","BEST_FPERIOD_OVERRIDE=FQ","FILING_STATUS=MR","SCALING_FORMAT=MLN","FA_ADJUSTED=GAAP","Sort=A","Dates=H","DateFormat=P","Fill=—","Direction=H","UseDPDF=Y")</f>
        <v>163</v>
      </c>
      <c r="W34" s="13" cm="1">
        <f t="array" ref="W34">_xll.BDH("CMI US Equity","IS_INC_TAX_EXP","FQ1 2024","FQ1 2024","Currency=USD","Period=FQ","BEST_FPERIOD_OVERRIDE=FQ","FILING_STATUS=MR","SCALING_FORMAT=MLN","FA_ADJUSTED=GAAP","Sort=A","Dates=H","DateFormat=P","Fill=—","Direction=H","UseDPDF=Y")</f>
        <v>193</v>
      </c>
      <c r="X34" s="13" cm="1">
        <f t="array" ref="X34">_xll.BDH("CMI US Equity","IS_INC_TAX_EXP","FQ2 2024","FQ2 2024","Currency=USD","Period=FQ","BEST_FPERIOD_OVERRIDE=FQ","FILING_STATUS=MR","SCALING_FORMAT=MLN","FA_ADJUSTED=GAAP","Sort=A","Dates=H","DateFormat=P","Fill=—","Direction=H","UseDPDF=Y")</f>
        <v>225</v>
      </c>
      <c r="Y34" s="13" cm="1">
        <f t="array" ref="Y34">_xll.BDH("CMI US Equity","IS_INC_TAX_EXP","FQ3 2024","FQ3 2024","Currency=USD","Period=FQ","BEST_FPERIOD_OVERRIDE=FQ","FILING_STATUS=MR","SCALING_FORMAT=MLN","FA_ADJUSTED=GAAP","Sort=A","Dates=H","DateFormat=P","Fill=—","Direction=H","UseDPDF=Y")</f>
        <v>200</v>
      </c>
      <c r="Z34" s="13" cm="1">
        <f t="array" ref="Z34">_xll.BDH("CMI US Equity","IS_INC_TAX_EXP","FQ4 2024","FQ4 2024","Currency=USD","Period=FQ","BEST_FPERIOD_OVERRIDE=FQ","FILING_STATUS=MR","SCALING_FORMAT=MLN","FA_ADJUSTED=GAAP","Sort=A","Dates=H","DateFormat=P","Fill=—","Direction=H","UseDPDF=Y")</f>
        <v>217</v>
      </c>
      <c r="AA34" s="13" cm="1">
        <f t="array" ref="AA34">_xll.BDH("CMI US Equity","IS_INC_TAX_EXP","FQ1 2025","FQ1 2025","Currency=USD","Period=FQ","BEST_FPERIOD_OVERRIDE=FQ","FILING_STATUS=MR","SCALING_FORMAT=MLN","FA_ADJUSTED=GAAP","Sort=A","Dates=H","DateFormat=P","Fill=—","Direction=H","UseDPDF=Y")</f>
        <v>267</v>
      </c>
      <c r="AB34" s="13" cm="1">
        <f t="array" ref="AB34">_xll.BDH("CMI US Equity","IS_INC_TAX_EXP","FQ2 2025","FQ2 2025","Currency=USD","Period=FQ","BEST_FPERIOD_OVERRIDE=FQ","FILING_STATUS=MR","SCALING_FORMAT=MLN","FA_ADJUSTED=GAAP","Sort=A","Dates=H","DateFormat=P","Fill=—","Direction=H","UseDPDF=Y")</f>
        <v>297</v>
      </c>
      <c r="AC34" s="13" cm="1">
        <f t="array" ref="AC34">_xll.BDH("CMI US Equity","IS_INC_TAX_EXP","FQ3 2025","FQ3 2025","Currency=USD","Period=FQ","BEST_FPERIOD_OVERRIDE=FQ","FILING_STATUS=MR","SCALING_FORMAT=MLN","FA_ADJUSTED=GAAP","Sort=A","Dates=H","DateFormat=P","Fill=—","Direction=H","UseDPDF=Y")</f>
        <v>271</v>
      </c>
      <c r="AD34" s="13" cm="1">
        <f t="array" ref="AD34">_xll.BDH("CMI US Equity","IS_INC_TAX_EXP","FQ4 2025","FQ4 2025","Currency=USD","Period=FQ","BEST_FPERIOD_OVERRIDE=FQ","FILING_STATUS=MR","SCALING_FORMAT=MLN","FA_ADJUSTED=GAAP","Sort=A","Dates=H","DateFormat=P","Fill=—","Direction=H","UseDPDF=Y")</f>
        <v>171</v>
      </c>
      <c r="AE34" s="13"/>
      <c r="AF34" s="13"/>
    </row>
    <row r="35" spans="1:32" x14ac:dyDescent="0.25">
      <c r="A35" s="6" t="s">
        <v>122</v>
      </c>
      <c r="B35" s="6" t="s">
        <v>123</v>
      </c>
      <c r="C35" s="16" cm="1">
        <f t="array" ref="C35">_xll.BDH("CMI US Equity","IS_INC_BEF_XO_ITEM","FQ1 2019","FQ1 2019","Currency=USD","Period=FQ","BEST_FPERIOD_OVERRIDE=FQ","FILING_STATUS=MR","SCALING_FORMAT=MLN","Sort=A","Dates=H","DateFormat=P","Fill=—","Direction=H","UseDPDF=Y")</f>
        <v>669</v>
      </c>
      <c r="D35" s="16" cm="1">
        <f t="array" ref="D35">_xll.BDH("CMI US Equity","IS_INC_BEF_XO_ITEM","FQ2 2019","FQ2 2019","Currency=USD","Period=FQ","BEST_FPERIOD_OVERRIDE=FQ","FILING_STATUS=MR","SCALING_FORMAT=MLN","Sort=A","Dates=H","DateFormat=P","Fill=—","Direction=H","UseDPDF=Y")</f>
        <v>685</v>
      </c>
      <c r="E35" s="16" cm="1">
        <f t="array" ref="E35">_xll.BDH("CMI US Equity","IS_INC_BEF_XO_ITEM","FQ3 2019","FQ3 2019","Currency=USD","Period=FQ","BEST_FPERIOD_OVERRIDE=FQ","FILING_STATUS=MR","SCALING_FORMAT=MLN","Sort=A","Dates=H","DateFormat=P","Fill=—","Direction=H","UseDPDF=Y")</f>
        <v>616</v>
      </c>
      <c r="F35" s="16" cm="1">
        <f t="array" ref="F35">_xll.BDH("CMI US Equity","IS_INC_BEF_XO_ITEM","FQ4 2019","FQ4 2019","Currency=USD","Period=FQ","BEST_FPERIOD_OVERRIDE=FQ","FILING_STATUS=MR","SCALING_FORMAT=MLN","Sort=A","Dates=H","DateFormat=P","Fill=—","Direction=H","UseDPDF=Y")</f>
        <v>298</v>
      </c>
      <c r="G35" s="16" cm="1">
        <f t="array" ref="G35">_xll.BDH("CMI US Equity","IS_INC_BEF_XO_ITEM","FQ1 2020","FQ1 2020","Currency=USD","Period=FQ","BEST_FPERIOD_OVERRIDE=FQ","FILING_STATUS=MR","SCALING_FORMAT=MLN","Sort=A","Dates=H","DateFormat=P","Fill=—","Direction=H","UseDPDF=Y")</f>
        <v>528</v>
      </c>
      <c r="H35" s="16" cm="1">
        <f t="array" ref="H35">_xll.BDH("CMI US Equity","IS_INC_BEF_XO_ITEM","FQ2 2020","FQ2 2020","Currency=USD","Period=FQ","BEST_FPERIOD_OVERRIDE=FQ","FILING_STATUS=MR","SCALING_FORMAT=MLN","Sort=A","Dates=H","DateFormat=P","Fill=—","Direction=H","UseDPDF=Y")</f>
        <v>269</v>
      </c>
      <c r="I35" s="16" cm="1">
        <f t="array" ref="I35">_xll.BDH("CMI US Equity","IS_INC_BEF_XO_ITEM","FQ3 2020","FQ3 2020","Currency=USD","Period=FQ","BEST_FPERIOD_OVERRIDE=FQ","FILING_STATUS=MR","SCALING_FORMAT=MLN","Sort=A","Dates=H","DateFormat=P","Fill=—","Direction=H","UseDPDF=Y")</f>
        <v>504</v>
      </c>
      <c r="J35" s="16" cm="1">
        <f t="array" ref="J35">_xll.BDH("CMI US Equity","IS_INC_BEF_XO_ITEM","FQ4 2020","FQ4 2020","Currency=USD","Period=FQ","BEST_FPERIOD_OVERRIDE=FQ","FILING_STATUS=MR","SCALING_FORMAT=MLN","Sort=A","Dates=H","DateFormat=P","Fill=—","Direction=H","UseDPDF=Y")</f>
        <v>510</v>
      </c>
      <c r="K35" s="16" cm="1">
        <f t="array" ref="K35">_xll.BDH("CMI US Equity","IS_INC_BEF_XO_ITEM","FQ1 2021","FQ1 2021","Currency=USD","Period=FQ","BEST_FPERIOD_OVERRIDE=FQ","FILING_STATUS=MR","SCALING_FORMAT=MLN","Sort=A","Dates=H","DateFormat=P","Fill=—","Direction=H","UseDPDF=Y")</f>
        <v>611</v>
      </c>
      <c r="L35" s="16" cm="1">
        <f t="array" ref="L35">_xll.BDH("CMI US Equity","IS_INC_BEF_XO_ITEM","FQ2 2021","FQ2 2021","Currency=USD","Period=FQ","BEST_FPERIOD_OVERRIDE=FQ","FILING_STATUS=MR","SCALING_FORMAT=MLN","Sort=A","Dates=H","DateFormat=P","Fill=—","Direction=H","UseDPDF=Y")</f>
        <v>612</v>
      </c>
      <c r="M35" s="16" cm="1">
        <f t="array" ref="M35">_xll.BDH("CMI US Equity","IS_INC_BEF_XO_ITEM","FQ3 2021","FQ3 2021","Currency=USD","Period=FQ","BEST_FPERIOD_OVERRIDE=FQ","FILING_STATUS=MR","SCALING_FORMAT=MLN","Sort=A","Dates=H","DateFormat=P","Fill=—","Direction=H","UseDPDF=Y")</f>
        <v>541</v>
      </c>
      <c r="N35" s="16" cm="1">
        <f t="array" ref="N35">_xll.BDH("CMI US Equity","IS_INC_BEF_XO_ITEM","FQ4 2021","FQ4 2021","Currency=USD","Period=FQ","BEST_FPERIOD_OVERRIDE=FQ","FILING_STATUS=MR","SCALING_FORMAT=MLN","Sort=A","Dates=H","DateFormat=P","Fill=—","Direction=H","UseDPDF=Y")</f>
        <v>400</v>
      </c>
      <c r="O35" s="16" cm="1">
        <f t="array" ref="O35">_xll.BDH("CMI US Equity","IS_INC_BEF_XO_ITEM","FQ1 2022","FQ1 2022","Currency=USD","Period=FQ","BEST_FPERIOD_OVERRIDE=FQ","FILING_STATUS=MR","SCALING_FORMAT=MLN","Sort=A","Dates=H","DateFormat=P","Fill=—","Direction=H","UseDPDF=Y")</f>
        <v>423</v>
      </c>
      <c r="P35" s="16" cm="1">
        <f t="array" ref="P35">_xll.BDH("CMI US Equity","IS_INC_BEF_XO_ITEM","FQ2 2022","FQ2 2022","Currency=USD","Period=FQ","BEST_FPERIOD_OVERRIDE=FQ","FILING_STATUS=MR","SCALING_FORMAT=MLN","Sort=A","Dates=H","DateFormat=P","Fill=—","Direction=H","UseDPDF=Y")</f>
        <v>707</v>
      </c>
      <c r="Q35" s="16" cm="1">
        <f t="array" ref="Q35">_xll.BDH("CMI US Equity","IS_INC_BEF_XO_ITEM","FQ3 2022","FQ3 2022","Currency=USD","Period=FQ","BEST_FPERIOD_OVERRIDE=FQ","FILING_STATUS=MR","SCALING_FORMAT=MLN","Sort=A","Dates=H","DateFormat=P","Fill=—","Direction=H","UseDPDF=Y")</f>
        <v>409</v>
      </c>
      <c r="R35" s="16" cm="1">
        <f t="array" ref="R35">_xll.BDH("CMI US Equity","IS_INC_BEF_XO_ITEM","FQ4 2022","FQ4 2022","Currency=USD","Period=FQ","BEST_FPERIOD_OVERRIDE=FQ","FILING_STATUS=MR","SCALING_FORMAT=MLN","Sort=A","Dates=H","DateFormat=P","Fill=—","Direction=H","UseDPDF=Y")</f>
        <v>644</v>
      </c>
      <c r="S35" s="16" cm="1">
        <f t="array" ref="S35">_xll.BDH("CMI US Equity","IS_INC_BEF_XO_ITEM","FQ1 2023","FQ1 2023","Currency=USD","Period=FQ","BEST_FPERIOD_OVERRIDE=FQ","FILING_STATUS=MR","SCALING_FORMAT=MLN","Sort=A","Dates=H","DateFormat=P","Fill=—","Direction=H","UseDPDF=Y")</f>
        <v>806</v>
      </c>
      <c r="T35" s="16" cm="1">
        <f t="array" ref="T35">_xll.BDH("CMI US Equity","IS_INC_BEF_XO_ITEM","FQ2 2023","FQ2 2023","Currency=USD","Period=FQ","BEST_FPERIOD_OVERRIDE=FQ","FILING_STATUS=MR","SCALING_FORMAT=MLN","Sort=A","Dates=H","DateFormat=P","Fill=—","Direction=H","UseDPDF=Y")</f>
        <v>737</v>
      </c>
      <c r="U35" s="16" cm="1">
        <f t="array" ref="U35">_xll.BDH("CMI US Equity","IS_INC_BEF_XO_ITEM","FQ3 2023","FQ3 2023","Currency=USD","Period=FQ","BEST_FPERIOD_OVERRIDE=FQ","FILING_STATUS=MR","SCALING_FORMAT=MLN","Sort=A","Dates=H","DateFormat=P","Fill=—","Direction=H","UseDPDF=Y")</f>
        <v>690</v>
      </c>
      <c r="V35" s="16" cm="1">
        <f t="array" ref="V35">_xll.BDH("CMI US Equity","IS_INC_BEF_XO_ITEM","FQ4 2023","FQ4 2023","Currency=USD","Period=FQ","BEST_FPERIOD_OVERRIDE=FQ","FILING_STATUS=MR","SCALING_FORMAT=MLN","Sort=A","Dates=H","DateFormat=P","Fill=—","Direction=H","UseDPDF=Y")</f>
        <v>-1393</v>
      </c>
      <c r="W35" s="16" cm="1">
        <f t="array" ref="W35">_xll.BDH("CMI US Equity","IS_INC_BEF_XO_ITEM","FQ1 2024","FQ1 2024","Currency=USD","Period=FQ","BEST_FPERIOD_OVERRIDE=FQ","FILING_STATUS=MR","SCALING_FORMAT=MLN","Sort=A","Dates=H","DateFormat=P","Fill=—","Direction=H","UseDPDF=Y")</f>
        <v>2028</v>
      </c>
      <c r="X35" s="16" cm="1">
        <f t="array" ref="X35">_xll.BDH("CMI US Equity","IS_INC_BEF_XO_ITEM","FQ2 2024","FQ2 2024","Currency=USD","Period=FQ","BEST_FPERIOD_OVERRIDE=FQ","FILING_STATUS=MR","SCALING_FORMAT=MLN","Sort=A","Dates=H","DateFormat=P","Fill=—","Direction=H","UseDPDF=Y")</f>
        <v>752</v>
      </c>
      <c r="Y35" s="16" cm="1">
        <f t="array" ref="Y35">_xll.BDH("CMI US Equity","IS_INC_BEF_XO_ITEM","FQ3 2024","FQ3 2024","Currency=USD","Period=FQ","BEST_FPERIOD_OVERRIDE=FQ","FILING_STATUS=MR","SCALING_FORMAT=MLN","Sort=A","Dates=H","DateFormat=P","Fill=—","Direction=H","UseDPDF=Y")</f>
        <v>843</v>
      </c>
      <c r="Z35" s="16" cm="1">
        <f t="array" ref="Z35">_xll.BDH("CMI US Equity","IS_INC_BEF_XO_ITEM","FQ4 2024","FQ4 2024","Currency=USD","Period=FQ","BEST_FPERIOD_OVERRIDE=FQ","FILING_STATUS=MR","SCALING_FORMAT=MLN","Sort=A","Dates=H","DateFormat=P","Fill=—","Direction=H","UseDPDF=Y")</f>
        <v>445</v>
      </c>
      <c r="AA35" s="16" cm="1">
        <f t="array" ref="AA35">_xll.BDH("CMI US Equity","IS_INC_BEF_XO_ITEM","FQ1 2025","FQ1 2025","Currency=USD","Period=FQ","BEST_FPERIOD_OVERRIDE=FQ","FILING_STATUS=MR","SCALING_FORMAT=MLN","Sort=A","Dates=H","DateFormat=P","Fill=—","Direction=H","UseDPDF=Y")</f>
        <v>850</v>
      </c>
      <c r="AB35" s="16" cm="1">
        <f t="array" ref="AB35">_xll.BDH("CMI US Equity","IS_INC_BEF_XO_ITEM","FQ2 2025","FQ2 2025","Currency=USD","Period=FQ","BEST_FPERIOD_OVERRIDE=FQ","FILING_STATUS=MR","SCALING_FORMAT=MLN","Sort=A","Dates=H","DateFormat=P","Fill=—","Direction=H","UseDPDF=Y")</f>
        <v>928</v>
      </c>
      <c r="AC35" s="16" cm="1">
        <f t="array" ref="AC35">_xll.BDH("CMI US Equity","IS_INC_BEF_XO_ITEM","FQ3 2025","FQ3 2025","Currency=USD","Period=FQ","BEST_FPERIOD_OVERRIDE=FQ","FILING_STATUS=MR","SCALING_FORMAT=MLN","Sort=A","Dates=H","DateFormat=P","Fill=—","Direction=H","UseDPDF=Y")</f>
        <v>559</v>
      </c>
      <c r="AD35" s="16" cm="1">
        <f t="array" ref="AD35">_xll.BDH("CMI US Equity","IS_INC_BEF_XO_ITEM","FQ4 2025","FQ4 2025","Currency=USD","Period=FQ","BEST_FPERIOD_OVERRIDE=FQ","FILING_STATUS=MR","SCALING_FORMAT=MLN","Sort=A","Dates=H","DateFormat=P","Fill=—","Direction=H","UseDPDF=Y")</f>
        <v>620</v>
      </c>
      <c r="AE35" s="16">
        <v>800.35699999999997</v>
      </c>
      <c r="AF35" s="16">
        <v>903.5</v>
      </c>
    </row>
    <row r="36" spans="1:32" x14ac:dyDescent="0.25">
      <c r="A36" s="10" t="s">
        <v>124</v>
      </c>
      <c r="B36" s="10" t="s">
        <v>125</v>
      </c>
      <c r="C36" s="13" cm="1">
        <f t="array" ref="C36">_xll.BDH("CMI US Equity","XO_GL_NET_OF_TAX","FQ1 2019","FQ1 2019","Currency=USD","Period=FQ","BEST_FPERIOD_OVERRIDE=FQ","FILING_STATUS=MR","SCALING_FORMAT=MLN","Sort=A","Dates=H","DateFormat=P","Fill=—","Direction=H","UseDPDF=Y")</f>
        <v>0</v>
      </c>
      <c r="D36" s="13" cm="1">
        <f t="array" ref="D36">_xll.BDH("CMI US Equity","XO_GL_NET_OF_TAX","FQ2 2019","FQ2 2019","Currency=USD","Period=FQ","BEST_FPERIOD_OVERRIDE=FQ","FILING_STATUS=MR","SCALING_FORMAT=MLN","Sort=A","Dates=H","DateFormat=P","Fill=—","Direction=H","UseDPDF=Y")</f>
        <v>0</v>
      </c>
      <c r="E36" s="13" cm="1">
        <f t="array" ref="E36">_xll.BDH("CMI US Equity","XO_GL_NET_OF_TAX","FQ3 2019","FQ3 2019","Currency=USD","Period=FQ","BEST_FPERIOD_OVERRIDE=FQ","FILING_STATUS=MR","SCALING_FORMAT=MLN","Sort=A","Dates=H","DateFormat=P","Fill=—","Direction=H","UseDPDF=Y")</f>
        <v>0</v>
      </c>
      <c r="F36" s="13" cm="1">
        <f t="array" ref="F36">_xll.BDH("CMI US Equity","XO_GL_NET_OF_TAX","FQ4 2019","FQ4 2019","Currency=USD","Period=FQ","BEST_FPERIOD_OVERRIDE=FQ","FILING_STATUS=MR","SCALING_FORMAT=MLN","Sort=A","Dates=H","DateFormat=P","Fill=—","Direction=H","UseDPDF=Y")</f>
        <v>0</v>
      </c>
      <c r="G36" s="13" cm="1">
        <f t="array" ref="G36">_xll.BDH("CMI US Equity","XO_GL_NET_OF_TAX","FQ1 2020","FQ1 2020","Currency=USD","Period=FQ","BEST_FPERIOD_OVERRIDE=FQ","FILING_STATUS=MR","SCALING_FORMAT=MLN","Sort=A","Dates=H","DateFormat=P","Fill=—","Direction=H","UseDPDF=Y")</f>
        <v>0</v>
      </c>
      <c r="H36" s="13" cm="1">
        <f t="array" ref="H36">_xll.BDH("CMI US Equity","XO_GL_NET_OF_TAX","FQ2 2020","FQ2 2020","Currency=USD","Period=FQ","BEST_FPERIOD_OVERRIDE=FQ","FILING_STATUS=MR","SCALING_FORMAT=MLN","Sort=A","Dates=H","DateFormat=P","Fill=—","Direction=H","UseDPDF=Y")</f>
        <v>0</v>
      </c>
      <c r="I36" s="13" cm="1">
        <f t="array" ref="I36">_xll.BDH("CMI US Equity","XO_GL_NET_OF_TAX","FQ3 2020","FQ3 2020","Currency=USD","Period=FQ","BEST_FPERIOD_OVERRIDE=FQ","FILING_STATUS=MR","SCALING_FORMAT=MLN","Sort=A","Dates=H","DateFormat=P","Fill=—","Direction=H","UseDPDF=Y")</f>
        <v>0</v>
      </c>
      <c r="J36" s="13" cm="1">
        <f t="array" ref="J36">_xll.BDH("CMI US Equity","XO_GL_NET_OF_TAX","FQ4 2020","FQ4 2020","Currency=USD","Period=FQ","BEST_FPERIOD_OVERRIDE=FQ","FILING_STATUS=MR","SCALING_FORMAT=MLN","Sort=A","Dates=H","DateFormat=P","Fill=—","Direction=H","UseDPDF=Y")</f>
        <v>0</v>
      </c>
      <c r="K36" s="13" cm="1">
        <f t="array" ref="K36">_xll.BDH("CMI US Equity","XO_GL_NET_OF_TAX","FQ1 2021","FQ1 2021","Currency=USD","Period=FQ","BEST_FPERIOD_OVERRIDE=FQ","FILING_STATUS=MR","SCALING_FORMAT=MLN","Sort=A","Dates=H","DateFormat=P","Fill=—","Direction=H","UseDPDF=Y")</f>
        <v>0</v>
      </c>
      <c r="L36" s="13" cm="1">
        <f t="array" ref="L36">_xll.BDH("CMI US Equity","XO_GL_NET_OF_TAX","FQ2 2021","FQ2 2021","Currency=USD","Period=FQ","BEST_FPERIOD_OVERRIDE=FQ","FILING_STATUS=MR","SCALING_FORMAT=MLN","Sort=A","Dates=H","DateFormat=P","Fill=—","Direction=H","UseDPDF=Y")</f>
        <v>0</v>
      </c>
      <c r="M36" s="13" cm="1">
        <f t="array" ref="M36">_xll.BDH("CMI US Equity","XO_GL_NET_OF_TAX","FQ3 2021","FQ3 2021","Currency=USD","Period=FQ","BEST_FPERIOD_OVERRIDE=FQ","FILING_STATUS=MR","SCALING_FORMAT=MLN","Sort=A","Dates=H","DateFormat=P","Fill=—","Direction=H","UseDPDF=Y")</f>
        <v>0</v>
      </c>
      <c r="N36" s="13" cm="1">
        <f t="array" ref="N36">_xll.BDH("CMI US Equity","XO_GL_NET_OF_TAX","FQ4 2021","FQ4 2021","Currency=USD","Period=FQ","BEST_FPERIOD_OVERRIDE=FQ","FILING_STATUS=MR","SCALING_FORMAT=MLN","Sort=A","Dates=H","DateFormat=P","Fill=—","Direction=H","UseDPDF=Y")</f>
        <v>0</v>
      </c>
      <c r="O36" s="13" cm="1">
        <f t="array" ref="O36">_xll.BDH("CMI US Equity","XO_GL_NET_OF_TAX","FQ1 2022","FQ1 2022","Currency=USD","Period=FQ","BEST_FPERIOD_OVERRIDE=FQ","FILING_STATUS=MR","SCALING_FORMAT=MLN","Sort=A","Dates=H","DateFormat=P","Fill=—","Direction=H","UseDPDF=Y")</f>
        <v>0</v>
      </c>
      <c r="P36" s="13" cm="1">
        <f t="array" ref="P36">_xll.BDH("CMI US Equity","XO_GL_NET_OF_TAX","FQ2 2022","FQ2 2022","Currency=USD","Period=FQ","BEST_FPERIOD_OVERRIDE=FQ","FILING_STATUS=MR","SCALING_FORMAT=MLN","Sort=A","Dates=H","DateFormat=P","Fill=—","Direction=H","UseDPDF=Y")</f>
        <v>0</v>
      </c>
      <c r="Q36" s="13" cm="1">
        <f t="array" ref="Q36">_xll.BDH("CMI US Equity","XO_GL_NET_OF_TAX","FQ3 2022","FQ3 2022","Currency=USD","Period=FQ","BEST_FPERIOD_OVERRIDE=FQ","FILING_STATUS=MR","SCALING_FORMAT=MLN","Sort=A","Dates=H","DateFormat=P","Fill=—","Direction=H","UseDPDF=Y")</f>
        <v>0</v>
      </c>
      <c r="R36" s="13" cm="1">
        <f t="array" ref="R36">_xll.BDH("CMI US Equity","XO_GL_NET_OF_TAX","FQ4 2022","FQ4 2022","Currency=USD","Period=FQ","BEST_FPERIOD_OVERRIDE=FQ","FILING_STATUS=MR","SCALING_FORMAT=MLN","Sort=A","Dates=H","DateFormat=P","Fill=—","Direction=H","UseDPDF=Y")</f>
        <v>0</v>
      </c>
      <c r="S36" s="13" cm="1">
        <f t="array" ref="S36">_xll.BDH("CMI US Equity","XO_GL_NET_OF_TAX","FQ1 2023","FQ1 2023","Currency=USD","Period=FQ","BEST_FPERIOD_OVERRIDE=FQ","FILING_STATUS=MR","SCALING_FORMAT=MLN","Sort=A","Dates=H","DateFormat=P","Fill=—","Direction=H","UseDPDF=Y")</f>
        <v>0</v>
      </c>
      <c r="T36" s="13" cm="1">
        <f t="array" ref="T36">_xll.BDH("CMI US Equity","XO_GL_NET_OF_TAX","FQ2 2023","FQ2 2023","Currency=USD","Period=FQ","BEST_FPERIOD_OVERRIDE=FQ","FILING_STATUS=MR","SCALING_FORMAT=MLN","Sort=A","Dates=H","DateFormat=P","Fill=—","Direction=H","UseDPDF=Y")</f>
        <v>0</v>
      </c>
      <c r="U36" s="13" cm="1">
        <f t="array" ref="U36">_xll.BDH("CMI US Equity","XO_GL_NET_OF_TAX","FQ3 2023","FQ3 2023","Currency=USD","Period=FQ","BEST_FPERIOD_OVERRIDE=FQ","FILING_STATUS=MR","SCALING_FORMAT=MLN","Sort=A","Dates=H","DateFormat=P","Fill=—","Direction=H","UseDPDF=Y")</f>
        <v>0</v>
      </c>
      <c r="V36" s="13" cm="1">
        <f t="array" ref="V36">_xll.BDH("CMI US Equity","XO_GL_NET_OF_TAX","FQ4 2023","FQ4 2023","Currency=USD","Period=FQ","BEST_FPERIOD_OVERRIDE=FQ","FILING_STATUS=MR","SCALING_FORMAT=MLN","Sort=A","Dates=H","DateFormat=P","Fill=—","Direction=H","UseDPDF=Y")</f>
        <v>0</v>
      </c>
      <c r="W36" s="13" cm="1">
        <f t="array" ref="W36">_xll.BDH("CMI US Equity","XO_GL_NET_OF_TAX","FQ1 2024","FQ1 2024","Currency=USD","Period=FQ","BEST_FPERIOD_OVERRIDE=FQ","FILING_STATUS=MR","SCALING_FORMAT=MLN","Sort=A","Dates=H","DateFormat=P","Fill=—","Direction=H","UseDPDF=Y")</f>
        <v>0</v>
      </c>
      <c r="X36" s="13" cm="1">
        <f t="array" ref="X36">_xll.BDH("CMI US Equity","XO_GL_NET_OF_TAX","FQ2 2024","FQ2 2024","Currency=USD","Period=FQ","BEST_FPERIOD_OVERRIDE=FQ","FILING_STATUS=MR","SCALING_FORMAT=MLN","Sort=A","Dates=H","DateFormat=P","Fill=—","Direction=H","UseDPDF=Y")</f>
        <v>0</v>
      </c>
      <c r="Y36" s="13" cm="1">
        <f t="array" ref="Y36">_xll.BDH("CMI US Equity","XO_GL_NET_OF_TAX","FQ3 2024","FQ3 2024","Currency=USD","Period=FQ","BEST_FPERIOD_OVERRIDE=FQ","FILING_STATUS=MR","SCALING_FORMAT=MLN","Sort=A","Dates=H","DateFormat=P","Fill=—","Direction=H","UseDPDF=Y")</f>
        <v>0</v>
      </c>
      <c r="Z36" s="13" cm="1">
        <f t="array" ref="Z36">_xll.BDH("CMI US Equity","XO_GL_NET_OF_TAX","FQ4 2024","FQ4 2024","Currency=USD","Period=FQ","BEST_FPERIOD_OVERRIDE=FQ","FILING_STATUS=MR","SCALING_FORMAT=MLN","Sort=A","Dates=H","DateFormat=P","Fill=—","Direction=H","UseDPDF=Y")</f>
        <v>0</v>
      </c>
      <c r="AA36" s="13" cm="1">
        <f t="array" ref="AA36">_xll.BDH("CMI US Equity","XO_GL_NET_OF_TAX","FQ1 2025","FQ1 2025","Currency=USD","Period=FQ","BEST_FPERIOD_OVERRIDE=FQ","FILING_STATUS=MR","SCALING_FORMAT=MLN","Sort=A","Dates=H","DateFormat=P","Fill=—","Direction=H","UseDPDF=Y")</f>
        <v>0</v>
      </c>
      <c r="AB36" s="13" cm="1">
        <f t="array" ref="AB36">_xll.BDH("CMI US Equity","XO_GL_NET_OF_TAX","FQ2 2025","FQ2 2025","Currency=USD","Period=FQ","BEST_FPERIOD_OVERRIDE=FQ","FILING_STATUS=MR","SCALING_FORMAT=MLN","Sort=A","Dates=H","DateFormat=P","Fill=—","Direction=H","UseDPDF=Y")</f>
        <v>0</v>
      </c>
      <c r="AC36" s="13" cm="1">
        <f t="array" ref="AC36">_xll.BDH("CMI US Equity","XO_GL_NET_OF_TAX","FQ3 2025","FQ3 2025","Currency=USD","Period=FQ","BEST_FPERIOD_OVERRIDE=FQ","FILING_STATUS=MR","SCALING_FORMAT=MLN","Sort=A","Dates=H","DateFormat=P","Fill=—","Direction=H","UseDPDF=Y")</f>
        <v>0</v>
      </c>
      <c r="AD36" s="13" cm="1">
        <f t="array" ref="AD36">_xll.BDH("CMI US Equity","XO_GL_NET_OF_TAX","FQ4 2025","FQ4 2025","Currency=USD","Period=FQ","BEST_FPERIOD_OVERRIDE=FQ","FILING_STATUS=MR","SCALING_FORMAT=MLN","Sort=A","Dates=H","DateFormat=P","Fill=—","Direction=H","UseDPDF=Y")</f>
        <v>0</v>
      </c>
      <c r="AE36" s="13"/>
      <c r="AF36" s="13"/>
    </row>
    <row r="37" spans="1:32" x14ac:dyDescent="0.25">
      <c r="A37" s="10" t="s">
        <v>126</v>
      </c>
      <c r="B37" s="10" t="s">
        <v>127</v>
      </c>
      <c r="C37" s="13" cm="1">
        <f t="array" ref="C37">_xll.BDH("CMI US Equity","IS_DISCONTINUED_OPERATIONS","FQ1 2019","FQ1 2019","Currency=USD","Period=FQ","BEST_FPERIOD_OVERRIDE=FQ","FILING_STATUS=MR","SCALING_FORMAT=MLN","Sort=A","Dates=H","DateFormat=P","Fill=—","Direction=H","UseDPDF=Y")</f>
        <v>0</v>
      </c>
      <c r="D37" s="13" cm="1">
        <f t="array" ref="D37">_xll.BDH("CMI US Equity","IS_DISCONTINUED_OPERATIONS","FQ2 2019","FQ2 2019","Currency=USD","Period=FQ","BEST_FPERIOD_OVERRIDE=FQ","FILING_STATUS=MR","SCALING_FORMAT=MLN","Sort=A","Dates=H","DateFormat=P","Fill=—","Direction=H","UseDPDF=Y")</f>
        <v>0</v>
      </c>
      <c r="E37" s="13" cm="1">
        <f t="array" ref="E37">_xll.BDH("CMI US Equity","IS_DISCONTINUED_OPERATIONS","FQ3 2019","FQ3 2019","Currency=USD","Period=FQ","BEST_FPERIOD_OVERRIDE=FQ","FILING_STATUS=MR","SCALING_FORMAT=MLN","Sort=A","Dates=H","DateFormat=P","Fill=—","Direction=H","UseDPDF=Y")</f>
        <v>0</v>
      </c>
      <c r="F37" s="13" cm="1">
        <f t="array" ref="F37">_xll.BDH("CMI US Equity","IS_DISCONTINUED_OPERATIONS","FQ4 2019","FQ4 2019","Currency=USD","Period=FQ","BEST_FPERIOD_OVERRIDE=FQ","FILING_STATUS=MR","SCALING_FORMAT=MLN","Sort=A","Dates=H","DateFormat=P","Fill=—","Direction=H","UseDPDF=Y")</f>
        <v>0</v>
      </c>
      <c r="G37" s="13" cm="1">
        <f t="array" ref="G37">_xll.BDH("CMI US Equity","IS_DISCONTINUED_OPERATIONS","FQ1 2020","FQ1 2020","Currency=USD","Period=FQ","BEST_FPERIOD_OVERRIDE=FQ","FILING_STATUS=MR","SCALING_FORMAT=MLN","Sort=A","Dates=H","DateFormat=P","Fill=—","Direction=H","UseDPDF=Y")</f>
        <v>0</v>
      </c>
      <c r="H37" s="13" cm="1">
        <f t="array" ref="H37">_xll.BDH("CMI US Equity","IS_DISCONTINUED_OPERATIONS","FQ2 2020","FQ2 2020","Currency=USD","Period=FQ","BEST_FPERIOD_OVERRIDE=FQ","FILING_STATUS=MR","SCALING_FORMAT=MLN","Sort=A","Dates=H","DateFormat=P","Fill=—","Direction=H","UseDPDF=Y")</f>
        <v>0</v>
      </c>
      <c r="I37" s="13" cm="1">
        <f t="array" ref="I37">_xll.BDH("CMI US Equity","IS_DISCONTINUED_OPERATIONS","FQ3 2020","FQ3 2020","Currency=USD","Period=FQ","BEST_FPERIOD_OVERRIDE=FQ","FILING_STATUS=MR","SCALING_FORMAT=MLN","Sort=A","Dates=H","DateFormat=P","Fill=—","Direction=H","UseDPDF=Y")</f>
        <v>0</v>
      </c>
      <c r="J37" s="13" cm="1">
        <f t="array" ref="J37">_xll.BDH("CMI US Equity","IS_DISCONTINUED_OPERATIONS","FQ4 2020","FQ4 2020","Currency=USD","Period=FQ","BEST_FPERIOD_OVERRIDE=FQ","FILING_STATUS=MR","SCALING_FORMAT=MLN","Sort=A","Dates=H","DateFormat=P","Fill=—","Direction=H","UseDPDF=Y")</f>
        <v>0</v>
      </c>
      <c r="K37" s="13" cm="1">
        <f t="array" ref="K37">_xll.BDH("CMI US Equity","IS_DISCONTINUED_OPERATIONS","FQ1 2021","FQ1 2021","Currency=USD","Period=FQ","BEST_FPERIOD_OVERRIDE=FQ","FILING_STATUS=MR","SCALING_FORMAT=MLN","Sort=A","Dates=H","DateFormat=P","Fill=—","Direction=H","UseDPDF=Y")</f>
        <v>0</v>
      </c>
      <c r="L37" s="13" cm="1">
        <f t="array" ref="L37">_xll.BDH("CMI US Equity","IS_DISCONTINUED_OPERATIONS","FQ2 2021","FQ2 2021","Currency=USD","Period=FQ","BEST_FPERIOD_OVERRIDE=FQ","FILING_STATUS=MR","SCALING_FORMAT=MLN","Sort=A","Dates=H","DateFormat=P","Fill=—","Direction=H","UseDPDF=Y")</f>
        <v>0</v>
      </c>
      <c r="M37" s="13" cm="1">
        <f t="array" ref="M37">_xll.BDH("CMI US Equity","IS_DISCONTINUED_OPERATIONS","FQ3 2021","FQ3 2021","Currency=USD","Period=FQ","BEST_FPERIOD_OVERRIDE=FQ","FILING_STATUS=MR","SCALING_FORMAT=MLN","Sort=A","Dates=H","DateFormat=P","Fill=—","Direction=H","UseDPDF=Y")</f>
        <v>0</v>
      </c>
      <c r="N37" s="13" cm="1">
        <f t="array" ref="N37">_xll.BDH("CMI US Equity","IS_DISCONTINUED_OPERATIONS","FQ4 2021","FQ4 2021","Currency=USD","Period=FQ","BEST_FPERIOD_OVERRIDE=FQ","FILING_STATUS=MR","SCALING_FORMAT=MLN","Sort=A","Dates=H","DateFormat=P","Fill=—","Direction=H","UseDPDF=Y")</f>
        <v>0</v>
      </c>
      <c r="O37" s="13" cm="1">
        <f t="array" ref="O37">_xll.BDH("CMI US Equity","IS_DISCONTINUED_OPERATIONS","FQ1 2022","FQ1 2022","Currency=USD","Period=FQ","BEST_FPERIOD_OVERRIDE=FQ","FILING_STATUS=MR","SCALING_FORMAT=MLN","Sort=A","Dates=H","DateFormat=P","Fill=—","Direction=H","UseDPDF=Y")</f>
        <v>0</v>
      </c>
      <c r="P37" s="13" cm="1">
        <f t="array" ref="P37">_xll.BDH("CMI US Equity","IS_DISCONTINUED_OPERATIONS","FQ2 2022","FQ2 2022","Currency=USD","Period=FQ","BEST_FPERIOD_OVERRIDE=FQ","FILING_STATUS=MR","SCALING_FORMAT=MLN","Sort=A","Dates=H","DateFormat=P","Fill=—","Direction=H","UseDPDF=Y")</f>
        <v>0</v>
      </c>
      <c r="Q37" s="13" cm="1">
        <f t="array" ref="Q37">_xll.BDH("CMI US Equity","IS_DISCONTINUED_OPERATIONS","FQ3 2022","FQ3 2022","Currency=USD","Period=FQ","BEST_FPERIOD_OVERRIDE=FQ","FILING_STATUS=MR","SCALING_FORMAT=MLN","Sort=A","Dates=H","DateFormat=P","Fill=—","Direction=H","UseDPDF=Y")</f>
        <v>0</v>
      </c>
      <c r="R37" s="13" cm="1">
        <f t="array" ref="R37">_xll.BDH("CMI US Equity","IS_DISCONTINUED_OPERATIONS","FQ4 2022","FQ4 2022","Currency=USD","Period=FQ","BEST_FPERIOD_OVERRIDE=FQ","FILING_STATUS=MR","SCALING_FORMAT=MLN","Sort=A","Dates=H","DateFormat=P","Fill=—","Direction=H","UseDPDF=Y")</f>
        <v>0</v>
      </c>
      <c r="S37" s="13" cm="1">
        <f t="array" ref="S37">_xll.BDH("CMI US Equity","IS_DISCONTINUED_OPERATIONS","FQ1 2023","FQ1 2023","Currency=USD","Period=FQ","BEST_FPERIOD_OVERRIDE=FQ","FILING_STATUS=MR","SCALING_FORMAT=MLN","Sort=A","Dates=H","DateFormat=P","Fill=—","Direction=H","UseDPDF=Y")</f>
        <v>0</v>
      </c>
      <c r="T37" s="13" cm="1">
        <f t="array" ref="T37">_xll.BDH("CMI US Equity","IS_DISCONTINUED_OPERATIONS","FQ2 2023","FQ2 2023","Currency=USD","Period=FQ","BEST_FPERIOD_OVERRIDE=FQ","FILING_STATUS=MR","SCALING_FORMAT=MLN","Sort=A","Dates=H","DateFormat=P","Fill=—","Direction=H","UseDPDF=Y")</f>
        <v>0</v>
      </c>
      <c r="U37" s="13" cm="1">
        <f t="array" ref="U37">_xll.BDH("CMI US Equity","IS_DISCONTINUED_OPERATIONS","FQ3 2023","FQ3 2023","Currency=USD","Period=FQ","BEST_FPERIOD_OVERRIDE=FQ","FILING_STATUS=MR","SCALING_FORMAT=MLN","Sort=A","Dates=H","DateFormat=P","Fill=—","Direction=H","UseDPDF=Y")</f>
        <v>0</v>
      </c>
      <c r="V37" s="13" cm="1">
        <f t="array" ref="V37">_xll.BDH("CMI US Equity","IS_DISCONTINUED_OPERATIONS","FQ4 2023","FQ4 2023","Currency=USD","Period=FQ","BEST_FPERIOD_OVERRIDE=FQ","FILING_STATUS=MR","SCALING_FORMAT=MLN","Sort=A","Dates=H","DateFormat=P","Fill=—","Direction=H","UseDPDF=Y")</f>
        <v>0</v>
      </c>
      <c r="W37" s="13" cm="1">
        <f t="array" ref="W37">_xll.BDH("CMI US Equity","IS_DISCONTINUED_OPERATIONS","FQ1 2024","FQ1 2024","Currency=USD","Period=FQ","BEST_FPERIOD_OVERRIDE=FQ","FILING_STATUS=MR","SCALING_FORMAT=MLN","Sort=A","Dates=H","DateFormat=P","Fill=—","Direction=H","UseDPDF=Y")</f>
        <v>0</v>
      </c>
      <c r="X37" s="13" cm="1">
        <f t="array" ref="X37">_xll.BDH("CMI US Equity","IS_DISCONTINUED_OPERATIONS","FQ2 2024","FQ2 2024","Currency=USD","Period=FQ","BEST_FPERIOD_OVERRIDE=FQ","FILING_STATUS=MR","SCALING_FORMAT=MLN","Sort=A","Dates=H","DateFormat=P","Fill=—","Direction=H","UseDPDF=Y")</f>
        <v>0</v>
      </c>
      <c r="Y37" s="13" cm="1">
        <f t="array" ref="Y37">_xll.BDH("CMI US Equity","IS_DISCONTINUED_OPERATIONS","FQ3 2024","FQ3 2024","Currency=USD","Period=FQ","BEST_FPERIOD_OVERRIDE=FQ","FILING_STATUS=MR","SCALING_FORMAT=MLN","Sort=A","Dates=H","DateFormat=P","Fill=—","Direction=H","UseDPDF=Y")</f>
        <v>0</v>
      </c>
      <c r="Z37" s="13" cm="1">
        <f t="array" ref="Z37">_xll.BDH("CMI US Equity","IS_DISCONTINUED_OPERATIONS","FQ4 2024","FQ4 2024","Currency=USD","Period=FQ","BEST_FPERIOD_OVERRIDE=FQ","FILING_STATUS=MR","SCALING_FORMAT=MLN","Sort=A","Dates=H","DateFormat=P","Fill=—","Direction=H","UseDPDF=Y")</f>
        <v>0</v>
      </c>
      <c r="AA37" s="13" cm="1">
        <f t="array" ref="AA37">_xll.BDH("CMI US Equity","IS_DISCONTINUED_OPERATIONS","FQ1 2025","FQ1 2025","Currency=USD","Period=FQ","BEST_FPERIOD_OVERRIDE=FQ","FILING_STATUS=MR","SCALING_FORMAT=MLN","Sort=A","Dates=H","DateFormat=P","Fill=—","Direction=H","UseDPDF=Y")</f>
        <v>0</v>
      </c>
      <c r="AB37" s="13" cm="1">
        <f t="array" ref="AB37">_xll.BDH("CMI US Equity","IS_DISCONTINUED_OPERATIONS","FQ2 2025","FQ2 2025","Currency=USD","Period=FQ","BEST_FPERIOD_OVERRIDE=FQ","FILING_STATUS=MR","SCALING_FORMAT=MLN","Sort=A","Dates=H","DateFormat=P","Fill=—","Direction=H","UseDPDF=Y")</f>
        <v>0</v>
      </c>
      <c r="AC37" s="13" cm="1">
        <f t="array" ref="AC37">_xll.BDH("CMI US Equity","IS_DISCONTINUED_OPERATIONS","FQ3 2025","FQ3 2025","Currency=USD","Period=FQ","BEST_FPERIOD_OVERRIDE=FQ","FILING_STATUS=MR","SCALING_FORMAT=MLN","Sort=A","Dates=H","DateFormat=P","Fill=—","Direction=H","UseDPDF=Y")</f>
        <v>0</v>
      </c>
      <c r="AD37" s="13" cm="1">
        <f t="array" ref="AD37">_xll.BDH("CMI US Equity","IS_DISCONTINUED_OPERATIONS","FQ4 2025","FQ4 2025","Currency=USD","Period=FQ","BEST_FPERIOD_OVERRIDE=FQ","FILING_STATUS=MR","SCALING_FORMAT=MLN","Sort=A","Dates=H","DateFormat=P","Fill=—","Direction=H","UseDPDF=Y")</f>
        <v>0</v>
      </c>
      <c r="AE37" s="13"/>
      <c r="AF37" s="13"/>
    </row>
    <row r="38" spans="1:32" x14ac:dyDescent="0.25">
      <c r="A38" s="10" t="s">
        <v>128</v>
      </c>
      <c r="B38" s="10" t="s">
        <v>129</v>
      </c>
      <c r="C38" s="13" cm="1">
        <f t="array" ref="C38">_xll.BDH("CMI US Equity","EXTRAORD_ITEMS_ACCOUNTING_CHANGS","FQ1 2019","FQ1 2019","Currency=USD","Period=FQ","BEST_FPERIOD_OVERRIDE=FQ","FILING_STATUS=MR","SCALING_FORMAT=MLN","Sort=A","Dates=H","DateFormat=P","Fill=—","Direction=H","UseDPDF=Y")</f>
        <v>0</v>
      </c>
      <c r="D38" s="13" cm="1">
        <f t="array" ref="D38">_xll.BDH("CMI US Equity","EXTRAORD_ITEMS_ACCOUNTING_CHANGS","FQ2 2019","FQ2 2019","Currency=USD","Period=FQ","BEST_FPERIOD_OVERRIDE=FQ","FILING_STATUS=MR","SCALING_FORMAT=MLN","Sort=A","Dates=H","DateFormat=P","Fill=—","Direction=H","UseDPDF=Y")</f>
        <v>0</v>
      </c>
      <c r="E38" s="13" cm="1">
        <f t="array" ref="E38">_xll.BDH("CMI US Equity","EXTRAORD_ITEMS_ACCOUNTING_CHANGS","FQ3 2019","FQ3 2019","Currency=USD","Period=FQ","BEST_FPERIOD_OVERRIDE=FQ","FILING_STATUS=MR","SCALING_FORMAT=MLN","Sort=A","Dates=H","DateFormat=P","Fill=—","Direction=H","UseDPDF=Y")</f>
        <v>0</v>
      </c>
      <c r="F38" s="13" cm="1">
        <f t="array" ref="F38">_xll.BDH("CMI US Equity","EXTRAORD_ITEMS_ACCOUNTING_CHANGS","FQ4 2019","FQ4 2019","Currency=USD","Period=FQ","BEST_FPERIOD_OVERRIDE=FQ","FILING_STATUS=MR","SCALING_FORMAT=MLN","Sort=A","Dates=H","DateFormat=P","Fill=—","Direction=H","UseDPDF=Y")</f>
        <v>0</v>
      </c>
      <c r="G38" s="13" cm="1">
        <f t="array" ref="G38">_xll.BDH("CMI US Equity","EXTRAORD_ITEMS_ACCOUNTING_CHANGS","FQ1 2020","FQ1 2020","Currency=USD","Period=FQ","BEST_FPERIOD_OVERRIDE=FQ","FILING_STATUS=MR","SCALING_FORMAT=MLN","Sort=A","Dates=H","DateFormat=P","Fill=—","Direction=H","UseDPDF=Y")</f>
        <v>0</v>
      </c>
      <c r="H38" s="13" cm="1">
        <f t="array" ref="H38">_xll.BDH("CMI US Equity","EXTRAORD_ITEMS_ACCOUNTING_CHANGS","FQ2 2020","FQ2 2020","Currency=USD","Period=FQ","BEST_FPERIOD_OVERRIDE=FQ","FILING_STATUS=MR","SCALING_FORMAT=MLN","Sort=A","Dates=H","DateFormat=P","Fill=—","Direction=H","UseDPDF=Y")</f>
        <v>0</v>
      </c>
      <c r="I38" s="13" cm="1">
        <f t="array" ref="I38">_xll.BDH("CMI US Equity","EXTRAORD_ITEMS_ACCOUNTING_CHANGS","FQ3 2020","FQ3 2020","Currency=USD","Period=FQ","BEST_FPERIOD_OVERRIDE=FQ","FILING_STATUS=MR","SCALING_FORMAT=MLN","Sort=A","Dates=H","DateFormat=P","Fill=—","Direction=H","UseDPDF=Y")</f>
        <v>0</v>
      </c>
      <c r="J38" s="13" cm="1">
        <f t="array" ref="J38">_xll.BDH("CMI US Equity","EXTRAORD_ITEMS_ACCOUNTING_CHANGS","FQ4 2020","FQ4 2020","Currency=USD","Period=FQ","BEST_FPERIOD_OVERRIDE=FQ","FILING_STATUS=MR","SCALING_FORMAT=MLN","Sort=A","Dates=H","DateFormat=P","Fill=—","Direction=H","UseDPDF=Y")</f>
        <v>0</v>
      </c>
      <c r="K38" s="13" cm="1">
        <f t="array" ref="K38">_xll.BDH("CMI US Equity","EXTRAORD_ITEMS_ACCOUNTING_CHANGS","FQ1 2021","FQ1 2021","Currency=USD","Period=FQ","BEST_FPERIOD_OVERRIDE=FQ","FILING_STATUS=MR","SCALING_FORMAT=MLN","Sort=A","Dates=H","DateFormat=P","Fill=—","Direction=H","UseDPDF=Y")</f>
        <v>0</v>
      </c>
      <c r="L38" s="13" cm="1">
        <f t="array" ref="L38">_xll.BDH("CMI US Equity","EXTRAORD_ITEMS_ACCOUNTING_CHANGS","FQ2 2021","FQ2 2021","Currency=USD","Period=FQ","BEST_FPERIOD_OVERRIDE=FQ","FILING_STATUS=MR","SCALING_FORMAT=MLN","Sort=A","Dates=H","DateFormat=P","Fill=—","Direction=H","UseDPDF=Y")</f>
        <v>0</v>
      </c>
      <c r="M38" s="13" cm="1">
        <f t="array" ref="M38">_xll.BDH("CMI US Equity","EXTRAORD_ITEMS_ACCOUNTING_CHANGS","FQ3 2021","FQ3 2021","Currency=USD","Period=FQ","BEST_FPERIOD_OVERRIDE=FQ","FILING_STATUS=MR","SCALING_FORMAT=MLN","Sort=A","Dates=H","DateFormat=P","Fill=—","Direction=H","UseDPDF=Y")</f>
        <v>0</v>
      </c>
      <c r="N38" s="13" cm="1">
        <f t="array" ref="N38">_xll.BDH("CMI US Equity","EXTRAORD_ITEMS_ACCOUNTING_CHANGS","FQ4 2021","FQ4 2021","Currency=USD","Period=FQ","BEST_FPERIOD_OVERRIDE=FQ","FILING_STATUS=MR","SCALING_FORMAT=MLN","Sort=A","Dates=H","DateFormat=P","Fill=—","Direction=H","UseDPDF=Y")</f>
        <v>0</v>
      </c>
      <c r="O38" s="13" cm="1">
        <f t="array" ref="O38">_xll.BDH("CMI US Equity","EXTRAORD_ITEMS_ACCOUNTING_CHANGS","FQ1 2022","FQ1 2022","Currency=USD","Period=FQ","BEST_FPERIOD_OVERRIDE=FQ","FILING_STATUS=MR","SCALING_FORMAT=MLN","Sort=A","Dates=H","DateFormat=P","Fill=—","Direction=H","UseDPDF=Y")</f>
        <v>0</v>
      </c>
      <c r="P38" s="13" cm="1">
        <f t="array" ref="P38">_xll.BDH("CMI US Equity","EXTRAORD_ITEMS_ACCOUNTING_CHANGS","FQ2 2022","FQ2 2022","Currency=USD","Period=FQ","BEST_FPERIOD_OVERRIDE=FQ","FILING_STATUS=MR","SCALING_FORMAT=MLN","Sort=A","Dates=H","DateFormat=P","Fill=—","Direction=H","UseDPDF=Y")</f>
        <v>0</v>
      </c>
      <c r="Q38" s="13" cm="1">
        <f t="array" ref="Q38">_xll.BDH("CMI US Equity","EXTRAORD_ITEMS_ACCOUNTING_CHANGS","FQ3 2022","FQ3 2022","Currency=USD","Period=FQ","BEST_FPERIOD_OVERRIDE=FQ","FILING_STATUS=MR","SCALING_FORMAT=MLN","Sort=A","Dates=H","DateFormat=P","Fill=—","Direction=H","UseDPDF=Y")</f>
        <v>0</v>
      </c>
      <c r="R38" s="13" cm="1">
        <f t="array" ref="R38">_xll.BDH("CMI US Equity","EXTRAORD_ITEMS_ACCOUNTING_CHANGS","FQ4 2022","FQ4 2022","Currency=USD","Period=FQ","BEST_FPERIOD_OVERRIDE=FQ","FILING_STATUS=MR","SCALING_FORMAT=MLN","Sort=A","Dates=H","DateFormat=P","Fill=—","Direction=H","UseDPDF=Y")</f>
        <v>0</v>
      </c>
      <c r="S38" s="13" cm="1">
        <f t="array" ref="S38">_xll.BDH("CMI US Equity","EXTRAORD_ITEMS_ACCOUNTING_CHANGS","FQ1 2023","FQ1 2023","Currency=USD","Period=FQ","BEST_FPERIOD_OVERRIDE=FQ","FILING_STATUS=MR","SCALING_FORMAT=MLN","Sort=A","Dates=H","DateFormat=P","Fill=—","Direction=H","UseDPDF=Y")</f>
        <v>0</v>
      </c>
      <c r="T38" s="13" cm="1">
        <f t="array" ref="T38">_xll.BDH("CMI US Equity","EXTRAORD_ITEMS_ACCOUNTING_CHANGS","FQ2 2023","FQ2 2023","Currency=USD","Period=FQ","BEST_FPERIOD_OVERRIDE=FQ","FILING_STATUS=MR","SCALING_FORMAT=MLN","Sort=A","Dates=H","DateFormat=P","Fill=—","Direction=H","UseDPDF=Y")</f>
        <v>0</v>
      </c>
      <c r="U38" s="13" cm="1">
        <f t="array" ref="U38">_xll.BDH("CMI US Equity","EXTRAORD_ITEMS_ACCOUNTING_CHANGS","FQ3 2023","FQ3 2023","Currency=USD","Period=FQ","BEST_FPERIOD_OVERRIDE=FQ","FILING_STATUS=MR","SCALING_FORMAT=MLN","Sort=A","Dates=H","DateFormat=P","Fill=—","Direction=H","UseDPDF=Y")</f>
        <v>0</v>
      </c>
      <c r="V38" s="13" cm="1">
        <f t="array" ref="V38">_xll.BDH("CMI US Equity","EXTRAORD_ITEMS_ACCOUNTING_CHANGS","FQ4 2023","FQ4 2023","Currency=USD","Period=FQ","BEST_FPERIOD_OVERRIDE=FQ","FILING_STATUS=MR","SCALING_FORMAT=MLN","Sort=A","Dates=H","DateFormat=P","Fill=—","Direction=H","UseDPDF=Y")</f>
        <v>0</v>
      </c>
      <c r="W38" s="13" cm="1">
        <f t="array" ref="W38">_xll.BDH("CMI US Equity","EXTRAORD_ITEMS_ACCOUNTING_CHANGS","FQ1 2024","FQ1 2024","Currency=USD","Period=FQ","BEST_FPERIOD_OVERRIDE=FQ","FILING_STATUS=MR","SCALING_FORMAT=MLN","Sort=A","Dates=H","DateFormat=P","Fill=—","Direction=H","UseDPDF=Y")</f>
        <v>0</v>
      </c>
      <c r="X38" s="13" cm="1">
        <f t="array" ref="X38">_xll.BDH("CMI US Equity","EXTRAORD_ITEMS_ACCOUNTING_CHANGS","FQ2 2024","FQ2 2024","Currency=USD","Period=FQ","BEST_FPERIOD_OVERRIDE=FQ","FILING_STATUS=MR","SCALING_FORMAT=MLN","Sort=A","Dates=H","DateFormat=P","Fill=—","Direction=H","UseDPDF=Y")</f>
        <v>0</v>
      </c>
      <c r="Y38" s="13" cm="1">
        <f t="array" ref="Y38">_xll.BDH("CMI US Equity","EXTRAORD_ITEMS_ACCOUNTING_CHANGS","FQ3 2024","FQ3 2024","Currency=USD","Period=FQ","BEST_FPERIOD_OVERRIDE=FQ","FILING_STATUS=MR","SCALING_FORMAT=MLN","Sort=A","Dates=H","DateFormat=P","Fill=—","Direction=H","UseDPDF=Y")</f>
        <v>0</v>
      </c>
      <c r="Z38" s="13" cm="1">
        <f t="array" ref="Z38">_xll.BDH("CMI US Equity","EXTRAORD_ITEMS_ACCOUNTING_CHANGS","FQ4 2024","FQ4 2024","Currency=USD","Period=FQ","BEST_FPERIOD_OVERRIDE=FQ","FILING_STATUS=MR","SCALING_FORMAT=MLN","Sort=A","Dates=H","DateFormat=P","Fill=—","Direction=H","UseDPDF=Y")</f>
        <v>0</v>
      </c>
      <c r="AA38" s="13" cm="1">
        <f t="array" ref="AA38">_xll.BDH("CMI US Equity","EXTRAORD_ITEMS_ACCOUNTING_CHANGS","FQ1 2025","FQ1 2025","Currency=USD","Period=FQ","BEST_FPERIOD_OVERRIDE=FQ","FILING_STATUS=MR","SCALING_FORMAT=MLN","Sort=A","Dates=H","DateFormat=P","Fill=—","Direction=H","UseDPDF=Y")</f>
        <v>0</v>
      </c>
      <c r="AB38" s="13" cm="1">
        <f t="array" ref="AB38">_xll.BDH("CMI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C38" s="13" cm="1">
        <f t="array" ref="AC38">_xll.BDH("CMI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D38" s="13" cm="1">
        <f t="array" ref="AD38">_xll.BDH("CMI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E38" s="13"/>
      <c r="AF38" s="13"/>
    </row>
    <row r="39" spans="1:32" x14ac:dyDescent="0.25">
      <c r="A39" s="6" t="s">
        <v>130</v>
      </c>
      <c r="B39" s="6" t="s">
        <v>131</v>
      </c>
      <c r="C39" s="16" cm="1">
        <f t="array" ref="C39">_xll.BDH("CMI US Equity","NI_INCLUDING_MINORITY_INT_RATIO","FQ1 2019","FQ1 2019","Currency=USD","Period=FQ","BEST_FPERIOD_OVERRIDE=FQ","FILING_STATUS=MR","SCALING_FORMAT=MLN","FA_ADJUSTED=GAAP","Sort=A","Dates=H","DateFormat=P","Fill=—","Direction=H","UseDPDF=Y")</f>
        <v>669</v>
      </c>
      <c r="D39" s="16" cm="1">
        <f t="array" ref="D39">_xll.BDH("CMI US Equity","NI_INCLUDING_MINORITY_INT_RATIO","FQ2 2019","FQ2 2019","Currency=USD","Period=FQ","BEST_FPERIOD_OVERRIDE=FQ","FILING_STATUS=MR","SCALING_FORMAT=MLN","FA_ADJUSTED=GAAP","Sort=A","Dates=H","DateFormat=P","Fill=—","Direction=H","UseDPDF=Y")</f>
        <v>685</v>
      </c>
      <c r="E39" s="16" cm="1">
        <f t="array" ref="E39">_xll.BDH("CMI US Equity","NI_INCLUDING_MINORITY_INT_RATIO","FQ3 2019","FQ3 2019","Currency=USD","Period=FQ","BEST_FPERIOD_OVERRIDE=FQ","FILING_STATUS=MR","SCALING_FORMAT=MLN","FA_ADJUSTED=GAAP","Sort=A","Dates=H","DateFormat=P","Fill=—","Direction=H","UseDPDF=Y")</f>
        <v>616</v>
      </c>
      <c r="F39" s="16" cm="1">
        <f t="array" ref="F39">_xll.BDH("CMI US Equity","NI_INCLUDING_MINORITY_INT_RATIO","FQ4 2019","FQ4 2019","Currency=USD","Period=FQ","BEST_FPERIOD_OVERRIDE=FQ","FILING_STATUS=MR","SCALING_FORMAT=MLN","FA_ADJUSTED=GAAP","Sort=A","Dates=H","DateFormat=P","Fill=—","Direction=H","UseDPDF=Y")</f>
        <v>298</v>
      </c>
      <c r="G39" s="16" cm="1">
        <f t="array" ref="G39">_xll.BDH("CMI US Equity","NI_INCLUDING_MINORITY_INT_RATIO","FQ1 2020","FQ1 2020","Currency=USD","Period=FQ","BEST_FPERIOD_OVERRIDE=FQ","FILING_STATUS=MR","SCALING_FORMAT=MLN","FA_ADJUSTED=GAAP","Sort=A","Dates=H","DateFormat=P","Fill=—","Direction=H","UseDPDF=Y")</f>
        <v>528</v>
      </c>
      <c r="H39" s="16" cm="1">
        <f t="array" ref="H39">_xll.BDH("CMI US Equity","NI_INCLUDING_MINORITY_INT_RATIO","FQ2 2020","FQ2 2020","Currency=USD","Period=FQ","BEST_FPERIOD_OVERRIDE=FQ","FILING_STATUS=MR","SCALING_FORMAT=MLN","FA_ADJUSTED=GAAP","Sort=A","Dates=H","DateFormat=P","Fill=—","Direction=H","UseDPDF=Y")</f>
        <v>269</v>
      </c>
      <c r="I39" s="16" cm="1">
        <f t="array" ref="I39">_xll.BDH("CMI US Equity","NI_INCLUDING_MINORITY_INT_RATIO","FQ3 2020","FQ3 2020","Currency=USD","Period=FQ","BEST_FPERIOD_OVERRIDE=FQ","FILING_STATUS=MR","SCALING_FORMAT=MLN","FA_ADJUSTED=GAAP","Sort=A","Dates=H","DateFormat=P","Fill=—","Direction=H","UseDPDF=Y")</f>
        <v>504</v>
      </c>
      <c r="J39" s="16" cm="1">
        <f t="array" ref="J39">_xll.BDH("CMI US Equity","NI_INCLUDING_MINORITY_INT_RATIO","FQ4 2020","FQ4 2020","Currency=USD","Period=FQ","BEST_FPERIOD_OVERRIDE=FQ","FILING_STATUS=MR","SCALING_FORMAT=MLN","FA_ADJUSTED=GAAP","Sort=A","Dates=H","DateFormat=P","Fill=—","Direction=H","UseDPDF=Y")</f>
        <v>510</v>
      </c>
      <c r="K39" s="16" cm="1">
        <f t="array" ref="K39">_xll.BDH("CMI US Equity","NI_INCLUDING_MINORITY_INT_RATIO","FQ1 2021","FQ1 2021","Currency=USD","Period=FQ","BEST_FPERIOD_OVERRIDE=FQ","FILING_STATUS=MR","SCALING_FORMAT=MLN","FA_ADJUSTED=GAAP","Sort=A","Dates=H","DateFormat=P","Fill=—","Direction=H","UseDPDF=Y")</f>
        <v>611</v>
      </c>
      <c r="L39" s="16" cm="1">
        <f t="array" ref="L39">_xll.BDH("CMI US Equity","NI_INCLUDING_MINORITY_INT_RATIO","FQ2 2021","FQ2 2021","Currency=USD","Period=FQ","BEST_FPERIOD_OVERRIDE=FQ","FILING_STATUS=MR","SCALING_FORMAT=MLN","FA_ADJUSTED=GAAP","Sort=A","Dates=H","DateFormat=P","Fill=—","Direction=H","UseDPDF=Y")</f>
        <v>612</v>
      </c>
      <c r="M39" s="16" cm="1">
        <f t="array" ref="M39">_xll.BDH("CMI US Equity","NI_INCLUDING_MINORITY_INT_RATIO","FQ3 2021","FQ3 2021","Currency=USD","Period=FQ","BEST_FPERIOD_OVERRIDE=FQ","FILING_STATUS=MR","SCALING_FORMAT=MLN","FA_ADJUSTED=GAAP","Sort=A","Dates=H","DateFormat=P","Fill=—","Direction=H","UseDPDF=Y")</f>
        <v>541</v>
      </c>
      <c r="N39" s="16" cm="1">
        <f t="array" ref="N39">_xll.BDH("CMI US Equity","NI_INCLUDING_MINORITY_INT_RATIO","FQ4 2021","FQ4 2021","Currency=USD","Period=FQ","BEST_FPERIOD_OVERRIDE=FQ","FILING_STATUS=MR","SCALING_FORMAT=MLN","FA_ADJUSTED=GAAP","Sort=A","Dates=H","DateFormat=P","Fill=—","Direction=H","UseDPDF=Y")</f>
        <v>400</v>
      </c>
      <c r="O39" s="16" cm="1">
        <f t="array" ref="O39">_xll.BDH("CMI US Equity","NI_INCLUDING_MINORITY_INT_RATIO","FQ1 2022","FQ1 2022","Currency=USD","Period=FQ","BEST_FPERIOD_OVERRIDE=FQ","FILING_STATUS=MR","SCALING_FORMAT=MLN","FA_ADJUSTED=GAAP","Sort=A","Dates=H","DateFormat=P","Fill=—","Direction=H","UseDPDF=Y")</f>
        <v>423</v>
      </c>
      <c r="P39" s="16" cm="1">
        <f t="array" ref="P39">_xll.BDH("CMI US Equity","NI_INCLUDING_MINORITY_INT_RATIO","FQ2 2022","FQ2 2022","Currency=USD","Period=FQ","BEST_FPERIOD_OVERRIDE=FQ","FILING_STATUS=MR","SCALING_FORMAT=MLN","FA_ADJUSTED=GAAP","Sort=A","Dates=H","DateFormat=P","Fill=—","Direction=H","UseDPDF=Y")</f>
        <v>707</v>
      </c>
      <c r="Q39" s="16" cm="1">
        <f t="array" ref="Q39">_xll.BDH("CMI US Equity","NI_INCLUDING_MINORITY_INT_RATIO","FQ3 2022","FQ3 2022","Currency=USD","Period=FQ","BEST_FPERIOD_OVERRIDE=FQ","FILING_STATUS=MR","SCALING_FORMAT=MLN","FA_ADJUSTED=GAAP","Sort=A","Dates=H","DateFormat=P","Fill=—","Direction=H","UseDPDF=Y")</f>
        <v>409</v>
      </c>
      <c r="R39" s="16" cm="1">
        <f t="array" ref="R39">_xll.BDH("CMI US Equity","NI_INCLUDING_MINORITY_INT_RATIO","FQ4 2022","FQ4 2022","Currency=USD","Period=FQ","BEST_FPERIOD_OVERRIDE=FQ","FILING_STATUS=MR","SCALING_FORMAT=MLN","FA_ADJUSTED=GAAP","Sort=A","Dates=H","DateFormat=P","Fill=—","Direction=H","UseDPDF=Y")</f>
        <v>644</v>
      </c>
      <c r="S39" s="16" cm="1">
        <f t="array" ref="S39">_xll.BDH("CMI US Equity","NI_INCLUDING_MINORITY_INT_RATIO","FQ1 2023","FQ1 2023","Currency=USD","Period=FQ","BEST_FPERIOD_OVERRIDE=FQ","FILING_STATUS=MR","SCALING_FORMAT=MLN","FA_ADJUSTED=GAAP","Sort=A","Dates=H","DateFormat=P","Fill=—","Direction=H","UseDPDF=Y")</f>
        <v>806</v>
      </c>
      <c r="T39" s="16" cm="1">
        <f t="array" ref="T39">_xll.BDH("CMI US Equity","NI_INCLUDING_MINORITY_INT_RATIO","FQ2 2023","FQ2 2023","Currency=USD","Period=FQ","BEST_FPERIOD_OVERRIDE=FQ","FILING_STATUS=MR","SCALING_FORMAT=MLN","FA_ADJUSTED=GAAP","Sort=A","Dates=H","DateFormat=P","Fill=—","Direction=H","UseDPDF=Y")</f>
        <v>737</v>
      </c>
      <c r="U39" s="16" cm="1">
        <f t="array" ref="U39">_xll.BDH("CMI US Equity","NI_INCLUDING_MINORITY_INT_RATIO","FQ3 2023","FQ3 2023","Currency=USD","Period=FQ","BEST_FPERIOD_OVERRIDE=FQ","FILING_STATUS=MR","SCALING_FORMAT=MLN","FA_ADJUSTED=GAAP","Sort=A","Dates=H","DateFormat=P","Fill=—","Direction=H","UseDPDF=Y")</f>
        <v>690</v>
      </c>
      <c r="V39" s="16" cm="1">
        <f t="array" ref="V39">_xll.BDH("CMI US Equity","NI_INCLUDING_MINORITY_INT_RATIO","FQ4 2023","FQ4 2023","Currency=USD","Period=FQ","BEST_FPERIOD_OVERRIDE=FQ","FILING_STATUS=MR","SCALING_FORMAT=MLN","FA_ADJUSTED=GAAP","Sort=A","Dates=H","DateFormat=P","Fill=—","Direction=H","UseDPDF=Y")</f>
        <v>-1393</v>
      </c>
      <c r="W39" s="16" cm="1">
        <f t="array" ref="W39">_xll.BDH("CMI US Equity","NI_INCLUDING_MINORITY_INT_RATIO","FQ1 2024","FQ1 2024","Currency=USD","Period=FQ","BEST_FPERIOD_OVERRIDE=FQ","FILING_STATUS=MR","SCALING_FORMAT=MLN","FA_ADJUSTED=GAAP","Sort=A","Dates=H","DateFormat=P","Fill=—","Direction=H","UseDPDF=Y")</f>
        <v>2028</v>
      </c>
      <c r="X39" s="16" cm="1">
        <f t="array" ref="X39">_xll.BDH("CMI US Equity","NI_INCLUDING_MINORITY_INT_RATIO","FQ2 2024","FQ2 2024","Currency=USD","Period=FQ","BEST_FPERIOD_OVERRIDE=FQ","FILING_STATUS=MR","SCALING_FORMAT=MLN","FA_ADJUSTED=GAAP","Sort=A","Dates=H","DateFormat=P","Fill=—","Direction=H","UseDPDF=Y")</f>
        <v>752</v>
      </c>
      <c r="Y39" s="16" cm="1">
        <f t="array" ref="Y39">_xll.BDH("CMI US Equity","NI_INCLUDING_MINORITY_INT_RATIO","FQ3 2024","FQ3 2024","Currency=USD","Period=FQ","BEST_FPERIOD_OVERRIDE=FQ","FILING_STATUS=MR","SCALING_FORMAT=MLN","FA_ADJUSTED=GAAP","Sort=A","Dates=H","DateFormat=P","Fill=—","Direction=H","UseDPDF=Y")</f>
        <v>843</v>
      </c>
      <c r="Z39" s="16" cm="1">
        <f t="array" ref="Z39">_xll.BDH("CMI US Equity","NI_INCLUDING_MINORITY_INT_RATIO","FQ4 2024","FQ4 2024","Currency=USD","Period=FQ","BEST_FPERIOD_OVERRIDE=FQ","FILING_STATUS=MR","SCALING_FORMAT=MLN","FA_ADJUSTED=GAAP","Sort=A","Dates=H","DateFormat=P","Fill=—","Direction=H","UseDPDF=Y")</f>
        <v>445</v>
      </c>
      <c r="AA39" s="16" cm="1">
        <f t="array" ref="AA39">_xll.BDH("CMI US Equity","NI_INCLUDING_MINORITY_INT_RATIO","FQ1 2025","FQ1 2025","Currency=USD","Period=FQ","BEST_FPERIOD_OVERRIDE=FQ","FILING_STATUS=MR","SCALING_FORMAT=MLN","FA_ADJUSTED=GAAP","Sort=A","Dates=H","DateFormat=P","Fill=—","Direction=H","UseDPDF=Y")</f>
        <v>850</v>
      </c>
      <c r="AB39" s="16" cm="1">
        <f t="array" ref="AB39">_xll.BDH("CMI US Equity","NI_INCLUDING_MINORITY_INT_RATIO","FQ2 2025","FQ2 2025","Currency=USD","Period=FQ","BEST_FPERIOD_OVERRIDE=FQ","FILING_STATUS=MR","SCALING_FORMAT=MLN","FA_ADJUSTED=GAAP","Sort=A","Dates=H","DateFormat=P","Fill=—","Direction=H","UseDPDF=Y")</f>
        <v>928</v>
      </c>
      <c r="AC39" s="16" cm="1">
        <f t="array" ref="AC39">_xll.BDH("CMI US Equity","NI_INCLUDING_MINORITY_INT_RATIO","FQ3 2025","FQ3 2025","Currency=USD","Period=FQ","BEST_FPERIOD_OVERRIDE=FQ","FILING_STATUS=MR","SCALING_FORMAT=MLN","FA_ADJUSTED=GAAP","Sort=A","Dates=H","DateFormat=P","Fill=—","Direction=H","UseDPDF=Y")</f>
        <v>559</v>
      </c>
      <c r="AD39" s="16" cm="1">
        <f t="array" ref="AD39">_xll.BDH("CMI US Equity","NI_INCLUDING_MINORITY_INT_RATIO","FQ4 2025","FQ4 2025","Currency=USD","Period=FQ","BEST_FPERIOD_OVERRIDE=FQ","FILING_STATUS=MR","SCALING_FORMAT=MLN","FA_ADJUSTED=GAAP","Sort=A","Dates=H","DateFormat=P","Fill=—","Direction=H","UseDPDF=Y")</f>
        <v>620</v>
      </c>
      <c r="AE39" s="16"/>
      <c r="AF39" s="16"/>
    </row>
    <row r="40" spans="1:32" x14ac:dyDescent="0.25">
      <c r="A40" s="10" t="s">
        <v>132</v>
      </c>
      <c r="B40" s="10" t="s">
        <v>133</v>
      </c>
      <c r="C40" s="13" cm="1">
        <f t="array" ref="C40">_xll.BDH("CMI US Equity","MIN_NONCONTROL_INTEREST_CREDITS","FQ1 2019","FQ1 2019","Currency=USD","Period=FQ","BEST_FPERIOD_OVERRIDE=FQ","FILING_STATUS=MR","SCALING_FORMAT=MLN","FA_ADJUSTED=GAAP","Sort=A","Dates=H","DateFormat=P","Fill=—","Direction=H","UseDPDF=Y")</f>
        <v>6</v>
      </c>
      <c r="D40" s="13" cm="1">
        <f t="array" ref="D40">_xll.BDH("CMI US Equity","MIN_NONCONTROL_INTEREST_CREDITS","FQ2 2019","FQ2 2019","Currency=USD","Period=FQ","BEST_FPERIOD_OVERRIDE=FQ","FILING_STATUS=MR","SCALING_FORMAT=MLN","FA_ADJUSTED=GAAP","Sort=A","Dates=H","DateFormat=P","Fill=—","Direction=H","UseDPDF=Y")</f>
        <v>10</v>
      </c>
      <c r="E40" s="13" cm="1">
        <f t="array" ref="E40">_xll.BDH("CMI US Equity","MIN_NONCONTROL_INTEREST_CREDITS","FQ3 2019","FQ3 2019","Currency=USD","Period=FQ","BEST_FPERIOD_OVERRIDE=FQ","FILING_STATUS=MR","SCALING_FORMAT=MLN","FA_ADJUSTED=GAAP","Sort=A","Dates=H","DateFormat=P","Fill=—","Direction=H","UseDPDF=Y")</f>
        <v>-6</v>
      </c>
      <c r="F40" s="13" cm="1">
        <f t="array" ref="F40">_xll.BDH("CMI US Equity","MIN_NONCONTROL_INTEREST_CREDITS","FQ4 2019","FQ4 2019","Currency=USD","Period=FQ","BEST_FPERIOD_OVERRIDE=FQ","FILING_STATUS=MR","SCALING_FORMAT=MLN","FA_ADJUSTED=GAAP","Sort=A","Dates=H","DateFormat=P","Fill=—","Direction=H","UseDPDF=Y")</f>
        <v>-2</v>
      </c>
      <c r="G40" s="13" cm="1">
        <f t="array" ref="G40">_xll.BDH("CMI US Equity","MIN_NONCONTROL_INTEREST_CREDITS","FQ1 2020","FQ1 2020","Currency=USD","Period=FQ","BEST_FPERIOD_OVERRIDE=FQ","FILING_STATUS=MR","SCALING_FORMAT=MLN","FA_ADJUSTED=GAAP","Sort=A","Dates=H","DateFormat=P","Fill=—","Direction=H","UseDPDF=Y")</f>
        <v>17</v>
      </c>
      <c r="H40" s="13" cm="1">
        <f t="array" ref="H40">_xll.BDH("CMI US Equity","MIN_NONCONTROL_INTEREST_CREDITS","FQ2 2020","FQ2 2020","Currency=USD","Period=FQ","BEST_FPERIOD_OVERRIDE=FQ","FILING_STATUS=MR","SCALING_FORMAT=MLN","FA_ADJUSTED=GAAP","Sort=A","Dates=H","DateFormat=P","Fill=—","Direction=H","UseDPDF=Y")</f>
        <v>-7</v>
      </c>
      <c r="I40" s="13" cm="1">
        <f t="array" ref="I40">_xll.BDH("CMI US Equity","MIN_NONCONTROL_INTEREST_CREDITS","FQ3 2020","FQ3 2020","Currency=USD","Period=FQ","BEST_FPERIOD_OVERRIDE=FQ","FILING_STATUS=MR","SCALING_FORMAT=MLN","FA_ADJUSTED=GAAP","Sort=A","Dates=H","DateFormat=P","Fill=—","Direction=H","UseDPDF=Y")</f>
        <v>3</v>
      </c>
      <c r="J40" s="13" cm="1">
        <f t="array" ref="J40">_xll.BDH("CMI US Equity","MIN_NONCONTROL_INTEREST_CREDITS","FQ4 2020","FQ4 2020","Currency=USD","Period=FQ","BEST_FPERIOD_OVERRIDE=FQ","FILING_STATUS=MR","SCALING_FORMAT=MLN","FA_ADJUSTED=GAAP","Sort=A","Dates=H","DateFormat=P","Fill=—","Direction=H","UseDPDF=Y")</f>
        <v>9</v>
      </c>
      <c r="K40" s="13" cm="1">
        <f t="array" ref="K40">_xll.BDH("CMI US Equity","MIN_NONCONTROL_INTEREST_CREDITS","FQ1 2021","FQ1 2021","Currency=USD","Period=FQ","BEST_FPERIOD_OVERRIDE=FQ","FILING_STATUS=MR","SCALING_FORMAT=MLN","FA_ADJUSTED=GAAP","Sort=A","Dates=H","DateFormat=P","Fill=—","Direction=H","UseDPDF=Y")</f>
        <v>8</v>
      </c>
      <c r="L40" s="13" cm="1">
        <f t="array" ref="L40">_xll.BDH("CMI US Equity","MIN_NONCONTROL_INTEREST_CREDITS","FQ2 2021","FQ2 2021","Currency=USD","Period=FQ","BEST_FPERIOD_OVERRIDE=FQ","FILING_STATUS=MR","SCALING_FORMAT=MLN","FA_ADJUSTED=GAAP","Sort=A","Dates=H","DateFormat=P","Fill=—","Direction=H","UseDPDF=Y")</f>
        <v>12</v>
      </c>
      <c r="M40" s="13" cm="1">
        <f t="array" ref="M40">_xll.BDH("CMI US Equity","MIN_NONCONTROL_INTEREST_CREDITS","FQ3 2021","FQ3 2021","Currency=USD","Period=FQ","BEST_FPERIOD_OVERRIDE=FQ","FILING_STATUS=MR","SCALING_FORMAT=MLN","FA_ADJUSTED=GAAP","Sort=A","Dates=H","DateFormat=P","Fill=—","Direction=H","UseDPDF=Y")</f>
        <v>7</v>
      </c>
      <c r="N40" s="13" cm="1">
        <f t="array" ref="N40">_xll.BDH("CMI US Equity","MIN_NONCONTROL_INTEREST_CREDITS","FQ4 2021","FQ4 2021","Currency=USD","Period=FQ","BEST_FPERIOD_OVERRIDE=FQ","FILING_STATUS=MR","SCALING_FORMAT=MLN","FA_ADJUSTED=GAAP","Sort=A","Dates=H","DateFormat=P","Fill=—","Direction=H","UseDPDF=Y")</f>
        <v>6</v>
      </c>
      <c r="O40" s="13" cm="1">
        <f t="array" ref="O40">_xll.BDH("CMI US Equity","MIN_NONCONTROL_INTEREST_CREDITS","FQ1 2022","FQ1 2022","Currency=USD","Period=FQ","BEST_FPERIOD_OVERRIDE=FQ","FILING_STATUS=MR","SCALING_FORMAT=MLN","FA_ADJUSTED=GAAP","Sort=A","Dates=H","DateFormat=P","Fill=—","Direction=H","UseDPDF=Y")</f>
        <v>5</v>
      </c>
      <c r="P40" s="13" cm="1">
        <f t="array" ref="P40">_xll.BDH("CMI US Equity","MIN_NONCONTROL_INTEREST_CREDITS","FQ2 2022","FQ2 2022","Currency=USD","Period=FQ","BEST_FPERIOD_OVERRIDE=FQ","FILING_STATUS=MR","SCALING_FORMAT=MLN","FA_ADJUSTED=GAAP","Sort=A","Dates=H","DateFormat=P","Fill=—","Direction=H","UseDPDF=Y")</f>
        <v>5</v>
      </c>
      <c r="Q40" s="13" cm="1">
        <f t="array" ref="Q40">_xll.BDH("CMI US Equity","MIN_NONCONTROL_INTEREST_CREDITS","FQ3 2022","FQ3 2022","Currency=USD","Period=FQ","BEST_FPERIOD_OVERRIDE=FQ","FILING_STATUS=MR","SCALING_FORMAT=MLN","FA_ADJUSTED=GAAP","Sort=A","Dates=H","DateFormat=P","Fill=—","Direction=H","UseDPDF=Y")</f>
        <v>9</v>
      </c>
      <c r="R40" s="13" cm="1">
        <f t="array" ref="R40">_xll.BDH("CMI US Equity","MIN_NONCONTROL_INTEREST_CREDITS","FQ4 2022","FQ4 2022","Currency=USD","Period=FQ","BEST_FPERIOD_OVERRIDE=FQ","FILING_STATUS=MR","SCALING_FORMAT=MLN","FA_ADJUSTED=GAAP","Sort=A","Dates=H","DateFormat=P","Fill=—","Direction=H","UseDPDF=Y")</f>
        <v>13</v>
      </c>
      <c r="S40" s="13" cm="1">
        <f t="array" ref="S40">_xll.BDH("CMI US Equity","MIN_NONCONTROL_INTEREST_CREDITS","FQ1 2023","FQ1 2023","Currency=USD","Period=FQ","BEST_FPERIOD_OVERRIDE=FQ","FILING_STATUS=MR","SCALING_FORMAT=MLN","FA_ADJUSTED=GAAP","Sort=A","Dates=H","DateFormat=P","Fill=—","Direction=H","UseDPDF=Y")</f>
        <v>16</v>
      </c>
      <c r="T40" s="13" cm="1">
        <f t="array" ref="T40">_xll.BDH("CMI US Equity","MIN_NONCONTROL_INTEREST_CREDITS","FQ2 2023","FQ2 2023","Currency=USD","Period=FQ","BEST_FPERIOD_OVERRIDE=FQ","FILING_STATUS=MR","SCALING_FORMAT=MLN","FA_ADJUSTED=GAAP","Sort=A","Dates=H","DateFormat=P","Fill=—","Direction=H","UseDPDF=Y")</f>
        <v>17</v>
      </c>
      <c r="U40" s="13" cm="1">
        <f t="array" ref="U40">_xll.BDH("CMI US Equity","MIN_NONCONTROL_INTEREST_CREDITS","FQ3 2023","FQ3 2023","Currency=USD","Period=FQ","BEST_FPERIOD_OVERRIDE=FQ","FILING_STATUS=MR","SCALING_FORMAT=MLN","FA_ADJUSTED=GAAP","Sort=A","Dates=H","DateFormat=P","Fill=—","Direction=H","UseDPDF=Y")</f>
        <v>34</v>
      </c>
      <c r="V40" s="13" cm="1">
        <f t="array" ref="V40">_xll.BDH("CMI US Equity","MIN_NONCONTROL_INTEREST_CREDITS","FQ4 2023","FQ4 2023","Currency=USD","Period=FQ","BEST_FPERIOD_OVERRIDE=FQ","FILING_STATUS=MR","SCALING_FORMAT=MLN","FA_ADJUSTED=GAAP","Sort=A","Dates=H","DateFormat=P","Fill=—","Direction=H","UseDPDF=Y")</f>
        <v>38</v>
      </c>
      <c r="W40" s="13" cm="1">
        <f t="array" ref="W40">_xll.BDH("CMI US Equity","MIN_NONCONTROL_INTEREST_CREDITS","FQ1 2024","FQ1 2024","Currency=USD","Period=FQ","BEST_FPERIOD_OVERRIDE=FQ","FILING_STATUS=MR","SCALING_FORMAT=MLN","FA_ADJUSTED=GAAP","Sort=A","Dates=H","DateFormat=P","Fill=—","Direction=H","UseDPDF=Y")</f>
        <v>35</v>
      </c>
      <c r="X40" s="13" cm="1">
        <f t="array" ref="X40">_xll.BDH("CMI US Equity","MIN_NONCONTROL_INTEREST_CREDITS","FQ2 2024","FQ2 2024","Currency=USD","Period=FQ","BEST_FPERIOD_OVERRIDE=FQ","FILING_STATUS=MR","SCALING_FORMAT=MLN","FA_ADJUSTED=GAAP","Sort=A","Dates=H","DateFormat=P","Fill=—","Direction=H","UseDPDF=Y")</f>
        <v>26</v>
      </c>
      <c r="Y40" s="13" cm="1">
        <f t="array" ref="Y40">_xll.BDH("CMI US Equity","MIN_NONCONTROL_INTEREST_CREDITS","FQ3 2024","FQ3 2024","Currency=USD","Period=FQ","BEST_FPERIOD_OVERRIDE=FQ","FILING_STATUS=MR","SCALING_FORMAT=MLN","FA_ADJUSTED=GAAP","Sort=A","Dates=H","DateFormat=P","Fill=—","Direction=H","UseDPDF=Y")</f>
        <v>34</v>
      </c>
      <c r="Z40" s="13" cm="1">
        <f t="array" ref="Z40">_xll.BDH("CMI US Equity","MIN_NONCONTROL_INTEREST_CREDITS","FQ4 2024","FQ4 2024","Currency=USD","Period=FQ","BEST_FPERIOD_OVERRIDE=FQ","FILING_STATUS=MR","SCALING_FORMAT=MLN","FA_ADJUSTED=GAAP","Sort=A","Dates=H","DateFormat=P","Fill=—","Direction=H","UseDPDF=Y")</f>
        <v>27</v>
      </c>
      <c r="AA40" s="13" cm="1">
        <f t="array" ref="AA40">_xll.BDH("CMI US Equity","MIN_NONCONTROL_INTEREST_CREDITS","FQ1 2025","FQ1 2025","Currency=USD","Period=FQ","BEST_FPERIOD_OVERRIDE=FQ","FILING_STATUS=MR","SCALING_FORMAT=MLN","FA_ADJUSTED=GAAP","Sort=A","Dates=H","DateFormat=P","Fill=—","Direction=H","UseDPDF=Y")</f>
        <v>26</v>
      </c>
      <c r="AB40" s="13" cm="1">
        <f t="array" ref="AB40">_xll.BDH("CMI US Equity","MIN_NONCONTROL_INTEREST_CREDITS","FQ2 2025","FQ2 2025","Currency=USD","Period=FQ","BEST_FPERIOD_OVERRIDE=FQ","FILING_STATUS=MR","SCALING_FORMAT=MLN","FA_ADJUSTED=GAAP","Sort=A","Dates=H","DateFormat=P","Fill=—","Direction=H","UseDPDF=Y")</f>
        <v>38</v>
      </c>
      <c r="AC40" s="13" cm="1">
        <f t="array" ref="AC40">_xll.BDH("CMI US Equity","MIN_NONCONTROL_INTEREST_CREDITS","FQ3 2025","FQ3 2025","Currency=USD","Period=FQ","BEST_FPERIOD_OVERRIDE=FQ","FILING_STATUS=MR","SCALING_FORMAT=MLN","FA_ADJUSTED=GAAP","Sort=A","Dates=H","DateFormat=P","Fill=—","Direction=H","UseDPDF=Y")</f>
        <v>23</v>
      </c>
      <c r="AD40" s="13" cm="1">
        <f t="array" ref="AD40">_xll.BDH("CMI US Equity","MIN_NONCONTROL_INTEREST_CREDITS","FQ4 2025","FQ4 2025","Currency=USD","Period=FQ","BEST_FPERIOD_OVERRIDE=FQ","FILING_STATUS=MR","SCALING_FORMAT=MLN","FA_ADJUSTED=GAAP","Sort=A","Dates=H","DateFormat=P","Fill=—","Direction=H","UseDPDF=Y")</f>
        <v>27</v>
      </c>
      <c r="AE40" s="13"/>
      <c r="AF40" s="13"/>
    </row>
    <row r="41" spans="1:32" x14ac:dyDescent="0.25">
      <c r="A41" s="6" t="s">
        <v>134</v>
      </c>
      <c r="B41" s="6" t="s">
        <v>135</v>
      </c>
      <c r="C41" s="16" cm="1">
        <f t="array" ref="C41">_xll.BDH("CMI US Equity","NET_INCOME","FQ1 2019","FQ1 2019","Currency=USD","Period=FQ","BEST_FPERIOD_OVERRIDE=FQ","FILING_STATUS=MR","SCALING_FORMAT=MLN","FA_ADJUSTED=GAAP","Sort=A","Dates=H","DateFormat=P","Fill=—","Direction=H","UseDPDF=Y")</f>
        <v>663</v>
      </c>
      <c r="D41" s="16" cm="1">
        <f t="array" ref="D41">_xll.BDH("CMI US Equity","NET_INCOME","FQ2 2019","FQ2 2019","Currency=USD","Period=FQ","BEST_FPERIOD_OVERRIDE=FQ","FILING_STATUS=MR","SCALING_FORMAT=MLN","FA_ADJUSTED=GAAP","Sort=A","Dates=H","DateFormat=P","Fill=—","Direction=H","UseDPDF=Y")</f>
        <v>675</v>
      </c>
      <c r="E41" s="16" cm="1">
        <f t="array" ref="E41">_xll.BDH("CMI US Equity","NET_INCOME","FQ3 2019","FQ3 2019","Currency=USD","Period=FQ","BEST_FPERIOD_OVERRIDE=FQ","FILING_STATUS=MR","SCALING_FORMAT=MLN","FA_ADJUSTED=GAAP","Sort=A","Dates=H","DateFormat=P","Fill=—","Direction=H","UseDPDF=Y")</f>
        <v>622</v>
      </c>
      <c r="F41" s="16" cm="1">
        <f t="array" ref="F41">_xll.BDH("CMI US Equity","NET_INCOME","FQ4 2019","FQ4 2019","Currency=USD","Period=FQ","BEST_FPERIOD_OVERRIDE=FQ","FILING_STATUS=MR","SCALING_FORMAT=MLN","FA_ADJUSTED=GAAP","Sort=A","Dates=H","DateFormat=P","Fill=—","Direction=H","UseDPDF=Y")</f>
        <v>300</v>
      </c>
      <c r="G41" s="16" cm="1">
        <f t="array" ref="G41">_xll.BDH("CMI US Equity","NET_INCOME","FQ1 2020","FQ1 2020","Currency=USD","Period=FQ","BEST_FPERIOD_OVERRIDE=FQ","FILING_STATUS=MR","SCALING_FORMAT=MLN","FA_ADJUSTED=GAAP","Sort=A","Dates=H","DateFormat=P","Fill=—","Direction=H","UseDPDF=Y")</f>
        <v>511</v>
      </c>
      <c r="H41" s="16" cm="1">
        <f t="array" ref="H41">_xll.BDH("CMI US Equity","NET_INCOME","FQ2 2020","FQ2 2020","Currency=USD","Period=FQ","BEST_FPERIOD_OVERRIDE=FQ","FILING_STATUS=MR","SCALING_FORMAT=MLN","FA_ADJUSTED=GAAP","Sort=A","Dates=H","DateFormat=P","Fill=—","Direction=H","UseDPDF=Y")</f>
        <v>276</v>
      </c>
      <c r="I41" s="16" cm="1">
        <f t="array" ref="I41">_xll.BDH("CMI US Equity","NET_INCOME","FQ3 2020","FQ3 2020","Currency=USD","Period=FQ","BEST_FPERIOD_OVERRIDE=FQ","FILING_STATUS=MR","SCALING_FORMAT=MLN","FA_ADJUSTED=GAAP","Sort=A","Dates=H","DateFormat=P","Fill=—","Direction=H","UseDPDF=Y")</f>
        <v>501</v>
      </c>
      <c r="J41" s="16" cm="1">
        <f t="array" ref="J41">_xll.BDH("CMI US Equity","NET_INCOME","FQ4 2020","FQ4 2020","Currency=USD","Period=FQ","BEST_FPERIOD_OVERRIDE=FQ","FILING_STATUS=MR","SCALING_FORMAT=MLN","FA_ADJUSTED=GAAP","Sort=A","Dates=H","DateFormat=P","Fill=—","Direction=H","UseDPDF=Y")</f>
        <v>501</v>
      </c>
      <c r="K41" s="16" cm="1">
        <f t="array" ref="K41">_xll.BDH("CMI US Equity","NET_INCOME","FQ1 2021","FQ1 2021","Currency=USD","Period=FQ","BEST_FPERIOD_OVERRIDE=FQ","FILING_STATUS=MR","SCALING_FORMAT=MLN","FA_ADJUSTED=GAAP","Sort=A","Dates=H","DateFormat=P","Fill=—","Direction=H","UseDPDF=Y")</f>
        <v>603</v>
      </c>
      <c r="L41" s="16" cm="1">
        <f t="array" ref="L41">_xll.BDH("CMI US Equity","NET_INCOME","FQ2 2021","FQ2 2021","Currency=USD","Period=FQ","BEST_FPERIOD_OVERRIDE=FQ","FILING_STATUS=MR","SCALING_FORMAT=MLN","FA_ADJUSTED=GAAP","Sort=A","Dates=H","DateFormat=P","Fill=—","Direction=H","UseDPDF=Y")</f>
        <v>600</v>
      </c>
      <c r="M41" s="16" cm="1">
        <f t="array" ref="M41">_xll.BDH("CMI US Equity","NET_INCOME","FQ3 2021","FQ3 2021","Currency=USD","Period=FQ","BEST_FPERIOD_OVERRIDE=FQ","FILING_STATUS=MR","SCALING_FORMAT=MLN","FA_ADJUSTED=GAAP","Sort=A","Dates=H","DateFormat=P","Fill=—","Direction=H","UseDPDF=Y")</f>
        <v>534</v>
      </c>
      <c r="N41" s="16" cm="1">
        <f t="array" ref="N41">_xll.BDH("CMI US Equity","NET_INCOME","FQ4 2021","FQ4 2021","Currency=USD","Period=FQ","BEST_FPERIOD_OVERRIDE=FQ","FILING_STATUS=MR","SCALING_FORMAT=MLN","FA_ADJUSTED=GAAP","Sort=A","Dates=H","DateFormat=P","Fill=—","Direction=H","UseDPDF=Y")</f>
        <v>394</v>
      </c>
      <c r="O41" s="16" cm="1">
        <f t="array" ref="O41">_xll.BDH("CMI US Equity","NET_INCOME","FQ1 2022","FQ1 2022","Currency=USD","Period=FQ","BEST_FPERIOD_OVERRIDE=FQ","FILING_STATUS=MR","SCALING_FORMAT=MLN","FA_ADJUSTED=GAAP","Sort=A","Dates=H","DateFormat=P","Fill=—","Direction=H","UseDPDF=Y")</f>
        <v>418</v>
      </c>
      <c r="P41" s="16" cm="1">
        <f t="array" ref="P41">_xll.BDH("CMI US Equity","NET_INCOME","FQ2 2022","FQ2 2022","Currency=USD","Period=FQ","BEST_FPERIOD_OVERRIDE=FQ","FILING_STATUS=MR","SCALING_FORMAT=MLN","FA_ADJUSTED=GAAP","Sort=A","Dates=H","DateFormat=P","Fill=—","Direction=H","UseDPDF=Y")</f>
        <v>702</v>
      </c>
      <c r="Q41" s="16" cm="1">
        <f t="array" ref="Q41">_xll.BDH("CMI US Equity","NET_INCOME","FQ3 2022","FQ3 2022","Currency=USD","Period=FQ","BEST_FPERIOD_OVERRIDE=FQ","FILING_STATUS=MR","SCALING_FORMAT=MLN","FA_ADJUSTED=GAAP","Sort=A","Dates=H","DateFormat=P","Fill=—","Direction=H","UseDPDF=Y")</f>
        <v>400</v>
      </c>
      <c r="R41" s="16" cm="1">
        <f t="array" ref="R41">_xll.BDH("CMI US Equity","NET_INCOME","FQ4 2022","FQ4 2022","Currency=USD","Period=FQ","BEST_FPERIOD_OVERRIDE=FQ","FILING_STATUS=MR","SCALING_FORMAT=MLN","FA_ADJUSTED=GAAP","Sort=A","Dates=H","DateFormat=P","Fill=—","Direction=H","UseDPDF=Y")</f>
        <v>631</v>
      </c>
      <c r="S41" s="16" cm="1">
        <f t="array" ref="S41">_xll.BDH("CMI US Equity","NET_INCOME","FQ1 2023","FQ1 2023","Currency=USD","Period=FQ","BEST_FPERIOD_OVERRIDE=FQ","FILING_STATUS=MR","SCALING_FORMAT=MLN","FA_ADJUSTED=GAAP","Sort=A","Dates=H","DateFormat=P","Fill=—","Direction=H","UseDPDF=Y")</f>
        <v>790</v>
      </c>
      <c r="T41" s="16" cm="1">
        <f t="array" ref="T41">_xll.BDH("CMI US Equity","NET_INCOME","FQ2 2023","FQ2 2023","Currency=USD","Period=FQ","BEST_FPERIOD_OVERRIDE=FQ","FILING_STATUS=MR","SCALING_FORMAT=MLN","FA_ADJUSTED=GAAP","Sort=A","Dates=H","DateFormat=P","Fill=—","Direction=H","UseDPDF=Y")</f>
        <v>720</v>
      </c>
      <c r="U41" s="16" cm="1">
        <f t="array" ref="U41">_xll.BDH("CMI US Equity","NET_INCOME","FQ3 2023","FQ3 2023","Currency=USD","Period=FQ","BEST_FPERIOD_OVERRIDE=FQ","FILING_STATUS=MR","SCALING_FORMAT=MLN","FA_ADJUSTED=GAAP","Sort=A","Dates=H","DateFormat=P","Fill=—","Direction=H","UseDPDF=Y")</f>
        <v>656</v>
      </c>
      <c r="V41" s="16" cm="1">
        <f t="array" ref="V41">_xll.BDH("CMI US Equity","NET_INCOME","FQ4 2023","FQ4 2023","Currency=USD","Period=FQ","BEST_FPERIOD_OVERRIDE=FQ","FILING_STATUS=MR","SCALING_FORMAT=MLN","FA_ADJUSTED=GAAP","Sort=A","Dates=H","DateFormat=P","Fill=—","Direction=H","UseDPDF=Y")</f>
        <v>-1431</v>
      </c>
      <c r="W41" s="16" cm="1">
        <f t="array" ref="W41">_xll.BDH("CMI US Equity","NET_INCOME","FQ1 2024","FQ1 2024","Currency=USD","Period=FQ","BEST_FPERIOD_OVERRIDE=FQ","FILING_STATUS=MR","SCALING_FORMAT=MLN","FA_ADJUSTED=GAAP","Sort=A","Dates=H","DateFormat=P","Fill=—","Direction=H","UseDPDF=Y")</f>
        <v>1993</v>
      </c>
      <c r="X41" s="16" cm="1">
        <f t="array" ref="X41">_xll.BDH("CMI US Equity","NET_INCOME","FQ2 2024","FQ2 2024","Currency=USD","Period=FQ","BEST_FPERIOD_OVERRIDE=FQ","FILING_STATUS=MR","SCALING_FORMAT=MLN","FA_ADJUSTED=GAAP","Sort=A","Dates=H","DateFormat=P","Fill=—","Direction=H","UseDPDF=Y")</f>
        <v>726</v>
      </c>
      <c r="Y41" s="16" cm="1">
        <f t="array" ref="Y41">_xll.BDH("CMI US Equity","NET_INCOME","FQ3 2024","FQ3 2024","Currency=USD","Period=FQ","BEST_FPERIOD_OVERRIDE=FQ","FILING_STATUS=MR","SCALING_FORMAT=MLN","FA_ADJUSTED=GAAP","Sort=A","Dates=H","DateFormat=P","Fill=—","Direction=H","UseDPDF=Y")</f>
        <v>809</v>
      </c>
      <c r="Z41" s="16" cm="1">
        <f t="array" ref="Z41">_xll.BDH("CMI US Equity","NET_INCOME","FQ4 2024","FQ4 2024","Currency=USD","Period=FQ","BEST_FPERIOD_OVERRIDE=FQ","FILING_STATUS=MR","SCALING_FORMAT=MLN","FA_ADJUSTED=GAAP","Sort=A","Dates=H","DateFormat=P","Fill=—","Direction=H","UseDPDF=Y")</f>
        <v>418</v>
      </c>
      <c r="AA41" s="16" cm="1">
        <f t="array" ref="AA41">_xll.BDH("CMI US Equity","NET_INCOME","FQ1 2025","FQ1 2025","Currency=USD","Period=FQ","BEST_FPERIOD_OVERRIDE=FQ","FILING_STATUS=MR","SCALING_FORMAT=MLN","FA_ADJUSTED=GAAP","Sort=A","Dates=H","DateFormat=P","Fill=—","Direction=H","UseDPDF=Y")</f>
        <v>824</v>
      </c>
      <c r="AB41" s="16" cm="1">
        <f t="array" ref="AB41">_xll.BDH("CMI US Equity","NET_INCOME","FQ2 2025","FQ2 2025","Currency=USD","Period=FQ","BEST_FPERIOD_OVERRIDE=FQ","FILING_STATUS=MR","SCALING_FORMAT=MLN","FA_ADJUSTED=GAAP","Sort=A","Dates=H","DateFormat=P","Fill=—","Direction=H","UseDPDF=Y")</f>
        <v>890</v>
      </c>
      <c r="AC41" s="16" cm="1">
        <f t="array" ref="AC41">_xll.BDH("CMI US Equity","NET_INCOME","FQ3 2025","FQ3 2025","Currency=USD","Period=FQ","BEST_FPERIOD_OVERRIDE=FQ","FILING_STATUS=MR","SCALING_FORMAT=MLN","FA_ADJUSTED=GAAP","Sort=A","Dates=H","DateFormat=P","Fill=—","Direction=H","UseDPDF=Y")</f>
        <v>536</v>
      </c>
      <c r="AD41" s="16" cm="1">
        <f t="array" ref="AD41">_xll.BDH("CMI US Equity","NET_INCOME","FQ4 2025","FQ4 2025","Currency=USD","Period=FQ","BEST_FPERIOD_OVERRIDE=FQ","FILING_STATUS=MR","SCALING_FORMAT=MLN","FA_ADJUSTED=GAAP","Sort=A","Dates=H","DateFormat=P","Fill=—","Direction=H","UseDPDF=Y")</f>
        <v>593</v>
      </c>
      <c r="AE41" s="16">
        <v>800.35699999999997</v>
      </c>
      <c r="AF41" s="16">
        <v>903.5</v>
      </c>
    </row>
    <row r="42" spans="1:32" x14ac:dyDescent="0.25">
      <c r="A42" s="10" t="s">
        <v>136</v>
      </c>
      <c r="B42" s="10" t="s">
        <v>137</v>
      </c>
      <c r="C42" s="13" cm="1">
        <f t="array" ref="C42">_xll.BDH("CMI US Equity","IS_TOT_CASH_PFD_DVD","FQ1 2019","FQ1 2019","Currency=USD","Period=FQ","BEST_FPERIOD_OVERRIDE=FQ","FILING_STATUS=MR","SCALING_FORMAT=MLN","Sort=A","Dates=H","DateFormat=P","Fill=—","Direction=H","UseDPDF=Y")</f>
        <v>0</v>
      </c>
      <c r="D42" s="13" cm="1">
        <f t="array" ref="D42">_xll.BDH("CMI US Equity","IS_TOT_CASH_PFD_DVD","FQ2 2019","FQ2 2019","Currency=USD","Period=FQ","BEST_FPERIOD_OVERRIDE=FQ","FILING_STATUS=MR","SCALING_FORMAT=MLN","Sort=A","Dates=H","DateFormat=P","Fill=—","Direction=H","UseDPDF=Y")</f>
        <v>0</v>
      </c>
      <c r="E42" s="13" cm="1">
        <f t="array" ref="E42">_xll.BDH("CMI US Equity","IS_TOT_CASH_PFD_DVD","FQ3 2019","FQ3 2019","Currency=USD","Period=FQ","BEST_FPERIOD_OVERRIDE=FQ","FILING_STATUS=MR","SCALING_FORMAT=MLN","Sort=A","Dates=H","DateFormat=P","Fill=—","Direction=H","UseDPDF=Y")</f>
        <v>0</v>
      </c>
      <c r="F42" s="13" cm="1">
        <f t="array" ref="F42">_xll.BDH("CMI US Equity","IS_TOT_CASH_PFD_DVD","FQ4 2019","FQ4 2019","Currency=USD","Period=FQ","BEST_FPERIOD_OVERRIDE=FQ","FILING_STATUS=MR","SCALING_FORMAT=MLN","Sort=A","Dates=H","DateFormat=P","Fill=—","Direction=H","UseDPDF=Y")</f>
        <v>0</v>
      </c>
      <c r="G42" s="13" cm="1">
        <f t="array" ref="G42">_xll.BDH("CMI US Equity","IS_TOT_CASH_PFD_DVD","FQ1 2020","FQ1 2020","Currency=USD","Period=FQ","BEST_FPERIOD_OVERRIDE=FQ","FILING_STATUS=MR","SCALING_FORMAT=MLN","Sort=A","Dates=H","DateFormat=P","Fill=—","Direction=H","UseDPDF=Y")</f>
        <v>0</v>
      </c>
      <c r="H42" s="13" cm="1">
        <f t="array" ref="H42">_xll.BDH("CMI US Equity","IS_TOT_CASH_PFD_DVD","FQ2 2020","FQ2 2020","Currency=USD","Period=FQ","BEST_FPERIOD_OVERRIDE=FQ","FILING_STATUS=MR","SCALING_FORMAT=MLN","Sort=A","Dates=H","DateFormat=P","Fill=—","Direction=H","UseDPDF=Y")</f>
        <v>0</v>
      </c>
      <c r="I42" s="13" cm="1">
        <f t="array" ref="I42">_xll.BDH("CMI US Equity","IS_TOT_CASH_PFD_DVD","FQ3 2020","FQ3 2020","Currency=USD","Period=FQ","BEST_FPERIOD_OVERRIDE=FQ","FILING_STATUS=MR","SCALING_FORMAT=MLN","Sort=A","Dates=H","DateFormat=P","Fill=—","Direction=H","UseDPDF=Y")</f>
        <v>0</v>
      </c>
      <c r="J42" s="13" cm="1">
        <f t="array" ref="J42">_xll.BDH("CMI US Equity","IS_TOT_CASH_PFD_DVD","FQ4 2020","FQ4 2020","Currency=USD","Period=FQ","BEST_FPERIOD_OVERRIDE=FQ","FILING_STATUS=MR","SCALING_FORMAT=MLN","Sort=A","Dates=H","DateFormat=P","Fill=—","Direction=H","UseDPDF=Y")</f>
        <v>0</v>
      </c>
      <c r="K42" s="13" cm="1">
        <f t="array" ref="K42">_xll.BDH("CMI US Equity","IS_TOT_CASH_PFD_DVD","FQ1 2021","FQ1 2021","Currency=USD","Period=FQ","BEST_FPERIOD_OVERRIDE=FQ","FILING_STATUS=MR","SCALING_FORMAT=MLN","Sort=A","Dates=H","DateFormat=P","Fill=—","Direction=H","UseDPDF=Y")</f>
        <v>0</v>
      </c>
      <c r="L42" s="13" cm="1">
        <f t="array" ref="L42">_xll.BDH("CMI US Equity","IS_TOT_CASH_PFD_DVD","FQ2 2021","FQ2 2021","Currency=USD","Period=FQ","BEST_FPERIOD_OVERRIDE=FQ","FILING_STATUS=MR","SCALING_FORMAT=MLN","Sort=A","Dates=H","DateFormat=P","Fill=—","Direction=H","UseDPDF=Y")</f>
        <v>0</v>
      </c>
      <c r="M42" s="13" cm="1">
        <f t="array" ref="M42">_xll.BDH("CMI US Equity","IS_TOT_CASH_PFD_DVD","FQ3 2021","FQ3 2021","Currency=USD","Period=FQ","BEST_FPERIOD_OVERRIDE=FQ","FILING_STATUS=MR","SCALING_FORMAT=MLN","Sort=A","Dates=H","DateFormat=P","Fill=—","Direction=H","UseDPDF=Y")</f>
        <v>0</v>
      </c>
      <c r="N42" s="13" cm="1">
        <f t="array" ref="N42">_xll.BDH("CMI US Equity","IS_TOT_CASH_PFD_DVD","FQ4 2021","FQ4 2021","Currency=USD","Period=FQ","BEST_FPERIOD_OVERRIDE=FQ","FILING_STATUS=MR","SCALING_FORMAT=MLN","Sort=A","Dates=H","DateFormat=P","Fill=—","Direction=H","UseDPDF=Y")</f>
        <v>0</v>
      </c>
      <c r="O42" s="13" cm="1">
        <f t="array" ref="O42">_xll.BDH("CMI US Equity","IS_TOT_CASH_PFD_DVD","FQ1 2022","FQ1 2022","Currency=USD","Period=FQ","BEST_FPERIOD_OVERRIDE=FQ","FILING_STATUS=MR","SCALING_FORMAT=MLN","Sort=A","Dates=H","DateFormat=P","Fill=—","Direction=H","UseDPDF=Y")</f>
        <v>0</v>
      </c>
      <c r="P42" s="13" cm="1">
        <f t="array" ref="P42">_xll.BDH("CMI US Equity","IS_TOT_CASH_PFD_DVD","FQ2 2022","FQ2 2022","Currency=USD","Period=FQ","BEST_FPERIOD_OVERRIDE=FQ","FILING_STATUS=MR","SCALING_FORMAT=MLN","Sort=A","Dates=H","DateFormat=P","Fill=—","Direction=H","UseDPDF=Y")</f>
        <v>0</v>
      </c>
      <c r="Q42" s="13" cm="1">
        <f t="array" ref="Q42">_xll.BDH("CMI US Equity","IS_TOT_CASH_PFD_DVD","FQ3 2022","FQ3 2022","Currency=USD","Period=FQ","BEST_FPERIOD_OVERRIDE=FQ","FILING_STATUS=MR","SCALING_FORMAT=MLN","Sort=A","Dates=H","DateFormat=P","Fill=—","Direction=H","UseDPDF=Y")</f>
        <v>0</v>
      </c>
      <c r="R42" s="13" cm="1">
        <f t="array" ref="R42">_xll.BDH("CMI US Equity","IS_TOT_CASH_PFD_DVD","FQ4 2022","FQ4 2022","Currency=USD","Period=FQ","BEST_FPERIOD_OVERRIDE=FQ","FILING_STATUS=MR","SCALING_FORMAT=MLN","Sort=A","Dates=H","DateFormat=P","Fill=—","Direction=H","UseDPDF=Y")</f>
        <v>0</v>
      </c>
      <c r="S42" s="13" cm="1">
        <f t="array" ref="S42">_xll.BDH("CMI US Equity","IS_TOT_CASH_PFD_DVD","FQ1 2023","FQ1 2023","Currency=USD","Period=FQ","BEST_FPERIOD_OVERRIDE=FQ","FILING_STATUS=MR","SCALING_FORMAT=MLN","Sort=A","Dates=H","DateFormat=P","Fill=—","Direction=H","UseDPDF=Y")</f>
        <v>0</v>
      </c>
      <c r="T42" s="13" cm="1">
        <f t="array" ref="T42">_xll.BDH("CMI US Equity","IS_TOT_CASH_PFD_DVD","FQ2 2023","FQ2 2023","Currency=USD","Period=FQ","BEST_FPERIOD_OVERRIDE=FQ","FILING_STATUS=MR","SCALING_FORMAT=MLN","Sort=A","Dates=H","DateFormat=P","Fill=—","Direction=H","UseDPDF=Y")</f>
        <v>0</v>
      </c>
      <c r="U42" s="13" cm="1">
        <f t="array" ref="U42">_xll.BDH("CMI US Equity","IS_TOT_CASH_PFD_DVD","FQ3 2023","FQ3 2023","Currency=USD","Period=FQ","BEST_FPERIOD_OVERRIDE=FQ","FILING_STATUS=MR","SCALING_FORMAT=MLN","Sort=A","Dates=H","DateFormat=P","Fill=—","Direction=H","UseDPDF=Y")</f>
        <v>0</v>
      </c>
      <c r="V42" s="13" cm="1">
        <f t="array" ref="V42">_xll.BDH("CMI US Equity","IS_TOT_CASH_PFD_DVD","FQ4 2023","FQ4 2023","Currency=USD","Period=FQ","BEST_FPERIOD_OVERRIDE=FQ","FILING_STATUS=MR","SCALING_FORMAT=MLN","Sort=A","Dates=H","DateFormat=P","Fill=—","Direction=H","UseDPDF=Y")</f>
        <v>0</v>
      </c>
      <c r="W42" s="13" cm="1">
        <f t="array" ref="W42">_xll.BDH("CMI US Equity","IS_TOT_CASH_PFD_DVD","FQ1 2024","FQ1 2024","Currency=USD","Period=FQ","BEST_FPERIOD_OVERRIDE=FQ","FILING_STATUS=MR","SCALING_FORMAT=MLN","Sort=A","Dates=H","DateFormat=P","Fill=—","Direction=H","UseDPDF=Y")</f>
        <v>0</v>
      </c>
      <c r="X42" s="13" cm="1">
        <f t="array" ref="X42">_xll.BDH("CMI US Equity","IS_TOT_CASH_PFD_DVD","FQ2 2024","FQ2 2024","Currency=USD","Period=FQ","BEST_FPERIOD_OVERRIDE=FQ","FILING_STATUS=MR","SCALING_FORMAT=MLN","Sort=A","Dates=H","DateFormat=P","Fill=—","Direction=H","UseDPDF=Y")</f>
        <v>0</v>
      </c>
      <c r="Y42" s="13" cm="1">
        <f t="array" ref="Y42">_xll.BDH("CMI US Equity","IS_TOT_CASH_PFD_DVD","FQ3 2024","FQ3 2024","Currency=USD","Period=FQ","BEST_FPERIOD_OVERRIDE=FQ","FILING_STATUS=MR","SCALING_FORMAT=MLN","Sort=A","Dates=H","DateFormat=P","Fill=—","Direction=H","UseDPDF=Y")</f>
        <v>0</v>
      </c>
      <c r="Z42" s="13" cm="1">
        <f t="array" ref="Z42">_xll.BDH("CMI US Equity","IS_TOT_CASH_PFD_DVD","FQ4 2024","FQ4 2024","Currency=USD","Period=FQ","BEST_FPERIOD_OVERRIDE=FQ","FILING_STATUS=MR","SCALING_FORMAT=MLN","Sort=A","Dates=H","DateFormat=P","Fill=—","Direction=H","UseDPDF=Y")</f>
        <v>0</v>
      </c>
      <c r="AA42" s="13" cm="1">
        <f t="array" ref="AA42">_xll.BDH("CMI US Equity","IS_TOT_CASH_PFD_DVD","FQ1 2025","FQ1 2025","Currency=USD","Period=FQ","BEST_FPERIOD_OVERRIDE=FQ","FILING_STATUS=MR","SCALING_FORMAT=MLN","Sort=A","Dates=H","DateFormat=P","Fill=—","Direction=H","UseDPDF=Y")</f>
        <v>0</v>
      </c>
      <c r="AB42" s="13" cm="1">
        <f t="array" ref="AB42">_xll.BDH("CMI US Equity","IS_TOT_CASH_PFD_DVD","FQ2 2025","FQ2 2025","Currency=USD","Period=FQ","BEST_FPERIOD_OVERRIDE=FQ","FILING_STATUS=MR","SCALING_FORMAT=MLN","Sort=A","Dates=H","DateFormat=P","Fill=—","Direction=H","UseDPDF=Y")</f>
        <v>0</v>
      </c>
      <c r="AC42" s="13" cm="1">
        <f t="array" ref="AC42">_xll.BDH("CMI US Equity","IS_TOT_CASH_PFD_DVD","FQ3 2025","FQ3 2025","Currency=USD","Period=FQ","BEST_FPERIOD_OVERRIDE=FQ","FILING_STATUS=MR","SCALING_FORMAT=MLN","Sort=A","Dates=H","DateFormat=P","Fill=—","Direction=H","UseDPDF=Y")</f>
        <v>0</v>
      </c>
      <c r="AD42" s="13" cm="1">
        <f t="array" ref="AD42">_xll.BDH("CMI US Equity","IS_TOT_CASH_PFD_DVD","FQ4 2025","FQ4 2025","Currency=USD","Period=FQ","BEST_FPERIOD_OVERRIDE=FQ","FILING_STATUS=MR","SCALING_FORMAT=MLN","Sort=A","Dates=H","DateFormat=P","Fill=—","Direction=H","UseDPDF=Y")</f>
        <v>0</v>
      </c>
      <c r="AE42" s="13"/>
      <c r="AF42" s="13"/>
    </row>
    <row r="43" spans="1:32" x14ac:dyDescent="0.25">
      <c r="A43" s="10" t="s">
        <v>138</v>
      </c>
      <c r="B43" s="10" t="s">
        <v>139</v>
      </c>
      <c r="C43" s="13" cm="1">
        <f t="array" ref="C43">_xll.BDH("CMI US Equity","OTHER_ADJUSTMENTS","FQ1 2019","FQ1 2019","Currency=USD","Period=FQ","BEST_FPERIOD_OVERRIDE=FQ","FILING_STATUS=MR","SCALING_FORMAT=MLN","Sort=A","Dates=H","DateFormat=P","Fill=—","Direction=H","UseDPDF=Y")</f>
        <v>0</v>
      </c>
      <c r="D43" s="13" cm="1">
        <f t="array" ref="D43">_xll.BDH("CMI US Equity","OTHER_ADJUSTMENTS","FQ2 2019","FQ2 2019","Currency=USD","Period=FQ","BEST_FPERIOD_OVERRIDE=FQ","FILING_STATUS=MR","SCALING_FORMAT=MLN","Sort=A","Dates=H","DateFormat=P","Fill=—","Direction=H","UseDPDF=Y")</f>
        <v>0</v>
      </c>
      <c r="E43" s="13" cm="1">
        <f t="array" ref="E43">_xll.BDH("CMI US Equity","OTHER_ADJUSTMENTS","FQ3 2019","FQ3 2019","Currency=USD","Period=FQ","BEST_FPERIOD_OVERRIDE=FQ","FILING_STATUS=MR","SCALING_FORMAT=MLN","Sort=A","Dates=H","DateFormat=P","Fill=—","Direction=H","UseDPDF=Y")</f>
        <v>0</v>
      </c>
      <c r="F43" s="13" cm="1">
        <f t="array" ref="F43">_xll.BDH("CMI US Equity","OTHER_ADJUSTMENTS","FQ4 2019","FQ4 2019","Currency=USD","Period=FQ","BEST_FPERIOD_OVERRIDE=FQ","FILING_STATUS=MR","SCALING_FORMAT=MLN","Sort=A","Dates=H","DateFormat=P","Fill=—","Direction=H","UseDPDF=Y")</f>
        <v>0</v>
      </c>
      <c r="G43" s="13" cm="1">
        <f t="array" ref="G43">_xll.BDH("CMI US Equity","OTHER_ADJUSTMENTS","FQ1 2020","FQ1 2020","Currency=USD","Period=FQ","BEST_FPERIOD_OVERRIDE=FQ","FILING_STATUS=MR","SCALING_FORMAT=MLN","Sort=A","Dates=H","DateFormat=P","Fill=—","Direction=H","UseDPDF=Y")</f>
        <v>0</v>
      </c>
      <c r="H43" s="13" cm="1">
        <f t="array" ref="H43">_xll.BDH("CMI US Equity","OTHER_ADJUSTMENTS","FQ2 2020","FQ2 2020","Currency=USD","Period=FQ","BEST_FPERIOD_OVERRIDE=FQ","FILING_STATUS=MR","SCALING_FORMAT=MLN","Sort=A","Dates=H","DateFormat=P","Fill=—","Direction=H","UseDPDF=Y")</f>
        <v>0</v>
      </c>
      <c r="I43" s="13" cm="1">
        <f t="array" ref="I43">_xll.BDH("CMI US Equity","OTHER_ADJUSTMENTS","FQ3 2020","FQ3 2020","Currency=USD","Period=FQ","BEST_FPERIOD_OVERRIDE=FQ","FILING_STATUS=MR","SCALING_FORMAT=MLN","Sort=A","Dates=H","DateFormat=P","Fill=—","Direction=H","UseDPDF=Y")</f>
        <v>0</v>
      </c>
      <c r="J43" s="13" cm="1">
        <f t="array" ref="J43">_xll.BDH("CMI US Equity","OTHER_ADJUSTMENTS","FQ4 2020","FQ4 2020","Currency=USD","Period=FQ","BEST_FPERIOD_OVERRIDE=FQ","FILING_STATUS=MR","SCALING_FORMAT=MLN","Sort=A","Dates=H","DateFormat=P","Fill=—","Direction=H","UseDPDF=Y")</f>
        <v>0</v>
      </c>
      <c r="K43" s="13" cm="1">
        <f t="array" ref="K43">_xll.BDH("CMI US Equity","OTHER_ADJUSTMENTS","FQ1 2021","FQ1 2021","Currency=USD","Period=FQ","BEST_FPERIOD_OVERRIDE=FQ","FILING_STATUS=MR","SCALING_FORMAT=MLN","Sort=A","Dates=H","DateFormat=P","Fill=—","Direction=H","UseDPDF=Y")</f>
        <v>0</v>
      </c>
      <c r="L43" s="13" cm="1">
        <f t="array" ref="L43">_xll.BDH("CMI US Equity","OTHER_ADJUSTMENTS","FQ2 2021","FQ2 2021","Currency=USD","Period=FQ","BEST_FPERIOD_OVERRIDE=FQ","FILING_STATUS=MR","SCALING_FORMAT=MLN","Sort=A","Dates=H","DateFormat=P","Fill=—","Direction=H","UseDPDF=Y")</f>
        <v>0</v>
      </c>
      <c r="M43" s="13" cm="1">
        <f t="array" ref="M43">_xll.BDH("CMI US Equity","OTHER_ADJUSTMENTS","FQ3 2021","FQ3 2021","Currency=USD","Period=FQ","BEST_FPERIOD_OVERRIDE=FQ","FILING_STATUS=MR","SCALING_FORMAT=MLN","Sort=A","Dates=H","DateFormat=P","Fill=—","Direction=H","UseDPDF=Y")</f>
        <v>0</v>
      </c>
      <c r="N43" s="13" cm="1">
        <f t="array" ref="N43">_xll.BDH("CMI US Equity","OTHER_ADJUSTMENTS","FQ4 2021","FQ4 2021","Currency=USD","Period=FQ","BEST_FPERIOD_OVERRIDE=FQ","FILING_STATUS=MR","SCALING_FORMAT=MLN","Sort=A","Dates=H","DateFormat=P","Fill=—","Direction=H","UseDPDF=Y")</f>
        <v>0</v>
      </c>
      <c r="O43" s="13" cm="1">
        <f t="array" ref="O43">_xll.BDH("CMI US Equity","OTHER_ADJUSTMENTS","FQ1 2022","FQ1 2022","Currency=USD","Period=FQ","BEST_FPERIOD_OVERRIDE=FQ","FILING_STATUS=MR","SCALING_FORMAT=MLN","Sort=A","Dates=H","DateFormat=P","Fill=—","Direction=H","UseDPDF=Y")</f>
        <v>0</v>
      </c>
      <c r="P43" s="13" cm="1">
        <f t="array" ref="P43">_xll.BDH("CMI US Equity","OTHER_ADJUSTMENTS","FQ2 2022","FQ2 2022","Currency=USD","Period=FQ","BEST_FPERIOD_OVERRIDE=FQ","FILING_STATUS=MR","SCALING_FORMAT=MLN","Sort=A","Dates=H","DateFormat=P","Fill=—","Direction=H","UseDPDF=Y")</f>
        <v>0</v>
      </c>
      <c r="Q43" s="13" cm="1">
        <f t="array" ref="Q43">_xll.BDH("CMI US Equity","OTHER_ADJUSTMENTS","FQ3 2022","FQ3 2022","Currency=USD","Period=FQ","BEST_FPERIOD_OVERRIDE=FQ","FILING_STATUS=MR","SCALING_FORMAT=MLN","Sort=A","Dates=H","DateFormat=P","Fill=—","Direction=H","UseDPDF=Y")</f>
        <v>0</v>
      </c>
      <c r="R43" s="13" cm="1">
        <f t="array" ref="R43">_xll.BDH("CMI US Equity","OTHER_ADJUSTMENTS","FQ4 2022","FQ4 2022","Currency=USD","Period=FQ","BEST_FPERIOD_OVERRIDE=FQ","FILING_STATUS=MR","SCALING_FORMAT=MLN","Sort=A","Dates=H","DateFormat=P","Fill=—","Direction=H","UseDPDF=Y")</f>
        <v>0</v>
      </c>
      <c r="S43" s="13" cm="1">
        <f t="array" ref="S43">_xll.BDH("CMI US Equity","OTHER_ADJUSTMENTS","FQ1 2023","FQ1 2023","Currency=USD","Period=FQ","BEST_FPERIOD_OVERRIDE=FQ","FILING_STATUS=MR","SCALING_FORMAT=MLN","Sort=A","Dates=H","DateFormat=P","Fill=—","Direction=H","UseDPDF=Y")</f>
        <v>0</v>
      </c>
      <c r="T43" s="13" cm="1">
        <f t="array" ref="T43">_xll.BDH("CMI US Equity","OTHER_ADJUSTMENTS","FQ2 2023","FQ2 2023","Currency=USD","Period=FQ","BEST_FPERIOD_OVERRIDE=FQ","FILING_STATUS=MR","SCALING_FORMAT=MLN","Sort=A","Dates=H","DateFormat=P","Fill=—","Direction=H","UseDPDF=Y")</f>
        <v>0</v>
      </c>
      <c r="U43" s="13" cm="1">
        <f t="array" ref="U43">_xll.BDH("CMI US Equity","OTHER_ADJUSTMENTS","FQ3 2023","FQ3 2023","Currency=USD","Period=FQ","BEST_FPERIOD_OVERRIDE=FQ","FILING_STATUS=MR","SCALING_FORMAT=MLN","Sort=A","Dates=H","DateFormat=P","Fill=—","Direction=H","UseDPDF=Y")</f>
        <v>0</v>
      </c>
      <c r="V43" s="13" cm="1">
        <f t="array" ref="V43">_xll.BDH("CMI US Equity","OTHER_ADJUSTMENTS","FQ4 2023","FQ4 2023","Currency=USD","Period=FQ","BEST_FPERIOD_OVERRIDE=FQ","FILING_STATUS=MR","SCALING_FORMAT=MLN","Sort=A","Dates=H","DateFormat=P","Fill=—","Direction=H","UseDPDF=Y")</f>
        <v>0</v>
      </c>
      <c r="W43" s="13" cm="1">
        <f t="array" ref="W43">_xll.BDH("CMI US Equity","OTHER_ADJUSTMENTS","FQ1 2024","FQ1 2024","Currency=USD","Period=FQ","BEST_FPERIOD_OVERRIDE=FQ","FILING_STATUS=MR","SCALING_FORMAT=MLN","Sort=A","Dates=H","DateFormat=P","Fill=—","Direction=H","UseDPDF=Y")</f>
        <v>0</v>
      </c>
      <c r="X43" s="13" cm="1">
        <f t="array" ref="X43">_xll.BDH("CMI US Equity","OTHER_ADJUSTMENTS","FQ2 2024","FQ2 2024","Currency=USD","Period=FQ","BEST_FPERIOD_OVERRIDE=FQ","FILING_STATUS=MR","SCALING_FORMAT=MLN","Sort=A","Dates=H","DateFormat=P","Fill=—","Direction=H","UseDPDF=Y")</f>
        <v>0</v>
      </c>
      <c r="Y43" s="13" cm="1">
        <f t="array" ref="Y43">_xll.BDH("CMI US Equity","OTHER_ADJUSTMENTS","FQ3 2024","FQ3 2024","Currency=USD","Period=FQ","BEST_FPERIOD_OVERRIDE=FQ","FILING_STATUS=MR","SCALING_FORMAT=MLN","Sort=A","Dates=H","DateFormat=P","Fill=—","Direction=H","UseDPDF=Y")</f>
        <v>0</v>
      </c>
      <c r="Z43" s="13" cm="1">
        <f t="array" ref="Z43">_xll.BDH("CMI US Equity","OTHER_ADJUSTMENTS","FQ4 2024","FQ4 2024","Currency=USD","Period=FQ","BEST_FPERIOD_OVERRIDE=FQ","FILING_STATUS=MR","SCALING_FORMAT=MLN","Sort=A","Dates=H","DateFormat=P","Fill=—","Direction=H","UseDPDF=Y")</f>
        <v>0</v>
      </c>
      <c r="AA43" s="13" cm="1">
        <f t="array" ref="AA43">_xll.BDH("CMI US Equity","OTHER_ADJUSTMENTS","FQ1 2025","FQ1 2025","Currency=USD","Period=FQ","BEST_FPERIOD_OVERRIDE=FQ","FILING_STATUS=MR","SCALING_FORMAT=MLN","Sort=A","Dates=H","DateFormat=P","Fill=—","Direction=H","UseDPDF=Y")</f>
        <v>0</v>
      </c>
      <c r="AB43" s="13" cm="1">
        <f t="array" ref="AB43">_xll.BDH("CMI US Equity","OTHER_ADJUSTMENTS","FQ2 2025","FQ2 2025","Currency=USD","Period=FQ","BEST_FPERIOD_OVERRIDE=FQ","FILING_STATUS=MR","SCALING_FORMAT=MLN","Sort=A","Dates=H","DateFormat=P","Fill=—","Direction=H","UseDPDF=Y")</f>
        <v>0</v>
      </c>
      <c r="AC43" s="13" cm="1">
        <f t="array" ref="AC43">_xll.BDH("CMI US Equity","OTHER_ADJUSTMENTS","FQ3 2025","FQ3 2025","Currency=USD","Period=FQ","BEST_FPERIOD_OVERRIDE=FQ","FILING_STATUS=MR","SCALING_FORMAT=MLN","Sort=A","Dates=H","DateFormat=P","Fill=—","Direction=H","UseDPDF=Y")</f>
        <v>0</v>
      </c>
      <c r="AD43" s="13" cm="1">
        <f t="array" ref="AD43">_xll.BDH("CMI US Equity","OTHER_ADJUSTMENTS","FQ4 2025","FQ4 2025","Currency=USD","Period=FQ","BEST_FPERIOD_OVERRIDE=FQ","FILING_STATUS=MR","SCALING_FORMAT=MLN","Sort=A","Dates=H","DateFormat=P","Fill=—","Direction=H","UseDPDF=Y")</f>
        <v>0</v>
      </c>
      <c r="AE43" s="13"/>
      <c r="AF43" s="13"/>
    </row>
    <row r="44" spans="1:32" x14ac:dyDescent="0.25">
      <c r="A44" s="6" t="s">
        <v>140</v>
      </c>
      <c r="B44" s="6" t="s">
        <v>141</v>
      </c>
      <c r="C44" s="16" cm="1">
        <f t="array" ref="C44">_xll.BDH("CMI US Equity","EARN_FOR_COMMON","FQ1 2019","FQ1 2019","Currency=USD","Period=FQ","BEST_FPERIOD_OVERRIDE=FQ","FILING_STATUS=MR","SCALING_FORMAT=MLN","FA_ADJUSTED=GAAP","Sort=A","Dates=H","DateFormat=P","Fill=—","Direction=H","UseDPDF=Y")</f>
        <v>663</v>
      </c>
      <c r="D44" s="16" cm="1">
        <f t="array" ref="D44">_xll.BDH("CMI US Equity","EARN_FOR_COMMON","FQ2 2019","FQ2 2019","Currency=USD","Period=FQ","BEST_FPERIOD_OVERRIDE=FQ","FILING_STATUS=MR","SCALING_FORMAT=MLN","FA_ADJUSTED=GAAP","Sort=A","Dates=H","DateFormat=P","Fill=—","Direction=H","UseDPDF=Y")</f>
        <v>675</v>
      </c>
      <c r="E44" s="16" cm="1">
        <f t="array" ref="E44">_xll.BDH("CMI US Equity","EARN_FOR_COMMON","FQ3 2019","FQ3 2019","Currency=USD","Period=FQ","BEST_FPERIOD_OVERRIDE=FQ","FILING_STATUS=MR","SCALING_FORMAT=MLN","FA_ADJUSTED=GAAP","Sort=A","Dates=H","DateFormat=P","Fill=—","Direction=H","UseDPDF=Y")</f>
        <v>622</v>
      </c>
      <c r="F44" s="16" cm="1">
        <f t="array" ref="F44">_xll.BDH("CMI US Equity","EARN_FOR_COMMON","FQ4 2019","FQ4 2019","Currency=USD","Period=FQ","BEST_FPERIOD_OVERRIDE=FQ","FILING_STATUS=MR","SCALING_FORMAT=MLN","FA_ADJUSTED=GAAP","Sort=A","Dates=H","DateFormat=P","Fill=—","Direction=H","UseDPDF=Y")</f>
        <v>300</v>
      </c>
      <c r="G44" s="16" cm="1">
        <f t="array" ref="G44">_xll.BDH("CMI US Equity","EARN_FOR_COMMON","FQ1 2020","FQ1 2020","Currency=USD","Period=FQ","BEST_FPERIOD_OVERRIDE=FQ","FILING_STATUS=MR","SCALING_FORMAT=MLN","FA_ADJUSTED=GAAP","Sort=A","Dates=H","DateFormat=P","Fill=—","Direction=H","UseDPDF=Y")</f>
        <v>511</v>
      </c>
      <c r="H44" s="16" cm="1">
        <f t="array" ref="H44">_xll.BDH("CMI US Equity","EARN_FOR_COMMON","FQ2 2020","FQ2 2020","Currency=USD","Period=FQ","BEST_FPERIOD_OVERRIDE=FQ","FILING_STATUS=MR","SCALING_FORMAT=MLN","FA_ADJUSTED=GAAP","Sort=A","Dates=H","DateFormat=P","Fill=—","Direction=H","UseDPDF=Y")</f>
        <v>276</v>
      </c>
      <c r="I44" s="16" cm="1">
        <f t="array" ref="I44">_xll.BDH("CMI US Equity","EARN_FOR_COMMON","FQ3 2020","FQ3 2020","Currency=USD","Period=FQ","BEST_FPERIOD_OVERRIDE=FQ","FILING_STATUS=MR","SCALING_FORMAT=MLN","FA_ADJUSTED=GAAP","Sort=A","Dates=H","DateFormat=P","Fill=—","Direction=H","UseDPDF=Y")</f>
        <v>501</v>
      </c>
      <c r="J44" s="16" cm="1">
        <f t="array" ref="J44">_xll.BDH("CMI US Equity","EARN_FOR_COMMON","FQ4 2020","FQ4 2020","Currency=USD","Period=FQ","BEST_FPERIOD_OVERRIDE=FQ","FILING_STATUS=MR","SCALING_FORMAT=MLN","FA_ADJUSTED=GAAP","Sort=A","Dates=H","DateFormat=P","Fill=—","Direction=H","UseDPDF=Y")</f>
        <v>501</v>
      </c>
      <c r="K44" s="16" cm="1">
        <f t="array" ref="K44">_xll.BDH("CMI US Equity","EARN_FOR_COMMON","FQ1 2021","FQ1 2021","Currency=USD","Period=FQ","BEST_FPERIOD_OVERRIDE=FQ","FILING_STATUS=MR","SCALING_FORMAT=MLN","FA_ADJUSTED=GAAP","Sort=A","Dates=H","DateFormat=P","Fill=—","Direction=H","UseDPDF=Y")</f>
        <v>603</v>
      </c>
      <c r="L44" s="16" cm="1">
        <f t="array" ref="L44">_xll.BDH("CMI US Equity","EARN_FOR_COMMON","FQ2 2021","FQ2 2021","Currency=USD","Period=FQ","BEST_FPERIOD_OVERRIDE=FQ","FILING_STATUS=MR","SCALING_FORMAT=MLN","FA_ADJUSTED=GAAP","Sort=A","Dates=H","DateFormat=P","Fill=—","Direction=H","UseDPDF=Y")</f>
        <v>600</v>
      </c>
      <c r="M44" s="16" cm="1">
        <f t="array" ref="M44">_xll.BDH("CMI US Equity","EARN_FOR_COMMON","FQ3 2021","FQ3 2021","Currency=USD","Period=FQ","BEST_FPERIOD_OVERRIDE=FQ","FILING_STATUS=MR","SCALING_FORMAT=MLN","FA_ADJUSTED=GAAP","Sort=A","Dates=H","DateFormat=P","Fill=—","Direction=H","UseDPDF=Y")</f>
        <v>534</v>
      </c>
      <c r="N44" s="16" cm="1">
        <f t="array" ref="N44">_xll.BDH("CMI US Equity","EARN_FOR_COMMON","FQ4 2021","FQ4 2021","Currency=USD","Period=FQ","BEST_FPERIOD_OVERRIDE=FQ","FILING_STATUS=MR","SCALING_FORMAT=MLN","FA_ADJUSTED=GAAP","Sort=A","Dates=H","DateFormat=P","Fill=—","Direction=H","UseDPDF=Y")</f>
        <v>394</v>
      </c>
      <c r="O44" s="16" cm="1">
        <f t="array" ref="O44">_xll.BDH("CMI US Equity","EARN_FOR_COMMON","FQ1 2022","FQ1 2022","Currency=USD","Period=FQ","BEST_FPERIOD_OVERRIDE=FQ","FILING_STATUS=MR","SCALING_FORMAT=MLN","FA_ADJUSTED=GAAP","Sort=A","Dates=H","DateFormat=P","Fill=—","Direction=H","UseDPDF=Y")</f>
        <v>418</v>
      </c>
      <c r="P44" s="16" cm="1">
        <f t="array" ref="P44">_xll.BDH("CMI US Equity","EARN_FOR_COMMON","FQ2 2022","FQ2 2022","Currency=USD","Period=FQ","BEST_FPERIOD_OVERRIDE=FQ","FILING_STATUS=MR","SCALING_FORMAT=MLN","FA_ADJUSTED=GAAP","Sort=A","Dates=H","DateFormat=P","Fill=—","Direction=H","UseDPDF=Y")</f>
        <v>702</v>
      </c>
      <c r="Q44" s="16" cm="1">
        <f t="array" ref="Q44">_xll.BDH("CMI US Equity","EARN_FOR_COMMON","FQ3 2022","FQ3 2022","Currency=USD","Period=FQ","BEST_FPERIOD_OVERRIDE=FQ","FILING_STATUS=MR","SCALING_FORMAT=MLN","FA_ADJUSTED=GAAP","Sort=A","Dates=H","DateFormat=P","Fill=—","Direction=H","UseDPDF=Y")</f>
        <v>400</v>
      </c>
      <c r="R44" s="16" cm="1">
        <f t="array" ref="R44">_xll.BDH("CMI US Equity","EARN_FOR_COMMON","FQ4 2022","FQ4 2022","Currency=USD","Period=FQ","BEST_FPERIOD_OVERRIDE=FQ","FILING_STATUS=MR","SCALING_FORMAT=MLN","FA_ADJUSTED=GAAP","Sort=A","Dates=H","DateFormat=P","Fill=—","Direction=H","UseDPDF=Y")</f>
        <v>631</v>
      </c>
      <c r="S44" s="16" cm="1">
        <f t="array" ref="S44">_xll.BDH("CMI US Equity","EARN_FOR_COMMON","FQ1 2023","FQ1 2023","Currency=USD","Period=FQ","BEST_FPERIOD_OVERRIDE=FQ","FILING_STATUS=MR","SCALING_FORMAT=MLN","FA_ADJUSTED=GAAP","Sort=A","Dates=H","DateFormat=P","Fill=—","Direction=H","UseDPDF=Y")</f>
        <v>790</v>
      </c>
      <c r="T44" s="16" cm="1">
        <f t="array" ref="T44">_xll.BDH("CMI US Equity","EARN_FOR_COMMON","FQ2 2023","FQ2 2023","Currency=USD","Period=FQ","BEST_FPERIOD_OVERRIDE=FQ","FILING_STATUS=MR","SCALING_FORMAT=MLN","FA_ADJUSTED=GAAP","Sort=A","Dates=H","DateFormat=P","Fill=—","Direction=H","UseDPDF=Y")</f>
        <v>720</v>
      </c>
      <c r="U44" s="16" cm="1">
        <f t="array" ref="U44">_xll.BDH("CMI US Equity","EARN_FOR_COMMON","FQ3 2023","FQ3 2023","Currency=USD","Period=FQ","BEST_FPERIOD_OVERRIDE=FQ","FILING_STATUS=MR","SCALING_FORMAT=MLN","FA_ADJUSTED=GAAP","Sort=A","Dates=H","DateFormat=P","Fill=—","Direction=H","UseDPDF=Y")</f>
        <v>656</v>
      </c>
      <c r="V44" s="16" cm="1">
        <f t="array" ref="V44">_xll.BDH("CMI US Equity","EARN_FOR_COMMON","FQ4 2023","FQ4 2023","Currency=USD","Period=FQ","BEST_FPERIOD_OVERRIDE=FQ","FILING_STATUS=MR","SCALING_FORMAT=MLN","FA_ADJUSTED=GAAP","Sort=A","Dates=H","DateFormat=P","Fill=—","Direction=H","UseDPDF=Y")</f>
        <v>-1431</v>
      </c>
      <c r="W44" s="16" cm="1">
        <f t="array" ref="W44">_xll.BDH("CMI US Equity","EARN_FOR_COMMON","FQ1 2024","FQ1 2024","Currency=USD","Period=FQ","BEST_FPERIOD_OVERRIDE=FQ","FILING_STATUS=MR","SCALING_FORMAT=MLN","FA_ADJUSTED=GAAP","Sort=A","Dates=H","DateFormat=P","Fill=—","Direction=H","UseDPDF=Y")</f>
        <v>1993</v>
      </c>
      <c r="X44" s="16" cm="1">
        <f t="array" ref="X44">_xll.BDH("CMI US Equity","EARN_FOR_COMMON","FQ2 2024","FQ2 2024","Currency=USD","Period=FQ","BEST_FPERIOD_OVERRIDE=FQ","FILING_STATUS=MR","SCALING_FORMAT=MLN","FA_ADJUSTED=GAAP","Sort=A","Dates=H","DateFormat=P","Fill=—","Direction=H","UseDPDF=Y")</f>
        <v>726</v>
      </c>
      <c r="Y44" s="16" cm="1">
        <f t="array" ref="Y44">_xll.BDH("CMI US Equity","EARN_FOR_COMMON","FQ3 2024","FQ3 2024","Currency=USD","Period=FQ","BEST_FPERIOD_OVERRIDE=FQ","FILING_STATUS=MR","SCALING_FORMAT=MLN","FA_ADJUSTED=GAAP","Sort=A","Dates=H","DateFormat=P","Fill=—","Direction=H","UseDPDF=Y")</f>
        <v>809</v>
      </c>
      <c r="Z44" s="16" cm="1">
        <f t="array" ref="Z44">_xll.BDH("CMI US Equity","EARN_FOR_COMMON","FQ4 2024","FQ4 2024","Currency=USD","Period=FQ","BEST_FPERIOD_OVERRIDE=FQ","FILING_STATUS=MR","SCALING_FORMAT=MLN","FA_ADJUSTED=GAAP","Sort=A","Dates=H","DateFormat=P","Fill=—","Direction=H","UseDPDF=Y")</f>
        <v>418</v>
      </c>
      <c r="AA44" s="16" cm="1">
        <f t="array" ref="AA44">_xll.BDH("CMI US Equity","EARN_FOR_COMMON","FQ1 2025","FQ1 2025","Currency=USD","Period=FQ","BEST_FPERIOD_OVERRIDE=FQ","FILING_STATUS=MR","SCALING_FORMAT=MLN","FA_ADJUSTED=GAAP","Sort=A","Dates=H","DateFormat=P","Fill=—","Direction=H","UseDPDF=Y")</f>
        <v>824</v>
      </c>
      <c r="AB44" s="16" cm="1">
        <f t="array" ref="AB44">_xll.BDH("CMI US Equity","EARN_FOR_COMMON","FQ2 2025","FQ2 2025","Currency=USD","Period=FQ","BEST_FPERIOD_OVERRIDE=FQ","FILING_STATUS=MR","SCALING_FORMAT=MLN","FA_ADJUSTED=GAAP","Sort=A","Dates=H","DateFormat=P","Fill=—","Direction=H","UseDPDF=Y")</f>
        <v>890</v>
      </c>
      <c r="AC44" s="16" cm="1">
        <f t="array" ref="AC44">_xll.BDH("CMI US Equity","EARN_FOR_COMMON","FQ3 2025","FQ3 2025","Currency=USD","Period=FQ","BEST_FPERIOD_OVERRIDE=FQ","FILING_STATUS=MR","SCALING_FORMAT=MLN","FA_ADJUSTED=GAAP","Sort=A","Dates=H","DateFormat=P","Fill=—","Direction=H","UseDPDF=Y")</f>
        <v>536</v>
      </c>
      <c r="AD44" s="16" cm="1">
        <f t="array" ref="AD44">_xll.BDH("CMI US Equity","EARN_FOR_COMMON","FQ4 2025","FQ4 2025","Currency=USD","Period=FQ","BEST_FPERIOD_OVERRIDE=FQ","FILING_STATUS=MR","SCALING_FORMAT=MLN","FA_ADJUSTED=GAAP","Sort=A","Dates=H","DateFormat=P","Fill=—","Direction=H","UseDPDF=Y")</f>
        <v>593</v>
      </c>
      <c r="AE44" s="16">
        <v>800.35699999999997</v>
      </c>
      <c r="AF44" s="16">
        <v>903.5</v>
      </c>
    </row>
    <row r="45" spans="1:32" x14ac:dyDescent="0.25">
      <c r="A45" s="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1:32" x14ac:dyDescent="0.25">
      <c r="A46" s="6" t="s">
        <v>142</v>
      </c>
      <c r="B46" s="6" t="s">
        <v>141</v>
      </c>
      <c r="C46" s="16" cm="1">
        <f t="array" ref="C46">_xll.BDH("CMI US Equity","EARN_FOR_COMMON","FQ1 2019","FQ1 2019","Currency=USD","Period=FQ","BEST_FPERIOD_OVERRIDE=FQ","FILING_STATUS=MR","SCALING_FORMAT=MLN","FA_ADJUSTED=Adjusted","Sort=A","Dates=H","DateFormat=P","Fill=—","Direction=H","UseDPDF=Y")</f>
        <v>659.05</v>
      </c>
      <c r="D46" s="16" cm="1">
        <f t="array" ref="D46">_xll.BDH("CMI US Equity","EARN_FOR_COMMON","FQ2 2019","FQ2 2019","Currency=USD","Period=FQ","BEST_FPERIOD_OVERRIDE=FQ","FILING_STATUS=MR","SCALING_FORMAT=MLN","FA_ADJUSTED=Adjusted","Sort=A","Dates=H","DateFormat=P","Fill=—","Direction=H","UseDPDF=Y")</f>
        <v>660.78</v>
      </c>
      <c r="E46" s="16" cm="1">
        <f t="array" ref="E46">_xll.BDH("CMI US Equity","EARN_FOR_COMMON","FQ3 2019","FQ3 2019","Currency=USD","Period=FQ","BEST_FPERIOD_OVERRIDE=FQ","FILING_STATUS=MR","SCALING_FORMAT=MLN","FA_ADJUSTED=Adjusted","Sort=A","Dates=H","DateFormat=P","Fill=—","Direction=H","UseDPDF=Y")</f>
        <v>588.38</v>
      </c>
      <c r="F46" s="16" cm="1">
        <f t="array" ref="F46">_xll.BDH("CMI US Equity","EARN_FOR_COMMON","FQ4 2019","FQ4 2019","Currency=USD","Period=FQ","BEST_FPERIOD_OVERRIDE=FQ","FILING_STATUS=MR","SCALING_FORMAT=MLN","FA_ADJUSTED=Adjusted","Sort=A","Dates=H","DateFormat=P","Fill=—","Direction=H","UseDPDF=Y")</f>
        <v>391.53</v>
      </c>
      <c r="G46" s="16" cm="1">
        <f t="array" ref="G46">_xll.BDH("CMI US Equity","EARN_FOR_COMMON","FQ1 2020","FQ1 2020","Currency=USD","Period=FQ","BEST_FPERIOD_OVERRIDE=FQ","FILING_STATUS=MR","SCALING_FORMAT=MLN","FA_ADJUSTED=Adjusted","Sort=A","Dates=H","DateFormat=P","Fill=—","Direction=H","UseDPDF=Y")</f>
        <v>422.45</v>
      </c>
      <c r="H46" s="16" cm="1">
        <f t="array" ref="H46">_xll.BDH("CMI US Equity","EARN_FOR_COMMON","FQ2 2020","FQ2 2020","Currency=USD","Period=FQ","BEST_FPERIOD_OVERRIDE=FQ","FILING_STATUS=MR","SCALING_FORMAT=MLN","FA_ADJUSTED=Adjusted","Sort=A","Dates=H","DateFormat=P","Fill=—","Direction=H","UseDPDF=Y")</f>
        <v>247.34</v>
      </c>
      <c r="I46" s="16" cm="1">
        <f t="array" ref="I46">_xll.BDH("CMI US Equity","EARN_FOR_COMMON","FQ3 2020","FQ3 2020","Currency=USD","Period=FQ","BEST_FPERIOD_OVERRIDE=FQ","FILING_STATUS=MR","SCALING_FORMAT=MLN","FA_ADJUSTED=Adjusted","Sort=A","Dates=H","DateFormat=P","Fill=—","Direction=H","UseDPDF=Y")</f>
        <v>519.36</v>
      </c>
      <c r="J46" s="16" cm="1">
        <f t="array" ref="J46">_xll.BDH("CMI US Equity","EARN_FOR_COMMON","FQ4 2020","FQ4 2020","Currency=USD","Period=FQ","BEST_FPERIOD_OVERRIDE=FQ","FILING_STATUS=MR","SCALING_FORMAT=MLN","FA_ADJUSTED=Adjusted","Sort=A","Dates=H","DateFormat=P","Fill=—","Direction=H","UseDPDF=Y")</f>
        <v>494.47</v>
      </c>
      <c r="K46" s="16" cm="1">
        <f t="array" ref="K46">_xll.BDH("CMI US Equity","EARN_FOR_COMMON","FQ1 2021","FQ1 2021","Currency=USD","Period=FQ","BEST_FPERIOD_OVERRIDE=FQ","FILING_STATUS=MR","SCALING_FORMAT=MLN","FA_ADJUSTED=Adjusted","Sort=A","Dates=H","DateFormat=P","Fill=—","Direction=H","UseDPDF=Y")</f>
        <v>601.37</v>
      </c>
      <c r="L46" s="16" cm="1">
        <f t="array" ref="L46">_xll.BDH("CMI US Equity","EARN_FOR_COMMON","FQ2 2021","FQ2 2021","Currency=USD","Period=FQ","BEST_FPERIOD_OVERRIDE=FQ","FILING_STATUS=MR","SCALING_FORMAT=MLN","FA_ADJUSTED=Adjusted","Sort=A","Dates=H","DateFormat=P","Fill=—","Direction=H","UseDPDF=Y")</f>
        <v>591.20000000000005</v>
      </c>
      <c r="M46" s="16" cm="1">
        <f t="array" ref="M46">_xll.BDH("CMI US Equity","EARN_FOR_COMMON","FQ3 2021","FQ3 2021","Currency=USD","Period=FQ","BEST_FPERIOD_OVERRIDE=FQ","FILING_STATUS=MR","SCALING_FORMAT=MLN","FA_ADJUSTED=Adjusted","Sort=A","Dates=H","DateFormat=P","Fill=—","Direction=H","UseDPDF=Y")</f>
        <v>521.41999999999996</v>
      </c>
      <c r="N46" s="16" cm="1">
        <f t="array" ref="N46">_xll.BDH("CMI US Equity","EARN_FOR_COMMON","FQ4 2021","FQ4 2021","Currency=USD","Period=FQ","BEST_FPERIOD_OVERRIDE=FQ","FILING_STATUS=MR","SCALING_FORMAT=MLN","FA_ADJUSTED=Adjusted","Sort=A","Dates=H","DateFormat=P","Fill=—","Direction=H","UseDPDF=Y")</f>
        <v>411</v>
      </c>
      <c r="O46" s="16" cm="1">
        <f t="array" ref="O46">_xll.BDH("CMI US Equity","EARN_FOR_COMMON","FQ1 2022","FQ1 2022","Currency=USD","Period=FQ","BEST_FPERIOD_OVERRIDE=FQ","FILING_STATUS=MR","SCALING_FORMAT=MLN","FA_ADJUSTED=Adjusted","Sort=A","Dates=H","DateFormat=P","Fill=—","Direction=H","UseDPDF=Y")</f>
        <v>425.16</v>
      </c>
      <c r="P46" s="16" cm="1">
        <f t="array" ref="P46">_xll.BDH("CMI US Equity","EARN_FOR_COMMON","FQ2 2022","FQ2 2022","Currency=USD","Period=FQ","BEST_FPERIOD_OVERRIDE=FQ","FILING_STATUS=MR","SCALING_FORMAT=MLN","FA_ADJUSTED=Adjusted","Sort=A","Dates=H","DateFormat=P","Fill=—","Direction=H","UseDPDF=Y")</f>
        <v>775.92</v>
      </c>
      <c r="Q46" s="16" cm="1">
        <f t="array" ref="Q46">_xll.BDH("CMI US Equity","EARN_FOR_COMMON","FQ3 2022","FQ3 2022","Currency=USD","Period=FQ","BEST_FPERIOD_OVERRIDE=FQ","FILING_STATUS=MR","SCALING_FORMAT=MLN","FA_ADJUSTED=Adjusted","Sort=A","Dates=H","DateFormat=P","Fill=—","Direction=H","UseDPDF=Y")</f>
        <v>343</v>
      </c>
      <c r="R46" s="16" cm="1">
        <f t="array" ref="R46">_xll.BDH("CMI US Equity","EARN_FOR_COMMON","FQ4 2022","FQ4 2022","Currency=USD","Period=FQ","BEST_FPERIOD_OVERRIDE=FQ","FILING_STATUS=MR","SCALING_FORMAT=MLN","FA_ADJUSTED=Adjusted","Sort=A","Dates=H","DateFormat=P","Fill=—","Direction=H","UseDPDF=Y")</f>
        <v>631</v>
      </c>
      <c r="S46" s="16" cm="1">
        <f t="array" ref="S46">_xll.BDH("CMI US Equity","EARN_FOR_COMMON","FQ1 2023","FQ1 2023","Currency=USD","Period=FQ","BEST_FPERIOD_OVERRIDE=FQ","FILING_STATUS=MR","SCALING_FORMAT=MLN","FA_ADJUSTED=Adjusted","Sort=A","Dates=H","DateFormat=P","Fill=—","Direction=H","UseDPDF=Y")</f>
        <v>790.79</v>
      </c>
      <c r="T46" s="16" cm="1">
        <f t="array" ref="T46">_xll.BDH("CMI US Equity","EARN_FOR_COMMON","FQ2 2023","FQ2 2023","Currency=USD","Period=FQ","BEST_FPERIOD_OVERRIDE=FQ","FILING_STATUS=MR","SCALING_FORMAT=MLN","FA_ADJUSTED=Adjusted","Sort=A","Dates=H","DateFormat=P","Fill=—","Direction=H","UseDPDF=Y")</f>
        <v>722.37</v>
      </c>
      <c r="U46" s="16" cm="1">
        <f t="array" ref="U46">_xll.BDH("CMI US Equity","EARN_FOR_COMMON","FQ3 2023","FQ3 2023","Currency=USD","Period=FQ","BEST_FPERIOD_OVERRIDE=FQ","FILING_STATUS=MR","SCALING_FORMAT=MLN","FA_ADJUSTED=Adjusted","Sort=A","Dates=H","DateFormat=P","Fill=—","Direction=H","UseDPDF=Y")</f>
        <v>705.31399999999996</v>
      </c>
      <c r="V46" s="16" cm="1">
        <f t="array" ref="V46">_xll.BDH("CMI US Equity","EARN_FOR_COMMON","FQ4 2023","FQ4 2023","Currency=USD","Period=FQ","BEST_FPERIOD_OVERRIDE=FQ","FILING_STATUS=MR","SCALING_FORMAT=MLN","FA_ADJUSTED=Adjusted","Sort=A","Dates=H","DateFormat=P","Fill=—","Direction=H","UseDPDF=Y")</f>
        <v>-1431</v>
      </c>
      <c r="W46" s="16" cm="1">
        <f t="array" ref="W46">_xll.BDH("CMI US Equity","EARN_FOR_COMMON","FQ1 2024","FQ1 2024","Currency=USD","Period=FQ","BEST_FPERIOD_OVERRIDE=FQ","FILING_STATUS=MR","SCALING_FORMAT=MLN","FA_ADJUSTED=Adjusted","Sort=A","Dates=H","DateFormat=P","Fill=—","Direction=H","UseDPDF=Y")</f>
        <v>985.75</v>
      </c>
      <c r="X46" s="16" cm="1">
        <f t="array" ref="X46">_xll.BDH("CMI US Equity","EARN_FOR_COMMON","FQ2 2024","FQ2 2024","Currency=USD","Period=FQ","BEST_FPERIOD_OVERRIDE=FQ","FILING_STATUS=MR","SCALING_FORMAT=MLN","FA_ADJUSTED=Adjusted","Sort=A","Dates=H","DateFormat=P","Fill=—","Direction=H","UseDPDF=Y")</f>
        <v>727.58</v>
      </c>
      <c r="Y46" s="16" cm="1">
        <f t="array" ref="Y46">_xll.BDH("CMI US Equity","EARN_FOR_COMMON","FQ3 2024","FQ3 2024","Currency=USD","Period=FQ","BEST_FPERIOD_OVERRIDE=FQ","FILING_STATUS=MR","SCALING_FORMAT=MLN","FA_ADJUSTED=Adjusted","Sort=A","Dates=H","DateFormat=P","Fill=—","Direction=H","UseDPDF=Y")</f>
        <v>782.93</v>
      </c>
      <c r="Z46" s="16" cm="1">
        <f t="array" ref="Z46">_xll.BDH("CMI US Equity","EARN_FOR_COMMON","FQ4 2024","FQ4 2024","Currency=USD","Period=FQ","BEST_FPERIOD_OVERRIDE=FQ","FILING_STATUS=MR","SCALING_FORMAT=MLN","FA_ADJUSTED=Adjusted","Sort=A","Dates=H","DateFormat=P","Fill=—","Direction=H","UseDPDF=Y")</f>
        <v>449.6</v>
      </c>
      <c r="AA46" s="16" cm="1">
        <f t="array" ref="AA46">_xll.BDH("CMI US Equity","EARN_FOR_COMMON","FQ1 2025","FQ1 2025","Currency=USD","Period=FQ","BEST_FPERIOD_OVERRIDE=FQ","FILING_STATUS=MR","SCALING_FORMAT=MLN","FA_ADJUSTED=Adjusted","Sort=A","Dates=H","DateFormat=P","Fill=—","Direction=H","UseDPDF=Y")</f>
        <v>824</v>
      </c>
      <c r="AB46" s="16" cm="1">
        <f t="array" ref="AB46">_xll.BDH("CMI US Equity","EARN_FOR_COMMON","FQ2 2025","FQ2 2025","Currency=USD","Period=FQ","BEST_FPERIOD_OVERRIDE=FQ","FILING_STATUS=MR","SCALING_FORMAT=MLN","FA_ADJUSTED=Adjusted","Sort=A","Dates=H","DateFormat=P","Fill=—","Direction=H","UseDPDF=Y")</f>
        <v>875.78</v>
      </c>
      <c r="AC46" s="16" cm="1">
        <f t="array" ref="AC46">_xll.BDH("CMI US Equity","EARN_FOR_COMMON","FQ3 2025","FQ3 2025","Currency=USD","Period=FQ","BEST_FPERIOD_OVERRIDE=FQ","FILING_STATUS=MR","SCALING_FORMAT=MLN","FA_ADJUSTED=Adjusted","Sort=A","Dates=H","DateFormat=P","Fill=—","Direction=H","UseDPDF=Y")</f>
        <v>522.57000000000005</v>
      </c>
      <c r="AD46" s="16" cm="1">
        <f t="array" ref="AD46">_xll.BDH("CMI US Equity","EARN_FOR_COMMON","FQ4 2025","FQ4 2025","Currency=USD","Period=FQ","BEST_FPERIOD_OVERRIDE=FQ","FILING_STATUS=MR","SCALING_FORMAT=MLN","FA_ADJUSTED=Adjusted","Sort=A","Dates=H","DateFormat=P","Fill=—","Direction=H","UseDPDF=Y")</f>
        <v>765.22</v>
      </c>
      <c r="AE46" s="16">
        <v>779.4</v>
      </c>
      <c r="AF46" s="16">
        <v>898.56299999999999</v>
      </c>
    </row>
    <row r="47" spans="1:32" x14ac:dyDescent="0.25">
      <c r="A47" s="10" t="s">
        <v>143</v>
      </c>
      <c r="B47" s="10" t="s">
        <v>144</v>
      </c>
      <c r="C47" s="13" cm="1">
        <f t="array" ref="C47">_xll.BDH("CMI US Equity","IS_NET_ABNORMAL_ITEMS","FQ1 2019","FQ1 2019","Currency=USD","Period=FQ","BEST_FPERIOD_OVERRIDE=FQ","FILING_STATUS=MR","SCALING_FORMAT=MLN","Sort=A","Dates=H","DateFormat=P","Fill=—","Direction=H","UseDPDF=Y")</f>
        <v>-3.95</v>
      </c>
      <c r="D47" s="13" cm="1">
        <f t="array" ref="D47">_xll.BDH("CMI US Equity","IS_NET_ABNORMAL_ITEMS","FQ2 2019","FQ2 2019","Currency=USD","Period=FQ","BEST_FPERIOD_OVERRIDE=FQ","FILING_STATUS=MR","SCALING_FORMAT=MLN","Sort=A","Dates=H","DateFormat=P","Fill=—","Direction=H","UseDPDF=Y")</f>
        <v>-14.22</v>
      </c>
      <c r="E47" s="13" cm="1">
        <f t="array" ref="E47">_xll.BDH("CMI US Equity","IS_NET_ABNORMAL_ITEMS","FQ3 2019","FQ3 2019","Currency=USD","Period=FQ","BEST_FPERIOD_OVERRIDE=FQ","FILING_STATUS=MR","SCALING_FORMAT=MLN","Sort=A","Dates=H","DateFormat=P","Fill=—","Direction=H","UseDPDF=Y")</f>
        <v>-33.619999999999997</v>
      </c>
      <c r="F47" s="13" cm="1">
        <f t="array" ref="F47">_xll.BDH("CMI US Equity","IS_NET_ABNORMAL_ITEMS","FQ4 2019","FQ4 2019","Currency=USD","Period=FQ","BEST_FPERIOD_OVERRIDE=FQ","FILING_STATUS=MR","SCALING_FORMAT=MLN","Sort=A","Dates=H","DateFormat=P","Fill=—","Direction=H","UseDPDF=Y")</f>
        <v>91.53</v>
      </c>
      <c r="G47" s="13" cm="1">
        <f t="array" ref="G47">_xll.BDH("CMI US Equity","IS_NET_ABNORMAL_ITEMS","FQ1 2020","FQ1 2020","Currency=USD","Period=FQ","BEST_FPERIOD_OVERRIDE=FQ","FILING_STATUS=MR","SCALING_FORMAT=MLN","Sort=A","Dates=H","DateFormat=P","Fill=—","Direction=H","UseDPDF=Y")</f>
        <v>-88.55</v>
      </c>
      <c r="H47" s="13" cm="1">
        <f t="array" ref="H47">_xll.BDH("CMI US Equity","IS_NET_ABNORMAL_ITEMS","FQ2 2020","FQ2 2020","Currency=USD","Period=FQ","BEST_FPERIOD_OVERRIDE=FQ","FILING_STATUS=MR","SCALING_FORMAT=MLN","Sort=A","Dates=H","DateFormat=P","Fill=—","Direction=H","UseDPDF=Y")</f>
        <v>-28.66</v>
      </c>
      <c r="I47" s="13" cm="1">
        <f t="array" ref="I47">_xll.BDH("CMI US Equity","IS_NET_ABNORMAL_ITEMS","FQ3 2020","FQ3 2020","Currency=USD","Period=FQ","BEST_FPERIOD_OVERRIDE=FQ","FILING_STATUS=MR","SCALING_FORMAT=MLN","Sort=A","Dates=H","DateFormat=P","Fill=—","Direction=H","UseDPDF=Y")</f>
        <v>18.36</v>
      </c>
      <c r="J47" s="13" cm="1">
        <f t="array" ref="J47">_xll.BDH("CMI US Equity","IS_NET_ABNORMAL_ITEMS","FQ4 2020","FQ4 2020","Currency=USD","Period=FQ","BEST_FPERIOD_OVERRIDE=FQ","FILING_STATUS=MR","SCALING_FORMAT=MLN","Sort=A","Dates=H","DateFormat=P","Fill=—","Direction=H","UseDPDF=Y")</f>
        <v>-6.53</v>
      </c>
      <c r="K47" s="13" cm="1">
        <f t="array" ref="K47">_xll.BDH("CMI US Equity","IS_NET_ABNORMAL_ITEMS","FQ1 2021","FQ1 2021","Currency=USD","Period=FQ","BEST_FPERIOD_OVERRIDE=FQ","FILING_STATUS=MR","SCALING_FORMAT=MLN","Sort=A","Dates=H","DateFormat=P","Fill=—","Direction=H","UseDPDF=Y")</f>
        <v>-1.63</v>
      </c>
      <c r="L47" s="13" cm="1">
        <f t="array" ref="L47">_xll.BDH("CMI US Equity","IS_NET_ABNORMAL_ITEMS","FQ2 2021","FQ2 2021","Currency=USD","Period=FQ","BEST_FPERIOD_OVERRIDE=FQ","FILING_STATUS=MR","SCALING_FORMAT=MLN","Sort=A","Dates=H","DateFormat=P","Fill=—","Direction=H","UseDPDF=Y")</f>
        <v>-8.8000000000000007</v>
      </c>
      <c r="M47" s="13" cm="1">
        <f t="array" ref="M47">_xll.BDH("CMI US Equity","IS_NET_ABNORMAL_ITEMS","FQ3 2021","FQ3 2021","Currency=USD","Period=FQ","BEST_FPERIOD_OVERRIDE=FQ","FILING_STATUS=MR","SCALING_FORMAT=MLN","Sort=A","Dates=H","DateFormat=P","Fill=—","Direction=H","UseDPDF=Y")</f>
        <v>-12.58</v>
      </c>
      <c r="N47" s="13" cm="1">
        <f t="array" ref="N47">_xll.BDH("CMI US Equity","IS_NET_ABNORMAL_ITEMS","FQ4 2021","FQ4 2021","Currency=USD","Period=FQ","BEST_FPERIOD_OVERRIDE=FQ","FILING_STATUS=MR","SCALING_FORMAT=MLN","Sort=A","Dates=H","DateFormat=P","Fill=—","Direction=H","UseDPDF=Y")</f>
        <v>17</v>
      </c>
      <c r="O47" s="13" cm="1">
        <f t="array" ref="O47">_xll.BDH("CMI US Equity","IS_NET_ABNORMAL_ITEMS","FQ1 2022","FQ1 2022","Currency=USD","Period=FQ","BEST_FPERIOD_OVERRIDE=FQ","FILING_STATUS=MR","SCALING_FORMAT=MLN","Sort=A","Dates=H","DateFormat=P","Fill=—","Direction=H","UseDPDF=Y")</f>
        <v>7.16</v>
      </c>
      <c r="P47" s="13" cm="1">
        <f t="array" ref="P47">_xll.BDH("CMI US Equity","IS_NET_ABNORMAL_ITEMS","FQ2 2022","FQ2 2022","Currency=USD","Period=FQ","BEST_FPERIOD_OVERRIDE=FQ","FILING_STATUS=MR","SCALING_FORMAT=MLN","Sort=A","Dates=H","DateFormat=P","Fill=—","Direction=H","UseDPDF=Y")</f>
        <v>73.92</v>
      </c>
      <c r="Q47" s="13" cm="1">
        <f t="array" ref="Q47">_xll.BDH("CMI US Equity","IS_NET_ABNORMAL_ITEMS","FQ3 2022","FQ3 2022","Currency=USD","Period=FQ","BEST_FPERIOD_OVERRIDE=FQ","FILING_STATUS=MR","SCALING_FORMAT=MLN","Sort=A","Dates=H","DateFormat=P","Fill=—","Direction=H","UseDPDF=Y")</f>
        <v>-57</v>
      </c>
      <c r="R47" s="13" cm="1">
        <f t="array" ref="R47">_xll.BDH("CMI US Equity","IS_NET_ABNORMAL_ITEMS","FQ4 2022","FQ4 2022","Currency=USD","Period=FQ","BEST_FPERIOD_OVERRIDE=FQ","FILING_STATUS=MR","SCALING_FORMAT=MLN","Sort=A","Dates=H","DateFormat=P","Fill=—","Direction=H","UseDPDF=Y")</f>
        <v>0</v>
      </c>
      <c r="S47" s="13" cm="1">
        <f t="array" ref="S47">_xll.BDH("CMI US Equity","IS_NET_ABNORMAL_ITEMS","FQ1 2023","FQ1 2023","Currency=USD","Period=FQ","BEST_FPERIOD_OVERRIDE=FQ","FILING_STATUS=MR","SCALING_FORMAT=MLN","Sort=A","Dates=H","DateFormat=P","Fill=—","Direction=H","UseDPDF=Y")</f>
        <v>0.79</v>
      </c>
      <c r="T47" s="13" cm="1">
        <f t="array" ref="T47">_xll.BDH("CMI US Equity","IS_NET_ABNORMAL_ITEMS","FQ2 2023","FQ2 2023","Currency=USD","Period=FQ","BEST_FPERIOD_OVERRIDE=FQ","FILING_STATUS=MR","SCALING_FORMAT=MLN","Sort=A","Dates=H","DateFormat=P","Fill=—","Direction=H","UseDPDF=Y")</f>
        <v>2.37</v>
      </c>
      <c r="U47" s="13" cm="1">
        <f t="array" ref="U47">_xll.BDH("CMI US Equity","IS_NET_ABNORMAL_ITEMS","FQ3 2023","FQ3 2023","Currency=USD","Period=FQ","BEST_FPERIOD_OVERRIDE=FQ","FILING_STATUS=MR","SCALING_FORMAT=MLN","Sort=A","Dates=H","DateFormat=P","Fill=—","Direction=H","UseDPDF=Y")</f>
        <v>49.314</v>
      </c>
      <c r="V47" s="13" cm="1">
        <f t="array" ref="V47">_xll.BDH("CMI US Equity","IS_NET_ABNORMAL_ITEMS","FQ4 2023","FQ4 2023","Currency=USD","Period=FQ","BEST_FPERIOD_OVERRIDE=FQ","FILING_STATUS=MR","SCALING_FORMAT=MLN","Sort=A","Dates=H","DateFormat=P","Fill=—","Direction=H","UseDPDF=Y")</f>
        <v>0</v>
      </c>
      <c r="W47" s="13" cm="1">
        <f t="array" ref="W47">_xll.BDH("CMI US Equity","IS_NET_ABNORMAL_ITEMS","FQ1 2024","FQ1 2024","Currency=USD","Period=FQ","BEST_FPERIOD_OVERRIDE=FQ","FILING_STATUS=MR","SCALING_FORMAT=MLN","Sort=A","Dates=H","DateFormat=P","Fill=—","Direction=H","UseDPDF=Y")</f>
        <v>-1007.25</v>
      </c>
      <c r="X47" s="13" cm="1">
        <f t="array" ref="X47">_xll.BDH("CMI US Equity","IS_NET_ABNORMAL_ITEMS","FQ2 2024","FQ2 2024","Currency=USD","Period=FQ","BEST_FPERIOD_OVERRIDE=FQ","FILING_STATUS=MR","SCALING_FORMAT=MLN","Sort=A","Dates=H","DateFormat=P","Fill=—","Direction=H","UseDPDF=Y")</f>
        <v>1.58</v>
      </c>
      <c r="Y47" s="13" cm="1">
        <f t="array" ref="Y47">_xll.BDH("CMI US Equity","IS_NET_ABNORMAL_ITEMS","FQ3 2024","FQ3 2024","Currency=USD","Period=FQ","BEST_FPERIOD_OVERRIDE=FQ","FILING_STATUS=MR","SCALING_FORMAT=MLN","Sort=A","Dates=H","DateFormat=P","Fill=—","Direction=H","UseDPDF=Y")</f>
        <v>-26.07</v>
      </c>
      <c r="Z47" s="13" cm="1">
        <f t="array" ref="Z47">_xll.BDH("CMI US Equity","IS_NET_ABNORMAL_ITEMS","FQ4 2024","FQ4 2024","Currency=USD","Period=FQ","BEST_FPERIOD_OVERRIDE=FQ","FILING_STATUS=MR","SCALING_FORMAT=MLN","Sort=A","Dates=H","DateFormat=P","Fill=—","Direction=H","UseDPDF=Y")</f>
        <v>31.6</v>
      </c>
      <c r="AA47" s="13" cm="1">
        <f t="array" ref="AA47">_xll.BDH("CMI US Equity","IS_NET_ABNORMAL_ITEMS","FQ1 2025","FQ1 2025","Currency=USD","Period=FQ","BEST_FPERIOD_OVERRIDE=FQ","FILING_STATUS=MR","SCALING_FORMAT=MLN","Sort=A","Dates=H","DateFormat=P","Fill=—","Direction=H","UseDPDF=Y")</f>
        <v>0</v>
      </c>
      <c r="AB47" s="13" cm="1">
        <f t="array" ref="AB47">_xll.BDH("CMI US Equity","IS_NET_ABNORMAL_ITEMS","FQ2 2025","FQ2 2025","Currency=USD","Period=FQ","BEST_FPERIOD_OVERRIDE=FQ","FILING_STATUS=MR","SCALING_FORMAT=MLN","Sort=A","Dates=H","DateFormat=P","Fill=—","Direction=H","UseDPDF=Y")</f>
        <v>-14.22</v>
      </c>
      <c r="AC47" s="13" cm="1">
        <f t="array" ref="AC47">_xll.BDH("CMI US Equity","IS_NET_ABNORMAL_ITEMS","FQ3 2025","FQ3 2025","Currency=USD","Period=FQ","BEST_FPERIOD_OVERRIDE=FQ","FILING_STATUS=MR","SCALING_FORMAT=MLN","Sort=A","Dates=H","DateFormat=P","Fill=—","Direction=H","UseDPDF=Y")</f>
        <v>-13.43</v>
      </c>
      <c r="AD47" s="13" cm="1">
        <f t="array" ref="AD47">_xll.BDH("CMI US Equity","IS_NET_ABNORMAL_ITEMS","FQ4 2025","FQ4 2025","Currency=USD","Period=FQ","BEST_FPERIOD_OVERRIDE=FQ","FILING_STATUS=MR","SCALING_FORMAT=MLN","Sort=A","Dates=H","DateFormat=P","Fill=—","Direction=H","UseDPDF=Y")</f>
        <v>172.22</v>
      </c>
      <c r="AE47" s="13"/>
      <c r="AF47" s="13"/>
    </row>
    <row r="48" spans="1:32" x14ac:dyDescent="0.25">
      <c r="A48" s="10" t="s">
        <v>145</v>
      </c>
      <c r="B48" s="10" t="s">
        <v>125</v>
      </c>
      <c r="C48" s="13" cm="1">
        <f t="array" ref="C48">_xll.BDH("CMI US Equity","XO_GL_NET_OF_TAX","FQ1 2019","FQ1 2019","Currency=USD","Period=FQ","BEST_FPERIOD_OVERRIDE=FQ","FILING_STATUS=MR","SCALING_FORMAT=MLN","Sort=A","Dates=H","DateFormat=P","Fill=—","Direction=H","UseDPDF=Y")</f>
        <v>0</v>
      </c>
      <c r="D48" s="13" cm="1">
        <f t="array" ref="D48">_xll.BDH("CMI US Equity","XO_GL_NET_OF_TAX","FQ2 2019","FQ2 2019","Currency=USD","Period=FQ","BEST_FPERIOD_OVERRIDE=FQ","FILING_STATUS=MR","SCALING_FORMAT=MLN","Sort=A","Dates=H","DateFormat=P","Fill=—","Direction=H","UseDPDF=Y")</f>
        <v>0</v>
      </c>
      <c r="E48" s="13" cm="1">
        <f t="array" ref="E48">_xll.BDH("CMI US Equity","XO_GL_NET_OF_TAX","FQ3 2019","FQ3 2019","Currency=USD","Period=FQ","BEST_FPERIOD_OVERRIDE=FQ","FILING_STATUS=MR","SCALING_FORMAT=MLN","Sort=A","Dates=H","DateFormat=P","Fill=—","Direction=H","UseDPDF=Y")</f>
        <v>0</v>
      </c>
      <c r="F48" s="13" cm="1">
        <f t="array" ref="F48">_xll.BDH("CMI US Equity","XO_GL_NET_OF_TAX","FQ4 2019","FQ4 2019","Currency=USD","Period=FQ","BEST_FPERIOD_OVERRIDE=FQ","FILING_STATUS=MR","SCALING_FORMAT=MLN","Sort=A","Dates=H","DateFormat=P","Fill=—","Direction=H","UseDPDF=Y")</f>
        <v>0</v>
      </c>
      <c r="G48" s="13" cm="1">
        <f t="array" ref="G48">_xll.BDH("CMI US Equity","XO_GL_NET_OF_TAX","FQ1 2020","FQ1 2020","Currency=USD","Period=FQ","BEST_FPERIOD_OVERRIDE=FQ","FILING_STATUS=MR","SCALING_FORMAT=MLN","Sort=A","Dates=H","DateFormat=P","Fill=—","Direction=H","UseDPDF=Y")</f>
        <v>0</v>
      </c>
      <c r="H48" s="13" cm="1">
        <f t="array" ref="H48">_xll.BDH("CMI US Equity","XO_GL_NET_OF_TAX","FQ2 2020","FQ2 2020","Currency=USD","Period=FQ","BEST_FPERIOD_OVERRIDE=FQ","FILING_STATUS=MR","SCALING_FORMAT=MLN","Sort=A","Dates=H","DateFormat=P","Fill=—","Direction=H","UseDPDF=Y")</f>
        <v>0</v>
      </c>
      <c r="I48" s="13" cm="1">
        <f t="array" ref="I48">_xll.BDH("CMI US Equity","XO_GL_NET_OF_TAX","FQ3 2020","FQ3 2020","Currency=USD","Period=FQ","BEST_FPERIOD_OVERRIDE=FQ","FILING_STATUS=MR","SCALING_FORMAT=MLN","Sort=A","Dates=H","DateFormat=P","Fill=—","Direction=H","UseDPDF=Y")</f>
        <v>0</v>
      </c>
      <c r="J48" s="13" cm="1">
        <f t="array" ref="J48">_xll.BDH("CMI US Equity","XO_GL_NET_OF_TAX","FQ4 2020","FQ4 2020","Currency=USD","Period=FQ","BEST_FPERIOD_OVERRIDE=FQ","FILING_STATUS=MR","SCALING_FORMAT=MLN","Sort=A","Dates=H","DateFormat=P","Fill=—","Direction=H","UseDPDF=Y")</f>
        <v>0</v>
      </c>
      <c r="K48" s="13" cm="1">
        <f t="array" ref="K48">_xll.BDH("CMI US Equity","XO_GL_NET_OF_TAX","FQ1 2021","FQ1 2021","Currency=USD","Period=FQ","BEST_FPERIOD_OVERRIDE=FQ","FILING_STATUS=MR","SCALING_FORMAT=MLN","Sort=A","Dates=H","DateFormat=P","Fill=—","Direction=H","UseDPDF=Y")</f>
        <v>0</v>
      </c>
      <c r="L48" s="13" cm="1">
        <f t="array" ref="L48">_xll.BDH("CMI US Equity","XO_GL_NET_OF_TAX","FQ2 2021","FQ2 2021","Currency=USD","Period=FQ","BEST_FPERIOD_OVERRIDE=FQ","FILING_STATUS=MR","SCALING_FORMAT=MLN","Sort=A","Dates=H","DateFormat=P","Fill=—","Direction=H","UseDPDF=Y")</f>
        <v>0</v>
      </c>
      <c r="M48" s="13" cm="1">
        <f t="array" ref="M48">_xll.BDH("CMI US Equity","XO_GL_NET_OF_TAX","FQ3 2021","FQ3 2021","Currency=USD","Period=FQ","BEST_FPERIOD_OVERRIDE=FQ","FILING_STATUS=MR","SCALING_FORMAT=MLN","Sort=A","Dates=H","DateFormat=P","Fill=—","Direction=H","UseDPDF=Y")</f>
        <v>0</v>
      </c>
      <c r="N48" s="13" cm="1">
        <f t="array" ref="N48">_xll.BDH("CMI US Equity","XO_GL_NET_OF_TAX","FQ4 2021","FQ4 2021","Currency=USD","Period=FQ","BEST_FPERIOD_OVERRIDE=FQ","FILING_STATUS=MR","SCALING_FORMAT=MLN","Sort=A","Dates=H","DateFormat=P","Fill=—","Direction=H","UseDPDF=Y")</f>
        <v>0</v>
      </c>
      <c r="O48" s="13" cm="1">
        <f t="array" ref="O48">_xll.BDH("CMI US Equity","XO_GL_NET_OF_TAX","FQ1 2022","FQ1 2022","Currency=USD","Period=FQ","BEST_FPERIOD_OVERRIDE=FQ","FILING_STATUS=MR","SCALING_FORMAT=MLN","Sort=A","Dates=H","DateFormat=P","Fill=—","Direction=H","UseDPDF=Y")</f>
        <v>0</v>
      </c>
      <c r="P48" s="13" cm="1">
        <f t="array" ref="P48">_xll.BDH("CMI US Equity","XO_GL_NET_OF_TAX","FQ2 2022","FQ2 2022","Currency=USD","Period=FQ","BEST_FPERIOD_OVERRIDE=FQ","FILING_STATUS=MR","SCALING_FORMAT=MLN","Sort=A","Dates=H","DateFormat=P","Fill=—","Direction=H","UseDPDF=Y")</f>
        <v>0</v>
      </c>
      <c r="Q48" s="13" cm="1">
        <f t="array" ref="Q48">_xll.BDH("CMI US Equity","XO_GL_NET_OF_TAX","FQ3 2022","FQ3 2022","Currency=USD","Period=FQ","BEST_FPERIOD_OVERRIDE=FQ","FILING_STATUS=MR","SCALING_FORMAT=MLN","Sort=A","Dates=H","DateFormat=P","Fill=—","Direction=H","UseDPDF=Y")</f>
        <v>0</v>
      </c>
      <c r="R48" s="13" cm="1">
        <f t="array" ref="R48">_xll.BDH("CMI US Equity","XO_GL_NET_OF_TAX","FQ4 2022","FQ4 2022","Currency=USD","Period=FQ","BEST_FPERIOD_OVERRIDE=FQ","FILING_STATUS=MR","SCALING_FORMAT=MLN","Sort=A","Dates=H","DateFormat=P","Fill=—","Direction=H","UseDPDF=Y")</f>
        <v>0</v>
      </c>
      <c r="S48" s="13" cm="1">
        <f t="array" ref="S48">_xll.BDH("CMI US Equity","XO_GL_NET_OF_TAX","FQ1 2023","FQ1 2023","Currency=USD","Period=FQ","BEST_FPERIOD_OVERRIDE=FQ","FILING_STATUS=MR","SCALING_FORMAT=MLN","Sort=A","Dates=H","DateFormat=P","Fill=—","Direction=H","UseDPDF=Y")</f>
        <v>0</v>
      </c>
      <c r="T48" s="13" cm="1">
        <f t="array" ref="T48">_xll.BDH("CMI US Equity","XO_GL_NET_OF_TAX","FQ2 2023","FQ2 2023","Currency=USD","Period=FQ","BEST_FPERIOD_OVERRIDE=FQ","FILING_STATUS=MR","SCALING_FORMAT=MLN","Sort=A","Dates=H","DateFormat=P","Fill=—","Direction=H","UseDPDF=Y")</f>
        <v>0</v>
      </c>
      <c r="U48" s="13" cm="1">
        <f t="array" ref="U48">_xll.BDH("CMI US Equity","XO_GL_NET_OF_TAX","FQ3 2023","FQ3 2023","Currency=USD","Period=FQ","BEST_FPERIOD_OVERRIDE=FQ","FILING_STATUS=MR","SCALING_FORMAT=MLN","Sort=A","Dates=H","DateFormat=P","Fill=—","Direction=H","UseDPDF=Y")</f>
        <v>0</v>
      </c>
      <c r="V48" s="13" cm="1">
        <f t="array" ref="V48">_xll.BDH("CMI US Equity","XO_GL_NET_OF_TAX","FQ4 2023","FQ4 2023","Currency=USD","Period=FQ","BEST_FPERIOD_OVERRIDE=FQ","FILING_STATUS=MR","SCALING_FORMAT=MLN","Sort=A","Dates=H","DateFormat=P","Fill=—","Direction=H","UseDPDF=Y")</f>
        <v>0</v>
      </c>
      <c r="W48" s="13" cm="1">
        <f t="array" ref="W48">_xll.BDH("CMI US Equity","XO_GL_NET_OF_TAX","FQ1 2024","FQ1 2024","Currency=USD","Period=FQ","BEST_FPERIOD_OVERRIDE=FQ","FILING_STATUS=MR","SCALING_FORMAT=MLN","Sort=A","Dates=H","DateFormat=P","Fill=—","Direction=H","UseDPDF=Y")</f>
        <v>0</v>
      </c>
      <c r="X48" s="13" cm="1">
        <f t="array" ref="X48">_xll.BDH("CMI US Equity","XO_GL_NET_OF_TAX","FQ2 2024","FQ2 2024","Currency=USD","Period=FQ","BEST_FPERIOD_OVERRIDE=FQ","FILING_STATUS=MR","SCALING_FORMAT=MLN","Sort=A","Dates=H","DateFormat=P","Fill=—","Direction=H","UseDPDF=Y")</f>
        <v>0</v>
      </c>
      <c r="Y48" s="13" cm="1">
        <f t="array" ref="Y48">_xll.BDH("CMI US Equity","XO_GL_NET_OF_TAX","FQ3 2024","FQ3 2024","Currency=USD","Period=FQ","BEST_FPERIOD_OVERRIDE=FQ","FILING_STATUS=MR","SCALING_FORMAT=MLN","Sort=A","Dates=H","DateFormat=P","Fill=—","Direction=H","UseDPDF=Y")</f>
        <v>0</v>
      </c>
      <c r="Z48" s="13" cm="1">
        <f t="array" ref="Z48">_xll.BDH("CMI US Equity","XO_GL_NET_OF_TAX","FQ4 2024","FQ4 2024","Currency=USD","Period=FQ","BEST_FPERIOD_OVERRIDE=FQ","FILING_STATUS=MR","SCALING_FORMAT=MLN","Sort=A","Dates=H","DateFormat=P","Fill=—","Direction=H","UseDPDF=Y")</f>
        <v>0</v>
      </c>
      <c r="AA48" s="13" cm="1">
        <f t="array" ref="AA48">_xll.BDH("CMI US Equity","XO_GL_NET_OF_TAX","FQ1 2025","FQ1 2025","Currency=USD","Period=FQ","BEST_FPERIOD_OVERRIDE=FQ","FILING_STATUS=MR","SCALING_FORMAT=MLN","Sort=A","Dates=H","DateFormat=P","Fill=—","Direction=H","UseDPDF=Y")</f>
        <v>0</v>
      </c>
      <c r="AB48" s="13" cm="1">
        <f t="array" ref="AB48">_xll.BDH("CMI US Equity","XO_GL_NET_OF_TAX","FQ2 2025","FQ2 2025","Currency=USD","Period=FQ","BEST_FPERIOD_OVERRIDE=FQ","FILING_STATUS=MR","SCALING_FORMAT=MLN","Sort=A","Dates=H","DateFormat=P","Fill=—","Direction=H","UseDPDF=Y")</f>
        <v>0</v>
      </c>
      <c r="AC48" s="13" cm="1">
        <f t="array" ref="AC48">_xll.BDH("CMI US Equity","XO_GL_NET_OF_TAX","FQ3 2025","FQ3 2025","Currency=USD","Period=FQ","BEST_FPERIOD_OVERRIDE=FQ","FILING_STATUS=MR","SCALING_FORMAT=MLN","Sort=A","Dates=H","DateFormat=P","Fill=—","Direction=H","UseDPDF=Y")</f>
        <v>0</v>
      </c>
      <c r="AD48" s="13" cm="1">
        <f t="array" ref="AD48">_xll.BDH("CMI US Equity","XO_GL_NET_OF_TAX","FQ4 2025","FQ4 2025","Currency=USD","Period=FQ","BEST_FPERIOD_OVERRIDE=FQ","FILING_STATUS=MR","SCALING_FORMAT=MLN","Sort=A","Dates=H","DateFormat=P","Fill=—","Direction=H","UseDPDF=Y")</f>
        <v>0</v>
      </c>
      <c r="AE48" s="13"/>
      <c r="AF48" s="13"/>
    </row>
    <row r="49" spans="1:32" x14ac:dyDescent="0.25">
      <c r="A49" s="6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1:32" x14ac:dyDescent="0.25">
      <c r="A50" s="10" t="s">
        <v>146</v>
      </c>
      <c r="B50" s="10" t="s">
        <v>147</v>
      </c>
      <c r="C50" s="13" cm="1">
        <f t="array" ref="C50">_xll.BDH("CMI US Equity","IS_AVG_NUM_SH_FOR_EPS","FQ1 2019","FQ1 2019","Currency=USD","Period=FQ","BEST_FPERIOD_OVERRIDE=FQ","FILING_STATUS=MR","Sort=A","Dates=H","DateFormat=P","Fill=—","Direction=H","UseDPDF=Y")</f>
        <v>157.19999999999999</v>
      </c>
      <c r="D50" s="13" cm="1">
        <f t="array" ref="D50">_xll.BDH("CMI US Equity","IS_AVG_NUM_SH_FOR_EPS","FQ2 2019","FQ2 2019","Currency=USD","Period=FQ","BEST_FPERIOD_OVERRIDE=FQ","FILING_STATUS=MR","Sort=A","Dates=H","DateFormat=P","Fill=—","Direction=H","UseDPDF=Y")</f>
        <v>157.4</v>
      </c>
      <c r="E50" s="13" cm="1">
        <f t="array" ref="E50">_xll.BDH("CMI US Equity","IS_AVG_NUM_SH_FOR_EPS","FQ3 2019","FQ3 2019","Currency=USD","Period=FQ","BEST_FPERIOD_OVERRIDE=FQ","FILING_STATUS=MR","Sort=A","Dates=H","DateFormat=P","Fill=—","Direction=H","UseDPDF=Y")</f>
        <v>155.9</v>
      </c>
      <c r="F50" s="13" cm="1">
        <f t="array" ref="F50">_xll.BDH("CMI US Equity","IS_AVG_NUM_SH_FOR_EPS","FQ4 2019","FQ4 2019","Currency=USD","Period=FQ","BEST_FPERIOD_OVERRIDE=FQ","FILING_STATUS=MR","Sort=A","Dates=H","DateFormat=P","Fill=—","Direction=H","UseDPDF=Y")</f>
        <v>151.5</v>
      </c>
      <c r="G50" s="13" cm="1">
        <f t="array" ref="G50">_xll.BDH("CMI US Equity","IS_AVG_NUM_SH_FOR_EPS","FQ1 2020","FQ1 2020","Currency=USD","Period=FQ","BEST_FPERIOD_OVERRIDE=FQ","FILING_STATUS=MR","Sort=A","Dates=H","DateFormat=P","Fill=—","Direction=H","UseDPDF=Y")</f>
        <v>149.30000000000001</v>
      </c>
      <c r="H50" s="13" cm="1">
        <f t="array" ref="H50">_xll.BDH("CMI US Equity","IS_AVG_NUM_SH_FOR_EPS","FQ2 2020","FQ2 2020","Currency=USD","Period=FQ","BEST_FPERIOD_OVERRIDE=FQ","FILING_STATUS=MR","Sort=A","Dates=H","DateFormat=P","Fill=—","Direction=H","UseDPDF=Y")</f>
        <v>147.6</v>
      </c>
      <c r="I50" s="13" cm="1">
        <f t="array" ref="I50">_xll.BDH("CMI US Equity","IS_AVG_NUM_SH_FOR_EPS","FQ3 2020","FQ3 2020","Currency=USD","Period=FQ","BEST_FPERIOD_OVERRIDE=FQ","FILING_STATUS=MR","Sort=A","Dates=H","DateFormat=P","Fill=—","Direction=H","UseDPDF=Y")</f>
        <v>147.9</v>
      </c>
      <c r="J50" s="13" cm="1">
        <f t="array" ref="J50">_xll.BDH("CMI US Equity","IS_AVG_NUM_SH_FOR_EPS","FQ4 2020","FQ4 2020","Currency=USD","Period=FQ","BEST_FPERIOD_OVERRIDE=FQ","FILING_STATUS=MR","Sort=A","Dates=H","DateFormat=P","Fill=—","Direction=H","UseDPDF=Y")</f>
        <v>148</v>
      </c>
      <c r="K50" s="13" cm="1">
        <f t="array" ref="K50">_xll.BDH("CMI US Equity","IS_AVG_NUM_SH_FOR_EPS","FQ1 2021","FQ1 2021","Currency=USD","Period=FQ","BEST_FPERIOD_OVERRIDE=FQ","FILING_STATUS=MR","Sort=A","Dates=H","DateFormat=P","Fill=—","Direction=H","UseDPDF=Y")</f>
        <v>147</v>
      </c>
      <c r="L50" s="13" cm="1">
        <f t="array" ref="L50">_xll.BDH("CMI US Equity","IS_AVG_NUM_SH_FOR_EPS","FQ2 2021","FQ2 2021","Currency=USD","Period=FQ","BEST_FPERIOD_OVERRIDE=FQ","FILING_STATUS=MR","Sort=A","Dates=H","DateFormat=P","Fill=—","Direction=H","UseDPDF=Y")</f>
        <v>145.1</v>
      </c>
      <c r="M50" s="13" cm="1">
        <f t="array" ref="M50">_xll.BDH("CMI US Equity","IS_AVG_NUM_SH_FOR_EPS","FQ3 2021","FQ3 2021","Currency=USD","Period=FQ","BEST_FPERIOD_OVERRIDE=FQ","FILING_STATUS=MR","Sort=A","Dates=H","DateFormat=P","Fill=—","Direction=H","UseDPDF=Y")</f>
        <v>143.5</v>
      </c>
      <c r="N50" s="13" cm="1">
        <f t="array" ref="N50">_xll.BDH("CMI US Equity","IS_AVG_NUM_SH_FOR_EPS","FQ4 2021","FQ4 2021","Currency=USD","Period=FQ","BEST_FPERIOD_OVERRIDE=FQ","FILING_STATUS=MR","Sort=A","Dates=H","DateFormat=P","Fill=—","Direction=H","UseDPDF=Y")</f>
        <v>142.9</v>
      </c>
      <c r="O50" s="13" cm="1">
        <f t="array" ref="O50">_xll.BDH("CMI US Equity","IS_AVG_NUM_SH_FOR_EPS","FQ1 2022","FQ1 2022","Currency=USD","Period=FQ","BEST_FPERIOD_OVERRIDE=FQ","FILING_STATUS=MR","Sort=A","Dates=H","DateFormat=P","Fill=—","Direction=H","UseDPDF=Y")</f>
        <v>142.19999999999999</v>
      </c>
      <c r="P50" s="13" cm="1">
        <f t="array" ref="P50">_xll.BDH("CMI US Equity","IS_AVG_NUM_SH_FOR_EPS","FQ2 2022","FQ2 2022","Currency=USD","Period=FQ","BEST_FPERIOD_OVERRIDE=FQ","FILING_STATUS=MR","Sort=A","Dates=H","DateFormat=P","Fill=—","Direction=H","UseDPDF=Y")</f>
        <v>141.19999999999999</v>
      </c>
      <c r="Q50" s="13" cm="1">
        <f t="array" ref="Q50">_xll.BDH("CMI US Equity","IS_AVG_NUM_SH_FOR_EPS","FQ3 2022","FQ3 2022","Currency=USD","Period=FQ","BEST_FPERIOD_OVERRIDE=FQ","FILING_STATUS=MR","Sort=A","Dates=H","DateFormat=P","Fill=—","Direction=H","UseDPDF=Y")</f>
        <v>141.1</v>
      </c>
      <c r="R50" s="13" cm="1">
        <f t="array" ref="R50">_xll.BDH("CMI US Equity","IS_AVG_NUM_SH_FOR_EPS","FQ4 2022","FQ4 2022","Currency=USD","Period=FQ","BEST_FPERIOD_OVERRIDE=FQ","FILING_STATUS=MR","Sort=A","Dates=H","DateFormat=P","Fill=—","Direction=H","UseDPDF=Y")</f>
        <v>141.30000000000001</v>
      </c>
      <c r="S50" s="13" cm="1">
        <f t="array" ref="S50">_xll.BDH("CMI US Equity","IS_AVG_NUM_SH_FOR_EPS","FQ1 2023","FQ1 2023","Currency=USD","Period=FQ","BEST_FPERIOD_OVERRIDE=FQ","FILING_STATUS=MR","Sort=A","Dates=H","DateFormat=P","Fill=—","Direction=H","UseDPDF=Y")</f>
        <v>141.5</v>
      </c>
      <c r="T50" s="13" cm="1">
        <f t="array" ref="T50">_xll.BDH("CMI US Equity","IS_AVG_NUM_SH_FOR_EPS","FQ2 2023","FQ2 2023","Currency=USD","Period=FQ","BEST_FPERIOD_OVERRIDE=FQ","FILING_STATUS=MR","Sort=A","Dates=H","DateFormat=P","Fill=—","Direction=H","UseDPDF=Y")</f>
        <v>141.69999999999999</v>
      </c>
      <c r="U50" s="13" cm="1">
        <f t="array" ref="U50">_xll.BDH("CMI US Equity","IS_AVG_NUM_SH_FOR_EPS","FQ3 2023","FQ3 2023","Currency=USD","Period=FQ","BEST_FPERIOD_OVERRIDE=FQ","FILING_STATUS=MR","Sort=A","Dates=H","DateFormat=P","Fill=—","Direction=H","UseDPDF=Y")</f>
        <v>141.80000000000001</v>
      </c>
      <c r="V50" s="13" cm="1">
        <f t="array" ref="V50">_xll.BDH("CMI US Equity","IS_AVG_NUM_SH_FOR_EPS","FQ4 2023","FQ4 2023","Currency=USD","Period=FQ","BEST_FPERIOD_OVERRIDE=FQ","FILING_STATUS=MR","Sort=A","Dates=H","DateFormat=P","Fill=—","Direction=H","UseDPDF=Y")</f>
        <v>141.9</v>
      </c>
      <c r="W50" s="13" cm="1">
        <f t="array" ref="W50">_xll.BDH("CMI US Equity","IS_AVG_NUM_SH_FOR_EPS","FQ1 2024","FQ1 2024","Currency=USD","Period=FQ","BEST_FPERIOD_OVERRIDE=FQ","FILING_STATUS=MR","Sort=A","Dates=H","DateFormat=P","Fill=—","Direction=H","UseDPDF=Y")</f>
        <v>141.30000000000001</v>
      </c>
      <c r="X50" s="13" cm="1">
        <f t="array" ref="X50">_xll.BDH("CMI US Equity","IS_AVG_NUM_SH_FOR_EPS","FQ2 2024","FQ2 2024","Currency=USD","Period=FQ","BEST_FPERIOD_OVERRIDE=FQ","FILING_STATUS=MR","Sort=A","Dates=H","DateFormat=P","Fill=—","Direction=H","UseDPDF=Y")</f>
        <v>137.1</v>
      </c>
      <c r="Y50" s="13" cm="1">
        <f t="array" ref="Y50">_xll.BDH("CMI US Equity","IS_AVG_NUM_SH_FOR_EPS","FQ3 2024","FQ3 2024","Currency=USD","Period=FQ","BEST_FPERIOD_OVERRIDE=FQ","FILING_STATUS=MR","Sort=A","Dates=H","DateFormat=P","Fill=—","Direction=H","UseDPDF=Y")</f>
        <v>137.19999999999999</v>
      </c>
      <c r="Z50" s="13" cm="1">
        <f t="array" ref="Z50">_xll.BDH("CMI US Equity","IS_AVG_NUM_SH_FOR_EPS","FQ4 2024","FQ4 2024","Currency=USD","Period=FQ","BEST_FPERIOD_OVERRIDE=FQ","FILING_STATUS=MR","Sort=A","Dates=H","DateFormat=P","Fill=—","Direction=H","UseDPDF=Y")</f>
        <v>137.4</v>
      </c>
      <c r="AA50" s="13" cm="1">
        <f t="array" ref="AA50">_xll.BDH("CMI US Equity","IS_AVG_NUM_SH_FOR_EPS","FQ1 2025","FQ1 2025","Currency=USD","Period=FQ","BEST_FPERIOD_OVERRIDE=FQ","FILING_STATUS=MR","Sort=A","Dates=H","DateFormat=P","Fill=—","Direction=H","UseDPDF=Y")</f>
        <v>137.6</v>
      </c>
      <c r="AB50" s="13" cm="1">
        <f t="array" ref="AB50">_xll.BDH("CMI US Equity","IS_AVG_NUM_SH_FOR_EPS","FQ2 2025","FQ2 2025","Currency=USD","Period=FQ","BEST_FPERIOD_OVERRIDE=FQ","FILING_STATUS=MR","Sort=A","Dates=H","DateFormat=P","Fill=—","Direction=H","UseDPDF=Y")</f>
        <v>137.80000000000001</v>
      </c>
      <c r="AC50" s="13" cm="1">
        <f t="array" ref="AC50">_xll.BDH("CMI US Equity","IS_AVG_NUM_SH_FOR_EPS","FQ3 2025","FQ3 2025","Currency=USD","Period=FQ","BEST_FPERIOD_OVERRIDE=FQ","FILING_STATUS=MR","Sort=A","Dates=H","DateFormat=P","Fill=—","Direction=H","UseDPDF=Y")</f>
        <v>138</v>
      </c>
      <c r="AD50" s="13" cm="1">
        <f t="array" ref="AD50">_xll.BDH("CMI US Equity","IS_AVG_NUM_SH_FOR_EPS","FQ4 2025","FQ4 2025","Currency=USD","Period=FQ","BEST_FPERIOD_OVERRIDE=FQ","FILING_STATUS=MR","Sort=A","Dates=H","DateFormat=P","Fill=—","Direction=H","UseDPDF=Y")</f>
        <v>138.19999999999999</v>
      </c>
      <c r="AE50" s="13"/>
      <c r="AF50" s="13"/>
    </row>
    <row r="51" spans="1:32" x14ac:dyDescent="0.25">
      <c r="A51" s="6" t="s">
        <v>148</v>
      </c>
      <c r="B51" s="6" t="s">
        <v>149</v>
      </c>
      <c r="C51" s="17" cm="1">
        <f t="array" ref="C51">_xll.BDH("CMI US Equity","IS_EPS","FQ1 2019","FQ1 2019","Currency=USD","Period=FQ","BEST_FPERIOD_OVERRIDE=FQ","FILING_STATUS=MR","FA_ADJUSTED=GAAP","Sort=A","Dates=H","DateFormat=P","Fill=—","Direction=H","UseDPDF=Y")</f>
        <v>4.22</v>
      </c>
      <c r="D51" s="17" cm="1">
        <f t="array" ref="D51">_xll.BDH("CMI US Equity","IS_EPS","FQ2 2019","FQ2 2019","Currency=USD","Period=FQ","BEST_FPERIOD_OVERRIDE=FQ","FILING_STATUS=MR","FA_ADJUSTED=GAAP","Sort=A","Dates=H","DateFormat=P","Fill=—","Direction=H","UseDPDF=Y")</f>
        <v>4.29</v>
      </c>
      <c r="E51" s="17" cm="1">
        <f t="array" ref="E51">_xll.BDH("CMI US Equity","IS_EPS","FQ3 2019","FQ3 2019","Currency=USD","Period=FQ","BEST_FPERIOD_OVERRIDE=FQ","FILING_STATUS=MR","FA_ADJUSTED=GAAP","Sort=A","Dates=H","DateFormat=P","Fill=—","Direction=H","UseDPDF=Y")</f>
        <v>3.99</v>
      </c>
      <c r="F51" s="17" cm="1">
        <f t="array" ref="F51">_xll.BDH("CMI US Equity","IS_EPS","FQ4 2019","FQ4 2019","Currency=USD","Period=FQ","BEST_FPERIOD_OVERRIDE=FQ","FILING_STATUS=MR","FA_ADJUSTED=GAAP","Sort=A","Dates=H","DateFormat=P","Fill=—","Direction=H","UseDPDF=Y")</f>
        <v>1.98</v>
      </c>
      <c r="G51" s="17" cm="1">
        <f t="array" ref="G51">_xll.BDH("CMI US Equity","IS_EPS","FQ1 2020","FQ1 2020","Currency=USD","Period=FQ","BEST_FPERIOD_OVERRIDE=FQ","FILING_STATUS=MR","FA_ADJUSTED=GAAP","Sort=A","Dates=H","DateFormat=P","Fill=—","Direction=H","UseDPDF=Y")</f>
        <v>3.42</v>
      </c>
      <c r="H51" s="17" cm="1">
        <f t="array" ref="H51">_xll.BDH("CMI US Equity","IS_EPS","FQ2 2020","FQ2 2020","Currency=USD","Period=FQ","BEST_FPERIOD_OVERRIDE=FQ","FILING_STATUS=MR","FA_ADJUSTED=GAAP","Sort=A","Dates=H","DateFormat=P","Fill=—","Direction=H","UseDPDF=Y")</f>
        <v>1.87</v>
      </c>
      <c r="I51" s="17" cm="1">
        <f t="array" ref="I51">_xll.BDH("CMI US Equity","IS_EPS","FQ3 2020","FQ3 2020","Currency=USD","Period=FQ","BEST_FPERIOD_OVERRIDE=FQ","FILING_STATUS=MR","FA_ADJUSTED=GAAP","Sort=A","Dates=H","DateFormat=P","Fill=—","Direction=H","UseDPDF=Y")</f>
        <v>3.39</v>
      </c>
      <c r="J51" s="17" cm="1">
        <f t="array" ref="J51">_xll.BDH("CMI US Equity","IS_EPS","FQ4 2020","FQ4 2020","Currency=USD","Period=FQ","BEST_FPERIOD_OVERRIDE=FQ","FILING_STATUS=MR","FA_ADJUSTED=GAAP","Sort=A","Dates=H","DateFormat=P","Fill=—","Direction=H","UseDPDF=Y")</f>
        <v>3.39</v>
      </c>
      <c r="K51" s="17" cm="1">
        <f t="array" ref="K51">_xll.BDH("CMI US Equity","IS_EPS","FQ1 2021","FQ1 2021","Currency=USD","Period=FQ","BEST_FPERIOD_OVERRIDE=FQ","FILING_STATUS=MR","FA_ADJUSTED=GAAP","Sort=A","Dates=H","DateFormat=P","Fill=—","Direction=H","UseDPDF=Y")</f>
        <v>4.0999999999999996</v>
      </c>
      <c r="L51" s="17" cm="1">
        <f t="array" ref="L51">_xll.BDH("CMI US Equity","IS_EPS","FQ2 2021","FQ2 2021","Currency=USD","Period=FQ","BEST_FPERIOD_OVERRIDE=FQ","FILING_STATUS=MR","FA_ADJUSTED=GAAP","Sort=A","Dates=H","DateFormat=P","Fill=—","Direction=H","UseDPDF=Y")</f>
        <v>4.1399999999999997</v>
      </c>
      <c r="M51" s="17" cm="1">
        <f t="array" ref="M51">_xll.BDH("CMI US Equity","IS_EPS","FQ3 2021","FQ3 2021","Currency=USD","Period=FQ","BEST_FPERIOD_OVERRIDE=FQ","FILING_STATUS=MR","FA_ADJUSTED=GAAP","Sort=A","Dates=H","DateFormat=P","Fill=—","Direction=H","UseDPDF=Y")</f>
        <v>3.72</v>
      </c>
      <c r="N51" s="17" cm="1">
        <f t="array" ref="N51">_xll.BDH("CMI US Equity","IS_EPS","FQ4 2021","FQ4 2021","Currency=USD","Period=FQ","BEST_FPERIOD_OVERRIDE=FQ","FILING_STATUS=MR","FA_ADJUSTED=GAAP","Sort=A","Dates=H","DateFormat=P","Fill=—","Direction=H","UseDPDF=Y")</f>
        <v>2.76</v>
      </c>
      <c r="O51" s="17" cm="1">
        <f t="array" ref="O51">_xll.BDH("CMI US Equity","IS_EPS","FQ1 2022","FQ1 2022","Currency=USD","Period=FQ","BEST_FPERIOD_OVERRIDE=FQ","FILING_STATUS=MR","FA_ADJUSTED=GAAP","Sort=A","Dates=H","DateFormat=P","Fill=—","Direction=H","UseDPDF=Y")</f>
        <v>2.94</v>
      </c>
      <c r="P51" s="17" cm="1">
        <f t="array" ref="P51">_xll.BDH("CMI US Equity","IS_EPS","FQ2 2022","FQ2 2022","Currency=USD","Period=FQ","BEST_FPERIOD_OVERRIDE=FQ","FILING_STATUS=MR","FA_ADJUSTED=GAAP","Sort=A","Dates=H","DateFormat=P","Fill=—","Direction=H","UseDPDF=Y")</f>
        <v>4.97</v>
      </c>
      <c r="Q51" s="17" cm="1">
        <f t="array" ref="Q51">_xll.BDH("CMI US Equity","IS_EPS","FQ3 2022","FQ3 2022","Currency=USD","Period=FQ","BEST_FPERIOD_OVERRIDE=FQ","FILING_STATUS=MR","FA_ADJUSTED=GAAP","Sort=A","Dates=H","DateFormat=P","Fill=—","Direction=H","UseDPDF=Y")</f>
        <v>2.83</v>
      </c>
      <c r="R51" s="17" cm="1">
        <f t="array" ref="R51">_xll.BDH("CMI US Equity","IS_EPS","FQ4 2022","FQ4 2022","Currency=USD","Period=FQ","BEST_FPERIOD_OVERRIDE=FQ","FILING_STATUS=MR","FA_ADJUSTED=GAAP","Sort=A","Dates=H","DateFormat=P","Fill=—","Direction=H","UseDPDF=Y")</f>
        <v>4.47</v>
      </c>
      <c r="S51" s="17" cm="1">
        <f t="array" ref="S51">_xll.BDH("CMI US Equity","IS_EPS","FQ1 2023","FQ1 2023","Currency=USD","Period=FQ","BEST_FPERIOD_OVERRIDE=FQ","FILING_STATUS=MR","FA_ADJUSTED=GAAP","Sort=A","Dates=H","DateFormat=P","Fill=—","Direction=H","UseDPDF=Y")</f>
        <v>5.58</v>
      </c>
      <c r="T51" s="17" cm="1">
        <f t="array" ref="T51">_xll.BDH("CMI US Equity","IS_EPS","FQ2 2023","FQ2 2023","Currency=USD","Period=FQ","BEST_FPERIOD_OVERRIDE=FQ","FILING_STATUS=MR","FA_ADJUSTED=GAAP","Sort=A","Dates=H","DateFormat=P","Fill=—","Direction=H","UseDPDF=Y")</f>
        <v>5.08</v>
      </c>
      <c r="U51" s="17" cm="1">
        <f t="array" ref="U51">_xll.BDH("CMI US Equity","IS_EPS","FQ3 2023","FQ3 2023","Currency=USD","Period=FQ","BEST_FPERIOD_OVERRIDE=FQ","FILING_STATUS=MR","FA_ADJUSTED=GAAP","Sort=A","Dates=H","DateFormat=P","Fill=—","Direction=H","UseDPDF=Y")</f>
        <v>4.63</v>
      </c>
      <c r="V51" s="17" cm="1">
        <f t="array" ref="V51">_xll.BDH("CMI US Equity","IS_EPS","FQ4 2023","FQ4 2023","Currency=USD","Period=FQ","BEST_FPERIOD_OVERRIDE=FQ","FILING_STATUS=MR","FA_ADJUSTED=GAAP","Sort=A","Dates=H","DateFormat=P","Fill=—","Direction=H","UseDPDF=Y")</f>
        <v>-10.08</v>
      </c>
      <c r="W51" s="17" cm="1">
        <f t="array" ref="W51">_xll.BDH("CMI US Equity","IS_EPS","FQ1 2024","FQ1 2024","Currency=USD","Period=FQ","BEST_FPERIOD_OVERRIDE=FQ","FILING_STATUS=MR","FA_ADJUSTED=GAAP","Sort=A","Dates=H","DateFormat=P","Fill=—","Direction=H","UseDPDF=Y")</f>
        <v>14.1</v>
      </c>
      <c r="X51" s="17" cm="1">
        <f t="array" ref="X51">_xll.BDH("CMI US Equity","IS_EPS","FQ2 2024","FQ2 2024","Currency=USD","Period=FQ","BEST_FPERIOD_OVERRIDE=FQ","FILING_STATUS=MR","FA_ADJUSTED=GAAP","Sort=A","Dates=H","DateFormat=P","Fill=—","Direction=H","UseDPDF=Y")</f>
        <v>5.3</v>
      </c>
      <c r="Y51" s="17" cm="1">
        <f t="array" ref="Y51">_xll.BDH("CMI US Equity","IS_EPS","FQ3 2024","FQ3 2024","Currency=USD","Period=FQ","BEST_FPERIOD_OVERRIDE=FQ","FILING_STATUS=MR","FA_ADJUSTED=GAAP","Sort=A","Dates=H","DateFormat=P","Fill=—","Direction=H","UseDPDF=Y")</f>
        <v>5.9</v>
      </c>
      <c r="Z51" s="17" cm="1">
        <f t="array" ref="Z51">_xll.BDH("CMI US Equity","IS_EPS","FQ4 2024","FQ4 2024","Currency=USD","Period=FQ","BEST_FPERIOD_OVERRIDE=FQ","FILING_STATUS=MR","FA_ADJUSTED=GAAP","Sort=A","Dates=H","DateFormat=P","Fill=—","Direction=H","UseDPDF=Y")</f>
        <v>3.04</v>
      </c>
      <c r="AA51" s="17" cm="1">
        <f t="array" ref="AA51">_xll.BDH("CMI US Equity","IS_EPS","FQ1 2025","FQ1 2025","Currency=USD","Period=FQ","BEST_FPERIOD_OVERRIDE=FQ","FILING_STATUS=MR","FA_ADJUSTED=GAAP","Sort=A","Dates=H","DateFormat=P","Fill=—","Direction=H","UseDPDF=Y")</f>
        <v>5.99</v>
      </c>
      <c r="AB51" s="17" cm="1">
        <f t="array" ref="AB51">_xll.BDH("CMI US Equity","IS_EPS","FQ2 2025","FQ2 2025","Currency=USD","Period=FQ","BEST_FPERIOD_OVERRIDE=FQ","FILING_STATUS=MR","FA_ADJUSTED=GAAP","Sort=A","Dates=H","DateFormat=P","Fill=—","Direction=H","UseDPDF=Y")</f>
        <v>6.46</v>
      </c>
      <c r="AC51" s="17" cm="1">
        <f t="array" ref="AC51">_xll.BDH("CMI US Equity","IS_EPS","FQ3 2025","FQ3 2025","Currency=USD","Period=FQ","BEST_FPERIOD_OVERRIDE=FQ","FILING_STATUS=MR","FA_ADJUSTED=GAAP","Sort=A","Dates=H","DateFormat=P","Fill=—","Direction=H","UseDPDF=Y")</f>
        <v>3.88</v>
      </c>
      <c r="AD51" s="17" cm="1">
        <f t="array" ref="AD51">_xll.BDH("CMI US Equity","IS_EPS","FQ4 2025","FQ4 2025","Currency=USD","Period=FQ","BEST_FPERIOD_OVERRIDE=FQ","FILING_STATUS=MR","FA_ADJUSTED=GAAP","Sort=A","Dates=H","DateFormat=P","Fill=—","Direction=H","UseDPDF=Y")</f>
        <v>4.29</v>
      </c>
      <c r="AE51" s="17">
        <v>5.7</v>
      </c>
      <c r="AF51" s="17">
        <v>6.4859999999999998</v>
      </c>
    </row>
    <row r="52" spans="1:32" x14ac:dyDescent="0.25">
      <c r="A52" s="6" t="s">
        <v>150</v>
      </c>
      <c r="B52" s="6" t="s">
        <v>151</v>
      </c>
      <c r="C52" s="17" cm="1">
        <f t="array" ref="C52">_xll.BDH("CMI US Equity","IS_EARN_BEF_XO_ITEMS_PER_SH","FQ1 2019","FQ1 2019","Currency=USD","Period=FQ","BEST_FPERIOD_OVERRIDE=FQ","FILING_STATUS=MR","Sort=A","Dates=H","DateFormat=P","Fill=—","Direction=H","UseDPDF=Y")</f>
        <v>4.22</v>
      </c>
      <c r="D52" s="17" cm="1">
        <f t="array" ref="D52">_xll.BDH("CMI US Equity","IS_EARN_BEF_XO_ITEMS_PER_SH","FQ2 2019","FQ2 2019","Currency=USD","Period=FQ","BEST_FPERIOD_OVERRIDE=FQ","FILING_STATUS=MR","Sort=A","Dates=H","DateFormat=P","Fill=—","Direction=H","UseDPDF=Y")</f>
        <v>4.29</v>
      </c>
      <c r="E52" s="17" cm="1">
        <f t="array" ref="E52">_xll.BDH("CMI US Equity","IS_EARN_BEF_XO_ITEMS_PER_SH","FQ3 2019","FQ3 2019","Currency=USD","Period=FQ","BEST_FPERIOD_OVERRIDE=FQ","FILING_STATUS=MR","Sort=A","Dates=H","DateFormat=P","Fill=—","Direction=H","UseDPDF=Y")</f>
        <v>3.99</v>
      </c>
      <c r="F52" s="17" cm="1">
        <f t="array" ref="F52">_xll.BDH("CMI US Equity","IS_EARN_BEF_XO_ITEMS_PER_SH","FQ4 2019","FQ4 2019","Currency=USD","Period=FQ","BEST_FPERIOD_OVERRIDE=FQ","FILING_STATUS=MR","Sort=A","Dates=H","DateFormat=P","Fill=—","Direction=H","UseDPDF=Y")</f>
        <v>1.98</v>
      </c>
      <c r="G52" s="17" cm="1">
        <f t="array" ref="G52">_xll.BDH("CMI US Equity","IS_EARN_BEF_XO_ITEMS_PER_SH","FQ1 2020","FQ1 2020","Currency=USD","Period=FQ","BEST_FPERIOD_OVERRIDE=FQ","FILING_STATUS=MR","Sort=A","Dates=H","DateFormat=P","Fill=—","Direction=H","UseDPDF=Y")</f>
        <v>3.42</v>
      </c>
      <c r="H52" s="17" cm="1">
        <f t="array" ref="H52">_xll.BDH("CMI US Equity","IS_EARN_BEF_XO_ITEMS_PER_SH","FQ2 2020","FQ2 2020","Currency=USD","Period=FQ","BEST_FPERIOD_OVERRIDE=FQ","FILING_STATUS=MR","Sort=A","Dates=H","DateFormat=P","Fill=—","Direction=H","UseDPDF=Y")</f>
        <v>1.87</v>
      </c>
      <c r="I52" s="17" cm="1">
        <f t="array" ref="I52">_xll.BDH("CMI US Equity","IS_EARN_BEF_XO_ITEMS_PER_SH","FQ3 2020","FQ3 2020","Currency=USD","Period=FQ","BEST_FPERIOD_OVERRIDE=FQ","FILING_STATUS=MR","Sort=A","Dates=H","DateFormat=P","Fill=—","Direction=H","UseDPDF=Y")</f>
        <v>3.39</v>
      </c>
      <c r="J52" s="17" cm="1">
        <f t="array" ref="J52">_xll.BDH("CMI US Equity","IS_EARN_BEF_XO_ITEMS_PER_SH","FQ4 2020","FQ4 2020","Currency=USD","Period=FQ","BEST_FPERIOD_OVERRIDE=FQ","FILING_STATUS=MR","Sort=A","Dates=H","DateFormat=P","Fill=—","Direction=H","UseDPDF=Y")</f>
        <v>3.39</v>
      </c>
      <c r="K52" s="17" cm="1">
        <f t="array" ref="K52">_xll.BDH("CMI US Equity","IS_EARN_BEF_XO_ITEMS_PER_SH","FQ1 2021","FQ1 2021","Currency=USD","Period=FQ","BEST_FPERIOD_OVERRIDE=FQ","FILING_STATUS=MR","Sort=A","Dates=H","DateFormat=P","Fill=—","Direction=H","UseDPDF=Y")</f>
        <v>4.0999999999999996</v>
      </c>
      <c r="L52" s="17" cm="1">
        <f t="array" ref="L52">_xll.BDH("CMI US Equity","IS_EARN_BEF_XO_ITEMS_PER_SH","FQ2 2021","FQ2 2021","Currency=USD","Period=FQ","BEST_FPERIOD_OVERRIDE=FQ","FILING_STATUS=MR","Sort=A","Dates=H","DateFormat=P","Fill=—","Direction=H","UseDPDF=Y")</f>
        <v>4.1399999999999997</v>
      </c>
      <c r="M52" s="17" cm="1">
        <f t="array" ref="M52">_xll.BDH("CMI US Equity","IS_EARN_BEF_XO_ITEMS_PER_SH","FQ3 2021","FQ3 2021","Currency=USD","Period=FQ","BEST_FPERIOD_OVERRIDE=FQ","FILING_STATUS=MR","Sort=A","Dates=H","DateFormat=P","Fill=—","Direction=H","UseDPDF=Y")</f>
        <v>3.72</v>
      </c>
      <c r="N52" s="17" cm="1">
        <f t="array" ref="N52">_xll.BDH("CMI US Equity","IS_EARN_BEF_XO_ITEMS_PER_SH","FQ4 2021","FQ4 2021","Currency=USD","Period=FQ","BEST_FPERIOD_OVERRIDE=FQ","FILING_STATUS=MR","Sort=A","Dates=H","DateFormat=P","Fill=—","Direction=H","UseDPDF=Y")</f>
        <v>2.76</v>
      </c>
      <c r="O52" s="17" cm="1">
        <f t="array" ref="O52">_xll.BDH("CMI US Equity","IS_EARN_BEF_XO_ITEMS_PER_SH","FQ1 2022","FQ1 2022","Currency=USD","Period=FQ","BEST_FPERIOD_OVERRIDE=FQ","FILING_STATUS=MR","Sort=A","Dates=H","DateFormat=P","Fill=—","Direction=H","UseDPDF=Y")</f>
        <v>2.94</v>
      </c>
      <c r="P52" s="17" cm="1">
        <f t="array" ref="P52">_xll.BDH("CMI US Equity","IS_EARN_BEF_XO_ITEMS_PER_SH","FQ2 2022","FQ2 2022","Currency=USD","Period=FQ","BEST_FPERIOD_OVERRIDE=FQ","FILING_STATUS=MR","Sort=A","Dates=H","DateFormat=P","Fill=—","Direction=H","UseDPDF=Y")</f>
        <v>4.97</v>
      </c>
      <c r="Q52" s="17" cm="1">
        <f t="array" ref="Q52">_xll.BDH("CMI US Equity","IS_EARN_BEF_XO_ITEMS_PER_SH","FQ3 2022","FQ3 2022","Currency=USD","Period=FQ","BEST_FPERIOD_OVERRIDE=FQ","FILING_STATUS=MR","Sort=A","Dates=H","DateFormat=P","Fill=—","Direction=H","UseDPDF=Y")</f>
        <v>2.83</v>
      </c>
      <c r="R52" s="17" cm="1">
        <f t="array" ref="R52">_xll.BDH("CMI US Equity","IS_EARN_BEF_XO_ITEMS_PER_SH","FQ4 2022","FQ4 2022","Currency=USD","Period=FQ","BEST_FPERIOD_OVERRIDE=FQ","FILING_STATUS=MR","Sort=A","Dates=H","DateFormat=P","Fill=—","Direction=H","UseDPDF=Y")</f>
        <v>4.47</v>
      </c>
      <c r="S52" s="17" cm="1">
        <f t="array" ref="S52">_xll.BDH("CMI US Equity","IS_EARN_BEF_XO_ITEMS_PER_SH","FQ1 2023","FQ1 2023","Currency=USD","Period=FQ","BEST_FPERIOD_OVERRIDE=FQ","FILING_STATUS=MR","Sort=A","Dates=H","DateFormat=P","Fill=—","Direction=H","UseDPDF=Y")</f>
        <v>5.58</v>
      </c>
      <c r="T52" s="17" cm="1">
        <f t="array" ref="T52">_xll.BDH("CMI US Equity","IS_EARN_BEF_XO_ITEMS_PER_SH","FQ2 2023","FQ2 2023","Currency=USD","Period=FQ","BEST_FPERIOD_OVERRIDE=FQ","FILING_STATUS=MR","Sort=A","Dates=H","DateFormat=P","Fill=—","Direction=H","UseDPDF=Y")</f>
        <v>5.08</v>
      </c>
      <c r="U52" s="17" cm="1">
        <f t="array" ref="U52">_xll.BDH("CMI US Equity","IS_EARN_BEF_XO_ITEMS_PER_SH","FQ3 2023","FQ3 2023","Currency=USD","Period=FQ","BEST_FPERIOD_OVERRIDE=FQ","FILING_STATUS=MR","Sort=A","Dates=H","DateFormat=P","Fill=—","Direction=H","UseDPDF=Y")</f>
        <v>4.63</v>
      </c>
      <c r="V52" s="17" cm="1">
        <f t="array" ref="V52">_xll.BDH("CMI US Equity","IS_EARN_BEF_XO_ITEMS_PER_SH","FQ4 2023","FQ4 2023","Currency=USD","Period=FQ","BEST_FPERIOD_OVERRIDE=FQ","FILING_STATUS=MR","Sort=A","Dates=H","DateFormat=P","Fill=—","Direction=H","UseDPDF=Y")</f>
        <v>-10.08</v>
      </c>
      <c r="W52" s="17" cm="1">
        <f t="array" ref="W52">_xll.BDH("CMI US Equity","IS_EARN_BEF_XO_ITEMS_PER_SH","FQ1 2024","FQ1 2024","Currency=USD","Period=FQ","BEST_FPERIOD_OVERRIDE=FQ","FILING_STATUS=MR","Sort=A","Dates=H","DateFormat=P","Fill=—","Direction=H","UseDPDF=Y")</f>
        <v>14.1</v>
      </c>
      <c r="X52" s="17" cm="1">
        <f t="array" ref="X52">_xll.BDH("CMI US Equity","IS_EARN_BEF_XO_ITEMS_PER_SH","FQ2 2024","FQ2 2024","Currency=USD","Period=FQ","BEST_FPERIOD_OVERRIDE=FQ","FILING_STATUS=MR","Sort=A","Dates=H","DateFormat=P","Fill=—","Direction=H","UseDPDF=Y")</f>
        <v>5.3</v>
      </c>
      <c r="Y52" s="17" cm="1">
        <f t="array" ref="Y52">_xll.BDH("CMI US Equity","IS_EARN_BEF_XO_ITEMS_PER_SH","FQ3 2024","FQ3 2024","Currency=USD","Period=FQ","BEST_FPERIOD_OVERRIDE=FQ","FILING_STATUS=MR","Sort=A","Dates=H","DateFormat=P","Fill=—","Direction=H","UseDPDF=Y")</f>
        <v>5.9</v>
      </c>
      <c r="Z52" s="17" cm="1">
        <f t="array" ref="Z52">_xll.BDH("CMI US Equity","IS_EARN_BEF_XO_ITEMS_PER_SH","FQ4 2024","FQ4 2024","Currency=USD","Period=FQ","BEST_FPERIOD_OVERRIDE=FQ","FILING_STATUS=MR","Sort=A","Dates=H","DateFormat=P","Fill=—","Direction=H","UseDPDF=Y")</f>
        <v>3.04</v>
      </c>
      <c r="AA52" s="17" cm="1">
        <f t="array" ref="AA52">_xll.BDH("CMI US Equity","IS_EARN_BEF_XO_ITEMS_PER_SH","FQ1 2025","FQ1 2025","Currency=USD","Period=FQ","BEST_FPERIOD_OVERRIDE=FQ","FILING_STATUS=MR","Sort=A","Dates=H","DateFormat=P","Fill=—","Direction=H","UseDPDF=Y")</f>
        <v>5.99</v>
      </c>
      <c r="AB52" s="17" cm="1">
        <f t="array" ref="AB52">_xll.BDH("CMI US Equity","IS_EARN_BEF_XO_ITEMS_PER_SH","FQ2 2025","FQ2 2025","Currency=USD","Period=FQ","BEST_FPERIOD_OVERRIDE=FQ","FILING_STATUS=MR","Sort=A","Dates=H","DateFormat=P","Fill=—","Direction=H","UseDPDF=Y")</f>
        <v>6.46</v>
      </c>
      <c r="AC52" s="17" cm="1">
        <f t="array" ref="AC52">_xll.BDH("CMI US Equity","IS_EARN_BEF_XO_ITEMS_PER_SH","FQ3 2025","FQ3 2025","Currency=USD","Period=FQ","BEST_FPERIOD_OVERRIDE=FQ","FILING_STATUS=MR","Sort=A","Dates=H","DateFormat=P","Fill=—","Direction=H","UseDPDF=Y")</f>
        <v>3.88</v>
      </c>
      <c r="AD52" s="17" cm="1">
        <f t="array" ref="AD52">_xll.BDH("CMI US Equity","IS_EARN_BEF_XO_ITEMS_PER_SH","FQ4 2025","FQ4 2025","Currency=USD","Period=FQ","BEST_FPERIOD_OVERRIDE=FQ","FILING_STATUS=MR","Sort=A","Dates=H","DateFormat=P","Fill=—","Direction=H","UseDPDF=Y")</f>
        <v>4.29</v>
      </c>
      <c r="AE52" s="17">
        <v>5.7</v>
      </c>
      <c r="AF52" s="17">
        <v>6.4859999999999998</v>
      </c>
    </row>
    <row r="53" spans="1:32" x14ac:dyDescent="0.25">
      <c r="A53" s="6" t="s">
        <v>152</v>
      </c>
      <c r="B53" s="6" t="s">
        <v>153</v>
      </c>
      <c r="C53" s="17" cm="1">
        <f t="array" ref="C53">_xll.BDH("CMI US Equity","IS_BASIC_EPS_CONT_OPS","FQ1 2019","FQ1 2019","Currency=USD","Period=FQ","BEST_FPERIOD_OVERRIDE=FQ","FILING_STATUS=MR","Sort=A","Dates=H","DateFormat=P","Fill=—","Direction=H","UseDPDF=Y")</f>
        <v>4.1924000000000001</v>
      </c>
      <c r="D53" s="17" cm="1">
        <f t="array" ref="D53">_xll.BDH("CMI US Equity","IS_BASIC_EPS_CONT_OPS","FQ2 2019","FQ2 2019","Currency=USD","Period=FQ","BEST_FPERIOD_OVERRIDE=FQ","FILING_STATUS=MR","Sort=A","Dates=H","DateFormat=P","Fill=—","Direction=H","UseDPDF=Y")</f>
        <v>4.1981000000000002</v>
      </c>
      <c r="E53" s="17" cm="1">
        <f t="array" ref="E53">_xll.BDH("CMI US Equity","IS_BASIC_EPS_CONT_OPS","FQ3 2019","FQ3 2019","Currency=USD","Period=FQ","BEST_FPERIOD_OVERRIDE=FQ","FILING_STATUS=MR","Sort=A","Dates=H","DateFormat=P","Fill=—","Direction=H","UseDPDF=Y")</f>
        <v>3.7740999999999998</v>
      </c>
      <c r="F53" s="17" cm="1">
        <f t="array" ref="F53">_xll.BDH("CMI US Equity","IS_BASIC_EPS_CONT_OPS","FQ4 2019","FQ4 2019","Currency=USD","Period=FQ","BEST_FPERIOD_OVERRIDE=FQ","FILING_STATUS=MR","Sort=A","Dates=H","DateFormat=P","Fill=—","Direction=H","UseDPDF=Y")</f>
        <v>2.5844</v>
      </c>
      <c r="G53" s="17" cm="1">
        <f t="array" ref="G53">_xll.BDH("CMI US Equity","IS_BASIC_EPS_CONT_OPS","FQ1 2020","FQ1 2020","Currency=USD","Period=FQ","BEST_FPERIOD_OVERRIDE=FQ","FILING_STATUS=MR","Sort=A","Dates=H","DateFormat=P","Fill=—","Direction=H","UseDPDF=Y")</f>
        <v>2.8294999999999999</v>
      </c>
      <c r="H53" s="17" cm="1">
        <f t="array" ref="H53">_xll.BDH("CMI US Equity","IS_BASIC_EPS_CONT_OPS","FQ2 2020","FQ2 2020","Currency=USD","Period=FQ","BEST_FPERIOD_OVERRIDE=FQ","FILING_STATUS=MR","Sort=A","Dates=H","DateFormat=P","Fill=—","Direction=H","UseDPDF=Y")</f>
        <v>1.6757</v>
      </c>
      <c r="I53" s="17" cm="1">
        <f t="array" ref="I53">_xll.BDH("CMI US Equity","IS_BASIC_EPS_CONT_OPS","FQ3 2020","FQ3 2020","Currency=USD","Period=FQ","BEST_FPERIOD_OVERRIDE=FQ","FILING_STATUS=MR","Sort=A","Dates=H","DateFormat=P","Fill=—","Direction=H","UseDPDF=Y")</f>
        <v>3.5116000000000001</v>
      </c>
      <c r="J53" s="17" cm="1">
        <f t="array" ref="J53">_xll.BDH("CMI US Equity","IS_BASIC_EPS_CONT_OPS","FQ4 2020","FQ4 2020","Currency=USD","Period=FQ","BEST_FPERIOD_OVERRIDE=FQ","FILING_STATUS=MR","Sort=A","Dates=H","DateFormat=P","Fill=—","Direction=H","UseDPDF=Y")</f>
        <v>3.3410000000000002</v>
      </c>
      <c r="K53" s="17" cm="1">
        <f t="array" ref="K53">_xll.BDH("CMI US Equity","IS_BASIC_EPS_CONT_OPS","FQ1 2021","FQ1 2021","Currency=USD","Period=FQ","BEST_FPERIOD_OVERRIDE=FQ","FILING_STATUS=MR","Sort=A","Dates=H","DateFormat=P","Fill=—","Direction=H","UseDPDF=Y")</f>
        <v>4.0910000000000002</v>
      </c>
      <c r="L53" s="17" cm="1">
        <f t="array" ref="L53">_xll.BDH("CMI US Equity","IS_BASIC_EPS_CONT_OPS","FQ2 2021","FQ2 2021","Currency=USD","Period=FQ","BEST_FPERIOD_OVERRIDE=FQ","FILING_STATUS=MR","Sort=A","Dates=H","DateFormat=P","Fill=—","Direction=H","UseDPDF=Y")</f>
        <v>4.0743999999999998</v>
      </c>
      <c r="M53" s="17" cm="1">
        <f t="array" ref="M53">_xll.BDH("CMI US Equity","IS_BASIC_EPS_CONT_OPS","FQ3 2021","FQ3 2021","Currency=USD","Period=FQ","BEST_FPERIOD_OVERRIDE=FQ","FILING_STATUS=MR","Sort=A","Dates=H","DateFormat=P","Fill=—","Direction=H","UseDPDF=Y")</f>
        <v>3.6335999999999999</v>
      </c>
      <c r="N53" s="17" cm="1">
        <f t="array" ref="N53">_xll.BDH("CMI US Equity","IS_BASIC_EPS_CONT_OPS","FQ4 2021","FQ4 2021","Currency=USD","Period=FQ","BEST_FPERIOD_OVERRIDE=FQ","FILING_STATUS=MR","Sort=A","Dates=H","DateFormat=P","Fill=—","Direction=H","UseDPDF=Y")</f>
        <v>2.8761000000000001</v>
      </c>
      <c r="O53" s="17" cm="1">
        <f t="array" ref="O53">_xll.BDH("CMI US Equity","IS_BASIC_EPS_CONT_OPS","FQ1 2022","FQ1 2022","Currency=USD","Period=FQ","BEST_FPERIOD_OVERRIDE=FQ","FILING_STATUS=MR","Sort=A","Dates=H","DateFormat=P","Fill=—","Direction=H","UseDPDF=Y")</f>
        <v>2.9899</v>
      </c>
      <c r="P53" s="17" cm="1">
        <f t="array" ref="P53">_xll.BDH("CMI US Equity","IS_BASIC_EPS_CONT_OPS","FQ2 2022","FQ2 2022","Currency=USD","Period=FQ","BEST_FPERIOD_OVERRIDE=FQ","FILING_STATUS=MR","Sort=A","Dates=H","DateFormat=P","Fill=—","Direction=H","UseDPDF=Y")</f>
        <v>5.4951999999999996</v>
      </c>
      <c r="Q53" s="17" cm="1">
        <f t="array" ref="Q53">_xll.BDH("CMI US Equity","IS_BASIC_EPS_CONT_OPS","FQ3 2022","FQ3 2022","Currency=USD","Period=FQ","BEST_FPERIOD_OVERRIDE=FQ","FILING_STATUS=MR","Sort=A","Dates=H","DateFormat=P","Fill=—","Direction=H","UseDPDF=Y")</f>
        <v>2.4308999999999998</v>
      </c>
      <c r="R53" s="17" cm="1">
        <f t="array" ref="R53">_xll.BDH("CMI US Equity","IS_BASIC_EPS_CONT_OPS","FQ4 2022","FQ4 2022","Currency=USD","Period=FQ","BEST_FPERIOD_OVERRIDE=FQ","FILING_STATUS=MR","Sort=A","Dates=H","DateFormat=P","Fill=—","Direction=H","UseDPDF=Y")</f>
        <v>4.47</v>
      </c>
      <c r="S53" s="17" cm="1">
        <f t="array" ref="S53">_xll.BDH("CMI US Equity","IS_BASIC_EPS_CONT_OPS","FQ1 2023","FQ1 2023","Currency=USD","Period=FQ","BEST_FPERIOD_OVERRIDE=FQ","FILING_STATUS=MR","Sort=A","Dates=H","DateFormat=P","Fill=—","Direction=H","UseDPDF=Y")</f>
        <v>5.5885999999999996</v>
      </c>
      <c r="T53" s="17" cm="1">
        <f t="array" ref="T53">_xll.BDH("CMI US Equity","IS_BASIC_EPS_CONT_OPS","FQ2 2023","FQ2 2023","Currency=USD","Period=FQ","BEST_FPERIOD_OVERRIDE=FQ","FILING_STATUS=MR","Sort=A","Dates=H","DateFormat=P","Fill=—","Direction=H","UseDPDF=Y")</f>
        <v>5.0979000000000001</v>
      </c>
      <c r="U53" s="17" cm="1">
        <f t="array" ref="U53">_xll.BDH("CMI US Equity","IS_BASIC_EPS_CONT_OPS","FQ3 2023","FQ3 2023","Currency=USD","Period=FQ","BEST_FPERIOD_OVERRIDE=FQ","FILING_STATUS=MR","Sort=A","Dates=H","DateFormat=P","Fill=—","Direction=H","UseDPDF=Y")</f>
        <v>4.9740000000000002</v>
      </c>
      <c r="V53" s="17" cm="1">
        <f t="array" ref="V53">_xll.BDH("CMI US Equity","IS_BASIC_EPS_CONT_OPS","FQ4 2023","FQ4 2023","Currency=USD","Period=FQ","BEST_FPERIOD_OVERRIDE=FQ","FILING_STATUS=MR","Sort=A","Dates=H","DateFormat=P","Fill=—","Direction=H","UseDPDF=Y")</f>
        <v>-10.08</v>
      </c>
      <c r="W53" s="17" cm="1">
        <f t="array" ref="W53">_xll.BDH("CMI US Equity","IS_BASIC_EPS_CONT_OPS","FQ1 2024","FQ1 2024","Currency=USD","Period=FQ","BEST_FPERIOD_OVERRIDE=FQ","FILING_STATUS=MR","Sort=A","Dates=H","DateFormat=P","Fill=—","Direction=H","UseDPDF=Y")</f>
        <v>6.9763000000000002</v>
      </c>
      <c r="X53" s="17" cm="1">
        <f t="array" ref="X53">_xll.BDH("CMI US Equity","IS_BASIC_EPS_CONT_OPS","FQ2 2024","FQ2 2024","Currency=USD","Period=FQ","BEST_FPERIOD_OVERRIDE=FQ","FILING_STATUS=MR","Sort=A","Dates=H","DateFormat=P","Fill=—","Direction=H","UseDPDF=Y")</f>
        <v>5.3068999999999997</v>
      </c>
      <c r="Y53" s="17" cm="1">
        <f t="array" ref="Y53">_xll.BDH("CMI US Equity","IS_BASIC_EPS_CONT_OPS","FQ3 2024","FQ3 2024","Currency=USD","Period=FQ","BEST_FPERIOD_OVERRIDE=FQ","FILING_STATUS=MR","Sort=A","Dates=H","DateFormat=P","Fill=—","Direction=H","UseDPDF=Y")</f>
        <v>5.7065000000000001</v>
      </c>
      <c r="Z53" s="17" cm="1">
        <f t="array" ref="Z53">_xll.BDH("CMI US Equity","IS_BASIC_EPS_CONT_OPS","FQ4 2024","FQ4 2024","Currency=USD","Period=FQ","BEST_FPERIOD_OVERRIDE=FQ","FILING_STATUS=MR","Sort=A","Dates=H","DateFormat=P","Fill=—","Direction=H","UseDPDF=Y")</f>
        <v>3.2722000000000002</v>
      </c>
      <c r="AA53" s="17" cm="1">
        <f t="array" ref="AA53">_xll.BDH("CMI US Equity","IS_BASIC_EPS_CONT_OPS","FQ1 2025","FQ1 2025","Currency=USD","Period=FQ","BEST_FPERIOD_OVERRIDE=FQ","FILING_STATUS=MR","Sort=A","Dates=H","DateFormat=P","Fill=—","Direction=H","UseDPDF=Y")</f>
        <v>5.99</v>
      </c>
      <c r="AB53" s="17" cm="1">
        <f t="array" ref="AB53">_xll.BDH("CMI US Equity","IS_BASIC_EPS_CONT_OPS","FQ2 2025","FQ2 2025","Currency=USD","Period=FQ","BEST_FPERIOD_OVERRIDE=FQ","FILING_STATUS=MR","Sort=A","Dates=H","DateFormat=P","Fill=—","Direction=H","UseDPDF=Y")</f>
        <v>6.3554000000000004</v>
      </c>
      <c r="AC53" s="17" cm="1">
        <f t="array" ref="AC53">_xll.BDH("CMI US Equity","IS_BASIC_EPS_CONT_OPS","FQ3 2025","FQ3 2025","Currency=USD","Period=FQ","BEST_FPERIOD_OVERRIDE=FQ","FILING_STATUS=MR","Sort=A","Dates=H","DateFormat=P","Fill=—","Direction=H","UseDPDF=Y")</f>
        <v>3.7867000000000002</v>
      </c>
      <c r="AD53" s="17" cm="1">
        <f t="array" ref="AD53">_xll.BDH("CMI US Equity","IS_BASIC_EPS_CONT_OPS","FQ4 2025","FQ4 2025","Currency=USD","Period=FQ","BEST_FPERIOD_OVERRIDE=FQ","FILING_STATUS=MR","Sort=A","Dates=H","DateFormat=P","Fill=—","Direction=H","UseDPDF=Y")</f>
        <v>5.5369999999999999</v>
      </c>
      <c r="AE53" s="17">
        <v>5.7039999999999997</v>
      </c>
      <c r="AF53" s="17">
        <v>6.516</v>
      </c>
    </row>
    <row r="54" spans="1:32" x14ac:dyDescent="0.25">
      <c r="A54" s="6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0" t="s">
        <v>154</v>
      </c>
      <c r="B55" s="10" t="s">
        <v>155</v>
      </c>
      <c r="C55" s="13" cm="1">
        <f t="array" ref="C55">_xll.BDH("CMI US Equity","IS_SH_FOR_DILUTED_EPS","FQ1 2019","FQ1 2019","Currency=USD","Period=FQ","BEST_FPERIOD_OVERRIDE=FQ","FILING_STATUS=MR","Sort=A","Dates=H","DateFormat=P","Fill=—","Direction=H","UseDPDF=Y")</f>
        <v>157.69999999999999</v>
      </c>
      <c r="D55" s="13" cm="1">
        <f t="array" ref="D55">_xll.BDH("CMI US Equity","IS_SH_FOR_DILUTED_EPS","FQ2 2019","FQ2 2019","Currency=USD","Period=FQ","BEST_FPERIOD_OVERRIDE=FQ","FILING_STATUS=MR","Sort=A","Dates=H","DateFormat=P","Fill=—","Direction=H","UseDPDF=Y")</f>
        <v>158</v>
      </c>
      <c r="E55" s="13" cm="1">
        <f t="array" ref="E55">_xll.BDH("CMI US Equity","IS_SH_FOR_DILUTED_EPS","FQ3 2019","FQ3 2019","Currency=USD","Period=FQ","BEST_FPERIOD_OVERRIDE=FQ","FILING_STATUS=MR","Sort=A","Dates=H","DateFormat=P","Fill=—","Direction=H","UseDPDF=Y")</f>
        <v>156.6</v>
      </c>
      <c r="F55" s="13" cm="1">
        <f t="array" ref="F55">_xll.BDH("CMI US Equity","IS_SH_FOR_DILUTED_EPS","FQ4 2019","FQ4 2019","Currency=USD","Period=FQ","BEST_FPERIOD_OVERRIDE=FQ","FILING_STATUS=MR","Sort=A","Dates=H","DateFormat=P","Fill=—","Direction=H","UseDPDF=Y")</f>
        <v>152.4</v>
      </c>
      <c r="G55" s="13" cm="1">
        <f t="array" ref="G55">_xll.BDH("CMI US Equity","IS_SH_FOR_DILUTED_EPS","FQ1 2020","FQ1 2020","Currency=USD","Period=FQ","BEST_FPERIOD_OVERRIDE=FQ","FILING_STATUS=MR","Sort=A","Dates=H","DateFormat=P","Fill=—","Direction=H","UseDPDF=Y")</f>
        <v>149.69999999999999</v>
      </c>
      <c r="H55" s="13" cm="1">
        <f t="array" ref="H55">_xll.BDH("CMI US Equity","IS_SH_FOR_DILUTED_EPS","FQ2 2020","FQ2 2020","Currency=USD","Period=FQ","BEST_FPERIOD_OVERRIDE=FQ","FILING_STATUS=MR","Sort=A","Dates=H","DateFormat=P","Fill=—","Direction=H","UseDPDF=Y")</f>
        <v>148</v>
      </c>
      <c r="I55" s="13" cm="1">
        <f t="array" ref="I55">_xll.BDH("CMI US Equity","IS_SH_FOR_DILUTED_EPS","FQ3 2020","FQ3 2020","Currency=USD","Period=FQ","BEST_FPERIOD_OVERRIDE=FQ","FILING_STATUS=MR","Sort=A","Dates=H","DateFormat=P","Fill=—","Direction=H","UseDPDF=Y")</f>
        <v>148.9</v>
      </c>
      <c r="J55" s="13" cm="1">
        <f t="array" ref="J55">_xll.BDH("CMI US Equity","IS_SH_FOR_DILUTED_EPS","FQ4 2020","FQ4 2020","Currency=USD","Period=FQ","BEST_FPERIOD_OVERRIDE=FQ","FILING_STATUS=MR","Sort=A","Dates=H","DateFormat=P","Fill=—","Direction=H","UseDPDF=Y")</f>
        <v>149.30000000000001</v>
      </c>
      <c r="K55" s="13" cm="1">
        <f t="array" ref="K55">_xll.BDH("CMI US Equity","IS_SH_FOR_DILUTED_EPS","FQ1 2021","FQ1 2021","Currency=USD","Period=FQ","BEST_FPERIOD_OVERRIDE=FQ","FILING_STATUS=MR","Sort=A","Dates=H","DateFormat=P","Fill=—","Direction=H","UseDPDF=Y")</f>
        <v>148.30000000000001</v>
      </c>
      <c r="L55" s="13" cm="1">
        <f t="array" ref="L55">_xll.BDH("CMI US Equity","IS_SH_FOR_DILUTED_EPS","FQ2 2021","FQ2 2021","Currency=USD","Period=FQ","BEST_FPERIOD_OVERRIDE=FQ","FILING_STATUS=MR","Sort=A","Dates=H","DateFormat=P","Fill=—","Direction=H","UseDPDF=Y")</f>
        <v>146.5</v>
      </c>
      <c r="M55" s="13" cm="1">
        <f t="array" ref="M55">_xll.BDH("CMI US Equity","IS_SH_FOR_DILUTED_EPS","FQ3 2021","FQ3 2021","Currency=USD","Period=FQ","BEST_FPERIOD_OVERRIDE=FQ","FILING_STATUS=MR","Sort=A","Dates=H","DateFormat=P","Fill=—","Direction=H","UseDPDF=Y")</f>
        <v>144.69999999999999</v>
      </c>
      <c r="N55" s="13" cm="1">
        <f t="array" ref="N55">_xll.BDH("CMI US Equity","IS_SH_FOR_DILUTED_EPS","FQ4 2021","FQ4 2021","Currency=USD","Period=FQ","BEST_FPERIOD_OVERRIDE=FQ","FILING_STATUS=MR","Sort=A","Dates=H","DateFormat=P","Fill=—","Direction=H","UseDPDF=Y")</f>
        <v>144.1</v>
      </c>
      <c r="O55" s="13" cm="1">
        <f t="array" ref="O55">_xll.BDH("CMI US Equity","IS_SH_FOR_DILUTED_EPS","FQ1 2022","FQ1 2022","Currency=USD","Period=FQ","BEST_FPERIOD_OVERRIDE=FQ","FILING_STATUS=MR","Sort=A","Dates=H","DateFormat=P","Fill=—","Direction=H","UseDPDF=Y")</f>
        <v>143.1</v>
      </c>
      <c r="P55" s="13" cm="1">
        <f t="array" ref="P55">_xll.BDH("CMI US Equity","IS_SH_FOR_DILUTED_EPS","FQ2 2022","FQ2 2022","Currency=USD","Period=FQ","BEST_FPERIOD_OVERRIDE=FQ","FILING_STATUS=MR","Sort=A","Dates=H","DateFormat=P","Fill=—","Direction=H","UseDPDF=Y")</f>
        <v>142</v>
      </c>
      <c r="Q55" s="13" cm="1">
        <f t="array" ref="Q55">_xll.BDH("CMI US Equity","IS_SH_FOR_DILUTED_EPS","FQ3 2022","FQ3 2022","Currency=USD","Period=FQ","BEST_FPERIOD_OVERRIDE=FQ","FILING_STATUS=MR","Sort=A","Dates=H","DateFormat=P","Fill=—","Direction=H","UseDPDF=Y")</f>
        <v>142</v>
      </c>
      <c r="R55" s="13" cm="1">
        <f t="array" ref="R55">_xll.BDH("CMI US Equity","IS_SH_FOR_DILUTED_EPS","FQ4 2022","FQ4 2022","Currency=USD","Period=FQ","BEST_FPERIOD_OVERRIDE=FQ","FILING_STATUS=MR","Sort=A","Dates=H","DateFormat=P","Fill=—","Direction=H","UseDPDF=Y")</f>
        <v>142.30000000000001</v>
      </c>
      <c r="S55" s="13" cm="1">
        <f t="array" ref="S55">_xll.BDH("CMI US Equity","IS_SH_FOR_DILUTED_EPS","FQ1 2023","FQ1 2023","Currency=USD","Period=FQ","BEST_FPERIOD_OVERRIDE=FQ","FILING_STATUS=MR","Sort=A","Dates=H","DateFormat=P","Fill=—","Direction=H","UseDPDF=Y")</f>
        <v>142.4</v>
      </c>
      <c r="T55" s="13" cm="1">
        <f t="array" ref="T55">_xll.BDH("CMI US Equity","IS_SH_FOR_DILUTED_EPS","FQ2 2023","FQ2 2023","Currency=USD","Period=FQ","BEST_FPERIOD_OVERRIDE=FQ","FILING_STATUS=MR","Sort=A","Dates=H","DateFormat=P","Fill=—","Direction=H","UseDPDF=Y")</f>
        <v>142.5</v>
      </c>
      <c r="U55" s="13" cm="1">
        <f t="array" ref="U55">_xll.BDH("CMI US Equity","IS_SH_FOR_DILUTED_EPS","FQ3 2023","FQ3 2023","Currency=USD","Period=FQ","BEST_FPERIOD_OVERRIDE=FQ","FILING_STATUS=MR","Sort=A","Dates=H","DateFormat=P","Fill=—","Direction=H","UseDPDF=Y")</f>
        <v>142.80000000000001</v>
      </c>
      <c r="V55" s="13" cm="1">
        <f t="array" ref="V55">_xll.BDH("CMI US Equity","IS_SH_FOR_DILUTED_EPS","FQ4 2023","FQ4 2023","Currency=USD","Period=FQ","BEST_FPERIOD_OVERRIDE=FQ","FILING_STATUS=MR","Sort=A","Dates=H","DateFormat=P","Fill=—","Direction=H","UseDPDF=Y")</f>
        <v>142.9</v>
      </c>
      <c r="W55" s="13" cm="1">
        <f t="array" ref="W55">_xll.BDH("CMI US Equity","IS_SH_FOR_DILUTED_EPS","FQ1 2024","FQ1 2024","Currency=USD","Period=FQ","BEST_FPERIOD_OVERRIDE=FQ","FILING_STATUS=MR","Sort=A","Dates=H","DateFormat=P","Fill=—","Direction=H","UseDPDF=Y")</f>
        <v>142.1</v>
      </c>
      <c r="X55" s="13" cm="1">
        <f t="array" ref="X55">_xll.BDH("CMI US Equity","IS_SH_FOR_DILUTED_EPS","FQ2 2024","FQ2 2024","Currency=USD","Period=FQ","BEST_FPERIOD_OVERRIDE=FQ","FILING_STATUS=MR","Sort=A","Dates=H","DateFormat=P","Fill=—","Direction=H","UseDPDF=Y")</f>
        <v>137.9</v>
      </c>
      <c r="Y55" s="13" cm="1">
        <f t="array" ref="Y55">_xll.BDH("CMI US Equity","IS_SH_FOR_DILUTED_EPS","FQ3 2024","FQ3 2024","Currency=USD","Period=FQ","BEST_FPERIOD_OVERRIDE=FQ","FILING_STATUS=MR","Sort=A","Dates=H","DateFormat=P","Fill=—","Direction=H","UseDPDF=Y")</f>
        <v>138.1</v>
      </c>
      <c r="Z55" s="13" cm="1">
        <f t="array" ref="Z55">_xll.BDH("CMI US Equity","IS_SH_FOR_DILUTED_EPS","FQ4 2024","FQ4 2024","Currency=USD","Period=FQ","BEST_FPERIOD_OVERRIDE=FQ","FILING_STATUS=MR","Sort=A","Dates=H","DateFormat=P","Fill=—","Direction=H","UseDPDF=Y")</f>
        <v>138.4</v>
      </c>
      <c r="AA55" s="13" cm="1">
        <f t="array" ref="AA55">_xll.BDH("CMI US Equity","IS_SH_FOR_DILUTED_EPS","FQ1 2025","FQ1 2025","Currency=USD","Period=FQ","BEST_FPERIOD_OVERRIDE=FQ","FILING_STATUS=MR","Sort=A","Dates=H","DateFormat=P","Fill=—","Direction=H","UseDPDF=Y")</f>
        <v>138.30000000000001</v>
      </c>
      <c r="AB55" s="13" cm="1">
        <f t="array" ref="AB55">_xll.BDH("CMI US Equity","IS_SH_FOR_DILUTED_EPS","FQ2 2025","FQ2 2025","Currency=USD","Period=FQ","BEST_FPERIOD_OVERRIDE=FQ","FILING_STATUS=MR","Sort=A","Dates=H","DateFormat=P","Fill=—","Direction=H","UseDPDF=Y")</f>
        <v>138.5</v>
      </c>
      <c r="AC55" s="13" cm="1">
        <f t="array" ref="AC55">_xll.BDH("CMI US Equity","IS_SH_FOR_DILUTED_EPS","FQ3 2025","FQ3 2025","Currency=USD","Period=FQ","BEST_FPERIOD_OVERRIDE=FQ","FILING_STATUS=MR","Sort=A","Dates=H","DateFormat=P","Fill=—","Direction=H","UseDPDF=Y")</f>
        <v>138.80000000000001</v>
      </c>
      <c r="AD55" s="13" cm="1">
        <f t="array" ref="AD55">_xll.BDH("CMI US Equity","IS_SH_FOR_DILUTED_EPS","FQ4 2025","FQ4 2025","Currency=USD","Period=FQ","BEST_FPERIOD_OVERRIDE=FQ","FILING_STATUS=MR","Sort=A","Dates=H","DateFormat=P","Fill=—","Direction=H","UseDPDF=Y")</f>
        <v>139</v>
      </c>
      <c r="AE55" s="13"/>
      <c r="AF55" s="13"/>
    </row>
    <row r="56" spans="1:32" x14ac:dyDescent="0.25">
      <c r="A56" s="6" t="s">
        <v>156</v>
      </c>
      <c r="B56" s="6" t="s">
        <v>157</v>
      </c>
      <c r="C56" s="17" cm="1">
        <f t="array" ref="C56">_xll.BDH("CMI US Equity","IS_DILUTED_EPS","FQ1 2019","FQ1 2019","Currency=USD","Period=FQ","BEST_FPERIOD_OVERRIDE=FQ","FILING_STATUS=MR","FA_ADJUSTED=GAAP","Sort=A","Dates=H","DateFormat=P","Fill=—","Direction=H","UseDPDF=Y")</f>
        <v>4.2</v>
      </c>
      <c r="D56" s="17" cm="1">
        <f t="array" ref="D56">_xll.BDH("CMI US Equity","IS_DILUTED_EPS","FQ2 2019","FQ2 2019","Currency=USD","Period=FQ","BEST_FPERIOD_OVERRIDE=FQ","FILING_STATUS=MR","FA_ADJUSTED=GAAP","Sort=A","Dates=H","DateFormat=P","Fill=—","Direction=H","UseDPDF=Y")</f>
        <v>4.2699999999999996</v>
      </c>
      <c r="E56" s="17" cm="1">
        <f t="array" ref="E56">_xll.BDH("CMI US Equity","IS_DILUTED_EPS","FQ3 2019","FQ3 2019","Currency=USD","Period=FQ","BEST_FPERIOD_OVERRIDE=FQ","FILING_STATUS=MR","FA_ADJUSTED=GAAP","Sort=A","Dates=H","DateFormat=P","Fill=—","Direction=H","UseDPDF=Y")</f>
        <v>3.97</v>
      </c>
      <c r="F56" s="17" cm="1">
        <f t="array" ref="F56">_xll.BDH("CMI US Equity","IS_DILUTED_EPS","FQ4 2019","FQ4 2019","Currency=USD","Period=FQ","BEST_FPERIOD_OVERRIDE=FQ","FILING_STATUS=MR","FA_ADJUSTED=GAAP","Sort=A","Dates=H","DateFormat=P","Fill=—","Direction=H","UseDPDF=Y")</f>
        <v>1.97</v>
      </c>
      <c r="G56" s="17" cm="1">
        <f t="array" ref="G56">_xll.BDH("CMI US Equity","IS_DILUTED_EPS","FQ1 2020","FQ1 2020","Currency=USD","Period=FQ","BEST_FPERIOD_OVERRIDE=FQ","FILING_STATUS=MR","FA_ADJUSTED=GAAP","Sort=A","Dates=H","DateFormat=P","Fill=—","Direction=H","UseDPDF=Y")</f>
        <v>3.41</v>
      </c>
      <c r="H56" s="17" cm="1">
        <f t="array" ref="H56">_xll.BDH("CMI US Equity","IS_DILUTED_EPS","FQ2 2020","FQ2 2020","Currency=USD","Period=FQ","BEST_FPERIOD_OVERRIDE=FQ","FILING_STATUS=MR","FA_ADJUSTED=GAAP","Sort=A","Dates=H","DateFormat=P","Fill=—","Direction=H","UseDPDF=Y")</f>
        <v>1.86</v>
      </c>
      <c r="I56" s="17" cm="1">
        <f t="array" ref="I56">_xll.BDH("CMI US Equity","IS_DILUTED_EPS","FQ3 2020","FQ3 2020","Currency=USD","Period=FQ","BEST_FPERIOD_OVERRIDE=FQ","FILING_STATUS=MR","FA_ADJUSTED=GAAP","Sort=A","Dates=H","DateFormat=P","Fill=—","Direction=H","UseDPDF=Y")</f>
        <v>3.36</v>
      </c>
      <c r="J56" s="17" cm="1">
        <f t="array" ref="J56">_xll.BDH("CMI US Equity","IS_DILUTED_EPS","FQ4 2020","FQ4 2020","Currency=USD","Period=FQ","BEST_FPERIOD_OVERRIDE=FQ","FILING_STATUS=MR","FA_ADJUSTED=GAAP","Sort=A","Dates=H","DateFormat=P","Fill=—","Direction=H","UseDPDF=Y")</f>
        <v>3.36</v>
      </c>
      <c r="K56" s="17" cm="1">
        <f t="array" ref="K56">_xll.BDH("CMI US Equity","IS_DILUTED_EPS","FQ1 2021","FQ1 2021","Currency=USD","Period=FQ","BEST_FPERIOD_OVERRIDE=FQ","FILING_STATUS=MR","FA_ADJUSTED=GAAP","Sort=A","Dates=H","DateFormat=P","Fill=—","Direction=H","UseDPDF=Y")</f>
        <v>4.07</v>
      </c>
      <c r="L56" s="17" cm="1">
        <f t="array" ref="L56">_xll.BDH("CMI US Equity","IS_DILUTED_EPS","FQ2 2021","FQ2 2021","Currency=USD","Period=FQ","BEST_FPERIOD_OVERRIDE=FQ","FILING_STATUS=MR","FA_ADJUSTED=GAAP","Sort=A","Dates=H","DateFormat=P","Fill=—","Direction=H","UseDPDF=Y")</f>
        <v>4.0999999999999996</v>
      </c>
      <c r="M56" s="17" cm="1">
        <f t="array" ref="M56">_xll.BDH("CMI US Equity","IS_DILUTED_EPS","FQ3 2021","FQ3 2021","Currency=USD","Period=FQ","BEST_FPERIOD_OVERRIDE=FQ","FILING_STATUS=MR","FA_ADJUSTED=GAAP","Sort=A","Dates=H","DateFormat=P","Fill=—","Direction=H","UseDPDF=Y")</f>
        <v>3.69</v>
      </c>
      <c r="N56" s="17" cm="1">
        <f t="array" ref="N56">_xll.BDH("CMI US Equity","IS_DILUTED_EPS","FQ4 2021","FQ4 2021","Currency=USD","Period=FQ","BEST_FPERIOD_OVERRIDE=FQ","FILING_STATUS=MR","FA_ADJUSTED=GAAP","Sort=A","Dates=H","DateFormat=P","Fill=—","Direction=H","UseDPDF=Y")</f>
        <v>2.73</v>
      </c>
      <c r="O56" s="17" cm="1">
        <f t="array" ref="O56">_xll.BDH("CMI US Equity","IS_DILUTED_EPS","FQ1 2022","FQ1 2022","Currency=USD","Period=FQ","BEST_FPERIOD_OVERRIDE=FQ","FILING_STATUS=MR","FA_ADJUSTED=GAAP","Sort=A","Dates=H","DateFormat=P","Fill=—","Direction=H","UseDPDF=Y")</f>
        <v>2.92</v>
      </c>
      <c r="P56" s="17" cm="1">
        <f t="array" ref="P56">_xll.BDH("CMI US Equity","IS_DILUTED_EPS","FQ2 2022","FQ2 2022","Currency=USD","Period=FQ","BEST_FPERIOD_OVERRIDE=FQ","FILING_STATUS=MR","FA_ADJUSTED=GAAP","Sort=A","Dates=H","DateFormat=P","Fill=—","Direction=H","UseDPDF=Y")</f>
        <v>4.9400000000000004</v>
      </c>
      <c r="Q56" s="17" cm="1">
        <f t="array" ref="Q56">_xll.BDH("CMI US Equity","IS_DILUTED_EPS","FQ3 2022","FQ3 2022","Currency=USD","Period=FQ","BEST_FPERIOD_OVERRIDE=FQ","FILING_STATUS=MR","FA_ADJUSTED=GAAP","Sort=A","Dates=H","DateFormat=P","Fill=—","Direction=H","UseDPDF=Y")</f>
        <v>2.82</v>
      </c>
      <c r="R56" s="17" cm="1">
        <f t="array" ref="R56">_xll.BDH("CMI US Equity","IS_DILUTED_EPS","FQ4 2022","FQ4 2022","Currency=USD","Period=FQ","BEST_FPERIOD_OVERRIDE=FQ","FILING_STATUS=MR","FA_ADJUSTED=GAAP","Sort=A","Dates=H","DateFormat=P","Fill=—","Direction=H","UseDPDF=Y")</f>
        <v>4.43</v>
      </c>
      <c r="S56" s="17" cm="1">
        <f t="array" ref="S56">_xll.BDH("CMI US Equity","IS_DILUTED_EPS","FQ1 2023","FQ1 2023","Currency=USD","Period=FQ","BEST_FPERIOD_OVERRIDE=FQ","FILING_STATUS=MR","FA_ADJUSTED=GAAP","Sort=A","Dates=H","DateFormat=P","Fill=—","Direction=H","UseDPDF=Y")</f>
        <v>5.55</v>
      </c>
      <c r="T56" s="17" cm="1">
        <f t="array" ref="T56">_xll.BDH("CMI US Equity","IS_DILUTED_EPS","FQ2 2023","FQ2 2023","Currency=USD","Period=FQ","BEST_FPERIOD_OVERRIDE=FQ","FILING_STATUS=MR","FA_ADJUSTED=GAAP","Sort=A","Dates=H","DateFormat=P","Fill=—","Direction=H","UseDPDF=Y")</f>
        <v>5.05</v>
      </c>
      <c r="U56" s="17" cm="1">
        <f t="array" ref="U56">_xll.BDH("CMI US Equity","IS_DILUTED_EPS","FQ3 2023","FQ3 2023","Currency=USD","Period=FQ","BEST_FPERIOD_OVERRIDE=FQ","FILING_STATUS=MR","FA_ADJUSTED=GAAP","Sort=A","Dates=H","DateFormat=P","Fill=—","Direction=H","UseDPDF=Y")</f>
        <v>4.59</v>
      </c>
      <c r="V56" s="17" cm="1">
        <f t="array" ref="V56">_xll.BDH("CMI US Equity","IS_DILUTED_EPS","FQ4 2023","FQ4 2023","Currency=USD","Period=FQ","BEST_FPERIOD_OVERRIDE=FQ","FILING_STATUS=MR","FA_ADJUSTED=GAAP","Sort=A","Dates=H","DateFormat=P","Fill=—","Direction=H","UseDPDF=Y")</f>
        <v>-10.08</v>
      </c>
      <c r="W56" s="17" cm="1">
        <f t="array" ref="W56">_xll.BDH("CMI US Equity","IS_DILUTED_EPS","FQ1 2024","FQ1 2024","Currency=USD","Period=FQ","BEST_FPERIOD_OVERRIDE=FQ","FILING_STATUS=MR","FA_ADJUSTED=GAAP","Sort=A","Dates=H","DateFormat=P","Fill=—","Direction=H","UseDPDF=Y")</f>
        <v>14.03</v>
      </c>
      <c r="X56" s="17" cm="1">
        <f t="array" ref="X56">_xll.BDH("CMI US Equity","IS_DILUTED_EPS","FQ2 2024","FQ2 2024","Currency=USD","Period=FQ","BEST_FPERIOD_OVERRIDE=FQ","FILING_STATUS=MR","FA_ADJUSTED=GAAP","Sort=A","Dates=H","DateFormat=P","Fill=—","Direction=H","UseDPDF=Y")</f>
        <v>5.26</v>
      </c>
      <c r="Y56" s="17" cm="1">
        <f t="array" ref="Y56">_xll.BDH("CMI US Equity","IS_DILUTED_EPS","FQ3 2024","FQ3 2024","Currency=USD","Period=FQ","BEST_FPERIOD_OVERRIDE=FQ","FILING_STATUS=MR","FA_ADJUSTED=GAAP","Sort=A","Dates=H","DateFormat=P","Fill=—","Direction=H","UseDPDF=Y")</f>
        <v>5.86</v>
      </c>
      <c r="Z56" s="17" cm="1">
        <f t="array" ref="Z56">_xll.BDH("CMI US Equity","IS_DILUTED_EPS","FQ4 2024","FQ4 2024","Currency=USD","Period=FQ","BEST_FPERIOD_OVERRIDE=FQ","FILING_STATUS=MR","FA_ADJUSTED=GAAP","Sort=A","Dates=H","DateFormat=P","Fill=—","Direction=H","UseDPDF=Y")</f>
        <v>3.02</v>
      </c>
      <c r="AA56" s="17" cm="1">
        <f t="array" ref="AA56">_xll.BDH("CMI US Equity","IS_DILUTED_EPS","FQ1 2025","FQ1 2025","Currency=USD","Period=FQ","BEST_FPERIOD_OVERRIDE=FQ","FILING_STATUS=MR","FA_ADJUSTED=GAAP","Sort=A","Dates=H","DateFormat=P","Fill=—","Direction=H","UseDPDF=Y")</f>
        <v>5.96</v>
      </c>
      <c r="AB56" s="17" cm="1">
        <f t="array" ref="AB56">_xll.BDH("CMI US Equity","IS_DILUTED_EPS","FQ2 2025","FQ2 2025","Currency=USD","Period=FQ","BEST_FPERIOD_OVERRIDE=FQ","FILING_STATUS=MR","FA_ADJUSTED=GAAP","Sort=A","Dates=H","DateFormat=P","Fill=—","Direction=H","UseDPDF=Y")</f>
        <v>6.43</v>
      </c>
      <c r="AC56" s="17" cm="1">
        <f t="array" ref="AC56">_xll.BDH("CMI US Equity","IS_DILUTED_EPS","FQ3 2025","FQ3 2025","Currency=USD","Period=FQ","BEST_FPERIOD_OVERRIDE=FQ","FILING_STATUS=MR","FA_ADJUSTED=GAAP","Sort=A","Dates=H","DateFormat=P","Fill=—","Direction=H","UseDPDF=Y")</f>
        <v>3.86</v>
      </c>
      <c r="AD56" s="17" cm="1">
        <f t="array" ref="AD56">_xll.BDH("CMI US Equity","IS_DILUTED_EPS","FQ4 2025","FQ4 2025","Currency=USD","Period=FQ","BEST_FPERIOD_OVERRIDE=FQ","FILING_STATUS=MR","FA_ADJUSTED=GAAP","Sort=A","Dates=H","DateFormat=P","Fill=—","Direction=H","UseDPDF=Y")</f>
        <v>4.2699999999999996</v>
      </c>
      <c r="AE56" s="17">
        <v>5.7</v>
      </c>
      <c r="AF56" s="17">
        <v>6.4859999999999998</v>
      </c>
    </row>
    <row r="57" spans="1:32" x14ac:dyDescent="0.25">
      <c r="A57" s="6" t="s">
        <v>158</v>
      </c>
      <c r="B57" s="6" t="s">
        <v>159</v>
      </c>
      <c r="C57" s="17" cm="1">
        <f t="array" ref="C57">_xll.BDH("CMI US Equity","IS_DIL_EPS_BEF_XO","FQ1 2019","FQ1 2019","Currency=USD","Period=FQ","BEST_FPERIOD_OVERRIDE=FQ","FILING_STATUS=MR","Sort=A","Dates=H","DateFormat=P","Fill=—","Direction=H","UseDPDF=Y")</f>
        <v>4.2</v>
      </c>
      <c r="D57" s="17" cm="1">
        <f t="array" ref="D57">_xll.BDH("CMI US Equity","IS_DIL_EPS_BEF_XO","FQ2 2019","FQ2 2019","Currency=USD","Period=FQ","BEST_FPERIOD_OVERRIDE=FQ","FILING_STATUS=MR","Sort=A","Dates=H","DateFormat=P","Fill=—","Direction=H","UseDPDF=Y")</f>
        <v>4.2699999999999996</v>
      </c>
      <c r="E57" s="17" cm="1">
        <f t="array" ref="E57">_xll.BDH("CMI US Equity","IS_DIL_EPS_BEF_XO","FQ3 2019","FQ3 2019","Currency=USD","Period=FQ","BEST_FPERIOD_OVERRIDE=FQ","FILING_STATUS=MR","Sort=A","Dates=H","DateFormat=P","Fill=—","Direction=H","UseDPDF=Y")</f>
        <v>3.97</v>
      </c>
      <c r="F57" s="17" cm="1">
        <f t="array" ref="F57">_xll.BDH("CMI US Equity","IS_DIL_EPS_BEF_XO","FQ4 2019","FQ4 2019","Currency=USD","Period=FQ","BEST_FPERIOD_OVERRIDE=FQ","FILING_STATUS=MR","Sort=A","Dates=H","DateFormat=P","Fill=—","Direction=H","UseDPDF=Y")</f>
        <v>1.97</v>
      </c>
      <c r="G57" s="17" cm="1">
        <f t="array" ref="G57">_xll.BDH("CMI US Equity","IS_DIL_EPS_BEF_XO","FQ1 2020","FQ1 2020","Currency=USD","Period=FQ","BEST_FPERIOD_OVERRIDE=FQ","FILING_STATUS=MR","Sort=A","Dates=H","DateFormat=P","Fill=—","Direction=H","UseDPDF=Y")</f>
        <v>3.41</v>
      </c>
      <c r="H57" s="17" cm="1">
        <f t="array" ref="H57">_xll.BDH("CMI US Equity","IS_DIL_EPS_BEF_XO","FQ2 2020","FQ2 2020","Currency=USD","Period=FQ","BEST_FPERIOD_OVERRIDE=FQ","FILING_STATUS=MR","Sort=A","Dates=H","DateFormat=P","Fill=—","Direction=H","UseDPDF=Y")</f>
        <v>1.86</v>
      </c>
      <c r="I57" s="17" cm="1">
        <f t="array" ref="I57">_xll.BDH("CMI US Equity","IS_DIL_EPS_BEF_XO","FQ3 2020","FQ3 2020","Currency=USD","Period=FQ","BEST_FPERIOD_OVERRIDE=FQ","FILING_STATUS=MR","Sort=A","Dates=H","DateFormat=P","Fill=—","Direction=H","UseDPDF=Y")</f>
        <v>3.36</v>
      </c>
      <c r="J57" s="17" cm="1">
        <f t="array" ref="J57">_xll.BDH("CMI US Equity","IS_DIL_EPS_BEF_XO","FQ4 2020","FQ4 2020","Currency=USD","Period=FQ","BEST_FPERIOD_OVERRIDE=FQ","FILING_STATUS=MR","Sort=A","Dates=H","DateFormat=P","Fill=—","Direction=H","UseDPDF=Y")</f>
        <v>3.36</v>
      </c>
      <c r="K57" s="17" cm="1">
        <f t="array" ref="K57">_xll.BDH("CMI US Equity","IS_DIL_EPS_BEF_XO","FQ1 2021","FQ1 2021","Currency=USD","Period=FQ","BEST_FPERIOD_OVERRIDE=FQ","FILING_STATUS=MR","Sort=A","Dates=H","DateFormat=P","Fill=—","Direction=H","UseDPDF=Y")</f>
        <v>4.07</v>
      </c>
      <c r="L57" s="17" cm="1">
        <f t="array" ref="L57">_xll.BDH("CMI US Equity","IS_DIL_EPS_BEF_XO","FQ2 2021","FQ2 2021","Currency=USD","Period=FQ","BEST_FPERIOD_OVERRIDE=FQ","FILING_STATUS=MR","Sort=A","Dates=H","DateFormat=P","Fill=—","Direction=H","UseDPDF=Y")</f>
        <v>4.0999999999999996</v>
      </c>
      <c r="M57" s="17" cm="1">
        <f t="array" ref="M57">_xll.BDH("CMI US Equity","IS_DIL_EPS_BEF_XO","FQ3 2021","FQ3 2021","Currency=USD","Period=FQ","BEST_FPERIOD_OVERRIDE=FQ","FILING_STATUS=MR","Sort=A","Dates=H","DateFormat=P","Fill=—","Direction=H","UseDPDF=Y")</f>
        <v>3.69</v>
      </c>
      <c r="N57" s="17" cm="1">
        <f t="array" ref="N57">_xll.BDH("CMI US Equity","IS_DIL_EPS_BEF_XO","FQ4 2021","FQ4 2021","Currency=USD","Period=FQ","BEST_FPERIOD_OVERRIDE=FQ","FILING_STATUS=MR","Sort=A","Dates=H","DateFormat=P","Fill=—","Direction=H","UseDPDF=Y")</f>
        <v>2.73</v>
      </c>
      <c r="O57" s="17" cm="1">
        <f t="array" ref="O57">_xll.BDH("CMI US Equity","IS_DIL_EPS_BEF_XO","FQ1 2022","FQ1 2022","Currency=USD","Period=FQ","BEST_FPERIOD_OVERRIDE=FQ","FILING_STATUS=MR","Sort=A","Dates=H","DateFormat=P","Fill=—","Direction=H","UseDPDF=Y")</f>
        <v>2.92</v>
      </c>
      <c r="P57" s="17" cm="1">
        <f t="array" ref="P57">_xll.BDH("CMI US Equity","IS_DIL_EPS_BEF_XO","FQ2 2022","FQ2 2022","Currency=USD","Period=FQ","BEST_FPERIOD_OVERRIDE=FQ","FILING_STATUS=MR","Sort=A","Dates=H","DateFormat=P","Fill=—","Direction=H","UseDPDF=Y")</f>
        <v>4.9400000000000004</v>
      </c>
      <c r="Q57" s="17" cm="1">
        <f t="array" ref="Q57">_xll.BDH("CMI US Equity","IS_DIL_EPS_BEF_XO","FQ3 2022","FQ3 2022","Currency=USD","Period=FQ","BEST_FPERIOD_OVERRIDE=FQ","FILING_STATUS=MR","Sort=A","Dates=H","DateFormat=P","Fill=—","Direction=H","UseDPDF=Y")</f>
        <v>2.82</v>
      </c>
      <c r="R57" s="17" cm="1">
        <f t="array" ref="R57">_xll.BDH("CMI US Equity","IS_DIL_EPS_BEF_XO","FQ4 2022","FQ4 2022","Currency=USD","Period=FQ","BEST_FPERIOD_OVERRIDE=FQ","FILING_STATUS=MR","Sort=A","Dates=H","DateFormat=P","Fill=—","Direction=H","UseDPDF=Y")</f>
        <v>4.43</v>
      </c>
      <c r="S57" s="17" cm="1">
        <f t="array" ref="S57">_xll.BDH("CMI US Equity","IS_DIL_EPS_BEF_XO","FQ1 2023","FQ1 2023","Currency=USD","Period=FQ","BEST_FPERIOD_OVERRIDE=FQ","FILING_STATUS=MR","Sort=A","Dates=H","DateFormat=P","Fill=—","Direction=H","UseDPDF=Y")</f>
        <v>5.55</v>
      </c>
      <c r="T57" s="17" cm="1">
        <f t="array" ref="T57">_xll.BDH("CMI US Equity","IS_DIL_EPS_BEF_XO","FQ2 2023","FQ2 2023","Currency=USD","Period=FQ","BEST_FPERIOD_OVERRIDE=FQ","FILING_STATUS=MR","Sort=A","Dates=H","DateFormat=P","Fill=—","Direction=H","UseDPDF=Y")</f>
        <v>5.05</v>
      </c>
      <c r="U57" s="17" cm="1">
        <f t="array" ref="U57">_xll.BDH("CMI US Equity","IS_DIL_EPS_BEF_XO","FQ3 2023","FQ3 2023","Currency=USD","Period=FQ","BEST_FPERIOD_OVERRIDE=FQ","FILING_STATUS=MR","Sort=A","Dates=H","DateFormat=P","Fill=—","Direction=H","UseDPDF=Y")</f>
        <v>4.59</v>
      </c>
      <c r="V57" s="17" cm="1">
        <f t="array" ref="V57">_xll.BDH("CMI US Equity","IS_DIL_EPS_BEF_XO","FQ4 2023","FQ4 2023","Currency=USD","Period=FQ","BEST_FPERIOD_OVERRIDE=FQ","FILING_STATUS=MR","Sort=A","Dates=H","DateFormat=P","Fill=—","Direction=H","UseDPDF=Y")</f>
        <v>-10.08</v>
      </c>
      <c r="W57" s="17" cm="1">
        <f t="array" ref="W57">_xll.BDH("CMI US Equity","IS_DIL_EPS_BEF_XO","FQ1 2024","FQ1 2024","Currency=USD","Period=FQ","BEST_FPERIOD_OVERRIDE=FQ","FILING_STATUS=MR","Sort=A","Dates=H","DateFormat=P","Fill=—","Direction=H","UseDPDF=Y")</f>
        <v>14.03</v>
      </c>
      <c r="X57" s="17" cm="1">
        <f t="array" ref="X57">_xll.BDH("CMI US Equity","IS_DIL_EPS_BEF_XO","FQ2 2024","FQ2 2024","Currency=USD","Period=FQ","BEST_FPERIOD_OVERRIDE=FQ","FILING_STATUS=MR","Sort=A","Dates=H","DateFormat=P","Fill=—","Direction=H","UseDPDF=Y")</f>
        <v>5.26</v>
      </c>
      <c r="Y57" s="17" cm="1">
        <f t="array" ref="Y57">_xll.BDH("CMI US Equity","IS_DIL_EPS_BEF_XO","FQ3 2024","FQ3 2024","Currency=USD","Period=FQ","BEST_FPERIOD_OVERRIDE=FQ","FILING_STATUS=MR","Sort=A","Dates=H","DateFormat=P","Fill=—","Direction=H","UseDPDF=Y")</f>
        <v>5.86</v>
      </c>
      <c r="Z57" s="17" cm="1">
        <f t="array" ref="Z57">_xll.BDH("CMI US Equity","IS_DIL_EPS_BEF_XO","FQ4 2024","FQ4 2024","Currency=USD","Period=FQ","BEST_FPERIOD_OVERRIDE=FQ","FILING_STATUS=MR","Sort=A","Dates=H","DateFormat=P","Fill=—","Direction=H","UseDPDF=Y")</f>
        <v>3.02</v>
      </c>
      <c r="AA57" s="17" cm="1">
        <f t="array" ref="AA57">_xll.BDH("CMI US Equity","IS_DIL_EPS_BEF_XO","FQ1 2025","FQ1 2025","Currency=USD","Period=FQ","BEST_FPERIOD_OVERRIDE=FQ","FILING_STATUS=MR","Sort=A","Dates=H","DateFormat=P","Fill=—","Direction=H","UseDPDF=Y")</f>
        <v>5.96</v>
      </c>
      <c r="AB57" s="17" cm="1">
        <f t="array" ref="AB57">_xll.BDH("CMI US Equity","IS_DIL_EPS_BEF_XO","FQ2 2025","FQ2 2025","Currency=USD","Period=FQ","BEST_FPERIOD_OVERRIDE=FQ","FILING_STATUS=MR","Sort=A","Dates=H","DateFormat=P","Fill=—","Direction=H","UseDPDF=Y")</f>
        <v>6.43</v>
      </c>
      <c r="AC57" s="17" cm="1">
        <f t="array" ref="AC57">_xll.BDH("CMI US Equity","IS_DIL_EPS_BEF_XO","FQ3 2025","FQ3 2025","Currency=USD","Period=FQ","BEST_FPERIOD_OVERRIDE=FQ","FILING_STATUS=MR","Sort=A","Dates=H","DateFormat=P","Fill=—","Direction=H","UseDPDF=Y")</f>
        <v>3.86</v>
      </c>
      <c r="AD57" s="17" cm="1">
        <f t="array" ref="AD57">_xll.BDH("CMI US Equity","IS_DIL_EPS_BEF_XO","FQ4 2025","FQ4 2025","Currency=USD","Period=FQ","BEST_FPERIOD_OVERRIDE=FQ","FILING_STATUS=MR","Sort=A","Dates=H","DateFormat=P","Fill=—","Direction=H","UseDPDF=Y")</f>
        <v>4.2699999999999996</v>
      </c>
      <c r="AE57" s="17">
        <v>5.7</v>
      </c>
      <c r="AF57" s="17">
        <v>6.4859999999999998</v>
      </c>
    </row>
    <row r="58" spans="1:32" x14ac:dyDescent="0.25">
      <c r="A58" s="6" t="s">
        <v>160</v>
      </c>
      <c r="B58" s="6" t="s">
        <v>161</v>
      </c>
      <c r="C58" s="17" cm="1">
        <f t="array" ref="C58">_xll.BDH("CMI US Equity","IS_DIL_EPS_CONT_OPS","FQ1 2019","FQ1 2019","Currency=USD","Period=FQ","BEST_FPERIOD_OVERRIDE=FQ","FILING_STATUS=MR","Sort=A","Dates=H","DateFormat=P","Fill=—","Direction=H","UseDPDF=Y")</f>
        <v>4.1749999999999998</v>
      </c>
      <c r="D58" s="17" cm="1">
        <f t="array" ref="D58">_xll.BDH("CMI US Equity","IS_DIL_EPS_CONT_OPS","FQ2 2019","FQ2 2019","Currency=USD","Period=FQ","BEST_FPERIOD_OVERRIDE=FQ","FILING_STATUS=MR","Sort=A","Dates=H","DateFormat=P","Fill=—","Direction=H","UseDPDF=Y")</f>
        <v>4.18</v>
      </c>
      <c r="E58" s="17" cm="1">
        <f t="array" ref="E58">_xll.BDH("CMI US Equity","IS_DIL_EPS_CONT_OPS","FQ3 2019","FQ3 2019","Currency=USD","Period=FQ","BEST_FPERIOD_OVERRIDE=FQ","FILING_STATUS=MR","Sort=A","Dates=H","DateFormat=P","Fill=—","Direction=H","UseDPDF=Y")</f>
        <v>3.7553000000000001</v>
      </c>
      <c r="F58" s="17" cm="1">
        <f t="array" ref="F58">_xll.BDH("CMI US Equity","IS_DIL_EPS_CONT_OPS","FQ4 2019","FQ4 2019","Currency=USD","Period=FQ","BEST_FPERIOD_OVERRIDE=FQ","FILING_STATUS=MR","Sort=A","Dates=H","DateFormat=P","Fill=—","Direction=H","UseDPDF=Y")</f>
        <v>2.5706000000000002</v>
      </c>
      <c r="G58" s="17" cm="1">
        <f t="array" ref="G58">_xll.BDH("CMI US Equity","IS_DIL_EPS_CONT_OPS","FQ1 2020","FQ1 2020","Currency=USD","Period=FQ","BEST_FPERIOD_OVERRIDE=FQ","FILING_STATUS=MR","Sort=A","Dates=H","DateFormat=P","Fill=—","Direction=H","UseDPDF=Y")</f>
        <v>2.8184999999999998</v>
      </c>
      <c r="H58" s="17" cm="1">
        <f t="array" ref="H58">_xll.BDH("CMI US Equity","IS_DIL_EPS_CONT_OPS","FQ2 2020","FQ2 2020","Currency=USD","Period=FQ","BEST_FPERIOD_OVERRIDE=FQ","FILING_STATUS=MR","Sort=A","Dates=H","DateFormat=P","Fill=—","Direction=H","UseDPDF=Y")</f>
        <v>1.6664000000000001</v>
      </c>
      <c r="I58" s="17" cm="1">
        <f t="array" ref="I58">_xll.BDH("CMI US Equity","IS_DIL_EPS_CONT_OPS","FQ3 2020","FQ3 2020","Currency=USD","Period=FQ","BEST_FPERIOD_OVERRIDE=FQ","FILING_STATUS=MR","Sort=A","Dates=H","DateFormat=P","Fill=—","Direction=H","UseDPDF=Y")</f>
        <v>3.4832999999999998</v>
      </c>
      <c r="J58" s="17" cm="1">
        <f t="array" ref="J58">_xll.BDH("CMI US Equity","IS_DIL_EPS_CONT_OPS","FQ4 2020","FQ4 2020","Currency=USD","Period=FQ","BEST_FPERIOD_OVERRIDE=FQ","FILING_STATUS=MR","Sort=A","Dates=H","DateFormat=P","Fill=—","Direction=H","UseDPDF=Y")</f>
        <v>3.3163</v>
      </c>
      <c r="K58" s="17" cm="1">
        <f t="array" ref="K58">_xll.BDH("CMI US Equity","IS_DIL_EPS_CONT_OPS","FQ1 2021","FQ1 2021","Currency=USD","Period=FQ","BEST_FPERIOD_OVERRIDE=FQ","FILING_STATUS=MR","Sort=A","Dates=H","DateFormat=P","Fill=—","Direction=H","UseDPDF=Y")</f>
        <v>4.0590000000000002</v>
      </c>
      <c r="L58" s="17" cm="1">
        <f t="array" ref="L58">_xll.BDH("CMI US Equity","IS_DIL_EPS_CONT_OPS","FQ2 2021","FQ2 2021","Currency=USD","Period=FQ","BEST_FPERIOD_OVERRIDE=FQ","FILING_STATUS=MR","Sort=A","Dates=H","DateFormat=P","Fill=—","Direction=H","UseDPDF=Y")</f>
        <v>4.0399000000000003</v>
      </c>
      <c r="M58" s="17" cm="1">
        <f t="array" ref="M58">_xll.BDH("CMI US Equity","IS_DIL_EPS_CONT_OPS","FQ3 2021","FQ3 2021","Currency=USD","Period=FQ","BEST_FPERIOD_OVERRIDE=FQ","FILING_STATUS=MR","Sort=A","Dates=H","DateFormat=P","Fill=—","Direction=H","UseDPDF=Y")</f>
        <v>3.6031</v>
      </c>
      <c r="N58" s="17" cm="1">
        <f t="array" ref="N58">_xll.BDH("CMI US Equity","IS_DIL_EPS_CONT_OPS","FQ4 2021","FQ4 2021","Currency=USD","Period=FQ","BEST_FPERIOD_OVERRIDE=FQ","FILING_STATUS=MR","Sort=A","Dates=H","DateFormat=P","Fill=—","Direction=H","UseDPDF=Y")</f>
        <v>2.8479999999999999</v>
      </c>
      <c r="O58" s="17" cm="1">
        <f t="array" ref="O58">_xll.BDH("CMI US Equity","IS_DIL_EPS_CONT_OPS","FQ1 2022","FQ1 2022","Currency=USD","Period=FQ","BEST_FPERIOD_OVERRIDE=FQ","FILING_STATUS=MR","Sort=A","Dates=H","DateFormat=P","Fill=—","Direction=H","UseDPDF=Y")</f>
        <v>2.97</v>
      </c>
      <c r="P58" s="17" cm="1">
        <f t="array" ref="P58">_xll.BDH("CMI US Equity","IS_DIL_EPS_CONT_OPS","FQ2 2022","FQ2 2022","Currency=USD","Period=FQ","BEST_FPERIOD_OVERRIDE=FQ","FILING_STATUS=MR","Sort=A","Dates=H","DateFormat=P","Fill=—","Direction=H","UseDPDF=Y")</f>
        <v>5.4606000000000003</v>
      </c>
      <c r="Q58" s="17" cm="1">
        <f t="array" ref="Q58">_xll.BDH("CMI US Equity","IS_DIL_EPS_CONT_OPS","FQ3 2022","FQ3 2022","Currency=USD","Period=FQ","BEST_FPERIOD_OVERRIDE=FQ","FILING_STATUS=MR","Sort=A","Dates=H","DateFormat=P","Fill=—","Direction=H","UseDPDF=Y")</f>
        <v>2.4186000000000001</v>
      </c>
      <c r="R58" s="17" cm="1">
        <f t="array" ref="R58">_xll.BDH("CMI US Equity","IS_DIL_EPS_CONT_OPS","FQ4 2022","FQ4 2022","Currency=USD","Period=FQ","BEST_FPERIOD_OVERRIDE=FQ","FILING_STATUS=MR","Sort=A","Dates=H","DateFormat=P","Fill=—","Direction=H","UseDPDF=Y")</f>
        <v>4.43</v>
      </c>
      <c r="S58" s="17" cm="1">
        <f t="array" ref="S58">_xll.BDH("CMI US Equity","IS_DIL_EPS_CONT_OPS","FQ1 2023","FQ1 2023","Currency=USD","Period=FQ","BEST_FPERIOD_OVERRIDE=FQ","FILING_STATUS=MR","Sort=A","Dates=H","DateFormat=P","Fill=—","Direction=H","UseDPDF=Y")</f>
        <v>5.5555000000000003</v>
      </c>
      <c r="T58" s="17" cm="1">
        <f t="array" ref="T58">_xll.BDH("CMI US Equity","IS_DIL_EPS_CONT_OPS","FQ2 2023","FQ2 2023","Currency=USD","Period=FQ","BEST_FPERIOD_OVERRIDE=FQ","FILING_STATUS=MR","Sort=A","Dates=H","DateFormat=P","Fill=—","Direction=H","UseDPDF=Y")</f>
        <v>5.0666000000000002</v>
      </c>
      <c r="U58" s="17" cm="1">
        <f t="array" ref="U58">_xll.BDH("CMI US Equity","IS_DIL_EPS_CONT_OPS","FQ3 2023","FQ3 2023","Currency=USD","Period=FQ","BEST_FPERIOD_OVERRIDE=FQ","FILING_STATUS=MR","Sort=A","Dates=H","DateFormat=P","Fill=—","Direction=H","UseDPDF=Y")</f>
        <v>4.9352999999999998</v>
      </c>
      <c r="V58" s="17" cm="1">
        <f t="array" ref="V58">_xll.BDH("CMI US Equity","IS_DIL_EPS_CONT_OPS","FQ4 2023","FQ4 2023","Currency=USD","Period=FQ","BEST_FPERIOD_OVERRIDE=FQ","FILING_STATUS=MR","Sort=A","Dates=H","DateFormat=P","Fill=—","Direction=H","UseDPDF=Y")</f>
        <v>-10.08</v>
      </c>
      <c r="W58" s="17" cm="1">
        <f t="array" ref="W58">_xll.BDH("CMI US Equity","IS_DIL_EPS_CONT_OPS","FQ1 2024","FQ1 2024","Currency=USD","Period=FQ","BEST_FPERIOD_OVERRIDE=FQ","FILING_STATUS=MR","Sort=A","Dates=H","DateFormat=P","Fill=—","Direction=H","UseDPDF=Y")</f>
        <v>6.9417</v>
      </c>
      <c r="X58" s="17" cm="1">
        <f t="array" ref="X58">_xll.BDH("CMI US Equity","IS_DIL_EPS_CONT_OPS","FQ2 2024","FQ2 2024","Currency=USD","Period=FQ","BEST_FPERIOD_OVERRIDE=FQ","FILING_STATUS=MR","Sort=A","Dates=H","DateFormat=P","Fill=—","Direction=H","UseDPDF=Y")</f>
        <v>5.2714999999999996</v>
      </c>
      <c r="Y58" s="17" cm="1">
        <f t="array" ref="Y58">_xll.BDH("CMI US Equity","IS_DIL_EPS_CONT_OPS","FQ3 2024","FQ3 2024","Currency=USD","Period=FQ","BEST_FPERIOD_OVERRIDE=FQ","FILING_STATUS=MR","Sort=A","Dates=H","DateFormat=P","Fill=—","Direction=H","UseDPDF=Y")</f>
        <v>5.6711999999999998</v>
      </c>
      <c r="Z58" s="17" cm="1">
        <f t="array" ref="Z58">_xll.BDH("CMI US Equity","IS_DIL_EPS_CONT_OPS","FQ4 2024","FQ4 2024","Currency=USD","Period=FQ","BEST_FPERIOD_OVERRIDE=FQ","FILING_STATUS=MR","Sort=A","Dates=H","DateFormat=P","Fill=—","Direction=H","UseDPDF=Y")</f>
        <v>3.2483</v>
      </c>
      <c r="AA58" s="17" cm="1">
        <f t="array" ref="AA58">_xll.BDH("CMI US Equity","IS_DIL_EPS_CONT_OPS","FQ1 2025","FQ1 2025","Currency=USD","Period=FQ","BEST_FPERIOD_OVERRIDE=FQ","FILING_STATUS=MR","Sort=A","Dates=H","DateFormat=P","Fill=—","Direction=H","UseDPDF=Y")</f>
        <v>5.96</v>
      </c>
      <c r="AB58" s="17" cm="1">
        <f t="array" ref="AB58">_xll.BDH("CMI US Equity","IS_DIL_EPS_CONT_OPS","FQ2 2025","FQ2 2025","Currency=USD","Period=FQ","BEST_FPERIOD_OVERRIDE=FQ","FILING_STATUS=MR","Sort=A","Dates=H","DateFormat=P","Fill=—","Direction=H","UseDPDF=Y")</f>
        <v>6.3273000000000001</v>
      </c>
      <c r="AC58" s="17" cm="1">
        <f t="array" ref="AC58">_xll.BDH("CMI US Equity","IS_DIL_EPS_CONT_OPS","FQ3 2025","FQ3 2025","Currency=USD","Period=FQ","BEST_FPERIOD_OVERRIDE=FQ","FILING_STATUS=MR","Sort=A","Dates=H","DateFormat=P","Fill=—","Direction=H","UseDPDF=Y")</f>
        <v>3.7631999999999999</v>
      </c>
      <c r="AD58" s="17" cm="1">
        <f t="array" ref="AD58">_xll.BDH("CMI US Equity","IS_DIL_EPS_CONT_OPS","FQ4 2025","FQ4 2025","Currency=USD","Period=FQ","BEST_FPERIOD_OVERRIDE=FQ","FILING_STATUS=MR","Sort=A","Dates=H","DateFormat=P","Fill=—","Direction=H","UseDPDF=Y")</f>
        <v>5.5090000000000003</v>
      </c>
      <c r="AE58" s="17">
        <v>5.7039999999999997</v>
      </c>
      <c r="AF58" s="17">
        <v>6.516</v>
      </c>
    </row>
    <row r="59" spans="1:32" x14ac:dyDescent="0.25">
      <c r="A59" s="6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x14ac:dyDescent="0.25">
      <c r="A60" s="6" t="s">
        <v>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x14ac:dyDescent="0.25">
      <c r="A61" s="10" t="s">
        <v>162</v>
      </c>
      <c r="B61" s="10" t="s">
        <v>163</v>
      </c>
      <c r="C61" s="12" t="s">
        <v>164</v>
      </c>
      <c r="D61" s="12" t="s">
        <v>164</v>
      </c>
      <c r="E61" s="12" t="s">
        <v>164</v>
      </c>
      <c r="F61" s="12" t="s">
        <v>164</v>
      </c>
      <c r="G61" s="12" t="s">
        <v>164</v>
      </c>
      <c r="H61" s="12" t="s">
        <v>164</v>
      </c>
      <c r="I61" s="12" t="s">
        <v>164</v>
      </c>
      <c r="J61" s="12" t="s">
        <v>164</v>
      </c>
      <c r="K61" s="12" t="s">
        <v>164</v>
      </c>
      <c r="L61" s="12" t="s">
        <v>164</v>
      </c>
      <c r="M61" s="12" t="s">
        <v>164</v>
      </c>
      <c r="N61" s="12" t="s">
        <v>164</v>
      </c>
      <c r="O61" s="12" t="s">
        <v>164</v>
      </c>
      <c r="P61" s="12" t="s">
        <v>164</v>
      </c>
      <c r="Q61" s="12" t="s">
        <v>164</v>
      </c>
      <c r="R61" s="12" t="s">
        <v>164</v>
      </c>
      <c r="S61" s="12" t="s">
        <v>164</v>
      </c>
      <c r="T61" s="12" t="s">
        <v>164</v>
      </c>
      <c r="U61" s="12" t="s">
        <v>164</v>
      </c>
      <c r="V61" s="12" t="s">
        <v>164</v>
      </c>
      <c r="W61" s="12" t="s">
        <v>164</v>
      </c>
      <c r="X61" s="12" t="s">
        <v>164</v>
      </c>
      <c r="Y61" s="12" t="s">
        <v>164</v>
      </c>
      <c r="Z61" s="12" t="s">
        <v>164</v>
      </c>
      <c r="AA61" s="12" t="s">
        <v>164</v>
      </c>
      <c r="AB61" s="12" t="s">
        <v>164</v>
      </c>
      <c r="AC61" s="12" t="s">
        <v>164</v>
      </c>
      <c r="AD61" s="12" t="s">
        <v>164</v>
      </c>
      <c r="AE61" s="12"/>
      <c r="AF61" s="12"/>
    </row>
    <row r="62" spans="1:32" x14ac:dyDescent="0.25">
      <c r="A62" s="10" t="s">
        <v>165</v>
      </c>
      <c r="B62" s="10" t="s">
        <v>165</v>
      </c>
      <c r="C62" s="13" cm="1">
        <f t="array" ref="C62">_xll.BDH("CMI US Equity","EBITDA","FQ1 2019","FQ1 2019","Currency=USD","Period=FQ","BEST_FPERIOD_OVERRIDE=FQ","FILING_STATUS=MR","SCALING_FORMAT=MLN","FA_ADJUSTED=Adjusted","Sort=A","Dates=H","DateFormat=P","Fill=—","Direction=H","UseDPDF=Y")</f>
        <v>1001</v>
      </c>
      <c r="D62" s="13" cm="1">
        <f t="array" ref="D62">_xll.BDH("CMI US Equity","EBITDA","FQ2 2019","FQ2 2019","Currency=USD","Period=FQ","BEST_FPERIOD_OVERRIDE=FQ","FILING_STATUS=MR","SCALING_FORMAT=MLN","FA_ADJUSTED=Adjusted","Sort=A","Dates=H","DateFormat=P","Fill=—","Direction=H","UseDPDF=Y")</f>
        <v>1042</v>
      </c>
      <c r="E62" s="13" cm="1">
        <f t="array" ref="E62">_xll.BDH("CMI US Equity","EBITDA","FQ3 2019","FQ3 2019","Currency=USD","Period=FQ","BEST_FPERIOD_OVERRIDE=FQ","FILING_STATUS=MR","SCALING_FORMAT=MLN","FA_ADJUSTED=Adjusted","Sort=A","Dates=H","DateFormat=P","Fill=—","Direction=H","UseDPDF=Y")</f>
        <v>950</v>
      </c>
      <c r="F62" s="13" cm="1">
        <f t="array" ref="F62">_xll.BDH("CMI US Equity","EBITDA","FQ4 2019","FQ4 2019","Currency=USD","Period=FQ","BEST_FPERIOD_OVERRIDE=FQ","FILING_STATUS=MR","SCALING_FORMAT=MLN","FA_ADJUSTED=Adjusted","Sort=A","Dates=H","DateFormat=P","Fill=—","Direction=H","UseDPDF=Y")</f>
        <v>662</v>
      </c>
      <c r="G62" s="13" cm="1">
        <f t="array" ref="G62">_xll.BDH("CMI US Equity","EBITDA","FQ1 2020","FQ1 2020","Currency=USD","Period=FQ","BEST_FPERIOD_OVERRIDE=FQ","FILING_STATUS=MR","SCALING_FORMAT=MLN","FA_ADJUSTED=Adjusted","Sort=A","Dates=H","DateFormat=P","Fill=—","Direction=H","UseDPDF=Y")</f>
        <v>757</v>
      </c>
      <c r="H62" s="13" cm="1">
        <f t="array" ref="H62">_xll.BDH("CMI US Equity","EBITDA","FQ2 2020","FQ2 2020","Currency=USD","Period=FQ","BEST_FPERIOD_OVERRIDE=FQ","FILING_STATUS=MR","SCALING_FORMAT=MLN","FA_ADJUSTED=Adjusted","Sort=A","Dates=H","DateFormat=P","Fill=—","Direction=H","UseDPDF=Y")</f>
        <v>447</v>
      </c>
      <c r="I62" s="13" cm="1">
        <f t="array" ref="I62">_xll.BDH("CMI US Equity","EBITDA","FQ3 2020","FQ3 2020","Currency=USD","Period=FQ","BEST_FPERIOD_OVERRIDE=FQ","FILING_STATUS=MR","SCALING_FORMAT=MLN","FA_ADJUSTED=Adjusted","Sort=A","Dates=H","DateFormat=P","Fill=—","Direction=H","UseDPDF=Y")</f>
        <v>820</v>
      </c>
      <c r="J62" s="13" cm="1">
        <f t="array" ref="J62">_xll.BDH("CMI US Equity","EBITDA","FQ4 2020","FQ4 2020","Currency=USD","Period=FQ","BEST_FPERIOD_OVERRIDE=FQ","FILING_STATUS=MR","SCALING_FORMAT=MLN","FA_ADJUSTED=Adjusted","Sort=A","Dates=H","DateFormat=P","Fill=—","Direction=H","UseDPDF=Y")</f>
        <v>796</v>
      </c>
      <c r="K62" s="13" cm="1">
        <f t="array" ref="K62">_xll.BDH("CMI US Equity","EBITDA","FQ1 2021","FQ1 2021","Currency=USD","Period=FQ","BEST_FPERIOD_OVERRIDE=FQ","FILING_STATUS=MR","SCALING_FORMAT=MLN","FA_ADJUSTED=Adjusted","Sort=A","Dates=H","DateFormat=P","Fill=—","Direction=H","UseDPDF=Y")</f>
        <v>983</v>
      </c>
      <c r="L62" s="13" cm="1">
        <f t="array" ref="L62">_xll.BDH("CMI US Equity","EBITDA","FQ2 2021","FQ2 2021","Currency=USD","Period=FQ","BEST_FPERIOD_OVERRIDE=FQ","FILING_STATUS=MR","SCALING_FORMAT=MLN","FA_ADJUSTED=Adjusted","Sort=A","Dates=H","DateFormat=P","Fill=—","Direction=H","UseDPDF=Y")</f>
        <v>882</v>
      </c>
      <c r="M62" s="13" cm="1">
        <f t="array" ref="M62">_xll.BDH("CMI US Equity","EBITDA","FQ3 2021","FQ3 2021","Currency=USD","Period=FQ","BEST_FPERIOD_OVERRIDE=FQ","FILING_STATUS=MR","SCALING_FORMAT=MLN","FA_ADJUSTED=Adjusted","Sort=A","Dates=H","DateFormat=P","Fill=—","Direction=H","UseDPDF=Y")</f>
        <v>827</v>
      </c>
      <c r="N62" s="13" cm="1">
        <f t="array" ref="N62">_xll.BDH("CMI US Equity","EBITDA","FQ4 2021","FQ4 2021","Currency=USD","Period=FQ","BEST_FPERIOD_OVERRIDE=FQ","FILING_STATUS=MR","SCALING_FORMAT=MLN","FA_ADJUSTED=Adjusted","Sort=A","Dates=H","DateFormat=P","Fill=—","Direction=H","UseDPDF=Y")</f>
        <v>660</v>
      </c>
      <c r="O62" s="13" cm="1">
        <f t="array" ref="O62">_xll.BDH("CMI US Equity","EBITDA","FQ1 2022","FQ1 2022","Currency=USD","Period=FQ","BEST_FPERIOD_OVERRIDE=FQ","FILING_STATUS=MR","SCALING_FORMAT=MLN","FA_ADJUSTED=Adjusted","Sort=A","Dates=H","DateFormat=P","Fill=—","Direction=H","UseDPDF=Y")</f>
        <v>769</v>
      </c>
      <c r="P62" s="13" cm="1">
        <f t="array" ref="P62">_xll.BDH("CMI US Equity","EBITDA","FQ2 2022","FQ2 2022","Currency=USD","Period=FQ","BEST_FPERIOD_OVERRIDE=FQ","FILING_STATUS=MR","SCALING_FORMAT=MLN","FA_ADJUSTED=Adjusted","Sort=A","Dates=H","DateFormat=P","Fill=—","Direction=H","UseDPDF=Y")</f>
        <v>1112</v>
      </c>
      <c r="Q62" s="13" cm="1">
        <f t="array" ref="Q62">_xll.BDH("CMI US Equity","EBITDA","FQ3 2022","FQ3 2022","Currency=USD","Period=FQ","BEST_FPERIOD_OVERRIDE=FQ","FILING_STATUS=MR","SCALING_FORMAT=MLN","FA_ADJUSTED=Adjusted","Sort=A","Dates=H","DateFormat=P","Fill=—","Direction=H","UseDPDF=Y")</f>
        <v>813</v>
      </c>
      <c r="R62" s="13" cm="1">
        <f t="array" ref="R62">_xll.BDH("CMI US Equity","EBITDA","FQ4 2022","FQ4 2022","Currency=USD","Period=FQ","BEST_FPERIOD_OVERRIDE=FQ","FILING_STATUS=MR","SCALING_FORMAT=MLN","FA_ADJUSTED=Adjusted","Sort=A","Dates=H","DateFormat=P","Fill=—","Direction=H","UseDPDF=Y")</f>
        <v>1042</v>
      </c>
      <c r="S62" s="13" cm="1">
        <f t="array" ref="S62">_xll.BDH("CMI US Equity","EBITDA","FQ1 2023","FQ1 2023","Currency=USD","Period=FQ","BEST_FPERIOD_OVERRIDE=FQ","FILING_STATUS=MR","SCALING_FORMAT=MLN","FA_ADJUSTED=Adjusted","Sort=A","Dates=H","DateFormat=P","Fill=—","Direction=H","UseDPDF=Y")</f>
        <v>1273</v>
      </c>
      <c r="T62" s="13" cm="1">
        <f t="array" ref="T62">_xll.BDH("CMI US Equity","EBITDA","FQ2 2023","FQ2 2023","Currency=USD","Period=FQ","BEST_FPERIOD_OVERRIDE=FQ","FILING_STATUS=MR","SCALING_FORMAT=MLN","FA_ADJUSTED=Adjusted","Sort=A","Dates=H","DateFormat=P","Fill=—","Direction=H","UseDPDF=Y")</f>
        <v>1256</v>
      </c>
      <c r="U62" s="13" cm="1">
        <f t="array" ref="U62">_xll.BDH("CMI US Equity","EBITDA","FQ3 2023","FQ3 2023","Currency=USD","Period=FQ","BEST_FPERIOD_OVERRIDE=FQ","FILING_STATUS=MR","SCALING_FORMAT=MLN","FA_ADJUSTED=Adjusted","Sort=A","Dates=H","DateFormat=P","Fill=—","Direction=H","UseDPDF=Y")</f>
        <v>1236</v>
      </c>
      <c r="V62" s="13" cm="1">
        <f t="array" ref="V62">_xll.BDH("CMI US Equity","EBITDA","FQ4 2023","FQ4 2023","Currency=USD","Period=FQ","BEST_FPERIOD_OVERRIDE=FQ","FILING_STATUS=MR","SCALING_FORMAT=MLN","FA_ADJUSTED=Adjusted","Sort=A","Dates=H","DateFormat=P","Fill=—","Direction=H","UseDPDF=Y")</f>
        <v>-948</v>
      </c>
      <c r="W62" s="13" cm="1">
        <f t="array" ref="W62">_xll.BDH("CMI US Equity","EBITDA","FQ1 2024","FQ1 2024","Currency=USD","Period=FQ","BEST_FPERIOD_OVERRIDE=FQ","FILING_STATUS=MR","SCALING_FORMAT=MLN","FA_ADJUSTED=Adjusted","Sort=A","Dates=H","DateFormat=P","Fill=—","Direction=H","UseDPDF=Y")</f>
        <v>1217</v>
      </c>
      <c r="X62" s="13" cm="1">
        <f t="array" ref="X62">_xll.BDH("CMI US Equity","EBITDA","FQ2 2024","FQ2 2024","Currency=USD","Period=FQ","BEST_FPERIOD_OVERRIDE=FQ","FILING_STATUS=MR","SCALING_FORMAT=MLN","FA_ADJUSTED=Adjusted","Sort=A","Dates=H","DateFormat=P","Fill=—","Direction=H","UseDPDF=Y")</f>
        <v>1308</v>
      </c>
      <c r="Y62" s="13" cm="1">
        <f t="array" ref="Y62">_xll.BDH("CMI US Equity","EBITDA","FQ3 2024","FQ3 2024","Currency=USD","Period=FQ","BEST_FPERIOD_OVERRIDE=FQ","FILING_STATUS=MR","SCALING_FORMAT=MLN","FA_ADJUSTED=Adjusted","Sort=A","Dates=H","DateFormat=P","Fill=—","Direction=H","UseDPDF=Y")</f>
        <v>1318</v>
      </c>
      <c r="Z62" s="13" cm="1">
        <f t="array" ref="Z62">_xll.BDH("CMI US Equity","EBITDA","FQ4 2024","FQ4 2024","Currency=USD","Period=FQ","BEST_FPERIOD_OVERRIDE=FQ","FILING_STATUS=MR","SCALING_FORMAT=MLN","FA_ADJUSTED=Adjusted","Sort=A","Dates=H","DateFormat=P","Fill=—","Direction=H","UseDPDF=Y")</f>
        <v>1018</v>
      </c>
      <c r="AA62" s="13" cm="1">
        <f t="array" ref="AA62">_xll.BDH("CMI US Equity","EBITDA","FQ1 2025","FQ1 2025","Currency=USD","Period=FQ","BEST_FPERIOD_OVERRIDE=FQ","FILING_STATUS=MR","SCALING_FORMAT=MLN","FA_ADJUSTED=Adjusted","Sort=A","Dates=H","DateFormat=P","Fill=—","Direction=H","UseDPDF=Y")</f>
        <v>1403</v>
      </c>
      <c r="AB62" s="13" cm="1">
        <f t="array" ref="AB62">_xll.BDH("CMI US Equity","EBITDA","FQ2 2025","FQ2 2025","Currency=USD","Period=FQ","BEST_FPERIOD_OVERRIDE=FQ","FILING_STATUS=MR","SCALING_FORMAT=MLN","FA_ADJUSTED=Adjusted","Sort=A","Dates=H","DateFormat=P","Fill=—","Direction=H","UseDPDF=Y")</f>
        <v>1505</v>
      </c>
      <c r="AC62" s="13" cm="1">
        <f t="array" ref="AC62">_xll.BDH("CMI US Equity","EBITDA","FQ3 2025","FQ3 2025","Currency=USD","Period=FQ","BEST_FPERIOD_OVERRIDE=FQ","FILING_STATUS=MR","SCALING_FORMAT=MLN","FA_ADJUSTED=Adjusted","Sort=A","Dates=H","DateFormat=P","Fill=—","Direction=H","UseDPDF=Y")</f>
        <v>1133</v>
      </c>
      <c r="AD62" s="13" cm="1">
        <f t="array" ref="AD62">_xll.BDH("CMI US Equity","EBITDA","FQ4 2025","FQ4 2025","Currency=USD","Period=FQ","BEST_FPERIOD_OVERRIDE=FQ","FILING_STATUS=MR","SCALING_FORMAT=MLN","FA_ADJUSTED=Adjusted","Sort=A","Dates=H","DateFormat=P","Fill=—","Direction=H","UseDPDF=Y")</f>
        <v>1311</v>
      </c>
      <c r="AE62" s="13">
        <v>1406.38461538462</v>
      </c>
      <c r="AF62" s="13">
        <v>1576.4615384615399</v>
      </c>
    </row>
    <row r="63" spans="1:32" x14ac:dyDescent="0.25">
      <c r="A63" s="10" t="s">
        <v>166</v>
      </c>
      <c r="B63" s="10" t="s">
        <v>167</v>
      </c>
      <c r="C63" s="14" cm="1">
        <f t="array" ref="C63">_xll.BDH("CMI US Equity","EBITDA_MARGIN","FQ1 2019","FQ1 2019","Currency=USD","Period=FQ","BEST_FPERIOD_OVERRIDE=FQ","FILING_STATUS=MR","FA_ADJUSTED=Adjusted","Sort=A","Dates=H","DateFormat=P","Fill=—","Direction=H","UseDPDF=Y")</f>
        <v>16.161999999999999</v>
      </c>
      <c r="D63" s="14" cm="1">
        <f t="array" ref="D63">_xll.BDH("CMI US Equity","EBITDA_MARGIN","FQ2 2019","FQ2 2019","Currency=USD","Period=FQ","BEST_FPERIOD_OVERRIDE=FQ","FILING_STATUS=MR","FA_ADJUSTED=Adjusted","Sort=A","Dates=H","DateFormat=P","Fill=—","Direction=H","UseDPDF=Y")</f>
        <v>16.036899999999999</v>
      </c>
      <c r="E63" s="14" cm="1">
        <f t="array" ref="E63">_xll.BDH("CMI US Equity","EBITDA_MARGIN","FQ3 2019","FQ3 2019","Currency=USD","Period=FQ","BEST_FPERIOD_OVERRIDE=FQ","FILING_STATUS=MR","FA_ADJUSTED=Adjusted","Sort=A","Dates=H","DateFormat=P","Fill=—","Direction=H","UseDPDF=Y")</f>
        <v>16.140799999999999</v>
      </c>
      <c r="F63" s="14" cm="1">
        <f t="array" ref="F63">_xll.BDH("CMI US Equity","EBITDA_MARGIN","FQ4 2019","FQ4 2019","Currency=USD","Period=FQ","BEST_FPERIOD_OVERRIDE=FQ","FILING_STATUS=MR","FA_ADJUSTED=Adjusted","Sort=A","Dates=H","DateFormat=P","Fill=—","Direction=H","UseDPDF=Y")</f>
        <v>15.5063</v>
      </c>
      <c r="G63" s="14" cm="1">
        <f t="array" ref="G63">_xll.BDH("CMI US Equity","EBITDA_MARGIN","FQ1 2020","FQ1 2020","Currency=USD","Period=FQ","BEST_FPERIOD_OVERRIDE=FQ","FILING_STATUS=MR","FA_ADJUSTED=Adjusted","Sort=A","Dates=H","DateFormat=P","Fill=—","Direction=H","UseDPDF=Y")</f>
        <v>15.1076</v>
      </c>
      <c r="H63" s="14" cm="1">
        <f t="array" ref="H63">_xll.BDH("CMI US Equity","EBITDA_MARGIN","FQ2 2020","FQ2 2020","Currency=USD","Period=FQ","BEST_FPERIOD_OVERRIDE=FQ","FILING_STATUS=MR","FA_ADJUSTED=Adjusted","Sort=A","Dates=H","DateFormat=P","Fill=—","Direction=H","UseDPDF=Y")</f>
        <v>13.9344</v>
      </c>
      <c r="I63" s="14" cm="1">
        <f t="array" ref="I63">_xll.BDH("CMI US Equity","EBITDA_MARGIN","FQ3 2020","FQ3 2020","Currency=USD","Period=FQ","BEST_FPERIOD_OVERRIDE=FQ","FILING_STATUS=MR","FA_ADJUSTED=Adjusted","Sort=A","Dates=H","DateFormat=P","Fill=—","Direction=H","UseDPDF=Y")</f>
        <v>13.732799999999999</v>
      </c>
      <c r="J63" s="14" cm="1">
        <f t="array" ref="J63">_xll.BDH("CMI US Equity","EBITDA_MARGIN","FQ4 2020","FQ4 2020","Currency=USD","Period=FQ","BEST_FPERIOD_OVERRIDE=FQ","FILING_STATUS=MR","FA_ADJUSTED=Adjusted","Sort=A","Dates=H","DateFormat=P","Fill=—","Direction=H","UseDPDF=Y")</f>
        <v>14.234500000000001</v>
      </c>
      <c r="K63" s="14" cm="1">
        <f t="array" ref="K63">_xll.BDH("CMI US Equity","EBITDA_MARGIN","FQ1 2021","FQ1 2021","Currency=USD","Period=FQ","BEST_FPERIOD_OVERRIDE=FQ","FILING_STATUS=MR","FA_ADJUSTED=Adjusted","Sort=A","Dates=H","DateFormat=P","Fill=—","Direction=H","UseDPDF=Y")</f>
        <v>14.579700000000001</v>
      </c>
      <c r="L63" s="14" cm="1">
        <f t="array" ref="L63">_xll.BDH("CMI US Equity","EBITDA_MARGIN","FQ2 2021","FQ2 2021","Currency=USD","Period=FQ","BEST_FPERIOD_OVERRIDE=FQ","FILING_STATUS=MR","FA_ADJUSTED=Adjusted","Sort=A","Dates=H","DateFormat=P","Fill=—","Direction=H","UseDPDF=Y")</f>
        <v>15.036099999999999</v>
      </c>
      <c r="M63" s="14" cm="1">
        <f t="array" ref="M63">_xll.BDH("CMI US Equity","EBITDA_MARGIN","FQ3 2021","FQ3 2021","Currency=USD","Period=FQ","BEST_FPERIOD_OVERRIDE=FQ","FILING_STATUS=MR","FA_ADJUSTED=Adjusted","Sort=A","Dates=H","DateFormat=P","Fill=—","Direction=H","UseDPDF=Y")</f>
        <v>14.5327</v>
      </c>
      <c r="N63" s="14" cm="1">
        <f t="array" ref="N63">_xll.BDH("CMI US Equity","EBITDA_MARGIN","FQ4 2021","FQ4 2021","Currency=USD","Period=FQ","BEST_FPERIOD_OVERRIDE=FQ","FILING_STATUS=MR","FA_ADJUSTED=Adjusted","Sort=A","Dates=H","DateFormat=P","Fill=—","Direction=H","UseDPDF=Y")</f>
        <v>13.954499999999999</v>
      </c>
      <c r="O63" s="14" cm="1">
        <f t="array" ref="O63">_xll.BDH("CMI US Equity","EBITDA_MARGIN","FQ1 2022","FQ1 2022","Currency=USD","Period=FQ","BEST_FPERIOD_OVERRIDE=FQ","FILING_STATUS=MR","FA_ADJUSTED=Adjusted","Sort=A","Dates=H","DateFormat=P","Fill=—","Direction=H","UseDPDF=Y")</f>
        <v>12.9061</v>
      </c>
      <c r="P63" s="14" cm="1">
        <f t="array" ref="P63">_xll.BDH("CMI US Equity","EBITDA_MARGIN","FQ2 2022","FQ2 2022","Currency=USD","Period=FQ","BEST_FPERIOD_OVERRIDE=FQ","FILING_STATUS=MR","FA_ADJUSTED=Adjusted","Sort=A","Dates=H","DateFormat=P","Fill=—","Direction=H","UseDPDF=Y")</f>
        <v>13.5867</v>
      </c>
      <c r="Q63" s="14" cm="1">
        <f t="array" ref="Q63">_xll.BDH("CMI US Equity","EBITDA_MARGIN","FQ3 2022","FQ3 2022","Currency=USD","Period=FQ","BEST_FPERIOD_OVERRIDE=FQ","FILING_STATUS=MR","FA_ADJUSTED=Adjusted","Sort=A","Dates=H","DateFormat=P","Fill=—","Direction=H","UseDPDF=Y")</f>
        <v>12.824</v>
      </c>
      <c r="R63" s="14" cm="1">
        <f t="array" ref="R63">_xll.BDH("CMI US Equity","EBITDA_MARGIN","FQ4 2022","FQ4 2022","Currency=USD","Period=FQ","BEST_FPERIOD_OVERRIDE=FQ","FILING_STATUS=MR","FA_ADJUSTED=Adjusted","Sort=A","Dates=H","DateFormat=P","Fill=—","Direction=H","UseDPDF=Y")</f>
        <v>13.307700000000001</v>
      </c>
      <c r="S63" s="14" cm="1">
        <f t="array" ref="S63">_xll.BDH("CMI US Equity","EBITDA_MARGIN","FQ1 2023","FQ1 2023","Currency=USD","Period=FQ","BEST_FPERIOD_OVERRIDE=FQ","FILING_STATUS=MR","FA_ADJUSTED=Adjusted","Sort=A","Dates=H","DateFormat=P","Fill=—","Direction=H","UseDPDF=Y")</f>
        <v>14.066800000000001</v>
      </c>
      <c r="T63" s="14" cm="1">
        <f t="array" ref="T63">_xll.BDH("CMI US Equity","EBITDA_MARGIN","FQ2 2023","FQ2 2023","Currency=USD","Period=FQ","BEST_FPERIOD_OVERRIDE=FQ","FILING_STATUS=MR","FA_ADJUSTED=Adjusted","Sort=A","Dates=H","DateFormat=P","Fill=—","Direction=H","UseDPDF=Y")</f>
        <v>13.6174</v>
      </c>
      <c r="U63" s="14" cm="1">
        <f t="array" ref="U63">_xll.BDH("CMI US Equity","EBITDA_MARGIN","FQ3 2023","FQ3 2023","Currency=USD","Period=FQ","BEST_FPERIOD_OVERRIDE=FQ","FILING_STATUS=MR","FA_ADJUSTED=Adjusted","Sort=A","Dates=H","DateFormat=P","Fill=—","Direction=H","UseDPDF=Y")</f>
        <v>14.4389</v>
      </c>
      <c r="V63" s="14" cm="1">
        <f t="array" ref="V63">_xll.BDH("CMI US Equity","EBITDA_MARGIN","FQ4 2023","FQ4 2023","Currency=USD","Period=FQ","BEST_FPERIOD_OVERRIDE=FQ","FILING_STATUS=MR","FA_ADJUSTED=Adjusted","Sort=A","Dates=H","DateFormat=P","Fill=—","Direction=H","UseDPDF=Y")</f>
        <v>8.2695000000000007</v>
      </c>
      <c r="W63" s="14" cm="1">
        <f t="array" ref="W63">_xll.BDH("CMI US Equity","EBITDA_MARGIN","FQ1 2024","FQ1 2024","Currency=USD","Period=FQ","BEST_FPERIOD_OVERRIDE=FQ","FILING_STATUS=MR","FA_ADJUSTED=Adjusted","Sort=A","Dates=H","DateFormat=P","Fill=—","Direction=H","UseDPDF=Y")</f>
        <v>8.1170000000000009</v>
      </c>
      <c r="X63" s="14" cm="1">
        <f t="array" ref="X63">_xll.BDH("CMI US Equity","EBITDA_MARGIN","FQ2 2024","FQ2 2024","Currency=USD","Period=FQ","BEST_FPERIOD_OVERRIDE=FQ","FILING_STATUS=MR","FA_ADJUSTED=Adjusted","Sort=A","Dates=H","DateFormat=P","Fill=—","Direction=H","UseDPDF=Y")</f>
        <v>8.2316000000000003</v>
      </c>
      <c r="Y63" s="14" cm="1">
        <f t="array" ref="Y63">_xll.BDH("CMI US Equity","EBITDA_MARGIN","FQ3 2024","FQ3 2024","Currency=USD","Period=FQ","BEST_FPERIOD_OVERRIDE=FQ","FILING_STATUS=MR","FA_ADJUSTED=Adjusted","Sort=A","Dates=H","DateFormat=P","Fill=—","Direction=H","UseDPDF=Y")</f>
        <v>8.4654000000000007</v>
      </c>
      <c r="Z63" s="14" cm="1">
        <f t="array" ref="Z63">_xll.BDH("CMI US Equity","EBITDA_MARGIN","FQ4 2024","FQ4 2024","Currency=USD","Period=FQ","BEST_FPERIOD_OVERRIDE=FQ","FILING_STATUS=MR","FA_ADJUSTED=Adjusted","Sort=A","Dates=H","DateFormat=P","Fill=—","Direction=H","UseDPDF=Y")</f>
        <v>14.254300000000001</v>
      </c>
      <c r="AA63" s="14" cm="1">
        <f t="array" ref="AA63">_xll.BDH("CMI US Equity","EBITDA_MARGIN","FQ1 2025","FQ1 2025","Currency=USD","Period=FQ","BEST_FPERIOD_OVERRIDE=FQ","FILING_STATUS=MR","FA_ADJUSTED=Adjusted","Sort=A","Dates=H","DateFormat=P","Fill=—","Direction=H","UseDPDF=Y")</f>
        <v>14.899800000000001</v>
      </c>
      <c r="AB63" s="14" cm="1">
        <f t="array" ref="AB63">_xll.BDH("CMI US Equity","EBITDA_MARGIN","FQ2 2025","FQ2 2025","Currency=USD","Period=FQ","BEST_FPERIOD_OVERRIDE=FQ","FILING_STATUS=MR","FA_ADJUSTED=Adjusted","Sort=A","Dates=H","DateFormat=P","Fill=—","Direction=H","UseDPDF=Y")</f>
        <v>15.551600000000001</v>
      </c>
      <c r="AC63" s="14" cm="1">
        <f t="array" ref="AC63">_xll.BDH("CMI US Equity","EBITDA_MARGIN","FQ3 2025","FQ3 2025","Currency=USD","Period=FQ","BEST_FPERIOD_OVERRIDE=FQ","FILING_STATUS=MR","FA_ADJUSTED=Adjusted","Sort=A","Dates=H","DateFormat=P","Fill=—","Direction=H","UseDPDF=Y")</f>
        <v>15.065099999999999</v>
      </c>
      <c r="AD63" s="14" cm="1">
        <f t="array" ref="AD63">_xll.BDH("CMI US Equity","EBITDA_MARGIN","FQ4 2025","FQ4 2025","Currency=USD","Period=FQ","BEST_FPERIOD_OVERRIDE=FQ","FILING_STATUS=MR","FA_ADJUSTED=Adjusted","Sort=A","Dates=H","DateFormat=P","Fill=—","Direction=H","UseDPDF=Y")</f>
        <v>15.8955</v>
      </c>
      <c r="AE63" s="14">
        <v>17.735286126541101</v>
      </c>
      <c r="AF63" s="14">
        <v>18.168709624513902</v>
      </c>
    </row>
    <row r="64" spans="1:32" x14ac:dyDescent="0.25">
      <c r="A64" s="10" t="s">
        <v>168</v>
      </c>
      <c r="B64" s="10" t="s">
        <v>168</v>
      </c>
      <c r="C64" s="13" cm="1">
        <f t="array" ref="C64">_xll.BDH("CMI US Equity","EBITA","FQ1 2019","FQ1 2019","Currency=USD","Period=FQ","BEST_FPERIOD_OVERRIDE=FQ","FILING_STATUS=MR","SCALING_FORMAT=MLN","FA_ADJUSTED=Adjusted","Sort=A","Dates=H","DateFormat=P","Fill=—","Direction=H","UseDPDF=Y")</f>
        <v>850</v>
      </c>
      <c r="D64" s="13" cm="1">
        <f t="array" ref="D64">_xll.BDH("CMI US Equity","EBITA","FQ2 2019","FQ2 2019","Currency=USD","Period=FQ","BEST_FPERIOD_OVERRIDE=FQ","FILING_STATUS=MR","SCALING_FORMAT=MLN","FA_ADJUSTED=Adjusted","Sort=A","Dates=H","DateFormat=P","Fill=—","Direction=H","UseDPDF=Y")</f>
        <v>889</v>
      </c>
      <c r="E64" s="13" cm="1">
        <f t="array" ref="E64">_xll.BDH("CMI US Equity","EBITA","FQ3 2019","FQ3 2019","Currency=USD","Period=FQ","BEST_FPERIOD_OVERRIDE=FQ","FILING_STATUS=MR","SCALING_FORMAT=MLN","FA_ADJUSTED=Adjusted","Sort=A","Dates=H","DateFormat=P","Fill=—","Direction=H","UseDPDF=Y")</f>
        <v>778</v>
      </c>
      <c r="F64" s="13" cm="1">
        <f t="array" ref="F64">_xll.BDH("CMI US Equity","EBITA","FQ4 2019","FQ4 2019","Currency=USD","Period=FQ","BEST_FPERIOD_OVERRIDE=FQ","FILING_STATUS=MR","SCALING_FORMAT=MLN","FA_ADJUSTED=Adjusted","Sort=A","Dates=H","DateFormat=P","Fill=—","Direction=H","UseDPDF=Y")</f>
        <v>484</v>
      </c>
      <c r="G64" s="13" cm="1">
        <f t="array" ref="G64">_xll.BDH("CMI US Equity","EBITA","FQ1 2020","FQ1 2020","Currency=USD","Period=FQ","BEST_FPERIOD_OVERRIDE=FQ","FILING_STATUS=MR","SCALING_FORMAT=MLN","FA_ADJUSTED=Adjusted","Sort=A","Dates=H","DateFormat=P","Fill=—","Direction=H","UseDPDF=Y")</f>
        <v>594</v>
      </c>
      <c r="H64" s="13" cm="1">
        <f t="array" ref="H64">_xll.BDH("CMI US Equity","EBITA","FQ2 2020","FQ2 2020","Currency=USD","Period=FQ","BEST_FPERIOD_OVERRIDE=FQ","FILING_STATUS=MR","SCALING_FORMAT=MLN","FA_ADJUSTED=Adjusted","Sort=A","Dates=H","DateFormat=P","Fill=—","Direction=H","UseDPDF=Y")</f>
        <v>289</v>
      </c>
      <c r="I64" s="13" cm="1">
        <f t="array" ref="I64">_xll.BDH("CMI US Equity","EBITA","FQ3 2020","FQ3 2020","Currency=USD","Period=FQ","BEST_FPERIOD_OVERRIDE=FQ","FILING_STATUS=MR","SCALING_FORMAT=MLN","FA_ADJUSTED=Adjusted","Sort=A","Dates=H","DateFormat=P","Fill=—","Direction=H","UseDPDF=Y")</f>
        <v>660</v>
      </c>
      <c r="J64" s="13" cm="1">
        <f t="array" ref="J64">_xll.BDH("CMI US Equity","EBITA","FQ4 2020","FQ4 2020","Currency=USD","Period=FQ","BEST_FPERIOD_OVERRIDE=FQ","FILING_STATUS=MR","SCALING_FORMAT=MLN","FA_ADJUSTED=Adjusted","Sort=A","Dates=H","DateFormat=P","Fill=—","Direction=H","UseDPDF=Y")</f>
        <v>623</v>
      </c>
      <c r="K64" s="13" cm="1">
        <f t="array" ref="K64">_xll.BDH("CMI US Equity","EBITA","FQ1 2021","FQ1 2021","Currency=USD","Period=FQ","BEST_FPERIOD_OVERRIDE=FQ","FILING_STATUS=MR","SCALING_FORMAT=MLN","FA_ADJUSTED=Adjusted","Sort=A","Dates=H","DateFormat=P","Fill=—","Direction=H","UseDPDF=Y")</f>
        <v>819</v>
      </c>
      <c r="L64" s="13" cm="1">
        <f t="array" ref="L64">_xll.BDH("CMI US Equity","EBITA","FQ2 2021","FQ2 2021","Currency=USD","Period=FQ","BEST_FPERIOD_OVERRIDE=FQ","FILING_STATUS=MR","SCALING_FORMAT=MLN","FA_ADJUSTED=Adjusted","Sort=A","Dates=H","DateFormat=P","Fill=—","Direction=H","UseDPDF=Y")</f>
        <v>715</v>
      </c>
      <c r="M64" s="13" cm="1">
        <f t="array" ref="M64">_xll.BDH("CMI US Equity","EBITA","FQ3 2021","FQ3 2021","Currency=USD","Period=FQ","BEST_FPERIOD_OVERRIDE=FQ","FILING_STATUS=MR","SCALING_FORMAT=MLN","FA_ADJUSTED=Adjusted","Sort=A","Dates=H","DateFormat=P","Fill=—","Direction=H","UseDPDF=Y")</f>
        <v>673</v>
      </c>
      <c r="N64" s="13" cm="1">
        <f t="array" ref="N64">_xll.BDH("CMI US Equity","EBITA","FQ4 2021","FQ4 2021","Currency=USD","Period=FQ","BEST_FPERIOD_OVERRIDE=FQ","FILING_STATUS=MR","SCALING_FORMAT=MLN","FA_ADJUSTED=Adjusted","Sort=A","Dates=H","DateFormat=P","Fill=—","Direction=H","UseDPDF=Y")</f>
        <v>622</v>
      </c>
      <c r="O64" s="13" cm="1">
        <f t="array" ref="O64">_xll.BDH("CMI US Equity","EBITA","FQ1 2022","FQ1 2022","Currency=USD","Period=FQ","BEST_FPERIOD_OVERRIDE=FQ","FILING_STATUS=MR","SCALING_FORMAT=MLN","FA_ADJUSTED=Adjusted","Sort=A","Dates=H","DateFormat=P","Fill=—","Direction=H","UseDPDF=Y")</f>
        <v>613</v>
      </c>
      <c r="P64" s="13" cm="1">
        <f t="array" ref="P64">_xll.BDH("CMI US Equity","EBITA","FQ2 2022","FQ2 2022","Currency=USD","Period=FQ","BEST_FPERIOD_OVERRIDE=FQ","FILING_STATUS=MR","SCALING_FORMAT=MLN","FA_ADJUSTED=Adjusted","Sort=A","Dates=H","DateFormat=P","Fill=—","Direction=H","UseDPDF=Y")</f>
        <v>948</v>
      </c>
      <c r="Q64" s="13" cm="1">
        <f t="array" ref="Q64">_xll.BDH("CMI US Equity","EBITA","FQ3 2022","FQ3 2022","Currency=USD","Period=FQ","BEST_FPERIOD_OVERRIDE=FQ","FILING_STATUS=MR","SCALING_FORMAT=MLN","FA_ADJUSTED=Adjusted","Sort=A","Dates=H","DateFormat=P","Fill=—","Direction=H","UseDPDF=Y")</f>
        <v>622</v>
      </c>
      <c r="R64" s="13" cm="1">
        <f t="array" ref="R64">_xll.BDH("CMI US Equity","EBITA","FQ4 2022","FQ4 2022","Currency=USD","Period=FQ","BEST_FPERIOD_OVERRIDE=FQ","FILING_STATUS=MR","SCALING_FORMAT=MLN","FA_ADJUSTED=Adjusted","Sort=A","Dates=H","DateFormat=P","Fill=—","Direction=H","UseDPDF=Y")</f>
        <v>802</v>
      </c>
      <c r="S64" s="13" cm="1">
        <f t="array" ref="S64">_xll.BDH("CMI US Equity","EBITA","FQ1 2023","FQ1 2023","Currency=USD","Period=FQ","BEST_FPERIOD_OVERRIDE=FQ","FILING_STATUS=MR","SCALING_FORMAT=MLN","FA_ADJUSTED=Adjusted","Sort=A","Dates=H","DateFormat=P","Fill=—","Direction=H","UseDPDF=Y")</f>
        <v>1059</v>
      </c>
      <c r="T64" s="13" cm="1">
        <f t="array" ref="T64">_xll.BDH("CMI US Equity","EBITA","FQ2 2023","FQ2 2023","Currency=USD","Period=FQ","BEST_FPERIOD_OVERRIDE=FQ","FILING_STATUS=MR","SCALING_FORMAT=MLN","FA_ADJUSTED=Adjusted","Sort=A","Dates=H","DateFormat=P","Fill=—","Direction=H","UseDPDF=Y")</f>
        <v>1034</v>
      </c>
      <c r="U64" s="13" cm="1">
        <f t="array" ref="U64">_xll.BDH("CMI US Equity","EBITA","FQ3 2023","FQ3 2023","Currency=USD","Period=FQ","BEST_FPERIOD_OVERRIDE=FQ","FILING_STATUS=MR","SCALING_FORMAT=MLN","FA_ADJUSTED=Adjusted","Sort=A","Dates=H","DateFormat=P","Fill=—","Direction=H","UseDPDF=Y")</f>
        <v>1013</v>
      </c>
      <c r="V64" s="13" cm="1">
        <f t="array" ref="V64">_xll.BDH("CMI US Equity","EBITA","FQ4 2023","FQ4 2023","Currency=USD","Period=FQ","BEST_FPERIOD_OVERRIDE=FQ","FILING_STATUS=MR","SCALING_FORMAT=MLN","FA_ADJUSTED=Adjusted","Sort=A","Dates=H","DateFormat=P","Fill=—","Direction=H","UseDPDF=Y")</f>
        <v>-988</v>
      </c>
      <c r="W64" s="13" cm="1">
        <f t="array" ref="W64">_xll.BDH("CMI US Equity","EBITA","FQ1 2024","FQ1 2024","Currency=USD","Period=FQ","BEST_FPERIOD_OVERRIDE=FQ","FILING_STATUS=MR","SCALING_FORMAT=MLN","FA_ADJUSTED=Adjusted","Sort=A","Dates=H","DateFormat=P","Fill=—","Direction=H","UseDPDF=Y")</f>
        <v>984</v>
      </c>
      <c r="X64" s="13" cm="1">
        <f t="array" ref="X64">_xll.BDH("CMI US Equity","EBITA","FQ2 2024","FQ2 2024","Currency=USD","Period=FQ","BEST_FPERIOD_OVERRIDE=FQ","FILING_STATUS=MR","SCALING_FORMAT=MLN","FA_ADJUSTED=Adjusted","Sort=A","Dates=H","DateFormat=P","Fill=—","Direction=H","UseDPDF=Y")</f>
        <v>1078</v>
      </c>
      <c r="Y64" s="13" cm="1">
        <f t="array" ref="Y64">_xll.BDH("CMI US Equity","EBITA","FQ3 2024","FQ3 2024","Currency=USD","Period=FQ","BEST_FPERIOD_OVERRIDE=FQ","FILING_STATUS=MR","SCALING_FORMAT=MLN","FA_ADJUSTED=Adjusted","Sort=A","Dates=H","DateFormat=P","Fill=—","Direction=H","UseDPDF=Y")</f>
        <v>1084</v>
      </c>
      <c r="Z64" s="13" cm="1">
        <f t="array" ref="Z64">_xll.BDH("CMI US Equity","EBITA","FQ4 2024","FQ4 2024","Currency=USD","Period=FQ","BEST_FPERIOD_OVERRIDE=FQ","FILING_STATUS=MR","SCALING_FORMAT=MLN","FA_ADJUSTED=Adjusted","Sort=A","Dates=H","DateFormat=P","Fill=—","Direction=H","UseDPDF=Y")</f>
        <v>986</v>
      </c>
      <c r="AA64" s="13" cm="1">
        <f t="array" ref="AA64">_xll.BDH("CMI US Equity","EBITA","FQ1 2025","FQ1 2025","Currency=USD","Period=FQ","BEST_FPERIOD_OVERRIDE=FQ","FILING_STATUS=MR","SCALING_FORMAT=MLN","FA_ADJUSTED=Adjusted","Sort=A","Dates=H","DateFormat=P","Fill=—","Direction=H","UseDPDF=Y")</f>
        <v>1134</v>
      </c>
      <c r="AB64" s="13" cm="1">
        <f t="array" ref="AB64">_xll.BDH("CMI US Equity","EBITA","FQ2 2025","FQ2 2025","Currency=USD","Period=FQ","BEST_FPERIOD_OVERRIDE=FQ","FILING_STATUS=MR","SCALING_FORMAT=MLN","FA_ADJUSTED=Adjusted","Sort=A","Dates=H","DateFormat=P","Fill=—","Direction=H","UseDPDF=Y")</f>
        <v>1259</v>
      </c>
      <c r="AC64" s="13" cm="1">
        <f t="array" ref="AC64">_xll.BDH("CMI US Equity","EBITA","FQ3 2025","FQ3 2025","Currency=USD","Period=FQ","BEST_FPERIOD_OVERRIDE=FQ","FILING_STATUS=MR","SCALING_FORMAT=MLN","FA_ADJUSTED=Adjusted","Sort=A","Dates=H","DateFormat=P","Fill=—","Direction=H","UseDPDF=Y")</f>
        <v>890</v>
      </c>
      <c r="AD64" s="13" cm="1">
        <f t="array" ref="AD64">_xll.BDH("CMI US Equity","EBITA","FQ4 2025","FQ4 2025","Currency=USD","Period=FQ","BEST_FPERIOD_OVERRIDE=FQ","FILING_STATUS=MR","SCALING_FORMAT=MLN","FA_ADJUSTED=Adjusted","Sort=A","Dates=H","DateFormat=P","Fill=—","Direction=H","UseDPDF=Y")</f>
        <v>1267</v>
      </c>
      <c r="AE64" s="13"/>
      <c r="AF64" s="13"/>
    </row>
    <row r="65" spans="1:32" x14ac:dyDescent="0.25">
      <c r="A65" s="10" t="s">
        <v>169</v>
      </c>
      <c r="B65" s="10" t="s">
        <v>169</v>
      </c>
      <c r="C65" s="13" cm="1">
        <f t="array" ref="C65">_xll.BDH("CMI US Equity","EBIT","FQ1 2019","FQ1 2019","Currency=USD","Period=FQ","BEST_FPERIOD_OVERRIDE=FQ","FILING_STATUS=MR","SCALING_FORMAT=MLN","FA_ADJUSTED=Adjusted","Sort=A","Dates=H","DateFormat=P","Fill=—","Direction=H","UseDPDF=Y")</f>
        <v>794</v>
      </c>
      <c r="D65" s="13" cm="1">
        <f t="array" ref="D65">_xll.BDH("CMI US Equity","EBIT","FQ2 2019","FQ2 2019","Currency=USD","Period=FQ","BEST_FPERIOD_OVERRIDE=FQ","FILING_STATUS=MR","SCALING_FORMAT=MLN","FA_ADJUSTED=Adjusted","Sort=A","Dates=H","DateFormat=P","Fill=—","Direction=H","UseDPDF=Y")</f>
        <v>830</v>
      </c>
      <c r="E65" s="13" cm="1">
        <f t="array" ref="E65">_xll.BDH("CMI US Equity","EBIT","FQ3 2019","FQ3 2019","Currency=USD","Period=FQ","BEST_FPERIOD_OVERRIDE=FQ","FILING_STATUS=MR","SCALING_FORMAT=MLN","FA_ADJUSTED=Adjusted","Sort=A","Dates=H","DateFormat=P","Fill=—","Direction=H","UseDPDF=Y")</f>
        <v>721</v>
      </c>
      <c r="F65" s="13" cm="1">
        <f t="array" ref="F65">_xll.BDH("CMI US Equity","EBIT","FQ4 2019","FQ4 2019","Currency=USD","Period=FQ","BEST_FPERIOD_OVERRIDE=FQ","FILING_STATUS=MR","SCALING_FORMAT=MLN","FA_ADJUSTED=Adjusted","Sort=A","Dates=H","DateFormat=P","Fill=—","Direction=H","UseDPDF=Y")</f>
        <v>483</v>
      </c>
      <c r="G65" s="13" cm="1">
        <f t="array" ref="G65">_xll.BDH("CMI US Equity","EBIT","FQ1 2020","FQ1 2020","Currency=USD","Period=FQ","BEST_FPERIOD_OVERRIDE=FQ","FILING_STATUS=MR","SCALING_FORMAT=MLN","FA_ADJUSTED=Adjusted","Sort=A","Dates=H","DateFormat=P","Fill=—","Direction=H","UseDPDF=Y")</f>
        <v>589</v>
      </c>
      <c r="H65" s="13" cm="1">
        <f t="array" ref="H65">_xll.BDH("CMI US Equity","EBIT","FQ2 2020","FQ2 2020","Currency=USD","Period=FQ","BEST_FPERIOD_OVERRIDE=FQ","FILING_STATUS=MR","SCALING_FORMAT=MLN","FA_ADJUSTED=Adjusted","Sort=A","Dates=H","DateFormat=P","Fill=—","Direction=H","UseDPDF=Y")</f>
        <v>282</v>
      </c>
      <c r="I65" s="13" cm="1">
        <f t="array" ref="I65">_xll.BDH("CMI US Equity","EBIT","FQ3 2020","FQ3 2020","Currency=USD","Period=FQ","BEST_FPERIOD_OVERRIDE=FQ","FILING_STATUS=MR","SCALING_FORMAT=MLN","FA_ADJUSTED=Adjusted","Sort=A","Dates=H","DateFormat=P","Fill=—","Direction=H","UseDPDF=Y")</f>
        <v>654</v>
      </c>
      <c r="J65" s="13" cm="1">
        <f t="array" ref="J65">_xll.BDH("CMI US Equity","EBIT","FQ4 2020","FQ4 2020","Currency=USD","Period=FQ","BEST_FPERIOD_OVERRIDE=FQ","FILING_STATUS=MR","SCALING_FORMAT=MLN","FA_ADJUSTED=Adjusted","Sort=A","Dates=H","DateFormat=P","Fill=—","Direction=H","UseDPDF=Y")</f>
        <v>622</v>
      </c>
      <c r="K65" s="13" cm="1">
        <f t="array" ref="K65">_xll.BDH("CMI US Equity","EBIT","FQ1 2021","FQ1 2021","Currency=USD","Period=FQ","BEST_FPERIOD_OVERRIDE=FQ","FILING_STATUS=MR","SCALING_FORMAT=MLN","FA_ADJUSTED=Adjusted","Sort=A","Dates=H","DateFormat=P","Fill=—","Direction=H","UseDPDF=Y")</f>
        <v>813</v>
      </c>
      <c r="L65" s="13" cm="1">
        <f t="array" ref="L65">_xll.BDH("CMI US Equity","EBIT","FQ2 2021","FQ2 2021","Currency=USD","Period=FQ","BEST_FPERIOD_OVERRIDE=FQ","FILING_STATUS=MR","SCALING_FORMAT=MLN","FA_ADJUSTED=Adjusted","Sort=A","Dates=H","DateFormat=P","Fill=—","Direction=H","UseDPDF=Y")</f>
        <v>715</v>
      </c>
      <c r="M65" s="13" cm="1">
        <f t="array" ref="M65">_xll.BDH("CMI US Equity","EBIT","FQ3 2021","FQ3 2021","Currency=USD","Period=FQ","BEST_FPERIOD_OVERRIDE=FQ","FILING_STATUS=MR","SCALING_FORMAT=MLN","FA_ADJUSTED=Adjusted","Sort=A","Dates=H","DateFormat=P","Fill=—","Direction=H","UseDPDF=Y")</f>
        <v>667</v>
      </c>
      <c r="N65" s="13" cm="1">
        <f t="array" ref="N65">_xll.BDH("CMI US Equity","EBIT","FQ4 2021","FQ4 2021","Currency=USD","Period=FQ","BEST_FPERIOD_OVERRIDE=FQ","FILING_STATUS=MR","SCALING_FORMAT=MLN","FA_ADJUSTED=Adjusted","Sort=A","Dates=H","DateFormat=P","Fill=—","Direction=H","UseDPDF=Y")</f>
        <v>495</v>
      </c>
      <c r="O65" s="13" cm="1">
        <f t="array" ref="O65">_xll.BDH("CMI US Equity","EBIT","FQ1 2022","FQ1 2022","Currency=USD","Period=FQ","BEST_FPERIOD_OVERRIDE=FQ","FILING_STATUS=MR","SCALING_FORMAT=MLN","FA_ADJUSTED=Adjusted","Sort=A","Dates=H","DateFormat=P","Fill=—","Direction=H","UseDPDF=Y")</f>
        <v>608</v>
      </c>
      <c r="P65" s="13" cm="1">
        <f t="array" ref="P65">_xll.BDH("CMI US Equity","EBIT","FQ2 2022","FQ2 2022","Currency=USD","Period=FQ","BEST_FPERIOD_OVERRIDE=FQ","FILING_STATUS=MR","SCALING_FORMAT=MLN","FA_ADJUSTED=Adjusted","Sort=A","Dates=H","DateFormat=P","Fill=—","Direction=H","UseDPDF=Y")</f>
        <v>945</v>
      </c>
      <c r="Q65" s="13" cm="1">
        <f t="array" ref="Q65">_xll.BDH("CMI US Equity","EBIT","FQ3 2022","FQ3 2022","Currency=USD","Period=FQ","BEST_FPERIOD_OVERRIDE=FQ","FILING_STATUS=MR","SCALING_FORMAT=MLN","FA_ADJUSTED=Adjusted","Sort=A","Dates=H","DateFormat=P","Fill=—","Direction=H","UseDPDF=Y")</f>
        <v>597</v>
      </c>
      <c r="R65" s="13" cm="1">
        <f t="array" ref="R65">_xll.BDH("CMI US Equity","EBIT","FQ4 2022","FQ4 2022","Currency=USD","Period=FQ","BEST_FPERIOD_OVERRIDE=FQ","FILING_STATUS=MR","SCALING_FORMAT=MLN","FA_ADJUSTED=Adjusted","Sort=A","Dates=H","DateFormat=P","Fill=—","Direction=H","UseDPDF=Y")</f>
        <v>802</v>
      </c>
      <c r="S65" s="13" cm="1">
        <f t="array" ref="S65">_xll.BDH("CMI US Equity","EBIT","FQ1 2023","FQ1 2023","Currency=USD","Period=FQ","BEST_FPERIOD_OVERRIDE=FQ","FILING_STATUS=MR","SCALING_FORMAT=MLN","FA_ADJUSTED=Adjusted","Sort=A","Dates=H","DateFormat=P","Fill=—","Direction=H","UseDPDF=Y")</f>
        <v>1027</v>
      </c>
      <c r="T65" s="13" cm="1">
        <f t="array" ref="T65">_xll.BDH("CMI US Equity","EBIT","FQ2 2023","FQ2 2023","Currency=USD","Period=FQ","BEST_FPERIOD_OVERRIDE=FQ","FILING_STATUS=MR","SCALING_FORMAT=MLN","FA_ADJUSTED=Adjusted","Sort=A","Dates=H","DateFormat=P","Fill=—","Direction=H","UseDPDF=Y")</f>
        <v>999</v>
      </c>
      <c r="U65" s="13" cm="1">
        <f t="array" ref="U65">_xll.BDH("CMI US Equity","EBIT","FQ3 2023","FQ3 2023","Currency=USD","Period=FQ","BEST_FPERIOD_OVERRIDE=FQ","FILING_STATUS=MR","SCALING_FORMAT=MLN","FA_ADJUSTED=Adjusted","Sort=A","Dates=H","DateFormat=P","Fill=—","Direction=H","UseDPDF=Y")</f>
        <v>979</v>
      </c>
      <c r="V65" s="13" cm="1">
        <f t="array" ref="V65">_xll.BDH("CMI US Equity","EBIT","FQ4 2023","FQ4 2023","Currency=USD","Period=FQ","BEST_FPERIOD_OVERRIDE=FQ","FILING_STATUS=MR","SCALING_FORMAT=MLN","FA_ADJUSTED=Adjusted","Sort=A","Dates=H","DateFormat=P","Fill=—","Direction=H","UseDPDF=Y")</f>
        <v>-1212</v>
      </c>
      <c r="W65" s="13" cm="1">
        <f t="array" ref="W65">_xll.BDH("CMI US Equity","EBIT","FQ1 2024","FQ1 2024","Currency=USD","Period=FQ","BEST_FPERIOD_OVERRIDE=FQ","FILING_STATUS=MR","SCALING_FORMAT=MLN","FA_ADJUSTED=Adjusted","Sort=A","Dates=H","DateFormat=P","Fill=—","Direction=H","UseDPDF=Y")</f>
        <v>952</v>
      </c>
      <c r="X65" s="13" cm="1">
        <f t="array" ref="X65">_xll.BDH("CMI US Equity","EBIT","FQ2 2024","FQ2 2024","Currency=USD","Period=FQ","BEST_FPERIOD_OVERRIDE=FQ","FILING_STATUS=MR","SCALING_FORMAT=MLN","FA_ADJUSTED=Adjusted","Sort=A","Dates=H","DateFormat=P","Fill=—","Direction=H","UseDPDF=Y")</f>
        <v>1045</v>
      </c>
      <c r="Y65" s="13" cm="1">
        <f t="array" ref="Y65">_xll.BDH("CMI US Equity","EBIT","FQ3 2024","FQ3 2024","Currency=USD","Period=FQ","BEST_FPERIOD_OVERRIDE=FQ","FILING_STATUS=MR","SCALING_FORMAT=MLN","FA_ADJUSTED=Adjusted","Sort=A","Dates=H","DateFormat=P","Fill=—","Direction=H","UseDPDF=Y")</f>
        <v>1052</v>
      </c>
      <c r="Z65" s="13" cm="1">
        <f t="array" ref="Z65">_xll.BDH("CMI US Equity","EBIT","FQ4 2024","FQ4 2024","Currency=USD","Period=FQ","BEST_FPERIOD_OVERRIDE=FQ","FILING_STATUS=MR","SCALING_FORMAT=MLN","FA_ADJUSTED=Adjusted","Sort=A","Dates=H","DateFormat=P","Fill=—","Direction=H","UseDPDF=Y")</f>
        <v>747</v>
      </c>
      <c r="AA65" s="13" cm="1">
        <f t="array" ref="AA65">_xll.BDH("CMI US Equity","EBIT","FQ1 2025","FQ1 2025","Currency=USD","Period=FQ","BEST_FPERIOD_OVERRIDE=FQ","FILING_STATUS=MR","SCALING_FORMAT=MLN","FA_ADJUSTED=Adjusted","Sort=A","Dates=H","DateFormat=P","Fill=—","Direction=H","UseDPDF=Y")</f>
        <v>1134</v>
      </c>
      <c r="AB65" s="13" cm="1">
        <f t="array" ref="AB65">_xll.BDH("CMI US Equity","EBIT","FQ2 2025","FQ2 2025","Currency=USD","Period=FQ","BEST_FPERIOD_OVERRIDE=FQ","FILING_STATUS=MR","SCALING_FORMAT=MLN","FA_ADJUSTED=Adjusted","Sort=A","Dates=H","DateFormat=P","Fill=—","Direction=H","UseDPDF=Y")</f>
        <v>1226</v>
      </c>
      <c r="AC65" s="13" cm="1">
        <f t="array" ref="AC65">_xll.BDH("CMI US Equity","EBIT","FQ3 2025","FQ3 2025","Currency=USD","Period=FQ","BEST_FPERIOD_OVERRIDE=FQ","FILING_STATUS=MR","SCALING_FORMAT=MLN","FA_ADJUSTED=Adjusted","Sort=A","Dates=H","DateFormat=P","Fill=—","Direction=H","UseDPDF=Y")</f>
        <v>856</v>
      </c>
      <c r="AD65" s="13" cm="1">
        <f t="array" ref="AD65">_xll.BDH("CMI US Equity","EBIT","FQ4 2025","FQ4 2025","Currency=USD","Period=FQ","BEST_FPERIOD_OVERRIDE=FQ","FILING_STATUS=MR","SCALING_FORMAT=MLN","FA_ADJUSTED=Adjusted","Sort=A","Dates=H","DateFormat=P","Fill=—","Direction=H","UseDPDF=Y")</f>
        <v>1031</v>
      </c>
      <c r="AE65" s="13">
        <v>1140.8</v>
      </c>
      <c r="AF65" s="13">
        <v>1241.7</v>
      </c>
    </row>
    <row r="66" spans="1:32" x14ac:dyDescent="0.25">
      <c r="A66" s="10" t="s">
        <v>170</v>
      </c>
      <c r="B66" s="10" t="s">
        <v>171</v>
      </c>
      <c r="C66" s="14" cm="1">
        <f t="array" ref="C66">_xll.BDH("CMI US Equity","GROSS_MARGIN","FQ1 2019","FQ1 2019","Currency=USD","Period=FQ","BEST_FPERIOD_OVERRIDE=FQ","FILING_STATUS=MR","FA_ADJUSTED=Adjusted","Sort=A","Dates=H","DateFormat=P","Fill=—","Direction=H","UseDPDF=Y")</f>
        <v>25.516300000000001</v>
      </c>
      <c r="D66" s="14" cm="1">
        <f t="array" ref="D66">_xll.BDH("CMI US Equity","GROSS_MARGIN","FQ2 2019","FQ2 2019","Currency=USD","Period=FQ","BEST_FPERIOD_OVERRIDE=FQ","FILING_STATUS=MR","FA_ADJUSTED=Adjusted","Sort=A","Dates=H","DateFormat=P","Fill=—","Direction=H","UseDPDF=Y")</f>
        <v>26.378399999999999</v>
      </c>
      <c r="E66" s="14" cm="1">
        <f t="array" ref="E66">_xll.BDH("CMI US Equity","GROSS_MARGIN","FQ3 2019","FQ3 2019","Currency=USD","Period=FQ","BEST_FPERIOD_OVERRIDE=FQ","FILING_STATUS=MR","FA_ADJUSTED=Adjusted","Sort=A","Dates=H","DateFormat=P","Fill=—","Direction=H","UseDPDF=Y")</f>
        <v>25.901499999999999</v>
      </c>
      <c r="F66" s="14" cm="1">
        <f t="array" ref="F66">_xll.BDH("CMI US Equity","GROSS_MARGIN","FQ4 2019","FQ4 2019","Currency=USD","Period=FQ","BEST_FPERIOD_OVERRIDE=FQ","FILING_STATUS=MR","FA_ADJUSTED=Adjusted","Sort=A","Dates=H","DateFormat=P","Fill=—","Direction=H","UseDPDF=Y")</f>
        <v>23.538900000000002</v>
      </c>
      <c r="G66" s="14" cm="1">
        <f t="array" ref="G66">_xll.BDH("CMI US Equity","GROSS_MARGIN","FQ1 2020","FQ1 2020","Currency=USD","Period=FQ","BEST_FPERIOD_OVERRIDE=FQ","FILING_STATUS=MR","FA_ADJUSTED=Adjusted","Sort=A","Dates=H","DateFormat=P","Fill=—","Direction=H","UseDPDF=Y")</f>
        <v>25.8232</v>
      </c>
      <c r="H66" s="14" cm="1">
        <f t="array" ref="H66">_xll.BDH("CMI US Equity","GROSS_MARGIN","FQ2 2020","FQ2 2020","Currency=USD","Period=FQ","BEST_FPERIOD_OVERRIDE=FQ","FILING_STATUS=MR","FA_ADJUSTED=Adjusted","Sort=A","Dates=H","DateFormat=P","Fill=—","Direction=H","UseDPDF=Y")</f>
        <v>23.104900000000001</v>
      </c>
      <c r="I66" s="14" cm="1">
        <f t="array" ref="I66">_xll.BDH("CMI US Equity","GROSS_MARGIN","FQ3 2020","FQ3 2020","Currency=USD","Period=FQ","BEST_FPERIOD_OVERRIDE=FQ","FILING_STATUS=MR","FA_ADJUSTED=Adjusted","Sort=A","Dates=H","DateFormat=P","Fill=—","Direction=H","UseDPDF=Y")</f>
        <v>26.358000000000001</v>
      </c>
      <c r="J66" s="14" cm="1">
        <f t="array" ref="J66">_xll.BDH("CMI US Equity","GROSS_MARGIN","FQ4 2020","FQ4 2020","Currency=USD","Period=FQ","BEST_FPERIOD_OVERRIDE=FQ","FILING_STATUS=MR","FA_ADJUSTED=Adjusted","Sort=A","Dates=H","DateFormat=P","Fill=—","Direction=H","UseDPDF=Y")</f>
        <v>23.344799999999999</v>
      </c>
      <c r="K66" s="14" cm="1">
        <f t="array" ref="K66">_xll.BDH("CMI US Equity","GROSS_MARGIN","FQ1 2021","FQ1 2021","Currency=USD","Period=FQ","BEST_FPERIOD_OVERRIDE=FQ","FILING_STATUS=MR","FA_ADJUSTED=Adjusted","Sort=A","Dates=H","DateFormat=P","Fill=—","Direction=H","UseDPDF=Y")</f>
        <v>24.392600000000002</v>
      </c>
      <c r="L66" s="14" cm="1">
        <f t="array" ref="L66">_xll.BDH("CMI US Equity","GROSS_MARGIN","FQ2 2021","FQ2 2021","Currency=USD","Period=FQ","BEST_FPERIOD_OVERRIDE=FQ","FILING_STATUS=MR","FA_ADJUSTED=Adjusted","Sort=A","Dates=H","DateFormat=P","Fill=—","Direction=H","UseDPDF=Y")</f>
        <v>24.1859</v>
      </c>
      <c r="M66" s="14" cm="1">
        <f t="array" ref="M66">_xll.BDH("CMI US Equity","GROSS_MARGIN","FQ3 2021","FQ3 2021","Currency=USD","Period=FQ","BEST_FPERIOD_OVERRIDE=FQ","FILING_STATUS=MR","FA_ADJUSTED=Adjusted","Sort=A","Dates=H","DateFormat=P","Fill=—","Direction=H","UseDPDF=Y")</f>
        <v>23.693000000000001</v>
      </c>
      <c r="N66" s="14" cm="1">
        <f t="array" ref="N66">_xll.BDH("CMI US Equity","GROSS_MARGIN","FQ4 2021","FQ4 2021","Currency=USD","Period=FQ","BEST_FPERIOD_OVERRIDE=FQ","FILING_STATUS=MR","FA_ADJUSTED=Adjusted","Sort=A","Dates=H","DateFormat=P","Fill=—","Direction=H","UseDPDF=Y")</f>
        <v>22.512799999999999</v>
      </c>
      <c r="O66" s="14" cm="1">
        <f t="array" ref="O66">_xll.BDH("CMI US Equity","GROSS_MARGIN","FQ1 2022","FQ1 2022","Currency=USD","Period=FQ","BEST_FPERIOD_OVERRIDE=FQ","FILING_STATUS=MR","FA_ADJUSTED=Adjusted","Sort=A","Dates=H","DateFormat=P","Fill=—","Direction=H","UseDPDF=Y")</f>
        <v>23.9937</v>
      </c>
      <c r="P66" s="14" cm="1">
        <f t="array" ref="P66">_xll.BDH("CMI US Equity","GROSS_MARGIN","FQ2 2022","FQ2 2022","Currency=USD","Period=FQ","BEST_FPERIOD_OVERRIDE=FQ","FILING_STATUS=MR","FA_ADJUSTED=Adjusted","Sort=A","Dates=H","DateFormat=P","Fill=—","Direction=H","UseDPDF=Y")</f>
        <v>26.207100000000001</v>
      </c>
      <c r="Q66" s="14" cm="1">
        <f t="array" ref="Q66">_xll.BDH("CMI US Equity","GROSS_MARGIN","FQ3 2022","FQ3 2022","Currency=USD","Period=FQ","BEST_FPERIOD_OVERRIDE=FQ","FILING_STATUS=MR","FA_ADJUSTED=Adjusted","Sort=A","Dates=H","DateFormat=P","Fill=—","Direction=H","UseDPDF=Y")</f>
        <v>22.3919</v>
      </c>
      <c r="R66" s="14" cm="1">
        <f t="array" ref="R66">_xll.BDH("CMI US Equity","GROSS_MARGIN","FQ4 2022","FQ4 2022","Currency=USD","Period=FQ","BEST_FPERIOD_OVERRIDE=FQ","FILING_STATUS=MR","FA_ADJUSTED=Adjusted","Sort=A","Dates=H","DateFormat=P","Fill=—","Direction=H","UseDPDF=Y")</f>
        <v>23.410599999999999</v>
      </c>
      <c r="S66" s="14" cm="1">
        <f t="array" ref="S66">_xll.BDH("CMI US Equity","GROSS_MARGIN","FQ1 2023","FQ1 2023","Currency=USD","Period=FQ","BEST_FPERIOD_OVERRIDE=FQ","FILING_STATUS=MR","FA_ADJUSTED=Adjusted","Sort=A","Dates=H","DateFormat=P","Fill=—","Direction=H","UseDPDF=Y")</f>
        <v>24.003299999999999</v>
      </c>
      <c r="T66" s="14" cm="1">
        <f t="array" ref="T66">_xll.BDH("CMI US Equity","GROSS_MARGIN","FQ2 2023","FQ2 2023","Currency=USD","Period=FQ","BEST_FPERIOD_OVERRIDE=FQ","FILING_STATUS=MR","FA_ADJUSTED=Adjusted","Sort=A","Dates=H","DateFormat=P","Fill=—","Direction=H","UseDPDF=Y")</f>
        <v>24.866900000000001</v>
      </c>
      <c r="U66" s="14" cm="1">
        <f t="array" ref="U66">_xll.BDH("CMI US Equity","GROSS_MARGIN","FQ3 2023","FQ3 2023","Currency=USD","Period=FQ","BEST_FPERIOD_OVERRIDE=FQ","FILING_STATUS=MR","FA_ADJUSTED=Adjusted","Sort=A","Dates=H","DateFormat=P","Fill=—","Direction=H","UseDPDF=Y")</f>
        <v>24.5641</v>
      </c>
      <c r="V66" s="14" cm="1">
        <f t="array" ref="V66">_xll.BDH("CMI US Equity","GROSS_MARGIN","FQ4 2023","FQ4 2023","Currency=USD","Period=FQ","BEST_FPERIOD_OVERRIDE=FQ","FILING_STATUS=MR","FA_ADJUSTED=Adjusted","Sort=A","Dates=H","DateFormat=P","Fill=—","Direction=H","UseDPDF=Y")</f>
        <v>23.422699999999999</v>
      </c>
      <c r="W66" s="14" cm="1">
        <f t="array" ref="W66">_xll.BDH("CMI US Equity","GROSS_MARGIN","FQ1 2024","FQ1 2024","Currency=USD","Period=FQ","BEST_FPERIOD_OVERRIDE=FQ","FILING_STATUS=MR","FA_ADJUSTED=Adjusted","Sort=A","Dates=H","DateFormat=P","Fill=—","Direction=H","UseDPDF=Y")</f>
        <v>24.288900000000002</v>
      </c>
      <c r="X66" s="14" cm="1">
        <f t="array" ref="X66">_xll.BDH("CMI US Equity","GROSS_MARGIN","FQ2 2024","FQ2 2024","Currency=USD","Period=FQ","BEST_FPERIOD_OVERRIDE=FQ","FILING_STATUS=MR","FA_ADJUSTED=Adjusted","Sort=A","Dates=H","DateFormat=P","Fill=—","Direction=H","UseDPDF=Y")</f>
        <v>24.931799999999999</v>
      </c>
      <c r="Y66" s="14" cm="1">
        <f t="array" ref="Y66">_xll.BDH("CMI US Equity","GROSS_MARGIN","FQ3 2024","FQ3 2024","Currency=USD","Period=FQ","BEST_FPERIOD_OVERRIDE=FQ","FILING_STATUS=MR","FA_ADJUSTED=Adjusted","Sort=A","Dates=H","DateFormat=P","Fill=—","Direction=H","UseDPDF=Y")</f>
        <v>25.674099999999999</v>
      </c>
      <c r="Z66" s="14" cm="1">
        <f t="array" ref="Z66">_xll.BDH("CMI US Equity","GROSS_MARGIN","FQ4 2024","FQ4 2024","Currency=USD","Period=FQ","BEST_FPERIOD_OVERRIDE=FQ","FILING_STATUS=MR","FA_ADJUSTED=Adjusted","Sort=A","Dates=H","DateFormat=P","Fill=—","Direction=H","UseDPDF=Y")</f>
        <v>24.079599999999999</v>
      </c>
      <c r="AA66" s="14" cm="1">
        <f t="array" ref="AA66">_xll.BDH("CMI US Equity","GROSS_MARGIN","FQ1 2025","FQ1 2025","Currency=USD","Period=FQ","BEST_FPERIOD_OVERRIDE=FQ","FILING_STATUS=MR","FA_ADJUSTED=Adjusted","Sort=A","Dates=H","DateFormat=P","Fill=—","Direction=H","UseDPDF=Y")</f>
        <v>26.364100000000001</v>
      </c>
      <c r="AB66" s="14" cm="1">
        <f t="array" ref="AB66">_xll.BDH("CMI US Equity","GROSS_MARGIN","FQ2 2025","FQ2 2025","Currency=USD","Period=FQ","BEST_FPERIOD_OVERRIDE=FQ","FILING_STATUS=MR","FA_ADJUSTED=Adjusted","Sort=A","Dates=H","DateFormat=P","Fill=—","Direction=H","UseDPDF=Y")</f>
        <v>26.391300000000001</v>
      </c>
      <c r="AC66" s="14" cm="1">
        <f t="array" ref="AC66">_xll.BDH("CMI US Equity","GROSS_MARGIN","FQ3 2025","FQ3 2025","Currency=USD","Period=FQ","BEST_FPERIOD_OVERRIDE=FQ","FILING_STATUS=MR","FA_ADJUSTED=Adjusted","Sort=A","Dates=H","DateFormat=P","Fill=—","Direction=H","UseDPDF=Y")</f>
        <v>25.598199999999999</v>
      </c>
      <c r="AD66" s="14" cm="1">
        <f t="array" ref="AD66">_xll.BDH("CMI US Equity","GROSS_MARGIN","FQ4 2025","FQ4 2025","Currency=USD","Period=FQ","BEST_FPERIOD_OVERRIDE=FQ","FILING_STATUS=MR","FA_ADJUSTED=Adjusted","Sort=A","Dates=H","DateFormat=P","Fill=—","Direction=H","UseDPDF=Y")</f>
        <v>22.856100000000001</v>
      </c>
      <c r="AE66" s="14">
        <v>25.966000000000001</v>
      </c>
      <c r="AF66" s="14">
        <v>26.420999999999999</v>
      </c>
    </row>
    <row r="67" spans="1:32" x14ac:dyDescent="0.25">
      <c r="A67" s="10" t="s">
        <v>172</v>
      </c>
      <c r="B67" s="10" t="s">
        <v>173</v>
      </c>
      <c r="C67" s="14" cm="1">
        <f t="array" ref="C67">_xll.BDH("CMI US Equity","OPER_MARGIN","FQ1 2019","FQ1 2019","Currency=USD","Period=FQ","BEST_FPERIOD_OVERRIDE=FQ","FILING_STATUS=MR","FA_ADJUSTED=Adjusted","Sort=A","Dates=H","DateFormat=P","Fill=—","Direction=H","UseDPDF=Y")</f>
        <v>13.224500000000001</v>
      </c>
      <c r="D67" s="14" cm="1">
        <f t="array" ref="D67">_xll.BDH("CMI US Equity","OPER_MARGIN","FQ2 2019","FQ2 2019","Currency=USD","Period=FQ","BEST_FPERIOD_OVERRIDE=FQ","FILING_STATUS=MR","FA_ADJUSTED=Adjusted","Sort=A","Dates=H","DateFormat=P","Fill=—","Direction=H","UseDPDF=Y")</f>
        <v>13.341900000000001</v>
      </c>
      <c r="E67" s="14" cm="1">
        <f t="array" ref="E67">_xll.BDH("CMI US Equity","OPER_MARGIN","FQ3 2019","FQ3 2019","Currency=USD","Period=FQ","BEST_FPERIOD_OVERRIDE=FQ","FILING_STATUS=MR","FA_ADJUSTED=Adjusted","Sort=A","Dates=H","DateFormat=P","Fill=—","Direction=H","UseDPDF=Y")</f>
        <v>12.5</v>
      </c>
      <c r="F67" s="14" cm="1">
        <f t="array" ref="F67">_xll.BDH("CMI US Equity","OPER_MARGIN","FQ4 2019","FQ4 2019","Currency=USD","Period=FQ","BEST_FPERIOD_OVERRIDE=FQ","FILING_STATUS=MR","FA_ADJUSTED=Adjusted","Sort=A","Dates=H","DateFormat=P","Fill=—","Direction=H","UseDPDF=Y")</f>
        <v>8.6590000000000007</v>
      </c>
      <c r="G67" s="14" cm="1">
        <f t="array" ref="G67">_xll.BDH("CMI US Equity","OPER_MARGIN","FQ1 2020","FQ1 2020","Currency=USD","Period=FQ","BEST_FPERIOD_OVERRIDE=FQ","FILING_STATUS=MR","FA_ADJUSTED=Adjusted","Sort=A","Dates=H","DateFormat=P","Fill=—","Direction=H","UseDPDF=Y")</f>
        <v>11.754099999999999</v>
      </c>
      <c r="H67" s="14" cm="1">
        <f t="array" ref="H67">_xll.BDH("CMI US Equity","OPER_MARGIN","FQ2 2020","FQ2 2020","Currency=USD","Period=FQ","BEST_FPERIOD_OVERRIDE=FQ","FILING_STATUS=MR","FA_ADJUSTED=Adjusted","Sort=A","Dates=H","DateFormat=P","Fill=—","Direction=H","UseDPDF=Y")</f>
        <v>7.3209</v>
      </c>
      <c r="I67" s="14" cm="1">
        <f t="array" ref="I67">_xll.BDH("CMI US Equity","OPER_MARGIN","FQ3 2020","FQ3 2020","Currency=USD","Period=FQ","BEST_FPERIOD_OVERRIDE=FQ","FILING_STATUS=MR","FA_ADJUSTED=Adjusted","Sort=A","Dates=H","DateFormat=P","Fill=—","Direction=H","UseDPDF=Y")</f>
        <v>12.7784</v>
      </c>
      <c r="J67" s="14" cm="1">
        <f t="array" ref="J67">_xll.BDH("CMI US Equity","OPER_MARGIN","FQ4 2020","FQ4 2020","Currency=USD","Period=FQ","BEST_FPERIOD_OVERRIDE=FQ","FILING_STATUS=MR","FA_ADJUSTED=Adjusted","Sort=A","Dates=H","DateFormat=P","Fill=—","Direction=H","UseDPDF=Y")</f>
        <v>10.669</v>
      </c>
      <c r="K67" s="14" cm="1">
        <f t="array" ref="K67">_xll.BDH("CMI US Equity","OPER_MARGIN","FQ1 2021","FQ1 2021","Currency=USD","Period=FQ","BEST_FPERIOD_OVERRIDE=FQ","FILING_STATUS=MR","FA_ADJUSTED=Adjusted","Sort=A","Dates=H","DateFormat=P","Fill=—","Direction=H","UseDPDF=Y")</f>
        <v>13.3454</v>
      </c>
      <c r="L67" s="14" cm="1">
        <f t="array" ref="L67">_xll.BDH("CMI US Equity","OPER_MARGIN","FQ2 2021","FQ2 2021","Currency=USD","Period=FQ","BEST_FPERIOD_OVERRIDE=FQ","FILING_STATUS=MR","FA_ADJUSTED=Adjusted","Sort=A","Dates=H","DateFormat=P","Fill=—","Direction=H","UseDPDF=Y")</f>
        <v>11.700200000000001</v>
      </c>
      <c r="M67" s="14" cm="1">
        <f t="array" ref="M67">_xll.BDH("CMI US Equity","OPER_MARGIN","FQ3 2021","FQ3 2021","Currency=USD","Period=FQ","BEST_FPERIOD_OVERRIDE=FQ","FILING_STATUS=MR","FA_ADJUSTED=Adjusted","Sort=A","Dates=H","DateFormat=P","Fill=—","Direction=H","UseDPDF=Y")</f>
        <v>11.176299999999999</v>
      </c>
      <c r="N67" s="14" cm="1">
        <f t="array" ref="N67">_xll.BDH("CMI US Equity","OPER_MARGIN","FQ4 2021","FQ4 2021","Currency=USD","Period=FQ","BEST_FPERIOD_OVERRIDE=FQ","FILING_STATUS=MR","FA_ADJUSTED=Adjusted","Sort=A","Dates=H","DateFormat=P","Fill=—","Direction=H","UseDPDF=Y")</f>
        <v>8.4614999999999991</v>
      </c>
      <c r="O67" s="14" cm="1">
        <f t="array" ref="O67">_xll.BDH("CMI US Equity","OPER_MARGIN","FQ1 2022","FQ1 2022","Currency=USD","Period=FQ","BEST_FPERIOD_OVERRIDE=FQ","FILING_STATUS=MR","FA_ADJUSTED=Adjusted","Sort=A","Dates=H","DateFormat=P","Fill=—","Direction=H","UseDPDF=Y")</f>
        <v>9.5222999999999995</v>
      </c>
      <c r="P67" s="14" cm="1">
        <f t="array" ref="P67">_xll.BDH("CMI US Equity","OPER_MARGIN","FQ2 2022","FQ2 2022","Currency=USD","Period=FQ","BEST_FPERIOD_OVERRIDE=FQ","FILING_STATUS=MR","FA_ADJUSTED=Adjusted","Sort=A","Dates=H","DateFormat=P","Fill=—","Direction=H","UseDPDF=Y")</f>
        <v>14.348599999999999</v>
      </c>
      <c r="Q67" s="14" cm="1">
        <f t="array" ref="Q67">_xll.BDH("CMI US Equity","OPER_MARGIN","FQ3 2022","FQ3 2022","Currency=USD","Period=FQ","BEST_FPERIOD_OVERRIDE=FQ","FILING_STATUS=MR","FA_ADJUSTED=Adjusted","Sort=A","Dates=H","DateFormat=P","Fill=—","Direction=H","UseDPDF=Y")</f>
        <v>8.1412999999999993</v>
      </c>
      <c r="R67" s="14" cm="1">
        <f t="array" ref="R67">_xll.BDH("CMI US Equity","OPER_MARGIN","FQ4 2022","FQ4 2022","Currency=USD","Period=FQ","BEST_FPERIOD_OVERRIDE=FQ","FILING_STATUS=MR","FA_ADJUSTED=Adjusted","Sort=A","Dates=H","DateFormat=P","Fill=—","Direction=H","UseDPDF=Y")</f>
        <v>10.3218</v>
      </c>
      <c r="S67" s="14" cm="1">
        <f t="array" ref="S67">_xll.BDH("CMI US Equity","OPER_MARGIN","FQ1 2023","FQ1 2023","Currency=USD","Period=FQ","BEST_FPERIOD_OVERRIDE=FQ","FILING_STATUS=MR","FA_ADJUSTED=Adjusted","Sort=A","Dates=H","DateFormat=P","Fill=—","Direction=H","UseDPDF=Y")</f>
        <v>12.1495</v>
      </c>
      <c r="T67" s="14" cm="1">
        <f t="array" ref="T67">_xll.BDH("CMI US Equity","OPER_MARGIN","FQ2 2023","FQ2 2023","Currency=USD","Period=FQ","BEST_FPERIOD_OVERRIDE=FQ","FILING_STATUS=MR","FA_ADJUSTED=Adjusted","Sort=A","Dates=H","DateFormat=P","Fill=—","Direction=H","UseDPDF=Y")</f>
        <v>11.565200000000001</v>
      </c>
      <c r="U67" s="14" cm="1">
        <f t="array" ref="U67">_xll.BDH("CMI US Equity","OPER_MARGIN","FQ3 2023","FQ3 2023","Currency=USD","Period=FQ","BEST_FPERIOD_OVERRIDE=FQ","FILING_STATUS=MR","FA_ADJUSTED=Adjusted","Sort=A","Dates=H","DateFormat=P","Fill=—","Direction=H","UseDPDF=Y")</f>
        <v>11.6119</v>
      </c>
      <c r="V67" s="14" cm="1">
        <f t="array" ref="V67">_xll.BDH("CMI US Equity","OPER_MARGIN","FQ4 2023","FQ4 2023","Currency=USD","Period=FQ","BEST_FPERIOD_OVERRIDE=FQ","FILING_STATUS=MR","FA_ADJUSTED=Adjusted","Sort=A","Dates=H","DateFormat=P","Fill=—","Direction=H","UseDPDF=Y")</f>
        <v>-14.187099999999999</v>
      </c>
      <c r="W67" s="14" cm="1">
        <f t="array" ref="W67">_xll.BDH("CMI US Equity","OPER_MARGIN","FQ1 2024","FQ1 2024","Currency=USD","Period=FQ","BEST_FPERIOD_OVERRIDE=FQ","FILING_STATUS=MR","FA_ADJUSTED=Adjusted","Sort=A","Dates=H","DateFormat=P","Fill=—","Direction=H","UseDPDF=Y")</f>
        <v>11.3293</v>
      </c>
      <c r="X67" s="14" cm="1">
        <f t="array" ref="X67">_xll.BDH("CMI US Equity","OPER_MARGIN","FQ2 2024","FQ2 2024","Currency=USD","Period=FQ","BEST_FPERIOD_OVERRIDE=FQ","FILING_STATUS=MR","FA_ADJUSTED=Adjusted","Sort=A","Dates=H","DateFormat=P","Fill=—","Direction=H","UseDPDF=Y")</f>
        <v>11.8804</v>
      </c>
      <c r="Y67" s="14" cm="1">
        <f t="array" ref="Y67">_xll.BDH("CMI US Equity","OPER_MARGIN","FQ3 2024","FQ3 2024","Currency=USD","Period=FQ","BEST_FPERIOD_OVERRIDE=FQ","FILING_STATUS=MR","FA_ADJUSTED=Adjusted","Sort=A","Dates=H","DateFormat=P","Fill=—","Direction=H","UseDPDF=Y")</f>
        <v>12.440899999999999</v>
      </c>
      <c r="Z67" s="14" cm="1">
        <f t="array" ref="Z67">_xll.BDH("CMI US Equity","OPER_MARGIN","FQ4 2024","FQ4 2024","Currency=USD","Period=FQ","BEST_FPERIOD_OVERRIDE=FQ","FILING_STATUS=MR","FA_ADJUSTED=Adjusted","Sort=A","Dates=H","DateFormat=P","Fill=—","Direction=H","UseDPDF=Y")</f>
        <v>8.8434000000000008</v>
      </c>
      <c r="AA67" s="14" cm="1">
        <f t="array" ref="AA67">_xll.BDH("CMI US Equity","OPER_MARGIN","FQ1 2025","FQ1 2025","Currency=USD","Period=FQ","BEST_FPERIOD_OVERRIDE=FQ","FILING_STATUS=MR","FA_ADJUSTED=Adjusted","Sort=A","Dates=H","DateFormat=P","Fill=—","Direction=H","UseDPDF=Y")</f>
        <v>13.8733</v>
      </c>
      <c r="AB67" s="14" cm="1">
        <f t="array" ref="AB67">_xll.BDH("CMI US Equity","OPER_MARGIN","FQ2 2025","FQ2 2025","Currency=USD","Period=FQ","BEST_FPERIOD_OVERRIDE=FQ","FILING_STATUS=MR","FA_ADJUSTED=Adjusted","Sort=A","Dates=H","DateFormat=P","Fill=—","Direction=H","UseDPDF=Y")</f>
        <v>14.184900000000001</v>
      </c>
      <c r="AC67" s="14" cm="1">
        <f t="array" ref="AC67">_xll.BDH("CMI US Equity","OPER_MARGIN","FQ3 2025","FQ3 2025","Currency=USD","Period=FQ","BEST_FPERIOD_OVERRIDE=FQ","FILING_STATUS=MR","FA_ADJUSTED=Adjusted","Sort=A","Dates=H","DateFormat=P","Fill=—","Direction=H","UseDPDF=Y")</f>
        <v>10.292199999999999</v>
      </c>
      <c r="AD67" s="14" cm="1">
        <f t="array" ref="AD67">_xll.BDH("CMI US Equity","OPER_MARGIN","FQ4 2025","FQ4 2025","Currency=USD","Period=FQ","BEST_FPERIOD_OVERRIDE=FQ","FILING_STATUS=MR","FA_ADJUSTED=Adjusted","Sort=A","Dates=H","DateFormat=P","Fill=—","Direction=H","UseDPDF=Y")</f>
        <v>12.0783</v>
      </c>
      <c r="AE67" s="14">
        <v>13.6172845931311</v>
      </c>
      <c r="AF67" s="14">
        <v>13.9095800005847</v>
      </c>
    </row>
    <row r="68" spans="1:32" x14ac:dyDescent="0.25">
      <c r="A68" s="10" t="s">
        <v>174</v>
      </c>
      <c r="B68" s="10" t="s">
        <v>175</v>
      </c>
      <c r="C68" s="14" cm="1">
        <f t="array" ref="C68">_xll.BDH("CMI US Equity","PROF_MARGIN","FQ1 2019","FQ1 2019","Currency=USD","Period=FQ","BEST_FPERIOD_OVERRIDE=FQ","FILING_STATUS=MR","FA_ADJUSTED=Adjusted","Sort=A","Dates=H","DateFormat=P","Fill=—","Direction=H","UseDPDF=Y")</f>
        <v>10.976800000000001</v>
      </c>
      <c r="D68" s="14" cm="1">
        <f t="array" ref="D68">_xll.BDH("CMI US Equity","PROF_MARGIN","FQ2 2019","FQ2 2019","Currency=USD","Period=FQ","BEST_FPERIOD_OVERRIDE=FQ","FILING_STATUS=MR","FA_ADJUSTED=Adjusted","Sort=A","Dates=H","DateFormat=P","Fill=—","Direction=H","UseDPDF=Y")</f>
        <v>10.6218</v>
      </c>
      <c r="E68" s="14" cm="1">
        <f t="array" ref="E68">_xll.BDH("CMI US Equity","PROF_MARGIN","FQ3 2019","FQ3 2019","Currency=USD","Period=FQ","BEST_FPERIOD_OVERRIDE=FQ","FILING_STATUS=MR","FA_ADJUSTED=Adjusted","Sort=A","Dates=H","DateFormat=P","Fill=—","Direction=H","UseDPDF=Y")</f>
        <v>10.200799999999999</v>
      </c>
      <c r="F68" s="14" cm="1">
        <f t="array" ref="F68">_xll.BDH("CMI US Equity","PROF_MARGIN","FQ4 2019","FQ4 2019","Currency=USD","Period=FQ","BEST_FPERIOD_OVERRIDE=FQ","FILING_STATUS=MR","FA_ADJUSTED=Adjusted","Sort=A","Dates=H","DateFormat=P","Fill=—","Direction=H","UseDPDF=Y")</f>
        <v>7.0191999999999997</v>
      </c>
      <c r="G68" s="14" cm="1">
        <f t="array" ref="G68">_xll.BDH("CMI US Equity","PROF_MARGIN","FQ1 2020","FQ1 2020","Currency=USD","Period=FQ","BEST_FPERIOD_OVERRIDE=FQ","FILING_STATUS=MR","FA_ADJUSTED=Adjusted","Sort=A","Dates=H","DateFormat=P","Fill=—","Direction=H","UseDPDF=Y")</f>
        <v>8.4305000000000003</v>
      </c>
      <c r="H68" s="14" cm="1">
        <f t="array" ref="H68">_xll.BDH("CMI US Equity","PROF_MARGIN","FQ2 2020","FQ2 2020","Currency=USD","Period=FQ","BEST_FPERIOD_OVERRIDE=FQ","FILING_STATUS=MR","FA_ADJUSTED=Adjusted","Sort=A","Dates=H","DateFormat=P","Fill=—","Direction=H","UseDPDF=Y")</f>
        <v>6.4211</v>
      </c>
      <c r="I68" s="14" cm="1">
        <f t="array" ref="I68">_xll.BDH("CMI US Equity","PROF_MARGIN","FQ3 2020","FQ3 2020","Currency=USD","Period=FQ","BEST_FPERIOD_OVERRIDE=FQ","FILING_STATUS=MR","FA_ADJUSTED=Adjusted","Sort=A","Dates=H","DateFormat=P","Fill=—","Direction=H","UseDPDF=Y")</f>
        <v>10.1477</v>
      </c>
      <c r="J68" s="14" cm="1">
        <f t="array" ref="J68">_xll.BDH("CMI US Equity","PROF_MARGIN","FQ4 2020","FQ4 2020","Currency=USD","Period=FQ","BEST_FPERIOD_OVERRIDE=FQ","FILING_STATUS=MR","FA_ADJUSTED=Adjusted","Sort=A","Dates=H","DateFormat=P","Fill=—","Direction=H","UseDPDF=Y")</f>
        <v>8.4815000000000005</v>
      </c>
      <c r="K68" s="14" cm="1">
        <f t="array" ref="K68">_xll.BDH("CMI US Equity","PROF_MARGIN","FQ1 2021","FQ1 2021","Currency=USD","Period=FQ","BEST_FPERIOD_OVERRIDE=FQ","FILING_STATUS=MR","FA_ADJUSTED=Adjusted","Sort=A","Dates=H","DateFormat=P","Fill=—","Direction=H","UseDPDF=Y")</f>
        <v>9.8714999999999993</v>
      </c>
      <c r="L68" s="14" cm="1">
        <f t="array" ref="L68">_xll.BDH("CMI US Equity","PROF_MARGIN","FQ2 2021","FQ2 2021","Currency=USD","Period=FQ","BEST_FPERIOD_OVERRIDE=FQ","FILING_STATUS=MR","FA_ADJUSTED=Adjusted","Sort=A","Dates=H","DateFormat=P","Fill=—","Direction=H","UseDPDF=Y")</f>
        <v>9.6744000000000003</v>
      </c>
      <c r="M68" s="14" cm="1">
        <f t="array" ref="M68">_xll.BDH("CMI US Equity","PROF_MARGIN","FQ3 2021","FQ3 2021","Currency=USD","Period=FQ","BEST_FPERIOD_OVERRIDE=FQ","FILING_STATUS=MR","FA_ADJUSTED=Adjusted","Sort=A","Dates=H","DateFormat=P","Fill=—","Direction=H","UseDPDF=Y")</f>
        <v>8.7369000000000003</v>
      </c>
      <c r="N68" s="14" cm="1">
        <f t="array" ref="N68">_xll.BDH("CMI US Equity","PROF_MARGIN","FQ4 2021","FQ4 2021","Currency=USD","Period=FQ","BEST_FPERIOD_OVERRIDE=FQ","FILING_STATUS=MR","FA_ADJUSTED=Adjusted","Sort=A","Dates=H","DateFormat=P","Fill=—","Direction=H","UseDPDF=Y")</f>
        <v>7.0255999999999998</v>
      </c>
      <c r="O68" s="14" cm="1">
        <f t="array" ref="O68">_xll.BDH("CMI US Equity","PROF_MARGIN","FQ1 2022","FQ1 2022","Currency=USD","Period=FQ","BEST_FPERIOD_OVERRIDE=FQ","FILING_STATUS=MR","FA_ADJUSTED=Adjusted","Sort=A","Dates=H","DateFormat=P","Fill=—","Direction=H","UseDPDF=Y")</f>
        <v>6.6586999999999996</v>
      </c>
      <c r="P68" s="14" cm="1">
        <f t="array" ref="P68">_xll.BDH("CMI US Equity","PROF_MARGIN","FQ2 2022","FQ2 2022","Currency=USD","Period=FQ","BEST_FPERIOD_OVERRIDE=FQ","FILING_STATUS=MR","FA_ADJUSTED=Adjusted","Sort=A","Dates=H","DateFormat=P","Fill=—","Direction=H","UseDPDF=Y")</f>
        <v>11.7814</v>
      </c>
      <c r="Q68" s="14" cm="1">
        <f t="array" ref="Q68">_xll.BDH("CMI US Equity","PROF_MARGIN","FQ3 2022","FQ3 2022","Currency=USD","Period=FQ","BEST_FPERIOD_OVERRIDE=FQ","FILING_STATUS=MR","FA_ADJUSTED=Adjusted","Sort=A","Dates=H","DateFormat=P","Fill=—","Direction=H","UseDPDF=Y")</f>
        <v>4.6775000000000002</v>
      </c>
      <c r="R68" s="14" cm="1">
        <f t="array" ref="R68">_xll.BDH("CMI US Equity","PROF_MARGIN","FQ4 2022","FQ4 2022","Currency=USD","Period=FQ","BEST_FPERIOD_OVERRIDE=FQ","FILING_STATUS=MR","FA_ADJUSTED=Adjusted","Sort=A","Dates=H","DateFormat=P","Fill=—","Direction=H","UseDPDF=Y")</f>
        <v>8.1210000000000004</v>
      </c>
      <c r="S68" s="14" cm="1">
        <f t="array" ref="S68">_xll.BDH("CMI US Equity","PROF_MARGIN","FQ1 2023","FQ1 2023","Currency=USD","Period=FQ","BEST_FPERIOD_OVERRIDE=FQ","FILING_STATUS=MR","FA_ADJUSTED=Adjusted","Sort=A","Dates=H","DateFormat=P","Fill=—","Direction=H","UseDPDF=Y")</f>
        <v>9.3551000000000002</v>
      </c>
      <c r="T68" s="14" cm="1">
        <f t="array" ref="T68">_xll.BDH("CMI US Equity","PROF_MARGIN","FQ2 2023","FQ2 2023","Currency=USD","Period=FQ","BEST_FPERIOD_OVERRIDE=FQ","FILING_STATUS=MR","FA_ADJUSTED=Adjusted","Sort=A","Dates=H","DateFormat=P","Fill=—","Direction=H","UseDPDF=Y")</f>
        <v>8.3627000000000002</v>
      </c>
      <c r="U68" s="14" cm="1">
        <f t="array" ref="U68">_xll.BDH("CMI US Equity","PROF_MARGIN","FQ3 2023","FQ3 2023","Currency=USD","Period=FQ","BEST_FPERIOD_OVERRIDE=FQ","FILING_STATUS=MR","FA_ADJUSTED=Adjusted","Sort=A","Dates=H","DateFormat=P","Fill=—","Direction=H","UseDPDF=Y")</f>
        <v>8.3657000000000004</v>
      </c>
      <c r="V68" s="14" cm="1">
        <f t="array" ref="V68">_xll.BDH("CMI US Equity","PROF_MARGIN","FQ4 2023","FQ4 2023","Currency=USD","Period=FQ","BEST_FPERIOD_OVERRIDE=FQ","FILING_STATUS=MR","FA_ADJUSTED=Adjusted","Sort=A","Dates=H","DateFormat=P","Fill=—","Direction=H","UseDPDF=Y")</f>
        <v>-16.750599999999999</v>
      </c>
      <c r="W68" s="14" cm="1">
        <f t="array" ref="W68">_xll.BDH("CMI US Equity","PROF_MARGIN","FQ1 2024","FQ1 2024","Currency=USD","Period=FQ","BEST_FPERIOD_OVERRIDE=FQ","FILING_STATUS=MR","FA_ADJUSTED=Adjusted","Sort=A","Dates=H","DateFormat=P","Fill=—","Direction=H","UseDPDF=Y")</f>
        <v>11.7309</v>
      </c>
      <c r="X68" s="14" cm="1">
        <f t="array" ref="X68">_xll.BDH("CMI US Equity","PROF_MARGIN","FQ2 2024","FQ2 2024","Currency=USD","Period=FQ","BEST_FPERIOD_OVERRIDE=FQ","FILING_STATUS=MR","FA_ADJUSTED=Adjusted","Sort=A","Dates=H","DateFormat=P","Fill=—","Direction=H","UseDPDF=Y")</f>
        <v>8.2716999999999992</v>
      </c>
      <c r="Y68" s="14" cm="1">
        <f t="array" ref="Y68">_xll.BDH("CMI US Equity","PROF_MARGIN","FQ3 2024","FQ3 2024","Currency=USD","Period=FQ","BEST_FPERIOD_OVERRIDE=FQ","FILING_STATUS=MR","FA_ADJUSTED=Adjusted","Sort=A","Dates=H","DateFormat=P","Fill=—","Direction=H","UseDPDF=Y")</f>
        <v>9.2589000000000006</v>
      </c>
      <c r="Z68" s="14" cm="1">
        <f t="array" ref="Z68">_xll.BDH("CMI US Equity","PROF_MARGIN","FQ4 2024","FQ4 2024","Currency=USD","Period=FQ","BEST_FPERIOD_OVERRIDE=FQ","FILING_STATUS=MR","FA_ADJUSTED=Adjusted","Sort=A","Dates=H","DateFormat=P","Fill=—","Direction=H","UseDPDF=Y")</f>
        <v>5.3226000000000004</v>
      </c>
      <c r="AA68" s="14" cm="1">
        <f t="array" ref="AA68">_xll.BDH("CMI US Equity","PROF_MARGIN","FQ1 2025","FQ1 2025","Currency=USD","Period=FQ","BEST_FPERIOD_OVERRIDE=FQ","FILING_STATUS=MR","FA_ADJUSTED=Adjusted","Sort=A","Dates=H","DateFormat=P","Fill=—","Direction=H","UseDPDF=Y")</f>
        <v>10.0807</v>
      </c>
      <c r="AB68" s="14" cm="1">
        <f t="array" ref="AB68">_xll.BDH("CMI US Equity","PROF_MARGIN","FQ2 2025","FQ2 2025","Currency=USD","Period=FQ","BEST_FPERIOD_OVERRIDE=FQ","FILING_STATUS=MR","FA_ADJUSTED=Adjusted","Sort=A","Dates=H","DateFormat=P","Fill=—","Direction=H","UseDPDF=Y")</f>
        <v>10.1328</v>
      </c>
      <c r="AC68" s="14" cm="1">
        <f t="array" ref="AC68">_xll.BDH("CMI US Equity","PROF_MARGIN","FQ3 2025","FQ3 2025","Currency=USD","Period=FQ","BEST_FPERIOD_OVERRIDE=FQ","FILING_STATUS=MR","FA_ADJUSTED=Adjusted","Sort=A","Dates=H","DateFormat=P","Fill=—","Direction=H","UseDPDF=Y")</f>
        <v>6.2831999999999999</v>
      </c>
      <c r="AD68" s="14" cm="1">
        <f t="array" ref="AD68">_xll.BDH("CMI US Equity","PROF_MARGIN","FQ4 2025","FQ4 2025","Currency=USD","Period=FQ","BEST_FPERIOD_OVERRIDE=FQ","FILING_STATUS=MR","FA_ADJUSTED=Adjusted","Sort=A","Dates=H","DateFormat=P","Fill=—","Direction=H","UseDPDF=Y")</f>
        <v>8.9646000000000008</v>
      </c>
      <c r="AE68" s="14">
        <v>9.3033937691851207</v>
      </c>
      <c r="AF68" s="14">
        <v>10.0657436853229</v>
      </c>
    </row>
    <row r="69" spans="1:32" x14ac:dyDescent="0.25">
      <c r="A69" s="10" t="s">
        <v>176</v>
      </c>
      <c r="B69" s="10" t="s">
        <v>177</v>
      </c>
      <c r="C69" s="14" t="str" cm="1">
        <f t="array" ref="C69">_xll.BDH("CMI US Equity","ACTUAL_SALES_PER_EMPL","FQ1 2019","FQ1 2019","Currency=USD","Period=FQ","BEST_FPERIOD_OVERRIDE=FQ","FILING_STATUS=MR","FA_ADJUSTED=Adjusted","Sort=A","Dates=H","DateFormat=P","Fill=—","Direction=H","UseDPDF=Y")</f>
        <v>—</v>
      </c>
      <c r="D69" s="14" t="str" cm="1">
        <f t="array" ref="D69">_xll.BDH("CMI US Equity","ACTUAL_SALES_PER_EMPL","FQ2 2019","FQ2 2019","Currency=USD","Period=FQ","BEST_FPERIOD_OVERRIDE=FQ","FILING_STATUS=MR","FA_ADJUSTED=Adjusted","Sort=A","Dates=H","DateFormat=P","Fill=—","Direction=H","UseDPDF=Y")</f>
        <v>—</v>
      </c>
      <c r="E69" s="14" t="str" cm="1">
        <f t="array" ref="E69">_xll.BDH("CMI US Equity","ACTUAL_SALES_PER_EMPL","FQ3 2019","FQ3 2019","Currency=USD","Period=FQ","BEST_FPERIOD_OVERRIDE=FQ","FILING_STATUS=MR","FA_ADJUSTED=Adjusted","Sort=A","Dates=H","DateFormat=P","Fill=—","Direction=H","UseDPDF=Y")</f>
        <v>—</v>
      </c>
      <c r="F69" s="14" cm="1">
        <f t="array" ref="F69">_xll.BDH("CMI US Equity","ACTUAL_SALES_PER_EMPL","FQ4 2019","FQ4 2019","Currency=USD","Period=FQ","BEST_FPERIOD_OVERRIDE=FQ","FILING_STATUS=MR","FA_ADJUSTED=Adjusted","Sort=A","Dates=H","DateFormat=P","Fill=—","Direction=H","UseDPDF=Y")</f>
        <v>90529.903399999996</v>
      </c>
      <c r="G69" s="14" cm="1">
        <f t="array" ref="G69">_xll.BDH("CMI US Equity","ACTUAL_SALES_PER_EMPL","FQ1 2020","FQ1 2020","Currency=USD","Period=FQ","BEST_FPERIOD_OVERRIDE=FQ","FILING_STATUS=MR","FA_ADJUSTED=Adjusted","Sort=A","Dates=H","DateFormat=P","Fill=—","Direction=H","UseDPDF=Y")</f>
        <v>81347.402600000001</v>
      </c>
      <c r="H69" s="14" cm="1">
        <f t="array" ref="H69">_xll.BDH("CMI US Equity","ACTUAL_SALES_PER_EMPL","FQ2 2020","FQ2 2020","Currency=USD","Period=FQ","BEST_FPERIOD_OVERRIDE=FQ","FILING_STATUS=MR","FA_ADJUSTED=Adjusted","Sort=A","Dates=H","DateFormat=P","Fill=—","Direction=H","UseDPDF=Y")</f>
        <v>62532.467499999999</v>
      </c>
      <c r="I69" s="14" t="str" cm="1">
        <f t="array" ref="I69">_xll.BDH("CMI US Equity","ACTUAL_SALES_PER_EMPL","FQ3 2020","FQ3 2020","Currency=USD","Period=FQ","BEST_FPERIOD_OVERRIDE=FQ","FILING_STATUS=MR","FA_ADJUSTED=Adjusted","Sort=A","Dates=H","DateFormat=P","Fill=—","Direction=H","UseDPDF=Y")</f>
        <v>—</v>
      </c>
      <c r="J69" s="14" t="str" cm="1">
        <f t="array" ref="J69">_xll.BDH("CMI US Equity","ACTUAL_SALES_PER_EMPL","FQ4 2020","FQ4 2020","Currency=USD","Period=FQ","BEST_FPERIOD_OVERRIDE=FQ","FILING_STATUS=MR","FA_ADJUSTED=Adjusted","Sort=A","Dates=H","DateFormat=P","Fill=—","Direction=H","UseDPDF=Y")</f>
        <v>—</v>
      </c>
      <c r="K69" s="14" cm="1">
        <f t="array" ref="K69">_xll.BDH("CMI US Equity","ACTUAL_SALES_PER_EMPL","FQ1 2021","FQ1 2021","Currency=USD","Period=FQ","BEST_FPERIOD_OVERRIDE=FQ","FILING_STATUS=MR","FA_ADJUSTED=Adjusted","Sort=A","Dates=H","DateFormat=P","Fill=—","Direction=H","UseDPDF=Y")</f>
        <v>105352.35619999999</v>
      </c>
      <c r="L69" s="14" cm="1">
        <f t="array" ref="L69">_xll.BDH("CMI US Equity","ACTUAL_SALES_PER_EMPL","FQ2 2021","FQ2 2021","Currency=USD","Period=FQ","BEST_FPERIOD_OVERRIDE=FQ","FILING_STATUS=MR","FA_ADJUSTED=Adjusted","Sort=A","Dates=H","DateFormat=P","Fill=—","Direction=H","UseDPDF=Y")</f>
        <v>105680.9339</v>
      </c>
      <c r="M69" s="14" cm="1">
        <f t="array" ref="M69">_xll.BDH("CMI US Equity","ACTUAL_SALES_PER_EMPL","FQ3 2021","FQ3 2021","Currency=USD","Period=FQ","BEST_FPERIOD_OVERRIDE=FQ","FILING_STATUS=MR","FA_ADJUSTED=Adjusted","Sort=A","Dates=H","DateFormat=P","Fill=—","Direction=H","UseDPDF=Y")</f>
        <v>103207.955</v>
      </c>
      <c r="N69" s="14" t="str" cm="1">
        <f t="array" ref="N69">_xll.BDH("CMI US Equity","ACTUAL_SALES_PER_EMPL","FQ4 2021","FQ4 2021","Currency=USD","Period=FQ","BEST_FPERIOD_OVERRIDE=FQ","FILING_STATUS=MR","FA_ADJUSTED=Adjusted","Sort=A","Dates=H","DateFormat=P","Fill=—","Direction=H","UseDPDF=Y")</f>
        <v>—</v>
      </c>
      <c r="O69" s="14" cm="1">
        <f t="array" ref="O69">_xll.BDH("CMI US Equity","ACTUAL_SALES_PER_EMPL","FQ1 2022","FQ1 2022","Currency=USD","Period=FQ","BEST_FPERIOD_OVERRIDE=FQ","FILING_STATUS=MR","FA_ADJUSTED=Adjusted","Sort=A","Dates=H","DateFormat=P","Fill=—","Direction=H","UseDPDF=Y")</f>
        <v>106594.3239</v>
      </c>
      <c r="P69" s="14" cm="1">
        <f t="array" ref="P69">_xll.BDH("CMI US Equity","ACTUAL_SALES_PER_EMPL","FQ2 2022","FQ2 2022","Currency=USD","Period=FQ","BEST_FPERIOD_OVERRIDE=FQ","FILING_STATUS=MR","FA_ADJUSTED=Adjusted","Sort=A","Dates=H","DateFormat=P","Fill=—","Direction=H","UseDPDF=Y")</f>
        <v>109949.91650000001</v>
      </c>
      <c r="Q69" s="14" cm="1">
        <f t="array" ref="Q69">_xll.BDH("CMI US Equity","ACTUAL_SALES_PER_EMPL","FQ3 2022","FQ3 2022","Currency=USD","Period=FQ","BEST_FPERIOD_OVERRIDE=FQ","FILING_STATUS=MR","FA_ADJUSTED=Adjusted","Sort=A","Dates=H","DateFormat=P","Fill=—","Direction=H","UseDPDF=Y")</f>
        <v>122420.7012</v>
      </c>
      <c r="R69" s="14" t="str" cm="1">
        <f t="array" ref="R69">_xll.BDH("CMI US Equity","ACTUAL_SALES_PER_EMPL","FQ4 2022","FQ4 2022","Currency=USD","Period=FQ","BEST_FPERIOD_OVERRIDE=FQ","FILING_STATUS=MR","FA_ADJUSTED=Adjusted","Sort=A","Dates=H","DateFormat=P","Fill=—","Direction=H","UseDPDF=Y")</f>
        <v>—</v>
      </c>
      <c r="S69" s="14" cm="1">
        <f t="array" ref="S69">_xll.BDH("CMI US Equity","ACTUAL_SALES_PER_EMPL","FQ1 2023","FQ1 2023","Currency=USD","Period=FQ","BEST_FPERIOD_OVERRIDE=FQ","FILING_STATUS=MR","FA_ADJUSTED=Adjusted","Sort=A","Dates=H","DateFormat=P","Fill=—","Direction=H","UseDPDF=Y")</f>
        <v>114850.5435</v>
      </c>
      <c r="T69" s="14" cm="1">
        <f t="array" ref="T69">_xll.BDH("CMI US Equity","ACTUAL_SALES_PER_EMPL","FQ2 2023","FQ2 2023","Currency=USD","Period=FQ","BEST_FPERIOD_OVERRIDE=FQ","FILING_STATUS=MR","FA_ADJUSTED=Adjusted","Sort=A","Dates=H","DateFormat=P","Fill=—","Direction=H","UseDPDF=Y")</f>
        <v>117364.13039999999</v>
      </c>
      <c r="U69" s="14" cm="1">
        <f t="array" ref="U69">_xll.BDH("CMI US Equity","ACTUAL_SALES_PER_EMPL","FQ3 2023","FQ3 2023","Currency=USD","Period=FQ","BEST_FPERIOD_OVERRIDE=FQ","FILING_STATUS=MR","FA_ADJUSTED=Adjusted","Sort=A","Dates=H","DateFormat=P","Fill=—","Direction=H","UseDPDF=Y")</f>
        <v>114551.63039999999</v>
      </c>
      <c r="V69" s="14" cm="1">
        <f t="array" ref="V69">_xll.BDH("CMI US Equity","ACTUAL_SALES_PER_EMPL","FQ4 2023","FQ4 2023","Currency=USD","Period=FQ","BEST_FPERIOD_OVERRIDE=FQ","FILING_STATUS=MR","FA_ADJUSTED=Adjusted","Sort=A","Dates=H","DateFormat=P","Fill=—","Direction=H","UseDPDF=Y")</f>
        <v>113152.31789999999</v>
      </c>
      <c r="W69" s="14" cm="1">
        <f t="array" ref="W69">_xll.BDH("CMI US Equity","ACTUAL_SALES_PER_EMPL","FQ1 2024","FQ1 2024","Currency=USD","Period=FQ","BEST_FPERIOD_OVERRIDE=FQ","FILING_STATUS=MR","FA_ADJUSTED=Adjusted","Sort=A","Dates=H","DateFormat=P","Fill=—","Direction=H","UseDPDF=Y")</f>
        <v>111298.0132</v>
      </c>
      <c r="X69" s="14" cm="1">
        <f t="array" ref="X69">_xll.BDH("CMI US Equity","ACTUAL_SALES_PER_EMPL","FQ2 2024","FQ2 2024","Currency=USD","Period=FQ","BEST_FPERIOD_OVERRIDE=FQ","FILING_STATUS=MR","FA_ADJUSTED=Adjusted","Sort=A","Dates=H","DateFormat=P","Fill=—","Direction=H","UseDPDF=Y")</f>
        <v>117280</v>
      </c>
      <c r="Y69" s="14" cm="1">
        <f t="array" ref="Y69">_xll.BDH("CMI US Equity","ACTUAL_SALES_PER_EMPL","FQ3 2024","FQ3 2024","Currency=USD","Period=FQ","BEST_FPERIOD_OVERRIDE=FQ","FILING_STATUS=MR","FA_ADJUSTED=Adjusted","Sort=A","Dates=H","DateFormat=P","Fill=—","Direction=H","UseDPDF=Y")</f>
        <v>112000</v>
      </c>
      <c r="Z69" s="14" cm="1">
        <f t="array" ref="Z69">_xll.BDH("CMI US Equity","ACTUAL_SALES_PER_EMPL","FQ4 2024","FQ4 2024","Currency=USD","Period=FQ","BEST_FPERIOD_OVERRIDE=FQ","FILING_STATUS=MR","FA_ADJUSTED=Adjusted","Sort=A","Dates=H","DateFormat=P","Fill=—","Direction=H","UseDPDF=Y")</f>
        <v>121364.9425</v>
      </c>
      <c r="AA69" s="14" cm="1">
        <f t="array" ref="AA69">_xll.BDH("CMI US Equity","ACTUAL_SALES_PER_EMPL","FQ1 2025","FQ1 2025","Currency=USD","Period=FQ","BEST_FPERIOD_OVERRIDE=FQ","FILING_STATUS=MR","FA_ADJUSTED=Adjusted","Sort=A","Dates=H","DateFormat=P","Fill=—","Direction=H","UseDPDF=Y")</f>
        <v>117442.5287</v>
      </c>
      <c r="AB69" s="14" cm="1">
        <f t="array" ref="AB69">_xll.BDH("CMI US Equity","ACTUAL_SALES_PER_EMPL","FQ2 2025","FQ2 2025","Currency=USD","Period=FQ","BEST_FPERIOD_OVERRIDE=FQ","FILING_STATUS=MR","FA_ADJUSTED=Adjusted","Sort=A","Dates=H","DateFormat=P","Fill=—","Direction=H","UseDPDF=Y")</f>
        <v>124181.03449999999</v>
      </c>
      <c r="AC69" s="14" cm="1">
        <f t="array" ref="AC69">_xll.BDH("CMI US Equity","ACTUAL_SALES_PER_EMPL","FQ3 2025","FQ3 2025","Currency=USD","Period=FQ","BEST_FPERIOD_OVERRIDE=FQ","FILING_STATUS=MR","FA_ADJUSTED=Adjusted","Sort=A","Dates=H","DateFormat=P","Fill=—","Direction=H","UseDPDF=Y")</f>
        <v>118814.28569999999</v>
      </c>
      <c r="AD69" s="14" t="str" cm="1">
        <f t="array" ref="AD69">_xll.BDH("CMI US Equity","ACTUAL_SALES_PER_EMPL","FQ4 2025","FQ4 2025","Currency=USD","Period=FQ","BEST_FPERIOD_OVERRIDE=FQ","FILING_STATUS=MR","FA_ADJUSTED=Adjusted","Sort=A","Dates=H","DateFormat=P","Fill=—","Direction=H","UseDPDF=Y")</f>
        <v>—</v>
      </c>
      <c r="AE69" s="14"/>
      <c r="AF69" s="14"/>
    </row>
    <row r="70" spans="1:32" x14ac:dyDescent="0.25">
      <c r="A70" s="10" t="s">
        <v>178</v>
      </c>
      <c r="B70" s="10" t="s">
        <v>179</v>
      </c>
      <c r="C70" s="14" cm="1">
        <f t="array" ref="C70">_xll.BDH("CMI US Equity","EQY_DPS","FQ1 2019","FQ1 2019","Currency=USD","Period=FQ","BEST_FPERIOD_OVERRIDE=FQ","FILING_STATUS=MR","Sort=A","Dates=H","DateFormat=P","Fill=—","Direction=H","UseDPDF=Y")</f>
        <v>1.1399999999999999</v>
      </c>
      <c r="D70" s="14" cm="1">
        <f t="array" ref="D70">_xll.BDH("CMI US Equity","EQY_DPS","FQ2 2019","FQ2 2019","Currency=USD","Period=FQ","BEST_FPERIOD_OVERRIDE=FQ","FILING_STATUS=MR","Sort=A","Dates=H","DateFormat=P","Fill=—","Direction=H","UseDPDF=Y")</f>
        <v>1.1399999999999999</v>
      </c>
      <c r="E70" s="14" cm="1">
        <f t="array" ref="E70">_xll.BDH("CMI US Equity","EQY_DPS","FQ3 2019","FQ3 2019","Currency=USD","Period=FQ","BEST_FPERIOD_OVERRIDE=FQ","FILING_STATUS=MR","Sort=A","Dates=H","DateFormat=P","Fill=—","Direction=H","UseDPDF=Y")</f>
        <v>1.3109999999999999</v>
      </c>
      <c r="F70" s="14" cm="1">
        <f t="array" ref="F70">_xll.BDH("CMI US Equity","EQY_DPS","FQ4 2019","FQ4 2019","Currency=USD","Period=FQ","BEST_FPERIOD_OVERRIDE=FQ","FILING_STATUS=MR","Sort=A","Dates=H","DateFormat=P","Fill=—","Direction=H","UseDPDF=Y")</f>
        <v>1.3109999999999999</v>
      </c>
      <c r="G70" s="14" cm="1">
        <f t="array" ref="G70">_xll.BDH("CMI US Equity","EQY_DPS","FQ1 2020","FQ1 2020","Currency=USD","Period=FQ","BEST_FPERIOD_OVERRIDE=FQ","FILING_STATUS=MR","Sort=A","Dates=H","DateFormat=P","Fill=—","Direction=H","UseDPDF=Y")</f>
        <v>1.3109999999999999</v>
      </c>
      <c r="H70" s="14" cm="1">
        <f t="array" ref="H70">_xll.BDH("CMI US Equity","EQY_DPS","FQ2 2020","FQ2 2020","Currency=USD","Period=FQ","BEST_FPERIOD_OVERRIDE=FQ","FILING_STATUS=MR","Sort=A","Dates=H","DateFormat=P","Fill=—","Direction=H","UseDPDF=Y")</f>
        <v>1.3109999999999999</v>
      </c>
      <c r="I70" s="14" cm="1">
        <f t="array" ref="I70">_xll.BDH("CMI US Equity","EQY_DPS","FQ3 2020","FQ3 2020","Currency=USD","Period=FQ","BEST_FPERIOD_OVERRIDE=FQ","FILING_STATUS=MR","Sort=A","Dates=H","DateFormat=P","Fill=—","Direction=H","UseDPDF=Y")</f>
        <v>1.3109999999999999</v>
      </c>
      <c r="J70" s="14" cm="1">
        <f t="array" ref="J70">_xll.BDH("CMI US Equity","EQY_DPS","FQ4 2020","FQ4 2020","Currency=USD","Period=FQ","BEST_FPERIOD_OVERRIDE=FQ","FILING_STATUS=MR","Sort=A","Dates=H","DateFormat=P","Fill=—","Direction=H","UseDPDF=Y")</f>
        <v>1.35</v>
      </c>
      <c r="K70" s="14" cm="1">
        <f t="array" ref="K70">_xll.BDH("CMI US Equity","EQY_DPS","FQ1 2021","FQ1 2021","Currency=USD","Period=FQ","BEST_FPERIOD_OVERRIDE=FQ","FILING_STATUS=MR","Sort=A","Dates=H","DateFormat=P","Fill=—","Direction=H","UseDPDF=Y")</f>
        <v>1.35</v>
      </c>
      <c r="L70" s="14" cm="1">
        <f t="array" ref="L70">_xll.BDH("CMI US Equity","EQY_DPS","FQ2 2021","FQ2 2021","Currency=USD","Period=FQ","BEST_FPERIOD_OVERRIDE=FQ","FILING_STATUS=MR","Sort=A","Dates=H","DateFormat=P","Fill=—","Direction=H","UseDPDF=Y")</f>
        <v>1.35</v>
      </c>
      <c r="M70" s="14" cm="1">
        <f t="array" ref="M70">_xll.BDH("CMI US Equity","EQY_DPS","FQ3 2021","FQ3 2021","Currency=USD","Period=FQ","BEST_FPERIOD_OVERRIDE=FQ","FILING_STATUS=MR","Sort=A","Dates=H","DateFormat=P","Fill=—","Direction=H","UseDPDF=Y")</f>
        <v>1.45</v>
      </c>
      <c r="N70" s="14" cm="1">
        <f t="array" ref="N70">_xll.BDH("CMI US Equity","EQY_DPS","FQ4 2021","FQ4 2021","Currency=USD","Period=FQ","BEST_FPERIOD_OVERRIDE=FQ","FILING_STATUS=MR","Sort=A","Dates=H","DateFormat=P","Fill=—","Direction=H","UseDPDF=Y")</f>
        <v>1.45</v>
      </c>
      <c r="O70" s="14" cm="1">
        <f t="array" ref="O70">_xll.BDH("CMI US Equity","EQY_DPS","FQ1 2022","FQ1 2022","Currency=USD","Period=FQ","BEST_FPERIOD_OVERRIDE=FQ","FILING_STATUS=MR","Sort=A","Dates=H","DateFormat=P","Fill=—","Direction=H","UseDPDF=Y")</f>
        <v>1.45</v>
      </c>
      <c r="P70" s="14" cm="1">
        <f t="array" ref="P70">_xll.BDH("CMI US Equity","EQY_DPS","FQ2 2022","FQ2 2022","Currency=USD","Period=FQ","BEST_FPERIOD_OVERRIDE=FQ","FILING_STATUS=MR","Sort=A","Dates=H","DateFormat=P","Fill=—","Direction=H","UseDPDF=Y")</f>
        <v>1.45</v>
      </c>
      <c r="Q70" s="14" cm="1">
        <f t="array" ref="Q70">_xll.BDH("CMI US Equity","EQY_DPS","FQ3 2022","FQ3 2022","Currency=USD","Period=FQ","BEST_FPERIOD_OVERRIDE=FQ","FILING_STATUS=MR","Sort=A","Dates=H","DateFormat=P","Fill=—","Direction=H","UseDPDF=Y")</f>
        <v>1.57</v>
      </c>
      <c r="R70" s="14" cm="1">
        <f t="array" ref="R70">_xll.BDH("CMI US Equity","EQY_DPS","FQ4 2022","FQ4 2022","Currency=USD","Period=FQ","BEST_FPERIOD_OVERRIDE=FQ","FILING_STATUS=MR","Sort=A","Dates=H","DateFormat=P","Fill=—","Direction=H","UseDPDF=Y")</f>
        <v>1.57</v>
      </c>
      <c r="S70" s="14" cm="1">
        <f t="array" ref="S70">_xll.BDH("CMI US Equity","EQY_DPS","FQ1 2023","FQ1 2023","Currency=USD","Period=FQ","BEST_FPERIOD_OVERRIDE=FQ","FILING_STATUS=MR","Sort=A","Dates=H","DateFormat=P","Fill=—","Direction=H","UseDPDF=Y")</f>
        <v>1.57</v>
      </c>
      <c r="T70" s="14" cm="1">
        <f t="array" ref="T70">_xll.BDH("CMI US Equity","EQY_DPS","FQ2 2023","FQ2 2023","Currency=USD","Period=FQ","BEST_FPERIOD_OVERRIDE=FQ","FILING_STATUS=MR","Sort=A","Dates=H","DateFormat=P","Fill=—","Direction=H","UseDPDF=Y")</f>
        <v>1.68</v>
      </c>
      <c r="U70" s="14" cm="1">
        <f t="array" ref="U70">_xll.BDH("CMI US Equity","EQY_DPS","FQ3 2023","FQ3 2023","Currency=USD","Period=FQ","BEST_FPERIOD_OVERRIDE=FQ","FILING_STATUS=MR","Sort=A","Dates=H","DateFormat=P","Fill=—","Direction=H","UseDPDF=Y")</f>
        <v>1.68</v>
      </c>
      <c r="V70" s="14" cm="1">
        <f t="array" ref="V70">_xll.BDH("CMI US Equity","EQY_DPS","FQ4 2023","FQ4 2023","Currency=USD","Period=FQ","BEST_FPERIOD_OVERRIDE=FQ","FILING_STATUS=MR","Sort=A","Dates=H","DateFormat=P","Fill=—","Direction=H","UseDPDF=Y")</f>
        <v>1.68</v>
      </c>
      <c r="W70" s="14" cm="1">
        <f t="array" ref="W70">_xll.BDH("CMI US Equity","EQY_DPS","FQ1 2024","FQ1 2024","Currency=USD","Period=FQ","BEST_FPERIOD_OVERRIDE=FQ","FILING_STATUS=MR","Sort=A","Dates=H","DateFormat=P","Fill=—","Direction=H","UseDPDF=Y")</f>
        <v>1.68</v>
      </c>
      <c r="X70" s="14" cm="1">
        <f t="array" ref="X70">_xll.BDH("CMI US Equity","EQY_DPS","FQ2 2024","FQ2 2024","Currency=USD","Period=FQ","BEST_FPERIOD_OVERRIDE=FQ","FILING_STATUS=MR","Sort=A","Dates=H","DateFormat=P","Fill=—","Direction=H","UseDPDF=Y")</f>
        <v>1.68</v>
      </c>
      <c r="Y70" s="14" cm="1">
        <f t="array" ref="Y70">_xll.BDH("CMI US Equity","EQY_DPS","FQ3 2024","FQ3 2024","Currency=USD","Period=FQ","BEST_FPERIOD_OVERRIDE=FQ","FILING_STATUS=MR","Sort=A","Dates=H","DateFormat=P","Fill=—","Direction=H","UseDPDF=Y")</f>
        <v>1.82</v>
      </c>
      <c r="Z70" s="14" cm="1">
        <f t="array" ref="Z70">_xll.BDH("CMI US Equity","EQY_DPS","FQ4 2024","FQ4 2024","Currency=USD","Period=FQ","BEST_FPERIOD_OVERRIDE=FQ","FILING_STATUS=MR","Sort=A","Dates=H","DateFormat=P","Fill=—","Direction=H","UseDPDF=Y")</f>
        <v>1.82</v>
      </c>
      <c r="AA70" s="14" cm="1">
        <f t="array" ref="AA70">_xll.BDH("CMI US Equity","EQY_DPS","FQ1 2025","FQ1 2025","Currency=USD","Period=FQ","BEST_FPERIOD_OVERRIDE=FQ","FILING_STATUS=MR","Sort=A","Dates=H","DateFormat=P","Fill=—","Direction=H","UseDPDF=Y")</f>
        <v>1.82</v>
      </c>
      <c r="AB70" s="14" cm="1">
        <f t="array" ref="AB70">_xll.BDH("CMI US Equity","EQY_DPS","FQ2 2025","FQ2 2025","Currency=USD","Period=FQ","BEST_FPERIOD_OVERRIDE=FQ","FILING_STATUS=MR","Sort=A","Dates=H","DateFormat=P","Fill=—","Direction=H","UseDPDF=Y")</f>
        <v>2</v>
      </c>
      <c r="AC70" s="14" cm="1">
        <f t="array" ref="AC70">_xll.BDH("CMI US Equity","EQY_DPS","FQ3 2025","FQ3 2025","Currency=USD","Period=FQ","BEST_FPERIOD_OVERRIDE=FQ","FILING_STATUS=MR","Sort=A","Dates=H","DateFormat=P","Fill=—","Direction=H","UseDPDF=Y")</f>
        <v>2</v>
      </c>
      <c r="AD70" s="14" cm="1">
        <f t="array" ref="AD70">_xll.BDH("CMI US Equity","EQY_DPS","FQ4 2025","FQ4 2025","Currency=USD","Period=FQ","BEST_FPERIOD_OVERRIDE=FQ","FILING_STATUS=MR","Sort=A","Dates=H","DateFormat=P","Fill=—","Direction=H","UseDPDF=Y")</f>
        <v>1.82</v>
      </c>
      <c r="AE70" s="14">
        <v>1.998</v>
      </c>
      <c r="AF70" s="14">
        <v>1.9470000000000001</v>
      </c>
    </row>
    <row r="71" spans="1:32" x14ac:dyDescent="0.25">
      <c r="A71" s="10" t="s">
        <v>180</v>
      </c>
      <c r="B71" s="10" t="s">
        <v>181</v>
      </c>
      <c r="C71" s="13" cm="1">
        <f t="array" ref="C71">_xll.BDH("CMI US Equity","IS_TOT_CASH_COM_DVD","FQ1 2019","FQ1 2019","Currency=USD","Period=FQ","BEST_FPERIOD_OVERRIDE=FQ","FILING_STATUS=MR","SCALING_FORMAT=MLN","Sort=A","Dates=H","DateFormat=P","Fill=—","Direction=H","UseDPDF=Y")</f>
        <v>179</v>
      </c>
      <c r="D71" s="13" cm="1">
        <f t="array" ref="D71">_xll.BDH("CMI US Equity","IS_TOT_CASH_COM_DVD","FQ2 2019","FQ2 2019","Currency=USD","Period=FQ","BEST_FPERIOD_OVERRIDE=FQ","FILING_STATUS=MR","SCALING_FORMAT=MLN","Sort=A","Dates=H","DateFormat=P","Fill=—","Direction=H","UseDPDF=Y")</f>
        <v>179</v>
      </c>
      <c r="E71" s="13" cm="1">
        <f t="array" ref="E71">_xll.BDH("CMI US Equity","IS_TOT_CASH_COM_DVD","FQ3 2019","FQ3 2019","Currency=USD","Period=FQ","BEST_FPERIOD_OVERRIDE=FQ","FILING_STATUS=MR","SCALING_FORMAT=MLN","Sort=A","Dates=H","DateFormat=P","Fill=—","Direction=H","UseDPDF=Y")</f>
        <v>204</v>
      </c>
      <c r="F71" s="13" cm="1">
        <f t="array" ref="F71">_xll.BDH("CMI US Equity","IS_TOT_CASH_COM_DVD","FQ4 2019","FQ4 2019","Currency=USD","Period=FQ","BEST_FPERIOD_OVERRIDE=FQ","FILING_STATUS=MR","SCALING_FORMAT=MLN","Sort=A","Dates=H","DateFormat=P","Fill=—","Direction=H","UseDPDF=Y")</f>
        <v>198.6165</v>
      </c>
      <c r="G71" s="13" cm="1">
        <f t="array" ref="G71">_xll.BDH("CMI US Equity","IS_TOT_CASH_COM_DVD","FQ1 2020","FQ1 2020","Currency=USD","Period=FQ","BEST_FPERIOD_OVERRIDE=FQ","FILING_STATUS=MR","SCALING_FORMAT=MLN","Sort=A","Dates=H","DateFormat=P","Fill=—","Direction=H","UseDPDF=Y")</f>
        <v>195</v>
      </c>
      <c r="H71" s="13" cm="1">
        <f t="array" ref="H71">_xll.BDH("CMI US Equity","IS_TOT_CASH_COM_DVD","FQ2 2020","FQ2 2020","Currency=USD","Period=FQ","BEST_FPERIOD_OVERRIDE=FQ","FILING_STATUS=MR","SCALING_FORMAT=MLN","Sort=A","Dates=H","DateFormat=P","Fill=—","Direction=H","UseDPDF=Y")</f>
        <v>193</v>
      </c>
      <c r="I71" s="13" cm="1">
        <f t="array" ref="I71">_xll.BDH("CMI US Equity","IS_TOT_CASH_COM_DVD","FQ3 2020","FQ3 2020","Currency=USD","Period=FQ","BEST_FPERIOD_OVERRIDE=FQ","FILING_STATUS=MR","SCALING_FORMAT=MLN","Sort=A","Dates=H","DateFormat=P","Fill=—","Direction=H","UseDPDF=Y")</f>
        <v>207</v>
      </c>
      <c r="J71" s="13" cm="1">
        <f t="array" ref="J71">_xll.BDH("CMI US Equity","IS_TOT_CASH_COM_DVD","FQ4 2020","FQ4 2020","Currency=USD","Period=FQ","BEST_FPERIOD_OVERRIDE=FQ","FILING_STATUS=MR","SCALING_FORMAT=MLN","Sort=A","Dates=H","DateFormat=P","Fill=—","Direction=H","UseDPDF=Y")</f>
        <v>199.8</v>
      </c>
      <c r="K71" s="13" cm="1">
        <f t="array" ref="K71">_xll.BDH("CMI US Equity","IS_TOT_CASH_COM_DVD","FQ1 2021","FQ1 2021","Currency=USD","Period=FQ","BEST_FPERIOD_OVERRIDE=FQ","FILING_STATUS=MR","SCALING_FORMAT=MLN","Sort=A","Dates=H","DateFormat=P","Fill=—","Direction=H","UseDPDF=Y")</f>
        <v>197</v>
      </c>
      <c r="L71" s="13" cm="1">
        <f t="array" ref="L71">_xll.BDH("CMI US Equity","IS_TOT_CASH_COM_DVD","FQ2 2021","FQ2 2021","Currency=USD","Period=FQ","BEST_FPERIOD_OVERRIDE=FQ","FILING_STATUS=MR","SCALING_FORMAT=MLN","Sort=A","Dates=H","DateFormat=P","Fill=—","Direction=H","UseDPDF=Y")</f>
        <v>197</v>
      </c>
      <c r="M71" s="13" cm="1">
        <f t="array" ref="M71">_xll.BDH("CMI US Equity","IS_TOT_CASH_COM_DVD","FQ3 2021","FQ3 2021","Currency=USD","Period=FQ","BEST_FPERIOD_OVERRIDE=FQ","FILING_STATUS=MR","SCALING_FORMAT=MLN","Sort=A","Dates=H","DateFormat=P","Fill=—","Direction=H","UseDPDF=Y")</f>
        <v>207</v>
      </c>
      <c r="N71" s="13" cm="1">
        <f t="array" ref="N71">_xll.BDH("CMI US Equity","IS_TOT_CASH_COM_DVD","FQ4 2021","FQ4 2021","Currency=USD","Period=FQ","BEST_FPERIOD_OVERRIDE=FQ","FILING_STATUS=MR","SCALING_FORMAT=MLN","Sort=A","Dates=H","DateFormat=P","Fill=—","Direction=H","UseDPDF=Y")</f>
        <v>208</v>
      </c>
      <c r="O71" s="13" cm="1">
        <f t="array" ref="O71">_xll.BDH("CMI US Equity","IS_TOT_CASH_COM_DVD","FQ1 2022","FQ1 2022","Currency=USD","Period=FQ","BEST_FPERIOD_OVERRIDE=FQ","FILING_STATUS=MR","SCALING_FORMAT=MLN","Sort=A","Dates=H","DateFormat=P","Fill=—","Direction=H","UseDPDF=Y")</f>
        <v>207</v>
      </c>
      <c r="P71" s="13" cm="1">
        <f t="array" ref="P71">_xll.BDH("CMI US Equity","IS_TOT_CASH_COM_DVD","FQ2 2022","FQ2 2022","Currency=USD","Period=FQ","BEST_FPERIOD_OVERRIDE=FQ","FILING_STATUS=MR","SCALING_FORMAT=MLN","Sort=A","Dates=H","DateFormat=P","Fill=—","Direction=H","UseDPDF=Y")</f>
        <v>204</v>
      </c>
      <c r="Q71" s="13" cm="1">
        <f t="array" ref="Q71">_xll.BDH("CMI US Equity","IS_TOT_CASH_COM_DVD","FQ3 2022","FQ3 2022","Currency=USD","Period=FQ","BEST_FPERIOD_OVERRIDE=FQ","FILING_STATUS=MR","SCALING_FORMAT=MLN","Sort=A","Dates=H","DateFormat=P","Fill=—","Direction=H","UseDPDF=Y")</f>
        <v>222</v>
      </c>
      <c r="R71" s="13" cm="1">
        <f t="array" ref="R71">_xll.BDH("CMI US Equity","IS_TOT_CASH_COM_DVD","FQ4 2022","FQ4 2022","Currency=USD","Period=FQ","BEST_FPERIOD_OVERRIDE=FQ","FILING_STATUS=MR","SCALING_FORMAT=MLN","Sort=A","Dates=H","DateFormat=P","Fill=—","Direction=H","UseDPDF=Y")</f>
        <v>221.84100000000001</v>
      </c>
      <c r="S71" s="13" cm="1">
        <f t="array" ref="S71">_xll.BDH("CMI US Equity","IS_TOT_CASH_COM_DVD","FQ1 2023","FQ1 2023","Currency=USD","Period=FQ","BEST_FPERIOD_OVERRIDE=FQ","FILING_STATUS=MR","SCALING_FORMAT=MLN","Sort=A","Dates=H","DateFormat=P","Fill=—","Direction=H","UseDPDF=Y")</f>
        <v>222</v>
      </c>
      <c r="T71" s="13" cm="1">
        <f t="array" ref="T71">_xll.BDH("CMI US Equity","IS_TOT_CASH_COM_DVD","FQ2 2023","FQ2 2023","Currency=USD","Period=FQ","BEST_FPERIOD_OVERRIDE=FQ","FILING_STATUS=MR","SCALING_FORMAT=MLN","Sort=A","Dates=H","DateFormat=P","Fill=—","Direction=H","UseDPDF=Y")</f>
        <v>223</v>
      </c>
      <c r="U71" s="13" cm="1">
        <f t="array" ref="U71">_xll.BDH("CMI US Equity","IS_TOT_CASH_COM_DVD","FQ3 2023","FQ3 2023","Currency=USD","Period=FQ","BEST_FPERIOD_OVERRIDE=FQ","FILING_STATUS=MR","SCALING_FORMAT=MLN","Sort=A","Dates=H","DateFormat=P","Fill=—","Direction=H","UseDPDF=Y")</f>
        <v>238</v>
      </c>
      <c r="V71" s="13" cm="1">
        <f t="array" ref="V71">_xll.BDH("CMI US Equity","IS_TOT_CASH_COM_DVD","FQ4 2023","FQ4 2023","Currency=USD","Period=FQ","BEST_FPERIOD_OVERRIDE=FQ","FILING_STATUS=MR","SCALING_FORMAT=MLN","Sort=A","Dates=H","DateFormat=P","Fill=—","Direction=H","UseDPDF=Y")</f>
        <v>238.392</v>
      </c>
      <c r="W71" s="13" cm="1">
        <f t="array" ref="W71">_xll.BDH("CMI US Equity","IS_TOT_CASH_COM_DVD","FQ1 2024","FQ1 2024","Currency=USD","Period=FQ","BEST_FPERIOD_OVERRIDE=FQ","FILING_STATUS=MR","SCALING_FORMAT=MLN","Sort=A","Dates=H","DateFormat=P","Fill=—","Direction=H","UseDPDF=Y")</f>
        <v>239</v>
      </c>
      <c r="X71" s="13" cm="1">
        <f t="array" ref="X71">_xll.BDH("CMI US Equity","IS_TOT_CASH_COM_DVD","FQ2 2024","FQ2 2024","Currency=USD","Period=FQ","BEST_FPERIOD_OVERRIDE=FQ","FILING_STATUS=MR","SCALING_FORMAT=MLN","Sort=A","Dates=H","DateFormat=P","Fill=—","Direction=H","UseDPDF=Y")</f>
        <v>230.328</v>
      </c>
      <c r="Y71" s="13" cm="1">
        <f t="array" ref="Y71">_xll.BDH("CMI US Equity","IS_TOT_CASH_COM_DVD","FQ3 2024","FQ3 2024","Currency=USD","Period=FQ","BEST_FPERIOD_OVERRIDE=FQ","FILING_STATUS=MR","SCALING_FORMAT=MLN","Sort=A","Dates=H","DateFormat=P","Fill=—","Direction=H","UseDPDF=Y")</f>
        <v>250</v>
      </c>
      <c r="Z71" s="13" cm="1">
        <f t="array" ref="Z71">_xll.BDH("CMI US Equity","IS_TOT_CASH_COM_DVD","FQ4 2024","FQ4 2024","Currency=USD","Period=FQ","BEST_FPERIOD_OVERRIDE=FQ","FILING_STATUS=MR","SCALING_FORMAT=MLN","Sort=A","Dates=H","DateFormat=P","Fill=—","Direction=H","UseDPDF=Y")</f>
        <v>250.06800000000001</v>
      </c>
      <c r="AA71" s="13" cm="1">
        <f t="array" ref="AA71">_xll.BDH("CMI US Equity","IS_TOT_CASH_COM_DVD","FQ1 2025","FQ1 2025","Currency=USD","Period=FQ","BEST_FPERIOD_OVERRIDE=FQ","FILING_STATUS=MR","SCALING_FORMAT=MLN","Sort=A","Dates=H","DateFormat=P","Fill=—","Direction=H","UseDPDF=Y")</f>
        <v>250.43199999999999</v>
      </c>
      <c r="AB71" s="13" cm="1">
        <f t="array" ref="AB71">_xll.BDH("CMI US Equity","IS_TOT_CASH_COM_DVD","FQ2 2025","FQ2 2025","Currency=USD","Period=FQ","BEST_FPERIOD_OVERRIDE=FQ","FILING_STATUS=MR","SCALING_FORMAT=MLN","Sort=A","Dates=H","DateFormat=P","Fill=—","Direction=H","UseDPDF=Y")</f>
        <v>251</v>
      </c>
      <c r="AC71" s="13" cm="1">
        <f t="array" ref="AC71">_xll.BDH("CMI US Equity","IS_TOT_CASH_COM_DVD","FQ3 2025","FQ3 2025","Currency=USD","Period=FQ","BEST_FPERIOD_OVERRIDE=FQ","FILING_STATUS=MR","SCALING_FORMAT=MLN","Sort=A","Dates=H","DateFormat=P","Fill=—","Direction=H","UseDPDF=Y")</f>
        <v>250</v>
      </c>
      <c r="AD71" s="13" cm="1">
        <f t="array" ref="AD71">_xll.BDH("CMI US Equity","IS_TOT_CASH_COM_DVD","FQ4 2025","FQ4 2025","Currency=USD","Period=FQ","BEST_FPERIOD_OVERRIDE=FQ","FILING_STATUS=MR","SCALING_FORMAT=MLN","Sort=A","Dates=H","DateFormat=P","Fill=—","Direction=H","UseDPDF=Y")</f>
        <v>251.524</v>
      </c>
      <c r="AE71" s="13"/>
      <c r="AF71" s="13"/>
    </row>
    <row r="72" spans="1:32" x14ac:dyDescent="0.25">
      <c r="A72" s="10" t="s">
        <v>182</v>
      </c>
      <c r="B72" s="10" t="s">
        <v>183</v>
      </c>
      <c r="C72" s="13" cm="1">
        <f t="array" ref="C72">_xll.BDH("CMI US Equity","IS_DEPR_EXP","FQ1 2019","FQ1 2019","Currency=USD","Period=FQ","BEST_FPERIOD_OVERRIDE=FQ","FILING_STATUS=MR","SCALING_FORMAT=MLN","Sort=A","Dates=H","DateFormat=P","Fill=—","Direction=H","UseDPDF=Y")</f>
        <v>151</v>
      </c>
      <c r="D72" s="13" cm="1">
        <f t="array" ref="D72">_xll.BDH("CMI US Equity","IS_DEPR_EXP","FQ2 2019","FQ2 2019","Currency=USD","Period=FQ","BEST_FPERIOD_OVERRIDE=FQ","FILING_STATUS=MR","SCALING_FORMAT=MLN","Sort=A","Dates=H","DateFormat=P","Fill=—","Direction=H","UseDPDF=Y")</f>
        <v>153</v>
      </c>
      <c r="E72" s="13" cm="1">
        <f t="array" ref="E72">_xll.BDH("CMI US Equity","IS_DEPR_EXP","FQ3 2019","FQ3 2019","Currency=USD","Period=FQ","BEST_FPERIOD_OVERRIDE=FQ","FILING_STATUS=MR","SCALING_FORMAT=MLN","Sort=A","Dates=H","DateFormat=P","Fill=—","Direction=H","UseDPDF=Y")</f>
        <v>172</v>
      </c>
      <c r="F72" s="13" cm="1">
        <f t="array" ref="F72">_xll.BDH("CMI US Equity","IS_DEPR_EXP","FQ4 2019","FQ4 2019","Currency=USD","Period=FQ","BEST_FPERIOD_OVERRIDE=FQ","FILING_STATUS=MR","SCALING_FORMAT=MLN","Sort=A","Dates=H","DateFormat=P","Fill=—","Direction=H","UseDPDF=Y")</f>
        <v>178</v>
      </c>
      <c r="G72" s="13" cm="1">
        <f t="array" ref="G72">_xll.BDH("CMI US Equity","IS_DEPR_EXP","FQ1 2020","FQ1 2020","Currency=USD","Period=FQ","BEST_FPERIOD_OVERRIDE=FQ","FILING_STATUS=MR","SCALING_FORMAT=MLN","Sort=A","Dates=H","DateFormat=P","Fill=—","Direction=H","UseDPDF=Y")</f>
        <v>163</v>
      </c>
      <c r="H72" s="13" cm="1">
        <f t="array" ref="H72">_xll.BDH("CMI US Equity","IS_DEPR_EXP","FQ2 2020","FQ2 2020","Currency=USD","Period=FQ","BEST_FPERIOD_OVERRIDE=FQ","FILING_STATUS=MR","SCALING_FORMAT=MLN","Sort=A","Dates=H","DateFormat=P","Fill=—","Direction=H","UseDPDF=Y")</f>
        <v>158</v>
      </c>
      <c r="I72" s="13" cm="1">
        <f t="array" ref="I72">_xll.BDH("CMI US Equity","IS_DEPR_EXP","FQ3 2020","FQ3 2020","Currency=USD","Period=FQ","BEST_FPERIOD_OVERRIDE=FQ","FILING_STATUS=MR","SCALING_FORMAT=MLN","Sort=A","Dates=H","DateFormat=P","Fill=—","Direction=H","UseDPDF=Y")</f>
        <v>160</v>
      </c>
      <c r="J72" s="13" cm="1">
        <f t="array" ref="J72">_xll.BDH("CMI US Equity","IS_DEPR_EXP","FQ4 2020","FQ4 2020","Currency=USD","Period=FQ","BEST_FPERIOD_OVERRIDE=FQ","FILING_STATUS=MR","SCALING_FORMAT=MLN","Sort=A","Dates=H","DateFormat=P","Fill=—","Direction=H","UseDPDF=Y")</f>
        <v>173</v>
      </c>
      <c r="K72" s="13" cm="1">
        <f t="array" ref="K72">_xll.BDH("CMI US Equity","IS_DEPR_EXP","FQ1 2021","FQ1 2021","Currency=USD","Period=FQ","BEST_FPERIOD_OVERRIDE=FQ","FILING_STATUS=MR","SCALING_FORMAT=MLN","Sort=A","Dates=H","DateFormat=P","Fill=—","Direction=H","UseDPDF=Y")</f>
        <v>164</v>
      </c>
      <c r="L72" s="13" cm="1">
        <f t="array" ref="L72">_xll.BDH("CMI US Equity","IS_DEPR_EXP","FQ2 2021","FQ2 2021","Currency=USD","Period=FQ","BEST_FPERIOD_OVERRIDE=FQ","FILING_STATUS=MR","SCALING_FORMAT=MLN","Sort=A","Dates=H","DateFormat=P","Fill=—","Direction=H","UseDPDF=Y")</f>
        <v>167</v>
      </c>
      <c r="M72" s="13" cm="1">
        <f t="array" ref="M72">_xll.BDH("CMI US Equity","IS_DEPR_EXP","FQ3 2021","FQ3 2021","Currency=USD","Period=FQ","BEST_FPERIOD_OVERRIDE=FQ","FILING_STATUS=MR","SCALING_FORMAT=MLN","Sort=A","Dates=H","DateFormat=P","Fill=—","Direction=H","UseDPDF=Y")</f>
        <v>154</v>
      </c>
      <c r="N72" s="13" cm="1">
        <f t="array" ref="N72">_xll.BDH("CMI US Equity","IS_DEPR_EXP","FQ4 2021","FQ4 2021","Currency=USD","Period=FQ","BEST_FPERIOD_OVERRIDE=FQ","FILING_STATUS=MR","SCALING_FORMAT=MLN","Sort=A","Dates=H","DateFormat=P","Fill=—","Direction=H","UseDPDF=Y")</f>
        <v>38</v>
      </c>
      <c r="O72" s="13" cm="1">
        <f t="array" ref="O72">_xll.BDH("CMI US Equity","IS_DEPR_EXP","FQ1 2022","FQ1 2022","Currency=USD","Period=FQ","BEST_FPERIOD_OVERRIDE=FQ","FILING_STATUS=MR","SCALING_FORMAT=MLN","Sort=A","Dates=H","DateFormat=P","Fill=—","Direction=H","UseDPDF=Y")</f>
        <v>156</v>
      </c>
      <c r="P72" s="13" cm="1">
        <f t="array" ref="P72">_xll.BDH("CMI US Equity","IS_DEPR_EXP","FQ2 2022","FQ2 2022","Currency=USD","Period=FQ","BEST_FPERIOD_OVERRIDE=FQ","FILING_STATUS=MR","SCALING_FORMAT=MLN","Sort=A","Dates=H","DateFormat=P","Fill=—","Direction=H","UseDPDF=Y")</f>
        <v>164</v>
      </c>
      <c r="Q72" s="13" cm="1">
        <f t="array" ref="Q72">_xll.BDH("CMI US Equity","IS_DEPR_EXP","FQ3 2022","FQ3 2022","Currency=USD","Period=FQ","BEST_FPERIOD_OVERRIDE=FQ","FILING_STATUS=MR","SCALING_FORMAT=MLN","Sort=A","Dates=H","DateFormat=P","Fill=—","Direction=H","UseDPDF=Y")</f>
        <v>191</v>
      </c>
      <c r="R72" s="13" cm="1">
        <f t="array" ref="R72">_xll.BDH("CMI US Equity","IS_DEPR_EXP","FQ4 2022","FQ4 2022","Currency=USD","Period=FQ","BEST_FPERIOD_OVERRIDE=FQ","FILING_STATUS=MR","SCALING_FORMAT=MLN","Sort=A","Dates=H","DateFormat=P","Fill=—","Direction=H","UseDPDF=Y")</f>
        <v>240</v>
      </c>
      <c r="S72" s="13" cm="1">
        <f t="array" ref="S72">_xll.BDH("CMI US Equity","IS_DEPR_EXP","FQ1 2023","FQ1 2023","Currency=USD","Period=FQ","BEST_FPERIOD_OVERRIDE=FQ","FILING_STATUS=MR","SCALING_FORMAT=MLN","Sort=A","Dates=H","DateFormat=P","Fill=—","Direction=H","UseDPDF=Y")</f>
        <v>214</v>
      </c>
      <c r="T72" s="13" t="str" cm="1">
        <f t="array" ref="T72">_xll.BDH("CMI US Equity","IS_DEPR_EXP","FQ2 2023","FQ2 2023","Currency=USD","Period=FQ","BEST_FPERIOD_OVERRIDE=FQ","FILING_STATUS=MR","SCALING_FORMAT=MLN","Sort=A","Dates=H","DateFormat=P","Fill=—","Direction=H","UseDPDF=Y")</f>
        <v>—</v>
      </c>
      <c r="U72" s="13" cm="1">
        <f t="array" ref="U72">_xll.BDH("CMI US Equity","IS_DEPR_EXP","FQ3 2023","FQ3 2023","Currency=USD","Period=FQ","BEST_FPERIOD_OVERRIDE=FQ","FILING_STATUS=MR","SCALING_FORMAT=MLN","Sort=A","Dates=H","DateFormat=P","Fill=—","Direction=H","UseDPDF=Y")</f>
        <v>223</v>
      </c>
      <c r="V72" s="13" cm="1">
        <f t="array" ref="V72">_xll.BDH("CMI US Equity","IS_DEPR_EXP","FQ4 2023","FQ4 2023","Currency=USD","Period=FQ","BEST_FPERIOD_OVERRIDE=FQ","FILING_STATUS=MR","SCALING_FORMAT=MLN","Sort=A","Dates=H","DateFormat=P","Fill=—","Direction=H","UseDPDF=Y")</f>
        <v>40</v>
      </c>
      <c r="W72" s="13" cm="1">
        <f t="array" ref="W72">_xll.BDH("CMI US Equity","IS_DEPR_EXP","FQ1 2024","FQ1 2024","Currency=USD","Period=FQ","BEST_FPERIOD_OVERRIDE=FQ","FILING_STATUS=MR","SCALING_FORMAT=MLN","Sort=A","Dates=H","DateFormat=P","Fill=—","Direction=H","UseDPDF=Y")</f>
        <v>233</v>
      </c>
      <c r="X72" s="13" cm="1">
        <f t="array" ref="X72">_xll.BDH("CMI US Equity","IS_DEPR_EXP","FQ2 2024","FQ2 2024","Currency=USD","Period=FQ","BEST_FPERIOD_OVERRIDE=FQ","FILING_STATUS=MR","SCALING_FORMAT=MLN","Sort=A","Dates=H","DateFormat=P","Fill=—","Direction=H","UseDPDF=Y")</f>
        <v>230</v>
      </c>
      <c r="Y72" s="13" cm="1">
        <f t="array" ref="Y72">_xll.BDH("CMI US Equity","IS_DEPR_EXP","FQ3 2024","FQ3 2024","Currency=USD","Period=FQ","BEST_FPERIOD_OVERRIDE=FQ","FILING_STATUS=MR","SCALING_FORMAT=MLN","Sort=A","Dates=H","DateFormat=P","Fill=—","Direction=H","UseDPDF=Y")</f>
        <v>234</v>
      </c>
      <c r="Z72" s="13" cm="1">
        <f t="array" ref="Z72">_xll.BDH("CMI US Equity","IS_DEPR_EXP","FQ4 2024","FQ4 2024","Currency=USD","Period=FQ","BEST_FPERIOD_OVERRIDE=FQ","FILING_STATUS=MR","SCALING_FORMAT=MLN","Sort=A","Dates=H","DateFormat=P","Fill=—","Direction=H","UseDPDF=Y")</f>
        <v>32</v>
      </c>
      <c r="AA72" s="13" cm="1">
        <f t="array" ref="AA72">_xll.BDH("CMI US Equity","IS_DEPR_EXP","FQ1 2025","FQ1 2025","Currency=USD","Period=FQ","BEST_FPERIOD_OVERRIDE=FQ","FILING_STATUS=MR","SCALING_FORMAT=MLN","Sort=A","Dates=H","DateFormat=P","Fill=—","Direction=H","UseDPDF=Y")</f>
        <v>269</v>
      </c>
      <c r="AB72" s="13" cm="1">
        <f t="array" ref="AB72">_xll.BDH("CMI US Equity","IS_DEPR_EXP","FQ2 2025","FQ2 2025","Currency=USD","Period=FQ","BEST_FPERIOD_OVERRIDE=FQ","FILING_STATUS=MR","SCALING_FORMAT=MLN","Sort=A","Dates=H","DateFormat=P","Fill=—","Direction=H","UseDPDF=Y")</f>
        <v>246</v>
      </c>
      <c r="AC72" s="13" cm="1">
        <f t="array" ref="AC72">_xll.BDH("CMI US Equity","IS_DEPR_EXP","FQ3 2025","FQ3 2025","Currency=USD","Period=FQ","BEST_FPERIOD_OVERRIDE=FQ","FILING_STATUS=MR","SCALING_FORMAT=MLN","Sort=A","Dates=H","DateFormat=P","Fill=—","Direction=H","UseDPDF=Y")</f>
        <v>243</v>
      </c>
      <c r="AD72" s="13" cm="1">
        <f t="array" ref="AD72">_xll.BDH("CMI US Equity","IS_DEPR_EXP","FQ4 2025","FQ4 2025","Currency=USD","Period=FQ","BEST_FPERIOD_OVERRIDE=FQ","FILING_STATUS=MR","SCALING_FORMAT=MLN","Sort=A","Dates=H","DateFormat=P","Fill=—","Direction=H","UseDPDF=Y")</f>
        <v>44</v>
      </c>
      <c r="AE72" s="13"/>
      <c r="AF72" s="13"/>
    </row>
    <row r="73" spans="1:32" x14ac:dyDescent="0.25">
      <c r="A73" s="10" t="s">
        <v>184</v>
      </c>
      <c r="B73" s="10" t="s">
        <v>185</v>
      </c>
      <c r="C73" s="13" cm="1">
        <f t="array" ref="C73">_xll.BDH("CMI US Equity","BS_CURR_RENTAL_EXPENSE","FQ1 2019","FQ1 2019","Currency=USD","Period=FQ","BEST_FPERIOD_OVERRIDE=FQ","FILING_STATUS=MR","SCALING_FORMAT=MLN","Sort=A","Dates=H","DateFormat=P","Fill=—","Direction=H","UseDPDF=Y")</f>
        <v>52</v>
      </c>
      <c r="D73" s="13" cm="1">
        <f t="array" ref="D73">_xll.BDH("CMI US Equity","BS_CURR_RENTAL_EXPENSE","FQ2 2019","FQ2 2019","Currency=USD","Period=FQ","BEST_FPERIOD_OVERRIDE=FQ","FILING_STATUS=MR","SCALING_FORMAT=MLN","Sort=A","Dates=H","DateFormat=P","Fill=—","Direction=H","UseDPDF=Y")</f>
        <v>56</v>
      </c>
      <c r="E73" s="13" cm="1">
        <f t="array" ref="E73">_xll.BDH("CMI US Equity","BS_CURR_RENTAL_EXPENSE","FQ3 2019","FQ3 2019","Currency=USD","Period=FQ","BEST_FPERIOD_OVERRIDE=FQ","FILING_STATUS=MR","SCALING_FORMAT=MLN","Sort=A","Dates=H","DateFormat=P","Fill=—","Direction=H","UseDPDF=Y")</f>
        <v>55</v>
      </c>
      <c r="F73" s="13" t="str" cm="1">
        <f t="array" ref="F73">_xll.BDH("CMI US Equity","BS_CURR_RENTAL_EXPENSE","FQ4 2019","FQ4 2019","Currency=USD","Period=FQ","BEST_FPERIOD_OVERRIDE=FQ","FILING_STATUS=MR","SCALING_FORMAT=MLN","Sort=A","Dates=H","DateFormat=P","Fill=—","Direction=H","UseDPDF=Y")</f>
        <v>—</v>
      </c>
      <c r="G73" s="13" t="str" cm="1">
        <f t="array" ref="G73">_xll.BDH("CMI US Equity","BS_CURR_RENTAL_EXPENSE","FQ1 2020","FQ1 2020","Currency=USD","Period=FQ","BEST_FPERIOD_OVERRIDE=FQ","FILING_STATUS=MR","SCALING_FORMAT=MLN","Sort=A","Dates=H","DateFormat=P","Fill=—","Direction=H","UseDPDF=Y")</f>
        <v>—</v>
      </c>
      <c r="H73" s="13" t="str" cm="1">
        <f t="array" ref="H73">_xll.BDH("CMI US Equity","BS_CURR_RENTAL_EXPENSE","FQ2 2020","FQ2 2020","Currency=USD","Period=FQ","BEST_FPERIOD_OVERRIDE=FQ","FILING_STATUS=MR","SCALING_FORMAT=MLN","Sort=A","Dates=H","DateFormat=P","Fill=—","Direction=H","UseDPDF=Y")</f>
        <v>—</v>
      </c>
      <c r="I73" s="13" t="str" cm="1">
        <f t="array" ref="I73">_xll.BDH("CMI US Equity","BS_CURR_RENTAL_EXPENSE","FQ3 2020","FQ3 2020","Currency=USD","Period=FQ","BEST_FPERIOD_OVERRIDE=FQ","FILING_STATUS=MR","SCALING_FORMAT=MLN","Sort=A","Dates=H","DateFormat=P","Fill=—","Direction=H","UseDPDF=Y")</f>
        <v>—</v>
      </c>
      <c r="J73" s="13" t="str" cm="1">
        <f t="array" ref="J73">_xll.BDH("CMI US Equity","BS_CURR_RENTAL_EXPENSE","FQ4 2020","FQ4 2020","Currency=USD","Period=FQ","BEST_FPERIOD_OVERRIDE=FQ","FILING_STATUS=MR","SCALING_FORMAT=MLN","Sort=A","Dates=H","DateFormat=P","Fill=—","Direction=H","UseDPDF=Y")</f>
        <v>—</v>
      </c>
      <c r="K73" s="13" t="str" cm="1">
        <f t="array" ref="K73">_xll.BDH("CMI US Equity","BS_CURR_RENTAL_EXPENSE","FQ1 2021","FQ1 2021","Currency=USD","Period=FQ","BEST_FPERIOD_OVERRIDE=FQ","FILING_STATUS=MR","SCALING_FORMAT=MLN","Sort=A","Dates=H","DateFormat=P","Fill=—","Direction=H","UseDPDF=Y")</f>
        <v>—</v>
      </c>
      <c r="L73" s="13" t="str" cm="1">
        <f t="array" ref="L73">_xll.BDH("CMI US Equity","BS_CURR_RENTAL_EXPENSE","FQ2 2021","FQ2 2021","Currency=USD","Period=FQ","BEST_FPERIOD_OVERRIDE=FQ","FILING_STATUS=MR","SCALING_FORMAT=MLN","Sort=A","Dates=H","DateFormat=P","Fill=—","Direction=H","UseDPDF=Y")</f>
        <v>—</v>
      </c>
      <c r="M73" s="13" t="str" cm="1">
        <f t="array" ref="M73">_xll.BDH("CMI US Equity","BS_CURR_RENTAL_EXPENSE","FQ3 2021","FQ3 2021","Currency=USD","Period=FQ","BEST_FPERIOD_OVERRIDE=FQ","FILING_STATUS=MR","SCALING_FORMAT=MLN","Sort=A","Dates=H","DateFormat=P","Fill=—","Direction=H","UseDPDF=Y")</f>
        <v>—</v>
      </c>
      <c r="N73" s="13" t="str" cm="1">
        <f t="array" ref="N73">_xll.BDH("CMI US Equity","BS_CURR_RENTAL_EXPENSE","FQ4 2021","FQ4 2021","Currency=USD","Period=FQ","BEST_FPERIOD_OVERRIDE=FQ","FILING_STATUS=MR","SCALING_FORMAT=MLN","Sort=A","Dates=H","DateFormat=P","Fill=—","Direction=H","UseDPDF=Y")</f>
        <v>—</v>
      </c>
      <c r="O73" s="13" t="str" cm="1">
        <f t="array" ref="O73">_xll.BDH("CMI US Equity","BS_CURR_RENTAL_EXPENSE","FQ1 2022","FQ1 2022","Currency=USD","Period=FQ","BEST_FPERIOD_OVERRIDE=FQ","FILING_STATUS=MR","SCALING_FORMAT=MLN","Sort=A","Dates=H","DateFormat=P","Fill=—","Direction=H","UseDPDF=Y")</f>
        <v>—</v>
      </c>
      <c r="P73" s="13" t="str" cm="1">
        <f t="array" ref="P73">_xll.BDH("CMI US Equity","BS_CURR_RENTAL_EXPENSE","FQ2 2022","FQ2 2022","Currency=USD","Period=FQ","BEST_FPERIOD_OVERRIDE=FQ","FILING_STATUS=MR","SCALING_FORMAT=MLN","Sort=A","Dates=H","DateFormat=P","Fill=—","Direction=H","UseDPDF=Y")</f>
        <v>—</v>
      </c>
      <c r="Q73" s="13" t="str" cm="1">
        <f t="array" ref="Q73">_xll.BDH("CMI US Equity","BS_CURR_RENTAL_EXPENSE","FQ3 2022","FQ3 2022","Currency=USD","Period=FQ","BEST_FPERIOD_OVERRIDE=FQ","FILING_STATUS=MR","SCALING_FORMAT=MLN","Sort=A","Dates=H","DateFormat=P","Fill=—","Direction=H","UseDPDF=Y")</f>
        <v>—</v>
      </c>
      <c r="R73" s="13" t="str" cm="1">
        <f t="array" ref="R73">_xll.BDH("CMI US Equity","BS_CURR_RENTAL_EXPENSE","FQ4 2022","FQ4 2022","Currency=USD","Period=FQ","BEST_FPERIOD_OVERRIDE=FQ","FILING_STATUS=MR","SCALING_FORMAT=MLN","Sort=A","Dates=H","DateFormat=P","Fill=—","Direction=H","UseDPDF=Y")</f>
        <v>—</v>
      </c>
      <c r="S73" s="13" t="str" cm="1">
        <f t="array" ref="S73">_xll.BDH("CMI US Equity","BS_CURR_RENTAL_EXPENSE","FQ1 2023","FQ1 2023","Currency=USD","Period=FQ","BEST_FPERIOD_OVERRIDE=FQ","FILING_STATUS=MR","SCALING_FORMAT=MLN","Sort=A","Dates=H","DateFormat=P","Fill=—","Direction=H","UseDPDF=Y")</f>
        <v>—</v>
      </c>
      <c r="T73" s="13" t="str" cm="1">
        <f t="array" ref="T73">_xll.BDH("CMI US Equity","BS_CURR_RENTAL_EXPENSE","FQ2 2023","FQ2 2023","Currency=USD","Period=FQ","BEST_FPERIOD_OVERRIDE=FQ","FILING_STATUS=MR","SCALING_FORMAT=MLN","Sort=A","Dates=H","DateFormat=P","Fill=—","Direction=H","UseDPDF=Y")</f>
        <v>—</v>
      </c>
      <c r="U73" s="13" t="str" cm="1">
        <f t="array" ref="U73">_xll.BDH("CMI US Equity","BS_CURR_RENTAL_EXPENSE","FQ3 2023","FQ3 2023","Currency=USD","Period=FQ","BEST_FPERIOD_OVERRIDE=FQ","FILING_STATUS=MR","SCALING_FORMAT=MLN","Sort=A","Dates=H","DateFormat=P","Fill=—","Direction=H","UseDPDF=Y")</f>
        <v>—</v>
      </c>
      <c r="V73" s="13" t="str" cm="1">
        <f t="array" ref="V73">_xll.BDH("CMI US Equity","BS_CURR_RENTAL_EXPENSE","FQ4 2023","FQ4 2023","Currency=USD","Period=FQ","BEST_FPERIOD_OVERRIDE=FQ","FILING_STATUS=MR","SCALING_FORMAT=MLN","Sort=A","Dates=H","DateFormat=P","Fill=—","Direction=H","UseDPDF=Y")</f>
        <v>—</v>
      </c>
      <c r="W73" s="13" t="str" cm="1">
        <f t="array" ref="W73">_xll.BDH("CMI US Equity","BS_CURR_RENTAL_EXPENSE","FQ1 2024","FQ1 2024","Currency=USD","Period=FQ","BEST_FPERIOD_OVERRIDE=FQ","FILING_STATUS=MR","SCALING_FORMAT=MLN","Sort=A","Dates=H","DateFormat=P","Fill=—","Direction=H","UseDPDF=Y")</f>
        <v>—</v>
      </c>
      <c r="X73" s="13" t="str" cm="1">
        <f t="array" ref="X73">_xll.BDH("CMI US Equity","BS_CURR_RENTAL_EXPENSE","FQ2 2024","FQ2 2024","Currency=USD","Period=FQ","BEST_FPERIOD_OVERRIDE=FQ","FILING_STATUS=MR","SCALING_FORMAT=MLN","Sort=A","Dates=H","DateFormat=P","Fill=—","Direction=H","UseDPDF=Y")</f>
        <v>—</v>
      </c>
      <c r="Y73" s="13" t="str" cm="1">
        <f t="array" ref="Y73">_xll.BDH("CMI US Equity","BS_CURR_RENTAL_EXPENSE","FQ3 2024","FQ3 2024","Currency=USD","Period=FQ","BEST_FPERIOD_OVERRIDE=FQ","FILING_STATUS=MR","SCALING_FORMAT=MLN","Sort=A","Dates=H","DateFormat=P","Fill=—","Direction=H","UseDPDF=Y")</f>
        <v>—</v>
      </c>
      <c r="Z73" s="13" t="str" cm="1">
        <f t="array" ref="Z73">_xll.BDH("CMI US Equity","BS_CURR_RENTAL_EXPENSE","FQ4 2024","FQ4 2024","Currency=USD","Period=FQ","BEST_FPERIOD_OVERRIDE=FQ","FILING_STATUS=MR","SCALING_FORMAT=MLN","Sort=A","Dates=H","DateFormat=P","Fill=—","Direction=H","UseDPDF=Y")</f>
        <v>—</v>
      </c>
      <c r="AA73" s="13" t="str" cm="1">
        <f t="array" ref="AA73">_xll.BDH("CMI US Equity","BS_CURR_RENTAL_EXPENSE","FQ1 2025","FQ1 2025","Currency=USD","Period=FQ","BEST_FPERIOD_OVERRIDE=FQ","FILING_STATUS=MR","SCALING_FORMAT=MLN","Sort=A","Dates=H","DateFormat=P","Fill=—","Direction=H","UseDPDF=Y")</f>
        <v>—</v>
      </c>
      <c r="AB73" s="13" t="str" cm="1">
        <f t="array" ref="AB73">_xll.BDH("CMI US Equity","BS_CURR_RENTAL_EXPENSE","FQ2 2025","FQ2 2025","Currency=USD","Period=FQ","BEST_FPERIOD_OVERRIDE=FQ","FILING_STATUS=MR","SCALING_FORMAT=MLN","Sort=A","Dates=H","DateFormat=P","Fill=—","Direction=H","UseDPDF=Y")</f>
        <v>—</v>
      </c>
      <c r="AC73" s="13" t="str" cm="1">
        <f t="array" ref="AC73">_xll.BDH("CMI US Equity","BS_CURR_RENTAL_EXPENSE","FQ3 2025","FQ3 2025","Currency=USD","Period=FQ","BEST_FPERIOD_OVERRIDE=FQ","FILING_STATUS=MR","SCALING_FORMAT=MLN","Sort=A","Dates=H","DateFormat=P","Fill=—","Direction=H","UseDPDF=Y")</f>
        <v>—</v>
      </c>
      <c r="AD73" s="13" t="str" cm="1">
        <f t="array" ref="AD73">_xll.BDH("CMI US Equity","BS_CURR_RENTAL_EXPENSE","FQ4 2025","FQ4 2025","Currency=USD","Period=FQ","BEST_FPERIOD_OVERRIDE=FQ","FILING_STATUS=MR","SCALING_FORMAT=MLN","Sort=A","Dates=H","DateFormat=P","Fill=—","Direction=H","UseDPDF=Y")</f>
        <v>—</v>
      </c>
      <c r="AE73" s="13"/>
      <c r="AF73" s="13"/>
    </row>
    <row r="74" spans="1:32" x14ac:dyDescent="0.25">
      <c r="A74" s="7" t="s">
        <v>186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2026-02-19T01:52:09Z</dcterms:modified>
</cp:coreProperties>
</file>