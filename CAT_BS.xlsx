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DC2D816D-0A9E-4AE4-865D-9CBA5CFCA1F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2" l="1" a="1"/>
  <c r="E23" i="2" a="1"/>
  <c r="E35" i="2" a="1"/>
  <c r="E25" i="2" a="1"/>
  <c r="E20" i="2" a="1"/>
  <c r="E8" i="2" a="1"/>
  <c r="E30" i="2" a="1"/>
  <c r="E10" i="2" a="1"/>
  <c r="E24" i="2" a="1"/>
  <c r="E14" i="2" a="1"/>
  <c r="E18" i="2" a="1"/>
  <c r="E39" i="2" a="1"/>
  <c r="E29" i="2" a="1"/>
  <c r="E22" i="2" a="1"/>
  <c r="E28" i="2" a="1"/>
  <c r="E41" i="2" a="1"/>
  <c r="E31" i="2" a="1"/>
  <c r="E38" i="2" a="1"/>
  <c r="E26" i="2" a="1"/>
  <c r="E33" i="2" a="1"/>
  <c r="E16" i="2" a="1"/>
  <c r="E27" i="2" a="1"/>
  <c r="AF39" i="2" a="1"/>
  <c r="AF26" i="2" a="1"/>
  <c r="Z28" i="2" a="1"/>
  <c r="N9" i="2" a="1"/>
  <c r="X69" i="2" a="1"/>
  <c r="X16" i="2" a="1"/>
  <c r="H30" i="2" a="1"/>
  <c r="T31" i="2" a="1"/>
  <c r="AA16" i="2" a="1"/>
  <c r="AA7" i="2" a="1"/>
  <c r="Y28" i="2" a="1"/>
  <c r="AE8" i="2" a="1"/>
  <c r="O11" i="2" a="1"/>
  <c r="O41" i="2" a="1"/>
  <c r="H34" i="2" a="1"/>
  <c r="H26" i="2" a="1"/>
  <c r="H13" i="2" a="1"/>
  <c r="M22" i="2" a="1"/>
  <c r="M18" i="2" a="1"/>
  <c r="AD66" i="2" a="1"/>
  <c r="F19" i="2" a="1"/>
  <c r="AF29" i="2" a="1"/>
  <c r="Z34" i="2" a="1"/>
  <c r="X10" i="2" a="1"/>
  <c r="H25" i="2" a="1"/>
  <c r="AA11" i="2" a="1"/>
  <c r="Y12" i="2" a="1"/>
  <c r="O9" i="2" a="1"/>
  <c r="O18" i="2" a="1"/>
  <c r="H28" i="2" a="1"/>
  <c r="M30" i="2" a="1"/>
  <c r="Z26" i="2" a="1"/>
  <c r="X12" i="2" a="1"/>
  <c r="H12" i="2" a="1"/>
  <c r="Y7" i="2" a="1"/>
  <c r="Y16" i="2" a="1"/>
  <c r="H21" i="2" a="1"/>
  <c r="M14" i="2" a="1"/>
  <c r="AD50" i="2" a="1"/>
  <c r="AF27" i="2" a="1"/>
  <c r="T17" i="2" a="1"/>
  <c r="AE31" i="2" a="1"/>
  <c r="H20" i="2" a="1"/>
  <c r="F15" i="2" a="1"/>
  <c r="T38" i="2" a="1"/>
  <c r="H19" i="2" a="1"/>
  <c r="N33" i="2" a="1"/>
  <c r="Y38" i="2" a="1"/>
  <c r="H35" i="2" a="1"/>
  <c r="N11" i="2" a="1"/>
  <c r="AA20" i="2" a="1"/>
  <c r="H8" i="2" a="1"/>
  <c r="Z7" i="2" a="1"/>
  <c r="AA14" i="2" a="1"/>
  <c r="H15" i="2" a="1"/>
  <c r="AA18" i="2" a="1"/>
  <c r="H39" i="2" a="1"/>
  <c r="F9" i="2" a="1"/>
  <c r="AF8" i="2" a="1"/>
  <c r="H27" i="2" a="1"/>
  <c r="O20" i="2" a="1"/>
  <c r="H32" i="2" a="1"/>
  <c r="Z23" i="2" a="1"/>
  <c r="Y30" i="2" a="1"/>
  <c r="M8" i="2" a="1"/>
  <c r="Y10" i="2" a="1"/>
  <c r="F72" i="2" a="1"/>
  <c r="N38" i="2" a="1"/>
  <c r="AE15" i="2" a="1"/>
  <c r="F62" i="2" a="1"/>
  <c r="X47" i="2" a="1"/>
  <c r="H29" i="2" a="1"/>
  <c r="AD70" i="2" a="1"/>
  <c r="O8" i="2" a="1"/>
  <c r="H24" i="2" a="1"/>
  <c r="X67" i="2" a="1"/>
  <c r="AE23" i="2" a="1"/>
  <c r="AD7" i="2" a="1"/>
  <c r="AF34" i="2" a="1"/>
  <c r="H9" i="2" a="1"/>
  <c r="H23" i="2" a="1"/>
  <c r="O16" i="2" a="1"/>
  <c r="AD54" i="2" a="1"/>
  <c r="M24" i="2" a="1"/>
  <c r="H33" i="2" a="1"/>
  <c r="H31" i="2" a="1"/>
  <c r="M9" i="2" a="1"/>
  <c r="N28" i="2" a="1"/>
  <c r="AE19" i="2" a="1"/>
  <c r="T13" i="2" a="1"/>
  <c r="O7" i="2" a="1"/>
  <c r="AF9" i="2" a="1"/>
  <c r="Z9" i="2" a="1"/>
  <c r="N25" i="2" a="1"/>
  <c r="X20" i="2" a="1"/>
  <c r="H7" i="2" a="1"/>
  <c r="AE9" i="2" a="1"/>
  <c r="T28" i="2" a="1"/>
  <c r="H10" i="2" a="1"/>
  <c r="F50" i="2" a="1"/>
  <c r="AF11" i="2" a="1"/>
  <c r="N14" i="2" a="1"/>
  <c r="X59" i="2" a="1"/>
  <c r="T7" i="2" a="1"/>
  <c r="AA12" i="2" a="1"/>
  <c r="AE33" i="2" a="1"/>
  <c r="H17" i="2" a="1"/>
  <c r="M7" i="2" a="1"/>
  <c r="AD58" i="2" a="1"/>
  <c r="F58" i="2" a="1"/>
  <c r="Z31" i="2" a="1"/>
  <c r="T29" i="2" a="1"/>
  <c r="AE7" i="2" a="1"/>
  <c r="H18" i="2" a="1"/>
  <c r="AD15" i="2" a="1"/>
  <c r="F7" i="2" a="1"/>
  <c r="N34" i="2" a="1"/>
  <c r="H40" i="2" a="1"/>
  <c r="Y20" i="2" a="1"/>
  <c r="H38" i="2" a="1"/>
  <c r="T23" i="2" a="1"/>
  <c r="H11" i="2" a="1"/>
  <c r="AD19" i="2" a="1"/>
  <c r="Z8" i="2" a="1"/>
  <c r="AA8" i="2" a="1"/>
  <c r="H16" i="2" a="1"/>
  <c r="L20" i="2" a="1"/>
  <c r="L14" i="2" a="1"/>
  <c r="C22" i="2" a="1"/>
  <c r="R52" i="2" a="1"/>
  <c r="S21" i="2" a="1"/>
  <c r="S33" i="2" a="1"/>
  <c r="G15" i="2" a="1"/>
  <c r="AB14" i="2" a="1"/>
  <c r="U13" i="2" a="1"/>
  <c r="U19" i="2" a="1"/>
  <c r="T35" i="2" a="1"/>
  <c r="T10" i="2" a="1"/>
  <c r="T33" i="2" a="1"/>
  <c r="O57" i="2" a="1"/>
  <c r="O15" i="2" a="1"/>
  <c r="O31" i="2" a="1"/>
  <c r="O45" i="2" a="1"/>
  <c r="Z13" i="2" a="1"/>
  <c r="Z33" i="2" a="1"/>
  <c r="Z21" i="2" a="1"/>
  <c r="Z22" i="2" a="1"/>
  <c r="I12" i="2" a="1"/>
  <c r="AF13" i="2" a="1"/>
  <c r="AF38" i="2" a="1"/>
  <c r="AF7" i="2" a="1"/>
  <c r="AF21" i="2" a="1"/>
  <c r="D14" i="2" a="1"/>
  <c r="I38" i="2" a="1"/>
  <c r="I72" i="2" a="1"/>
  <c r="I21" i="2" a="1"/>
  <c r="I16" i="2" a="1"/>
  <c r="J13" i="2" a="1"/>
  <c r="P7" i="2" a="1"/>
  <c r="V15" i="2" a="1"/>
  <c r="V11" i="2" a="1"/>
  <c r="N29" i="2" a="1"/>
  <c r="N17" i="2" a="1"/>
  <c r="N8" i="2" a="1"/>
  <c r="C7" i="2" a="1"/>
  <c r="C25" i="2" a="1"/>
  <c r="C21" i="2" a="1"/>
  <c r="C13" i="2" a="1"/>
  <c r="U28" i="2" a="1"/>
  <c r="U12" i="2" a="1"/>
  <c r="U48" i="2" a="1"/>
  <c r="U32" i="2" a="1"/>
  <c r="R44" i="2" a="1"/>
  <c r="R29" i="2" a="1"/>
  <c r="R61" i="2" a="1"/>
  <c r="AA51" i="2" a="1"/>
  <c r="AA13" i="2" a="1"/>
  <c r="AA31" i="2" a="1"/>
  <c r="AA10" i="2" a="1"/>
  <c r="F47" i="2" a="1"/>
  <c r="F66" i="2" a="1"/>
  <c r="F33" i="2" a="1"/>
  <c r="F11" i="2" a="1"/>
  <c r="AD29" i="2" a="1"/>
  <c r="AD47" i="2" a="1"/>
  <c r="AD31" i="2" a="1"/>
  <c r="AC17" i="2" a="1"/>
  <c r="AC11" i="2" a="1"/>
  <c r="E17" i="2" a="1"/>
  <c r="W10" i="2" a="1"/>
  <c r="S7" i="2" a="1"/>
  <c r="S9" i="2" a="1"/>
  <c r="S39" i="2" a="1"/>
  <c r="X34" i="2" a="1"/>
  <c r="S68" i="2" a="1"/>
  <c r="X38" i="2" a="1"/>
  <c r="X60" i="2" a="1"/>
  <c r="X51" i="2" a="1"/>
  <c r="L38" i="2" a="1"/>
  <c r="L16" i="2" a="1"/>
  <c r="L62" i="2" a="1"/>
  <c r="M28" i="2" a="1"/>
  <c r="M34" i="2" a="1"/>
  <c r="M32" i="2" a="1"/>
  <c r="M20" i="2" a="1"/>
  <c r="Q21" i="2" a="1"/>
  <c r="K8" i="2" a="1"/>
  <c r="K16" i="2" a="1"/>
  <c r="L45" i="2" a="1"/>
  <c r="L18" i="2" a="1"/>
  <c r="C12" i="2" a="1"/>
  <c r="R68" i="2" a="1"/>
  <c r="S15" i="2" a="1"/>
  <c r="S11" i="2" a="1"/>
  <c r="G11" i="2" a="1"/>
  <c r="AB8" i="2" a="1"/>
  <c r="L57" i="2" a="1"/>
  <c r="C20" i="2" a="1"/>
  <c r="C8" i="2" a="1"/>
  <c r="R13" i="2" a="1"/>
  <c r="S27" i="2" a="1"/>
  <c r="G27" i="2" a="1"/>
  <c r="G13" i="2" a="1"/>
  <c r="AB10" i="2" a="1"/>
  <c r="U8" i="2" a="1"/>
  <c r="T25" i="2" a="1"/>
  <c r="T15" i="2" a="1"/>
  <c r="T22" i="2" a="1"/>
  <c r="T30" i="2" a="1"/>
  <c r="O39" i="2" a="1"/>
  <c r="L22" i="2" a="1"/>
  <c r="C9" i="2" a="1"/>
  <c r="R21" i="2" a="1"/>
  <c r="R9" i="2" a="1"/>
  <c r="S13" i="2" a="1"/>
  <c r="G39" i="2" a="1"/>
  <c r="G19" i="2" a="1"/>
  <c r="AB20" i="2" a="1"/>
  <c r="U21" i="2" a="1"/>
  <c r="T11" i="2" a="1"/>
  <c r="T8" i="2" a="1"/>
  <c r="T21" i="2" a="1"/>
  <c r="T26" i="2" a="1"/>
  <c r="O19" i="2" a="1"/>
  <c r="O12" i="2" a="1"/>
  <c r="O61" i="2" a="1"/>
  <c r="O13" i="2" a="1"/>
  <c r="Z17" i="2" a="1"/>
  <c r="Z10" i="2" a="1"/>
  <c r="Z18" i="2" a="1"/>
  <c r="I7" i="2" a="1"/>
  <c r="I15" i="2" a="1"/>
  <c r="AF19" i="2" a="1"/>
  <c r="AF20" i="2" a="1"/>
  <c r="AF23" i="2" a="1"/>
  <c r="L49" i="2" a="1"/>
  <c r="L8" i="2" a="1"/>
  <c r="C10" i="2" a="1"/>
  <c r="U11" i="2" a="1"/>
  <c r="T24" i="2" a="1"/>
  <c r="T34" i="2" a="1"/>
  <c r="O17" i="2" a="1"/>
  <c r="Z30" i="2" a="1"/>
  <c r="Z35" i="2" a="1"/>
  <c r="I13" i="2" a="1"/>
  <c r="AF10" i="2" a="1"/>
  <c r="AF32" i="2" a="1"/>
  <c r="J21" i="2" a="1"/>
  <c r="P14" i="2" a="1"/>
  <c r="V13" i="2" a="1"/>
  <c r="N30" i="2" a="1"/>
  <c r="N18" i="2" a="1"/>
  <c r="L46" i="2" a="1"/>
  <c r="L65" i="2" a="1"/>
  <c r="M16" i="2" a="1"/>
  <c r="Q7" i="2" a="1"/>
  <c r="G25" i="2" a="1"/>
  <c r="AE39" i="2" a="1"/>
  <c r="AE51" i="2" a="1"/>
  <c r="AE58" i="2" a="1"/>
  <c r="AE17" i="2" a="1"/>
  <c r="Y26" i="2" a="1"/>
  <c r="Y51" i="2" a="1"/>
  <c r="Y59" i="2" a="1"/>
  <c r="Y47" i="2" a="1"/>
  <c r="U25" i="2" a="1"/>
  <c r="U39" i="2" a="1"/>
  <c r="U49" i="2" a="1"/>
  <c r="D21" i="2" a="1"/>
  <c r="D33" i="2" a="1"/>
  <c r="D35" i="2" a="1"/>
  <c r="D38" i="2" a="1"/>
  <c r="O50" i="2" a="1"/>
  <c r="O38" i="2" a="1"/>
  <c r="O58" i="2" a="1"/>
  <c r="O65" i="2" a="1"/>
  <c r="J22" i="2" a="1"/>
  <c r="J12" i="2" a="1"/>
  <c r="J31" i="2" a="1"/>
  <c r="V7" i="2" a="1"/>
  <c r="V38" i="2" a="1"/>
  <c r="C16" i="2" a="1"/>
  <c r="G42" i="2" a="1"/>
  <c r="O27" i="2" a="1"/>
  <c r="O29" i="2" a="1"/>
  <c r="Z15" i="2" a="1"/>
  <c r="Z32" i="2" a="1"/>
  <c r="I9" i="2" a="1"/>
  <c r="AF12" i="2" a="1"/>
  <c r="D8" i="2" a="1"/>
  <c r="I40" i="2" a="1"/>
  <c r="I11" i="2" a="1"/>
  <c r="J17" i="2" a="1"/>
  <c r="P10" i="2" a="1"/>
  <c r="N19" i="2" a="1"/>
  <c r="C51" i="2" a="1"/>
  <c r="C29" i="2" a="1"/>
  <c r="U14" i="2" a="1"/>
  <c r="U52" i="2" a="1"/>
  <c r="U24" i="2" a="1"/>
  <c r="R57" i="2" a="1"/>
  <c r="R41" i="2" a="1"/>
  <c r="AA15" i="2" a="1"/>
  <c r="AA47" i="2" a="1"/>
  <c r="F55" i="2" a="1"/>
  <c r="F54" i="2" a="1"/>
  <c r="F21" i="2" a="1"/>
  <c r="AD46" i="2" a="1"/>
  <c r="C11" i="2" a="1"/>
  <c r="U10" i="2" a="1"/>
  <c r="T14" i="2" a="1"/>
  <c r="D20" i="2" a="1"/>
  <c r="I46" i="2" a="1"/>
  <c r="P8" i="2" a="1"/>
  <c r="V21" i="2" a="1"/>
  <c r="N27" i="2" a="1"/>
  <c r="N32" i="2" a="1"/>
  <c r="C55" i="2" a="1"/>
  <c r="U7" i="2" a="1"/>
  <c r="R65" i="2" a="1"/>
  <c r="R31" i="2" a="1"/>
  <c r="AA9" i="2" a="1"/>
  <c r="F35" i="2" a="1"/>
  <c r="AD62" i="2" a="1"/>
  <c r="AC9" i="2" a="1"/>
  <c r="W16" i="2" a="1"/>
  <c r="X55" i="2" a="1"/>
  <c r="X64" i="2" a="1"/>
  <c r="R48" i="2" a="1"/>
  <c r="G35" i="2" a="1"/>
  <c r="T12" i="2" a="1"/>
  <c r="O14" i="2" a="1"/>
  <c r="O23" i="2" a="1"/>
  <c r="Z27" i="2" a="1"/>
  <c r="Z29" i="2" a="1"/>
  <c r="AF35" i="2" a="1"/>
  <c r="AF15" i="2" a="1"/>
  <c r="I54" i="2" a="1"/>
  <c r="I24" i="2" a="1"/>
  <c r="J19" i="2" a="1"/>
  <c r="P16" i="2" a="1"/>
  <c r="V8" i="2" a="1"/>
  <c r="C41" i="2" a="1"/>
  <c r="C43" i="2" a="1"/>
  <c r="U30" i="2" a="1"/>
  <c r="U15" i="2" a="1"/>
  <c r="R23" i="2" a="1"/>
  <c r="R60" i="2" a="1"/>
  <c r="R45" i="2" a="1"/>
  <c r="AA76" i="2" a="1"/>
  <c r="AA69" i="2" a="1"/>
  <c r="F25" i="2" a="1"/>
  <c r="F51" i="2" a="1"/>
  <c r="F29" i="2" a="1"/>
  <c r="AD39" i="2" a="1"/>
  <c r="AD76" i="2" a="1"/>
  <c r="AC15" i="2" a="1"/>
  <c r="E9" i="2" a="1"/>
  <c r="W18" i="2" a="1"/>
  <c r="S76" i="2" a="1"/>
  <c r="S56" i="2" a="1"/>
  <c r="S48" i="2" a="1"/>
  <c r="X44" i="2" a="1"/>
  <c r="X22" i="2" a="1"/>
  <c r="L40" i="2" a="1"/>
  <c r="L10" i="2" a="1"/>
  <c r="M58" i="2" a="1"/>
  <c r="M75" i="2" a="1"/>
  <c r="K14" i="2" a="1"/>
  <c r="G47" i="2" a="1"/>
  <c r="G31" i="2" a="1"/>
  <c r="U17" i="2" a="1"/>
  <c r="D7" i="2" a="1"/>
  <c r="I32" i="2" a="1"/>
  <c r="I8" i="2" a="1"/>
  <c r="N35" i="2" a="1"/>
  <c r="N31" i="2" a="1"/>
  <c r="N7" i="2" a="1"/>
  <c r="C18" i="2" a="1"/>
  <c r="L30" i="2" a="1"/>
  <c r="M50" i="2" a="1"/>
  <c r="M38" i="2" a="1"/>
  <c r="Q17" i="2" a="1"/>
  <c r="K22" i="2" a="1"/>
  <c r="G8" i="2" a="1"/>
  <c r="G50" i="2" a="1"/>
  <c r="AE27" i="2" a="1"/>
  <c r="AE35" i="2" a="1"/>
  <c r="AE43" i="2" a="1"/>
  <c r="AE66" i="2" a="1"/>
  <c r="Y32" i="2" a="1"/>
  <c r="Y67" i="2" a="1"/>
  <c r="Y73" i="2" a="1"/>
  <c r="U61" i="2" a="1"/>
  <c r="U75" i="2" a="1"/>
  <c r="U23" i="2" a="1"/>
  <c r="U33" i="2" a="1"/>
  <c r="D27" i="2" a="1"/>
  <c r="D22" i="2" a="1"/>
  <c r="D18" i="2" a="1"/>
  <c r="D39" i="2" a="1"/>
  <c r="O22" i="2" a="1"/>
  <c r="O34" i="2" a="1"/>
  <c r="O71" i="2" a="1"/>
  <c r="J39" i="2" a="1"/>
  <c r="J38" i="2" a="1"/>
  <c r="J24" i="2" a="1"/>
  <c r="J29" i="2" a="1"/>
  <c r="V26" i="2" a="1"/>
  <c r="V22" i="2" a="1"/>
  <c r="V10" i="2" a="1"/>
  <c r="V29" i="2" a="1"/>
  <c r="C68" i="2" a="1"/>
  <c r="C83" i="2" a="1"/>
  <c r="C74" i="2" a="1"/>
  <c r="U92" i="2" a="1"/>
  <c r="I51" i="2" a="1"/>
  <c r="I58" i="2" a="1"/>
  <c r="R11" i="2" a="1"/>
  <c r="AB7" i="2" a="1"/>
  <c r="U9" i="2" a="1"/>
  <c r="T9" i="2" a="1"/>
  <c r="O49" i="2" a="1"/>
  <c r="O35" i="2" a="1"/>
  <c r="Z12" i="2" a="1"/>
  <c r="Z20" i="2" a="1"/>
  <c r="AF17" i="2" a="1"/>
  <c r="AF25" i="2" a="1"/>
  <c r="I50" i="2" a="1"/>
  <c r="J7" i="2" a="1"/>
  <c r="P18" i="2" a="1"/>
  <c r="N13" i="2" a="1"/>
  <c r="N15" i="2" a="1"/>
  <c r="O10" i="2" a="1"/>
  <c r="O25" i="2" a="1"/>
  <c r="Z25" i="2" a="1"/>
  <c r="Z16" i="2" a="1"/>
  <c r="AF24" i="2" a="1"/>
  <c r="AF30" i="2" a="1"/>
  <c r="D16" i="2" a="1"/>
  <c r="I26" i="2" a="1"/>
  <c r="I30" i="2" a="1"/>
  <c r="J15" i="2" a="1"/>
  <c r="N26" i="2" a="1"/>
  <c r="N22" i="2" a="1"/>
  <c r="C19" i="2" a="1"/>
  <c r="C33" i="2" a="1"/>
  <c r="R17" i="2" a="1"/>
  <c r="AB12" i="2" a="1"/>
  <c r="T32" i="2" a="1"/>
  <c r="T40" i="2" a="1"/>
  <c r="O53" i="2" a="1"/>
  <c r="O21" i="2" a="1"/>
  <c r="Z11" i="2" a="1"/>
  <c r="I17" i="2" a="1"/>
  <c r="AF40" i="2" a="1"/>
  <c r="AF33" i="2" a="1"/>
  <c r="D9" i="2" a="1"/>
  <c r="J11" i="2" a="1"/>
  <c r="P20" i="2" a="1"/>
  <c r="N10" i="2" a="1"/>
  <c r="N12" i="2" a="1"/>
  <c r="C17" i="2" a="1"/>
  <c r="T39" i="2" a="1"/>
  <c r="D10" i="2" a="1"/>
  <c r="I22" i="2" a="1"/>
  <c r="I34" i="2" a="1"/>
  <c r="J8" i="2" a="1"/>
  <c r="V17" i="2" a="1"/>
  <c r="C35" i="2" a="1"/>
  <c r="C14" i="2" a="1"/>
  <c r="L26" i="2" a="1"/>
  <c r="S25" i="2" a="1"/>
  <c r="AB16" i="2" a="1"/>
  <c r="T18" i="2" a="1"/>
  <c r="O33" i="2" a="1"/>
  <c r="Z24" i="2" a="1"/>
  <c r="Z39" i="2" a="1"/>
  <c r="I10" i="2" a="1"/>
  <c r="AF28" i="2" a="1"/>
  <c r="AF31" i="2" a="1"/>
  <c r="D12" i="2" a="1"/>
  <c r="I14" i="2" a="1"/>
  <c r="V9" i="2" a="1"/>
  <c r="N24" i="2" a="1"/>
  <c r="N16" i="2" a="1"/>
  <c r="C59" i="2" a="1"/>
  <c r="C15" i="2" a="1"/>
  <c r="U20" i="2" a="1"/>
  <c r="U38" i="2" a="1"/>
  <c r="U56" i="2" a="1"/>
  <c r="R35" i="2" a="1"/>
  <c r="R64" i="2" a="1"/>
  <c r="AA27" i="2" a="1"/>
  <c r="AA43" i="2" a="1"/>
  <c r="AA25" i="2" a="1"/>
  <c r="F31" i="2" a="1"/>
  <c r="F41" i="2" a="1"/>
  <c r="AD11" i="2" a="1"/>
  <c r="AD23" i="2" a="1"/>
  <c r="AD51" i="2" a="1"/>
  <c r="AC13" i="2" a="1"/>
  <c r="W12" i="2" a="1"/>
  <c r="S57" i="2" a="1"/>
  <c r="S23" i="2" a="1"/>
  <c r="S61" i="2" a="1"/>
  <c r="S41" i="2" a="1"/>
  <c r="X26" i="2" a="1"/>
  <c r="L54" i="2" a="1"/>
  <c r="L28" i="2" a="1"/>
  <c r="M45" i="2" a="1"/>
  <c r="M26" i="2" a="1"/>
  <c r="Q15" i="2" a="1"/>
  <c r="G33" i="2" a="1"/>
  <c r="G17" i="2" a="1"/>
  <c r="T27" i="2" a="1"/>
  <c r="T19" i="2" a="1"/>
  <c r="I28" i="2" a="1"/>
  <c r="I75" i="2" a="1"/>
  <c r="P12" i="2" a="1"/>
  <c r="V19" i="2" a="1"/>
  <c r="N20" i="2" a="1"/>
  <c r="C39" i="2" a="1"/>
  <c r="U22" i="2" a="1"/>
  <c r="R49" i="2" a="1"/>
  <c r="AA33" i="2" a="1"/>
  <c r="AA21" i="2" a="1"/>
  <c r="F67" i="2" a="1"/>
  <c r="AD25" i="2" a="1"/>
  <c r="E13" i="2" a="1"/>
  <c r="S44" i="2" a="1"/>
  <c r="X32" i="2" a="1"/>
  <c r="X8" i="2" a="1"/>
  <c r="L24" i="2" a="1"/>
  <c r="L34" i="2" a="1"/>
  <c r="M57" i="2" a="1"/>
  <c r="M42" i="2" a="1"/>
  <c r="K10" i="2" a="1"/>
  <c r="G9" i="2" a="1"/>
  <c r="AE21" i="2" a="1"/>
  <c r="AE62" i="2" a="1"/>
  <c r="AE29" i="2" a="1"/>
  <c r="Y24" i="2" a="1"/>
  <c r="Y18" i="2" a="1"/>
  <c r="Y43" i="2" a="1"/>
  <c r="Y8" i="2" a="1"/>
  <c r="U77" i="2" a="1"/>
  <c r="U41" i="2" a="1"/>
  <c r="U57" i="2" a="1"/>
  <c r="U53" i="2" a="1"/>
  <c r="D26" i="2" a="1"/>
  <c r="D13" i="2" a="1"/>
  <c r="D19" i="2" a="1"/>
  <c r="O40" i="2" a="1"/>
  <c r="O30" i="2" a="1"/>
  <c r="O66" i="2" a="1"/>
  <c r="S17" i="2" a="1"/>
  <c r="AB18" i="2" a="1"/>
  <c r="O85" i="2" a="1"/>
  <c r="Z14" i="2" a="1"/>
  <c r="Z38" i="2" a="1"/>
  <c r="I19" i="2" a="1"/>
  <c r="AF22" i="2" a="1"/>
  <c r="AF16" i="2" a="1"/>
  <c r="I18" i="2" a="1"/>
  <c r="I42" i="2" a="1"/>
  <c r="I20" i="2" a="1"/>
  <c r="N39" i="2" a="1"/>
  <c r="N23" i="2" a="1"/>
  <c r="C27" i="2" a="1"/>
  <c r="C31" i="2" a="1"/>
  <c r="U16" i="2" a="1"/>
  <c r="U40" i="2" a="1"/>
  <c r="U34" i="2" a="1"/>
  <c r="R25" i="2" a="1"/>
  <c r="R27" i="2" a="1"/>
  <c r="AA29" i="2" a="1"/>
  <c r="AA19" i="2" a="1"/>
  <c r="AA17" i="2" a="1"/>
  <c r="F46" i="2" a="1"/>
  <c r="F59" i="2" a="1"/>
  <c r="AD63" i="2" a="1"/>
  <c r="AD42" i="2" a="1"/>
  <c r="AD59" i="2" a="1"/>
  <c r="E7" i="2" a="1"/>
  <c r="W22" i="2" a="1"/>
  <c r="S60" i="2" a="1"/>
  <c r="X18" i="2" a="1"/>
  <c r="S35" i="2" a="1"/>
  <c r="S31" i="2" a="1"/>
  <c r="X43" i="2" a="1"/>
  <c r="L32" i="2" a="1"/>
  <c r="M12" i="2" a="1"/>
  <c r="Q19" i="2" a="1"/>
  <c r="G43" i="2" a="1"/>
  <c r="G54" i="2" a="1"/>
  <c r="G46" i="2" a="1"/>
  <c r="R56" i="2" a="1"/>
  <c r="F23" i="2" a="1"/>
  <c r="AD43" i="2" a="1"/>
  <c r="W26" i="2" a="1"/>
  <c r="X48" i="2" a="1"/>
  <c r="L75" i="2" a="1"/>
  <c r="M65" i="2" a="1"/>
  <c r="K34" i="2" a="1"/>
  <c r="G23" i="2" a="1"/>
  <c r="AE11" i="2" a="1"/>
  <c r="AE50" i="2" a="1"/>
  <c r="Y34" i="2" a="1"/>
  <c r="Y9" i="2" a="1"/>
  <c r="U64" i="2" a="1"/>
  <c r="O74" i="2" a="1"/>
  <c r="J10" i="2" a="1"/>
  <c r="V33" i="2" a="1"/>
  <c r="V28" i="2" a="1"/>
  <c r="C67" i="2" a="1"/>
  <c r="I41" i="2" a="1"/>
  <c r="P25" i="2" a="1"/>
  <c r="P33" i="2" a="1"/>
  <c r="AC34" i="2" a="1"/>
  <c r="AA40" i="2" a="1"/>
  <c r="AA26" i="2" a="1"/>
  <c r="AD33" i="2" a="1"/>
  <c r="AD72" i="2" a="1"/>
  <c r="AB21" i="2" a="1"/>
  <c r="AB35" i="2" a="1"/>
  <c r="AB29" i="2" a="1"/>
  <c r="AB31" i="2" a="1"/>
  <c r="K23" i="2" a="1"/>
  <c r="K38" i="2" a="1"/>
  <c r="K11" i="2" a="1"/>
  <c r="R46" i="2" a="1"/>
  <c r="R72" i="2" a="1"/>
  <c r="R74" i="2" a="1"/>
  <c r="R47" i="2" a="1"/>
  <c r="X77" i="2" a="1"/>
  <c r="X71" i="2" a="1"/>
  <c r="X9" i="2" a="1"/>
  <c r="X61" i="2" a="1"/>
  <c r="F45" i="2" a="1"/>
  <c r="F68" i="2" a="1"/>
  <c r="F44" i="2" a="1"/>
  <c r="Q22" i="2" a="1"/>
  <c r="Q34" i="2" a="1"/>
  <c r="Q31" i="2" a="1"/>
  <c r="L44" i="2" a="1"/>
  <c r="L11" i="2" a="1"/>
  <c r="AB40" i="2" a="1"/>
  <c r="W29" i="2" a="1"/>
  <c r="W33" i="2" a="1"/>
  <c r="C23" i="2" a="1"/>
  <c r="R33" i="2" a="1"/>
  <c r="F13" i="2" a="1"/>
  <c r="AD21" i="2" a="1"/>
  <c r="W8" i="2" a="1"/>
  <c r="X56" i="2" a="1"/>
  <c r="M61" i="2" a="1"/>
  <c r="M73" i="2" a="1"/>
  <c r="D30" i="2" a="1"/>
  <c r="D28" i="2" a="1"/>
  <c r="O26" i="2" a="1"/>
  <c r="J16" i="2" a="1"/>
  <c r="J26" i="2" a="1"/>
  <c r="C24" i="2" a="1"/>
  <c r="C70" i="2" a="1"/>
  <c r="I67" i="2" a="1"/>
  <c r="I77" i="2" a="1"/>
  <c r="I33" i="2" a="1"/>
  <c r="P28" i="2" a="1"/>
  <c r="P23" i="2" a="1"/>
  <c r="AC14" i="2" a="1"/>
  <c r="AC20" i="2" a="1"/>
  <c r="AA22" i="2" a="1"/>
  <c r="AA72" i="2" a="1"/>
  <c r="AD53" i="2" a="1"/>
  <c r="AD60" i="2" a="1"/>
  <c r="F60" i="2" a="1"/>
  <c r="Q12" i="2" a="1"/>
  <c r="Q20" i="2" a="1"/>
  <c r="L77" i="2" a="1"/>
  <c r="AB42" i="2" a="1"/>
  <c r="AB50" i="2" a="1"/>
  <c r="W31" i="2" a="1"/>
  <c r="W21" i="2" a="1"/>
  <c r="AD12" i="2" a="1"/>
  <c r="C47" i="2" a="1"/>
  <c r="R53" i="2" a="1"/>
  <c r="F63" i="2" a="1"/>
  <c r="AD13" i="2" a="1"/>
  <c r="S45" i="2" a="1"/>
  <c r="L42" i="2" a="1"/>
  <c r="K12" i="2" a="1"/>
  <c r="G7" i="2" a="1"/>
  <c r="AE25" i="2" a="1"/>
  <c r="AE42" i="2" a="1"/>
  <c r="Y55" i="2" a="1"/>
  <c r="Y56" i="2" a="1"/>
  <c r="U29" i="2" a="1"/>
  <c r="U71" i="2" a="1"/>
  <c r="V34" i="2" a="1"/>
  <c r="C48" i="2" a="1"/>
  <c r="C44" i="2" a="1"/>
  <c r="I62" i="2" a="1"/>
  <c r="I66" i="2" a="1"/>
  <c r="P27" i="2" a="1"/>
  <c r="P21" i="2" a="1"/>
  <c r="AC39" i="2" a="1"/>
  <c r="AA64" i="2" a="1"/>
  <c r="AA67" i="2" a="1"/>
  <c r="AD41" i="2" a="1"/>
  <c r="AD16" i="2" a="1"/>
  <c r="AB25" i="2" a="1"/>
  <c r="AB39" i="2" a="1"/>
  <c r="AB15" i="2" a="1"/>
  <c r="K17" i="2" a="1"/>
  <c r="K19" i="2" a="1"/>
  <c r="K28" i="2" a="1"/>
  <c r="K9" i="2" a="1"/>
  <c r="R70" i="2" a="1"/>
  <c r="R67" i="2" a="1"/>
  <c r="R66" i="2" a="1"/>
  <c r="R62" i="2" a="1"/>
  <c r="X7" i="2" a="1"/>
  <c r="X58" i="2" a="1"/>
  <c r="X53" i="2" a="1"/>
  <c r="F49" i="2" a="1"/>
  <c r="F12" i="2" a="1"/>
  <c r="F57" i="2" a="1"/>
  <c r="Q35" i="2" a="1"/>
  <c r="Q24" i="2" a="1"/>
  <c r="L71" i="2" a="1"/>
  <c r="L47" i="2" a="1"/>
  <c r="AB44" i="2" a="1"/>
  <c r="AB74" i="2" a="1"/>
  <c r="W17" i="2" a="1"/>
  <c r="W38" i="2" a="1"/>
  <c r="AC33" i="2" a="1"/>
  <c r="AD57" i="2" a="1"/>
  <c r="U18" i="2" a="1"/>
  <c r="R39" i="2" a="1"/>
  <c r="F43" i="2" a="1"/>
  <c r="AD67" i="2" a="1"/>
  <c r="W14" i="2" a="1"/>
  <c r="X52" i="2" a="1"/>
  <c r="M10" i="2" a="1"/>
  <c r="G62" i="2" a="1"/>
  <c r="G29" i="2" a="1"/>
  <c r="D41" i="2" a="1"/>
  <c r="O24" i="2" a="1"/>
  <c r="O54" i="2" a="1"/>
  <c r="J27" i="2" a="1"/>
  <c r="J23" i="2" a="1"/>
  <c r="J25" i="2" a="1"/>
  <c r="V24" i="2" a="1"/>
  <c r="C60" i="2" a="1"/>
  <c r="I23" i="2" a="1"/>
  <c r="P9" i="2" a="1"/>
  <c r="P19" i="2" a="1"/>
  <c r="AC31" i="2" a="1"/>
  <c r="AA30" i="2" a="1"/>
  <c r="AC7" i="2" a="1"/>
  <c r="S49" i="2" a="1"/>
  <c r="S64" i="2" a="1"/>
  <c r="L58" i="2" a="1"/>
  <c r="Q11" i="2" a="1"/>
  <c r="G58" i="2" a="1"/>
  <c r="AE54" i="2" a="1"/>
  <c r="AE76" i="2" a="1"/>
  <c r="Y48" i="2" a="1"/>
  <c r="U46" i="2" a="1"/>
  <c r="U68" i="2" a="1"/>
  <c r="D31" i="2" a="1"/>
  <c r="J30" i="2" a="1"/>
  <c r="J18" i="2" a="1"/>
  <c r="V31" i="2" a="1"/>
  <c r="C63" i="2" a="1"/>
  <c r="C56" i="2" a="1"/>
  <c r="I43" i="2" a="1"/>
  <c r="I39" i="2" a="1"/>
  <c r="P15" i="2" a="1"/>
  <c r="P32" i="2" a="1"/>
  <c r="AC28" i="2" a="1"/>
  <c r="AA32" i="2" a="1"/>
  <c r="AA24" i="2" a="1"/>
  <c r="U60" i="2" a="1"/>
  <c r="R7" i="2" a="1"/>
  <c r="F17" i="2" a="1"/>
  <c r="AC19" i="2" a="1"/>
  <c r="S8" i="2" a="1"/>
  <c r="X30" i="2" a="1"/>
  <c r="L66" i="2" a="1"/>
  <c r="G51" i="2" a="1"/>
  <c r="Y52" i="2" a="1"/>
  <c r="O46" i="2" a="1"/>
  <c r="O28" i="2" a="1"/>
  <c r="J14" i="2" a="1"/>
  <c r="V25" i="2" a="1"/>
  <c r="V40" i="2" a="1"/>
  <c r="C32" i="2" a="1"/>
  <c r="C26" i="2" a="1"/>
  <c r="I71" i="2" a="1"/>
  <c r="P13" i="2" a="1"/>
  <c r="P29" i="2" a="1"/>
  <c r="AC29" i="2" a="1"/>
  <c r="AC30" i="2" a="1"/>
  <c r="AA56" i="2" a="1"/>
  <c r="AA59" i="2" a="1"/>
  <c r="AD61" i="2" a="1"/>
  <c r="AD35" i="2" a="1"/>
  <c r="X46" i="2" a="1"/>
  <c r="X11" i="2" a="1"/>
  <c r="F65" i="2" a="1"/>
  <c r="Q14" i="2" a="1"/>
  <c r="L9" i="2" a="1"/>
  <c r="L67" i="2" a="1"/>
  <c r="L41" i="2" a="1"/>
  <c r="AB70" i="2" a="1"/>
  <c r="AB60" i="2" a="1"/>
  <c r="W27" i="2" a="1"/>
  <c r="U73" i="2" a="1"/>
  <c r="AA63" i="2" a="1"/>
  <c r="F27" i="2" a="1"/>
  <c r="S19" i="2" a="1"/>
  <c r="M46" i="2" a="1"/>
  <c r="Q9" i="2" a="1"/>
  <c r="G59" i="2" a="1"/>
  <c r="G21" i="2" a="1"/>
  <c r="AE70" i="2" a="1"/>
  <c r="AE13" i="2" a="1"/>
  <c r="Y69" i="2" a="1"/>
  <c r="U65" i="2" a="1"/>
  <c r="D24" i="2" a="1"/>
  <c r="D23" i="2" a="1"/>
  <c r="C38" i="2" a="1"/>
  <c r="I55" i="2" a="1"/>
  <c r="I29" i="2" a="1"/>
  <c r="P38" i="2" a="1"/>
  <c r="AC26" i="2" a="1"/>
  <c r="AC23" i="2" a="1"/>
  <c r="AC25" i="2" a="1"/>
  <c r="AA60" i="2" a="1"/>
  <c r="AD64" i="2" a="1"/>
  <c r="AD49" i="2" a="1"/>
  <c r="AB28" i="2" a="1"/>
  <c r="AB11" i="2" a="1"/>
  <c r="AB33" i="2" a="1"/>
  <c r="K15" i="2" a="1"/>
  <c r="K24" i="2" a="1"/>
  <c r="K25" i="2" a="1"/>
  <c r="K30" i="2" a="1"/>
  <c r="R12" i="2" a="1"/>
  <c r="R8" i="2" a="1"/>
  <c r="R50" i="2" a="1"/>
  <c r="X54" i="2" a="1"/>
  <c r="X13" i="2" a="1"/>
  <c r="F18" i="2" a="1"/>
  <c r="F48" i="2" a="1"/>
  <c r="F39" i="2" a="1"/>
  <c r="Q32" i="2" a="1"/>
  <c r="Q27" i="2" a="1"/>
  <c r="L63" i="2" a="1"/>
  <c r="AB85" i="2" a="1"/>
  <c r="AB24" i="2" a="1"/>
  <c r="W40" i="2" a="1"/>
  <c r="W30" i="2" a="1"/>
  <c r="U44" i="2" a="1"/>
  <c r="AA23" i="2" a="1"/>
  <c r="AD9" i="2" a="1"/>
  <c r="AC21" i="2" a="1"/>
  <c r="X73" i="2" a="1"/>
  <c r="X28" i="2" a="1"/>
  <c r="L53" i="2" a="1"/>
  <c r="Q13" i="2" a="1"/>
  <c r="G72" i="2" a="1"/>
  <c r="U72" i="2" a="1"/>
  <c r="U31" i="2" a="1"/>
  <c r="O32" i="2" a="1"/>
  <c r="J20" i="2" a="1"/>
  <c r="J34" i="2" a="1"/>
  <c r="V30" i="2" a="1"/>
  <c r="U26" i="2" a="1"/>
  <c r="AA35" i="2" a="1"/>
  <c r="AD27" i="2" a="1"/>
  <c r="E15" i="2" a="1"/>
  <c r="S29" i="2" a="1"/>
  <c r="X24" i="2" a="1"/>
  <c r="M54" i="2" a="1"/>
  <c r="G55" i="2" a="1"/>
  <c r="AE46" i="2" a="1"/>
  <c r="Y14" i="2" a="1"/>
  <c r="Y63" i="2" a="1"/>
  <c r="D15" i="2" a="1"/>
  <c r="D11" i="2" a="1"/>
  <c r="O72" i="2" a="1"/>
  <c r="O83" i="2" a="1"/>
  <c r="J28" i="2" a="1"/>
  <c r="V12" i="2" a="1"/>
  <c r="R19" i="2" a="1"/>
  <c r="AA39" i="2" a="1"/>
  <c r="AD17" i="2" a="1"/>
  <c r="E11" i="2" a="1"/>
  <c r="X63" i="2" a="1"/>
  <c r="X14" i="2" a="1"/>
  <c r="M53" i="2" a="1"/>
  <c r="K20" i="2" a="1"/>
  <c r="G66" i="2" a="1"/>
  <c r="U45" i="2" a="1"/>
  <c r="U27" i="2" a="1"/>
  <c r="D25" i="2" a="1"/>
  <c r="J9" i="2" a="1"/>
  <c r="V18" i="2" a="1"/>
  <c r="V14" i="2" a="1"/>
  <c r="C28" i="2" a="1"/>
  <c r="I31" i="2" a="1"/>
  <c r="E19" i="2" a="1"/>
  <c r="L12" i="2" a="1"/>
  <c r="L61" i="2" a="1"/>
  <c r="AE74" i="2" a="1"/>
  <c r="AE59" i="2" a="1"/>
  <c r="Y44" i="2" a="1"/>
  <c r="Y22" i="2" a="1"/>
  <c r="O70" i="2" a="1"/>
  <c r="O62" i="2" a="1"/>
  <c r="V32" i="2" a="1"/>
  <c r="C52" i="2" a="1"/>
  <c r="C40" i="2" a="1"/>
  <c r="I47" i="2" a="1"/>
  <c r="I25" i="2" a="1"/>
  <c r="R15" i="2" a="1"/>
  <c r="AA85" i="2" a="1"/>
  <c r="AD55" i="2" a="1"/>
  <c r="E21" i="2" a="1"/>
  <c r="S52" i="2" a="1"/>
  <c r="L50" i="2" a="1"/>
  <c r="M49" i="2" a="1"/>
  <c r="U35" i="2" a="1"/>
  <c r="D29" i="2" a="1"/>
  <c r="D17" i="2" a="1"/>
  <c r="O42" i="2" a="1"/>
  <c r="J32" i="2" a="1"/>
  <c r="J40" i="2" a="1"/>
  <c r="V16" i="2" a="1"/>
  <c r="V23" i="2" a="1"/>
  <c r="C34" i="2" a="1"/>
  <c r="I92" i="2" a="1"/>
  <c r="I70" i="2" a="1"/>
  <c r="I63" i="2" a="1"/>
  <c r="P11" i="2" a="1"/>
  <c r="P39" i="2" a="1"/>
  <c r="AC35" i="2" a="1"/>
  <c r="AC32" i="2" a="1"/>
  <c r="AA38" i="2" a="1"/>
  <c r="AA53" i="2" a="1"/>
  <c r="AD52" i="2" a="1"/>
  <c r="AD68" i="2" a="1"/>
  <c r="Q23" i="2" a="1"/>
  <c r="L56" i="2" a="1"/>
  <c r="L13" i="2" a="1"/>
  <c r="AB64" i="2" a="1"/>
  <c r="AB56" i="2" a="1"/>
  <c r="W9" i="2" a="1"/>
  <c r="W25" i="2" a="1"/>
  <c r="V27" i="2" a="1"/>
  <c r="AA68" i="2" a="1"/>
  <c r="AD14" i="2" a="1"/>
  <c r="AD45" i="2" a="1"/>
  <c r="K21" i="2" a="1"/>
  <c r="X62" i="2" a="1"/>
  <c r="X42" i="2" a="1"/>
  <c r="F53" i="2" a="1"/>
  <c r="F8" i="2" a="1"/>
  <c r="Q10" i="2" a="1"/>
  <c r="Q33" i="2" a="1"/>
  <c r="L48" i="2" a="1"/>
  <c r="L7" i="2" a="1"/>
  <c r="AB72" i="2" a="1"/>
  <c r="AB76" i="2" a="1"/>
  <c r="W19" i="2" a="1"/>
  <c r="V20" i="2" a="1"/>
  <c r="P26" i="2" a="1"/>
  <c r="AC8" i="2" a="1"/>
  <c r="R14" i="2" a="1"/>
  <c r="AA34" i="2" a="1"/>
  <c r="AB23" i="2" a="1"/>
  <c r="X40" i="2" a="1"/>
  <c r="F64" i="2" a="1"/>
  <c r="Q28" i="2" a="1"/>
  <c r="L64" i="2" a="1"/>
  <c r="AB54" i="2" a="1"/>
  <c r="W32" i="2" a="1"/>
  <c r="P34" i="2" a="1"/>
  <c r="AB22" i="2" a="1"/>
  <c r="F52" i="2" a="1"/>
  <c r="L68" i="2" a="1"/>
  <c r="R63" i="2" a="1"/>
  <c r="W20" i="2" a="1"/>
  <c r="AD8" i="2" a="1"/>
  <c r="AB48" i="2" a="1"/>
  <c r="AB9" i="2" a="1"/>
  <c r="R59" i="2" a="1"/>
  <c r="AC16" i="2" a="1"/>
  <c r="AB19" i="2" a="1"/>
  <c r="R16" i="2" a="1"/>
  <c r="F74" i="2" a="1"/>
  <c r="AB46" i="2" a="1"/>
  <c r="W24" i="2" a="1"/>
  <c r="AB26" i="2" a="1"/>
  <c r="F76" i="2" a="1"/>
  <c r="L59" i="2" a="1"/>
  <c r="K18" i="2" a="1"/>
  <c r="AB13" i="2" a="1"/>
  <c r="F56" i="2" a="1"/>
  <c r="X50" i="2" a="1"/>
  <c r="AA48" i="2" a="1"/>
  <c r="K27" i="2" a="1"/>
  <c r="C30" i="2" a="1"/>
  <c r="AD10" i="2" a="1"/>
  <c r="K13" i="2" a="1"/>
  <c r="X57" i="2" a="1"/>
  <c r="Q18" i="2" a="1"/>
  <c r="Q26" i="2" a="1"/>
  <c r="W7" i="2" a="1"/>
  <c r="AC22" i="2" a="1"/>
  <c r="X66" i="2" a="1"/>
  <c r="L52" i="2" a="1"/>
  <c r="AC18" i="2" a="1"/>
  <c r="R58" i="2" a="1"/>
  <c r="AB58" i="2" a="1"/>
  <c r="F70" i="2" a="1"/>
  <c r="Q39" i="2" a="1"/>
  <c r="C71" i="2" a="1"/>
  <c r="P17" i="2" a="1"/>
  <c r="AC12" i="2" a="1"/>
  <c r="AA28" i="2" a="1"/>
  <c r="AB38" i="2" a="1"/>
  <c r="R10" i="2" a="1"/>
  <c r="X49" i="2" a="1"/>
  <c r="F61" i="2" a="1"/>
  <c r="L60" i="2" a="1"/>
  <c r="AB83" i="2" a="1"/>
  <c r="W15" i="2" a="1"/>
  <c r="AC10" i="2" a="1"/>
  <c r="P31" i="2" a="1"/>
  <c r="AB30" i="2" a="1"/>
  <c r="Q29" i="2" a="1"/>
  <c r="AB66" i="2" a="1"/>
  <c r="P40" i="2" a="1"/>
  <c r="R42" i="2" a="1"/>
  <c r="L51" i="2" a="1"/>
  <c r="C64" i="2" a="1"/>
  <c r="AA52" i="2" a="1"/>
  <c r="AD48" i="2" a="1"/>
  <c r="AB32" i="2" a="1"/>
  <c r="AB27" i="2" a="1"/>
  <c r="K40" i="2" a="1"/>
  <c r="R54" i="2" a="1"/>
  <c r="R51" i="2" a="1"/>
  <c r="X75" i="2" a="1"/>
  <c r="F22" i="2" a="1"/>
  <c r="Q16" i="2" a="1"/>
  <c r="L69" i="2" a="1"/>
  <c r="AB62" i="2" a="1"/>
  <c r="W34" i="2" a="1"/>
  <c r="AA44" i="2" a="1"/>
  <c r="AA55" i="2" a="1"/>
  <c r="AD44" i="2" a="1"/>
  <c r="R43" i="2" a="1"/>
  <c r="Q8" i="2" a="1"/>
  <c r="AB52" i="2" a="1"/>
  <c r="AA41" i="2" a="1"/>
  <c r="K7" i="2" a="1"/>
  <c r="X41" i="2" a="1"/>
  <c r="L55" i="2" a="1"/>
  <c r="W28" i="2" a="1"/>
  <c r="X45" i="2" a="1"/>
  <c r="I35" i="2" a="1"/>
  <c r="I27" i="2" a="1"/>
  <c r="Q30" i="2" a="1"/>
  <c r="P30" i="2" a="1"/>
  <c r="AC24" i="2" a="1"/>
  <c r="AB34" i="2" a="1"/>
  <c r="K41" i="2" a="1"/>
  <c r="R55" i="2" a="1"/>
  <c r="I59" i="2" a="1"/>
  <c r="AB17" i="2" a="1"/>
  <c r="K33" i="2" a="1"/>
  <c r="K26" i="2" a="1"/>
  <c r="P35" i="2" a="1"/>
  <c r="AD65" i="2" a="1"/>
  <c r="K31" i="2" a="1"/>
  <c r="F10" i="2" a="1"/>
  <c r="Q25" i="2" a="1"/>
  <c r="L43" i="2" a="1"/>
  <c r="W13" i="2" a="1"/>
  <c r="C69" i="2" a="1"/>
  <c r="AC27" i="2" a="1"/>
  <c r="X65" i="2" a="1"/>
  <c r="AB68" i="2" a="1"/>
  <c r="K32" i="2" a="1"/>
  <c r="W11" i="2" a="1"/>
  <c r="AD56" i="2" a="1"/>
  <c r="W23" i="2" a="1"/>
  <c r="Y61" i="2" a="1"/>
  <c r="Y58" i="2" a="1"/>
  <c r="Y60" i="2" a="1"/>
  <c r="Y54" i="2" a="1"/>
  <c r="M15" i="2" a="1"/>
  <c r="M62" i="2" a="1"/>
  <c r="M64" i="2" a="1"/>
  <c r="M52" i="2" a="1"/>
  <c r="G48" i="2" a="1"/>
  <c r="G41" i="2" a="1"/>
  <c r="G49" i="2" a="1"/>
  <c r="S63" i="2" a="1"/>
  <c r="S50" i="2" a="1"/>
  <c r="S51" i="2" a="1"/>
  <c r="S58" i="2" a="1"/>
  <c r="AE55" i="2" a="1"/>
  <c r="AE44" i="2" a="1"/>
  <c r="AE18" i="2" a="1"/>
  <c r="AE47" i="2" a="1"/>
  <c r="D60" i="2" a="1"/>
  <c r="D32" i="2" a="1"/>
  <c r="D62" i="2" a="1"/>
  <c r="P48" i="2" a="1"/>
  <c r="P52" i="2" a="1"/>
  <c r="P50" i="2" a="1"/>
  <c r="P76" i="2" a="1"/>
  <c r="J41" i="2" a="1"/>
  <c r="J67" i="2" a="1"/>
  <c r="J63" i="2" a="1"/>
  <c r="J59" i="2" a="1"/>
  <c r="V57" i="2" a="1"/>
  <c r="V84" i="2" a="1"/>
  <c r="V59" i="2" a="1"/>
  <c r="Q48" i="2" a="1"/>
  <c r="Q46" i="2" a="1"/>
  <c r="Q74" i="2" a="1"/>
  <c r="Q58" i="2" a="1"/>
  <c r="E56" i="2" a="1"/>
  <c r="E66" i="2" a="1"/>
  <c r="E58" i="2" a="1"/>
  <c r="E60" i="2" a="1"/>
  <c r="AC64" i="2" a="1"/>
  <c r="AC66" i="2" a="1"/>
  <c r="AC54" i="2" a="1"/>
  <c r="AC48" i="2" a="1"/>
  <c r="K51" i="2" a="1"/>
  <c r="K29" i="2" a="1"/>
  <c r="K71" i="2" a="1"/>
  <c r="K49" i="2" a="1"/>
  <c r="N77" i="2" a="1"/>
  <c r="N41" i="2" a="1"/>
  <c r="Y23" i="2" a="1"/>
  <c r="Y46" i="2" a="1"/>
  <c r="Y64" i="2" a="1"/>
  <c r="Y66" i="2" a="1"/>
  <c r="M63" i="2" a="1"/>
  <c r="M40" i="2" a="1"/>
  <c r="M51" i="2" a="1"/>
  <c r="M55" i="2" a="1"/>
  <c r="G45" i="2" a="1"/>
  <c r="G76" i="2" a="1"/>
  <c r="G74" i="2" a="1"/>
  <c r="S59" i="2" a="1"/>
  <c r="S70" i="2" a="1"/>
  <c r="S46" i="2" a="1"/>
  <c r="S10" i="2" a="1"/>
  <c r="AE65" i="2" a="1"/>
  <c r="AE56" i="2" a="1"/>
  <c r="AE48" i="2" a="1"/>
  <c r="AE10" i="2" a="1"/>
  <c r="D70" i="2" a="1"/>
  <c r="D48" i="2" a="1"/>
  <c r="D52" i="2" a="1"/>
  <c r="P44" i="2" a="1"/>
  <c r="P66" i="2" a="1"/>
  <c r="P22" i="2" a="1"/>
  <c r="P56" i="2" a="1"/>
  <c r="J45" i="2" a="1"/>
  <c r="J53" i="2" a="1"/>
  <c r="J61" i="2" a="1"/>
  <c r="J35" i="2" a="1"/>
  <c r="V61" i="2" a="1"/>
  <c r="V63" i="2" a="1"/>
  <c r="V73" i="2" a="1"/>
  <c r="Q68" i="2" a="1"/>
  <c r="Q52" i="2" a="1"/>
  <c r="Q56" i="2" a="1"/>
  <c r="Q50" i="2" a="1"/>
  <c r="E68" i="2" a="1"/>
  <c r="E70" i="2" a="1"/>
  <c r="E50" i="2" a="1"/>
  <c r="E34" i="2" a="1"/>
  <c r="AC58" i="2" a="1"/>
  <c r="AC74" i="2" a="1"/>
  <c r="AC44" i="2" a="1"/>
  <c r="AC76" i="2" a="1"/>
  <c r="K77" i="2" a="1"/>
  <c r="K45" i="2" a="1"/>
  <c r="K57" i="2" a="1"/>
  <c r="N84" i="2" a="1"/>
  <c r="N55" i="2" a="1"/>
  <c r="N43" i="2" a="1"/>
  <c r="N63" i="2" a="1"/>
  <c r="AF83" i="2" a="1"/>
  <c r="AF14" i="2" a="1"/>
  <c r="AF62" i="2" a="1"/>
  <c r="AF54" i="2" a="1"/>
  <c r="U62" i="2" a="1"/>
  <c r="U76" i="2" a="1"/>
  <c r="U63" i="2" a="1"/>
  <c r="O44" i="2" a="1"/>
  <c r="O76" i="2" a="1"/>
  <c r="O63" i="2" a="1"/>
  <c r="O55" i="2" a="1"/>
  <c r="W65" i="2" a="1"/>
  <c r="Y77" i="2" a="1"/>
  <c r="Y50" i="2" a="1"/>
  <c r="Y53" i="2" a="1"/>
  <c r="Y49" i="2" a="1"/>
  <c r="M71" i="2" a="1"/>
  <c r="M67" i="2" a="1"/>
  <c r="M41" i="2" a="1"/>
  <c r="G63" i="2" a="1"/>
  <c r="G60" i="2" a="1"/>
  <c r="G70" i="2" a="1"/>
  <c r="G10" i="2" a="1"/>
  <c r="S53" i="2" a="1"/>
  <c r="S74" i="2" a="1"/>
  <c r="S67" i="2" a="1"/>
  <c r="S18" i="2" a="1"/>
  <c r="AE12" i="2" a="1"/>
  <c r="AE61" i="2" a="1"/>
  <c r="AE67" i="2" a="1"/>
  <c r="D46" i="2" a="1"/>
  <c r="D50" i="2" a="1"/>
  <c r="D66" i="2" a="1"/>
  <c r="D40" i="2" a="1"/>
  <c r="P42" i="2" a="1"/>
  <c r="P85" i="2" a="1"/>
  <c r="P58" i="2" a="1"/>
  <c r="Y57" i="2" a="1"/>
  <c r="Y71" i="2" a="1"/>
  <c r="Y45" i="2" a="1"/>
  <c r="Y75" i="2" a="1"/>
  <c r="M56" i="2" a="1"/>
  <c r="M48" i="2" a="1"/>
  <c r="M66" i="2" a="1"/>
  <c r="G67" i="2" a="1"/>
  <c r="G14" i="2" a="1"/>
  <c r="G65" i="2" a="1"/>
  <c r="G68" i="2" a="1"/>
  <c r="S43" i="2" a="1"/>
  <c r="S72" i="2" a="1"/>
  <c r="S12" i="2" a="1"/>
  <c r="S47" i="2" a="1"/>
  <c r="AE41" i="2" a="1"/>
  <c r="AE63" i="2" a="1"/>
  <c r="AE45" i="2" a="1"/>
  <c r="D76" i="2" a="1"/>
  <c r="D85" i="2" a="1"/>
  <c r="D54" i="2" a="1"/>
  <c r="D58" i="2" a="1"/>
  <c r="P83" i="2" a="1"/>
  <c r="P54" i="2" a="1"/>
  <c r="P74" i="2" a="1"/>
  <c r="Y65" i="2" a="1"/>
  <c r="Y62" i="2" a="1"/>
  <c r="Y42" i="2" a="1"/>
  <c r="M68" i="2" a="1"/>
  <c r="M59" i="2" a="1"/>
  <c r="Y40" i="2" a="1"/>
  <c r="Y41" i="2" a="1"/>
  <c r="Y11" i="2" a="1"/>
  <c r="M69" i="2" a="1"/>
  <c r="M77" i="2" a="1"/>
  <c r="M44" i="2" a="1"/>
  <c r="M47" i="2" a="1"/>
  <c r="G12" i="2" a="1"/>
  <c r="G61" i="2" a="1"/>
  <c r="G52" i="2" a="1"/>
  <c r="G56" i="2" a="1"/>
  <c r="S54" i="2" a="1"/>
  <c r="S55" i="2" a="1"/>
  <c r="S65" i="2" a="1"/>
  <c r="AE57" i="2" a="1"/>
  <c r="AE64" i="2" a="1"/>
  <c r="AE72" i="2" a="1"/>
  <c r="AE68" i="2" a="1"/>
  <c r="D56" i="2" a="1"/>
  <c r="D74" i="2" a="1"/>
  <c r="D72" i="2" a="1"/>
  <c r="D42" i="2" a="1"/>
  <c r="P64" i="2" a="1"/>
  <c r="P24" i="2" a="1"/>
  <c r="P46" i="2" a="1"/>
  <c r="J69" i="2" a="1"/>
  <c r="J65" i="2" a="1"/>
  <c r="J71" i="2" a="1"/>
  <c r="J84" i="2" a="1"/>
  <c r="V47" i="2" a="1"/>
  <c r="V71" i="2" a="1"/>
  <c r="V69" i="2" a="1"/>
  <c r="V43" i="2" a="1"/>
  <c r="Q54" i="2" a="1"/>
  <c r="Q85" i="2" a="1"/>
  <c r="Q76" i="2" a="1"/>
  <c r="E42" i="2" a="1"/>
  <c r="E74" i="2" a="1"/>
  <c r="E72" i="2" a="1"/>
  <c r="E44" i="2" a="1"/>
  <c r="AC52" i="2" a="1"/>
  <c r="AC46" i="2" a="1"/>
  <c r="AC62" i="2" a="1"/>
  <c r="AC42" i="2" a="1"/>
  <c r="K65" i="2" a="1"/>
  <c r="K63" i="2" a="1"/>
  <c r="K35" i="2" a="1"/>
  <c r="K39" i="2" a="1"/>
  <c r="N57" i="2" a="1"/>
  <c r="N47" i="2" a="1"/>
  <c r="N65" i="2" a="1"/>
  <c r="AF64" i="2" a="1"/>
  <c r="AF85" i="2" a="1"/>
  <c r="AF56" i="2" a="1"/>
  <c r="AF50" i="2" a="1"/>
  <c r="U43" i="2" a="1"/>
  <c r="U67" i="2" a="1"/>
  <c r="U42" i="2" a="1"/>
  <c r="U51" i="2" a="1"/>
  <c r="O59" i="2" a="1"/>
  <c r="O48" i="2" a="1"/>
  <c r="O64" i="2" a="1"/>
  <c r="W49" i="2" a="1"/>
  <c r="W63" i="2" a="1"/>
  <c r="W75" i="2" a="1"/>
  <c r="W71" i="2" a="1"/>
  <c r="J47" i="2" a="1"/>
  <c r="V75" i="2" a="1"/>
  <c r="E46" i="2" a="1"/>
  <c r="V92" i="2" a="1"/>
  <c r="AC60" i="2" a="1"/>
  <c r="N53" i="2" a="1"/>
  <c r="AF18" i="2" a="1"/>
  <c r="AF72" i="2" a="1"/>
  <c r="U47" i="2" a="1"/>
  <c r="U69" i="2" a="1"/>
  <c r="O69" i="2" a="1"/>
  <c r="O60" i="2" a="1"/>
  <c r="W41" i="2" a="1"/>
  <c r="W35" i="2" a="1"/>
  <c r="AA84" i="2" a="1"/>
  <c r="T42" i="2" a="1"/>
  <c r="Z40" i="2" a="1"/>
  <c r="H50" i="2" a="1"/>
  <c r="H52" i="2" a="1"/>
  <c r="I83" i="2" a="1"/>
  <c r="C46" i="2" a="1"/>
  <c r="C88" i="2" a="1"/>
  <c r="C42" i="2" a="1"/>
  <c r="C72" i="2" a="1"/>
  <c r="Q89" i="2" a="1"/>
  <c r="Q81" i="2" a="1"/>
  <c r="I86" i="2" a="1"/>
  <c r="C81" i="2" a="1"/>
  <c r="C82" i="2" a="1"/>
  <c r="U82" i="2" a="1"/>
  <c r="C92" i="2" a="1"/>
  <c r="X85" i="2" a="1"/>
  <c r="X72" i="2" a="1"/>
  <c r="X23" i="2" a="1"/>
  <c r="AA82" i="2" a="1"/>
  <c r="AA87" i="2" a="1"/>
  <c r="D44" i="2" a="1"/>
  <c r="J77" i="2" a="1"/>
  <c r="K75" i="2" a="1"/>
  <c r="AA74" i="2" a="1"/>
  <c r="T66" i="2" a="1"/>
  <c r="I61" i="2" a="1"/>
  <c r="U59" i="2" a="1"/>
  <c r="O52" i="2" a="1"/>
  <c r="T16" i="2" a="1"/>
  <c r="Z75" i="2" a="1"/>
  <c r="I52" i="2" a="1"/>
  <c r="M92" i="2" a="1"/>
  <c r="X31" i="2" a="1"/>
  <c r="H22" i="2" a="1"/>
  <c r="T58" i="2" a="1"/>
  <c r="I45" i="2" a="1"/>
  <c r="C66" i="2" a="1"/>
  <c r="X74" i="2" a="1"/>
  <c r="J75" i="2" a="1"/>
  <c r="V39" i="2" a="1"/>
  <c r="Q42" i="2" a="1"/>
  <c r="N51" i="2" a="1"/>
  <c r="N75" i="2" a="1"/>
  <c r="AA93" i="2" a="1"/>
  <c r="H70" i="2" a="1"/>
  <c r="C61" i="2" a="1"/>
  <c r="I94" i="2" a="1"/>
  <c r="X21" i="2" a="1"/>
  <c r="AA42" i="2" a="1"/>
  <c r="G44" i="2" a="1"/>
  <c r="AE52" i="2" a="1"/>
  <c r="P72" i="2" a="1"/>
  <c r="J57" i="2" a="1"/>
  <c r="V67" i="2" a="1"/>
  <c r="V49" i="2" a="1"/>
  <c r="Q70" i="2" a="1"/>
  <c r="AC72" i="2" a="1"/>
  <c r="AC83" i="2" a="1"/>
  <c r="K55" i="2" a="1"/>
  <c r="W67" i="2" a="1"/>
  <c r="AA58" i="2" a="1"/>
  <c r="Q66" i="2" a="1"/>
  <c r="E48" i="2" a="1"/>
  <c r="E54" i="2" a="1"/>
  <c r="K47" i="2" a="1"/>
  <c r="N21" i="2" a="1"/>
  <c r="N73" i="2" a="1"/>
  <c r="AF66" i="2" a="1"/>
  <c r="AF60" i="2" a="1"/>
  <c r="U58" i="2" a="1"/>
  <c r="U93" i="2" a="1"/>
  <c r="O68" i="2" a="1"/>
  <c r="W53" i="2" a="1"/>
  <c r="AA61" i="2" a="1"/>
  <c r="T68" i="2" a="1"/>
  <c r="M43" i="2" a="1"/>
  <c r="S42" i="2" a="1"/>
  <c r="AE60" i="2" a="1"/>
  <c r="P68" i="2" a="1"/>
  <c r="J43" i="2" a="1"/>
  <c r="V51" i="2" a="1"/>
  <c r="V55" i="2" a="1"/>
  <c r="E40" i="2" a="1"/>
  <c r="AC56" i="2" a="1"/>
  <c r="AC40" i="2" a="1"/>
  <c r="N71" i="2" a="1"/>
  <c r="AF42" i="2" a="1"/>
  <c r="AF68" i="2" a="1"/>
  <c r="U54" i="2" a="1"/>
  <c r="O43" i="2" a="1"/>
  <c r="J49" i="2" a="1"/>
  <c r="V77" i="2" a="1"/>
  <c r="Q64" i="2" a="1"/>
  <c r="E52" i="2" a="1"/>
  <c r="K84" i="2" a="1"/>
  <c r="K73" i="2" a="1"/>
  <c r="N67" i="2" a="1"/>
  <c r="N69" i="2" a="1"/>
  <c r="AF44" i="2" a="1"/>
  <c r="U88" i="2" a="1"/>
  <c r="U84" i="2" a="1"/>
  <c r="O84" i="2" a="1"/>
  <c r="M60" i="2" a="1"/>
  <c r="S62" i="2" a="1"/>
  <c r="D64" i="2" a="1"/>
  <c r="P70" i="2" a="1"/>
  <c r="J55" i="2" a="1"/>
  <c r="V35" i="2" a="1"/>
  <c r="E62" i="2" a="1"/>
  <c r="E64" i="2" a="1"/>
  <c r="AC38" i="2" a="1"/>
  <c r="N49" i="2" a="1"/>
  <c r="W39" i="2" a="1"/>
  <c r="AA50" i="2" a="1"/>
  <c r="T46" i="2" a="1"/>
  <c r="V65" i="2" a="1"/>
  <c r="V41" i="2" a="1"/>
  <c r="Q60" i="2" a="1"/>
  <c r="AC70" i="2" a="1"/>
  <c r="K69" i="2" a="1"/>
  <c r="K59" i="2" a="1"/>
  <c r="N45" i="2" a="1"/>
  <c r="AF52" i="2" a="1"/>
  <c r="U85" i="2" a="1"/>
  <c r="U55" i="2" a="1"/>
  <c r="O93" i="2" a="1"/>
  <c r="O47" i="2" a="1"/>
  <c r="W84" i="2" a="1"/>
  <c r="G53" i="2" a="1"/>
  <c r="S66" i="2" a="1"/>
  <c r="D68" i="2" a="1"/>
  <c r="P60" i="2" a="1"/>
  <c r="J33" i="2" a="1"/>
  <c r="Q38" i="2" a="1"/>
  <c r="E83" i="2" a="1"/>
  <c r="W92" i="2" a="1"/>
  <c r="K67" i="2" a="1"/>
  <c r="N59" i="2" a="1"/>
  <c r="AA88" i="2" a="1"/>
  <c r="AA70" i="2" a="1"/>
  <c r="T64" i="2" a="1"/>
  <c r="T20" i="2" a="1"/>
  <c r="T72" i="2" a="1"/>
  <c r="Z53" i="2" a="1"/>
  <c r="Z19" i="2" a="1"/>
  <c r="H60" i="2" a="1"/>
  <c r="H72" i="2" a="1"/>
  <c r="H64" i="2" a="1"/>
  <c r="I49" i="2" a="1"/>
  <c r="I93" i="2" a="1"/>
  <c r="X29" i="2" a="1"/>
  <c r="X33" i="2" a="1"/>
  <c r="AA86" i="2" a="1"/>
  <c r="AE53" i="2" a="1"/>
  <c r="J51" i="2" a="1"/>
  <c r="Q83" i="2" a="1"/>
  <c r="K61" i="2" a="1"/>
  <c r="N61" i="2" a="1"/>
  <c r="AF70" i="2" a="1"/>
  <c r="U74" i="2" a="1"/>
  <c r="O75" i="2" a="1"/>
  <c r="AA57" i="2" a="1"/>
  <c r="T83" i="2" a="1"/>
  <c r="H46" i="2" a="1"/>
  <c r="G64" i="2" a="1"/>
  <c r="Q72" i="2" a="1"/>
  <c r="AC68" i="2" a="1"/>
  <c r="W73" i="2" a="1"/>
  <c r="T60" i="2" a="1"/>
  <c r="Z63" i="2" a="1"/>
  <c r="H83" i="2" a="1"/>
  <c r="I65" i="2" a="1"/>
  <c r="AC50" i="2" a="1"/>
  <c r="AF58" i="2" a="1"/>
  <c r="U83" i="2" a="1"/>
  <c r="W57" i="2" a="1"/>
  <c r="Z69" i="2" a="1"/>
  <c r="K92" i="2" a="1"/>
  <c r="C49" i="2" a="1"/>
  <c r="C94" i="2" a="1"/>
  <c r="U90" i="2" a="1"/>
  <c r="AA89" i="2" a="1"/>
  <c r="P62" i="2" a="1"/>
  <c r="J73" i="2" a="1"/>
  <c r="V45" i="2" a="1"/>
  <c r="Q40" i="2" a="1"/>
  <c r="J92" i="2" a="1"/>
  <c r="AC85" i="2" a="1"/>
  <c r="K53" i="2" a="1"/>
  <c r="AF74" i="2" a="1"/>
  <c r="AF48" i="2" a="1"/>
  <c r="U50" i="2" a="1"/>
  <c r="U66" i="2" a="1"/>
  <c r="O67" i="2" a="1"/>
  <c r="O88" i="2" a="1"/>
  <c r="W61" i="2" a="1"/>
  <c r="W55" i="2" a="1"/>
  <c r="AA46" i="2" a="1"/>
  <c r="AA45" i="2" a="1"/>
  <c r="T54" i="2" a="1"/>
  <c r="T56" i="2" a="1"/>
  <c r="T44" i="2" a="1"/>
  <c r="Z43" i="2" a="1"/>
  <c r="Z84" i="2" a="1"/>
  <c r="H14" i="2" a="1"/>
  <c r="H48" i="2" a="1"/>
  <c r="H68" i="2" a="1"/>
  <c r="I68" i="2" a="1"/>
  <c r="I69" i="2" a="1"/>
  <c r="C62" i="2" a="1"/>
  <c r="C73" i="2" a="1"/>
  <c r="C50" i="2" a="1"/>
  <c r="C85" i="2" a="1"/>
  <c r="Q90" i="2" a="1"/>
  <c r="Q94" i="2" a="1"/>
  <c r="I82" i="2" a="1"/>
  <c r="I90" i="2" a="1"/>
  <c r="C89" i="2" a="1"/>
  <c r="U81" i="2" a="1"/>
  <c r="U94" i="2" a="1"/>
  <c r="X84" i="2" a="1"/>
  <c r="AA81" i="2" a="1"/>
  <c r="G57" i="2" a="1"/>
  <c r="D34" i="2" a="1"/>
  <c r="Q62" i="2" a="1"/>
  <c r="E76" i="2" a="1"/>
  <c r="K43" i="2" a="1"/>
  <c r="AF76" i="2" a="1"/>
  <c r="U70" i="2" a="1"/>
  <c r="O56" i="2" a="1"/>
  <c r="W77" i="2" a="1"/>
  <c r="T76" i="2" a="1"/>
  <c r="Z71" i="2" a="1"/>
  <c r="I88" i="2" a="1"/>
  <c r="AE49" i="2" a="1"/>
  <c r="V53" i="2" a="1"/>
  <c r="Q44" i="2" a="1"/>
  <c r="N40" i="2" a="1"/>
  <c r="W43" i="2" a="1"/>
  <c r="AA83" i="2" a="1"/>
  <c r="T48" i="2" a="1"/>
  <c r="Z41" i="2" a="1"/>
  <c r="X92" i="2" a="1"/>
  <c r="E32" i="2" a="1"/>
  <c r="AF46" i="2" a="1"/>
  <c r="O77" i="2" a="1"/>
  <c r="AA66" i="2" a="1"/>
  <c r="Z57" i="2" a="1"/>
  <c r="H66" i="2" a="1"/>
  <c r="C77" i="2" a="1"/>
  <c r="Q86" i="2" a="1"/>
  <c r="C87" i="2" a="1"/>
  <c r="X17" i="2" a="1"/>
  <c r="Q82" i="2" a="1"/>
  <c r="C58" i="2" a="1"/>
  <c r="X15" i="2" a="1"/>
  <c r="C90" i="2" a="1"/>
  <c r="I57" i="2" a="1"/>
  <c r="X25" i="2" a="1"/>
  <c r="U86" i="2" a="1"/>
  <c r="Z92" i="2" a="1"/>
  <c r="W69" i="2" a="1"/>
  <c r="H54" i="2" a="1"/>
  <c r="X39" i="2" a="1"/>
  <c r="I73" i="2" a="1"/>
  <c r="X83" i="2" a="1"/>
  <c r="W47" i="2" a="1"/>
  <c r="T52" i="2" a="1"/>
  <c r="C75" i="2" a="1"/>
  <c r="X88" i="2" a="1"/>
  <c r="AA75" i="2" a="1"/>
  <c r="Z59" i="2" a="1"/>
  <c r="H41" i="2" a="1"/>
  <c r="I44" i="2" a="1"/>
  <c r="AA77" i="2" a="1"/>
  <c r="T70" i="2" a="1"/>
  <c r="C93" i="2" a="1"/>
  <c r="C54" i="2" a="1"/>
  <c r="AA62" i="2" a="1"/>
  <c r="Z73" i="2" a="1"/>
  <c r="H76" i="2" a="1"/>
  <c r="I53" i="2" a="1"/>
  <c r="I85" i="2" a="1"/>
  <c r="AA54" i="2" a="1"/>
  <c r="T74" i="2" a="1"/>
  <c r="Z49" i="2" a="1"/>
  <c r="H56" i="2" a="1"/>
  <c r="I84" i="2" a="1"/>
  <c r="I48" i="2" a="1"/>
  <c r="C57" i="2" a="1"/>
  <c r="Y92" i="2" a="1"/>
  <c r="N92" i="2" a="1"/>
  <c r="C91" i="2" a="1"/>
  <c r="U87" i="2" a="1"/>
  <c r="X19" i="2" a="1"/>
  <c r="X68" i="2" a="1"/>
  <c r="AA49" i="2" a="1"/>
  <c r="T85" i="2" a="1"/>
  <c r="O51" i="2" a="1"/>
  <c r="Z47" i="2" a="1"/>
  <c r="H58" i="2" a="1"/>
  <c r="I60" i="2" a="1"/>
  <c r="I74" i="2" a="1"/>
  <c r="C45" i="2" a="1"/>
  <c r="L92" i="2" a="1"/>
  <c r="I89" i="2" a="1"/>
  <c r="C86" i="2" a="1"/>
  <c r="U91" i="2" a="1"/>
  <c r="X27" i="2" a="1"/>
  <c r="X35" i="2" a="1"/>
  <c r="O73" i="2" a="1"/>
  <c r="AA71" i="2" a="1"/>
  <c r="T62" i="2" a="1"/>
  <c r="W45" i="2" a="1"/>
  <c r="AA65" i="2" a="1"/>
  <c r="Z45" i="2" a="1"/>
  <c r="Z67" i="2" a="1"/>
  <c r="H74" i="2" a="1"/>
  <c r="I76" i="2" a="1"/>
  <c r="C65" i="2" a="1"/>
  <c r="C53" i="2" a="1"/>
  <c r="Q87" i="2" a="1"/>
  <c r="I87" i="2" a="1"/>
  <c r="O92" i="2" a="1"/>
  <c r="X93" i="2" a="1"/>
  <c r="X76" i="2" a="1"/>
  <c r="AA94" i="2" a="1"/>
  <c r="W59" i="2" a="1"/>
  <c r="AA73" i="2" a="1"/>
  <c r="Z65" i="2" a="1"/>
  <c r="Z61" i="2" a="1"/>
  <c r="H44" i="2" a="1"/>
  <c r="I56" i="2" a="1"/>
  <c r="W51" i="2" a="1"/>
  <c r="Z77" i="2" a="1"/>
  <c r="Z51" i="2" a="1"/>
  <c r="H62" i="2" a="1"/>
  <c r="I64" i="2" a="1"/>
  <c r="C84" i="2" a="1"/>
  <c r="C76" i="2" a="1"/>
  <c r="Q91" i="2" a="1"/>
  <c r="I91" i="2" a="1"/>
  <c r="AA92" i="2" a="1"/>
  <c r="X70" i="2" a="1"/>
  <c r="AA90" i="2" a="1"/>
  <c r="T50" i="2" a="1"/>
  <c r="Z55" i="2" a="1"/>
  <c r="H42" i="2" a="1"/>
  <c r="I81" i="2" a="1"/>
  <c r="AA91" i="2" a="1"/>
  <c r="U89" i="2" a="1"/>
  <c r="O91" i="2" a="1"/>
  <c r="O81" i="2" a="1"/>
  <c r="P61" i="2" a="1"/>
  <c r="P88" i="2" a="1"/>
  <c r="P75" i="2" a="1"/>
  <c r="AC69" i="2" a="1"/>
  <c r="AC77" i="2" a="1"/>
  <c r="AC57" i="2" a="1"/>
  <c r="AC61" i="2" a="1"/>
  <c r="D61" i="2" a="1"/>
  <c r="D63" i="2" a="1"/>
  <c r="D45" i="2" a="1"/>
  <c r="D51" i="2" a="1"/>
  <c r="V58" i="2" a="1"/>
  <c r="V54" i="2" a="1"/>
  <c r="V93" i="2" a="1"/>
  <c r="Q49" i="2" a="1"/>
  <c r="Q55" i="2" a="1"/>
  <c r="Q77" i="2" a="1"/>
  <c r="Q47" i="2" a="1"/>
  <c r="J94" i="2" a="1"/>
  <c r="AB41" i="2" a="1"/>
  <c r="AB67" i="2" a="1"/>
  <c r="AB53" i="2" a="1"/>
  <c r="AB73" i="2" a="1"/>
  <c r="E59" i="2" a="1"/>
  <c r="E57" i="2" a="1"/>
  <c r="E84" i="2" a="1"/>
  <c r="E71" i="2" a="1"/>
  <c r="W91" i="2" a="1"/>
  <c r="AB94" i="2" a="1"/>
  <c r="J62" i="2" a="1"/>
  <c r="J60" i="2" a="1"/>
  <c r="J42" i="2" a="1"/>
  <c r="J93" i="2" a="1"/>
  <c r="K68" i="2" a="1"/>
  <c r="K64" i="2" a="1"/>
  <c r="K74" i="2" a="1"/>
  <c r="K56" i="2" a="1"/>
  <c r="F73" i="2" a="1"/>
  <c r="F42" i="2" a="1"/>
  <c r="F38" i="2" a="1"/>
  <c r="F93" i="2" a="1"/>
  <c r="V90" i="2" a="1"/>
  <c r="AD26" i="2" a="1"/>
  <c r="AD74" i="2" a="1"/>
  <c r="AD28" i="2" a="1"/>
  <c r="AD38" i="2" a="1"/>
  <c r="W48" i="2" a="1"/>
  <c r="W46" i="2" a="1"/>
  <c r="W42" i="2" a="1"/>
  <c r="W72" i="2" a="1"/>
  <c r="P89" i="2" a="1"/>
  <c r="L93" i="2" a="1"/>
  <c r="L15" i="2" a="1"/>
  <c r="L25" i="2" a="1"/>
  <c r="L27" i="2" a="1"/>
  <c r="D89" i="2" a="1"/>
  <c r="D81" i="2" a="1"/>
  <c r="K91" i="2" a="1"/>
  <c r="K81" i="2" a="1"/>
  <c r="O82" i="2" a="1"/>
  <c r="AC63" i="2" a="1"/>
  <c r="AC65" i="2" a="1"/>
  <c r="D57" i="2" a="1"/>
  <c r="D93" i="2" a="1"/>
  <c r="V85" i="2" a="1"/>
  <c r="Q93" i="2" a="1"/>
  <c r="Q84" i="2" a="1"/>
  <c r="Q61" i="2" a="1"/>
  <c r="AB93" i="2" a="1"/>
  <c r="AB77" i="2" a="1"/>
  <c r="AB61" i="2" a="1"/>
  <c r="E51" i="2" a="1"/>
  <c r="E73" i="2" a="1"/>
  <c r="W94" i="2" a="1"/>
  <c r="O86" i="2" a="1"/>
  <c r="P84" i="2" a="1"/>
  <c r="P43" i="2" a="1"/>
  <c r="P65" i="2" a="1"/>
  <c r="AC93" i="2" a="1"/>
  <c r="AC41" i="2" a="1"/>
  <c r="D67" i="2" a="1"/>
  <c r="D59" i="2" a="1"/>
  <c r="V60" i="2" a="1"/>
  <c r="V50" i="2" a="1"/>
  <c r="Q75" i="2" a="1"/>
  <c r="J82" i="2" a="1"/>
  <c r="AB49" i="2" a="1"/>
  <c r="E45" i="2" a="1"/>
  <c r="E85" i="2" a="1"/>
  <c r="O94" i="2" a="1"/>
  <c r="P57" i="2" a="1"/>
  <c r="P55" i="2" a="1"/>
  <c r="P93" i="2" a="1"/>
  <c r="P71" i="2" a="1"/>
  <c r="AC45" i="2" a="1"/>
  <c r="AC51" i="2" a="1"/>
  <c r="AC71" i="2" a="1"/>
  <c r="AC59" i="2" a="1"/>
  <c r="D49" i="2" a="1"/>
  <c r="D83" i="2" a="1"/>
  <c r="D43" i="2" a="1"/>
  <c r="V56" i="2" a="1"/>
  <c r="V46" i="2" a="1"/>
  <c r="V66" i="2" a="1"/>
  <c r="AD34" i="2" a="1"/>
  <c r="W66" i="2" a="1"/>
  <c r="P91" i="2" a="1"/>
  <c r="L19" i="2" a="1"/>
  <c r="L39" i="2" a="1"/>
  <c r="E91" i="2" a="1"/>
  <c r="D94" i="2" a="1"/>
  <c r="AC89" i="2" a="1"/>
  <c r="R32" i="2" a="1"/>
  <c r="R24" i="2" a="1"/>
  <c r="P69" i="2" a="1"/>
  <c r="D88" i="2" a="1"/>
  <c r="D77" i="2" a="1"/>
  <c r="V48" i="2" a="1"/>
  <c r="O90" i="2" a="1"/>
  <c r="P49" i="2" a="1"/>
  <c r="P59" i="2" a="1"/>
  <c r="P47" i="2" a="1"/>
  <c r="P45" i="2" a="1"/>
  <c r="AC73" i="2" a="1"/>
  <c r="AC49" i="2" a="1"/>
  <c r="AC47" i="2" a="1"/>
  <c r="AC43" i="2" a="1"/>
  <c r="D73" i="2" a="1"/>
  <c r="D55" i="2" a="1"/>
  <c r="D65" i="2" a="1"/>
  <c r="V44" i="2" a="1"/>
  <c r="V72" i="2" a="1"/>
  <c r="V52" i="2" a="1"/>
  <c r="V83" i="2" a="1"/>
  <c r="Q57" i="2" a="1"/>
  <c r="Q51" i="2" a="1"/>
  <c r="Q41" i="2" a="1"/>
  <c r="Q69" i="2" a="1"/>
  <c r="J91" i="2" a="1"/>
  <c r="AB57" i="2" a="1"/>
  <c r="AB43" i="2" a="1"/>
  <c r="AB55" i="2" a="1"/>
  <c r="AB45" i="2" a="1"/>
  <c r="E49" i="2" a="1"/>
  <c r="E93" i="2" a="1"/>
  <c r="E77" i="2" a="1"/>
  <c r="W89" i="2" a="1"/>
  <c r="W82" i="2" a="1"/>
  <c r="AB87" i="2" a="1"/>
  <c r="J76" i="2" a="1"/>
  <c r="J56" i="2" a="1"/>
  <c r="J70" i="2" a="1"/>
  <c r="J46" i="2" a="1"/>
  <c r="K83" i="2" a="1"/>
  <c r="K50" i="2" a="1"/>
  <c r="K54" i="2" a="1"/>
  <c r="F24" i="2" a="1"/>
  <c r="F40" i="2" a="1"/>
  <c r="F69" i="2" a="1"/>
  <c r="F88" i="2" a="1"/>
  <c r="V86" i="2" a="1"/>
  <c r="V94" i="2" a="1"/>
  <c r="AD73" i="2" a="1"/>
  <c r="AD93" i="2" a="1"/>
  <c r="AD84" i="2" a="1"/>
  <c r="W88" i="2" a="1"/>
  <c r="W44" i="2" a="1"/>
  <c r="P87" i="2" a="1"/>
  <c r="L21" i="2" a="1"/>
  <c r="D86" i="2" a="1"/>
  <c r="K87" i="2" a="1"/>
  <c r="AC87" i="2" a="1"/>
  <c r="R76" i="2" a="1"/>
  <c r="AC88" i="2" a="1"/>
  <c r="P77" i="2" a="1"/>
  <c r="D84" i="2" a="1"/>
  <c r="O87" i="2" a="1"/>
  <c r="P41" i="2" a="1"/>
  <c r="P73" i="2" a="1"/>
  <c r="AC75" i="2" a="1"/>
  <c r="AC53" i="2" a="1"/>
  <c r="O89" i="2" a="1"/>
  <c r="P63" i="2" a="1"/>
  <c r="P51" i="2" a="1"/>
  <c r="P53" i="2" a="1"/>
  <c r="P67" i="2" a="1"/>
  <c r="AC84" i="2" a="1"/>
  <c r="AC67" i="2" a="1"/>
  <c r="AC55" i="2" a="1"/>
  <c r="D75" i="2" a="1"/>
  <c r="D53" i="2" a="1"/>
  <c r="D69" i="2" a="1"/>
  <c r="D47" i="2" a="1"/>
  <c r="V76" i="2" a="1"/>
  <c r="V70" i="2" a="1"/>
  <c r="V64" i="2" a="1"/>
  <c r="V74" i="2" a="1"/>
  <c r="Q59" i="2" a="1"/>
  <c r="Q63" i="2" a="1"/>
  <c r="Q67" i="2" a="1"/>
  <c r="J81" i="2" a="1"/>
  <c r="J89" i="2" a="1"/>
  <c r="AB84" i="2" a="1"/>
  <c r="AB47" i="2" a="1"/>
  <c r="AB88" i="2" a="1"/>
  <c r="E53" i="2" a="1"/>
  <c r="E65" i="2" a="1"/>
  <c r="E61" i="2" a="1"/>
  <c r="E55" i="2" a="1"/>
  <c r="W81" i="2" a="1"/>
  <c r="AB90" i="2" a="1"/>
  <c r="AB91" i="2" a="1"/>
  <c r="J85" i="2" a="1"/>
  <c r="J72" i="2" a="1"/>
  <c r="J58" i="2" a="1"/>
  <c r="K52" i="2" a="1"/>
  <c r="K72" i="2" a="1"/>
  <c r="K70" i="2" a="1"/>
  <c r="K66" i="2" a="1"/>
  <c r="F26" i="2" a="1"/>
  <c r="F28" i="2" a="1"/>
  <c r="F34" i="2" a="1"/>
  <c r="F20" i="2" a="1"/>
  <c r="V87" i="2" a="1"/>
  <c r="P92" i="2" a="1"/>
  <c r="AD32" i="2" a="1"/>
  <c r="AD88" i="2" a="1"/>
  <c r="AD24" i="2" a="1"/>
  <c r="W93" i="2" a="1"/>
  <c r="W60" i="2" a="1"/>
  <c r="W64" i="2" a="1"/>
  <c r="W62" i="2" a="1"/>
  <c r="P86" i="2" a="1"/>
  <c r="L88" i="2" a="1"/>
  <c r="L76" i="2" a="1"/>
  <c r="L84" i="2" a="1"/>
  <c r="L29" i="2" a="1"/>
  <c r="D91" i="2" a="1"/>
  <c r="D87" i="2" a="1"/>
  <c r="E89" i="2" a="1"/>
  <c r="K94" i="2" a="1"/>
  <c r="AC86" i="2" a="1"/>
  <c r="R26" i="2" a="1"/>
  <c r="R88" i="2" a="1"/>
  <c r="R40" i="2" a="1"/>
  <c r="R30" i="2" a="1"/>
  <c r="D71" i="2" a="1"/>
  <c r="J90" i="2" a="1"/>
  <c r="E75" i="2" a="1"/>
  <c r="AB86" i="2" a="1"/>
  <c r="D92" i="2" a="1"/>
  <c r="K85" i="2" a="1"/>
  <c r="F14" i="2" a="1"/>
  <c r="AD20" i="2" a="1"/>
  <c r="W54" i="2" a="1"/>
  <c r="P94" i="2" a="1"/>
  <c r="E94" i="2" a="1"/>
  <c r="AC91" i="2" a="1"/>
  <c r="R93" i="2" a="1"/>
  <c r="R85" i="2" a="1"/>
  <c r="V88" i="2" a="1"/>
  <c r="J87" i="2" a="1"/>
  <c r="E47" i="2" a="1"/>
  <c r="J64" i="2" a="1"/>
  <c r="K58" i="2" a="1"/>
  <c r="F83" i="2" a="1"/>
  <c r="F30" i="2" a="1"/>
  <c r="AD77" i="2" a="1"/>
  <c r="P90" i="2" a="1"/>
  <c r="L70" i="2" a="1"/>
  <c r="D90" i="2" a="1"/>
  <c r="AC81" i="2" a="1"/>
  <c r="R38" i="2" a="1"/>
  <c r="R84" i="2" a="1"/>
  <c r="J86" i="2" a="1"/>
  <c r="J50" i="2" a="1"/>
  <c r="F71" i="2" a="1"/>
  <c r="AD30" i="2" a="1"/>
  <c r="W70" i="2" a="1"/>
  <c r="K90" i="2" a="1"/>
  <c r="AB51" i="2" a="1"/>
  <c r="K62" i="2" a="1"/>
  <c r="P81" i="2" a="1"/>
  <c r="AC94" i="2" a="1"/>
  <c r="AB65" i="2" a="1"/>
  <c r="J52" i="2" a="1"/>
  <c r="F85" i="2" a="1"/>
  <c r="AD75" i="2" a="1"/>
  <c r="L83" i="2" a="1"/>
  <c r="K86" i="2" a="1"/>
  <c r="R83" i="2" a="1"/>
  <c r="AB71" i="2" a="1"/>
  <c r="J74" i="2" a="1"/>
  <c r="F84" i="2" a="1"/>
  <c r="W68" i="2" a="1"/>
  <c r="P82" i="2" a="1"/>
  <c r="K82" i="2" a="1"/>
  <c r="AB63" i="2" a="1"/>
  <c r="J66" i="2" a="1"/>
  <c r="V82" i="2" a="1"/>
  <c r="L35" i="2" a="1"/>
  <c r="R22" i="2" a="1"/>
  <c r="Q53" i="2" a="1"/>
  <c r="AB69" i="2" a="1"/>
  <c r="W90" i="2" a="1"/>
  <c r="J88" i="2" a="1"/>
  <c r="K44" i="2" a="1"/>
  <c r="AD83" i="2" a="1"/>
  <c r="W56" i="2" a="1"/>
  <c r="W58" i="2" a="1"/>
  <c r="E90" i="2" a="1"/>
  <c r="K89" i="2" a="1"/>
  <c r="R34" i="2" a="1"/>
  <c r="R75" i="2" a="1"/>
  <c r="Q65" i="2" a="1"/>
  <c r="AB75" i="2" a="1"/>
  <c r="W86" i="2" a="1"/>
  <c r="J48" i="2" a="1"/>
  <c r="K76" i="2" a="1"/>
  <c r="F75" i="2" a="1"/>
  <c r="V89" i="2" a="1"/>
  <c r="W50" i="2" a="1"/>
  <c r="L33" i="2" a="1"/>
  <c r="L23" i="2" a="1"/>
  <c r="Q71" i="2" a="1"/>
  <c r="AB59" i="2" a="1"/>
  <c r="AB81" i="2" a="1"/>
  <c r="J68" i="2" a="1"/>
  <c r="K93" i="2" a="1"/>
  <c r="F16" i="2" a="1"/>
  <c r="AB92" i="2" a="1"/>
  <c r="AD71" i="2" a="1"/>
  <c r="W52" i="2" a="1"/>
  <c r="L31" i="2" a="1"/>
  <c r="E82" i="2" a="1"/>
  <c r="AC90" i="2" a="1"/>
  <c r="R73" i="2" a="1"/>
  <c r="R18" i="2" a="1"/>
  <c r="F77" i="2" a="1"/>
  <c r="L85" i="2" a="1"/>
  <c r="Q43" i="2" a="1"/>
  <c r="E63" i="2" a="1"/>
  <c r="AB89" i="2" a="1"/>
  <c r="J44" i="2" a="1"/>
  <c r="K42" i="2" a="1"/>
  <c r="F32" i="2" a="1"/>
  <c r="W83" i="2" a="1"/>
  <c r="W85" i="2" a="1"/>
  <c r="L72" i="2" a="1"/>
  <c r="AC82" i="2" a="1"/>
  <c r="R20" i="2" a="1"/>
  <c r="R28" i="2" a="1"/>
  <c r="Q88" i="2" a="1"/>
  <c r="E67" i="2" a="1"/>
  <c r="AB82" i="2" a="1"/>
  <c r="J83" i="2" a="1"/>
  <c r="AD40" i="2" a="1"/>
  <c r="AD22" i="2" a="1"/>
  <c r="L17" i="2" a="1"/>
  <c r="L73" i="2" a="1"/>
  <c r="E86" i="2" a="1"/>
  <c r="V68" i="2" a="1"/>
  <c r="E88" i="2" a="1"/>
  <c r="K88" i="2" a="1"/>
  <c r="E92" i="2" a="1"/>
  <c r="AD18" i="2" a="1"/>
  <c r="D82" i="2" a="1"/>
  <c r="V62" i="2" a="1"/>
  <c r="J54" i="2" a="1"/>
  <c r="W76" i="2" a="1"/>
  <c r="L74" i="2" a="1"/>
  <c r="R77" i="2" a="1"/>
  <c r="V42" i="2" a="1"/>
  <c r="E69" i="2" a="1"/>
  <c r="K46" i="2" a="1"/>
  <c r="V91" i="2" a="1"/>
  <c r="AD69" i="2" a="1"/>
  <c r="E87" i="2" a="1"/>
  <c r="R71" i="2" a="1"/>
  <c r="Q45" i="2" a="1"/>
  <c r="E43" i="2" a="1"/>
  <c r="K48" i="2" a="1"/>
  <c r="V81" i="2" a="1"/>
  <c r="W74" i="2" a="1"/>
  <c r="Q73" i="2" a="1"/>
  <c r="W87" i="2" a="1"/>
  <c r="K60" i="2" a="1"/>
  <c r="AD85" i="2" a="1"/>
  <c r="E81" i="2" a="1"/>
  <c r="R69" i="2" a="1"/>
  <c r="AC92" i="2" a="1"/>
  <c r="L94" i="2" a="1"/>
  <c r="N72" i="2" a="1"/>
  <c r="N48" i="2" a="1"/>
  <c r="N83" i="2" a="1"/>
  <c r="N54" i="2" a="1"/>
  <c r="Z76" i="2" a="1"/>
  <c r="Z62" i="2" a="1"/>
  <c r="Z54" i="2" a="1"/>
  <c r="Z48" i="2" a="1"/>
  <c r="Y74" i="2" a="1"/>
  <c r="Y21" i="2" a="1"/>
  <c r="Y88" i="2" a="1"/>
  <c r="G20" i="2" a="1"/>
  <c r="G26" i="2" a="1"/>
  <c r="G28" i="2" a="1"/>
  <c r="G40" i="2" a="1"/>
  <c r="AF77" i="2" a="1"/>
  <c r="AF73" i="2" a="1"/>
  <c r="AF47" i="2" a="1"/>
  <c r="AF67" i="2" a="1"/>
  <c r="M11" i="2" a="1"/>
  <c r="M76" i="2" a="1"/>
  <c r="M13" i="2" a="1"/>
  <c r="S14" i="2" a="1"/>
  <c r="S69" i="2" a="1"/>
  <c r="S20" i="2" a="1"/>
  <c r="S83" i="2" a="1"/>
  <c r="AE83" i="2" a="1"/>
  <c r="AE77" i="2" a="1"/>
  <c r="AE73" i="2" a="1"/>
  <c r="AE30" i="2" a="1"/>
  <c r="G91" i="2" a="1"/>
  <c r="L81" i="2" a="1"/>
  <c r="N44" i="2" a="1"/>
  <c r="N85" i="2" a="1"/>
  <c r="N42" i="2" a="1"/>
  <c r="Z52" i="2" a="1"/>
  <c r="Z42" i="2" a="1"/>
  <c r="Y83" i="2" a="1"/>
  <c r="Y35" i="2" a="1"/>
  <c r="Y72" i="2" a="1"/>
  <c r="Y19" i="2" a="1"/>
  <c r="G93" i="2" a="1"/>
  <c r="G30" i="2" a="1"/>
  <c r="AF57" i="2" a="1"/>
  <c r="AF59" i="2" a="1"/>
  <c r="M33" i="2" a="1"/>
  <c r="M25" i="2" a="1"/>
  <c r="S84" i="2" a="1"/>
  <c r="S71" i="2" a="1"/>
  <c r="AE28" i="2" a="1"/>
  <c r="AE24" i="2" a="1"/>
  <c r="AE84" i="2" a="1"/>
  <c r="S32" i="2" a="1"/>
  <c r="AE88" i="2" a="1"/>
  <c r="Z68" i="2" a="1"/>
  <c r="G34" i="2" a="1"/>
  <c r="M27" i="2" a="1"/>
  <c r="S93" i="2" a="1"/>
  <c r="G71" i="2" a="1"/>
  <c r="M29" i="2" a="1"/>
  <c r="S30" i="2" a="1"/>
  <c r="S24" i="2" a="1"/>
  <c r="Y27" i="2" a="1"/>
  <c r="S75" i="2" a="1"/>
  <c r="L82" i="2" a="1"/>
  <c r="N76" i="2" a="1"/>
  <c r="Z66" i="2" a="1"/>
  <c r="G83" i="2" a="1"/>
  <c r="AF61" i="2" a="1"/>
  <c r="M70" i="2" a="1"/>
  <c r="S73" i="2" a="1"/>
  <c r="AE34" i="2" a="1"/>
  <c r="G94" i="2" a="1"/>
  <c r="N70" i="2" a="1"/>
  <c r="AE69" i="2" a="1"/>
  <c r="Z44" i="2" a="1"/>
  <c r="Y31" i="2" a="1"/>
  <c r="G84" i="2" a="1"/>
  <c r="G38" i="2" a="1"/>
  <c r="AF93" i="2" a="1"/>
  <c r="AF84" i="2" a="1"/>
  <c r="M17" i="2" a="1"/>
  <c r="AE16" i="2" a="1"/>
  <c r="Z85" i="2" a="1"/>
  <c r="G16" i="2" a="1"/>
  <c r="AF53" i="2" a="1"/>
  <c r="S85" i="2" a="1"/>
  <c r="L91" i="2" a="1"/>
  <c r="L89" i="2" a="1"/>
  <c r="N66" i="2" a="1"/>
  <c r="N46" i="2" a="1"/>
  <c r="N68" i="2" a="1"/>
  <c r="N50" i="2" a="1"/>
  <c r="Z88" i="2" a="1"/>
  <c r="Z60" i="2" a="1"/>
  <c r="Y93" i="2" a="1"/>
  <c r="Y84" i="2" a="1"/>
  <c r="Y29" i="2" a="1"/>
  <c r="G18" i="2" a="1"/>
  <c r="G22" i="2" a="1"/>
  <c r="AF41" i="2" a="1"/>
  <c r="M19" i="2" a="1"/>
  <c r="S38" i="2" a="1"/>
  <c r="Y33" i="2" a="1"/>
  <c r="AF88" i="2" a="1"/>
  <c r="M23" i="2" a="1"/>
  <c r="G89" i="2" a="1"/>
  <c r="AE93" i="2" a="1"/>
  <c r="L90" i="2" a="1"/>
  <c r="Q92" i="2" a="1"/>
  <c r="N62" i="2" a="1"/>
  <c r="N58" i="2" a="1"/>
  <c r="Y68" i="2" a="1"/>
  <c r="G86" i="2" a="1"/>
  <c r="AE75" i="2" a="1"/>
  <c r="Z46" i="2" a="1"/>
  <c r="AF55" i="2" a="1"/>
  <c r="S16" i="2" a="1"/>
  <c r="G82" i="2" a="1"/>
  <c r="Y15" i="2" a="1"/>
  <c r="M21" i="2" a="1"/>
  <c r="L86" i="2" a="1"/>
  <c r="F92" i="2" a="1"/>
  <c r="N52" i="2" a="1"/>
  <c r="N93" i="2" a="1"/>
  <c r="N64" i="2" a="1"/>
  <c r="Z83" i="2" a="1"/>
  <c r="Z56" i="2" a="1"/>
  <c r="Z74" i="2" a="1"/>
  <c r="Z58" i="2" a="1"/>
  <c r="Y13" i="2" a="1"/>
  <c r="Y70" i="2" a="1"/>
  <c r="Y85" i="2" a="1"/>
  <c r="Y76" i="2" a="1"/>
  <c r="G32" i="2" a="1"/>
  <c r="G69" i="2" a="1"/>
  <c r="G73" i="2" a="1"/>
  <c r="AF49" i="2" a="1"/>
  <c r="AF75" i="2" a="1"/>
  <c r="AF51" i="2" a="1"/>
  <c r="AF43" i="2" a="1"/>
  <c r="M35" i="2" a="1"/>
  <c r="M39" i="2" a="1"/>
  <c r="M88" i="2" a="1"/>
  <c r="M72" i="2" a="1"/>
  <c r="S77" i="2" a="1"/>
  <c r="S26" i="2" a="1"/>
  <c r="S40" i="2" a="1"/>
  <c r="AE26" i="2" a="1"/>
  <c r="AE14" i="2" a="1"/>
  <c r="AE85" i="2" a="1"/>
  <c r="G81" i="2" a="1"/>
  <c r="N74" i="2" a="1"/>
  <c r="Y17" i="2" a="1"/>
  <c r="G24" i="2" a="1"/>
  <c r="G85" i="2" a="1"/>
  <c r="AF69" i="2" a="1"/>
  <c r="M31" i="2" a="1"/>
  <c r="M74" i="2" a="1"/>
  <c r="S22" i="2" a="1"/>
  <c r="AE22" i="2" a="1"/>
  <c r="AE40" i="2" a="1"/>
  <c r="M93" i="2" a="1"/>
  <c r="S28" i="2" a="1"/>
  <c r="G87" i="2" a="1"/>
  <c r="Z72" i="2" a="1"/>
  <c r="AF63" i="2" a="1"/>
  <c r="M85" i="2" a="1"/>
  <c r="AE20" i="2" a="1"/>
  <c r="L87" i="2" a="1"/>
  <c r="N56" i="2" a="1"/>
  <c r="N88" i="2" a="1"/>
  <c r="N60" i="2" a="1"/>
  <c r="Z50" i="2" a="1"/>
  <c r="Z93" i="2" a="1"/>
  <c r="Z70" i="2" a="1"/>
  <c r="Y39" i="2" a="1"/>
  <c r="Y25" i="2" a="1"/>
  <c r="G88" i="2" a="1"/>
  <c r="G75" i="2" a="1"/>
  <c r="AF71" i="2" a="1"/>
  <c r="AF45" i="2" a="1"/>
  <c r="M83" i="2" a="1"/>
  <c r="S88" i="2" a="1"/>
  <c r="S34" i="2" a="1"/>
  <c r="AE71" i="2" a="1"/>
  <c r="AE32" i="2" a="1"/>
  <c r="G90" i="2" a="1"/>
  <c r="M84" i="2" a="1"/>
  <c r="AE38" i="2" a="1"/>
  <c r="Z64" i="2" a="1"/>
  <c r="G77" i="2" a="1"/>
  <c r="AF65" i="2" a="1"/>
  <c r="H92" i="2" a="1"/>
  <c r="T88" i="2" a="1"/>
  <c r="T55" i="2" a="1"/>
  <c r="T41" i="2" a="1"/>
  <c r="T43" i="2" a="1"/>
  <c r="H73" i="2" a="1"/>
  <c r="H53" i="2" a="1"/>
  <c r="H43" i="2" a="1"/>
  <c r="H55" i="2" a="1"/>
  <c r="F87" i="2" a="1"/>
  <c r="R82" i="2" a="1"/>
  <c r="Y94" i="2" a="1"/>
  <c r="Y90" i="2" a="1"/>
  <c r="N89" i="2" a="1"/>
  <c r="M86" i="2" a="1"/>
  <c r="AE90" i="2" a="1"/>
  <c r="AE86" i="2" a="1"/>
  <c r="AD89" i="2" a="1"/>
  <c r="H81" i="2" a="1"/>
  <c r="T87" i="2" a="1"/>
  <c r="T90" i="2" a="1"/>
  <c r="S94" i="2" a="1"/>
  <c r="X87" i="2" a="1"/>
  <c r="AF91" i="2" a="1"/>
  <c r="Z91" i="2" a="1"/>
  <c r="R92" i="2" a="1"/>
  <c r="H75" i="2" a="1"/>
  <c r="Y89" i="2" a="1"/>
  <c r="AE91" i="2" a="1"/>
  <c r="T89" i="2" a="1"/>
  <c r="X81" i="2" a="1"/>
  <c r="AF81" i="2" a="1"/>
  <c r="Z89" i="2" a="1"/>
  <c r="T71" i="2" a="1"/>
  <c r="H71" i="2" a="1"/>
  <c r="Y91" i="2" a="1"/>
  <c r="M90" i="2" a="1"/>
  <c r="T82" i="2" a="1"/>
  <c r="AF82" i="2" a="1"/>
  <c r="T67" i="2" a="1"/>
  <c r="T77" i="2" a="1"/>
  <c r="T61" i="2" a="1"/>
  <c r="H57" i="2" a="1"/>
  <c r="R87" i="2" a="1"/>
  <c r="AD90" i="2" a="1"/>
  <c r="Z87" i="2" a="1"/>
  <c r="T81" i="2" a="1"/>
  <c r="AF90" i="2" a="1"/>
  <c r="Z81" i="2" a="1"/>
  <c r="H51" i="2" a="1"/>
  <c r="N94" i="2" a="1"/>
  <c r="AD87" i="2" a="1"/>
  <c r="S87" i="2" a="1"/>
  <c r="G92" i="2" a="1"/>
  <c r="T93" i="2" a="1"/>
  <c r="T57" i="2" a="1"/>
  <c r="T75" i="2" a="1"/>
  <c r="T69" i="2" a="1"/>
  <c r="H93" i="2" a="1"/>
  <c r="H47" i="2" a="1"/>
  <c r="H49" i="2" a="1"/>
  <c r="F89" i="2" a="1"/>
  <c r="F91" i="2" a="1"/>
  <c r="R86" i="2" a="1"/>
  <c r="Y86" i="2" a="1"/>
  <c r="N90" i="2" a="1"/>
  <c r="N86" i="2" a="1"/>
  <c r="M82" i="2" a="1"/>
  <c r="AE81" i="2" a="1"/>
  <c r="AE82" i="2" a="1"/>
  <c r="AD86" i="2" a="1"/>
  <c r="H90" i="2" a="1"/>
  <c r="S81" i="2" a="1"/>
  <c r="S86" i="2" a="1"/>
  <c r="X94" i="2" a="1"/>
  <c r="AE92" i="2" a="1"/>
  <c r="T92" i="2" a="1"/>
  <c r="H67" i="2" a="1"/>
  <c r="R90" i="2" a="1"/>
  <c r="M94" i="2" a="1"/>
  <c r="H86" i="2" a="1"/>
  <c r="X82" i="2" a="1"/>
  <c r="T51" i="2" a="1"/>
  <c r="T73" i="2" a="1"/>
  <c r="F94" i="2" a="1"/>
  <c r="F81" i="2" a="1"/>
  <c r="N82" i="2" a="1"/>
  <c r="AD94" i="2" a="1"/>
  <c r="T86" i="2" a="1"/>
  <c r="Z90" i="2" a="1"/>
  <c r="T65" i="2" a="1"/>
  <c r="T45" i="2" a="1"/>
  <c r="H59" i="2" a="1"/>
  <c r="Y87" i="2" a="1"/>
  <c r="AD81" i="2" a="1"/>
  <c r="S90" i="2" a="1"/>
  <c r="Y81" i="2" a="1"/>
  <c r="H82" i="2" a="1"/>
  <c r="S82" i="2" a="1"/>
  <c r="X86" i="2" a="1"/>
  <c r="Z82" i="2" a="1"/>
  <c r="T53" i="2" a="1"/>
  <c r="T84" i="2" a="1"/>
  <c r="T49" i="2" a="1"/>
  <c r="H45" i="2" a="1"/>
  <c r="H77" i="2" a="1"/>
  <c r="H69" i="2" a="1"/>
  <c r="H61" i="2" a="1"/>
  <c r="F82" i="2" a="1"/>
  <c r="R94" i="2" a="1"/>
  <c r="R89" i="2" a="1"/>
  <c r="N81" i="2" a="1"/>
  <c r="M91" i="2" a="1"/>
  <c r="M87" i="2" a="1"/>
  <c r="AE87" i="2" a="1"/>
  <c r="AD91" i="2" a="1"/>
  <c r="H91" i="2" a="1"/>
  <c r="T94" i="2" a="1"/>
  <c r="X89" i="2" a="1"/>
  <c r="AF94" i="2" a="1"/>
  <c r="Z94" i="2" a="1"/>
  <c r="S92" i="2" a="1"/>
  <c r="T47" i="2" a="1"/>
  <c r="T63" i="2" a="1"/>
  <c r="T59" i="2" a="1"/>
  <c r="H85" i="2" a="1"/>
  <c r="H88" i="2" a="1"/>
  <c r="H84" i="2" a="1"/>
  <c r="H63" i="2" a="1"/>
  <c r="F90" i="2" a="1"/>
  <c r="R91" i="2" a="1"/>
  <c r="R81" i="2" a="1"/>
  <c r="Y82" i="2" a="1"/>
  <c r="N91" i="2" a="1"/>
  <c r="M81" i="2" a="1"/>
  <c r="M89" i="2" a="1"/>
  <c r="AE94" i="2" a="1"/>
  <c r="AD82" i="2" a="1"/>
  <c r="H94" i="2" a="1"/>
  <c r="H87" i="2" a="1"/>
  <c r="T91" i="2" a="1"/>
  <c r="S89" i="2" a="1"/>
  <c r="X91" i="2" a="1"/>
  <c r="X90" i="2" a="1"/>
  <c r="AF87" i="2" a="1"/>
  <c r="Z86" i="2" a="1"/>
  <c r="AF92" i="2" a="1"/>
  <c r="N87" i="2" a="1"/>
  <c r="H89" i="2" a="1"/>
  <c r="S91" i="2" a="1"/>
  <c r="AD92" i="2" a="1"/>
  <c r="AF89" i="2" a="1"/>
  <c r="H65" i="2" a="1"/>
  <c r="F86" i="2" a="1"/>
  <c r="AE89" i="2" a="1"/>
  <c r="AF86" i="2" a="1"/>
  <c r="E27" i="2" l="1"/>
  <c r="E16" i="2"/>
  <c r="E33" i="2"/>
  <c r="E26" i="2"/>
  <c r="E38" i="2"/>
  <c r="E31" i="2"/>
  <c r="E41" i="2"/>
  <c r="E28" i="2"/>
  <c r="E22" i="2"/>
  <c r="E29" i="2"/>
  <c r="E39" i="2"/>
  <c r="E18" i="2"/>
  <c r="E14" i="2"/>
  <c r="E24" i="2"/>
  <c r="E10" i="2"/>
  <c r="E30" i="2"/>
  <c r="E8" i="2"/>
  <c r="E20" i="2"/>
  <c r="E25" i="2"/>
  <c r="E35" i="2"/>
  <c r="E23" i="2"/>
  <c r="E12" i="2"/>
  <c r="H16" i="2"/>
  <c r="AA8" i="2"/>
  <c r="Z8" i="2"/>
  <c r="AD19" i="2"/>
  <c r="H11" i="2"/>
  <c r="T23" i="2"/>
  <c r="H38" i="2"/>
  <c r="Y20" i="2"/>
  <c r="H40" i="2"/>
  <c r="N34" i="2"/>
  <c r="F7" i="2"/>
  <c r="AD15" i="2"/>
  <c r="H18" i="2"/>
  <c r="AE7" i="2"/>
  <c r="T29" i="2"/>
  <c r="Z31" i="2"/>
  <c r="F58" i="2"/>
  <c r="AD58" i="2"/>
  <c r="M7" i="2"/>
  <c r="H17" i="2"/>
  <c r="AE33" i="2"/>
  <c r="AA12" i="2"/>
  <c r="T7" i="2"/>
  <c r="X59" i="2"/>
  <c r="N14" i="2"/>
  <c r="AF11" i="2"/>
  <c r="F50" i="2"/>
  <c r="H10" i="2"/>
  <c r="T28" i="2"/>
  <c r="AE9" i="2"/>
  <c r="H7" i="2"/>
  <c r="X20" i="2"/>
  <c r="N25" i="2"/>
  <c r="Z9" i="2"/>
  <c r="AF9" i="2"/>
  <c r="O7" i="2"/>
  <c r="T13" i="2"/>
  <c r="AE19" i="2"/>
  <c r="N28" i="2"/>
  <c r="M9" i="2"/>
  <c r="H31" i="2"/>
  <c r="H33" i="2"/>
  <c r="M24" i="2"/>
  <c r="AD54" i="2"/>
  <c r="O16" i="2"/>
  <c r="H23" i="2"/>
  <c r="H9" i="2"/>
  <c r="AF34" i="2"/>
  <c r="AD7" i="2"/>
  <c r="AE23" i="2"/>
  <c r="X67" i="2"/>
  <c r="H24" i="2"/>
  <c r="O8" i="2"/>
  <c r="AD70" i="2"/>
  <c r="H29" i="2"/>
  <c r="X47" i="2"/>
  <c r="F62" i="2"/>
  <c r="AE15" i="2"/>
  <c r="N38" i="2"/>
  <c r="F72" i="2"/>
  <c r="Y10" i="2"/>
  <c r="M8" i="2"/>
  <c r="Y30" i="2"/>
  <c r="Z23" i="2"/>
  <c r="H32" i="2"/>
  <c r="O20" i="2"/>
  <c r="H27" i="2"/>
  <c r="AF8" i="2"/>
  <c r="F9" i="2"/>
  <c r="H39" i="2"/>
  <c r="AA18" i="2"/>
  <c r="H15" i="2"/>
  <c r="AA14" i="2"/>
  <c r="Z7" i="2"/>
  <c r="H8" i="2"/>
  <c r="AA20" i="2"/>
  <c r="N11" i="2"/>
  <c r="H35" i="2"/>
  <c r="Y38" i="2"/>
  <c r="N33" i="2"/>
  <c r="H19" i="2"/>
  <c r="T38" i="2"/>
  <c r="F15" i="2"/>
  <c r="H20" i="2"/>
  <c r="AE31" i="2"/>
  <c r="T17" i="2"/>
  <c r="AF27" i="2"/>
  <c r="AD50" i="2"/>
  <c r="M14" i="2"/>
  <c r="H21" i="2"/>
  <c r="Y16" i="2"/>
  <c r="Y7" i="2"/>
  <c r="H12" i="2"/>
  <c r="X12" i="2"/>
  <c r="Z26" i="2"/>
  <c r="M30" i="2"/>
  <c r="H28" i="2"/>
  <c r="O18" i="2"/>
  <c r="O9" i="2"/>
  <c r="Y12" i="2"/>
  <c r="AA11" i="2"/>
  <c r="H25" i="2"/>
  <c r="X10" i="2"/>
  <c r="Z34" i="2"/>
  <c r="AF29" i="2"/>
  <c r="F19" i="2"/>
  <c r="AD66" i="2"/>
  <c r="M18" i="2"/>
  <c r="M22" i="2"/>
  <c r="H13" i="2"/>
  <c r="H26" i="2"/>
  <c r="H34" i="2"/>
  <c r="O41" i="2"/>
  <c r="O11" i="2"/>
  <c r="AE8" i="2"/>
  <c r="Y28" i="2"/>
  <c r="AA7" i="2"/>
  <c r="AA16" i="2"/>
  <c r="T31" i="2"/>
  <c r="H30" i="2"/>
  <c r="X16" i="2"/>
  <c r="X69" i="2"/>
  <c r="N9" i="2"/>
  <c r="Z28" i="2"/>
  <c r="AF26" i="2"/>
  <c r="AF39" i="2"/>
  <c r="W23" i="2"/>
  <c r="AD56" i="2"/>
  <c r="W11" i="2"/>
  <c r="K32" i="2"/>
  <c r="AB68" i="2"/>
  <c r="X65" i="2"/>
  <c r="AC27" i="2"/>
  <c r="C69" i="2"/>
  <c r="W13" i="2"/>
  <c r="L43" i="2"/>
  <c r="Q25" i="2"/>
  <c r="F10" i="2"/>
  <c r="K31" i="2"/>
  <c r="AD65" i="2"/>
  <c r="P35" i="2"/>
  <c r="K26" i="2"/>
  <c r="K33" i="2"/>
  <c r="AB17" i="2"/>
  <c r="I59" i="2"/>
  <c r="R55" i="2"/>
  <c r="K41" i="2"/>
  <c r="AB34" i="2"/>
  <c r="AC24" i="2"/>
  <c r="P30" i="2"/>
  <c r="Q30" i="2"/>
  <c r="I27" i="2"/>
  <c r="I35" i="2"/>
  <c r="X45" i="2"/>
  <c r="W28" i="2"/>
  <c r="L55" i="2"/>
  <c r="X41" i="2"/>
  <c r="K7" i="2"/>
  <c r="AA41" i="2"/>
  <c r="AB52" i="2"/>
  <c r="Q8" i="2"/>
  <c r="R43" i="2"/>
  <c r="AD44" i="2"/>
  <c r="AA55" i="2"/>
  <c r="AA44" i="2"/>
  <c r="W34" i="2"/>
  <c r="AB62" i="2"/>
  <c r="L69" i="2"/>
  <c r="Q16" i="2"/>
  <c r="F22" i="2"/>
  <c r="X75" i="2"/>
  <c r="R51" i="2"/>
  <c r="R54" i="2"/>
  <c r="K40" i="2"/>
  <c r="AB27" i="2"/>
  <c r="AB32" i="2"/>
  <c r="AD48" i="2"/>
  <c r="AA52" i="2"/>
  <c r="C64" i="2"/>
  <c r="L51" i="2"/>
  <c r="R42" i="2"/>
  <c r="P40" i="2"/>
  <c r="AB66" i="2"/>
  <c r="Q29" i="2"/>
  <c r="AB30" i="2"/>
  <c r="P31" i="2"/>
  <c r="AC10" i="2"/>
  <c r="W15" i="2"/>
  <c r="AB83" i="2"/>
  <c r="L60" i="2"/>
  <c r="F61" i="2"/>
  <c r="X49" i="2"/>
  <c r="R10" i="2"/>
  <c r="AB38" i="2"/>
  <c r="AA28" i="2"/>
  <c r="AC12" i="2"/>
  <c r="P17" i="2"/>
  <c r="C71" i="2"/>
  <c r="Q39" i="2"/>
  <c r="F70" i="2"/>
  <c r="AB58" i="2"/>
  <c r="R58" i="2"/>
  <c r="AC18" i="2"/>
  <c r="L52" i="2"/>
  <c r="X66" i="2"/>
  <c r="AC22" i="2"/>
  <c r="W7" i="2"/>
  <c r="Q26" i="2"/>
  <c r="Q18" i="2"/>
  <c r="X57" i="2"/>
  <c r="K13" i="2"/>
  <c r="AD10" i="2"/>
  <c r="C30" i="2"/>
  <c r="K27" i="2"/>
  <c r="AA48" i="2"/>
  <c r="X50" i="2"/>
  <c r="F56" i="2"/>
  <c r="AB13" i="2"/>
  <c r="K18" i="2"/>
  <c r="L59" i="2"/>
  <c r="F76" i="2"/>
  <c r="AB26" i="2"/>
  <c r="W24" i="2"/>
  <c r="AB46" i="2"/>
  <c r="F74" i="2"/>
  <c r="R16" i="2"/>
  <c r="AB19" i="2"/>
  <c r="AC16" i="2"/>
  <c r="R59" i="2"/>
  <c r="AB9" i="2"/>
  <c r="AB48" i="2"/>
  <c r="AD8" i="2"/>
  <c r="W20" i="2"/>
  <c r="R63" i="2"/>
  <c r="L68" i="2"/>
  <c r="F52" i="2"/>
  <c r="AB22" i="2"/>
  <c r="P34" i="2"/>
  <c r="W32" i="2"/>
  <c r="AB54" i="2"/>
  <c r="L64" i="2"/>
  <c r="Q28" i="2"/>
  <c r="F64" i="2"/>
  <c r="X40" i="2"/>
  <c r="AB23" i="2"/>
  <c r="AA34" i="2"/>
  <c r="R14" i="2"/>
  <c r="AC8" i="2"/>
  <c r="P26" i="2"/>
  <c r="V20" i="2"/>
  <c r="W19" i="2"/>
  <c r="AB76" i="2"/>
  <c r="AB72" i="2"/>
  <c r="L7" i="2"/>
  <c r="L48" i="2"/>
  <c r="Q33" i="2"/>
  <c r="Q10" i="2"/>
  <c r="F8" i="2"/>
  <c r="F53" i="2"/>
  <c r="X42" i="2"/>
  <c r="X62" i="2"/>
  <c r="K21" i="2"/>
  <c r="AD45" i="2"/>
  <c r="AD14" i="2"/>
  <c r="AA68" i="2"/>
  <c r="V27" i="2"/>
  <c r="W25" i="2"/>
  <c r="W9" i="2"/>
  <c r="AB56" i="2"/>
  <c r="AB64" i="2"/>
  <c r="L13" i="2"/>
  <c r="L56" i="2"/>
  <c r="Q23" i="2"/>
  <c r="AD68" i="2"/>
  <c r="AD52" i="2"/>
  <c r="AA53" i="2"/>
  <c r="AA38" i="2"/>
  <c r="AC32" i="2"/>
  <c r="AC35" i="2"/>
  <c r="P39" i="2"/>
  <c r="P11" i="2"/>
  <c r="I63" i="2"/>
  <c r="I70" i="2"/>
  <c r="I92" i="2"/>
  <c r="C34" i="2"/>
  <c r="V23" i="2"/>
  <c r="V16" i="2"/>
  <c r="J40" i="2"/>
  <c r="J32" i="2"/>
  <c r="O42" i="2"/>
  <c r="D17" i="2"/>
  <c r="D29" i="2"/>
  <c r="U35" i="2"/>
  <c r="M49" i="2"/>
  <c r="L50" i="2"/>
  <c r="S52" i="2"/>
  <c r="E21" i="2"/>
  <c r="AD55" i="2"/>
  <c r="AA85" i="2"/>
  <c r="R15" i="2"/>
  <c r="I25" i="2"/>
  <c r="I47" i="2"/>
  <c r="C40" i="2"/>
  <c r="C52" i="2"/>
  <c r="V32" i="2"/>
  <c r="O62" i="2"/>
  <c r="O70" i="2"/>
  <c r="Y22" i="2"/>
  <c r="Y44" i="2"/>
  <c r="AE59" i="2"/>
  <c r="AE74" i="2"/>
  <c r="L61" i="2"/>
  <c r="L12" i="2"/>
  <c r="E19" i="2"/>
  <c r="I31" i="2"/>
  <c r="C28" i="2"/>
  <c r="V14" i="2"/>
  <c r="V18" i="2"/>
  <c r="J9" i="2"/>
  <c r="D25" i="2"/>
  <c r="U27" i="2"/>
  <c r="U45" i="2"/>
  <c r="G66" i="2"/>
  <c r="K20" i="2"/>
  <c r="M53" i="2"/>
  <c r="X14" i="2"/>
  <c r="X63" i="2"/>
  <c r="E11" i="2"/>
  <c r="AD17" i="2"/>
  <c r="AA39" i="2"/>
  <c r="R19" i="2"/>
  <c r="V12" i="2"/>
  <c r="J28" i="2"/>
  <c r="O83" i="2"/>
  <c r="O72" i="2"/>
  <c r="D11" i="2"/>
  <c r="D15" i="2"/>
  <c r="Y63" i="2"/>
  <c r="Y14" i="2"/>
  <c r="AE46" i="2"/>
  <c r="G55" i="2"/>
  <c r="M54" i="2"/>
  <c r="X24" i="2"/>
  <c r="S29" i="2"/>
  <c r="E15" i="2"/>
  <c r="AD27" i="2"/>
  <c r="AA35" i="2"/>
  <c r="U26" i="2"/>
  <c r="V30" i="2"/>
  <c r="J34" i="2"/>
  <c r="J20" i="2"/>
  <c r="O32" i="2"/>
  <c r="U31" i="2"/>
  <c r="U72" i="2"/>
  <c r="G72" i="2"/>
  <c r="Q13" i="2"/>
  <c r="L53" i="2"/>
  <c r="X28" i="2"/>
  <c r="X73" i="2"/>
  <c r="AC21" i="2"/>
  <c r="AD9" i="2"/>
  <c r="AA23" i="2"/>
  <c r="U44" i="2"/>
  <c r="W30" i="2"/>
  <c r="W40" i="2"/>
  <c r="AB24" i="2"/>
  <c r="AB85" i="2"/>
  <c r="L63" i="2"/>
  <c r="Q27" i="2"/>
  <c r="Q32" i="2"/>
  <c r="F39" i="2"/>
  <c r="F48" i="2"/>
  <c r="F18" i="2"/>
  <c r="X13" i="2"/>
  <c r="X54" i="2"/>
  <c r="R50" i="2"/>
  <c r="R8" i="2"/>
  <c r="R12" i="2"/>
  <c r="K30" i="2"/>
  <c r="K25" i="2"/>
  <c r="K24" i="2"/>
  <c r="K15" i="2"/>
  <c r="AB33" i="2"/>
  <c r="AB11" i="2"/>
  <c r="AB28" i="2"/>
  <c r="AD49" i="2"/>
  <c r="AD64" i="2"/>
  <c r="AA60" i="2"/>
  <c r="AC25" i="2"/>
  <c r="AC23" i="2"/>
  <c r="AC26" i="2"/>
  <c r="P38" i="2"/>
  <c r="I29" i="2"/>
  <c r="I55" i="2"/>
  <c r="C38" i="2"/>
  <c r="D23" i="2"/>
  <c r="D24" i="2"/>
  <c r="U65" i="2"/>
  <c r="Y69" i="2"/>
  <c r="AE13" i="2"/>
  <c r="AE70" i="2"/>
  <c r="G21" i="2"/>
  <c r="G59" i="2"/>
  <c r="Q9" i="2"/>
  <c r="M46" i="2"/>
  <c r="S19" i="2"/>
  <c r="F27" i="2"/>
  <c r="AA63" i="2"/>
  <c r="U73" i="2"/>
  <c r="W27" i="2"/>
  <c r="AB60" i="2"/>
  <c r="AB70" i="2"/>
  <c r="L41" i="2"/>
  <c r="L67" i="2"/>
  <c r="L9" i="2"/>
  <c r="Q14" i="2"/>
  <c r="F65" i="2"/>
  <c r="X11" i="2"/>
  <c r="X46" i="2"/>
  <c r="AD35" i="2"/>
  <c r="AD61" i="2"/>
  <c r="AA59" i="2"/>
  <c r="AA56" i="2"/>
  <c r="AC30" i="2"/>
  <c r="AC29" i="2"/>
  <c r="P29" i="2"/>
  <c r="P13" i="2"/>
  <c r="I71" i="2"/>
  <c r="C26" i="2"/>
  <c r="C32" i="2"/>
  <c r="V40" i="2"/>
  <c r="V25" i="2"/>
  <c r="J14" i="2"/>
  <c r="O28" i="2"/>
  <c r="O46" i="2"/>
  <c r="Y52" i="2"/>
  <c r="G51" i="2"/>
  <c r="L66" i="2"/>
  <c r="X30" i="2"/>
  <c r="S8" i="2"/>
  <c r="AC19" i="2"/>
  <c r="F17" i="2"/>
  <c r="R7" i="2"/>
  <c r="U60" i="2"/>
  <c r="AA24" i="2"/>
  <c r="AA32" i="2"/>
  <c r="AC28" i="2"/>
  <c r="P32" i="2"/>
  <c r="P15" i="2"/>
  <c r="I39" i="2"/>
  <c r="I43" i="2"/>
  <c r="C56" i="2"/>
  <c r="C63" i="2"/>
  <c r="V31" i="2"/>
  <c r="J18" i="2"/>
  <c r="J30" i="2"/>
  <c r="D31" i="2"/>
  <c r="U68" i="2"/>
  <c r="U46" i="2"/>
  <c r="Y48" i="2"/>
  <c r="AE76" i="2"/>
  <c r="AE54" i="2"/>
  <c r="G58" i="2"/>
  <c r="Q11" i="2"/>
  <c r="L58" i="2"/>
  <c r="S64" i="2"/>
  <c r="S49" i="2"/>
  <c r="AC7" i="2"/>
  <c r="AA30" i="2"/>
  <c r="AC31" i="2"/>
  <c r="P19" i="2"/>
  <c r="P9" i="2"/>
  <c r="I23" i="2"/>
  <c r="C60" i="2"/>
  <c r="V24" i="2"/>
  <c r="J25" i="2"/>
  <c r="J23" i="2"/>
  <c r="J27" i="2"/>
  <c r="O54" i="2"/>
  <c r="O24" i="2"/>
  <c r="D41" i="2"/>
  <c r="G29" i="2"/>
  <c r="G62" i="2"/>
  <c r="M10" i="2"/>
  <c r="X52" i="2"/>
  <c r="W14" i="2"/>
  <c r="AD67" i="2"/>
  <c r="F43" i="2"/>
  <c r="R39" i="2"/>
  <c r="U18" i="2"/>
  <c r="AD57" i="2"/>
  <c r="AC33" i="2"/>
  <c r="W38" i="2"/>
  <c r="W17" i="2"/>
  <c r="AB74" i="2"/>
  <c r="AB44" i="2"/>
  <c r="L47" i="2"/>
  <c r="L71" i="2"/>
  <c r="Q24" i="2"/>
  <c r="Q35" i="2"/>
  <c r="F57" i="2"/>
  <c r="F12" i="2"/>
  <c r="F49" i="2"/>
  <c r="X53" i="2"/>
  <c r="X58" i="2"/>
  <c r="X7" i="2"/>
  <c r="R62" i="2"/>
  <c r="R66" i="2"/>
  <c r="R67" i="2"/>
  <c r="R70" i="2"/>
  <c r="K9" i="2"/>
  <c r="K28" i="2"/>
  <c r="K19" i="2"/>
  <c r="K17" i="2"/>
  <c r="AB15" i="2"/>
  <c r="AB39" i="2"/>
  <c r="AB25" i="2"/>
  <c r="AD16" i="2"/>
  <c r="AD41" i="2"/>
  <c r="AA67" i="2"/>
  <c r="AA64" i="2"/>
  <c r="AC39" i="2"/>
  <c r="P21" i="2"/>
  <c r="P27" i="2"/>
  <c r="I66" i="2"/>
  <c r="I62" i="2"/>
  <c r="C44" i="2"/>
  <c r="C48" i="2"/>
  <c r="V34" i="2"/>
  <c r="U71" i="2"/>
  <c r="U29" i="2"/>
  <c r="Y56" i="2"/>
  <c r="Y55" i="2"/>
  <c r="AE42" i="2"/>
  <c r="AE25" i="2"/>
  <c r="G7" i="2"/>
  <c r="K12" i="2"/>
  <c r="L42" i="2"/>
  <c r="S45" i="2"/>
  <c r="AD13" i="2"/>
  <c r="F63" i="2"/>
  <c r="R53" i="2"/>
  <c r="C47" i="2"/>
  <c r="AD12" i="2"/>
  <c r="W21" i="2"/>
  <c r="W31" i="2"/>
  <c r="AB50" i="2"/>
  <c r="AB42" i="2"/>
  <c r="L77" i="2"/>
  <c r="Q20" i="2"/>
  <c r="Q12" i="2"/>
  <c r="F60" i="2"/>
  <c r="AD60" i="2"/>
  <c r="AD53" i="2"/>
  <c r="AA72" i="2"/>
  <c r="AA22" i="2"/>
  <c r="AC20" i="2"/>
  <c r="AC14" i="2"/>
  <c r="P23" i="2"/>
  <c r="P28" i="2"/>
  <c r="I33" i="2"/>
  <c r="I77" i="2"/>
  <c r="I67" i="2"/>
  <c r="C70" i="2"/>
  <c r="C24" i="2"/>
  <c r="J26" i="2"/>
  <c r="J16" i="2"/>
  <c r="O26" i="2"/>
  <c r="D28" i="2"/>
  <c r="D30" i="2"/>
  <c r="M73" i="2"/>
  <c r="M61" i="2"/>
  <c r="X56" i="2"/>
  <c r="W8" i="2"/>
  <c r="AD21" i="2"/>
  <c r="F13" i="2"/>
  <c r="R33" i="2"/>
  <c r="C23" i="2"/>
  <c r="W33" i="2"/>
  <c r="W29" i="2"/>
  <c r="AB40" i="2"/>
  <c r="L11" i="2"/>
  <c r="L44" i="2"/>
  <c r="Q31" i="2"/>
  <c r="Q34" i="2"/>
  <c r="Q22" i="2"/>
  <c r="F44" i="2"/>
  <c r="F68" i="2"/>
  <c r="F45" i="2"/>
  <c r="X61" i="2"/>
  <c r="X9" i="2"/>
  <c r="X71" i="2"/>
  <c r="X77" i="2"/>
  <c r="R47" i="2"/>
  <c r="R74" i="2"/>
  <c r="R72" i="2"/>
  <c r="R46" i="2"/>
  <c r="K11" i="2"/>
  <c r="K38" i="2"/>
  <c r="K23" i="2"/>
  <c r="AB31" i="2"/>
  <c r="AB29" i="2"/>
  <c r="AB35" i="2"/>
  <c r="AB21" i="2"/>
  <c r="AD72" i="2"/>
  <c r="AD33" i="2"/>
  <c r="AA26" i="2"/>
  <c r="AA40" i="2"/>
  <c r="AC34" i="2"/>
  <c r="P33" i="2"/>
  <c r="P25" i="2"/>
  <c r="I41" i="2"/>
  <c r="C67" i="2"/>
  <c r="V28" i="2"/>
  <c r="V33" i="2"/>
  <c r="J10" i="2"/>
  <c r="O74" i="2"/>
  <c r="U64" i="2"/>
  <c r="Y9" i="2"/>
  <c r="Y34" i="2"/>
  <c r="AE50" i="2"/>
  <c r="AE11" i="2"/>
  <c r="G23" i="2"/>
  <c r="K34" i="2"/>
  <c r="M65" i="2"/>
  <c r="L75" i="2"/>
  <c r="X48" i="2"/>
  <c r="W26" i="2"/>
  <c r="AD43" i="2"/>
  <c r="F23" i="2"/>
  <c r="R56" i="2"/>
  <c r="G46" i="2"/>
  <c r="G54" i="2"/>
  <c r="G43" i="2"/>
  <c r="Q19" i="2"/>
  <c r="M12" i="2"/>
  <c r="L32" i="2"/>
  <c r="X43" i="2"/>
  <c r="S31" i="2"/>
  <c r="S35" i="2"/>
  <c r="X18" i="2"/>
  <c r="S60" i="2"/>
  <c r="W22" i="2"/>
  <c r="E7" i="2"/>
  <c r="AD59" i="2"/>
  <c r="AD42" i="2"/>
  <c r="AD63" i="2"/>
  <c r="F59" i="2"/>
  <c r="F46" i="2"/>
  <c r="AA17" i="2"/>
  <c r="AA19" i="2"/>
  <c r="AA29" i="2"/>
  <c r="R27" i="2"/>
  <c r="R25" i="2"/>
  <c r="U34" i="2"/>
  <c r="U40" i="2"/>
  <c r="U16" i="2"/>
  <c r="C31" i="2"/>
  <c r="C27" i="2"/>
  <c r="N23" i="2"/>
  <c r="N39" i="2"/>
  <c r="I20" i="2"/>
  <c r="I42" i="2"/>
  <c r="I18" i="2"/>
  <c r="AF16" i="2"/>
  <c r="AF22" i="2"/>
  <c r="I19" i="2"/>
  <c r="Z38" i="2"/>
  <c r="Z14" i="2"/>
  <c r="O85" i="2"/>
  <c r="AB18" i="2"/>
  <c r="S17" i="2"/>
  <c r="O66" i="2"/>
  <c r="O30" i="2"/>
  <c r="O40" i="2"/>
  <c r="D19" i="2"/>
  <c r="D13" i="2"/>
  <c r="D26" i="2"/>
  <c r="U53" i="2"/>
  <c r="U57" i="2"/>
  <c r="U41" i="2"/>
  <c r="U77" i="2"/>
  <c r="Y8" i="2"/>
  <c r="Y43" i="2"/>
  <c r="Y18" i="2"/>
  <c r="Y24" i="2"/>
  <c r="AE29" i="2"/>
  <c r="AE62" i="2"/>
  <c r="AE21" i="2"/>
  <c r="G9" i="2"/>
  <c r="K10" i="2"/>
  <c r="M42" i="2"/>
  <c r="M57" i="2"/>
  <c r="L34" i="2"/>
  <c r="L24" i="2"/>
  <c r="X8" i="2"/>
  <c r="X32" i="2"/>
  <c r="S44" i="2"/>
  <c r="E13" i="2"/>
  <c r="AD25" i="2"/>
  <c r="F67" i="2"/>
  <c r="AA21" i="2"/>
  <c r="AA33" i="2"/>
  <c r="R49" i="2"/>
  <c r="U22" i="2"/>
  <c r="C39" i="2"/>
  <c r="N20" i="2"/>
  <c r="V19" i="2"/>
  <c r="P12" i="2"/>
  <c r="I75" i="2"/>
  <c r="I28" i="2"/>
  <c r="T19" i="2"/>
  <c r="T27" i="2"/>
  <c r="G17" i="2"/>
  <c r="G33" i="2"/>
  <c r="Q15" i="2"/>
  <c r="M26" i="2"/>
  <c r="M45" i="2"/>
  <c r="L28" i="2"/>
  <c r="L54" i="2"/>
  <c r="X26" i="2"/>
  <c r="S41" i="2"/>
  <c r="S61" i="2"/>
  <c r="S23" i="2"/>
  <c r="S57" i="2"/>
  <c r="W12" i="2"/>
  <c r="AC13" i="2"/>
  <c r="AD51" i="2"/>
  <c r="AD23" i="2"/>
  <c r="AD11" i="2"/>
  <c r="F41" i="2"/>
  <c r="F31" i="2"/>
  <c r="AA25" i="2"/>
  <c r="AA43" i="2"/>
  <c r="AA27" i="2"/>
  <c r="R64" i="2"/>
  <c r="R35" i="2"/>
  <c r="U56" i="2"/>
  <c r="U38" i="2"/>
  <c r="U20" i="2"/>
  <c r="C15" i="2"/>
  <c r="C59" i="2"/>
  <c r="N16" i="2"/>
  <c r="N24" i="2"/>
  <c r="V9" i="2"/>
  <c r="I14" i="2"/>
  <c r="D12" i="2"/>
  <c r="AF31" i="2"/>
  <c r="AF28" i="2"/>
  <c r="I10" i="2"/>
  <c r="Z39" i="2"/>
  <c r="Z24" i="2"/>
  <c r="O33" i="2"/>
  <c r="T18" i="2"/>
  <c r="AB16" i="2"/>
  <c r="S25" i="2"/>
  <c r="L26" i="2"/>
  <c r="C14" i="2"/>
  <c r="C35" i="2"/>
  <c r="V17" i="2"/>
  <c r="J8" i="2"/>
  <c r="I34" i="2"/>
  <c r="I22" i="2"/>
  <c r="D10" i="2"/>
  <c r="T39" i="2"/>
  <c r="C17" i="2"/>
  <c r="N12" i="2"/>
  <c r="N10" i="2"/>
  <c r="P20" i="2"/>
  <c r="J11" i="2"/>
  <c r="D9" i="2"/>
  <c r="AF33" i="2"/>
  <c r="AF40" i="2"/>
  <c r="I17" i="2"/>
  <c r="Z11" i="2"/>
  <c r="O21" i="2"/>
  <c r="O53" i="2"/>
  <c r="T40" i="2"/>
  <c r="T32" i="2"/>
  <c r="AB12" i="2"/>
  <c r="R17" i="2"/>
  <c r="C33" i="2"/>
  <c r="C19" i="2"/>
  <c r="N22" i="2"/>
  <c r="N26" i="2"/>
  <c r="J15" i="2"/>
  <c r="I30" i="2"/>
  <c r="I26" i="2"/>
  <c r="D16" i="2"/>
  <c r="AF30" i="2"/>
  <c r="AF24" i="2"/>
  <c r="Z16" i="2"/>
  <c r="Z25" i="2"/>
  <c r="O25" i="2"/>
  <c r="O10" i="2"/>
  <c r="N15" i="2"/>
  <c r="N13" i="2"/>
  <c r="P18" i="2"/>
  <c r="J7" i="2"/>
  <c r="I50" i="2"/>
  <c r="AF25" i="2"/>
  <c r="AF17" i="2"/>
  <c r="Z20" i="2"/>
  <c r="Z12" i="2"/>
  <c r="O35" i="2"/>
  <c r="O49" i="2"/>
  <c r="T9" i="2"/>
  <c r="U9" i="2"/>
  <c r="AB7" i="2"/>
  <c r="R11" i="2"/>
  <c r="I58" i="2"/>
  <c r="I51" i="2"/>
  <c r="U92" i="2"/>
  <c r="C74" i="2"/>
  <c r="C83" i="2"/>
  <c r="C68" i="2"/>
  <c r="V29" i="2"/>
  <c r="V10" i="2"/>
  <c r="V22" i="2"/>
  <c r="V26" i="2"/>
  <c r="J29" i="2"/>
  <c r="J24" i="2"/>
  <c r="J38" i="2"/>
  <c r="J39" i="2"/>
  <c r="O71" i="2"/>
  <c r="O34" i="2"/>
  <c r="O22" i="2"/>
  <c r="D39" i="2"/>
  <c r="D18" i="2"/>
  <c r="D22" i="2"/>
  <c r="D27" i="2"/>
  <c r="U33" i="2"/>
  <c r="U23" i="2"/>
  <c r="U75" i="2"/>
  <c r="U61" i="2"/>
  <c r="Y73" i="2"/>
  <c r="Y67" i="2"/>
  <c r="Y32" i="2"/>
  <c r="AE66" i="2"/>
  <c r="AE43" i="2"/>
  <c r="AE35" i="2"/>
  <c r="AE27" i="2"/>
  <c r="G50" i="2"/>
  <c r="G8" i="2"/>
  <c r="K22" i="2"/>
  <c r="Q17" i="2"/>
  <c r="M38" i="2"/>
  <c r="M50" i="2"/>
  <c r="L30" i="2"/>
  <c r="C18" i="2"/>
  <c r="N7" i="2"/>
  <c r="N31" i="2"/>
  <c r="N35" i="2"/>
  <c r="I8" i="2"/>
  <c r="I32" i="2"/>
  <c r="D7" i="2"/>
  <c r="U17" i="2"/>
  <c r="G31" i="2"/>
  <c r="G47" i="2"/>
  <c r="K14" i="2"/>
  <c r="M75" i="2"/>
  <c r="M58" i="2"/>
  <c r="L10" i="2"/>
  <c r="L40" i="2"/>
  <c r="X22" i="2"/>
  <c r="X44" i="2"/>
  <c r="S48" i="2"/>
  <c r="S56" i="2"/>
  <c r="S76" i="2"/>
  <c r="W18" i="2"/>
  <c r="E9" i="2"/>
  <c r="AC15" i="2"/>
  <c r="AD76" i="2"/>
  <c r="AD39" i="2"/>
  <c r="F29" i="2"/>
  <c r="F51" i="2"/>
  <c r="F25" i="2"/>
  <c r="AA69" i="2"/>
  <c r="AA76" i="2"/>
  <c r="R45" i="2"/>
  <c r="R60" i="2"/>
  <c r="R23" i="2"/>
  <c r="U15" i="2"/>
  <c r="U30" i="2"/>
  <c r="C43" i="2"/>
  <c r="C41" i="2"/>
  <c r="V8" i="2"/>
  <c r="P16" i="2"/>
  <c r="J19" i="2"/>
  <c r="I24" i="2"/>
  <c r="I54" i="2"/>
  <c r="AF15" i="2"/>
  <c r="AF35" i="2"/>
  <c r="Z29" i="2"/>
  <c r="Z27" i="2"/>
  <c r="O23" i="2"/>
  <c r="O14" i="2"/>
  <c r="T12" i="2"/>
  <c r="G35" i="2"/>
  <c r="R48" i="2"/>
  <c r="X64" i="2"/>
  <c r="X55" i="2"/>
  <c r="W16" i="2"/>
  <c r="AC9" i="2"/>
  <c r="AD62" i="2"/>
  <c r="F35" i="2"/>
  <c r="AA9" i="2"/>
  <c r="R31" i="2"/>
  <c r="R65" i="2"/>
  <c r="U7" i="2"/>
  <c r="C55" i="2"/>
  <c r="N32" i="2"/>
  <c r="N27" i="2"/>
  <c r="V21" i="2"/>
  <c r="P8" i="2"/>
  <c r="I46" i="2"/>
  <c r="D20" i="2"/>
  <c r="T14" i="2"/>
  <c r="U10" i="2"/>
  <c r="C11" i="2"/>
  <c r="AD46" i="2"/>
  <c r="F21" i="2"/>
  <c r="F54" i="2"/>
  <c r="F55" i="2"/>
  <c r="AA47" i="2"/>
  <c r="AA15" i="2"/>
  <c r="R41" i="2"/>
  <c r="R57" i="2"/>
  <c r="U24" i="2"/>
  <c r="U52" i="2"/>
  <c r="U14" i="2"/>
  <c r="C29" i="2"/>
  <c r="C51" i="2"/>
  <c r="N19" i="2"/>
  <c r="P10" i="2"/>
  <c r="J17" i="2"/>
  <c r="I11" i="2"/>
  <c r="I40" i="2"/>
  <c r="D8" i="2"/>
  <c r="AF12" i="2"/>
  <c r="I9" i="2"/>
  <c r="Z32" i="2"/>
  <c r="Z15" i="2"/>
  <c r="O29" i="2"/>
  <c r="O27" i="2"/>
  <c r="G42" i="2"/>
  <c r="C16" i="2"/>
  <c r="V38" i="2"/>
  <c r="V7" i="2"/>
  <c r="J31" i="2"/>
  <c r="J12" i="2"/>
  <c r="J22" i="2"/>
  <c r="O65" i="2"/>
  <c r="O58" i="2"/>
  <c r="O38" i="2"/>
  <c r="O50" i="2"/>
  <c r="D38" i="2"/>
  <c r="D35" i="2"/>
  <c r="D33" i="2"/>
  <c r="D21" i="2"/>
  <c r="U49" i="2"/>
  <c r="U39" i="2"/>
  <c r="U25" i="2"/>
  <c r="Y47" i="2"/>
  <c r="Y59" i="2"/>
  <c r="Y51" i="2"/>
  <c r="Y26" i="2"/>
  <c r="AE17" i="2"/>
  <c r="AE58" i="2"/>
  <c r="AE51" i="2"/>
  <c r="AE39" i="2"/>
  <c r="G25" i="2"/>
  <c r="Q7" i="2"/>
  <c r="M16" i="2"/>
  <c r="L65" i="2"/>
  <c r="L46" i="2"/>
  <c r="N18" i="2"/>
  <c r="N30" i="2"/>
  <c r="V13" i="2"/>
  <c r="P14" i="2"/>
  <c r="J21" i="2"/>
  <c r="AF32" i="2"/>
  <c r="AF10" i="2"/>
  <c r="I13" i="2"/>
  <c r="Z35" i="2"/>
  <c r="Z30" i="2"/>
  <c r="O17" i="2"/>
  <c r="T34" i="2"/>
  <c r="T24" i="2"/>
  <c r="U11" i="2"/>
  <c r="C10" i="2"/>
  <c r="L8" i="2"/>
  <c r="L49" i="2"/>
  <c r="AF23" i="2"/>
  <c r="AF20" i="2"/>
  <c r="AF19" i="2"/>
  <c r="I15" i="2"/>
  <c r="I7" i="2"/>
  <c r="Z18" i="2"/>
  <c r="Z10" i="2"/>
  <c r="Z17" i="2"/>
  <c r="O13" i="2"/>
  <c r="O61" i="2"/>
  <c r="O12" i="2"/>
  <c r="O19" i="2"/>
  <c r="T26" i="2"/>
  <c r="T21" i="2"/>
  <c r="T8" i="2"/>
  <c r="T11" i="2"/>
  <c r="U21" i="2"/>
  <c r="AB20" i="2"/>
  <c r="G19" i="2"/>
  <c r="G39" i="2"/>
  <c r="S13" i="2"/>
  <c r="R9" i="2"/>
  <c r="R21" i="2"/>
  <c r="C9" i="2"/>
  <c r="L22" i="2"/>
  <c r="O39" i="2"/>
  <c r="T30" i="2"/>
  <c r="T22" i="2"/>
  <c r="T15" i="2"/>
  <c r="T25" i="2"/>
  <c r="U8" i="2"/>
  <c r="AB10" i="2"/>
  <c r="G13" i="2"/>
  <c r="G27" i="2"/>
  <c r="S27" i="2"/>
  <c r="R13" i="2"/>
  <c r="C8" i="2"/>
  <c r="C20" i="2"/>
  <c r="L57" i="2"/>
  <c r="AB8" i="2"/>
  <c r="G11" i="2"/>
  <c r="S11" i="2"/>
  <c r="S15" i="2"/>
  <c r="R68" i="2"/>
  <c r="C12" i="2"/>
  <c r="L18" i="2"/>
  <c r="L45" i="2"/>
  <c r="K16" i="2"/>
  <c r="K8" i="2"/>
  <c r="Q21" i="2"/>
  <c r="M20" i="2"/>
  <c r="M32" i="2"/>
  <c r="M34" i="2"/>
  <c r="M28" i="2"/>
  <c r="L62" i="2"/>
  <c r="L16" i="2"/>
  <c r="L38" i="2"/>
  <c r="X51" i="2"/>
  <c r="X60" i="2"/>
  <c r="X38" i="2"/>
  <c r="S68" i="2"/>
  <c r="X34" i="2"/>
  <c r="S39" i="2"/>
  <c r="S9" i="2"/>
  <c r="S7" i="2"/>
  <c r="W10" i="2"/>
  <c r="E17" i="2"/>
  <c r="AC11" i="2"/>
  <c r="AC17" i="2"/>
  <c r="AD31" i="2"/>
  <c r="AD47" i="2"/>
  <c r="AD29" i="2"/>
  <c r="F11" i="2"/>
  <c r="F33" i="2"/>
  <c r="F66" i="2"/>
  <c r="F47" i="2"/>
  <c r="AA10" i="2"/>
  <c r="AA31" i="2"/>
  <c r="AA13" i="2"/>
  <c r="AA51" i="2"/>
  <c r="R61" i="2"/>
  <c r="R29" i="2"/>
  <c r="R44" i="2"/>
  <c r="U32" i="2"/>
  <c r="U48" i="2"/>
  <c r="U12" i="2"/>
  <c r="U28" i="2"/>
  <c r="C13" i="2"/>
  <c r="C21" i="2"/>
  <c r="C25" i="2"/>
  <c r="C7" i="2"/>
  <c r="N8" i="2"/>
  <c r="N17" i="2"/>
  <c r="N29" i="2"/>
  <c r="V11" i="2"/>
  <c r="V15" i="2"/>
  <c r="P7" i="2"/>
  <c r="J13" i="2"/>
  <c r="I16" i="2"/>
  <c r="I21" i="2"/>
  <c r="I72" i="2"/>
  <c r="I38" i="2"/>
  <c r="D14" i="2"/>
  <c r="AF21" i="2"/>
  <c r="AF7" i="2"/>
  <c r="AF38" i="2"/>
  <c r="AF13" i="2"/>
  <c r="I12" i="2"/>
  <c r="Z22" i="2"/>
  <c r="Z21" i="2"/>
  <c r="Z33" i="2"/>
  <c r="Z13" i="2"/>
  <c r="O45" i="2"/>
  <c r="O31" i="2"/>
  <c r="O15" i="2"/>
  <c r="O57" i="2"/>
  <c r="T33" i="2"/>
  <c r="T10" i="2"/>
  <c r="T35" i="2"/>
  <c r="U19" i="2"/>
  <c r="U13" i="2"/>
  <c r="AB14" i="2"/>
  <c r="G15" i="2"/>
  <c r="S33" i="2"/>
  <c r="S21" i="2"/>
  <c r="R52" i="2"/>
  <c r="C22" i="2"/>
  <c r="L14" i="2"/>
  <c r="L20" i="2"/>
  <c r="U89" i="2"/>
  <c r="AA91" i="2"/>
  <c r="I81" i="2"/>
  <c r="H42" i="2"/>
  <c r="Z55" i="2"/>
  <c r="T50" i="2"/>
  <c r="AA90" i="2"/>
  <c r="X70" i="2"/>
  <c r="AA92" i="2"/>
  <c r="I91" i="2"/>
  <c r="Q91" i="2"/>
  <c r="C76" i="2"/>
  <c r="C84" i="2"/>
  <c r="I64" i="2"/>
  <c r="H62" i="2"/>
  <c r="Z51" i="2"/>
  <c r="Z77" i="2"/>
  <c r="W51" i="2"/>
  <c r="I56" i="2"/>
  <c r="H44" i="2"/>
  <c r="Z61" i="2"/>
  <c r="Z65" i="2"/>
  <c r="AA73" i="2"/>
  <c r="W59" i="2"/>
  <c r="AA94" i="2"/>
  <c r="X76" i="2"/>
  <c r="X93" i="2"/>
  <c r="O92" i="2"/>
  <c r="I87" i="2"/>
  <c r="Q87" i="2"/>
  <c r="C53" i="2"/>
  <c r="C65" i="2"/>
  <c r="I76" i="2"/>
  <c r="H74" i="2"/>
  <c r="Z67" i="2"/>
  <c r="Z45" i="2"/>
  <c r="AA65" i="2"/>
  <c r="W45" i="2"/>
  <c r="T62" i="2"/>
  <c r="AA71" i="2"/>
  <c r="O73" i="2"/>
  <c r="X35" i="2"/>
  <c r="X27" i="2"/>
  <c r="U91" i="2"/>
  <c r="C86" i="2"/>
  <c r="I89" i="2"/>
  <c r="L92" i="2"/>
  <c r="C45" i="2"/>
  <c r="I74" i="2"/>
  <c r="I60" i="2"/>
  <c r="H58" i="2"/>
  <c r="Z47" i="2"/>
  <c r="O51" i="2"/>
  <c r="T85" i="2"/>
  <c r="AA49" i="2"/>
  <c r="X68" i="2"/>
  <c r="X19" i="2"/>
  <c r="U87" i="2"/>
  <c r="C91" i="2"/>
  <c r="N92" i="2"/>
  <c r="Y92" i="2"/>
  <c r="C57" i="2"/>
  <c r="I48" i="2"/>
  <c r="I84" i="2"/>
  <c r="H56" i="2"/>
  <c r="Z49" i="2"/>
  <c r="T74" i="2"/>
  <c r="AA54" i="2"/>
  <c r="I85" i="2"/>
  <c r="I53" i="2"/>
  <c r="H76" i="2"/>
  <c r="Z73" i="2"/>
  <c r="AA62" i="2"/>
  <c r="C54" i="2"/>
  <c r="C93" i="2"/>
  <c r="T70" i="2"/>
  <c r="AA77" i="2"/>
  <c r="I44" i="2"/>
  <c r="H41" i="2"/>
  <c r="Z59" i="2"/>
  <c r="AA75" i="2"/>
  <c r="X88" i="2"/>
  <c r="C75" i="2"/>
  <c r="T52" i="2"/>
  <c r="W47" i="2"/>
  <c r="X83" i="2"/>
  <c r="I73" i="2"/>
  <c r="X39" i="2"/>
  <c r="H54" i="2"/>
  <c r="W69" i="2"/>
  <c r="Z92" i="2"/>
  <c r="U86" i="2"/>
  <c r="X25" i="2"/>
  <c r="I57" i="2"/>
  <c r="C90" i="2"/>
  <c r="X15" i="2"/>
  <c r="C58" i="2"/>
  <c r="Q82" i="2"/>
  <c r="X17" i="2"/>
  <c r="C87" i="2"/>
  <c r="Q86" i="2"/>
  <c r="C77" i="2"/>
  <c r="H66" i="2"/>
  <c r="Z57" i="2"/>
  <c r="AA66" i="2"/>
  <c r="O77" i="2"/>
  <c r="AF46" i="2"/>
  <c r="E32" i="2"/>
  <c r="X92" i="2"/>
  <c r="Z41" i="2"/>
  <c r="T48" i="2"/>
  <c r="AA83" i="2"/>
  <c r="W43" i="2"/>
  <c r="N40" i="2"/>
  <c r="Q44" i="2"/>
  <c r="V53" i="2"/>
  <c r="AE49" i="2"/>
  <c r="I88" i="2"/>
  <c r="Z71" i="2"/>
  <c r="T76" i="2"/>
  <c r="W77" i="2"/>
  <c r="O56" i="2"/>
  <c r="U70" i="2"/>
  <c r="AF76" i="2"/>
  <c r="K43" i="2"/>
  <c r="E76" i="2"/>
  <c r="Q62" i="2"/>
  <c r="D34" i="2"/>
  <c r="G57" i="2"/>
  <c r="AA81" i="2"/>
  <c r="X84" i="2"/>
  <c r="U94" i="2"/>
  <c r="U81" i="2"/>
  <c r="C89" i="2"/>
  <c r="I90" i="2"/>
  <c r="I82" i="2"/>
  <c r="Q94" i="2"/>
  <c r="Q90" i="2"/>
  <c r="C85" i="2"/>
  <c r="C50" i="2"/>
  <c r="C73" i="2"/>
  <c r="C62" i="2"/>
  <c r="I69" i="2"/>
  <c r="I68" i="2"/>
  <c r="H68" i="2"/>
  <c r="H48" i="2"/>
  <c r="H14" i="2"/>
  <c r="Z84" i="2"/>
  <c r="Z43" i="2"/>
  <c r="T44" i="2"/>
  <c r="T56" i="2"/>
  <c r="T54" i="2"/>
  <c r="AA45" i="2"/>
  <c r="AA46" i="2"/>
  <c r="W55" i="2"/>
  <c r="W61" i="2"/>
  <c r="O88" i="2"/>
  <c r="O67" i="2"/>
  <c r="U66" i="2"/>
  <c r="U50" i="2"/>
  <c r="AF48" i="2"/>
  <c r="AF74" i="2"/>
  <c r="K53" i="2"/>
  <c r="AC85" i="2"/>
  <c r="J92" i="2"/>
  <c r="Q40" i="2"/>
  <c r="V45" i="2"/>
  <c r="J73" i="2"/>
  <c r="P62" i="2"/>
  <c r="AA89" i="2"/>
  <c r="U90" i="2"/>
  <c r="C94" i="2"/>
  <c r="C49" i="2"/>
  <c r="K92" i="2"/>
  <c r="Z69" i="2"/>
  <c r="W57" i="2"/>
  <c r="U83" i="2"/>
  <c r="AF58" i="2"/>
  <c r="AC50" i="2"/>
  <c r="I65" i="2"/>
  <c r="H83" i="2"/>
  <c r="Z63" i="2"/>
  <c r="T60" i="2"/>
  <c r="W73" i="2"/>
  <c r="AC68" i="2"/>
  <c r="Q72" i="2"/>
  <c r="G64" i="2"/>
  <c r="H46" i="2"/>
  <c r="T83" i="2"/>
  <c r="AA57" i="2"/>
  <c r="O75" i="2"/>
  <c r="U74" i="2"/>
  <c r="AF70" i="2"/>
  <c r="N61" i="2"/>
  <c r="K61" i="2"/>
  <c r="Q83" i="2"/>
  <c r="J51" i="2"/>
  <c r="AE53" i="2"/>
  <c r="AA86" i="2"/>
  <c r="X33" i="2"/>
  <c r="X29" i="2"/>
  <c r="I93" i="2"/>
  <c r="I49" i="2"/>
  <c r="H64" i="2"/>
  <c r="H72" i="2"/>
  <c r="H60" i="2"/>
  <c r="Z19" i="2"/>
  <c r="Z53" i="2"/>
  <c r="T72" i="2"/>
  <c r="T20" i="2"/>
  <c r="T64" i="2"/>
  <c r="AA70" i="2"/>
  <c r="AA88" i="2"/>
  <c r="N59" i="2"/>
  <c r="K67" i="2"/>
  <c r="W92" i="2"/>
  <c r="E83" i="2"/>
  <c r="Q38" i="2"/>
  <c r="J33" i="2"/>
  <c r="P60" i="2"/>
  <c r="D68" i="2"/>
  <c r="S66" i="2"/>
  <c r="G53" i="2"/>
  <c r="W84" i="2"/>
  <c r="O47" i="2"/>
  <c r="O93" i="2"/>
  <c r="U55" i="2"/>
  <c r="U85" i="2"/>
  <c r="AF52" i="2"/>
  <c r="N45" i="2"/>
  <c r="K59" i="2"/>
  <c r="K69" i="2"/>
  <c r="AC70" i="2"/>
  <c r="Q60" i="2"/>
  <c r="V41" i="2"/>
  <c r="V65" i="2"/>
  <c r="T46" i="2"/>
  <c r="AA50" i="2"/>
  <c r="W39" i="2"/>
  <c r="N49" i="2"/>
  <c r="AC38" i="2"/>
  <c r="E64" i="2"/>
  <c r="E62" i="2"/>
  <c r="V35" i="2"/>
  <c r="J55" i="2"/>
  <c r="P70" i="2"/>
  <c r="D64" i="2"/>
  <c r="S62" i="2"/>
  <c r="M60" i="2"/>
  <c r="O84" i="2"/>
  <c r="U84" i="2"/>
  <c r="U88" i="2"/>
  <c r="AF44" i="2"/>
  <c r="N69" i="2"/>
  <c r="N67" i="2"/>
  <c r="K73" i="2"/>
  <c r="K84" i="2"/>
  <c r="E52" i="2"/>
  <c r="Q64" i="2"/>
  <c r="V77" i="2"/>
  <c r="J49" i="2"/>
  <c r="O43" i="2"/>
  <c r="U54" i="2"/>
  <c r="AF68" i="2"/>
  <c r="AF42" i="2"/>
  <c r="N71" i="2"/>
  <c r="AC40" i="2"/>
  <c r="AC56" i="2"/>
  <c r="E40" i="2"/>
  <c r="V55" i="2"/>
  <c r="V51" i="2"/>
  <c r="J43" i="2"/>
  <c r="P68" i="2"/>
  <c r="AE60" i="2"/>
  <c r="S42" i="2"/>
  <c r="M43" i="2"/>
  <c r="T68" i="2"/>
  <c r="AA61" i="2"/>
  <c r="W53" i="2"/>
  <c r="O68" i="2"/>
  <c r="U93" i="2"/>
  <c r="U58" i="2"/>
  <c r="AF60" i="2"/>
  <c r="AF66" i="2"/>
  <c r="N73" i="2"/>
  <c r="N21" i="2"/>
  <c r="K47" i="2"/>
  <c r="E54" i="2"/>
  <c r="E48" i="2"/>
  <c r="Q66" i="2"/>
  <c r="AA58" i="2"/>
  <c r="W67" i="2"/>
  <c r="K55" i="2"/>
  <c r="AC83" i="2"/>
  <c r="AC72" i="2"/>
  <c r="Q70" i="2"/>
  <c r="V49" i="2"/>
  <c r="V67" i="2"/>
  <c r="J57" i="2"/>
  <c r="P72" i="2"/>
  <c r="AE52" i="2"/>
  <c r="G44" i="2"/>
  <c r="AA42" i="2"/>
  <c r="X21" i="2"/>
  <c r="I94" i="2"/>
  <c r="C61" i="2"/>
  <c r="H70" i="2"/>
  <c r="AA93" i="2"/>
  <c r="N75" i="2"/>
  <c r="N51" i="2"/>
  <c r="Q42" i="2"/>
  <c r="V39" i="2"/>
  <c r="J75" i="2"/>
  <c r="X74" i="2"/>
  <c r="C66" i="2"/>
  <c r="I45" i="2"/>
  <c r="T58" i="2"/>
  <c r="H22" i="2"/>
  <c r="X31" i="2"/>
  <c r="M92" i="2"/>
  <c r="I52" i="2"/>
  <c r="Z75" i="2"/>
  <c r="T16" i="2"/>
  <c r="O52" i="2"/>
  <c r="U59" i="2"/>
  <c r="I61" i="2"/>
  <c r="T66" i="2"/>
  <c r="AA74" i="2"/>
  <c r="K75" i="2"/>
  <c r="J77" i="2"/>
  <c r="D44" i="2"/>
  <c r="AA87" i="2"/>
  <c r="AA82" i="2"/>
  <c r="X23" i="2"/>
  <c r="X72" i="2"/>
  <c r="X85" i="2"/>
  <c r="C92" i="2"/>
  <c r="U82" i="2"/>
  <c r="C82" i="2"/>
  <c r="C81" i="2"/>
  <c r="I86" i="2"/>
  <c r="Q81" i="2"/>
  <c r="Q89" i="2"/>
  <c r="C72" i="2"/>
  <c r="C42" i="2"/>
  <c r="C88" i="2"/>
  <c r="C46" i="2"/>
  <c r="I83" i="2"/>
  <c r="H52" i="2"/>
  <c r="H50" i="2"/>
  <c r="Z40" i="2"/>
  <c r="T42" i="2"/>
  <c r="AA84" i="2"/>
  <c r="W35" i="2"/>
  <c r="W41" i="2"/>
  <c r="O60" i="2"/>
  <c r="O69" i="2"/>
  <c r="U69" i="2"/>
  <c r="U47" i="2"/>
  <c r="AF72" i="2"/>
  <c r="AF18" i="2"/>
  <c r="N53" i="2"/>
  <c r="AC60" i="2"/>
  <c r="V92" i="2"/>
  <c r="E46" i="2"/>
  <c r="V75" i="2"/>
  <c r="J47" i="2"/>
  <c r="W71" i="2"/>
  <c r="W75" i="2"/>
  <c r="W63" i="2"/>
  <c r="W49" i="2"/>
  <c r="O64" i="2"/>
  <c r="O48" i="2"/>
  <c r="O59" i="2"/>
  <c r="U51" i="2"/>
  <c r="U42" i="2"/>
  <c r="U67" i="2"/>
  <c r="U43" i="2"/>
  <c r="AF50" i="2"/>
  <c r="AF56" i="2"/>
  <c r="AF85" i="2"/>
  <c r="AF64" i="2"/>
  <c r="N65" i="2"/>
  <c r="N47" i="2"/>
  <c r="N57" i="2"/>
  <c r="K39" i="2"/>
  <c r="K35" i="2"/>
  <c r="K63" i="2"/>
  <c r="K65" i="2"/>
  <c r="AC42" i="2"/>
  <c r="AC62" i="2"/>
  <c r="AC46" i="2"/>
  <c r="AC52" i="2"/>
  <c r="E44" i="2"/>
  <c r="E72" i="2"/>
  <c r="E74" i="2"/>
  <c r="E42" i="2"/>
  <c r="Q76" i="2"/>
  <c r="Q85" i="2"/>
  <c r="Q54" i="2"/>
  <c r="V43" i="2"/>
  <c r="V69" i="2"/>
  <c r="V71" i="2"/>
  <c r="V47" i="2"/>
  <c r="J84" i="2"/>
  <c r="J71" i="2"/>
  <c r="J65" i="2"/>
  <c r="J69" i="2"/>
  <c r="P46" i="2"/>
  <c r="P24" i="2"/>
  <c r="P64" i="2"/>
  <c r="D42" i="2"/>
  <c r="D72" i="2"/>
  <c r="D74" i="2"/>
  <c r="D56" i="2"/>
  <c r="AE68" i="2"/>
  <c r="AE72" i="2"/>
  <c r="AE64" i="2"/>
  <c r="AE57" i="2"/>
  <c r="S65" i="2"/>
  <c r="S55" i="2"/>
  <c r="S54" i="2"/>
  <c r="G56" i="2"/>
  <c r="G52" i="2"/>
  <c r="G61" i="2"/>
  <c r="G12" i="2"/>
  <c r="M47" i="2"/>
  <c r="M44" i="2"/>
  <c r="M77" i="2"/>
  <c r="M69" i="2"/>
  <c r="Y11" i="2"/>
  <c r="Y41" i="2"/>
  <c r="Y40" i="2"/>
  <c r="M59" i="2"/>
  <c r="M68" i="2"/>
  <c r="Y42" i="2"/>
  <c r="Y62" i="2"/>
  <c r="Y65" i="2"/>
  <c r="P74" i="2"/>
  <c r="P54" i="2"/>
  <c r="P83" i="2"/>
  <c r="D58" i="2"/>
  <c r="D54" i="2"/>
  <c r="D85" i="2"/>
  <c r="D76" i="2"/>
  <c r="AE45" i="2"/>
  <c r="AE63" i="2"/>
  <c r="AE41" i="2"/>
  <c r="S47" i="2"/>
  <c r="S12" i="2"/>
  <c r="S72" i="2"/>
  <c r="S43" i="2"/>
  <c r="G68" i="2"/>
  <c r="G65" i="2"/>
  <c r="G14" i="2"/>
  <c r="G67" i="2"/>
  <c r="M66" i="2"/>
  <c r="M48" i="2"/>
  <c r="M56" i="2"/>
  <c r="Y75" i="2"/>
  <c r="Y45" i="2"/>
  <c r="Y71" i="2"/>
  <c r="Y57" i="2"/>
  <c r="P58" i="2"/>
  <c r="P85" i="2"/>
  <c r="P42" i="2"/>
  <c r="D40" i="2"/>
  <c r="D66" i="2"/>
  <c r="D50" i="2"/>
  <c r="D46" i="2"/>
  <c r="AE67" i="2"/>
  <c r="AE61" i="2"/>
  <c r="AE12" i="2"/>
  <c r="S18" i="2"/>
  <c r="S67" i="2"/>
  <c r="S74" i="2"/>
  <c r="S53" i="2"/>
  <c r="G10" i="2"/>
  <c r="G70" i="2"/>
  <c r="G60" i="2"/>
  <c r="G63" i="2"/>
  <c r="M41" i="2"/>
  <c r="M67" i="2"/>
  <c r="M71" i="2"/>
  <c r="Y49" i="2"/>
  <c r="Y53" i="2"/>
  <c r="Y50" i="2"/>
  <c r="Y77" i="2"/>
  <c r="W65" i="2"/>
  <c r="O55" i="2"/>
  <c r="O63" i="2"/>
  <c r="O76" i="2"/>
  <c r="O44" i="2"/>
  <c r="U63" i="2"/>
  <c r="U76" i="2"/>
  <c r="U62" i="2"/>
  <c r="AF54" i="2"/>
  <c r="AF62" i="2"/>
  <c r="AF14" i="2"/>
  <c r="AF83" i="2"/>
  <c r="N63" i="2"/>
  <c r="N43" i="2"/>
  <c r="N55" i="2"/>
  <c r="N84" i="2"/>
  <c r="K57" i="2"/>
  <c r="K45" i="2"/>
  <c r="K77" i="2"/>
  <c r="AC76" i="2"/>
  <c r="AC44" i="2"/>
  <c r="AC74" i="2"/>
  <c r="AC58" i="2"/>
  <c r="E34" i="2"/>
  <c r="E50" i="2"/>
  <c r="E70" i="2"/>
  <c r="E68" i="2"/>
  <c r="Q50" i="2"/>
  <c r="Q56" i="2"/>
  <c r="Q52" i="2"/>
  <c r="Q68" i="2"/>
  <c r="V73" i="2"/>
  <c r="V63" i="2"/>
  <c r="V61" i="2"/>
  <c r="J35" i="2"/>
  <c r="J61" i="2"/>
  <c r="J53" i="2"/>
  <c r="J45" i="2"/>
  <c r="P56" i="2"/>
  <c r="P22" i="2"/>
  <c r="P66" i="2"/>
  <c r="P44" i="2"/>
  <c r="D52" i="2"/>
  <c r="D48" i="2"/>
  <c r="D70" i="2"/>
  <c r="AE10" i="2"/>
  <c r="AE48" i="2"/>
  <c r="AE56" i="2"/>
  <c r="AE65" i="2"/>
  <c r="S10" i="2"/>
  <c r="S46" i="2"/>
  <c r="S70" i="2"/>
  <c r="S59" i="2"/>
  <c r="G74" i="2"/>
  <c r="G76" i="2"/>
  <c r="G45" i="2"/>
  <c r="M55" i="2"/>
  <c r="M51" i="2"/>
  <c r="M40" i="2"/>
  <c r="M63" i="2"/>
  <c r="Y66" i="2"/>
  <c r="Y64" i="2"/>
  <c r="Y46" i="2"/>
  <c r="Y23" i="2"/>
  <c r="N41" i="2"/>
  <c r="N77" i="2"/>
  <c r="K49" i="2"/>
  <c r="K71" i="2"/>
  <c r="K29" i="2"/>
  <c r="K51" i="2"/>
  <c r="AC48" i="2"/>
  <c r="AC54" i="2"/>
  <c r="AC66" i="2"/>
  <c r="AC64" i="2"/>
  <c r="E60" i="2"/>
  <c r="E58" i="2"/>
  <c r="E66" i="2"/>
  <c r="E56" i="2"/>
  <c r="Q58" i="2"/>
  <c r="Q74" i="2"/>
  <c r="Q46" i="2"/>
  <c r="Q48" i="2"/>
  <c r="V59" i="2"/>
  <c r="V84" i="2"/>
  <c r="V57" i="2"/>
  <c r="J59" i="2"/>
  <c r="J63" i="2"/>
  <c r="J67" i="2"/>
  <c r="J41" i="2"/>
  <c r="P76" i="2"/>
  <c r="P50" i="2"/>
  <c r="P52" i="2"/>
  <c r="P48" i="2"/>
  <c r="D62" i="2"/>
  <c r="D32" i="2"/>
  <c r="D60" i="2"/>
  <c r="AE47" i="2"/>
  <c r="AE18" i="2"/>
  <c r="AE44" i="2"/>
  <c r="AE55" i="2"/>
  <c r="S58" i="2"/>
  <c r="S51" i="2"/>
  <c r="S50" i="2"/>
  <c r="S63" i="2"/>
  <c r="G49" i="2"/>
  <c r="G41" i="2"/>
  <c r="G48" i="2"/>
  <c r="M52" i="2"/>
  <c r="M64" i="2"/>
  <c r="M62" i="2"/>
  <c r="M15" i="2"/>
  <c r="Y54" i="2"/>
  <c r="Y60" i="2"/>
  <c r="Y58" i="2"/>
  <c r="Y61" i="2"/>
  <c r="R69" i="2"/>
  <c r="E81" i="2"/>
  <c r="AD85" i="2"/>
  <c r="K60" i="2"/>
  <c r="W87" i="2"/>
  <c r="Q73" i="2"/>
  <c r="W74" i="2"/>
  <c r="V81" i="2"/>
  <c r="K48" i="2"/>
  <c r="E43" i="2"/>
  <c r="Q45" i="2"/>
  <c r="R71" i="2"/>
  <c r="E87" i="2"/>
  <c r="AD69" i="2"/>
  <c r="V91" i="2"/>
  <c r="K46" i="2"/>
  <c r="E69" i="2"/>
  <c r="V42" i="2"/>
  <c r="R77" i="2"/>
  <c r="L74" i="2"/>
  <c r="W76" i="2"/>
  <c r="J54" i="2"/>
  <c r="V62" i="2"/>
  <c r="D82" i="2"/>
  <c r="AD18" i="2"/>
  <c r="E92" i="2"/>
  <c r="K88" i="2"/>
  <c r="E88" i="2"/>
  <c r="V68" i="2"/>
  <c r="E86" i="2"/>
  <c r="L73" i="2"/>
  <c r="L17" i="2"/>
  <c r="AD22" i="2"/>
  <c r="AD40" i="2"/>
  <c r="J83" i="2"/>
  <c r="AB82" i="2"/>
  <c r="E67" i="2"/>
  <c r="Q88" i="2"/>
  <c r="R28" i="2"/>
  <c r="R20" i="2"/>
  <c r="AC82" i="2"/>
  <c r="L72" i="2"/>
  <c r="W85" i="2"/>
  <c r="W83" i="2"/>
  <c r="F32" i="2"/>
  <c r="K42" i="2"/>
  <c r="J44" i="2"/>
  <c r="AB89" i="2"/>
  <c r="E63" i="2"/>
  <c r="Q43" i="2"/>
  <c r="L85" i="2"/>
  <c r="F77" i="2"/>
  <c r="R18" i="2"/>
  <c r="R73" i="2"/>
  <c r="AC90" i="2"/>
  <c r="E82" i="2"/>
  <c r="L31" i="2"/>
  <c r="W52" i="2"/>
  <c r="AD71" i="2"/>
  <c r="AB92" i="2"/>
  <c r="F16" i="2"/>
  <c r="K93" i="2"/>
  <c r="J68" i="2"/>
  <c r="AB81" i="2"/>
  <c r="AB59" i="2"/>
  <c r="Q71" i="2"/>
  <c r="L23" i="2"/>
  <c r="L33" i="2"/>
  <c r="W50" i="2"/>
  <c r="V89" i="2"/>
  <c r="F75" i="2"/>
  <c r="K76" i="2"/>
  <c r="J48" i="2"/>
  <c r="W86" i="2"/>
  <c r="AB75" i="2"/>
  <c r="Q65" i="2"/>
  <c r="R75" i="2"/>
  <c r="R34" i="2"/>
  <c r="K89" i="2"/>
  <c r="E90" i="2"/>
  <c r="W58" i="2"/>
  <c r="W56" i="2"/>
  <c r="AD83" i="2"/>
  <c r="K44" i="2"/>
  <c r="J88" i="2"/>
  <c r="W90" i="2"/>
  <c r="AB69" i="2"/>
  <c r="Q53" i="2"/>
  <c r="R22" i="2"/>
  <c r="L35" i="2"/>
  <c r="V82" i="2"/>
  <c r="J66" i="2"/>
  <c r="AB63" i="2"/>
  <c r="K82" i="2"/>
  <c r="P82" i="2"/>
  <c r="W68" i="2"/>
  <c r="F84" i="2"/>
  <c r="J74" i="2"/>
  <c r="AB71" i="2"/>
  <c r="R83" i="2"/>
  <c r="K86" i="2"/>
  <c r="L83" i="2"/>
  <c r="AD75" i="2"/>
  <c r="F85" i="2"/>
  <c r="J52" i="2"/>
  <c r="AB65" i="2"/>
  <c r="AC94" i="2"/>
  <c r="P81" i="2"/>
  <c r="K62" i="2"/>
  <c r="AB51" i="2"/>
  <c r="K90" i="2"/>
  <c r="W70" i="2"/>
  <c r="AD30" i="2"/>
  <c r="F71" i="2"/>
  <c r="J50" i="2"/>
  <c r="J86" i="2"/>
  <c r="R84" i="2"/>
  <c r="R38" i="2"/>
  <c r="AC81" i="2"/>
  <c r="D90" i="2"/>
  <c r="L70" i="2"/>
  <c r="P90" i="2"/>
  <c r="AD77" i="2"/>
  <c r="F30" i="2"/>
  <c r="F83" i="2"/>
  <c r="K58" i="2"/>
  <c r="J64" i="2"/>
  <c r="E47" i="2"/>
  <c r="J87" i="2"/>
  <c r="V88" i="2"/>
  <c r="R85" i="2"/>
  <c r="R93" i="2"/>
  <c r="AC91" i="2"/>
  <c r="E94" i="2"/>
  <c r="P94" i="2"/>
  <c r="W54" i="2"/>
  <c r="AD20" i="2"/>
  <c r="F14" i="2"/>
  <c r="K85" i="2"/>
  <c r="D92" i="2"/>
  <c r="AB86" i="2"/>
  <c r="E75" i="2"/>
  <c r="J90" i="2"/>
  <c r="D71" i="2"/>
  <c r="R30" i="2"/>
  <c r="R40" i="2"/>
  <c r="R88" i="2"/>
  <c r="R26" i="2"/>
  <c r="AC86" i="2"/>
  <c r="K94" i="2"/>
  <c r="E89" i="2"/>
  <c r="D87" i="2"/>
  <c r="D91" i="2"/>
  <c r="L29" i="2"/>
  <c r="L84" i="2"/>
  <c r="L76" i="2"/>
  <c r="L88" i="2"/>
  <c r="P86" i="2"/>
  <c r="W62" i="2"/>
  <c r="W64" i="2"/>
  <c r="W60" i="2"/>
  <c r="W93" i="2"/>
  <c r="AD24" i="2"/>
  <c r="AD88" i="2"/>
  <c r="AD32" i="2"/>
  <c r="P92" i="2"/>
  <c r="V87" i="2"/>
  <c r="F20" i="2"/>
  <c r="F34" i="2"/>
  <c r="F28" i="2"/>
  <c r="F26" i="2"/>
  <c r="K66" i="2"/>
  <c r="K70" i="2"/>
  <c r="K72" i="2"/>
  <c r="K52" i="2"/>
  <c r="J58" i="2"/>
  <c r="J72" i="2"/>
  <c r="J85" i="2"/>
  <c r="AB91" i="2"/>
  <c r="AB90" i="2"/>
  <c r="W81" i="2"/>
  <c r="E55" i="2"/>
  <c r="E61" i="2"/>
  <c r="E65" i="2"/>
  <c r="E53" i="2"/>
  <c r="AB88" i="2"/>
  <c r="AB47" i="2"/>
  <c r="AB84" i="2"/>
  <c r="J89" i="2"/>
  <c r="J81" i="2"/>
  <c r="Q67" i="2"/>
  <c r="Q63" i="2"/>
  <c r="Q59" i="2"/>
  <c r="V74" i="2"/>
  <c r="V64" i="2"/>
  <c r="V70" i="2"/>
  <c r="V76" i="2"/>
  <c r="D47" i="2"/>
  <c r="D69" i="2"/>
  <c r="D53" i="2"/>
  <c r="D75" i="2"/>
  <c r="AC55" i="2"/>
  <c r="AC67" i="2"/>
  <c r="AC84" i="2"/>
  <c r="P67" i="2"/>
  <c r="P53" i="2"/>
  <c r="P51" i="2"/>
  <c r="P63" i="2"/>
  <c r="O89" i="2"/>
  <c r="AC53" i="2"/>
  <c r="AC75" i="2"/>
  <c r="P73" i="2"/>
  <c r="P41" i="2"/>
  <c r="O87" i="2"/>
  <c r="D84" i="2"/>
  <c r="P77" i="2"/>
  <c r="AC88" i="2"/>
  <c r="R76" i="2"/>
  <c r="AC87" i="2"/>
  <c r="K87" i="2"/>
  <c r="D86" i="2"/>
  <c r="L21" i="2"/>
  <c r="P87" i="2"/>
  <c r="W44" i="2"/>
  <c r="W88" i="2"/>
  <c r="AD84" i="2"/>
  <c r="AD93" i="2"/>
  <c r="AD73" i="2"/>
  <c r="V94" i="2"/>
  <c r="V86" i="2"/>
  <c r="F88" i="2"/>
  <c r="F69" i="2"/>
  <c r="F40" i="2"/>
  <c r="F24" i="2"/>
  <c r="K54" i="2"/>
  <c r="K50" i="2"/>
  <c r="K83" i="2"/>
  <c r="J46" i="2"/>
  <c r="J70" i="2"/>
  <c r="J56" i="2"/>
  <c r="J76" i="2"/>
  <c r="AB87" i="2"/>
  <c r="W82" i="2"/>
  <c r="W89" i="2"/>
  <c r="E77" i="2"/>
  <c r="E93" i="2"/>
  <c r="E49" i="2"/>
  <c r="AB45" i="2"/>
  <c r="AB55" i="2"/>
  <c r="AB43" i="2"/>
  <c r="AB57" i="2"/>
  <c r="J91" i="2"/>
  <c r="Q69" i="2"/>
  <c r="Q41" i="2"/>
  <c r="Q51" i="2"/>
  <c r="Q57" i="2"/>
  <c r="V83" i="2"/>
  <c r="V52" i="2"/>
  <c r="V72" i="2"/>
  <c r="V44" i="2"/>
  <c r="D65" i="2"/>
  <c r="D55" i="2"/>
  <c r="D73" i="2"/>
  <c r="AC43" i="2"/>
  <c r="AC47" i="2"/>
  <c r="AC49" i="2"/>
  <c r="AC73" i="2"/>
  <c r="P45" i="2"/>
  <c r="P47" i="2"/>
  <c r="P59" i="2"/>
  <c r="P49" i="2"/>
  <c r="O90" i="2"/>
  <c r="V48" i="2"/>
  <c r="D77" i="2"/>
  <c r="D88" i="2"/>
  <c r="P69" i="2"/>
  <c r="R24" i="2"/>
  <c r="R32" i="2"/>
  <c r="AC89" i="2"/>
  <c r="D94" i="2"/>
  <c r="E91" i="2"/>
  <c r="L39" i="2"/>
  <c r="L19" i="2"/>
  <c r="P91" i="2"/>
  <c r="W66" i="2"/>
  <c r="AD34" i="2"/>
  <c r="V66" i="2"/>
  <c r="V46" i="2"/>
  <c r="V56" i="2"/>
  <c r="D43" i="2"/>
  <c r="D83" i="2"/>
  <c r="D49" i="2"/>
  <c r="AC59" i="2"/>
  <c r="AC71" i="2"/>
  <c r="AC51" i="2"/>
  <c r="AC45" i="2"/>
  <c r="P71" i="2"/>
  <c r="P93" i="2"/>
  <c r="P55" i="2"/>
  <c r="P57" i="2"/>
  <c r="O94" i="2"/>
  <c r="E85" i="2"/>
  <c r="E45" i="2"/>
  <c r="AB49" i="2"/>
  <c r="J82" i="2"/>
  <c r="Q75" i="2"/>
  <c r="V50" i="2"/>
  <c r="V60" i="2"/>
  <c r="D59" i="2"/>
  <c r="D67" i="2"/>
  <c r="AC41" i="2"/>
  <c r="AC93" i="2"/>
  <c r="P65" i="2"/>
  <c r="P43" i="2"/>
  <c r="P84" i="2"/>
  <c r="O86" i="2"/>
  <c r="W94" i="2"/>
  <c r="E73" i="2"/>
  <c r="E51" i="2"/>
  <c r="AB61" i="2"/>
  <c r="AB77" i="2"/>
  <c r="AB93" i="2"/>
  <c r="Q61" i="2"/>
  <c r="Q84" i="2"/>
  <c r="Q93" i="2"/>
  <c r="V85" i="2"/>
  <c r="D93" i="2"/>
  <c r="D57" i="2"/>
  <c r="AC65" i="2"/>
  <c r="AC63" i="2"/>
  <c r="O82" i="2"/>
  <c r="K81" i="2"/>
  <c r="K91" i="2"/>
  <c r="D81" i="2"/>
  <c r="D89" i="2"/>
  <c r="L27" i="2"/>
  <c r="L25" i="2"/>
  <c r="L15" i="2"/>
  <c r="L93" i="2"/>
  <c r="P89" i="2"/>
  <c r="W72" i="2"/>
  <c r="W42" i="2"/>
  <c r="W46" i="2"/>
  <c r="W48" i="2"/>
  <c r="AD38" i="2"/>
  <c r="AD28" i="2"/>
  <c r="AD74" i="2"/>
  <c r="AD26" i="2"/>
  <c r="V90" i="2"/>
  <c r="F93" i="2"/>
  <c r="F38" i="2"/>
  <c r="F42" i="2"/>
  <c r="F73" i="2"/>
  <c r="K56" i="2"/>
  <c r="K74" i="2"/>
  <c r="K64" i="2"/>
  <c r="K68" i="2"/>
  <c r="J93" i="2"/>
  <c r="J42" i="2"/>
  <c r="J60" i="2"/>
  <c r="J62" i="2"/>
  <c r="AB94" i="2"/>
  <c r="W91" i="2"/>
  <c r="E71" i="2"/>
  <c r="E84" i="2"/>
  <c r="E57" i="2"/>
  <c r="E59" i="2"/>
  <c r="AB73" i="2"/>
  <c r="AB53" i="2"/>
  <c r="AB67" i="2"/>
  <c r="AB41" i="2"/>
  <c r="J94" i="2"/>
  <c r="Q47" i="2"/>
  <c r="Q77" i="2"/>
  <c r="Q55" i="2"/>
  <c r="Q49" i="2"/>
  <c r="V93" i="2"/>
  <c r="V54" i="2"/>
  <c r="V58" i="2"/>
  <c r="D51" i="2"/>
  <c r="D45" i="2"/>
  <c r="D63" i="2"/>
  <c r="D61" i="2"/>
  <c r="AC61" i="2"/>
  <c r="AC57" i="2"/>
  <c r="AC77" i="2"/>
  <c r="AC69" i="2"/>
  <c r="P75" i="2"/>
  <c r="P88" i="2"/>
  <c r="P61" i="2"/>
  <c r="O81" i="2"/>
  <c r="O91" i="2"/>
  <c r="H92" i="2"/>
  <c r="AF65" i="2"/>
  <c r="G77" i="2"/>
  <c r="Z64" i="2"/>
  <c r="AE38" i="2"/>
  <c r="M84" i="2"/>
  <c r="G90" i="2"/>
  <c r="AE32" i="2"/>
  <c r="AE71" i="2"/>
  <c r="S34" i="2"/>
  <c r="S88" i="2"/>
  <c r="M83" i="2"/>
  <c r="AF45" i="2"/>
  <c r="AF71" i="2"/>
  <c r="G75" i="2"/>
  <c r="G88" i="2"/>
  <c r="Y25" i="2"/>
  <c r="Y39" i="2"/>
  <c r="Z70" i="2"/>
  <c r="Z93" i="2"/>
  <c r="Z50" i="2"/>
  <c r="N60" i="2"/>
  <c r="N88" i="2"/>
  <c r="N56" i="2"/>
  <c r="L87" i="2"/>
  <c r="AE20" i="2"/>
  <c r="M85" i="2"/>
  <c r="AF63" i="2"/>
  <c r="Z72" i="2"/>
  <c r="G87" i="2"/>
  <c r="S28" i="2"/>
  <c r="M93" i="2"/>
  <c r="AE40" i="2"/>
  <c r="AE22" i="2"/>
  <c r="S22" i="2"/>
  <c r="M74" i="2"/>
  <c r="M31" i="2"/>
  <c r="AF69" i="2"/>
  <c r="G85" i="2"/>
  <c r="G24" i="2"/>
  <c r="Y17" i="2"/>
  <c r="N74" i="2"/>
  <c r="G81" i="2"/>
  <c r="AE85" i="2"/>
  <c r="AE14" i="2"/>
  <c r="AE26" i="2"/>
  <c r="S40" i="2"/>
  <c r="S26" i="2"/>
  <c r="S77" i="2"/>
  <c r="M72" i="2"/>
  <c r="M88" i="2"/>
  <c r="M39" i="2"/>
  <c r="M35" i="2"/>
  <c r="AF43" i="2"/>
  <c r="AF51" i="2"/>
  <c r="AF75" i="2"/>
  <c r="AF49" i="2"/>
  <c r="G73" i="2"/>
  <c r="G69" i="2"/>
  <c r="G32" i="2"/>
  <c r="Y76" i="2"/>
  <c r="Y85" i="2"/>
  <c r="Y70" i="2"/>
  <c r="Y13" i="2"/>
  <c r="Z58" i="2"/>
  <c r="Z74" i="2"/>
  <c r="Z56" i="2"/>
  <c r="Z83" i="2"/>
  <c r="N64" i="2"/>
  <c r="N93" i="2"/>
  <c r="N52" i="2"/>
  <c r="F92" i="2"/>
  <c r="L86" i="2"/>
  <c r="M21" i="2"/>
  <c r="Y15" i="2"/>
  <c r="G82" i="2"/>
  <c r="S16" i="2"/>
  <c r="AF55" i="2"/>
  <c r="Z46" i="2"/>
  <c r="AE75" i="2"/>
  <c r="G86" i="2"/>
  <c r="Y68" i="2"/>
  <c r="N58" i="2"/>
  <c r="N62" i="2"/>
  <c r="Q92" i="2"/>
  <c r="L90" i="2"/>
  <c r="AE93" i="2"/>
  <c r="G89" i="2"/>
  <c r="M23" i="2"/>
  <c r="AF88" i="2"/>
  <c r="Y33" i="2"/>
  <c r="S38" i="2"/>
  <c r="M19" i="2"/>
  <c r="AF41" i="2"/>
  <c r="G22" i="2"/>
  <c r="G18" i="2"/>
  <c r="Y29" i="2"/>
  <c r="Y84" i="2"/>
  <c r="Y93" i="2"/>
  <c r="Z60" i="2"/>
  <c r="Z88" i="2"/>
  <c r="N50" i="2"/>
  <c r="N68" i="2"/>
  <c r="N46" i="2"/>
  <c r="N66" i="2"/>
  <c r="L89" i="2"/>
  <c r="L91" i="2"/>
  <c r="S85" i="2"/>
  <c r="AF53" i="2"/>
  <c r="G16" i="2"/>
  <c r="Z85" i="2"/>
  <c r="AE16" i="2"/>
  <c r="M17" i="2"/>
  <c r="AF84" i="2"/>
  <c r="AF93" i="2"/>
  <c r="G38" i="2"/>
  <c r="G84" i="2"/>
  <c r="Y31" i="2"/>
  <c r="Z44" i="2"/>
  <c r="AE69" i="2"/>
  <c r="N70" i="2"/>
  <c r="G94" i="2"/>
  <c r="AE34" i="2"/>
  <c r="S73" i="2"/>
  <c r="M70" i="2"/>
  <c r="AF61" i="2"/>
  <c r="G83" i="2"/>
  <c r="Z66" i="2"/>
  <c r="N76" i="2"/>
  <c r="L82" i="2"/>
  <c r="S75" i="2"/>
  <c r="Y27" i="2"/>
  <c r="S24" i="2"/>
  <c r="S30" i="2"/>
  <c r="M29" i="2"/>
  <c r="G71" i="2"/>
  <c r="S93" i="2"/>
  <c r="M27" i="2"/>
  <c r="G34" i="2"/>
  <c r="Z68" i="2"/>
  <c r="AE88" i="2"/>
  <c r="S32" i="2"/>
  <c r="AE84" i="2"/>
  <c r="AE24" i="2"/>
  <c r="AE28" i="2"/>
  <c r="S71" i="2"/>
  <c r="S84" i="2"/>
  <c r="M25" i="2"/>
  <c r="M33" i="2"/>
  <c r="AF59" i="2"/>
  <c r="AF57" i="2"/>
  <c r="G30" i="2"/>
  <c r="G93" i="2"/>
  <c r="Y19" i="2"/>
  <c r="Y72" i="2"/>
  <c r="Y35" i="2"/>
  <c r="Y83" i="2"/>
  <c r="Z42" i="2"/>
  <c r="Z52" i="2"/>
  <c r="N42" i="2"/>
  <c r="N85" i="2"/>
  <c r="N44" i="2"/>
  <c r="L81" i="2"/>
  <c r="G91" i="2"/>
  <c r="AE30" i="2"/>
  <c r="AE73" i="2"/>
  <c r="AE77" i="2"/>
  <c r="AE83" i="2"/>
  <c r="S83" i="2"/>
  <c r="S20" i="2"/>
  <c r="S69" i="2"/>
  <c r="S14" i="2"/>
  <c r="M13" i="2"/>
  <c r="M76" i="2"/>
  <c r="M11" i="2"/>
  <c r="AF67" i="2"/>
  <c r="AF47" i="2"/>
  <c r="AF73" i="2"/>
  <c r="AF77" i="2"/>
  <c r="G40" i="2"/>
  <c r="G28" i="2"/>
  <c r="G26" i="2"/>
  <c r="G20" i="2"/>
  <c r="Y88" i="2"/>
  <c r="Y21" i="2"/>
  <c r="Y74" i="2"/>
  <c r="Z48" i="2"/>
  <c r="Z54" i="2"/>
  <c r="Z62" i="2"/>
  <c r="Z76" i="2"/>
  <c r="N54" i="2"/>
  <c r="N83" i="2"/>
  <c r="N48" i="2"/>
  <c r="N72" i="2"/>
  <c r="L94" i="2"/>
  <c r="AC92" i="2"/>
  <c r="AF86" i="2"/>
  <c r="AE89" i="2"/>
  <c r="F86" i="2"/>
  <c r="H65" i="2"/>
  <c r="AF89" i="2"/>
  <c r="AD92" i="2"/>
  <c r="S91" i="2"/>
  <c r="H89" i="2"/>
  <c r="N87" i="2"/>
  <c r="AF92" i="2"/>
  <c r="Z86" i="2"/>
  <c r="AF87" i="2"/>
  <c r="X90" i="2"/>
  <c r="X91" i="2"/>
  <c r="S89" i="2"/>
  <c r="T91" i="2"/>
  <c r="H87" i="2"/>
  <c r="H94" i="2"/>
  <c r="AD82" i="2"/>
  <c r="AE94" i="2"/>
  <c r="M89" i="2"/>
  <c r="M81" i="2"/>
  <c r="N91" i="2"/>
  <c r="Y82" i="2"/>
  <c r="R81" i="2"/>
  <c r="R91" i="2"/>
  <c r="F90" i="2"/>
  <c r="H63" i="2"/>
  <c r="H84" i="2"/>
  <c r="H88" i="2"/>
  <c r="H85" i="2"/>
  <c r="T59" i="2"/>
  <c r="T63" i="2"/>
  <c r="T47" i="2"/>
  <c r="S92" i="2"/>
  <c r="Z94" i="2"/>
  <c r="AF94" i="2"/>
  <c r="X89" i="2"/>
  <c r="T94" i="2"/>
  <c r="H91" i="2"/>
  <c r="AD91" i="2"/>
  <c r="AE87" i="2"/>
  <c r="M87" i="2"/>
  <c r="M91" i="2"/>
  <c r="N81" i="2"/>
  <c r="R89" i="2"/>
  <c r="R94" i="2"/>
  <c r="F82" i="2"/>
  <c r="H61" i="2"/>
  <c r="H69" i="2"/>
  <c r="H77" i="2"/>
  <c r="H45" i="2"/>
  <c r="T49" i="2"/>
  <c r="T84" i="2"/>
  <c r="T53" i="2"/>
  <c r="Z82" i="2"/>
  <c r="X86" i="2"/>
  <c r="S82" i="2"/>
  <c r="H82" i="2"/>
  <c r="Y81" i="2"/>
  <c r="S90" i="2"/>
  <c r="AD81" i="2"/>
  <c r="Y87" i="2"/>
  <c r="H59" i="2"/>
  <c r="T45" i="2"/>
  <c r="T65" i="2"/>
  <c r="Z90" i="2"/>
  <c r="T86" i="2"/>
  <c r="AD94" i="2"/>
  <c r="N82" i="2"/>
  <c r="F81" i="2"/>
  <c r="F94" i="2"/>
  <c r="T73" i="2"/>
  <c r="T51" i="2"/>
  <c r="X82" i="2"/>
  <c r="H86" i="2"/>
  <c r="M94" i="2"/>
  <c r="R90" i="2"/>
  <c r="H67" i="2"/>
  <c r="T92" i="2"/>
  <c r="AE92" i="2"/>
  <c r="X94" i="2"/>
  <c r="S86" i="2"/>
  <c r="S81" i="2"/>
  <c r="H90" i="2"/>
  <c r="AD86" i="2"/>
  <c r="AE82" i="2"/>
  <c r="AE81" i="2"/>
  <c r="M82" i="2"/>
  <c r="N86" i="2"/>
  <c r="N90" i="2"/>
  <c r="Y86" i="2"/>
  <c r="R86" i="2"/>
  <c r="F91" i="2"/>
  <c r="F89" i="2"/>
  <c r="H49" i="2"/>
  <c r="H47" i="2"/>
  <c r="H93" i="2"/>
  <c r="T69" i="2"/>
  <c r="T75" i="2"/>
  <c r="T57" i="2"/>
  <c r="T93" i="2"/>
  <c r="G92" i="2"/>
  <c r="S87" i="2"/>
  <c r="AD87" i="2"/>
  <c r="N94" i="2"/>
  <c r="H51" i="2"/>
  <c r="Z81" i="2"/>
  <c r="AF90" i="2"/>
  <c r="T81" i="2"/>
  <c r="Z87" i="2"/>
  <c r="AD90" i="2"/>
  <c r="R87" i="2"/>
  <c r="H57" i="2"/>
  <c r="T61" i="2"/>
  <c r="T77" i="2"/>
  <c r="T67" i="2"/>
  <c r="AF82" i="2"/>
  <c r="T82" i="2"/>
  <c r="M90" i="2"/>
  <c r="Y91" i="2"/>
  <c r="H71" i="2"/>
  <c r="T71" i="2"/>
  <c r="Z89" i="2"/>
  <c r="AF81" i="2"/>
  <c r="X81" i="2"/>
  <c r="T89" i="2"/>
  <c r="AE91" i="2"/>
  <c r="Y89" i="2"/>
  <c r="H75" i="2"/>
  <c r="R92" i="2"/>
  <c r="Z91" i="2"/>
  <c r="AF91" i="2"/>
  <c r="X87" i="2"/>
  <c r="S94" i="2"/>
  <c r="T90" i="2"/>
  <c r="T87" i="2"/>
  <c r="H81" i="2"/>
  <c r="AD89" i="2"/>
  <c r="AE86" i="2"/>
  <c r="AE90" i="2"/>
  <c r="M86" i="2"/>
  <c r="N89" i="2"/>
  <c r="Y90" i="2"/>
  <c r="Y94" i="2"/>
  <c r="R82" i="2"/>
  <c r="F87" i="2"/>
  <c r="H55" i="2"/>
  <c r="H43" i="2"/>
  <c r="H53" i="2"/>
  <c r="H73" i="2"/>
  <c r="T43" i="2"/>
  <c r="T41" i="2"/>
  <c r="T55" i="2"/>
  <c r="T8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<sst xmlns="http://schemas.openxmlformats.org/spreadsheetml/2006/main" count="266" uniqueCount="233">
  <si>
    <t>Reference Items</t>
  </si>
  <si>
    <t>Right click to show data transparency (not supported for all values)</t>
  </si>
  <si>
    <t>Caterpillar Inc (CAT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</si>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</sst>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171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BDH|18280599216530529694</stp>
        <tr r="Z24" s="2"/>
      </tp>
      <tp t="s">
        <v>#N/A N/A</v>
        <stp/>
        <stp>BDH|10670574897272779404</stp>
        <tr r="Q59" s="2"/>
      </tp>
      <tp t="s">
        <v>#N/A N/A</v>
        <stp/>
        <stp>BDH|16322189554871735994</stp>
        <tr r="C9" s="2"/>
      </tp>
      <tp t="s">
        <v>#N/A N/A</v>
        <stp/>
        <stp>BDH|11611326923443187965</stp>
        <tr r="Q34" s="2"/>
      </tp>
      <tp t="s">
        <v>#N/A N/A</v>
        <stp/>
        <stp>BDH|17679856182589490451</stp>
        <tr r="C63" s="2"/>
      </tp>
      <tp t="s">
        <v>#N/A N/A</v>
        <stp/>
        <stp>BDH|17718140707649224565</stp>
        <tr r="AD26" s="2"/>
      </tp>
      <tp t="s">
        <v>#N/A N/A</v>
        <stp/>
        <stp>BDH|18348143636213756358</stp>
        <tr r="Q48" s="2"/>
      </tp>
      <tp t="s">
        <v>#N/A N/A</v>
        <stp/>
        <stp>BDH|14451900530066624215</stp>
        <tr r="S54" s="2"/>
      </tp>
      <tp t="s">
        <v>#N/A N/A</v>
        <stp/>
        <stp>BDH|18398210515421145058</stp>
        <tr r="R65" s="2"/>
      </tp>
      <tp t="s">
        <v>#N/A N/A</v>
        <stp/>
        <stp>BDH|11014085482493967003</stp>
        <tr r="R68" s="2"/>
      </tp>
      <tp t="s">
        <v>#N/A N/A</v>
        <stp/>
        <stp>BDH|14903544487670876311</stp>
        <tr r="T76" s="2"/>
      </tp>
      <tp t="s">
        <v>#N/A N/A</v>
        <stp/>
        <stp>BDH|17981331557433804869</stp>
        <tr r="F55" s="2"/>
      </tp>
      <tp t="s">
        <v>#N/A N/A</v>
        <stp/>
        <stp>BDH|10402844260065282105</stp>
        <tr r="T65" s="2"/>
      </tp>
      <tp t="s">
        <v>#N/A N/A</v>
        <stp/>
        <stp>BDH|18265920846498293764</stp>
        <tr r="T93" s="2"/>
      </tp>
      <tp t="s">
        <v>#N/A N/A</v>
        <stp/>
        <stp>BDH|14494422678285430884</stp>
        <tr r="U62" s="2"/>
      </tp>
      <tp t="s">
        <v>#N/A N/A</v>
        <stp/>
        <stp>BDH|12340742464531830897</stp>
        <tr r="Z56" s="2"/>
      </tp>
      <tp t="s">
        <v>#N/A N/A</v>
        <stp/>
        <stp>BDH|13781239079569185596</stp>
        <tr r="C25" s="2"/>
      </tp>
      <tp t="s">
        <v>#N/A N/A</v>
        <stp/>
        <stp>BDH|13556235877915474902</stp>
        <tr r="X57" s="2"/>
      </tp>
      <tp t="s">
        <v>#N/A N/A</v>
        <stp/>
        <stp>BDH|16049495675726198983</stp>
        <tr r="G27" s="2"/>
      </tp>
      <tp t="s">
        <v>#N/A N/A</v>
        <stp/>
        <stp>BDH|11977399744978001414</stp>
        <tr r="R20" s="2"/>
      </tp>
      <tp t="s">
        <v>#N/A N/A</v>
        <stp/>
        <stp>BDH|13785808691181312900</stp>
        <tr r="Y74" s="2"/>
      </tp>
      <tp t="s">
        <v>#N/A N/A</v>
        <stp/>
        <stp>BDH|13496795589870077609</stp>
        <tr r="J52" s="2"/>
      </tp>
      <tp t="s">
        <v>#N/A N/A</v>
        <stp/>
        <stp>BDH|13692675257202121835</stp>
        <tr r="N20" s="2"/>
      </tp>
      <tp t="s">
        <v>#N/A N/A</v>
        <stp/>
        <stp>BDH|13999511728407172954</stp>
        <tr r="O46" s="2"/>
      </tp>
      <tp t="s">
        <v>#N/A N/A</v>
        <stp/>
        <stp>BDH|13808472389846200307</stp>
        <tr r="G59" s="2"/>
      </tp>
      <tp t="s">
        <v>#N/A N/A</v>
        <stp/>
        <stp>BDH|16346217102296124852</stp>
        <tr r="O26" s="2"/>
      </tp>
      <tp t="s">
        <v>#N/A N/A</v>
        <stp/>
        <stp>BDH|15869545359118453757</stp>
        <tr r="D73" s="2"/>
      </tp>
      <tp t="s">
        <v>#N/A N/A</v>
        <stp/>
        <stp>BDH|17421110110615974883</stp>
        <tr r="R10" s="2"/>
      </tp>
      <tp t="s">
        <v>#N/A N/A</v>
        <stp/>
        <stp>BDH|16936376838235175909</stp>
        <tr r="AD40" s="2"/>
      </tp>
      <tp t="s">
        <v>#N/A N/A</v>
        <stp/>
        <stp>BDH|16501862907677488371</stp>
        <tr r="AA75" s="2"/>
      </tp>
      <tp t="s">
        <v>#N/A N/A</v>
        <stp/>
        <stp>BDH|15520310203815453943</stp>
        <tr r="S81" s="2"/>
      </tp>
      <tp t="s">
        <v>#N/A N/A</v>
        <stp/>
        <stp>BDH|17128143422258702670</stp>
        <tr r="M27" s="2"/>
      </tp>
      <tp t="s">
        <v>#N/A N/A</v>
        <stp/>
        <stp>BDH|10551030093104212703</stp>
        <tr r="O76" s="2"/>
      </tp>
      <tp t="s">
        <v>#N/A N/A</v>
        <stp/>
        <stp>BDH|10993403275778911131</stp>
        <tr r="P25" s="2"/>
      </tp>
      <tp t="s">
        <v>#N/A N/A</v>
        <stp/>
        <stp>BDH|17951548919351698845</stp>
        <tr r="AC45" s="2"/>
      </tp>
      <tp t="s">
        <v>#N/A N/A</v>
        <stp/>
        <stp>BDH|10332759371578220239</stp>
        <tr r="Q64" s="2"/>
      </tp>
      <tp t="s">
        <v>#N/A N/A</v>
        <stp/>
        <stp>BDH|11259785128088857630</stp>
        <tr r="AF46" s="2"/>
      </tp>
      <tp t="s">
        <v>#N/A N/A</v>
        <stp/>
        <stp>BDH|12034219359016506953</stp>
        <tr r="M12" s="2"/>
      </tp>
      <tp t="s">
        <v>#N/A N/A</v>
        <stp/>
        <stp>BDH|10860308745439530406</stp>
        <tr r="D50" s="2"/>
      </tp>
      <tp t="s">
        <v>#N/A N/A</v>
        <stp/>
        <stp>BDH|13249829183478934124</stp>
        <tr r="E56" s="2"/>
      </tp>
      <tp t="s">
        <v>#N/A N/A</v>
        <stp/>
        <stp>BDH|11763283767697869885</stp>
        <tr r="AD75" s="2"/>
      </tp>
      <tp t="s">
        <v>#N/A N/A</v>
        <stp/>
        <stp>BDH|15444380385452024617</stp>
        <tr r="AC50" s="2"/>
      </tp>
      <tp t="s">
        <v>#N/A N/A</v>
        <stp/>
        <stp>BDH|16280396721234491956</stp>
        <tr r="F13" s="2"/>
      </tp>
      <tp t="s">
        <v>#N/A N/A</v>
        <stp/>
        <stp>BDH|15369938868953208317</stp>
        <tr r="AA11" s="2"/>
      </tp>
      <tp t="s">
        <v>#N/A N/A</v>
        <stp/>
        <stp>BDH|16877648271905070872</stp>
        <tr r="O44" s="2"/>
      </tp>
      <tp t="s">
        <v>#N/A N/A</v>
        <stp/>
        <stp>BDH|11517792489556654297</stp>
        <tr r="F66" s="2"/>
      </tp>
      <tp t="s">
        <v>#N/A N/A</v>
        <stp/>
        <stp>BDH|18143452379861172014</stp>
        <tr r="P14" s="2"/>
      </tp>
      <tp t="s">
        <v>#N/A N/A</v>
        <stp/>
        <stp>BDH|13759566733388853777</stp>
        <tr r="AA32" s="2"/>
      </tp>
      <tp t="s">
        <v>#N/A N/A</v>
        <stp/>
        <stp>BDH|12427684620898963488</stp>
        <tr r="W46" s="2"/>
      </tp>
      <tp t="s">
        <v>#N/A N/A</v>
        <stp/>
        <stp>BDH|10741408785904687286</stp>
        <tr r="I27" s="2"/>
      </tp>
      <tp t="s">
        <v>#N/A N/A</v>
        <stp/>
        <stp>BDH|14845629814908676143</stp>
        <tr r="AA64" s="2"/>
      </tp>
      <tp t="s">
        <v>#N/A N/A</v>
        <stp/>
        <stp>BDH|13716313226920560899</stp>
        <tr r="N81" s="2"/>
      </tp>
      <tp t="s">
        <v>#N/A N/A</v>
        <stp/>
        <stp>BDH|13682861902832593395</stp>
        <tr r="Z52" s="2"/>
      </tp>
      <tp t="s">
        <v>#N/A N/A</v>
        <stp/>
        <stp>BDH|10536281582126148605</stp>
        <tr r="W90" s="2"/>
      </tp>
      <tp t="s">
        <v>#N/A N/A</v>
        <stp/>
        <stp>BDH|13131354584997981577</stp>
        <tr r="X82" s="2"/>
      </tp>
      <tp t="s">
        <v>#N/A N/A</v>
        <stp/>
        <stp>BDH|18420786212160465442</stp>
        <tr r="C7" s="2"/>
      </tp>
      <tp t="s">
        <v>#N/A N/A</v>
        <stp/>
        <stp>BDH|15237685061219892727</stp>
        <tr r="Z12" s="2"/>
      </tp>
      <tp t="s">
        <v>#N/A N/A</v>
        <stp/>
        <stp>BDH|13335673720725662938</stp>
        <tr r="U70" s="2"/>
      </tp>
      <tp t="s">
        <v>#N/A N/A</v>
        <stp/>
        <stp>BDH|10389753598103635691</stp>
        <tr r="E17" s="2"/>
      </tp>
      <tp t="s">
        <v>#N/A N/A</v>
        <stp/>
        <stp>BDH|11850799616005714910</stp>
        <tr r="AE21" s="2"/>
      </tp>
      <tp t="s">
        <v>#N/A N/A</v>
        <stp/>
        <stp>BDH|15628316832026253862</stp>
        <tr r="O11" s="2"/>
      </tp>
      <tp t="s">
        <v>#N/A N/A</v>
        <stp/>
        <stp>BDH|14727248186276728338</stp>
        <tr r="AB83" s="2"/>
      </tp>
      <tp t="s">
        <v>#N/A N/A</v>
        <stp/>
        <stp>BDH|12966461957070112887</stp>
        <tr r="W9" s="2"/>
      </tp>
      <tp t="s">
        <v>#N/A N/A</v>
        <stp/>
        <stp>BDH|11738809765742412679</stp>
        <tr r="V19" s="2"/>
      </tp>
      <tp t="s">
        <v>#N/A N/A</v>
        <stp/>
        <stp>BDH|18124743850118227967</stp>
        <tr r="AA58" s="2"/>
      </tp>
      <tp t="s">
        <v>#N/A N/A</v>
        <stp/>
        <stp>BDH|16566328784083439568</stp>
        <tr r="AE33" s="2"/>
      </tp>
      <tp t="s">
        <v>#N/A N/A</v>
        <stp/>
        <stp>BDH|11105068407178281235</stp>
        <tr r="D90" s="2"/>
      </tp>
      <tp t="s">
        <v>#N/A N/A</v>
        <stp/>
        <stp>BDH|14336229181425959098</stp>
        <tr r="R49" s="2"/>
      </tp>
      <tp t="s">
        <v>#N/A N/A</v>
        <stp/>
        <stp>BDH|13598337208042798997</stp>
        <tr r="O27" s="2"/>
      </tp>
      <tp t="s">
        <v>#N/A N/A</v>
        <stp/>
        <stp>BDH|18259439934374729016</stp>
        <tr r="Z14" s="2"/>
      </tp>
      <tp t="s">
        <v>#N/A N/A</v>
        <stp/>
        <stp>BDH|13800662062721904964</stp>
        <tr r="AF19" s="2"/>
      </tp>
      <tp t="s">
        <v>#N/A N/A</v>
        <stp/>
        <stp>BDH|18177484487259897659</stp>
        <tr r="W49" s="2"/>
      </tp>
      <tp t="s">
        <v>#N/A N/A</v>
        <stp/>
        <stp>BDH|14492578928681950913</stp>
        <tr r="AA62" s="2"/>
      </tp>
      <tp t="s">
        <v>#N/A N/A</v>
        <stp/>
        <stp>BDH|14270406790491328323</stp>
        <tr r="AD46" s="2"/>
      </tp>
      <tp t="s">
        <v>#N/A N/A</v>
        <stp/>
        <stp>BDH|14402249399343438796</stp>
        <tr r="G39" s="2"/>
      </tp>
      <tp t="s">
        <v>#N/A N/A</v>
        <stp/>
        <stp>BDH|14901762628788200218</stp>
        <tr r="Y32" s="2"/>
      </tp>
      <tp t="s">
        <v>#N/A N/A</v>
        <stp/>
        <stp>BDH|11174315230469265360</stp>
        <tr r="N49" s="2"/>
      </tp>
      <tp t="s">
        <v>#N/A N/A</v>
        <stp/>
        <stp>BDH|11043362591923722374</stp>
        <tr r="U40" s="2"/>
      </tp>
      <tp t="s">
        <v>#N/A N/A</v>
        <stp/>
        <stp>BDH|17804580266179198607</stp>
        <tr r="V44" s="2"/>
      </tp>
      <tp t="s">
        <v>#N/A N/A</v>
        <stp/>
        <stp>BDH|12507925895421663834</stp>
        <tr r="S76" s="2"/>
      </tp>
      <tp t="s">
        <v>#N/A N/A</v>
        <stp/>
        <stp>BDH|13844423496577800235</stp>
        <tr r="S70" s="2"/>
      </tp>
      <tp t="s">
        <v>#N/A N/A</v>
        <stp/>
        <stp>BDH|12648915202911262117</stp>
        <tr r="G14" s="2"/>
      </tp>
      <tp t="s">
        <v>#N/A N/A</v>
        <stp/>
        <stp>BDH|11595251546968912499</stp>
        <tr r="V52" s="2"/>
      </tp>
      <tp t="s">
        <v>#N/A N/A</v>
        <stp/>
        <stp>BDH|16932484586264893595</stp>
        <tr r="K17" s="2"/>
      </tp>
      <tp t="s">
        <v>#N/A N/A</v>
        <stp/>
        <stp>BDH|15760751914789194115</stp>
        <tr r="R26" s="2"/>
      </tp>
      <tp t="s">
        <v>#N/A N/A</v>
        <stp/>
        <stp>BDH|11323679419015248865</stp>
        <tr r="L44" s="2"/>
      </tp>
      <tp t="s">
        <v>#N/A N/A</v>
        <stp/>
        <stp>BDH|18093505653891959239</stp>
        <tr r="T18" s="2"/>
      </tp>
      <tp t="s">
        <v>#N/A N/A</v>
        <stp/>
        <stp>BDH|12151396597551730216</stp>
        <tr r="I47" s="2"/>
      </tp>
      <tp t="s">
        <v>#N/A N/A</v>
        <stp/>
        <stp>BDH|12323560969612294879</stp>
        <tr r="R57" s="2"/>
      </tp>
      <tp t="s">
        <v>#N/A N/A</v>
        <stp/>
        <stp>BDH|15882340127366676956</stp>
        <tr r="H34" s="2"/>
      </tp>
      <tp t="s">
        <v>#N/A N/A</v>
        <stp/>
        <stp>BDH|11499922767215173086</stp>
        <tr r="T16" s="2"/>
      </tp>
      <tp t="s">
        <v>#N/A N/A</v>
        <stp/>
        <stp>BDH|10881901701366215433</stp>
        <tr r="J94" s="2"/>
      </tp>
      <tp t="s">
        <v>#N/A N/A</v>
        <stp/>
        <stp>BDH|16824683518253283924</stp>
        <tr r="S44" s="2"/>
      </tp>
      <tp t="s">
        <v>#N/A N/A</v>
        <stp/>
        <stp>BDH|11150837444995954370</stp>
        <tr r="AB71" s="2"/>
      </tp>
      <tp t="s">
        <v>#N/A N/A</v>
        <stp/>
        <stp>BDH|10442543898973652466</stp>
        <tr r="I61" s="2"/>
      </tp>
      <tp t="s">
        <v>#N/A N/A</v>
        <stp/>
        <stp>BDH|16985457970079763734</stp>
        <tr r="AF74" s="2"/>
      </tp>
      <tp t="s">
        <v>#N/A N/A</v>
        <stp/>
        <stp>BDH|10289867918861055340</stp>
        <tr r="Y51" s="2"/>
      </tp>
      <tp t="s">
        <v>#N/A N/A</v>
        <stp/>
        <stp>BDH|17964422612300978980</stp>
        <tr r="U86" s="2"/>
      </tp>
      <tp t="s">
        <v>#N/A N/A</v>
        <stp/>
        <stp>BDH|14823336165928458210</stp>
        <tr r="O24" s="2"/>
      </tp>
      <tp t="s">
        <v>#N/A N/A</v>
        <stp/>
        <stp>BDH|10030598680117162133</stp>
        <tr r="AC57" s="2"/>
      </tp>
      <tp t="s">
        <v>#N/A N/A</v>
        <stp/>
        <stp>BDH|10165902019591506262</stp>
        <tr r="AF15" s="2"/>
      </tp>
      <tp t="s">
        <v>#N/A N/A</v>
        <stp/>
        <stp>BDH|16522532870007849857</stp>
        <tr r="N10" s="2"/>
      </tp>
      <tp t="s">
        <v>#N/A N/A</v>
        <stp/>
        <stp>BDH|11155197814672553823</stp>
        <tr r="AA81" s="2"/>
      </tp>
      <tp t="s">
        <v>#N/A N/A</v>
        <stp/>
        <stp>BDH|15979949228491653490</stp>
        <tr r="Q90" s="2"/>
      </tp>
      <tp t="s">
        <v>#N/A N/A</v>
        <stp/>
        <stp>BDH|14156161811686963952</stp>
        <tr r="AB13" s="2"/>
      </tp>
      <tp t="s">
        <v>#N/A N/A</v>
        <stp/>
        <stp>BDH|10301686765778375370</stp>
        <tr r="C45" s="2"/>
      </tp>
      <tp t="s">
        <v>#N/A N/A</v>
        <stp/>
        <stp>BDH|15424172892005426380</stp>
        <tr r="AF57" s="2"/>
      </tp>
      <tp t="s">
        <v>#N/A N/A</v>
        <stp/>
        <stp>BDH|13706835648542686661</stp>
        <tr r="AF71" s="2"/>
      </tp>
      <tp t="s">
        <v>#N/A N/A</v>
        <stp/>
        <stp>BDH|10291815369500106541</stp>
        <tr r="P15" s="2"/>
      </tp>
      <tp t="s">
        <v>#N/A N/A</v>
        <stp/>
        <stp>BDH|12643986734531250275</stp>
        <tr r="V90" s="2"/>
      </tp>
      <tp t="s">
        <v>#N/A N/A</v>
        <stp/>
        <stp>BDH|10891850521170286115</stp>
        <tr r="I58" s="2"/>
      </tp>
      <tp t="s">
        <v>#N/A N/A</v>
        <stp/>
        <stp>BDH|11302378398675680552</stp>
        <tr r="V63" s="2"/>
      </tp>
      <tp t="s">
        <v>#N/A N/A</v>
        <stp/>
        <stp>BDH|11183927211330909254</stp>
        <tr r="D16" s="2"/>
      </tp>
      <tp t="s">
        <v>#N/A N/A</v>
        <stp/>
        <stp>BDH|18267964359168302702</stp>
        <tr r="W68" s="2"/>
      </tp>
      <tp t="s">
        <v>#N/A N/A</v>
        <stp/>
        <stp>BDH|10271245721538848314</stp>
        <tr r="H41" s="2"/>
      </tp>
      <tp t="s">
        <v>#N/A N/A</v>
        <stp/>
        <stp>BDH|13499221623318294369</stp>
        <tr r="AE55" s="2"/>
      </tp>
      <tp t="s">
        <v>#N/A N/A</v>
        <stp/>
        <stp>BDH|12276578964001946895</stp>
        <tr r="K19" s="2"/>
      </tp>
      <tp t="s">
        <v>#N/A N/A</v>
        <stp/>
        <stp>BDH|16974396187510302559</stp>
        <tr r="H81" s="2"/>
      </tp>
      <tp t="s">
        <v>#N/A N/A</v>
        <stp/>
        <stp>BDH|10723375986980153366</stp>
        <tr r="C41" s="2"/>
      </tp>
      <tp t="s">
        <v>#N/A N/A</v>
        <stp/>
        <stp>BDH|13312910127388118851</stp>
        <tr r="AF85" s="2"/>
      </tp>
      <tp t="s">
        <v>#N/A N/A</v>
        <stp/>
        <stp>BDH|12799511397466680060</stp>
        <tr r="Q9" s="2"/>
      </tp>
      <tp t="s">
        <v>#N/A N/A</v>
        <stp/>
        <stp>BDH|16363719890803113322</stp>
        <tr r="AF92" s="2"/>
      </tp>
      <tp t="s">
        <v>#N/A N/A</v>
        <stp/>
        <stp>BDH|11506874300311477069</stp>
        <tr r="I35" s="2"/>
      </tp>
      <tp t="s">
        <v>#N/A N/A</v>
        <stp/>
        <stp>BDH|13200988689282041836</stp>
        <tr r="K90" s="2"/>
      </tp>
      <tp t="s">
        <v>#N/A N/A</v>
        <stp/>
        <stp>BDH|13350986598909546261</stp>
        <tr r="T8" s="2"/>
      </tp>
      <tp t="s">
        <v>#N/A N/A</v>
        <stp/>
        <stp>BDH|10837583940609240019</stp>
        <tr r="Y10" s="2"/>
      </tp>
      <tp t="s">
        <v>#N/A N/A</v>
        <stp/>
        <stp>BDH|17027828131263001702</stp>
        <tr r="AA29" s="2"/>
      </tp>
      <tp t="s">
        <v>#N/A N/A</v>
        <stp/>
        <stp>BDH|12378441914879932691</stp>
        <tr r="AE12" s="2"/>
      </tp>
      <tp t="s">
        <v>#N/A N/A</v>
        <stp/>
        <stp>BDH|14238749799396973440</stp>
        <tr r="AB89" s="2"/>
      </tp>
      <tp t="s">
        <v>#N/A N/A</v>
        <stp/>
        <stp>BDH|17307733233798854392</stp>
        <tr r="C84" s="2"/>
      </tp>
      <tp t="s">
        <v>#N/A N/A</v>
        <stp/>
        <stp>BDH|15419616296007375521</stp>
        <tr r="AB85" s="2"/>
      </tp>
      <tp t="s">
        <v>#N/A N/A</v>
        <stp/>
        <stp>BDH|16701706616601364907</stp>
        <tr r="U43" s="2"/>
      </tp>
      <tp t="s">
        <v>#N/A N/A</v>
        <stp/>
        <stp>BDH|17545453245558283724</stp>
        <tr r="AE74" s="2"/>
      </tp>
      <tp t="s">
        <v>#N/A N/A</v>
        <stp/>
        <stp>BDH|14712405882003403340</stp>
        <tr r="S77" s="2"/>
      </tp>
      <tp t="s">
        <v>#N/A N/A</v>
        <stp/>
        <stp>BDH|16772809431195145030</stp>
        <tr r="N62" s="2"/>
      </tp>
      <tp t="s">
        <v>#N/A N/A</v>
        <stp/>
        <stp>BDH|10557202211612213923</stp>
        <tr r="AA20" s="2"/>
      </tp>
      <tp t="s">
        <v>#N/A N/A</v>
        <stp/>
        <stp>BDH|12833270272059007695</stp>
        <tr r="L30" s="2"/>
      </tp>
      <tp t="s">
        <v>#N/A N/A</v>
        <stp/>
        <stp>BDH|16369950220750293531</stp>
        <tr r="AC12" s="2"/>
      </tp>
      <tp t="s">
        <v>#N/A N/A</v>
        <stp/>
        <stp>BDH|13465841332670487016</stp>
        <tr r="J77" s="2"/>
      </tp>
      <tp t="s">
        <v>#N/A N/A</v>
        <stp/>
        <stp>BDH|11775677293237018141</stp>
        <tr r="Y84" s="2"/>
      </tp>
      <tp t="s">
        <v>#N/A N/A</v>
        <stp/>
        <stp>BDH|14935201233239951442</stp>
        <tr r="AB65" s="2"/>
      </tp>
      <tp t="s">
        <v>#N/A N/A</v>
        <stp/>
        <stp>BDH|13921421013626792888</stp>
        <tr r="X87" s="2"/>
      </tp>
      <tp t="s">
        <v>#N/A N/A</v>
        <stp/>
        <stp>BDH|10501317301743009839</stp>
        <tr r="X94" s="2"/>
      </tp>
      <tp t="s">
        <v>#N/A N/A</v>
        <stp/>
        <stp>BDH|11944772709717322923</stp>
        <tr r="U89" s="2"/>
      </tp>
      <tp t="s">
        <v>#N/A N/A</v>
        <stp/>
        <stp>BDH|14826434048098455416</stp>
        <tr r="AC56" s="2"/>
      </tp>
      <tp t="s">
        <v>#N/A N/A</v>
        <stp/>
        <stp>BDH|10204633833854904920</stp>
        <tr r="Z62" s="2"/>
      </tp>
      <tp t="s">
        <v>#N/A N/A</v>
        <stp/>
        <stp>BDH|16766753906349813056</stp>
        <tr r="G83" s="2"/>
      </tp>
      <tp t="s">
        <v>#N/A N/A</v>
        <stp/>
        <stp>BDH|16820062530229772405</stp>
        <tr r="Z45" s="2"/>
      </tp>
      <tp t="s">
        <v>#N/A N/A</v>
        <stp/>
        <stp>BDH|13076310597515760482</stp>
        <tr r="S9" s="2"/>
      </tp>
      <tp t="s">
        <v>#N/A N/A</v>
        <stp/>
        <stp>BDH|11873387988896343433</stp>
        <tr r="K87" s="2"/>
      </tp>
      <tp t="s">
        <v>#N/A N/A</v>
        <stp/>
        <stp>BDH|12255694162913268933</stp>
        <tr r="G9" s="2"/>
      </tp>
      <tp t="s">
        <v>#N/A N/A</v>
        <stp/>
        <stp>BDH|13101338051069845430</stp>
        <tr r="V15" s="2"/>
      </tp>
      <tp t="s">
        <v>#N/A N/A</v>
        <stp/>
        <stp>BDH|12048691353078223105</stp>
        <tr r="AE26" s="2"/>
      </tp>
      <tp t="s">
        <v>#N/A N/A</v>
        <stp/>
        <stp>BDH|10974974457125575177</stp>
        <tr r="I86" s="2"/>
      </tp>
      <tp t="s">
        <v>#N/A N/A</v>
        <stp/>
        <stp>BDH|16180716584370953168</stp>
        <tr r="Y7" s="2"/>
      </tp>
      <tp t="s">
        <v>#N/A N/A</v>
        <stp/>
        <stp>BDH|13244804608212430151</stp>
        <tr r="AD64" s="2"/>
      </tp>
      <tp t="s">
        <v>#N/A N/A</v>
        <stp/>
        <stp>BDH|15750557997595666484</stp>
        <tr r="Q46" s="2"/>
      </tp>
      <tp t="s">
        <v>#N/A N/A</v>
        <stp/>
        <stp>BDH|17276824249852328179</stp>
        <tr r="Y26" s="2"/>
      </tp>
      <tp t="s">
        <v>#N/A N/A</v>
        <stp/>
        <stp>BDH|12968630683015544112</stp>
        <tr r="I92" s="2"/>
      </tp>
      <tp t="s">
        <v>#N/A N/A</v>
        <stp/>
        <stp>BDH|10786599194820649433</stp>
        <tr r="L91" s="2"/>
      </tp>
      <tp t="s">
        <v>#N/A N/A</v>
        <stp/>
        <stp>BDH|18262654764001572198</stp>
        <tr r="T11" s="2"/>
      </tp>
      <tp t="s">
        <v>#N/A N/A</v>
        <stp/>
        <stp>BDH|16587983284008558739</stp>
        <tr r="Q72" s="2"/>
      </tp>
      <tp t="s">
        <v>#N/A N/A</v>
        <stp/>
        <stp>BDH|14894258754668035363</stp>
        <tr r="F63" s="2"/>
      </tp>
      <tp t="s">
        <v>#N/A N/A</v>
        <stp/>
        <stp>BDH|11165462005975934857</stp>
        <tr r="U84" s="2"/>
      </tp>
      <tp t="s">
        <v>#N/A N/A</v>
        <stp/>
        <stp>BDH|17667386072449442262</stp>
        <tr r="S15" s="2"/>
      </tp>
      <tp t="s">
        <v>#N/A N/A</v>
        <stp/>
        <stp>BDH|11645407990074811004</stp>
        <tr r="P12" s="2"/>
      </tp>
      <tp t="s">
        <v>#N/A N/A</v>
        <stp/>
        <stp>BDH|15649935161797823521</stp>
        <tr r="D33" s="2"/>
      </tp>
      <tp t="s">
        <v>#N/A N/A</v>
        <stp/>
        <stp>BDH|15485255573109311006</stp>
        <tr r="C27" s="2"/>
      </tp>
      <tp t="s">
        <v>#N/A N/A</v>
        <stp/>
        <stp>BDH|13057209582034629454</stp>
        <tr r="M61" s="2"/>
      </tp>
      <tp t="s">
        <v>#N/A N/A</v>
        <stp/>
        <stp>BDH|14246043397950844486</stp>
        <tr r="X85" s="2"/>
      </tp>
      <tp t="s">
        <v>#N/A N/A</v>
        <stp/>
        <stp>BDH|17439505598336877455</stp>
        <tr r="Q22" s="2"/>
      </tp>
      <tp t="s">
        <v>#N/A N/A</v>
        <stp/>
        <stp>BDH|15121959341310415115</stp>
        <tr r="N29" s="2"/>
      </tp>
      <tp t="s">
        <v>#N/A N/A</v>
        <stp/>
        <stp>BDH|14775655895477012577</stp>
        <tr r="X29" s="2"/>
      </tp>
      <tp t="s">
        <v>#N/A N/A</v>
        <stp/>
        <stp>BDH|14390822303814312116</stp>
        <tr r="AF24" s="2"/>
      </tp>
      <tp t="s">
        <v>#N/A N/A</v>
        <stp/>
        <stp>BDH|11079792378511229936</stp>
        <tr r="O90" s="2"/>
      </tp>
      <tp t="s">
        <v>#N/A N/A</v>
        <stp/>
        <stp>BDH|18276516774055534619</stp>
        <tr r="AB23" s="2"/>
      </tp>
      <tp t="s">
        <v>#N/A N/A</v>
        <stp/>
        <stp>BDH|15065447680074262459</stp>
        <tr r="Z33" s="2"/>
      </tp>
      <tp t="s">
        <v>#N/A N/A</v>
        <stp/>
        <stp>BDH|11303883025590995249</stp>
        <tr r="AD12" s="2"/>
      </tp>
      <tp t="s">
        <v>#N/A N/A</v>
        <stp/>
        <stp>BDH|12058378501040127849</stp>
        <tr r="AB67" s="2"/>
      </tp>
      <tp t="s">
        <v>#N/A N/A</v>
        <stp/>
        <stp>BDH|11618655546053326953</stp>
        <tr r="V25" s="2"/>
      </tp>
      <tp t="s">
        <v>#N/A N/A</v>
        <stp/>
        <stp>BDH|16665845380766736977</stp>
        <tr r="Z86" s="2"/>
      </tp>
      <tp t="s">
        <v>#N/A N/A</v>
        <stp/>
        <stp>BDH|10160560021556266865</stp>
        <tr r="AA24" s="2"/>
      </tp>
      <tp t="s">
        <v>#N/A N/A</v>
        <stp/>
        <stp>BDH|14076916723182245423</stp>
        <tr r="O91" s="2"/>
      </tp>
      <tp t="s">
        <v>#N/A N/A</v>
        <stp/>
        <stp>BDH|14098722272875120835</stp>
        <tr r="U90" s="2"/>
      </tp>
      <tp t="s">
        <v>#N/A N/A</v>
        <stp/>
        <stp>BDH|11879818122480099296</stp>
        <tr r="G41" s="2"/>
      </tp>
      <tp t="s">
        <v>#N/A N/A</v>
        <stp/>
        <stp>BDH|15955206413856745985</stp>
        <tr r="G48" s="2"/>
      </tp>
      <tp t="s">
        <v>#N/A N/A</v>
        <stp/>
        <stp>BDH|14433112660128384230</stp>
        <tr r="K51" s="2"/>
      </tp>
      <tp t="s">
        <v>#N/A N/A</v>
        <stp/>
        <stp>BDH|15419173742598386173</stp>
        <tr r="R34" s="2"/>
      </tp>
      <tp t="s">
        <v>#N/A N/A</v>
        <stp/>
        <stp>BDH|15890533582814425583</stp>
        <tr r="Q89" s="2"/>
      </tp>
      <tp t="s">
        <v>#N/A N/A</v>
        <stp/>
        <stp>BDH|13418008690383923091</stp>
        <tr r="AA76" s="2"/>
      </tp>
      <tp t="s">
        <v>#N/A N/A</v>
        <stp/>
        <stp>BDH|15090418847815005921</stp>
        <tr r="H17" s="2"/>
      </tp>
      <tp t="s">
        <v>#N/A N/A</v>
        <stp/>
        <stp>BDH|16531020984442751502</stp>
        <tr r="H10" s="2"/>
      </tp>
      <tp t="s">
        <v>#N/A N/A</v>
        <stp/>
        <stp>BDH|18442549282864011861</stp>
        <tr r="H8" s="2"/>
      </tp>
      <tp t="s">
        <v>#N/A N/A</v>
        <stp/>
        <stp>BDH|16001246585177049268</stp>
        <tr r="J27" s="2"/>
      </tp>
      <tp t="s">
        <v>#N/A N/A</v>
        <stp/>
        <stp>BDH|16120880015922227493</stp>
        <tr r="Y44" s="2"/>
      </tp>
      <tp t="s">
        <v>#N/A N/A</v>
        <stp/>
        <stp>BDH|13332665792982404747</stp>
        <tr r="L75" s="2"/>
      </tp>
      <tp t="s">
        <v>#N/A N/A</v>
        <stp/>
        <stp>BDH|13294274946609357562</stp>
        <tr r="I10" s="2"/>
      </tp>
      <tp t="s">
        <v>#N/A N/A</v>
        <stp/>
        <stp>BDH|14072909287878118406</stp>
        <tr r="Y58" s="2"/>
      </tp>
      <tp t="s">
        <v>#N/A N/A</v>
        <stp/>
        <stp>BDH|18161042653667213322</stp>
        <tr r="R71" s="2"/>
      </tp>
      <tp t="s">
        <v>#N/A N/A</v>
        <stp/>
        <stp>BDH|10412716137354468904</stp>
        <tr r="H26" s="2"/>
      </tp>
      <tp t="s">
        <v>#N/A N/A</v>
        <stp/>
        <stp>BDH|10542920129735958712</stp>
        <tr r="W70" s="2"/>
      </tp>
      <tp t="s">
        <v>#N/A N/A</v>
        <stp/>
        <stp>BDH|12753065288996862584</stp>
        <tr r="L43" s="2"/>
      </tp>
      <tp t="s">
        <v>#N/A N/A</v>
        <stp/>
        <stp>BDH|17198787940069253425</stp>
        <tr r="S59" s="2"/>
      </tp>
      <tp t="s">
        <v>#N/A N/A</v>
        <stp/>
        <stp>BDH|16099544582847696590</stp>
        <tr r="L54" s="2"/>
      </tp>
      <tp t="s">
        <v>#N/A N/A</v>
        <stp/>
        <stp>BDH|10426189272209397652</stp>
        <tr r="U52" s="2"/>
      </tp>
      <tp t="s">
        <v>#N/A N/A</v>
        <stp/>
        <stp>BDH|16684872578355672578</stp>
        <tr r="V61" s="2"/>
      </tp>
      <tp t="s">
        <v>#N/A N/A</v>
        <stp/>
        <stp>BDH|15212792767169133455</stp>
        <tr r="Z31" s="2"/>
      </tp>
      <tp t="s">
        <v>#N/A N/A</v>
        <stp/>
        <stp>BDH|12261546545198995211</stp>
        <tr r="P85" s="2"/>
      </tp>
      <tp t="s">
        <v>#N/A N/A</v>
        <stp/>
        <stp>BDH|14037986885959203541</stp>
        <tr r="P59" s="2"/>
      </tp>
      <tp t="s">
        <v>#N/A N/A</v>
        <stp/>
        <stp>BDH|13161335113299386180</stp>
        <tr r="M65" s="2"/>
      </tp>
      <tp t="s">
        <v>#N/A N/A</v>
        <stp/>
        <stp>BDH|17382775859538681419</stp>
        <tr r="K77" s="2"/>
      </tp>
      <tp t="s">
        <v>#N/A N/A</v>
        <stp/>
        <stp>BDH|16094800376249835944</stp>
        <tr r="F45" s="2"/>
      </tp>
      <tp t="s">
        <v>#N/A N/A</v>
        <stp/>
        <stp>BDH|14560716778278446524</stp>
        <tr r="AD30" s="2"/>
      </tp>
      <tp t="s">
        <v>#N/A N/A</v>
        <stp/>
        <stp>BDH|16025427101452904904</stp>
        <tr r="P42" s="2"/>
      </tp>
      <tp t="s">
        <v>#N/A N/A</v>
        <stp/>
        <stp>BDH|17555647480645212590</stp>
        <tr r="J16" s="2"/>
      </tp>
      <tp t="s">
        <v>#N/A N/A</v>
        <stp/>
        <stp>BDH|10799423304994271990</stp>
        <tr r="Z46" s="2"/>
      </tp>
      <tp t="s">
        <v>#N/A N/A</v>
        <stp/>
        <stp>BDH|13138809248166213067</stp>
        <tr r="E90" s="2"/>
      </tp>
      <tp t="s">
        <v>#N/A N/A</v>
        <stp/>
        <stp>BDH|14129037555021867923</stp>
        <tr r="AC35" s="2"/>
      </tp>
      <tp t="s">
        <v>#N/A N/A</v>
        <stp/>
        <stp>BDH|15915978914051784505</stp>
        <tr r="F52" s="2"/>
      </tp>
      <tp t="s">
        <v>#N/A N/A</v>
        <stp/>
        <stp>BDH|10441540339837717839</stp>
        <tr r="AA23" s="2"/>
      </tp>
      <tp t="s">
        <v>#N/A N/A</v>
        <stp/>
        <stp>BDH|18398454318204150033</stp>
        <tr r="U61" s="2"/>
      </tp>
      <tp t="s">
        <v>#N/A N/A</v>
        <stp/>
        <stp>BDH|10863377927061462908</stp>
        <tr r="N27" s="2"/>
      </tp>
      <tp t="s">
        <v>#N/A N/A</v>
        <stp/>
        <stp>BDH|10728375422301664981</stp>
        <tr r="Z35" s="2"/>
      </tp>
      <tp t="s">
        <v>#N/A N/A</v>
        <stp/>
        <stp>BDH|13405968343171641687</stp>
        <tr r="G55" s="2"/>
      </tp>
      <tp t="s">
        <v>#N/A N/A</v>
        <stp/>
        <stp>BDH|11883337824558393135</stp>
        <tr r="Q10" s="2"/>
      </tp>
      <tp t="s">
        <v>#N/A N/A</v>
        <stp/>
        <stp>BDH|16605544490361484299</stp>
        <tr r="Z15" s="2"/>
      </tp>
      <tp t="s">
        <v>#N/A N/A</v>
        <stp/>
        <stp>BDH|16131512248149630708</stp>
        <tr r="H85" s="2"/>
      </tp>
      <tp t="s">
        <v>#N/A N/A</v>
        <stp/>
        <stp>BDH|18396847584336538784</stp>
        <tr r="T88" s="2"/>
      </tp>
      <tp t="s">
        <v>#N/A N/A</v>
        <stp/>
        <stp>BDH|12918050817932138842</stp>
        <tr r="AF73" s="2"/>
      </tp>
      <tp t="s">
        <v>#N/A N/A</v>
        <stp/>
        <stp>BDH|11029167788977248620</stp>
        <tr r="K94" s="2"/>
      </tp>
      <tp t="s">
        <v>#N/A N/A</v>
        <stp/>
        <stp>BDH|16396607038543339965</stp>
        <tr r="AB42" s="2"/>
      </tp>
      <tp t="s">
        <v>#N/A N/A</v>
        <stp/>
        <stp>BDH|14240287292381569730</stp>
        <tr r="W84" s="2"/>
      </tp>
      <tp t="s">
        <v>#N/A N/A</v>
        <stp/>
        <stp>BDH|15816104104772801858</stp>
        <tr r="G16" s="2"/>
      </tp>
      <tp t="s">
        <v>#N/A N/A</v>
        <stp/>
        <stp>BDH|10518044093095149224</stp>
        <tr r="Q12" s="2"/>
      </tp>
      <tp t="s">
        <v>#N/A N/A</v>
        <stp/>
        <stp>BDH|11213191185536626088</stp>
        <tr r="U76" s="2"/>
      </tp>
      <tp t="s">
        <v>#N/A N/A</v>
        <stp/>
        <stp>BDH|11351089319268728652</stp>
        <tr r="Q14" s="2"/>
      </tp>
      <tp t="s">
        <v>#N/A N/A</v>
        <stp/>
        <stp>BDH|15520864913364535654</stp>
        <tr r="Z77" s="2"/>
      </tp>
      <tp t="s">
        <v>#N/A N/A</v>
        <stp/>
        <stp>BDH|17444128390522089360</stp>
        <tr r="J69" s="2"/>
      </tp>
      <tp t="s">
        <v>#N/A N/A</v>
        <stp/>
        <stp>BDH|18036502972356244203</stp>
        <tr r="AB46" s="2"/>
      </tp>
      <tp t="s">
        <v>#N/A N/A</v>
        <stp/>
        <stp>BDH|13437732003923396974</stp>
        <tr r="O20" s="2"/>
      </tp>
      <tp t="s">
        <v>#N/A N/A</v>
        <stp/>
        <stp>BDH|14645415128445968967</stp>
        <tr r="L51" s="2"/>
      </tp>
      <tp t="s">
        <v>#N/A N/A</v>
        <stp/>
        <stp>BDH|14393595977378696085</stp>
        <tr r="H21" s="2"/>
      </tp>
      <tp t="s">
        <v>#N/A N/A</v>
        <stp/>
        <stp>BDH|17320783180135823305</stp>
        <tr r="R19" s="2"/>
      </tp>
      <tp t="s">
        <v>#N/A N/A</v>
        <stp/>
        <stp>BDH|10088849205287471178</stp>
        <tr r="W77" s="2"/>
      </tp>
      <tp t="s">
        <v>#N/A N/A</v>
        <stp/>
        <stp>BDH|14678059011242189915</stp>
        <tr r="T60" s="2"/>
      </tp>
      <tp t="s">
        <v>#N/A N/A</v>
        <stp/>
        <stp>BDH|13938566220283938941</stp>
        <tr r="I38" s="2"/>
      </tp>
      <tp t="s">
        <v>#N/A N/A</v>
        <stp/>
        <stp>BDH|16209623095330082707</stp>
        <tr r="J51" s="2"/>
      </tp>
      <tp t="s">
        <v>#N/A N/A</v>
        <stp/>
        <stp>BDH|16331677011788973798</stp>
        <tr r="C75" s="2"/>
      </tp>
      <tp t="s">
        <v>#N/A N/A</v>
        <stp/>
        <stp>BDH|16655520342380254912</stp>
        <tr r="U82" s="2"/>
      </tp>
      <tp t="s">
        <v>#N/A N/A</v>
        <stp/>
        <stp>BDH|16137461586497059345</stp>
        <tr r="R15" s="2"/>
      </tp>
      <tp t="s">
        <v>#N/A N/A</v>
        <stp/>
        <stp>BDH|11361279881527668268</stp>
        <tr r="T14" s="2"/>
      </tp>
      <tp t="s">
        <v>#N/A N/A</v>
        <stp/>
        <stp>BDH|11914521310299683295</stp>
        <tr r="AB58" s="2"/>
      </tp>
      <tp t="s">
        <v>#N/A N/A</v>
        <stp/>
        <stp>BDH|16132218291450598307</stp>
        <tr r="T87" s="2"/>
      </tp>
      <tp t="s">
        <v>#N/A N/A</v>
        <stp/>
        <stp>BDH|14974209716929810030</stp>
        <tr r="X15" s="2"/>
      </tp>
      <tp t="s">
        <v>#N/A N/A</v>
        <stp/>
        <stp>BDH|12160161553548216026</stp>
        <tr r="R32" s="2"/>
      </tp>
      <tp t="s">
        <v>#N/A N/A</v>
        <stp/>
        <stp>BDH|18341547541124221304</stp>
        <tr r="R23" s="2"/>
      </tp>
      <tp t="s">
        <v>#N/A N/A</v>
        <stp/>
        <stp>BDH|16037213684185607748</stp>
        <tr r="T54" s="2"/>
      </tp>
      <tp t="s">
        <v>#N/A N/A</v>
        <stp/>
        <stp>BDH|10939199524909227419</stp>
        <tr r="AC74" s="2"/>
      </tp>
      <tp t="s">
        <v>#N/A N/A</v>
        <stp/>
        <stp>BDH|15287224531323609902</stp>
        <tr r="L82" s="2"/>
      </tp>
      <tp t="s">
        <v>#N/A N/A</v>
        <stp/>
        <stp>BDH|14942023152967618896</stp>
        <tr r="N51" s="2"/>
      </tp>
      <tp t="s">
        <v>#N/A N/A</v>
        <stp/>
        <stp>BDH|16345976535581661319</stp>
        <tr r="AC64" s="2"/>
      </tp>
      <tp t="s">
        <v>#N/A N/A</v>
        <stp/>
        <stp>BDH|17689447483170168560</stp>
        <tr r="AF64" s="2"/>
      </tp>
      <tp t="s">
        <v>#N/A N/A</v>
        <stp/>
        <stp>BDH|14424874210672793127</stp>
        <tr r="I55" s="2"/>
      </tp>
      <tp t="s">
        <v>#N/A N/A</v>
        <stp/>
        <stp>BDH|18031250715846388350</stp>
        <tr r="I17" s="2"/>
      </tp>
      <tp t="s">
        <v>#N/A N/A</v>
        <stp/>
        <stp>BDH|17099991734340714331</stp>
        <tr r="T53" s="2"/>
      </tp>
      <tp t="s">
        <v>#N/A N/A</v>
        <stp/>
        <stp>BDH|14986975603756701530</stp>
        <tr r="U30" s="2"/>
      </tp>
      <tp t="s">
        <v>#N/A N/A</v>
        <stp/>
        <stp>BDH|16955159532432476833</stp>
        <tr r="Y61" s="2"/>
      </tp>
      <tp t="s">
        <v>#N/A N/A</v>
        <stp/>
        <stp>BDH|17756210359028743616</stp>
        <tr r="AF17" s="2"/>
      </tp>
      <tp t="s">
        <v>#N/A N/A</v>
        <stp/>
        <stp>BDH|16975495388550590455</stp>
        <tr r="L52" s="2"/>
      </tp>
      <tp t="s">
        <v>#N/A N/A</v>
        <stp/>
        <stp>BDH|11097773878059229652</stp>
        <tr r="Y15" s="2"/>
      </tp>
      <tp t="s">
        <v>#N/A N/A</v>
        <stp/>
        <stp>BDH|16395384288104231791</stp>
        <tr r="AE83" s="2"/>
      </tp>
      <tp t="s">
        <v>#N/A N/A</v>
        <stp/>
        <stp>BDH|16617730003309616680</stp>
        <tr r="W93" s="2"/>
      </tp>
      <tp t="s">
        <v>#N/A N/A</v>
        <stp/>
        <stp>BDH|10406500648679221666</stp>
        <tr r="AA22" s="2"/>
      </tp>
      <tp t="s">
        <v>#N/A N/A</v>
        <stp/>
        <stp>BDH|11884593739711636868</stp>
        <tr r="D56" s="2"/>
      </tp>
      <tp t="s">
        <v>#N/A N/A</v>
        <stp/>
        <stp>BDH|14800024286873091143</stp>
        <tr r="L93" s="2"/>
      </tp>
      <tp t="s">
        <v>#N/A N/A</v>
        <stp/>
        <stp>BDH|10473080552958612334</stp>
        <tr r="AE41" s="2"/>
      </tp>
      <tp t="s">
        <v>#N/A N/A</v>
        <stp/>
        <stp>BDH|11142388991660792549</stp>
        <tr r="V82" s="2"/>
      </tp>
      <tp t="s">
        <v>#N/A N/A</v>
        <stp/>
        <stp>BDH|14771012058126385961</stp>
        <tr r="AF63" s="2"/>
      </tp>
      <tp t="s">
        <v>#N/A N/A</v>
        <stp/>
        <stp>BDH|10585214373633495880</stp>
        <tr r="N17" s="2"/>
      </tp>
      <tp t="s">
        <v>#N/A N/A</v>
        <stp/>
        <stp>BDH|12767195450851785920</stp>
        <tr r="D17" s="2"/>
      </tp>
      <tp t="s">
        <v>#N/A N/A</v>
        <stp/>
        <stp>BDH|14663267684180777081</stp>
        <tr r="D60" s="2"/>
      </tp>
      <tp t="s">
        <v>#N/A N/A</v>
        <stp/>
        <stp>BDH|14950389237613844958</stp>
        <tr r="Z25" s="2"/>
      </tp>
      <tp t="s">
        <v>#N/A N/A</v>
        <stp/>
        <stp>BDH|15202456435644172882</stp>
        <tr r="I46" s="2"/>
      </tp>
      <tp t="s">
        <v>#N/A N/A</v>
        <stp/>
        <stp>BDH|13231722390161235297</stp>
        <tr r="J21" s="2"/>
      </tp>
      <tp t="s">
        <v>#N/A N/A</v>
        <stp/>
        <stp>BDH|11969953773789593803</stp>
        <tr r="C52" s="2"/>
      </tp>
      <tp t="s">
        <v>#N/A N/A</v>
        <stp/>
        <stp>BDH|17830685796771564794</stp>
        <tr r="I18" s="2"/>
      </tp>
      <tp t="s">
        <v>#N/A N/A</v>
        <stp/>
        <stp>BDH|12803184310835273988</stp>
        <tr r="M91" s="2"/>
      </tp>
      <tp t="s">
        <v>#N/A N/A</v>
        <stp/>
        <stp>BDH|12133046082902276680</stp>
        <tr r="U47" s="2"/>
      </tp>
      <tp t="s">
        <v>#N/A N/A</v>
        <stp/>
        <stp>BDH|17282428275862005884</stp>
        <tr r="F25" s="2"/>
      </tp>
      <tp t="s">
        <v>#N/A N/A</v>
        <stp/>
        <stp>BDH|16954953930622978084</stp>
        <tr r="N90" s="2"/>
      </tp>
      <tp t="s">
        <v>#N/A N/A</v>
        <stp/>
        <stp>BDH|16382135866506252999</stp>
        <tr r="Y23" s="2"/>
      </tp>
      <tp t="s">
        <v>#N/A N/A</v>
        <stp/>
        <stp>BDH|13982010174393380938</stp>
        <tr r="E49" s="2"/>
      </tp>
      <tp t="s">
        <v>#N/A N/A</v>
        <stp/>
        <stp>BDH|14811623994730561572</stp>
        <tr r="S42" s="2"/>
      </tp>
      <tp t="s">
        <v>#N/A N/A</v>
        <stp/>
        <stp>BDH|15929129583476459430</stp>
        <tr r="AA82" s="2"/>
      </tp>
      <tp t="s">
        <v>#N/A N/A</v>
        <stp/>
        <stp>BDH|13603288615077554914</stp>
        <tr r="P73" s="2"/>
      </tp>
      <tp t="s">
        <v>#N/A N/A</v>
        <stp/>
        <stp>BDH|16564802707047984757</stp>
        <tr r="E87" s="2"/>
      </tp>
      <tp t="s">
        <v>#N/A N/A</v>
        <stp/>
        <stp>BDH|13979497406479968019</stp>
        <tr r="F71" s="2"/>
      </tp>
      <tp t="s">
        <v>#N/A N/A</v>
        <stp/>
        <stp>BDH|16073683647088430258</stp>
        <tr r="AD94" s="2"/>
      </tp>
      <tp t="s">
        <v>#N/A N/A</v>
        <stp/>
        <stp>BDH|16426546358869057166</stp>
        <tr r="F89" s="2"/>
      </tp>
      <tp t="s">
        <v>#N/A N/A</v>
        <stp/>
        <stp>BDH|10497176375869837100</stp>
        <tr r="X58" s="2"/>
      </tp>
      <tp t="s">
        <v>#N/A N/A</v>
        <stp/>
        <stp>BDH|17711048727339346366</stp>
        <tr r="R87" s="2"/>
      </tp>
      <tp t="s">
        <v>#N/A N/A</v>
        <stp/>
        <stp>BDH|15420743201019586456</stp>
        <tr r="AD73" s="2"/>
      </tp>
      <tp t="s">
        <v>#N/A N/A</v>
        <stp/>
        <stp>BDH|18008095841695889617</stp>
        <tr r="X62" s="2"/>
      </tp>
      <tp t="s">
        <v>#N/A N/A</v>
        <stp/>
        <stp>BDH|11494555870918865484</stp>
        <tr r="AC75" s="2"/>
      </tp>
      <tp t="s">
        <v>#N/A N/A</v>
        <stp/>
        <stp>BDH|10177410591500826287</stp>
        <tr r="AC39" s="2"/>
      </tp>
      <tp t="s">
        <v>#N/A N/A</v>
        <stp/>
        <stp>BDH|16964778095013991431</stp>
        <tr r="P86" s="2"/>
      </tp>
      <tp t="s">
        <v>#N/A N/A</v>
        <stp/>
        <stp>BDH|12202355378861774882</stp>
        <tr r="O30" s="2"/>
      </tp>
      <tp t="s">
        <v>#N/A N/A</v>
        <stp/>
        <stp>BDH|10470937082507137945</stp>
        <tr r="AF61" s="2"/>
      </tp>
      <tp t="s">
        <v>#N/A N/A</v>
        <stp/>
        <stp>BDH|11421242170612347909</stp>
        <tr r="AC66" s="2"/>
      </tp>
      <tp t="s">
        <v>#N/A N/A</v>
        <stp/>
        <stp>BDH|10298981327495642183</stp>
        <tr r="W61" s="2"/>
      </tp>
      <tp t="s">
        <v>#N/A N/A</v>
        <stp/>
        <stp>BDH|11238155178250521898</stp>
        <tr r="AE51" s="2"/>
      </tp>
      <tp t="s">
        <v>#N/A N/A</v>
        <stp/>
        <stp>BDH|12181528621112280838</stp>
        <tr r="V9" s="2"/>
      </tp>
      <tp t="s">
        <v>#N/A N/A</v>
        <stp/>
        <stp>BDH|12456153385504615016</stp>
        <tr r="E93" s="2"/>
      </tp>
      <tp t="s">
        <v>#N/A N/A</v>
        <stp/>
        <stp>BDH|18325623174781186766</stp>
        <tr r="Q29" s="2"/>
      </tp>
      <tp t="s">
        <v>#N/A N/A</v>
        <stp/>
        <stp>BDH|16584840871496646040</stp>
        <tr r="F53" s="2"/>
      </tp>
      <tp t="s">
        <v>#N/A N/A</v>
        <stp/>
        <stp>BDH|10209566316912864986</stp>
        <tr r="H76" s="2"/>
      </tp>
      <tp t="s">
        <v>#N/A N/A</v>
        <stp/>
        <stp>BDH|10810462412048878266</stp>
        <tr r="AA57" s="2"/>
      </tp>
      <tp t="s">
        <v>#N/A N/A</v>
        <stp/>
        <stp>BDH|11398530040148009728</stp>
        <tr r="AF22" s="2"/>
      </tp>
      <tp t="s">
        <v>#N/A N/A</v>
        <stp/>
        <stp>BDH|14076880192678019286</stp>
        <tr r="O9" s="2"/>
      </tp>
      <tp t="s">
        <v>#N/A N/A</v>
        <stp/>
        <stp>BDH|14148373729128904242</stp>
        <tr r="AB52" s="2"/>
      </tp>
      <tp t="s">
        <v>#N/A N/A</v>
        <stp/>
        <stp>BDH|13210818827882495452</stp>
        <tr r="I82" s="2"/>
      </tp>
      <tp t="s">
        <v>#N/A N/A</v>
        <stp/>
        <stp>BDH|13291866310502818797</stp>
        <tr r="P66" s="2"/>
      </tp>
      <tp t="s">
        <v>#N/A N/A</v>
        <stp/>
        <stp>BDH|18246374091439750462</stp>
        <tr r="AA52" s="2"/>
      </tp>
      <tp t="s">
        <v>#N/A N/A</v>
        <stp/>
        <stp>BDH|11645962003267546031</stp>
        <tr r="H53" s="2"/>
      </tp>
      <tp t="s">
        <v>#N/A N/A</v>
        <stp/>
        <stp>BDH|14038398841315840959</stp>
        <tr r="H51" s="2"/>
      </tp>
      <tp t="s">
        <v>#N/A N/A</v>
        <stp/>
        <stp>BDH|14811878987352848945</stp>
        <tr r="AF93" s="2"/>
      </tp>
      <tp t="s">
        <v>#N/A N/A</v>
        <stp/>
        <stp>BDH|16138751793115099239</stp>
        <tr r="AB38" s="2"/>
      </tp>
      <tp t="s">
        <v>#N/A N/A</v>
        <stp/>
        <stp>BDH|13103972502184487179</stp>
        <tr r="V33" s="2"/>
      </tp>
      <tp t="s">
        <v>#N/A N/A</v>
        <stp/>
        <stp>BDH|16431567440449565115</stp>
        <tr r="W7" s="2"/>
      </tp>
      <tp t="s">
        <v>#N/A N/A</v>
        <stp/>
        <stp>BDH|11121743321538305315</stp>
        <tr r="D83" s="2"/>
      </tp>
      <tp t="s">
        <v>#N/A N/A</v>
        <stp/>
        <stp>BDH|12603164282217524315</stp>
        <tr r="Z9" s="2"/>
      </tp>
      <tp t="s">
        <v>#N/A N/A</v>
        <stp/>
        <stp>BDH|11341551591040532240</stp>
        <tr r="AB35" s="2"/>
      </tp>
      <tp t="s">
        <v>#N/A N/A</v>
        <stp/>
        <stp>BDH|13230386705627190870</stp>
        <tr r="R70" s="2"/>
      </tp>
      <tp t="s">
        <v>#N/A N/A</v>
        <stp/>
        <stp>BDH|16995200680406675565</stp>
        <tr r="AD15" s="2"/>
      </tp>
      <tp t="s">
        <v>#N/A N/A</v>
        <stp/>
        <stp>BDH|17758233099201095243</stp>
        <tr r="AC17" s="2"/>
      </tp>
      <tp t="s">
        <v>#N/A N/A</v>
        <stp/>
        <stp>BDH|17910194598646425653</stp>
        <tr r="G67" s="2"/>
      </tp>
      <tp t="s">
        <v>#N/A N/A</v>
        <stp/>
        <stp>BDH|13331093198102839734</stp>
        <tr r="D82" s="2"/>
      </tp>
      <tp t="s">
        <v>#N/A N/A</v>
        <stp/>
        <stp>BDH|17378484987476510200</stp>
        <tr r="J92" s="2"/>
      </tp>
      <tp t="s">
        <v>#N/A N/A</v>
        <stp/>
        <stp>BDH|10667331580882520698</stp>
        <tr r="R13" s="2"/>
      </tp>
      <tp t="s">
        <v>#N/A N/A</v>
        <stp/>
        <stp>BDH|14998065930770570825</stp>
        <tr r="E59" s="2"/>
      </tp>
      <tp t="s">
        <v>#N/A N/A</v>
        <stp/>
        <stp>BDH|11396954766663804202</stp>
        <tr r="I23" s="2"/>
      </tp>
      <tp t="s">
        <v>#N/A N/A</v>
        <stp/>
        <stp>BDH|15986867691028403328</stp>
        <tr r="G12" s="2"/>
      </tp>
      <tp t="s">
        <v>#N/A N/A</v>
        <stp/>
        <stp>BDH|17769662848289842397</stp>
        <tr r="U45" s="2"/>
      </tp>
      <tp t="s">
        <v>#N/A N/A</v>
        <stp/>
        <stp>BDH|10165735284328959871</stp>
        <tr r="W15" s="2"/>
      </tp>
      <tp t="s">
        <v>#N/A N/A</v>
        <stp/>
        <stp>BDH|16104888203357268609</stp>
        <tr r="AF39" s="2"/>
      </tp>
      <tp t="s">
        <v>#N/A N/A</v>
        <stp/>
        <stp>BDH|17384930146171901444</stp>
        <tr r="D75" s="2"/>
      </tp>
      <tp t="s">
        <v>#N/A N/A</v>
        <stp/>
        <stp>BDH|16145006918468099023</stp>
        <tr r="X12" s="2"/>
      </tp>
      <tp t="s">
        <v>#N/A N/A</v>
        <stp/>
        <stp>BDH|12352943946931990134</stp>
        <tr r="J20" s="2"/>
      </tp>
      <tp t="s">
        <v>#N/A N/A</v>
        <stp/>
        <stp>BDH|12221448838019124353</stp>
        <tr r="Y18" s="2"/>
      </tp>
      <tp t="s">
        <v>#N/A N/A</v>
        <stp/>
        <stp>BDH|10732609824173014894</stp>
        <tr r="N31" s="2"/>
      </tp>
      <tp t="s">
        <v>#N/A N/A</v>
        <stp/>
        <stp>BDH|11557742880272847330</stp>
        <tr r="U39" s="2"/>
      </tp>
      <tp t="s">
        <v>#N/A N/A</v>
        <stp/>
        <stp>BDH|17615795495111662764</stp>
        <tr r="S88" s="2"/>
      </tp>
      <tp t="s">
        <v>#N/A N/A</v>
        <stp/>
        <stp>BDH|18253392534596338164</stp>
        <tr r="U20" s="2"/>
      </tp>
      <tp t="s">
        <v>#N/A N/A</v>
        <stp/>
        <stp>BDH|14250869676682729686</stp>
        <tr r="K45" s="2"/>
      </tp>
      <tp t="s">
        <v>#N/A N/A</v>
        <stp/>
        <stp>BDH|14780166824620919801</stp>
        <tr r="M86" s="2"/>
      </tp>
      <tp t="s">
        <v>#N/A N/A</v>
        <stp/>
        <stp>BDH|14823824817862217005</stp>
        <tr r="AD19" s="2"/>
      </tp>
      <tp t="s">
        <v>#N/A N/A</v>
        <stp/>
        <stp>BDH|10822019771871607919</stp>
        <tr r="S71" s="2"/>
      </tp>
      <tp t="s">
        <v>#N/A N/A</v>
        <stp/>
        <stp>BDH|17823367956796373847</stp>
        <tr r="F49" s="2"/>
      </tp>
      <tp t="s">
        <v>#N/A N/A</v>
        <stp/>
        <stp>BDH|15954652763928393235</stp>
        <tr r="X10" s="2"/>
      </tp>
      <tp t="s">
        <v>#N/A N/A</v>
        <stp/>
        <stp>BDH|14888769291080269522</stp>
        <tr r="AC49" s="2"/>
      </tp>
      <tp t="s">
        <v>#N/A N/A</v>
        <stp/>
        <stp>BDH|11496738488736207723</stp>
        <tr r="P68" s="2"/>
      </tp>
      <tp t="s">
        <v>#N/A N/A</v>
        <stp/>
        <stp>BDH|15601819183158869225</stp>
        <tr r="X47" s="2"/>
      </tp>
      <tp t="s">
        <v>#N/A N/A</v>
        <stp/>
        <stp>BDH|13559325785383528498</stp>
        <tr r="O59" s="2"/>
      </tp>
      <tp t="s">
        <v>#N/A N/A</v>
        <stp/>
        <stp>BDH|15915644484246123267</stp>
        <tr r="F23" s="2"/>
      </tp>
      <tp t="s">
        <v>#N/A N/A</v>
        <stp/>
        <stp>BDH|18066021478690310071</stp>
        <tr r="AD9" s="2"/>
      </tp>
      <tp t="s">
        <v>#N/A N/A</v>
        <stp/>
        <stp>BDH|16790053918348709038</stp>
        <tr r="D25" s="2"/>
      </tp>
      <tp t="s">
        <v>#N/A N/A</v>
        <stp/>
        <stp>BDH|15435846905681309383</stp>
        <tr r="N11" s="2"/>
      </tp>
      <tp t="s">
        <v>#N/A N/A</v>
        <stp/>
        <stp>BDH|13010173312816152957</stp>
        <tr r="E57" s="2"/>
      </tp>
      <tp t="s">
        <v>#N/A N/A</v>
        <stp/>
        <stp>BDH|13231701895869092863</stp>
        <tr r="S74" s="2"/>
      </tp>
      <tp t="s">
        <v>#N/A N/A</v>
        <stp/>
        <stp>BDH|12522832795958094725</stp>
        <tr r="P54" s="2"/>
      </tp>
      <tp t="s">
        <v>#N/A N/A</v>
        <stp/>
        <stp>BDH|18087463223723167141</stp>
        <tr r="AD41" s="2"/>
      </tp>
      <tp t="s">
        <v>#N/A N/A</v>
        <stp/>
        <stp>BDH|13235966211714182343</stp>
        <tr r="AB30" s="2"/>
      </tp>
      <tp t="s">
        <v>#N/A N/A</v>
        <stp/>
        <stp>BDH|18009286301937063191</stp>
        <tr r="AA27" s="2"/>
      </tp>
      <tp t="s">
        <v>#N/A N/A</v>
        <stp/>
        <stp>BDH|10065908825980192740</stp>
        <tr r="R60" s="2"/>
      </tp>
      <tp t="s">
        <v>#N/A N/A</v>
        <stp/>
        <stp>BDH|14654357163575628868</stp>
        <tr r="G91" s="2"/>
      </tp>
      <tp t="s">
        <v>#N/A N/A</v>
        <stp/>
        <stp>BDH|15878528910039334490</stp>
        <tr r="F73" s="2"/>
      </tp>
      <tp t="s">
        <v>#N/A N/A</v>
        <stp/>
        <stp>BDH|15584823806955096420</stp>
        <tr r="AF13" s="2"/>
      </tp>
      <tp t="s">
        <v>#N/A N/A</v>
        <stp/>
        <stp>BDH|18228776103471299273</stp>
        <tr r="P57" s="2"/>
      </tp>
      <tp t="s">
        <v>#N/A N/A</v>
        <stp/>
        <stp>BDH|18442318821445055070</stp>
        <tr r="W13" s="2"/>
      </tp>
      <tp t="s">
        <v>#N/A N/A</v>
        <stp/>
        <stp>BDH|18027586240824888135</stp>
        <tr r="J64" s="2"/>
      </tp>
      <tp t="s">
        <v>#N/A N/A</v>
        <stp/>
        <stp>BDH|10800043001815732999</stp>
        <tr r="AA38" s="2"/>
      </tp>
      <tp t="s">
        <v>#N/A N/A</v>
        <stp/>
        <stp>BDH|11320407760419935697</stp>
        <tr r="U58" s="2"/>
      </tp>
      <tp t="s">
        <v>#N/A N/A</v>
        <stp/>
        <stp>BDH|18248547007277224607</stp>
        <tr r="V39" s="2"/>
      </tp>
      <tp t="s">
        <v>#N/A N/A</v>
        <stp/>
        <stp>BDH|16757887589718440215</stp>
        <tr r="U85" s="2"/>
      </tp>
      <tp t="s">
        <v>#N/A N/A</v>
        <stp/>
        <stp>BDH|14013977265403917499</stp>
        <tr r="Y13" s="2"/>
      </tp>
      <tp t="s">
        <v>#N/A N/A</v>
        <stp/>
        <stp>BDH|12432295315454906938</stp>
        <tr r="U12" s="2"/>
      </tp>
      <tp t="s">
        <v>#N/A N/A</v>
        <stp/>
        <stp>BDH|13858588341738323601</stp>
        <tr r="H77" s="2"/>
      </tp>
      <tp t="s">
        <v>#N/A N/A</v>
        <stp/>
        <stp>BDH|12549082489010343655</stp>
        <tr r="E33" s="2"/>
      </tp>
      <tp t="s">
        <v>#N/A N/A</v>
        <stp/>
        <stp>BDH|10687902703165065007</stp>
        <tr r="J15" s="2"/>
      </tp>
      <tp t="s">
        <v>#N/A N/A</v>
        <stp/>
        <stp>BDH|17440923631827528675</stp>
        <tr r="N25" s="2"/>
      </tp>
      <tp t="s">
        <v>#N/A N/A</v>
        <stp/>
        <stp>BDH|15844279899090061236</stp>
        <tr r="C73" s="2"/>
      </tp>
      <tp t="s">
        <v>#N/A N/A</v>
        <stp/>
        <stp>BDH|10754197235506836867</stp>
        <tr r="S39" s="2"/>
      </tp>
      <tp t="s">
        <v>#N/A N/A</v>
        <stp/>
        <stp>BDH|10742746221608452132</stp>
        <tr r="N59" s="2"/>
      </tp>
      <tp t="s">
        <v>#N/A N/A</v>
        <stp/>
        <stp>BDH|11463754067685007931</stp>
        <tr r="Z87" s="2"/>
      </tp>
      <tp t="s">
        <v>#N/A N/A</v>
        <stp/>
        <stp>BDH|16767622685625107156</stp>
        <tr r="I51" s="2"/>
      </tp>
      <tp t="s">
        <v>#N/A N/A</v>
        <stp/>
        <stp>BDH|13312205485663257639</stp>
        <tr r="N48" s="2"/>
      </tp>
      <tp t="s">
        <v>#N/A N/A</v>
        <stp/>
        <stp>BDH|14322047480748908891</stp>
        <tr r="W20" s="2"/>
      </tp>
      <tp t="s">
        <v>#N/A N/A</v>
        <stp/>
        <stp>BDH|17757018982934028735</stp>
        <tr r="N84" s="2"/>
      </tp>
      <tp t="s">
        <v>#N/A N/A</v>
        <stp/>
        <stp>BDH|14602966348726957363</stp>
        <tr r="M63" s="2"/>
      </tp>
      <tp t="s">
        <v>#N/A N/A</v>
        <stp/>
        <stp>BDH|15561651645872203909</stp>
        <tr r="O22" s="2"/>
      </tp>
      <tp t="s">
        <v>#N/A N/A</v>
        <stp/>
        <stp>BDH|11389954813862240719</stp>
        <tr r="AB77" s="2"/>
      </tp>
      <tp t="s">
        <v>#N/A N/A</v>
        <stp/>
        <stp>BDH|14784898319348153908</stp>
        <tr r="D63" s="2"/>
      </tp>
      <tp t="s">
        <v>#N/A N/A</v>
        <stp/>
        <stp>BDH|15076218452588384660</stp>
        <tr r="R52" s="2"/>
      </tp>
      <tp t="s">
        <v>#N/A N/A</v>
        <stp/>
        <stp>BDH|12561706630858580261</stp>
        <tr r="L17" s="2"/>
      </tp>
      <tp t="s">
        <v>#N/A N/A</v>
        <stp/>
        <stp>BDH|10805204523319387515</stp>
        <tr r="Q92" s="2"/>
      </tp>
      <tp t="s">
        <v>#N/A N/A</v>
        <stp/>
        <stp>BDH|11713531540034962844</stp>
        <tr r="AF66" s="2"/>
      </tp>
      <tp t="s">
        <v>#N/A N/A</v>
        <stp/>
        <stp>BDH|11439854288589209424</stp>
        <tr r="P17" s="2"/>
      </tp>
      <tp t="s">
        <v>#N/A N/A</v>
        <stp/>
        <stp>BDH|17888088081452947116</stp>
        <tr r="AA33" s="2"/>
      </tp>
      <tp t="s">
        <v>#N/A N/A</v>
        <stp/>
        <stp>BDH|17324358179799672614</stp>
        <tr r="O43" s="2"/>
      </tp>
      <tp t="s">
        <v>#N/A N/A</v>
        <stp/>
        <stp>BDH|11105228788460054734</stp>
        <tr r="P24" s="2"/>
      </tp>
      <tp t="s">
        <v>#N/A N/A</v>
        <stp/>
        <stp>BDH|10260499094570097173</stp>
        <tr r="H33" s="2"/>
      </tp>
      <tp t="s">
        <v>#N/A N/A</v>
        <stp/>
        <stp>BDH|16954914330608734874</stp>
        <tr r="T25" s="2"/>
      </tp>
      <tp t="s">
        <v>#N/A N/A</v>
        <stp/>
        <stp>BDH|15200279199480481203</stp>
        <tr r="V86" s="2"/>
      </tp>
      <tp t="s">
        <v>#N/A N/A</v>
        <stp/>
        <stp>BDH|11941575877586130930</stp>
        <tr r="P91" s="2"/>
      </tp>
      <tp t="s">
        <v>#N/A N/A</v>
        <stp/>
        <stp>BDH|18085818193316912318</stp>
        <tr r="E48" s="2"/>
      </tp>
      <tp t="s">
        <v>#N/A N/A</v>
        <stp/>
        <stp>BDH|16410267406318910077</stp>
        <tr r="U50" s="2"/>
      </tp>
      <tp t="s">
        <v>#N/A N/A</v>
        <stp/>
        <stp>BDH|10887841604265145138</stp>
        <tr r="T50" s="2"/>
      </tp>
      <tp t="s">
        <v>#N/A N/A</v>
        <stp/>
        <stp>BDH|16142631222219573789</stp>
        <tr r="W53" s="2"/>
      </tp>
      <tp t="s">
        <v>#N/A N/A</v>
        <stp/>
        <stp>BDH|17712026769689199400</stp>
        <tr r="R22" s="2"/>
      </tp>
      <tp t="s">
        <v>#N/A N/A</v>
        <stp/>
        <stp>BDH|12005484280975648736</stp>
        <tr r="C94" s="2"/>
      </tp>
      <tp t="s">
        <v>#N/A N/A</v>
        <stp/>
        <stp>BDH|11907779641326418864</stp>
        <tr r="E13" s="2"/>
      </tp>
      <tp t="s">
        <v>#N/A N/A</v>
        <stp/>
        <stp>BDH|12600484685185120779</stp>
        <tr r="H88" s="2"/>
      </tp>
      <tp t="s">
        <v>#N/A N/A</v>
        <stp/>
        <stp>BDH|13876895221460907548</stp>
        <tr r="O38" s="2"/>
      </tp>
      <tp t="s">
        <v>#N/A N/A</v>
        <stp/>
        <stp>BDH|18155328912466812049</stp>
        <tr r="W48" s="2"/>
      </tp>
      <tp t="s">
        <v>#N/A N/A</v>
        <stp/>
        <stp>BDH|14084040775079982649</stp>
        <tr r="I7" s="2"/>
      </tp>
      <tp t="s">
        <v>#N/A N/A</v>
        <stp/>
        <stp>BDH|11914137914338535579</stp>
        <tr r="T24" s="2"/>
      </tp>
      <tp t="s">
        <v>#N/A N/A</v>
        <stp/>
        <stp>BDH|15869164885331694116</stp>
        <tr r="AD77" s="2"/>
      </tp>
      <tp t="s">
        <v>#N/A N/A</v>
        <stp/>
        <stp>BDH|11798092087522097754</stp>
        <tr r="U92" s="2"/>
      </tp>
      <tp t="s">
        <v>#N/A N/A</v>
        <stp/>
        <stp>BDH|14474881903168368801</stp>
        <tr r="V60" s="2"/>
      </tp>
      <tp t="s">
        <v>#N/A N/A</v>
        <stp/>
        <stp>BDH|10708082850138655151</stp>
        <tr r="AB43" s="2"/>
      </tp>
      <tp t="s">
        <v>#N/A N/A</v>
        <stp/>
        <stp>BDH|10612631961074288893</stp>
        <tr r="F82" s="2"/>
      </tp>
      <tp t="s">
        <v>#N/A N/A</v>
        <stp/>
        <stp>BDH|10808827242383381340</stp>
        <tr r="E14" s="2"/>
      </tp>
      <tp t="s">
        <v>#N/A N/A</v>
        <stp/>
        <stp>BDH|10171547317158565085</stp>
        <tr r="M39" s="2"/>
      </tp>
      <tp t="s">
        <v>#N/A N/A</v>
        <stp/>
        <stp>BDH|13592913452933822014</stp>
        <tr r="J60" s="2"/>
      </tp>
      <tp t="s">
        <v>#N/A N/A</v>
        <stp/>
        <stp>BDH|12387865407050921654</stp>
        <tr r="M59" s="2"/>
      </tp>
      <tp t="s">
        <v>#N/A N/A</v>
        <stp/>
        <stp>BDH|13744093808166816909</stp>
        <tr r="Z11" s="2"/>
      </tp>
      <tp t="s">
        <v>#N/A N/A</v>
        <stp/>
        <stp>BDH|15405430791375950116</stp>
        <tr r="P55" s="2"/>
      </tp>
      <tp t="s">
        <v>#N/A N/A</v>
        <stp/>
        <stp>BDH|11243707500359876340</stp>
        <tr r="K22" s="2"/>
      </tp>
      <tp t="s">
        <v>#N/A N/A</v>
        <stp/>
        <stp>BDH|13677859503287139105</stp>
        <tr r="K31" s="2"/>
      </tp>
      <tp t="s">
        <v>#N/A N/A</v>
        <stp/>
        <stp>BDH|18036150592354098960</stp>
        <tr r="E20" s="2"/>
      </tp>
      <tp t="s">
        <v>#N/A N/A</v>
        <stp/>
        <stp>BDH|15157037485876337657</stp>
        <tr r="T81" s="2"/>
      </tp>
      <tp t="s">
        <v>#N/A N/A</v>
        <stp/>
        <stp>BDH|15423410765919128305</stp>
        <tr r="D76" s="2"/>
      </tp>
      <tp t="s">
        <v>#N/A N/A</v>
        <stp/>
        <stp>BDH|17574925717627544541</stp>
        <tr r="E63" s="2"/>
      </tp>
      <tp t="s">
        <v>#N/A N/A</v>
        <stp/>
        <stp>BDH|15016663234728438576</stp>
        <tr r="D22" s="2"/>
      </tp>
      <tp t="s">
        <v>#N/A N/A</v>
        <stp/>
        <stp>BDH|11633903071411754316</stp>
        <tr r="J38" s="2"/>
      </tp>
      <tp t="s">
        <v>#N/A N/A</v>
        <stp/>
        <stp>BDH|11994620219808093322</stp>
        <tr r="AC22" s="2"/>
      </tp>
      <tp t="s">
        <v>#N/A N/A</v>
        <stp/>
        <stp>BDH|14674360269879998508</stp>
        <tr r="C69" s="2"/>
      </tp>
      <tp t="s">
        <v>#N/A N/A</v>
        <stp/>
        <stp>BDH|18026618916306666411</stp>
        <tr r="C24" s="2"/>
      </tp>
      <tp t="s">
        <v>#N/A N/A</v>
        <stp/>
        <stp>BDH|15570878797721532837</stp>
        <tr r="V35" s="2"/>
      </tp>
      <tp t="s">
        <v>#N/A N/A</v>
        <stp/>
        <stp>BDH|12210564126550563845</stp>
        <tr r="I60" s="2"/>
      </tp>
      <tp t="s">
        <v>#N/A N/A</v>
        <stp/>
        <stp>BDH|16722916601045702737</stp>
        <tr r="N40" s="2"/>
      </tp>
      <tp t="s">
        <v>#N/A N/A</v>
        <stp/>
        <stp>BDH|11071374789161425689</stp>
        <tr r="AC34" s="2"/>
      </tp>
      <tp t="s">
        <v>#N/A N/A</v>
        <stp/>
        <stp>BDH|14919169534232843913</stp>
        <tr r="T64" s="2"/>
      </tp>
      <tp t="s">
        <v>#N/A N/A</v>
        <stp/>
        <stp>BDH|10778394388497523117</stp>
        <tr r="P11" s="2"/>
      </tp>
      <tp t="s">
        <v>#N/A N/A</v>
        <stp/>
        <stp>BDH|11925446321663765994</stp>
        <tr r="N38" s="2"/>
      </tp>
      <tp t="s">
        <v>#N/A N/A</v>
        <stp/>
        <stp>BDH|10795428780831696015</stp>
        <tr r="L76" s="2"/>
      </tp>
      <tp t="s">
        <v>#N/A N/A</v>
        <stp/>
        <stp>BDH|16248994379560594527</stp>
        <tr r="AA15" s="2"/>
      </tp>
      <tp t="s">
        <v>#N/A N/A</v>
        <stp/>
        <stp>BDH|14095139092030774134</stp>
        <tr r="M31" s="2"/>
      </tp>
      <tp t="s">
        <v>#N/A N/A</v>
        <stp/>
        <stp>BDH|11613930950388435843</stp>
        <tr r="U67" s="2"/>
      </tp>
      <tp t="s">
        <v>#N/A N/A</v>
        <stp/>
        <stp>BDH|16229360296478386954</stp>
        <tr r="AE28" s="2"/>
      </tp>
      <tp t="s">
        <v>#N/A N/A</v>
        <stp/>
        <stp>BDH|10940843651617815703</stp>
        <tr r="K82" s="2"/>
      </tp>
      <tp t="s">
        <v>#N/A N/A</v>
        <stp/>
        <stp>BDH|10802728817398111388</stp>
        <tr r="I72" s="2"/>
      </tp>
      <tp t="s">
        <v>#N/A N/A</v>
        <stp/>
        <stp>BDH|12828477490342255094</stp>
        <tr r="M25" s="2"/>
      </tp>
      <tp t="s">
        <v>#N/A N/A</v>
        <stp/>
        <stp>BDH|17679644636539063606</stp>
        <tr r="V92" s="2"/>
      </tp>
      <tp t="s">
        <v>#N/A N/A</v>
        <stp/>
        <stp>BDH|11980892590998748533</stp>
        <tr r="J57" s="2"/>
      </tp>
      <tp t="s">
        <v>#N/A N/A</v>
        <stp/>
        <stp>BDH|16842613384881367495</stp>
        <tr r="R94" s="2"/>
      </tp>
      <tp t="s">
        <v>#N/A N/A</v>
        <stp/>
        <stp>BDH|15553145741844501924</stp>
        <tr r="X89" s="2"/>
      </tp>
      <tp t="s">
        <v>#N/A N/A</v>
        <stp/>
        <stp>BDH|12248104536259303404</stp>
        <tr r="J17" s="2"/>
      </tp>
      <tp t="s">
        <v>#N/A N/A</v>
        <stp/>
        <stp>BDH|12447809863864376529</stp>
        <tr r="J56" s="2"/>
      </tp>
      <tp t="s">
        <v>#N/A N/A</v>
        <stp/>
        <stp>BDH|13352542694771717323</stp>
        <tr r="G42" s="2"/>
      </tp>
      <tp t="s">
        <v>#N/A N/A</v>
        <stp/>
        <stp>BDH|10115453963989423659</stp>
        <tr r="F90" s="2"/>
      </tp>
      <tp t="s">
        <v>#N/A N/A</v>
        <stp/>
        <stp>BDH|15415895597838485184</stp>
        <tr r="H73" s="2"/>
      </tp>
      <tp t="s">
        <v>#N/A N/A</v>
        <stp/>
        <stp>BDH|14938812924862133140</stp>
        <tr r="AC86" s="2"/>
      </tp>
      <tp t="s">
        <v>#N/A N/A</v>
        <stp/>
        <stp>BDH|12839169714086015938</stp>
        <tr r="E47" s="2"/>
      </tp>
      <tp t="s">
        <v>#N/A N/A</v>
        <stp/>
        <stp>BDH|15423842469285429340</stp>
        <tr r="E53" s="2"/>
      </tp>
      <tp t="s">
        <v>#N/A N/A</v>
        <stp/>
        <stp>BDH|17104849820839915949</stp>
        <tr r="AB94" s="2"/>
      </tp>
      <tp t="s">
        <v>#N/A N/A</v>
        <stp/>
        <stp>BDH|12529325737798077784</stp>
        <tr r="C81" s="2"/>
      </tp>
      <tp t="s">
        <v>#N/A N/A</v>
        <stp/>
        <stp>BDH|14355601482953860419</stp>
        <tr r="E22" s="2"/>
      </tp>
      <tp t="s">
        <v>#N/A N/A</v>
        <stp/>
        <stp>BDH|12068113532545818833</stp>
        <tr r="U59" s="2"/>
      </tp>
      <tp t="s">
        <v>#N/A N/A</v>
        <stp/>
        <stp>BDH|16031397231462217921</stp>
        <tr r="T23" s="2"/>
      </tp>
      <tp t="s">
        <v>#N/A N/A</v>
        <stp/>
        <stp>BDH|15449552836576919867</stp>
        <tr r="P84" s="2"/>
      </tp>
      <tp t="s">
        <v>#N/A N/A</v>
        <stp/>
        <stp>BDH|14507757588901085702</stp>
        <tr r="I53" s="2"/>
      </tp>
      <tp t="s">
        <v>#N/A N/A</v>
        <stp/>
        <stp>BDH|12417237799453389763</stp>
        <tr r="J22" s="2"/>
      </tp>
      <tp t="s">
        <v>#N/A N/A</v>
        <stp/>
        <stp>BDH|14925358521030105879</stp>
        <tr r="E67" s="2"/>
      </tp>
      <tp t="s">
        <v>#N/A N/A</v>
        <stp/>
        <stp>BDH|18282389614257532019</stp>
        <tr r="Z90" s="2"/>
      </tp>
      <tp t="s">
        <v>#N/A N/A</v>
        <stp/>
        <stp>BDH|14104858554736975237</stp>
        <tr r="X88" s="2"/>
      </tp>
      <tp t="s">
        <v>#N/A N/A</v>
        <stp/>
        <stp>BDH|16244604123607303888</stp>
        <tr r="V26" s="2"/>
      </tp>
      <tp t="s">
        <v>#N/A N/A</v>
        <stp/>
        <stp>BDH|13519660178927914885</stp>
        <tr r="D26" s="2"/>
      </tp>
      <tp t="s">
        <v>#N/A N/A</v>
        <stp/>
        <stp>BDH|16605329919548558153</stp>
        <tr r="P48" s="2"/>
      </tp>
      <tp t="s">
        <v>#N/A N/A</v>
        <stp/>
        <stp>BDH|12340974525313806759</stp>
        <tr r="AE65" s="2"/>
      </tp>
      <tp t="s">
        <v>#N/A N/A</v>
        <stp/>
        <stp>BDH|15160088854289121407</stp>
        <tr r="K33" s="2"/>
      </tp>
      <tp t="s">
        <v>#N/A N/A</v>
        <stp/>
        <stp>BDH|13125455783137846535</stp>
        <tr r="O19" s="2"/>
      </tp>
      <tp t="s">
        <v>#N/A N/A</v>
        <stp/>
        <stp>BDH|15953931414910304026</stp>
        <tr r="F60" s="2"/>
      </tp>
      <tp t="s">
        <v>#N/A N/A</v>
        <stp/>
        <stp>BDH|11741133386365411094</stp>
        <tr r="H7" s="2"/>
      </tp>
      <tp t="s">
        <v>#N/A N/A</v>
        <stp/>
        <stp>BDH|14552797805388714611</stp>
        <tr r="S13" s="2"/>
      </tp>
      <tp t="s">
        <v>#N/A N/A</v>
        <stp/>
        <stp>BDH|10244902078400257376</stp>
        <tr r="C70" s="2"/>
      </tp>
      <tp t="s">
        <v>#N/A N/A</v>
        <stp/>
        <stp>BDH|12963440946257117852</stp>
        <tr r="G26" s="2"/>
      </tp>
      <tp t="s">
        <v>#N/A N/A</v>
        <stp/>
        <stp>BDH|11135561358534419855</stp>
        <tr r="E41" s="2"/>
      </tp>
      <tp t="s">
        <v>#N/A N/A</v>
        <stp/>
        <stp>BDH|17614923695599630393</stp>
        <tr r="X40" s="2"/>
      </tp>
      <tp t="s">
        <v>#N/A N/A</v>
        <stp/>
        <stp>BDH|17054499964384576396</stp>
        <tr r="L12" s="2"/>
      </tp>
      <tp t="s">
        <v>#N/A N/A</v>
        <stp/>
        <stp>BDH|16486576452006069209</stp>
        <tr r="L56" s="2"/>
      </tp>
      <tp t="s">
        <v>#N/A N/A</v>
        <stp/>
        <stp>BDH|17749673441894477348</stp>
        <tr r="AB41" s="2"/>
      </tp>
      <tp t="s">
        <v>#N/A N/A</v>
        <stp/>
        <stp>BDH|11247678775514179608</stp>
        <tr r="M62" s="2"/>
      </tp>
      <tp t="s">
        <v>#N/A N/A</v>
        <stp/>
        <stp>BDH|15266412632725239524</stp>
        <tr r="C88" s="2"/>
      </tp>
      <tp t="s">
        <v>#N/A N/A</v>
        <stp/>
        <stp>BDH|16751210001964466232</stp>
        <tr r="C48" s="2"/>
      </tp>
      <tp t="s">
        <v>#N/A N/A</v>
        <stp/>
        <stp>BDH|14508242410405699071</stp>
        <tr r="AC92" s="2"/>
      </tp>
      <tp t="s">
        <v>#N/A N/A</v>
        <stp/>
        <stp>BDH|10066505942810325315</stp>
        <tr r="K64" s="2"/>
      </tp>
      <tp t="s">
        <v>#N/A N/A</v>
        <stp/>
        <stp>BDH|16139272247760745260</stp>
        <tr r="C38" s="2"/>
      </tp>
      <tp t="s">
        <v>#N/A N/A</v>
        <stp/>
        <stp>BDH|13293803141849214411</stp>
        <tr r="O86" s="2"/>
      </tp>
      <tp t="s">
        <v>#N/A N/A</v>
        <stp/>
        <stp>BDH|17983620174913966760</stp>
        <tr r="N56" s="2"/>
      </tp>
      <tp t="s">
        <v>#N/A N/A</v>
        <stp/>
        <stp>BDH|15086773958974976160</stp>
        <tr r="X18" s="2"/>
      </tp>
      <tp t="s">
        <v>#N/A N/A</v>
        <stp/>
        <stp>BDH|14284632725336681419</stp>
        <tr r="C68" s="2"/>
      </tp>
      <tp t="s">
        <v>#N/A N/A</v>
        <stp/>
        <stp>BDH|17073925083702730659</stp>
        <tr r="N13" s="2"/>
      </tp>
      <tp t="s">
        <v>#N/A N/A</v>
        <stp/>
        <stp>BDH|11078536905241449719</stp>
        <tr r="Z21" s="2"/>
      </tp>
      <tp t="s">
        <v>#N/A N/A</v>
        <stp/>
        <stp>BDH|14777167017112536401</stp>
        <tr r="L33" s="2"/>
      </tp>
      <tp t="s">
        <v>#N/A N/A</v>
        <stp/>
        <stp>BDH|18186585767231991844</stp>
        <tr r="AE75" s="2"/>
      </tp>
      <tp t="s">
        <v>#N/A N/A</v>
        <stp/>
        <stp>BDH|16660385074245971503</stp>
        <tr r="K18" s="2"/>
      </tp>
      <tp t="s">
        <v>#N/A N/A</v>
        <stp/>
        <stp>BDH|13051706252140006316</stp>
        <tr r="X19" s="2"/>
      </tp>
      <tp t="s">
        <v>#N/A N/A</v>
        <stp/>
        <stp>BDH|13533003297781889980</stp>
        <tr r="Z88" s="2"/>
      </tp>
      <tp t="s">
        <v>#N/A N/A</v>
        <stp/>
        <stp>BDH|16979801595804731190</stp>
        <tr r="V48" s="2"/>
      </tp>
      <tp t="s">
        <v>#N/A N/A</v>
        <stp/>
        <stp>BDH|17737646511237838588</stp>
        <tr r="M33" s="2"/>
      </tp>
      <tp t="s">
        <v>#N/A N/A</v>
        <stp/>
        <stp>BDH|11002372975947816088</stp>
        <tr r="K46" s="2"/>
      </tp>
      <tp t="s">
        <v>#N/A N/A</v>
        <stp/>
        <stp>BDH|12775502316442707640</stp>
        <tr r="X63" s="2"/>
      </tp>
      <tp t="s">
        <v>#N/A N/A</v>
        <stp/>
        <stp>BDH|17414458159970318497</stp>
        <tr r="I62" s="2"/>
      </tp>
      <tp t="s">
        <v>#N/A N/A</v>
        <stp/>
        <stp>BDH|13805261127354448588</stp>
        <tr r="Z40" s="2"/>
      </tp>
      <tp t="s">
        <v>#N/A N/A</v>
        <stp/>
        <stp>BDH|14707374265141629265</stp>
        <tr r="C77" s="2"/>
      </tp>
      <tp t="s">
        <v>#N/A N/A</v>
        <stp/>
        <stp>BDH|17525726105371423337</stp>
        <tr r="C20" s="2"/>
      </tp>
      <tp t="s">
        <v>#N/A N/A</v>
        <stp/>
        <stp>BDH|11272837835969677160</stp>
        <tr r="Z57" s="2"/>
      </tp>
      <tp t="s">
        <v>#N/A N/A</v>
        <stp/>
        <stp>BDH|13423014766295372240</stp>
        <tr r="AD62" s="2"/>
      </tp>
      <tp t="s">
        <v>#N/A N/A</v>
        <stp/>
        <stp>BDH|13512066827984929798</stp>
        <tr r="AA44" s="2"/>
      </tp>
      <tp t="s">
        <v>#N/A N/A</v>
        <stp/>
        <stp>BDH|15236655720302357104</stp>
        <tr r="H65" s="2"/>
      </tp>
      <tp t="s">
        <v>#N/A N/A</v>
        <stp/>
        <stp>BDH|11652597316683991474</stp>
        <tr r="F85" s="2"/>
      </tp>
      <tp t="s">
        <v>#N/A N/A</v>
        <stp/>
        <stp>BDH|16846633579924715127</stp>
        <tr r="M22" s="2"/>
      </tp>
      <tp t="s">
        <v>#N/A N/A</v>
        <stp/>
        <stp>BDH|10675665691224792916</stp>
        <tr r="O15" s="2"/>
      </tp>
      <tp t="s">
        <v>#N/A N/A</v>
        <stp/>
        <stp>BDH|12755460989688743489</stp>
        <tr r="M45" s="2"/>
      </tp>
      <tp t="s">
        <v>#N/A N/A</v>
        <stp/>
        <stp>BDH|12114174971361545751</stp>
        <tr r="Z23" s="2"/>
      </tp>
      <tp t="s">
        <v>#N/A N/A</v>
        <stp/>
        <stp>BDH|17319518121626695421</stp>
        <tr r="G62" s="2"/>
      </tp>
      <tp t="s">
        <v>#N/A N/A</v>
        <stp/>
        <stp>BDH|10460202077423222464</stp>
        <tr r="X42" s="2"/>
      </tp>
      <tp t="s">
        <v>#N/A N/A</v>
        <stp/>
        <stp>BDH|13649638155010108277</stp>
        <tr r="F31" s="2"/>
      </tp>
      <tp t="s">
        <v>#N/A N/A</v>
        <stp/>
        <stp>BDH|16010399068948070974</stp>
        <tr r="F26" s="2"/>
      </tp>
      <tp t="s">
        <v>#N/A N/A</v>
        <stp/>
        <stp>BDH|12758576162533462005</stp>
        <tr r="AD39" s="2"/>
      </tp>
      <tp t="s">
        <v>#N/A N/A</v>
        <stp/>
        <stp>BDH|16843337824216391353</stp>
        <tr r="P63" s="2"/>
      </tp>
      <tp t="s">
        <v>#N/A N/A</v>
        <stp/>
        <stp>BDH|18180852234444145585</stp>
        <tr r="G24" s="2"/>
      </tp>
      <tp t="s">
        <v>#N/A N/A</v>
        <stp/>
        <stp>BDH|16951948872843224955</stp>
        <tr r="T47" s="2"/>
      </tp>
      <tp t="s">
        <v>#N/A N/A</v>
        <stp/>
        <stp>BDH|10018085153526538159</stp>
        <tr r="AE35" s="2"/>
      </tp>
      <tp t="s">
        <v>#N/A N/A</v>
        <stp/>
        <stp>BDH|16379027638320788752</stp>
        <tr r="H45" s="2"/>
      </tp>
      <tp t="s">
        <v>#N/A N/A</v>
        <stp/>
        <stp>BDH|10191269233707684493</stp>
        <tr r="AA30" s="2"/>
      </tp>
      <tp t="s">
        <v>#N/A N/A</v>
        <stp/>
        <stp>BDH|13178717667871581191</stp>
        <tr r="AF34" s="2"/>
      </tp>
      <tp t="s">
        <v>#N/A N/A</v>
        <stp/>
        <stp>BDH|12579966210891196997</stp>
        <tr r="M19" s="2"/>
      </tp>
      <tp t="s">
        <v>#N/A N/A</v>
        <stp/>
        <stp>BDH|15355284536600447624</stp>
        <tr r="Y93" s="2"/>
      </tp>
      <tp t="s">
        <v>#N/A N/A</v>
        <stp/>
        <stp>BDH|11267907262458911437</stp>
        <tr r="M40" s="2"/>
      </tp>
      <tp t="s">
        <v>#N/A N/A</v>
        <stp/>
        <stp>BDH|15112735697399900017</stp>
        <tr r="U7" s="2"/>
      </tp>
      <tp t="s">
        <v>#N/A N/A</v>
        <stp/>
        <stp>BDH|14510947126968972538</stp>
        <tr r="P72" s="2"/>
      </tp>
      <tp t="s">
        <v>#N/A N/A</v>
        <stp/>
        <stp>BDH|11935819655969102717</stp>
        <tr r="V24" s="2"/>
      </tp>
      <tp t="s">
        <v>#N/A N/A</v>
        <stp/>
        <stp>BDH|17950586678626106148</stp>
        <tr r="AE39" s="2"/>
      </tp>
      <tp t="s">
        <v>#N/A N/A</v>
        <stp/>
        <stp>BDH|12698821576016833969</stp>
        <tr r="Q66" s="2"/>
      </tp>
      <tp t="s">
        <v>#N/A N/A</v>
        <stp/>
        <stp>BDH|18378453712456846900</stp>
        <tr r="C17" s="2"/>
      </tp>
      <tp t="s">
        <v>#N/A N/A</v>
        <stp/>
        <stp>BDH|16848744126912225373</stp>
        <tr r="O70" s="2"/>
      </tp>
      <tp t="s">
        <v>#N/A N/A</v>
        <stp/>
        <stp>BDH|12609539182188023592</stp>
        <tr r="AA63" s="2"/>
      </tp>
      <tp t="s">
        <v>#N/A N/A</v>
        <stp/>
        <stp>BDH|18369636628628524639</stp>
        <tr r="F24" s="2"/>
      </tp>
      <tp t="s">
        <v>#N/A N/A</v>
        <stp/>
        <stp>BDH|12193420349577052748</stp>
        <tr r="R29" s="2"/>
      </tp>
      <tp t="s">
        <v>#N/A N/A</v>
        <stp/>
        <stp>BDH|13861580441533600392</stp>
        <tr r="Z43" s="2"/>
      </tp>
      <tp t="s">
        <v>#N/A N/A</v>
        <stp/>
        <stp>BDH|13880372079044039189</stp>
        <tr r="I32" s="2"/>
      </tp>
      <tp t="s">
        <v>#N/A N/A</v>
        <stp/>
        <stp>BDH|12842454401122524676</stp>
        <tr r="AA46" s="2"/>
      </tp>
      <tp t="s">
        <v>#N/A N/A</v>
        <stp/>
        <stp>BDH|10870932321270720931</stp>
        <tr r="L16" s="2"/>
      </tp>
      <tp t="s">
        <v>#N/A N/A</v>
        <stp/>
        <stp>BDH|15271797178915453365</stp>
        <tr r="Y57" s="2"/>
      </tp>
      <tp t="s">
        <v>#N/A N/A</v>
        <stp/>
        <stp>BDH|11296946610203067975</stp>
        <tr r="M34" s="2"/>
      </tp>
      <tp t="s">
        <v>#N/A N/A</v>
        <stp/>
        <stp>BDH|10873540349567411504</stp>
        <tr r="M67" s="2"/>
      </tp>
      <tp t="s">
        <v>#N/A N/A</v>
        <stp/>
        <stp>BDH|17532421820006259442</stp>
        <tr r="V17" s="2"/>
      </tp>
      <tp t="s">
        <v>#N/A N/A</v>
        <stp/>
        <stp>BDH|13182740741444012746</stp>
        <tr r="J74" s="2"/>
      </tp>
      <tp t="s">
        <v>#N/A N/A</v>
        <stp/>
        <stp>BDH|16388845168589671295</stp>
        <tr r="AB93" s="2"/>
      </tp>
      <tp t="s">
        <v>#N/A N/A</v>
        <stp/>
        <stp>BDH|15594739960257543038</stp>
        <tr r="AE57" s="2"/>
      </tp>
      <tp t="s">
        <v>#N/A N/A</v>
        <stp/>
        <stp>BDH|16496124625400330604</stp>
        <tr r="AC84" s="2"/>
      </tp>
      <tp t="s">
        <v>#N/A N/A</v>
        <stp/>
        <stp>BDH|14111325232947924081</stp>
        <tr r="N57" s="2"/>
      </tp>
      <tp t="s">
        <v>#N/A N/A</v>
        <stp/>
        <stp>BDH|14029655365385853281</stp>
        <tr r="K88" s="2"/>
      </tp>
      <tp t="s">
        <v>#N/A N/A</v>
        <stp/>
        <stp>BDH|13627647225822193661</stp>
        <tr r="AB28" s="2"/>
      </tp>
      <tp t="s">
        <v>#N/A N/A</v>
        <stp/>
        <stp>BDH|15783159814080624606</stp>
        <tr r="O84" s="2"/>
      </tp>
      <tp t="s">
        <v>#N/A N/A</v>
        <stp/>
        <stp>BDH|16077670663170274558</stp>
        <tr r="P61" s="2"/>
      </tp>
      <tp t="s">
        <v>#N/A N/A</v>
        <stp/>
        <stp>BDH|11623033849827720188</stp>
        <tr r="AD53" s="2"/>
      </tp>
      <tp t="s">
        <v>#N/A N/A</v>
        <stp/>
        <stp>BDH|13309249859426866159</stp>
        <tr r="AE92" s="2"/>
      </tp>
      <tp t="s">
        <v>#N/A N/A</v>
        <stp/>
        <stp>BDH|13115290209622307016</stp>
        <tr r="AF75" s="2"/>
      </tp>
      <tp t="s">
        <v>#N/A N/A</v>
        <stp/>
        <stp>BDH|13787173122870834394</stp>
        <tr r="H39" s="2"/>
      </tp>
      <tp t="s">
        <v>#N/A N/A</v>
        <stp/>
        <stp>BDH|13625194348580330563</stp>
        <tr r="P52" s="2"/>
      </tp>
      <tp t="s">
        <v>#N/A N/A</v>
        <stp/>
        <stp>BDH|15584243151645338465</stp>
        <tr r="X7" s="2"/>
      </tp>
      <tp t="s">
        <v>#N/A N/A</v>
        <stp/>
        <stp>BDH|14935885006808475762</stp>
        <tr r="E38" s="2"/>
      </tp>
      <tp t="s">
        <v>#N/A N/A</v>
        <stp/>
        <stp>BDH|16089108143357030763</stp>
        <tr r="Z65" s="2"/>
      </tp>
      <tp t="s">
        <v>#N/A N/A</v>
        <stp/>
        <stp>BDH|10536624263591698279</stp>
        <tr r="W63" s="2"/>
      </tp>
      <tp t="s">
        <v>#N/A N/A</v>
        <stp/>
        <stp>BDH|16304823715594578843</stp>
        <tr r="AB51" s="2"/>
      </tp>
      <tp t="s">
        <v>#N/A N/A</v>
        <stp/>
        <stp>BDH|15473466721062571237</stp>
        <tr r="F22" s="2"/>
      </tp>
      <tp t="s">
        <v>#N/A N/A</v>
        <stp/>
        <stp>BDH|16862919399691071445</stp>
        <tr r="G53" s="2"/>
      </tp>
      <tp t="s">
        <v>#N/A N/A</v>
        <stp/>
        <stp>BDH|12903097514222838286</stp>
        <tr r="P9" s="2"/>
      </tp>
      <tp t="s">
        <v>#N/A N/A</v>
        <stp/>
        <stp>BDH|17426787794778810243</stp>
        <tr r="Z69" s="2"/>
      </tp>
      <tp t="s">
        <v>#N/A N/A</v>
        <stp/>
        <stp>BDH|13714601332761493460</stp>
        <tr r="V72" s="2"/>
      </tp>
      <tp t="s">
        <v>#N/A N/A</v>
        <stp/>
        <stp>BDH|11501275849985857144</stp>
        <tr r="E83" s="2"/>
      </tp>
      <tp t="s">
        <v>#N/A N/A</v>
        <stp/>
        <stp>BDH|13168957838029872337</stp>
        <tr r="X81" s="2"/>
      </tp>
      <tp t="s">
        <v>#N/A N/A</v>
        <stp/>
        <stp>BDH|13669467775822665148</stp>
        <tr r="T68" s="2"/>
      </tp>
      <tp t="s">
        <v>#N/A N/A</v>
        <stp/>
        <stp>BDH|17727332410670374604</stp>
        <tr r="I67" s="2"/>
      </tp>
      <tp t="s">
        <v>#N/A N/A</v>
        <stp/>
        <stp>BDH|17446263565397888789</stp>
        <tr r="V51" s="2"/>
      </tp>
      <tp t="s">
        <v>#N/A N/A</v>
        <stp/>
        <stp>BDH|16256395213154624397</stp>
        <tr r="Q35" s="2"/>
      </tp>
      <tp t="s">
        <v>#N/A N/A</v>
        <stp/>
        <stp>BDH|14548078261698357965</stp>
        <tr r="X21" s="2"/>
      </tp>
      <tp t="s">
        <v>#N/A N/A</v>
        <stp/>
        <stp>BDH|12491028559687810318</stp>
        <tr r="C34" s="2"/>
      </tp>
      <tp t="s">
        <v>#N/A N/A</v>
        <stp/>
        <stp>BDH|11361820548897729981</stp>
        <tr r="U22" s="2"/>
      </tp>
      <tp t="s">
        <v>#N/A N/A</v>
        <stp/>
        <stp>BDH|16713864778312825877</stp>
        <tr r="L71" s="2"/>
      </tp>
      <tp t="s">
        <v>#N/A N/A</v>
        <stp/>
        <stp>BDH|12063685811316717084</stp>
        <tr r="M77" s="2"/>
      </tp>
      <tp t="s">
        <v>#N/A N/A</v>
        <stp/>
        <stp>BDH|15722183623495272087</stp>
        <tr r="U29" s="2"/>
      </tp>
      <tp t="s">
        <v>#N/A N/A</v>
        <stp/>
        <stp>BDH|12220233878271947598</stp>
        <tr r="N94" s="2"/>
      </tp>
      <tp t="s">
        <v>#N/A N/A</v>
        <stp/>
        <stp>BDH|13559382342076033167</stp>
        <tr r="T15" s="2"/>
      </tp>
      <tp t="s">
        <v>#N/A N/A</v>
        <stp/>
        <stp>BDH|11557198157485193330</stp>
        <tr r="J9" s="2"/>
      </tp>
      <tp t="s">
        <v>#N/A N/A</v>
        <stp/>
        <stp>BDH|13318890985429433921</stp>
        <tr r="AD14" s="2"/>
      </tp>
      <tp t="s">
        <v>#N/A N/A</v>
        <stp/>
        <stp>BDH|17209088720126751049</stp>
        <tr r="H60" s="2"/>
      </tp>
      <tp t="s">
        <v>#N/A N/A</v>
        <stp/>
        <stp>BDH|10519093573037751304</stp>
        <tr r="Q84" s="2"/>
      </tp>
      <tp t="s">
        <v>#N/A N/A</v>
        <stp/>
        <stp>BDH|14929380908753867797</stp>
        <tr r="AE81" s="2"/>
      </tp>
      <tp t="s">
        <v>#N/A N/A</v>
        <stp/>
        <stp>BDH|12514986455665629852</stp>
        <tr r="Z10" s="2"/>
      </tp>
      <tp t="s">
        <v>#N/A N/A</v>
        <stp/>
        <stp>BDH|17044529968612589546</stp>
        <tr r="C35" s="2"/>
      </tp>
      <tp t="s">
        <v>#N/A N/A</v>
        <stp/>
        <stp>BDH|12342185046783514723</stp>
        <tr r="U38" s="2"/>
      </tp>
      <tp t="s">
        <v>#N/A N/A</v>
        <stp/>
        <stp>BDH|14674199973508121903</stp>
        <tr r="Q86" s="2"/>
      </tp>
      <tp t="s">
        <v>#N/A N/A</v>
        <stp/>
        <stp>BDH|11107067337134479598</stp>
        <tr r="AF14" s="2"/>
      </tp>
      <tp t="s">
        <v>#N/A N/A</v>
        <stp/>
        <stp>BDH|12544761176371176091</stp>
        <tr r="S8" s="2"/>
      </tp>
      <tp t="s">
        <v>#N/A N/A</v>
        <stp/>
        <stp>BDH|16114548032470922327</stp>
        <tr r="AD11" s="2"/>
      </tp>
      <tp t="s">
        <v>#N/A N/A</v>
        <stp/>
        <stp>BDH|15650906705938605796</stp>
        <tr r="L88" s="2"/>
      </tp>
      <tp t="s">
        <v>#N/A N/A</v>
        <stp/>
        <stp>BDH|17576654202015764795</stp>
        <tr r="J39" s="2"/>
      </tp>
      <tp t="s">
        <v>#N/A N/A</v>
        <stp/>
        <stp>BDH|16202095577006229421</stp>
        <tr r="F10" s="2"/>
      </tp>
      <tp t="s">
        <v>#N/A N/A</v>
        <stp/>
        <stp>BDH|13376304603894876777</stp>
        <tr r="D13" s="2"/>
      </tp>
      <tp t="s">
        <v>#N/A N/A</v>
        <stp/>
        <stp>BDH|17504295917013687425</stp>
        <tr r="R21" s="2"/>
      </tp>
      <tp t="s">
        <v>#N/A N/A</v>
        <stp/>
        <stp>BDH|13124046058305467062</stp>
        <tr r="U13" s="2"/>
      </tp>
      <tp t="s">
        <v>#N/A N/A</v>
        <stp/>
        <stp>BDH|16622090150307078701</stp>
        <tr r="F47" s="2"/>
      </tp>
      <tp t="s">
        <v>#N/A N/A</v>
        <stp/>
        <stp>BDH|14279513819807693433</stp>
        <tr r="AF18" s="2"/>
      </tp>
      <tp t="s">
        <v>#N/A N/A</v>
        <stp/>
        <stp>BDH|10285221237282909003</stp>
        <tr r="J65" s="2"/>
      </tp>
      <tp t="s">
        <v>#N/A N/A</v>
        <stp/>
        <stp>BDH|17696327071921303189</stp>
        <tr r="C61" s="2"/>
      </tp>
      <tp t="s">
        <v>#N/A N/A</v>
        <stp/>
        <stp>BDH|12567080755112175670</stp>
        <tr r="R25" s="2"/>
      </tp>
      <tp t="s">
        <v>#N/A N/A</v>
        <stp/>
        <stp>BDH|10814486617652856411</stp>
        <tr r="G66" s="2"/>
      </tp>
      <tp t="s">
        <v>#N/A N/A</v>
        <stp/>
        <stp>BDH|11930866286879143896</stp>
        <tr r="K72" s="2"/>
      </tp>
      <tp t="s">
        <v>#N/A N/A</v>
        <stp/>
        <stp>BDH|17281825075018131051</stp>
        <tr r="I40" s="2"/>
      </tp>
      <tp t="s">
        <v>#N/A N/A</v>
        <stp/>
        <stp>BDH|14498470100489721950</stp>
        <tr r="Y87" s="2"/>
      </tp>
      <tp t="s">
        <v>#N/A N/A</v>
        <stp/>
        <stp>BDH|15925041292464912878</stp>
        <tr r="N21" s="2"/>
      </tp>
      <tp t="s">
        <v>#N/A N/A</v>
        <stp/>
        <stp>BDH|13616774274316409505</stp>
        <tr r="S82" s="2"/>
      </tp>
      <tp t="s">
        <v>#N/A N/A</v>
        <stp/>
        <stp>BDH|16777856569940893820</stp>
        <tr r="N44" s="2"/>
      </tp>
      <tp t="s">
        <v>#N/A N/A</v>
        <stp/>
        <stp>BDH|17600879424069697421</stp>
        <tr r="P41" s="2"/>
      </tp>
      <tp t="s">
        <v>#N/A N/A</v>
        <stp/>
        <stp>BDH|16012065446734286621</stp>
        <tr r="D7" s="2"/>
      </tp>
      <tp t="s">
        <v>#N/A N/A</v>
        <stp/>
        <stp>BDH|11939877254808916434</stp>
        <tr r="E62" s="2"/>
      </tp>
      <tp t="s">
        <v>#N/A N/A</v>
        <stp/>
        <stp>BDH|17049162519794699394</stp>
        <tr r="U28" s="2"/>
      </tp>
      <tp t="s">
        <v>#N/A N/A</v>
        <stp/>
        <stp>BDH|17047112874761300062</stp>
        <tr r="AE23" s="2"/>
      </tp>
      <tp t="s">
        <v>#N/A N/A</v>
        <stp/>
        <stp>BDH|16605674164495302362</stp>
        <tr r="H11" s="2"/>
      </tp>
      <tp t="s">
        <v>#N/A N/A</v>
        <stp/>
        <stp>BDH|17314240333065651325</stp>
        <tr r="K84" s="2"/>
      </tp>
      <tp t="s">
        <v>#N/A N/A</v>
        <stp/>
        <stp>BDH|16216058375629309824</stp>
        <tr r="AB57" s="2"/>
      </tp>
      <tp t="s">
        <v>#N/A N/A</v>
        <stp/>
        <stp>BDH|16763282963532990063</stp>
        <tr r="V7" s="2"/>
      </tp>
      <tp t="s">
        <v>#N/A N/A</v>
        <stp/>
        <stp>BDH|14015726005653581013</stp>
        <tr r="AD91" s="2"/>
      </tp>
      <tp t="s">
        <v>#N/A N/A</v>
        <stp/>
        <stp>BDH|15255800261582988997</stp>
        <tr r="V45" s="2"/>
      </tp>
      <tp t="s">
        <v>#N/A N/A</v>
        <stp/>
        <stp>BDH|13373760446373014302</stp>
        <tr r="AE11" s="2"/>
      </tp>
      <tp t="s">
        <v>#N/A N/A</v>
        <stp/>
        <stp>BDH|15587704906145431748</stp>
        <tr r="K61" s="2"/>
      </tp>
      <tp t="s">
        <v>#N/A N/A</v>
        <stp/>
        <stp>BDH|12457570203270443776</stp>
        <tr r="AD92" s="2"/>
      </tp>
      <tp t="s">
        <v>#N/A N/A</v>
        <stp/>
        <stp>BDH|14456894319605299842</stp>
        <tr r="K83" s="2"/>
      </tp>
      <tp t="s">
        <v>#N/A N/A</v>
        <stp/>
        <stp>BDH|12081028690412523955</stp>
        <tr r="AC10" s="2"/>
      </tp>
      <tp t="s">
        <v>#N/A N/A</v>
        <stp/>
        <stp>BDH|11355321975787723212</stp>
        <tr r="M14" s="2"/>
      </tp>
      <tp t="s">
        <v>#N/A N/A</v>
        <stp/>
        <stp>BDH|17925571739307711627</stp>
        <tr r="O57" s="2"/>
      </tp>
      <tp t="s">
        <v>#N/A N/A</v>
        <stp/>
        <stp>BDH|13057906139549920022</stp>
        <tr r="S32" s="2"/>
      </tp>
      <tp t="s">
        <v>#N/A N/A</v>
        <stp/>
        <stp>BDH|13713325039334925770</stp>
        <tr r="I26" s="2"/>
      </tp>
      <tp t="s">
        <v>#N/A N/A</v>
        <stp/>
        <stp>BDH|15811852663658900350</stp>
        <tr r="S49" s="2"/>
      </tp>
      <tp t="s">
        <v>#N/A N/A</v>
        <stp/>
        <stp>BDH|15091419215803296332</stp>
        <tr r="G47" s="2"/>
      </tp>
      <tp t="s">
        <v>#N/A N/A</v>
        <stp/>
        <stp>BDH|12681675760607119558</stp>
        <tr r="C55" s="2"/>
      </tp>
      <tp t="s">
        <v>#N/A N/A</v>
        <stp/>
        <stp>BDH|16834105579531502111</stp>
        <tr r="O40" s="2"/>
      </tp>
      <tp t="s">
        <v>#N/A N/A</v>
        <stp/>
        <stp>BDH|16979725622231854245</stp>
        <tr r="E42" s="2"/>
      </tp>
      <tp t="s">
        <v>#N/A N/A</v>
        <stp/>
        <stp>BDH|15142275860540738147</stp>
        <tr r="F76" s="2"/>
      </tp>
      <tp t="s">
        <v>#N/A N/A</v>
        <stp/>
        <stp>BDH|17422711365317409109</stp>
        <tr r="D88" s="2"/>
      </tp>
      <tp t="s">
        <v>#N/A N/A</v>
        <stp/>
        <stp>BDH|12620509157196129446</stp>
        <tr r="Z64" s="2"/>
      </tp>
      <tp t="s">
        <v>#N/A N/A</v>
        <stp/>
        <stp>BDH|15216246209793954428</stp>
        <tr r="H89" s="2"/>
      </tp>
      <tp t="s">
        <v>#N/A N/A</v>
        <stp/>
        <stp>BDH|14527030906033520717</stp>
        <tr r="L38" s="2"/>
      </tp>
      <tp t="s">
        <v>#N/A N/A</v>
        <stp/>
        <stp>BDH|12237780658673397363</stp>
        <tr r="W54" s="2"/>
      </tp>
      <tp t="s">
        <v>#N/A N/A</v>
        <stp/>
        <stp>BDH|15777649512115796718</stp>
        <tr r="R48" s="2"/>
      </tp>
      <tp t="s">
        <v>#N/A N/A</v>
        <stp/>
        <stp>BDH|13531617120456294114</stp>
        <tr r="Q52" s="2"/>
      </tp>
      <tp t="s">
        <v>#N/A N/A</v>
        <stp/>
        <stp>BDH|13065748774277483438</stp>
        <tr r="Q21" s="2"/>
      </tp>
      <tp t="s">
        <v>#N/A N/A</v>
        <stp/>
        <stp>BDH|17173435628371480085</stp>
        <tr r="V47" s="2"/>
      </tp>
      <tp t="s">
        <v>#N/A N/A</v>
        <stp/>
        <stp>BDH|16369131945707235410</stp>
        <tr r="N24" s="2"/>
      </tp>
      <tp t="s">
        <v>#N/A N/A</v>
        <stp/>
        <stp>BDH|10968543818754423072</stp>
        <tr r="S69" s="2"/>
      </tp>
      <tp t="s">
        <v>#N/A N/A</v>
        <stp/>
        <stp>BDH|13430127471476147302</stp>
        <tr r="R73" s="2"/>
      </tp>
      <tp t="s">
        <v>#N/A N/A</v>
        <stp/>
        <stp>BDH|17926360533253584402</stp>
        <tr r="N35" s="2"/>
      </tp>
      <tp t="s">
        <v>#N/A N/A</v>
        <stp/>
        <stp>BDH|13891888360818127583</stp>
        <tr r="N77" s="2"/>
      </tp>
      <tp t="s">
        <v>#N/A N/A</v>
        <stp/>
        <stp>BDH|11801757104711155718</stp>
        <tr r="C90" s="2"/>
      </tp>
      <tp t="s">
        <v>#N/A N/A</v>
        <stp/>
        <stp>BDH|11646471477270703287</stp>
        <tr r="U46" s="2"/>
      </tp>
      <tp t="s">
        <v>#N/A N/A</v>
        <stp/>
        <stp>BDH|11867169281508622017</stp>
        <tr r="S89" s="2"/>
      </tp>
      <tp t="s">
        <v>#N/A N/A</v>
        <stp/>
        <stp>BDH|16866915030448436457</stp>
        <tr r="Q83" s="2"/>
      </tp>
      <tp t="s">
        <v>#N/A N/A</v>
        <stp/>
        <stp>BDH|11190558422574707294</stp>
        <tr r="O93" s="2"/>
      </tp>
      <tp t="s">
        <v>#N/A N/A</v>
        <stp/>
        <stp>BDH|18178635018696158936</stp>
        <tr r="T51" s="2"/>
      </tp>
      <tp t="s">
        <v>#N/A N/A</v>
        <stp/>
        <stp>BDH|13979959101099629304</stp>
        <tr r="C93" s="2"/>
      </tp>
      <tp t="s">
        <v>#N/A N/A</v>
        <stp/>
        <stp>BDH|16606399690359758531</stp>
        <tr r="W65" s="2"/>
      </tp>
      <tp t="s">
        <v>#N/A N/A</v>
        <stp/>
        <stp>BDH|18099139429072413952</stp>
        <tr r="J62" s="2"/>
      </tp>
      <tp t="s">
        <v>#N/A N/A</v>
        <stp/>
        <stp>BDH|10883278127792125223</stp>
        <tr r="U8" s="2"/>
      </tp>
      <tp t="s">
        <v>#N/A N/A</v>
        <stp/>
        <stp>BDH|13856633946710444123</stp>
        <tr r="I84" s="2"/>
      </tp>
      <tp t="s">
        <v>#N/A N/A</v>
        <stp/>
        <stp>BDH|11019191862016875082</stp>
        <tr r="H70" s="2"/>
      </tp>
      <tp t="s">
        <v>#N/A N/A</v>
        <stp/>
        <stp>BDH|12847528824342410707</stp>
        <tr r="P13" s="2"/>
      </tp>
      <tp t="s">
        <v>#N/A N/A</v>
        <stp/>
        <stp>BDH|12857765931821300760</stp>
        <tr r="U21" s="2"/>
      </tp>
      <tp t="s">
        <v>#N/A N/A</v>
        <stp/>
        <stp>BDH|12441323529447784423</stp>
        <tr r="AC46" s="2"/>
      </tp>
      <tp t="s">
        <v>#N/A N/A</v>
        <stp/>
        <stp>BDH|15865245465530216119</stp>
        <tr r="N74" s="2"/>
      </tp>
      <tp t="s">
        <v>#N/A N/A</v>
        <stp/>
        <stp>BDH|14593736881989896252</stp>
        <tr r="AB32" s="2"/>
      </tp>
      <tp t="s">
        <v>#N/A N/A</v>
        <stp/>
        <stp>BDH|11542322120923491394</stp>
        <tr r="S55" s="2"/>
      </tp>
      <tp t="s">
        <v>#N/A N/A</v>
        <stp/>
        <stp>BDH|17777543634723211289</stp>
        <tr r="P49" s="2"/>
      </tp>
      <tp t="s">
        <v>#N/A N/A</v>
        <stp/>
        <stp>BDH|10203761549125296621</stp>
        <tr r="G31" s="2"/>
      </tp>
      <tp t="s">
        <v>#N/A N/A</v>
        <stp/>
        <stp>BDH|11035956588792504250</stp>
        <tr r="O67" s="2"/>
      </tp>
      <tp t="s">
        <v>#N/A N/A</v>
        <stp/>
        <stp>BDH|10208171094378819047</stp>
        <tr r="AE54" s="2"/>
      </tp>
      <tp t="s">
        <v>#N/A N/A</v>
        <stp/>
        <stp>BDH|15674176179586081546</stp>
        <tr r="AF55" s="2"/>
      </tp>
      <tp t="s">
        <v>#N/A N/A</v>
        <stp/>
        <stp>BDH|10884867441038772441</stp>
        <tr r="I49" s="2"/>
      </tp>
      <tp t="s">
        <v>#N/A N/A</v>
        <stp/>
        <stp>BDH|16536537662957004282</stp>
        <tr r="D8" s="2"/>
      </tp>
      <tp t="s">
        <v>#N/A N/A</v>
        <stp/>
        <stp>BDH|14313282971947052663</stp>
        <tr r="Q17" s="2"/>
      </tp>
      <tp t="s">
        <v>#N/A N/A</v>
        <stp/>
        <stp>BDH|14072884297415341003</stp>
        <tr r="Y81" s="2"/>
      </tp>
      <tp t="s">
        <v>#N/A N/A</v>
        <stp/>
        <stp>BDH|14476396839576046287</stp>
        <tr r="AB90" s="2"/>
      </tp>
      <tp t="s">
        <v>#N/A N/A</v>
        <stp/>
        <stp>BDH|15215662379744235033</stp>
        <tr r="Y33" s="2"/>
      </tp>
      <tp t="s">
        <v>#N/A N/A</v>
        <stp/>
        <stp>BDH|16421781123060428348</stp>
        <tr r="AE89" s="2"/>
      </tp>
      <tp t="s">
        <v>#N/A N/A</v>
        <stp/>
        <stp>BDH|10836354618937356596</stp>
        <tr r="V75" s="2"/>
      </tp>
      <tp t="s">
        <v>#N/A N/A</v>
        <stp/>
        <stp>BDH|11250662186857450899</stp>
        <tr r="L26" s="2"/>
      </tp>
      <tp t="s">
        <v>#N/A N/A</v>
        <stp/>
        <stp>BDH|14751338710296390084</stp>
        <tr r="Z55" s="2"/>
      </tp>
      <tp t="s">
        <v>#N/A N/A</v>
        <stp/>
        <stp>BDH|17092201783709964459</stp>
        <tr r="L60" s="2"/>
      </tp>
      <tp t="s">
        <v>#N/A N/A</v>
        <stp/>
        <stp>BDH|16108525797303201989</stp>
        <tr r="L35" s="2"/>
      </tp>
      <tp t="s">
        <v>#N/A N/A</v>
        <stp/>
        <stp>BDH|14630394129462021782</stp>
        <tr r="X55" s="2"/>
      </tp>
      <tp t="s">
        <v>#N/A N/A</v>
        <stp/>
        <stp>BDH|11443093320230107327</stp>
        <tr r="H50" s="2"/>
      </tp>
      <tp t="s">
        <v>#N/A N/A</v>
        <stp/>
        <stp>BDH|13646326338010314314</stp>
        <tr r="AF28" s="2"/>
      </tp>
      <tp t="s">
        <v>#N/A N/A</v>
        <stp/>
        <stp>BDH|15200655575807497382</stp>
        <tr r="S63" s="2"/>
      </tp>
      <tp t="s">
        <v>#N/A N/A</v>
        <stp/>
        <stp>BDH|16443207020692295577</stp>
        <tr r="W56" s="2"/>
      </tp>
      <tp t="s">
        <v>#N/A N/A</v>
        <stp/>
        <stp>BDH|16031534848465895320</stp>
        <tr r="U25" s="2"/>
      </tp>
      <tp t="s">
        <v>#N/A N/A</v>
        <stp/>
        <stp>BDH|10649293557802867414</stp>
        <tr r="AE64" s="2"/>
      </tp>
      <tp t="s">
        <v>#N/A N/A</v>
        <stp/>
        <stp>BDH|13440754109264933103</stp>
        <tr r="AC14" s="2"/>
      </tp>
      <tp t="s">
        <v>#N/A N/A</v>
        <stp/>
        <stp>BDH|13653230000770028045</stp>
        <tr r="S72" s="2"/>
      </tp>
      <tp t="s">
        <v>#N/A N/A</v>
        <stp/>
        <stp>BDH|11013547244491607076</stp>
        <tr r="M8" s="2"/>
      </tp>
      <tp t="s">
        <v>#N/A N/A</v>
        <stp/>
        <stp>BDH|15575959364213747831</stp>
        <tr r="Z27" s="2"/>
      </tp>
      <tp t="s">
        <v>#N/A N/A</v>
        <stp/>
        <stp>BDH|17127449886698650250</stp>
        <tr r="L9" s="2"/>
      </tp>
      <tp t="s">
        <v>#N/A N/A</v>
        <stp/>
        <stp>BDH|15048799116401627394</stp>
        <tr r="J76" s="2"/>
      </tp>
      <tp t="s">
        <v>#N/A N/A</v>
        <stp/>
        <stp>BDH|13371404211686298103</stp>
        <tr r="AC31" s="2"/>
      </tp>
      <tp t="s">
        <v>#N/A N/A</v>
        <stp/>
        <stp>BDH|16270517213237293424</stp>
        <tr r="D67" s="2"/>
      </tp>
      <tp t="s">
        <v>#N/A N/A</v>
        <stp/>
        <stp>BDH|14141626637465630529</stp>
        <tr r="E45" s="2"/>
      </tp>
      <tp t="s">
        <v>#N/A N/A</v>
        <stp/>
        <stp>BDH|15940009667714741699</stp>
        <tr r="K15" s="2"/>
      </tp>
      <tp t="s">
        <v>#N/A N/A</v>
        <stp/>
        <stp>BDH|14866804689564020110</stp>
        <tr r="M15" s="2"/>
      </tp>
      <tp t="s">
        <v>#N/A N/A</v>
        <stp/>
        <stp>BDH|17153646812839023840</stp>
        <tr r="F18" s="2"/>
      </tp>
      <tp t="s">
        <v>#N/A N/A</v>
        <stp/>
        <stp>BDH|16254783280159187183</stp>
        <tr r="W12" s="2"/>
      </tp>
      <tp t="s">
        <v>#N/A N/A</v>
        <stp/>
        <stp>BDH|13589023226642560278</stp>
        <tr r="V70" s="2"/>
      </tp>
      <tp t="s">
        <v>#N/A N/A</v>
        <stp/>
        <stp>BDH|13101732320126526141</stp>
        <tr r="E39" s="2"/>
      </tp>
      <tp t="s">
        <v>#N/A N/A</v>
        <stp/>
        <stp>BDH|15015837688616160290</stp>
        <tr r="Y30" s="2"/>
      </tp>
      <tp t="s">
        <v>#N/A N/A</v>
        <stp/>
        <stp>BDH|14922662858937140143</stp>
        <tr r="AB84" s="2"/>
      </tp>
      <tp t="s">
        <v>#N/A N/A</v>
        <stp/>
        <stp>BDH|10978935802629298183</stp>
        <tr r="K40" s="2"/>
      </tp>
      <tp t="s">
        <v>#N/A N/A</v>
        <stp/>
        <stp>BDH|10264592058696216730</stp>
        <tr r="X13" s="2"/>
      </tp>
      <tp t="s">
        <v>#N/A N/A</v>
        <stp/>
        <stp>BDH|10088217892238873299</stp>
        <tr r="AC8" s="2"/>
      </tp>
      <tp t="s">
        <v>#N/A N/A</v>
        <stp/>
        <stp>BDH|11170581159912069228</stp>
        <tr r="Q25" s="2"/>
      </tp>
      <tp t="s">
        <v>#N/A N/A</v>
        <stp/>
        <stp>BDH|16274493918241469351</stp>
        <tr r="Z68" s="2"/>
      </tp>
      <tp t="s">
        <v>#N/A N/A</v>
        <stp/>
        <stp>BDH|15374317804734362376</stp>
        <tr r="D84" s="2"/>
      </tp>
      <tp t="s">
        <v>#N/A N/A</v>
        <stp/>
        <stp>BDH|16007966551062647934</stp>
        <tr r="J45" s="2"/>
      </tp>
      <tp t="s">
        <v>#N/A N/A</v>
        <stp/>
        <stp>BDH|16476418757925077304</stp>
        <tr r="D29" s="2"/>
      </tp>
      <tp t="s">
        <v>#N/A N/A</v>
        <stp/>
        <stp>BDH|14576037904107714274</stp>
        <tr r="Q57" s="2"/>
      </tp>
      <tp t="s">
        <v>#N/A N/A</v>
        <stp/>
        <stp>BDH|10021658500575037278</stp>
        <tr r="AC32" s="2"/>
      </tp>
      <tp t="s">
        <v>#N/A N/A</v>
        <stp/>
        <stp>BDH|17742417602181394321</stp>
        <tr r="F83" s="2"/>
      </tp>
      <tp t="s">
        <v>#N/A N/A</v>
        <stp/>
        <stp>BDH|13438359430052042044</stp>
        <tr r="F12" s="2"/>
      </tp>
      <tp t="s">
        <v>#N/A N/A</v>
        <stp/>
        <stp>BDH|12241720792968496538</stp>
        <tr r="S23" s="2"/>
      </tp>
      <tp t="s">
        <v>#N/A N/A</v>
        <stp/>
        <stp>BDH|13182458162636019629</stp>
        <tr r="E91" s="2"/>
      </tp>
      <tp t="s">
        <v>#N/A N/A</v>
        <stp/>
        <stp>BDH|14467316244931771323</stp>
        <tr r="Y55" s="2"/>
      </tp>
      <tp t="s">
        <v>#N/A N/A</v>
        <stp/>
        <stp>BDH|10805622142181482287</stp>
        <tr r="U11" s="2"/>
      </tp>
      <tp t="s">
        <v>#N/A N/A</v>
        <stp/>
        <stp>BDH|14283431412889793909</stp>
        <tr r="K8" s="2"/>
      </tp>
      <tp t="s">
        <v>#N/A N/A</v>
        <stp/>
        <stp>BDH|13085416557301057229</stp>
        <tr r="S16" s="2"/>
      </tp>
      <tp t="s">
        <v>#N/A N/A</v>
        <stp/>
        <stp>BDH|11062003446472513676</stp>
        <tr r="G71" s="2"/>
      </tp>
      <tp t="s">
        <v>#N/A N/A</v>
        <stp/>
        <stp>BDH|17085641077396766109</stp>
        <tr r="Q93" s="2"/>
      </tp>
      <tp t="s">
        <v>#N/A N/A</v>
        <stp/>
        <stp>BDH|13605229124383016173</stp>
        <tr r="Y12" s="2"/>
      </tp>
      <tp t="s">
        <v>#N/A N/A</v>
        <stp/>
        <stp>BDH|15324945502664070929</stp>
        <tr r="AC77" s="2"/>
      </tp>
      <tp t="s">
        <v>#N/A N/A</v>
        <stp/>
        <stp>BDH|13991515923433916655</stp>
        <tr r="Y39" s="2"/>
      </tp>
      <tp t="s">
        <v>#N/A N/A</v>
        <stp/>
        <stp>BDH|15665700563296203306</stp>
        <tr r="W22" s="2"/>
      </tp>
      <tp t="s">
        <v>#N/A N/A</v>
        <stp/>
        <stp>BDH|11768275223724622426</stp>
        <tr r="O94" s="2"/>
      </tp>
      <tp t="s">
        <v>#N/A N/A</v>
        <stp/>
        <stp>BDH|11962633815500964712</stp>
        <tr r="S25" s="2"/>
      </tp>
      <tp t="s">
        <v>#N/A N/A</v>
        <stp/>
        <stp>BDH|17073742359910814436</stp>
        <tr r="G20" s="2"/>
      </tp>
      <tp t="s">
        <v>#N/A N/A</v>
        <stp/>
        <stp>BDH|10252407446986352714</stp>
        <tr r="L15" s="2"/>
      </tp>
      <tp t="s">
        <v>#N/A N/A</v>
        <stp/>
        <stp>BDH|17842437844496852018</stp>
        <tr r="AC26" s="2"/>
      </tp>
      <tp t="s">
        <v>#N/A N/A</v>
        <stp/>
        <stp>BDH|18119201493324272669</stp>
        <tr r="T32" s="2"/>
      </tp>
      <tp t="s">
        <v>#N/A N/A</v>
        <stp/>
        <stp>BDH|12370473843847137402</stp>
        <tr r="S19" s="2"/>
      </tp>
      <tp t="s">
        <v>#N/A N/A</v>
        <stp/>
        <stp>BDH|13959527378210141047</stp>
        <tr r="Y46" s="2"/>
      </tp>
      <tp t="s">
        <v>#N/A N/A</v>
        <stp/>
        <stp>BDH|14675869032837116954</stp>
        <tr r="K23" s="2"/>
      </tp>
      <tp t="s">
        <v>#N/A N/A</v>
        <stp/>
        <stp>BDH|13466741600552001765</stp>
        <tr r="W83" s="2"/>
      </tp>
      <tp t="s">
        <v>#N/A N/A</v>
        <stp/>
        <stp>BDH|10501755461928083871</stp>
        <tr r="C57" s="2"/>
      </tp>
      <tp t="s">
        <v>#N/A N/A</v>
        <stp/>
        <stp>BDH|15655934383923616693</stp>
        <tr r="R35" s="2"/>
      </tp>
      <tp t="s">
        <v>#N/A N/A</v>
        <stp/>
        <stp>BDH|15492194401582744720</stp>
        <tr r="AA51" s="2"/>
      </tp>
      <tp t="s">
        <v>#N/A N/A</v>
        <stp/>
        <stp>BDH|12464205911506970657</stp>
        <tr r="AD33" s="2"/>
      </tp>
      <tp t="s">
        <v>#N/A N/A</v>
        <stp/>
        <stp>BDH|15857243641907347565</stp>
        <tr r="Q54" s="2"/>
      </tp>
      <tp t="s">
        <v>#N/A N/A</v>
        <stp/>
        <stp>BDH|14816400756305414122</stp>
        <tr r="W40" s="2"/>
      </tp>
      <tp t="s">
        <v>#N/A N/A</v>
        <stp/>
        <stp>BDH|12201227179777738165</stp>
        <tr r="AE93" s="2"/>
      </tp>
      <tp t="s">
        <v>#N/A N/A</v>
        <stp/>
        <stp>BDH|15597884962803620912</stp>
        <tr r="W45" s="2"/>
      </tp>
      <tp t="s">
        <v>#N/A N/A</v>
        <stp/>
        <stp>BDH|14935712583153828989</stp>
        <tr r="S75" s="2"/>
      </tp>
      <tp t="s">
        <v>#N/A N/A</v>
        <stp/>
        <stp>BDH|11925317208963358087</stp>
        <tr r="M93" s="2"/>
      </tp>
      <tp t="s">
        <v>#N/A N/A</v>
        <stp/>
        <stp>BDH|12603430829513220659</stp>
        <tr r="AD32" s="2"/>
      </tp>
      <tp t="s">
        <v>#N/A N/A</v>
        <stp/>
        <stp>BDH|16297068328796703305</stp>
        <tr r="AE53" s="2"/>
      </tp>
      <tp t="s">
        <v>#N/A N/A</v>
        <stp/>
        <stp>BDH|16562986973571541800</stp>
        <tr r="V57" s="2"/>
      </tp>
      <tp t="s">
        <v>#N/A N/A</v>
        <stp/>
        <stp>BDH|16983640107393301234</stp>
        <tr r="Q45" s="2"/>
      </tp>
      <tp t="s">
        <v>#N/A N/A</v>
        <stp/>
        <stp>BDH|14530332845945825717</stp>
        <tr r="U18" s="2"/>
      </tp>
      <tp t="s">
        <v>#N/A N/A</v>
        <stp/>
        <stp>BDH|14439516784261349986</stp>
        <tr r="L72" s="2"/>
      </tp>
      <tp t="s">
        <v>#N/A N/A</v>
        <stp/>
        <stp>BDH|13547164085238804347</stp>
        <tr r="AE27" s="2"/>
      </tp>
      <tp t="s">
        <v>#N/A N/A</v>
        <stp/>
        <stp>BDH|14221675538809955991</stp>
        <tr r="L48" s="2"/>
      </tp>
      <tp t="s">
        <v>#N/A N/A</v>
        <stp/>
        <stp>BDH|12430138638060257102</stp>
        <tr r="O14" s="2"/>
      </tp>
      <tp t="s">
        <v>#N/A N/A</v>
        <stp/>
        <stp>BDH|11926570030210644650</stp>
        <tr r="AC89" s="2"/>
      </tp>
      <tp t="s">
        <v>#N/A N/A</v>
        <stp/>
        <stp>BDH|10812025854115187134</stp>
        <tr r="AC28" s="2"/>
      </tp>
      <tp t="s">
        <v>#N/A N/A</v>
        <stp/>
        <stp>BDH|16698303268037359516</stp>
        <tr r="H9" s="2"/>
      </tp>
      <tp t="s">
        <v>#N/A N/A</v>
        <stp/>
        <stp>BDH|13300854532368064181</stp>
        <tr r="P51" s="2"/>
      </tp>
      <tp t="s">
        <v>#N/A N/A</v>
        <stp/>
        <stp>BDH|12628176832248906962</stp>
        <tr r="I70" s="2"/>
      </tp>
      <tp t="s">
        <v>#N/A N/A</v>
        <stp/>
        <stp>BDH|12428490443050995381</stp>
        <tr r="F62" s="2"/>
      </tp>
      <tp t="s">
        <v>#N/A N/A</v>
        <stp/>
        <stp>BDH|16653287550955714567</stp>
        <tr r="D61" s="2"/>
      </tp>
      <tp t="s">
        <v>#N/A N/A</v>
        <stp/>
        <stp>BDH|11854701723924730132</stp>
        <tr r="K24" s="2"/>
      </tp>
      <tp t="s">
        <v>#N/A N/A</v>
        <stp/>
        <stp>BDH|16257309574237984403</stp>
        <tr r="E68" s="2"/>
      </tp>
      <tp t="s">
        <v>#N/A N/A</v>
        <stp/>
        <stp>BDH|17963109021871387454</stp>
        <tr r="AB19" s="2"/>
      </tp>
      <tp t="s">
        <v>#N/A N/A</v>
        <stp/>
        <stp>BDH|12577773525302149489</stp>
        <tr r="H22" s="2"/>
      </tp>
      <tp t="s">
        <v>#N/A N/A</v>
        <stp/>
        <stp>BDH|12510155732108481980</stp>
        <tr r="X75" s="2"/>
      </tp>
      <tp t="s">
        <v>#N/A N/A</v>
        <stp/>
        <stp>BDH|13981599426620020582</stp>
        <tr r="J85" s="2"/>
      </tp>
      <tp t="s">
        <v>#N/A N/A</v>
        <stp/>
        <stp>BDH|11145593948616858761</stp>
        <tr r="M21" s="2"/>
      </tp>
      <tp t="s">
        <v>#N/A N/A</v>
        <stp/>
        <stp>BDH|12959555458190863323</stp>
        <tr r="AC29" s="2"/>
      </tp>
      <tp t="s">
        <v>#N/A N/A</v>
        <stp/>
        <stp>BDH|11472764536771642231</stp>
        <tr r="Z38" s="2"/>
      </tp>
      <tp t="s">
        <v>#N/A N/A</v>
        <stp/>
        <stp>BDH|14012422413133377434</stp>
        <tr r="U60" s="2"/>
      </tp>
      <tp t="s">
        <v>#N/A N/A</v>
        <stp/>
        <stp>BDH|12332486901651209195</stp>
        <tr r="S92" s="2"/>
      </tp>
      <tp t="s">
        <v>#N/A N/A</v>
        <stp/>
        <stp>BDH|13944956915565937810</stp>
        <tr r="Q7" s="2"/>
      </tp>
      <tp t="s">
        <v>#N/A N/A</v>
        <stp/>
        <stp>BDH|15506210754303048713</stp>
        <tr r="K41" s="2"/>
      </tp>
      <tp t="s">
        <v>#N/A N/A</v>
        <stp/>
        <stp>BDH|16712524547489211809</stp>
        <tr r="Y94" s="2"/>
      </tp>
      <tp t="s">
        <v>#N/A N/A</v>
        <stp/>
        <stp>BDH|13037983038836245922</stp>
        <tr r="E51" s="2"/>
      </tp>
      <tp t="s">
        <v>#N/A N/A</v>
        <stp/>
        <stp>BDH|10154428402534063612</stp>
        <tr r="AD74" s="2"/>
      </tp>
      <tp t="s">
        <v>#N/A N/A</v>
        <stp/>
        <stp>BDH|17183444312744211059</stp>
        <tr r="S27" s="2"/>
      </tp>
      <tp t="s">
        <v>#N/A N/A</v>
        <stp/>
        <stp>BDH|15349245926525760661</stp>
        <tr r="O16" s="2"/>
      </tp>
      <tp t="s">
        <v>#N/A N/A</v>
        <stp/>
        <stp>BDH|17310659861674730537</stp>
        <tr r="X69" s="2"/>
      </tp>
      <tp t="s">
        <v>#N/A N/A</v>
        <stp/>
        <stp>BDH|11833219549614157521</stp>
        <tr r="J81" s="2"/>
      </tp>
      <tp t="s">
        <v>#N/A N/A</v>
        <stp/>
        <stp>BDH|14616623627646619066</stp>
        <tr r="H23" s="2"/>
      </tp>
      <tp t="s">
        <v>#N/A N/A</v>
        <stp/>
        <stp>BDH|13006635840292762577</stp>
        <tr r="J90" s="2"/>
      </tp>
      <tp t="s">
        <v>#N/A N/A</v>
        <stp/>
        <stp>BDH|14727436421353431722</stp>
        <tr r="R92" s="2"/>
      </tp>
      <tp t="s">
        <v>#N/A N/A</v>
        <stp/>
        <stp>BDH|11773907241093339967</stp>
        <tr r="R12" s="2"/>
      </tp>
      <tp t="s">
        <v>#N/A N/A</v>
        <stp/>
        <stp>BDH|11366729162097609176</stp>
        <tr r="K55" s="2"/>
      </tp>
      <tp t="s">
        <v>#N/A N/A</v>
        <stp/>
        <stp>BDH|17653673600256782144</stp>
        <tr r="C65" s="2"/>
      </tp>
      <tp t="s">
        <v>#N/A N/A</v>
        <stp/>
        <stp>BDH|12086558857816969293</stp>
        <tr r="O49" s="2"/>
      </tp>
      <tp t="s">
        <v>#N/A N/A</v>
        <stp/>
        <stp>BDH|11628326457361989082</stp>
        <tr r="S62" s="2"/>
      </tp>
      <tp t="s">
        <v>#N/A N/A</v>
        <stp/>
        <stp>BDH|16241109275484112244</stp>
        <tr r="Z50" s="2"/>
      </tp>
      <tp t="s">
        <v>#N/A N/A</v>
        <stp/>
        <stp>BDH|18101415095197404433</stp>
        <tr r="AE19" s="2"/>
      </tp>
      <tp t="s">
        <v>#N/A N/A</v>
        <stp/>
        <stp>BDH|10756372661397643457</stp>
        <tr r="AE71" s="2"/>
      </tp>
      <tp t="s">
        <v>#N/A N/A</v>
        <stp/>
        <stp>BDH|14177837612783511872</stp>
        <tr r="E23" s="2"/>
      </tp>
      <tp t="s">
        <v>#N/A N/A</v>
        <stp/>
        <stp>BDH|17952698376088536867</stp>
        <tr r="X73" s="2"/>
      </tp>
      <tp t="s">
        <v>#N/A N/A</v>
        <stp/>
        <stp>BDH|14901578278699547964</stp>
        <tr r="S43" s="2"/>
      </tp>
      <tp t="s">
        <v>#N/A N/A</v>
        <stp/>
        <stp>BDH|12671958503195460815</stp>
        <tr r="N67" s="2"/>
      </tp>
      <tp t="s">
        <v>#N/A N/A</v>
        <stp/>
        <stp>BDH|10814615334514042786</stp>
        <tr r="X45" s="2"/>
      </tp>
      <tp t="s">
        <v>#N/A N/A</v>
        <stp/>
        <stp>BDH|10440383458620160006</stp>
        <tr r="L90" s="2"/>
      </tp>
      <tp t="s">
        <v>#N/A N/A</v>
        <stp/>
        <stp>BDH|16958168024824617782</stp>
        <tr r="Y91" s="2"/>
      </tp>
      <tp t="s">
        <v>#N/A N/A</v>
        <stp/>
        <stp>BDH|18417595039890728875</stp>
        <tr r="X46" s="2"/>
      </tp>
      <tp t="s">
        <v>#N/A N/A</v>
        <stp/>
        <stp>BDH|13522251241307137449</stp>
        <tr r="K91" s="2"/>
      </tp>
      <tp t="s">
        <v>#N/A N/A</v>
        <stp/>
        <stp>BDH|11097437440726146164</stp>
        <tr r="O34" s="2"/>
      </tp>
      <tp t="s">
        <v>#N/A N/A</v>
        <stp/>
        <stp>BDH|11506362519192624781</stp>
        <tr r="R63" s="2"/>
      </tp>
      <tp t="s">
        <v>#N/A N/A</v>
        <stp/>
        <stp>BDH|14606557975951304118</stp>
        <tr r="V16" s="2"/>
      </tp>
      <tp t="s">
        <v>#N/A N/A</v>
        <stp/>
        <stp>BDH|18077985938410611423</stp>
        <tr r="G63" s="2"/>
      </tp>
      <tp t="s">
        <v>#N/A N/A</v>
        <stp/>
        <stp>BDH|12515104613206572249</stp>
        <tr r="L42" s="2"/>
      </tp>
      <tp t="s">
        <v>#N/A N/A</v>
        <stp/>
        <stp>BDH|13282565273692818585</stp>
        <tr r="AA88" s="2"/>
      </tp>
      <tp t="s">
        <v>#N/A N/A</v>
        <stp/>
        <stp>BDH|16118061946340358454</stp>
        <tr r="AF83" s="2"/>
      </tp>
      <tp t="s">
        <v>#N/A N/A</v>
        <stp/>
        <stp>BDH|11477020014417759127</stp>
        <tr r="X84" s="2"/>
      </tp>
      <tp t="s">
        <v>#N/A N/A</v>
        <stp/>
        <stp>BDH|10717215221076293037</stp>
        <tr r="X67" s="2"/>
      </tp>
      <tp t="s">
        <v>#N/A N/A</v>
        <stp/>
        <stp>BDH|11883270478495101705</stp>
        <tr r="Q70" s="2"/>
      </tp>
      <tp t="s">
        <v>#N/A N/A</v>
        <stp/>
        <stp>BDH|17498110207746696628</stp>
        <tr r="T7" s="2"/>
      </tp>
      <tp t="s">
        <v>#N/A N/A</v>
        <stp/>
        <stp>BDH|10566047514984656351</stp>
        <tr r="N47" s="2"/>
      </tp>
      <tp t="s">
        <v>#N/A N/A</v>
        <stp/>
        <stp>BDH|14679416773773014224</stp>
        <tr r="K29" s="2"/>
      </tp>
      <tp t="s">
        <v>#N/A N/A</v>
        <stp/>
        <stp>BDH|15562605611187238303</stp>
        <tr r="AF76" s="2"/>
      </tp>
      <tp t="s">
        <v>#N/A N/A</v>
        <stp/>
        <stp>BDH|13169220470784663436</stp>
        <tr r="N30" s="2"/>
      </tp>
      <tp t="s">
        <v>#N/A N/A</v>
        <stp/>
        <stp>BDH|11167232261782996130</stp>
        <tr r="J75" s="2"/>
      </tp>
      <tp t="s">
        <v>#N/A N/A</v>
        <stp/>
        <stp>BDH|13734586944292609649</stp>
        <tr r="V65" s="2"/>
      </tp>
      <tp t="s">
        <v>#N/A N/A</v>
        <stp/>
        <stp>BDH|18107209314694532990</stp>
        <tr r="U81" s="2"/>
      </tp>
      <tp t="s">
        <v>#N/A N/A</v>
        <stp/>
        <stp>BDH|17295831228898621363</stp>
        <tr r="O39" s="2"/>
      </tp>
      <tp t="s">
        <v>#N/A N/A</v>
        <stp/>
        <stp>BDH|17332991995527122672</stp>
        <tr r="V76" s="2"/>
      </tp>
      <tp t="s">
        <v>#N/A N/A</v>
        <stp/>
        <stp>BDH|12612999595673468761</stp>
        <tr r="H14" s="2"/>
      </tp>
      <tp t="s">
        <v>#N/A N/A</v>
        <stp/>
        <stp>BDH|14984114411797327524</stp>
        <tr r="Y86" s="2"/>
      </tp>
      <tp t="s">
        <v>#N/A N/A</v>
        <stp/>
        <stp>BDH|16855590968017620476</stp>
        <tr r="S57" s="2"/>
      </tp>
      <tp t="s">
        <v>#N/A N/A</v>
        <stp/>
        <stp>BDH|13870467065992481570</stp>
        <tr r="E75" s="2"/>
      </tp>
      <tp t="s">
        <v>#N/A N/A</v>
        <stp/>
        <stp>BDH|14240852429191039963</stp>
        <tr r="S50" s="2"/>
      </tp>
      <tp t="s">
        <v>#N/A N/A</v>
        <stp/>
        <stp>BDH|17547056128276247523</stp>
        <tr r="Q68" s="2"/>
      </tp>
      <tp t="s">
        <v>#N/A N/A</v>
        <stp/>
        <stp>BDH|13886175783374486800</stp>
        <tr r="G51" s="2"/>
      </tp>
      <tp t="s">
        <v>#N/A N/A</v>
        <stp/>
        <stp>BDH|14560205434524161784</stp>
        <tr r="AA56" s="2"/>
      </tp>
      <tp t="s">
        <v>#N/A N/A</v>
        <stp/>
        <stp>BDH|12990751656924280231</stp>
        <tr r="AB44" s="2"/>
      </tp>
      <tp t="s">
        <v>#N/A N/A</v>
        <stp/>
        <stp>BDH|10185579298433525908</stp>
        <tr r="Z59" s="2"/>
      </tp>
      <tp t="s">
        <v>#N/A N/A</v>
        <stp/>
        <stp>BDH|10829192232362975611</stp>
        <tr r="I14" s="2"/>
      </tp>
      <tp t="s">
        <v>#N/A N/A</v>
        <stp/>
        <stp>BDH|11136558409681350344</stp>
        <tr r="H31" s="2"/>
      </tp>
      <tp t="s">
        <v>#N/A N/A</v>
        <stp/>
        <stp>BDH|10556191815392454470</stp>
        <tr r="R42" s="2"/>
      </tp>
      <tp t="s">
        <v>#N/A N/A</v>
        <stp/>
        <stp>BDH|13010144412506939352</stp>
        <tr r="X27" s="2"/>
      </tp>
      <tp t="s">
        <v>#N/A N/A</v>
        <stp/>
        <stp>BDH|11936621154446252273</stp>
        <tr r="Z39" s="2"/>
      </tp>
      <tp t="s">
        <v>#N/A N/A</v>
        <stp/>
        <stp>BDH|11172184654534188769</stp>
        <tr r="AF12" s="2"/>
      </tp>
      <tp t="s">
        <v>#N/A N/A</v>
        <stp/>
        <stp>BDH|17310529167935832738</stp>
        <tr r="Q40" s="2"/>
      </tp>
      <tp t="s">
        <v>#N/A N/A</v>
        <stp/>
        <stp>BDH|10572885910709189612</stp>
        <tr r="I88" s="2"/>
      </tp>
      <tp t="s">
        <v>#N/A N/A</v>
        <stp/>
        <stp>BDH|16341144403627178687</stp>
        <tr r="P44" s="2"/>
      </tp>
      <tp t="s">
        <v>#N/A N/A</v>
        <stp/>
        <stp>BDH|18007798497808248810</stp>
        <tr r="AF35" s="2"/>
      </tp>
      <tp t="s">
        <v>#N/A N/A</v>
        <stp/>
        <stp>BDH|16181923282370848154</stp>
        <tr r="M69" s="2"/>
      </tp>
      <tp t="s">
        <v>#N/A N/A</v>
        <stp/>
        <stp>BDH|11990519662883062761</stp>
        <tr r="AC18" s="2"/>
      </tp>
      <tp t="s">
        <v>#N/A N/A</v>
        <stp/>
        <stp>BDH|17546673871200662092</stp>
        <tr r="Z82" s="2"/>
      </tp>
      <tp t="s">
        <v>#N/A N/A</v>
        <stp/>
        <stp>BDH|16885790538563782724</stp>
        <tr r="S14" s="2"/>
      </tp>
      <tp t="s">
        <v>#N/A N/A</v>
        <stp/>
        <stp>BDH|13444869317869820516</stp>
        <tr r="Y35" s="2"/>
      </tp>
      <tp t="s">
        <v>#N/A N/A</v>
        <stp/>
        <stp>BDH|13147167499304421963</stp>
        <tr r="W60" s="2"/>
      </tp>
      <tp t="s">
        <v>#N/A N/A</v>
        <stp/>
        <stp>BDH|17409749926940278481</stp>
        <tr r="K69" s="2"/>
      </tp>
      <tp t="s">
        <v>#N/A N/A</v>
        <stp/>
        <stp>BDH|14630678970677509489</stp>
        <tr r="M50" s="2"/>
      </tp>
      <tp t="s">
        <v>#N/A N/A</v>
        <stp/>
        <stp>BDH|13049074528587657068</stp>
        <tr r="AD65" s="2"/>
      </tp>
      <tp t="s">
        <v>#N/A N/A</v>
        <stp/>
        <stp>BDH|14745340341541969458</stp>
        <tr r="M81" s="2"/>
      </tp>
      <tp t="s">
        <v>#N/A N/A</v>
        <stp/>
        <stp>BDH|15661110524699464997</stp>
        <tr r="U14" s="2"/>
      </tp>
      <tp t="s">
        <v>#N/A N/A</v>
        <stp/>
        <stp>BDH|15187145480808843236</stp>
        <tr r="G84" s="2"/>
      </tp>
      <tp t="s">
        <v>#N/A N/A</v>
        <stp/>
        <stp>BDH|16295357694512031923</stp>
        <tr r="AC90" s="2"/>
      </tp>
      <tp t="s">
        <v>#N/A N/A</v>
        <stp/>
        <stp>BDH|17227963580398691931</stp>
        <tr r="U16" s="2"/>
      </tp>
      <tp t="s">
        <v>#N/A N/A</v>
        <stp/>
        <stp>BDH|12064013327354784301</stp>
        <tr r="AA41" s="2"/>
      </tp>
      <tp t="s">
        <v>#N/A N/A</v>
        <stp/>
        <stp>BDH|13623218378404931572</stp>
        <tr r="N39" s="2"/>
      </tp>
      <tp t="s">
        <v>#N/A N/A</v>
        <stp/>
        <stp>BDH|17497174711860012037</stp>
        <tr r="AE8" s="2"/>
      </tp>
      <tp t="s">
        <v>#N/A N/A</v>
        <stp/>
        <stp>BDH|15328329915661515108</stp>
        <tr r="P28" s="2"/>
      </tp>
      <tp t="s">
        <v>#N/A N/A</v>
        <stp/>
        <stp>BDH|15169449671796679726</stp>
        <tr r="Y65" s="2"/>
      </tp>
      <tp t="s">
        <v>#N/A N/A</v>
        <stp/>
        <stp>BDH|11757650415854717504</stp>
        <tr r="G61" s="2"/>
      </tp>
      <tp t="s">
        <v>#N/A N/A</v>
        <stp/>
        <stp>BDH|13695497746673911705</stp>
        <tr r="E65" s="2"/>
      </tp>
      <tp t="s">
        <v>#N/A N/A</v>
        <stp/>
        <stp>BDH|11703121584489639670</stp>
        <tr r="Q55" s="2"/>
      </tp>
      <tp t="s">
        <v>#N/A N/A</v>
        <stp/>
        <stp>BDH|17253037586771077977</stp>
        <tr r="F56" s="2"/>
      </tp>
      <tp t="s">
        <v>#N/A N/A</v>
        <stp/>
        <stp>BDH|10352567236076259729</stp>
        <tr r="AE87" s="2"/>
      </tp>
      <tp t="s">
        <v>#N/A N/A</v>
        <stp/>
        <stp>BDH|15781378672006871094</stp>
        <tr r="E24" s="2"/>
      </tp>
      <tp t="s">
        <v>#N/A N/A</v>
        <stp/>
        <stp>BDH|17746943827662130963</stp>
        <tr r="H82" s="2"/>
      </tp>
      <tp t="s">
        <v>#N/A N/A</v>
        <stp/>
        <stp>BDH|17211430811906578368</stp>
        <tr r="X74" s="2"/>
      </tp>
      <tp t="s">
        <v>#N/A N/A</v>
        <stp/>
        <stp>BDH|10507074823112046727</stp>
        <tr r="O10" s="2"/>
      </tp>
      <tp t="s">
        <v>#N/A N/A</v>
        <stp/>
        <stp>BDH|16621584780324889858</stp>
        <tr r="T55" s="2"/>
      </tp>
      <tp t="s">
        <v>#N/A N/A</v>
        <stp/>
        <stp>BDH|15610369772236969097</stp>
        <tr r="AF77" s="2"/>
      </tp>
      <tp t="s">
        <v>#N/A N/A</v>
        <stp/>
        <stp>BDH|15155687157061448088</stp>
        <tr r="Y34" s="2"/>
      </tp>
      <tp t="s">
        <v>#N/A N/A</v>
        <stp/>
        <stp>BDH|12516667814090589202</stp>
        <tr r="C16" s="2"/>
      </tp>
      <tp t="s">
        <v>#N/A N/A</v>
        <stp/>
        <stp>BDH|13202524186719714031</stp>
        <tr r="AC7" s="2"/>
      </tp>
      <tp t="s">
        <v>#N/A N/A</v>
        <stp/>
        <stp>BDH|18021816207192141553</stp>
        <tr r="D21" s="2"/>
      </tp>
      <tp t="s">
        <v>#N/A N/A</v>
        <stp/>
        <stp>BDH|18265810273407064726</stp>
        <tr r="C62" s="2"/>
      </tp>
      <tp t="s">
        <v>#N/A N/A</v>
        <stp/>
        <stp>BDH|16764114556380590501</stp>
        <tr r="W87" s="2"/>
      </tp>
      <tp t="s">
        <v>#N/A N/A</v>
        <stp/>
        <stp>BDH|10023059613176443073</stp>
        <tr r="N41" s="2"/>
      </tp>
      <tp t="s">
        <v>#N/A N/A</v>
        <stp/>
        <stp>BDH|16706713863685959592</stp>
        <tr r="D27" s="2"/>
      </tp>
      <tp t="s">
        <v>#N/A N/A</v>
        <stp/>
        <stp>BDH|11065535934337041725</stp>
        <tr r="E74" s="2"/>
      </tp>
      <tp t="s">
        <v>#N/A N/A</v>
        <stp/>
        <stp>BDH|16544676666257605670</stp>
        <tr r="X93" s="2"/>
      </tp>
      <tp t="s">
        <v>#N/A N/A</v>
        <stp/>
        <stp>BDH|12776368133445668005</stp>
        <tr r="N55" s="2"/>
      </tp>
      <tp t="s">
        <v>#N/A N/A</v>
        <stp/>
        <stp>BDH|14240561040486082405</stp>
        <tr r="X91" s="2"/>
      </tp>
      <tp t="s">
        <v>#N/A N/A</v>
        <stp/>
        <stp>BDH|11608246602540668424</stp>
        <tr r="C12" s="2"/>
      </tp>
      <tp t="s">
        <v>#N/A N/A</v>
        <stp/>
        <stp>BDH|12810917484450811413</stp>
        <tr r="V54" s="2"/>
      </tp>
      <tp t="s">
        <v>#N/A N/A</v>
        <stp/>
        <stp>BDH|11324221920181041750</stp>
        <tr r="C51" s="2"/>
      </tp>
      <tp t="s">
        <v>#N/A N/A</v>
        <stp/>
        <stp>BDH|14484517393416902982</stp>
        <tr r="K58" s="2"/>
      </tp>
      <tp t="s">
        <v>#N/A N/A</v>
        <stp/>
        <stp>BDH|18295215358128912055</stp>
        <tr r="H54" s="2"/>
      </tp>
      <tp t="s">
        <v>#N/A N/A</v>
        <stp/>
        <stp>BDH|11674280632847859032</stp>
        <tr r="V22" s="2"/>
      </tp>
      <tp t="s">
        <v>#N/A N/A</v>
        <stp/>
        <stp>BDH|16268295069343766628</stp>
        <tr r="T35" s="2"/>
      </tp>
      <tp t="s">
        <v>#N/A N/A</v>
        <stp/>
        <stp>BDH|13861481653325793030</stp>
        <tr r="P64" s="2"/>
      </tp>
      <tp t="s">
        <v>#N/A N/A</v>
        <stp/>
        <stp>BDH|14070652427445589205</stp>
        <tr r="W89" s="2"/>
      </tp>
      <tp t="s">
        <v>#N/A N/A</v>
        <stp/>
        <stp>BDH|15980543269029223815</stp>
        <tr r="D30" s="2"/>
      </tp>
      <tp t="s">
        <v>#N/A N/A</v>
        <stp/>
        <stp>BDH|17527814722852994882</stp>
        <tr r="W29" s="2"/>
      </tp>
      <tp t="s">
        <v>#N/A N/A</v>
        <stp/>
        <stp>BDH|17359634545954340607</stp>
        <tr r="AF88" s="2"/>
      </tp>
      <tp t="s">
        <v>#N/A N/A</v>
        <stp/>
        <stp>BDH|11228076227996045241</stp>
        <tr r="T10" s="2"/>
      </tp>
      <tp t="s">
        <v>#N/A N/A</v>
        <stp/>
        <stp>BDH|12093639635506783673</stp>
        <tr r="G43" s="2"/>
      </tp>
      <tp t="s">
        <v>#N/A N/A</v>
        <stp/>
        <stp>BDH|14289442001984419353</stp>
        <tr r="D57" s="2"/>
      </tp>
      <tp t="s">
        <v>#N/A N/A</v>
        <stp/>
        <stp>BDH|15544815012288926390</stp>
        <tr r="S84" s="2"/>
      </tp>
      <tp t="s">
        <v>#N/A N/A</v>
        <stp/>
        <stp>BDH|13340955293056635252</stp>
        <tr r="X20" s="2"/>
      </tp>
      <tp t="s">
        <v>#N/A N/A</v>
        <stp/>
        <stp>BDH|16786698818696823082</stp>
        <tr r="Z92" s="2"/>
      </tp>
      <tp t="s">
        <v>#N/A N/A</v>
        <stp/>
        <stp>BDH|13913049841598138846</stp>
        <tr r="Z91" s="2"/>
      </tp>
      <tp t="s">
        <v>#N/A N/A</v>
        <stp/>
        <stp>BDH|12721221920360989550</stp>
        <tr r="Q73" s="2"/>
      </tp>
      <tp t="s">
        <v>#N/A N/A</v>
        <stp/>
        <stp>BDH|13014409153096371390</stp>
        <tr r="G45" s="2"/>
      </tp>
      <tp t="s">
        <v>#N/A N/A</v>
        <stp/>
        <stp>BDH|15588028703466920448</stp>
        <tr r="T27" s="2"/>
      </tp>
      <tp t="s">
        <v>#N/A N/A</v>
        <stp/>
        <stp>BDH|14865002873507240308</stp>
        <tr r="J54" s="2"/>
      </tp>
      <tp t="s">
        <v>#N/A N/A</v>
        <stp/>
        <stp>BDH|10532776735530723394</stp>
        <tr r="AA74" s="2"/>
      </tp>
      <tp t="s">
        <v>#N/A N/A</v>
        <stp/>
        <stp>BDH|11905006157895025678</stp>
        <tr r="AF10" s="2"/>
      </tp>
      <tp t="s">
        <v>#N/A N/A</v>
        <stp/>
        <stp>BDH|18313474163965959862</stp>
        <tr r="T67" s="2"/>
      </tp>
      <tp t="s">
        <v>#N/A N/A</v>
        <stp/>
        <stp>BDH|10081290456232658213</stp>
        <tr r="Z32" s="2"/>
      </tp>
      <tp t="s">
        <v>#N/A N/A</v>
        <stp/>
        <stp>BDH|15525417241812870059</stp>
        <tr r="M7" s="2"/>
      </tp>
      <tp t="s">
        <v>#N/A N/A</v>
        <stp/>
        <stp>BDH|10499777179944392319</stp>
        <tr r="M58" s="2"/>
      </tp>
      <tp t="s">
        <v>#N/A N/A</v>
        <stp/>
        <stp>BDH|17465267535705953464</stp>
        <tr r="P94" s="2"/>
      </tp>
      <tp t="s">
        <v>#N/A N/A</v>
        <stp/>
        <stp>BDH|14141432306737936054</stp>
        <tr r="V71" s="2"/>
      </tp>
      <tp t="s">
        <v>#N/A N/A</v>
        <stp/>
        <stp>BDH|15182052138325037476</stp>
        <tr r="D64" s="2"/>
      </tp>
      <tp t="s">
        <v>#N/A N/A</v>
        <stp/>
        <stp>BDH|11032772702617808665</stp>
        <tr r="F40" s="2"/>
      </tp>
      <tp t="s">
        <v>#N/A N/A</v>
        <stp/>
        <stp>BDH|16770930132053446891</stp>
        <tr r="X70" s="2"/>
      </tp>
      <tp t="s">
        <v>#N/A N/A</v>
        <stp/>
        <stp>BDH|17954830980338376820</stp>
        <tr r="V56" s="2"/>
      </tp>
      <tp t="s">
        <v>#N/A N/A</v>
        <stp/>
        <stp>BDH|14809782157831992053</stp>
        <tr r="J30" s="2"/>
      </tp>
      <tp t="s">
        <v>#N/A N/A</v>
        <stp/>
        <stp>BDH|15319646528730267661</stp>
        <tr r="W59" s="2"/>
      </tp>
      <tp t="s">
        <v>#N/A N/A</v>
        <stp/>
        <stp>BDH|14057245068554046377</stp>
        <tr r="I89" s="2"/>
      </tp>
      <tp t="s">
        <v>#N/A N/A</v>
        <stp/>
        <stp>BDH|17277106924675959658</stp>
        <tr r="N72" s="2"/>
      </tp>
      <tp t="s">
        <v>#N/A N/A</v>
        <stp/>
        <stp>BDH|12899612228764868533</stp>
        <tr r="X54" s="2"/>
      </tp>
      <tp t="s">
        <v>#N/A N/A</v>
        <stp/>
        <stp>BDH|13172009969211744357</stp>
        <tr r="M11" s="2"/>
      </tp>
      <tp t="s">
        <v>#N/A N/A</v>
        <stp/>
        <stp>BDH|14172547209991449720</stp>
        <tr r="AA13" s="2"/>
      </tp>
      <tp t="s">
        <v>#N/A N/A</v>
        <stp/>
        <stp>BDH|15076644277687054491</stp>
        <tr r="P83" s="2"/>
      </tp>
      <tp t="s">
        <v>#N/A N/A</v>
        <stp/>
        <stp>BDH|14203674554442387289</stp>
        <tr r="D53" s="2"/>
      </tp>
      <tp t="s">
        <v>#N/A N/A</v>
        <stp/>
        <stp>BDH|10111033159451227333</stp>
        <tr r="C18" s="2"/>
      </tp>
      <tp t="s">
        <v>#N/A N/A</v>
        <stp/>
        <stp>BDH|17529848187286375685</stp>
        <tr r="X77" s="2"/>
      </tp>
      <tp t="s">
        <v>#N/A N/A</v>
        <stp/>
        <stp>BDH|14343951058657483877</stp>
        <tr r="AF40" s="2"/>
      </tp>
      <tp t="s">
        <v>#N/A N/A</v>
        <stp/>
        <stp>BDH|14564767708355032162</stp>
        <tr r="AC16" s="2"/>
      </tp>
      <tp t="s">
        <v>#N/A N/A</v>
        <stp/>
        <stp>BDH|13894729117636577453</stp>
        <tr r="Z53" s="2"/>
      </tp>
      <tp t="s">
        <v>#N/A N/A</v>
        <stp/>
        <stp>BDH|14586621221955968223</stp>
        <tr r="C10" s="2"/>
      </tp>
      <tp t="s">
        <v>#N/A N/A</v>
        <stp/>
        <stp>BDH|12612864641890597991</stp>
        <tr r="R54" s="2"/>
      </tp>
      <tp t="s">
        <v>#N/A N/A</v>
        <stp/>
        <stp>BDH|11634431158422065505</stp>
        <tr r="Y71" s="2"/>
      </tp>
      <tp t="s">
        <v>#N/A N/A</v>
        <stp/>
        <stp>BDH|13512809178822236927</stp>
        <tr r="I22" s="2"/>
      </tp>
      <tp t="s">
        <v>#N/A N/A</v>
        <stp/>
        <stp>BDH|16894248660932270725</stp>
        <tr r="Z30" s="2"/>
      </tp>
      <tp t="s">
        <v>#N/A N/A</v>
        <stp/>
        <stp>BDH|13648011628013205516</stp>
        <tr r="I77" s="2"/>
      </tp>
      <tp t="s">
        <v>#N/A N/A</v>
        <stp/>
        <stp>BDH|14645998990307053403</stp>
        <tr r="AB25" s="2"/>
      </tp>
      <tp t="s">
        <v>#N/A N/A</v>
        <stp/>
        <stp>BDH|15914018539574724596</stp>
        <tr r="F48" s="2"/>
      </tp>
      <tp t="s">
        <v>#N/A N/A</v>
        <stp/>
        <stp>BDH|14687638601855364081</stp>
        <tr r="E15" s="2"/>
      </tp>
      <tp t="s">
        <v>#N/A N/A</v>
        <stp/>
        <stp>BDH|13816027207903783757</stp>
        <tr r="E16" s="2"/>
      </tp>
      <tp t="s">
        <v>#N/A N/A</v>
        <stp/>
        <stp>BDH|17794595524977658036</stp>
        <tr r="Y14" s="2"/>
      </tp>
      <tp t="s">
        <v>#N/A N/A</v>
        <stp/>
        <stp>BDH|11337889532685682800</stp>
        <tr r="O7" s="2"/>
      </tp>
      <tp t="s">
        <v>#N/A N/A</v>
        <stp/>
        <stp>BDH|14149941066629563591</stp>
        <tr r="D15" s="2"/>
      </tp>
      <tp t="s">
        <v>#N/A N/A</v>
        <stp/>
        <stp>BDH|17967472326412796412</stp>
        <tr r="Q49" s="2"/>
      </tp>
      <tp t="s">
        <v>#N/A N/A</v>
        <stp/>
        <stp>BDH|17855421604557989394</stp>
        <tr r="AF89" s="2"/>
      </tp>
      <tp t="s">
        <v>#N/A N/A</v>
        <stp/>
        <stp>BDH|13858045903263083716</stp>
        <tr r="V91" s="2"/>
      </tp>
      <tp t="s">
        <v>#N/A N/A</v>
        <stp/>
        <stp>BDH|14731400150984884611</stp>
        <tr r="Q39" s="2"/>
      </tp>
      <tp t="s">
        <v>#N/A N/A</v>
        <stp/>
        <stp>BDH|10271314129516165051</stp>
        <tr r="V27" s="2"/>
      </tp>
      <tp t="s">
        <v>#N/A N/A</v>
        <stp/>
        <stp>BDH|14798754214274720206</stp>
        <tr r="AD63" s="2"/>
      </tp>
      <tp t="s">
        <v>#N/A N/A</v>
        <stp/>
        <stp>BDH|14955995771979096708</stp>
        <tr r="V30" s="2"/>
      </tp>
      <tp t="s">
        <v>#N/A N/A</v>
        <stp/>
        <stp>BDH|16544174285522333958</stp>
        <tr r="W31" s="2"/>
      </tp>
      <tp t="s">
        <v>#N/A N/A</v>
        <stp/>
        <stp>BDH|13320503835980559128</stp>
        <tr r="F46" s="2"/>
      </tp>
      <tp t="s">
        <v>#N/A N/A</v>
        <stp/>
        <stp>BDH|14145541535417694165</stp>
        <tr r="M92" s="2"/>
      </tp>
      <tp t="s">
        <v>#N/A N/A</v>
        <stp/>
        <stp>BDH|14325108273733554559</stp>
        <tr r="Y40" s="2"/>
      </tp>
      <tp t="s">
        <v>#N/A N/A</v>
        <stp/>
        <stp>BDH|18328963632954274258</stp>
        <tr r="D20" s="2"/>
      </tp>
      <tp t="s">
        <v>#N/A N/A</v>
        <stp/>
        <stp>BDH|17672390429960013269</stp>
        <tr r="D46" s="2"/>
      </tp>
      <tp t="s">
        <v>#N/A N/A</v>
        <stp/>
        <stp>BDH|10199949087824845196</stp>
        <tr r="P10" s="2"/>
      </tp>
      <tp t="s">
        <v>#N/A N/A</v>
        <stp/>
        <stp>BDH|14542718214202352407</stp>
        <tr r="I44" s="2"/>
      </tp>
      <tp t="s">
        <v>#N/A N/A</v>
        <stp/>
        <stp>BDH|14468942385295025466</stp>
        <tr r="Y38" s="2"/>
      </tp>
      <tp t="s">
        <v>#N/A N/A</v>
        <stp/>
        <stp>BDH|15077228530835208537</stp>
        <tr r="S53" s="2"/>
      </tp>
      <tp t="s">
        <v>#N/A N/A</v>
        <stp/>
        <stp>BDH|12933198867770393172</stp>
        <tr r="AC82" s="2"/>
      </tp>
      <tp t="s">
        <v>#N/A N/A</v>
        <stp/>
        <stp>BDH|16491347900120696153</stp>
        <tr r="AD54" s="2"/>
      </tp>
      <tp t="s">
        <v>#N/A N/A</v>
        <stp/>
        <stp>BDH|10756866016059138454</stp>
        <tr r="U41" s="2"/>
      </tp>
      <tp t="s">
        <v>#N/A N/A</v>
        <stp/>
        <stp>BDH|10056038400982420642</stp>
        <tr r="N91" s="2"/>
      </tp>
      <tp t="s">
        <v>#N/A N/A</v>
        <stp/>
        <stp>BDH|12940064929810439401</stp>
        <tr r="U75" s="2"/>
      </tp>
      <tp t="s">
        <v>#N/A N/A</v>
        <stp/>
        <stp>BDH|15037960091836301769</stp>
        <tr r="AC51" s="2"/>
      </tp>
      <tp t="s">
        <v>#N/A N/A</v>
        <stp/>
        <stp>BDH|15114080751506324291</stp>
        <tr r="W52" s="2"/>
      </tp>
      <tp t="s">
        <v>#N/A N/A</v>
        <stp/>
        <stp>BDH|15722414718771326580</stp>
        <tr r="K52" s="2"/>
      </tp>
      <tp t="s">
        <v>#N/A N/A</v>
        <stp/>
        <stp>BDH|17285248876685305365</stp>
        <tr r="AC73" s="2"/>
      </tp>
      <tp t="s">
        <v>#N/A N/A</v>
        <stp/>
        <stp>BDH|13355562427147479730</stp>
        <tr r="L19" s="2"/>
      </tp>
      <tp t="s">
        <v>#N/A N/A</v>
        <stp/>
        <stp>BDH|14766026521291604372</stp>
        <tr r="AE88" s="2"/>
      </tp>
      <tp t="s">
        <v>#N/A N/A</v>
        <stp/>
        <stp>BDH|11911377517775593281</stp>
        <tr r="X71" s="2"/>
      </tp>
      <tp t="s">
        <v>#N/A N/A</v>
        <stp/>
        <stp>BDH|17724000420441388006</stp>
        <tr r="E12" s="2"/>
      </tp>
      <tp t="s">
        <v>#N/A N/A</v>
        <stp/>
        <stp>BDH|15197257954656795039</stp>
        <tr r="AC63" s="2"/>
      </tp>
      <tp t="s">
        <v>#N/A N/A</v>
        <stp/>
        <stp>BDH|12529075679843888278</stp>
        <tr r="G82" s="2"/>
      </tp>
      <tp t="s">
        <v>#N/A N/A</v>
        <stp/>
        <stp>BDH|10177761346575199247</stp>
        <tr r="AB82" s="2"/>
      </tp>
      <tp t="s">
        <v>#N/A N/A</v>
        <stp/>
        <stp>BDH|15950159703074972428</stp>
        <tr r="Y77" s="2"/>
      </tp>
      <tp t="s">
        <v>#N/A N/A</v>
        <stp/>
        <stp>BDH|12652907378270992839</stp>
        <tr r="T29" s="2"/>
      </tp>
      <tp t="s">
        <v>#N/A N/A</v>
        <stp/>
        <stp>BDH|14302418543601713117</stp>
        <tr r="H93" s="2"/>
      </tp>
      <tp t="s">
        <v>#N/A N/A</v>
        <stp/>
        <stp>BDH|10311477801902613241</stp>
        <tr r="AF29" s="2"/>
      </tp>
      <tp t="s">
        <v>#N/A N/A</v>
        <stp/>
        <stp>BDH|17185864413293615952</stp>
        <tr r="N9" s="2"/>
      </tp>
      <tp t="s">
        <v>#N/A N/A</v>
        <stp/>
        <stp>BDH|12243137401372271555</stp>
        <tr r="G60" s="2"/>
      </tp>
      <tp t="s">
        <v>#N/A N/A</v>
        <stp/>
        <stp>BDH|10037346055636706411</stp>
        <tr r="U15" s="2"/>
      </tp>
      <tp t="s">
        <v>#N/A N/A</v>
        <stp/>
        <stp>BDH|11182736731867599607</stp>
        <tr r="T22" s="2"/>
      </tp>
      <tp t="s">
        <v>#N/A N/A</v>
        <stp/>
        <stp>BDH|17421554511694146378</stp>
        <tr r="K65" s="2"/>
      </tp>
      <tp t="s">
        <v>#N/A N/A</v>
        <stp/>
        <stp>BDH|11371172148690275086</stp>
        <tr r="Z63" s="2"/>
      </tp>
      <tp t="s">
        <v>#N/A N/A</v>
        <stp/>
        <stp>BDH|10594156399149882574</stp>
        <tr r="P27" s="2"/>
      </tp>
      <tp t="s">
        <v>#N/A N/A</v>
        <stp/>
        <stp>BDH|12009658487781184955</stp>
        <tr r="X34" s="2"/>
      </tp>
      <tp t="s">
        <v>#N/A N/A</v>
        <stp/>
        <stp>BDH|13268031096726730862</stp>
        <tr r="W26" s="2"/>
      </tp>
      <tp t="s">
        <v>#N/A N/A</v>
        <stp/>
        <stp>BDH|16402706667910084357</stp>
        <tr r="O50" s="2"/>
      </tp>
      <tp t="s">
        <v>#N/A N/A</v>
        <stp/>
        <stp>BDH|12119673867343797508</stp>
        <tr r="V81" s="2"/>
      </tp>
      <tp t="s">
        <v>#N/A N/A</v>
        <stp/>
        <stp>BDH|14846502256162283255</stp>
        <tr r="F68" s="2"/>
      </tp>
      <tp t="s">
        <v>#N/A N/A</v>
        <stp/>
        <stp>BDH|15742656179936331612</stp>
        <tr r="L32" s="2"/>
      </tp>
      <tp t="s">
        <v>#N/A N/A</v>
        <stp/>
        <stp>BDH|16379223378315836286</stp>
        <tr r="L67" s="2"/>
      </tp>
      <tp t="s">
        <v>#N/A N/A</v>
        <stp/>
        <stp>BDH|16233051741051946760</stp>
        <tr r="R44" s="2"/>
      </tp>
      <tp t="s">
        <v>#N/A N/A</v>
        <stp/>
        <stp>BDH|15478456532310294698</stp>
        <tr r="D31" s="2"/>
      </tp>
      <tp t="s">
        <v>#N/A N/A</v>
        <stp/>
        <stp>BDH|16624609168361690301</stp>
        <tr r="AF49" s="2"/>
      </tp>
      <tp t="s">
        <v>#N/A N/A</v>
        <stp/>
        <stp>BDH|17972298546180702599</stp>
        <tr r="AC69" s="2"/>
      </tp>
      <tp t="s">
        <v>#N/A N/A</v>
        <stp/>
        <stp>BDH|12566367064260911365</stp>
        <tr r="M71" s="2"/>
      </tp>
      <tp t="s">
        <v>#N/A N/A</v>
        <stp/>
        <stp>BDH|16332647171222927172</stp>
        <tr r="I54" s="2"/>
      </tp>
      <tp t="s">
        <v>#N/A N/A</v>
        <stp/>
        <stp>BDH|12168178358071340361</stp>
        <tr r="AF38" s="2"/>
      </tp>
      <tp t="s">
        <v>#N/A N/A</v>
        <stp/>
        <stp>BDH|13518488445693534469</stp>
        <tr r="J41" s="2"/>
      </tp>
      <tp t="s">
        <v>#N/A N/A</v>
        <stp/>
        <stp>BDH|17500439256140308295</stp>
        <tr r="V67" s="2"/>
      </tp>
      <tp t="s">
        <v>#N/A N/A</v>
        <stp/>
        <stp>BDH|12515213898229260445</stp>
        <tr r="R82" s="2"/>
      </tp>
      <tp t="s">
        <v>#N/A N/A</v>
        <stp/>
        <stp>BDH|18133800493539167492</stp>
        <tr r="C46" s="2"/>
      </tp>
      <tp t="s">
        <v>#N/A N/A</v>
        <stp/>
        <stp>BDH|14370233462625916113</stp>
        <tr r="AD29" s="2"/>
      </tp>
      <tp t="s">
        <v>#N/A N/A</v>
        <stp/>
        <stp>BDH|16563868725708876036</stp>
        <tr r="Z17" s="2"/>
      </tp>
      <tp t="s">
        <v>#N/A N/A</v>
        <stp/>
        <stp>BDH|14456726761065397497</stp>
        <tr r="W88" s="2"/>
      </tp>
      <tp t="s">
        <v>#N/A N/A</v>
        <stp/>
        <stp>BDH|17626404257440559297</stp>
        <tr r="Y24" s="2"/>
      </tp>
      <tp t="s">
        <v>#N/A N/A</v>
        <stp/>
        <stp>BDH|14429497646545140573</stp>
        <tr r="R46" s="2"/>
      </tp>
      <tp t="s">
        <v>#N/A N/A</v>
        <stp/>
        <stp>BDH|15570967211448731180</stp>
        <tr r="C59" s="2"/>
      </tp>
      <tp t="s">
        <v>#N/A N/A</v>
        <stp/>
        <stp>BDH|13532207889539579440</stp>
        <tr r="E8" s="2"/>
      </tp>
      <tp t="s">
        <v>#N/A N/A</v>
        <stp/>
        <stp>BDH|16276218947636918211</stp>
        <tr r="J50" s="2"/>
      </tp>
      <tp t="s">
        <v>#N/A N/A</v>
        <stp/>
        <stp>BDH|14391169969284284322</stp>
        <tr r="G32" s="2"/>
      </tp>
      <tp t="s">
        <v>#N/A N/A</v>
        <stp/>
        <stp>BDH|17075737829805617304</stp>
        <tr r="L50" s="2"/>
      </tp>
      <tp t="s">
        <v>#N/A N/A</v>
        <stp/>
        <stp>BDH|16587699808035162190</stp>
        <tr r="D49" s="2"/>
      </tp>
      <tp t="s">
        <v>#N/A N/A</v>
        <stp/>
        <stp>BDH|15138868316131807960</stp>
        <tr r="AB21" s="2"/>
      </tp>
      <tp t="s">
        <v>#N/A N/A</v>
        <stp/>
        <stp>BDH|16983354415042062268</stp>
        <tr r="Q11" s="2"/>
      </tp>
      <tp t="s">
        <v>#N/A N/A</v>
        <stp/>
        <stp>BDH|16390763955415977568</stp>
        <tr r="M68" s="2"/>
      </tp>
      <tp t="s">
        <v>#N/A N/A</v>
        <stp/>
        <stp>BDH|17958364620261410342</stp>
        <tr r="AC93" s="2"/>
      </tp>
      <tp t="s">
        <v>#N/A N/A</v>
        <stp/>
        <stp>BDH|17515795743733027307</stp>
        <tr r="U77" s="2"/>
      </tp>
      <tp t="s">
        <v>#N/A N/A</v>
        <stp/>
        <stp>BDH|15090840822642811907</stp>
        <tr r="Z83" s="2"/>
      </tp>
      <tp t="s">
        <v>#N/A N/A</v>
        <stp/>
        <stp>BDH|12512276771383499090</stp>
        <tr r="G57" s="2"/>
      </tp>
      <tp t="s">
        <v>#N/A N/A</v>
        <stp/>
        <stp>BDH|17465461828036115356</stp>
        <tr r="AD27" s="2"/>
      </tp>
      <tp t="s">
        <v>#N/A N/A</v>
        <stp/>
        <stp>BDH|12503938659948735266</stp>
        <tr r="N46" s="2"/>
      </tp>
      <tp t="s">
        <v>#N/A N/A</v>
        <stp/>
        <stp>BDH|11943352206725886232</stp>
        <tr r="T57" s="2"/>
      </tp>
      <tp t="s">
        <v>#N/A N/A</v>
        <stp/>
        <stp>BDH|10586371198558361780</stp>
        <tr r="H57" s="2"/>
      </tp>
      <tp t="s">
        <v>#N/A N/A</v>
        <stp/>
        <stp>BDH|13319775614933278333</stp>
        <tr r="E31" s="2"/>
      </tp>
      <tp t="s">
        <v>#N/A N/A</v>
        <stp/>
        <stp>BDH|14794930167207550976</stp>
        <tr r="Z76" s="2"/>
      </tp>
      <tp t="s">
        <v>#N/A N/A</v>
        <stp/>
        <stp>BDH|16401515807235668359</stp>
        <tr r="N52" s="2"/>
      </tp>
      <tp t="s">
        <v>#N/A N/A</v>
        <stp/>
        <stp>BDH|16782502030074279140</stp>
        <tr r="I43" s="2"/>
      </tp>
      <tp t="s">
        <v>#N/A N/A</v>
        <stp/>
        <stp>BDH|12392594046310961644</stp>
        <tr r="E82" s="2"/>
      </tp>
      <tp t="s">
        <v>#N/A N/A</v>
        <stp/>
        <stp>BDH|15726309323221783025</stp>
        <tr r="E81" s="2"/>
      </tp>
      <tp t="s">
        <v>#N/A N/A</v>
        <stp/>
        <stp>BDH|12217257816791793562</stp>
        <tr r="P34" s="2"/>
      </tp>
      <tp t="s">
        <v>#N/A N/A</v>
        <stp/>
        <stp>BDH|14595266769751999432</stp>
        <tr r="Q91" s="2"/>
      </tp>
      <tp t="s">
        <v>#N/A N/A</v>
        <stp/>
        <stp>BDH|14204020118269944914</stp>
        <tr r="G90" s="2"/>
      </tp>
      <tp t="s">
        <v>#N/A N/A</v>
        <stp/>
        <stp>BDH|17134202556413553622</stp>
        <tr r="U88" s="2"/>
      </tp>
      <tp t="s">
        <v>#N/A N/A</v>
        <stp/>
        <stp>BDH|13372804836068429516</stp>
        <tr r="AB64" s="2"/>
      </tp>
      <tp t="s">
        <v>#N/A N/A</v>
        <stp/>
        <stp>BDH|15006185853815938115</stp>
        <tr r="K63" s="2"/>
      </tp>
      <tp t="s">
        <v>#N/A N/A</v>
        <stp/>
        <stp>BDH|17211619439746947100</stp>
        <tr r="AC88" s="2"/>
      </tp>
      <tp t="s">
        <v>#N/A N/A</v>
        <stp/>
        <stp>BDH|13188135770086829691</stp>
        <tr r="V88" s="2"/>
      </tp>
      <tp t="s">
        <v>#N/A N/A</v>
        <stp/>
        <stp>BDH|12447982965169231184</stp>
        <tr r="AE25" s="2"/>
      </tp>
      <tp t="s">
        <v>#N/A N/A</v>
        <stp/>
        <stp>BDH|17166671847497375713</stp>
        <tr r="N66" s="2"/>
      </tp>
      <tp t="s">
        <v>#N/A N/A</v>
        <stp/>
        <stp>BDH|17050274995041339824</stp>
        <tr r="H94" s="2"/>
      </tp>
      <tp t="s">
        <v>#N/A N/A</v>
        <stp/>
        <stp>BDH|11220801100785967986</stp>
        <tr r="M10" s="2"/>
      </tp>
      <tp t="s">
        <v>#N/A N/A</v>
        <stp/>
        <stp>BDH|12323128994137569824</stp>
        <tr r="X32" s="2"/>
      </tp>
      <tp t="s">
        <v>#N/A N/A</v>
        <stp/>
        <stp>BDH|11413865415418071552</stp>
        <tr r="AD82" s="2"/>
      </tp>
      <tp t="s">
        <v>#N/A N/A</v>
        <stp/>
        <stp>BDH|10680776479841581480</stp>
        <tr r="X72" s="2"/>
      </tp>
      <tp t="s">
        <v>#N/A N/A</v>
        <stp/>
        <stp>BDH|13385379351289457945</stp>
        <tr r="P88" s="2"/>
      </tp>
      <tp t="s">
        <v>#N/A N/A</v>
        <stp/>
        <stp>BDH|11822175871155917725</stp>
        <tr r="AE49" s="2"/>
      </tp>
      <tp t="s">
        <v>#N/A N/A</v>
        <stp/>
        <stp>BDH|15607728576959333943</stp>
        <tr r="M35" s="2"/>
      </tp>
      <tp t="s">
        <v>#N/A N/A</v>
        <stp/>
        <stp>BDH|12404941366011088939</stp>
        <tr r="T71" s="2"/>
      </tp>
      <tp t="s">
        <v>#N/A N/A</v>
        <stp/>
        <stp>BDH|12195265604910635503</stp>
        <tr r="K62" s="2"/>
      </tp>
      <tp t="s">
        <v>#N/A N/A</v>
        <stp/>
        <stp>BDH|10787469050207402319</stp>
        <tr r="I68" s="2"/>
      </tp>
      <tp t="s">
        <v>#N/A N/A</v>
        <stp/>
        <stp>BDH|10050108523241731704</stp>
        <tr r="K48" s="2"/>
      </tp>
      <tp t="s">
        <v>#N/A N/A</v>
        <stp/>
        <stp>BDH|16746160440696062056</stp>
        <tr r="M28" s="2"/>
      </tp>
      <tp t="s">
        <v>#N/A N/A</v>
        <stp/>
        <stp>BDH|15756740252791737320</stp>
        <tr r="D86" s="2"/>
      </tp>
      <tp t="s">
        <v>#N/A N/A</v>
        <stp/>
        <stp>BDH|11320503789159791098</stp>
        <tr r="V84" s="2"/>
      </tp>
      <tp t="s">
        <v>#N/A N/A</v>
        <stp/>
        <stp>BDH|15098328559103973567</stp>
        <tr r="V18" s="2"/>
      </tp>
      <tp t="s">
        <v>#N/A N/A</v>
        <stp/>
        <stp>BDH|13099061911053813482</stp>
        <tr r="L40" s="2"/>
      </tp>
      <tp t="s">
        <v>#N/A N/A</v>
        <stp/>
        <stp>BDH|17388801727418001026</stp>
        <tr r="G25" s="2"/>
      </tp>
      <tp t="s">
        <v>#N/A N/A</v>
        <stp/>
        <stp>BDH|11506721440872643570</stp>
        <tr r="AB81" s="2"/>
      </tp>
      <tp t="s">
        <v>#N/A N/A</v>
        <stp/>
        <stp>BDH|17338673652947483646</stp>
        <tr r="S7" s="2"/>
      </tp>
      <tp t="s">
        <v>#N/A N/A</v>
        <stp/>
        <stp>BDH|14251707924744878085</stp>
        <tr r="AD87" s="2"/>
      </tp>
      <tp t="s">
        <v>#N/A N/A</v>
        <stp/>
        <stp>BDH|10876692142653915439</stp>
        <tr r="X56" s="2"/>
      </tp>
      <tp t="s">
        <v>#N/A N/A</v>
        <stp/>
        <stp>BDH|11209418929170437277</stp>
        <tr r="Q13" s="2"/>
      </tp>
      <tp t="s">
        <v>#N/A N/A</v>
        <stp/>
        <stp>BDH|10894059000122550715</stp>
        <tr r="D55" s="2"/>
      </tp>
      <tp t="s">
        <v>#N/A N/A</v>
        <stp/>
        <stp>BDH|16051650816712239680</stp>
        <tr r="K53" s="2"/>
      </tp>
      <tp t="s">
        <v>#N/A N/A</v>
        <stp/>
        <stp>BDH|15175523469207768445</stp>
        <tr r="K75" s="2"/>
      </tp>
      <tp t="s">
        <v>#N/A N/A</v>
        <stp/>
        <stp>BDH|13829703628735878614</stp>
        <tr r="V46" s="2"/>
      </tp>
      <tp t="s">
        <v>#N/A N/A</v>
        <stp/>
        <stp>BDH|16678958883957823511</stp>
        <tr r="V58" s="2"/>
      </tp>
      <tp t="s">
        <v>#N/A N/A</v>
        <stp/>
        <stp>BDH|16397383302613721366</stp>
        <tr r="AD56" s="2"/>
      </tp>
      <tp t="s">
        <v>#N/A N/A</v>
        <stp/>
        <stp>BDH|14855307170572480747</stp>
        <tr r="AC72" s="2"/>
      </tp>
      <tp t="s">
        <v>#N/A N/A</v>
        <stp/>
        <stp>BDH|17552197775202338621</stp>
        <tr r="Z13" s="2"/>
      </tp>
      <tp t="s">
        <v>#N/A N/A</v>
        <stp/>
        <stp>BDH|10699768640380007686</stp>
        <tr r="D70" s="2"/>
      </tp>
      <tp t="s">
        <v>#N/A N/A</v>
        <stp/>
        <stp>BDH|10701792071950324578</stp>
        <tr r="Z28" s="2"/>
      </tp>
      <tp t="s">
        <v>#N/A N/A</v>
        <stp/>
        <stp>BDH|11035352307167843014</stp>
        <tr r="AE7" s="2"/>
      </tp>
      <tp t="s">
        <v>#N/A N/A</v>
        <stp/>
        <stp>BDH|11640945194940919452</stp>
        <tr r="O72" s="2"/>
      </tp>
      <tp t="s">
        <v>#N/A N/A</v>
        <stp/>
        <stp>BDH|13526589812711172341</stp>
        <tr r="R91" s="2"/>
      </tp>
      <tp t="s">
        <v>#N/A N/A</v>
        <stp/>
        <stp>BDH|18399832622903892401</stp>
        <tr r="H29" s="2"/>
      </tp>
      <tp t="s">
        <v>#N/A N/A</v>
        <stp/>
        <stp>BDH|10915558734405658642</stp>
        <tr r="AA94" s="2"/>
      </tp>
      <tp t="s">
        <v>#N/A N/A</v>
        <stp/>
        <stp>BDH|14548747449792775059</stp>
        <tr r="K68" s="2"/>
      </tp>
      <tp t="s">
        <v>#N/A N/A</v>
        <stp/>
        <stp>BDH|10306581257660104571</stp>
        <tr r="F94" s="2"/>
      </tp>
      <tp t="s">
        <v>#N/A N/A</v>
        <stp/>
        <stp>BDH|14291884391435490554</stp>
        <tr r="D24" s="2"/>
      </tp>
      <tp t="s">
        <v>#N/A N/A</v>
        <stp/>
        <stp>BDH|15232091457696464350</stp>
        <tr r="AA40" s="2"/>
      </tp>
      <tp t="s">
        <v>#N/A N/A</v>
        <stp/>
        <stp>BDH|12833340773795260603</stp>
        <tr r="Y50" s="2"/>
      </tp>
      <tp t="s">
        <v>#N/A N/A</v>
        <stp/>
        <stp>BDH|17412729613355126199</stp>
        <tr r="AE22" s="2"/>
      </tp>
      <tp t="s">
        <v>#N/A N/A</v>
        <stp/>
        <stp>BDH|16116245005470432193</stp>
        <tr r="AC58" s="2"/>
      </tp>
      <tp t="s">
        <v>#N/A N/A</v>
        <stp/>
        <stp>BDH|18018761094946924571</stp>
        <tr r="AC52" s="2"/>
      </tp>
      <tp t="s">
        <v>#N/A N/A</v>
        <stp/>
        <stp>BDH|15920606932583278658</stp>
        <tr r="U64" s="2"/>
      </tp>
      <tp t="s">
        <v>#N/A N/A</v>
        <stp/>
        <stp>BDH|15449810699331259021</stp>
        <tr r="AA16" s="2"/>
      </tp>
      <tp t="s">
        <v>#N/A N/A</v>
        <stp/>
        <stp>BDH|12660691205691235046</stp>
        <tr r="V38" s="2"/>
      </tp>
      <tp t="s">
        <v>#N/A N/A</v>
        <stp/>
        <stp>BDH|17894037972871144446</stp>
        <tr r="U72" s="2"/>
      </tp>
      <tp t="s">
        <v>#N/A N/A</v>
        <stp/>
        <stp>BDH|11429020929132968492</stp>
        <tr r="AC9" s="2"/>
      </tp>
      <tp t="s">
        <v>#N/A N/A</v>
        <stp/>
        <stp>BDH|13759188266674616511</stp>
        <tr r="G88" s="2"/>
      </tp>
      <tp t="s">
        <v>#N/A N/A</v>
        <stp/>
        <stp>BDH|11409490887710085844</stp>
        <tr r="H20" s="2"/>
      </tp>
      <tp t="s">
        <v>#N/A N/A</v>
        <stp/>
        <stp>BDH|17963281654953275692</stp>
        <tr r="Y83" s="2"/>
      </tp>
      <tp t="s">
        <v>#N/A N/A</v>
        <stp/>
        <stp>BDH|13903466118494067798</stp>
        <tr r="AA77" s="2"/>
      </tp>
      <tp t="s">
        <v>#N/A N/A</v>
        <stp/>
        <stp>BDH|12550080953144682660</stp>
        <tr r="M56" s="2"/>
      </tp>
      <tp t="s">
        <v>#N/A N/A</v>
        <stp/>
        <stp>BDH|15907096568344605207</stp>
        <tr r="S60" s="2"/>
      </tp>
      <tp t="s">
        <v>#N/A N/A</v>
        <stp/>
        <stp>BDH|15402126575612871453</stp>
        <tr r="K20" s="2"/>
      </tp>
    </main>
    <main first="bofaddin.rtdserver">
      <tp t="s">
        <v>#N/A N/A</v>
        <stp/>
        <stp>BDH|6677858591334271</stp>
        <tr r="Z22" s="2"/>
      </tp>
      <tp t="s">
        <v>#N/A N/A</v>
        <stp/>
        <stp>BDH|5561691744208634345</stp>
        <tr r="M88" s="2"/>
      </tp>
      <tp t="s">
        <v>#N/A N/A</v>
        <stp/>
        <stp>BDH|6665125458298179673</stp>
        <tr r="Q56" s="2"/>
      </tp>
      <tp t="s">
        <v>#N/A N/A</v>
        <stp/>
        <stp>BDH|3448357942779098195</stp>
        <tr r="L89" s="2"/>
      </tp>
      <tp t="s">
        <v>#N/A N/A</v>
        <stp/>
        <stp>BDH|1685374342748969200</stp>
        <tr r="J83" s="2"/>
      </tp>
      <tp t="s">
        <v>#N/A N/A</v>
        <stp/>
        <stp>BDH|5967557568679747383</stp>
        <tr r="E27" s="2"/>
      </tp>
      <tp t="s">
        <v>#N/A N/A</v>
        <stp/>
        <stp>BDH|3807450181314064777</stp>
        <tr r="N33" s="2"/>
      </tp>
      <tp t="s">
        <v>#N/A N/A</v>
        <stp/>
        <stp>BDH|4401847773281886609</stp>
        <tr r="T75" s="2"/>
      </tp>
      <tp t="s">
        <v>#N/A N/A</v>
        <stp/>
        <stp>BDH|2635348537577862961</stp>
        <tr r="AB20" s="2"/>
      </tp>
      <tp t="s">
        <v>#N/A N/A</v>
        <stp/>
        <stp>BDH|5932883350555994136</stp>
        <tr r="AA68" s="2"/>
      </tp>
      <tp t="s">
        <v>#N/A N/A</v>
        <stp/>
        <stp>BDH|7753187087241029338</stp>
        <tr r="H72" s="2"/>
      </tp>
      <tp t="s">
        <v>#N/A N/A</v>
        <stp/>
        <stp>BDH|7856125502283927991</stp>
        <tr r="F65" s="2"/>
      </tp>
      <tp t="s">
        <v>#N/A N/A</v>
        <stp/>
        <stp>BDH|2997869616387847090</stp>
        <tr r="AE68" s="2"/>
      </tp>
      <tp t="s">
        <v>#N/A N/A</v>
        <stp/>
        <stp>BDH|2776829065081158190</stp>
        <tr r="U65" s="2"/>
      </tp>
      <tp t="s">
        <v>#N/A N/A</v>
        <stp/>
        <stp>BDH|8661888512815339864</stp>
        <tr r="AA89" s="2"/>
      </tp>
      <tp t="s">
        <v>#N/A N/A</v>
        <stp/>
        <stp>BDH|5808713921019564540</stp>
        <tr r="F33" s="2"/>
      </tp>
      <tp t="s">
        <v>#N/A N/A</v>
        <stp/>
        <stp>BDH|2712490560338500424</stp>
        <tr r="I90" s="2"/>
      </tp>
      <tp t="s">
        <v>#N/A N/A</v>
        <stp/>
        <stp>BDH|1671558381192339282</stp>
        <tr r="V41" s="2"/>
      </tp>
      <tp t="s">
        <v>#N/A N/A</v>
        <stp/>
        <stp>BDH|7094968568411269524</stp>
        <tr r="D66" s="2"/>
      </tp>
      <tp t="s">
        <v>#N/A N/A</v>
        <stp/>
        <stp>BDH|7500853649471073676</stp>
        <tr r="O29" s="2"/>
      </tp>
      <tp t="s">
        <v>#N/A N/A</v>
        <stp/>
        <stp>BDH|3012591289823783198</stp>
        <tr r="Q24" s="2"/>
      </tp>
      <tp t="s">
        <v>#N/A N/A</v>
        <stp/>
        <stp>BDH|5684662357369103385</stp>
        <tr r="F16" s="2"/>
      </tp>
      <tp t="s">
        <v>#N/A N/A</v>
        <stp/>
        <stp>BDH|4826913336443125114</stp>
        <tr r="C86" s="2"/>
      </tp>
      <tp t="s">
        <v>#N/A N/A</v>
        <stp/>
        <stp>BDH|6272851581573906900</stp>
        <tr r="V83" s="2"/>
      </tp>
      <tp t="s">
        <v>#N/A N/A</v>
        <stp/>
        <stp>BDH|1608726390762976123</stp>
        <tr r="Y89" s="2"/>
      </tp>
      <tp t="s">
        <v>#N/A N/A</v>
        <stp/>
        <stp>BDH|3905730098216909744</stp>
        <tr r="G54" s="2"/>
      </tp>
      <tp t="s">
        <v>#N/A N/A</v>
        <stp/>
        <stp>BDH|5746485593025490173</stp>
        <tr r="P82" s="2"/>
      </tp>
      <tp t="s">
        <v>#N/A N/A</v>
        <stp/>
        <stp>BDH|8488514260915164288</stp>
        <tr r="J23" s="2"/>
      </tp>
      <tp t="s">
        <v>#N/A N/A</v>
        <stp/>
        <stp>BDH|2703832799688834785</stp>
        <tr r="Z61" s="2"/>
      </tp>
      <tp t="s">
        <v>#N/A N/A</v>
        <stp/>
        <stp>BDH|4223851402054175490</stp>
        <tr r="N87" s="2"/>
      </tp>
      <tp t="s">
        <v>#N/A N/A</v>
        <stp/>
        <stp>BDH|1928614978278517481</stp>
        <tr r="I13" s="2"/>
      </tp>
      <tp t="s">
        <v>#N/A N/A</v>
        <stp/>
        <stp>BDH|3885997149291286371</stp>
        <tr r="G49" s="2"/>
      </tp>
      <tp t="s">
        <v>#N/A N/A</v>
        <stp/>
        <stp>BDH|8204997091775632118</stp>
        <tr r="J88" s="2"/>
      </tp>
      <tp t="s">
        <v>#N/A N/A</v>
        <stp/>
        <stp>BDH|6480887836557326642</stp>
        <tr r="T58" s="2"/>
      </tp>
      <tp t="s">
        <v>#N/A N/A</v>
        <stp/>
        <stp>BDH|1640859349102494339</stp>
        <tr r="Y47" s="2"/>
      </tp>
      <tp t="s">
        <v>#N/A N/A</v>
        <stp/>
        <stp>BDH|6905353999441363140</stp>
        <tr r="AF70" s="2"/>
      </tp>
      <tp t="s">
        <v>#N/A N/A</v>
        <stp/>
        <stp>BDH|9651415845453255621</stp>
        <tr r="S24" s="2"/>
      </tp>
      <tp t="s">
        <v>#N/A N/A</v>
        <stp/>
        <stp>BDH|9856303301634241297</stp>
        <tr r="R93" s="2"/>
      </tp>
      <tp t="s">
        <v>#N/A N/A</v>
        <stp/>
        <stp>BDH|4084199390089950922</stp>
        <tr r="H61" s="2"/>
      </tp>
      <tp t="s">
        <v>#N/A N/A</v>
        <stp/>
        <stp>BDH|1427043081523502668</stp>
        <tr r="O18" s="2"/>
      </tp>
      <tp t="s">
        <v>#N/A N/A</v>
        <stp/>
        <stp>BDH|9554535462894644200</stp>
        <tr r="L46" s="2"/>
      </tp>
      <tp t="s">
        <v>#N/A N/A</v>
        <stp/>
        <stp>BDH|3337343494226255327</stp>
        <tr r="L47" s="2"/>
      </tp>
      <tp t="s">
        <v>#N/A N/A</v>
        <stp/>
        <stp>BDH|8142972184040517545</stp>
        <tr r="E32" s="2"/>
      </tp>
      <tp t="s">
        <v>#N/A N/A</v>
        <stp/>
        <stp>BDH|2135609493309329829</stp>
        <tr r="F91" s="2"/>
      </tp>
      <tp t="s">
        <v>#N/A N/A</v>
        <stp/>
        <stp>BDH|4978573569732119956</stp>
        <tr r="P87" s="2"/>
      </tp>
      <tp t="s">
        <v>#N/A N/A</v>
        <stp/>
        <stp>BDH|4953966458860027440</stp>
        <tr r="AB75" s="2"/>
      </tp>
      <tp t="s">
        <v>#N/A N/A</v>
        <stp/>
        <stp>BDH|7330895632500887030</stp>
        <tr r="P93" s="2"/>
      </tp>
      <tp t="s">
        <v>#N/A N/A</v>
        <stp/>
        <stp>BDH|5255900275832489509</stp>
        <tr r="Y21" s="2"/>
      </tp>
      <tp t="s">
        <v>#N/A N/A</v>
        <stp/>
        <stp>BDH|9317008426191192640</stp>
        <tr r="AF27" s="2"/>
      </tp>
      <tp t="s">
        <v>#N/A N/A</v>
        <stp/>
        <stp>BDH|6930905117664813666</stp>
        <tr r="G65" s="2"/>
      </tp>
      <tp t="s">
        <v>#N/A N/A</v>
        <stp/>
        <stp>BDH|4406546586723160670</stp>
        <tr r="Q8" s="2"/>
      </tp>
      <tp t="s">
        <v>#N/A N/A</v>
        <stp/>
        <stp>BDH|9955543449882248661</stp>
        <tr r="AA66" s="2"/>
      </tp>
      <tp t="s">
        <v>#N/A N/A</v>
        <stp/>
        <stp>BDH|3592385590925866059</stp>
        <tr r="S30" s="2"/>
      </tp>
      <tp t="s">
        <v>#N/A N/A</v>
        <stp/>
        <stp>BDH|6256331199898946815</stp>
        <tr r="O47" s="2"/>
      </tp>
      <tp t="s">
        <v>#N/A N/A</v>
        <stp/>
        <stp>BDH|1777323718998938740</stp>
        <tr r="K26" s="2"/>
      </tp>
      <tp t="s">
        <v>#N/A N/A</v>
        <stp/>
        <stp>BDH|3768874083638031727</stp>
        <tr r="W16" s="2"/>
      </tp>
      <tp t="s">
        <v>#N/A N/A</v>
        <stp/>
        <stp>BDH|5416903623581133370</stp>
        <tr r="D34" s="2"/>
      </tp>
      <tp t="s">
        <v>#N/A N/A</v>
        <stp/>
        <stp>BDH|7306781641498946028</stp>
        <tr r="T56" s="2"/>
      </tp>
      <tp t="s">
        <v>#N/A N/A</v>
        <stp/>
        <stp>BDH|5208314174238678509</stp>
        <tr r="O64" s="2"/>
      </tp>
      <tp t="s">
        <v>#N/A N/A</v>
        <stp/>
        <stp>BDH|4234950108357792693</stp>
        <tr r="Y42" s="2"/>
      </tp>
      <tp t="s">
        <v>#N/A N/A</v>
        <stp/>
        <stp>BDH|9037326700414799247</stp>
        <tr r="AD17" s="2"/>
      </tp>
      <tp t="s">
        <v>#N/A N/A</v>
        <stp/>
        <stp>BDH|1455163697807574217</stp>
        <tr r="F74" s="2"/>
      </tp>
      <tp t="s">
        <v>#N/A N/A</v>
        <stp/>
        <stp>BDH|9284054824680485713</stp>
        <tr r="U87" s="2"/>
      </tp>
      <tp t="s">
        <v>#N/A N/A</v>
        <stp/>
        <stp>BDH|1826174081543145795</stp>
        <tr r="P33" s="2"/>
      </tp>
      <tp t="s">
        <v>#N/A N/A</v>
        <stp/>
        <stp>BDH|9884071098824051816</stp>
        <tr r="Y48" s="2"/>
      </tp>
      <tp t="s">
        <v>#N/A N/A</v>
        <stp/>
        <stp>BDH|8318913414034450842</stp>
        <tr r="G70" s="2"/>
      </tp>
      <tp t="s">
        <v>#N/A N/A</v>
        <stp/>
        <stp>BDH|5230166190702510374</stp>
        <tr r="AF21" s="2"/>
      </tp>
      <tp t="s">
        <v>#N/A N/A</v>
        <stp/>
        <stp>BDH|8388208517093276400</stp>
        <tr r="I12" s="2"/>
      </tp>
      <tp t="s">
        <v>#N/A N/A</v>
        <stp/>
        <stp>BDH|4237891915487867606</stp>
        <tr r="K81" s="2"/>
      </tp>
      <tp t="s">
        <v>#N/A N/A</v>
        <stp/>
        <stp>BDH|3769499384944949759</stp>
        <tr r="J58" s="2"/>
      </tp>
      <tp t="s">
        <v>#N/A N/A</v>
        <stp/>
        <stp>BDH|2151199743639940243</stp>
        <tr r="X35" s="2"/>
      </tp>
      <tp t="s">
        <v>#N/A N/A</v>
        <stp/>
        <stp>BDH|2657414027709067173</stp>
        <tr r="G74" s="2"/>
      </tp>
      <tp t="s">
        <v>#N/A N/A</v>
        <stp/>
        <stp>BDH|2753314487607772215</stp>
        <tr r="G87" s="2"/>
      </tp>
      <tp t="s">
        <v>#N/A N/A</v>
        <stp/>
        <stp>BDH|9199030589239472489</stp>
        <tr r="R86" s="2"/>
      </tp>
      <tp t="s">
        <v>#N/A N/A</v>
        <stp/>
        <stp>BDH|9980175743142874220</stp>
        <tr r="I28" s="2"/>
      </tp>
      <tp t="s">
        <v>#N/A N/A</v>
        <stp/>
        <stp>BDH|7127270832939320302</stp>
        <tr r="F44" s="2"/>
      </tp>
      <tp t="s">
        <v>#N/A N/A</v>
        <stp/>
        <stp>BDH|5309729574059699073</stp>
        <tr r="Q63" s="2"/>
      </tp>
      <tp t="s">
        <v>#N/A N/A</v>
        <stp/>
        <stp>BDH|9878834912449408594</stp>
        <tr r="N12" s="2"/>
      </tp>
      <tp t="s">
        <v>#N/A N/A</v>
        <stp/>
        <stp>BDH|8141881920308425696</stp>
        <tr r="AC44" s="2"/>
      </tp>
      <tp t="s">
        <v>#N/A N/A</v>
        <stp/>
        <stp>BDH|6469511003299693658</stp>
        <tr r="M75" s="2"/>
      </tp>
      <tp t="s">
        <v>#N/A N/A</v>
        <stp/>
        <stp>BDH|1531941910230201567</stp>
        <tr r="P92" s="2"/>
      </tp>
      <tp t="s">
        <v>#N/A N/A</v>
        <stp/>
        <stp>BDH|2418426950468163723</stp>
        <tr r="G21" s="2"/>
      </tp>
      <tp t="s">
        <v>#N/A N/A</v>
        <stp/>
        <stp>BDH|6064952314911327372</stp>
        <tr r="R14" s="2"/>
      </tp>
      <tp t="s">
        <v>#N/A N/A</v>
        <stp/>
        <stp>BDH|4249061509809085188</stp>
        <tr r="Z85" s="2"/>
      </tp>
      <tp t="s">
        <v>#N/A N/A</v>
        <stp/>
        <stp>BDH|7241814362846306377</stp>
        <tr r="I42" s="2"/>
      </tp>
      <tp t="s">
        <v>#N/A N/A</v>
        <stp/>
        <stp>BDH|5425353196036367519</stp>
        <tr r="F34" s="2"/>
      </tp>
      <tp t="s">
        <v>#N/A N/A</v>
        <stp/>
        <stp>BDH|74041089899188071</stp>
        <tr r="Y75" s="2"/>
      </tp>
      <tp t="s">
        <v>#N/A N/A</v>
        <stp/>
        <stp>BDH|8926872247309651057</stp>
        <tr r="E29" s="2"/>
      </tp>
      <tp t="s">
        <v>#N/A N/A</v>
        <stp/>
        <stp>BDH|9785528609219608800</stp>
        <tr r="H47" s="2"/>
      </tp>
      <tp t="s">
        <v>#N/A N/A</v>
        <stp/>
        <stp>BDH|1781670564399871575</stp>
        <tr r="T38" s="2"/>
      </tp>
      <tp t="s">
        <v>#N/A N/A</v>
        <stp/>
        <stp>BDH|1044626549369985793</stp>
        <tr r="U24" s="2"/>
      </tp>
      <tp t="s">
        <v>#N/A N/A</v>
        <stp/>
        <stp>BDH|5291491386043058763</stp>
        <tr r="Y63" s="2"/>
      </tp>
      <tp t="s">
        <v>#N/A N/A</v>
        <stp/>
        <stp>BDH|5103541188045520002</stp>
        <tr r="K67" s="2"/>
      </tp>
      <tp t="s">
        <v>#N/A N/A</v>
        <stp/>
        <stp>BDH|4916050082008534931</stp>
        <tr r="Y43" s="2"/>
      </tp>
      <tp t="s">
        <v>#N/A N/A</v>
        <stp/>
        <stp>BDH|4535201638951591905</stp>
        <tr r="G81" s="2"/>
      </tp>
      <tp t="s">
        <v>#N/A N/A</v>
        <stp/>
        <stp>BDH|6573850739427207734</stp>
        <tr r="AE14" s="2"/>
      </tp>
      <tp t="s">
        <v>#N/A N/A</v>
        <stp/>
        <stp>BDH|5957464744898040035</stp>
        <tr r="W58" s="2"/>
      </tp>
      <tp t="s">
        <v>#N/A N/A</v>
        <stp/>
        <stp>BDH|9958669697078845383</stp>
        <tr r="R11" s="2"/>
      </tp>
      <tp t="s">
        <v>#N/A N/A</v>
        <stp/>
        <stp>BDH|6993186356889644683</stp>
        <tr r="T33" s="2"/>
      </tp>
      <tp t="s">
        <v>#N/A N/A</v>
        <stp/>
        <stp>BDH|7844464534079300406</stp>
        <tr r="W67" s="2"/>
      </tp>
      <tp t="s">
        <v>#N/A N/A</v>
        <stp/>
        <stp>BDH|8110021823661918601</stp>
        <tr r="U35" s="2"/>
      </tp>
      <tp t="s">
        <v>#N/A N/A</v>
        <stp/>
        <stp>BDH|4717629462009657084</stp>
        <tr r="U19" s="2"/>
      </tp>
      <tp t="s">
        <v>#N/A N/A</v>
        <stp/>
        <stp>BDH|3106723712269803109</stp>
        <tr r="O35" s="2"/>
      </tp>
      <tp t="s">
        <v>#N/A N/A</v>
        <stp/>
        <stp>BDH|9409291233894400133</stp>
        <tr r="O53" s="2"/>
      </tp>
      <tp t="s">
        <v>#N/A N/A</v>
        <stp/>
        <stp>BDH|6371408514376619880</stp>
        <tr r="AB56" s="2"/>
      </tp>
      <tp t="s">
        <v>#N/A N/A</v>
        <stp/>
        <stp>BDH|7636123321680831937</stp>
        <tr r="E28" s="2"/>
      </tp>
      <tp t="s">
        <v>#N/A N/A</v>
        <stp/>
        <stp>BDH|3531774841235947843</stp>
        <tr r="AA84" s="2"/>
      </tp>
      <tp t="s">
        <v>#N/A N/A</v>
        <stp/>
        <stp>BDH|6569988666554213078</stp>
        <tr r="W33" s="2"/>
      </tp>
      <tp t="s">
        <v>#N/A N/A</v>
        <stp/>
        <stp>BDH|9027242510504804320</stp>
        <tr r="V66" s="2"/>
      </tp>
      <tp t="s">
        <v>#N/A N/A</v>
        <stp/>
        <stp>BDH|8324216862364942575</stp>
        <tr r="AF33" s="2"/>
      </tp>
      <tp t="s">
        <v>#N/A N/A</v>
        <stp/>
        <stp>BDH|9868002513774536112</stp>
        <tr r="J67" s="2"/>
      </tp>
      <tp t="s">
        <v>#N/A N/A</v>
        <stp/>
        <stp>BDH|4897356046397595911</stp>
        <tr r="AF72" s="2"/>
      </tp>
      <tp t="s">
        <v>#N/A N/A</v>
        <stp/>
        <stp>BDH|6018414996821131794</stp>
        <tr r="F75" s="2"/>
      </tp>
      <tp t="s">
        <v>#N/A N/A</v>
        <stp/>
        <stp>BDH|2060292764699662248</stp>
        <tr r="L7" s="2"/>
      </tp>
      <tp t="s">
        <v>#N/A N/A</v>
        <stp/>
        <stp>BDH|6123868659606518041</stp>
        <tr r="G28" s="2"/>
      </tp>
      <tp t="s">
        <v>#N/A N/A</v>
        <stp/>
        <stp>BDH|4329586392983342669</stp>
        <tr r="Y9" s="2"/>
      </tp>
      <tp t="s">
        <v>#N/A N/A</v>
        <stp/>
        <stp>BDH|3721529802582969928</stp>
        <tr r="E72" s="2"/>
      </tp>
      <tp t="s">
        <v>#N/A N/A</v>
        <stp/>
        <stp>BDH|5914809312291206059</stp>
        <tr r="AE91" s="2"/>
      </tp>
      <tp t="s">
        <v>#N/A N/A</v>
        <stp/>
        <stp>BDH|5230446773722992903</stp>
        <tr r="O61" s="2"/>
      </tp>
      <tp t="s">
        <v>#N/A N/A</v>
        <stp/>
        <stp>BDH|7359882923441445108</stp>
        <tr r="K71" s="2"/>
      </tp>
      <tp t="s">
        <v>#N/A N/A</v>
        <stp/>
        <stp>BDH|9776689013301037201</stp>
        <tr r="AC38" s="2"/>
      </tp>
      <tp t="s">
        <v>#N/A N/A</v>
        <stp/>
        <stp>BDH|8079334778268782918</stp>
        <tr r="K35" s="2"/>
      </tp>
      <tp t="s">
        <v>#N/A N/A</v>
        <stp/>
        <stp>BDH|7092957580669916215</stp>
        <tr r="Z7" s="2"/>
      </tp>
      <tp t="s">
        <v>#N/A N/A</v>
        <stp/>
        <stp>BDH|9905476862482244438</stp>
        <tr r="P38" s="2"/>
      </tp>
      <tp t="s">
        <v>#N/A N/A</v>
        <stp/>
        <stp>BDH|5425424990802984728</stp>
        <tr r="T30" s="2"/>
      </tp>
      <tp t="s">
        <v>#N/A N/A</v>
        <stp/>
        <stp>BDH|6047459027729524459</stp>
        <tr r="G93" s="2"/>
      </tp>
      <tp t="s">
        <v>#N/A N/A</v>
        <stp/>
        <stp>BDH|4030825075526379065</stp>
        <tr r="O23" s="2"/>
      </tp>
      <tp t="s">
        <v>#N/A N/A</v>
        <stp/>
        <stp>BDH|9336470537273515042</stp>
        <tr r="M24" s="2"/>
      </tp>
      <tp t="s">
        <v>#N/A N/A</v>
        <stp/>
        <stp>BDH|5395168770669267756</stp>
        <tr r="E54" s="2"/>
      </tp>
      <tp t="s">
        <v>#N/A N/A</v>
        <stp/>
        <stp>BDH|8940607627451481086</stp>
        <tr r="AD66" s="2"/>
      </tp>
      <tp t="s">
        <v>#N/A N/A</v>
        <stp/>
        <stp>BDH|9705368525941197471</stp>
        <tr r="L86" s="2"/>
      </tp>
      <tp t="s">
        <v>#N/A N/A</v>
        <stp/>
        <stp>BDH|3504565900729630278</stp>
        <tr r="V74" s="2"/>
      </tp>
      <tp t="s">
        <v>#N/A N/A</v>
        <stp/>
        <stp>BDH|4006977410594199559</stp>
        <tr r="AF62" s="2"/>
      </tp>
      <tp t="s">
        <v>#N/A N/A</v>
        <stp/>
        <stp>BDH|5697816400921476105</stp>
        <tr r="AE50" s="2"/>
      </tp>
      <tp t="s">
        <v>#N/A N/A</v>
        <stp/>
        <stp>BDH|2408709939869828267</stp>
        <tr r="I33" s="2"/>
      </tp>
      <tp t="s">
        <v>#N/A N/A</v>
        <stp/>
        <stp>BDH|7031179694967120518</stp>
        <tr r="L34" s="2"/>
      </tp>
      <tp t="s">
        <v>#N/A N/A</v>
        <stp/>
        <stp>BDH|4896295297586030454</stp>
        <tr r="Y31" s="2"/>
      </tp>
      <tp t="s">
        <v>#N/A N/A</v>
        <stp/>
        <stp>BDH|1365871910816776306</stp>
        <tr r="AF54" s="2"/>
      </tp>
      <tp t="s">
        <v>#N/A N/A</v>
        <stp/>
        <stp>BDH|7700911190613193979</stp>
        <tr r="AC19" s="2"/>
      </tp>
      <tp t="s">
        <v>#N/A N/A</v>
        <stp/>
        <stp>BDH|6662522497973636454</stp>
        <tr r="V69" s="2"/>
      </tp>
      <tp t="s">
        <v>#N/A N/A</v>
        <stp/>
        <stp>BDH|1940846186195200980</stp>
        <tr r="S93" s="2"/>
      </tp>
      <tp t="s">
        <v>#N/A N/A</v>
        <stp/>
        <stp>BDH|8136664914820673244</stp>
        <tr r="H69" s="2"/>
      </tp>
      <tp t="s">
        <v>#N/A N/A</v>
        <stp/>
        <stp>BDH|8472926526509698771</stp>
        <tr r="U27" s="2"/>
      </tp>
      <tp t="s">
        <v>#N/A N/A</v>
        <stp/>
        <stp>BDH|9619783257917102197</stp>
        <tr r="K50" s="2"/>
      </tp>
      <tp t="s">
        <v>#N/A N/A</v>
        <stp/>
        <stp>BDH|4328947962350508663</stp>
        <tr r="I8" s="2"/>
      </tp>
      <tp t="s">
        <v>#N/A N/A</v>
        <stp/>
        <stp>BDH|2207400280575667624</stp>
        <tr r="Y66" s="2"/>
      </tp>
      <tp t="s">
        <v>#N/A N/A</v>
        <stp/>
        <stp>BDH|8093864985806261375</stp>
        <tr r="O69" s="2"/>
      </tp>
      <tp t="s">
        <v>#N/A N/A</v>
        <stp/>
        <stp>BDH|4826854229931578270</stp>
        <tr r="AA85" s="2"/>
      </tp>
      <tp t="s">
        <v>#N/A N/A</v>
        <stp/>
        <stp>BDH|3165956035872540627</stp>
        <tr r="P76" s="2"/>
      </tp>
      <tp t="s">
        <v>#N/A N/A</v>
        <stp/>
        <stp>BDH|3663476415578216310</stp>
        <tr r="H66" s="2"/>
      </tp>
      <tp t="s">
        <v>#N/A N/A</v>
        <stp/>
        <stp>BDH|7733345188519810844</stp>
        <tr r="G92" s="2"/>
      </tp>
      <tp t="s">
        <v>#N/A N/A</v>
        <stp/>
        <stp>BDH|6110341890058795951</stp>
        <tr r="AC60" s="2"/>
      </tp>
      <tp t="s">
        <v>#N/A N/A</v>
        <stp/>
        <stp>BDH|8694316513657149026</stp>
        <tr r="AE24" s="2"/>
      </tp>
      <tp t="s">
        <v>#N/A N/A</v>
        <stp/>
        <stp>BDH|4739939845352605603</stp>
        <tr r="M44" s="2"/>
      </tp>
      <tp t="s">
        <v>#N/A N/A</v>
        <stp/>
        <stp>BDH|7565711095331484526</stp>
        <tr r="U44" s="2"/>
      </tp>
      <tp t="s">
        <v>#N/A N/A</v>
        <stp/>
        <stp>BDH|4942492077593425970</stp>
        <tr r="R75" s="2"/>
      </tp>
      <tp t="s">
        <v>#N/A N/A</v>
        <stp/>
        <stp>BDH|8033407806897265609</stp>
        <tr r="Y60" s="2"/>
      </tp>
      <tp t="s">
        <v>#N/A N/A</v>
        <stp/>
        <stp>BDH|7067892001533846147</stp>
        <tr r="L25" s="2"/>
      </tp>
      <tp t="s">
        <v>#N/A N/A</v>
        <stp/>
        <stp>BDH|8809370419052762551</stp>
        <tr r="AD55" s="2"/>
      </tp>
      <tp t="s">
        <v>#N/A N/A</v>
        <stp/>
        <stp>BDH|2229850232116784267</stp>
        <tr r="E19" s="2"/>
      </tp>
      <tp t="s">
        <v>#N/A N/A</v>
        <stp/>
        <stp>BDH|2964942008065970399</stp>
        <tr r="O81" s="2"/>
      </tp>
      <tp t="s">
        <v>#N/A N/A</v>
        <stp/>
        <stp>BDH|3457511712293283904</stp>
        <tr r="AE90" s="2"/>
      </tp>
      <tp t="s">
        <v>#N/A N/A</v>
        <stp/>
        <stp>BDH|1412923245574175684</stp>
        <tr r="J26" s="2"/>
      </tp>
      <tp t="s">
        <v>#N/A N/A</v>
        <stp/>
        <stp>BDH|4088828077415834073</stp>
        <tr r="V77" s="2"/>
      </tp>
      <tp t="s">
        <v>#N/A N/A</v>
        <stp/>
        <stp>BDH|6641790758918889258</stp>
        <tr r="V64" s="2"/>
      </tp>
      <tp t="s">
        <v>#N/A N/A</v>
        <stp/>
        <stp>BDH|4660590195834831283</stp>
        <tr r="AE59" s="2"/>
      </tp>
      <tp t="s">
        <v>#N/A N/A</v>
        <stp/>
        <stp>BDH|1893357940260395852</stp>
        <tr r="R50" s="2"/>
      </tp>
      <tp t="s">
        <v>#N/A N/A</v>
        <stp/>
        <stp>BDH|7827605052408099217</stp>
        <tr r="J70" s="2"/>
      </tp>
      <tp t="s">
        <v>#N/A N/A</v>
        <stp/>
        <stp>BDH|4453683161933466919</stp>
        <tr r="F41" s="2"/>
      </tp>
      <tp t="s">
        <v>#N/A N/A</v>
        <stp/>
        <stp>BDH|3410402239772522805</stp>
        <tr r="Z66" s="2"/>
      </tp>
      <tp t="s">
        <v>#N/A N/A</v>
        <stp/>
        <stp>BDH|4072855860017533384</stp>
        <tr r="L55" s="2"/>
      </tp>
      <tp t="s">
        <v>#N/A N/A</v>
        <stp/>
        <stp>BDH|5604951458463016430</stp>
        <tr r="Y53" s="2"/>
      </tp>
      <tp t="s">
        <v>#N/A N/A</v>
        <stp/>
        <stp>BDH|6829797405517402888</stp>
        <tr r="AB62" s="2"/>
      </tp>
      <tp t="s">
        <v>#N/A N/A</v>
        <stp/>
        <stp>BDH|6805673224078745450</stp>
        <tr r="T48" s="2"/>
      </tp>
      <tp t="s">
        <v>#N/A N/A</v>
        <stp/>
        <stp>BDH|2824204998124193389</stp>
        <tr r="O45" s="2"/>
      </tp>
      <tp t="s">
        <v>#N/A N/A</v>
        <stp/>
        <stp>BDH|4499853265212832655</stp>
        <tr r="K56" s="2"/>
      </tp>
      <tp t="s">
        <v>#N/A N/A</v>
        <stp/>
        <stp>BDH|2845879506540166469</stp>
        <tr r="Y19" s="2"/>
      </tp>
      <tp t="s">
        <v>#N/A N/A</v>
        <stp/>
        <stp>BDH|9470697579923244584</stp>
        <tr r="W28" s="2"/>
      </tp>
      <tp t="s">
        <v>#N/A N/A</v>
        <stp/>
        <stp>BDH|7863004863187534815</stp>
        <tr r="Q23" s="2"/>
      </tp>
      <tp t="s">
        <v>#N/A N/A</v>
        <stp/>
        <stp>BDH|3380783535978765169</stp>
        <tr r="I65" s="2"/>
      </tp>
      <tp t="s">
        <v>#N/A N/A</v>
        <stp/>
        <stp>BDH|8760399821013427441</stp>
        <tr r="H18" s="2"/>
      </tp>
      <tp t="s">
        <v>#N/A N/A</v>
        <stp/>
        <stp>BDH|1033786221392105846</stp>
        <tr r="P60" s="2"/>
      </tp>
      <tp t="s">
        <v>#N/A N/A</v>
        <stp/>
        <stp>BDH|1646844558837105570</stp>
        <tr r="S65" s="2"/>
      </tp>
      <tp t="s">
        <v>#N/A N/A</v>
        <stp/>
        <stp>BDH|2137749365718963556</stp>
        <tr r="R61" s="2"/>
      </tp>
      <tp t="s">
        <v>#N/A N/A</v>
        <stp/>
        <stp>BDH|3910824544538012922</stp>
        <tr r="E10" s="2"/>
      </tp>
      <tp t="s">
        <v>#N/A N/A</v>
        <stp/>
        <stp>BDH|2116512168179025654</stp>
        <tr r="W24" s="2"/>
      </tp>
      <tp t="s">
        <v>#N/A N/A</v>
        <stp/>
        <stp>BDH|7641600316487821955</stp>
        <tr r="T20" s="2"/>
      </tp>
      <tp t="s">
        <v>#N/A N/A</v>
        <stp/>
        <stp>BDH|4959375592868841895</stp>
        <tr r="AE16" s="2"/>
      </tp>
      <tp t="s">
        <v>#N/A N/A</v>
        <stp/>
        <stp>BDH|3713104193933916601</stp>
        <tr r="F92" s="2"/>
      </tp>
      <tp t="s">
        <v>#N/A N/A</v>
        <stp/>
        <stp>BDH|1485368941519777162</stp>
        <tr r="H19" s="2"/>
      </tp>
      <tp t="s">
        <v>#N/A N/A</v>
        <stp/>
        <stp>BDH|7924001587322550392</stp>
        <tr r="Q19" s="2"/>
      </tp>
      <tp t="s">
        <v>#N/A N/A</v>
        <stp/>
        <stp>BDH|5298302379538132784</stp>
        <tr r="P46" s="2"/>
      </tp>
      <tp t="s">
        <v>#N/A N/A</v>
        <stp/>
        <stp>BDH|7731895758342393674</stp>
        <tr r="AC41" s="2"/>
      </tp>
      <tp t="s">
        <v>#N/A N/A</v>
        <stp/>
        <stp>BDH|4009933783989721255</stp>
        <tr r="X28" s="2"/>
      </tp>
      <tp t="s">
        <v>#N/A N/A</v>
        <stp/>
        <stp>BDH|5157767774279395226</stp>
        <tr r="X16" s="2"/>
      </tp>
      <tp t="s">
        <v>#N/A N/A</v>
        <stp/>
        <stp>BDH|4402916137306078612</stp>
        <tr r="AD34" s="2"/>
      </tp>
      <tp t="s">
        <v>#N/A N/A</v>
        <stp/>
        <stp>BDH|8438216811626519322</stp>
        <tr r="AE38" s="2"/>
      </tp>
      <tp t="s">
        <v>#N/A N/A</v>
        <stp/>
        <stp>BDH|2101884029170137623</stp>
        <tr r="G30" s="2"/>
      </tp>
      <tp t="s">
        <v>#N/A N/A</v>
        <stp/>
        <stp>BDH|9215145767934395410</stp>
        <tr r="AC23" s="2"/>
      </tp>
      <tp t="s">
        <v>#N/A N/A</v>
        <stp/>
        <stp>BDH|9374259317565050111</stp>
        <tr r="E61" s="2"/>
      </tp>
      <tp t="s">
        <v>#N/A N/A</v>
        <stp/>
        <stp>BDH|8097688017347742697</stp>
        <tr r="E84" s="2"/>
      </tp>
      <tp t="s">
        <v>#N/A N/A</v>
        <stp/>
        <stp>BDH|9047103600945589347</stp>
        <tr r="Q18" s="2"/>
      </tp>
      <tp t="s">
        <v>#N/A N/A</v>
        <stp/>
        <stp>BDH|2095715497891441337</stp>
        <tr r="AD21" s="2"/>
      </tp>
      <tp t="s">
        <v>#N/A N/A</v>
        <stp/>
        <stp>BDH|2881872803216958245</stp>
        <tr r="F64" s="2"/>
      </tp>
      <tp t="s">
        <v>#N/A N/A</v>
        <stp/>
        <stp>BDH|7409823206875002410</stp>
        <tr r="R67" s="2"/>
      </tp>
      <tp t="s">
        <v>#N/A N/A</v>
        <stp/>
        <stp>BDH|8590074661518313814</stp>
        <tr r="J24" s="2"/>
      </tp>
      <tp t="s">
        <v>#N/A N/A</v>
        <stp/>
        <stp>BDH|1104649482527293637</stp>
        <tr r="Q88" s="2"/>
      </tp>
      <tp t="s">
        <v>#N/A N/A</v>
        <stp/>
        <stp>BDH|2189270013937552862</stp>
        <tr r="D23" s="2"/>
      </tp>
      <tp t="s">
        <v>#N/A N/A</v>
        <stp/>
        <stp>BDH|8072759706175509400</stp>
        <tr r="T9" s="2"/>
      </tp>
      <tp t="s">
        <v>#N/A N/A</v>
        <stp/>
        <stp>BDH|9451448212127281571</stp>
        <tr r="H58" s="2"/>
      </tp>
      <tp t="s">
        <v>#N/A N/A</v>
        <stp/>
        <stp>BDH|8014646210509464871</stp>
        <tr r="AA70" s="2"/>
      </tp>
      <tp t="s">
        <v>#N/A N/A</v>
        <stp/>
        <stp>BDH|1407725786246650616</stp>
        <tr r="K85" s="2"/>
      </tp>
      <tp t="s">
        <v>#N/A N/A</v>
        <stp/>
        <stp>BDH|9157136072297108667</stp>
        <tr r="C42" s="2"/>
      </tp>
      <tp t="s">
        <v>#N/A N/A</v>
        <stp/>
        <stp>BDH|9216027651127384559</stp>
        <tr r="O12" s="2"/>
      </tp>
      <tp t="s">
        <v>#N/A N/A</v>
        <stp/>
        <stp>BDH|7240765874980638914</stp>
        <tr r="E69" s="2"/>
      </tp>
      <tp t="s">
        <v>#N/A N/A</v>
        <stp/>
        <stp>BDH|7468954854623275633</stp>
        <tr r="O66" s="2"/>
      </tp>
      <tp t="s">
        <v>#N/A N/A</v>
        <stp/>
        <stp>BDH|8501241200454042052</stp>
        <tr r="V32" s="2"/>
      </tp>
      <tp t="s">
        <v>#N/A N/A</v>
        <stp/>
        <stp>BDH|5681472954663186907</stp>
        <tr r="I30" s="2"/>
      </tp>
      <tp t="s">
        <v>#N/A N/A</v>
        <stp/>
        <stp>BDH|5580945238866972746</stp>
        <tr r="F58" s="2"/>
      </tp>
      <tp t="s">
        <v>#N/A N/A</v>
        <stp/>
        <stp>BDH|5343616032198705638</stp>
        <tr r="H35" s="2"/>
      </tp>
      <tp t="s">
        <v>#N/A N/A</v>
        <stp/>
        <stp>BDH|7614518366043077953</stp>
        <tr r="O85" s="2"/>
      </tp>
      <tp t="s">
        <v>#N/A N/A</v>
        <stp/>
        <stp>BDH|4577046675809614465</stp>
        <tr r="Y72" s="2"/>
      </tp>
      <tp t="s">
        <v>#N/A N/A</v>
        <stp/>
        <stp>BDH|9746056971462310249</stp>
        <tr r="Y62" s="2"/>
      </tp>
      <tp t="s">
        <v>#N/A N/A</v>
        <stp/>
        <stp>BDH|5049254399411874111</stp>
        <tr r="I91" s="2"/>
      </tp>
      <tp t="s">
        <v>#N/A N/A</v>
        <stp/>
        <stp>BDH|5811374450755271880</stp>
        <tr r="L81" s="2"/>
      </tp>
      <tp t="s">
        <v>#N/A N/A</v>
        <stp/>
        <stp>BDH|3233428663487355853</stp>
        <tr r="V94" s="2"/>
      </tp>
      <tp t="s">
        <v>#N/A N/A</v>
        <stp/>
        <stp>BDH|8273950267889677037</stp>
        <tr r="I87" s="2"/>
      </tp>
      <tp t="s">
        <v>#N/A N/A</v>
        <stp/>
        <stp>BDH|87127218884838746</stp>
        <tr r="J18" s="2"/>
      </tp>
      <tp t="s">
        <v>#N/A N/A</v>
        <stp/>
        <stp>BDH|88648268011878207</stp>
        <tr r="C87" s="2"/>
      </tp>
      <tp t="s">
        <v>#N/A N/A</v>
        <stp/>
        <stp>BDH|57351126161396355</stp>
        <tr r="L11" s="2"/>
      </tp>
      <tp t="s">
        <v>#N/A N/A</v>
        <stp/>
        <stp>BDH|13377600262643244</stp>
        <tr r="W57" s="2"/>
      </tp>
      <tp t="s">
        <v>#N/A N/A</v>
        <stp/>
        <stp>BDH|1454755277007510991</stp>
        <tr r="C92" s="2"/>
      </tp>
      <tp t="s">
        <v>#N/A N/A</v>
        <stp/>
        <stp>BDH|8251453608552207176</stp>
        <tr r="S52" s="2"/>
      </tp>
      <tp t="s">
        <v>#N/A N/A</v>
        <stp/>
        <stp>BDH|3968633110162608963</stp>
        <tr r="AA59" s="2"/>
      </tp>
      <tp t="s">
        <v>#N/A N/A</v>
        <stp/>
        <stp>BDH|3052942432517908141</stp>
        <tr r="I50" s="2"/>
      </tp>
      <tp t="s">
        <v>#N/A N/A</v>
        <stp/>
        <stp>BDH|8644087519213429581</stp>
        <tr r="D85" s="2"/>
      </tp>
      <tp t="s">
        <v>#N/A N/A</v>
        <stp/>
        <stp>BDH|5855340109468740193</stp>
        <tr r="AE43" s="2"/>
      </tp>
      <tp t="s">
        <v>#N/A N/A</v>
        <stp/>
        <stp>BDH|2957229407598340744</stp>
        <tr r="AB88" s="2"/>
      </tp>
      <tp t="s">
        <v>#N/A N/A</v>
        <stp/>
        <stp>BDH|5008014397207428499</stp>
        <tr r="J28" s="2"/>
      </tp>
      <tp t="s">
        <v>#N/A N/A</v>
        <stp/>
        <stp>BDH|4238719578188300307</stp>
        <tr r="D92" s="2"/>
      </tp>
      <tp t="s">
        <v>#N/A N/A</v>
        <stp/>
        <stp>BDH|3582553192700830020</stp>
        <tr r="K9" s="2"/>
      </tp>
      <tp t="s">
        <v>#N/A N/A</v>
        <stp/>
        <stp>BDH|8908161830167744214</stp>
        <tr r="G15" s="2"/>
      </tp>
      <tp t="s">
        <v>#N/A N/A</v>
        <stp/>
        <stp>BDH|3846441804029503146</stp>
        <tr r="P39" s="2"/>
      </tp>
      <tp t="s">
        <v>#N/A N/A</v>
        <stp/>
        <stp>BDH|2914362174400737953</stp>
        <tr r="AB33" s="2"/>
      </tp>
      <tp t="s">
        <v>#N/A N/A</v>
        <stp/>
        <stp>BDH|5066952579383493719</stp>
        <tr r="H49" s="2"/>
      </tp>
      <tp t="s">
        <v>#N/A N/A</v>
        <stp/>
        <stp>BDH|9069658208185530515</stp>
        <tr r="AF86" s="2"/>
      </tp>
      <tp t="s">
        <v>#N/A N/A</v>
        <stp/>
        <stp>BDH|6602379689600909284</stp>
        <tr r="W86" s="2"/>
      </tp>
      <tp t="s">
        <v>#N/A N/A</v>
        <stp/>
        <stp>BDH|9803134101974138323</stp>
        <tr r="AA54" s="2"/>
      </tp>
      <tp t="s">
        <v>#N/A N/A</v>
        <stp/>
        <stp>BDH|4556913768444573009</stp>
        <tr r="AA67" s="2"/>
      </tp>
      <tp t="s">
        <v>#N/A N/A</v>
        <stp/>
        <stp>BDH|9990819183103615531</stp>
        <tr r="Q15" s="2"/>
      </tp>
      <tp t="s">
        <v>#N/A N/A</v>
        <stp/>
        <stp>BDH|1766842896617823831</stp>
        <tr r="AB59" s="2"/>
      </tp>
      <tp t="s">
        <v>#N/A N/A</v>
        <stp/>
        <stp>BDH|8162160434547879256</stp>
        <tr r="AB12" s="2"/>
      </tp>
      <tp t="s">
        <v>#N/A N/A</v>
        <stp/>
        <stp>BDH|8203963819019775640</stp>
        <tr r="L92" s="2"/>
      </tp>
      <tp t="s">
        <v>#N/A N/A</v>
        <stp/>
        <stp>BDH|1895457533509786075</stp>
        <tr r="D54" s="2"/>
      </tp>
      <tp t="s">
        <v>#N/A N/A</v>
        <stp/>
        <stp>BDH|1251410519372532904</stp>
        <tr r="N42" s="2"/>
      </tp>
      <tp t="s">
        <v>#N/A N/A</v>
        <stp/>
        <stp>BDH|7140644174380878965</stp>
        <tr r="H92" s="2"/>
      </tp>
      <tp t="s">
        <v>#N/A N/A</v>
        <stp/>
        <stp>BDH|6269171009479671155</stp>
        <tr r="X44" s="2"/>
      </tp>
      <tp t="s">
        <v>#N/A N/A</v>
        <stp/>
        <stp>BDH|6127170798643446259</stp>
        <tr r="AE18" s="2"/>
      </tp>
      <tp t="s">
        <v>#N/A N/A</v>
        <stp/>
        <stp>BDH|7789144976727880913</stp>
        <tr r="I64" s="2"/>
      </tp>
      <tp t="s">
        <v>#N/A N/A</v>
        <stp/>
        <stp>BDH|7610530878078940296</stp>
        <tr r="D74" s="2"/>
      </tp>
      <tp t="s">
        <v>#N/A N/A</v>
        <stp/>
        <stp>BDH|8135685882080445926</stp>
        <tr r="AB39" s="2"/>
      </tp>
      <tp t="s">
        <v>#N/A N/A</v>
        <stp/>
        <stp>BDH|9874935251819664318</stp>
        <tr r="J66" s="2"/>
      </tp>
      <tp t="s">
        <v>#N/A N/A</v>
        <stp/>
        <stp>BDH|1981740607631208851</stp>
        <tr r="Y8" s="2"/>
      </tp>
      <tp t="s">
        <v>#N/A N/A</v>
        <stp/>
        <stp>BDH|3744331827389680478</stp>
        <tr r="AA55" s="2"/>
      </tp>
      <tp t="s">
        <v>#N/A N/A</v>
        <stp/>
        <stp>BDH|9440102085577157829</stp>
        <tr r="T52" s="2"/>
      </tp>
      <tp t="s">
        <v>#N/A N/A</v>
        <stp/>
        <stp>BDH|8461679277765488331</stp>
        <tr r="Z74" s="2"/>
      </tp>
      <tp t="s">
        <v>#N/A N/A</v>
        <stp/>
        <stp>BDH|3131368341862126942</stp>
        <tr r="R81" s="2"/>
      </tp>
      <tp t="s">
        <v>#N/A N/A</v>
        <stp/>
        <stp>BDH|9210310487175461834</stp>
        <tr r="D89" s="2"/>
      </tp>
      <tp t="s">
        <v>#N/A N/A</v>
        <stp/>
        <stp>BDH|8331167600104721212</stp>
        <tr r="C83" s="2"/>
      </tp>
      <tp t="s">
        <v>#N/A N/A</v>
        <stp/>
        <stp>BDH|6400675532709226508</stp>
        <tr r="M18" s="2"/>
      </tp>
      <tp t="s">
        <v>#N/A N/A</v>
        <stp/>
        <stp>BDH|8457501810132298157</stp>
        <tr r="AD58" s="2"/>
      </tp>
      <tp t="s">
        <v>#N/A N/A</v>
        <stp/>
        <stp>BDH|4796804311927066558</stp>
        <tr r="P47" s="2"/>
      </tp>
      <tp t="s">
        <v>#N/A N/A</v>
        <stp/>
        <stp>BDH|3546998836516995030</stp>
        <tr r="AE30" s="2"/>
      </tp>
      <tp t="s">
        <v>#N/A N/A</v>
        <stp/>
        <stp>BDH|8415282353350712083</stp>
        <tr r="G8" s="2"/>
      </tp>
      <tp t="s">
        <v>#N/A N/A</v>
        <stp/>
        <stp>BDH|1609606284528382819</stp>
        <tr r="W18" s="2"/>
      </tp>
      <tp t="s">
        <v>#N/A N/A</v>
        <stp/>
        <stp>BDH|7281924116427271747</stp>
        <tr r="K57" s="2"/>
      </tp>
      <tp t="s">
        <v>#N/A N/A</v>
        <stp/>
        <stp>BDH|6006448783582477730</stp>
        <tr r="R40" s="2"/>
      </tp>
      <tp t="s">
        <v>#N/A N/A</v>
        <stp/>
        <stp>BDH|5125732394535001168</stp>
        <tr r="P23" s="2"/>
      </tp>
      <tp t="s">
        <v>#N/A N/A</v>
        <stp/>
        <stp>BDH|7495541081250368523</stp>
        <tr r="N28" s="2"/>
      </tp>
      <tp t="s">
        <v>#N/A N/A</v>
        <stp/>
        <stp>BDH|6962005544805971859</stp>
        <tr r="AC61" s="2"/>
      </tp>
      <tp t="s">
        <v>#N/A N/A</v>
        <stp/>
        <stp>BDH|6428337572039775437</stp>
        <tr r="F35" s="2"/>
      </tp>
      <tp t="s">
        <v>#N/A N/A</v>
        <stp/>
        <stp>BDH|8749360017802285750</stp>
        <tr r="Q16" s="2"/>
      </tp>
      <tp t="s">
        <v>#N/A N/A</v>
        <stp/>
        <stp>BDH|6997053727848923339</stp>
        <tr r="R8" s="2"/>
      </tp>
      <tp t="s">
        <v>#N/A N/A</v>
        <stp/>
        <stp>BDH|9046971146568014309</stp>
        <tr r="P7" s="2"/>
      </tp>
      <tp t="s">
        <v>#N/A N/A</v>
        <stp/>
        <stp>BDH|4172110292433345074</stp>
        <tr r="I83" s="2"/>
      </tp>
      <tp t="s">
        <v>#N/A N/A</v>
        <stp/>
        <stp>BDH|3619420992748803985</stp>
        <tr r="H13" s="2"/>
      </tp>
      <tp t="s">
        <v>#N/A N/A</v>
        <stp/>
        <stp>BDH|3389139514305426963</stp>
        <tr r="AB22" s="2"/>
      </tp>
      <tp t="s">
        <v>#N/A N/A</v>
        <stp/>
        <stp>BDH|5624645826247514976</stp>
        <tr r="D18" s="2"/>
      </tp>
      <tp t="s">
        <v>#N/A N/A</v>
        <stp/>
        <stp>BDH|4817468996830615682</stp>
        <tr r="V87" s="2"/>
      </tp>
      <tp t="s">
        <v>#N/A N/A</v>
        <stp/>
        <stp>BDH|8134793909204375440</stp>
        <tr r="AB49" s="2"/>
      </tp>
      <tp t="s">
        <v>#N/A N/A</v>
        <stp/>
        <stp>BDH|3090978538837114181</stp>
        <tr r="Z67" s="2"/>
      </tp>
      <tp t="s">
        <v>#N/A N/A</v>
        <stp/>
        <stp>BDH|8151047522943844694</stp>
        <tr r="N65" s="2"/>
      </tp>
      <tp t="s">
        <v>#N/A N/A</v>
        <stp/>
        <stp>BDH|9221275029006836029</stp>
        <tr r="Z8" s="2"/>
      </tp>
      <tp t="s">
        <v>#N/A N/A</v>
        <stp/>
        <stp>BDH|5190066797142137173</stp>
        <tr r="AA45" s="2"/>
      </tp>
      <tp t="s">
        <v>#N/A N/A</v>
        <stp/>
        <stp>BDH|7699207383031486367</stp>
        <tr r="AD47" s="2"/>
      </tp>
      <tp t="s">
        <v>#N/A N/A</v>
        <stp/>
        <stp>BDH|6046554963238070215</stp>
        <tr r="D45" s="2"/>
      </tp>
      <tp t="s">
        <v>#N/A N/A</v>
        <stp/>
        <stp>BDH|2066063367493476824</stp>
        <tr r="E26" s="2"/>
      </tp>
      <tp t="s">
        <v>#N/A N/A</v>
        <stp/>
        <stp>BDH|9625552632028555830</stp>
        <tr r="X86" s="2"/>
      </tp>
      <tp t="s">
        <v>#N/A N/A</v>
        <stp/>
        <stp>BDH|8531144864922198232</stp>
        <tr r="L10" s="2"/>
      </tp>
      <tp t="s">
        <v>#N/A N/A</v>
        <stp/>
        <stp>BDH|8308823228468949577</stp>
        <tr r="Y82" s="2"/>
      </tp>
      <tp t="s">
        <v>#N/A N/A</v>
        <stp/>
        <stp>BDH|2844985147459050907</stp>
        <tr r="T43" s="2"/>
      </tp>
      <tp t="s">
        <v>#N/A N/A</v>
        <stp/>
        <stp>BDH|7425197222903188893</stp>
        <tr r="I57" s="2"/>
      </tp>
      <tp t="s">
        <v>#N/A N/A</v>
        <stp/>
        <stp>BDH|1420827647271242345</stp>
        <tr r="V11" s="2"/>
      </tp>
      <tp t="s">
        <v>#N/A N/A</v>
        <stp/>
        <stp>BDH|2196330232238765505</stp>
        <tr r="AF47" s="2"/>
      </tp>
      <tp t="s">
        <v>#N/A N/A</v>
        <stp/>
        <stp>BDH|8092742488229826130</stp>
        <tr r="P43" s="2"/>
      </tp>
      <tp t="s">
        <v>#N/A N/A</v>
        <stp/>
        <stp>BDH|3070539083529235869</stp>
        <tr r="U42" s="2"/>
      </tp>
      <tp t="s">
        <v>#N/A N/A</v>
        <stp/>
        <stp>BDH|1446394870149909300</stp>
        <tr r="AD49" s="2"/>
      </tp>
      <tp t="s">
        <v>#N/A N/A</v>
        <stp/>
        <stp>BDH|5849521678761707910</stp>
        <tr r="D35" s="2"/>
      </tp>
      <tp t="s">
        <v>#N/A N/A</v>
        <stp/>
        <stp>BDH|6868711637489278482</stp>
        <tr r="S86" s="2"/>
      </tp>
      <tp t="s">
        <v>#N/A N/A</v>
        <stp/>
        <stp>BDH|5929788921489722625</stp>
        <tr r="D43" s="2"/>
      </tp>
      <tp t="s">
        <v>#N/A N/A</v>
        <stp/>
        <stp>BDH|7591680703457911924</stp>
        <tr r="P8" s="2"/>
      </tp>
      <tp t="s">
        <v>#N/A N/A</v>
        <stp/>
        <stp>BDH|7455624637335288867</stp>
        <tr r="K12" s="2"/>
      </tp>
      <tp t="s">
        <v>#N/A N/A</v>
        <stp/>
        <stp>BDH|2733907248380829029</stp>
        <tr r="O41" s="2"/>
      </tp>
      <tp t="s">
        <v>#N/A N/A</v>
        <stp/>
        <stp>BDH|11321961400235748</stp>
        <tr r="F61" s="2"/>
      </tp>
      <tp t="s">
        <v>#N/A N/A</v>
        <stp/>
        <stp>BDH|8452246805383743185</stp>
        <tr r="V93" s="2"/>
      </tp>
      <tp t="s">
        <v>#N/A N/A</v>
        <stp/>
        <stp>BDH|3782356279486799963</stp>
        <tr r="T62" s="2"/>
      </tp>
      <tp t="s">
        <v>#N/A N/A</v>
        <stp/>
        <stp>BDH|5618415388568112945</stp>
        <tr r="F7" s="2"/>
      </tp>
      <tp t="s">
        <v>#N/A N/A</v>
        <stp/>
        <stp>BDH|3228933502364887613</stp>
        <tr r="R16" s="2"/>
      </tp>
      <tp t="s">
        <v>#N/A N/A</v>
        <stp/>
        <stp>BDH|9262531826884451294</stp>
        <tr r="X48" s="2"/>
      </tp>
      <tp t="s">
        <v>#N/A N/A</v>
        <stp/>
        <stp>BDH|2851714584152073764</stp>
        <tr r="C8" s="2"/>
      </tp>
      <tp t="s">
        <v>#N/A N/A</v>
        <stp/>
        <stp>BDH|3707559227569792593</stp>
        <tr r="AE85" s="2"/>
      </tp>
      <tp t="s">
        <v>#N/A N/A</v>
        <stp/>
        <stp>BDH|1691132094767295689</stp>
        <tr r="E21" s="2"/>
      </tp>
      <tp t="s">
        <v>#N/A N/A</v>
        <stp/>
        <stp>BDH|2255795307655021878</stp>
        <tr r="P71" s="2"/>
      </tp>
      <tp t="s">
        <v>#N/A N/A</v>
        <stp/>
        <stp>BDH|3831265992675255559</stp>
        <tr r="O54" s="2"/>
      </tp>
      <tp t="s">
        <v>#N/A N/A</v>
        <stp/>
        <stp>BDH|1018122263427003997</stp>
        <tr r="AD68" s="2"/>
      </tp>
      <tp t="s">
        <v>#N/A N/A</v>
        <stp/>
        <stp>BDH|1073451397252829622</stp>
        <tr r="J86" s="2"/>
      </tp>
      <tp t="s">
        <v>#N/A N/A</v>
        <stp/>
        <stp>BDH|5505197787536263213</stp>
        <tr r="I29" s="2"/>
      </tp>
      <tp t="s">
        <v>#N/A N/A</v>
        <stp/>
        <stp>BDH|4692566089813297237</stp>
        <tr r="G64" s="2"/>
      </tp>
      <tp t="s">
        <v>#N/A N/A</v>
        <stp/>
        <stp>BDH|3973946527026458675</stp>
        <tr r="G72" s="2"/>
      </tp>
      <tp t="s">
        <v>#N/A N/A</v>
        <stp/>
        <stp>BDH|8283618346796406485</stp>
        <tr r="G11" s="2"/>
      </tp>
      <tp t="s">
        <v>#N/A N/A</v>
        <stp/>
        <stp>BDH|1250616378949173139</stp>
        <tr r="T66" s="2"/>
      </tp>
      <tp t="s">
        <v>#N/A N/A</v>
        <stp/>
        <stp>BDH|1335818579481464760</stp>
        <tr r="F9" s="2"/>
      </tp>
      <tp t="s">
        <v>#N/A N/A</v>
        <stp/>
        <stp>BDH|7395134745578549295</stp>
        <tr r="AC91" s="2"/>
      </tp>
      <tp t="s">
        <v>#N/A N/A</v>
        <stp/>
        <stp>BDH|9100123746717919359</stp>
        <tr r="H56" s="2"/>
      </tp>
      <tp t="s">
        <v>#N/A N/A</v>
        <stp/>
        <stp>BDH|6877745865758310738</stp>
        <tr r="J87" s="2"/>
      </tp>
      <tp t="s">
        <v>#N/A N/A</v>
        <stp/>
        <stp>BDH|3462301668537788958</stp>
        <tr r="X68" s="2"/>
      </tp>
      <tp t="s">
        <v>#N/A N/A</v>
        <stp/>
        <stp>BDH|1477555482126910245</stp>
        <tr r="U74" s="2"/>
      </tp>
      <tp t="s">
        <v>#N/A N/A</v>
        <stp/>
        <stp>BDH|3768331088945607549</stp>
        <tr r="W55" s="2"/>
      </tp>
      <tp t="s">
        <v>#N/A N/A</v>
        <stp/>
        <stp>BDH|1525696046962738929</stp>
        <tr r="C29" s="2"/>
      </tp>
      <tp t="s">
        <v>#N/A N/A</v>
        <stp/>
        <stp>BDH|4885240732775821890</stp>
        <tr r="K66" s="2"/>
      </tp>
      <tp t="s">
        <v>#N/A N/A</v>
        <stp/>
        <stp>BDH|4545896447261371178</stp>
        <tr r="H48" s="2"/>
      </tp>
      <tp t="s">
        <v>#N/A N/A</v>
        <stp/>
        <stp>BDH|1609806869063077422</stp>
        <tr r="N54" s="2"/>
      </tp>
      <tp t="s">
        <v>#N/A N/A</v>
        <stp/>
        <stp>BDH|7072823224441252497</stp>
        <tr r="Z54" s="2"/>
      </tp>
      <tp t="s">
        <v>#N/A N/A</v>
        <stp/>
        <stp>BDH|4716824379383266032</stp>
        <tr r="F32" s="2"/>
      </tp>
      <tp t="s">
        <v>#N/A N/A</v>
        <stp/>
        <stp>BDH|3933164333528130105</stp>
        <tr r="AF69" s="2"/>
      </tp>
      <tp t="s">
        <v>#N/A N/A</v>
        <stp/>
        <stp>BDH|7894357571729461258</stp>
        <tr r="W19" s="2"/>
      </tp>
      <tp t="s">
        <v>#N/A N/A</v>
        <stp/>
        <stp>BDH|7339895659985705799</stp>
        <tr r="S38" s="2"/>
      </tp>
      <tp t="s">
        <v>#N/A N/A</v>
        <stp/>
        <stp>BDH|5938174330318099737</stp>
        <tr r="AA86" s="2"/>
      </tp>
      <tp t="s">
        <v>#N/A N/A</v>
        <stp/>
        <stp>BDH|3601716582770993417</stp>
        <tr r="H74" s="2"/>
      </tp>
      <tp t="s">
        <v>#N/A N/A</v>
        <stp/>
        <stp>BDH|7591453592293886181</stp>
        <tr r="E85" s="2"/>
      </tp>
      <tp t="s">
        <v>#N/A N/A</v>
        <stp/>
        <stp>BDH|5818218148309427269</stp>
        <tr r="Z19" s="2"/>
      </tp>
      <tp t="s">
        <v>#N/A N/A</v>
        <stp/>
        <stp>BDH|3136398077617896844</stp>
        <tr r="F15" s="2"/>
      </tp>
      <tp t="s">
        <v>#N/A N/A</v>
        <stp/>
        <stp>BDH|4750040488871081585</stp>
        <tr r="X17" s="2"/>
      </tp>
      <tp t="s">
        <v>#N/A N/A</v>
        <stp/>
        <stp>BDH|7356811162870280111</stp>
        <tr r="AF16" s="2"/>
      </tp>
      <tp t="s">
        <v>#N/A N/A</v>
        <stp/>
        <stp>BDH|4268284199004967390</stp>
        <tr r="C30" s="2"/>
      </tp>
      <tp t="s">
        <v>#N/A N/A</v>
        <stp/>
        <stp>BDH|5999280029098966526</stp>
        <tr r="H75" s="2"/>
      </tp>
      <tp t="s">
        <v>#N/A N/A</v>
        <stp/>
        <stp>BDH|7276830162204891585</stp>
        <tr r="M83" s="2"/>
      </tp>
      <tp t="s">
        <v>#N/A N/A</v>
        <stp/>
        <stp>BDH|6426106251149682305</stp>
        <tr r="U17" s="2"/>
      </tp>
      <tp t="s">
        <v>#N/A N/A</v>
        <stp/>
        <stp>BDH|6523484169044203858</stp>
        <tr r="S35" s="2"/>
      </tp>
      <tp t="s">
        <v>#N/A N/A</v>
        <stp/>
        <stp>BDH|8176162878195632394</stp>
        <tr r="T86" s="2"/>
      </tp>
      <tp t="s">
        <v>#N/A N/A</v>
        <stp/>
        <stp>BDH|7505012591757617138</stp>
        <tr r="Z72" s="2"/>
      </tp>
      <tp t="s">
        <v>#N/A N/A</v>
        <stp/>
        <stp>BDH|9830194811663373239</stp>
        <tr r="Y67" s="2"/>
      </tp>
      <tp t="s">
        <v>#N/A N/A</v>
        <stp/>
        <stp>BDH|9048384606655901779</stp>
        <tr r="L24" s="2"/>
      </tp>
      <tp t="s">
        <v>#N/A N/A</v>
        <stp/>
        <stp>BDH|9107129247497137346</stp>
        <tr r="K14" s="2"/>
      </tp>
      <tp t="s">
        <v>#N/A N/A</v>
        <stp/>
        <stp>BDH|2038630294823709611</stp>
        <tr r="Y29" s="2"/>
      </tp>
      <tp t="s">
        <v>#N/A N/A</v>
        <stp/>
        <stp>BDH|8161463150832663306</stp>
        <tr r="H67" s="2"/>
      </tp>
      <tp t="s">
        <v>#N/A N/A</v>
        <stp/>
        <stp>BDH|5252362055242904998</stp>
        <tr r="Q75" s="2"/>
      </tp>
      <tp t="s">
        <v>#N/A N/A</v>
        <stp/>
        <stp>BDH|5283529204869276170</stp>
        <tr r="G89" s="2"/>
      </tp>
      <tp t="s">
        <v>#N/A N/A</v>
        <stp/>
        <stp>BDH|2166026585832100018</stp>
        <tr r="F59" s="2"/>
      </tp>
      <tp t="s">
        <v>#N/A N/A</v>
        <stp/>
        <stp>BDH|3638810332595232512</stp>
        <tr r="M87" s="2"/>
      </tp>
      <tp t="s">
        <v>#N/A N/A</v>
        <stp/>
        <stp>BDH|3397150305709534306</stp>
        <tr r="J33" s="2"/>
      </tp>
      <tp t="s">
        <v>#N/A N/A</v>
        <stp/>
        <stp>BDH|4153515286026122703</stp>
        <tr r="H59" s="2"/>
      </tp>
      <tp t="s">
        <v>#N/A N/A</v>
        <stp/>
        <stp>BDH|4051536834292873885</stp>
        <tr r="AF9" s="2"/>
      </tp>
      <tp t="s">
        <v>#N/A N/A</v>
        <stp/>
        <stp>BDH|3615809505945727638</stp>
        <tr r="L41" s="2"/>
      </tp>
      <tp t="s">
        <v>#N/A N/A</v>
        <stp/>
        <stp>BDH|9702692624900912540</stp>
        <tr r="J10" s="2"/>
      </tp>
      <tp t="s">
        <v>#N/A N/A</v>
        <stp/>
        <stp>BDH|9302939468016964862</stp>
        <tr r="AE56" s="2"/>
      </tp>
      <tp t="s">
        <v>#N/A N/A</v>
        <stp/>
        <stp>BDH|9173646021087666264</stp>
        <tr r="AB7" s="2"/>
      </tp>
      <tp t="s">
        <v>#N/A N/A</v>
        <stp/>
        <stp>BDH|3346850432470031007</stp>
        <tr r="AA21" s="2"/>
      </tp>
      <tp t="s">
        <v>#N/A N/A</v>
        <stp/>
        <stp>BDH|8566088191351896817</stp>
        <tr r="AA35" s="2"/>
      </tp>
      <tp t="s">
        <v>#N/A N/A</v>
        <stp/>
        <stp>BDH|3077403844398771362</stp>
        <tr r="S20" s="2"/>
      </tp>
      <tp t="s">
        <v>#N/A N/A</v>
        <stp/>
        <stp>BDH|7600856376404887483</stp>
        <tr r="X9" s="2"/>
      </tp>
      <tp t="s">
        <v>#N/A N/A</v>
        <stp/>
        <stp>BDH|8926902260868411785</stp>
        <tr r="C39" s="2"/>
      </tp>
      <tp t="s">
        <v>#N/A N/A</v>
        <stp/>
        <stp>BDH|97884170739205367</stp>
        <tr r="AA72" s="2"/>
      </tp>
      <tp t="s">
        <v>#N/A N/A</v>
        <stp/>
        <stp>BDH|5014429390225139499</stp>
        <tr r="AE29" s="2"/>
      </tp>
      <tp t="s">
        <v>#N/A N/A</v>
        <stp/>
        <stp>BDH|9998088069866438069</stp>
        <tr r="N26" s="2"/>
      </tp>
      <tp t="s">
        <v>#N/A N/A</v>
        <stp/>
        <stp>BDH|8870720490427309836</stp>
        <tr r="C50" s="2"/>
      </tp>
      <tp t="s">
        <v>#N/A N/A</v>
        <stp/>
        <stp>BDH|6503826318650734624</stp>
        <tr r="N16" s="2"/>
      </tp>
      <tp t="s">
        <v>#N/A N/A</v>
        <stp/>
        <stp>BDH|4370011693514297096</stp>
        <tr r="AB92" s="2"/>
      </tp>
      <tp t="s">
        <v>#N/A N/A</v>
        <stp/>
        <stp>BDH|6381697244609105449</stp>
        <tr r="AA69" s="2"/>
      </tp>
      <tp t="s">
        <v>#N/A N/A</v>
        <stp/>
        <stp>BDH|2556348908060581875</stp>
        <tr r="P70" s="2"/>
      </tp>
      <tp t="s">
        <v>#N/A N/A</v>
        <stp/>
        <stp>BDH|9386202151221827612</stp>
        <tr r="E66" s="2"/>
      </tp>
      <tp t="s">
        <v>#N/A N/A</v>
        <stp/>
        <stp>BDH|6230914938277011233</stp>
        <tr r="O63" s="2"/>
      </tp>
      <tp t="s">
        <v>#N/A N/A</v>
        <stp/>
        <stp>BDH|4966261009709866670</stp>
        <tr r="V59" s="2"/>
      </tp>
      <tp t="s">
        <v>#N/A N/A</v>
        <stp/>
        <stp>BDH|2687598490720450724</stp>
        <tr r="AB48" s="2"/>
      </tp>
      <tp t="s">
        <v>#N/A N/A</v>
        <stp/>
        <stp>BDH|3366939056710638691</stp>
        <tr r="AD86" s="2"/>
      </tp>
      <tp t="s">
        <v>#N/A N/A</v>
        <stp/>
        <stp>BDH|8240544000277708388</stp>
        <tr r="O33" s="2"/>
      </tp>
      <tp t="s">
        <v>#N/A N/A</v>
        <stp/>
        <stp>BDH|2668145990681978255</stp>
        <tr r="P20" s="2"/>
      </tp>
      <tp t="s">
        <v>#N/A N/A</v>
        <stp/>
        <stp>BDH|1093492427358545654</stp>
        <tr r="AF91" s="2"/>
      </tp>
      <tp t="s">
        <v>#N/A N/A</v>
        <stp/>
        <stp>BDH|2857045858049993731</stp>
        <tr r="Q30" s="2"/>
      </tp>
      <tp t="s">
        <v>#N/A N/A</v>
        <stp/>
        <stp>BDH|8025401321752972569</stp>
        <tr r="AD83" s="2"/>
      </tp>
      <tp t="s">
        <v>#N/A N/A</v>
        <stp/>
        <stp>BDH|5662495662279788743</stp>
        <tr r="J31" s="2"/>
      </tp>
      <tp t="s">
        <v>#N/A N/A</v>
        <stp/>
        <stp>BDH|2029025699826500402</stp>
        <tr r="G44" s="2"/>
      </tp>
      <tp t="s">
        <v>#N/A N/A</v>
        <stp/>
        <stp>BDH|1096646006436487891</stp>
        <tr r="N50" s="2"/>
      </tp>
      <tp t="s">
        <v>#N/A N/A</v>
        <stp/>
        <stp>BDH|4440284686903153448</stp>
        <tr r="AD52" s="2"/>
      </tp>
      <tp t="s">
        <v>#N/A N/A</v>
        <stp/>
        <stp>BDH|4451822499899537556</stp>
        <tr r="F67" s="2"/>
      </tp>
      <tp t="s">
        <v>#N/A N/A</v>
        <stp/>
        <stp>BDH|4506594817821769837</stp>
        <tr r="Y59" s="2"/>
      </tp>
      <tp t="s">
        <v>#N/A N/A</v>
        <stp/>
        <stp>BDH|5349659815508834346</stp>
        <tr r="R59" s="2"/>
      </tp>
      <tp t="s">
        <v>#N/A N/A</v>
        <stp/>
        <stp>BDH|2752123141617046986</stp>
        <tr r="I34" s="2"/>
      </tp>
      <tp t="s">
        <v>#N/A N/A</v>
        <stp/>
        <stp>BDH|8857301138754505596</stp>
        <tr r="U23" s="2"/>
      </tp>
      <tp t="s">
        <v>#N/A N/A</v>
        <stp/>
        <stp>BDH|3287611299210055567</stp>
        <tr r="E40" s="2"/>
      </tp>
      <tp t="s">
        <v>#N/A N/A</v>
        <stp/>
        <stp>BDH|1248837040977905346</stp>
        <tr r="Q81" s="2"/>
      </tp>
      <tp t="s">
        <v>#N/A N/A</v>
        <stp/>
        <stp>BDH|9079380200415787635</stp>
        <tr r="R38" s="2"/>
      </tp>
      <tp t="s">
        <v>#N/A N/A</v>
        <stp/>
        <stp>BDH|8812833595863427371</stp>
        <tr r="K70" s="2"/>
      </tp>
      <tp t="s">
        <v>#N/A N/A</v>
        <stp/>
        <stp>BDH|1912707314899970791</stp>
        <tr r="Q61" s="2"/>
      </tp>
      <tp t="s">
        <v>#N/A N/A</v>
        <stp/>
        <stp>BDH|7910020980864031295</stp>
        <tr r="AE73" s="2"/>
      </tp>
      <tp t="s">
        <v>#N/A N/A</v>
        <stp/>
        <stp>BDH|6153932706281146764</stp>
        <tr r="AE62" s="2"/>
      </tp>
      <tp t="s">
        <v>#N/A N/A</v>
        <stp/>
        <stp>BDH|9774566956182415205</stp>
        <tr r="N61" s="2"/>
      </tp>
      <tp t="s">
        <v>#N/A N/A</v>
        <stp/>
        <stp>BDH|2885684602155612875</stp>
        <tr r="X60" s="2"/>
      </tp>
      <tp t="s">
        <v>#N/A N/A</v>
        <stp/>
        <stp>BDH|7646991420712986756</stp>
        <tr r="C21" s="2"/>
      </tp>
      <tp t="s">
        <v>#N/A N/A</v>
        <stp/>
        <stp>BDH|4442502665986609841</stp>
        <tr r="M74" s="2"/>
      </tp>
      <tp t="s">
        <v>#N/A N/A</v>
        <stp/>
        <stp>BDH|2714265795783731337</stp>
        <tr r="I75" s="2"/>
      </tp>
      <tp t="s">
        <v>#N/A N/A</v>
        <stp/>
        <stp>BDH|9753816654328292506</stp>
        <tr r="R88" s="2"/>
      </tp>
      <tp t="s">
        <v>#N/A N/A</v>
        <stp/>
        <stp>BDH|7966268396810080590</stp>
        <tr r="G94" s="2"/>
      </tp>
      <tp t="s">
        <v>#N/A N/A</v>
        <stp/>
        <stp>BDH|8873809082411960028</stp>
        <tr r="AE94" s="2"/>
      </tp>
      <tp t="s">
        <v>#N/A N/A</v>
        <stp/>
        <stp>BDH|5684966193278503474</stp>
        <tr r="E25" s="2"/>
      </tp>
      <tp t="s">
        <v>#N/A N/A</v>
        <stp/>
        <stp>BDH|2081655294304279024</stp>
        <tr r="AC47" s="2"/>
      </tp>
      <tp t="s">
        <v>#N/A N/A</v>
        <stp/>
        <stp>BDH|5149890439870736771</stp>
        <tr r="N89" s="2"/>
      </tp>
      <tp t="s">
        <v>#N/A N/A</v>
        <stp/>
        <stp>BDH|9088301133830289079</stp>
        <tr r="J12" s="2"/>
      </tp>
      <tp t="s">
        <v>#N/A N/A</v>
        <stp/>
        <stp>BDH|3835786288977957271</stp>
        <tr r="AC24" s="2"/>
      </tp>
      <tp t="s">
        <v>#N/A N/A</v>
        <stp/>
        <stp>BDH|9884426449321177140</stp>
        <tr r="J82" s="2"/>
      </tp>
      <tp t="s">
        <v>#N/A N/A</v>
        <stp/>
        <stp>BDH|5267944872242661056</stp>
        <tr r="O89" s="2"/>
      </tp>
      <tp t="s">
        <v>#N/A N/A</v>
        <stp/>
        <stp>BDH|3359304785692111303</stp>
        <tr r="L57" s="2"/>
      </tp>
      <tp t="s">
        <v>#N/A N/A</v>
        <stp/>
        <stp>BDH|4506058808838867573</stp>
        <tr r="AC68" s="2"/>
      </tp>
      <tp t="s">
        <v>#N/A N/A</v>
        <stp/>
        <stp>BDH|6155597678319524427</stp>
        <tr r="W69" s="2"/>
      </tp>
      <tp t="s">
        <v>#N/A N/A</v>
        <stp/>
        <stp>BDH|1539886392531155898</stp>
        <tr r="I20" s="2"/>
      </tp>
      <tp t="s">
        <v>#N/A N/A</v>
        <stp/>
        <stp>BDH|3916315508708656119</stp>
        <tr r="C44" s="2"/>
      </tp>
      <tp t="s">
        <v>#N/A N/A</v>
        <stp/>
        <stp>BDH|3854818654013934430</stp>
        <tr r="Q58" s="2"/>
      </tp>
      <tp t="s">
        <v>#N/A N/A</v>
        <stp/>
        <stp>BDH|4605055493775778130</stp>
        <tr r="F43" s="2"/>
      </tp>
      <tp t="s">
        <v>#N/A N/A</v>
        <stp/>
        <stp>BDH|8237023757816087234</stp>
        <tr r="G85" s="2"/>
      </tp>
      <tp t="s">
        <v>#N/A N/A</v>
        <stp/>
        <stp>BDH|1659763945528497353</stp>
        <tr r="M52" s="2"/>
      </tp>
      <tp t="s">
        <v>#N/A N/A</v>
        <stp/>
        <stp>BDH|9305166108953003296</stp>
        <tr r="K60" s="2"/>
      </tp>
      <tp t="s">
        <v>#N/A N/A</v>
        <stp/>
        <stp>BDH|8398477459111859115</stp>
        <tr r="K44" s="2"/>
      </tp>
      <tp t="s">
        <v>#N/A N/A</v>
        <stp/>
        <stp>BDH|3631717268833366885</stp>
        <tr r="M13" s="2"/>
      </tp>
      <tp t="s">
        <v>#N/A N/A</v>
        <stp/>
        <stp>BDH|8764589008651775540</stp>
        <tr r="AE52" s="2"/>
      </tp>
      <tp t="s">
        <v>#N/A N/A</v>
        <stp/>
        <stp>BDH|9741451693775720831</stp>
        <tr r="V68" s="2"/>
      </tp>
      <tp t="s">
        <v>#N/A N/A</v>
        <stp/>
        <stp>BDH|8263375680273424947</stp>
        <tr r="F84" s="2"/>
      </tp>
      <tp t="s">
        <v>#N/A N/A</v>
        <stp/>
        <stp>BDH|2331073747136426924</stp>
        <tr r="Q94" s="2"/>
      </tp>
      <tp t="s">
        <v>#N/A N/A</v>
        <stp/>
        <stp>BDH|2033964335114438522</stp>
        <tr r="F29" s="2"/>
      </tp>
      <tp t="s">
        <v>#N/A N/A</v>
        <stp/>
        <stp>BDH|4149930350362092378</stp>
        <tr r="S90" s="2"/>
      </tp>
      <tp t="s">
        <v>#N/A N/A</v>
        <stp/>
        <stp>BDH|9381636072936921414</stp>
        <tr r="AE44" s="2"/>
      </tp>
      <tp t="s">
        <v>#N/A N/A</v>
        <stp/>
        <stp>BDH|1510236119030570803</stp>
        <tr r="W8" s="2"/>
      </tp>
      <tp t="s">
        <v>#N/A N/A</v>
        <stp/>
        <stp>BDH|4523683351535101871</stp>
        <tr r="Z84" s="2"/>
      </tp>
      <tp t="s">
        <v>#N/A N/A</v>
        <stp/>
        <stp>BDH|9700873333250933810</stp>
        <tr r="L68" s="2"/>
      </tp>
      <tp t="s">
        <v>#N/A N/A</v>
        <stp/>
        <stp>BDH|4549029325854906802</stp>
        <tr r="V42" s="2"/>
      </tp>
      <tp t="s">
        <v>#N/A N/A</v>
        <stp/>
        <stp>BDH|1625094105438766362</stp>
        <tr r="E34" s="2"/>
      </tp>
      <tp t="s">
        <v>#N/A N/A</v>
        <stp/>
        <stp>BDH|9637804179534079843</stp>
        <tr r="J53" s="2"/>
      </tp>
      <tp t="s">
        <v>#N/A N/A</v>
        <stp/>
        <stp>BDH|2003770832389885560</stp>
        <tr r="E94" s="2"/>
      </tp>
      <tp t="s">
        <v>#N/A N/A</v>
        <stp/>
        <stp>BDH|3083200764909975457</stp>
        <tr r="L65" s="2"/>
      </tp>
      <tp t="s">
        <v>#N/A N/A</v>
        <stp/>
        <stp>BDH|6757378101287023898</stp>
        <tr r="Y16" s="2"/>
      </tp>
      <tp t="s">
        <v>#N/A N/A</v>
        <stp/>
        <stp>BDH|6750949846330497190</stp>
        <tr r="P89" s="2"/>
      </tp>
      <tp t="s">
        <v>#N/A N/A</v>
        <stp/>
        <stp>BDH|8083076908960064260</stp>
        <tr r="T21" s="2"/>
      </tp>
      <tp t="s">
        <v>#N/A N/A</v>
        <stp/>
        <stp>BDH|2032661933269903455</stp>
        <tr r="AA28" s="2"/>
      </tp>
      <tp t="s">
        <v>#N/A N/A</v>
        <stp/>
        <stp>BDH|9507406317191973725</stp>
        <tr r="C60" s="2"/>
      </tp>
      <tp t="s">
        <v>#N/A N/A</v>
        <stp/>
        <stp>BDH|2370776250192901845</stp>
        <tr r="W35" s="2"/>
      </tp>
      <tp t="s">
        <v>#N/A N/A</v>
        <stp/>
        <stp>BDH|7884101630259480655</stp>
        <tr r="AA60" s="2"/>
      </tp>
      <tp t="s">
        <v>#N/A N/A</v>
        <stp/>
        <stp>BDH|1134609914858821446</stp>
        <tr r="Z16" s="2"/>
      </tp>
      <tp t="s">
        <v>#N/A N/A</v>
        <stp/>
        <stp>BDH|5309179553193679884</stp>
        <tr r="T70" s="2"/>
      </tp>
      <tp t="s">
        <v>#N/A N/A</v>
        <stp/>
        <stp>BDH|4825378036896240856</stp>
        <tr r="AE67" s="2"/>
      </tp>
      <tp t="s">
        <v>#N/A N/A</v>
        <stp/>
        <stp>BDH|6630665791417739481</stp>
        <tr r="T89" s="2"/>
      </tp>
      <tp t="s">
        <v>#N/A N/A</v>
        <stp/>
        <stp>BDH|6701485856929098477</stp>
        <tr r="O51" s="2"/>
      </tp>
      <tp t="s">
        <v>#N/A N/A</v>
        <stp/>
        <stp>BDH|6404115490102364684</stp>
        <tr r="W75" s="2"/>
      </tp>
      <tp t="s">
        <v>#N/A N/A</v>
        <stp/>
        <stp>BDH|3412866078307595114</stp>
        <tr r="P21" s="2"/>
      </tp>
      <tp t="s">
        <v>#N/A N/A</v>
        <stp/>
        <stp>BDH|3283201261668921541</stp>
        <tr r="AA71" s="2"/>
      </tp>
      <tp t="s">
        <v>#N/A N/A</v>
        <stp/>
        <stp>BDH|8446497673880445143</stp>
        <tr r="H90" s="2"/>
      </tp>
      <tp t="s">
        <v>#N/A N/A</v>
        <stp/>
        <stp>BDH|1633123283655922717</stp>
        <tr r="W11" s="2"/>
      </tp>
      <tp t="s">
        <v>#N/A N/A</v>
        <stp/>
        <stp>BDH|6060489656534819999</stp>
        <tr r="W39" s="2"/>
      </tp>
      <tp t="s">
        <v>#N/A N/A</v>
        <stp/>
        <stp>BDH|7268809225662866508</stp>
        <tr r="Y27" s="2"/>
      </tp>
      <tp t="s">
        <v>#N/A N/A</v>
        <stp/>
        <stp>BDH|9640598961397482751</stp>
        <tr r="Y41" s="2"/>
      </tp>
      <tp t="s">
        <v>#N/A N/A</v>
        <stp/>
        <stp>BDH|2718114576927621996</stp>
        <tr r="R64" s="2"/>
      </tp>
      <tp t="s">
        <v>#N/A N/A</v>
        <stp/>
        <stp>BDH|5542130484417962174</stp>
        <tr r="AE48" s="2"/>
      </tp>
      <tp t="s">
        <v>#N/A N/A</v>
        <stp/>
        <stp>BDH|3980842414665547500</stp>
        <tr r="AA10" s="2"/>
      </tp>
      <tp t="s">
        <v>#N/A N/A</v>
        <stp/>
        <stp>BDH|4473689036463215841</stp>
        <tr r="L85" s="2"/>
      </tp>
      <tp t="s">
        <v>#N/A N/A</v>
        <stp/>
        <stp>BDH|9924191712925735685</stp>
        <tr r="AB72" s="2"/>
      </tp>
      <tp t="s">
        <v>#N/A N/A</v>
        <stp/>
        <stp>BDH|9995576844056514420</stp>
        <tr r="AF41" s="2"/>
      </tp>
      <tp t="s">
        <v>#N/A N/A</v>
        <stp/>
        <stp>BDH|8447025911832489112</stp>
        <tr r="J42" s="2"/>
      </tp>
      <tp t="s">
        <v>#N/A N/A</v>
        <stp/>
        <stp>BDH|1819543859473473838</stp>
        <tr r="C56" s="2"/>
      </tp>
      <tp t="s">
        <v>#N/A N/A</v>
        <stp/>
        <stp>BDH|3371148332412072975</stp>
        <tr r="Y20" s="2"/>
      </tp>
      <tp t="s">
        <v>#N/A N/A</v>
        <stp/>
        <stp>BDH|4539019244069721351</stp>
        <tr r="N68" s="2"/>
      </tp>
      <tp t="s">
        <v>#N/A N/A</v>
        <stp/>
        <stp>BDH|1909549318559510624</stp>
        <tr r="U69" s="2"/>
      </tp>
      <tp t="s">
        <v>#N/A N/A</v>
        <stp/>
        <stp>BDH|3981568204875945906</stp>
        <tr r="AF58" s="2"/>
      </tp>
      <tp t="s">
        <v>#N/A N/A</v>
        <stp/>
        <stp>BDH|2241705011226756875</stp>
        <tr r="X26" s="2"/>
      </tp>
      <tp t="s">
        <v>#N/A N/A</v>
        <stp/>
        <stp>BDH|6319786000039834202</stp>
        <tr r="Q76" s="2"/>
      </tp>
      <tp t="s">
        <v>#N/A N/A</v>
        <stp/>
        <stp>BDH|5176879566086278714</stp>
        <tr r="AD22" s="2"/>
      </tp>
      <tp t="s">
        <v>#N/A N/A</v>
        <stp/>
        <stp>BDH|4260248490356662334</stp>
        <tr r="AB87" s="2"/>
      </tp>
      <tp t="s">
        <v>#N/A N/A</v>
        <stp/>
        <stp>BDH|5921064679448538032</stp>
        <tr r="J19" s="2"/>
      </tp>
      <tp t="s">
        <v>#N/A N/A</v>
        <stp/>
        <stp>BDH|6615581986801004081</stp>
        <tr r="F77" s="2"/>
      </tp>
      <tp t="s">
        <v>#N/A N/A</v>
        <stp/>
        <stp>BDH|3148701350209099214</stp>
        <tr r="F21" s="2"/>
      </tp>
      <tp t="s">
        <v>#N/A N/A</v>
        <stp/>
        <stp>BDH|5217615851428453475</stp>
        <tr r="J68" s="2"/>
      </tp>
      <tp t="s">
        <v>#N/A N/A</v>
        <stp/>
        <stp>BDH|8564536092679315765</stp>
        <tr r="W43" s="2"/>
      </tp>
      <tp t="s">
        <v>#N/A N/A</v>
        <stp/>
        <stp>BDH|3390917663476786076</stp>
        <tr r="G10" s="2"/>
      </tp>
      <tp t="s">
        <v>#N/A N/A</v>
        <stp/>
        <stp>BDH|9959633323902986510</stp>
        <tr r="Q53" s="2"/>
      </tp>
      <tp t="s">
        <v>#N/A N/A</v>
        <stp/>
        <stp>BDH|6436207481830695657</stp>
        <tr r="O82" s="2"/>
      </tp>
      <tp t="s">
        <v>#N/A N/A</v>
        <stp/>
        <stp>BDH|8091207816804938597</stp>
        <tr r="AA91" s="2"/>
      </tp>
      <tp t="s">
        <v>#N/A N/A</v>
        <stp/>
        <stp>BDH|5601512973255610848</stp>
        <tr r="L83" s="2"/>
      </tp>
      <tp t="s">
        <v>#N/A N/A</v>
        <stp/>
        <stp>BDH|2290459684944196048</stp>
        <tr r="J44" s="2"/>
      </tp>
      <tp t="s">
        <v>#N/A N/A</v>
        <stp/>
        <stp>BDH|8770457995277316829</stp>
        <tr r="W81" s="2"/>
      </tp>
      <tp t="s">
        <v>#N/A N/A</v>
        <stp/>
        <stp>BDH|8535306620567280415</stp>
        <tr r="S12" s="2"/>
      </tp>
      <tp t="s">
        <v>#N/A N/A</v>
        <stp/>
        <stp>BDH|1944837212711817368</stp>
        <tr r="T26" s="2"/>
      </tp>
      <tp t="s">
        <v>#N/A N/A</v>
        <stp/>
        <stp>BDH|5925380703718266476</stp>
        <tr r="I21" s="2"/>
      </tp>
      <tp t="s">
        <v>#N/A N/A</v>
        <stp/>
        <stp>BDH|9479979341196600834</stp>
        <tr r="E88" s="2"/>
      </tp>
      <tp t="s">
        <v>#N/A N/A</v>
        <stp/>
        <stp>BDH|8117314006903973286</stp>
        <tr r="C71" s="2"/>
      </tp>
      <tp t="s">
        <v>#N/A N/A</v>
        <stp/>
        <stp>BDH|4405352033867219948</stp>
        <tr r="Y22" s="2"/>
      </tp>
      <tp t="s">
        <v>#N/A N/A</v>
        <stp/>
        <stp>BDH|5048819160863483219</stp>
        <tr r="V40" s="2"/>
      </tp>
      <tp t="s">
        <v>#N/A N/A</v>
        <stp/>
        <stp>BDH|9283414251443081167</stp>
        <tr r="K13" s="2"/>
      </tp>
      <tp t="s">
        <v>#N/A N/A</v>
        <stp/>
        <stp>BDH|8724737233603180522</stp>
        <tr r="M64" s="2"/>
      </tp>
      <tp t="s">
        <v>#N/A N/A</v>
        <stp/>
        <stp>BDH|3500546095656488340</stp>
        <tr r="P18" s="2"/>
      </tp>
      <tp t="s">
        <v>#N/A N/A</v>
        <stp/>
        <stp>BDH|9120119639758823953</stp>
        <tr r="D28" s="2"/>
      </tp>
      <tp t="s">
        <v>#N/A N/A</v>
        <stp/>
        <stp>BDH|1205595488916067076</stp>
        <tr r="L8" s="2"/>
      </tp>
      <tp t="s">
        <v>#N/A N/A</v>
        <stp/>
        <stp>BDH|5239541754027704802</stp>
        <tr r="D81" s="2"/>
      </tp>
      <tp t="s">
        <v>#N/A N/A</v>
        <stp/>
        <stp>BDH|1283779605068756427</stp>
        <tr r="D51" s="2"/>
      </tp>
      <tp t="s">
        <v>#N/A N/A</v>
        <stp/>
        <stp>BDH|6527900320855118219</stp>
        <tr r="P26" s="2"/>
      </tp>
      <tp t="s">
        <v>#N/A N/A</v>
        <stp/>
        <stp>BDH|5137966637673583601</stp>
        <tr r="AB14" s="2"/>
      </tp>
      <tp t="s">
        <v>#N/A N/A</v>
        <stp/>
        <stp>BDH|1488927037468118950</stp>
        <tr r="Y68" s="2"/>
      </tp>
      <tp t="s">
        <v>#N/A N/A</v>
        <stp/>
        <stp>BDH|49177658804803741</stp>
        <tr r="D42" s="2"/>
      </tp>
      <tp t="s">
        <v>#N/A N/A</v>
        <stp/>
        <stp>BDH|9471855788620434270</stp>
        <tr r="W17" s="2"/>
      </tp>
      <tp t="s">
        <v>#N/A N/A</v>
        <stp/>
        <stp>BDH|5838955471758121875</stp>
        <tr r="R69" s="2"/>
      </tp>
      <tp t="s">
        <v>#N/A N/A</v>
        <stp/>
        <stp>BDH|2858805182829797062</stp>
        <tr r="AB73" s="2"/>
      </tp>
      <tp t="s">
        <v>#N/A N/A</v>
        <stp/>
        <stp>BDH|5908031491491827685</stp>
        <tr r="F54" s="2"/>
      </tp>
      <tp t="s">
        <v>#N/A N/A</v>
        <stp/>
        <stp>BDH|7935925924066317173</stp>
        <tr r="E9" s="2"/>
      </tp>
      <tp t="s">
        <v>#N/A N/A</v>
        <stp/>
        <stp>BDH|9906114843226755178</stp>
        <tr r="O74" s="2"/>
      </tp>
      <tp t="s">
        <v>#N/A N/A</v>
        <stp/>
        <stp>BDH|3857565184140174535</stp>
        <tr r="T45" s="2"/>
      </tp>
      <tp t="s">
        <v>#N/A N/A</v>
        <stp/>
        <stp>BDH|3754365028411521842</stp>
        <tr r="I39" s="2"/>
      </tp>
      <tp t="s">
        <v>#N/A N/A</v>
        <stp/>
        <stp>BDH|4521391716678352517</stp>
        <tr r="J29" s="2"/>
      </tp>
      <tp t="s">
        <v>#N/A N/A</v>
        <stp/>
        <stp>BDH|9967720124282504522</stp>
        <tr r="AE77" s="2"/>
      </tp>
      <tp t="s">
        <v>#N/A N/A</v>
        <stp/>
        <stp>BDH|2608043488958167936</stp>
        <tr r="S67" s="2"/>
      </tp>
      <tp t="s">
        <v>#N/A N/A</v>
        <stp/>
        <stp>BDH|8287769123582809416</stp>
        <tr r="R72" s="2"/>
      </tp>
      <tp t="s">
        <v>#N/A N/A</v>
        <stp/>
        <stp>BDH|9623239215139845867</stp>
        <tr r="X31" s="2"/>
      </tp>
      <tp t="s">
        <v>#N/A N/A</v>
        <stp/>
        <stp>BDH|7404878450033922241</stp>
        <tr r="S66" s="2"/>
      </tp>
      <tp t="s">
        <v>#N/A N/A</v>
        <stp/>
        <stp>BDH|8244717963265646788</stp>
        <tr r="AB63" s="2"/>
      </tp>
      <tp t="s">
        <v>#N/A N/A</v>
        <stp/>
        <stp>BDH|1009985733127560713</stp>
        <tr r="I85" s="2"/>
      </tp>
      <tp t="s">
        <v>#N/A N/A</v>
        <stp/>
        <stp>BDH|8096800649559687606</stp>
        <tr r="G23" s="2"/>
      </tp>
      <tp t="s">
        <v>#N/A N/A</v>
        <stp/>
        <stp>BDH|8922911691672006160</stp>
        <tr r="W92" s="2"/>
      </tp>
      <tp t="s">
        <v>#N/A N/A</v>
        <stp/>
        <stp>BDH|8584462918186369074</stp>
        <tr r="K74" s="2"/>
      </tp>
      <tp t="s">
        <v>#N/A N/A</v>
        <stp/>
        <stp>BDH|7540758953128944650</stp>
        <tr r="Z93" s="2"/>
      </tp>
      <tp t="s">
        <v>#N/A N/A</v>
        <stp/>
        <stp>BDH|2907186117080988901</stp>
        <tr r="R30" s="2"/>
      </tp>
      <tp t="s">
        <v>#N/A N/A</v>
        <stp/>
        <stp>BDH|8956301462683304543</stp>
        <tr r="AD90" s="2"/>
      </tp>
      <tp t="s">
        <v>#N/A N/A</v>
        <stp/>
        <stp>BDH|1838687176022229985</stp>
        <tr r="S58" s="2"/>
      </tp>
      <tp t="s">
        <v>#N/A N/A</v>
        <stp/>
        <stp>BDH|8361866008729694278</stp>
        <tr r="G76" s="2"/>
      </tp>
      <tp t="s">
        <v>#N/A N/A</v>
        <stp/>
        <stp>BDH|3159126122019431299</stp>
        <tr r="E11" s="2"/>
      </tp>
      <tp t="s">
        <v>#N/A N/A</v>
        <stp/>
        <stp>BDH|4493357458861696835</stp>
        <tr r="O71" s="2"/>
      </tp>
      <tp t="s">
        <v>#N/A N/A</v>
        <stp/>
        <stp>BDH|8355438779579155941</stp>
        <tr r="K28" s="2"/>
      </tp>
      <tp t="s">
        <v>#N/A N/A</v>
        <stp/>
        <stp>BDH|9145787615090973498</stp>
        <tr r="M43" s="2"/>
      </tp>
      <tp t="s">
        <v>#N/A N/A</v>
        <stp/>
        <stp>BDH|1855018797456286510</stp>
        <tr r="M30" s="2"/>
      </tp>
      <tp t="s">
        <v>#N/A N/A</v>
        <stp/>
        <stp>BDH|8174511508185134347</stp>
        <tr r="G69" s="2"/>
      </tp>
      <tp t="s">
        <v>#N/A N/A</v>
        <stp/>
        <stp>BDH|7929910671806296491</stp>
        <tr r="K32" s="2"/>
      </tp>
      <tp t="s">
        <v>#N/A N/A</v>
        <stp/>
        <stp>BDH|3785854562520687644</stp>
        <tr r="N63" s="2"/>
      </tp>
      <tp t="s">
        <v>#N/A N/A</v>
        <stp/>
        <stp>BDH|9015278783869761110</stp>
        <tr r="AE61" s="2"/>
      </tp>
      <tp t="s">
        <v>#N/A N/A</v>
        <stp/>
        <stp>BDH|7657983110425901159</stp>
        <tr r="Q85" s="2"/>
      </tp>
      <tp t="s">
        <v>#N/A N/A</v>
        <stp/>
        <stp>BDH|4097383590470804520</stp>
        <tr r="F88" s="2"/>
      </tp>
      <tp t="s">
        <v>#N/A N/A</v>
        <stp/>
        <stp>BDH|9685982852787651999</stp>
        <tr r="AD85" s="2"/>
      </tp>
      <tp t="s">
        <v>#N/A N/A</v>
        <stp/>
        <stp>BDH|8164254172170287675</stp>
        <tr r="AB50" s="2"/>
      </tp>
      <tp t="s">
        <v>#N/A N/A</v>
        <stp/>
        <stp>BDH|6629635581726768534</stp>
        <tr r="P40" s="2"/>
      </tp>
      <tp t="s">
        <v>#N/A N/A</v>
        <stp/>
        <stp>BDH|8597358739260106388</stp>
        <tr r="S85" s="2"/>
      </tp>
      <tp t="s">
        <v>#N/A N/A</v>
        <stp/>
        <stp>BDH|7578582687935336493</stp>
        <tr r="AB40" s="2"/>
      </tp>
      <tp t="s">
        <v>#N/A N/A</v>
        <stp/>
        <stp>BDH|4824631783962015384</stp>
        <tr r="F14" s="2"/>
      </tp>
      <tp t="s">
        <v>#N/A N/A</v>
        <stp/>
        <stp>BDH|4863491550547011901</stp>
        <tr r="U71" s="2"/>
      </tp>
      <tp t="s">
        <v>#N/A N/A</v>
        <stp/>
        <stp>BDH|6543669309999994229</stp>
        <tr r="I94" s="2"/>
      </tp>
      <tp t="s">
        <v>#N/A N/A</v>
        <stp/>
        <stp>BDH|4265718344035516938</stp>
        <tr r="V55" s="2"/>
      </tp>
      <tp t="s">
        <v>#N/A N/A</v>
        <stp/>
        <stp>BDH|6213089536136977848</stp>
        <tr r="M90" s="2"/>
      </tp>
      <tp t="s">
        <v>#N/A N/A</v>
        <stp/>
        <stp>BDH|8472284904276884710</stp>
        <tr r="I56" s="2"/>
      </tp>
      <tp t="s">
        <v>#N/A N/A</v>
        <stp/>
        <stp>BDH|6096130992203606667</stp>
        <tr r="X11" s="2"/>
      </tp>
      <tp t="s">
        <v>#N/A N/A</v>
        <stp/>
        <stp>BDH|6455325325918082451</stp>
        <tr r="H43" s="2"/>
      </tp>
      <tp t="s">
        <v>#N/A N/A</v>
        <stp/>
        <stp>BDH|1368494670238515194</stp>
        <tr r="P56" s="2"/>
      </tp>
      <tp t="s">
        <v>#N/A N/A</v>
        <stp/>
        <stp>BDH|1353118899540994246</stp>
        <tr r="Y54" s="2"/>
      </tp>
      <tp t="s">
        <v>#N/A N/A</v>
        <stp/>
        <stp>BDH|3886060259139754462</stp>
        <tr r="AA14" s="2"/>
      </tp>
      <tp t="s">
        <v>#N/A N/A</v>
        <stp/>
        <stp>BDH|3910351598230346200</stp>
        <tr r="AC42" s="2"/>
      </tp>
      <tp t="s">
        <v>#N/A N/A</v>
        <stp/>
        <stp>BDH|9190365662116270100</stp>
        <tr r="S87" s="2"/>
      </tp>
      <tp t="s">
        <v>#N/A N/A</v>
        <stp/>
        <stp>BDH|2288539285243186721</stp>
        <tr r="H64" s="2"/>
      </tp>
      <tp t="s">
        <v>#N/A N/A</v>
        <stp/>
        <stp>BDH|3826507098007778335</stp>
        <tr r="C26" s="2"/>
      </tp>
      <tp t="s">
        <v>#N/A N/A</v>
        <stp/>
        <stp>BDH|9752053212583798031</stp>
        <tr r="AA49" s="2"/>
      </tp>
      <tp t="s">
        <v>#N/A N/A</v>
        <stp/>
        <stp>BDH|7079753239098034089</stp>
        <tr r="AB24" s="2"/>
      </tp>
      <tp t="s">
        <v>#N/A N/A</v>
        <stp/>
        <stp>BDH|2167825040390502537</stp>
        <tr r="G68" s="2"/>
      </tp>
      <tp t="s">
        <v>#N/A N/A</v>
        <stp/>
        <stp>BDH|6388953164147606512</stp>
        <tr r="C15" s="2"/>
      </tp>
      <tp t="s">
        <v>#N/A N/A</v>
        <stp/>
        <stp>BDH|3093862434490577327</stp>
        <tr r="M51" s="2"/>
      </tp>
      <tp t="s">
        <v>#N/A N/A</v>
        <stp/>
        <stp>BDH|1408493384175447388</stp>
        <tr r="AB45" s="2"/>
      </tp>
      <tp t="s">
        <v>#N/A N/A</v>
        <stp/>
        <stp>BDH|3293185844431028348</stp>
        <tr r="K30" s="2"/>
      </tp>
      <tp t="s">
        <v>#N/A N/A</v>
        <stp/>
        <stp>BDH|6834194805020686389</stp>
        <tr r="T63" s="2"/>
      </tp>
      <tp t="s">
        <v>#N/A N/A</v>
        <stp/>
        <stp>BDH|1233898187330256546</stp>
        <tr r="F39" s="2"/>
      </tp>
      <tp t="s">
        <v>#N/A N/A</v>
        <stp/>
        <stp>BDH|6782597972294331448</stp>
        <tr r="G19" s="2"/>
      </tp>
      <tp t="s">
        <v>#N/A N/A</v>
        <stp/>
        <stp>BDH|4766540154525897543</stp>
        <tr r="G73" s="2"/>
      </tp>
      <tp t="s">
        <v>#N/A N/A</v>
        <stp/>
        <stp>BDH|1677376769067453779</stp>
        <tr r="T61" s="2"/>
      </tp>
      <tp t="s">
        <v>#N/A N/A</v>
        <stp/>
        <stp>BDH|3266431048565178239</stp>
        <tr r="X59" s="2"/>
      </tp>
      <tp t="s">
        <v>#N/A N/A</v>
        <stp/>
        <stp>BDH|8485684451119567635</stp>
        <tr r="P50" s="2"/>
      </tp>
      <tp t="s">
        <v>#N/A N/A</v>
        <stp/>
        <stp>BDH|7953319735302322168</stp>
        <tr r="AD93" s="2"/>
      </tp>
      <tp t="s">
        <v>#N/A N/A</v>
        <stp/>
        <stp>BDH|2036357268052444108</stp>
        <tr r="AE31" s="2"/>
      </tp>
      <tp t="s">
        <v>#N/A N/A</v>
        <stp/>
        <stp>BDH|1700089463497742424</stp>
        <tr r="AF65" s="2"/>
      </tp>
      <tp t="s">
        <v>#N/A N/A</v>
        <stp/>
        <stp>BDH|5060184112126765735</stp>
        <tr r="R89" s="2"/>
      </tp>
      <tp t="s">
        <v>#N/A N/A</v>
        <stp/>
        <stp>BDH|5512805485789731894</stp>
        <tr r="R74" s="2"/>
      </tp>
      <tp t="s">
        <v>#N/A N/A</v>
        <stp/>
        <stp>BDH|8621596024118593310</stp>
        <tr r="AA90" s="2"/>
      </tp>
      <tp t="s">
        <v>#N/A N/A</v>
        <stp/>
        <stp>BDH|6856253766507703103</stp>
        <tr r="T13" s="2"/>
      </tp>
      <tp t="s">
        <v>#N/A N/A</v>
        <stp/>
        <stp>BDH|9227136308908473412</stp>
        <tr r="C14" s="2"/>
      </tp>
      <tp t="s">
        <v>#N/A N/A</v>
        <stp/>
        <stp>BDH|3875508319371407290</stp>
        <tr r="W21" s="2"/>
      </tp>
      <tp t="s">
        <v>#N/A N/A</v>
        <stp/>
        <stp>BDH|8396282897120333736</stp>
        <tr r="AF23" s="2"/>
      </tp>
      <tp t="s">
        <v>#N/A N/A</v>
        <stp/>
        <stp>BDH|3276681518891682189</stp>
        <tr r="AD8" s="2"/>
      </tp>
      <tp t="s">
        <v>#N/A N/A</v>
        <stp/>
        <stp>BDH|6665384106497308667</stp>
        <tr r="V50" s="2"/>
      </tp>
      <tp t="s">
        <v>#N/A N/A</v>
        <stp/>
        <stp>BDH|4661782673375550556</stp>
        <tr r="X30" s="2"/>
      </tp>
      <tp t="s">
        <v>#N/A N/A</v>
        <stp/>
        <stp>BDH|8579178492702429668</stp>
        <tr r="M54" s="2"/>
      </tp>
      <tp t="s">
        <v>#N/A N/A</v>
        <stp/>
        <stp>BDH|9823522994688868942</stp>
        <tr r="J32" s="2"/>
      </tp>
      <tp t="s">
        <v>#N/A N/A</v>
        <stp/>
        <stp>BDH|8201610277469403420</stp>
        <tr r="V62" s="2"/>
      </tp>
      <tp t="s">
        <v>#N/A N/A</v>
        <stp/>
        <stp>BDH|3127395679831523269</stp>
        <tr r="AB27" s="2"/>
      </tp>
      <tp t="s">
        <v>#N/A N/A</v>
        <stp/>
        <stp>BDH|5481335987643654948</stp>
        <tr r="Z26" s="2"/>
      </tp>
      <tp t="s">
        <v>#N/A N/A</v>
        <stp/>
        <stp>BDH|5374552732856715116</stp>
        <tr r="M94" s="2"/>
      </tp>
      <tp t="s">
        <v>#N/A N/A</v>
        <stp/>
        <stp>BDH|4243703513840343605</stp>
        <tr r="T74" s="2"/>
      </tp>
      <tp t="s">
        <v>#N/A N/A</v>
        <stp/>
        <stp>BDH|3596001674652391216</stp>
        <tr r="U34" s="2"/>
      </tp>
      <tp t="s">
        <v>#N/A N/A</v>
        <stp/>
        <stp>BDH|2111915938934258899</stp>
        <tr r="T44" s="2"/>
      </tp>
      <tp t="s">
        <v>#N/A N/A</v>
        <stp/>
        <stp>BDH|8998900750148305899</stp>
        <tr r="AE70" s="2"/>
      </tp>
      <tp t="s">
        <v>#N/A N/A</v>
        <stp/>
        <stp>BDH|7359468811020547629</stp>
        <tr r="AD23" s="2"/>
      </tp>
      <tp t="s">
        <v>#N/A N/A</v>
        <stp/>
        <stp>BDH|1948878297847220381</stp>
        <tr r="Q31" s="2"/>
      </tp>
      <tp t="s">
        <v>#N/A N/A</v>
        <stp/>
        <stp>BDH|1491431655506934283</stp>
        <tr r="AE15" s="2"/>
      </tp>
      <tp t="s">
        <v>#N/A N/A</v>
        <stp/>
        <stp>BDH|5543301567447502371</stp>
        <tr r="N75" s="2"/>
      </tp>
      <tp t="s">
        <v>#N/A N/A</v>
        <stp/>
        <stp>BDH|7576761936472403512</stp>
        <tr r="N8" s="2"/>
      </tp>
      <tp t="s">
        <v>#N/A N/A</v>
        <stp/>
        <stp>BDH|9773230431284108846</stp>
        <tr r="N76" s="2"/>
      </tp>
      <tp t="s">
        <v>#N/A N/A</v>
        <stp/>
        <stp>BDH|9563871139224382283</stp>
        <tr r="F70" s="2"/>
      </tp>
      <tp t="s">
        <v>#N/A N/A</v>
        <stp/>
        <stp>BDH|2404737411182662213</stp>
        <tr r="Q33" s="2"/>
      </tp>
      <tp t="s">
        <v>#N/A N/A</v>
        <stp/>
        <stp>BDH|3446129868025791581</stp>
        <tr r="O55" s="2"/>
      </tp>
      <tp t="s">
        <v>#N/A N/A</v>
        <stp/>
        <stp>BDH|7725382703906573689</stp>
        <tr r="C40" s="2"/>
      </tp>
      <tp t="s">
        <v>#N/A N/A</v>
        <stp/>
        <stp>BDH|8779804254487678630</stp>
        <tr r="AF30" s="2"/>
      </tp>
      <tp t="s">
        <v>#N/A N/A</v>
        <stp/>
        <stp>BDH|8641731133798901098</stp>
        <tr r="T94" s="2"/>
      </tp>
      <tp t="s">
        <v>#N/A N/A</v>
        <stp/>
        <stp>BDH|1013519418197706684</stp>
        <tr r="AE13" s="2"/>
      </tp>
      <tp t="s">
        <v>#N/A N/A</v>
        <stp/>
        <stp>BDH|3285122564313770352</stp>
        <tr r="R18" s="2"/>
      </tp>
      <tp t="s">
        <v>#N/A N/A</v>
        <stp/>
        <stp>BDH|9298126237277414852</stp>
        <tr r="AF44" s="2"/>
      </tp>
      <tp t="s">
        <v>#N/A N/A</v>
        <stp/>
        <stp>BDH|3153556741455714357</stp>
        <tr r="Q41" s="2"/>
      </tp>
      <tp t="s">
        <v>#N/A N/A</v>
        <stp/>
        <stp>BDH|9998373244363582981</stp>
        <tr r="M48" s="2"/>
      </tp>
      <tp t="s">
        <v>#N/A N/A</v>
        <stp/>
        <stp>BDH|3920403555563353585</stp>
        <tr r="H83" s="2"/>
      </tp>
      <tp t="s">
        <v>#N/A N/A</v>
        <stp/>
        <stp>BDH|1402344704656384002</stp>
        <tr r="F50" s="2"/>
      </tp>
      <tp t="s">
        <v>#N/A N/A</v>
        <stp/>
        <stp>BDH|6937328567071852634</stp>
        <tr r="H38" s="2"/>
      </tp>
      <tp t="s">
        <v>#N/A N/A</v>
        <stp/>
        <stp>BDH|1217180779286088579</stp>
        <tr r="Z70" s="2"/>
      </tp>
      <tp t="s">
        <v>#N/A N/A</v>
        <stp/>
        <stp>BDH|5558734947863580106</stp>
        <tr r="G33" s="2"/>
      </tp>
      <tp t="s">
        <v>#N/A N/A</v>
        <stp/>
        <stp>BDH|8443184935878951644</stp>
        <tr r="AA43" s="2"/>
      </tp>
      <tp t="s">
        <v>#N/A N/A</v>
        <stp/>
        <stp>BDH|1060449163232186529</stp>
        <tr r="E55" s="2"/>
      </tp>
      <tp t="s">
        <v>#N/A N/A</v>
        <stp/>
        <stp>BDH|6343044574944523125</stp>
        <tr r="M20" s="2"/>
      </tp>
      <tp t="s">
        <v>#N/A N/A</v>
        <stp/>
        <stp>BDH|3336385522672474481</stp>
        <tr r="N92" s="2"/>
      </tp>
      <tp t="s">
        <v>#N/A N/A</v>
        <stp/>
        <stp>BDH|3854593606847212504</stp>
        <tr r="U49" s="2"/>
      </tp>
      <tp t="s">
        <v>#N/A N/A</v>
        <stp/>
        <stp>BDH|5295682228714375140</stp>
        <tr r="D38" s="2"/>
      </tp>
      <tp t="s">
        <v>#N/A N/A</v>
        <stp/>
        <stp>BDH|8224339536059065527</stp>
        <tr r="U48" s="2"/>
      </tp>
      <tp t="s">
        <v>#N/A N/A</v>
        <stp/>
        <stp>BDH|4442325637577261768</stp>
        <tr r="W62" s="2"/>
      </tp>
      <tp t="s">
        <v>#N/A N/A</v>
        <stp/>
        <stp>BDH|6264147997848469202</stp>
        <tr r="F19" s="2"/>
      </tp>
      <tp t="s">
        <v>#N/A N/A</v>
        <stp/>
        <stp>BDH|7074577042012685064</stp>
        <tr r="F72" s="2"/>
      </tp>
      <tp t="s">
        <v>#N/A N/A</v>
        <stp/>
        <stp>BDH|1782724532457033625</stp>
        <tr r="L49" s="2"/>
      </tp>
      <tp t="s">
        <v>#N/A N/A</v>
        <stp/>
        <stp>BDH|7791499657961842343</stp>
        <tr r="AF52" s="2"/>
      </tp>
      <tp t="s">
        <v>#N/A N/A</v>
        <stp/>
        <stp>BDH|94841058167275358</stp>
        <tr r="AD35" s="2"/>
      </tp>
      <tp t="s">
        <v>#N/A N/A</v>
        <stp/>
        <stp>BDH|76304583246256493</stp>
        <tr r="R7" s="2"/>
      </tp>
      <tp t="s">
        <v>#N/A N/A</v>
        <stp/>
        <stp>BDH|7751273789358578061</stp>
        <tr r="Y64" s="2"/>
      </tp>
      <tp t="s">
        <v>#N/A N/A</v>
        <stp/>
        <stp>BDH|5718696702094473225</stp>
        <tr r="J71" s="2"/>
      </tp>
      <tp t="s">
        <v>#N/A N/A</v>
        <stp/>
        <stp>BDH|4839960597708190928</stp>
        <tr r="K21" s="2"/>
      </tp>
      <tp t="s">
        <v>#N/A N/A</v>
        <stp/>
        <stp>BDH|3532364909562317738</stp>
        <tr r="C66" s="2"/>
      </tp>
      <tp t="s">
        <v>#N/A N/A</v>
        <stp/>
        <stp>BDH|2185724587429905174</stp>
        <tr r="N60" s="2"/>
      </tp>
      <tp t="s">
        <v>#N/A N/A</v>
        <stp/>
        <stp>BDH|1210385016977176176</stp>
        <tr r="R45" s="2"/>
      </tp>
      <tp t="s">
        <v>#N/A N/A</v>
        <stp/>
        <stp>BDH|3247863458422274955</stp>
        <tr r="AE84" s="2"/>
      </tp>
      <tp t="s">
        <v>#N/A N/A</v>
        <stp/>
        <stp>BDH|1623437028227036565</stp>
        <tr r="J91" s="2"/>
      </tp>
      <tp t="s">
        <v>#N/A N/A</v>
        <stp/>
        <stp>BDH|3839402229521369197</stp>
        <tr r="T49" s="2"/>
      </tp>
      <tp t="s">
        <v>#N/A N/A</v>
        <stp/>
        <stp>BDH|9636912439061752728</stp>
        <tr r="O75" s="2"/>
      </tp>
      <tp t="s">
        <v>#N/A N/A</v>
        <stp/>
        <stp>BDH|5904168957290713447</stp>
        <tr r="AB17" s="2"/>
      </tp>
      <tp t="s">
        <v>#N/A N/A</v>
        <stp/>
        <stp>BDH|3130117575473788396</stp>
        <tr r="P58" s="2"/>
      </tp>
      <tp t="s">
        <v>#N/A N/A</v>
        <stp/>
        <stp>BDH|1375984683152860784</stp>
        <tr r="T69" s="2"/>
      </tp>
      <tp t="s">
        <v>#N/A N/A</v>
        <stp/>
        <stp>BDH|4788095041120296557</stp>
        <tr r="K86" s="2"/>
      </tp>
      <tp t="s">
        <v>#N/A N/A</v>
        <stp/>
        <stp>BDH|2487662559237391306</stp>
        <tr r="L31" s="2"/>
      </tp>
      <tp t="s">
        <v>#N/A N/A</v>
        <stp/>
        <stp>BDH|6907577614523049420</stp>
        <tr r="R56" s="2"/>
      </tp>
      <tp t="s">
        <v>#N/A N/A</v>
        <stp/>
        <stp>BDH|8504456319530230839</stp>
        <tr r="V28" s="2"/>
      </tp>
      <tp t="s">
        <v>#N/A N/A</v>
        <stp/>
        <stp>BDH|1590131416190162497</stp>
        <tr r="H68" s="2"/>
      </tp>
      <tp t="s">
        <v>#N/A N/A</v>
        <stp/>
        <stp>BDH|4086476981914922978</stp>
        <tr r="H12" s="2"/>
      </tp>
      <tp t="s">
        <v>#N/A N/A</v>
        <stp/>
        <stp>BDH|9203011932166042999</stp>
        <tr r="AC71" s="2"/>
      </tp>
      <tp t="s">
        <v>#N/A N/A</v>
        <stp/>
        <stp>BDH|5160120519895329505</stp>
        <tr r="T85" s="2"/>
      </tp>
      <tp t="s">
        <v>#N/A N/A</v>
        <stp/>
        <stp>BDH|5709382040576159178</stp>
        <tr r="L45" s="2"/>
      </tp>
      <tp t="s">
        <v>#N/A N/A</v>
        <stp/>
        <stp>BDH|5846559236012469461</stp>
        <tr r="J34" s="2"/>
      </tp>
      <tp t="s">
        <v>#N/A N/A</v>
        <stp/>
        <stp>BDH|9474430214019839028</stp>
        <tr r="E52" s="2"/>
      </tp>
      <tp t="s">
        <v>#N/A N/A</v>
        <stp/>
        <stp>BDH|5491303509731456207</stp>
        <tr r="AD25" s="2"/>
      </tp>
      <tp t="s">
        <v>#N/A N/A</v>
        <stp/>
        <stp>BDH|3430508515556183499</stp>
        <tr r="AA7" s="2"/>
      </tp>
      <tp t="s">
        <v>#N/A N/A</v>
        <stp/>
        <stp>BDH|1989256433300023561</stp>
        <tr r="D59" s="2"/>
      </tp>
      <tp t="s">
        <v>#N/A N/A</v>
        <stp/>
        <stp>BDH|6620495115256749031</stp>
        <tr r="AF48" s="2"/>
      </tp>
      <tp t="s">
        <v>#N/A N/A</v>
        <stp/>
        <stp>BDH|4799412220865039285</stp>
        <tr r="AA93" s="2"/>
      </tp>
      <tp t="s">
        <v>#N/A N/A</v>
        <stp/>
        <stp>BDH|9758269189324026262</stp>
        <tr r="Z73" s="2"/>
      </tp>
      <tp t="s">
        <v>#N/A N/A</v>
        <stp/>
        <stp>BDH|1419202450517393491</stp>
        <tr r="J59" s="2"/>
      </tp>
      <tp t="s">
        <v>#N/A N/A</v>
        <stp/>
        <stp>BDH|5582436847231747192</stp>
        <tr r="AA26" s="2"/>
      </tp>
      <tp t="s">
        <v>#N/A N/A</v>
        <stp/>
        <stp>BDH|7511744126016903119</stp>
        <tr r="N14" s="2"/>
      </tp>
      <tp t="s">
        <v>#N/A N/A</v>
        <stp/>
        <stp>BDH|9851247817597541820</stp>
        <tr r="C19" s="2"/>
      </tp>
      <tp t="s">
        <v>#N/A N/A</v>
        <stp/>
        <stp>BDH|2532177807675953304</stp>
        <tr r="R41" s="2"/>
      </tp>
      <tp t="s">
        <v>#N/A N/A</v>
        <stp/>
        <stp>BDH|3891716067523475468</stp>
        <tr r="V20" s="2"/>
      </tp>
      <tp t="s">
        <v>#N/A N/A</v>
        <stp/>
        <stp>BDH|4808258975932735635</stp>
        <tr r="G34" s="2"/>
      </tp>
      <tp t="s">
        <v>#N/A N/A</v>
        <stp/>
        <stp>BDH|2534697934020245267</stp>
        <tr r="J11" s="2"/>
      </tp>
      <tp t="s">
        <v>#N/A N/A</v>
        <stp/>
        <stp>BDH|4947893560828979752</stp>
        <tr r="C43" s="2"/>
      </tp>
      <tp t="s">
        <v>#N/A N/A</v>
        <stp/>
        <stp>BDH|8947499580689533889</stp>
        <tr r="I63" s="2"/>
      </tp>
      <tp t="s">
        <v>#N/A N/A</v>
        <stp/>
        <stp>BDH|6163916140617514984</stp>
        <tr r="Y69" s="2"/>
      </tp>
      <tp t="s">
        <v>#N/A N/A</v>
        <stp/>
        <stp>BDH|1340405933142460195</stp>
        <tr r="AF26" s="2"/>
      </tp>
      <tp t="s">
        <v>#N/A N/A</v>
        <stp/>
        <stp>BDH|9276891227661253730</stp>
        <tr r="M46" s="2"/>
      </tp>
      <tp t="s">
        <v>#N/A N/A</v>
        <stp/>
        <stp>BDH|7829515931592346662</stp>
        <tr r="AD71" s="2"/>
      </tp>
      <tp t="s">
        <v>#N/A N/A</v>
        <stp/>
        <stp>BDH|9093039853079811057</stp>
        <tr r="E70" s="2"/>
      </tp>
      <tp t="s">
        <v>#N/A N/A</v>
        <stp/>
        <stp>BDH|3883264023447900190</stp>
        <tr r="U55" s="2"/>
      </tp>
      <tp t="s">
        <v>#N/A N/A</v>
        <stp/>
        <stp>BDH|9281334578549118152</stp>
        <tr r="E35" s="2"/>
      </tp>
      <tp t="s">
        <v>#N/A N/A</v>
        <stp/>
        <stp>BDH|8106727966335098982</stp>
        <tr r="AB34" s="2"/>
      </tp>
      <tp t="s">
        <v>#N/A N/A</v>
        <stp/>
        <stp>BDH|4614829780289908805</stp>
        <tr r="Y25" s="2"/>
      </tp>
      <tp t="s">
        <v>#N/A N/A</v>
        <stp/>
        <stp>BDH|1403402679573801477</stp>
        <tr r="R47" s="2"/>
      </tp>
      <tp t="s">
        <v>#N/A N/A</v>
        <stp/>
        <stp>BDH|4032205422399193816</stp>
        <tr r="V14" s="2"/>
      </tp>
      <tp t="s">
        <v>#N/A N/A</v>
        <stp/>
        <stp>BDH|3781412540535464304</stp>
        <tr r="J73" s="2"/>
      </tp>
      <tp t="s">
        <v>#N/A N/A</v>
        <stp/>
        <stp>BDH|9740363029174972921</stp>
        <tr r="AF42" s="2"/>
      </tp>
      <tp t="s">
        <v>#N/A N/A</v>
        <stp/>
        <stp>BDH|1899615539143024238</stp>
        <tr r="K42" s="2"/>
      </tp>
      <tp t="s">
        <v>#N/A N/A</v>
        <stp/>
        <stp>BDH|3241933897754445218</stp>
        <tr r="U56" s="2"/>
      </tp>
      <tp t="s">
        <v>#N/A N/A</v>
        <stp/>
        <stp>BDH|4911870606188933114</stp>
        <tr r="X23" s="2"/>
      </tp>
      <tp t="s">
        <v>#N/A N/A</v>
        <stp/>
        <stp>BDH|6409913685995305731</stp>
        <tr r="M53" s="2"/>
      </tp>
      <tp t="s">
        <v>#N/A N/A</v>
        <stp/>
        <stp>BDH|5065317684753220865</stp>
        <tr r="C22" s="2"/>
      </tp>
      <tp t="s">
        <v>#N/A N/A</v>
        <stp/>
        <stp>BDH|6574659693684684844</stp>
        <tr r="J14" s="2"/>
      </tp>
      <tp t="s">
        <v>#N/A N/A</v>
        <stp/>
        <stp>BDH|1077084192825241894</stp>
        <tr r="S33" s="2"/>
      </tp>
      <tp t="s">
        <v>#N/A N/A</v>
        <stp/>
        <stp>BDH|2382115565331366153</stp>
        <tr r="Z44" s="2"/>
      </tp>
      <tp t="s">
        <v>#N/A N/A</v>
        <stp/>
        <stp>BDH|1936778669824197177</stp>
        <tr r="Z51" s="2"/>
      </tp>
      <tp t="s">
        <v>#N/A N/A</v>
        <stp/>
        <stp>BDH|3983885982447737128</stp>
        <tr r="G52" s="2"/>
      </tp>
      <tp t="s">
        <v>#N/A N/A</v>
        <stp/>
        <stp>BDH|7922625282294931863</stp>
        <tr r="AA50" s="2"/>
      </tp>
      <tp t="s">
        <v>#N/A N/A</v>
        <stp/>
        <stp>BDH|2689700253375198024</stp>
        <tr r="S34" s="2"/>
      </tp>
      <tp t="s">
        <v>#N/A N/A</v>
        <stp/>
        <stp>BDH|9938196496267177316</stp>
        <tr r="AA61" s="2"/>
      </tp>
      <tp t="s">
        <v>#N/A N/A</v>
        <stp/>
        <stp>BDH|7099313207580177110</stp>
        <tr r="E46" s="2"/>
      </tp>
      <tp t="s">
        <v>#N/A N/A</v>
        <stp/>
        <stp>BDH|3234228566706504457</stp>
        <tr r="Y11" s="2"/>
      </tp>
      <tp t="s">
        <v>#N/A N/A</v>
        <stp/>
        <stp>BDH|4825025009392719329</stp>
        <tr r="Z89" s="2"/>
      </tp>
      <tp t="s">
        <v>#N/A N/A</v>
        <stp/>
        <stp>BDH|4539940790414333548</stp>
        <tr r="AE32" s="2"/>
      </tp>
      <tp t="s">
        <v>#N/A N/A</v>
        <stp/>
        <stp>BDH|1603000903804657052</stp>
        <tr r="Q42" s="2"/>
      </tp>
      <tp t="s">
        <v>#N/A N/A</v>
        <stp/>
        <stp>BDH|6734745447395410575</stp>
        <tr r="V31" s="2"/>
      </tp>
      <tp t="s">
        <v>#N/A N/A</v>
        <stp/>
        <stp>BDH|1235262941566478466</stp>
        <tr r="T17" s="2"/>
      </tp>
      <tp t="s">
        <v>#N/A N/A</v>
        <stp/>
        <stp>BDH|8326128093685734027</stp>
        <tr r="AA19" s="2"/>
      </tp>
      <tp t="s">
        <v>#N/A N/A</v>
        <stp/>
        <stp>BDH|7025564923795256031</stp>
        <tr r="AB53" s="2"/>
      </tp>
      <tp t="s">
        <v>#N/A N/A</v>
        <stp/>
        <stp>BDH|1634396668022642340</stp>
        <tr r="X24" s="2"/>
      </tp>
      <tp t="s">
        <v>#N/A N/A</v>
        <stp/>
        <stp>BDH|3610851540148419220</stp>
        <tr r="E43" s="2"/>
      </tp>
      <tp t="s">
        <v>#N/A N/A</v>
        <stp/>
        <stp>BDH|6320133643354118273</stp>
        <tr r="AA47" s="2"/>
      </tp>
      <tp t="s">
        <v>#N/A N/A</v>
        <stp/>
        <stp>BDH|4962592506317001333</stp>
        <tr r="AF94" s="2"/>
      </tp>
      <tp t="s">
        <v>#N/A N/A</v>
        <stp/>
        <stp>BDH|3336050094098942415</stp>
        <tr r="L23" s="2"/>
      </tp>
      <tp t="s">
        <v>#N/A N/A</v>
        <stp/>
        <stp>BDH|1291781835916354561</stp>
        <tr r="I15" s="2"/>
      </tp>
      <tp t="s">
        <v>#N/A N/A</v>
        <stp/>
        <stp>BDH|8351805768513811392</stp>
        <tr r="P22" s="2"/>
      </tp>
      <tp t="s">
        <v>#N/A N/A</v>
        <stp/>
        <stp>BDH|9252215328057028814</stp>
        <tr r="U10" s="2"/>
      </tp>
      <tp t="s">
        <v>#N/A N/A</v>
        <stp/>
        <stp>BDH|1952751937836788569</stp>
        <tr r="D47" s="2"/>
      </tp>
      <tp t="s">
        <v>#N/A N/A</v>
        <stp/>
        <stp>BDH|2392589912289455964</stp>
        <tr r="AE82" s="2"/>
      </tp>
      <tp t="s">
        <v>#N/A N/A</v>
        <stp/>
        <stp>BDH|6753958385414910554</stp>
        <tr r="T41" s="2"/>
      </tp>
      <tp t="s">
        <v>#N/A N/A</v>
        <stp/>
        <stp>BDH|8522433850529664683</stp>
        <tr r="Q87" s="2"/>
      </tp>
      <tp t="s">
        <v>#N/A N/A</v>
        <stp/>
        <stp>BDH|9366049479591500939</stp>
        <tr r="K73" s="2"/>
      </tp>
      <tp t="s">
        <v>#N/A N/A</v>
        <stp/>
        <stp>BDH|3176252660247859640</stp>
        <tr r="Z75" s="2"/>
      </tp>
      <tp t="s">
        <v>#N/A N/A</v>
        <stp/>
        <stp>BDH|5358492470072614242</stp>
        <tr r="L13" s="2"/>
      </tp>
      <tp t="s">
        <v>#N/A N/A</v>
        <stp/>
        <stp>BDH|3698397061267431726</stp>
        <tr r="AB91" s="2"/>
      </tp>
      <tp t="s">
        <v>#N/A N/A</v>
        <stp/>
        <stp>BDH|9869565413858517303</stp>
        <tr r="W41" s="2"/>
      </tp>
      <tp t="s">
        <v>#N/A N/A</v>
        <stp/>
        <stp>BDH|6170375524372396392</stp>
        <tr r="O73" s="2"/>
      </tp>
      <tp t="s">
        <v>#N/A N/A</v>
        <stp/>
        <stp>BDH|5293316099319465060</stp>
        <tr r="N83" s="2"/>
      </tp>
      <tp t="s">
        <v>#N/A N/A</v>
        <stp/>
        <stp>BDH|8787663080696149686</stp>
        <tr r="H27" s="2"/>
      </tp>
      <tp t="s">
        <v>#N/A N/A</v>
        <stp/>
        <stp>BDH|3121686150531519750</stp>
        <tr r="P53" s="2"/>
      </tp>
      <tp t="s">
        <v>#N/A N/A</v>
        <stp/>
        <stp>BDH|4838575247011736267</stp>
        <tr r="P74" s="2"/>
      </tp>
      <tp t="s">
        <v>#N/A N/A</v>
        <stp/>
        <stp>BDH|8906061607338741617</stp>
        <tr r="J72" s="2"/>
      </tp>
      <tp t="s">
        <v>#N/A N/A</v>
        <stp/>
        <stp>BDH|6125445568517170521</stp>
        <tr r="J55" s="2"/>
      </tp>
      <tp t="s">
        <v>#N/A N/A</v>
        <stp/>
        <stp>BDH|7740005010586914601</stp>
        <tr r="K38" s="2"/>
      </tp>
      <tp t="s">
        <v>#N/A N/A</v>
        <stp/>
        <stp>BDH|2569925029957317832</stp>
        <tr r="Q47" s="2"/>
      </tp>
      <tp t="s">
        <v>#N/A N/A</v>
        <stp/>
        <stp>BDH|2223197663777537439</stp>
        <tr r="AD20" s="2"/>
      </tp>
      <tp t="s">
        <v>#N/A N/A</v>
        <stp/>
        <stp>BDH|4602004156950877762</stp>
        <tr r="N18" s="2"/>
      </tp>
      <tp t="s">
        <v>#N/A N/A</v>
        <stp/>
        <stp>BDH|4429278831264534796</stp>
        <tr r="T77" s="2"/>
      </tp>
      <tp t="s">
        <v>#N/A N/A</v>
        <stp/>
        <stp>BDH|2847044203465242123</stp>
        <tr r="F20" s="2"/>
      </tp>
      <tp t="s">
        <v>#N/A N/A</v>
        <stp/>
        <stp>BDH|7089303749781795724</stp>
        <tr r="N88" s="2"/>
      </tp>
      <tp t="s">
        <v>#N/A N/A</v>
        <stp/>
        <stp>BDH|4626448606097194191</stp>
        <tr r="Y85" s="2"/>
      </tp>
      <tp t="s">
        <v>#N/A N/A</v>
        <stp/>
        <stp>BDH|7042427312475923151</stp>
        <tr r="N53" s="2"/>
      </tp>
      <tp t="s">
        <v>#N/A N/A</v>
        <stp/>
        <stp>BDH|5151915308833109950</stp>
        <tr r="AC21" s="2"/>
      </tp>
      <tp t="s">
        <v>#N/A N/A</v>
        <stp/>
        <stp>BDH|4100253944967521395</stp>
        <tr r="K11" s="2"/>
      </tp>
      <tp t="s">
        <v>#N/A N/A</v>
        <stp/>
        <stp>BDH|8256496517132335921</stp>
        <tr r="C49" s="2"/>
      </tp>
      <tp t="s">
        <v>#N/A N/A</v>
        <stp/>
        <stp>BDH|8194984318455487383</stp>
        <tr r="L66" s="2"/>
      </tp>
      <tp t="s">
        <v>#N/A N/A</v>
        <stp/>
        <stp>BDH|8511010188776300024</stp>
        <tr r="AD10" s="2"/>
      </tp>
      <tp t="s">
        <v>#N/A N/A</v>
        <stp/>
        <stp>BDH|8798618298611140024</stp>
        <tr r="AB54" s="2"/>
      </tp>
      <tp t="s">
        <v>#N/A N/A</v>
        <stp/>
        <stp>BDH|7628728233694319194</stp>
        <tr r="W74" s="2"/>
      </tp>
      <tp t="s">
        <v>#N/A N/A</v>
        <stp/>
        <stp>BDH|1263745240837267396</stp>
        <tr r="M17" s="2"/>
      </tp>
      <tp t="s">
        <v>#N/A N/A</v>
        <stp/>
        <stp>BDH|3919668853095940382</stp>
        <tr r="Y88" s="2"/>
      </tp>
      <tp t="s">
        <v>#N/A N/A</v>
        <stp/>
        <stp>BDH|1936367919365250062</stp>
        <tr r="I16" s="2"/>
      </tp>
      <tp t="s">
        <v>#N/A N/A</v>
        <stp/>
        <stp>BDH|2655395638983795725</stp>
        <tr r="R28" s="2"/>
      </tp>
      <tp t="s">
        <v>#N/A N/A</v>
        <stp/>
        <stp>BDH|6247146213537633710</stp>
        <tr r="AE58" s="2"/>
      </tp>
      <tp t="s">
        <v>#N/A N/A</v>
        <stp/>
        <stp>BDH|2512160265655245665</stp>
        <tr r="M42" s="2"/>
      </tp>
      <tp t="s">
        <v>#N/A N/A</v>
        <stp/>
        <stp>BDH|6680807636482769954</stp>
        <tr r="R33" s="2"/>
      </tp>
      <tp t="s">
        <v>#N/A N/A</v>
        <stp/>
        <stp>BDH|3126367432515238059</stp>
        <tr r="V29" s="2"/>
      </tp>
      <tp t="s">
        <v>#N/A N/A</v>
        <stp/>
        <stp>BDH|5922458769219268853</stp>
        <tr r="E86" s="2"/>
      </tp>
      <tp t="s">
        <v>#N/A N/A</v>
        <stp/>
        <stp>BDH|1201433716975720738</stp>
        <tr r="T19" s="2"/>
      </tp>
      <tp t="s">
        <v>#N/A N/A</v>
        <stp/>
        <stp>BDH|3515371172442302306</stp>
        <tr r="H44" s="2"/>
      </tp>
      <tp t="s">
        <v>#N/A N/A</v>
        <stp/>
        <stp>BDH|3299747341325565313</stp>
        <tr r="D62" s="2"/>
      </tp>
      <tp t="s">
        <v>#N/A N/A</v>
        <stp/>
        <stp>BDH|9474329291652723737</stp>
        <tr r="AD7" s="2"/>
      </tp>
      <tp t="s">
        <v>#N/A N/A</v>
        <stp/>
        <stp>BDH|6421353831258403842</stp>
        <tr r="I93" s="2"/>
      </tp>
      <tp t="s">
        <v>#N/A N/A</v>
        <stp/>
        <stp>BDH|1548040791056332837</stp>
        <tr r="S10" s="2"/>
      </tp>
      <tp t="s">
        <v>#N/A N/A</v>
        <stp/>
        <stp>BDH|8723166098204858210</stp>
        <tr r="T82" s="2"/>
      </tp>
      <tp t="s">
        <v>#N/A N/A</v>
        <stp/>
        <stp>BDH|4480739000846165368</stp>
        <tr r="R66" s="2"/>
      </tp>
      <tp t="s">
        <v>#N/A N/A</v>
        <stp/>
        <stp>BDH|7895401663777315486</stp>
        <tr r="Y17" s="2"/>
      </tp>
      <tp t="s">
        <v>#N/A N/A</v>
        <stp/>
        <stp>BDH|7106513644143660337</stp>
        <tr r="AF56" s="2"/>
      </tp>
      <tp t="s">
        <v>#N/A N/A</v>
        <stp/>
        <stp>BDH|7512351468357126385</stp>
        <tr r="K93" s="2"/>
      </tp>
      <tp t="s">
        <v>#N/A N/A</v>
        <stp/>
        <stp>BDH|2503671011381049220</stp>
        <tr r="AA25" s="2"/>
      </tp>
      <tp t="s">
        <v>#N/A N/A</v>
        <stp/>
        <stp>BDH|2926966575803876936</stp>
        <tr r="C89" s="2"/>
      </tp>
      <tp t="s">
        <v>#N/A N/A</v>
        <stp/>
        <stp>BDH|2264446753215483004</stp>
        <tr r="I59" s="2"/>
      </tp>
      <tp t="s">
        <v>#N/A N/A</v>
        <stp/>
        <stp>BDH|1167314674622621145</stp>
        <tr r="F81" s="2"/>
      </tp>
      <tp t="s">
        <v>#N/A N/A</v>
        <stp/>
        <stp>BDH|3795353924045485147</stp>
        <tr r="M26" s="2"/>
      </tp>
      <tp t="s">
        <v>#N/A N/A</v>
        <stp/>
        <stp>BDH|6632152530831493319</stp>
        <tr r="C91" s="2"/>
      </tp>
      <tp t="s">
        <v>#N/A N/A</v>
        <stp/>
        <stp>BDH|6193633827610447473</stp>
        <tr r="J48" s="2"/>
      </tp>
      <tp t="s">
        <v>#N/A N/A</v>
        <stp/>
        <stp>BDH|1704473601753342065</stp>
        <tr r="O21" s="2"/>
      </tp>
      <tp t="s">
        <v>#N/A N/A</v>
        <stp/>
        <stp>BDH|1019577861514328017</stp>
        <tr r="R62" s="2"/>
      </tp>
      <tp t="s">
        <v>#N/A N/A</v>
        <stp/>
        <stp>BDH|9084053230285437954</stp>
        <tr r="Z18" s="2"/>
      </tp>
      <tp t="s">
        <v>#N/A N/A</v>
        <stp/>
        <stp>BDH|2550982402519216483</stp>
        <tr r="AB60" s="2"/>
      </tp>
      <tp t="s">
        <v>#N/A N/A</v>
        <stp/>
        <stp>BDH|8154203244758310032</stp>
        <tr r="AC67" s="2"/>
      </tp>
      <tp t="s">
        <v>#N/A N/A</v>
        <stp/>
        <stp>BDH|3694069306831228418</stp>
        <tr r="E77" s="2"/>
      </tp>
      <tp t="s">
        <v>#N/A N/A</v>
        <stp/>
        <stp>BDH|3018932387546015212</stp>
        <tr r="H62" s="2"/>
      </tp>
      <tp t="s">
        <v>#N/A N/A</v>
        <stp/>
        <stp>BDH|8562980096178613680</stp>
        <tr r="T12" s="2"/>
      </tp>
      <tp t="s">
        <v>#N/A N/A</v>
        <stp/>
        <stp>BDH|7592136274854054374</stp>
        <tr r="X50" s="2"/>
      </tp>
      <tp t="s">
        <v>#N/A N/A</v>
        <stp/>
        <stp>BDH|3131671872565337122</stp>
        <tr r="J7" s="2"/>
      </tp>
      <tp t="s">
        <v>#N/A N/A</v>
        <stp/>
        <stp>BDH|5669772920096385074</stp>
        <tr r="R53" s="2"/>
      </tp>
      <tp t="s">
        <v>#N/A N/A</v>
        <stp/>
        <stp>BDH|4345208595168152123</stp>
        <tr r="P75" s="2"/>
      </tp>
      <tp t="s">
        <v>#N/A N/A</v>
        <stp/>
        <stp>BDH|8270957113905165301</stp>
        <tr r="J49" s="2"/>
      </tp>
      <tp t="s">
        <v>#N/A N/A</v>
        <stp/>
        <stp>BDH|79279305469361024</stp>
        <tr r="AB18" s="2"/>
      </tp>
      <tp t="s">
        <v>#N/A N/A</v>
        <stp/>
        <stp>BDH|6503386626729762966</stp>
        <tr r="W82" s="2"/>
      </tp>
      <tp t="s">
        <v>#N/A N/A</v>
        <stp/>
        <stp>BDH|3715407344620005494</stp>
        <tr r="F30" s="2"/>
      </tp>
      <tp t="s">
        <v>#N/A N/A</v>
        <stp/>
        <stp>BDH|8642920663401501186</stp>
        <tr r="S51" s="2"/>
      </tp>
      <tp t="s">
        <v>#N/A N/A</v>
        <stp/>
        <stp>BDH|1291810784957563180</stp>
        <tr r="S47" s="2"/>
      </tp>
      <tp t="s">
        <v>#N/A N/A</v>
        <stp/>
        <stp>BDH|1137238209710750460</stp>
        <tr r="J46" s="2"/>
      </tp>
      <tp t="s">
        <v>#N/A N/A</v>
        <stp/>
        <stp>BDH|7382912326072820961</stp>
        <tr r="T40" s="2"/>
      </tp>
      <tp t="s">
        <v>#N/A N/A</v>
        <stp/>
        <stp>BDH|1853029976611206045</stp>
        <tr r="AA17" s="2"/>
      </tp>
      <tp t="s">
        <v>#N/A N/A</v>
        <stp/>
        <stp>BDH|6322453960454553781</stp>
        <tr r="C67" s="2"/>
      </tp>
      <tp t="s">
        <v>#N/A N/A</v>
        <stp/>
        <stp>BDH|2769895798695711190</stp>
        <tr r="O25" s="2"/>
      </tp>
      <tp t="s">
        <v>#N/A N/A</v>
        <stp/>
        <stp>BDH|7524162542990822512</stp>
        <tr r="M32" s="2"/>
      </tp>
      <tp t="s">
        <v>#N/A N/A</v>
        <stp/>
        <stp>BDH|2239444712781480180</stp>
        <tr r="M60" s="2"/>
      </tp>
      <tp t="s">
        <v>#N/A N/A</v>
        <stp/>
        <stp>BDH|5008293534123307069</stp>
        <tr r="Z34" s="2"/>
      </tp>
      <tp t="s">
        <v>#N/A N/A</v>
        <stp/>
        <stp>BDH|5911517681097699875</stp>
        <tr r="AC94" s="2"/>
      </tp>
      <tp t="s">
        <v>#N/A N/A</v>
        <stp/>
        <stp>BDH|7448848499697213628</stp>
        <tr r="AB47" s="2"/>
      </tp>
      <tp t="s">
        <v>#N/A N/A</v>
        <stp/>
        <stp>BDH|8671342469659586379</stp>
        <tr r="E76" s="2"/>
      </tp>
      <tp t="s">
        <v>#N/A N/A</v>
        <stp/>
        <stp>BDH|5246248450272794783</stp>
        <tr r="AC87" s="2"/>
      </tp>
      <tp t="s">
        <v>#N/A N/A</v>
        <stp/>
        <stp>BDH|7587497671887551415</stp>
        <tr r="E92" s="2"/>
      </tp>
      <tp t="s">
        <v>#N/A N/A</v>
        <stp/>
        <stp>BDH|8663258647679917039</stp>
        <tr r="M38" s="2"/>
      </tp>
      <tp t="s">
        <v>#N/A N/A</v>
        <stp/>
        <stp>BDH|2010949945631920966</stp>
        <tr r="E60" s="2"/>
      </tp>
      <tp t="s">
        <v>#N/A N/A</v>
        <stp/>
        <stp>BDH|2553709032265862415</stp>
        <tr r="N86" s="2"/>
      </tp>
      <tp t="s">
        <v>#N/A N/A</v>
        <stp/>
        <stp>BDH|2834057250177300709</stp>
        <tr r="C74" s="2"/>
      </tp>
      <tp t="s">
        <v>#N/A N/A</v>
        <stp/>
        <stp>BDH|5016590604372443579</stp>
        <tr r="I81" s="2"/>
      </tp>
      <tp t="s">
        <v>#N/A N/A</v>
        <stp/>
        <stp>BDH|2926547529796362487</stp>
        <tr r="H42" s="2"/>
      </tp>
      <tp t="s">
        <v>#N/A N/A</v>
        <stp/>
        <stp>BDH|9737966868449356856</stp>
        <tr r="D68" s="2"/>
      </tp>
      <tp t="s">
        <v>#N/A N/A</v>
        <stp/>
        <stp>BDH|2647588472554389305</stp>
        <tr r="X83" s="2"/>
      </tp>
      <tp t="s">
        <v>#N/A N/A</v>
        <stp/>
        <stp>BDH|2969041930662720459</stp>
        <tr r="Y56" s="2"/>
      </tp>
      <tp t="s">
        <v>#N/A N/A</v>
        <stp/>
        <stp>BDH|4483092723740930183</stp>
        <tr r="O92" s="2"/>
      </tp>
      <tp t="s">
        <v>#N/A N/A</v>
        <stp/>
        <stp>BDH|7779446742737988770</stp>
        <tr r="C32" s="2"/>
      </tp>
      <tp t="s">
        <v>#N/A N/A</v>
        <stp/>
        <stp>BDH|3175175428913390413</stp>
        <tr r="L39" s="2"/>
      </tp>
      <tp t="s">
        <v>#N/A N/A</v>
        <stp/>
        <stp>BDH|3766661577782975737</stp>
        <tr r="D19" s="2"/>
      </tp>
      <tp t="s">
        <v>#N/A N/A</v>
        <stp/>
        <stp>BDH|2534253435387911300</stp>
        <tr r="J84" s="2"/>
      </tp>
      <tp t="s">
        <v>#N/A N/A</v>
        <stp/>
        <stp>BDH|7453321214367908572</stp>
        <tr r="D32" s="2"/>
      </tp>
      <tp t="s">
        <v>#N/A N/A</v>
        <stp/>
        <stp>BDH|2721701679613598678</stp>
        <tr r="Z41" s="2"/>
      </tp>
      <tp t="s">
        <v>#N/A N/A</v>
        <stp/>
        <stp>BDH|4241129036169208882</stp>
        <tr r="N64" s="2"/>
      </tp>
      <tp t="s">
        <v>#N/A N/A</v>
        <stp/>
        <stp>BDH|7849166299198352096</stp>
        <tr r="L70" s="2"/>
      </tp>
      <tp t="s">
        <v>#N/A N/A</v>
        <stp/>
        <stp>BDH|5308530906622956520</stp>
        <tr r="U57" s="2"/>
      </tp>
      <tp t="s">
        <v>#N/A N/A</v>
        <stp/>
        <stp>BDH|8443080806357609815</stp>
        <tr r="J43" s="2"/>
      </tp>
      <tp t="s">
        <v>#N/A N/A</v>
        <stp/>
        <stp>BDH|4935462374126663603</stp>
        <tr r="AC83" s="2"/>
      </tp>
      <tp t="s">
        <v>#N/A N/A</v>
        <stp/>
        <stp>BDH|1228923946413224890</stp>
        <tr r="D94" s="2"/>
      </tp>
      <tp t="s">
        <v>#N/A N/A</v>
        <stp/>
        <stp>BDH|3925652476176653312</stp>
        <tr r="AD44" s="2"/>
      </tp>
      <tp t="s">
        <v>#N/A N/A</v>
        <stp/>
        <stp>BDH|5935150427553494229</stp>
        <tr r="L84" s="2"/>
      </tp>
      <tp t="s">
        <v>#N/A N/A</v>
        <stp/>
        <stp>BDH|2300637458000097656</stp>
        <tr r="O32" s="2"/>
      </tp>
      <tp t="s">
        <v>#N/A N/A</v>
        <stp/>
        <stp>BDH|1110082510916358177</stp>
        <tr r="L87" s="2"/>
      </tp>
      <tp t="s">
        <v>#N/A N/A</v>
        <stp/>
        <stp>BDH|3688321448382940183</stp>
        <tr r="K39" s="2"/>
      </tp>
      <tp t="s">
        <v>#N/A N/A</v>
        <stp/>
        <stp>BDH|2578470807947838600</stp>
        <tr r="S21" s="2"/>
      </tp>
      <tp t="s">
        <v>#N/A N/A</v>
        <stp/>
        <stp>BDH|1801124881518581735</stp>
        <tr r="P32" s="2"/>
      </tp>
      <tp t="s">
        <v>#N/A N/A</v>
        <stp/>
        <stp>BDH|2966186925377130173</stp>
        <tr r="H55" s="2"/>
      </tp>
      <tp t="s">
        <v>#N/A N/A</v>
        <stp/>
        <stp>BDH|2039240866739154814</stp>
        <tr r="M70" s="2"/>
      </tp>
      <tp t="s">
        <v>#N/A N/A</v>
        <stp/>
        <stp>BDH|3837522697220602895</stp>
        <tr r="AF8" s="2"/>
      </tp>
      <tp t="s">
        <v>#N/A N/A</v>
        <stp/>
        <stp>BDH|3129516989098942126</stp>
        <tr r="U32" s="2"/>
      </tp>
      <tp t="s">
        <v>#N/A N/A</v>
        <stp/>
        <stp>BDH|1541632716058773958</stp>
        <tr r="AC59" s="2"/>
      </tp>
      <tp t="s">
        <v>#N/A N/A</v>
        <stp/>
        <stp>BDH|4279015863704181135</stp>
        <tr r="AF81" s="2"/>
      </tp>
      <tp t="s">
        <v>#N/A N/A</v>
        <stp/>
        <stp>BDH|7311201245963107551</stp>
        <tr r="M16" s="2"/>
      </tp>
      <tp t="s">
        <v>#N/A N/A</v>
        <stp/>
        <stp>BDH|3475598644590832533</stp>
        <tr r="M41" s="2"/>
      </tp>
      <tp t="s">
        <v>#N/A N/A</v>
        <stp/>
        <stp>BDH|4096262908366879742</stp>
        <tr r="K92" s="2"/>
      </tp>
      <tp t="s">
        <v>#N/A N/A</v>
        <stp/>
        <stp>BDH|3911234408876229022</stp>
        <tr r="P30" s="2"/>
      </tp>
      <tp t="s">
        <v>#N/A N/A</v>
        <stp/>
        <stp>BDH|2014739592729793256</stp>
        <tr r="AF59" s="2"/>
      </tp>
      <tp t="s">
        <v>#N/A N/A</v>
        <stp/>
        <stp>BDH|2652891907479861435</stp>
        <tr r="J40" s="2"/>
      </tp>
      <tp t="s">
        <v>#N/A N/A</v>
        <stp/>
        <stp>BDH|2996181576584013748</stp>
        <tr r="AB86" s="2"/>
      </tp>
      <tp t="s">
        <v>#N/A N/A</v>
        <stp/>
        <stp>BDH|1776403973204048174</stp>
        <tr r="N19" s="2"/>
      </tp>
      <tp t="s">
        <v>#N/A N/A</v>
        <stp/>
        <stp>BDH|3042970548531963851</stp>
        <tr r="O56" s="2"/>
      </tp>
      <tp t="s">
        <v>#N/A N/A</v>
        <stp/>
        <stp>BDH|6408967515439220067</stp>
        <tr r="Q65" s="2"/>
      </tp>
      <tp t="s">
        <v>#N/A N/A</v>
        <stp/>
        <stp>BDH|1773039707371038707</stp>
        <tr r="W34" s="2"/>
      </tp>
      <tp t="s">
        <v>#N/A N/A</v>
        <stp/>
        <stp>BDH|2033096463603107089</stp>
        <tr r="R51" s="2"/>
      </tp>
      <tp t="s">
        <v>#N/A N/A</v>
        <stp/>
        <stp>BDH|5442087510044911768</stp>
        <tr r="N34" s="2"/>
      </tp>
      <tp t="s">
        <v>#N/A N/A</v>
        <stp/>
        <stp>BDH|1091288435682685583</stp>
        <tr r="U91" s="2"/>
      </tp>
      <tp t="s">
        <v>#N/A N/A</v>
        <stp/>
        <stp>BDH|2438159006280798400</stp>
        <tr r="J8" s="2"/>
      </tp>
      <tp t="s">
        <v>#N/A N/A</v>
        <stp/>
        <stp>BDH|1019132071562778253</stp>
        <tr r="V21" s="2"/>
      </tp>
      <tp t="s">
        <v>#N/A N/A</v>
        <stp/>
        <stp>BDH|6195249604223033014</stp>
        <tr r="M76" s="2"/>
      </tp>
      <tp t="s">
        <v>#N/A N/A</v>
        <stp/>
        <stp>BDH|1411645213302332300</stp>
        <tr r="I73" s="2"/>
      </tp>
      <tp t="s">
        <v>#N/A N/A</v>
        <stp/>
        <stp>BDH|7609066757994075174</stp>
        <tr r="Z49" s="2"/>
      </tp>
      <tp t="s">
        <v>#N/A N/A</v>
        <stp/>
        <stp>BDH|4699830190687168559</stp>
        <tr r="C58" s="2"/>
      </tp>
      <tp t="s">
        <v>#N/A N/A</v>
        <stp/>
        <stp>BDH|5465951534499211161</stp>
        <tr r="X65" s="2"/>
      </tp>
      <tp t="s">
        <v>#N/A N/A</v>
        <stp/>
        <stp>BDH|9964373235429852729</stp>
        <tr r="AC70" s="2"/>
      </tp>
      <tp t="s">
        <v>#N/A N/A</v>
        <stp/>
        <stp>BDH|6758629722340265544</stp>
        <tr r="P19" s="2"/>
      </tp>
      <tp t="s">
        <v>#N/A N/A</v>
        <stp/>
        <stp>BDH|4452754917634190163</stp>
        <tr r="AD31" s="2"/>
      </tp>
      <tp t="s">
        <v>#N/A N/A</v>
        <stp/>
        <stp>BDH|9083612913610126922</stp>
        <tr r="D14" s="2"/>
      </tp>
      <tp t="s">
        <v>#N/A N/A</v>
        <stp/>
        <stp>BDH|5265157534089578903</stp>
        <tr r="K54" s="2"/>
      </tp>
      <tp t="s">
        <v>#N/A N/A</v>
        <stp/>
        <stp>BDH|8234535659149709692</stp>
        <tr r="F87" s="2"/>
      </tp>
      <tp t="s">
        <v>#N/A N/A</v>
        <stp/>
        <stp>BDH|9198497543039528785</stp>
        <tr r="AF7" s="2"/>
      </tp>
      <tp t="s">
        <v>#N/A N/A</v>
        <stp/>
        <stp>BDH|7547358349790700780</stp>
        <tr r="L74" s="2"/>
      </tp>
      <tp t="s">
        <v>#N/A N/A</v>
        <stp/>
        <stp>BDH|2323370372610952185</stp>
        <tr r="E44" s="2"/>
      </tp>
      <tp t="s">
        <v>#N/A N/A</v>
        <stp/>
        <stp>BDH|2126355955012699109</stp>
        <tr r="V13" s="2"/>
      </tp>
      <tp t="s">
        <v>#N/A N/A</v>
        <stp/>
        <stp>BDH|3281030886028693467</stp>
        <tr r="Y73" s="2"/>
      </tp>
      <tp t="s">
        <v>#N/A N/A</v>
        <stp/>
        <stp>BDH|6296399305724072699</stp>
        <tr r="AB55" s="2"/>
      </tp>
      <tp t="s">
        <v>#N/A N/A</v>
        <stp/>
        <stp>BDH|4719642230606610029</stp>
        <tr r="E50" s="2"/>
      </tp>
      <tp t="s">
        <v>#N/A N/A</v>
        <stp/>
        <stp>BDH|2073139973296050548</stp>
        <tr r="X8" s="2"/>
      </tp>
      <tp t="s">
        <v>#N/A N/A</v>
        <stp/>
        <stp>BDH|8291913857594361739</stp>
        <tr r="AA31" s="2"/>
      </tp>
      <tp t="s">
        <v>#N/A N/A</v>
        <stp/>
        <stp>BDH|6869104663930894670</stp>
        <tr r="W91" s="2"/>
      </tp>
      <tp t="s">
        <v>#N/A N/A</v>
        <stp/>
        <stp>BDH|4015454966603307246</stp>
        <tr r="AD89" s="2"/>
      </tp>
      <tp t="s">
        <v>#N/A N/A</v>
        <stp/>
        <stp>BDH|1572015628983873708</stp>
        <tr r="AC25" s="2"/>
      </tp>
      <tp t="s">
        <v>#N/A N/A</v>
        <stp/>
        <stp>BDH|9506639610508209108</stp>
        <tr r="I45" s="2"/>
      </tp>
      <tp t="s">
        <v>#N/A N/A</v>
        <stp/>
        <stp>BDH|7995620171073938273</stp>
        <tr r="R24" s="2"/>
      </tp>
      <tp t="s">
        <v>#N/A N/A</v>
        <stp/>
        <stp>BDH|6892371043381933715</stp>
        <tr r="F8" s="2"/>
      </tp>
      <tp t="s">
        <v>#N/A N/A</v>
        <stp/>
        <stp>BDH|8483215514528738424</stp>
        <tr r="AE46" s="2"/>
      </tp>
      <tp t="s">
        <v>#N/A N/A</v>
        <stp/>
        <stp>BDH|1499039245734021675</stp>
        <tr r="D58" s="2"/>
      </tp>
      <tp t="s">
        <v>#N/A N/A</v>
        <stp/>
        <stp>BDH|8190969158037263484</stp>
        <tr r="K76" s="2"/>
      </tp>
      <tp t="s">
        <v>#N/A N/A</v>
        <stp/>
        <stp>BDH|2509116700467439357</stp>
        <tr r="Z94" s="2"/>
      </tp>
      <tp t="s">
        <v>#N/A N/A</v>
        <stp/>
        <stp>BDH|7769057636440245338</stp>
        <tr r="AE40" s="2"/>
      </tp>
      <tp t="s">
        <v>#N/A N/A</v>
        <stp/>
        <stp>BDH|3876489124057716565</stp>
        <tr r="R76" s="2"/>
      </tp>
      <tp t="s">
        <v>#N/A N/A</v>
        <stp/>
        <stp>BDH|6303245545483585423</stp>
        <tr r="AB8" s="2"/>
      </tp>
      <tp t="s">
        <v>#N/A N/A</v>
        <stp/>
        <stp>BDH|2714576250982006751</stp>
        <tr r="AD16" s="2"/>
      </tp>
      <tp t="s">
        <v>#N/A N/A</v>
        <stp/>
        <stp>BDH|7886146909735835378</stp>
        <tr r="O62" s="2"/>
      </tp>
      <tp t="s">
        <v>#N/A N/A</v>
        <stp/>
        <stp>BDH|7833992325578653484</stp>
        <tr r="F51" s="2"/>
      </tp>
      <tp t="s">
        <v>#N/A N/A</v>
        <stp/>
        <stp>BDH|3427989985445737745</stp>
        <tr r="AB29" s="2"/>
      </tp>
      <tp t="s">
        <v>#N/A N/A</v>
        <stp/>
        <stp>BDH|8669945038954638663</stp>
        <tr r="W64" s="2"/>
      </tp>
      <tp t="s">
        <v>#N/A N/A</v>
        <stp/>
        <stp>BDH|9004093085983087268</stp>
        <tr r="L58" s="2"/>
      </tp>
      <tp t="s">
        <v>#N/A N/A</v>
        <stp/>
        <stp>BDH|2645581915023968591</stp>
        <tr r="S41" s="2"/>
      </tp>
      <tp t="s">
        <v>#N/A N/A</v>
        <stp/>
        <stp>BDH|1801377573601434437</stp>
        <tr r="C13" s="2"/>
      </tp>
      <tp t="s">
        <v>#N/A N/A</v>
        <stp/>
        <stp>BDH|7350135233061902421</stp>
        <tr r="H84" s="2"/>
      </tp>
      <tp t="s">
        <v>#N/A N/A</v>
        <stp/>
        <stp>BDH|9238192760386205813</stp>
        <tr r="X41" s="2"/>
      </tp>
      <tp t="s">
        <v>#N/A N/A</v>
        <stp/>
        <stp>BDH|1822223206005797638</stp>
        <tr r="H87" s="2"/>
      </tp>
      <tp t="s">
        <v>#N/A N/A</v>
        <stp/>
        <stp>BDH|4929769024870633150</stp>
        <tr r="S40" s="2"/>
      </tp>
      <tp t="s">
        <v>#N/A N/A</v>
        <stp/>
        <stp>BDH|9787751539638289511</stp>
        <tr r="V12" s="2"/>
      </tp>
      <tp t="s">
        <v>#N/A N/A</v>
        <stp/>
        <stp>BDH|7959740250224373166</stp>
        <tr r="W42" s="2"/>
      </tp>
      <tp t="s">
        <v>#N/A N/A</v>
        <stp/>
        <stp>BDH|4004590367841753613</stp>
        <tr r="T31" s="2"/>
      </tp>
      <tp t="s">
        <v>#N/A N/A</v>
        <stp/>
        <stp>BDH|6126447677460413586</stp>
        <tr r="O17" s="2"/>
      </tp>
      <tp t="s">
        <v>#N/A N/A</v>
        <stp/>
        <stp>BDH|1572019179064229215</stp>
        <tr r="H52" s="2"/>
      </tp>
      <tp t="s">
        <v>#N/A N/A</v>
        <stp/>
        <stp>BDH|2152213977635803209</stp>
        <tr r="AD69" s="2"/>
      </tp>
      <tp t="s">
        <v>#N/A N/A</v>
        <stp/>
        <stp>BDH|7610421808876346500</stp>
        <tr r="L94" s="2"/>
      </tp>
      <tp t="s">
        <v>#N/A N/A</v>
        <stp/>
        <stp>BDH|8879965913239216930</stp>
        <tr r="T84" s="2"/>
      </tp>
      <tp t="s">
        <v>#N/A N/A</v>
        <stp/>
        <stp>BDH|6624027639512772766</stp>
        <tr r="X53" s="2"/>
      </tp>
      <tp t="s">
        <v>#N/A N/A</v>
        <stp/>
        <stp>BDH|4302513227583196087</stp>
        <tr r="AC11" s="2"/>
      </tp>
      <tp t="s">
        <v>#N/A N/A</v>
        <stp/>
        <stp>BDH|5139472084229919079</stp>
        <tr r="Q71" s="2"/>
      </tp>
      <tp t="s">
        <v>#N/A N/A</v>
        <stp/>
        <stp>BDH|2790749175606919426</stp>
        <tr r="U68" s="2"/>
      </tp>
      <tp t="s">
        <v>#N/A N/A</v>
        <stp/>
        <stp>BDH|5205457794238707095</stp>
        <tr r="Z81" s="2"/>
      </tp>
      <tp t="s">
        <v>#N/A N/A</v>
        <stp/>
        <stp>BDH|8048876749041370505</stp>
        <tr r="V53" s="2"/>
      </tp>
      <tp t="s">
        <v>#N/A N/A</v>
        <stp/>
        <stp>BDH|4643485330783141026</stp>
        <tr r="AD76" s="2"/>
      </tp>
      <tp t="s">
        <v>#N/A N/A</v>
        <stp/>
        <stp>BDH|2475155234365895501</stp>
        <tr r="K16" s="2"/>
      </tp>
      <tp t="s">
        <v>#N/A N/A</v>
        <stp/>
        <stp>BDH|7457588743583179530</stp>
        <tr r="U54" s="2"/>
      </tp>
      <tp t="s">
        <v>#N/A N/A</v>
        <stp/>
        <stp>BDH|1044554217645417045</stp>
        <tr r="N32" s="2"/>
      </tp>
      <tp t="s">
        <v>#N/A N/A</v>
        <stp/>
        <stp>BDH|5106727341242132411</stp>
        <tr r="Z47" s="2"/>
      </tp>
      <tp t="s">
        <v>#N/A N/A</v>
        <stp/>
        <stp>BDH|4980360216162314483</stp>
        <tr r="X33" s="2"/>
      </tp>
      <tp t="s">
        <v>#N/A N/A</v>
        <stp/>
        <stp>BDH|6097208050705779444</stp>
        <tr r="Y90" s="2"/>
      </tp>
      <tp t="s">
        <v>#N/A N/A</v>
        <stp/>
        <stp>BDH|5357141440676277663</stp>
        <tr r="L28" s="2"/>
      </tp>
      <tp t="s">
        <v>#N/A N/A</v>
        <stp/>
        <stp>BDH|9500974315477766606</stp>
        <tr r="W76" s="2"/>
      </tp>
      <tp t="s">
        <v>#N/A N/A</v>
        <stp/>
        <stp>BDH|2823295901996398637</stp>
        <tr r="H28" s="2"/>
      </tp>
      <tp t="s">
        <v>#N/A N/A</v>
        <stp/>
        <stp>BDH|7085131869474979432</stp>
        <tr r="X38" s="2"/>
      </tp>
      <tp t="s">
        <v>#N/A N/A</v>
        <stp/>
        <stp>BDH|2784345376674532218</stp>
        <tr r="Z29" s="2"/>
      </tp>
      <tp t="s">
        <v>#N/A N/A</v>
        <stp/>
        <stp>BDH|7474146814537078050</stp>
        <tr r="M57" s="2"/>
      </tp>
      <tp t="s">
        <v>#N/A N/A</v>
        <stp/>
        <stp>BDH|2882906703589289281</stp>
        <tr r="U66" s="2"/>
      </tp>
      <tp t="s">
        <v>#N/A N/A</v>
        <stp/>
        <stp>BDH|2475701531664500214</stp>
        <tr r="W85" s="2"/>
      </tp>
      <tp t="s">
        <v>#N/A N/A</v>
        <stp/>
        <stp>BDH|8504309085756333529</stp>
        <tr r="G77" s="2"/>
      </tp>
      <tp t="s">
        <v>#N/A N/A</v>
        <stp/>
        <stp>BDH|2779405463704510400</stp>
        <tr r="U63" s="2"/>
      </tp>
      <tp t="s">
        <v>#N/A N/A</v>
        <stp/>
        <stp>BDH|6191107891636095819</stp>
        <tr r="M29" s="2"/>
      </tp>
      <tp t="s">
        <v>#N/A N/A</v>
        <stp/>
        <stp>BDH|9381777692391046673</stp>
        <tr r="AC85" s="2"/>
      </tp>
      <tp t="s">
        <v>#N/A N/A</v>
        <stp/>
        <stp>BDH|5833725265754976079</stp>
        <tr r="AA34" s="2"/>
      </tp>
      <tp t="s">
        <v>#N/A N/A</v>
        <stp/>
        <stp>BDH|9424249602032422908</stp>
        <tr r="G35" s="2"/>
      </tp>
      <tp t="s">
        <v>#N/A N/A</v>
        <stp/>
        <stp>BDH|7525338383828370406</stp>
        <tr r="P90" s="2"/>
      </tp>
      <tp t="s">
        <v>#N/A N/A</v>
        <stp/>
        <stp>BDH|5450717333236138718</stp>
        <tr r="AF31" s="2"/>
      </tp>
      <tp t="s">
        <v>#N/A N/A</v>
        <stp/>
        <stp>BDH|7467261237862187428</stp>
        <tr r="X92" s="2"/>
      </tp>
      <tp t="s">
        <v>#N/A N/A</v>
        <stp/>
        <stp>BDH|6789383379824063615</stp>
        <tr r="AB68" s="2"/>
      </tp>
      <tp t="s">
        <v>#N/A N/A</v>
        <stp/>
        <stp>BDH|3493773164187886588</stp>
        <tr r="P16" s="2"/>
      </tp>
      <tp t="s">
        <v>#N/A N/A</v>
        <stp/>
        <stp>BDH|1911325862471999577</stp>
        <tr r="S31" s="2"/>
      </tp>
      <tp t="s">
        <v>#N/A N/A</v>
        <stp/>
        <stp>BDH|1336464642143532264</stp>
        <tr r="U51" s="2"/>
      </tp>
      <tp t="s">
        <v>#N/A N/A</v>
        <stp/>
        <stp>BDH|4085133764184624752</stp>
        <tr r="AA39" s="2"/>
      </tp>
      <tp t="s">
        <v>#N/A N/A</v>
        <stp/>
        <stp>BDH|3040461076479054949</stp>
        <tr r="M47" s="2"/>
      </tp>
      <tp t="s">
        <v>#N/A N/A</v>
        <stp/>
        <stp>BDH|7064137001417790112</stp>
        <tr r="N93" s="2"/>
      </tp>
      <tp t="s">
        <v>#N/A N/A</v>
        <stp/>
        <stp>BDH|2616149986809058214</stp>
        <tr r="D9" s="2"/>
      </tp>
      <tp t="s">
        <v>#N/A N/A</v>
        <stp/>
        <stp>BDH|2005426772763474217</stp>
        <tr r="Q43" s="2"/>
      </tp>
      <tp t="s">
        <v>#N/A N/A</v>
        <stp/>
        <stp>BDH|7254464428548835917</stp>
        <tr r="D48" s="2"/>
      </tp>
      <tp t="s">
        <v>#N/A N/A</v>
        <stp/>
        <stp>BDH|4470000690274763966</stp>
        <tr r="J93" s="2"/>
      </tp>
      <tp t="s">
        <v>#N/A N/A</v>
        <stp/>
        <stp>BDH|1915190727717164534</stp>
        <tr r="AA53" s="2"/>
      </tp>
      <tp t="s">
        <v>#N/A N/A</v>
        <stp/>
        <stp>BDH|1725722224792031642</stp>
        <tr r="R43" s="2"/>
      </tp>
      <tp t="s">
        <v>#N/A N/A</v>
        <stp/>
        <stp>BDH|4510093097235542945</stp>
        <tr r="F17" s="2"/>
      </tp>
      <tp t="s">
        <v>#N/A N/A</v>
        <stp/>
        <stp>BDH|7948965325945289820</stp>
        <tr r="E30" s="2"/>
      </tp>
      <tp t="s">
        <v>#N/A N/A</v>
        <stp/>
        <stp>BDH|6814055457517244520</stp>
        <tr r="T39" s="2"/>
      </tp>
      <tp t="s">
        <v>#N/A N/A</v>
        <stp/>
        <stp>BDH|2188475305374032398</stp>
        <tr r="U83" s="2"/>
      </tp>
      <tp t="s">
        <v>#N/A N/A</v>
        <stp/>
        <stp>BDH|1962962658238996449</stp>
        <tr r="I52" s="2"/>
      </tp>
      <tp t="s">
        <v>#N/A N/A</v>
        <stp/>
        <stp>BDH|9145986617553790335</stp>
        <tr r="D91" s="2"/>
      </tp>
      <tp t="s">
        <v>#N/A N/A</v>
        <stp/>
        <stp>BDH|3264662886364195895</stp>
        <tr r="E64" s="2"/>
      </tp>
      <tp t="s">
        <v>#N/A N/A</v>
        <stp/>
        <stp>BDH|1552736374448836816</stp>
        <tr r="AD13" s="2"/>
      </tp>
      <tp t="s">
        <v>#N/A N/A</v>
        <stp/>
        <stp>BDH|8746225295804894634</stp>
        <tr r="I66" s="2"/>
      </tp>
      <tp t="s">
        <v>#N/A N/A</v>
        <stp/>
        <stp>BDH|9897323603582196932</stp>
        <tr r="V49" s="2"/>
      </tp>
      <tp t="s">
        <v>#N/A N/A</v>
        <stp/>
        <stp>BDH|3515903749428534722</stp>
        <tr r="E7" s="2"/>
      </tp>
      <tp t="s">
        <v>#N/A N/A</v>
        <stp/>
        <stp>BDH|4821504652431494457</stp>
        <tr r="O88" s="2"/>
      </tp>
      <tp t="s">
        <v>#N/A N/A</v>
        <stp/>
        <stp>BDH|7127068228073437706</stp>
        <tr r="H91" s="2"/>
      </tp>
      <tp t="s">
        <v>#N/A N/A</v>
        <stp/>
        <stp>BDH|6938546545670352608</stp>
        <tr r="T42" s="2"/>
      </tp>
      <tp t="s">
        <v>#N/A N/A</v>
        <stp/>
        <stp>BDH|3378024894103524881</stp>
        <tr r="U33" s="2"/>
      </tp>
      <tp t="s">
        <v>#N/A N/A</v>
        <stp/>
        <stp>BDH|1669815059765722813</stp>
        <tr r="W25" s="2"/>
      </tp>
      <tp t="s">
        <v>#N/A N/A</v>
        <stp/>
        <stp>BDH|9108592234789201761</stp>
        <tr r="I71" s="2"/>
      </tp>
      <tp t="s">
        <v>#N/A N/A</v>
        <stp/>
        <stp>BDH|4520481114181747162</stp>
        <tr r="J61" s="2"/>
      </tp>
      <tp t="s">
        <v>#N/A N/A</v>
        <stp/>
        <stp>BDH|4709591120761242349</stp>
        <tr r="AC20" s="2"/>
      </tp>
      <tp t="s">
        <v>#N/A N/A</v>
        <stp/>
        <stp>BDH|4979796325658447898</stp>
        <tr r="N73" s="2"/>
      </tp>
      <tp t="s">
        <v>#N/A N/A</v>
        <stp/>
        <stp>BDH|2731152460556293287</stp>
        <tr r="G75" s="2"/>
      </tp>
      <tp t="s">
        <v>#N/A N/A</v>
        <stp/>
        <stp>BDH|8256238920348151181</stp>
        <tr r="S56" s="2"/>
      </tp>
      <tp t="s">
        <v>#N/A N/A</v>
        <stp/>
        <stp>BDH|7188380554519271969</stp>
        <tr r="Q60" s="2"/>
      </tp>
      <tp t="s">
        <v>#N/A N/A</v>
        <stp/>
        <stp>BDH|1525354618000471254</stp>
        <tr r="C11" s="2"/>
      </tp>
      <tp t="s">
        <v>#N/A N/A</v>
        <stp/>
        <stp>BDH|9690399961395440831</stp>
        <tr r="D77" s="2"/>
      </tp>
      <tp t="s">
        <v>#N/A N/A</v>
        <stp/>
        <stp>BDH|6288806879841083920</stp>
        <tr r="R83" s="2"/>
      </tp>
      <tp t="s">
        <v>#N/A N/A</v>
        <stp/>
        <stp>BDH|7687255645572059288</stp>
        <tr r="G7" s="2"/>
      </tp>
      <tp t="s">
        <v>#N/A N/A</v>
        <stp/>
        <stp>BDH|3697839086367585582</stp>
        <tr r="F86" s="2"/>
      </tp>
      <tp t="s">
        <v>#N/A N/A</v>
        <stp/>
        <stp>BDH|4842873384956530306</stp>
        <tr r="W44" s="2"/>
      </tp>
      <tp t="s">
        <v>#N/A N/A</v>
        <stp/>
        <stp>BDH|9402895911020100138</stp>
        <tr r="G18" s="2"/>
      </tp>
      <tp t="s">
        <v>#N/A N/A</v>
        <stp/>
        <stp>BDH|3029541510957200199</stp>
        <tr r="Q27" s="2"/>
      </tp>
      <tp t="s">
        <v>#N/A N/A</v>
        <stp/>
        <stp>BDH|4185665046677754098</stp>
        <tr r="W51" s="2"/>
      </tp>
      <tp t="s">
        <v>#N/A N/A</v>
        <stp/>
        <stp>BDH|4852968681440182420</stp>
        <tr r="C53" s="2"/>
      </tp>
      <tp t="s">
        <v>#N/A N/A</v>
        <stp/>
        <stp>BDH|1376936556338854423</stp>
        <tr r="L29" s="2"/>
      </tp>
      <tp t="s">
        <v>#N/A N/A</v>
        <stp/>
        <stp>BDH|7145392475885123708</stp>
        <tr r="V34" s="2"/>
      </tp>
      <tp t="s">
        <v>#N/A N/A</v>
        <stp/>
        <stp>BDH|3884686372687674483</stp>
        <tr r="T28" s="2"/>
      </tp>
      <tp t="s">
        <v>#N/A N/A</v>
        <stp/>
        <stp>BDH|2938108912095516624</stp>
        <tr r="S45" s="2"/>
      </tp>
      <tp t="s">
        <v>#N/A N/A</v>
        <stp/>
        <stp>BDH|6628176499628261776</stp>
        <tr r="P81" s="2"/>
      </tp>
      <tp t="s">
        <v>#N/A N/A</v>
        <stp/>
        <stp>BDH|7601430852446341196</stp>
        <tr r="G13" s="2"/>
      </tp>
      <tp t="s">
        <v>#N/A N/A</v>
        <stp/>
        <stp>BDH|5376041238320049727</stp>
        <tr r="AD48" s="2"/>
      </tp>
      <tp t="s">
        <v>#N/A N/A</v>
        <stp/>
        <stp>BDH|3707410553007085478</stp>
        <tr r="AA18" s="2"/>
      </tp>
      <tp t="s">
        <v>#N/A N/A</v>
        <stp/>
        <stp>BDH|5383221995068414728</stp>
        <tr r="W32" s="2"/>
      </tp>
      <tp t="s">
        <v>#N/A N/A</v>
        <stp/>
        <stp>BDH|6174822689497910012</stp>
        <tr r="M82" s="2"/>
      </tp>
      <tp t="s">
        <v>#N/A N/A</v>
        <stp/>
        <stp>BDH|4932564272396790181</stp>
        <tr r="Q62" s="2"/>
      </tp>
      <tp t="s">
        <v>#N/A N/A</v>
        <stp/>
        <stp>BDH|1919755658582691006</stp>
        <tr r="Q44" s="2"/>
      </tp>
      <tp t="s">
        <v>#N/A N/A</v>
        <stp/>
        <stp>BDH|8572520561849463318</stp>
        <tr r="R9" s="2"/>
      </tp>
      <tp t="s">
        <v>#N/A N/A</v>
        <stp/>
        <stp>BDH|3676984493690820264</stp>
        <tr r="T59" s="2"/>
      </tp>
      <tp t="s">
        <v>#N/A N/A</v>
        <stp/>
        <stp>BDH|9157642365389362100</stp>
        <tr r="P31" s="2"/>
      </tp>
      <tp t="s">
        <v>#N/A N/A</v>
        <stp/>
        <stp>BDH|3737309041931125444</stp>
        <tr r="AE76" s="2"/>
      </tp>
      <tp t="s">
        <v>#N/A N/A</v>
        <stp/>
        <stp>BDH|1505163212010730057</stp>
        <tr r="F57" s="2"/>
      </tp>
      <tp t="s">
        <v>#N/A N/A</v>
        <stp/>
        <stp>BDH|6112319310584573162</stp>
        <tr r="G58" s="2"/>
      </tp>
      <tp t="s">
        <v>#N/A N/A</v>
        <stp/>
        <stp>BDH|7077968981051561615</stp>
        <tr r="H30" s="2"/>
      </tp>
      <tp t="s">
        <v>#N/A N/A</v>
        <stp/>
        <stp>BDH|2885611418487377315</stp>
        <tr r="P65" s="2"/>
      </tp>
      <tp t="s">
        <v>#N/A N/A</v>
        <stp/>
        <stp>BDH|6472327247395507540</stp>
        <tr r="AE72" s="2"/>
      </tp>
      <tp t="s">
        <v>#N/A N/A</v>
        <stp/>
        <stp>BDH|4416608989532877950</stp>
        <tr r="O58" s="2"/>
      </tp>
      <tp t="s">
        <v>#N/A N/A</v>
        <stp/>
        <stp>BDH|8014072782291592005</stp>
        <tr r="L69" s="2"/>
      </tp>
      <tp t="s">
        <v>#N/A N/A</v>
        <stp/>
        <stp>BDH|7117459577081536467</stp>
        <tr r="AD28" s="2"/>
      </tp>
      <tp t="s">
        <v>#N/A N/A</v>
        <stp/>
        <stp>BDH|6147794704011983157</stp>
        <tr r="I11" s="2"/>
      </tp>
      <tp t="s">
        <v>#N/A N/A</v>
        <stp/>
        <stp>BDH|5757074553584458565</stp>
        <tr r="W47" s="2"/>
      </tp>
      <tp t="s">
        <v>#N/A N/A</v>
        <stp/>
        <stp>BDH|9400943436540771207</stp>
        <tr r="Q74" s="2"/>
      </tp>
      <tp t="s">
        <v>#N/A N/A</v>
        <stp/>
        <stp>BDH|2138813273254591876</stp>
        <tr r="L22" s="2"/>
      </tp>
      <tp t="s">
        <v>#N/A N/A</v>
        <stp/>
        <stp>BDH|7372138074425021528</stp>
        <tr r="AD50" s="2"/>
      </tp>
      <tp t="s">
        <v>#N/A N/A</v>
        <stp/>
        <stp>BDH|8031476027389525635</stp>
        <tr r="M9" s="2"/>
      </tp>
      <tp t="s">
        <v>#N/A N/A</v>
        <stp/>
        <stp>BDH|9272983725632104180</stp>
        <tr r="V85" s="2"/>
      </tp>
      <tp t="s">
        <v>#N/A N/A</v>
        <stp/>
        <stp>BDH|4328222927275137015</stp>
        <tr r="AB66" s="2"/>
      </tp>
      <tp t="s">
        <v>#N/A N/A</v>
        <stp/>
        <stp>BDH|7090540893829268338</stp>
        <tr r="K59" s="2"/>
      </tp>
      <tp t="s">
        <v>#N/A N/A</v>
        <stp/>
        <stp>BDH|4892929429047748934</stp>
        <tr r="W10" s="2"/>
      </tp>
      <tp t="s">
        <v>#N/A N/A</v>
        <stp/>
        <stp>BDH|5855457553210972502</stp>
        <tr r="I69" s="2"/>
      </tp>
      <tp t="s">
        <v>#N/A N/A</v>
        <stp/>
        <stp>BDH|7603674167371937782</stp>
        <tr r="H86" s="2"/>
      </tp>
      <tp t="s">
        <v>#N/A N/A</v>
        <stp/>
        <stp>BDH|3123067441380021612</stp>
        <tr r="O31" s="2"/>
      </tp>
      <tp t="s">
        <v>#N/A N/A</v>
        <stp/>
        <stp>BDH|2722533681076404868</stp>
        <tr r="Q28" s="2"/>
      </tp>
      <tp t="s">
        <v>#N/A N/A</v>
        <stp/>
        <stp>BDH|3107519300126400132</stp>
        <tr r="Q67" s="2"/>
      </tp>
      <tp t="s">
        <v>#N/A N/A</v>
        <stp/>
        <stp>BDH|4575236948756958509</stp>
        <tr r="I19" s="2"/>
      </tp>
      <tp t="s">
        <v>#N/A N/A</v>
        <stp/>
        <stp>BDH|5823764816641887375</stp>
        <tr r="L20" s="2"/>
      </tp>
      <tp t="s">
        <v>#N/A N/A</v>
        <stp/>
        <stp>BDH|7391713959786465285</stp>
        <tr r="K7" s="2"/>
      </tp>
      <tp t="s">
        <v>#N/A N/A</v>
        <stp/>
        <stp>BDH|3915251406045845567</stp>
        <tr r="AF50" s="2"/>
      </tp>
      <tp t="s">
        <v>#N/A N/A</v>
        <stp/>
        <stp>BDH|5026192670812990047</stp>
        <tr r="S46" s="2"/>
      </tp>
      <tp t="s">
        <v>#N/A N/A</v>
        <stp/>
        <stp>BDH|4779501474355340247</stp>
        <tr r="AD42" s="2"/>
      </tp>
      <tp t="s">
        <v>#N/A N/A</v>
        <stp/>
        <stp>BDH|2369667857694522433</stp>
        <tr r="AC33" s="2"/>
      </tp>
      <tp t="s">
        <v>#N/A N/A</v>
        <stp/>
        <stp>BDH|1408548854929882985</stp>
        <tr r="C23" s="2"/>
      </tp>
      <tp t="s">
        <v>#N/A N/A</v>
        <stp/>
        <stp>BDH|4831980719984527987</stp>
        <tr r="AB15" s="2"/>
      </tp>
      <tp t="s">
        <v>#N/A N/A</v>
        <stp/>
        <stp>BDH|7555000174796172756</stp>
        <tr r="S26" s="2"/>
      </tp>
      <tp t="s">
        <v>#N/A N/A</v>
        <stp/>
        <stp>BDH|2862049158221793769</stp>
        <tr r="G50" s="2"/>
      </tp>
      <tp t="s">
        <v>#N/A N/A</v>
        <stp/>
        <stp>BDH|1589283233154900527</stp>
        <tr r="AD67" s="2"/>
      </tp>
      <tp t="s">
        <v>#N/A N/A</v>
        <stp/>
        <stp>BDH|82507948865234817</stp>
        <tr r="C54" s="2"/>
      </tp>
      <tp t="s">
        <v>#N/A N/A</v>
        <stp/>
        <stp>BDH|5269678257884877000</stp>
        <tr r="S48" s="2"/>
      </tp>
      <tp t="s">
        <v>#N/A N/A</v>
        <stp/>
        <stp>BDH|2571813378748771715</stp>
        <tr r="C82" s="2"/>
      </tp>
      <tp t="s">
        <v>#N/A N/A</v>
        <stp/>
        <stp>BDH|7285148499484506901</stp>
        <tr r="L53" s="2"/>
      </tp>
      <tp t="s">
        <v>#N/A N/A</v>
        <stp/>
        <stp>BDH|3910991391972388386</stp>
        <tr r="AE17" s="2"/>
      </tp>
      <tp t="s">
        <v>#N/A N/A</v>
        <stp/>
        <stp>BDH|7446477556396920265</stp>
        <tr r="T91" s="2"/>
      </tp>
      <tp t="s">
        <v>#N/A N/A</v>
        <stp/>
        <stp>BDH|1880324146351414524</stp>
        <tr r="AC30" s="2"/>
      </tp>
      <tp t="s">
        <v>#N/A N/A</v>
        <stp/>
        <stp>BDH|4764664379343274416</stp>
        <tr r="W50" s="2"/>
      </tp>
      <tp t="s">
        <v>#N/A N/A</v>
        <stp/>
        <stp>BDH|7057137281114913809</stp>
        <tr r="F42" s="2"/>
      </tp>
      <tp t="s">
        <v>#N/A N/A</v>
        <stp/>
        <stp>BDH|1669604812140985465</stp>
        <tr r="X43" s="2"/>
      </tp>
      <tp t="s">
        <v>#N/A N/A</v>
        <stp/>
        <stp>BDH|2902588816786420283</stp>
        <tr r="D71" s="2"/>
      </tp>
      <tp t="s">
        <v>#N/A N/A</v>
        <stp/>
        <stp>BDH|3065259669210791537</stp>
        <tr r="AF87" s="2"/>
      </tp>
      <tp t="s">
        <v>#N/A N/A</v>
        <stp/>
        <stp>BDH|7942019375251289371</stp>
        <tr r="AE9" s="2"/>
      </tp>
      <tp t="s">
        <v>#N/A N/A</v>
        <stp/>
        <stp>BDH|9719177058509199613</stp>
        <tr r="AC15" s="2"/>
      </tp>
      <tp t="s">
        <v>#N/A N/A</v>
        <stp/>
        <stp>BDH|8439403358463090847</stp>
        <tr r="T46" s="2"/>
      </tp>
      <tp t="s">
        <v>#N/A N/A</v>
        <stp/>
        <stp>BDH|2742416751686760788</stp>
        <tr r="AC13" s="2"/>
      </tp>
      <tp t="s">
        <v>#N/A N/A</v>
        <stp/>
        <stp>BDH|1302086919743280184</stp>
        <tr r="I25" s="2"/>
      </tp>
      <tp t="s">
        <v>#N/A N/A</v>
        <stp/>
        <stp>BDH|6201390607617304060</stp>
        <tr r="J13" s="2"/>
      </tp>
      <tp t="s">
        <v>#N/A N/A</v>
        <stp/>
        <stp>BDH|7421507966133936521</stp>
        <tr r="AB69" s="2"/>
      </tp>
      <tp t="s">
        <v>#N/A N/A</v>
        <stp/>
        <stp>BDH|7521968954160852965</stp>
        <tr r="S22" s="2"/>
      </tp>
      <tp t="s">
        <v>#N/A N/A</v>
        <stp/>
        <stp>BDH|5708747746570890445</stp>
        <tr r="AC55" s="2"/>
      </tp>
      <tp t="s">
        <v>#N/A N/A</v>
        <stp/>
        <stp>BDH|9514850792393917954</stp>
        <tr r="AE86" s="2"/>
      </tp>
      <tp t="s">
        <v>#N/A N/A</v>
        <stp/>
        <stp>BDH|3994089061615954278</stp>
        <tr r="H46" s="2"/>
      </tp>
      <tp t="s">
        <v>#N/A N/A</v>
        <stp/>
        <stp>BDH|6841254027852033646</stp>
        <tr r="AC54" s="2"/>
      </tp>
      <tp t="s">
        <v>#N/A N/A</v>
        <stp/>
        <stp>BDH|3499060751834497096</stp>
        <tr r="W72" s="2"/>
      </tp>
      <tp t="s">
        <v>#N/A N/A</v>
        <stp/>
        <stp>BDH|7326772319606412561</stp>
        <tr r="R55" s="2"/>
      </tp>
      <tp t="s">
        <v>#N/A N/A</v>
        <stp/>
        <stp>BDH|4652406548800309622</stp>
        <tr r="Q77" s="2"/>
      </tp>
      <tp t="s">
        <v>#N/A N/A</v>
        <stp/>
        <stp>BDH|5651788099039008085</stp>
        <tr r="Q38" s="2"/>
      </tp>
      <tp t="s">
        <v>#N/A N/A</v>
        <stp/>
        <stp>BDH|2545317441675210289</stp>
        <tr r="AF60" s="2"/>
      </tp>
      <tp t="s">
        <v>#N/A N/A</v>
        <stp/>
        <stp>BDH|6931448498131860822</stp>
        <tr r="O48" s="2"/>
      </tp>
      <tp t="s">
        <v>#N/A N/A</v>
        <stp/>
        <stp>BDH|7150291012852026450</stp>
        <tr r="T90" s="2"/>
      </tp>
      <tp t="s">
        <v>#N/A N/A</v>
        <stp/>
        <stp>BDH|1993837134771039938</stp>
        <tr r="W30" s="2"/>
      </tp>
      <tp t="s">
        <v>#N/A N/A</v>
        <stp/>
        <stp>BDH|6593358909041278661</stp>
        <tr r="X64" s="2"/>
      </tp>
      <tp t="s">
        <v>#N/A N/A</v>
        <stp/>
        <stp>BDH|1265387313341627026</stp>
        <tr r="I9" s="2"/>
      </tp>
      <tp t="s">
        <v>#N/A N/A</v>
        <stp/>
        <stp>BDH|5562312514786885355</stp>
        <tr r="AA48" s="2"/>
      </tp>
      <tp t="s">
        <v>#N/A N/A</v>
        <stp/>
        <stp>BDH|3835026012488355893</stp>
        <tr r="I31" s="2"/>
      </tp>
      <tp t="s">
        <v>#N/A N/A</v>
        <stp/>
        <stp>BDH|4168529921999082809</stp>
        <tr r="AC48" s="2"/>
      </tp>
      <tp t="s">
        <v>#N/A N/A</v>
        <stp/>
        <stp>BDH|3763826225193741859</stp>
        <tr r="Q50" s="2"/>
      </tp>
      <tp t="s">
        <v>#N/A N/A</v>
        <stp/>
        <stp>BDH|1656325347477247326</stp>
        <tr r="AD45" s="2"/>
      </tp>
      <tp t="s">
        <v>#N/A N/A</v>
        <stp/>
        <stp>BDH|9255905247305046354</stp>
        <tr r="X25" s="2"/>
      </tp>
      <tp t="s">
        <v>#N/A N/A</v>
        <stp/>
        <stp>BDH|6626298815420905738</stp>
        <tr r="N15" s="2"/>
      </tp>
      <tp t="s">
        <v>#N/A N/A</v>
        <stp/>
        <stp>BDH|7775959585454272054</stp>
        <tr r="D41" s="2"/>
      </tp>
      <tp t="s">
        <v>#N/A N/A</v>
        <stp/>
        <stp>BDH|6596874354481562836</stp>
        <tr r="AA9" s="2"/>
      </tp>
      <tp t="s">
        <v>#N/A N/A</v>
        <stp/>
        <stp>BDH|8198995899229735365</stp>
        <tr r="S61" s="2"/>
      </tp>
      <tp t="s">
        <v>#N/A N/A</v>
        <stp/>
        <stp>BDH|8950101289930415341</stp>
        <tr r="N43" s="2"/>
      </tp>
      <tp t="s">
        <v>#N/A N/A</v>
        <stp/>
        <stp>BDH|1608254903320700166</stp>
        <tr r="F93" s="2"/>
      </tp>
      <tp t="s">
        <v>#N/A N/A</v>
        <stp/>
        <stp>BDH|2691624643040390255</stp>
        <tr r="H32" s="2"/>
      </tp>
      <tp t="s">
        <v>#N/A N/A</v>
        <stp/>
        <stp>BDH|2071885347594749890</stp>
        <tr r="M66" s="2"/>
      </tp>
      <tp t="s">
        <v>#N/A N/A</v>
        <stp/>
        <stp>BDH|8619882517802911118</stp>
        <tr r="I76" s="2"/>
      </tp>
      <tp t="s">
        <v>#N/A N/A</v>
        <stp/>
        <stp>BDH|1035449948782880153</stp>
        <tr r="AF84" s="2"/>
      </tp>
      <tp t="s">
        <v>#N/A N/A</v>
        <stp/>
        <stp>BDH|2140003678936945113</stp>
        <tr r="Y28" s="2"/>
      </tp>
      <tp t="s">
        <v>#N/A N/A</v>
        <stp/>
        <stp>BDH|6676131336254154241</stp>
        <tr r="L21" s="2"/>
      </tp>
      <tp t="s">
        <v>#N/A N/A</v>
        <stp/>
        <stp>BDH|5275154030100433551</stp>
        <tr r="G38" s="2"/>
      </tp>
      <tp t="s">
        <v>#N/A N/A</v>
        <stp/>
        <stp>BDH|8242213257498515572</stp>
        <tr r="Z20" s="2"/>
      </tp>
      <tp t="s">
        <v>#N/A N/A</v>
        <stp/>
        <stp>BDH|5258708946622284601</stp>
        <tr r="J63" s="2"/>
      </tp>
      <tp t="s">
        <v>#N/A N/A</v>
        <stp/>
        <stp>BDH|6062596854930359488</stp>
        <tr r="R90" s="2"/>
      </tp>
      <tp t="s">
        <v>#N/A N/A</v>
        <stp/>
        <stp>BDH|1397735905417744348</stp>
        <tr r="N71" s="2"/>
      </tp>
      <tp t="s">
        <v>#N/A N/A</v>
        <stp/>
        <stp>BDH|6917295209725927367</stp>
        <tr r="V10" s="2"/>
      </tp>
      <tp t="s">
        <v>#N/A N/A</v>
        <stp/>
        <stp>BDH|2691118643796287307</stp>
        <tr r="U53" s="2"/>
      </tp>
      <tp t="s">
        <v>#N/A N/A</v>
        <stp/>
        <stp>BDH|8456940043257290073</stp>
        <tr r="Q51" s="2"/>
      </tp>
      <tp t="s">
        <v>#N/A N/A</v>
        <stp/>
        <stp>BDH|6586210809912956434</stp>
        <tr r="E58" s="2"/>
      </tp>
      <tp t="s">
        <v>#N/A N/A</v>
        <stp/>
        <stp>BDH|4217970209018202792</stp>
        <tr r="Q82" s="2"/>
      </tp>
      <tp t="s">
        <v>#N/A N/A</v>
        <stp/>
        <stp>BDH|5765057315261441742</stp>
        <tr r="X39" s="2"/>
      </tp>
      <tp t="s">
        <v>#N/A N/A</v>
        <stp/>
        <stp>BDH|3375466436047413107</stp>
        <tr r="AE60" s="2"/>
      </tp>
      <tp t="s">
        <v>#N/A N/A</v>
        <stp/>
        <stp>BDH|7520132575713637022</stp>
        <tr r="AC62" s="2"/>
      </tp>
      <tp t="s">
        <v>#N/A N/A</v>
        <stp/>
        <stp>BDH|5758371435384728353</stp>
        <tr r="H24" s="2"/>
      </tp>
      <tp t="s">
        <v>#N/A N/A</v>
        <stp/>
        <stp>BDH|2444211840106366014</stp>
        <tr r="AC53" s="2"/>
      </tp>
      <tp t="s">
        <v>#N/A N/A</v>
        <stp/>
        <stp>BDH|8260981870750589485</stp>
        <tr r="L63" s="2"/>
      </tp>
      <tp t="s">
        <v>#N/A N/A</v>
        <stp/>
        <stp>BDH|9970432948469419223</stp>
        <tr r="L77" s="2"/>
      </tp>
      <tp t="s">
        <v>#N/A N/A</v>
        <stp/>
        <stp>BDH|2596095870837945015</stp>
        <tr r="R27" s="2"/>
      </tp>
      <tp t="s">
        <v>#N/A N/A</v>
        <stp/>
        <stp>BDH|6107662221537443767</stp>
        <tr r="AF51" s="2"/>
      </tp>
      <tp t="s">
        <v>#N/A N/A</v>
        <stp/>
        <stp>BDH|5903549259984429346</stp>
        <tr r="D65" s="2"/>
      </tp>
      <tp t="s">
        <v>#N/A N/A</v>
        <stp/>
        <stp>BDH|6880004851946584783</stp>
        <tr r="O68" s="2"/>
      </tp>
      <tp t="s">
        <v>#N/A N/A</v>
        <stp/>
        <stp>BDH|9200355682368653862</stp>
        <tr r="AF20" s="2"/>
      </tp>
      <tp t="s">
        <v>#N/A N/A</v>
        <stp/>
        <stp>BDH|5269162219365186298</stp>
        <tr r="S68" s="2"/>
      </tp>
      <tp t="s">
        <v>#N/A N/A</v>
        <stp/>
        <stp>BDH|5358147601721242718</stp>
        <tr r="Y92" s="2"/>
      </tp>
      <tp t="s">
        <v>#N/A N/A</v>
        <stp/>
        <stp>BDH|4030532641764739308</stp>
        <tr r="Z71" s="2"/>
      </tp>
      <tp t="s">
        <v>#N/A N/A</v>
        <stp/>
        <stp>BDH|3659974472119184676</stp>
        <tr r="T72" s="2"/>
      </tp>
      <tp t="s">
        <v>#N/A N/A</v>
        <stp/>
        <stp>BDH|75201994400018476</stp>
        <tr r="G86" s="2"/>
      </tp>
      <tp t="s">
        <v>#N/A N/A</v>
        <stp/>
        <stp>BDH|6868544983848547004</stp>
        <tr r="AB11" s="2"/>
      </tp>
      <tp t="s">
        <v>#N/A N/A</v>
        <stp/>
        <stp>BDH|2291504527712650492</stp>
        <tr r="D72" s="2"/>
      </tp>
      <tp t="s">
        <v>#N/A N/A</v>
        <stp/>
        <stp>BDH|5657369653766145682</stp>
        <tr r="AD88" s="2"/>
      </tp>
      <tp t="s">
        <v>#N/A N/A</v>
        <stp/>
        <stp>BDH|3988929791201766179</stp>
        <tr r="AD72" s="2"/>
      </tp>
      <tp t="s">
        <v>#N/A N/A</v>
        <stp/>
        <stp>BDH|9883125457619718704</stp>
        <tr r="K47" s="2"/>
      </tp>
      <tp t="s">
        <v>#N/A N/A</v>
        <stp/>
        <stp>BDH|4804523203716249407</stp>
        <tr r="Y45" s="2"/>
      </tp>
      <tp t="s">
        <v>#N/A N/A</v>
        <stp/>
        <stp>BDH|1425137119887579503</stp>
        <tr r="D10" s="2"/>
      </tp>
      <tp t="s">
        <v>#N/A N/A</v>
        <stp/>
        <stp>BDH|7630556438697182512</stp>
        <tr r="L62" s="2"/>
      </tp>
      <tp t="s">
        <v>#N/A N/A</v>
        <stp/>
        <stp>BDH|3806345544050369708</stp>
        <tr r="N85" s="2"/>
      </tp>
      <tp t="s">
        <v>#N/A N/A</v>
        <stp/>
        <stp>BDH|6944036001882518751</stp>
        <tr r="C76" s="2"/>
      </tp>
      <tp t="s">
        <v>#N/A N/A</v>
        <stp/>
        <stp>BDH|7094127768160716360</stp>
        <tr r="V89" s="2"/>
      </tp>
      <tp t="s">
        <v>#N/A N/A</v>
        <stp/>
        <stp>BDH|5612420841406952041</stp>
        <tr r="AC65" s="2"/>
      </tp>
      <tp t="s">
        <v>#N/A N/A</v>
        <stp/>
        <stp>BDH|7450294357513166036</stp>
        <tr r="Z60" s="2"/>
      </tp>
      <tp t="s">
        <v>#N/A N/A</v>
        <stp/>
        <stp>BDH|9658798444750698955</stp>
        <tr r="AD61" s="2"/>
      </tp>
      <tp t="s">
        <v>#N/A N/A</v>
        <stp/>
        <stp>BDH|5875780815810569083</stp>
        <tr r="W94" s="2"/>
      </tp>
      <tp t="s">
        <v>#N/A N/A</v>
        <stp/>
        <stp>BDH|7497799339883841341</stp>
        <tr r="S94" s="2"/>
      </tp>
      <tp t="s">
        <v>#N/A N/A</v>
        <stp/>
        <stp>BDH|9280341208801414833</stp>
        <tr r="X76" s="2"/>
      </tp>
      <tp t="s">
        <v>#N/A N/A</v>
        <stp/>
        <stp>BDH|7979815591745462044</stp>
        <tr r="W27" s="2"/>
      </tp>
      <tp t="s">
        <v>#N/A N/A</v>
        <stp/>
        <stp>BDH|3226989172597204938</stp>
        <tr r="O8" s="2"/>
      </tp>
      <tp t="s">
        <v>#N/A N/A</v>
        <stp/>
        <stp>BDH|6880946920919741729</stp>
        <tr r="I24" s="2"/>
      </tp>
      <tp t="s">
        <v>#N/A N/A</v>
        <stp/>
        <stp>BDH|1594165204766735596</stp>
        <tr r="P69" s="2"/>
      </tp>
      <tp t="s">
        <v>#N/A N/A</v>
        <stp/>
        <stp>BDH|4356476523096842716</stp>
        <tr r="K43" s="2"/>
      </tp>
      <tp t="s">
        <v>#N/A N/A</v>
        <stp/>
        <stp>BDH|6100802282892830759</stp>
        <tr r="L59" s="2"/>
      </tp>
      <tp t="s">
        <v>#N/A N/A</v>
        <stp/>
        <stp>BDH|6516432455344908042</stp>
        <tr r="AE63" s="2"/>
      </tp>
      <tp t="s">
        <v>#N/A N/A</v>
        <stp/>
        <stp>BDH|7817538780910238974</stp>
        <tr r="U73" s="2"/>
      </tp>
      <tp t="s">
        <v>#N/A N/A</v>
        <stp/>
        <stp>BDH|5324548950781951700</stp>
        <tr r="V73" s="2"/>
      </tp>
      <tp t="s">
        <v>#N/A N/A</v>
        <stp/>
        <stp>BDH|3196176336186989466</stp>
        <tr r="M84" s="2"/>
      </tp>
      <tp t="s">
        <v>#N/A N/A</v>
        <stp/>
        <stp>BDH|9700936936168940843</stp>
        <tr r="X52" s="2"/>
      </tp>
      <tp t="s">
        <v>#N/A N/A</v>
        <stp/>
        <stp>BDH|1132995767198429540</stp>
        <tr r="L27" s="2"/>
      </tp>
      <tp t="s">
        <v>#N/A N/A</v>
        <stp/>
        <stp>BDH|2400177178061472607</stp>
        <tr r="O28" s="2"/>
      </tp>
      <tp t="s">
        <v>#N/A N/A</v>
        <stp/>
        <stp>BDH|2424299670741610547</stp>
        <tr r="AF32" s="2"/>
      </tp>
      <tp t="s">
        <v>#N/A N/A</v>
        <stp/>
        <stp>BDH|1254699012302007760</stp>
        <tr r="AA87" s="2"/>
      </tp>
      <tp t="s">
        <v>#N/A N/A</v>
        <stp/>
        <stp>BDH|8661018184046896576</stp>
        <tr r="Z42" s="2"/>
      </tp>
      <tp t="s">
        <v>#N/A N/A</v>
        <stp/>
        <stp>BDH|3389229727373851324</stp>
        <tr r="AE66" s="2"/>
      </tp>
      <tp t="s">
        <v>#N/A N/A</v>
        <stp/>
        <stp>BDH|5490268920101947771</stp>
        <tr r="AD43" s="2"/>
      </tp>
      <tp t="s">
        <v>#N/A N/A</v>
        <stp/>
        <stp>BDH|8439371795874215582</stp>
        <tr r="D69" s="2"/>
      </tp>
      <tp t="s">
        <v>#N/A N/A</v>
        <stp/>
        <stp>BDH|8686311888472372203</stp>
        <tr r="Y70" s="2"/>
      </tp>
      <tp t="s">
        <v>#N/A N/A</v>
        <stp/>
        <stp>BDH|1204598600587120064</stp>
        <tr r="AA92" s="2"/>
      </tp>
      <tp t="s">
        <v>#N/A N/A</v>
        <stp/>
        <stp>BDH|5587362682795561884</stp>
        <tr r="D87" s="2"/>
      </tp>
      <tp t="s">
        <v>#N/A N/A</v>
        <stp/>
        <stp>BDH|3607351859361519722</stp>
        <tr r="D39" s="2"/>
      </tp>
      <tp t="s">
        <v>#N/A N/A</v>
        <stp/>
        <stp>BDH|2684631089706413954</stp>
        <tr r="N23" s="2"/>
      </tp>
      <tp t="s">
        <v>#N/A N/A</v>
        <stp/>
        <stp>BDH|9718090011202113938</stp>
        <tr r="S29" s="2"/>
      </tp>
      <tp t="s">
        <v>#N/A N/A</v>
        <stp/>
        <stp>BDH|4081511121049710959</stp>
        <tr r="M73" s="2"/>
      </tp>
      <tp t="s">
        <v>#N/A N/A</v>
        <stp/>
        <stp>BDH|5628376099508878422</stp>
        <tr r="AE34" s="2"/>
      </tp>
      <tp t="s">
        <v>#N/A N/A</v>
        <stp/>
        <stp>BDH|4619223076804849685</stp>
        <tr r="P29" s="2"/>
      </tp>
      <tp t="s">
        <v>#N/A N/A</v>
        <stp/>
        <stp>BDH|5893799210456462678</stp>
        <tr r="U31" s="2"/>
      </tp>
      <tp t="s">
        <v>#N/A N/A</v>
        <stp/>
        <stp>BDH|1561681212850832553</stp>
        <tr r="S83" s="2"/>
      </tp>
      <tp t="s">
        <v>#N/A N/A</v>
        <stp/>
        <stp>BDH|3588376866133291649</stp>
        <tr r="W71" s="2"/>
      </tp>
      <tp t="s">
        <v>#N/A N/A</v>
        <stp/>
        <stp>BDH|2680015511209393978</stp>
        <tr r="J47" s="2"/>
      </tp>
      <tp t="s">
        <v>#N/A N/A</v>
        <stp/>
        <stp>BDH|7027268342726776409</stp>
        <tr r="C31" s="2"/>
      </tp>
      <tp t="s">
        <v>#N/A N/A</v>
        <stp/>
        <stp>BDH|2920550928133270556</stp>
        <tr r="AB74" s="2"/>
      </tp>
      <tp t="s">
        <v>#N/A N/A</v>
        <stp/>
        <stp>BDH|5134778526465533665</stp>
        <tr r="AF90" s="2"/>
      </tp>
      <tp t="s">
        <v>#N/A N/A</v>
        <stp/>
        <stp>BDH|4976784830100212308</stp>
        <tr r="AA83" s="2"/>
      </tp>
      <tp t="s">
        <v>#N/A N/A</v>
        <stp/>
        <stp>BDH|3323058805819899981</stp>
        <tr r="AB10" s="2"/>
      </tp>
      <tp t="s">
        <v>#N/A N/A</v>
        <stp/>
        <stp>BDH|7423440901746290600</stp>
        <tr r="O77" s="2"/>
      </tp>
      <tp t="s">
        <v>#N/A N/A</v>
        <stp/>
        <stp>BDH|5863380175974170677</stp>
        <tr r="S17" s="2"/>
      </tp>
      <tp t="s">
        <v>#N/A N/A</v>
        <stp/>
        <stp>BDH|6116117574165685611</stp>
        <tr r="M49" s="2"/>
      </tp>
      <tp t="s">
        <v>#N/A N/A</v>
        <stp/>
        <stp>BDH|5191497781219989305</stp>
        <tr r="X66" s="2"/>
      </tp>
      <tp t="s">
        <v>#N/A N/A</v>
        <stp/>
        <stp>BDH|6571866782292118707</stp>
        <tr r="O87" s="2"/>
      </tp>
      <tp t="s">
        <v>#N/A N/A</v>
        <stp/>
        <stp>BDH|1902038210826869523</stp>
        <tr r="F11" s="2"/>
      </tp>
      <tp t="s">
        <v>#N/A N/A</v>
        <stp/>
        <stp>BDH|9603971110710446256</stp>
        <tr r="AB70" s="2"/>
      </tp>
      <tp t="s">
        <v>#N/A N/A</v>
        <stp/>
        <stp>BDH|8943905839343521257</stp>
        <tr r="AF25" s="2"/>
      </tp>
      <tp t="s">
        <v>#N/A N/A</v>
        <stp/>
        <stp>BDH|3832087050786088302</stp>
        <tr r="P35" s="2"/>
      </tp>
      <tp t="s">
        <v>#N/A N/A</v>
        <stp/>
        <stp>BDH|4741344670210494377</stp>
        <tr r="F38" s="2"/>
      </tp>
      <tp t="s">
        <v>#N/A N/A</v>
        <stp/>
        <stp>BDH|2040586388038542446</stp>
        <tr r="N70" s="2"/>
      </tp>
      <tp t="s">
        <v>#N/A N/A</v>
        <stp/>
        <stp>BDH|4340767325596947486</stp>
        <tr r="AE69" s="2"/>
      </tp>
      <tp t="s">
        <v>#N/A N/A</v>
        <stp/>
        <stp>BDH|5523571656380035657</stp>
        <tr r="W66" s="2"/>
      </tp>
      <tp t="s">
        <v>#N/A N/A</v>
        <stp/>
        <stp>BDH|4470289548389554803</stp>
        <tr r="AE45" s="2"/>
      </tp>
      <tp t="s">
        <v>#N/A N/A</v>
        <stp/>
        <stp>BDH|4903742828393090145</stp>
        <tr r="AE42" s="2"/>
      </tp>
      <tp t="s">
        <v>#N/A N/A</v>
        <stp/>
        <stp>BDH|3625045873944065304</stp>
        <tr r="AA8" s="2"/>
      </tp>
      <tp t="s">
        <v>#N/A N/A</v>
        <stp/>
        <stp>BDH|6115223294987207939</stp>
        <tr r="AB61" s="2"/>
      </tp>
      <tp t="s">
        <v>#N/A N/A</v>
        <stp/>
        <stp>BDH|3812343272386111294</stp>
        <tr r="AF53" s="2"/>
      </tp>
      <tp t="s">
        <v>#N/A N/A</v>
        <stp/>
        <stp>BDH|3254206454624281324</stp>
        <tr r="M89" s="2"/>
      </tp>
      <tp t="s">
        <v>#N/A N/A</v>
        <stp/>
        <stp>BDH|9797283686065902561</stp>
        <tr r="K34" s="2"/>
      </tp>
      <tp t="s">
        <v>#N/A N/A</v>
        <stp/>
        <stp>BDH|8851688303314326963</stp>
        <tr r="Q32" s="2"/>
      </tp>
      <tp t="s">
        <v>#N/A N/A</v>
        <stp/>
        <stp>BDH|7463330112296574073</stp>
        <tr r="K25" s="2"/>
      </tp>
      <tp t="s">
        <v>#N/A N/A</v>
        <stp/>
        <stp>BDH|8103857257815422308</stp>
        <tr r="AE20" s="2"/>
      </tp>
      <tp t="s">
        <v>#N/A N/A</v>
        <stp/>
        <stp>BDH|3780591549475100414</stp>
        <tr r="M23" s="2"/>
      </tp>
      <tp t="s">
        <v>#N/A N/A</v>
        <stp/>
        <stp>BDH|4345307334270399731</stp>
        <tr r="P77" s="2"/>
      </tp>
      <tp t="s">
        <v>#N/A N/A</v>
        <stp/>
        <stp>BDH|5811035929902776627</stp>
        <tr r="F69" s="2"/>
      </tp>
      <tp t="s">
        <v>#N/A N/A</v>
        <stp/>
        <stp>BDH|2992178319183763247</stp>
        <tr r="E18" s="2"/>
      </tp>
      <tp t="s">
        <v>#N/A N/A</v>
        <stp/>
        <stp>BDH|8275776325757203966</stp>
        <tr r="R77" s="2"/>
      </tp>
      <tp t="s">
        <v>#N/A N/A</v>
        <stp/>
        <stp>BDH|7183713011473290173</stp>
        <tr r="F28" s="2"/>
      </tp>
      <tp t="s">
        <v>#N/A N/A</v>
        <stp/>
        <stp>BDH|9464151311919650322</stp>
        <tr r="N58" s="2"/>
      </tp>
      <tp t="s">
        <v>#N/A N/A</v>
        <stp/>
        <stp>BDH|5357857682082004409</stp>
        <tr r="U26" s="2"/>
      </tp>
      <tp t="s">
        <v>#N/A N/A</v>
        <stp/>
        <stp>BDH|5886678930776993521</stp>
        <tr r="AB9" s="2"/>
      </tp>
      <tp t="s">
        <v>#N/A N/A</v>
        <stp/>
        <stp>BDH|6186426743910594500</stp>
        <tr r="S91" s="2"/>
      </tp>
      <tp t="s">
        <v>#N/A N/A</v>
        <stp/>
        <stp>BDH|26640389286253641</stp>
        <tr r="V43" s="2"/>
      </tp>
      <tp t="s">
        <v>#N/A N/A</v>
        <stp/>
        <stp>BDH|780452831324728681</stp>
        <tr r="D93" s="2"/>
      </tp>
      <tp t="s">
        <v>#N/A N/A</v>
        <stp/>
        <stp>BDH|562926351949814018</stp>
        <tr r="N22" s="2"/>
      </tp>
      <tp t="s">
        <v>#N/A N/A</v>
        <stp/>
        <stp>BDH|457995330337329872</stp>
        <tr r="M72" s="2"/>
      </tp>
      <tp t="s">
        <v>#N/A N/A</v>
        <stp/>
        <stp>BDH|439077685385450880</stp>
        <tr r="W23" s="2"/>
      </tp>
      <tp t="s">
        <v>#N/A N/A</v>
        <stp/>
        <stp>BDH|584109052767104635</stp>
        <tr r="AB31" s="2"/>
      </tp>
      <tp t="s">
        <v>#N/A N/A</v>
        <stp/>
        <stp>BDH|419050967137311474</stp>
        <tr r="F27" s="2"/>
      </tp>
      <tp t="s">
        <v>#N/A N/A</v>
        <stp/>
        <stp>BDH|372959833268571738</stp>
        <tr r="E71" s="2"/>
      </tp>
      <tp t="s">
        <v>#N/A N/A</v>
        <stp/>
        <stp>BDH|787965384521786516</stp>
        <tr r="AC76" s="2"/>
      </tp>
      <tp t="s">
        <v>#N/A N/A</v>
        <stp/>
        <stp>BDH|928924056249725177</stp>
        <tr r="AA42" s="2"/>
      </tp>
      <tp t="s">
        <v>#N/A N/A</v>
        <stp/>
        <stp>BDH|669740339262151257</stp>
        <tr r="W73" s="2"/>
      </tp>
      <tp t="s">
        <v>#N/A N/A</v>
        <stp/>
        <stp>BDH|550039174064335793</stp>
        <tr r="AA65" s="2"/>
      </tp>
      <tp t="s">
        <v>#N/A N/A</v>
        <stp/>
        <stp>BDH|939329165524720506</stp>
        <tr r="O60" s="2"/>
      </tp>
      <tp t="s">
        <v>#N/A N/A</v>
        <stp/>
        <stp>BDH|977815570993155803</stp>
        <tr r="G29" s="2"/>
      </tp>
      <tp t="s">
        <v>#N/A N/A</v>
        <stp/>
        <stp>BDH|969328704587496000</stp>
        <tr r="S64" s="2"/>
      </tp>
      <tp t="s">
        <v>#N/A N/A</v>
        <stp/>
        <stp>BDH|823043431155894234</stp>
        <tr r="AB26" s="2"/>
      </tp>
      <tp t="s">
        <v>#N/A N/A</v>
        <stp/>
        <stp>BDH|181721761210225509</stp>
        <tr r="P67" s="2"/>
      </tp>
      <tp t="s">
        <v>#N/A N/A</v>
        <stp/>
        <stp>BDH|714941112495141905</stp>
        <tr r="U9" s="2"/>
      </tp>
      <tp t="s">
        <v>#N/A N/A</v>
        <stp/>
        <stp>BDH|407276671487189600</stp>
        <tr r="I41" s="2"/>
      </tp>
      <tp t="s">
        <v>#N/A N/A</v>
        <stp/>
        <stp>BDH|263545403403600151</stp>
        <tr r="L73" s="2"/>
      </tp>
      <tp t="s">
        <v>#N/A N/A</v>
        <stp/>
        <stp>BDH|953649601331255091</stp>
        <tr r="AD84" s="2"/>
      </tp>
      <tp t="s">
        <v>#N/A N/A</v>
        <stp/>
        <stp>BDH|874924216437412884</stp>
        <tr r="R17" s="2"/>
      </tp>
      <tp t="s">
        <v>#N/A N/A</v>
        <stp/>
        <stp>BDH|123463641340342756</stp>
        <tr r="H15" s="2"/>
      </tp>
      <tp t="s">
        <v>#N/A N/A</v>
        <stp/>
        <stp>BDH|822625738277842585</stp>
        <tr r="T34" s="2"/>
      </tp>
      <tp t="s">
        <v>#N/A N/A</v>
        <stp/>
        <stp>BDH|124244428174563210</stp>
        <tr r="AC40" s="2"/>
      </tp>
      <tp t="s">
        <v>#N/A N/A</v>
        <stp/>
        <stp>BDH|246475000322972073</stp>
        <tr r="J89" s="2"/>
      </tp>
      <tp t="s">
        <v>#N/A N/A</v>
        <stp/>
        <stp>BDH|309718471491241742</stp>
        <tr r="P45" s="2"/>
      </tp>
      <tp t="s">
        <v>#N/A N/A</v>
        <stp/>
        <stp>BDH|153366231511459776</stp>
        <tr r="O42" s="2"/>
      </tp>
      <tp t="s">
        <v>#N/A N/A</v>
        <stp/>
        <stp>BDH|721659522231035364</stp>
        <tr r="S11" s="2"/>
      </tp>
      <tp t="s">
        <v>#N/A N/A</v>
        <stp/>
        <stp>BDH|745350587815233818</stp>
        <tr r="X22" s="2"/>
      </tp>
      <tp t="s">
        <v>#N/A N/A</v>
        <stp/>
        <stp>BDH|334809740023234966</stp>
        <tr r="S18" s="2"/>
      </tp>
      <tp t="s">
        <v>#N/A N/A</v>
        <stp/>
        <stp>BDH|864635200425244243</stp>
        <tr r="H40" s="2"/>
      </tp>
      <tp t="s">
        <v>#N/A N/A</v>
        <stp/>
        <stp>BDH|812991387344080486</stp>
        <tr r="AB16" s="2"/>
      </tp>
      <tp t="s">
        <v>#N/A N/A</v>
        <stp/>
        <stp>BDH|707856393778624893</stp>
        <tr r="G40" s="2"/>
      </tp>
      <tp t="s">
        <v>#N/A N/A</v>
        <stp/>
        <stp>BDH|267618632621973514</stp>
        <tr r="G22" s="2"/>
      </tp>
      <tp t="s">
        <v>#N/A N/A</v>
        <stp/>
        <stp>BDH|368085902598967976</stp>
        <tr r="C72" s="2"/>
      </tp>
      <tp t="s">
        <v>#N/A N/A</v>
        <stp/>
        <stp>BDH|653477937965143371</stp>
        <tr r="D11" s="2"/>
      </tp>
      <tp t="s">
        <v>#N/A N/A</v>
        <stp/>
        <stp>BDH|840705887126438898</stp>
        <tr r="O52" s="2"/>
      </tp>
      <tp t="s">
        <v>#N/A N/A</v>
        <stp/>
        <stp>BDH|143423751390066000</stp>
        <tr r="H16" s="2"/>
      </tp>
      <tp t="s">
        <v>#N/A N/A</v>
        <stp/>
        <stp>BDH|994961764428102762</stp>
        <tr r="O13" s="2"/>
      </tp>
      <tp t="s">
        <v>#N/A N/A</v>
        <stp/>
        <stp>BDH|908127008160421123</stp>
        <tr r="Q69" s="2"/>
      </tp>
      <tp t="s">
        <v>#N/A N/A</v>
        <stp/>
        <stp>BDH|140356326168424935</stp>
        <tr r="C85" s="2"/>
      </tp>
      <tp t="s">
        <v>#N/A N/A</v>
        <stp/>
        <stp>BDH|758904812710482872</stp>
        <tr r="X90" s="2"/>
      </tp>
      <tp t="s">
        <v>#N/A N/A</v>
        <stp/>
        <stp>BDH|757251593749223238</stp>
        <tr r="AC27" s="2"/>
      </tp>
      <tp t="s">
        <v>#N/A N/A</v>
        <stp/>
        <stp>BDH|363670357683596072</stp>
        <tr r="AE10" s="2"/>
      </tp>
      <tp t="s">
        <v>#N/A N/A</v>
        <stp/>
        <stp>BDH|142004203782424278</stp>
        <tr r="N69" s="2"/>
      </tp>
      <tp t="s">
        <v>#N/A N/A</v>
        <stp/>
        <stp>BDH|479254044143759519</stp>
        <tr r="X14" s="2"/>
      </tp>
      <tp t="s">
        <v>#N/A N/A</v>
        <stp/>
        <stp>BDH|858799950700399211</stp>
        <tr r="R31" s="2"/>
      </tp>
      <tp t="s">
        <v>#N/A N/A</v>
        <stp/>
        <stp>BDH|391696307932218729</stp>
        <tr r="AF68" s="2"/>
      </tp>
      <tp t="s">
        <v>#N/A N/A</v>
        <stp/>
        <stp>BDH|505116496638843356</stp>
        <tr r="C64" s="2"/>
      </tp>
      <tp t="s">
        <v>#N/A N/A</v>
        <stp/>
        <stp>BDH|820721749087361791</stp>
        <tr r="I48" s="2"/>
      </tp>
      <tp t="s">
        <v>#N/A N/A</v>
        <stp/>
        <stp>BDH|410097513312664022</stp>
        <tr r="R84" s="2"/>
      </tp>
      <tp t="s">
        <v>#N/A N/A</v>
        <stp/>
        <stp>BDH|761609217444722029</stp>
        <tr r="N7" s="2"/>
      </tp>
      <tp t="s">
        <v>#N/A N/A</v>
        <stp/>
        <stp>BDH|577514733002005727</stp>
        <tr r="Q20" s="2"/>
      </tp>
      <tp t="s">
        <v>#N/A N/A</v>
        <stp/>
        <stp>BDH|596137922179097930</stp>
        <tr r="AF82" s="2"/>
      </tp>
      <tp t="s">
        <v>#N/A N/A</v>
        <stp/>
        <stp>BDH|749518848273621048</stp>
        <tr r="AC81" s="2"/>
      </tp>
      <tp t="s">
        <v>#N/A N/A</v>
        <stp/>
        <stp>BDH|885916733519456140</stp>
        <tr r="O83" s="2"/>
      </tp>
      <tp t="s">
        <v>#N/A N/A</v>
        <stp/>
        <stp>BDH|273312502924148548</stp>
        <tr r="V23" s="2"/>
      </tp>
      <tp t="s">
        <v>#N/A N/A</v>
        <stp/>
        <stp>BDH|318983791733930177</stp>
        <tr r="D12" s="2"/>
      </tp>
      <tp t="s">
        <v>#N/A N/A</v>
        <stp/>
        <stp>BDH|368188721695824450</stp>
        <tr r="N82" s="2"/>
      </tp>
      <tp t="s">
        <v>#N/A N/A</v>
        <stp/>
        <stp>BDH|553814945869076760</stp>
        <tr r="I74" s="2"/>
      </tp>
      <tp t="s">
        <v>#N/A N/A</v>
        <stp/>
        <stp>BDH|256118478586034292</stp>
        <tr r="V8" s="2"/>
      </tp>
      <tp t="s">
        <v>#N/A N/A</v>
        <stp/>
        <stp>BDH|486071406816069479</stp>
        <tr r="AC43" s="2"/>
      </tp>
      <tp t="s">
        <v>#N/A N/A</v>
        <stp/>
        <stp>BDH|726281526526263496</stp>
        <tr r="D52" s="2"/>
      </tp>
      <tp t="s">
        <v>#N/A N/A</v>
        <stp/>
        <stp>BDH|156639865172028046</stp>
        <tr r="K10" s="2"/>
      </tp>
      <tp t="s">
        <v>#N/A N/A</v>
        <stp/>
        <stp>BDH|926501203679490115</stp>
        <tr r="Y52" s="2"/>
      </tp>
      <tp t="s">
        <v>#N/A N/A</v>
        <stp/>
        <stp>BDH|225199974683468826</stp>
        <tr r="L18" s="2"/>
      </tp>
      <tp t="s">
        <v>#N/A N/A</v>
        <stp/>
        <stp>BDH|534528885978877838</stp>
        <tr r="Y76" s="2"/>
      </tp>
      <tp t="s">
        <v>#N/A N/A</v>
        <stp/>
        <stp>BDH|973135549641849927</stp>
        <tr r="AB76" s="2"/>
      </tp>
      <tp t="s">
        <v>#N/A N/A</v>
        <stp/>
        <stp>BDH|521986880109246598</stp>
        <tr r="R39" s="2"/>
      </tp>
      <tp t="s">
        <v>#N/A N/A</v>
        <stp/>
        <stp>BDH|437678943108345759</stp>
        <tr r="J25" s="2"/>
      </tp>
      <tp t="s">
        <v>#N/A N/A</v>
        <stp/>
        <stp>BDH|284259008656920915</stp>
        <tr r="M55" s="2"/>
      </tp>
      <tp t="s">
        <v>#N/A N/A</v>
        <stp/>
        <stp>BDH|971910410803816608</stp>
        <tr r="Y49" s="2"/>
      </tp>
      <tp t="s">
        <v>#N/A N/A</v>
        <stp/>
        <stp>BDH|445532091594557529</stp>
        <tr r="AD59" s="2"/>
      </tp>
      <tp t="s">
        <v>#N/A N/A</v>
        <stp/>
        <stp>BDH|562059655958206059</stp>
        <tr r="P62" s="2"/>
      </tp>
      <tp t="s">
        <v>#N/A N/A</v>
        <stp/>
        <stp>BDH|774489658624797838</stp>
        <tr r="T83" s="2"/>
      </tp>
      <tp t="s">
        <v>#N/A N/A</v>
        <stp/>
        <stp>BDH|970594162618662793</stp>
        <tr r="X49" s="2"/>
      </tp>
      <tp t="s">
        <v>#N/A N/A</v>
        <stp/>
        <stp>BDH|887458342718404448</stp>
        <tr r="AF43" s="2"/>
      </tp>
      <tp t="s">
        <v>#N/A N/A</v>
        <stp/>
        <stp>BDH|646085565643017925</stp>
        <tr r="X61" s="2"/>
      </tp>
      <tp t="s">
        <v>#N/A N/A</v>
        <stp/>
        <stp>BDH|774206230618958571</stp>
        <tr r="H25" s="2"/>
      </tp>
      <tp t="s">
        <v>#N/A N/A</v>
        <stp/>
        <stp>BDH|171266741223658951</stp>
        <tr r="G56" s="2"/>
      </tp>
      <tp t="s">
        <v>#N/A N/A</v>
        <stp/>
        <stp>BDH|454230747489529339</stp>
        <tr r="AF67" s="2"/>
      </tp>
      <tp t="s">
        <v>#N/A N/A</v>
        <stp/>
        <stp>BDH|678269606597557958</stp>
        <tr r="AD51" s="2"/>
      </tp>
      <tp t="s">
        <v>#N/A N/A</v>
        <stp/>
        <stp>BDH|281926233235470307</stp>
        <tr r="G46" s="2"/>
      </tp>
      <tp t="s">
        <v>#N/A N/A</v>
        <stp/>
        <stp>BDH|959667712392977959</stp>
        <tr r="AF45" s="2"/>
      </tp>
      <tp t="s">
        <v>#N/A N/A</v>
        <stp/>
        <stp>BDH|261068397956615379</stp>
        <tr r="T92" s="2"/>
      </tp>
      <tp t="s">
        <v>#N/A N/A</v>
        <stp/>
        <stp>BDH|765261188535125041</stp>
        <tr r="L61" s="2"/>
      </tp>
      <tp t="s">
        <v>#N/A N/A</v>
        <stp/>
        <stp>BDH|516073283311552682</stp>
        <tr r="AD18" s="2"/>
      </tp>
      <tp t="s">
        <v>#N/A N/A</v>
        <stp/>
        <stp>BDH|675446899314543614</stp>
        <tr r="K89" s="2"/>
      </tp>
      <tp t="s">
        <v>#N/A N/A</v>
        <stp/>
        <stp>BDH|240605953999822511</stp>
        <tr r="U93" s="2"/>
      </tp>
      <tp t="s">
        <v>#N/A N/A</v>
        <stp/>
        <stp>BDH|853050544409445296</stp>
        <tr r="K49" s="2"/>
      </tp>
      <tp t="s">
        <v>#N/A N/A</v>
        <stp/>
        <stp>BDH|678702177368687723</stp>
        <tr r="X51" s="2"/>
      </tp>
      <tp t="s">
        <v>#N/A N/A</v>
        <stp/>
        <stp>BDH|544846141142839180</stp>
        <tr r="R85" s="2"/>
      </tp>
      <tp t="s">
        <v>#N/A N/A</v>
        <stp/>
        <stp>BDH|484240565372727901</stp>
        <tr r="AD70" s="2"/>
      </tp>
      <tp t="s">
        <v>#N/A N/A</v>
        <stp/>
        <stp>BDH|959935829601979466</stp>
        <tr r="N45" s="2"/>
      </tp>
      <tp t="s">
        <v>#N/A N/A</v>
        <stp/>
        <stp>BDH|238568750299840709</stp>
        <tr r="AD38" s="2"/>
      </tp>
      <tp t="s">
        <v>#N/A N/A</v>
        <stp/>
        <stp>BDH|661402473938989536</stp>
        <tr r="AA12" s="2"/>
      </tp>
      <tp t="s">
        <v>#N/A N/A</v>
        <stp/>
        <stp>BDH|417023873121823868</stp>
        <tr r="AE47" s="2"/>
      </tp>
      <tp t="s">
        <v>#N/A N/A</v>
        <stp/>
        <stp>BDH|988513485516970508</stp>
        <tr r="E89" s="2"/>
      </tp>
      <tp t="s">
        <v>#N/A N/A</v>
        <stp/>
        <stp>BDH|364772886572228347</stp>
        <tr r="AD24" s="2"/>
      </tp>
      <tp t="s">
        <v>#N/A N/A</v>
        <stp/>
        <stp>BDH|755061789020493688</stp>
        <tr r="H63" s="2"/>
      </tp>
      <tp t="s">
        <v>#N/A N/A</v>
        <stp/>
        <stp>BDH|331529721680020969</stp>
        <tr r="C28" s="2"/>
      </tp>
      <tp t="s">
        <v>#N/A N/A</v>
        <stp/>
        <stp>BDH|372318495492958692</stp>
        <tr r="S73" s="2"/>
      </tp>
      <tp t="s">
        <v>#N/A N/A</v>
        <stp/>
        <stp>BDH|430345101435600868</stp>
        <tr r="L64" s="2"/>
      </tp>
      <tp t="s">
        <v>#N/A N/A</v>
        <stp/>
        <stp>BDH|312598069988002517</stp>
        <tr r="C47" s="2"/>
      </tp>
      <tp t="s">
        <v>#N/A N/A</v>
        <stp/>
        <stp>BDH|333948745622882675</stp>
        <tr r="C33" s="2"/>
      </tp>
      <tp t="s">
        <v>#N/A N/A</v>
        <stp/>
        <stp>BDH|219315649179264770</stp>
        <tr r="E73" s="2"/>
      </tp>
      <tp t="s">
        <v>#N/A N/A</v>
        <stp/>
        <stp>BDH|665110014200123980</stp>
        <tr r="AD60" s="2"/>
      </tp>
      <tp t="s">
        <v>#N/A N/A</v>
        <stp/>
        <stp>BDH|870899604710662188</stp>
        <tr r="W38" s="2"/>
      </tp>
      <tp t="s">
        <v>#N/A N/A</v>
        <stp/>
        <stp>BDH|332279059968944629</stp>
        <tr r="R58" s="2"/>
      </tp>
      <tp t="s">
        <v>#N/A N/A</v>
        <stp/>
        <stp>BDH|732916704392038237</stp>
        <tr r="Z58" s="2"/>
      </tp>
      <tp t="s">
        <v>#N/A N/A</v>
        <stp/>
        <stp>BDH|644859243564103121</stp>
        <tr r="L14" s="2"/>
      </tp>
      <tp t="s">
        <v>#N/A N/A</v>
        <stp/>
        <stp>BDH|253952538881483315</stp>
        <tr r="S28" s="2"/>
      </tp>
      <tp t="s">
        <v>#N/A N/A</v>
        <stp/>
        <stp>BDH|802491046419672171</stp>
        <tr r="K27" s="2"/>
      </tp>
      <tp t="s">
        <v>#N/A N/A</v>
        <stp/>
        <stp>BDH|154897505880370097</stp>
        <tr r="J35" s="2"/>
      </tp>
      <tp t="s">
        <v>#N/A N/A</v>
        <stp/>
        <stp>BDH|209180393038897863</stp>
        <tr r="Z48" s="2"/>
      </tp>
      <tp t="s">
        <v>#N/A N/A</v>
        <stp/>
        <stp>BDH|538018276087107824</stp>
        <tr r="AA73" s="2"/>
      </tp>
      <tp t="s">
        <v>#N/A N/A</v>
        <stp/>
        <stp>BDH|819506881894575209</stp>
        <tr r="O65" s="2"/>
      </tp>
      <tp t="s">
        <v>#N/A N/A</v>
        <stp/>
        <stp>BDH|210840404605128675</stp>
        <tr r="AD81" s="2"/>
      </tp>
      <tp t="s">
        <v>#N/A N/A</v>
        <stp/>
        <stp>BDH|810122159008203748</stp>
        <tr r="AF11" s="2"/>
      </tp>
      <tp t="s">
        <v>#N/A N/A</v>
        <stp/>
        <stp>BDH|267403295542498416</stp>
        <tr r="W14" s="2"/>
      </tp>
      <tp t="s">
        <v>#N/A N/A</v>
        <stp/>
        <stp>BDH|881079484082567023</stp>
        <tr r="D40" s="2"/>
      </tp>
      <tp t="s">
        <v>#N/A N/A</v>
        <stp/>
        <stp>BDH|676117355367234989</stp>
        <tr r="AD57" s="2"/>
      </tp>
      <tp t="s">
        <v>#N/A N/A</v>
        <stp/>
        <stp>BDH|393561993976783080</stp>
        <tr r="Q26" s="2"/>
      </tp>
      <tp t="s">
        <v>#N/A N/A</v>
        <stp/>
        <stp>BDH|345370388061470015</stp>
        <tr r="H71" s="2"/>
      </tp>
      <tp t="s">
        <v>#N/A N/A</v>
        <stp/>
        <stp>BDH|227306506560285920</stp>
        <tr r="U94" s="2"/>
      </tp>
      <tp t="s">
        <v>#N/A N/A</v>
        <stp/>
        <stp>BDH|341093784173064195</stp>
        <tr r="G17" s="2"/>
      </tp>
      <tp t="s">
        <v>#N/A N/A</v>
        <stp/>
        <stp>BDH|767036725258345025</stp>
        <tr r="M85" s="2"/>
      </tp>
      <tp t="s">
        <v>#N/A N/A</v>
        <stp/>
        <stp>BDH|132956654730650675</stp>
        <tr r="T73" s="2"/>
      </tp>
      <tp t="s">
        <v>#N/A N/A</v>
        <stp/>
        <stp>BDH|306924053082368423</stp>
        <tr r="D4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5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0" t="s">
        <v>66</v>
      </c>
      <c r="B7" s="10" t="s">
        <v>67</v>
      </c>
      <c r="C7" s="13" cm="1">
        <f t="array" ref="C7">_xll.BDH("CAT US Equity","CASH_CASH_EQTY_STI_DETAILED","FQ3 2018","FQ3 2018","Currency=USD","Period=FQ","BEST_FPERIOD_OVERRIDE=FQ","FILING_STATUS=MR","SCALING_FORMAT=MLN","Sort=A","Dates=H","DateFormat=P","Fill=—","Direction=H","UseDPDF=Y")</f>
        <v>8007</v>
      </c>
      <c r="D7" s="13" cm="1">
        <f t="array" ref="D7">_xll.BDH("CAT US Equity","CASH_CASH_EQTY_STI_DETAILED","FQ4 2018","FQ4 2018","Currency=USD","Period=FQ","BEST_FPERIOD_OVERRIDE=FQ","FILING_STATUS=MR","SCALING_FORMAT=MLN","Sort=A","Dates=H","DateFormat=P","Fill=—","Direction=H","UseDPDF=Y")</f>
        <v>7857</v>
      </c>
      <c r="E7" s="13" cm="1">
        <f t="array" ref="E7">_xll.BDH("CAT US Equity","CASH_CASH_EQTY_STI_DETAILED","FQ1 2019","FQ1 2019","Currency=USD","Period=FQ","BEST_FPERIOD_OVERRIDE=FQ","FILING_STATUS=MR","SCALING_FORMAT=MLN","Sort=A","Dates=H","DateFormat=P","Fill=—","Direction=H","UseDPDF=Y")</f>
        <v>7128</v>
      </c>
      <c r="F7" s="13" cm="1">
        <f t="array" ref="F7">_xll.BDH("CAT US Equity","CASH_CASH_EQTY_STI_DETAILED","FQ2 2019","FQ2 2019","Currency=USD","Period=FQ","BEST_FPERIOD_OVERRIDE=FQ","FILING_STATUS=MR","SCALING_FORMAT=MLN","Sort=A","Dates=H","DateFormat=P","Fill=—","Direction=H","UseDPDF=Y")</f>
        <v>7429</v>
      </c>
      <c r="G7" s="13" cm="1">
        <f t="array" ref="G7">_xll.BDH("CAT US Equity","CASH_CASH_EQTY_STI_DETAILED","FQ3 2019","FQ3 2019","Currency=USD","Period=FQ","BEST_FPERIOD_OVERRIDE=FQ","FILING_STATUS=MR","SCALING_FORMAT=MLN","Sort=A","Dates=H","DateFormat=P","Fill=—","Direction=H","UseDPDF=Y")</f>
        <v>7906</v>
      </c>
      <c r="H7" s="13" cm="1">
        <f t="array" ref="H7">_xll.BDH("CAT US Equity","CASH_CASH_EQTY_STI_DETAILED","FQ4 2019","FQ4 2019","Currency=USD","Period=FQ","BEST_FPERIOD_OVERRIDE=FQ","FILING_STATUS=MR","SCALING_FORMAT=MLN","Sort=A","Dates=H","DateFormat=P","Fill=—","Direction=H","UseDPDF=Y")</f>
        <v>8284</v>
      </c>
      <c r="I7" s="13" cm="1">
        <f t="array" ref="I7">_xll.BDH("CAT US Equity","CASH_CASH_EQTY_STI_DETAILED","FQ1 2020","FQ1 2020","Currency=USD","Period=FQ","BEST_FPERIOD_OVERRIDE=FQ","FILING_STATUS=MR","SCALING_FORMAT=MLN","Sort=A","Dates=H","DateFormat=P","Fill=—","Direction=H","UseDPDF=Y")</f>
        <v>7123</v>
      </c>
      <c r="J7" s="13" cm="1">
        <f t="array" ref="J7">_xll.BDH("CAT US Equity","CASH_CASH_EQTY_STI_DETAILED","FQ2 2020","FQ2 2020","Currency=USD","Period=FQ","BEST_FPERIOD_OVERRIDE=FQ","FILING_STATUS=MR","SCALING_FORMAT=MLN","Sort=A","Dates=H","DateFormat=P","Fill=—","Direction=H","UseDPDF=Y")</f>
        <v>8784</v>
      </c>
      <c r="K7" s="13" cm="1">
        <f t="array" ref="K7">_xll.BDH("CAT US Equity","CASH_CASH_EQTY_STI_DETAILED","FQ3 2020","FQ3 2020","Currency=USD","Period=FQ","BEST_FPERIOD_OVERRIDE=FQ","FILING_STATUS=MR","SCALING_FORMAT=MLN","Sort=A","Dates=H","DateFormat=P","Fill=—","Direction=H","UseDPDF=Y")</f>
        <v>9315</v>
      </c>
      <c r="L7" s="13" cm="1">
        <f t="array" ref="L7">_xll.BDH("CAT US Equity","CASH_CASH_EQTY_STI_DETAILED","FQ4 2020","FQ4 2020","Currency=USD","Period=FQ","BEST_FPERIOD_OVERRIDE=FQ","FILING_STATUS=MR","SCALING_FORMAT=MLN","Sort=A","Dates=H","DateFormat=P","Fill=—","Direction=H","UseDPDF=Y")</f>
        <v>9352</v>
      </c>
      <c r="M7" s="13" cm="1">
        <f t="array" ref="M7">_xll.BDH("CAT US Equity","CASH_CASH_EQTY_STI_DETAILED","FQ1 2021","FQ1 2021","Currency=USD","Period=FQ","BEST_FPERIOD_OVERRIDE=FQ","FILING_STATUS=MR","SCALING_FORMAT=MLN","Sort=A","Dates=H","DateFormat=P","Fill=—","Direction=H","UseDPDF=Y")</f>
        <v>11342</v>
      </c>
      <c r="N7" s="13" cm="1">
        <f t="array" ref="N7">_xll.BDH("CAT US Equity","CASH_CASH_EQTY_STI_DETAILED","FQ2 2021","FQ2 2021","Currency=USD","Period=FQ","BEST_FPERIOD_OVERRIDE=FQ","FILING_STATUS=MR","SCALING_FORMAT=MLN","Sort=A","Dates=H","DateFormat=P","Fill=—","Direction=H","UseDPDF=Y")</f>
        <v>10831</v>
      </c>
      <c r="O7" s="13" cm="1">
        <f t="array" ref="O7">_xll.BDH("CAT US Equity","CASH_CASH_EQTY_STI_DETAILED","FQ3 2021","FQ3 2021","Currency=USD","Period=FQ","BEST_FPERIOD_OVERRIDE=FQ","FILING_STATUS=MR","SCALING_FORMAT=MLN","Sort=A","Dates=H","DateFormat=P","Fill=—","Direction=H","UseDPDF=Y")</f>
        <v>9446</v>
      </c>
      <c r="P7" s="13" cm="1">
        <f t="array" ref="P7">_xll.BDH("CAT US Equity","CASH_CASH_EQTY_STI_DETAILED","FQ4 2021","FQ4 2021","Currency=USD","Period=FQ","BEST_FPERIOD_OVERRIDE=FQ","FILING_STATUS=MR","SCALING_FORMAT=MLN","Sort=A","Dates=H","DateFormat=P","Fill=—","Direction=H","UseDPDF=Y")</f>
        <v>9254</v>
      </c>
      <c r="Q7" s="13" cm="1">
        <f t="array" ref="Q7">_xll.BDH("CAT US Equity","CASH_CASH_EQTY_STI_DETAILED","FQ1 2022","FQ1 2022","Currency=USD","Period=FQ","BEST_FPERIOD_OVERRIDE=FQ","FILING_STATUS=MR","SCALING_FORMAT=MLN","Sort=A","Dates=H","DateFormat=P","Fill=—","Direction=H","UseDPDF=Y")</f>
        <v>6526</v>
      </c>
      <c r="R7" s="13" cm="1">
        <f t="array" ref="R7">_xll.BDH("CAT US Equity","CASH_CASH_EQTY_STI_DETAILED","FQ2 2022","FQ2 2022","Currency=USD","Period=FQ","BEST_FPERIOD_OVERRIDE=FQ","FILING_STATUS=MR","SCALING_FORMAT=MLN","Sort=A","Dates=H","DateFormat=P","Fill=—","Direction=H","UseDPDF=Y")</f>
        <v>6014</v>
      </c>
      <c r="S7" s="13" cm="1">
        <f t="array" ref="S7">_xll.BDH("CAT US Equity","CASH_CASH_EQTY_STI_DETAILED","FQ3 2022","FQ3 2022","Currency=USD","Period=FQ","BEST_FPERIOD_OVERRIDE=FQ","FILING_STATUS=MR","SCALING_FORMAT=MLN","Sort=A","Dates=H","DateFormat=P","Fill=—","Direction=H","UseDPDF=Y")</f>
        <v>6346</v>
      </c>
      <c r="T7" s="13" cm="1">
        <f t="array" ref="T7">_xll.BDH("CAT US Equity","CASH_CASH_EQTY_STI_DETAILED","FQ4 2022","FQ4 2022","Currency=USD","Period=FQ","BEST_FPERIOD_OVERRIDE=FQ","FILING_STATUS=MR","SCALING_FORMAT=MLN","Sort=A","Dates=H","DateFormat=P","Fill=—","Direction=H","UseDPDF=Y")</f>
        <v>7004</v>
      </c>
      <c r="U7" s="13" cm="1">
        <f t="array" ref="U7">_xll.BDH("CAT US Equity","CASH_CASH_EQTY_STI_DETAILED","FQ1 2023","FQ1 2023","Currency=USD","Period=FQ","BEST_FPERIOD_OVERRIDE=FQ","FILING_STATUS=MR","SCALING_FORMAT=MLN","Sort=A","Dates=H","DateFormat=P","Fill=—","Direction=H","UseDPDF=Y")</f>
        <v>6789</v>
      </c>
      <c r="V7" s="13" cm="1">
        <f t="array" ref="V7">_xll.BDH("CAT US Equity","CASH_CASH_EQTY_STI_DETAILED","FQ2 2023","FQ2 2023","Currency=USD","Period=FQ","BEST_FPERIOD_OVERRIDE=FQ","FILING_STATUS=MR","SCALING_FORMAT=MLN","Sort=A","Dates=H","DateFormat=P","Fill=—","Direction=H","UseDPDF=Y")</f>
        <v>7387</v>
      </c>
      <c r="W7" s="13" cm="1">
        <f t="array" ref="W7">_xll.BDH("CAT US Equity","CASH_CASH_EQTY_STI_DETAILED","FQ3 2023","FQ3 2023","Currency=USD","Period=FQ","BEST_FPERIOD_OVERRIDE=FQ","FILING_STATUS=MR","SCALING_FORMAT=MLN","Sort=A","Dates=H","DateFormat=P","Fill=—","Direction=H","UseDPDF=Y")</f>
        <v>6545</v>
      </c>
      <c r="X7" s="13" cm="1">
        <f t="array" ref="X7">_xll.BDH("CAT US Equity","CASH_CASH_EQTY_STI_DETAILED","FQ4 2023","FQ4 2023","Currency=USD","Period=FQ","BEST_FPERIOD_OVERRIDE=FQ","FILING_STATUS=MR","SCALING_FORMAT=MLN","Sort=A","Dates=H","DateFormat=P","Fill=—","Direction=H","UseDPDF=Y")</f>
        <v>6978</v>
      </c>
      <c r="Y7" s="13" cm="1">
        <f t="array" ref="Y7">_xll.BDH("CAT US Equity","CASH_CASH_EQTY_STI_DETAILED","FQ1 2024","FQ1 2024","Currency=USD","Period=FQ","BEST_FPERIOD_OVERRIDE=FQ","FILING_STATUS=MR","SCALING_FORMAT=MLN","Sort=A","Dates=H","DateFormat=P","Fill=—","Direction=H","UseDPDF=Y")</f>
        <v>4959</v>
      </c>
      <c r="Z7" s="13" cm="1">
        <f t="array" ref="Z7">_xll.BDH("CAT US Equity","CASH_CASH_EQTY_STI_DETAILED","FQ2 2024","FQ2 2024","Currency=USD","Period=FQ","BEST_FPERIOD_OVERRIDE=FQ","FILING_STATUS=MR","SCALING_FORMAT=MLN","Sort=A","Dates=H","DateFormat=P","Fill=—","Direction=H","UseDPDF=Y")</f>
        <v>4341</v>
      </c>
      <c r="AA7" s="13" cm="1">
        <f t="array" ref="AA7">_xll.BDH("CAT US Equity","CASH_CASH_EQTY_STI_DETAILED","FQ3 2024","FQ3 2024","Currency=USD","Period=FQ","BEST_FPERIOD_OVERRIDE=FQ","FILING_STATUS=MR","SCALING_FORMAT=MLN","Sort=A","Dates=H","DateFormat=P","Fill=—","Direction=H","UseDPDF=Y")</f>
        <v>5638</v>
      </c>
      <c r="AB7" s="13" cm="1">
        <f t="array" ref="AB7">_xll.BDH("CAT US Equity","CASH_CASH_EQTY_STI_DETAILED","FQ4 2024","FQ4 2024","Currency=USD","Period=FQ","BEST_FPERIOD_OVERRIDE=FQ","FILING_STATUS=MR","SCALING_FORMAT=MLN","Sort=A","Dates=H","DateFormat=P","Fill=—","Direction=H","UseDPDF=Y")</f>
        <v>6889</v>
      </c>
      <c r="AC7" s="13" cm="1">
        <f t="array" ref="AC7">_xll.BDH("CAT US Equity","CASH_CASH_EQTY_STI_DETAILED","FQ1 2025","FQ1 2025","Currency=USD","Period=FQ","BEST_FPERIOD_OVERRIDE=FQ","FILING_STATUS=MR","SCALING_FORMAT=MLN","Sort=A","Dates=H","DateFormat=P","Fill=—","Direction=H","UseDPDF=Y")</f>
        <v>3562</v>
      </c>
      <c r="AD7" s="13" cm="1">
        <f t="array" ref="AD7">_xll.BDH("CAT US Equity","CASH_CASH_EQTY_STI_DETAILED","FQ2 2025","FQ2 2025","Currency=USD","Period=FQ","BEST_FPERIOD_OVERRIDE=FQ","FILING_STATUS=MR","SCALING_FORMAT=MLN","Sort=A","Dates=H","DateFormat=P","Fill=—","Direction=H","UseDPDF=Y")</f>
        <v>5442</v>
      </c>
      <c r="AE7" s="13" cm="1">
        <f t="array" ref="AE7">_xll.BDH("CAT US Equity","CASH_CASH_EQTY_STI_DETAILED","FQ3 2025","FQ3 2025","Currency=USD","Period=FQ","BEST_FPERIOD_OVERRIDE=FQ","FILING_STATUS=MR","SCALING_FORMAT=MLN","Sort=A","Dates=H","DateFormat=P","Fill=—","Direction=H","UseDPDF=Y")</f>
        <v>7538</v>
      </c>
      <c r="AF7" s="13" cm="1">
        <f t="array" ref="AF7">_xll.BDH("CAT US Equity","CASH_CASH_EQTY_STI_DETAILED","FQ4 2025","FQ4 2025","Currency=USD","Period=FQ","BEST_FPERIOD_OVERRIDE=FQ","FILING_STATUS=MR","SCALING_FORMAT=MLN","Sort=A","Dates=H","DateFormat=P","Fill=—","Direction=H","UseDPDF=Y")</f>
        <v>9980</v>
      </c>
    </row>
    <row r="8" spans="1:32" x14ac:dyDescent="0.25">
      <c r="A8" s="10" t="s">
        <v>68</v>
      </c>
      <c r="B8" s="10" t="s">
        <v>69</v>
      </c>
      <c r="C8" s="13" cm="1">
        <f t="array" ref="C8">_xll.BDH("CAT US Equity","BS_CASH_NEAR_CASH_ITEM","FQ3 2018","FQ3 2018","Currency=USD","Period=FQ","BEST_FPERIOD_OVERRIDE=FQ","FILING_STATUS=MR","SCALING_FORMAT=MLN","Sort=A","Dates=H","DateFormat=P","Fill=—","Direction=H","UseDPDF=Y")</f>
        <v>8007</v>
      </c>
      <c r="D8" s="13" cm="1">
        <f t="array" ref="D8">_xll.BDH("CAT US Equity","BS_CASH_NEAR_CASH_ITEM","FQ4 2018","FQ4 2018","Currency=USD","Period=FQ","BEST_FPERIOD_OVERRIDE=FQ","FILING_STATUS=MR","SCALING_FORMAT=MLN","Sort=A","Dates=H","DateFormat=P","Fill=—","Direction=H","UseDPDF=Y")</f>
        <v>7857</v>
      </c>
      <c r="E8" s="13" cm="1">
        <f t="array" ref="E8">_xll.BDH("CAT US Equity","BS_CASH_NEAR_CASH_ITEM","FQ1 2019","FQ1 2019","Currency=USD","Period=FQ","BEST_FPERIOD_OVERRIDE=FQ","FILING_STATUS=MR","SCALING_FORMAT=MLN","Sort=A","Dates=H","DateFormat=P","Fill=—","Direction=H","UseDPDF=Y")</f>
        <v>7128</v>
      </c>
      <c r="F8" s="13" cm="1">
        <f t="array" ref="F8">_xll.BDH("CAT US Equity","BS_CASH_NEAR_CASH_ITEM","FQ2 2019","FQ2 2019","Currency=USD","Period=FQ","BEST_FPERIOD_OVERRIDE=FQ","FILING_STATUS=MR","SCALING_FORMAT=MLN","Sort=A","Dates=H","DateFormat=P","Fill=—","Direction=H","UseDPDF=Y")</f>
        <v>7429</v>
      </c>
      <c r="G8" s="13" cm="1">
        <f t="array" ref="G8">_xll.BDH("CAT US Equity","BS_CASH_NEAR_CASH_ITEM","FQ3 2019","FQ3 2019","Currency=USD","Period=FQ","BEST_FPERIOD_OVERRIDE=FQ","FILING_STATUS=MR","SCALING_FORMAT=MLN","Sort=A","Dates=H","DateFormat=P","Fill=—","Direction=H","UseDPDF=Y")</f>
        <v>7906</v>
      </c>
      <c r="H8" s="13" cm="1">
        <f t="array" ref="H8">_xll.BDH("CAT US Equity","BS_CASH_NEAR_CASH_ITEM","FQ4 2019","FQ4 2019","Currency=USD","Period=FQ","BEST_FPERIOD_OVERRIDE=FQ","FILING_STATUS=MR","SCALING_FORMAT=MLN","Sort=A","Dates=H","DateFormat=P","Fill=—","Direction=H","UseDPDF=Y")</f>
        <v>8284</v>
      </c>
      <c r="I8" s="13" cm="1">
        <f t="array" ref="I8">_xll.BDH("CAT US Equity","BS_CASH_NEAR_CASH_ITEM","FQ1 2020","FQ1 2020","Currency=USD","Period=FQ","BEST_FPERIOD_OVERRIDE=FQ","FILING_STATUS=MR","SCALING_FORMAT=MLN","Sort=A","Dates=H","DateFormat=P","Fill=—","Direction=H","UseDPDF=Y")</f>
        <v>7123</v>
      </c>
      <c r="J8" s="13" cm="1">
        <f t="array" ref="J8">_xll.BDH("CAT US Equity","BS_CASH_NEAR_CASH_ITEM","FQ2 2020","FQ2 2020","Currency=USD","Period=FQ","BEST_FPERIOD_OVERRIDE=FQ","FILING_STATUS=MR","SCALING_FORMAT=MLN","Sort=A","Dates=H","DateFormat=P","Fill=—","Direction=H","UseDPDF=Y")</f>
        <v>8784</v>
      </c>
      <c r="K8" s="13" cm="1">
        <f t="array" ref="K8">_xll.BDH("CAT US Equity","BS_CASH_NEAR_CASH_ITEM","FQ3 2020","FQ3 2020","Currency=USD","Period=FQ","BEST_FPERIOD_OVERRIDE=FQ","FILING_STATUS=MR","SCALING_FORMAT=MLN","Sort=A","Dates=H","DateFormat=P","Fill=—","Direction=H","UseDPDF=Y")</f>
        <v>9315</v>
      </c>
      <c r="L8" s="13" cm="1">
        <f t="array" ref="L8">_xll.BDH("CAT US Equity","BS_CASH_NEAR_CASH_ITEM","FQ4 2020","FQ4 2020","Currency=USD","Period=FQ","BEST_FPERIOD_OVERRIDE=FQ","FILING_STATUS=MR","SCALING_FORMAT=MLN","Sort=A","Dates=H","DateFormat=P","Fill=—","Direction=H","UseDPDF=Y")</f>
        <v>9352</v>
      </c>
      <c r="M8" s="13" cm="1">
        <f t="array" ref="M8">_xll.BDH("CAT US Equity","BS_CASH_NEAR_CASH_ITEM","FQ1 2021","FQ1 2021","Currency=USD","Period=FQ","BEST_FPERIOD_OVERRIDE=FQ","FILING_STATUS=MR","SCALING_FORMAT=MLN","Sort=A","Dates=H","DateFormat=P","Fill=—","Direction=H","UseDPDF=Y")</f>
        <v>11342</v>
      </c>
      <c r="N8" s="13" cm="1">
        <f t="array" ref="N8">_xll.BDH("CAT US Equity","BS_CASH_NEAR_CASH_ITEM","FQ2 2021","FQ2 2021","Currency=USD","Period=FQ","BEST_FPERIOD_OVERRIDE=FQ","FILING_STATUS=MR","SCALING_FORMAT=MLN","Sort=A","Dates=H","DateFormat=P","Fill=—","Direction=H","UseDPDF=Y")</f>
        <v>10831</v>
      </c>
      <c r="O8" s="13" cm="1">
        <f t="array" ref="O8">_xll.BDH("CAT US Equity","BS_CASH_NEAR_CASH_ITEM","FQ3 2021","FQ3 2021","Currency=USD","Period=FQ","BEST_FPERIOD_OVERRIDE=FQ","FILING_STATUS=MR","SCALING_FORMAT=MLN","Sort=A","Dates=H","DateFormat=P","Fill=—","Direction=H","UseDPDF=Y")</f>
        <v>9446</v>
      </c>
      <c r="P8" s="13" cm="1">
        <f t="array" ref="P8">_xll.BDH("CAT US Equity","BS_CASH_NEAR_CASH_ITEM","FQ4 2021","FQ4 2021","Currency=USD","Period=FQ","BEST_FPERIOD_OVERRIDE=FQ","FILING_STATUS=MR","SCALING_FORMAT=MLN","Sort=A","Dates=H","DateFormat=P","Fill=—","Direction=H","UseDPDF=Y")</f>
        <v>9254</v>
      </c>
      <c r="Q8" s="13" cm="1">
        <f t="array" ref="Q8">_xll.BDH("CAT US Equity","BS_CASH_NEAR_CASH_ITEM","FQ1 2022","FQ1 2022","Currency=USD","Period=FQ","BEST_FPERIOD_OVERRIDE=FQ","FILING_STATUS=MR","SCALING_FORMAT=MLN","Sort=A","Dates=H","DateFormat=P","Fill=—","Direction=H","UseDPDF=Y")</f>
        <v>6526</v>
      </c>
      <c r="R8" s="13" cm="1">
        <f t="array" ref="R8">_xll.BDH("CAT US Equity","BS_CASH_NEAR_CASH_ITEM","FQ2 2022","FQ2 2022","Currency=USD","Period=FQ","BEST_FPERIOD_OVERRIDE=FQ","FILING_STATUS=MR","SCALING_FORMAT=MLN","Sort=A","Dates=H","DateFormat=P","Fill=—","Direction=H","UseDPDF=Y")</f>
        <v>6014</v>
      </c>
      <c r="S8" s="13" cm="1">
        <f t="array" ref="S8">_xll.BDH("CAT US Equity","BS_CASH_NEAR_CASH_ITEM","FQ3 2022","FQ3 2022","Currency=USD","Period=FQ","BEST_FPERIOD_OVERRIDE=FQ","FILING_STATUS=MR","SCALING_FORMAT=MLN","Sort=A","Dates=H","DateFormat=P","Fill=—","Direction=H","UseDPDF=Y")</f>
        <v>6346</v>
      </c>
      <c r="T8" s="13" cm="1">
        <f t="array" ref="T8">_xll.BDH("CAT US Equity","BS_CASH_NEAR_CASH_ITEM","FQ4 2022","FQ4 2022","Currency=USD","Period=FQ","BEST_FPERIOD_OVERRIDE=FQ","FILING_STATUS=MR","SCALING_FORMAT=MLN","Sort=A","Dates=H","DateFormat=P","Fill=—","Direction=H","UseDPDF=Y")</f>
        <v>7004</v>
      </c>
      <c r="U8" s="13" cm="1">
        <f t="array" ref="U8">_xll.BDH("CAT US Equity","BS_CASH_NEAR_CASH_ITEM","FQ1 2023","FQ1 2023","Currency=USD","Period=FQ","BEST_FPERIOD_OVERRIDE=FQ","FILING_STATUS=MR","SCALING_FORMAT=MLN","Sort=A","Dates=H","DateFormat=P","Fill=—","Direction=H","UseDPDF=Y")</f>
        <v>6789</v>
      </c>
      <c r="V8" s="13" cm="1">
        <f t="array" ref="V8">_xll.BDH("CAT US Equity","BS_CASH_NEAR_CASH_ITEM","FQ2 2023","FQ2 2023","Currency=USD","Period=FQ","BEST_FPERIOD_OVERRIDE=FQ","FILING_STATUS=MR","SCALING_FORMAT=MLN","Sort=A","Dates=H","DateFormat=P","Fill=—","Direction=H","UseDPDF=Y")</f>
        <v>7387</v>
      </c>
      <c r="W8" s="13" cm="1">
        <f t="array" ref="W8">_xll.BDH("CAT US Equity","BS_CASH_NEAR_CASH_ITEM","FQ3 2023","FQ3 2023","Currency=USD","Period=FQ","BEST_FPERIOD_OVERRIDE=FQ","FILING_STATUS=MR","SCALING_FORMAT=MLN","Sort=A","Dates=H","DateFormat=P","Fill=—","Direction=H","UseDPDF=Y")</f>
        <v>6545</v>
      </c>
      <c r="X8" s="13" cm="1">
        <f t="array" ref="X8">_xll.BDH("CAT US Equity","BS_CASH_NEAR_CASH_ITEM","FQ4 2023","FQ4 2023","Currency=USD","Period=FQ","BEST_FPERIOD_OVERRIDE=FQ","FILING_STATUS=MR","SCALING_FORMAT=MLN","Sort=A","Dates=H","DateFormat=P","Fill=—","Direction=H","UseDPDF=Y")</f>
        <v>6978</v>
      </c>
      <c r="Y8" s="13" cm="1">
        <f t="array" ref="Y8">_xll.BDH("CAT US Equity","BS_CASH_NEAR_CASH_ITEM","FQ1 2024","FQ1 2024","Currency=USD","Period=FQ","BEST_FPERIOD_OVERRIDE=FQ","FILING_STATUS=MR","SCALING_FORMAT=MLN","Sort=A","Dates=H","DateFormat=P","Fill=—","Direction=H","UseDPDF=Y")</f>
        <v>4959</v>
      </c>
      <c r="Z8" s="13" cm="1">
        <f t="array" ref="Z8">_xll.BDH("CAT US Equity","BS_CASH_NEAR_CASH_ITEM","FQ2 2024","FQ2 2024","Currency=USD","Period=FQ","BEST_FPERIOD_OVERRIDE=FQ","FILING_STATUS=MR","SCALING_FORMAT=MLN","Sort=A","Dates=H","DateFormat=P","Fill=—","Direction=H","UseDPDF=Y")</f>
        <v>4341</v>
      </c>
      <c r="AA8" s="13" cm="1">
        <f t="array" ref="AA8">_xll.BDH("CAT US Equity","BS_CASH_NEAR_CASH_ITEM","FQ3 2024","FQ3 2024","Currency=USD","Period=FQ","BEST_FPERIOD_OVERRIDE=FQ","FILING_STATUS=MR","SCALING_FORMAT=MLN","Sort=A","Dates=H","DateFormat=P","Fill=—","Direction=H","UseDPDF=Y")</f>
        <v>5638</v>
      </c>
      <c r="AB8" s="13" cm="1">
        <f t="array" ref="AB8">_xll.BDH("CAT US Equity","BS_CASH_NEAR_CASH_ITEM","FQ4 2024","FQ4 2024","Currency=USD","Period=FQ","BEST_FPERIOD_OVERRIDE=FQ","FILING_STATUS=MR","SCALING_FORMAT=MLN","Sort=A","Dates=H","DateFormat=P","Fill=—","Direction=H","UseDPDF=Y")</f>
        <v>6889</v>
      </c>
      <c r="AC8" s="13" cm="1">
        <f t="array" ref="AC8">_xll.BDH("CAT US Equity","BS_CASH_NEAR_CASH_ITEM","FQ1 2025","FQ1 2025","Currency=USD","Period=FQ","BEST_FPERIOD_OVERRIDE=FQ","FILING_STATUS=MR","SCALING_FORMAT=MLN","Sort=A","Dates=H","DateFormat=P","Fill=—","Direction=H","UseDPDF=Y")</f>
        <v>3562</v>
      </c>
      <c r="AD8" s="13" cm="1">
        <f t="array" ref="AD8">_xll.BDH("CAT US Equity","BS_CASH_NEAR_CASH_ITEM","FQ2 2025","FQ2 2025","Currency=USD","Period=FQ","BEST_FPERIOD_OVERRIDE=FQ","FILING_STATUS=MR","SCALING_FORMAT=MLN","Sort=A","Dates=H","DateFormat=P","Fill=—","Direction=H","UseDPDF=Y")</f>
        <v>5442</v>
      </c>
      <c r="AE8" s="13" cm="1">
        <f t="array" ref="AE8">_xll.BDH("CAT US Equity","BS_CASH_NEAR_CASH_ITEM","FQ3 2025","FQ3 2025","Currency=USD","Period=FQ","BEST_FPERIOD_OVERRIDE=FQ","FILING_STATUS=MR","SCALING_FORMAT=MLN","Sort=A","Dates=H","DateFormat=P","Fill=—","Direction=H","UseDPDF=Y")</f>
        <v>7538</v>
      </c>
      <c r="AF8" s="13" cm="1">
        <f t="array" ref="AF8">_xll.BDH("CAT US Equity","BS_CASH_NEAR_CASH_ITEM","FQ4 2025","FQ4 2025","Currency=USD","Period=FQ","BEST_FPERIOD_OVERRIDE=FQ","FILING_STATUS=MR","SCALING_FORMAT=MLN","Sort=A","Dates=H","DateFormat=P","Fill=—","Direction=H","UseDPDF=Y")</f>
        <v>9980</v>
      </c>
    </row>
    <row r="9" spans="1:32" x14ac:dyDescent="0.25">
      <c r="A9" s="10" t="s">
        <v>70</v>
      </c>
      <c r="B9" s="10" t="s">
        <v>71</v>
      </c>
      <c r="C9" s="13" cm="1">
        <f t="array" ref="C9">_xll.BDH("CAT US Equity","BS_MKT_SEC_OTHER_ST_INVEST","FQ3 2018","FQ3 2018","Currency=USD","Period=FQ","BEST_FPERIOD_OVERRIDE=FQ","FILING_STATUS=MR","SCALING_FORMAT=MLN","Sort=A","Dates=H","DateFormat=P","Fill=—","Direction=H","UseDPDF=Y")</f>
        <v>0</v>
      </c>
      <c r="D9" s="13" cm="1">
        <f t="array" ref="D9">_xll.BDH("CAT US Equity","BS_MKT_SEC_OTHER_ST_INVEST","FQ4 2018","FQ4 2018","Currency=USD","Period=FQ","BEST_FPERIOD_OVERRIDE=FQ","FILING_STATUS=MR","SCALING_FORMAT=MLN","Sort=A","Dates=H","DateFormat=P","Fill=—","Direction=H","UseDPDF=Y")</f>
        <v>0</v>
      </c>
      <c r="E9" s="13" cm="1">
        <f t="array" ref="E9">_xll.BDH("CAT US Equity","BS_MKT_SEC_OTHER_ST_INVEST","FQ1 2019","FQ1 2019","Currency=USD","Period=FQ","BEST_FPERIOD_OVERRIDE=FQ","FILING_STATUS=MR","SCALING_FORMAT=MLN","Sort=A","Dates=H","DateFormat=P","Fill=—","Direction=H","UseDPDF=Y")</f>
        <v>0</v>
      </c>
      <c r="F9" s="13" cm="1">
        <f t="array" ref="F9">_xll.BDH("CAT US Equity","BS_MKT_SEC_OTHER_ST_INVEST","FQ2 2019","FQ2 2019","Currency=USD","Period=FQ","BEST_FPERIOD_OVERRIDE=FQ","FILING_STATUS=MR","SCALING_FORMAT=MLN","Sort=A","Dates=H","DateFormat=P","Fill=—","Direction=H","UseDPDF=Y")</f>
        <v>0</v>
      </c>
      <c r="G9" s="13" cm="1">
        <f t="array" ref="G9">_xll.BDH("CAT US Equity","BS_MKT_SEC_OTHER_ST_INVEST","FQ3 2019","FQ3 2019","Currency=USD","Period=FQ","BEST_FPERIOD_OVERRIDE=FQ","FILING_STATUS=MR","SCALING_FORMAT=MLN","Sort=A","Dates=H","DateFormat=P","Fill=—","Direction=H","UseDPDF=Y")</f>
        <v>0</v>
      </c>
      <c r="H9" s="13" cm="1">
        <f t="array" ref="H9">_xll.BDH("CAT US Equity","BS_MKT_SEC_OTHER_ST_INVEST","FQ4 2019","FQ4 2019","Currency=USD","Period=FQ","BEST_FPERIOD_OVERRIDE=FQ","FILING_STATUS=MR","SCALING_FORMAT=MLN","Sort=A","Dates=H","DateFormat=P","Fill=—","Direction=H","UseDPDF=Y")</f>
        <v>0</v>
      </c>
      <c r="I9" s="13" cm="1">
        <f t="array" ref="I9">_xll.BDH("CAT US Equity","BS_MKT_SEC_OTHER_ST_INVEST","FQ1 2020","FQ1 2020","Currency=USD","Period=FQ","BEST_FPERIOD_OVERRIDE=FQ","FILING_STATUS=MR","SCALING_FORMAT=MLN","Sort=A","Dates=H","DateFormat=P","Fill=—","Direction=H","UseDPDF=Y")</f>
        <v>0</v>
      </c>
      <c r="J9" s="13" cm="1">
        <f t="array" ref="J9">_xll.BDH("CAT US Equity","BS_MKT_SEC_OTHER_ST_INVEST","FQ2 2020","FQ2 2020","Currency=USD","Period=FQ","BEST_FPERIOD_OVERRIDE=FQ","FILING_STATUS=MR","SCALING_FORMAT=MLN","Sort=A","Dates=H","DateFormat=P","Fill=—","Direction=H","UseDPDF=Y")</f>
        <v>0</v>
      </c>
      <c r="K9" s="13" cm="1">
        <f t="array" ref="K9">_xll.BDH("CAT US Equity","BS_MKT_SEC_OTHER_ST_INVEST","FQ3 2020","FQ3 2020","Currency=USD","Period=FQ","BEST_FPERIOD_OVERRIDE=FQ","FILING_STATUS=MR","SCALING_FORMAT=MLN","Sort=A","Dates=H","DateFormat=P","Fill=—","Direction=H","UseDPDF=Y")</f>
        <v>0</v>
      </c>
      <c r="L9" s="13" cm="1">
        <f t="array" ref="L9">_xll.BDH("CAT US Equity","BS_MKT_SEC_OTHER_ST_INVEST","FQ4 2020","FQ4 2020","Currency=USD","Period=FQ","BEST_FPERIOD_OVERRIDE=FQ","FILING_STATUS=MR","SCALING_FORMAT=MLN","Sort=A","Dates=H","DateFormat=P","Fill=—","Direction=H","UseDPDF=Y")</f>
        <v>0</v>
      </c>
      <c r="M9" s="13" cm="1">
        <f t="array" ref="M9">_xll.BDH("CAT US Equity","BS_MKT_SEC_OTHER_ST_INVEST","FQ1 2021","FQ1 2021","Currency=USD","Period=FQ","BEST_FPERIOD_OVERRIDE=FQ","FILING_STATUS=MR","SCALING_FORMAT=MLN","Sort=A","Dates=H","DateFormat=P","Fill=—","Direction=H","UseDPDF=Y")</f>
        <v>0</v>
      </c>
      <c r="N9" s="13" cm="1">
        <f t="array" ref="N9">_xll.BDH("CAT US Equity","BS_MKT_SEC_OTHER_ST_INVEST","FQ2 2021","FQ2 2021","Currency=USD","Period=FQ","BEST_FPERIOD_OVERRIDE=FQ","FILING_STATUS=MR","SCALING_FORMAT=MLN","Sort=A","Dates=H","DateFormat=P","Fill=—","Direction=H","UseDPDF=Y")</f>
        <v>0</v>
      </c>
      <c r="O9" s="13" cm="1">
        <f t="array" ref="O9">_xll.BDH("CAT US Equity","BS_MKT_SEC_OTHER_ST_INVEST","FQ3 2021","FQ3 2021","Currency=USD","Period=FQ","BEST_FPERIOD_OVERRIDE=FQ","FILING_STATUS=MR","SCALING_FORMAT=MLN","Sort=A","Dates=H","DateFormat=P","Fill=—","Direction=H","UseDPDF=Y")</f>
        <v>0</v>
      </c>
      <c r="P9" s="13" cm="1">
        <f t="array" ref="P9">_xll.BDH("CAT US Equity","BS_MKT_SEC_OTHER_ST_INVEST","FQ4 2021","FQ4 2021","Currency=USD","Period=FQ","BEST_FPERIOD_OVERRIDE=FQ","FILING_STATUS=MR","SCALING_FORMAT=MLN","Sort=A","Dates=H","DateFormat=P","Fill=—","Direction=H","UseDPDF=Y")</f>
        <v>0</v>
      </c>
      <c r="Q9" s="13" cm="1">
        <f t="array" ref="Q9">_xll.BDH("CAT US Equity","BS_MKT_SEC_OTHER_ST_INVEST","FQ1 2022","FQ1 2022","Currency=USD","Period=FQ","BEST_FPERIOD_OVERRIDE=FQ","FILING_STATUS=MR","SCALING_FORMAT=MLN","Sort=A","Dates=H","DateFormat=P","Fill=—","Direction=H","UseDPDF=Y")</f>
        <v>0</v>
      </c>
      <c r="R9" s="13" cm="1">
        <f t="array" ref="R9">_xll.BDH("CAT US Equity","BS_MKT_SEC_OTHER_ST_INVEST","FQ2 2022","FQ2 2022","Currency=USD","Period=FQ","BEST_FPERIOD_OVERRIDE=FQ","FILING_STATUS=MR","SCALING_FORMAT=MLN","Sort=A","Dates=H","DateFormat=P","Fill=—","Direction=H","UseDPDF=Y")</f>
        <v>0</v>
      </c>
      <c r="S9" s="13" cm="1">
        <f t="array" ref="S9">_xll.BDH("CAT US Equity","BS_MKT_SEC_OTHER_ST_INVEST","FQ3 2022","FQ3 2022","Currency=USD","Period=FQ","BEST_FPERIOD_OVERRIDE=FQ","FILING_STATUS=MR","SCALING_FORMAT=MLN","Sort=A","Dates=H","DateFormat=P","Fill=—","Direction=H","UseDPDF=Y")</f>
        <v>0</v>
      </c>
      <c r="T9" s="13" cm="1">
        <f t="array" ref="T9">_xll.BDH("CAT US Equity","BS_MKT_SEC_OTHER_ST_INVEST","FQ4 2022","FQ4 2022","Currency=USD","Period=FQ","BEST_FPERIOD_OVERRIDE=FQ","FILING_STATUS=MR","SCALING_FORMAT=MLN","Sort=A","Dates=H","DateFormat=P","Fill=—","Direction=H","UseDPDF=Y")</f>
        <v>0</v>
      </c>
      <c r="U9" s="13" cm="1">
        <f t="array" ref="U9">_xll.BDH("CAT US Equity","BS_MKT_SEC_OTHER_ST_INVEST","FQ1 2023","FQ1 2023","Currency=USD","Period=FQ","BEST_FPERIOD_OVERRIDE=FQ","FILING_STATUS=MR","SCALING_FORMAT=MLN","Sort=A","Dates=H","DateFormat=P","Fill=—","Direction=H","UseDPDF=Y")</f>
        <v>0</v>
      </c>
      <c r="V9" s="13" cm="1">
        <f t="array" ref="V9">_xll.BDH("CAT US Equity","BS_MKT_SEC_OTHER_ST_INVEST","FQ2 2023","FQ2 2023","Currency=USD","Period=FQ","BEST_FPERIOD_OVERRIDE=FQ","FILING_STATUS=MR","SCALING_FORMAT=MLN","Sort=A","Dates=H","DateFormat=P","Fill=—","Direction=H","UseDPDF=Y")</f>
        <v>0</v>
      </c>
      <c r="W9" s="13" cm="1">
        <f t="array" ref="W9">_xll.BDH("CAT US Equity","BS_MKT_SEC_OTHER_ST_INVEST","FQ3 2023","FQ3 2023","Currency=USD","Period=FQ","BEST_FPERIOD_OVERRIDE=FQ","FILING_STATUS=MR","SCALING_FORMAT=MLN","Sort=A","Dates=H","DateFormat=P","Fill=—","Direction=H","UseDPDF=Y")</f>
        <v>0</v>
      </c>
      <c r="X9" s="13" cm="1">
        <f t="array" ref="X9">_xll.BDH("CAT US Equity","BS_MKT_SEC_OTHER_ST_INVEST","FQ4 2023","FQ4 2023","Currency=USD","Period=FQ","BEST_FPERIOD_OVERRIDE=FQ","FILING_STATUS=MR","SCALING_FORMAT=MLN","Sort=A","Dates=H","DateFormat=P","Fill=—","Direction=H","UseDPDF=Y")</f>
        <v>0</v>
      </c>
      <c r="Y9" s="13" cm="1">
        <f t="array" ref="Y9">_xll.BDH("CAT US Equity","BS_MKT_SEC_OTHER_ST_INVEST","FQ1 2024","FQ1 2024","Currency=USD","Period=FQ","BEST_FPERIOD_OVERRIDE=FQ","FILING_STATUS=MR","SCALING_FORMAT=MLN","Sort=A","Dates=H","DateFormat=P","Fill=—","Direction=H","UseDPDF=Y")</f>
        <v>0</v>
      </c>
      <c r="Z9" s="13" cm="1">
        <f t="array" ref="Z9">_xll.BDH("CAT US Equity","BS_MKT_SEC_OTHER_ST_INVEST","FQ2 2024","FQ2 2024","Currency=USD","Period=FQ","BEST_FPERIOD_OVERRIDE=FQ","FILING_STATUS=MR","SCALING_FORMAT=MLN","Sort=A","Dates=H","DateFormat=P","Fill=—","Direction=H","UseDPDF=Y")</f>
        <v>0</v>
      </c>
      <c r="AA9" s="13" cm="1">
        <f t="array" ref="AA9">_xll.BDH("CAT US Equity","BS_MKT_SEC_OTHER_ST_INVEST","FQ3 2024","FQ3 2024","Currency=USD","Period=FQ","BEST_FPERIOD_OVERRIDE=FQ","FILING_STATUS=MR","SCALING_FORMAT=MLN","Sort=A","Dates=H","DateFormat=P","Fill=—","Direction=H","UseDPDF=Y")</f>
        <v>0</v>
      </c>
      <c r="AB9" s="13" cm="1">
        <f t="array" ref="AB9">_xll.BDH("CAT US Equity","BS_MKT_SEC_OTHER_ST_INVEST","FQ4 2024","FQ4 2024","Currency=USD","Period=FQ","BEST_FPERIOD_OVERRIDE=FQ","FILING_STATUS=MR","SCALING_FORMAT=MLN","Sort=A","Dates=H","DateFormat=P","Fill=—","Direction=H","UseDPDF=Y")</f>
        <v>0</v>
      </c>
      <c r="AC9" s="13" cm="1">
        <f t="array" ref="AC9">_xll.BDH("CAT US Equity","BS_MKT_SEC_OTHER_ST_INVEST","FQ1 2025","FQ1 2025","Currency=USD","Period=FQ","BEST_FPERIOD_OVERRIDE=FQ","FILING_STATUS=MR","SCALING_FORMAT=MLN","Sort=A","Dates=H","DateFormat=P","Fill=—","Direction=H","UseDPDF=Y")</f>
        <v>0</v>
      </c>
      <c r="AD9" s="13" cm="1">
        <f t="array" ref="AD9">_xll.BDH("CAT US Equity","BS_MKT_SEC_OTHER_ST_INVEST","FQ2 2025","FQ2 2025","Currency=USD","Period=FQ","BEST_FPERIOD_OVERRIDE=FQ","FILING_STATUS=MR","SCALING_FORMAT=MLN","Sort=A","Dates=H","DateFormat=P","Fill=—","Direction=H","UseDPDF=Y")</f>
        <v>0</v>
      </c>
      <c r="AE9" s="13" cm="1">
        <f t="array" ref="AE9">_xll.BDH("CAT US Equity","BS_MKT_SEC_OTHER_ST_INVEST","FQ3 2025","FQ3 2025","Currency=USD","Period=FQ","BEST_FPERIOD_OVERRIDE=FQ","FILING_STATUS=MR","SCALING_FORMAT=MLN","Sort=A","Dates=H","DateFormat=P","Fill=—","Direction=H","UseDPDF=Y")</f>
        <v>0</v>
      </c>
      <c r="AF9" s="13" cm="1">
        <f t="array" ref="AF9">_xll.BDH("CAT US Equity","BS_MKT_SEC_OTHER_ST_INVEST","FQ4 2025","FQ4 2025","Currency=USD","Period=FQ","BEST_FPERIOD_OVERRIDE=FQ","FILING_STATUS=MR","SCALING_FORMAT=MLN","Sort=A","Dates=H","DateFormat=P","Fill=—","Direction=H","UseDPDF=Y")</f>
        <v>0</v>
      </c>
    </row>
    <row r="10" spans="1:32" x14ac:dyDescent="0.25">
      <c r="A10" s="10" t="s">
        <v>72</v>
      </c>
      <c r="B10" s="10" t="s">
        <v>73</v>
      </c>
      <c r="C10" s="13" cm="1">
        <f t="array" ref="C10">_xll.BDH("CAT US Equity","BS_ACCT_NOTE_RCV","FQ3 2018","FQ3 2018","Currency=USD","Period=FQ","BEST_FPERIOD_OVERRIDE=FQ","FILING_STATUS=MR","SCALING_FORMAT=MLN","Sort=A","Dates=H","DateFormat=P","Fill=—","Direction=H","UseDPDF=Y")</f>
        <v>16773</v>
      </c>
      <c r="D10" s="13" cm="1">
        <f t="array" ref="D10">_xll.BDH("CAT US Equity","BS_ACCT_NOTE_RCV","FQ4 2018","FQ4 2018","Currency=USD","Period=FQ","BEST_FPERIOD_OVERRIDE=FQ","FILING_STATUS=MR","SCALING_FORMAT=MLN","Sort=A","Dates=H","DateFormat=P","Fill=—","Direction=H","UseDPDF=Y")</f>
        <v>17364</v>
      </c>
      <c r="E10" s="13" cm="1">
        <f t="array" ref="E10">_xll.BDH("CAT US Equity","BS_ACCT_NOTE_RCV","FQ1 2019","FQ1 2019","Currency=USD","Period=FQ","BEST_FPERIOD_OVERRIDE=FQ","FILING_STATUS=MR","SCALING_FORMAT=MLN","Sort=A","Dates=H","DateFormat=P","Fill=—","Direction=H","UseDPDF=Y")</f>
        <v>17822</v>
      </c>
      <c r="F10" s="13" cm="1">
        <f t="array" ref="F10">_xll.BDH("CAT US Equity","BS_ACCT_NOTE_RCV","FQ2 2019","FQ2 2019","Currency=USD","Period=FQ","BEST_FPERIOD_OVERRIDE=FQ","FILING_STATUS=MR","SCALING_FORMAT=MLN","Sort=A","Dates=H","DateFormat=P","Fill=—","Direction=H","UseDPDF=Y")</f>
        <v>18449</v>
      </c>
      <c r="G10" s="13" cm="1">
        <f t="array" ref="G10">_xll.BDH("CAT US Equity","BS_ACCT_NOTE_RCV","FQ3 2019","FQ3 2019","Currency=USD","Period=FQ","BEST_FPERIOD_OVERRIDE=FQ","FILING_STATUS=MR","SCALING_FORMAT=MLN","Sort=A","Dates=H","DateFormat=P","Fill=—","Direction=H","UseDPDF=Y")</f>
        <v>17374</v>
      </c>
      <c r="H10" s="13" cm="1">
        <f t="array" ref="H10">_xll.BDH("CAT US Equity","BS_ACCT_NOTE_RCV","FQ4 2019","FQ4 2019","Currency=USD","Period=FQ","BEST_FPERIOD_OVERRIDE=FQ","FILING_STATUS=MR","SCALING_FORMAT=MLN","Sort=A","Dates=H","DateFormat=P","Fill=—","Direction=H","UseDPDF=Y")</f>
        <v>17820</v>
      </c>
      <c r="I10" s="13" cm="1">
        <f t="array" ref="I10">_xll.BDH("CAT US Equity","BS_ACCT_NOTE_RCV","FQ1 2020","FQ1 2020","Currency=USD","Period=FQ","BEST_FPERIOD_OVERRIDE=FQ","FILING_STATUS=MR","SCALING_FORMAT=MLN","Sort=A","Dates=H","DateFormat=P","Fill=—","Direction=H","UseDPDF=Y")</f>
        <v>16744</v>
      </c>
      <c r="J10" s="13" cm="1">
        <f t="array" ref="J10">_xll.BDH("CAT US Equity","BS_ACCT_NOTE_RCV","FQ2 2020","FQ2 2020","Currency=USD","Period=FQ","BEST_FPERIOD_OVERRIDE=FQ","FILING_STATUS=MR","SCALING_FORMAT=MLN","Sort=A","Dates=H","DateFormat=P","Fill=—","Direction=H","UseDPDF=Y")</f>
        <v>15840</v>
      </c>
      <c r="K10" s="13" cm="1">
        <f t="array" ref="K10">_xll.BDH("CAT US Equity","BS_ACCT_NOTE_RCV","FQ3 2020","FQ3 2020","Currency=USD","Period=FQ","BEST_FPERIOD_OVERRIDE=FQ","FILING_STATUS=MR","SCALING_FORMAT=MLN","Sort=A","Dates=H","DateFormat=P","Fill=—","Direction=H","UseDPDF=Y")</f>
        <v>15818</v>
      </c>
      <c r="L10" s="13" cm="1">
        <f t="array" ref="L10">_xll.BDH("CAT US Equity","BS_ACCT_NOTE_RCV","FQ4 2020","FQ4 2020","Currency=USD","Period=FQ","BEST_FPERIOD_OVERRIDE=FQ","FILING_STATUS=MR","SCALING_FORMAT=MLN","Sort=A","Dates=H","DateFormat=P","Fill=—","Direction=H","UseDPDF=Y")</f>
        <v>16630</v>
      </c>
      <c r="M10" s="13" cm="1">
        <f t="array" ref="M10">_xll.BDH("CAT US Equity","BS_ACCT_NOTE_RCV","FQ1 2021","FQ1 2021","Currency=USD","Period=FQ","BEST_FPERIOD_OVERRIDE=FQ","FILING_STATUS=MR","SCALING_FORMAT=MLN","Sort=A","Dates=H","DateFormat=P","Fill=—","Direction=H","UseDPDF=Y")</f>
        <v>17092</v>
      </c>
      <c r="N10" s="13" cm="1">
        <f t="array" ref="N10">_xll.BDH("CAT US Equity","BS_ACCT_NOTE_RCV","FQ2 2021","FQ2 2021","Currency=USD","Period=FQ","BEST_FPERIOD_OVERRIDE=FQ","FILING_STATUS=MR","SCALING_FORMAT=MLN","Sort=A","Dates=H","DateFormat=P","Fill=—","Direction=H","UseDPDF=Y")</f>
        <v>17138</v>
      </c>
      <c r="O10" s="13" cm="1">
        <f t="array" ref="O10">_xll.BDH("CAT US Equity","BS_ACCT_NOTE_RCV","FQ3 2021","FQ3 2021","Currency=USD","Period=FQ","BEST_FPERIOD_OVERRIDE=FQ","FILING_STATUS=MR","SCALING_FORMAT=MLN","Sort=A","Dates=H","DateFormat=P","Fill=—","Direction=H","UseDPDF=Y")</f>
        <v>16410</v>
      </c>
      <c r="P10" s="13" cm="1">
        <f t="array" ref="P10">_xll.BDH("CAT US Equity","BS_ACCT_NOTE_RCV","FQ4 2021","FQ4 2021","Currency=USD","Period=FQ","BEST_FPERIOD_OVERRIDE=FQ","FILING_STATUS=MR","SCALING_FORMAT=MLN","Sort=A","Dates=H","DateFormat=P","Fill=—","Direction=H","UseDPDF=Y")</f>
        <v>17125</v>
      </c>
      <c r="Q10" s="13" cm="1">
        <f t="array" ref="Q10">_xll.BDH("CAT US Equity","BS_ACCT_NOTE_RCV","FQ1 2022","FQ1 2022","Currency=USD","Period=FQ","BEST_FPERIOD_OVERRIDE=FQ","FILING_STATUS=MR","SCALING_FORMAT=MLN","Sort=A","Dates=H","DateFormat=P","Fill=—","Direction=H","UseDPDF=Y")</f>
        <v>17993</v>
      </c>
      <c r="R10" s="13" cm="1">
        <f t="array" ref="R10">_xll.BDH("CAT US Equity","BS_ACCT_NOTE_RCV","FQ2 2022","FQ2 2022","Currency=USD","Period=FQ","BEST_FPERIOD_OVERRIDE=FQ","FILING_STATUS=MR","SCALING_FORMAT=MLN","Sort=A","Dates=H","DateFormat=P","Fill=—","Direction=H","UseDPDF=Y")</f>
        <v>17185</v>
      </c>
      <c r="S10" s="13" cm="1">
        <f t="array" ref="S10">_xll.BDH("CAT US Equity","BS_ACCT_NOTE_RCV","FQ3 2022","FQ3 2022","Currency=USD","Period=FQ","BEST_FPERIOD_OVERRIDE=FQ","FILING_STATUS=MR","SCALING_FORMAT=MLN","Sort=A","Dates=H","DateFormat=P","Fill=—","Direction=H","UseDPDF=Y")</f>
        <v>16949</v>
      </c>
      <c r="T10" s="13" cm="1">
        <f t="array" ref="T10">_xll.BDH("CAT US Equity","BS_ACCT_NOTE_RCV","FQ4 2022","FQ4 2022","Currency=USD","Period=FQ","BEST_FPERIOD_OVERRIDE=FQ","FILING_STATUS=MR","SCALING_FORMAT=MLN","Sort=A","Dates=H","DateFormat=P","Fill=—","Direction=H","UseDPDF=Y")</f>
        <v>17869</v>
      </c>
      <c r="U10" s="13" cm="1">
        <f t="array" ref="U10">_xll.BDH("CAT US Equity","BS_ACCT_NOTE_RCV","FQ1 2023","FQ1 2023","Currency=USD","Period=FQ","BEST_FPERIOD_OVERRIDE=FQ","FILING_STATUS=MR","SCALING_FORMAT=MLN","Sort=A","Dates=H","DateFormat=P","Fill=—","Direction=H","UseDPDF=Y")</f>
        <v>18349</v>
      </c>
      <c r="V10" s="13" cm="1">
        <f t="array" ref="V10">_xll.BDH("CAT US Equity","BS_ACCT_NOTE_RCV","FQ2 2023","FQ2 2023","Currency=USD","Period=FQ","BEST_FPERIOD_OVERRIDE=FQ","FILING_STATUS=MR","SCALING_FORMAT=MLN","Sort=A","Dates=H","DateFormat=P","Fill=—","Direction=H","UseDPDF=Y")</f>
        <v>18704</v>
      </c>
      <c r="W10" s="13" cm="1">
        <f t="array" ref="W10">_xll.BDH("CAT US Equity","BS_ACCT_NOTE_RCV","FQ3 2023","FQ3 2023","Currency=USD","Period=FQ","BEST_FPERIOD_OVERRIDE=FQ","FILING_STATUS=MR","SCALING_FORMAT=MLN","Sort=A","Dates=H","DateFormat=P","Fill=—","Direction=H","UseDPDF=Y")</f>
        <v>18699</v>
      </c>
      <c r="X10" s="13" cm="1">
        <f t="array" ref="X10">_xll.BDH("CAT US Equity","BS_ACCT_NOTE_RCV","FQ4 2023","FQ4 2023","Currency=USD","Period=FQ","BEST_FPERIOD_OVERRIDE=FQ","FILING_STATUS=MR","SCALING_FORMAT=MLN","Sort=A","Dates=H","DateFormat=P","Fill=—","Direction=H","UseDPDF=Y")</f>
        <v>18820</v>
      </c>
      <c r="Y10" s="13" cm="1">
        <f t="array" ref="Y10">_xll.BDH("CAT US Equity","BS_ACCT_NOTE_RCV","FQ1 2024","FQ1 2024","Currency=USD","Period=FQ","BEST_FPERIOD_OVERRIDE=FQ","FILING_STATUS=MR","SCALING_FORMAT=MLN","Sort=A","Dates=H","DateFormat=P","Fill=—","Direction=H","UseDPDF=Y")</f>
        <v>18742</v>
      </c>
      <c r="Z10" s="13" cm="1">
        <f t="array" ref="Z10">_xll.BDH("CAT US Equity","BS_ACCT_NOTE_RCV","FQ2 2024","FQ2 2024","Currency=USD","Period=FQ","BEST_FPERIOD_OVERRIDE=FQ","FILING_STATUS=MR","SCALING_FORMAT=MLN","Sort=A","Dates=H","DateFormat=P","Fill=—","Direction=H","UseDPDF=Y")</f>
        <v>18937</v>
      </c>
      <c r="AA10" s="13" cm="1">
        <f t="array" ref="AA10">_xll.BDH("CAT US Equity","BS_ACCT_NOTE_RCV","FQ3 2024","FQ3 2024","Currency=USD","Period=FQ","BEST_FPERIOD_OVERRIDE=FQ","FILING_STATUS=MR","SCALING_FORMAT=MLN","Sort=A","Dates=H","DateFormat=P","Fill=—","Direction=H","UseDPDF=Y")</f>
        <v>18902</v>
      </c>
      <c r="AB10" s="13" cm="1">
        <f t="array" ref="AB10">_xll.BDH("CAT US Equity","BS_ACCT_NOTE_RCV","FQ4 2024","FQ4 2024","Currency=USD","Period=FQ","BEST_FPERIOD_OVERRIDE=FQ","FILING_STATUS=MR","SCALING_FORMAT=MLN","Sort=A","Dates=H","DateFormat=P","Fill=—","Direction=H","UseDPDF=Y")</f>
        <v>18847</v>
      </c>
      <c r="AC10" s="13" cm="1">
        <f t="array" ref="AC10">_xll.BDH("CAT US Equity","BS_ACCT_NOTE_RCV","FQ1 2025","FQ1 2025","Currency=USD","Period=FQ","BEST_FPERIOD_OVERRIDE=FQ","FILING_STATUS=MR","SCALING_FORMAT=MLN","Sort=A","Dates=H","DateFormat=P","Fill=—","Direction=H","UseDPDF=Y")</f>
        <v>18771</v>
      </c>
      <c r="AD10" s="13" cm="1">
        <f t="array" ref="AD10">_xll.BDH("CAT US Equity","BS_ACCT_NOTE_RCV","FQ2 2025","FQ2 2025","Currency=USD","Period=FQ","BEST_FPERIOD_OVERRIDE=FQ","FILING_STATUS=MR","SCALING_FORMAT=MLN","Sort=A","Dates=H","DateFormat=P","Fill=—","Direction=H","UseDPDF=Y")</f>
        <v>19851</v>
      </c>
      <c r="AE10" s="13" cm="1">
        <f t="array" ref="AE10">_xll.BDH("CAT US Equity","BS_ACCT_NOTE_RCV","FQ3 2025","FQ3 2025","Currency=USD","Period=FQ","BEST_FPERIOD_OVERRIDE=FQ","FILING_STATUS=MR","SCALING_FORMAT=MLN","Sort=A","Dates=H","DateFormat=P","Fill=—","Direction=H","UseDPDF=Y")</f>
        <v>20461</v>
      </c>
      <c r="AF10" s="13" cm="1">
        <f t="array" ref="AF10">_xll.BDH("CAT US Equity","BS_ACCT_NOTE_RCV","FQ4 2025","FQ4 2025","Currency=USD","Period=FQ","BEST_FPERIOD_OVERRIDE=FQ","FILING_STATUS=MR","SCALING_FORMAT=MLN","Sort=A","Dates=H","DateFormat=P","Fill=—","Direction=H","UseDPDF=Y")</f>
        <v>21569</v>
      </c>
    </row>
    <row r="11" spans="1:32" x14ac:dyDescent="0.25">
      <c r="A11" s="10" t="s">
        <v>74</v>
      </c>
      <c r="B11" s="10" t="s">
        <v>75</v>
      </c>
      <c r="C11" s="13" cm="1">
        <f t="array" ref="C11">_xll.BDH("CAT US Equity","BS_ACCTS_REC_EXCL_NOTES_REC","FQ3 2018","FQ3 2018","Currency=USD","Period=FQ","BEST_FPERIOD_OVERRIDE=FQ","FILING_STATUS=MR","SCALING_FORMAT=MLN","Sort=A","Dates=H","DateFormat=P","Fill=—","Direction=H","UseDPDF=Y")</f>
        <v>7949</v>
      </c>
      <c r="D11" s="13" cm="1">
        <f t="array" ref="D11">_xll.BDH("CAT US Equity","BS_ACCTS_REC_EXCL_NOTES_REC","FQ4 2018","FQ4 2018","Currency=USD","Period=FQ","BEST_FPERIOD_OVERRIDE=FQ","FILING_STATUS=MR","SCALING_FORMAT=MLN","Sort=A","Dates=H","DateFormat=P","Fill=—","Direction=H","UseDPDF=Y")</f>
        <v>8714</v>
      </c>
      <c r="E11" s="13" cm="1">
        <f t="array" ref="E11">_xll.BDH("CAT US Equity","BS_ACCTS_REC_EXCL_NOTES_REC","FQ1 2019","FQ1 2019","Currency=USD","Period=FQ","BEST_FPERIOD_OVERRIDE=FQ","FILING_STATUS=MR","SCALING_FORMAT=MLN","Sort=A","Dates=H","DateFormat=P","Fill=—","Direction=H","UseDPDF=Y")</f>
        <v>8890</v>
      </c>
      <c r="F11" s="13" cm="1">
        <f t="array" ref="F11">_xll.BDH("CAT US Equity","BS_ACCTS_REC_EXCL_NOTES_REC","FQ2 2019","FQ2 2019","Currency=USD","Period=FQ","BEST_FPERIOD_OVERRIDE=FQ","FILING_STATUS=MR","SCALING_FORMAT=MLN","Sort=A","Dates=H","DateFormat=P","Fill=—","Direction=H","UseDPDF=Y")</f>
        <v>8910</v>
      </c>
      <c r="G11" s="13" cm="1">
        <f t="array" ref="G11">_xll.BDH("CAT US Equity","BS_ACCTS_REC_EXCL_NOTES_REC","FQ3 2019","FQ3 2019","Currency=USD","Period=FQ","BEST_FPERIOD_OVERRIDE=FQ","FILING_STATUS=MR","SCALING_FORMAT=MLN","Sort=A","Dates=H","DateFormat=P","Fill=—","Direction=H","UseDPDF=Y")</f>
        <v>8182</v>
      </c>
      <c r="H11" s="13" cm="1">
        <f t="array" ref="H11">_xll.BDH("CAT US Equity","BS_ACCTS_REC_EXCL_NOTES_REC","FQ4 2019","FQ4 2019","Currency=USD","Period=FQ","BEST_FPERIOD_OVERRIDE=FQ","FILING_STATUS=MR","SCALING_FORMAT=MLN","Sort=A","Dates=H","DateFormat=P","Fill=—","Direction=H","UseDPDF=Y")</f>
        <v>8484</v>
      </c>
      <c r="I11" s="13" cm="1">
        <f t="array" ref="I11">_xll.BDH("CAT US Equity","BS_ACCTS_REC_EXCL_NOTES_REC","FQ1 2020","FQ1 2020","Currency=USD","Period=FQ","BEST_FPERIOD_OVERRIDE=FQ","FILING_STATUS=MR","SCALING_FORMAT=MLN","Sort=A","Dates=H","DateFormat=P","Fill=—","Direction=H","UseDPDF=Y")</f>
        <v>7624</v>
      </c>
      <c r="J11" s="13" cm="1">
        <f t="array" ref="J11">_xll.BDH("CAT US Equity","BS_ACCTS_REC_EXCL_NOTES_REC","FQ2 2020","FQ2 2020","Currency=USD","Period=FQ","BEST_FPERIOD_OVERRIDE=FQ","FILING_STATUS=MR","SCALING_FORMAT=MLN","Sort=A","Dates=H","DateFormat=P","Fill=—","Direction=H","UseDPDF=Y")</f>
        <v>7059</v>
      </c>
      <c r="K11" s="13" cm="1">
        <f t="array" ref="K11">_xll.BDH("CAT US Equity","BS_ACCTS_REC_EXCL_NOTES_REC","FQ3 2020","FQ3 2020","Currency=USD","Period=FQ","BEST_FPERIOD_OVERRIDE=FQ","FILING_STATUS=MR","SCALING_FORMAT=MLN","Sort=A","Dates=H","DateFormat=P","Fill=—","Direction=H","UseDPDF=Y")</f>
        <v>6852</v>
      </c>
      <c r="L11" s="13" cm="1">
        <f t="array" ref="L11">_xll.BDH("CAT US Equity","BS_ACCTS_REC_EXCL_NOTES_REC","FQ4 2020","FQ4 2020","Currency=USD","Period=FQ","BEST_FPERIOD_OVERRIDE=FQ","FILING_STATUS=MR","SCALING_FORMAT=MLN","Sort=A","Dates=H","DateFormat=P","Fill=—","Direction=H","UseDPDF=Y")</f>
        <v>7167</v>
      </c>
      <c r="M11" s="13" cm="1">
        <f t="array" ref="M11">_xll.BDH("CAT US Equity","BS_ACCTS_REC_EXCL_NOTES_REC","FQ1 2021","FQ1 2021","Currency=USD","Period=FQ","BEST_FPERIOD_OVERRIDE=FQ","FILING_STATUS=MR","SCALING_FORMAT=MLN","Sort=A","Dates=H","DateFormat=P","Fill=—","Direction=H","UseDPDF=Y")</f>
        <v>7759</v>
      </c>
      <c r="N11" s="13" cm="1">
        <f t="array" ref="N11">_xll.BDH("CAT US Equity","BS_ACCTS_REC_EXCL_NOTES_REC","FQ2 2021","FQ2 2021","Currency=USD","Period=FQ","BEST_FPERIOD_OVERRIDE=FQ","FILING_STATUS=MR","SCALING_FORMAT=MLN","Sort=A","Dates=H","DateFormat=P","Fill=—","Direction=H","UseDPDF=Y")</f>
        <v>7615</v>
      </c>
      <c r="O11" s="13" cm="1">
        <f t="array" ref="O11">_xll.BDH("CAT US Equity","BS_ACCTS_REC_EXCL_NOTES_REC","FQ3 2021","FQ3 2021","Currency=USD","Period=FQ","BEST_FPERIOD_OVERRIDE=FQ","FILING_STATUS=MR","SCALING_FORMAT=MLN","Sort=A","Dates=H","DateFormat=P","Fill=—","Direction=H","UseDPDF=Y")</f>
        <v>7491</v>
      </c>
      <c r="P11" s="13" cm="1">
        <f t="array" ref="P11">_xll.BDH("CAT US Equity","BS_ACCTS_REC_EXCL_NOTES_REC","FQ4 2021","FQ4 2021","Currency=USD","Period=FQ","BEST_FPERIOD_OVERRIDE=FQ","FILING_STATUS=MR","SCALING_FORMAT=MLN","Sort=A","Dates=H","DateFormat=P","Fill=—","Direction=H","UseDPDF=Y")</f>
        <v>8227</v>
      </c>
      <c r="Q11" s="13" cm="1">
        <f t="array" ref="Q11">_xll.BDH("CAT US Equity","BS_ACCTS_REC_EXCL_NOTES_REC","FQ1 2022","FQ1 2022","Currency=USD","Period=FQ","BEST_FPERIOD_OVERRIDE=FQ","FILING_STATUS=MR","SCALING_FORMAT=MLN","Sort=A","Dates=H","DateFormat=P","Fill=—","Direction=H","UseDPDF=Y")</f>
        <v>8990</v>
      </c>
      <c r="R11" s="13" cm="1">
        <f t="array" ref="R11">_xll.BDH("CAT US Equity","BS_ACCTS_REC_EXCL_NOTES_REC","FQ2 2022","FQ2 2022","Currency=USD","Period=FQ","BEST_FPERIOD_OVERRIDE=FQ","FILING_STATUS=MR","SCALING_FORMAT=MLN","Sort=A","Dates=H","DateFormat=P","Fill=—","Direction=H","UseDPDF=Y")</f>
        <v>8263</v>
      </c>
      <c r="S11" s="13" cm="1">
        <f t="array" ref="S11">_xll.BDH("CAT US Equity","BS_ACCTS_REC_EXCL_NOTES_REC","FQ3 2022","FQ3 2022","Currency=USD","Period=FQ","BEST_FPERIOD_OVERRIDE=FQ","FILING_STATUS=MR","SCALING_FORMAT=MLN","Sort=A","Dates=H","DateFormat=P","Fill=—","Direction=H","UseDPDF=Y")</f>
        <v>8031</v>
      </c>
      <c r="T11" s="13" cm="1">
        <f t="array" ref="T11">_xll.BDH("CAT US Equity","BS_ACCTS_REC_EXCL_NOTES_REC","FQ4 2022","FQ4 2022","Currency=USD","Period=FQ","BEST_FPERIOD_OVERRIDE=FQ","FILING_STATUS=MR","SCALING_FORMAT=MLN","Sort=A","Dates=H","DateFormat=P","Fill=—","Direction=H","UseDPDF=Y")</f>
        <v>8856</v>
      </c>
      <c r="U11" s="13" cm="1">
        <f t="array" ref="U11">_xll.BDH("CAT US Equity","BS_ACCTS_REC_EXCL_NOTES_REC","FQ1 2023","FQ1 2023","Currency=USD","Period=FQ","BEST_FPERIOD_OVERRIDE=FQ","FILING_STATUS=MR","SCALING_FORMAT=MLN","Sort=A","Dates=H","DateFormat=P","Fill=—","Direction=H","UseDPDF=Y")</f>
        <v>9230</v>
      </c>
      <c r="V11" s="13" cm="1">
        <f t="array" ref="V11">_xll.BDH("CAT US Equity","BS_ACCTS_REC_EXCL_NOTES_REC","FQ2 2023","FQ2 2023","Currency=USD","Period=FQ","BEST_FPERIOD_OVERRIDE=FQ","FILING_STATUS=MR","SCALING_FORMAT=MLN","Sort=A","Dates=H","DateFormat=P","Fill=—","Direction=H","UseDPDF=Y")</f>
        <v>9416</v>
      </c>
      <c r="W11" s="13" cm="1">
        <f t="array" ref="W11">_xll.BDH("CAT US Equity","BS_ACCTS_REC_EXCL_NOTES_REC","FQ3 2023","FQ3 2023","Currency=USD","Period=FQ","BEST_FPERIOD_OVERRIDE=FQ","FILING_STATUS=MR","SCALING_FORMAT=MLN","Sort=A","Dates=H","DateFormat=P","Fill=—","Direction=H","UseDPDF=Y")</f>
        <v>9091</v>
      </c>
      <c r="X11" s="13" cm="1">
        <f t="array" ref="X11">_xll.BDH("CAT US Equity","BS_ACCTS_REC_EXCL_NOTES_REC","FQ4 2023","FQ4 2023","Currency=USD","Period=FQ","BEST_FPERIOD_OVERRIDE=FQ","FILING_STATUS=MR","SCALING_FORMAT=MLN","Sort=A","Dates=H","DateFormat=P","Fill=—","Direction=H","UseDPDF=Y")</f>
        <v>9310</v>
      </c>
      <c r="Y11" s="13" cm="1">
        <f t="array" ref="Y11">_xll.BDH("CAT US Equity","BS_ACCTS_REC_EXCL_NOTES_REC","FQ1 2024","FQ1 2024","Currency=USD","Period=FQ","BEST_FPERIOD_OVERRIDE=FQ","FILING_STATUS=MR","SCALING_FORMAT=MLN","Sort=A","Dates=H","DateFormat=P","Fill=—","Direction=H","UseDPDF=Y")</f>
        <v>9296</v>
      </c>
      <c r="Z11" s="13" cm="1">
        <f t="array" ref="Z11">_xll.BDH("CAT US Equity","BS_ACCTS_REC_EXCL_NOTES_REC","FQ2 2024","FQ2 2024","Currency=USD","Period=FQ","BEST_FPERIOD_OVERRIDE=FQ","FILING_STATUS=MR","SCALING_FORMAT=MLN","Sort=A","Dates=H","DateFormat=P","Fill=—","Direction=H","UseDPDF=Y")</f>
        <v>9421</v>
      </c>
      <c r="AA11" s="13" cm="1">
        <f t="array" ref="AA11">_xll.BDH("CAT US Equity","BS_ACCTS_REC_EXCL_NOTES_REC","FQ3 2024","FQ3 2024","Currency=USD","Period=FQ","BEST_FPERIOD_OVERRIDE=FQ","FILING_STATUS=MR","SCALING_FORMAT=MLN","Sort=A","Dates=H","DateFormat=P","Fill=—","Direction=H","UseDPDF=Y")</f>
        <v>9086</v>
      </c>
      <c r="AB11" s="13" cm="1">
        <f t="array" ref="AB11">_xll.BDH("CAT US Equity","BS_ACCTS_REC_EXCL_NOTES_REC","FQ4 2024","FQ4 2024","Currency=USD","Period=FQ","BEST_FPERIOD_OVERRIDE=FQ","FILING_STATUS=MR","SCALING_FORMAT=MLN","Sort=A","Dates=H","DateFormat=P","Fill=—","Direction=H","UseDPDF=Y")</f>
        <v>9282</v>
      </c>
      <c r="AC11" s="13" cm="1">
        <f t="array" ref="AC11">_xll.BDH("CAT US Equity","BS_ACCTS_REC_EXCL_NOTES_REC","FQ1 2025","FQ1 2025","Currency=USD","Period=FQ","BEST_FPERIOD_OVERRIDE=FQ","FILING_STATUS=MR","SCALING_FORMAT=MLN","Sort=A","Dates=H","DateFormat=P","Fill=—","Direction=H","UseDPDF=Y")</f>
        <v>9116</v>
      </c>
      <c r="AD11" s="13" cm="1">
        <f t="array" ref="AD11">_xll.BDH("CAT US Equity","BS_ACCTS_REC_EXCL_NOTES_REC","FQ2 2025","FQ2 2025","Currency=USD","Period=FQ","BEST_FPERIOD_OVERRIDE=FQ","FILING_STATUS=MR","SCALING_FORMAT=MLN","Sort=A","Dates=H","DateFormat=P","Fill=—","Direction=H","UseDPDF=Y")</f>
        <v>9704</v>
      </c>
      <c r="AE11" s="13" cm="1">
        <f t="array" ref="AE11">_xll.BDH("CAT US Equity","BS_ACCTS_REC_EXCL_NOTES_REC","FQ3 2025","FQ3 2025","Currency=USD","Period=FQ","BEST_FPERIOD_OVERRIDE=FQ","FILING_STATUS=MR","SCALING_FORMAT=MLN","Sort=A","Dates=H","DateFormat=P","Fill=—","Direction=H","UseDPDF=Y")</f>
        <v>10146</v>
      </c>
      <c r="AF11" s="13" cm="1">
        <f t="array" ref="AF11">_xll.BDH("CAT US Equity","BS_ACCTS_REC_EXCL_NOTES_REC","FQ4 2025","FQ4 2025","Currency=USD","Period=FQ","BEST_FPERIOD_OVERRIDE=FQ","FILING_STATUS=MR","SCALING_FORMAT=MLN","Sort=A","Dates=H","DateFormat=P","Fill=—","Direction=H","UseDPDF=Y")</f>
        <v>10920</v>
      </c>
    </row>
    <row r="12" spans="1:32" x14ac:dyDescent="0.25">
      <c r="A12" s="10" t="s">
        <v>76</v>
      </c>
      <c r="B12" s="10" t="s">
        <v>77</v>
      </c>
      <c r="C12" s="13" cm="1">
        <f t="array" ref="C12">_xll.BDH("CAT US Equity","NOTES_RECEIVABLE","FQ3 2018","FQ3 2018","Currency=USD","Period=FQ","BEST_FPERIOD_OVERRIDE=FQ","FILING_STATUS=MR","SCALING_FORMAT=MLN","Sort=A","Dates=H","DateFormat=P","Fill=—","Direction=H","UseDPDF=Y")</f>
        <v>8824</v>
      </c>
      <c r="D12" s="13" cm="1">
        <f t="array" ref="D12">_xll.BDH("CAT US Equity","NOTES_RECEIVABLE","FQ4 2018","FQ4 2018","Currency=USD","Period=FQ","BEST_FPERIOD_OVERRIDE=FQ","FILING_STATUS=MR","SCALING_FORMAT=MLN","Sort=A","Dates=H","DateFormat=P","Fill=—","Direction=H","UseDPDF=Y")</f>
        <v>8650</v>
      </c>
      <c r="E12" s="13" cm="1">
        <f t="array" ref="E12">_xll.BDH("CAT US Equity","NOTES_RECEIVABLE","FQ1 2019","FQ1 2019","Currency=USD","Period=FQ","BEST_FPERIOD_OVERRIDE=FQ","FILING_STATUS=MR","SCALING_FORMAT=MLN","Sort=A","Dates=H","DateFormat=P","Fill=—","Direction=H","UseDPDF=Y")</f>
        <v>8932</v>
      </c>
      <c r="F12" s="13" cm="1">
        <f t="array" ref="F12">_xll.BDH("CAT US Equity","NOTES_RECEIVABLE","FQ2 2019","FQ2 2019","Currency=USD","Period=FQ","BEST_FPERIOD_OVERRIDE=FQ","FILING_STATUS=MR","SCALING_FORMAT=MLN","Sort=A","Dates=H","DateFormat=P","Fill=—","Direction=H","UseDPDF=Y")</f>
        <v>9539</v>
      </c>
      <c r="G12" s="13" cm="1">
        <f t="array" ref="G12">_xll.BDH("CAT US Equity","NOTES_RECEIVABLE","FQ3 2019","FQ3 2019","Currency=USD","Period=FQ","BEST_FPERIOD_OVERRIDE=FQ","FILING_STATUS=MR","SCALING_FORMAT=MLN","Sort=A","Dates=H","DateFormat=P","Fill=—","Direction=H","UseDPDF=Y")</f>
        <v>9192</v>
      </c>
      <c r="H12" s="13" cm="1">
        <f t="array" ref="H12">_xll.BDH("CAT US Equity","NOTES_RECEIVABLE","FQ4 2019","FQ4 2019","Currency=USD","Period=FQ","BEST_FPERIOD_OVERRIDE=FQ","FILING_STATUS=MR","SCALING_FORMAT=MLN","Sort=A","Dates=H","DateFormat=P","Fill=—","Direction=H","UseDPDF=Y")</f>
        <v>9336</v>
      </c>
      <c r="I12" s="13" cm="1">
        <f t="array" ref="I12">_xll.BDH("CAT US Equity","NOTES_RECEIVABLE","FQ1 2020","FQ1 2020","Currency=USD","Period=FQ","BEST_FPERIOD_OVERRIDE=FQ","FILING_STATUS=MR","SCALING_FORMAT=MLN","Sort=A","Dates=H","DateFormat=P","Fill=—","Direction=H","UseDPDF=Y")</f>
        <v>9120</v>
      </c>
      <c r="J12" s="13" cm="1">
        <f t="array" ref="J12">_xll.BDH("CAT US Equity","NOTES_RECEIVABLE","FQ2 2020","FQ2 2020","Currency=USD","Period=FQ","BEST_FPERIOD_OVERRIDE=FQ","FILING_STATUS=MR","SCALING_FORMAT=MLN","Sort=A","Dates=H","DateFormat=P","Fill=—","Direction=H","UseDPDF=Y")</f>
        <v>8781</v>
      </c>
      <c r="K12" s="13" cm="1">
        <f t="array" ref="K12">_xll.BDH("CAT US Equity","NOTES_RECEIVABLE","FQ3 2020","FQ3 2020","Currency=USD","Period=FQ","BEST_FPERIOD_OVERRIDE=FQ","FILING_STATUS=MR","SCALING_FORMAT=MLN","Sort=A","Dates=H","DateFormat=P","Fill=—","Direction=H","UseDPDF=Y")</f>
        <v>8966</v>
      </c>
      <c r="L12" s="13" cm="1">
        <f t="array" ref="L12">_xll.BDH("CAT US Equity","NOTES_RECEIVABLE","FQ4 2020","FQ4 2020","Currency=USD","Period=FQ","BEST_FPERIOD_OVERRIDE=FQ","FILING_STATUS=MR","SCALING_FORMAT=MLN","Sort=A","Dates=H","DateFormat=P","Fill=—","Direction=H","UseDPDF=Y")</f>
        <v>9463</v>
      </c>
      <c r="M12" s="13" cm="1">
        <f t="array" ref="M12">_xll.BDH("CAT US Equity","NOTES_RECEIVABLE","FQ1 2021","FQ1 2021","Currency=USD","Period=FQ","BEST_FPERIOD_OVERRIDE=FQ","FILING_STATUS=MR","SCALING_FORMAT=MLN","Sort=A","Dates=H","DateFormat=P","Fill=—","Direction=H","UseDPDF=Y")</f>
        <v>9333</v>
      </c>
      <c r="N12" s="13" cm="1">
        <f t="array" ref="N12">_xll.BDH("CAT US Equity","NOTES_RECEIVABLE","FQ2 2021","FQ2 2021","Currency=USD","Period=FQ","BEST_FPERIOD_OVERRIDE=FQ","FILING_STATUS=MR","SCALING_FORMAT=MLN","Sort=A","Dates=H","DateFormat=P","Fill=—","Direction=H","UseDPDF=Y")</f>
        <v>9523</v>
      </c>
      <c r="O12" s="13" cm="1">
        <f t="array" ref="O12">_xll.BDH("CAT US Equity","NOTES_RECEIVABLE","FQ3 2021","FQ3 2021","Currency=USD","Period=FQ","BEST_FPERIOD_OVERRIDE=FQ","FILING_STATUS=MR","SCALING_FORMAT=MLN","Sort=A","Dates=H","DateFormat=P","Fill=—","Direction=H","UseDPDF=Y")</f>
        <v>8919</v>
      </c>
      <c r="P12" s="13" cm="1">
        <f t="array" ref="P12">_xll.BDH("CAT US Equity","NOTES_RECEIVABLE","FQ4 2021","FQ4 2021","Currency=USD","Period=FQ","BEST_FPERIOD_OVERRIDE=FQ","FILING_STATUS=MR","SCALING_FORMAT=MLN","Sort=A","Dates=H","DateFormat=P","Fill=—","Direction=H","UseDPDF=Y")</f>
        <v>8898</v>
      </c>
      <c r="Q12" s="13" cm="1">
        <f t="array" ref="Q12">_xll.BDH("CAT US Equity","NOTES_RECEIVABLE","FQ1 2022","FQ1 2022","Currency=USD","Period=FQ","BEST_FPERIOD_OVERRIDE=FQ","FILING_STATUS=MR","SCALING_FORMAT=MLN","Sort=A","Dates=H","DateFormat=P","Fill=—","Direction=H","UseDPDF=Y")</f>
        <v>9003</v>
      </c>
      <c r="R12" s="13" cm="1">
        <f t="array" ref="R12">_xll.BDH("CAT US Equity","NOTES_RECEIVABLE","FQ2 2022","FQ2 2022","Currency=USD","Period=FQ","BEST_FPERIOD_OVERRIDE=FQ","FILING_STATUS=MR","SCALING_FORMAT=MLN","Sort=A","Dates=H","DateFormat=P","Fill=—","Direction=H","UseDPDF=Y")</f>
        <v>8922</v>
      </c>
      <c r="S12" s="13" cm="1">
        <f t="array" ref="S12">_xll.BDH("CAT US Equity","NOTES_RECEIVABLE","FQ3 2022","FQ3 2022","Currency=USD","Period=FQ","BEST_FPERIOD_OVERRIDE=FQ","FILING_STATUS=MR","SCALING_FORMAT=MLN","Sort=A","Dates=H","DateFormat=P","Fill=—","Direction=H","UseDPDF=Y")</f>
        <v>8918</v>
      </c>
      <c r="T12" s="13" cm="1">
        <f t="array" ref="T12">_xll.BDH("CAT US Equity","NOTES_RECEIVABLE","FQ4 2022","FQ4 2022","Currency=USD","Period=FQ","BEST_FPERIOD_OVERRIDE=FQ","FILING_STATUS=MR","SCALING_FORMAT=MLN","Sort=A","Dates=H","DateFormat=P","Fill=—","Direction=H","UseDPDF=Y")</f>
        <v>9013</v>
      </c>
      <c r="U12" s="13" cm="1">
        <f t="array" ref="U12">_xll.BDH("CAT US Equity","NOTES_RECEIVABLE","FQ1 2023","FQ1 2023","Currency=USD","Period=FQ","BEST_FPERIOD_OVERRIDE=FQ","FILING_STATUS=MR","SCALING_FORMAT=MLN","Sort=A","Dates=H","DateFormat=P","Fill=—","Direction=H","UseDPDF=Y")</f>
        <v>9119</v>
      </c>
      <c r="V12" s="13" cm="1">
        <f t="array" ref="V12">_xll.BDH("CAT US Equity","NOTES_RECEIVABLE","FQ2 2023","FQ2 2023","Currency=USD","Period=FQ","BEST_FPERIOD_OVERRIDE=FQ","FILING_STATUS=MR","SCALING_FORMAT=MLN","Sort=A","Dates=H","DateFormat=P","Fill=—","Direction=H","UseDPDF=Y")</f>
        <v>9288</v>
      </c>
      <c r="W12" s="13" cm="1">
        <f t="array" ref="W12">_xll.BDH("CAT US Equity","NOTES_RECEIVABLE","FQ3 2023","FQ3 2023","Currency=USD","Period=FQ","BEST_FPERIOD_OVERRIDE=FQ","FILING_STATUS=MR","SCALING_FORMAT=MLN","Sort=A","Dates=H","DateFormat=P","Fill=—","Direction=H","UseDPDF=Y")</f>
        <v>9608</v>
      </c>
      <c r="X12" s="13" cm="1">
        <f t="array" ref="X12">_xll.BDH("CAT US Equity","NOTES_RECEIVABLE","FQ4 2023","FQ4 2023","Currency=USD","Period=FQ","BEST_FPERIOD_OVERRIDE=FQ","FILING_STATUS=MR","SCALING_FORMAT=MLN","Sort=A","Dates=H","DateFormat=P","Fill=—","Direction=H","UseDPDF=Y")</f>
        <v>9510</v>
      </c>
      <c r="Y12" s="13" cm="1">
        <f t="array" ref="Y12">_xll.BDH("CAT US Equity","NOTES_RECEIVABLE","FQ1 2024","FQ1 2024","Currency=USD","Period=FQ","BEST_FPERIOD_OVERRIDE=FQ","FILING_STATUS=MR","SCALING_FORMAT=MLN","Sort=A","Dates=H","DateFormat=P","Fill=—","Direction=H","UseDPDF=Y")</f>
        <v>9446</v>
      </c>
      <c r="Z12" s="13" cm="1">
        <f t="array" ref="Z12">_xll.BDH("CAT US Equity","NOTES_RECEIVABLE","FQ2 2024","FQ2 2024","Currency=USD","Period=FQ","BEST_FPERIOD_OVERRIDE=FQ","FILING_STATUS=MR","SCALING_FORMAT=MLN","Sort=A","Dates=H","DateFormat=P","Fill=—","Direction=H","UseDPDF=Y")</f>
        <v>9516</v>
      </c>
      <c r="AA12" s="13" cm="1">
        <f t="array" ref="AA12">_xll.BDH("CAT US Equity","NOTES_RECEIVABLE","FQ3 2024","FQ3 2024","Currency=USD","Period=FQ","BEST_FPERIOD_OVERRIDE=FQ","FILING_STATUS=MR","SCALING_FORMAT=MLN","Sort=A","Dates=H","DateFormat=P","Fill=—","Direction=H","UseDPDF=Y")</f>
        <v>9816</v>
      </c>
      <c r="AB12" s="13" cm="1">
        <f t="array" ref="AB12">_xll.BDH("CAT US Equity","NOTES_RECEIVABLE","FQ4 2024","FQ4 2024","Currency=USD","Period=FQ","BEST_FPERIOD_OVERRIDE=FQ","FILING_STATUS=MR","SCALING_FORMAT=MLN","Sort=A","Dates=H","DateFormat=P","Fill=—","Direction=H","UseDPDF=Y")</f>
        <v>9565</v>
      </c>
      <c r="AC12" s="13" cm="1">
        <f t="array" ref="AC12">_xll.BDH("CAT US Equity","NOTES_RECEIVABLE","FQ1 2025","FQ1 2025","Currency=USD","Period=FQ","BEST_FPERIOD_OVERRIDE=FQ","FILING_STATUS=MR","SCALING_FORMAT=MLN","Sort=A","Dates=H","DateFormat=P","Fill=—","Direction=H","UseDPDF=Y")</f>
        <v>9655</v>
      </c>
      <c r="AD12" s="13" cm="1">
        <f t="array" ref="AD12">_xll.BDH("CAT US Equity","NOTES_RECEIVABLE","FQ2 2025","FQ2 2025","Currency=USD","Period=FQ","BEST_FPERIOD_OVERRIDE=FQ","FILING_STATUS=MR","SCALING_FORMAT=MLN","Sort=A","Dates=H","DateFormat=P","Fill=—","Direction=H","UseDPDF=Y")</f>
        <v>10147</v>
      </c>
      <c r="AE12" s="13" cm="1">
        <f t="array" ref="AE12">_xll.BDH("CAT US Equity","NOTES_RECEIVABLE","FQ3 2025","FQ3 2025","Currency=USD","Period=FQ","BEST_FPERIOD_OVERRIDE=FQ","FILING_STATUS=MR","SCALING_FORMAT=MLN","Sort=A","Dates=H","DateFormat=P","Fill=—","Direction=H","UseDPDF=Y")</f>
        <v>10315</v>
      </c>
      <c r="AF12" s="13" cm="1">
        <f t="array" ref="AF12">_xll.BDH("CAT US Equity","NOTES_RECEIVABLE","FQ4 2025","FQ4 2025","Currency=USD","Period=FQ","BEST_FPERIOD_OVERRIDE=FQ","FILING_STATUS=MR","SCALING_FORMAT=MLN","Sort=A","Dates=H","DateFormat=P","Fill=—","Direction=H","UseDPDF=Y")</f>
        <v>10649</v>
      </c>
    </row>
    <row r="13" spans="1:32" x14ac:dyDescent="0.25">
      <c r="A13" s="10" t="s">
        <v>78</v>
      </c>
      <c r="B13" s="10" t="s">
        <v>79</v>
      </c>
      <c r="C13" s="13" cm="1">
        <f t="array" ref="C13">_xll.BDH("CAT US Equity","BS_INVENTORIES","FQ3 2018","FQ3 2018","Currency=USD","Period=FQ","BEST_FPERIOD_OVERRIDE=FQ","FILING_STATUS=MR","SCALING_FORMAT=MLN","Sort=A","Dates=H","DateFormat=P","Fill=—","Direction=H","UseDPDF=Y")</f>
        <v>11814</v>
      </c>
      <c r="D13" s="13" cm="1">
        <f t="array" ref="D13">_xll.BDH("CAT US Equity","BS_INVENTORIES","FQ4 2018","FQ4 2018","Currency=USD","Period=FQ","BEST_FPERIOD_OVERRIDE=FQ","FILING_STATUS=MR","SCALING_FORMAT=MLN","Sort=A","Dates=H","DateFormat=P","Fill=—","Direction=H","UseDPDF=Y")</f>
        <v>11529</v>
      </c>
      <c r="E13" s="13" cm="1">
        <f t="array" ref="E13">_xll.BDH("CAT US Equity","BS_INVENTORIES","FQ1 2019","FQ1 2019","Currency=USD","Period=FQ","BEST_FPERIOD_OVERRIDE=FQ","FILING_STATUS=MR","SCALING_FORMAT=MLN","Sort=A","Dates=H","DateFormat=P","Fill=—","Direction=H","UseDPDF=Y")</f>
        <v>12340</v>
      </c>
      <c r="F13" s="13" cm="1">
        <f t="array" ref="F13">_xll.BDH("CAT US Equity","BS_INVENTORIES","FQ2 2019","FQ2 2019","Currency=USD","Period=FQ","BEST_FPERIOD_OVERRIDE=FQ","FILING_STATUS=MR","SCALING_FORMAT=MLN","Sort=A","Dates=H","DateFormat=P","Fill=—","Direction=H","UseDPDF=Y")</f>
        <v>12007</v>
      </c>
      <c r="G13" s="13" cm="1">
        <f t="array" ref="G13">_xll.BDH("CAT US Equity","BS_INVENTORIES","FQ3 2019","FQ3 2019","Currency=USD","Period=FQ","BEST_FPERIOD_OVERRIDE=FQ","FILING_STATUS=MR","SCALING_FORMAT=MLN","Sort=A","Dates=H","DateFormat=P","Fill=—","Direction=H","UseDPDF=Y")</f>
        <v>12180</v>
      </c>
      <c r="H13" s="13" cm="1">
        <f t="array" ref="H13">_xll.BDH("CAT US Equity","BS_INVENTORIES","FQ4 2019","FQ4 2019","Currency=USD","Period=FQ","BEST_FPERIOD_OVERRIDE=FQ","FILING_STATUS=MR","SCALING_FORMAT=MLN","Sort=A","Dates=H","DateFormat=P","Fill=—","Direction=H","UseDPDF=Y")</f>
        <v>11266</v>
      </c>
      <c r="I13" s="13" cm="1">
        <f t="array" ref="I13">_xll.BDH("CAT US Equity","BS_INVENTORIES","FQ1 2020","FQ1 2020","Currency=USD","Period=FQ","BEST_FPERIOD_OVERRIDE=FQ","FILING_STATUS=MR","SCALING_FORMAT=MLN","Sort=A","Dates=H","DateFormat=P","Fill=—","Direction=H","UseDPDF=Y")</f>
        <v>11748</v>
      </c>
      <c r="J13" s="13" cm="1">
        <f t="array" ref="J13">_xll.BDH("CAT US Equity","BS_INVENTORIES","FQ2 2020","FQ2 2020","Currency=USD","Period=FQ","BEST_FPERIOD_OVERRIDE=FQ","FILING_STATUS=MR","SCALING_FORMAT=MLN","Sort=A","Dates=H","DateFormat=P","Fill=—","Direction=H","UseDPDF=Y")</f>
        <v>11371</v>
      </c>
      <c r="K13" s="13" cm="1">
        <f t="array" ref="K13">_xll.BDH("CAT US Equity","BS_INVENTORIES","FQ3 2020","FQ3 2020","Currency=USD","Period=FQ","BEST_FPERIOD_OVERRIDE=FQ","FILING_STATUS=MR","SCALING_FORMAT=MLN","Sort=A","Dates=H","DateFormat=P","Fill=—","Direction=H","UseDPDF=Y")</f>
        <v>11453</v>
      </c>
      <c r="L13" s="13" cm="1">
        <f t="array" ref="L13">_xll.BDH("CAT US Equity","BS_INVENTORIES","FQ4 2020","FQ4 2020","Currency=USD","Period=FQ","BEST_FPERIOD_OVERRIDE=FQ","FILING_STATUS=MR","SCALING_FORMAT=MLN","Sort=A","Dates=H","DateFormat=P","Fill=—","Direction=H","UseDPDF=Y")</f>
        <v>11402</v>
      </c>
      <c r="M13" s="13" cm="1">
        <f t="array" ref="M13">_xll.BDH("CAT US Equity","BS_INVENTORIES","FQ1 2021","FQ1 2021","Currency=USD","Period=FQ","BEST_FPERIOD_OVERRIDE=FQ","FILING_STATUS=MR","SCALING_FORMAT=MLN","Sort=A","Dates=H","DateFormat=P","Fill=—","Direction=H","UseDPDF=Y")</f>
        <v>12149</v>
      </c>
      <c r="N13" s="13" cm="1">
        <f t="array" ref="N13">_xll.BDH("CAT US Equity","BS_INVENTORIES","FQ2 2021","FQ2 2021","Currency=USD","Period=FQ","BEST_FPERIOD_OVERRIDE=FQ","FILING_STATUS=MR","SCALING_FORMAT=MLN","Sort=A","Dates=H","DateFormat=P","Fill=—","Direction=H","UseDPDF=Y")</f>
        <v>12672</v>
      </c>
      <c r="O13" s="13" cm="1">
        <f t="array" ref="O13">_xll.BDH("CAT US Equity","BS_INVENTORIES","FQ3 2021","FQ3 2021","Currency=USD","Period=FQ","BEST_FPERIOD_OVERRIDE=FQ","FILING_STATUS=MR","SCALING_FORMAT=MLN","Sort=A","Dates=H","DateFormat=P","Fill=—","Direction=H","UseDPDF=Y")</f>
        <v>13666</v>
      </c>
      <c r="P13" s="13" cm="1">
        <f t="array" ref="P13">_xll.BDH("CAT US Equity","BS_INVENTORIES","FQ4 2021","FQ4 2021","Currency=USD","Period=FQ","BEST_FPERIOD_OVERRIDE=FQ","FILING_STATUS=MR","SCALING_FORMAT=MLN","Sort=A","Dates=H","DateFormat=P","Fill=—","Direction=H","UseDPDF=Y")</f>
        <v>14038</v>
      </c>
      <c r="Q13" s="13" cm="1">
        <f t="array" ref="Q13">_xll.BDH("CAT US Equity","BS_INVENTORIES","FQ1 2022","FQ1 2022","Currency=USD","Period=FQ","BEST_FPERIOD_OVERRIDE=FQ","FILING_STATUS=MR","SCALING_FORMAT=MLN","Sort=A","Dates=H","DateFormat=P","Fill=—","Direction=H","UseDPDF=Y")</f>
        <v>15038</v>
      </c>
      <c r="R13" s="13" cm="1">
        <f t="array" ref="R13">_xll.BDH("CAT US Equity","BS_INVENTORIES","FQ2 2022","FQ2 2022","Currency=USD","Period=FQ","BEST_FPERIOD_OVERRIDE=FQ","FILING_STATUS=MR","SCALING_FORMAT=MLN","Sort=A","Dates=H","DateFormat=P","Fill=—","Direction=H","UseDPDF=Y")</f>
        <v>15881</v>
      </c>
      <c r="S13" s="13" cm="1">
        <f t="array" ref="S13">_xll.BDH("CAT US Equity","BS_INVENTORIES","FQ3 2022","FQ3 2022","Currency=USD","Period=FQ","BEST_FPERIOD_OVERRIDE=FQ","FILING_STATUS=MR","SCALING_FORMAT=MLN","Sort=A","Dates=H","DateFormat=P","Fill=—","Direction=H","UseDPDF=Y")</f>
        <v>16860</v>
      </c>
      <c r="T13" s="13" cm="1">
        <f t="array" ref="T13">_xll.BDH("CAT US Equity","BS_INVENTORIES","FQ4 2022","FQ4 2022","Currency=USD","Period=FQ","BEST_FPERIOD_OVERRIDE=FQ","FILING_STATUS=MR","SCALING_FORMAT=MLN","Sort=A","Dates=H","DateFormat=P","Fill=—","Direction=H","UseDPDF=Y")</f>
        <v>16270</v>
      </c>
      <c r="U13" s="13" cm="1">
        <f t="array" ref="U13">_xll.BDH("CAT US Equity","BS_INVENTORIES","FQ1 2023","FQ1 2023","Currency=USD","Period=FQ","BEST_FPERIOD_OVERRIDE=FQ","FILING_STATUS=MR","SCALING_FORMAT=MLN","Sort=A","Dates=H","DateFormat=P","Fill=—","Direction=H","UseDPDF=Y")</f>
        <v>17633</v>
      </c>
      <c r="V13" s="13" cm="1">
        <f t="array" ref="V13">_xll.BDH("CAT US Equity","BS_INVENTORIES","FQ2 2023","FQ2 2023","Currency=USD","Period=FQ","BEST_FPERIOD_OVERRIDE=FQ","FILING_STATUS=MR","SCALING_FORMAT=MLN","Sort=A","Dates=H","DateFormat=P","Fill=—","Direction=H","UseDPDF=Y")</f>
        <v>17746</v>
      </c>
      <c r="W13" s="13" cm="1">
        <f t="array" ref="W13">_xll.BDH("CAT US Equity","BS_INVENTORIES","FQ3 2023","FQ3 2023","Currency=USD","Period=FQ","BEST_FPERIOD_OVERRIDE=FQ","FILING_STATUS=MR","SCALING_FORMAT=MLN","Sort=A","Dates=H","DateFormat=P","Fill=—","Direction=H","UseDPDF=Y")</f>
        <v>17580</v>
      </c>
      <c r="X13" s="13" cm="1">
        <f t="array" ref="X13">_xll.BDH("CAT US Equity","BS_INVENTORIES","FQ4 2023","FQ4 2023","Currency=USD","Period=FQ","BEST_FPERIOD_OVERRIDE=FQ","FILING_STATUS=MR","SCALING_FORMAT=MLN","Sort=A","Dates=H","DateFormat=P","Fill=—","Direction=H","UseDPDF=Y")</f>
        <v>16565</v>
      </c>
      <c r="Y13" s="13" cm="1">
        <f t="array" ref="Y13">_xll.BDH("CAT US Equity","BS_INVENTORIES","FQ1 2024","FQ1 2024","Currency=USD","Period=FQ","BEST_FPERIOD_OVERRIDE=FQ","FILING_STATUS=MR","SCALING_FORMAT=MLN","Sort=A","Dates=H","DateFormat=P","Fill=—","Direction=H","UseDPDF=Y")</f>
        <v>16953</v>
      </c>
      <c r="Z13" s="13" cm="1">
        <f t="array" ref="Z13">_xll.BDH("CAT US Equity","BS_INVENTORIES","FQ2 2024","FQ2 2024","Currency=USD","Period=FQ","BEST_FPERIOD_OVERRIDE=FQ","FILING_STATUS=MR","SCALING_FORMAT=MLN","Sort=A","Dates=H","DateFormat=P","Fill=—","Direction=H","UseDPDF=Y")</f>
        <v>17082</v>
      </c>
      <c r="AA13" s="13" cm="1">
        <f t="array" ref="AA13">_xll.BDH("CAT US Equity","BS_INVENTORIES","FQ3 2024","FQ3 2024","Currency=USD","Period=FQ","BEST_FPERIOD_OVERRIDE=FQ","FILING_STATUS=MR","SCALING_FORMAT=MLN","Sort=A","Dates=H","DateFormat=P","Fill=—","Direction=H","UseDPDF=Y")</f>
        <v>17312</v>
      </c>
      <c r="AB13" s="13" cm="1">
        <f t="array" ref="AB13">_xll.BDH("CAT US Equity","BS_INVENTORIES","FQ4 2024","FQ4 2024","Currency=USD","Period=FQ","BEST_FPERIOD_OVERRIDE=FQ","FILING_STATUS=MR","SCALING_FORMAT=MLN","Sort=A","Dates=H","DateFormat=P","Fill=—","Direction=H","UseDPDF=Y")</f>
        <v>16827</v>
      </c>
      <c r="AC13" s="13" cm="1">
        <f t="array" ref="AC13">_xll.BDH("CAT US Equity","BS_INVENTORIES","FQ1 2025","FQ1 2025","Currency=USD","Period=FQ","BEST_FPERIOD_OVERRIDE=FQ","FILING_STATUS=MR","SCALING_FORMAT=MLN","Sort=A","Dates=H","DateFormat=P","Fill=—","Direction=H","UseDPDF=Y")</f>
        <v>17862</v>
      </c>
      <c r="AD13" s="13" cm="1">
        <f t="array" ref="AD13">_xll.BDH("CAT US Equity","BS_INVENTORIES","FQ2 2025","FQ2 2025","Currency=USD","Period=FQ","BEST_FPERIOD_OVERRIDE=FQ","FILING_STATUS=MR","SCALING_FORMAT=MLN","Sort=A","Dates=H","DateFormat=P","Fill=—","Direction=H","UseDPDF=Y")</f>
        <v>18595</v>
      </c>
      <c r="AE13" s="13" cm="1">
        <f t="array" ref="AE13">_xll.BDH("CAT US Equity","BS_INVENTORIES","FQ3 2025","FQ3 2025","Currency=USD","Period=FQ","BEST_FPERIOD_OVERRIDE=FQ","FILING_STATUS=MR","SCALING_FORMAT=MLN","Sort=A","Dates=H","DateFormat=P","Fill=—","Direction=H","UseDPDF=Y")</f>
        <v>18958</v>
      </c>
      <c r="AF13" s="13" cm="1">
        <f t="array" ref="AF13">_xll.BDH("CAT US Equity","BS_INVENTORIES","FQ4 2025","FQ4 2025","Currency=USD","Period=FQ","BEST_FPERIOD_OVERRIDE=FQ","FILING_STATUS=MR","SCALING_FORMAT=MLN","Sort=A","Dates=H","DateFormat=P","Fill=—","Direction=H","UseDPDF=Y")</f>
        <v>18135</v>
      </c>
    </row>
    <row r="14" spans="1:32" x14ac:dyDescent="0.25">
      <c r="A14" s="10" t="s">
        <v>80</v>
      </c>
      <c r="B14" s="10" t="s">
        <v>81</v>
      </c>
      <c r="C14" s="13" cm="1">
        <f t="array" ref="C14">_xll.BDH("CAT US Equity","INVTRY_RAW_MATERIALS","FQ3 2018","FQ3 2018","Currency=USD","Period=FQ","BEST_FPERIOD_OVERRIDE=FQ","FILING_STATUS=MR","SCALING_FORMAT=MLN","Sort=A","Dates=H","DateFormat=P","Fill=—","Direction=H","UseDPDF=Y")</f>
        <v>3413</v>
      </c>
      <c r="D14" s="13" cm="1">
        <f t="array" ref="D14">_xll.BDH("CAT US Equity","INVTRY_RAW_MATERIALS","FQ4 2018","FQ4 2018","Currency=USD","Period=FQ","BEST_FPERIOD_OVERRIDE=FQ","FILING_STATUS=MR","SCALING_FORMAT=MLN","Sort=A","Dates=H","DateFormat=P","Fill=—","Direction=H","UseDPDF=Y")</f>
        <v>3382</v>
      </c>
      <c r="E14" s="13" cm="1">
        <f t="array" ref="E14">_xll.BDH("CAT US Equity","INVTRY_RAW_MATERIALS","FQ1 2019","FQ1 2019","Currency=USD","Period=FQ","BEST_FPERIOD_OVERRIDE=FQ","FILING_STATUS=MR","SCALING_FORMAT=MLN","Sort=A","Dates=H","DateFormat=P","Fill=—","Direction=H","UseDPDF=Y")</f>
        <v>3592</v>
      </c>
      <c r="F14" s="13" cm="1">
        <f t="array" ref="F14">_xll.BDH("CAT US Equity","INVTRY_RAW_MATERIALS","FQ2 2019","FQ2 2019","Currency=USD","Period=FQ","BEST_FPERIOD_OVERRIDE=FQ","FILING_STATUS=MR","SCALING_FORMAT=MLN","Sort=A","Dates=H","DateFormat=P","Fill=—","Direction=H","UseDPDF=Y")</f>
        <v>3593</v>
      </c>
      <c r="G14" s="13" cm="1">
        <f t="array" ref="G14">_xll.BDH("CAT US Equity","INVTRY_RAW_MATERIALS","FQ3 2019","FQ3 2019","Currency=USD","Period=FQ","BEST_FPERIOD_OVERRIDE=FQ","FILING_STATUS=MR","SCALING_FORMAT=MLN","Sort=A","Dates=H","DateFormat=P","Fill=—","Direction=H","UseDPDF=Y")</f>
        <v>4424</v>
      </c>
      <c r="H14" s="13" cm="1">
        <f t="array" ref="H14">_xll.BDH("CAT US Equity","INVTRY_RAW_MATERIALS","FQ4 2019","FQ4 2019","Currency=USD","Period=FQ","BEST_FPERIOD_OVERRIDE=FQ","FILING_STATUS=MR","SCALING_FORMAT=MLN","Sort=A","Dates=H","DateFormat=P","Fill=—","Direction=H","UseDPDF=Y")</f>
        <v>4263</v>
      </c>
      <c r="I14" s="13" cm="1">
        <f t="array" ref="I14">_xll.BDH("CAT US Equity","INVTRY_RAW_MATERIALS","FQ1 2020","FQ1 2020","Currency=USD","Period=FQ","BEST_FPERIOD_OVERRIDE=FQ","FILING_STATUS=MR","SCALING_FORMAT=MLN","Sort=A","Dates=H","DateFormat=P","Fill=—","Direction=H","UseDPDF=Y")</f>
        <v>4264</v>
      </c>
      <c r="J14" s="13" cm="1">
        <f t="array" ref="J14">_xll.BDH("CAT US Equity","INVTRY_RAW_MATERIALS","FQ2 2020","FQ2 2020","Currency=USD","Period=FQ","BEST_FPERIOD_OVERRIDE=FQ","FILING_STATUS=MR","SCALING_FORMAT=MLN","Sort=A","Dates=H","DateFormat=P","Fill=—","Direction=H","UseDPDF=Y")</f>
        <v>4193</v>
      </c>
      <c r="K14" s="13" cm="1">
        <f t="array" ref="K14">_xll.BDH("CAT US Equity","INVTRY_RAW_MATERIALS","FQ3 2020","FQ3 2020","Currency=USD","Period=FQ","BEST_FPERIOD_OVERRIDE=FQ","FILING_STATUS=MR","SCALING_FORMAT=MLN","Sort=A","Dates=H","DateFormat=P","Fill=—","Direction=H","UseDPDF=Y")</f>
        <v>4093</v>
      </c>
      <c r="L14" s="13" cm="1">
        <f t="array" ref="L14">_xll.BDH("CAT US Equity","INVTRY_RAW_MATERIALS","FQ4 2020","FQ4 2020","Currency=USD","Period=FQ","BEST_FPERIOD_OVERRIDE=FQ","FILING_STATUS=MR","SCALING_FORMAT=MLN","Sort=A","Dates=H","DateFormat=P","Fill=—","Direction=H","UseDPDF=Y")</f>
        <v>4021</v>
      </c>
      <c r="M14" s="13" cm="1">
        <f t="array" ref="M14">_xll.BDH("CAT US Equity","INVTRY_RAW_MATERIALS","FQ1 2021","FQ1 2021","Currency=USD","Period=FQ","BEST_FPERIOD_OVERRIDE=FQ","FILING_STATUS=MR","SCALING_FORMAT=MLN","Sort=A","Dates=H","DateFormat=P","Fill=—","Direction=H","UseDPDF=Y")</f>
        <v>4233</v>
      </c>
      <c r="N14" s="13" cm="1">
        <f t="array" ref="N14">_xll.BDH("CAT US Equity","INVTRY_RAW_MATERIALS","FQ2 2021","FQ2 2021","Currency=USD","Period=FQ","BEST_FPERIOD_OVERRIDE=FQ","FILING_STATUS=MR","SCALING_FORMAT=MLN","Sort=A","Dates=H","DateFormat=P","Fill=—","Direction=H","UseDPDF=Y")</f>
        <v>4598</v>
      </c>
      <c r="O14" s="13" cm="1">
        <f t="array" ref="O14">_xll.BDH("CAT US Equity","INVTRY_RAW_MATERIALS","FQ3 2021","FQ3 2021","Currency=USD","Period=FQ","BEST_FPERIOD_OVERRIDE=FQ","FILING_STATUS=MR","SCALING_FORMAT=MLN","Sort=A","Dates=H","DateFormat=P","Fill=—","Direction=H","UseDPDF=Y")</f>
        <v>5144</v>
      </c>
      <c r="P14" s="13" cm="1">
        <f t="array" ref="P14">_xll.BDH("CAT US Equity","INVTRY_RAW_MATERIALS","FQ4 2021","FQ4 2021","Currency=USD","Period=FQ","BEST_FPERIOD_OVERRIDE=FQ","FILING_STATUS=MR","SCALING_FORMAT=MLN","Sort=A","Dates=H","DateFormat=P","Fill=—","Direction=H","UseDPDF=Y")</f>
        <v>5528</v>
      </c>
      <c r="Q14" s="13" cm="1">
        <f t="array" ref="Q14">_xll.BDH("CAT US Equity","INVTRY_RAW_MATERIALS","FQ1 2022","FQ1 2022","Currency=USD","Period=FQ","BEST_FPERIOD_OVERRIDE=FQ","FILING_STATUS=MR","SCALING_FORMAT=MLN","Sort=A","Dates=H","DateFormat=P","Fill=—","Direction=H","UseDPDF=Y")</f>
        <v>5924</v>
      </c>
      <c r="R14" s="13" cm="1">
        <f t="array" ref="R14">_xll.BDH("CAT US Equity","INVTRY_RAW_MATERIALS","FQ2 2022","FQ2 2022","Currency=USD","Period=FQ","BEST_FPERIOD_OVERRIDE=FQ","FILING_STATUS=MR","SCALING_FORMAT=MLN","Sort=A","Dates=H","DateFormat=P","Fill=—","Direction=H","UseDPDF=Y")</f>
        <v>6129</v>
      </c>
      <c r="S14" s="13" cm="1">
        <f t="array" ref="S14">_xll.BDH("CAT US Equity","INVTRY_RAW_MATERIALS","FQ3 2022","FQ3 2022","Currency=USD","Period=FQ","BEST_FPERIOD_OVERRIDE=FQ","FILING_STATUS=MR","SCALING_FORMAT=MLN","Sort=A","Dates=H","DateFormat=P","Fill=—","Direction=H","UseDPDF=Y")</f>
        <v>6335</v>
      </c>
      <c r="T14" s="13" cm="1">
        <f t="array" ref="T14">_xll.BDH("CAT US Equity","INVTRY_RAW_MATERIALS","FQ4 2022","FQ4 2022","Currency=USD","Period=FQ","BEST_FPERIOD_OVERRIDE=FQ","FILING_STATUS=MR","SCALING_FORMAT=MLN","Sort=A","Dates=H","DateFormat=P","Fill=—","Direction=H","UseDPDF=Y")</f>
        <v>6370</v>
      </c>
      <c r="U14" s="13" cm="1">
        <f t="array" ref="U14">_xll.BDH("CAT US Equity","INVTRY_RAW_MATERIALS","FQ1 2023","FQ1 2023","Currency=USD","Period=FQ","BEST_FPERIOD_OVERRIDE=FQ","FILING_STATUS=MR","SCALING_FORMAT=MLN","Sort=A","Dates=H","DateFormat=P","Fill=—","Direction=H","UseDPDF=Y")</f>
        <v>6776</v>
      </c>
      <c r="V14" s="13" cm="1">
        <f t="array" ref="V14">_xll.BDH("CAT US Equity","INVTRY_RAW_MATERIALS","FQ2 2023","FQ2 2023","Currency=USD","Period=FQ","BEST_FPERIOD_OVERRIDE=FQ","FILING_STATUS=MR","SCALING_FORMAT=MLN","Sort=A","Dates=H","DateFormat=P","Fill=—","Direction=H","UseDPDF=Y")</f>
        <v>6783</v>
      </c>
      <c r="W14" s="13" cm="1">
        <f t="array" ref="W14">_xll.BDH("CAT US Equity","INVTRY_RAW_MATERIALS","FQ3 2023","FQ3 2023","Currency=USD","Period=FQ","BEST_FPERIOD_OVERRIDE=FQ","FILING_STATUS=MR","SCALING_FORMAT=MLN","Sort=A","Dates=H","DateFormat=P","Fill=—","Direction=H","UseDPDF=Y")</f>
        <v>6798</v>
      </c>
      <c r="X14" s="13" cm="1">
        <f t="array" ref="X14">_xll.BDH("CAT US Equity","INVTRY_RAW_MATERIALS","FQ4 2023","FQ4 2023","Currency=USD","Period=FQ","BEST_FPERIOD_OVERRIDE=FQ","FILING_STATUS=MR","SCALING_FORMAT=MLN","Sort=A","Dates=H","DateFormat=P","Fill=—","Direction=H","UseDPDF=Y")</f>
        <v>6492</v>
      </c>
      <c r="Y14" s="13" cm="1">
        <f t="array" ref="Y14">_xll.BDH("CAT US Equity","INVTRY_RAW_MATERIALS","FQ1 2024","FQ1 2024","Currency=USD","Period=FQ","BEST_FPERIOD_OVERRIDE=FQ","FILING_STATUS=MR","SCALING_FORMAT=MLN","Sort=A","Dates=H","DateFormat=P","Fill=—","Direction=H","UseDPDF=Y")</f>
        <v>6605</v>
      </c>
      <c r="Z14" s="13" cm="1">
        <f t="array" ref="Z14">_xll.BDH("CAT US Equity","INVTRY_RAW_MATERIALS","FQ2 2024","FQ2 2024","Currency=USD","Period=FQ","BEST_FPERIOD_OVERRIDE=FQ","FILING_STATUS=MR","SCALING_FORMAT=MLN","Sort=A","Dates=H","DateFormat=P","Fill=—","Direction=H","UseDPDF=Y")</f>
        <v>6662</v>
      </c>
      <c r="AA14" s="13" cm="1">
        <f t="array" ref="AA14">_xll.BDH("CAT US Equity","INVTRY_RAW_MATERIALS","FQ3 2024","FQ3 2024","Currency=USD","Period=FQ","BEST_FPERIOD_OVERRIDE=FQ","FILING_STATUS=MR","SCALING_FORMAT=MLN","Sort=A","Dates=H","DateFormat=P","Fill=—","Direction=H","UseDPDF=Y")</f>
        <v>6787</v>
      </c>
      <c r="AB14" s="13" cm="1">
        <f t="array" ref="AB14">_xll.BDH("CAT US Equity","INVTRY_RAW_MATERIALS","FQ4 2024","FQ4 2024","Currency=USD","Period=FQ","BEST_FPERIOD_OVERRIDE=FQ","FILING_STATUS=MR","SCALING_FORMAT=MLN","Sort=A","Dates=H","DateFormat=P","Fill=—","Direction=H","UseDPDF=Y")</f>
        <v>6681</v>
      </c>
      <c r="AC14" s="13" cm="1">
        <f t="array" ref="AC14">_xll.BDH("CAT US Equity","INVTRY_RAW_MATERIALS","FQ1 2025","FQ1 2025","Currency=USD","Period=FQ","BEST_FPERIOD_OVERRIDE=FQ","FILING_STATUS=MR","SCALING_FORMAT=MLN","Sort=A","Dates=H","DateFormat=P","Fill=—","Direction=H","UseDPDF=Y")</f>
        <v>6822</v>
      </c>
      <c r="AD14" s="13" cm="1">
        <f t="array" ref="AD14">_xll.BDH("CAT US Equity","INVTRY_RAW_MATERIALS","FQ2 2025","FQ2 2025","Currency=USD","Period=FQ","BEST_FPERIOD_OVERRIDE=FQ","FILING_STATUS=MR","SCALING_FORMAT=MLN","Sort=A","Dates=H","DateFormat=P","Fill=—","Direction=H","UseDPDF=Y")</f>
        <v>7134</v>
      </c>
      <c r="AE14" s="13" cm="1">
        <f t="array" ref="AE14">_xll.BDH("CAT US Equity","INVTRY_RAW_MATERIALS","FQ3 2025","FQ3 2025","Currency=USD","Period=FQ","BEST_FPERIOD_OVERRIDE=FQ","FILING_STATUS=MR","SCALING_FORMAT=MLN","Sort=A","Dates=H","DateFormat=P","Fill=—","Direction=H","UseDPDF=Y")</f>
        <v>7502</v>
      </c>
      <c r="AF14" s="13" cm="1">
        <f t="array" ref="AF14">_xll.BDH("CAT US Equity","INVTRY_RAW_MATERIALS","FQ4 2025","FQ4 2025","Currency=USD","Period=FQ","BEST_FPERIOD_OVERRIDE=FQ","FILING_STATUS=MR","SCALING_FORMAT=MLN","Sort=A","Dates=H","DateFormat=P","Fill=—","Direction=H","UseDPDF=Y")</f>
        <v>7434</v>
      </c>
    </row>
    <row r="15" spans="1:32" x14ac:dyDescent="0.25">
      <c r="A15" s="10" t="s">
        <v>82</v>
      </c>
      <c r="B15" s="10" t="s">
        <v>83</v>
      </c>
      <c r="C15" s="13" cm="1">
        <f t="array" ref="C15">_xll.BDH("CAT US Equity","INVTRY_IN_PROGRESS","FQ3 2018","FQ3 2018","Currency=USD","Period=FQ","BEST_FPERIOD_OVERRIDE=FQ","FILING_STATUS=MR","SCALING_FORMAT=MLN","Sort=A","Dates=H","DateFormat=P","Fill=—","Direction=H","UseDPDF=Y")</f>
        <v>2764</v>
      </c>
      <c r="D15" s="13" cm="1">
        <f t="array" ref="D15">_xll.BDH("CAT US Equity","INVTRY_IN_PROGRESS","FQ4 2018","FQ4 2018","Currency=USD","Period=FQ","BEST_FPERIOD_OVERRIDE=FQ","FILING_STATUS=MR","SCALING_FORMAT=MLN","Sort=A","Dates=H","DateFormat=P","Fill=—","Direction=H","UseDPDF=Y")</f>
        <v>2674</v>
      </c>
      <c r="E15" s="13" cm="1">
        <f t="array" ref="E15">_xll.BDH("CAT US Equity","INVTRY_IN_PROGRESS","FQ1 2019","FQ1 2019","Currency=USD","Period=FQ","BEST_FPERIOD_OVERRIDE=FQ","FILING_STATUS=MR","SCALING_FORMAT=MLN","Sort=A","Dates=H","DateFormat=P","Fill=—","Direction=H","UseDPDF=Y")</f>
        <v>2737</v>
      </c>
      <c r="F15" s="13" cm="1">
        <f t="array" ref="F15">_xll.BDH("CAT US Equity","INVTRY_IN_PROGRESS","FQ2 2019","FQ2 2019","Currency=USD","Period=FQ","BEST_FPERIOD_OVERRIDE=FQ","FILING_STATUS=MR","SCALING_FORMAT=MLN","Sort=A","Dates=H","DateFormat=P","Fill=—","Direction=H","UseDPDF=Y")</f>
        <v>2574</v>
      </c>
      <c r="G15" s="13" cm="1">
        <f t="array" ref="G15">_xll.BDH("CAT US Equity","INVTRY_IN_PROGRESS","FQ3 2019","FQ3 2019","Currency=USD","Period=FQ","BEST_FPERIOD_OVERRIDE=FQ","FILING_STATUS=MR","SCALING_FORMAT=MLN","Sort=A","Dates=H","DateFormat=P","Fill=—","Direction=H","UseDPDF=Y")</f>
        <v>1335</v>
      </c>
      <c r="H15" s="13" cm="1">
        <f t="array" ref="H15">_xll.BDH("CAT US Equity","INVTRY_IN_PROGRESS","FQ4 2019","FQ4 2019","Currency=USD","Period=FQ","BEST_FPERIOD_OVERRIDE=FQ","FILING_STATUS=MR","SCALING_FORMAT=MLN","Sort=A","Dates=H","DateFormat=P","Fill=—","Direction=H","UseDPDF=Y")</f>
        <v>1147</v>
      </c>
      <c r="I15" s="13" cm="1">
        <f t="array" ref="I15">_xll.BDH("CAT US Equity","INVTRY_IN_PROGRESS","FQ1 2020","FQ1 2020","Currency=USD","Period=FQ","BEST_FPERIOD_OVERRIDE=FQ","FILING_STATUS=MR","SCALING_FORMAT=MLN","Sort=A","Dates=H","DateFormat=P","Fill=—","Direction=H","UseDPDF=Y")</f>
        <v>1227</v>
      </c>
      <c r="J15" s="13" cm="1">
        <f t="array" ref="J15">_xll.BDH("CAT US Equity","INVTRY_IN_PROGRESS","FQ2 2020","FQ2 2020","Currency=USD","Period=FQ","BEST_FPERIOD_OVERRIDE=FQ","FILING_STATUS=MR","SCALING_FORMAT=MLN","Sort=A","Dates=H","DateFormat=P","Fill=—","Direction=H","UseDPDF=Y")</f>
        <v>1076</v>
      </c>
      <c r="K15" s="13" cm="1">
        <f t="array" ref="K15">_xll.BDH("CAT US Equity","INVTRY_IN_PROGRESS","FQ3 2020","FQ3 2020","Currency=USD","Period=FQ","BEST_FPERIOD_OVERRIDE=FQ","FILING_STATUS=MR","SCALING_FORMAT=MLN","Sort=A","Dates=H","DateFormat=P","Fill=—","Direction=H","UseDPDF=Y")</f>
        <v>1113</v>
      </c>
      <c r="L15" s="13" cm="1">
        <f t="array" ref="L15">_xll.BDH("CAT US Equity","INVTRY_IN_PROGRESS","FQ4 2020","FQ4 2020","Currency=USD","Period=FQ","BEST_FPERIOD_OVERRIDE=FQ","FILING_STATUS=MR","SCALING_FORMAT=MLN","Sort=A","Dates=H","DateFormat=P","Fill=—","Direction=H","UseDPDF=Y")</f>
        <v>1052</v>
      </c>
      <c r="M15" s="13" cm="1">
        <f t="array" ref="M15">_xll.BDH("CAT US Equity","INVTRY_IN_PROGRESS","FQ1 2021","FQ1 2021","Currency=USD","Period=FQ","BEST_FPERIOD_OVERRIDE=FQ","FILING_STATUS=MR","SCALING_FORMAT=MLN","Sort=A","Dates=H","DateFormat=P","Fill=—","Direction=H","UseDPDF=Y")</f>
        <v>1267</v>
      </c>
      <c r="N15" s="13" cm="1">
        <f t="array" ref="N15">_xll.BDH("CAT US Equity","INVTRY_IN_PROGRESS","FQ2 2021","FQ2 2021","Currency=USD","Period=FQ","BEST_FPERIOD_OVERRIDE=FQ","FILING_STATUS=MR","SCALING_FORMAT=MLN","Sort=A","Dates=H","DateFormat=P","Fill=—","Direction=H","UseDPDF=Y")</f>
        <v>1389</v>
      </c>
      <c r="O15" s="13" cm="1">
        <f t="array" ref="O15">_xll.BDH("CAT US Equity","INVTRY_IN_PROGRESS","FQ3 2021","FQ3 2021","Currency=USD","Period=FQ","BEST_FPERIOD_OVERRIDE=FQ","FILING_STATUS=MR","SCALING_FORMAT=MLN","Sort=A","Dates=H","DateFormat=P","Fill=—","Direction=H","UseDPDF=Y")</f>
        <v>1522</v>
      </c>
      <c r="P15" s="13" cm="1">
        <f t="array" ref="P15">_xll.BDH("CAT US Equity","INVTRY_IN_PROGRESS","FQ4 2021","FQ4 2021","Currency=USD","Period=FQ","BEST_FPERIOD_OVERRIDE=FQ","FILING_STATUS=MR","SCALING_FORMAT=MLN","Sort=A","Dates=H","DateFormat=P","Fill=—","Direction=H","UseDPDF=Y")</f>
        <v>1318</v>
      </c>
      <c r="Q15" s="13" cm="1">
        <f t="array" ref="Q15">_xll.BDH("CAT US Equity","INVTRY_IN_PROGRESS","FQ1 2022","FQ1 2022","Currency=USD","Period=FQ","BEST_FPERIOD_OVERRIDE=FQ","FILING_STATUS=MR","SCALING_FORMAT=MLN","Sort=A","Dates=H","DateFormat=P","Fill=—","Direction=H","UseDPDF=Y")</f>
        <v>1438</v>
      </c>
      <c r="R15" s="13" cm="1">
        <f t="array" ref="R15">_xll.BDH("CAT US Equity","INVTRY_IN_PROGRESS","FQ2 2022","FQ2 2022","Currency=USD","Period=FQ","BEST_FPERIOD_OVERRIDE=FQ","FILING_STATUS=MR","SCALING_FORMAT=MLN","Sort=A","Dates=H","DateFormat=P","Fill=—","Direction=H","UseDPDF=Y")</f>
        <v>1604</v>
      </c>
      <c r="S15" s="13" cm="1">
        <f t="array" ref="S15">_xll.BDH("CAT US Equity","INVTRY_IN_PROGRESS","FQ3 2022","FQ3 2022","Currency=USD","Period=FQ","BEST_FPERIOD_OVERRIDE=FQ","FILING_STATUS=MR","SCALING_FORMAT=MLN","Sort=A","Dates=H","DateFormat=P","Fill=—","Direction=H","UseDPDF=Y")</f>
        <v>1836</v>
      </c>
      <c r="T15" s="13" cm="1">
        <f t="array" ref="T15">_xll.BDH("CAT US Equity","INVTRY_IN_PROGRESS","FQ4 2022","FQ4 2022","Currency=USD","Period=FQ","BEST_FPERIOD_OVERRIDE=FQ","FILING_STATUS=MR","SCALING_FORMAT=MLN","Sort=A","Dates=H","DateFormat=P","Fill=—","Direction=H","UseDPDF=Y")</f>
        <v>1452</v>
      </c>
      <c r="U15" s="13" cm="1">
        <f t="array" ref="U15">_xll.BDH("CAT US Equity","INVTRY_IN_PROGRESS","FQ1 2023","FQ1 2023","Currency=USD","Period=FQ","BEST_FPERIOD_OVERRIDE=FQ","FILING_STATUS=MR","SCALING_FORMAT=MLN","Sort=A","Dates=H","DateFormat=P","Fill=—","Direction=H","UseDPDF=Y")</f>
        <v>1656</v>
      </c>
      <c r="V15" s="13" cm="1">
        <f t="array" ref="V15">_xll.BDH("CAT US Equity","INVTRY_IN_PROGRESS","FQ2 2023","FQ2 2023","Currency=USD","Period=FQ","BEST_FPERIOD_OVERRIDE=FQ","FILING_STATUS=MR","SCALING_FORMAT=MLN","Sort=A","Dates=H","DateFormat=P","Fill=—","Direction=H","UseDPDF=Y")</f>
        <v>1640</v>
      </c>
      <c r="W15" s="13" cm="1">
        <f t="array" ref="W15">_xll.BDH("CAT US Equity","INVTRY_IN_PROGRESS","FQ3 2023","FQ3 2023","Currency=USD","Period=FQ","BEST_FPERIOD_OVERRIDE=FQ","FILING_STATUS=MR","SCALING_FORMAT=MLN","Sort=A","Dates=H","DateFormat=P","Fill=—","Direction=H","UseDPDF=Y")</f>
        <v>1650</v>
      </c>
      <c r="X15" s="13" cm="1">
        <f t="array" ref="X15">_xll.BDH("CAT US Equity","INVTRY_IN_PROGRESS","FQ4 2023","FQ4 2023","Currency=USD","Period=FQ","BEST_FPERIOD_OVERRIDE=FQ","FILING_STATUS=MR","SCALING_FORMAT=MLN","Sort=A","Dates=H","DateFormat=P","Fill=—","Direction=H","UseDPDF=Y")</f>
        <v>1411</v>
      </c>
      <c r="Y15" s="13" cm="1">
        <f t="array" ref="Y15">_xll.BDH("CAT US Equity","INVTRY_IN_PROGRESS","FQ1 2024","FQ1 2024","Currency=USD","Period=FQ","BEST_FPERIOD_OVERRIDE=FQ","FILING_STATUS=MR","SCALING_FORMAT=MLN","Sort=A","Dates=H","DateFormat=P","Fill=—","Direction=H","UseDPDF=Y")</f>
        <v>1614</v>
      </c>
      <c r="Z15" s="13" cm="1">
        <f t="array" ref="Z15">_xll.BDH("CAT US Equity","INVTRY_IN_PROGRESS","FQ2 2024","FQ2 2024","Currency=USD","Period=FQ","BEST_FPERIOD_OVERRIDE=FQ","FILING_STATUS=MR","SCALING_FORMAT=MLN","Sort=A","Dates=H","DateFormat=P","Fill=—","Direction=H","UseDPDF=Y")</f>
        <v>1465</v>
      </c>
      <c r="AA15" s="13" cm="1">
        <f t="array" ref="AA15">_xll.BDH("CAT US Equity","INVTRY_IN_PROGRESS","FQ3 2024","FQ3 2024","Currency=USD","Period=FQ","BEST_FPERIOD_OVERRIDE=FQ","FILING_STATUS=MR","SCALING_FORMAT=MLN","Sort=A","Dates=H","DateFormat=P","Fill=—","Direction=H","UseDPDF=Y")</f>
        <v>1500</v>
      </c>
      <c r="AB15" s="13" cm="1">
        <f t="array" ref="AB15">_xll.BDH("CAT US Equity","INVTRY_IN_PROGRESS","FQ4 2024","FQ4 2024","Currency=USD","Period=FQ","BEST_FPERIOD_OVERRIDE=FQ","FILING_STATUS=MR","SCALING_FORMAT=MLN","Sort=A","Dates=H","DateFormat=P","Fill=—","Direction=H","UseDPDF=Y")</f>
        <v>1438</v>
      </c>
      <c r="AC15" s="13" cm="1">
        <f t="array" ref="AC15">_xll.BDH("CAT US Equity","INVTRY_IN_PROGRESS","FQ1 2025","FQ1 2025","Currency=USD","Period=FQ","BEST_FPERIOD_OVERRIDE=FQ","FILING_STATUS=MR","SCALING_FORMAT=MLN","Sort=A","Dates=H","DateFormat=P","Fill=—","Direction=H","UseDPDF=Y")</f>
        <v>1435</v>
      </c>
      <c r="AD15" s="13" cm="1">
        <f t="array" ref="AD15">_xll.BDH("CAT US Equity","INVTRY_IN_PROGRESS","FQ2 2025","FQ2 2025","Currency=USD","Period=FQ","BEST_FPERIOD_OVERRIDE=FQ","FILING_STATUS=MR","SCALING_FORMAT=MLN","Sort=A","Dates=H","DateFormat=P","Fill=—","Direction=H","UseDPDF=Y")</f>
        <v>1487</v>
      </c>
      <c r="AE15" s="13" cm="1">
        <f t="array" ref="AE15">_xll.BDH("CAT US Equity","INVTRY_IN_PROGRESS","FQ3 2025","FQ3 2025","Currency=USD","Period=FQ","BEST_FPERIOD_OVERRIDE=FQ","FILING_STATUS=MR","SCALING_FORMAT=MLN","Sort=A","Dates=H","DateFormat=P","Fill=—","Direction=H","UseDPDF=Y")</f>
        <v>1755</v>
      </c>
      <c r="AF15" s="13" cm="1">
        <f t="array" ref="AF15">_xll.BDH("CAT US Equity","INVTRY_IN_PROGRESS","FQ4 2025","FQ4 2025","Currency=USD","Period=FQ","BEST_FPERIOD_OVERRIDE=FQ","FILING_STATUS=MR","SCALING_FORMAT=MLN","Sort=A","Dates=H","DateFormat=P","Fill=—","Direction=H","UseDPDF=Y")</f>
        <v>1598</v>
      </c>
    </row>
    <row r="16" spans="1:32" x14ac:dyDescent="0.25">
      <c r="A16" s="10" t="s">
        <v>84</v>
      </c>
      <c r="B16" s="10" t="s">
        <v>85</v>
      </c>
      <c r="C16" s="13" cm="1">
        <f t="array" ref="C16">_xll.BDH("CAT US Equity","INVTRY_FINISHED_GOODS","FQ3 2018","FQ3 2018","Currency=USD","Period=FQ","BEST_FPERIOD_OVERRIDE=FQ","FILING_STATUS=MR","SCALING_FORMAT=MLN","Sort=A","Dates=H","DateFormat=P","Fill=—","Direction=H","UseDPDF=Y")</f>
        <v>5425</v>
      </c>
      <c r="D16" s="13" cm="1">
        <f t="array" ref="D16">_xll.BDH("CAT US Equity","INVTRY_FINISHED_GOODS","FQ4 2018","FQ4 2018","Currency=USD","Period=FQ","BEST_FPERIOD_OVERRIDE=FQ","FILING_STATUS=MR","SCALING_FORMAT=MLN","Sort=A","Dates=H","DateFormat=P","Fill=—","Direction=H","UseDPDF=Y")</f>
        <v>5241</v>
      </c>
      <c r="E16" s="13" cm="1">
        <f t="array" ref="E16">_xll.BDH("CAT US Equity","INVTRY_FINISHED_GOODS","FQ1 2019","FQ1 2019","Currency=USD","Period=FQ","BEST_FPERIOD_OVERRIDE=FQ","FILING_STATUS=MR","SCALING_FORMAT=MLN","Sort=A","Dates=H","DateFormat=P","Fill=—","Direction=H","UseDPDF=Y")</f>
        <v>5785</v>
      </c>
      <c r="F16" s="13" cm="1">
        <f t="array" ref="F16">_xll.BDH("CAT US Equity","INVTRY_FINISHED_GOODS","FQ2 2019","FQ2 2019","Currency=USD","Period=FQ","BEST_FPERIOD_OVERRIDE=FQ","FILING_STATUS=MR","SCALING_FORMAT=MLN","Sort=A","Dates=H","DateFormat=P","Fill=—","Direction=H","UseDPDF=Y")</f>
        <v>5604</v>
      </c>
      <c r="G16" s="13" cm="1">
        <f t="array" ref="G16">_xll.BDH("CAT US Equity","INVTRY_FINISHED_GOODS","FQ3 2019","FQ3 2019","Currency=USD","Period=FQ","BEST_FPERIOD_OVERRIDE=FQ","FILING_STATUS=MR","SCALING_FORMAT=MLN","Sort=A","Dates=H","DateFormat=P","Fill=—","Direction=H","UseDPDF=Y")</f>
        <v>6177</v>
      </c>
      <c r="H16" s="13" cm="1">
        <f t="array" ref="H16">_xll.BDH("CAT US Equity","INVTRY_FINISHED_GOODS","FQ4 2019","FQ4 2019","Currency=USD","Period=FQ","BEST_FPERIOD_OVERRIDE=FQ","FILING_STATUS=MR","SCALING_FORMAT=MLN","Sort=A","Dates=H","DateFormat=P","Fill=—","Direction=H","UseDPDF=Y")</f>
        <v>5598</v>
      </c>
      <c r="I16" s="13" cm="1">
        <f t="array" ref="I16">_xll.BDH("CAT US Equity","INVTRY_FINISHED_GOODS","FQ1 2020","FQ1 2020","Currency=USD","Period=FQ","BEST_FPERIOD_OVERRIDE=FQ","FILING_STATUS=MR","SCALING_FORMAT=MLN","Sort=A","Dates=H","DateFormat=P","Fill=—","Direction=H","UseDPDF=Y")</f>
        <v>6010</v>
      </c>
      <c r="J16" s="13" cm="1">
        <f t="array" ref="J16">_xll.BDH("CAT US Equity","INVTRY_FINISHED_GOODS","FQ2 2020","FQ2 2020","Currency=USD","Period=FQ","BEST_FPERIOD_OVERRIDE=FQ","FILING_STATUS=MR","SCALING_FORMAT=MLN","Sort=A","Dates=H","DateFormat=P","Fill=—","Direction=H","UseDPDF=Y")</f>
        <v>5839</v>
      </c>
      <c r="K16" s="13" cm="1">
        <f t="array" ref="K16">_xll.BDH("CAT US Equity","INVTRY_FINISHED_GOODS","FQ3 2020","FQ3 2020","Currency=USD","Period=FQ","BEST_FPERIOD_OVERRIDE=FQ","FILING_STATUS=MR","SCALING_FORMAT=MLN","Sort=A","Dates=H","DateFormat=P","Fill=—","Direction=H","UseDPDF=Y")</f>
        <v>5984</v>
      </c>
      <c r="L16" s="13" cm="1">
        <f t="array" ref="L16">_xll.BDH("CAT US Equity","INVTRY_FINISHED_GOODS","FQ4 2020","FQ4 2020","Currency=USD","Period=FQ","BEST_FPERIOD_OVERRIDE=FQ","FILING_STATUS=MR","SCALING_FORMAT=MLN","Sort=A","Dates=H","DateFormat=P","Fill=—","Direction=H","UseDPDF=Y")</f>
        <v>6054</v>
      </c>
      <c r="M16" s="13" cm="1">
        <f t="array" ref="M16">_xll.BDH("CAT US Equity","INVTRY_FINISHED_GOODS","FQ1 2021","FQ1 2021","Currency=USD","Period=FQ","BEST_FPERIOD_OVERRIDE=FQ","FILING_STATUS=MR","SCALING_FORMAT=MLN","Sort=A","Dates=H","DateFormat=P","Fill=—","Direction=H","UseDPDF=Y")</f>
        <v>6371</v>
      </c>
      <c r="N16" s="13" cm="1">
        <f t="array" ref="N16">_xll.BDH("CAT US Equity","INVTRY_FINISHED_GOODS","FQ2 2021","FQ2 2021","Currency=USD","Period=FQ","BEST_FPERIOD_OVERRIDE=FQ","FILING_STATUS=MR","SCALING_FORMAT=MLN","Sort=A","Dates=H","DateFormat=P","Fill=—","Direction=H","UseDPDF=Y")</f>
        <v>6405</v>
      </c>
      <c r="O16" s="13" cm="1">
        <f t="array" ref="O16">_xll.BDH("CAT US Equity","INVTRY_FINISHED_GOODS","FQ3 2021","FQ3 2021","Currency=USD","Period=FQ","BEST_FPERIOD_OVERRIDE=FQ","FILING_STATUS=MR","SCALING_FORMAT=MLN","Sort=A","Dates=H","DateFormat=P","Fill=—","Direction=H","UseDPDF=Y")</f>
        <v>6707</v>
      </c>
      <c r="P16" s="13" cm="1">
        <f t="array" ref="P16">_xll.BDH("CAT US Equity","INVTRY_FINISHED_GOODS","FQ4 2021","FQ4 2021","Currency=USD","Period=FQ","BEST_FPERIOD_OVERRIDE=FQ","FILING_STATUS=MR","SCALING_FORMAT=MLN","Sort=A","Dates=H","DateFormat=P","Fill=—","Direction=H","UseDPDF=Y")</f>
        <v>6907</v>
      </c>
      <c r="Q16" s="13" cm="1">
        <f t="array" ref="Q16">_xll.BDH("CAT US Equity","INVTRY_FINISHED_GOODS","FQ1 2022","FQ1 2022","Currency=USD","Period=FQ","BEST_FPERIOD_OVERRIDE=FQ","FILING_STATUS=MR","SCALING_FORMAT=MLN","Sort=A","Dates=H","DateFormat=P","Fill=—","Direction=H","UseDPDF=Y")</f>
        <v>7390</v>
      </c>
      <c r="R16" s="13" cm="1">
        <f t="array" ref="R16">_xll.BDH("CAT US Equity","INVTRY_FINISHED_GOODS","FQ2 2022","FQ2 2022","Currency=USD","Period=FQ","BEST_FPERIOD_OVERRIDE=FQ","FILING_STATUS=MR","SCALING_FORMAT=MLN","Sort=A","Dates=H","DateFormat=P","Fill=—","Direction=H","UseDPDF=Y")</f>
        <v>7850</v>
      </c>
      <c r="S16" s="13" cm="1">
        <f t="array" ref="S16">_xll.BDH("CAT US Equity","INVTRY_FINISHED_GOODS","FQ3 2022","FQ3 2022","Currency=USD","Period=FQ","BEST_FPERIOD_OVERRIDE=FQ","FILING_STATUS=MR","SCALING_FORMAT=MLN","Sort=A","Dates=H","DateFormat=P","Fill=—","Direction=H","UseDPDF=Y")</f>
        <v>8387</v>
      </c>
      <c r="T16" s="13" cm="1">
        <f t="array" ref="T16">_xll.BDH("CAT US Equity","INVTRY_FINISHED_GOODS","FQ4 2022","FQ4 2022","Currency=USD","Period=FQ","BEST_FPERIOD_OVERRIDE=FQ","FILING_STATUS=MR","SCALING_FORMAT=MLN","Sort=A","Dates=H","DateFormat=P","Fill=—","Direction=H","UseDPDF=Y")</f>
        <v>8138</v>
      </c>
      <c r="U16" s="13" cm="1">
        <f t="array" ref="U16">_xll.BDH("CAT US Equity","INVTRY_FINISHED_GOODS","FQ1 2023","FQ1 2023","Currency=USD","Period=FQ","BEST_FPERIOD_OVERRIDE=FQ","FILING_STATUS=MR","SCALING_FORMAT=MLN","Sort=A","Dates=H","DateFormat=P","Fill=—","Direction=H","UseDPDF=Y")</f>
        <v>8868</v>
      </c>
      <c r="V16" s="13" cm="1">
        <f t="array" ref="V16">_xll.BDH("CAT US Equity","INVTRY_FINISHED_GOODS","FQ2 2023","FQ2 2023","Currency=USD","Period=FQ","BEST_FPERIOD_OVERRIDE=FQ","FILING_STATUS=MR","SCALING_FORMAT=MLN","Sort=A","Dates=H","DateFormat=P","Fill=—","Direction=H","UseDPDF=Y")</f>
        <v>8979</v>
      </c>
      <c r="W16" s="13" cm="1">
        <f t="array" ref="W16">_xll.BDH("CAT US Equity","INVTRY_FINISHED_GOODS","FQ3 2023","FQ3 2023","Currency=USD","Period=FQ","BEST_FPERIOD_OVERRIDE=FQ","FILING_STATUS=MR","SCALING_FORMAT=MLN","Sort=A","Dates=H","DateFormat=P","Fill=—","Direction=H","UseDPDF=Y")</f>
        <v>8788</v>
      </c>
      <c r="X16" s="13" cm="1">
        <f t="array" ref="X16">_xll.BDH("CAT US Equity","INVTRY_FINISHED_GOODS","FQ4 2023","FQ4 2023","Currency=USD","Period=FQ","BEST_FPERIOD_OVERRIDE=FQ","FILING_STATUS=MR","SCALING_FORMAT=MLN","Sort=A","Dates=H","DateFormat=P","Fill=—","Direction=H","UseDPDF=Y")</f>
        <v>8308</v>
      </c>
      <c r="Y16" s="13" cm="1">
        <f t="array" ref="Y16">_xll.BDH("CAT US Equity","INVTRY_FINISHED_GOODS","FQ1 2024","FQ1 2024","Currency=USD","Period=FQ","BEST_FPERIOD_OVERRIDE=FQ","FILING_STATUS=MR","SCALING_FORMAT=MLN","Sort=A","Dates=H","DateFormat=P","Fill=—","Direction=H","UseDPDF=Y")</f>
        <v>8372</v>
      </c>
      <c r="Z16" s="13" cm="1">
        <f t="array" ref="Z16">_xll.BDH("CAT US Equity","INVTRY_FINISHED_GOODS","FQ2 2024","FQ2 2024","Currency=USD","Period=FQ","BEST_FPERIOD_OVERRIDE=FQ","FILING_STATUS=MR","SCALING_FORMAT=MLN","Sort=A","Dates=H","DateFormat=P","Fill=—","Direction=H","UseDPDF=Y")</f>
        <v>8593</v>
      </c>
      <c r="AA16" s="13" cm="1">
        <f t="array" ref="AA16">_xll.BDH("CAT US Equity","INVTRY_FINISHED_GOODS","FQ3 2024","FQ3 2024","Currency=USD","Period=FQ","BEST_FPERIOD_OVERRIDE=FQ","FILING_STATUS=MR","SCALING_FORMAT=MLN","Sort=A","Dates=H","DateFormat=P","Fill=—","Direction=H","UseDPDF=Y")</f>
        <v>8652</v>
      </c>
      <c r="AB16" s="13" cm="1">
        <f t="array" ref="AB16">_xll.BDH("CAT US Equity","INVTRY_FINISHED_GOODS","FQ4 2024","FQ4 2024","Currency=USD","Period=FQ","BEST_FPERIOD_OVERRIDE=FQ","FILING_STATUS=MR","SCALING_FORMAT=MLN","Sort=A","Dates=H","DateFormat=P","Fill=—","Direction=H","UseDPDF=Y")</f>
        <v>8329</v>
      </c>
      <c r="AC16" s="13" cm="1">
        <f t="array" ref="AC16">_xll.BDH("CAT US Equity","INVTRY_FINISHED_GOODS","FQ1 2025","FQ1 2025","Currency=USD","Period=FQ","BEST_FPERIOD_OVERRIDE=FQ","FILING_STATUS=MR","SCALING_FORMAT=MLN","Sort=A","Dates=H","DateFormat=P","Fill=—","Direction=H","UseDPDF=Y")</f>
        <v>9228</v>
      </c>
      <c r="AD16" s="13" cm="1">
        <f t="array" ref="AD16">_xll.BDH("CAT US Equity","INVTRY_FINISHED_GOODS","FQ2 2025","FQ2 2025","Currency=USD","Period=FQ","BEST_FPERIOD_OVERRIDE=FQ","FILING_STATUS=MR","SCALING_FORMAT=MLN","Sort=A","Dates=H","DateFormat=P","Fill=—","Direction=H","UseDPDF=Y")</f>
        <v>9591</v>
      </c>
      <c r="AE16" s="13" cm="1">
        <f t="array" ref="AE16">_xll.BDH("CAT US Equity","INVTRY_FINISHED_GOODS","FQ3 2025","FQ3 2025","Currency=USD","Period=FQ","BEST_FPERIOD_OVERRIDE=FQ","FILING_STATUS=MR","SCALING_FORMAT=MLN","Sort=A","Dates=H","DateFormat=P","Fill=—","Direction=H","UseDPDF=Y")</f>
        <v>9325</v>
      </c>
      <c r="AF16" s="13" cm="1">
        <f t="array" ref="AF16">_xll.BDH("CAT US Equity","INVTRY_FINISHED_GOODS","FQ4 2025","FQ4 2025","Currency=USD","Period=FQ","BEST_FPERIOD_OVERRIDE=FQ","FILING_STATUS=MR","SCALING_FORMAT=MLN","Sort=A","Dates=H","DateFormat=P","Fill=—","Direction=H","UseDPDF=Y")</f>
        <v>8725</v>
      </c>
    </row>
    <row r="17" spans="1:32" x14ac:dyDescent="0.25">
      <c r="A17" s="10" t="s">
        <v>86</v>
      </c>
      <c r="B17" s="10" t="s">
        <v>87</v>
      </c>
      <c r="C17" s="13" cm="1">
        <f t="array" ref="C17">_xll.BDH("CAT US Equity","BS_OTHER_INV","FQ3 2018","FQ3 2018","Currency=USD","Period=FQ","BEST_FPERIOD_OVERRIDE=FQ","FILING_STATUS=MR","SCALING_FORMAT=MLN","Sort=A","Dates=H","DateFormat=P","Fill=—","Direction=H","UseDPDF=Y")</f>
        <v>212</v>
      </c>
      <c r="D17" s="13" cm="1">
        <f t="array" ref="D17">_xll.BDH("CAT US Equity","BS_OTHER_INV","FQ4 2018","FQ4 2018","Currency=USD","Period=FQ","BEST_FPERIOD_OVERRIDE=FQ","FILING_STATUS=MR","SCALING_FORMAT=MLN","Sort=A","Dates=H","DateFormat=P","Fill=—","Direction=H","UseDPDF=Y")</f>
        <v>232</v>
      </c>
      <c r="E17" s="13" cm="1">
        <f t="array" ref="E17">_xll.BDH("CAT US Equity","BS_OTHER_INV","FQ1 2019","FQ1 2019","Currency=USD","Period=FQ","BEST_FPERIOD_OVERRIDE=FQ","FILING_STATUS=MR","SCALING_FORMAT=MLN","Sort=A","Dates=H","DateFormat=P","Fill=—","Direction=H","UseDPDF=Y")</f>
        <v>226</v>
      </c>
      <c r="F17" s="13" cm="1">
        <f t="array" ref="F17">_xll.BDH("CAT US Equity","BS_OTHER_INV","FQ2 2019","FQ2 2019","Currency=USD","Period=FQ","BEST_FPERIOD_OVERRIDE=FQ","FILING_STATUS=MR","SCALING_FORMAT=MLN","Sort=A","Dates=H","DateFormat=P","Fill=—","Direction=H","UseDPDF=Y")</f>
        <v>236</v>
      </c>
      <c r="G17" s="13" cm="1">
        <f t="array" ref="G17">_xll.BDH("CAT US Equity","BS_OTHER_INV","FQ3 2019","FQ3 2019","Currency=USD","Period=FQ","BEST_FPERIOD_OVERRIDE=FQ","FILING_STATUS=MR","SCALING_FORMAT=MLN","Sort=A","Dates=H","DateFormat=P","Fill=—","Direction=H","UseDPDF=Y")</f>
        <v>244</v>
      </c>
      <c r="H17" s="13" cm="1">
        <f t="array" ref="H17">_xll.BDH("CAT US Equity","BS_OTHER_INV","FQ4 2019","FQ4 2019","Currency=USD","Period=FQ","BEST_FPERIOD_OVERRIDE=FQ","FILING_STATUS=MR","SCALING_FORMAT=MLN","Sort=A","Dates=H","DateFormat=P","Fill=—","Direction=H","UseDPDF=Y")</f>
        <v>258</v>
      </c>
      <c r="I17" s="13" cm="1">
        <f t="array" ref="I17">_xll.BDH("CAT US Equity","BS_OTHER_INV","FQ1 2020","FQ1 2020","Currency=USD","Period=FQ","BEST_FPERIOD_OVERRIDE=FQ","FILING_STATUS=MR","SCALING_FORMAT=MLN","Sort=A","Dates=H","DateFormat=P","Fill=—","Direction=H","UseDPDF=Y")</f>
        <v>247</v>
      </c>
      <c r="J17" s="13" cm="1">
        <f t="array" ref="J17">_xll.BDH("CAT US Equity","BS_OTHER_INV","FQ2 2020","FQ2 2020","Currency=USD","Period=FQ","BEST_FPERIOD_OVERRIDE=FQ","FILING_STATUS=MR","SCALING_FORMAT=MLN","Sort=A","Dates=H","DateFormat=P","Fill=—","Direction=H","UseDPDF=Y")</f>
        <v>263</v>
      </c>
      <c r="K17" s="13" cm="1">
        <f t="array" ref="K17">_xll.BDH("CAT US Equity","BS_OTHER_INV","FQ3 2020","FQ3 2020","Currency=USD","Period=FQ","BEST_FPERIOD_OVERRIDE=FQ","FILING_STATUS=MR","SCALING_FORMAT=MLN","Sort=A","Dates=H","DateFormat=P","Fill=—","Direction=H","UseDPDF=Y")</f>
        <v>263</v>
      </c>
      <c r="L17" s="13" cm="1">
        <f t="array" ref="L17">_xll.BDH("CAT US Equity","BS_OTHER_INV","FQ4 2020","FQ4 2020","Currency=USD","Period=FQ","BEST_FPERIOD_OVERRIDE=FQ","FILING_STATUS=MR","SCALING_FORMAT=MLN","Sort=A","Dates=H","DateFormat=P","Fill=—","Direction=H","UseDPDF=Y")</f>
        <v>275</v>
      </c>
      <c r="M17" s="13" cm="1">
        <f t="array" ref="M17">_xll.BDH("CAT US Equity","BS_OTHER_INV","FQ1 2021","FQ1 2021","Currency=USD","Period=FQ","BEST_FPERIOD_OVERRIDE=FQ","FILING_STATUS=MR","SCALING_FORMAT=MLN","Sort=A","Dates=H","DateFormat=P","Fill=—","Direction=H","UseDPDF=Y")</f>
        <v>278</v>
      </c>
      <c r="N17" s="13" cm="1">
        <f t="array" ref="N17">_xll.BDH("CAT US Equity","BS_OTHER_INV","FQ2 2021","FQ2 2021","Currency=USD","Period=FQ","BEST_FPERIOD_OVERRIDE=FQ","FILING_STATUS=MR","SCALING_FORMAT=MLN","Sort=A","Dates=H","DateFormat=P","Fill=—","Direction=H","UseDPDF=Y")</f>
        <v>280</v>
      </c>
      <c r="O17" s="13" cm="1">
        <f t="array" ref="O17">_xll.BDH("CAT US Equity","BS_OTHER_INV","FQ3 2021","FQ3 2021","Currency=USD","Period=FQ","BEST_FPERIOD_OVERRIDE=FQ","FILING_STATUS=MR","SCALING_FORMAT=MLN","Sort=A","Dates=H","DateFormat=P","Fill=—","Direction=H","UseDPDF=Y")</f>
        <v>293</v>
      </c>
      <c r="P17" s="13" cm="1">
        <f t="array" ref="P17">_xll.BDH("CAT US Equity","BS_OTHER_INV","FQ4 2021","FQ4 2021","Currency=USD","Period=FQ","BEST_FPERIOD_OVERRIDE=FQ","FILING_STATUS=MR","SCALING_FORMAT=MLN","Sort=A","Dates=H","DateFormat=P","Fill=—","Direction=H","UseDPDF=Y")</f>
        <v>285</v>
      </c>
      <c r="Q17" s="13" cm="1">
        <f t="array" ref="Q17">_xll.BDH("CAT US Equity","BS_OTHER_INV","FQ1 2022","FQ1 2022","Currency=USD","Period=FQ","BEST_FPERIOD_OVERRIDE=FQ","FILING_STATUS=MR","SCALING_FORMAT=MLN","Sort=A","Dates=H","DateFormat=P","Fill=—","Direction=H","UseDPDF=Y")</f>
        <v>286</v>
      </c>
      <c r="R17" s="13" cm="1">
        <f t="array" ref="R17">_xll.BDH("CAT US Equity","BS_OTHER_INV","FQ2 2022","FQ2 2022","Currency=USD","Period=FQ","BEST_FPERIOD_OVERRIDE=FQ","FILING_STATUS=MR","SCALING_FORMAT=MLN","Sort=A","Dates=H","DateFormat=P","Fill=—","Direction=H","UseDPDF=Y")</f>
        <v>298</v>
      </c>
      <c r="S17" s="13" cm="1">
        <f t="array" ref="S17">_xll.BDH("CAT US Equity","BS_OTHER_INV","FQ3 2022","FQ3 2022","Currency=USD","Period=FQ","BEST_FPERIOD_OVERRIDE=FQ","FILING_STATUS=MR","SCALING_FORMAT=MLN","Sort=A","Dates=H","DateFormat=P","Fill=—","Direction=H","UseDPDF=Y")</f>
        <v>302</v>
      </c>
      <c r="T17" s="13" cm="1">
        <f t="array" ref="T17">_xll.BDH("CAT US Equity","BS_OTHER_INV","FQ4 2022","FQ4 2022","Currency=USD","Period=FQ","BEST_FPERIOD_OVERRIDE=FQ","FILING_STATUS=MR","SCALING_FORMAT=MLN","Sort=A","Dates=H","DateFormat=P","Fill=—","Direction=H","UseDPDF=Y")</f>
        <v>310</v>
      </c>
      <c r="U17" s="13" cm="1">
        <f t="array" ref="U17">_xll.BDH("CAT US Equity","BS_OTHER_INV","FQ1 2023","FQ1 2023","Currency=USD","Period=FQ","BEST_FPERIOD_OVERRIDE=FQ","FILING_STATUS=MR","SCALING_FORMAT=MLN","Sort=A","Dates=H","DateFormat=P","Fill=—","Direction=H","UseDPDF=Y")</f>
        <v>333</v>
      </c>
      <c r="V17" s="13" cm="1">
        <f t="array" ref="V17">_xll.BDH("CAT US Equity","BS_OTHER_INV","FQ2 2023","FQ2 2023","Currency=USD","Period=FQ","BEST_FPERIOD_OVERRIDE=FQ","FILING_STATUS=MR","SCALING_FORMAT=MLN","Sort=A","Dates=H","DateFormat=P","Fill=—","Direction=H","UseDPDF=Y")</f>
        <v>344</v>
      </c>
      <c r="W17" s="13" cm="1">
        <f t="array" ref="W17">_xll.BDH("CAT US Equity","BS_OTHER_INV","FQ3 2023","FQ3 2023","Currency=USD","Period=FQ","BEST_FPERIOD_OVERRIDE=FQ","FILING_STATUS=MR","SCALING_FORMAT=MLN","Sort=A","Dates=H","DateFormat=P","Fill=—","Direction=H","UseDPDF=Y")</f>
        <v>344</v>
      </c>
      <c r="X17" s="13" cm="1">
        <f t="array" ref="X17">_xll.BDH("CAT US Equity","BS_OTHER_INV","FQ4 2023","FQ4 2023","Currency=USD","Period=FQ","BEST_FPERIOD_OVERRIDE=FQ","FILING_STATUS=MR","SCALING_FORMAT=MLN","Sort=A","Dates=H","DateFormat=P","Fill=—","Direction=H","UseDPDF=Y")</f>
        <v>354</v>
      </c>
      <c r="Y17" s="13" cm="1">
        <f t="array" ref="Y17">_xll.BDH("CAT US Equity","BS_OTHER_INV","FQ1 2024","FQ1 2024","Currency=USD","Period=FQ","BEST_FPERIOD_OVERRIDE=FQ","FILING_STATUS=MR","SCALING_FORMAT=MLN","Sort=A","Dates=H","DateFormat=P","Fill=—","Direction=H","UseDPDF=Y")</f>
        <v>362</v>
      </c>
      <c r="Z17" s="13" cm="1">
        <f t="array" ref="Z17">_xll.BDH("CAT US Equity","BS_OTHER_INV","FQ2 2024","FQ2 2024","Currency=USD","Period=FQ","BEST_FPERIOD_OVERRIDE=FQ","FILING_STATUS=MR","SCALING_FORMAT=MLN","Sort=A","Dates=H","DateFormat=P","Fill=—","Direction=H","UseDPDF=Y")</f>
        <v>362</v>
      </c>
      <c r="AA17" s="13" cm="1">
        <f t="array" ref="AA17">_xll.BDH("CAT US Equity","BS_OTHER_INV","FQ3 2024","FQ3 2024","Currency=USD","Period=FQ","BEST_FPERIOD_OVERRIDE=FQ","FILING_STATUS=MR","SCALING_FORMAT=MLN","Sort=A","Dates=H","DateFormat=P","Fill=—","Direction=H","UseDPDF=Y")</f>
        <v>373</v>
      </c>
      <c r="AB17" s="13" cm="1">
        <f t="array" ref="AB17">_xll.BDH("CAT US Equity","BS_OTHER_INV","FQ4 2024","FQ4 2024","Currency=USD","Period=FQ","BEST_FPERIOD_OVERRIDE=FQ","FILING_STATUS=MR","SCALING_FORMAT=MLN","Sort=A","Dates=H","DateFormat=P","Fill=—","Direction=H","UseDPDF=Y")</f>
        <v>379</v>
      </c>
      <c r="AC17" s="13" cm="1">
        <f t="array" ref="AC17">_xll.BDH("CAT US Equity","BS_OTHER_INV","FQ1 2025","FQ1 2025","Currency=USD","Period=FQ","BEST_FPERIOD_OVERRIDE=FQ","FILING_STATUS=MR","SCALING_FORMAT=MLN","Sort=A","Dates=H","DateFormat=P","Fill=—","Direction=H","UseDPDF=Y")</f>
        <v>377</v>
      </c>
      <c r="AD17" s="13" cm="1">
        <f t="array" ref="AD17">_xll.BDH("CAT US Equity","BS_OTHER_INV","FQ2 2025","FQ2 2025","Currency=USD","Period=FQ","BEST_FPERIOD_OVERRIDE=FQ","FILING_STATUS=MR","SCALING_FORMAT=MLN","Sort=A","Dates=H","DateFormat=P","Fill=—","Direction=H","UseDPDF=Y")</f>
        <v>383</v>
      </c>
      <c r="AE17" s="13" cm="1">
        <f t="array" ref="AE17">_xll.BDH("CAT US Equity","BS_OTHER_INV","FQ3 2025","FQ3 2025","Currency=USD","Period=FQ","BEST_FPERIOD_OVERRIDE=FQ","FILING_STATUS=MR","SCALING_FORMAT=MLN","Sort=A","Dates=H","DateFormat=P","Fill=—","Direction=H","UseDPDF=Y")</f>
        <v>376</v>
      </c>
      <c r="AF17" s="13" cm="1">
        <f t="array" ref="AF17">_xll.BDH("CAT US Equity","BS_OTHER_INV","FQ4 2025","FQ4 2025","Currency=USD","Period=FQ","BEST_FPERIOD_OVERRIDE=FQ","FILING_STATUS=MR","SCALING_FORMAT=MLN","Sort=A","Dates=H","DateFormat=P","Fill=—","Direction=H","UseDPDF=Y")</f>
        <v>378</v>
      </c>
    </row>
    <row r="18" spans="1:32" x14ac:dyDescent="0.25">
      <c r="A18" s="10" t="s">
        <v>88</v>
      </c>
      <c r="B18" s="10" t="s">
        <v>89</v>
      </c>
      <c r="C18" s="13" cm="1">
        <f t="array" ref="C18">_xll.BDH("CAT US Equity","OTHER_CURRENT_ASSETS_DETAILED","FQ3 2018","FQ3 2018","Currency=USD","Period=FQ","BEST_FPERIOD_OVERRIDE=FQ","FILING_STATUS=MR","SCALING_FORMAT=MLN","Sort=A","Dates=H","DateFormat=P","Fill=—","Direction=H","UseDPDF=Y")</f>
        <v>1860</v>
      </c>
      <c r="D18" s="13" cm="1">
        <f t="array" ref="D18">_xll.BDH("CAT US Equity","OTHER_CURRENT_ASSETS_DETAILED","FQ4 2018","FQ4 2018","Currency=USD","Period=FQ","BEST_FPERIOD_OVERRIDE=FQ","FILING_STATUS=MR","SCALING_FORMAT=MLN","Sort=A","Dates=H","DateFormat=P","Fill=—","Direction=H","UseDPDF=Y")</f>
        <v>1853</v>
      </c>
      <c r="E18" s="13" cm="1">
        <f t="array" ref="E18">_xll.BDH("CAT US Equity","OTHER_CURRENT_ASSETS_DETAILED","FQ1 2019","FQ1 2019","Currency=USD","Period=FQ","BEST_FPERIOD_OVERRIDE=FQ","FILING_STATUS=MR","SCALING_FORMAT=MLN","Sort=A","Dates=H","DateFormat=P","Fill=—","Direction=H","UseDPDF=Y")</f>
        <v>1836</v>
      </c>
      <c r="F18" s="13" cm="1">
        <f t="array" ref="F18">_xll.BDH("CAT US Equity","OTHER_CURRENT_ASSETS_DETAILED","FQ2 2019","FQ2 2019","Currency=USD","Period=FQ","BEST_FPERIOD_OVERRIDE=FQ","FILING_STATUS=MR","SCALING_FORMAT=MLN","Sort=A","Dates=H","DateFormat=P","Fill=—","Direction=H","UseDPDF=Y")</f>
        <v>1904</v>
      </c>
      <c r="G18" s="13" cm="1">
        <f t="array" ref="G18">_xll.BDH("CAT US Equity","OTHER_CURRENT_ASSETS_DETAILED","FQ3 2019","FQ3 2019","Currency=USD","Period=FQ","BEST_FPERIOD_OVERRIDE=FQ","FILING_STATUS=MR","SCALING_FORMAT=MLN","Sort=A","Dates=H","DateFormat=P","Fill=—","Direction=H","UseDPDF=Y")</f>
        <v>1700</v>
      </c>
      <c r="H18" s="13" cm="1">
        <f t="array" ref="H18">_xll.BDH("CAT US Equity","OTHER_CURRENT_ASSETS_DETAILED","FQ4 2019","FQ4 2019","Currency=USD","Period=FQ","BEST_FPERIOD_OVERRIDE=FQ","FILING_STATUS=MR","SCALING_FORMAT=MLN","Sort=A","Dates=H","DateFormat=P","Fill=—","Direction=H","UseDPDF=Y")</f>
        <v>1823</v>
      </c>
      <c r="I18" s="13" cm="1">
        <f t="array" ref="I18">_xll.BDH("CAT US Equity","OTHER_CURRENT_ASSETS_DETAILED","FQ1 2020","FQ1 2020","Currency=USD","Period=FQ","BEST_FPERIOD_OVERRIDE=FQ","FILING_STATUS=MR","SCALING_FORMAT=MLN","Sort=A","Dates=H","DateFormat=P","Fill=—","Direction=H","UseDPDF=Y")</f>
        <v>1971</v>
      </c>
      <c r="J18" s="13" cm="1">
        <f t="array" ref="J18">_xll.BDH("CAT US Equity","OTHER_CURRENT_ASSETS_DETAILED","FQ2 2020","FQ2 2020","Currency=USD","Period=FQ","BEST_FPERIOD_OVERRIDE=FQ","FILING_STATUS=MR","SCALING_FORMAT=MLN","Sort=A","Dates=H","DateFormat=P","Fill=—","Direction=H","UseDPDF=Y")</f>
        <v>1867</v>
      </c>
      <c r="K18" s="13" cm="1">
        <f t="array" ref="K18">_xll.BDH("CAT US Equity","OTHER_CURRENT_ASSETS_DETAILED","FQ3 2020","FQ3 2020","Currency=USD","Period=FQ","BEST_FPERIOD_OVERRIDE=FQ","FILING_STATUS=MR","SCALING_FORMAT=MLN","Sort=A","Dates=H","DateFormat=P","Fill=—","Direction=H","UseDPDF=Y")</f>
        <v>1948</v>
      </c>
      <c r="L18" s="13" cm="1">
        <f t="array" ref="L18">_xll.BDH("CAT US Equity","OTHER_CURRENT_ASSETS_DETAILED","FQ4 2020","FQ4 2020","Currency=USD","Period=FQ","BEST_FPERIOD_OVERRIDE=FQ","FILING_STATUS=MR","SCALING_FORMAT=MLN","Sort=A","Dates=H","DateFormat=P","Fill=—","Direction=H","UseDPDF=Y")</f>
        <v>2080</v>
      </c>
      <c r="M18" s="13" cm="1">
        <f t="array" ref="M18">_xll.BDH("CAT US Equity","OTHER_CURRENT_ASSETS_DETAILED","FQ1 2021","FQ1 2021","Currency=USD","Period=FQ","BEST_FPERIOD_OVERRIDE=FQ","FILING_STATUS=MR","SCALING_FORMAT=MLN","Sort=A","Dates=H","DateFormat=P","Fill=—","Direction=H","UseDPDF=Y")</f>
        <v>1998</v>
      </c>
      <c r="N18" s="13" cm="1">
        <f t="array" ref="N18">_xll.BDH("CAT US Equity","OTHER_CURRENT_ASSETS_DETAILED","FQ2 2021","FQ2 2021","Currency=USD","Period=FQ","BEST_FPERIOD_OVERRIDE=FQ","FILING_STATUS=MR","SCALING_FORMAT=MLN","Sort=A","Dates=H","DateFormat=P","Fill=—","Direction=H","UseDPDF=Y")</f>
        <v>2305</v>
      </c>
      <c r="O18" s="13" cm="1">
        <f t="array" ref="O18">_xll.BDH("CAT US Equity","OTHER_CURRENT_ASSETS_DETAILED","FQ3 2021","FQ3 2021","Currency=USD","Period=FQ","BEST_FPERIOD_OVERRIDE=FQ","FILING_STATUS=MR","SCALING_FORMAT=MLN","Sort=A","Dates=H","DateFormat=P","Fill=—","Direction=H","UseDPDF=Y")</f>
        <v>2371</v>
      </c>
      <c r="P18" s="13" cm="1">
        <f t="array" ref="P18">_xll.BDH("CAT US Equity","OTHER_CURRENT_ASSETS_DETAILED","FQ4 2021","FQ4 2021","Currency=USD","Period=FQ","BEST_FPERIOD_OVERRIDE=FQ","FILING_STATUS=MR","SCALING_FORMAT=MLN","Sort=A","Dates=H","DateFormat=P","Fill=—","Direction=H","UseDPDF=Y")</f>
        <v>3038</v>
      </c>
      <c r="Q18" s="13" cm="1">
        <f t="array" ref="Q18">_xll.BDH("CAT US Equity","OTHER_CURRENT_ASSETS_DETAILED","FQ1 2022","FQ1 2022","Currency=USD","Period=FQ","BEST_FPERIOD_OVERRIDE=FQ","FILING_STATUS=MR","SCALING_FORMAT=MLN","Sort=A","Dates=H","DateFormat=P","Fill=—","Direction=H","UseDPDF=Y")</f>
        <v>3013</v>
      </c>
      <c r="R18" s="13" cm="1">
        <f t="array" ref="R18">_xll.BDH("CAT US Equity","OTHER_CURRENT_ASSETS_DETAILED","FQ2 2022","FQ2 2022","Currency=USD","Period=FQ","BEST_FPERIOD_OVERRIDE=FQ","FILING_STATUS=MR","SCALING_FORMAT=MLN","Sort=A","Dates=H","DateFormat=P","Fill=—","Direction=H","UseDPDF=Y")</f>
        <v>2902</v>
      </c>
      <c r="S18" s="13" cm="1">
        <f t="array" ref="S18">_xll.BDH("CAT US Equity","OTHER_CURRENT_ASSETS_DETAILED","FQ3 2022","FQ3 2022","Currency=USD","Period=FQ","BEST_FPERIOD_OVERRIDE=FQ","FILING_STATUS=MR","SCALING_FORMAT=MLN","Sort=A","Dates=H","DateFormat=P","Fill=—","Direction=H","UseDPDF=Y")</f>
        <v>2422</v>
      </c>
      <c r="T18" s="13" cm="1">
        <f t="array" ref="T18">_xll.BDH("CAT US Equity","OTHER_CURRENT_ASSETS_DETAILED","FQ4 2022","FQ4 2022","Currency=USD","Period=FQ","BEST_FPERIOD_OVERRIDE=FQ","FILING_STATUS=MR","SCALING_FORMAT=MLN","Sort=A","Dates=H","DateFormat=P","Fill=—","Direction=H","UseDPDF=Y")</f>
        <v>2642</v>
      </c>
      <c r="U18" s="13" cm="1">
        <f t="array" ref="U18">_xll.BDH("CAT US Equity","OTHER_CURRENT_ASSETS_DETAILED","FQ1 2023","FQ1 2023","Currency=USD","Period=FQ","BEST_FPERIOD_OVERRIDE=FQ","FILING_STATUS=MR","SCALING_FORMAT=MLN","Sort=A","Dates=H","DateFormat=P","Fill=—","Direction=H","UseDPDF=Y")</f>
        <v>2889</v>
      </c>
      <c r="V18" s="13" cm="1">
        <f t="array" ref="V18">_xll.BDH("CAT US Equity","OTHER_CURRENT_ASSETS_DETAILED","FQ2 2023","FQ2 2023","Currency=USD","Period=FQ","BEST_FPERIOD_OVERRIDE=FQ","FILING_STATUS=MR","SCALING_FORMAT=MLN","Sort=A","Dates=H","DateFormat=P","Fill=—","Direction=H","UseDPDF=Y")</f>
        <v>3163</v>
      </c>
      <c r="W18" s="13" cm="1">
        <f t="array" ref="W18">_xll.BDH("CAT US Equity","OTHER_CURRENT_ASSETS_DETAILED","FQ3 2023","FQ3 2023","Currency=USD","Period=FQ","BEST_FPERIOD_OVERRIDE=FQ","FILING_STATUS=MR","SCALING_FORMAT=MLN","Sort=A","Dates=H","DateFormat=P","Fill=—","Direction=H","UseDPDF=Y")</f>
        <v>5181</v>
      </c>
      <c r="X18" s="13" cm="1">
        <f t="array" ref="X18">_xll.BDH("CAT US Equity","OTHER_CURRENT_ASSETS_DETAILED","FQ4 2023","FQ4 2023","Currency=USD","Period=FQ","BEST_FPERIOD_OVERRIDE=FQ","FILING_STATUS=MR","SCALING_FORMAT=MLN","Sort=A","Dates=H","DateFormat=P","Fill=—","Direction=H","UseDPDF=Y")</f>
        <v>4586</v>
      </c>
      <c r="Y18" s="13" cm="1">
        <f t="array" ref="Y18">_xll.BDH("CAT US Equity","OTHER_CURRENT_ASSETS_DETAILED","FQ1 2024","FQ1 2024","Currency=USD","Period=FQ","BEST_FPERIOD_OVERRIDE=FQ","FILING_STATUS=MR","SCALING_FORMAT=MLN","Sort=A","Dates=H","DateFormat=P","Fill=—","Direction=H","UseDPDF=Y")</f>
        <v>3010</v>
      </c>
      <c r="Z18" s="13" cm="1">
        <f t="array" ref="Z18">_xll.BDH("CAT US Equity","OTHER_CURRENT_ASSETS_DETAILED","FQ2 2024","FQ2 2024","Currency=USD","Period=FQ","BEST_FPERIOD_OVERRIDE=FQ","FILING_STATUS=MR","SCALING_FORMAT=MLN","Sort=A","Dates=H","DateFormat=P","Fill=—","Direction=H","UseDPDF=Y")</f>
        <v>2736</v>
      </c>
      <c r="AA18" s="13" cm="1">
        <f t="array" ref="AA18">_xll.BDH("CAT US Equity","OTHER_CURRENT_ASSETS_DETAILED","FQ3 2024","FQ3 2024","Currency=USD","Period=FQ","BEST_FPERIOD_OVERRIDE=FQ","FILING_STATUS=MR","SCALING_FORMAT=MLN","Sort=A","Dates=H","DateFormat=P","Fill=—","Direction=H","UseDPDF=Y")</f>
        <v>3094</v>
      </c>
      <c r="AB18" s="13" cm="1">
        <f t="array" ref="AB18">_xll.BDH("CAT US Equity","OTHER_CURRENT_ASSETS_DETAILED","FQ4 2024","FQ4 2024","Currency=USD","Period=FQ","BEST_FPERIOD_OVERRIDE=FQ","FILING_STATUS=MR","SCALING_FORMAT=MLN","Sort=A","Dates=H","DateFormat=P","Fill=—","Direction=H","UseDPDF=Y")</f>
        <v>3119</v>
      </c>
      <c r="AC18" s="13" cm="1">
        <f t="array" ref="AC18">_xll.BDH("CAT US Equity","OTHER_CURRENT_ASSETS_DETAILED","FQ1 2025","FQ1 2025","Currency=USD","Period=FQ","BEST_FPERIOD_OVERRIDE=FQ","FILING_STATUS=MR","SCALING_FORMAT=MLN","Sort=A","Dates=H","DateFormat=P","Fill=—","Direction=H","UseDPDF=Y")</f>
        <v>2824</v>
      </c>
      <c r="AD18" s="13" cm="1">
        <f t="array" ref="AD18">_xll.BDH("CAT US Equity","OTHER_CURRENT_ASSETS_DETAILED","FQ2 2025","FQ2 2025","Currency=USD","Period=FQ","BEST_FPERIOD_OVERRIDE=FQ","FILING_STATUS=MR","SCALING_FORMAT=MLN","Sort=A","Dates=H","DateFormat=P","Fill=—","Direction=H","UseDPDF=Y")</f>
        <v>2867</v>
      </c>
      <c r="AE18" s="13" cm="1">
        <f t="array" ref="AE18">_xll.BDH("CAT US Equity","OTHER_CURRENT_ASSETS_DETAILED","FQ3 2025","FQ3 2025","Currency=USD","Period=FQ","BEST_FPERIOD_OVERRIDE=FQ","FILING_STATUS=MR","SCALING_FORMAT=MLN","Sort=A","Dates=H","DateFormat=P","Fill=—","Direction=H","UseDPDF=Y")</f>
        <v>2861</v>
      </c>
      <c r="AF18" s="13" cm="1">
        <f t="array" ref="AF18">_xll.BDH("CAT US Equity","OTHER_CURRENT_ASSETS_DETAILED","FQ4 2025","FQ4 2025","Currency=USD","Period=FQ","BEST_FPERIOD_OVERRIDE=FQ","FILING_STATUS=MR","SCALING_FORMAT=MLN","Sort=A","Dates=H","DateFormat=P","Fill=—","Direction=H","UseDPDF=Y")</f>
        <v>2801</v>
      </c>
    </row>
    <row r="19" spans="1:32" x14ac:dyDescent="0.25">
      <c r="A19" s="10" t="s">
        <v>90</v>
      </c>
      <c r="B19" s="10" t="s">
        <v>91</v>
      </c>
      <c r="C19" s="13" cm="1">
        <f t="array" ref="C19">_xll.BDH("CAT US Equity","BS_DERIV_HEDGING_ASST_ST","FQ3 2018","FQ3 2018","Currency=USD","Period=FQ","BEST_FPERIOD_OVERRIDE=FQ","FILING_STATUS=MR","SCALING_FORMAT=MLN","Sort=A","Dates=H","DateFormat=P","Fill=—","Direction=H","UseDPDF=Y")</f>
        <v>25</v>
      </c>
      <c r="D19" s="13" cm="1">
        <f t="array" ref="D19">_xll.BDH("CAT US Equity","BS_DERIV_HEDGING_ASST_ST","FQ4 2018","FQ4 2018","Currency=USD","Period=FQ","BEST_FPERIOD_OVERRIDE=FQ","FILING_STATUS=MR","SCALING_FORMAT=MLN","Sort=A","Dates=H","DateFormat=P","Fill=—","Direction=H","UseDPDF=Y")</f>
        <v>88</v>
      </c>
      <c r="E19" s="13" cm="1">
        <f t="array" ref="E19">_xll.BDH("CAT US Equity","BS_DERIV_HEDGING_ASST_ST","FQ1 2019","FQ1 2019","Currency=USD","Period=FQ","BEST_FPERIOD_OVERRIDE=FQ","FILING_STATUS=MR","SCALING_FORMAT=MLN","Sort=A","Dates=H","DateFormat=P","Fill=—","Direction=H","UseDPDF=Y")</f>
        <v>71</v>
      </c>
      <c r="F19" s="13" cm="1">
        <f t="array" ref="F19">_xll.BDH("CAT US Equity","BS_DERIV_HEDGING_ASST_ST","FQ2 2019","FQ2 2019","Currency=USD","Period=FQ","BEST_FPERIOD_OVERRIDE=FQ","FILING_STATUS=MR","SCALING_FORMAT=MLN","Sort=A","Dates=H","DateFormat=P","Fill=—","Direction=H","UseDPDF=Y")</f>
        <v>86</v>
      </c>
      <c r="G19" s="13" cm="1">
        <f t="array" ref="G19">_xll.BDH("CAT US Equity","BS_DERIV_HEDGING_ASST_ST","FQ3 2019","FQ3 2019","Currency=USD","Period=FQ","BEST_FPERIOD_OVERRIDE=FQ","FILING_STATUS=MR","SCALING_FORMAT=MLN","Sort=A","Dates=H","DateFormat=P","Fill=—","Direction=H","UseDPDF=Y")</f>
        <v>93</v>
      </c>
      <c r="H19" s="13" cm="1">
        <f t="array" ref="H19">_xll.BDH("CAT US Equity","BS_DERIV_HEDGING_ASST_ST","FQ4 2019","FQ4 2019","Currency=USD","Period=FQ","BEST_FPERIOD_OVERRIDE=FQ","FILING_STATUS=MR","SCALING_FORMAT=MLN","Sort=A","Dates=H","DateFormat=P","Fill=—","Direction=H","UseDPDF=Y")</f>
        <v>84</v>
      </c>
      <c r="I19" s="13" cm="1">
        <f t="array" ref="I19">_xll.BDH("CAT US Equity","BS_DERIV_HEDGING_ASST_ST","FQ1 2020","FQ1 2020","Currency=USD","Period=FQ","BEST_FPERIOD_OVERRIDE=FQ","FILING_STATUS=MR","SCALING_FORMAT=MLN","Sort=A","Dates=H","DateFormat=P","Fill=—","Direction=H","UseDPDF=Y")</f>
        <v>210</v>
      </c>
      <c r="J19" s="13" cm="1">
        <f t="array" ref="J19">_xll.BDH("CAT US Equity","BS_DERIV_HEDGING_ASST_ST","FQ2 2020","FQ2 2020","Currency=USD","Period=FQ","BEST_FPERIOD_OVERRIDE=FQ","FILING_STATUS=MR","SCALING_FORMAT=MLN","Sort=A","Dates=H","DateFormat=P","Fill=—","Direction=H","UseDPDF=Y")</f>
        <v>75</v>
      </c>
      <c r="K19" s="13" cm="1">
        <f t="array" ref="K19">_xll.BDH("CAT US Equity","BS_DERIV_HEDGING_ASST_ST","FQ3 2020","FQ3 2020","Currency=USD","Period=FQ","BEST_FPERIOD_OVERRIDE=FQ","FILING_STATUS=MR","SCALING_FORMAT=MLN","Sort=A","Dates=H","DateFormat=P","Fill=—","Direction=H","UseDPDF=Y")</f>
        <v>117</v>
      </c>
      <c r="L19" s="13" cm="1">
        <f t="array" ref="L19">_xll.BDH("CAT US Equity","BS_DERIV_HEDGING_ASST_ST","FQ4 2020","FQ4 2020","Currency=USD","Period=FQ","BEST_FPERIOD_OVERRIDE=FQ","FILING_STATUS=MR","SCALING_FORMAT=MLN","Sort=A","Dates=H","DateFormat=P","Fill=—","Direction=H","UseDPDF=Y")</f>
        <v>150</v>
      </c>
      <c r="M19" s="13" cm="1">
        <f t="array" ref="M19">_xll.BDH("CAT US Equity","BS_DERIV_HEDGING_ASST_ST","FQ1 2021","FQ1 2021","Currency=USD","Period=FQ","BEST_FPERIOD_OVERRIDE=FQ","FILING_STATUS=MR","SCALING_FORMAT=MLN","Sort=A","Dates=H","DateFormat=P","Fill=—","Direction=H","UseDPDF=Y")</f>
        <v>196</v>
      </c>
      <c r="N19" s="13" cm="1">
        <f t="array" ref="N19">_xll.BDH("CAT US Equity","BS_DERIV_HEDGING_ASST_ST","FQ2 2021","FQ2 2021","Currency=USD","Period=FQ","BEST_FPERIOD_OVERRIDE=FQ","FILING_STATUS=MR","SCALING_FORMAT=MLN","Sort=A","Dates=H","DateFormat=P","Fill=—","Direction=H","UseDPDF=Y")</f>
        <v>225</v>
      </c>
      <c r="O19" s="13" cm="1">
        <f t="array" ref="O19">_xll.BDH("CAT US Equity","BS_DERIV_HEDGING_ASST_ST","FQ3 2021","FQ3 2021","Currency=USD","Period=FQ","BEST_FPERIOD_OVERRIDE=FQ","FILING_STATUS=MR","SCALING_FORMAT=MLN","Sort=A","Dates=H","DateFormat=P","Fill=—","Direction=H","UseDPDF=Y")</f>
        <v>156</v>
      </c>
      <c r="P19" s="13" cm="1">
        <f t="array" ref="P19">_xll.BDH("CAT US Equity","BS_DERIV_HEDGING_ASST_ST","FQ4 2021","FQ4 2021","Currency=USD","Period=FQ","BEST_FPERIOD_OVERRIDE=FQ","FILING_STATUS=MR","SCALING_FORMAT=MLN","Sort=A","Dates=H","DateFormat=P","Fill=—","Direction=H","UseDPDF=Y")</f>
        <v>250</v>
      </c>
      <c r="Q19" s="13" cm="1">
        <f t="array" ref="Q19">_xll.BDH("CAT US Equity","BS_DERIV_HEDGING_ASST_ST","FQ1 2022","FQ1 2022","Currency=USD","Period=FQ","BEST_FPERIOD_OVERRIDE=FQ","FILING_STATUS=MR","SCALING_FORMAT=MLN","Sort=A","Dates=H","DateFormat=P","Fill=—","Direction=H","UseDPDF=Y")</f>
        <v>145</v>
      </c>
      <c r="R19" s="13" cm="1">
        <f t="array" ref="R19">_xll.BDH("CAT US Equity","BS_DERIV_HEDGING_ASST_ST","FQ2 2022","FQ2 2022","Currency=USD","Period=FQ","BEST_FPERIOD_OVERRIDE=FQ","FILING_STATUS=MR","SCALING_FORMAT=MLN","Sort=A","Dates=H","DateFormat=P","Fill=—","Direction=H","UseDPDF=Y")</f>
        <v>130</v>
      </c>
      <c r="S19" s="13" cm="1">
        <f t="array" ref="S19">_xll.BDH("CAT US Equity","BS_DERIV_HEDGING_ASST_ST","FQ3 2022","FQ3 2022","Currency=USD","Period=FQ","BEST_FPERIOD_OVERRIDE=FQ","FILING_STATUS=MR","SCALING_FORMAT=MLN","Sort=A","Dates=H","DateFormat=P","Fill=—","Direction=H","UseDPDF=Y")</f>
        <v>127</v>
      </c>
      <c r="T19" s="13" t="str" cm="1">
        <f t="array" ref="T19">_xll.BDH("CAT US Equity","BS_DERIV_HEDGING_ASST_ST","FQ4 2022","FQ4 2022","Currency=USD","Period=FQ","BEST_FPERIOD_OVERRIDE=FQ","FILING_STATUS=MR","SCALING_FORMAT=MLN","Sort=A","Dates=H","DateFormat=P","Fill=—","Direction=H","UseDPDF=Y")</f>
        <v>—</v>
      </c>
      <c r="U19" s="13" t="str" cm="1">
        <f t="array" ref="U19">_xll.BDH("CAT US Equity","BS_DERIV_HEDGING_ASST_ST","FQ1 2023","FQ1 2023","Currency=USD","Period=FQ","BEST_FPERIOD_OVERRIDE=FQ","FILING_STATUS=MR","SCALING_FORMAT=MLN","Sort=A","Dates=H","DateFormat=P","Fill=—","Direction=H","UseDPDF=Y")</f>
        <v>—</v>
      </c>
      <c r="V19" s="13" t="str" cm="1">
        <f t="array" ref="V19">_xll.BDH("CAT US Equity","BS_DERIV_HEDGING_ASST_ST","FQ2 2023","FQ2 2023","Currency=USD","Period=FQ","BEST_FPERIOD_OVERRIDE=FQ","FILING_STATUS=MR","SCALING_FORMAT=MLN","Sort=A","Dates=H","DateFormat=P","Fill=—","Direction=H","UseDPDF=Y")</f>
        <v>—</v>
      </c>
      <c r="W19" s="13" cm="1">
        <f t="array" ref="W19">_xll.BDH("CAT US Equity","BS_DERIV_HEDGING_ASST_ST","FQ3 2023","FQ3 2023","Currency=USD","Period=FQ","BEST_FPERIOD_OVERRIDE=FQ","FILING_STATUS=MR","SCALING_FORMAT=MLN","Sort=A","Dates=H","DateFormat=P","Fill=—","Direction=H","UseDPDF=Y")</f>
        <v>43</v>
      </c>
      <c r="X19" s="13" cm="1">
        <f t="array" ref="X19">_xll.BDH("CAT US Equity","BS_DERIV_HEDGING_ASST_ST","FQ4 2023","FQ4 2023","Currency=USD","Period=FQ","BEST_FPERIOD_OVERRIDE=FQ","FILING_STATUS=MR","SCALING_FORMAT=MLN","Sort=A","Dates=H","DateFormat=P","Fill=—","Direction=H","UseDPDF=Y")</f>
        <v>520</v>
      </c>
      <c r="Y19" s="13" cm="1">
        <f t="array" ref="Y19">_xll.BDH("CAT US Equity","BS_DERIV_HEDGING_ASST_ST","FQ1 2024","FQ1 2024","Currency=USD","Period=FQ","BEST_FPERIOD_OVERRIDE=FQ","FILING_STATUS=MR","SCALING_FORMAT=MLN","Sort=A","Dates=H","DateFormat=P","Fill=—","Direction=H","UseDPDF=Y")</f>
        <v>500</v>
      </c>
      <c r="Z19" s="13" t="str" cm="1">
        <f t="array" ref="Z19">_xll.BDH("CAT US Equity","BS_DERIV_HEDGING_ASST_ST","FQ2 2024","FQ2 2024","Currency=USD","Period=FQ","BEST_FPERIOD_OVERRIDE=FQ","FILING_STATUS=MR","SCALING_FORMAT=MLN","Sort=A","Dates=H","DateFormat=P","Fill=—","Direction=H","UseDPDF=Y")</f>
        <v>—</v>
      </c>
      <c r="AA19" s="13" cm="1">
        <f t="array" ref="AA19">_xll.BDH("CAT US Equity","BS_DERIV_HEDGING_ASST_ST","FQ3 2024","FQ3 2024","Currency=USD","Period=FQ","BEST_FPERIOD_OVERRIDE=FQ","FILING_STATUS=MR","SCALING_FORMAT=MLN","Sort=A","Dates=H","DateFormat=P","Fill=—","Direction=H","UseDPDF=Y")</f>
        <v>481</v>
      </c>
      <c r="AB19" s="13" cm="1">
        <f t="array" ref="AB19">_xll.BDH("CAT US Equity","BS_DERIV_HEDGING_ASST_ST","FQ4 2024","FQ4 2024","Currency=USD","Period=FQ","BEST_FPERIOD_OVERRIDE=FQ","FILING_STATUS=MR","SCALING_FORMAT=MLN","Sort=A","Dates=H","DateFormat=P","Fill=—","Direction=H","UseDPDF=Y")</f>
        <v>462</v>
      </c>
      <c r="AC19" s="13" cm="1">
        <f t="array" ref="AC19">_xll.BDH("CAT US Equity","BS_DERIV_HEDGING_ASST_ST","FQ1 2025","FQ1 2025","Currency=USD","Period=FQ","BEST_FPERIOD_OVERRIDE=FQ","FILING_STATUS=MR","SCALING_FORMAT=MLN","Sort=A","Dates=H","DateFormat=P","Fill=—","Direction=H","UseDPDF=Y")</f>
        <v>357</v>
      </c>
      <c r="AD19" s="13" cm="1">
        <f t="array" ref="AD19">_xll.BDH("CAT US Equity","BS_DERIV_HEDGING_ASST_ST","FQ2 2025","FQ2 2025","Currency=USD","Period=FQ","BEST_FPERIOD_OVERRIDE=FQ","FILING_STATUS=MR","SCALING_FORMAT=MLN","Sort=A","Dates=H","DateFormat=P","Fill=—","Direction=H","UseDPDF=Y")</f>
        <v>618</v>
      </c>
      <c r="AE19" s="13" cm="1">
        <f t="array" ref="AE19">_xll.BDH("CAT US Equity","BS_DERIV_HEDGING_ASST_ST","FQ3 2025","FQ3 2025","Currency=USD","Period=FQ","BEST_FPERIOD_OVERRIDE=FQ","FILING_STATUS=MR","SCALING_FORMAT=MLN","Sort=A","Dates=H","DateFormat=P","Fill=—","Direction=H","UseDPDF=Y")</f>
        <v>549</v>
      </c>
      <c r="AF19" s="13" cm="1">
        <f t="array" ref="AF19">_xll.BDH("CAT US Equity","BS_DERIV_HEDGING_ASST_ST","FQ4 2025","FQ4 2025","Currency=USD","Period=FQ","BEST_FPERIOD_OVERRIDE=FQ","FILING_STATUS=MR","SCALING_FORMAT=MLN","Sort=A","Dates=H","DateFormat=P","Fill=—","Direction=H","UseDPDF=Y")</f>
        <v>496</v>
      </c>
    </row>
    <row r="20" spans="1:32" x14ac:dyDescent="0.25">
      <c r="A20" s="10" t="s">
        <v>92</v>
      </c>
      <c r="B20" s="10" t="s">
        <v>93</v>
      </c>
      <c r="C20" s="13" cm="1">
        <f t="array" ref="C20">_xll.BDH("CAT US Equity","BS_OTHER_CUR_ASSET_LESS_PREPAY","FQ3 2018","FQ3 2018","Currency=USD","Period=FQ","BEST_FPERIOD_OVERRIDE=FQ","FILING_STATUS=MR","SCALING_FORMAT=MLN","Sort=A","Dates=H","DateFormat=P","Fill=—","Direction=H","UseDPDF=Y")</f>
        <v>1835</v>
      </c>
      <c r="D20" s="13" cm="1">
        <f t="array" ref="D20">_xll.BDH("CAT US Equity","BS_OTHER_CUR_ASSET_LESS_PREPAY","FQ4 2018","FQ4 2018","Currency=USD","Period=FQ","BEST_FPERIOD_OVERRIDE=FQ","FILING_STATUS=MR","SCALING_FORMAT=MLN","Sort=A","Dates=H","DateFormat=P","Fill=—","Direction=H","UseDPDF=Y")</f>
        <v>1765</v>
      </c>
      <c r="E20" s="13" cm="1">
        <f t="array" ref="E20">_xll.BDH("CAT US Equity","BS_OTHER_CUR_ASSET_LESS_PREPAY","FQ1 2019","FQ1 2019","Currency=USD","Period=FQ","BEST_FPERIOD_OVERRIDE=FQ","FILING_STATUS=MR","SCALING_FORMAT=MLN","Sort=A","Dates=H","DateFormat=P","Fill=—","Direction=H","UseDPDF=Y")</f>
        <v>1765</v>
      </c>
      <c r="F20" s="13" cm="1">
        <f t="array" ref="F20">_xll.BDH("CAT US Equity","BS_OTHER_CUR_ASSET_LESS_PREPAY","FQ2 2019","FQ2 2019","Currency=USD","Period=FQ","BEST_FPERIOD_OVERRIDE=FQ","FILING_STATUS=MR","SCALING_FORMAT=MLN","Sort=A","Dates=H","DateFormat=P","Fill=—","Direction=H","UseDPDF=Y")</f>
        <v>1818</v>
      </c>
      <c r="G20" s="13" cm="1">
        <f t="array" ref="G20">_xll.BDH("CAT US Equity","BS_OTHER_CUR_ASSET_LESS_PREPAY","FQ3 2019","FQ3 2019","Currency=USD","Period=FQ","BEST_FPERIOD_OVERRIDE=FQ","FILING_STATUS=MR","SCALING_FORMAT=MLN","Sort=A","Dates=H","DateFormat=P","Fill=—","Direction=H","UseDPDF=Y")</f>
        <v>1607</v>
      </c>
      <c r="H20" s="13" cm="1">
        <f t="array" ref="H20">_xll.BDH("CAT US Equity","BS_OTHER_CUR_ASSET_LESS_PREPAY","FQ4 2019","FQ4 2019","Currency=USD","Period=FQ","BEST_FPERIOD_OVERRIDE=FQ","FILING_STATUS=MR","SCALING_FORMAT=MLN","Sort=A","Dates=H","DateFormat=P","Fill=—","Direction=H","UseDPDF=Y")</f>
        <v>1739</v>
      </c>
      <c r="I20" s="13" cm="1">
        <f t="array" ref="I20">_xll.BDH("CAT US Equity","BS_OTHER_CUR_ASSET_LESS_PREPAY","FQ1 2020","FQ1 2020","Currency=USD","Period=FQ","BEST_FPERIOD_OVERRIDE=FQ","FILING_STATUS=MR","SCALING_FORMAT=MLN","Sort=A","Dates=H","DateFormat=P","Fill=—","Direction=H","UseDPDF=Y")</f>
        <v>1761</v>
      </c>
      <c r="J20" s="13" cm="1">
        <f t="array" ref="J20">_xll.BDH("CAT US Equity","BS_OTHER_CUR_ASSET_LESS_PREPAY","FQ2 2020","FQ2 2020","Currency=USD","Period=FQ","BEST_FPERIOD_OVERRIDE=FQ","FILING_STATUS=MR","SCALING_FORMAT=MLN","Sort=A","Dates=H","DateFormat=P","Fill=—","Direction=H","UseDPDF=Y")</f>
        <v>1792</v>
      </c>
      <c r="K20" s="13" cm="1">
        <f t="array" ref="K20">_xll.BDH("CAT US Equity","BS_OTHER_CUR_ASSET_LESS_PREPAY","FQ3 2020","FQ3 2020","Currency=USD","Period=FQ","BEST_FPERIOD_OVERRIDE=FQ","FILING_STATUS=MR","SCALING_FORMAT=MLN","Sort=A","Dates=H","DateFormat=P","Fill=—","Direction=H","UseDPDF=Y")</f>
        <v>1831</v>
      </c>
      <c r="L20" s="13" cm="1">
        <f t="array" ref="L20">_xll.BDH("CAT US Equity","BS_OTHER_CUR_ASSET_LESS_PREPAY","FQ4 2020","FQ4 2020","Currency=USD","Period=FQ","BEST_FPERIOD_OVERRIDE=FQ","FILING_STATUS=MR","SCALING_FORMAT=MLN","Sort=A","Dates=H","DateFormat=P","Fill=—","Direction=H","UseDPDF=Y")</f>
        <v>1930</v>
      </c>
      <c r="M20" s="13" cm="1">
        <f t="array" ref="M20">_xll.BDH("CAT US Equity","BS_OTHER_CUR_ASSET_LESS_PREPAY","FQ1 2021","FQ1 2021","Currency=USD","Period=FQ","BEST_FPERIOD_OVERRIDE=FQ","FILING_STATUS=MR","SCALING_FORMAT=MLN","Sort=A","Dates=H","DateFormat=P","Fill=—","Direction=H","UseDPDF=Y")</f>
        <v>1802</v>
      </c>
      <c r="N20" s="13" cm="1">
        <f t="array" ref="N20">_xll.BDH("CAT US Equity","BS_OTHER_CUR_ASSET_LESS_PREPAY","FQ2 2021","FQ2 2021","Currency=USD","Period=FQ","BEST_FPERIOD_OVERRIDE=FQ","FILING_STATUS=MR","SCALING_FORMAT=MLN","Sort=A","Dates=H","DateFormat=P","Fill=—","Direction=H","UseDPDF=Y")</f>
        <v>2080</v>
      </c>
      <c r="O20" s="13" cm="1">
        <f t="array" ref="O20">_xll.BDH("CAT US Equity","BS_OTHER_CUR_ASSET_LESS_PREPAY","FQ3 2021","FQ3 2021","Currency=USD","Period=FQ","BEST_FPERIOD_OVERRIDE=FQ","FILING_STATUS=MR","SCALING_FORMAT=MLN","Sort=A","Dates=H","DateFormat=P","Fill=—","Direction=H","UseDPDF=Y")</f>
        <v>2215</v>
      </c>
      <c r="P20" s="13" cm="1">
        <f t="array" ref="P20">_xll.BDH("CAT US Equity","BS_OTHER_CUR_ASSET_LESS_PREPAY","FQ4 2021","FQ4 2021","Currency=USD","Period=FQ","BEST_FPERIOD_OVERRIDE=FQ","FILING_STATUS=MR","SCALING_FORMAT=MLN","Sort=A","Dates=H","DateFormat=P","Fill=—","Direction=H","UseDPDF=Y")</f>
        <v>2788</v>
      </c>
      <c r="Q20" s="13" cm="1">
        <f t="array" ref="Q20">_xll.BDH("CAT US Equity","BS_OTHER_CUR_ASSET_LESS_PREPAY","FQ1 2022","FQ1 2022","Currency=USD","Period=FQ","BEST_FPERIOD_OVERRIDE=FQ","FILING_STATUS=MR","SCALING_FORMAT=MLN","Sort=A","Dates=H","DateFormat=P","Fill=—","Direction=H","UseDPDF=Y")</f>
        <v>2868</v>
      </c>
      <c r="R20" s="13" cm="1">
        <f t="array" ref="R20">_xll.BDH("CAT US Equity","BS_OTHER_CUR_ASSET_LESS_PREPAY","FQ2 2022","FQ2 2022","Currency=USD","Period=FQ","BEST_FPERIOD_OVERRIDE=FQ","FILING_STATUS=MR","SCALING_FORMAT=MLN","Sort=A","Dates=H","DateFormat=P","Fill=—","Direction=H","UseDPDF=Y")</f>
        <v>2772</v>
      </c>
      <c r="S20" s="13" cm="1">
        <f t="array" ref="S20">_xll.BDH("CAT US Equity","BS_OTHER_CUR_ASSET_LESS_PREPAY","FQ3 2022","FQ3 2022","Currency=USD","Period=FQ","BEST_FPERIOD_OVERRIDE=FQ","FILING_STATUS=MR","SCALING_FORMAT=MLN","Sort=A","Dates=H","DateFormat=P","Fill=—","Direction=H","UseDPDF=Y")</f>
        <v>2295</v>
      </c>
      <c r="T20" s="13" cm="1">
        <f t="array" ref="T20">_xll.BDH("CAT US Equity","BS_OTHER_CUR_ASSET_LESS_PREPAY","FQ4 2022","FQ4 2022","Currency=USD","Period=FQ","BEST_FPERIOD_OVERRIDE=FQ","FILING_STATUS=MR","SCALING_FORMAT=MLN","Sort=A","Dates=H","DateFormat=P","Fill=—","Direction=H","UseDPDF=Y")</f>
        <v>2642</v>
      </c>
      <c r="U20" s="13" cm="1">
        <f t="array" ref="U20">_xll.BDH("CAT US Equity","BS_OTHER_CUR_ASSET_LESS_PREPAY","FQ1 2023","FQ1 2023","Currency=USD","Period=FQ","BEST_FPERIOD_OVERRIDE=FQ","FILING_STATUS=MR","SCALING_FORMAT=MLN","Sort=A","Dates=H","DateFormat=P","Fill=—","Direction=H","UseDPDF=Y")</f>
        <v>2889</v>
      </c>
      <c r="V20" s="13" cm="1">
        <f t="array" ref="V20">_xll.BDH("CAT US Equity","BS_OTHER_CUR_ASSET_LESS_PREPAY","FQ2 2023","FQ2 2023","Currency=USD","Period=FQ","BEST_FPERIOD_OVERRIDE=FQ","FILING_STATUS=MR","SCALING_FORMAT=MLN","Sort=A","Dates=H","DateFormat=P","Fill=—","Direction=H","UseDPDF=Y")</f>
        <v>3163</v>
      </c>
      <c r="W20" s="13" cm="1">
        <f t="array" ref="W20">_xll.BDH("CAT US Equity","BS_OTHER_CUR_ASSET_LESS_PREPAY","FQ3 2023","FQ3 2023","Currency=USD","Period=FQ","BEST_FPERIOD_OVERRIDE=FQ","FILING_STATUS=MR","SCALING_FORMAT=MLN","Sort=A","Dates=H","DateFormat=P","Fill=—","Direction=H","UseDPDF=Y")</f>
        <v>5138</v>
      </c>
      <c r="X20" s="13" cm="1">
        <f t="array" ref="X20">_xll.BDH("CAT US Equity","BS_OTHER_CUR_ASSET_LESS_PREPAY","FQ4 2023","FQ4 2023","Currency=USD","Period=FQ","BEST_FPERIOD_OVERRIDE=FQ","FILING_STATUS=MR","SCALING_FORMAT=MLN","Sort=A","Dates=H","DateFormat=P","Fill=—","Direction=H","UseDPDF=Y")</f>
        <v>4066</v>
      </c>
      <c r="Y20" s="13" cm="1">
        <f t="array" ref="Y20">_xll.BDH("CAT US Equity","BS_OTHER_CUR_ASSET_LESS_PREPAY","FQ1 2024","FQ1 2024","Currency=USD","Period=FQ","BEST_FPERIOD_OVERRIDE=FQ","FILING_STATUS=MR","SCALING_FORMAT=MLN","Sort=A","Dates=H","DateFormat=P","Fill=—","Direction=H","UseDPDF=Y")</f>
        <v>2510</v>
      </c>
      <c r="Z20" s="13" cm="1">
        <f t="array" ref="Z20">_xll.BDH("CAT US Equity","BS_OTHER_CUR_ASSET_LESS_PREPAY","FQ2 2024","FQ2 2024","Currency=USD","Period=FQ","BEST_FPERIOD_OVERRIDE=FQ","FILING_STATUS=MR","SCALING_FORMAT=MLN","Sort=A","Dates=H","DateFormat=P","Fill=—","Direction=H","UseDPDF=Y")</f>
        <v>2736</v>
      </c>
      <c r="AA20" s="13" cm="1">
        <f t="array" ref="AA20">_xll.BDH("CAT US Equity","BS_OTHER_CUR_ASSET_LESS_PREPAY","FQ3 2024","FQ3 2024","Currency=USD","Period=FQ","BEST_FPERIOD_OVERRIDE=FQ","FILING_STATUS=MR","SCALING_FORMAT=MLN","Sort=A","Dates=H","DateFormat=P","Fill=—","Direction=H","UseDPDF=Y")</f>
        <v>2613</v>
      </c>
      <c r="AB20" s="13" cm="1">
        <f t="array" ref="AB20">_xll.BDH("CAT US Equity","BS_OTHER_CUR_ASSET_LESS_PREPAY","FQ4 2024","FQ4 2024","Currency=USD","Period=FQ","BEST_FPERIOD_OVERRIDE=FQ","FILING_STATUS=MR","SCALING_FORMAT=MLN","Sort=A","Dates=H","DateFormat=P","Fill=—","Direction=H","UseDPDF=Y")</f>
        <v>2657</v>
      </c>
      <c r="AC20" s="13" cm="1">
        <f t="array" ref="AC20">_xll.BDH("CAT US Equity","BS_OTHER_CUR_ASSET_LESS_PREPAY","FQ1 2025","FQ1 2025","Currency=USD","Period=FQ","BEST_FPERIOD_OVERRIDE=FQ","FILING_STATUS=MR","SCALING_FORMAT=MLN","Sort=A","Dates=H","DateFormat=P","Fill=—","Direction=H","UseDPDF=Y")</f>
        <v>2467</v>
      </c>
      <c r="AD20" s="13" cm="1">
        <f t="array" ref="AD20">_xll.BDH("CAT US Equity","BS_OTHER_CUR_ASSET_LESS_PREPAY","FQ2 2025","FQ2 2025","Currency=USD","Period=FQ","BEST_FPERIOD_OVERRIDE=FQ","FILING_STATUS=MR","SCALING_FORMAT=MLN","Sort=A","Dates=H","DateFormat=P","Fill=—","Direction=H","UseDPDF=Y")</f>
        <v>2249</v>
      </c>
      <c r="AE20" s="13" cm="1">
        <f t="array" ref="AE20">_xll.BDH("CAT US Equity","BS_OTHER_CUR_ASSET_LESS_PREPAY","FQ3 2025","FQ3 2025","Currency=USD","Period=FQ","BEST_FPERIOD_OVERRIDE=FQ","FILING_STATUS=MR","SCALING_FORMAT=MLN","Sort=A","Dates=H","DateFormat=P","Fill=—","Direction=H","UseDPDF=Y")</f>
        <v>2312</v>
      </c>
      <c r="AF20" s="13" cm="1">
        <f t="array" ref="AF20">_xll.BDH("CAT US Equity","BS_OTHER_CUR_ASSET_LESS_PREPAY","FQ4 2025","FQ4 2025","Currency=USD","Period=FQ","BEST_FPERIOD_OVERRIDE=FQ","FILING_STATUS=MR","SCALING_FORMAT=MLN","Sort=A","Dates=H","DateFormat=P","Fill=—","Direction=H","UseDPDF=Y")</f>
        <v>2305</v>
      </c>
    </row>
    <row r="21" spans="1:32" x14ac:dyDescent="0.25">
      <c r="A21" s="6" t="s">
        <v>94</v>
      </c>
      <c r="B21" s="6" t="s">
        <v>95</v>
      </c>
      <c r="C21" s="16" cm="1">
        <f t="array" ref="C21">_xll.BDH("CAT US Equity","BS_CUR_ASSET_REPORT","FQ3 2018","FQ3 2018","Currency=USD","Period=FQ","BEST_FPERIOD_OVERRIDE=FQ","FILING_STATUS=MR","SCALING_FORMAT=MLN","Sort=A","Dates=H","DateFormat=P","Fill=—","Direction=H","UseDPDF=Y")</f>
        <v>38454</v>
      </c>
      <c r="D21" s="16" cm="1">
        <f t="array" ref="D21">_xll.BDH("CAT US Equity","BS_CUR_ASSET_REPORT","FQ4 2018","FQ4 2018","Currency=USD","Period=FQ","BEST_FPERIOD_OVERRIDE=FQ","FILING_STATUS=MR","SCALING_FORMAT=MLN","Sort=A","Dates=H","DateFormat=P","Fill=—","Direction=H","UseDPDF=Y")</f>
        <v>38603</v>
      </c>
      <c r="E21" s="16" cm="1">
        <f t="array" ref="E21">_xll.BDH("CAT US Equity","BS_CUR_ASSET_REPORT","FQ1 2019","FQ1 2019","Currency=USD","Period=FQ","BEST_FPERIOD_OVERRIDE=FQ","FILING_STATUS=MR","SCALING_FORMAT=MLN","Sort=A","Dates=H","DateFormat=P","Fill=—","Direction=H","UseDPDF=Y")</f>
        <v>39126</v>
      </c>
      <c r="F21" s="16" cm="1">
        <f t="array" ref="F21">_xll.BDH("CAT US Equity","BS_CUR_ASSET_REPORT","FQ2 2019","FQ2 2019","Currency=USD","Period=FQ","BEST_FPERIOD_OVERRIDE=FQ","FILING_STATUS=MR","SCALING_FORMAT=MLN","Sort=A","Dates=H","DateFormat=P","Fill=—","Direction=H","UseDPDF=Y")</f>
        <v>39789</v>
      </c>
      <c r="G21" s="16" cm="1">
        <f t="array" ref="G21">_xll.BDH("CAT US Equity","BS_CUR_ASSET_REPORT","FQ3 2019","FQ3 2019","Currency=USD","Period=FQ","BEST_FPERIOD_OVERRIDE=FQ","FILING_STATUS=MR","SCALING_FORMAT=MLN","Sort=A","Dates=H","DateFormat=P","Fill=—","Direction=H","UseDPDF=Y")</f>
        <v>39160</v>
      </c>
      <c r="H21" s="16" cm="1">
        <f t="array" ref="H21">_xll.BDH("CAT US Equity","BS_CUR_ASSET_REPORT","FQ4 2019","FQ4 2019","Currency=USD","Period=FQ","BEST_FPERIOD_OVERRIDE=FQ","FILING_STATUS=MR","SCALING_FORMAT=MLN","Sort=A","Dates=H","DateFormat=P","Fill=—","Direction=H","UseDPDF=Y")</f>
        <v>39193</v>
      </c>
      <c r="I21" s="16" cm="1">
        <f t="array" ref="I21">_xll.BDH("CAT US Equity","BS_CUR_ASSET_REPORT","FQ1 2020","FQ1 2020","Currency=USD","Period=FQ","BEST_FPERIOD_OVERRIDE=FQ","FILING_STATUS=MR","SCALING_FORMAT=MLN","Sort=A","Dates=H","DateFormat=P","Fill=—","Direction=H","UseDPDF=Y")</f>
        <v>37586</v>
      </c>
      <c r="J21" s="16" cm="1">
        <f t="array" ref="J21">_xll.BDH("CAT US Equity","BS_CUR_ASSET_REPORT","FQ2 2020","FQ2 2020","Currency=USD","Period=FQ","BEST_FPERIOD_OVERRIDE=FQ","FILING_STATUS=MR","SCALING_FORMAT=MLN","Sort=A","Dates=H","DateFormat=P","Fill=—","Direction=H","UseDPDF=Y")</f>
        <v>37862</v>
      </c>
      <c r="K21" s="16" cm="1">
        <f t="array" ref="K21">_xll.BDH("CAT US Equity","BS_CUR_ASSET_REPORT","FQ3 2020","FQ3 2020","Currency=USD","Period=FQ","BEST_FPERIOD_OVERRIDE=FQ","FILING_STATUS=MR","SCALING_FORMAT=MLN","Sort=A","Dates=H","DateFormat=P","Fill=—","Direction=H","UseDPDF=Y")</f>
        <v>38534</v>
      </c>
      <c r="L21" s="16" cm="1">
        <f t="array" ref="L21">_xll.BDH("CAT US Equity","BS_CUR_ASSET_REPORT","FQ4 2020","FQ4 2020","Currency=USD","Period=FQ","BEST_FPERIOD_OVERRIDE=FQ","FILING_STATUS=MR","SCALING_FORMAT=MLN","Sort=A","Dates=H","DateFormat=P","Fill=—","Direction=H","UseDPDF=Y")</f>
        <v>39464</v>
      </c>
      <c r="M21" s="16" cm="1">
        <f t="array" ref="M21">_xll.BDH("CAT US Equity","BS_CUR_ASSET_REPORT","FQ1 2021","FQ1 2021","Currency=USD","Period=FQ","BEST_FPERIOD_OVERRIDE=FQ","FILING_STATUS=MR","SCALING_FORMAT=MLN","Sort=A","Dates=H","DateFormat=P","Fill=—","Direction=H","UseDPDF=Y")</f>
        <v>42581</v>
      </c>
      <c r="N21" s="16" cm="1">
        <f t="array" ref="N21">_xll.BDH("CAT US Equity","BS_CUR_ASSET_REPORT","FQ2 2021","FQ2 2021","Currency=USD","Period=FQ","BEST_FPERIOD_OVERRIDE=FQ","FILING_STATUS=MR","SCALING_FORMAT=MLN","Sort=A","Dates=H","DateFormat=P","Fill=—","Direction=H","UseDPDF=Y")</f>
        <v>42946</v>
      </c>
      <c r="O21" s="16" cm="1">
        <f t="array" ref="O21">_xll.BDH("CAT US Equity","BS_CUR_ASSET_REPORT","FQ3 2021","FQ3 2021","Currency=USD","Period=FQ","BEST_FPERIOD_OVERRIDE=FQ","FILING_STATUS=MR","SCALING_FORMAT=MLN","Sort=A","Dates=H","DateFormat=P","Fill=—","Direction=H","UseDPDF=Y")</f>
        <v>41893</v>
      </c>
      <c r="P21" s="16" cm="1">
        <f t="array" ref="P21">_xll.BDH("CAT US Equity","BS_CUR_ASSET_REPORT","FQ4 2021","FQ4 2021","Currency=USD","Period=FQ","BEST_FPERIOD_OVERRIDE=FQ","FILING_STATUS=MR","SCALING_FORMAT=MLN","Sort=A","Dates=H","DateFormat=P","Fill=—","Direction=H","UseDPDF=Y")</f>
        <v>43455</v>
      </c>
      <c r="Q21" s="16" cm="1">
        <f t="array" ref="Q21">_xll.BDH("CAT US Equity","BS_CUR_ASSET_REPORT","FQ1 2022","FQ1 2022","Currency=USD","Period=FQ","BEST_FPERIOD_OVERRIDE=FQ","FILING_STATUS=MR","SCALING_FORMAT=MLN","Sort=A","Dates=H","DateFormat=P","Fill=—","Direction=H","UseDPDF=Y")</f>
        <v>42570</v>
      </c>
      <c r="R21" s="16" cm="1">
        <f t="array" ref="R21">_xll.BDH("CAT US Equity","BS_CUR_ASSET_REPORT","FQ2 2022","FQ2 2022","Currency=USD","Period=FQ","BEST_FPERIOD_OVERRIDE=FQ","FILING_STATUS=MR","SCALING_FORMAT=MLN","Sort=A","Dates=H","DateFormat=P","Fill=—","Direction=H","UseDPDF=Y")</f>
        <v>41982</v>
      </c>
      <c r="S21" s="16" cm="1">
        <f t="array" ref="S21">_xll.BDH("CAT US Equity","BS_CUR_ASSET_REPORT","FQ3 2022","FQ3 2022","Currency=USD","Period=FQ","BEST_FPERIOD_OVERRIDE=FQ","FILING_STATUS=MR","SCALING_FORMAT=MLN","Sort=A","Dates=H","DateFormat=P","Fill=—","Direction=H","UseDPDF=Y")</f>
        <v>42577</v>
      </c>
      <c r="T21" s="16" cm="1">
        <f t="array" ref="T21">_xll.BDH("CAT US Equity","BS_CUR_ASSET_REPORT","FQ4 2022","FQ4 2022","Currency=USD","Period=FQ","BEST_FPERIOD_OVERRIDE=FQ","FILING_STATUS=MR","SCALING_FORMAT=MLN","Sort=A","Dates=H","DateFormat=P","Fill=—","Direction=H","UseDPDF=Y")</f>
        <v>43785</v>
      </c>
      <c r="U21" s="16" cm="1">
        <f t="array" ref="U21">_xll.BDH("CAT US Equity","BS_CUR_ASSET_REPORT","FQ1 2023","FQ1 2023","Currency=USD","Period=FQ","BEST_FPERIOD_OVERRIDE=FQ","FILING_STATUS=MR","SCALING_FORMAT=MLN","Sort=A","Dates=H","DateFormat=P","Fill=—","Direction=H","UseDPDF=Y")</f>
        <v>45660</v>
      </c>
      <c r="V21" s="16" cm="1">
        <f t="array" ref="V21">_xll.BDH("CAT US Equity","BS_CUR_ASSET_REPORT","FQ2 2023","FQ2 2023","Currency=USD","Period=FQ","BEST_FPERIOD_OVERRIDE=FQ","FILING_STATUS=MR","SCALING_FORMAT=MLN","Sort=A","Dates=H","DateFormat=P","Fill=—","Direction=H","UseDPDF=Y")</f>
        <v>47000</v>
      </c>
      <c r="W21" s="16" cm="1">
        <f t="array" ref="W21">_xll.BDH("CAT US Equity","BS_CUR_ASSET_REPORT","FQ3 2023","FQ3 2023","Currency=USD","Period=FQ","BEST_FPERIOD_OVERRIDE=FQ","FILING_STATUS=MR","SCALING_FORMAT=MLN","Sort=A","Dates=H","DateFormat=P","Fill=—","Direction=H","UseDPDF=Y")</f>
        <v>48005</v>
      </c>
      <c r="X21" s="16" cm="1">
        <f t="array" ref="X21">_xll.BDH("CAT US Equity","BS_CUR_ASSET_REPORT","FQ4 2023","FQ4 2023","Currency=USD","Period=FQ","BEST_FPERIOD_OVERRIDE=FQ","FILING_STATUS=MR","SCALING_FORMAT=MLN","Sort=A","Dates=H","DateFormat=P","Fill=—","Direction=H","UseDPDF=Y")</f>
        <v>46949</v>
      </c>
      <c r="Y21" s="16" cm="1">
        <f t="array" ref="Y21">_xll.BDH("CAT US Equity","BS_CUR_ASSET_REPORT","FQ1 2024","FQ1 2024","Currency=USD","Period=FQ","BEST_FPERIOD_OVERRIDE=FQ","FILING_STATUS=MR","SCALING_FORMAT=MLN","Sort=A","Dates=H","DateFormat=P","Fill=—","Direction=H","UseDPDF=Y")</f>
        <v>43664</v>
      </c>
      <c r="Z21" s="16" cm="1">
        <f t="array" ref="Z21">_xll.BDH("CAT US Equity","BS_CUR_ASSET_REPORT","FQ2 2024","FQ2 2024","Currency=USD","Period=FQ","BEST_FPERIOD_OVERRIDE=FQ","FILING_STATUS=MR","SCALING_FORMAT=MLN","Sort=A","Dates=H","DateFormat=P","Fill=—","Direction=H","UseDPDF=Y")</f>
        <v>43096</v>
      </c>
      <c r="AA21" s="16" cm="1">
        <f t="array" ref="AA21">_xll.BDH("CAT US Equity","BS_CUR_ASSET_REPORT","FQ3 2024","FQ3 2024","Currency=USD","Period=FQ","BEST_FPERIOD_OVERRIDE=FQ","FILING_STATUS=MR","SCALING_FORMAT=MLN","Sort=A","Dates=H","DateFormat=P","Fill=—","Direction=H","UseDPDF=Y")</f>
        <v>44946</v>
      </c>
      <c r="AB21" s="16" cm="1">
        <f t="array" ref="AB21">_xll.BDH("CAT US Equity","BS_CUR_ASSET_REPORT","FQ4 2024","FQ4 2024","Currency=USD","Period=FQ","BEST_FPERIOD_OVERRIDE=FQ","FILING_STATUS=MR","SCALING_FORMAT=MLN","Sort=A","Dates=H","DateFormat=P","Fill=—","Direction=H","UseDPDF=Y")</f>
        <v>45682</v>
      </c>
      <c r="AC21" s="16" cm="1">
        <f t="array" ref="AC21">_xll.BDH("CAT US Equity","BS_CUR_ASSET_REPORT","FQ1 2025","FQ1 2025","Currency=USD","Period=FQ","BEST_FPERIOD_OVERRIDE=FQ","FILING_STATUS=MR","SCALING_FORMAT=MLN","Sort=A","Dates=H","DateFormat=P","Fill=—","Direction=H","UseDPDF=Y")</f>
        <v>43019</v>
      </c>
      <c r="AD21" s="16" cm="1">
        <f t="array" ref="AD21">_xll.BDH("CAT US Equity","BS_CUR_ASSET_REPORT","FQ2 2025","FQ2 2025","Currency=USD","Period=FQ","BEST_FPERIOD_OVERRIDE=FQ","FILING_STATUS=MR","SCALING_FORMAT=MLN","Sort=A","Dates=H","DateFormat=P","Fill=—","Direction=H","UseDPDF=Y")</f>
        <v>46755</v>
      </c>
      <c r="AE21" s="16" cm="1">
        <f t="array" ref="AE21">_xll.BDH("CAT US Equity","BS_CUR_ASSET_REPORT","FQ3 2025","FQ3 2025","Currency=USD","Period=FQ","BEST_FPERIOD_OVERRIDE=FQ","FILING_STATUS=MR","SCALING_FORMAT=MLN","Sort=A","Dates=H","DateFormat=P","Fill=—","Direction=H","UseDPDF=Y")</f>
        <v>49818</v>
      </c>
      <c r="AF21" s="16" cm="1">
        <f t="array" ref="AF21">_xll.BDH("CAT US Equity","BS_CUR_ASSET_REPORT","FQ4 2025","FQ4 2025","Currency=USD","Period=FQ","BEST_FPERIOD_OVERRIDE=FQ","FILING_STATUS=MR","SCALING_FORMAT=MLN","Sort=A","Dates=H","DateFormat=P","Fill=—","Direction=H","UseDPDF=Y")</f>
        <v>52485</v>
      </c>
    </row>
    <row r="22" spans="1:32" x14ac:dyDescent="0.25">
      <c r="A22" s="10" t="s">
        <v>96</v>
      </c>
      <c r="B22" s="10" t="s">
        <v>97</v>
      </c>
      <c r="C22" s="13" cm="1">
        <f t="array" ref="C22">_xll.BDH("CAT US Equity","BS_NET_FIX_ASSET","FQ3 2018","FQ3 2018","Currency=USD","Period=FQ","BEST_FPERIOD_OVERRIDE=FQ","FILING_STATUS=MR","SCALING_FORMAT=MLN","Sort=A","Dates=H","DateFormat=P","Fill=—","Direction=H","UseDPDF=Y")</f>
        <v>13607</v>
      </c>
      <c r="D22" s="13" cm="1">
        <f t="array" ref="D22">_xll.BDH("CAT US Equity","BS_NET_FIX_ASSET","FQ4 2018","FQ4 2018","Currency=USD","Period=FQ","BEST_FPERIOD_OVERRIDE=FQ","FILING_STATUS=MR","SCALING_FORMAT=MLN","Sort=A","Dates=H","DateFormat=P","Fill=—","Direction=H","UseDPDF=Y")</f>
        <v>13574</v>
      </c>
      <c r="E22" s="13" cm="1">
        <f t="array" ref="E22">_xll.BDH("CAT US Equity","BS_NET_FIX_ASSET","FQ1 2019","FQ1 2019","Currency=USD","Period=FQ","BEST_FPERIOD_OVERRIDE=FQ","FILING_STATUS=MR","SCALING_FORMAT=MLN","Sort=A","Dates=H","DateFormat=P","Fill=—","Direction=H","UseDPDF=Y")</f>
        <v>13948</v>
      </c>
      <c r="F22" s="13" cm="1">
        <f t="array" ref="F22">_xll.BDH("CAT US Equity","BS_NET_FIX_ASSET","FQ2 2019","FQ2 2019","Currency=USD","Period=FQ","BEST_FPERIOD_OVERRIDE=FQ","FILING_STATUS=MR","SCALING_FORMAT=MLN","Sort=A","Dates=H","DateFormat=P","Fill=—","Direction=H","UseDPDF=Y")</f>
        <v>13828</v>
      </c>
      <c r="G22" s="13" cm="1">
        <f t="array" ref="G22">_xll.BDH("CAT US Equity","BS_NET_FIX_ASSET","FQ3 2019","FQ3 2019","Currency=USD","Period=FQ","BEST_FPERIOD_OVERRIDE=FQ","FILING_STATUS=MR","SCALING_FORMAT=MLN","Sort=A","Dates=H","DateFormat=P","Fill=—","Direction=H","UseDPDF=Y")</f>
        <v>13474</v>
      </c>
      <c r="H22" s="13" cm="1">
        <f t="array" ref="H22">_xll.BDH("CAT US Equity","BS_NET_FIX_ASSET","FQ4 2019","FQ4 2019","Currency=USD","Period=FQ","BEST_FPERIOD_OVERRIDE=FQ","FILING_STATUS=MR","SCALING_FORMAT=MLN","Sort=A","Dates=H","DateFormat=P","Fill=—","Direction=H","UseDPDF=Y")</f>
        <v>13528</v>
      </c>
      <c r="I22" s="13" cm="1">
        <f t="array" ref="I22">_xll.BDH("CAT US Equity","BS_NET_FIX_ASSET","FQ1 2020","FQ1 2020","Currency=USD","Period=FQ","BEST_FPERIOD_OVERRIDE=FQ","FILING_STATUS=MR","SCALING_FORMAT=MLN","Sort=A","Dates=H","DateFormat=P","Fill=—","Direction=H","UseDPDF=Y")</f>
        <v>12488</v>
      </c>
      <c r="J22" s="13" cm="1">
        <f t="array" ref="J22">_xll.BDH("CAT US Equity","BS_NET_FIX_ASSET","FQ2 2020","FQ2 2020","Currency=USD","Period=FQ","BEST_FPERIOD_OVERRIDE=FQ","FILING_STATUS=MR","SCALING_FORMAT=MLN","Sort=A","Dates=H","DateFormat=P","Fill=—","Direction=H","UseDPDF=Y")</f>
        <v>12357</v>
      </c>
      <c r="K22" s="13" cm="1">
        <f t="array" ref="K22">_xll.BDH("CAT US Equity","BS_NET_FIX_ASSET","FQ3 2020","FQ3 2020","Currency=USD","Period=FQ","BEST_FPERIOD_OVERRIDE=FQ","FILING_STATUS=MR","SCALING_FORMAT=MLN","Sort=A","Dates=H","DateFormat=P","Fill=—","Direction=H","UseDPDF=Y")</f>
        <v>12232</v>
      </c>
      <c r="L22" s="13" cm="1">
        <f t="array" ref="L22">_xll.BDH("CAT US Equity","BS_NET_FIX_ASSET","FQ4 2020","FQ4 2020","Currency=USD","Period=FQ","BEST_FPERIOD_OVERRIDE=FQ","FILING_STATUS=MR","SCALING_FORMAT=MLN","Sort=A","Dates=H","DateFormat=P","Fill=—","Direction=H","UseDPDF=Y")</f>
        <v>13004</v>
      </c>
      <c r="M22" s="13" cm="1">
        <f t="array" ref="M22">_xll.BDH("CAT US Equity","BS_NET_FIX_ASSET","FQ1 2021","FQ1 2021","Currency=USD","Period=FQ","BEST_FPERIOD_OVERRIDE=FQ","FILING_STATUS=MR","SCALING_FORMAT=MLN","Sort=A","Dates=H","DateFormat=P","Fill=—","Direction=H","UseDPDF=Y")</f>
        <v>12132</v>
      </c>
      <c r="N22" s="13" cm="1">
        <f t="array" ref="N22">_xll.BDH("CAT US Equity","BS_NET_FIX_ASSET","FQ2 2021","FQ2 2021","Currency=USD","Period=FQ","BEST_FPERIOD_OVERRIDE=FQ","FILING_STATUS=MR","SCALING_FORMAT=MLN","Sort=A","Dates=H","DateFormat=P","Fill=—","Direction=H","UseDPDF=Y")</f>
        <v>12014</v>
      </c>
      <c r="O22" s="13" cm="1">
        <f t="array" ref="O22">_xll.BDH("CAT US Equity","BS_NET_FIX_ASSET","FQ3 2021","FQ3 2021","Currency=USD","Period=FQ","BEST_FPERIOD_OVERRIDE=FQ","FILING_STATUS=MR","SCALING_FORMAT=MLN","Sort=A","Dates=H","DateFormat=P","Fill=—","Direction=H","UseDPDF=Y")</f>
        <v>11904</v>
      </c>
      <c r="P22" s="13" cm="1">
        <f t="array" ref="P22">_xll.BDH("CAT US Equity","BS_NET_FIX_ASSET","FQ4 2021","FQ4 2021","Currency=USD","Period=FQ","BEST_FPERIOD_OVERRIDE=FQ","FILING_STATUS=MR","SCALING_FORMAT=MLN","Sort=A","Dates=H","DateFormat=P","Fill=—","Direction=H","UseDPDF=Y")</f>
        <v>12715</v>
      </c>
      <c r="Q22" s="13" cm="1">
        <f t="array" ref="Q22">_xll.BDH("CAT US Equity","BS_NET_FIX_ASSET","FQ1 2022","FQ1 2022","Currency=USD","Period=FQ","BEST_FPERIOD_OVERRIDE=FQ","FILING_STATUS=MR","SCALING_FORMAT=MLN","Sort=A","Dates=H","DateFormat=P","Fill=—","Direction=H","UseDPDF=Y")</f>
        <v>11932</v>
      </c>
      <c r="R22" s="13" cm="1">
        <f t="array" ref="R22">_xll.BDH("CAT US Equity","BS_NET_FIX_ASSET","FQ2 2022","FQ2 2022","Currency=USD","Period=FQ","BEST_FPERIOD_OVERRIDE=FQ","FILING_STATUS=MR","SCALING_FORMAT=MLN","Sort=A","Dates=H","DateFormat=P","Fill=—","Direction=H","UseDPDF=Y")</f>
        <v>11744</v>
      </c>
      <c r="S22" s="13" cm="1">
        <f t="array" ref="S22">_xll.BDH("CAT US Equity","BS_NET_FIX_ASSET","FQ3 2022","FQ3 2022","Currency=USD","Period=FQ","BEST_FPERIOD_OVERRIDE=FQ","FILING_STATUS=MR","SCALING_FORMAT=MLN","Sort=A","Dates=H","DateFormat=P","Fill=—","Direction=H","UseDPDF=Y")</f>
        <v>11643</v>
      </c>
      <c r="T22" s="13" cm="1">
        <f t="array" ref="T22">_xll.BDH("CAT US Equity","BS_NET_FIX_ASSET","FQ4 2022","FQ4 2022","Currency=USD","Period=FQ","BEST_FPERIOD_OVERRIDE=FQ","FILING_STATUS=MR","SCALING_FORMAT=MLN","Sort=A","Dates=H","DateFormat=P","Fill=—","Direction=H","UseDPDF=Y")</f>
        <v>12592</v>
      </c>
      <c r="U22" s="13" cm="1">
        <f t="array" ref="U22">_xll.BDH("CAT US Equity","BS_NET_FIX_ASSET","FQ1 2023","FQ1 2023","Currency=USD","Period=FQ","BEST_FPERIOD_OVERRIDE=FQ","FILING_STATUS=MR","SCALING_FORMAT=MLN","Sort=A","Dates=H","DateFormat=P","Fill=—","Direction=H","UseDPDF=Y")</f>
        <v>11973</v>
      </c>
      <c r="V22" s="13" cm="1">
        <f t="array" ref="V22">_xll.BDH("CAT US Equity","BS_NET_FIX_ASSET","FQ2 2023","FQ2 2023","Currency=USD","Period=FQ","BEST_FPERIOD_OVERRIDE=FQ","FILING_STATUS=MR","SCALING_FORMAT=MLN","Sort=A","Dates=H","DateFormat=P","Fill=—","Direction=H","UseDPDF=Y")</f>
        <v>12124</v>
      </c>
      <c r="W22" s="13" cm="1">
        <f t="array" ref="W22">_xll.BDH("CAT US Equity","BS_NET_FIX_ASSET","FQ3 2023","FQ3 2023","Currency=USD","Period=FQ","BEST_FPERIOD_OVERRIDE=FQ","FILING_STATUS=MR","SCALING_FORMAT=MLN","Sort=A","Dates=H","DateFormat=P","Fill=—","Direction=H","UseDPDF=Y")</f>
        <v>12287</v>
      </c>
      <c r="X22" s="13" cm="1">
        <f t="array" ref="X22">_xll.BDH("CAT US Equity","BS_NET_FIX_ASSET","FQ4 2023","FQ4 2023","Currency=USD","Period=FQ","BEST_FPERIOD_OVERRIDE=FQ","FILING_STATUS=MR","SCALING_FORMAT=MLN","Sort=A","Dates=H","DateFormat=P","Fill=—","Direction=H","UseDPDF=Y")</f>
        <v>13236</v>
      </c>
      <c r="Y22" s="13" cm="1">
        <f t="array" ref="Y22">_xll.BDH("CAT US Equity","BS_NET_FIX_ASSET","FQ1 2024","FQ1 2024","Currency=USD","Period=FQ","BEST_FPERIOD_OVERRIDE=FQ","FILING_STATUS=MR","SCALING_FORMAT=MLN","Sort=A","Dates=H","DateFormat=P","Fill=—","Direction=H","UseDPDF=Y")</f>
        <v>12538</v>
      </c>
      <c r="Z22" s="13" cm="1">
        <f t="array" ref="Z22">_xll.BDH("CAT US Equity","BS_NET_FIX_ASSET","FQ2 2024","FQ2 2024","Currency=USD","Period=FQ","BEST_FPERIOD_OVERRIDE=FQ","FILING_STATUS=MR","SCALING_FORMAT=MLN","Sort=A","Dates=H","DateFormat=P","Fill=—","Direction=H","UseDPDF=Y")</f>
        <v>12582</v>
      </c>
      <c r="AA22" s="13" cm="1">
        <f t="array" ref="AA22">_xll.BDH("CAT US Equity","BS_NET_FIX_ASSET","FQ3 2024","FQ3 2024","Currency=USD","Period=FQ","BEST_FPERIOD_OVERRIDE=FQ","FILING_STATUS=MR","SCALING_FORMAT=MLN","Sort=A","Dates=H","DateFormat=P","Fill=—","Direction=H","UseDPDF=Y")</f>
        <v>12837</v>
      </c>
      <c r="AB22" s="13" cm="1">
        <f t="array" ref="AB22">_xll.BDH("CAT US Equity","BS_NET_FIX_ASSET","FQ4 2024","FQ4 2024","Currency=USD","Period=FQ","BEST_FPERIOD_OVERRIDE=FQ","FILING_STATUS=MR","SCALING_FORMAT=MLN","Sort=A","Dates=H","DateFormat=P","Fill=—","Direction=H","UseDPDF=Y")</f>
        <v>13953</v>
      </c>
      <c r="AC22" s="13" cm="1">
        <f t="array" ref="AC22">_xll.BDH("CAT US Equity","BS_NET_FIX_ASSET","FQ1 2025","FQ1 2025","Currency=USD","Period=FQ","BEST_FPERIOD_OVERRIDE=FQ","FILING_STATUS=MR","SCALING_FORMAT=MLN","Sort=A","Dates=H","DateFormat=P","Fill=—","Direction=H","UseDPDF=Y")</f>
        <v>13432</v>
      </c>
      <c r="AD22" s="13" cm="1">
        <f t="array" ref="AD22">_xll.BDH("CAT US Equity","BS_NET_FIX_ASSET","FQ2 2025","FQ2 2025","Currency=USD","Period=FQ","BEST_FPERIOD_OVERRIDE=FQ","FILING_STATUS=MR","SCALING_FORMAT=MLN","Sort=A","Dates=H","DateFormat=P","Fill=—","Direction=H","UseDPDF=Y")</f>
        <v>13896</v>
      </c>
      <c r="AE22" s="13" cm="1">
        <f t="array" ref="AE22">_xll.BDH("CAT US Equity","BS_NET_FIX_ASSET","FQ3 2025","FQ3 2025","Currency=USD","Period=FQ","BEST_FPERIOD_OVERRIDE=FQ","FILING_STATUS=MR","SCALING_FORMAT=MLN","Sort=A","Dates=H","DateFormat=P","Fill=—","Direction=H","UseDPDF=Y")</f>
        <v>14310</v>
      </c>
      <c r="AF22" s="13" cm="1">
        <f t="array" ref="AF22">_xll.BDH("CAT US Equity","BS_NET_FIX_ASSET","FQ4 2025","FQ4 2025","Currency=USD","Period=FQ","BEST_FPERIOD_OVERRIDE=FQ","FILING_STATUS=MR","SCALING_FORMAT=MLN","Sort=A","Dates=H","DateFormat=P","Fill=—","Direction=H","UseDPDF=Y")</f>
        <v>15848</v>
      </c>
    </row>
    <row r="23" spans="1:32" x14ac:dyDescent="0.25">
      <c r="A23" s="10" t="s">
        <v>98</v>
      </c>
      <c r="B23" s="10" t="s">
        <v>99</v>
      </c>
      <c r="C23" s="13" t="str" cm="1">
        <f t="array" ref="C23">_xll.BDH("CAT US Equity","BS_GROSS_FIX_ASSET","FQ3 2018","FQ3 2018","Currency=USD","Period=FQ","BEST_FPERIOD_OVERRIDE=FQ","FILING_STATUS=MR","SCALING_FORMAT=MLN","Sort=A","Dates=H","DateFormat=P","Fill=—","Direction=H","UseDPDF=Y")</f>
        <v>—</v>
      </c>
      <c r="D23" s="13" cm="1">
        <f t="array" ref="D23">_xll.BDH("CAT US Equity","BS_GROSS_FIX_ASSET","FQ4 2018","FQ4 2018","Currency=USD","Period=FQ","BEST_FPERIOD_OVERRIDE=FQ","FILING_STATUS=MR","SCALING_FORMAT=MLN","Sort=A","Dates=H","DateFormat=P","Fill=—","Direction=H","UseDPDF=Y")</f>
        <v>29781</v>
      </c>
      <c r="E23" s="13" t="str" cm="1">
        <f t="array" ref="E23">_xll.BDH("CAT US Equity","BS_GROSS_FIX_ASSET","FQ1 2019","FQ1 2019","Currency=USD","Period=FQ","BEST_FPERIOD_OVERRIDE=FQ","FILING_STATUS=MR","SCALING_FORMAT=MLN","Sort=A","Dates=H","DateFormat=P","Fill=—","Direction=H","UseDPDF=Y")</f>
        <v>—</v>
      </c>
      <c r="F23" s="13" t="str" cm="1">
        <f t="array" ref="F23">_xll.BDH("CAT US Equity","BS_GROSS_FIX_ASSET","FQ2 2019","FQ2 2019","Currency=USD","Period=FQ","BEST_FPERIOD_OVERRIDE=FQ","FILING_STATUS=MR","SCALING_FORMAT=MLN","Sort=A","Dates=H","DateFormat=P","Fill=—","Direction=H","UseDPDF=Y")</f>
        <v>—</v>
      </c>
      <c r="G23" s="13" t="str" cm="1">
        <f t="array" ref="G23">_xll.BDH("CAT US Equity","BS_GROSS_FIX_ASSET","FQ3 2019","FQ3 2019","Currency=USD","Period=FQ","BEST_FPERIOD_OVERRIDE=FQ","FILING_STATUS=MR","SCALING_FORMAT=MLN","Sort=A","Dates=H","DateFormat=P","Fill=—","Direction=H","UseDPDF=Y")</f>
        <v>—</v>
      </c>
      <c r="H23" s="13" cm="1">
        <f t="array" ref="H23">_xll.BDH("CAT US Equity","BS_GROSS_FIX_ASSET","FQ4 2019","FQ4 2019","Currency=USD","Period=FQ","BEST_FPERIOD_OVERRIDE=FQ","FILING_STATUS=MR","SCALING_FORMAT=MLN","Sort=A","Dates=H","DateFormat=P","Fill=—","Direction=H","UseDPDF=Y")</f>
        <v>29841</v>
      </c>
      <c r="I23" s="13" t="str" cm="1">
        <f t="array" ref="I23">_xll.BDH("CAT US Equity","BS_GROSS_FIX_ASSET","FQ1 2020","FQ1 2020","Currency=USD","Period=FQ","BEST_FPERIOD_OVERRIDE=FQ","FILING_STATUS=MR","SCALING_FORMAT=MLN","Sort=A","Dates=H","DateFormat=P","Fill=—","Direction=H","UseDPDF=Y")</f>
        <v>—</v>
      </c>
      <c r="J23" s="13" t="str" cm="1">
        <f t="array" ref="J23">_xll.BDH("CAT US Equity","BS_GROSS_FIX_ASSET","FQ2 2020","FQ2 2020","Currency=USD","Period=FQ","BEST_FPERIOD_OVERRIDE=FQ","FILING_STATUS=MR","SCALING_FORMAT=MLN","Sort=A","Dates=H","DateFormat=P","Fill=—","Direction=H","UseDPDF=Y")</f>
        <v>—</v>
      </c>
      <c r="K23" s="13" t="str" cm="1">
        <f t="array" ref="K23">_xll.BDH("CAT US Equity","BS_GROSS_FIX_ASSET","FQ3 2020","FQ3 2020","Currency=USD","Period=FQ","BEST_FPERIOD_OVERRIDE=FQ","FILING_STATUS=MR","SCALING_FORMAT=MLN","Sort=A","Dates=H","DateFormat=P","Fill=—","Direction=H","UseDPDF=Y")</f>
        <v>—</v>
      </c>
      <c r="L23" s="13" cm="1">
        <f t="array" ref="L23">_xll.BDH("CAT US Equity","BS_GROSS_FIX_ASSET","FQ4 2020","FQ4 2020","Currency=USD","Period=FQ","BEST_FPERIOD_OVERRIDE=FQ","FILING_STATUS=MR","SCALING_FORMAT=MLN","Sort=A","Dates=H","DateFormat=P","Fill=—","Direction=H","UseDPDF=Y")</f>
        <v>29874</v>
      </c>
      <c r="M23" s="13" t="str" cm="1">
        <f t="array" ref="M23">_xll.BDH("CAT US Equity","BS_GROSS_FIX_ASSET","FQ1 2021","FQ1 2021","Currency=USD","Period=FQ","BEST_FPERIOD_OVERRIDE=FQ","FILING_STATUS=MR","SCALING_FORMAT=MLN","Sort=A","Dates=H","DateFormat=P","Fill=—","Direction=H","UseDPDF=Y")</f>
        <v>—</v>
      </c>
      <c r="N23" s="13" t="str" cm="1">
        <f t="array" ref="N23">_xll.BDH("CAT US Equity","BS_GROSS_FIX_ASSET","FQ2 2021","FQ2 2021","Currency=USD","Period=FQ","BEST_FPERIOD_OVERRIDE=FQ","FILING_STATUS=MR","SCALING_FORMAT=MLN","Sort=A","Dates=H","DateFormat=P","Fill=—","Direction=H","UseDPDF=Y")</f>
        <v>—</v>
      </c>
      <c r="O23" s="13" t="str" cm="1">
        <f t="array" ref="O23">_xll.BDH("CAT US Equity","BS_GROSS_FIX_ASSET","FQ3 2021","FQ3 2021","Currency=USD","Period=FQ","BEST_FPERIOD_OVERRIDE=FQ","FILING_STATUS=MR","SCALING_FORMAT=MLN","Sort=A","Dates=H","DateFormat=P","Fill=—","Direction=H","UseDPDF=Y")</f>
        <v>—</v>
      </c>
      <c r="P23" s="13" cm="1">
        <f t="array" ref="P23">_xll.BDH("CAT US Equity","BS_GROSS_FIX_ASSET","FQ4 2021","FQ4 2021","Currency=USD","Period=FQ","BEST_FPERIOD_OVERRIDE=FQ","FILING_STATUS=MR","SCALING_FORMAT=MLN","Sort=A","Dates=H","DateFormat=P","Fill=—","Direction=H","UseDPDF=Y")</f>
        <v>29496</v>
      </c>
      <c r="Q23" s="13" t="str" cm="1">
        <f t="array" ref="Q23">_xll.BDH("CAT US Equity","BS_GROSS_FIX_ASSET","FQ1 2022","FQ1 2022","Currency=USD","Period=FQ","BEST_FPERIOD_OVERRIDE=FQ","FILING_STATUS=MR","SCALING_FORMAT=MLN","Sort=A","Dates=H","DateFormat=P","Fill=—","Direction=H","UseDPDF=Y")</f>
        <v>—</v>
      </c>
      <c r="R23" s="13" t="str" cm="1">
        <f t="array" ref="R23">_xll.BDH("CAT US Equity","BS_GROSS_FIX_ASSET","FQ2 2022","FQ2 2022","Currency=USD","Period=FQ","BEST_FPERIOD_OVERRIDE=FQ","FILING_STATUS=MR","SCALING_FORMAT=MLN","Sort=A","Dates=H","DateFormat=P","Fill=—","Direction=H","UseDPDF=Y")</f>
        <v>—</v>
      </c>
      <c r="S23" s="13" t="str" cm="1">
        <f t="array" ref="S23">_xll.BDH("CAT US Equity","BS_GROSS_FIX_ASSET","FQ3 2022","FQ3 2022","Currency=USD","Period=FQ","BEST_FPERIOD_OVERRIDE=FQ","FILING_STATUS=MR","SCALING_FORMAT=MLN","Sort=A","Dates=H","DateFormat=P","Fill=—","Direction=H","UseDPDF=Y")</f>
        <v>—</v>
      </c>
      <c r="T23" s="13" cm="1">
        <f t="array" ref="T23">_xll.BDH("CAT US Equity","BS_GROSS_FIX_ASSET","FQ4 2022","FQ4 2022","Currency=USD","Period=FQ","BEST_FPERIOD_OVERRIDE=FQ","FILING_STATUS=MR","SCALING_FORMAT=MLN","Sort=A","Dates=H","DateFormat=P","Fill=—","Direction=H","UseDPDF=Y")</f>
        <v>28628</v>
      </c>
      <c r="U23" s="13" t="str" cm="1">
        <f t="array" ref="U23">_xll.BDH("CAT US Equity","BS_GROSS_FIX_ASSET","FQ1 2023","FQ1 2023","Currency=USD","Period=FQ","BEST_FPERIOD_OVERRIDE=FQ","FILING_STATUS=MR","SCALING_FORMAT=MLN","Sort=A","Dates=H","DateFormat=P","Fill=—","Direction=H","UseDPDF=Y")</f>
        <v>—</v>
      </c>
      <c r="V23" s="13" t="str" cm="1">
        <f t="array" ref="V23">_xll.BDH("CAT US Equity","BS_GROSS_FIX_ASSET","FQ2 2023","FQ2 2023","Currency=USD","Period=FQ","BEST_FPERIOD_OVERRIDE=FQ","FILING_STATUS=MR","SCALING_FORMAT=MLN","Sort=A","Dates=H","DateFormat=P","Fill=—","Direction=H","UseDPDF=Y")</f>
        <v>—</v>
      </c>
      <c r="W23" s="13" t="str" cm="1">
        <f t="array" ref="W23">_xll.BDH("CAT US Equity","BS_GROSS_FIX_ASSET","FQ3 2023","FQ3 2023","Currency=USD","Period=FQ","BEST_FPERIOD_OVERRIDE=FQ","FILING_STATUS=MR","SCALING_FORMAT=MLN","Sort=A","Dates=H","DateFormat=P","Fill=—","Direction=H","UseDPDF=Y")</f>
        <v>—</v>
      </c>
      <c r="X23" s="13" cm="1">
        <f t="array" ref="X23">_xll.BDH("CAT US Equity","BS_GROSS_FIX_ASSET","FQ4 2023","FQ4 2023","Currency=USD","Period=FQ","BEST_FPERIOD_OVERRIDE=FQ","FILING_STATUS=MR","SCALING_FORMAT=MLN","Sort=A","Dates=H","DateFormat=P","Fill=—","Direction=H","UseDPDF=Y")</f>
        <v>29179</v>
      </c>
      <c r="Y23" s="13" t="str" cm="1">
        <f t="array" ref="Y23">_xll.BDH("CAT US Equity","BS_GROSS_FIX_ASSET","FQ1 2024","FQ1 2024","Currency=USD","Period=FQ","BEST_FPERIOD_OVERRIDE=FQ","FILING_STATUS=MR","SCALING_FORMAT=MLN","Sort=A","Dates=H","DateFormat=P","Fill=—","Direction=H","UseDPDF=Y")</f>
        <v>—</v>
      </c>
      <c r="Z23" s="13" t="str" cm="1">
        <f t="array" ref="Z23">_xll.BDH("CAT US Equity","BS_GROSS_FIX_ASSET","FQ2 2024","FQ2 2024","Currency=USD","Period=FQ","BEST_FPERIOD_OVERRIDE=FQ","FILING_STATUS=MR","SCALING_FORMAT=MLN","Sort=A","Dates=H","DateFormat=P","Fill=—","Direction=H","UseDPDF=Y")</f>
        <v>—</v>
      </c>
      <c r="AA23" s="13" t="str" cm="1">
        <f t="array" ref="AA23">_xll.BDH("CAT US Equity","BS_GROSS_FIX_ASSET","FQ3 2024","FQ3 2024","Currency=USD","Period=FQ","BEST_FPERIOD_OVERRIDE=FQ","FILING_STATUS=MR","SCALING_FORMAT=MLN","Sort=A","Dates=H","DateFormat=P","Fill=—","Direction=H","UseDPDF=Y")</f>
        <v>—</v>
      </c>
      <c r="AB23" s="13" cm="1">
        <f t="array" ref="AB23">_xll.BDH("CAT US Equity","BS_GROSS_FIX_ASSET","FQ4 2024","FQ4 2024","Currency=USD","Period=FQ","BEST_FPERIOD_OVERRIDE=FQ","FILING_STATUS=MR","SCALING_FORMAT=MLN","Sort=A","Dates=H","DateFormat=P","Fill=—","Direction=H","UseDPDF=Y")</f>
        <v>30069</v>
      </c>
      <c r="AC23" s="13" t="str" cm="1">
        <f t="array" ref="AC23">_xll.BDH("CAT US Equity","BS_GROSS_FIX_ASSET","FQ1 2025","FQ1 2025","Currency=USD","Period=FQ","BEST_FPERIOD_OVERRIDE=FQ","FILING_STATUS=MR","SCALING_FORMAT=MLN","Sort=A","Dates=H","DateFormat=P","Fill=—","Direction=H","UseDPDF=Y")</f>
        <v>—</v>
      </c>
      <c r="AD23" s="13" t="str" cm="1">
        <f t="array" ref="AD23">_xll.BDH("CAT US Equity","BS_GROSS_FIX_ASSET","FQ2 2025","FQ2 2025","Currency=USD","Period=FQ","BEST_FPERIOD_OVERRIDE=FQ","FILING_STATUS=MR","SCALING_FORMAT=MLN","Sort=A","Dates=H","DateFormat=P","Fill=—","Direction=H","UseDPDF=Y")</f>
        <v>—</v>
      </c>
      <c r="AE23" s="13" t="str" cm="1">
        <f t="array" ref="AE23">_xll.BDH("CAT US Equity","BS_GROSS_FIX_ASSET","FQ3 2025","FQ3 2025","Currency=USD","Period=FQ","BEST_FPERIOD_OVERRIDE=FQ","FILING_STATUS=MR","SCALING_FORMAT=MLN","Sort=A","Dates=H","DateFormat=P","Fill=—","Direction=H","UseDPDF=Y")</f>
        <v>—</v>
      </c>
      <c r="AF23" s="13" cm="1">
        <f t="array" ref="AF23">_xll.BDH("CAT US Equity","BS_GROSS_FIX_ASSET","FQ4 2025","FQ4 2025","Currency=USD","Period=FQ","BEST_FPERIOD_OVERRIDE=FQ","FILING_STATUS=MR","SCALING_FORMAT=MLN","Sort=A","Dates=H","DateFormat=P","Fill=—","Direction=H","UseDPDF=Y")</f>
        <v>32614</v>
      </c>
    </row>
    <row r="24" spans="1:32" x14ac:dyDescent="0.25">
      <c r="A24" s="10" t="s">
        <v>100</v>
      </c>
      <c r="B24" s="10" t="s">
        <v>101</v>
      </c>
      <c r="C24" s="13" t="str" cm="1">
        <f t="array" ref="C24">_xll.BDH("CAT US Equity","BS_ACCUM_DEPR","FQ3 2018","FQ3 2018","Currency=USD","Period=FQ","BEST_FPERIOD_OVERRIDE=FQ","FILING_STATUS=MR","SCALING_FORMAT=MLN","Sort=A","Dates=H","DateFormat=P","Fill=—","Direction=H","UseDPDF=Y")</f>
        <v>—</v>
      </c>
      <c r="D24" s="13" cm="1">
        <f t="array" ref="D24">_xll.BDH("CAT US Equity","BS_ACCUM_DEPR","FQ4 2018","FQ4 2018","Currency=USD","Period=FQ","BEST_FPERIOD_OVERRIDE=FQ","FILING_STATUS=MR","SCALING_FORMAT=MLN","Sort=A","Dates=H","DateFormat=P","Fill=—","Direction=H","UseDPDF=Y")</f>
        <v>16207</v>
      </c>
      <c r="E24" s="13" t="str" cm="1">
        <f t="array" ref="E24">_xll.BDH("CAT US Equity","BS_ACCUM_DEPR","FQ1 2019","FQ1 2019","Currency=USD","Period=FQ","BEST_FPERIOD_OVERRIDE=FQ","FILING_STATUS=MR","SCALING_FORMAT=MLN","Sort=A","Dates=H","DateFormat=P","Fill=—","Direction=H","UseDPDF=Y")</f>
        <v>—</v>
      </c>
      <c r="F24" s="13" t="str" cm="1">
        <f t="array" ref="F24">_xll.BDH("CAT US Equity","BS_ACCUM_DEPR","FQ2 2019","FQ2 2019","Currency=USD","Period=FQ","BEST_FPERIOD_OVERRIDE=FQ","FILING_STATUS=MR","SCALING_FORMAT=MLN","Sort=A","Dates=H","DateFormat=P","Fill=—","Direction=H","UseDPDF=Y")</f>
        <v>—</v>
      </c>
      <c r="G24" s="13" t="str" cm="1">
        <f t="array" ref="G24">_xll.BDH("CAT US Equity","BS_ACCUM_DEPR","FQ3 2019","FQ3 2019","Currency=USD","Period=FQ","BEST_FPERIOD_OVERRIDE=FQ","FILING_STATUS=MR","SCALING_FORMAT=MLN","Sort=A","Dates=H","DateFormat=P","Fill=—","Direction=H","UseDPDF=Y")</f>
        <v>—</v>
      </c>
      <c r="H24" s="13" cm="1">
        <f t="array" ref="H24">_xll.BDH("CAT US Equity","BS_ACCUM_DEPR","FQ4 2019","FQ4 2019","Currency=USD","Period=FQ","BEST_FPERIOD_OVERRIDE=FQ","FILING_STATUS=MR","SCALING_FORMAT=MLN","Sort=A","Dates=H","DateFormat=P","Fill=—","Direction=H","UseDPDF=Y")</f>
        <v>16313</v>
      </c>
      <c r="I24" s="13" t="str" cm="1">
        <f t="array" ref="I24">_xll.BDH("CAT US Equity","BS_ACCUM_DEPR","FQ1 2020","FQ1 2020","Currency=USD","Period=FQ","BEST_FPERIOD_OVERRIDE=FQ","FILING_STATUS=MR","SCALING_FORMAT=MLN","Sort=A","Dates=H","DateFormat=P","Fill=—","Direction=H","UseDPDF=Y")</f>
        <v>—</v>
      </c>
      <c r="J24" s="13" t="str" cm="1">
        <f t="array" ref="J24">_xll.BDH("CAT US Equity","BS_ACCUM_DEPR","FQ2 2020","FQ2 2020","Currency=USD","Period=FQ","BEST_FPERIOD_OVERRIDE=FQ","FILING_STATUS=MR","SCALING_FORMAT=MLN","Sort=A","Dates=H","DateFormat=P","Fill=—","Direction=H","UseDPDF=Y")</f>
        <v>—</v>
      </c>
      <c r="K24" s="13" t="str" cm="1">
        <f t="array" ref="K24">_xll.BDH("CAT US Equity","BS_ACCUM_DEPR","FQ3 2020","FQ3 2020","Currency=USD","Period=FQ","BEST_FPERIOD_OVERRIDE=FQ","FILING_STATUS=MR","SCALING_FORMAT=MLN","Sort=A","Dates=H","DateFormat=P","Fill=—","Direction=H","UseDPDF=Y")</f>
        <v>—</v>
      </c>
      <c r="L24" s="13" cm="1">
        <f t="array" ref="L24">_xll.BDH("CAT US Equity","BS_ACCUM_DEPR","FQ4 2020","FQ4 2020","Currency=USD","Period=FQ","BEST_FPERIOD_OVERRIDE=FQ","FILING_STATUS=MR","SCALING_FORMAT=MLN","Sort=A","Dates=H","DateFormat=P","Fill=—","Direction=H","UseDPDF=Y")</f>
        <v>16870</v>
      </c>
      <c r="M24" s="13" t="str" cm="1">
        <f t="array" ref="M24">_xll.BDH("CAT US Equity","BS_ACCUM_DEPR","FQ1 2021","FQ1 2021","Currency=USD","Period=FQ","BEST_FPERIOD_OVERRIDE=FQ","FILING_STATUS=MR","SCALING_FORMAT=MLN","Sort=A","Dates=H","DateFormat=P","Fill=—","Direction=H","UseDPDF=Y")</f>
        <v>—</v>
      </c>
      <c r="N24" s="13" t="str" cm="1">
        <f t="array" ref="N24">_xll.BDH("CAT US Equity","BS_ACCUM_DEPR","FQ2 2021","FQ2 2021","Currency=USD","Period=FQ","BEST_FPERIOD_OVERRIDE=FQ","FILING_STATUS=MR","SCALING_FORMAT=MLN","Sort=A","Dates=H","DateFormat=P","Fill=—","Direction=H","UseDPDF=Y")</f>
        <v>—</v>
      </c>
      <c r="O24" s="13" t="str" cm="1">
        <f t="array" ref="O24">_xll.BDH("CAT US Equity","BS_ACCUM_DEPR","FQ3 2021","FQ3 2021","Currency=USD","Period=FQ","BEST_FPERIOD_OVERRIDE=FQ","FILING_STATUS=MR","SCALING_FORMAT=MLN","Sort=A","Dates=H","DateFormat=P","Fill=—","Direction=H","UseDPDF=Y")</f>
        <v>—</v>
      </c>
      <c r="P24" s="13" cm="1">
        <f t="array" ref="P24">_xll.BDH("CAT US Equity","BS_ACCUM_DEPR","FQ4 2021","FQ4 2021","Currency=USD","Period=FQ","BEST_FPERIOD_OVERRIDE=FQ","FILING_STATUS=MR","SCALING_FORMAT=MLN","Sort=A","Dates=H","DateFormat=P","Fill=—","Direction=H","UseDPDF=Y")</f>
        <v>16781</v>
      </c>
      <c r="Q24" s="13" t="str" cm="1">
        <f t="array" ref="Q24">_xll.BDH("CAT US Equity","BS_ACCUM_DEPR","FQ1 2022","FQ1 2022","Currency=USD","Period=FQ","BEST_FPERIOD_OVERRIDE=FQ","FILING_STATUS=MR","SCALING_FORMAT=MLN","Sort=A","Dates=H","DateFormat=P","Fill=—","Direction=H","UseDPDF=Y")</f>
        <v>—</v>
      </c>
      <c r="R24" s="13" t="str" cm="1">
        <f t="array" ref="R24">_xll.BDH("CAT US Equity","BS_ACCUM_DEPR","FQ2 2022","FQ2 2022","Currency=USD","Period=FQ","BEST_FPERIOD_OVERRIDE=FQ","FILING_STATUS=MR","SCALING_FORMAT=MLN","Sort=A","Dates=H","DateFormat=P","Fill=—","Direction=H","UseDPDF=Y")</f>
        <v>—</v>
      </c>
      <c r="S24" s="13" t="str" cm="1">
        <f t="array" ref="S24">_xll.BDH("CAT US Equity","BS_ACCUM_DEPR","FQ3 2022","FQ3 2022","Currency=USD","Period=FQ","BEST_FPERIOD_OVERRIDE=FQ","FILING_STATUS=MR","SCALING_FORMAT=MLN","Sort=A","Dates=H","DateFormat=P","Fill=—","Direction=H","UseDPDF=Y")</f>
        <v>—</v>
      </c>
      <c r="T24" s="13" cm="1">
        <f t="array" ref="T24">_xll.BDH("CAT US Equity","BS_ACCUM_DEPR","FQ4 2022","FQ4 2022","Currency=USD","Period=FQ","BEST_FPERIOD_OVERRIDE=FQ","FILING_STATUS=MR","SCALING_FORMAT=MLN","Sort=A","Dates=H","DateFormat=P","Fill=—","Direction=H","UseDPDF=Y")</f>
        <v>16036</v>
      </c>
      <c r="U24" s="13" t="str" cm="1">
        <f t="array" ref="U24">_xll.BDH("CAT US Equity","BS_ACCUM_DEPR","FQ1 2023","FQ1 2023","Currency=USD","Period=FQ","BEST_FPERIOD_OVERRIDE=FQ","FILING_STATUS=MR","SCALING_FORMAT=MLN","Sort=A","Dates=H","DateFormat=P","Fill=—","Direction=H","UseDPDF=Y")</f>
        <v>—</v>
      </c>
      <c r="V24" s="13" t="str" cm="1">
        <f t="array" ref="V24">_xll.BDH("CAT US Equity","BS_ACCUM_DEPR","FQ2 2023","FQ2 2023","Currency=USD","Period=FQ","BEST_FPERIOD_OVERRIDE=FQ","FILING_STATUS=MR","SCALING_FORMAT=MLN","Sort=A","Dates=H","DateFormat=P","Fill=—","Direction=H","UseDPDF=Y")</f>
        <v>—</v>
      </c>
      <c r="W24" s="13" t="str" cm="1">
        <f t="array" ref="W24">_xll.BDH("CAT US Equity","BS_ACCUM_DEPR","FQ3 2023","FQ3 2023","Currency=USD","Period=FQ","BEST_FPERIOD_OVERRIDE=FQ","FILING_STATUS=MR","SCALING_FORMAT=MLN","Sort=A","Dates=H","DateFormat=P","Fill=—","Direction=H","UseDPDF=Y")</f>
        <v>—</v>
      </c>
      <c r="X24" s="13" cm="1">
        <f t="array" ref="X24">_xll.BDH("CAT US Equity","BS_ACCUM_DEPR","FQ4 2023","FQ4 2023","Currency=USD","Period=FQ","BEST_FPERIOD_OVERRIDE=FQ","FILING_STATUS=MR","SCALING_FORMAT=MLN","Sort=A","Dates=H","DateFormat=P","Fill=—","Direction=H","UseDPDF=Y")</f>
        <v>15943</v>
      </c>
      <c r="Y24" s="13" t="str" cm="1">
        <f t="array" ref="Y24">_xll.BDH("CAT US Equity","BS_ACCUM_DEPR","FQ1 2024","FQ1 2024","Currency=USD","Period=FQ","BEST_FPERIOD_OVERRIDE=FQ","FILING_STATUS=MR","SCALING_FORMAT=MLN","Sort=A","Dates=H","DateFormat=P","Fill=—","Direction=H","UseDPDF=Y")</f>
        <v>—</v>
      </c>
      <c r="Z24" s="13" t="str" cm="1">
        <f t="array" ref="Z24">_xll.BDH("CAT US Equity","BS_ACCUM_DEPR","FQ2 2024","FQ2 2024","Currency=USD","Period=FQ","BEST_FPERIOD_OVERRIDE=FQ","FILING_STATUS=MR","SCALING_FORMAT=MLN","Sort=A","Dates=H","DateFormat=P","Fill=—","Direction=H","UseDPDF=Y")</f>
        <v>—</v>
      </c>
      <c r="AA24" s="13" t="str" cm="1">
        <f t="array" ref="AA24">_xll.BDH("CAT US Equity","BS_ACCUM_DEPR","FQ3 2024","FQ3 2024","Currency=USD","Period=FQ","BEST_FPERIOD_OVERRIDE=FQ","FILING_STATUS=MR","SCALING_FORMAT=MLN","Sort=A","Dates=H","DateFormat=P","Fill=—","Direction=H","UseDPDF=Y")</f>
        <v>—</v>
      </c>
      <c r="AB24" s="13" cm="1">
        <f t="array" ref="AB24">_xll.BDH("CAT US Equity","BS_ACCUM_DEPR","FQ4 2024","FQ4 2024","Currency=USD","Period=FQ","BEST_FPERIOD_OVERRIDE=FQ","FILING_STATUS=MR","SCALING_FORMAT=MLN","Sort=A","Dates=H","DateFormat=P","Fill=—","Direction=H","UseDPDF=Y")</f>
        <v>16116</v>
      </c>
      <c r="AC24" s="13" t="str" cm="1">
        <f t="array" ref="AC24">_xll.BDH("CAT US Equity","BS_ACCUM_DEPR","FQ1 2025","FQ1 2025","Currency=USD","Period=FQ","BEST_FPERIOD_OVERRIDE=FQ","FILING_STATUS=MR","SCALING_FORMAT=MLN","Sort=A","Dates=H","DateFormat=P","Fill=—","Direction=H","UseDPDF=Y")</f>
        <v>—</v>
      </c>
      <c r="AD24" s="13" t="str" cm="1">
        <f t="array" ref="AD24">_xll.BDH("CAT US Equity","BS_ACCUM_DEPR","FQ2 2025","FQ2 2025","Currency=USD","Period=FQ","BEST_FPERIOD_OVERRIDE=FQ","FILING_STATUS=MR","SCALING_FORMAT=MLN","Sort=A","Dates=H","DateFormat=P","Fill=—","Direction=H","UseDPDF=Y")</f>
        <v>—</v>
      </c>
      <c r="AE24" s="13" t="str" cm="1">
        <f t="array" ref="AE24">_xll.BDH("CAT US Equity","BS_ACCUM_DEPR","FQ3 2025","FQ3 2025","Currency=USD","Period=FQ","BEST_FPERIOD_OVERRIDE=FQ","FILING_STATUS=MR","SCALING_FORMAT=MLN","Sort=A","Dates=H","DateFormat=P","Fill=—","Direction=H","UseDPDF=Y")</f>
        <v>—</v>
      </c>
      <c r="AF24" s="13" cm="1">
        <f t="array" ref="AF24">_xll.BDH("CAT US Equity","BS_ACCUM_DEPR","FQ4 2025","FQ4 2025","Currency=USD","Period=FQ","BEST_FPERIOD_OVERRIDE=FQ","FILING_STATUS=MR","SCALING_FORMAT=MLN","Sort=A","Dates=H","DateFormat=P","Fill=—","Direction=H","UseDPDF=Y")</f>
        <v>16766</v>
      </c>
    </row>
    <row r="25" spans="1:32" x14ac:dyDescent="0.25">
      <c r="A25" s="10" t="s">
        <v>102</v>
      </c>
      <c r="B25" s="10" t="s">
        <v>103</v>
      </c>
      <c r="C25" s="13" cm="1">
        <f t="array" ref="C25">_xll.BDH("CAT US Equity","BS_LT_INVEST","FQ3 2018","FQ3 2018","Currency=USD","Period=FQ","BEST_FPERIOD_OVERRIDE=FQ","FILING_STATUS=MR","SCALING_FORMAT=MLN","Sort=A","Dates=H","DateFormat=P","Fill=—","Direction=H","UseDPDF=Y")</f>
        <v>14373</v>
      </c>
      <c r="D25" s="13" cm="1">
        <f t="array" ref="D25">_xll.BDH("CAT US Equity","BS_LT_INVEST","FQ4 2018","FQ4 2018","Currency=USD","Period=FQ","BEST_FPERIOD_OVERRIDE=FQ","FILING_STATUS=MR","SCALING_FORMAT=MLN","Sort=A","Dates=H","DateFormat=P","Fill=—","Direction=H","UseDPDF=Y")</f>
        <v>14447</v>
      </c>
      <c r="E25" s="13" cm="1">
        <f t="array" ref="E25">_xll.BDH("CAT US Equity","BS_LT_INVEST","FQ1 2019","FQ1 2019","Currency=USD","Period=FQ","BEST_FPERIOD_OVERRIDE=FQ","FILING_STATUS=MR","SCALING_FORMAT=MLN","Sort=A","Dates=H","DateFormat=P","Fill=—","Direction=H","UseDPDF=Y")</f>
        <v>13823</v>
      </c>
      <c r="F25" s="13" cm="1">
        <f t="array" ref="F25">_xll.BDH("CAT US Equity","BS_LT_INVEST","FQ2 2019","FQ2 2019","Currency=USD","Period=FQ","BEST_FPERIOD_OVERRIDE=FQ","FILING_STATUS=MR","SCALING_FORMAT=MLN","Sort=A","Dates=H","DateFormat=P","Fill=—","Direction=H","UseDPDF=Y")</f>
        <v>13615</v>
      </c>
      <c r="G25" s="13" cm="1">
        <f t="array" ref="G25">_xll.BDH("CAT US Equity","BS_LT_INVEST","FQ3 2019","FQ3 2019","Currency=USD","Period=FQ","BEST_FPERIOD_OVERRIDE=FQ","FILING_STATUS=MR","SCALING_FORMAT=MLN","Sort=A","Dates=H","DateFormat=P","Fill=—","Direction=H","UseDPDF=Y")</f>
        <v>13605</v>
      </c>
      <c r="H25" s="13" cm="1">
        <f t="array" ref="H25">_xll.BDH("CAT US Equity","BS_LT_INVEST","FQ4 2019","FQ4 2019","Currency=USD","Period=FQ","BEST_FPERIOD_OVERRIDE=FQ","FILING_STATUS=MR","SCALING_FORMAT=MLN","Sort=A","Dates=H","DateFormat=P","Fill=—","Direction=H","UseDPDF=Y")</f>
        <v>13844</v>
      </c>
      <c r="I25" s="13" cm="1">
        <f t="array" ref="I25">_xll.BDH("CAT US Equity","BS_LT_INVEST","FQ1 2020","FQ1 2020","Currency=USD","Period=FQ","BEST_FPERIOD_OVERRIDE=FQ","FILING_STATUS=MR","SCALING_FORMAT=MLN","Sort=A","Dates=H","DateFormat=P","Fill=—","Direction=H","UseDPDF=Y")</f>
        <v>13217</v>
      </c>
      <c r="J25" s="13" cm="1">
        <f t="array" ref="J25">_xll.BDH("CAT US Equity","BS_LT_INVEST","FQ2 2020","FQ2 2020","Currency=USD","Period=FQ","BEST_FPERIOD_OVERRIDE=FQ","FILING_STATUS=MR","SCALING_FORMAT=MLN","Sort=A","Dates=H","DateFormat=P","Fill=—","Direction=H","UseDPDF=Y")</f>
        <v>13727</v>
      </c>
      <c r="K25" s="13" cm="1">
        <f t="array" ref="K25">_xll.BDH("CAT US Equity","BS_LT_INVEST","FQ3 2020","FQ3 2020","Currency=USD","Period=FQ","BEST_FPERIOD_OVERRIDE=FQ","FILING_STATUS=MR","SCALING_FORMAT=MLN","Sort=A","Dates=H","DateFormat=P","Fill=—","Direction=H","UseDPDF=Y")</f>
        <v>13358</v>
      </c>
      <c r="L25" s="13" cm="1">
        <f t="array" ref="L25">_xll.BDH("CAT US Equity","BS_LT_INVEST","FQ4 2020","FQ4 2020","Currency=USD","Period=FQ","BEST_FPERIOD_OVERRIDE=FQ","FILING_STATUS=MR","SCALING_FORMAT=MLN","Sort=A","Dates=H","DateFormat=P","Fill=—","Direction=H","UseDPDF=Y")</f>
        <v>13407</v>
      </c>
      <c r="M25" s="13" cm="1">
        <f t="array" ref="M25">_xll.BDH("CAT US Equity","BS_LT_INVEST","FQ1 2021","FQ1 2021","Currency=USD","Period=FQ","BEST_FPERIOD_OVERRIDE=FQ","FILING_STATUS=MR","SCALING_FORMAT=MLN","Sort=A","Dates=H","DateFormat=P","Fill=—","Direction=H","UseDPDF=Y")</f>
        <v>13081</v>
      </c>
      <c r="N25" s="13" cm="1">
        <f t="array" ref="N25">_xll.BDH("CAT US Equity","BS_LT_INVEST","FQ2 2021","FQ2 2021","Currency=USD","Period=FQ","BEST_FPERIOD_OVERRIDE=FQ","FILING_STATUS=MR","SCALING_FORMAT=MLN","Sort=A","Dates=H","DateFormat=P","Fill=—","Direction=H","UseDPDF=Y")</f>
        <v>13796</v>
      </c>
      <c r="O25" s="13" cm="1">
        <f t="array" ref="O25">_xll.BDH("CAT US Equity","BS_LT_INVEST","FQ3 2021","FQ3 2021","Currency=USD","Period=FQ","BEST_FPERIOD_OVERRIDE=FQ","FILING_STATUS=MR","SCALING_FORMAT=MLN","Sort=A","Dates=H","DateFormat=P","Fill=—","Direction=H","UseDPDF=Y")</f>
        <v>13878</v>
      </c>
      <c r="P25" s="13" cm="1">
        <f t="array" ref="P25">_xll.BDH("CAT US Equity","BS_LT_INVEST","FQ4 2021","FQ4 2021","Currency=USD","Period=FQ","BEST_FPERIOD_OVERRIDE=FQ","FILING_STATUS=MR","SCALING_FORMAT=MLN","Sort=A","Dates=H","DateFormat=P","Fill=—","Direction=H","UseDPDF=Y")</f>
        <v>13911</v>
      </c>
      <c r="Q25" s="13" cm="1">
        <f t="array" ref="Q25">_xll.BDH("CAT US Equity","BS_LT_INVEST","FQ1 2022","FQ1 2022","Currency=USD","Period=FQ","BEST_FPERIOD_OVERRIDE=FQ","FILING_STATUS=MR","SCALING_FORMAT=MLN","Sort=A","Dates=H","DateFormat=P","Fill=—","Direction=H","UseDPDF=Y")</f>
        <v>13869</v>
      </c>
      <c r="R25" s="13" cm="1">
        <f t="array" ref="R25">_xll.BDH("CAT US Equity","BS_LT_INVEST","FQ2 2022","FQ2 2022","Currency=USD","Period=FQ","BEST_FPERIOD_OVERRIDE=FQ","FILING_STATUS=MR","SCALING_FORMAT=MLN","Sort=A","Dates=H","DateFormat=P","Fill=—","Direction=H","UseDPDF=Y")</f>
        <v>13569</v>
      </c>
      <c r="S25" s="13" cm="1">
        <f t="array" ref="S25">_xll.BDH("CAT US Equity","BS_LT_INVEST","FQ3 2022","FQ3 2022","Currency=USD","Period=FQ","BEST_FPERIOD_OVERRIDE=FQ","FILING_STATUS=MR","SCALING_FORMAT=MLN","Sort=A","Dates=H","DateFormat=P","Fill=—","Direction=H","UseDPDF=Y")</f>
        <v>13137</v>
      </c>
      <c r="T25" s="13" cm="1">
        <f t="array" ref="T25">_xll.BDH("CAT US Equity","BS_LT_INVEST","FQ4 2022","FQ4 2022","Currency=USD","Period=FQ","BEST_FPERIOD_OVERRIDE=FQ","FILING_STATUS=MR","SCALING_FORMAT=MLN","Sort=A","Dates=H","DateFormat=P","Fill=—","Direction=H","UseDPDF=Y")</f>
        <v>13278</v>
      </c>
      <c r="U25" s="13" cm="1">
        <f t="array" ref="U25">_xll.BDH("CAT US Equity","BS_LT_INVEST","FQ1 2023","FQ1 2023","Currency=USD","Period=FQ","BEST_FPERIOD_OVERRIDE=FQ","FILING_STATUS=MR","SCALING_FORMAT=MLN","Sort=A","Dates=H","DateFormat=P","Fill=—","Direction=H","UseDPDF=Y")</f>
        <v>13054</v>
      </c>
      <c r="V25" s="13" cm="1">
        <f t="array" ref="V25">_xll.BDH("CAT US Equity","BS_LT_INVEST","FQ2 2023","FQ2 2023","Currency=USD","Period=FQ","BEST_FPERIOD_OVERRIDE=FQ","FILING_STATUS=MR","SCALING_FORMAT=MLN","Sort=A","Dates=H","DateFormat=P","Fill=—","Direction=H","UseDPDF=Y")</f>
        <v>13183</v>
      </c>
      <c r="W25" s="13" cm="1">
        <f t="array" ref="W25">_xll.BDH("CAT US Equity","BS_LT_INVEST","FQ3 2023","FQ3 2023","Currency=USD","Period=FQ","BEST_FPERIOD_OVERRIDE=FQ","FILING_STATUS=MR","SCALING_FORMAT=MLN","Sort=A","Dates=H","DateFormat=P","Fill=—","Direction=H","UseDPDF=Y")</f>
        <v>13017</v>
      </c>
      <c r="X25" s="13" cm="1">
        <f t="array" ref="X25">_xll.BDH("CAT US Equity","BS_LT_INVEST","FQ4 2023","FQ4 2023","Currency=USD","Period=FQ","BEST_FPERIOD_OVERRIDE=FQ","FILING_STATUS=MR","SCALING_FORMAT=MLN","Sort=A","Dates=H","DateFormat=P","Fill=—","Direction=H","UseDPDF=Y")</f>
        <v>13902</v>
      </c>
      <c r="Y25" s="13" cm="1">
        <f t="array" ref="Y25">_xll.BDH("CAT US Equity","BS_LT_INVEST","FQ1 2024","FQ1 2024","Currency=USD","Period=FQ","BEST_FPERIOD_OVERRIDE=FQ","FILING_STATUS=MR","SCALING_FORMAT=MLN","Sort=A","Dates=H","DateFormat=P","Fill=—","Direction=H","UseDPDF=Y")</f>
        <v>13731</v>
      </c>
      <c r="Z25" s="13" cm="1">
        <f t="array" ref="Z25">_xll.BDH("CAT US Equity","BS_LT_INVEST","FQ2 2024","FQ2 2024","Currency=USD","Period=FQ","BEST_FPERIOD_OVERRIDE=FQ","FILING_STATUS=MR","SCALING_FORMAT=MLN","Sort=A","Dates=H","DateFormat=P","Fill=—","Direction=H","UseDPDF=Y")</f>
        <v>13978</v>
      </c>
      <c r="AA25" s="13" cm="1">
        <f t="array" ref="AA25">_xll.BDH("CAT US Equity","BS_LT_INVEST","FQ3 2024","FQ3 2024","Currency=USD","Period=FQ","BEST_FPERIOD_OVERRIDE=FQ","FILING_STATUS=MR","SCALING_FORMAT=MLN","Sort=A","Dates=H","DateFormat=P","Fill=—","Direction=H","UseDPDF=Y")</f>
        <v>14609</v>
      </c>
      <c r="AB25" s="13" cm="1">
        <f t="array" ref="AB25">_xll.BDH("CAT US Equity","BS_LT_INVEST","FQ4 2024","FQ4 2024","Currency=USD","Period=FQ","BEST_FPERIOD_OVERRIDE=FQ","FILING_STATUS=MR","SCALING_FORMAT=MLN","Sort=A","Dates=H","DateFormat=P","Fill=—","Direction=H","UseDPDF=Y")</f>
        <v>14467</v>
      </c>
      <c r="AC25" s="13" cm="1">
        <f t="array" ref="AC25">_xll.BDH("CAT US Equity","BS_LT_INVEST","FQ1 2025","FQ1 2025","Currency=USD","Period=FQ","BEST_FPERIOD_OVERRIDE=FQ","FILING_STATUS=MR","SCALING_FORMAT=MLN","Sort=A","Dates=H","DateFormat=P","Fill=—","Direction=H","UseDPDF=Y")</f>
        <v>14713</v>
      </c>
      <c r="AD25" s="13" cm="1">
        <f t="array" ref="AD25">_xll.BDH("CAT US Equity","BS_LT_INVEST","FQ2 2025","FQ2 2025","Currency=USD","Period=FQ","BEST_FPERIOD_OVERRIDE=FQ","FILING_STATUS=MR","SCALING_FORMAT=MLN","Sort=A","Dates=H","DateFormat=P","Fill=—","Direction=H","UseDPDF=Y")</f>
        <v>15442</v>
      </c>
      <c r="AE25" s="13" cm="1">
        <f t="array" ref="AE25">_xll.BDH("CAT US Equity","BS_LT_INVEST","FQ3 2025","FQ3 2025","Currency=USD","Period=FQ","BEST_FPERIOD_OVERRIDE=FQ","FILING_STATUS=MR","SCALING_FORMAT=MLN","Sort=A","Dates=H","DateFormat=P","Fill=—","Direction=H","UseDPDF=Y")</f>
        <v>15603</v>
      </c>
      <c r="AF25" s="13" cm="1">
        <f t="array" ref="AF25">_xll.BDH("CAT US Equity","BS_LT_INVEST","FQ4 2025","FQ4 2025","Currency=USD","Period=FQ","BEST_FPERIOD_OVERRIDE=FQ","FILING_STATUS=MR","SCALING_FORMAT=MLN","Sort=A","Dates=H","DateFormat=P","Fill=—","Direction=H","UseDPDF=Y")</f>
        <v>16414</v>
      </c>
    </row>
    <row r="26" spans="1:32" x14ac:dyDescent="0.25">
      <c r="A26" s="10" t="s">
        <v>104</v>
      </c>
      <c r="B26" s="10" t="s">
        <v>105</v>
      </c>
      <c r="C26" s="13" cm="1">
        <f t="array" ref="C26">_xll.BDH("CAT US Equity","BS_LT_RECEIVABLES","FQ3 2018","FQ3 2018","Currency=USD","Period=FQ","BEST_FPERIOD_OVERRIDE=FQ","FILING_STATUS=MR","SCALING_FORMAT=MLN","Sort=A","Dates=H","DateFormat=P","Fill=—","Direction=H","UseDPDF=Y")</f>
        <v>14373</v>
      </c>
      <c r="D26" s="13" cm="1">
        <f t="array" ref="D26">_xll.BDH("CAT US Equity","BS_LT_RECEIVABLES","FQ4 2018","FQ4 2018","Currency=USD","Period=FQ","BEST_FPERIOD_OVERRIDE=FQ","FILING_STATUS=MR","SCALING_FORMAT=MLN","Sort=A","Dates=H","DateFormat=P","Fill=—","Direction=H","UseDPDF=Y")</f>
        <v>14447</v>
      </c>
      <c r="E26" s="13" cm="1">
        <f t="array" ref="E26">_xll.BDH("CAT US Equity","BS_LT_RECEIVABLES","FQ1 2019","FQ1 2019","Currency=USD","Period=FQ","BEST_FPERIOD_OVERRIDE=FQ","FILING_STATUS=MR","SCALING_FORMAT=MLN","Sort=A","Dates=H","DateFormat=P","Fill=—","Direction=H","UseDPDF=Y")</f>
        <v>13823</v>
      </c>
      <c r="F26" s="13" cm="1">
        <f t="array" ref="F26">_xll.BDH("CAT US Equity","BS_LT_RECEIVABLES","FQ2 2019","FQ2 2019","Currency=USD","Period=FQ","BEST_FPERIOD_OVERRIDE=FQ","FILING_STATUS=MR","SCALING_FORMAT=MLN","Sort=A","Dates=H","DateFormat=P","Fill=—","Direction=H","UseDPDF=Y")</f>
        <v>13615</v>
      </c>
      <c r="G26" s="13" cm="1">
        <f t="array" ref="G26">_xll.BDH("CAT US Equity","BS_LT_RECEIVABLES","FQ3 2019","FQ3 2019","Currency=USD","Period=FQ","BEST_FPERIOD_OVERRIDE=FQ","FILING_STATUS=MR","SCALING_FORMAT=MLN","Sort=A","Dates=H","DateFormat=P","Fill=—","Direction=H","UseDPDF=Y")</f>
        <v>13605</v>
      </c>
      <c r="H26" s="13" cm="1">
        <f t="array" ref="H26">_xll.BDH("CAT US Equity","BS_LT_RECEIVABLES","FQ4 2019","FQ4 2019","Currency=USD","Period=FQ","BEST_FPERIOD_OVERRIDE=FQ","FILING_STATUS=MR","SCALING_FORMAT=MLN","Sort=A","Dates=H","DateFormat=P","Fill=—","Direction=H","UseDPDF=Y")</f>
        <v>13844</v>
      </c>
      <c r="I26" s="13" cm="1">
        <f t="array" ref="I26">_xll.BDH("CAT US Equity","BS_LT_RECEIVABLES","FQ1 2020","FQ1 2020","Currency=USD","Period=FQ","BEST_FPERIOD_OVERRIDE=FQ","FILING_STATUS=MR","SCALING_FORMAT=MLN","Sort=A","Dates=H","DateFormat=P","Fill=—","Direction=H","UseDPDF=Y")</f>
        <v>13217</v>
      </c>
      <c r="J26" s="13" cm="1">
        <f t="array" ref="J26">_xll.BDH("CAT US Equity","BS_LT_RECEIVABLES","FQ2 2020","FQ2 2020","Currency=USD","Period=FQ","BEST_FPERIOD_OVERRIDE=FQ","FILING_STATUS=MR","SCALING_FORMAT=MLN","Sort=A","Dates=H","DateFormat=P","Fill=—","Direction=H","UseDPDF=Y")</f>
        <v>13727</v>
      </c>
      <c r="K26" s="13" cm="1">
        <f t="array" ref="K26">_xll.BDH("CAT US Equity","BS_LT_RECEIVABLES","FQ3 2020","FQ3 2020","Currency=USD","Period=FQ","BEST_FPERIOD_OVERRIDE=FQ","FILING_STATUS=MR","SCALING_FORMAT=MLN","Sort=A","Dates=H","DateFormat=P","Fill=—","Direction=H","UseDPDF=Y")</f>
        <v>13358</v>
      </c>
      <c r="L26" s="13" cm="1">
        <f t="array" ref="L26">_xll.BDH("CAT US Equity","BS_LT_RECEIVABLES","FQ4 2020","FQ4 2020","Currency=USD","Period=FQ","BEST_FPERIOD_OVERRIDE=FQ","FILING_STATUS=MR","SCALING_FORMAT=MLN","Sort=A","Dates=H","DateFormat=P","Fill=—","Direction=H","UseDPDF=Y")</f>
        <v>13407</v>
      </c>
      <c r="M26" s="13" cm="1">
        <f t="array" ref="M26">_xll.BDH("CAT US Equity","BS_LT_RECEIVABLES","FQ1 2021","FQ1 2021","Currency=USD","Period=FQ","BEST_FPERIOD_OVERRIDE=FQ","FILING_STATUS=MR","SCALING_FORMAT=MLN","Sort=A","Dates=H","DateFormat=P","Fill=—","Direction=H","UseDPDF=Y")</f>
        <v>13081</v>
      </c>
      <c r="N26" s="13" cm="1">
        <f t="array" ref="N26">_xll.BDH("CAT US Equity","BS_LT_RECEIVABLES","FQ2 2021","FQ2 2021","Currency=USD","Period=FQ","BEST_FPERIOD_OVERRIDE=FQ","FILING_STATUS=MR","SCALING_FORMAT=MLN","Sort=A","Dates=H","DateFormat=P","Fill=—","Direction=H","UseDPDF=Y")</f>
        <v>13796</v>
      </c>
      <c r="O26" s="13" cm="1">
        <f t="array" ref="O26">_xll.BDH("CAT US Equity","BS_LT_RECEIVABLES","FQ3 2021","FQ3 2021","Currency=USD","Period=FQ","BEST_FPERIOD_OVERRIDE=FQ","FILING_STATUS=MR","SCALING_FORMAT=MLN","Sort=A","Dates=H","DateFormat=P","Fill=—","Direction=H","UseDPDF=Y")</f>
        <v>13878</v>
      </c>
      <c r="P26" s="13" cm="1">
        <f t="array" ref="P26">_xll.BDH("CAT US Equity","BS_LT_RECEIVABLES","FQ4 2021","FQ4 2021","Currency=USD","Period=FQ","BEST_FPERIOD_OVERRIDE=FQ","FILING_STATUS=MR","SCALING_FORMAT=MLN","Sort=A","Dates=H","DateFormat=P","Fill=—","Direction=H","UseDPDF=Y")</f>
        <v>13911</v>
      </c>
      <c r="Q26" s="13" cm="1">
        <f t="array" ref="Q26">_xll.BDH("CAT US Equity","BS_LT_RECEIVABLES","FQ1 2022","FQ1 2022","Currency=USD","Period=FQ","BEST_FPERIOD_OVERRIDE=FQ","FILING_STATUS=MR","SCALING_FORMAT=MLN","Sort=A","Dates=H","DateFormat=P","Fill=—","Direction=H","UseDPDF=Y")</f>
        <v>13869</v>
      </c>
      <c r="R26" s="13" cm="1">
        <f t="array" ref="R26">_xll.BDH("CAT US Equity","BS_LT_RECEIVABLES","FQ2 2022","FQ2 2022","Currency=USD","Period=FQ","BEST_FPERIOD_OVERRIDE=FQ","FILING_STATUS=MR","SCALING_FORMAT=MLN","Sort=A","Dates=H","DateFormat=P","Fill=—","Direction=H","UseDPDF=Y")</f>
        <v>13569</v>
      </c>
      <c r="S26" s="13" cm="1">
        <f t="array" ref="S26">_xll.BDH("CAT US Equity","BS_LT_RECEIVABLES","FQ3 2022","FQ3 2022","Currency=USD","Period=FQ","BEST_FPERIOD_OVERRIDE=FQ","FILING_STATUS=MR","SCALING_FORMAT=MLN","Sort=A","Dates=H","DateFormat=P","Fill=—","Direction=H","UseDPDF=Y")</f>
        <v>13137</v>
      </c>
      <c r="T26" s="13" cm="1">
        <f t="array" ref="T26">_xll.BDH("CAT US Equity","BS_LT_RECEIVABLES","FQ4 2022","FQ4 2022","Currency=USD","Period=FQ","BEST_FPERIOD_OVERRIDE=FQ","FILING_STATUS=MR","SCALING_FORMAT=MLN","Sort=A","Dates=H","DateFormat=P","Fill=—","Direction=H","UseDPDF=Y")</f>
        <v>13278</v>
      </c>
      <c r="U26" s="13" cm="1">
        <f t="array" ref="U26">_xll.BDH("CAT US Equity","BS_LT_RECEIVABLES","FQ1 2023","FQ1 2023","Currency=USD","Period=FQ","BEST_FPERIOD_OVERRIDE=FQ","FILING_STATUS=MR","SCALING_FORMAT=MLN","Sort=A","Dates=H","DateFormat=P","Fill=—","Direction=H","UseDPDF=Y")</f>
        <v>13054</v>
      </c>
      <c r="V26" s="13" cm="1">
        <f t="array" ref="V26">_xll.BDH("CAT US Equity","BS_LT_RECEIVABLES","FQ2 2023","FQ2 2023","Currency=USD","Period=FQ","BEST_FPERIOD_OVERRIDE=FQ","FILING_STATUS=MR","SCALING_FORMAT=MLN","Sort=A","Dates=H","DateFormat=P","Fill=—","Direction=H","UseDPDF=Y")</f>
        <v>13183</v>
      </c>
      <c r="W26" s="13" cm="1">
        <f t="array" ref="W26">_xll.BDH("CAT US Equity","BS_LT_RECEIVABLES","FQ3 2023","FQ3 2023","Currency=USD","Period=FQ","BEST_FPERIOD_OVERRIDE=FQ","FILING_STATUS=MR","SCALING_FORMAT=MLN","Sort=A","Dates=H","DateFormat=P","Fill=—","Direction=H","UseDPDF=Y")</f>
        <v>13017</v>
      </c>
      <c r="X26" s="13" cm="1">
        <f t="array" ref="X26">_xll.BDH("CAT US Equity","BS_LT_RECEIVABLES","FQ4 2023","FQ4 2023","Currency=USD","Period=FQ","BEST_FPERIOD_OVERRIDE=FQ","FILING_STATUS=MR","SCALING_FORMAT=MLN","Sort=A","Dates=H","DateFormat=P","Fill=—","Direction=H","UseDPDF=Y")</f>
        <v>13902</v>
      </c>
      <c r="Y26" s="13" cm="1">
        <f t="array" ref="Y26">_xll.BDH("CAT US Equity","BS_LT_RECEIVABLES","FQ1 2024","FQ1 2024","Currency=USD","Period=FQ","BEST_FPERIOD_OVERRIDE=FQ","FILING_STATUS=MR","SCALING_FORMAT=MLN","Sort=A","Dates=H","DateFormat=P","Fill=—","Direction=H","UseDPDF=Y")</f>
        <v>13731</v>
      </c>
      <c r="Z26" s="13" cm="1">
        <f t="array" ref="Z26">_xll.BDH("CAT US Equity","BS_LT_RECEIVABLES","FQ2 2024","FQ2 2024","Currency=USD","Period=FQ","BEST_FPERIOD_OVERRIDE=FQ","FILING_STATUS=MR","SCALING_FORMAT=MLN","Sort=A","Dates=H","DateFormat=P","Fill=—","Direction=H","UseDPDF=Y")</f>
        <v>13978</v>
      </c>
      <c r="AA26" s="13" cm="1">
        <f t="array" ref="AA26">_xll.BDH("CAT US Equity","BS_LT_RECEIVABLES","FQ3 2024","FQ3 2024","Currency=USD","Period=FQ","BEST_FPERIOD_OVERRIDE=FQ","FILING_STATUS=MR","SCALING_FORMAT=MLN","Sort=A","Dates=H","DateFormat=P","Fill=—","Direction=H","UseDPDF=Y")</f>
        <v>14609</v>
      </c>
      <c r="AB26" s="13" cm="1">
        <f t="array" ref="AB26">_xll.BDH("CAT US Equity","BS_LT_RECEIVABLES","FQ4 2024","FQ4 2024","Currency=USD","Period=FQ","BEST_FPERIOD_OVERRIDE=FQ","FILING_STATUS=MR","SCALING_FORMAT=MLN","Sort=A","Dates=H","DateFormat=P","Fill=—","Direction=H","UseDPDF=Y")</f>
        <v>14467</v>
      </c>
      <c r="AC26" s="13" cm="1">
        <f t="array" ref="AC26">_xll.BDH("CAT US Equity","BS_LT_RECEIVABLES","FQ1 2025","FQ1 2025","Currency=USD","Period=FQ","BEST_FPERIOD_OVERRIDE=FQ","FILING_STATUS=MR","SCALING_FORMAT=MLN","Sort=A","Dates=H","DateFormat=P","Fill=—","Direction=H","UseDPDF=Y")</f>
        <v>14713</v>
      </c>
      <c r="AD26" s="13" cm="1">
        <f t="array" ref="AD26">_xll.BDH("CAT US Equity","BS_LT_RECEIVABLES","FQ2 2025","FQ2 2025","Currency=USD","Period=FQ","BEST_FPERIOD_OVERRIDE=FQ","FILING_STATUS=MR","SCALING_FORMAT=MLN","Sort=A","Dates=H","DateFormat=P","Fill=—","Direction=H","UseDPDF=Y")</f>
        <v>15442</v>
      </c>
      <c r="AE26" s="13" cm="1">
        <f t="array" ref="AE26">_xll.BDH("CAT US Equity","BS_LT_RECEIVABLES","FQ3 2025","FQ3 2025","Currency=USD","Period=FQ","BEST_FPERIOD_OVERRIDE=FQ","FILING_STATUS=MR","SCALING_FORMAT=MLN","Sort=A","Dates=H","DateFormat=P","Fill=—","Direction=H","UseDPDF=Y")</f>
        <v>15603</v>
      </c>
      <c r="AF26" s="13" cm="1">
        <f t="array" ref="AF26">_xll.BDH("CAT US Equity","BS_LT_RECEIVABLES","FQ4 2025","FQ4 2025","Currency=USD","Period=FQ","BEST_FPERIOD_OVERRIDE=FQ","FILING_STATUS=MR","SCALING_FORMAT=MLN","Sort=A","Dates=H","DateFormat=P","Fill=—","Direction=H","UseDPDF=Y")</f>
        <v>16414</v>
      </c>
    </row>
    <row r="27" spans="1:32" x14ac:dyDescent="0.25">
      <c r="A27" s="10" t="s">
        <v>106</v>
      </c>
      <c r="B27" s="10" t="s">
        <v>107</v>
      </c>
      <c r="C27" s="13" cm="1">
        <f t="array" ref="C27">_xll.BDH("CAT US Equity","BS_OTHER_ASSETS_DEF_CHRG_OTHER","FQ3 2018","FQ3 2018","Currency=USD","Period=FQ","BEST_FPERIOD_OVERRIDE=FQ","FILING_STATUS=MR","SCALING_FORMAT=MLN","Sort=A","Dates=H","DateFormat=P","Fill=—","Direction=H","UseDPDF=Y")</f>
        <v>11775</v>
      </c>
      <c r="D27" s="13" cm="1">
        <f t="array" ref="D27">_xll.BDH("CAT US Equity","BS_OTHER_ASSETS_DEF_CHRG_OTHER","FQ4 2018","FQ4 2018","Currency=USD","Period=FQ","BEST_FPERIOD_OVERRIDE=FQ","FILING_STATUS=MR","SCALING_FORMAT=MLN","Sort=A","Dates=H","DateFormat=P","Fill=—","Direction=H","UseDPDF=Y")</f>
        <v>11885</v>
      </c>
      <c r="E27" s="13" cm="1">
        <f t="array" ref="E27">_xll.BDH("CAT US Equity","BS_OTHER_ASSETS_DEF_CHRG_OTHER","FQ1 2019","FQ1 2019","Currency=USD","Period=FQ","BEST_FPERIOD_OVERRIDE=FQ","FILING_STATUS=MR","SCALING_FORMAT=MLN","Sort=A","Dates=H","DateFormat=P","Fill=—","Direction=H","UseDPDF=Y")</f>
        <v>11829</v>
      </c>
      <c r="F27" s="13" cm="1">
        <f t="array" ref="F27">_xll.BDH("CAT US Equity","BS_OTHER_ASSETS_DEF_CHRG_OTHER","FQ2 2019","FQ2 2019","Currency=USD","Period=FQ","BEST_FPERIOD_OVERRIDE=FQ","FILING_STATUS=MR","SCALING_FORMAT=MLN","Sort=A","Dates=H","DateFormat=P","Fill=—","Direction=H","UseDPDF=Y")</f>
        <v>11955</v>
      </c>
      <c r="G27" s="13" cm="1">
        <f t="array" ref="G27">_xll.BDH("CAT US Equity","BS_OTHER_ASSETS_DEF_CHRG_OTHER","FQ3 2019","FQ3 2019","Currency=USD","Period=FQ","BEST_FPERIOD_OVERRIDE=FQ","FILING_STATUS=MR","SCALING_FORMAT=MLN","Sort=A","Dates=H","DateFormat=P","Fill=—","Direction=H","UseDPDF=Y")</f>
        <v>11754</v>
      </c>
      <c r="H27" s="13" cm="1">
        <f t="array" ref="H27">_xll.BDH("CAT US Equity","BS_OTHER_ASSETS_DEF_CHRG_OTHER","FQ4 2019","FQ4 2019","Currency=USD","Period=FQ","BEST_FPERIOD_OVERRIDE=FQ","FILING_STATUS=MR","SCALING_FORMAT=MLN","Sort=A","Dates=H","DateFormat=P","Fill=—","Direction=H","UseDPDF=Y")</f>
        <v>11888</v>
      </c>
      <c r="I27" s="13" cm="1">
        <f t="array" ref="I27">_xll.BDH("CAT US Equity","BS_OTHER_ASSETS_DEF_CHRG_OTHER","FQ1 2020","FQ1 2020","Currency=USD","Period=FQ","BEST_FPERIOD_OVERRIDE=FQ","FILING_STATUS=MR","SCALING_FORMAT=MLN","Sort=A","Dates=H","DateFormat=P","Fill=—","Direction=H","UseDPDF=Y")</f>
        <v>12603</v>
      </c>
      <c r="J27" s="13" cm="1">
        <f t="array" ref="J27">_xll.BDH("CAT US Equity","BS_OTHER_ASSETS_DEF_CHRG_OTHER","FQ2 2020","FQ2 2020","Currency=USD","Period=FQ","BEST_FPERIOD_OVERRIDE=FQ","FILING_STATUS=MR","SCALING_FORMAT=MLN","Sort=A","Dates=H","DateFormat=P","Fill=—","Direction=H","UseDPDF=Y")</f>
        <v>12620</v>
      </c>
      <c r="K27" s="13" cm="1">
        <f t="array" ref="K27">_xll.BDH("CAT US Equity","BS_OTHER_ASSETS_DEF_CHRG_OTHER","FQ3 2020","FQ3 2020","Currency=USD","Period=FQ","BEST_FPERIOD_OVERRIDE=FQ","FILING_STATUS=MR","SCALING_FORMAT=MLN","Sort=A","Dates=H","DateFormat=P","Fill=—","Direction=H","UseDPDF=Y")</f>
        <v>12617</v>
      </c>
      <c r="L27" s="13" cm="1">
        <f t="array" ref="L27">_xll.BDH("CAT US Equity","BS_OTHER_ASSETS_DEF_CHRG_OTHER","FQ4 2020","FQ4 2020","Currency=USD","Period=FQ","BEST_FPERIOD_OVERRIDE=FQ","FILING_STATUS=MR","SCALING_FORMAT=MLN","Sort=A","Dates=H","DateFormat=P","Fill=—","Direction=H","UseDPDF=Y")</f>
        <v>12449</v>
      </c>
      <c r="M27" s="13" cm="1">
        <f t="array" ref="M27">_xll.BDH("CAT US Equity","BS_OTHER_ASSETS_DEF_CHRG_OTHER","FQ1 2021","FQ1 2021","Currency=USD","Period=FQ","BEST_FPERIOD_OVERRIDE=FQ","FILING_STATUS=MR","SCALING_FORMAT=MLN","Sort=A","Dates=H","DateFormat=P","Fill=—","Direction=H","UseDPDF=Y")</f>
        <v>12935</v>
      </c>
      <c r="N27" s="13" cm="1">
        <f t="array" ref="N27">_xll.BDH("CAT US Equity","BS_OTHER_ASSETS_DEF_CHRG_OTHER","FQ2 2021","FQ2 2021","Currency=USD","Period=FQ","BEST_FPERIOD_OVERRIDE=FQ","FILING_STATUS=MR","SCALING_FORMAT=MLN","Sort=A","Dates=H","DateFormat=P","Fill=—","Direction=H","UseDPDF=Y")</f>
        <v>12941</v>
      </c>
      <c r="O27" s="13" cm="1">
        <f t="array" ref="O27">_xll.BDH("CAT US Equity","BS_OTHER_ASSETS_DEF_CHRG_OTHER","FQ3 2021","FQ3 2021","Currency=USD","Period=FQ","BEST_FPERIOD_OVERRIDE=FQ","FILING_STATUS=MR","SCALING_FORMAT=MLN","Sort=A","Dates=H","DateFormat=P","Fill=—","Direction=H","UseDPDF=Y")</f>
        <v>13109</v>
      </c>
      <c r="P27" s="13" cm="1">
        <f t="array" ref="P27">_xll.BDH("CAT US Equity","BS_OTHER_ASSETS_DEF_CHRG_OTHER","FQ4 2021","FQ4 2021","Currency=USD","Period=FQ","BEST_FPERIOD_OVERRIDE=FQ","FILING_STATUS=MR","SCALING_FORMAT=MLN","Sort=A","Dates=H","DateFormat=P","Fill=—","Direction=H","UseDPDF=Y")</f>
        <v>12712</v>
      </c>
      <c r="Q27" s="13" cm="1">
        <f t="array" ref="Q27">_xll.BDH("CAT US Equity","BS_OTHER_ASSETS_DEF_CHRG_OTHER","FQ1 2022","FQ1 2022","Currency=USD","Period=FQ","BEST_FPERIOD_OVERRIDE=FQ","FILING_STATUS=MR","SCALING_FORMAT=MLN","Sort=A","Dates=H","DateFormat=P","Fill=—","Direction=H","UseDPDF=Y")</f>
        <v>13905</v>
      </c>
      <c r="R27" s="13" cm="1">
        <f t="array" ref="R27">_xll.BDH("CAT US Equity","BS_OTHER_ASSETS_DEF_CHRG_OTHER","FQ2 2022","FQ2 2022","Currency=USD","Period=FQ","BEST_FPERIOD_OVERRIDE=FQ","FILING_STATUS=MR","SCALING_FORMAT=MLN","Sort=A","Dates=H","DateFormat=P","Fill=—","Direction=H","UseDPDF=Y")</f>
        <v>13812</v>
      </c>
      <c r="S27" s="13" cm="1">
        <f t="array" ref="S27">_xll.BDH("CAT US Equity","BS_OTHER_ASSETS_DEF_CHRG_OTHER","FQ3 2022","FQ3 2022","Currency=USD","Period=FQ","BEST_FPERIOD_OVERRIDE=FQ","FILING_STATUS=MR","SCALING_FORMAT=MLN","Sort=A","Dates=H","DateFormat=P","Fill=—","Direction=H","UseDPDF=Y")</f>
        <v>13550</v>
      </c>
      <c r="T27" s="13" cm="1">
        <f t="array" ref="T27">_xll.BDH("CAT US Equity","BS_OTHER_ASSETS_DEF_CHRG_OTHER","FQ4 2022","FQ4 2022","Currency=USD","Period=FQ","BEST_FPERIOD_OVERRIDE=FQ","FILING_STATUS=MR","SCALING_FORMAT=MLN","Sort=A","Dates=H","DateFormat=P","Fill=—","Direction=H","UseDPDF=Y")</f>
        <v>12288</v>
      </c>
      <c r="U27" s="13" cm="1">
        <f t="array" ref="U27">_xll.BDH("CAT US Equity","BS_OTHER_ASSETS_DEF_CHRG_OTHER","FQ1 2023","FQ1 2023","Currency=USD","Period=FQ","BEST_FPERIOD_OVERRIDE=FQ","FILING_STATUS=MR","SCALING_FORMAT=MLN","Sort=A","Dates=H","DateFormat=P","Fill=—","Direction=H","UseDPDF=Y")</f>
        <v>12962</v>
      </c>
      <c r="V27" s="13" cm="1">
        <f t="array" ref="V27">_xll.BDH("CAT US Equity","BS_OTHER_ASSETS_DEF_CHRG_OTHER","FQ2 2023","FQ2 2023","Currency=USD","Period=FQ","BEST_FPERIOD_OVERRIDE=FQ","FILING_STATUS=MR","SCALING_FORMAT=MLN","Sort=A","Dates=H","DateFormat=P","Fill=—","Direction=H","UseDPDF=Y")</f>
        <v>13120</v>
      </c>
      <c r="W27" s="13" cm="1">
        <f t="array" ref="W27">_xll.BDH("CAT US Equity","BS_OTHER_ASSETS_DEF_CHRG_OTHER","FQ3 2023","FQ3 2023","Currency=USD","Period=FQ","BEST_FPERIOD_OVERRIDE=FQ","FILING_STATUS=MR","SCALING_FORMAT=MLN","Sort=A","Dates=H","DateFormat=P","Fill=—","Direction=H","UseDPDF=Y")</f>
        <v>13482</v>
      </c>
      <c r="X27" s="13" cm="1">
        <f t="array" ref="X27">_xll.BDH("CAT US Equity","BS_OTHER_ASSETS_DEF_CHRG_OTHER","FQ4 2023","FQ4 2023","Currency=USD","Period=FQ","BEST_FPERIOD_OVERRIDE=FQ","FILING_STATUS=MR","SCALING_FORMAT=MLN","Sort=A","Dates=H","DateFormat=P","Fill=—","Direction=H","UseDPDF=Y")</f>
        <v>13389</v>
      </c>
      <c r="Y27" s="13" cm="1">
        <f t="array" ref="Y27">_xll.BDH("CAT US Equity","BS_OTHER_ASSETS_DEF_CHRG_OTHER","FQ1 2024","FQ1 2024","Currency=USD","Period=FQ","BEST_FPERIOD_OVERRIDE=FQ","FILING_STATUS=MR","SCALING_FORMAT=MLN","Sort=A","Dates=H","DateFormat=P","Fill=—","Direction=H","UseDPDF=Y")</f>
        <v>13808</v>
      </c>
      <c r="Z27" s="13" cm="1">
        <f t="array" ref="Z27">_xll.BDH("CAT US Equity","BS_OTHER_ASSETS_DEF_CHRG_OTHER","FQ2 2024","FQ2 2024","Currency=USD","Period=FQ","BEST_FPERIOD_OVERRIDE=FQ","FILING_STATUS=MR","SCALING_FORMAT=MLN","Sort=A","Dates=H","DateFormat=P","Fill=—","Direction=H","UseDPDF=Y")</f>
        <v>13680</v>
      </c>
      <c r="AA27" s="13" cm="1">
        <f t="array" ref="AA27">_xll.BDH("CAT US Equity","BS_OTHER_ASSETS_DEF_CHRG_OTHER","FQ3 2024","FQ3 2024","Currency=USD","Period=FQ","BEST_FPERIOD_OVERRIDE=FQ","FILING_STATUS=MR","SCALING_FORMAT=MLN","Sort=A","Dates=H","DateFormat=P","Fill=—","Direction=H","UseDPDF=Y")</f>
        <v>13881</v>
      </c>
      <c r="AB27" s="13" cm="1">
        <f t="array" ref="AB27">_xll.BDH("CAT US Equity","BS_OTHER_ASSETS_DEF_CHRG_OTHER","FQ4 2024","FQ4 2024","Currency=USD","Period=FQ","BEST_FPERIOD_OVERRIDE=FQ","FILING_STATUS=MR","SCALING_FORMAT=MLN","Sort=A","Dates=H","DateFormat=P","Fill=—","Direction=H","UseDPDF=Y")</f>
        <v>13662</v>
      </c>
      <c r="AC27" s="13" cm="1">
        <f t="array" ref="AC27">_xll.BDH("CAT US Equity","BS_OTHER_ASSETS_DEF_CHRG_OTHER","FQ1 2025","FQ1 2025","Currency=USD","Period=FQ","BEST_FPERIOD_OVERRIDE=FQ","FILING_STATUS=MR","SCALING_FORMAT=MLN","Sort=A","Dates=H","DateFormat=P","Fill=—","Direction=H","UseDPDF=Y")</f>
        <v>13810</v>
      </c>
      <c r="AD27" s="13" cm="1">
        <f t="array" ref="AD27">_xll.BDH("CAT US Equity","BS_OTHER_ASSETS_DEF_CHRG_OTHER","FQ2 2025","FQ2 2025","Currency=USD","Period=FQ","BEST_FPERIOD_OVERRIDE=FQ","FILING_STATUS=MR","SCALING_FORMAT=MLN","Sort=A","Dates=H","DateFormat=P","Fill=—","Direction=H","UseDPDF=Y")</f>
        <v>14232</v>
      </c>
      <c r="AE27" s="13" cm="1">
        <f t="array" ref="AE27">_xll.BDH("CAT US Equity","BS_OTHER_ASSETS_DEF_CHRG_OTHER","FQ3 2025","FQ3 2025","Currency=USD","Period=FQ","BEST_FPERIOD_OVERRIDE=FQ","FILING_STATUS=MR","SCALING_FORMAT=MLN","Sort=A","Dates=H","DateFormat=P","Fill=—","Direction=H","UseDPDF=Y")</f>
        <v>13991</v>
      </c>
      <c r="AF27" s="13" cm="1">
        <f t="array" ref="AF27">_xll.BDH("CAT US Equity","BS_OTHER_ASSETS_DEF_CHRG_OTHER","FQ4 2025","FQ4 2025","Currency=USD","Period=FQ","BEST_FPERIOD_OVERRIDE=FQ","FILING_STATUS=MR","SCALING_FORMAT=MLN","Sort=A","Dates=H","DateFormat=P","Fill=—","Direction=H","UseDPDF=Y")</f>
        <v>13838</v>
      </c>
    </row>
    <row r="28" spans="1:32" x14ac:dyDescent="0.25">
      <c r="A28" s="10" t="s">
        <v>108</v>
      </c>
      <c r="B28" s="10" t="s">
        <v>109</v>
      </c>
      <c r="C28" s="13" cm="1">
        <f t="array" ref="C28">_xll.BDH("CAT US Equity","BS_DISCLOSED_INTANGIBLES","FQ3 2018","FQ3 2018","Currency=USD","Period=FQ","BEST_FPERIOD_OVERRIDE=FQ","FILING_STATUS=MR","SCALING_FORMAT=MLN","Sort=A","Dates=H","DateFormat=P","Fill=—","Direction=H","UseDPDF=Y")</f>
        <v>8209</v>
      </c>
      <c r="D28" s="13" cm="1">
        <f t="array" ref="D28">_xll.BDH("CAT US Equity","BS_DISCLOSED_INTANGIBLES","FQ4 2018","FQ4 2018","Currency=USD","Period=FQ","BEST_FPERIOD_OVERRIDE=FQ","FILING_STATUS=MR","SCALING_FORMAT=MLN","Sort=A","Dates=H","DateFormat=P","Fill=—","Direction=H","UseDPDF=Y")</f>
        <v>8114</v>
      </c>
      <c r="E28" s="13" cm="1">
        <f t="array" ref="E28">_xll.BDH("CAT US Equity","BS_DISCLOSED_INTANGIBLES","FQ1 2019","FQ1 2019","Currency=USD","Period=FQ","BEST_FPERIOD_OVERRIDE=FQ","FILING_STATUS=MR","SCALING_FORMAT=MLN","Sort=A","Dates=H","DateFormat=P","Fill=—","Direction=H","UseDPDF=Y")</f>
        <v>7998</v>
      </c>
      <c r="F28" s="13" cm="1">
        <f t="array" ref="F28">_xll.BDH("CAT US Equity","BS_DISCLOSED_INTANGIBLES","FQ2 2019","FQ2 2019","Currency=USD","Period=FQ","BEST_FPERIOD_OVERRIDE=FQ","FILING_STATUS=MR","SCALING_FORMAT=MLN","Sort=A","Dates=H","DateFormat=P","Fill=—","Direction=H","UseDPDF=Y")</f>
        <v>7944</v>
      </c>
      <c r="G28" s="13" cm="1">
        <f t="array" ref="G28">_xll.BDH("CAT US Equity","BS_DISCLOSED_INTANGIBLES","FQ3 2019","FQ3 2019","Currency=USD","Period=FQ","BEST_FPERIOD_OVERRIDE=FQ","FILING_STATUS=MR","SCALING_FORMAT=MLN","Sort=A","Dates=H","DateFormat=P","Fill=—","Direction=H","UseDPDF=Y")</f>
        <v>7772</v>
      </c>
      <c r="H28" s="13" cm="1">
        <f t="array" ref="H28">_xll.BDH("CAT US Equity","BS_DISCLOSED_INTANGIBLES","FQ4 2019","FQ4 2019","Currency=USD","Period=FQ","BEST_FPERIOD_OVERRIDE=FQ","FILING_STATUS=MR","SCALING_FORMAT=MLN","Sort=A","Dates=H","DateFormat=P","Fill=—","Direction=H","UseDPDF=Y")</f>
        <v>7761</v>
      </c>
      <c r="I28" s="13" cm="1">
        <f t="array" ref="I28">_xll.BDH("CAT US Equity","BS_DISCLOSED_INTANGIBLES","FQ1 2020","FQ1 2020","Currency=USD","Period=FQ","BEST_FPERIOD_OVERRIDE=FQ","FILING_STATUS=MR","SCALING_FORMAT=MLN","Sort=A","Dates=H","DateFormat=P","Fill=—","Direction=H","UseDPDF=Y")</f>
        <v>7618</v>
      </c>
      <c r="J28" s="13" cm="1">
        <f t="array" ref="J28">_xll.BDH("CAT US Equity","BS_DISCLOSED_INTANGIBLES","FQ2 2020","FQ2 2020","Currency=USD","Period=FQ","BEST_FPERIOD_OVERRIDE=FQ","FILING_STATUS=MR","SCALING_FORMAT=MLN","Sort=A","Dates=H","DateFormat=P","Fill=—","Direction=H","UseDPDF=Y")</f>
        <v>7612</v>
      </c>
      <c r="K28" s="13" cm="1">
        <f t="array" ref="K28">_xll.BDH("CAT US Equity","BS_DISCLOSED_INTANGIBLES","FQ3 2020","FQ3 2020","Currency=USD","Period=FQ","BEST_FPERIOD_OVERRIDE=FQ","FILING_STATUS=MR","SCALING_FORMAT=MLN","Sort=A","Dates=H","DateFormat=P","Fill=—","Direction=H","UseDPDF=Y")</f>
        <v>7667</v>
      </c>
      <c r="L28" s="13" cm="1">
        <f t="array" ref="L28">_xll.BDH("CAT US Equity","BS_DISCLOSED_INTANGIBLES","FQ4 2020","FQ4 2020","Currency=USD","Period=FQ","BEST_FPERIOD_OVERRIDE=FQ","FILING_STATUS=MR","SCALING_FORMAT=MLN","Sort=A","Dates=H","DateFormat=P","Fill=—","Direction=H","UseDPDF=Y")</f>
        <v>7702</v>
      </c>
      <c r="M28" s="13" cm="1">
        <f t="array" ref="M28">_xll.BDH("CAT US Equity","BS_DISCLOSED_INTANGIBLES","FQ1 2021","FQ1 2021","Currency=USD","Period=FQ","BEST_FPERIOD_OVERRIDE=FQ","FILING_STATUS=MR","SCALING_FORMAT=MLN","Sort=A","Dates=H","DateFormat=P","Fill=—","Direction=H","UseDPDF=Y")</f>
        <v>7589</v>
      </c>
      <c r="N28" s="13" cm="1">
        <f t="array" ref="N28">_xll.BDH("CAT US Equity","BS_DISCLOSED_INTANGIBLES","FQ2 2021","FQ2 2021","Currency=USD","Period=FQ","BEST_FPERIOD_OVERRIDE=FQ","FILING_STATUS=MR","SCALING_FORMAT=MLN","Sort=A","Dates=H","DateFormat=P","Fill=—","Direction=H","UseDPDF=Y")</f>
        <v>7548</v>
      </c>
      <c r="O28" s="13" cm="1">
        <f t="array" ref="O28">_xll.BDH("CAT US Equity","BS_DISCLOSED_INTANGIBLES","FQ3 2021","FQ3 2021","Currency=USD","Period=FQ","BEST_FPERIOD_OVERRIDE=FQ","FILING_STATUS=MR","SCALING_FORMAT=MLN","Sort=A","Dates=H","DateFormat=P","Fill=—","Direction=H","UseDPDF=Y")</f>
        <v>7474</v>
      </c>
      <c r="P28" s="13" cm="1">
        <f t="array" ref="P28">_xll.BDH("CAT US Equity","BS_DISCLOSED_INTANGIBLES","FQ4 2021","FQ4 2021","Currency=USD","Period=FQ","BEST_FPERIOD_OVERRIDE=FQ","FILING_STATUS=MR","SCALING_FORMAT=MLN","Sort=A","Dates=H","DateFormat=P","Fill=—","Direction=H","UseDPDF=Y")</f>
        <v>7366</v>
      </c>
      <c r="Q28" s="13" cm="1">
        <f t="array" ref="Q28">_xll.BDH("CAT US Equity","BS_DISCLOSED_INTANGIBLES","FQ1 2022","FQ1 2022","Currency=USD","Period=FQ","BEST_FPERIOD_OVERRIDE=FQ","FILING_STATUS=MR","SCALING_FORMAT=MLN","Sort=A","Dates=H","DateFormat=P","Fill=—","Direction=H","UseDPDF=Y")</f>
        <v>7260</v>
      </c>
      <c r="R28" s="13" cm="1">
        <f t="array" ref="R28">_xll.BDH("CAT US Equity","BS_DISCLOSED_INTANGIBLES","FQ2 2022","FQ2 2022","Currency=USD","Period=FQ","BEST_FPERIOD_OVERRIDE=FQ","FILING_STATUS=MR","SCALING_FORMAT=MLN","Sort=A","Dates=H","DateFormat=P","Fill=—","Direction=H","UseDPDF=Y")</f>
        <v>7084</v>
      </c>
      <c r="S28" s="13" cm="1">
        <f t="array" ref="S28">_xll.BDH("CAT US Equity","BS_DISCLOSED_INTANGIBLES","FQ3 2022","FQ3 2022","Currency=USD","Period=FQ","BEST_FPERIOD_OVERRIDE=FQ","FILING_STATUS=MR","SCALING_FORMAT=MLN","Sort=A","Dates=H","DateFormat=P","Fill=—","Direction=H","UseDPDF=Y")</f>
        <v>6898</v>
      </c>
      <c r="T28" s="13" cm="1">
        <f t="array" ref="T28">_xll.BDH("CAT US Equity","BS_DISCLOSED_INTANGIBLES","FQ4 2022","FQ4 2022","Currency=USD","Period=FQ","BEST_FPERIOD_OVERRIDE=FQ","FILING_STATUS=MR","SCALING_FORMAT=MLN","Sort=A","Dates=H","DateFormat=P","Fill=—","Direction=H","UseDPDF=Y")</f>
        <v>6046</v>
      </c>
      <c r="U28" s="13" cm="1">
        <f t="array" ref="U28">_xll.BDH("CAT US Equity","BS_DISCLOSED_INTANGIBLES","FQ1 2023","FQ1 2023","Currency=USD","Period=FQ","BEST_FPERIOD_OVERRIDE=FQ","FILING_STATUS=MR","SCALING_FORMAT=MLN","Sort=A","Dates=H","DateFormat=P","Fill=—","Direction=H","UseDPDF=Y")</f>
        <v>6003</v>
      </c>
      <c r="V28" s="13" cm="1">
        <f t="array" ref="V28">_xll.BDH("CAT US Equity","BS_DISCLOSED_INTANGIBLES","FQ2 2023","FQ2 2023","Currency=USD","Period=FQ","BEST_FPERIOD_OVERRIDE=FQ","FILING_STATUS=MR","SCALING_FORMAT=MLN","Sort=A","Dates=H","DateFormat=P","Fill=—","Direction=H","UseDPDF=Y")</f>
        <v>5923</v>
      </c>
      <c r="W28" s="13" cm="1">
        <f t="array" ref="W28">_xll.BDH("CAT US Equity","BS_DISCLOSED_INTANGIBLES","FQ3 2023","FQ3 2023","Currency=USD","Period=FQ","BEST_FPERIOD_OVERRIDE=FQ","FILING_STATUS=MR","SCALING_FORMAT=MLN","Sort=A","Dates=H","DateFormat=P","Fill=—","Direction=H","UseDPDF=Y")</f>
        <v>5872</v>
      </c>
      <c r="X28" s="13" cm="1">
        <f t="array" ref="X28">_xll.BDH("CAT US Equity","BS_DISCLOSED_INTANGIBLES","FQ4 2023","FQ4 2023","Currency=USD","Period=FQ","BEST_FPERIOD_OVERRIDE=FQ","FILING_STATUS=MR","SCALING_FORMAT=MLN","Sort=A","Dates=H","DateFormat=P","Fill=—","Direction=H","UseDPDF=Y")</f>
        <v>5872</v>
      </c>
      <c r="Y28" s="13" cm="1">
        <f t="array" ref="Y28">_xll.BDH("CAT US Equity","BS_DISCLOSED_INTANGIBLES","FQ1 2024","FQ1 2024","Currency=USD","Period=FQ","BEST_FPERIOD_OVERRIDE=FQ","FILING_STATUS=MR","SCALING_FORMAT=MLN","Sort=A","Dates=H","DateFormat=P","Fill=—","Direction=H","UseDPDF=Y")</f>
        <v>5793</v>
      </c>
      <c r="Z28" s="13" cm="1">
        <f t="array" ref="Z28">_xll.BDH("CAT US Equity","BS_DISCLOSED_INTANGIBLES","FQ2 2024","FQ2 2024","Currency=USD","Period=FQ","BEST_FPERIOD_OVERRIDE=FQ","FILING_STATUS=MR","SCALING_FORMAT=MLN","Sort=A","Dates=H","DateFormat=P","Fill=—","Direction=H","UseDPDF=Y")</f>
        <v>5752</v>
      </c>
      <c r="AA28" s="13" cm="1">
        <f t="array" ref="AA28">_xll.BDH("CAT US Equity","BS_DISCLOSED_INTANGIBLES","FQ3 2024","FQ3 2024","Currency=USD","Period=FQ","BEST_FPERIOD_OVERRIDE=FQ","FILING_STATUS=MR","SCALING_FORMAT=MLN","Sort=A","Dates=H","DateFormat=P","Fill=—","Direction=H","UseDPDF=Y")</f>
        <v>5765</v>
      </c>
      <c r="AB28" s="13" cm="1">
        <f t="array" ref="AB28">_xll.BDH("CAT US Equity","BS_DISCLOSED_INTANGIBLES","FQ4 2024","FQ4 2024","Currency=USD","Period=FQ","BEST_FPERIOD_OVERRIDE=FQ","FILING_STATUS=MR","SCALING_FORMAT=MLN","Sort=A","Dates=H","DateFormat=P","Fill=—","Direction=H","UseDPDF=Y")</f>
        <v>5640</v>
      </c>
      <c r="AC28" s="13" cm="1">
        <f t="array" ref="AC28">_xll.BDH("CAT US Equity","BS_DISCLOSED_INTANGIBLES","FQ1 2025","FQ1 2025","Currency=USD","Period=FQ","BEST_FPERIOD_OVERRIDE=FQ","FILING_STATUS=MR","SCALING_FORMAT=MLN","Sort=A","Dates=H","DateFormat=P","Fill=—","Direction=H","UseDPDF=Y")</f>
        <v>5631</v>
      </c>
      <c r="AD28" s="13" cm="1">
        <f t="array" ref="AD28">_xll.BDH("CAT US Equity","BS_DISCLOSED_INTANGIBLES","FQ2 2025","FQ2 2025","Currency=USD","Period=FQ","BEST_FPERIOD_OVERRIDE=FQ","FILING_STATUS=MR","SCALING_FORMAT=MLN","Sort=A","Dates=H","DateFormat=P","Fill=—","Direction=H","UseDPDF=Y")</f>
        <v>5652</v>
      </c>
      <c r="AE28" s="13" cm="1">
        <f t="array" ref="AE28">_xll.BDH("CAT US Equity","BS_DISCLOSED_INTANGIBLES","FQ3 2025","FQ3 2025","Currency=USD","Period=FQ","BEST_FPERIOD_OVERRIDE=FQ","FILING_STATUS=MR","SCALING_FORMAT=MLN","Sort=A","Dates=H","DateFormat=P","Fill=—","Direction=H","UseDPDF=Y")</f>
        <v>5610</v>
      </c>
      <c r="AF28" s="13" cm="1">
        <f t="array" ref="AF28">_xll.BDH("CAT US Equity","BS_DISCLOSED_INTANGIBLES","FQ4 2025","FQ4 2025","Currency=USD","Period=FQ","BEST_FPERIOD_OVERRIDE=FQ","FILING_STATUS=MR","SCALING_FORMAT=MLN","Sort=A","Dates=H","DateFormat=P","Fill=—","Direction=H","UseDPDF=Y")</f>
        <v>5562</v>
      </c>
    </row>
    <row r="29" spans="1:32" x14ac:dyDescent="0.25">
      <c r="A29" s="11" t="s">
        <v>110</v>
      </c>
      <c r="B29" s="11" t="s">
        <v>111</v>
      </c>
      <c r="C29" s="17" cm="1">
        <f t="array" ref="C29">_xll.BDH("CAT US Equity","BS_GOODWILL","FQ3 2018","FQ3 2018","Currency=USD","Period=FQ","BEST_FPERIOD_OVERRIDE=FQ","FILING_STATUS=MR","SCALING_FORMAT=MLN","Sort=A","Dates=H","DateFormat=P","Fill=—","Direction=H","UseDPDF=Y")</f>
        <v>6233</v>
      </c>
      <c r="D29" s="17" cm="1">
        <f t="array" ref="D29">_xll.BDH("CAT US Equity","BS_GOODWILL","FQ4 2018","FQ4 2018","Currency=USD","Period=FQ","BEST_FPERIOD_OVERRIDE=FQ","FILING_STATUS=MR","SCALING_FORMAT=MLN","Sort=A","Dates=H","DateFormat=P","Fill=—","Direction=H","UseDPDF=Y")</f>
        <v>6217</v>
      </c>
      <c r="E29" s="17" cm="1">
        <f t="array" ref="E29">_xll.BDH("CAT US Equity","BS_GOODWILL","FQ1 2019","FQ1 2019","Currency=USD","Period=FQ","BEST_FPERIOD_OVERRIDE=FQ","FILING_STATUS=MR","SCALING_FORMAT=MLN","Sort=A","Dates=H","DateFormat=P","Fill=—","Direction=H","UseDPDF=Y")</f>
        <v>6191</v>
      </c>
      <c r="F29" s="17" cm="1">
        <f t="array" ref="F29">_xll.BDH("CAT US Equity","BS_GOODWILL","FQ2 2019","FQ2 2019","Currency=USD","Period=FQ","BEST_FPERIOD_OVERRIDE=FQ","FILING_STATUS=MR","SCALING_FORMAT=MLN","Sort=A","Dates=H","DateFormat=P","Fill=—","Direction=H","UseDPDF=Y")</f>
        <v>6211</v>
      </c>
      <c r="G29" s="17" cm="1">
        <f t="array" ref="G29">_xll.BDH("CAT US Equity","BS_GOODWILL","FQ3 2019","FQ3 2019","Currency=USD","Period=FQ","BEST_FPERIOD_OVERRIDE=FQ","FILING_STATUS=MR","SCALING_FORMAT=MLN","Sort=A","Dates=H","DateFormat=P","Fill=—","Direction=H","UseDPDF=Y")</f>
        <v>6142</v>
      </c>
      <c r="H29" s="17" cm="1">
        <f t="array" ref="H29">_xll.BDH("CAT US Equity","BS_GOODWILL","FQ4 2019","FQ4 2019","Currency=USD","Period=FQ","BEST_FPERIOD_OVERRIDE=FQ","FILING_STATUS=MR","SCALING_FORMAT=MLN","Sort=A","Dates=H","DateFormat=P","Fill=—","Direction=H","UseDPDF=Y")</f>
        <v>6196</v>
      </c>
      <c r="I29" s="17" cm="1">
        <f t="array" ref="I29">_xll.BDH("CAT US Equity","BS_GOODWILL","FQ1 2020","FQ1 2020","Currency=USD","Period=FQ","BEST_FPERIOD_OVERRIDE=FQ","FILING_STATUS=MR","SCALING_FORMAT=MLN","Sort=A","Dates=H","DateFormat=P","Fill=—","Direction=H","UseDPDF=Y")</f>
        <v>6140</v>
      </c>
      <c r="J29" s="17" cm="1">
        <f t="array" ref="J29">_xll.BDH("CAT US Equity","BS_GOODWILL","FQ2 2020","FQ2 2020","Currency=USD","Period=FQ","BEST_FPERIOD_OVERRIDE=FQ","FILING_STATUS=MR","SCALING_FORMAT=MLN","Sort=A","Dates=H","DateFormat=P","Fill=—","Direction=H","UseDPDF=Y")</f>
        <v>6192</v>
      </c>
      <c r="K29" s="17" cm="1">
        <f t="array" ref="K29">_xll.BDH("CAT US Equity","BS_GOODWILL","FQ3 2020","FQ3 2020","Currency=USD","Period=FQ","BEST_FPERIOD_OVERRIDE=FQ","FILING_STATUS=MR","SCALING_FORMAT=MLN","Sort=A","Dates=H","DateFormat=P","Fill=—","Direction=H","UseDPDF=Y")</f>
        <v>6304</v>
      </c>
      <c r="L29" s="17" cm="1">
        <f t="array" ref="L29">_xll.BDH("CAT US Equity","BS_GOODWILL","FQ4 2020","FQ4 2020","Currency=USD","Period=FQ","BEST_FPERIOD_OVERRIDE=FQ","FILING_STATUS=MR","SCALING_FORMAT=MLN","Sort=A","Dates=H","DateFormat=P","Fill=—","Direction=H","UseDPDF=Y")</f>
        <v>6394</v>
      </c>
      <c r="M29" s="17" cm="1">
        <f t="array" ref="M29">_xll.BDH("CAT US Equity","BS_GOODWILL","FQ1 2021","FQ1 2021","Currency=USD","Period=FQ","BEST_FPERIOD_OVERRIDE=FQ","FILING_STATUS=MR","SCALING_FORMAT=MLN","Sort=A","Dates=H","DateFormat=P","Fill=—","Direction=H","UseDPDF=Y")</f>
        <v>6343</v>
      </c>
      <c r="N29" s="17" cm="1">
        <f t="array" ref="N29">_xll.BDH("CAT US Equity","BS_GOODWILL","FQ2 2021","FQ2 2021","Currency=USD","Period=FQ","BEST_FPERIOD_OVERRIDE=FQ","FILING_STATUS=MR","SCALING_FORMAT=MLN","Sort=A","Dates=H","DateFormat=P","Fill=—","Direction=H","UseDPDF=Y")</f>
        <v>6372</v>
      </c>
      <c r="O29" s="17" cm="1">
        <f t="array" ref="O29">_xll.BDH("CAT US Equity","BS_GOODWILL","FQ3 2021","FQ3 2021","Currency=USD","Period=FQ","BEST_FPERIOD_OVERRIDE=FQ","FILING_STATUS=MR","SCALING_FORMAT=MLN","Sort=A","Dates=H","DateFormat=P","Fill=—","Direction=H","UseDPDF=Y")</f>
        <v>6353</v>
      </c>
      <c r="P29" s="17" cm="1">
        <f t="array" ref="P29">_xll.BDH("CAT US Equity","BS_GOODWILL","FQ4 2021","FQ4 2021","Currency=USD","Period=FQ","BEST_FPERIOD_OVERRIDE=FQ","FILING_STATUS=MR","SCALING_FORMAT=MLN","Sort=A","Dates=H","DateFormat=P","Fill=—","Direction=H","UseDPDF=Y")</f>
        <v>6324</v>
      </c>
      <c r="Q29" s="17" cm="1">
        <f t="array" ref="Q29">_xll.BDH("CAT US Equity","BS_GOODWILL","FQ1 2022","FQ1 2022","Currency=USD","Period=FQ","BEST_FPERIOD_OVERRIDE=FQ","FILING_STATUS=MR","SCALING_FORMAT=MLN","Sort=A","Dates=H","DateFormat=P","Fill=—","Direction=H","UseDPDF=Y")</f>
        <v>6293</v>
      </c>
      <c r="R29" s="17" cm="1">
        <f t="array" ref="R29">_xll.BDH("CAT US Equity","BS_GOODWILL","FQ2 2022","FQ2 2022","Currency=USD","Period=FQ","BEST_FPERIOD_OVERRIDE=FQ","FILING_STATUS=MR","SCALING_FORMAT=MLN","Sort=A","Dates=H","DateFormat=P","Fill=—","Direction=H","UseDPDF=Y")</f>
        <v>6195</v>
      </c>
      <c r="S29" s="17" cm="1">
        <f t="array" ref="S29">_xll.BDH("CAT US Equity","BS_GOODWILL","FQ3 2022","FQ3 2022","Currency=USD","Period=FQ","BEST_FPERIOD_OVERRIDE=FQ","FILING_STATUS=MR","SCALING_FORMAT=MLN","Sort=A","Dates=H","DateFormat=P","Fill=—","Direction=H","UseDPDF=Y")</f>
        <v>6092</v>
      </c>
      <c r="T29" s="17" cm="1">
        <f t="array" ref="T29">_xll.BDH("CAT US Equity","BS_GOODWILL","FQ4 2022","FQ4 2022","Currency=USD","Period=FQ","BEST_FPERIOD_OVERRIDE=FQ","FILING_STATUS=MR","SCALING_FORMAT=MLN","Sort=A","Dates=H","DateFormat=P","Fill=—","Direction=H","UseDPDF=Y")</f>
        <v>5288</v>
      </c>
      <c r="U29" s="17" cm="1">
        <f t="array" ref="U29">_xll.BDH("CAT US Equity","BS_GOODWILL","FQ1 2023","FQ1 2023","Currency=USD","Period=FQ","BEST_FPERIOD_OVERRIDE=FQ","FILING_STATUS=MR","SCALING_FORMAT=MLN","Sort=A","Dates=H","DateFormat=P","Fill=—","Direction=H","UseDPDF=Y")</f>
        <v>5309</v>
      </c>
      <c r="V29" s="17" cm="1">
        <f t="array" ref="V29">_xll.BDH("CAT US Equity","BS_GOODWILL","FQ2 2023","FQ2 2023","Currency=USD","Period=FQ","BEST_FPERIOD_OVERRIDE=FQ","FILING_STATUS=MR","SCALING_FORMAT=MLN","Sort=A","Dates=H","DateFormat=P","Fill=—","Direction=H","UseDPDF=Y")</f>
        <v>5293</v>
      </c>
      <c r="W29" s="17" cm="1">
        <f t="array" ref="W29">_xll.BDH("CAT US Equity","BS_GOODWILL","FQ3 2023","FQ3 2023","Currency=USD","Period=FQ","BEST_FPERIOD_OVERRIDE=FQ","FILING_STATUS=MR","SCALING_FORMAT=MLN","Sort=A","Dates=H","DateFormat=P","Fill=—","Direction=H","UseDPDF=Y")</f>
        <v>5268</v>
      </c>
      <c r="X29" s="17" cm="1">
        <f t="array" ref="X29">_xll.BDH("CAT US Equity","BS_GOODWILL","FQ4 2023","FQ4 2023","Currency=USD","Period=FQ","BEST_FPERIOD_OVERRIDE=FQ","FILING_STATUS=MR","SCALING_FORMAT=MLN","Sort=A","Dates=H","DateFormat=P","Fill=—","Direction=H","UseDPDF=Y")</f>
        <v>5308</v>
      </c>
      <c r="Y29" s="17" cm="1">
        <f t="array" ref="Y29">_xll.BDH("CAT US Equity","BS_GOODWILL","FQ1 2024","FQ1 2024","Currency=USD","Period=FQ","BEST_FPERIOD_OVERRIDE=FQ","FILING_STATUS=MR","SCALING_FORMAT=MLN","Sort=A","Dates=H","DateFormat=P","Fill=—","Direction=H","UseDPDF=Y")</f>
        <v>5277</v>
      </c>
      <c r="Z29" s="17" cm="1">
        <f t="array" ref="Z29">_xll.BDH("CAT US Equity","BS_GOODWILL","FQ2 2024","FQ2 2024","Currency=USD","Period=FQ","BEST_FPERIOD_OVERRIDE=FQ","FILING_STATUS=MR","SCALING_FORMAT=MLN","Sort=A","Dates=H","DateFormat=P","Fill=—","Direction=H","UseDPDF=Y")</f>
        <v>5264</v>
      </c>
      <c r="AA29" s="17" cm="1">
        <f t="array" ref="AA29">_xll.BDH("CAT US Equity","BS_GOODWILL","FQ3 2024","FQ3 2024","Currency=USD","Period=FQ","BEST_FPERIOD_OVERRIDE=FQ","FILING_STATUS=MR","SCALING_FORMAT=MLN","Sort=A","Dates=H","DateFormat=P","Fill=—","Direction=H","UseDPDF=Y")</f>
        <v>5317</v>
      </c>
      <c r="AB29" s="17" cm="1">
        <f t="array" ref="AB29">_xll.BDH("CAT US Equity","BS_GOODWILL","FQ4 2024","FQ4 2024","Currency=USD","Period=FQ","BEST_FPERIOD_OVERRIDE=FQ","FILING_STATUS=MR","SCALING_FORMAT=MLN","Sort=A","Dates=H","DateFormat=P","Fill=—","Direction=H","UseDPDF=Y")</f>
        <v>5241</v>
      </c>
      <c r="AC29" s="17" cm="1">
        <f t="array" ref="AC29">_xll.BDH("CAT US Equity","BS_GOODWILL","FQ1 2025","FQ1 2025","Currency=USD","Period=FQ","BEST_FPERIOD_OVERRIDE=FQ","FILING_STATUS=MR","SCALING_FORMAT=MLN","Sort=A","Dates=H","DateFormat=P","Fill=—","Direction=H","UseDPDF=Y")</f>
        <v>5270</v>
      </c>
      <c r="AD29" s="17" cm="1">
        <f t="array" ref="AD29">_xll.BDH("CAT US Equity","BS_GOODWILL","FQ2 2025","FQ2 2025","Currency=USD","Period=FQ","BEST_FPERIOD_OVERRIDE=FQ","FILING_STATUS=MR","SCALING_FORMAT=MLN","Sort=A","Dates=H","DateFormat=P","Fill=—","Direction=H","UseDPDF=Y")</f>
        <v>5331</v>
      </c>
      <c r="AE29" s="17" cm="1">
        <f t="array" ref="AE29">_xll.BDH("CAT US Equity","BS_GOODWILL","FQ3 2025","FQ3 2025","Currency=USD","Period=FQ","BEST_FPERIOD_OVERRIDE=FQ","FILING_STATUS=MR","SCALING_FORMAT=MLN","Sort=A","Dates=H","DateFormat=P","Fill=—","Direction=H","UseDPDF=Y")</f>
        <v>5329</v>
      </c>
      <c r="AF29" s="17" cm="1">
        <f t="array" ref="AF29">_xll.BDH("CAT US Equity","BS_GOODWILL","FQ4 2025","FQ4 2025","Currency=USD","Period=FQ","BEST_FPERIOD_OVERRIDE=FQ","FILING_STATUS=MR","SCALING_FORMAT=MLN","Sort=A","Dates=H","DateFormat=P","Fill=—","Direction=H","UseDPDF=Y")</f>
        <v>5321</v>
      </c>
    </row>
    <row r="30" spans="1:32" x14ac:dyDescent="0.25">
      <c r="A30" s="11" t="s">
        <v>112</v>
      </c>
      <c r="B30" s="11" t="s">
        <v>113</v>
      </c>
      <c r="C30" s="17" cm="1">
        <f t="array" ref="C30">_xll.BDH("CAT US Equity","OTHER_INTANGIBLE_ASSETS_DETAILED","FQ3 2018","FQ3 2018","Currency=USD","Period=FQ","BEST_FPERIOD_OVERRIDE=FQ","FILING_STATUS=MR","SCALING_FORMAT=MLN","Sort=A","Dates=H","DateFormat=P","Fill=—","Direction=H","UseDPDF=Y")</f>
        <v>1976</v>
      </c>
      <c r="D30" s="17" cm="1">
        <f t="array" ref="D30">_xll.BDH("CAT US Equity","OTHER_INTANGIBLE_ASSETS_DETAILED","FQ4 2018","FQ4 2018","Currency=USD","Period=FQ","BEST_FPERIOD_OVERRIDE=FQ","FILING_STATUS=MR","SCALING_FORMAT=MLN","Sort=A","Dates=H","DateFormat=P","Fill=—","Direction=H","UseDPDF=Y")</f>
        <v>1897</v>
      </c>
      <c r="E30" s="17" cm="1">
        <f t="array" ref="E30">_xll.BDH("CAT US Equity","OTHER_INTANGIBLE_ASSETS_DETAILED","FQ1 2019","FQ1 2019","Currency=USD","Period=FQ","BEST_FPERIOD_OVERRIDE=FQ","FILING_STATUS=MR","SCALING_FORMAT=MLN","Sort=A","Dates=H","DateFormat=P","Fill=—","Direction=H","UseDPDF=Y")</f>
        <v>1807</v>
      </c>
      <c r="F30" s="17" cm="1">
        <f t="array" ref="F30">_xll.BDH("CAT US Equity","OTHER_INTANGIBLE_ASSETS_DETAILED","FQ2 2019","FQ2 2019","Currency=USD","Period=FQ","BEST_FPERIOD_OVERRIDE=FQ","FILING_STATUS=MR","SCALING_FORMAT=MLN","Sort=A","Dates=H","DateFormat=P","Fill=—","Direction=H","UseDPDF=Y")</f>
        <v>1733</v>
      </c>
      <c r="G30" s="17" cm="1">
        <f t="array" ref="G30">_xll.BDH("CAT US Equity","OTHER_INTANGIBLE_ASSETS_DETAILED","FQ3 2019","FQ3 2019","Currency=USD","Period=FQ","BEST_FPERIOD_OVERRIDE=FQ","FILING_STATUS=MR","SCALING_FORMAT=MLN","Sort=A","Dates=H","DateFormat=P","Fill=—","Direction=H","UseDPDF=Y")</f>
        <v>1630</v>
      </c>
      <c r="H30" s="17" cm="1">
        <f t="array" ref="H30">_xll.BDH("CAT US Equity","OTHER_INTANGIBLE_ASSETS_DETAILED","FQ4 2019","FQ4 2019","Currency=USD","Period=FQ","BEST_FPERIOD_OVERRIDE=FQ","FILING_STATUS=MR","SCALING_FORMAT=MLN","Sort=A","Dates=H","DateFormat=P","Fill=—","Direction=H","UseDPDF=Y")</f>
        <v>1565</v>
      </c>
      <c r="I30" s="17" cm="1">
        <f t="array" ref="I30">_xll.BDH("CAT US Equity","OTHER_INTANGIBLE_ASSETS_DETAILED","FQ1 2020","FQ1 2020","Currency=USD","Period=FQ","BEST_FPERIOD_OVERRIDE=FQ","FILING_STATUS=MR","SCALING_FORMAT=MLN","Sort=A","Dates=H","DateFormat=P","Fill=—","Direction=H","UseDPDF=Y")</f>
        <v>1478</v>
      </c>
      <c r="J30" s="17" cm="1">
        <f t="array" ref="J30">_xll.BDH("CAT US Equity","OTHER_INTANGIBLE_ASSETS_DETAILED","FQ2 2020","FQ2 2020","Currency=USD","Period=FQ","BEST_FPERIOD_OVERRIDE=FQ","FILING_STATUS=MR","SCALING_FORMAT=MLN","Sort=A","Dates=H","DateFormat=P","Fill=—","Direction=H","UseDPDF=Y")</f>
        <v>1420</v>
      </c>
      <c r="K30" s="17" cm="1">
        <f t="array" ref="K30">_xll.BDH("CAT US Equity","OTHER_INTANGIBLE_ASSETS_DETAILED","FQ3 2020","FQ3 2020","Currency=USD","Period=FQ","BEST_FPERIOD_OVERRIDE=FQ","FILING_STATUS=MR","SCALING_FORMAT=MLN","Sort=A","Dates=H","DateFormat=P","Fill=—","Direction=H","UseDPDF=Y")</f>
        <v>1363</v>
      </c>
      <c r="L30" s="17" cm="1">
        <f t="array" ref="L30">_xll.BDH("CAT US Equity","OTHER_INTANGIBLE_ASSETS_DETAILED","FQ4 2020","FQ4 2020","Currency=USD","Period=FQ","BEST_FPERIOD_OVERRIDE=FQ","FILING_STATUS=MR","SCALING_FORMAT=MLN","Sort=A","Dates=H","DateFormat=P","Fill=—","Direction=H","UseDPDF=Y")</f>
        <v>1308</v>
      </c>
      <c r="M30" s="17" cm="1">
        <f t="array" ref="M30">_xll.BDH("CAT US Equity","OTHER_INTANGIBLE_ASSETS_DETAILED","FQ1 2021","FQ1 2021","Currency=USD","Period=FQ","BEST_FPERIOD_OVERRIDE=FQ","FILING_STATUS=MR","SCALING_FORMAT=MLN","Sort=A","Dates=H","DateFormat=P","Fill=—","Direction=H","UseDPDF=Y")</f>
        <v>1246</v>
      </c>
      <c r="N30" s="17" cm="1">
        <f t="array" ref="N30">_xll.BDH("CAT US Equity","OTHER_INTANGIBLE_ASSETS_DETAILED","FQ2 2021","FQ2 2021","Currency=USD","Period=FQ","BEST_FPERIOD_OVERRIDE=FQ","FILING_STATUS=MR","SCALING_FORMAT=MLN","Sort=A","Dates=H","DateFormat=P","Fill=—","Direction=H","UseDPDF=Y")</f>
        <v>1176</v>
      </c>
      <c r="O30" s="17" cm="1">
        <f t="array" ref="O30">_xll.BDH("CAT US Equity","OTHER_INTANGIBLE_ASSETS_DETAILED","FQ3 2021","FQ3 2021","Currency=USD","Period=FQ","BEST_FPERIOD_OVERRIDE=FQ","FILING_STATUS=MR","SCALING_FORMAT=MLN","Sort=A","Dates=H","DateFormat=P","Fill=—","Direction=H","UseDPDF=Y")</f>
        <v>1121</v>
      </c>
      <c r="P30" s="17" cm="1">
        <f t="array" ref="P30">_xll.BDH("CAT US Equity","OTHER_INTANGIBLE_ASSETS_DETAILED","FQ4 2021","FQ4 2021","Currency=USD","Period=FQ","BEST_FPERIOD_OVERRIDE=FQ","FILING_STATUS=MR","SCALING_FORMAT=MLN","Sort=A","Dates=H","DateFormat=P","Fill=—","Direction=H","UseDPDF=Y")</f>
        <v>1042</v>
      </c>
      <c r="Q30" s="17" cm="1">
        <f t="array" ref="Q30">_xll.BDH("CAT US Equity","OTHER_INTANGIBLE_ASSETS_DETAILED","FQ1 2022","FQ1 2022","Currency=USD","Period=FQ","BEST_FPERIOD_OVERRIDE=FQ","FILING_STATUS=MR","SCALING_FORMAT=MLN","Sort=A","Dates=H","DateFormat=P","Fill=—","Direction=H","UseDPDF=Y")</f>
        <v>967</v>
      </c>
      <c r="R30" s="17" cm="1">
        <f t="array" ref="R30">_xll.BDH("CAT US Equity","OTHER_INTANGIBLE_ASSETS_DETAILED","FQ2 2022","FQ2 2022","Currency=USD","Period=FQ","BEST_FPERIOD_OVERRIDE=FQ","FILING_STATUS=MR","SCALING_FORMAT=MLN","Sort=A","Dates=H","DateFormat=P","Fill=—","Direction=H","UseDPDF=Y")</f>
        <v>889</v>
      </c>
      <c r="S30" s="17" cm="1">
        <f t="array" ref="S30">_xll.BDH("CAT US Equity","OTHER_INTANGIBLE_ASSETS_DETAILED","FQ3 2022","FQ3 2022","Currency=USD","Period=FQ","BEST_FPERIOD_OVERRIDE=FQ","FILING_STATUS=MR","SCALING_FORMAT=MLN","Sort=A","Dates=H","DateFormat=P","Fill=—","Direction=H","UseDPDF=Y")</f>
        <v>806</v>
      </c>
      <c r="T30" s="17" cm="1">
        <f t="array" ref="T30">_xll.BDH("CAT US Equity","OTHER_INTANGIBLE_ASSETS_DETAILED","FQ4 2022","FQ4 2022","Currency=USD","Period=FQ","BEST_FPERIOD_OVERRIDE=FQ","FILING_STATUS=MR","SCALING_FORMAT=MLN","Sort=A","Dates=H","DateFormat=P","Fill=—","Direction=H","UseDPDF=Y")</f>
        <v>758</v>
      </c>
      <c r="U30" s="17" cm="1">
        <f t="array" ref="U30">_xll.BDH("CAT US Equity","OTHER_INTANGIBLE_ASSETS_DETAILED","FQ1 2023","FQ1 2023","Currency=USD","Period=FQ","BEST_FPERIOD_OVERRIDE=FQ","FILING_STATUS=MR","SCALING_FORMAT=MLN","Sort=A","Dates=H","DateFormat=P","Fill=—","Direction=H","UseDPDF=Y")</f>
        <v>694</v>
      </c>
      <c r="V30" s="17" cm="1">
        <f t="array" ref="V30">_xll.BDH("CAT US Equity","OTHER_INTANGIBLE_ASSETS_DETAILED","FQ2 2023","FQ2 2023","Currency=USD","Period=FQ","BEST_FPERIOD_OVERRIDE=FQ","FILING_STATUS=MR","SCALING_FORMAT=MLN","Sort=A","Dates=H","DateFormat=P","Fill=—","Direction=H","UseDPDF=Y")</f>
        <v>630</v>
      </c>
      <c r="W30" s="17" cm="1">
        <f t="array" ref="W30">_xll.BDH("CAT US Equity","OTHER_INTANGIBLE_ASSETS_DETAILED","FQ3 2023","FQ3 2023","Currency=USD","Period=FQ","BEST_FPERIOD_OVERRIDE=FQ","FILING_STATUS=MR","SCALING_FORMAT=MLN","Sort=A","Dates=H","DateFormat=P","Fill=—","Direction=H","UseDPDF=Y")</f>
        <v>604</v>
      </c>
      <c r="X30" s="17" cm="1">
        <f t="array" ref="X30">_xll.BDH("CAT US Equity","OTHER_INTANGIBLE_ASSETS_DETAILED","FQ4 2023","FQ4 2023","Currency=USD","Period=FQ","BEST_FPERIOD_OVERRIDE=FQ","FILING_STATUS=MR","SCALING_FORMAT=MLN","Sort=A","Dates=H","DateFormat=P","Fill=—","Direction=H","UseDPDF=Y")</f>
        <v>564</v>
      </c>
      <c r="Y30" s="17" cm="1">
        <f t="array" ref="Y30">_xll.BDH("CAT US Equity","OTHER_INTANGIBLE_ASSETS_DETAILED","FQ1 2024","FQ1 2024","Currency=USD","Period=FQ","BEST_FPERIOD_OVERRIDE=FQ","FILING_STATUS=MR","SCALING_FORMAT=MLN","Sort=A","Dates=H","DateFormat=P","Fill=—","Direction=H","UseDPDF=Y")</f>
        <v>516</v>
      </c>
      <c r="Z30" s="17" cm="1">
        <f t="array" ref="Z30">_xll.BDH("CAT US Equity","OTHER_INTANGIBLE_ASSETS_DETAILED","FQ2 2024","FQ2 2024","Currency=USD","Period=FQ","BEST_FPERIOD_OVERRIDE=FQ","FILING_STATUS=MR","SCALING_FORMAT=MLN","Sort=A","Dates=H","DateFormat=P","Fill=—","Direction=H","UseDPDF=Y")</f>
        <v>488</v>
      </c>
      <c r="AA30" s="17" cm="1">
        <f t="array" ref="AA30">_xll.BDH("CAT US Equity","OTHER_INTANGIBLE_ASSETS_DETAILED","FQ3 2024","FQ3 2024","Currency=USD","Period=FQ","BEST_FPERIOD_OVERRIDE=FQ","FILING_STATUS=MR","SCALING_FORMAT=MLN","Sort=A","Dates=H","DateFormat=P","Fill=—","Direction=H","UseDPDF=Y")</f>
        <v>448</v>
      </c>
      <c r="AB30" s="17" cm="1">
        <f t="array" ref="AB30">_xll.BDH("CAT US Equity","OTHER_INTANGIBLE_ASSETS_DETAILED","FQ4 2024","FQ4 2024","Currency=USD","Period=FQ","BEST_FPERIOD_OVERRIDE=FQ","FILING_STATUS=MR","SCALING_FORMAT=MLN","Sort=A","Dates=H","DateFormat=P","Fill=—","Direction=H","UseDPDF=Y")</f>
        <v>399</v>
      </c>
      <c r="AC30" s="17" cm="1">
        <f t="array" ref="AC30">_xll.BDH("CAT US Equity","OTHER_INTANGIBLE_ASSETS_DETAILED","FQ1 2025","FQ1 2025","Currency=USD","Period=FQ","BEST_FPERIOD_OVERRIDE=FQ","FILING_STATUS=MR","SCALING_FORMAT=MLN","Sort=A","Dates=H","DateFormat=P","Fill=—","Direction=H","UseDPDF=Y")</f>
        <v>361</v>
      </c>
      <c r="AD30" s="17" cm="1">
        <f t="array" ref="AD30">_xll.BDH("CAT US Equity","OTHER_INTANGIBLE_ASSETS_DETAILED","FQ2 2025","FQ2 2025","Currency=USD","Period=FQ","BEST_FPERIOD_OVERRIDE=FQ","FILING_STATUS=MR","SCALING_FORMAT=MLN","Sort=A","Dates=H","DateFormat=P","Fill=—","Direction=H","UseDPDF=Y")</f>
        <v>321</v>
      </c>
      <c r="AE30" s="17" cm="1">
        <f t="array" ref="AE30">_xll.BDH("CAT US Equity","OTHER_INTANGIBLE_ASSETS_DETAILED","FQ3 2025","FQ3 2025","Currency=USD","Period=FQ","BEST_FPERIOD_OVERRIDE=FQ","FILING_STATUS=MR","SCALING_FORMAT=MLN","Sort=A","Dates=H","DateFormat=P","Fill=—","Direction=H","UseDPDF=Y")</f>
        <v>281</v>
      </c>
      <c r="AF30" s="17" cm="1">
        <f t="array" ref="AF30">_xll.BDH("CAT US Equity","OTHER_INTANGIBLE_ASSETS_DETAILED","FQ4 2025","FQ4 2025","Currency=USD","Period=FQ","BEST_FPERIOD_OVERRIDE=FQ","FILING_STATUS=MR","SCALING_FORMAT=MLN","Sort=A","Dates=H","DateFormat=P","Fill=—","Direction=H","UseDPDF=Y")</f>
        <v>241</v>
      </c>
    </row>
    <row r="31" spans="1:32" x14ac:dyDescent="0.25">
      <c r="A31" s="10" t="s">
        <v>114</v>
      </c>
      <c r="B31" s="10" t="s">
        <v>115</v>
      </c>
      <c r="C31" s="13" cm="1">
        <f t="array" ref="C31">_xll.BDH("CAT US Equity","BS_DEFERRED_TAX_ASSETS_LT","FQ3 2018","FQ3 2018","Currency=USD","Period=FQ","BEST_FPERIOD_OVERRIDE=FQ","FILING_STATUS=MR","SCALING_FORMAT=MLN","Sort=A","Dates=H","DateFormat=P","Fill=—","Direction=H","UseDPDF=Y")</f>
        <v>1288</v>
      </c>
      <c r="D31" s="13" cm="1">
        <f t="array" ref="D31">_xll.BDH("CAT US Equity","BS_DEFERRED_TAX_ASSETS_LT","FQ4 2018","FQ4 2018","Currency=USD","Period=FQ","BEST_FPERIOD_OVERRIDE=FQ","FILING_STATUS=MR","SCALING_FORMAT=MLN","Sort=A","Dates=H","DateFormat=P","Fill=—","Direction=H","UseDPDF=Y")</f>
        <v>1439</v>
      </c>
      <c r="E31" s="13" cm="1">
        <f t="array" ref="E31">_xll.BDH("CAT US Equity","BS_DEFERRED_TAX_ASSETS_LT","FQ1 2019","FQ1 2019","Currency=USD","Period=FQ","BEST_FPERIOD_OVERRIDE=FQ","FILING_STATUS=MR","SCALING_FORMAT=MLN","Sort=A","Dates=H","DateFormat=P","Fill=—","Direction=H","UseDPDF=Y")</f>
        <v>1378</v>
      </c>
      <c r="F31" s="13" cm="1">
        <f t="array" ref="F31">_xll.BDH("CAT US Equity","BS_DEFERRED_TAX_ASSETS_LT","FQ2 2019","FQ2 2019","Currency=USD","Period=FQ","BEST_FPERIOD_OVERRIDE=FQ","FILING_STATUS=MR","SCALING_FORMAT=MLN","Sort=A","Dates=H","DateFormat=P","Fill=—","Direction=H","UseDPDF=Y")</f>
        <v>1473</v>
      </c>
      <c r="G31" s="13" cm="1">
        <f t="array" ref="G31">_xll.BDH("CAT US Equity","BS_DEFERRED_TAX_ASSETS_LT","FQ3 2019","FQ3 2019","Currency=USD","Period=FQ","BEST_FPERIOD_OVERRIDE=FQ","FILING_STATUS=MR","SCALING_FORMAT=MLN","Sort=A","Dates=H","DateFormat=P","Fill=—","Direction=H","UseDPDF=Y")</f>
        <v>1372</v>
      </c>
      <c r="H31" s="13" cm="1">
        <f t="array" ref="H31">_xll.BDH("CAT US Equity","BS_DEFERRED_TAX_ASSETS_LT","FQ4 2019","FQ4 2019","Currency=USD","Period=FQ","BEST_FPERIOD_OVERRIDE=FQ","FILING_STATUS=MR","SCALING_FORMAT=MLN","Sort=A","Dates=H","DateFormat=P","Fill=—","Direction=H","UseDPDF=Y")</f>
        <v>1411</v>
      </c>
      <c r="I31" s="13" cm="1">
        <f t="array" ref="I31">_xll.BDH("CAT US Equity","BS_DEFERRED_TAX_ASSETS_LT","FQ1 2020","FQ1 2020","Currency=USD","Period=FQ","BEST_FPERIOD_OVERRIDE=FQ","FILING_STATUS=MR","SCALING_FORMAT=MLN","Sort=A","Dates=H","DateFormat=P","Fill=—","Direction=H","UseDPDF=Y")</f>
        <v>1426</v>
      </c>
      <c r="J31" s="13" cm="1">
        <f t="array" ref="J31">_xll.BDH("CAT US Equity","BS_DEFERRED_TAX_ASSETS_LT","FQ2 2020","FQ2 2020","Currency=USD","Period=FQ","BEST_FPERIOD_OVERRIDE=FQ","FILING_STATUS=MR","SCALING_FORMAT=MLN","Sort=A","Dates=H","DateFormat=P","Fill=—","Direction=H","UseDPDF=Y")</f>
        <v>1459</v>
      </c>
      <c r="K31" s="13" cm="1">
        <f t="array" ref="K31">_xll.BDH("CAT US Equity","BS_DEFERRED_TAX_ASSETS_LT","FQ3 2020","FQ3 2020","Currency=USD","Period=FQ","BEST_FPERIOD_OVERRIDE=FQ","FILING_STATUS=MR","SCALING_FORMAT=MLN","Sort=A","Dates=H","DateFormat=P","Fill=—","Direction=H","UseDPDF=Y")</f>
        <v>1440</v>
      </c>
      <c r="L31" s="13" cm="1">
        <f t="array" ref="L31">_xll.BDH("CAT US Equity","BS_DEFERRED_TAX_ASSETS_LT","FQ4 2020","FQ4 2020","Currency=USD","Period=FQ","BEST_FPERIOD_OVERRIDE=FQ","FILING_STATUS=MR","SCALING_FORMAT=MLN","Sort=A","Dates=H","DateFormat=P","Fill=—","Direction=H","UseDPDF=Y")</f>
        <v>1523</v>
      </c>
      <c r="M31" s="13" cm="1">
        <f t="array" ref="M31">_xll.BDH("CAT US Equity","BS_DEFERRED_TAX_ASSETS_LT","FQ1 2021","FQ1 2021","Currency=USD","Period=FQ","BEST_FPERIOD_OVERRIDE=FQ","FILING_STATUS=MR","SCALING_FORMAT=MLN","Sort=A","Dates=H","DateFormat=P","Fill=—","Direction=H","UseDPDF=Y")</f>
        <v>1391</v>
      </c>
      <c r="N31" s="13" cm="1">
        <f t="array" ref="N31">_xll.BDH("CAT US Equity","BS_DEFERRED_TAX_ASSETS_LT","FQ2 2021","FQ2 2021","Currency=USD","Period=FQ","BEST_FPERIOD_OVERRIDE=FQ","FILING_STATUS=MR","SCALING_FORMAT=MLN","Sort=A","Dates=H","DateFormat=P","Fill=—","Direction=H","UseDPDF=Y")</f>
        <v>1455</v>
      </c>
      <c r="O31" s="13" cm="1">
        <f t="array" ref="O31">_xll.BDH("CAT US Equity","BS_DEFERRED_TAX_ASSETS_LT","FQ3 2021","FQ3 2021","Currency=USD","Period=FQ","BEST_FPERIOD_OVERRIDE=FQ","FILING_STATUS=MR","SCALING_FORMAT=MLN","Sort=A","Dates=H","DateFormat=P","Fill=—","Direction=H","UseDPDF=Y")</f>
        <v>1744</v>
      </c>
      <c r="P31" s="13" cm="1">
        <f t="array" ref="P31">_xll.BDH("CAT US Equity","BS_DEFERRED_TAX_ASSETS_LT","FQ4 2021","FQ4 2021","Currency=USD","Period=FQ","BEST_FPERIOD_OVERRIDE=FQ","FILING_STATUS=MR","SCALING_FORMAT=MLN","Sort=A","Dates=H","DateFormat=P","Fill=—","Direction=H","UseDPDF=Y")</f>
        <v>1840</v>
      </c>
      <c r="Q31" s="13" cm="1">
        <f t="array" ref="Q31">_xll.BDH("CAT US Equity","BS_DEFERRED_TAX_ASSETS_LT","FQ1 2022","FQ1 2022","Currency=USD","Period=FQ","BEST_FPERIOD_OVERRIDE=FQ","FILING_STATUS=MR","SCALING_FORMAT=MLN","Sort=A","Dates=H","DateFormat=P","Fill=—","Direction=H","UseDPDF=Y")</f>
        <v>1973</v>
      </c>
      <c r="R31" s="13" cm="1">
        <f t="array" ref="R31">_xll.BDH("CAT US Equity","BS_DEFERRED_TAX_ASSETS_LT","FQ2 2022","FQ2 2022","Currency=USD","Period=FQ","BEST_FPERIOD_OVERRIDE=FQ","FILING_STATUS=MR","SCALING_FORMAT=MLN","Sort=A","Dates=H","DateFormat=P","Fill=—","Direction=H","UseDPDF=Y")</f>
        <v>2121</v>
      </c>
      <c r="S31" s="13" cm="1">
        <f t="array" ref="S31">_xll.BDH("CAT US Equity","BS_DEFERRED_TAX_ASSETS_LT","FQ3 2022","FQ3 2022","Currency=USD","Period=FQ","BEST_FPERIOD_OVERRIDE=FQ","FILING_STATUS=MR","SCALING_FORMAT=MLN","Sort=A","Dates=H","DateFormat=P","Fill=—","Direction=H","UseDPDF=Y")</f>
        <v>2218</v>
      </c>
      <c r="T31" s="13" cm="1">
        <f t="array" ref="T31">_xll.BDH("CAT US Equity","BS_DEFERRED_TAX_ASSETS_LT","FQ4 2022","FQ4 2022","Currency=USD","Period=FQ","BEST_FPERIOD_OVERRIDE=FQ","FILING_STATUS=MR","SCALING_FORMAT=MLN","Sort=A","Dates=H","DateFormat=P","Fill=—","Direction=H","UseDPDF=Y")</f>
        <v>2213</v>
      </c>
      <c r="U31" s="13" cm="1">
        <f t="array" ref="U31">_xll.BDH("CAT US Equity","BS_DEFERRED_TAX_ASSETS_LT","FQ1 2023","FQ1 2023","Currency=USD","Period=FQ","BEST_FPERIOD_OVERRIDE=FQ","FILING_STATUS=MR","SCALING_FORMAT=MLN","Sort=A","Dates=H","DateFormat=P","Fill=—","Direction=H","UseDPDF=Y")</f>
        <v>2405</v>
      </c>
      <c r="V31" s="13" cm="1">
        <f t="array" ref="V31">_xll.BDH("CAT US Equity","BS_DEFERRED_TAX_ASSETS_LT","FQ2 2023","FQ2 2023","Currency=USD","Period=FQ","BEST_FPERIOD_OVERRIDE=FQ","FILING_STATUS=MR","SCALING_FORMAT=MLN","Sort=A","Dates=H","DateFormat=P","Fill=—","Direction=H","UseDPDF=Y")</f>
        <v>2607</v>
      </c>
      <c r="W31" s="13" cm="1">
        <f t="array" ref="W31">_xll.BDH("CAT US Equity","BS_DEFERRED_TAX_ASSETS_LT","FQ3 2023","FQ3 2023","Currency=USD","Period=FQ","BEST_FPERIOD_OVERRIDE=FQ","FILING_STATUS=MR","SCALING_FORMAT=MLN","Sort=A","Dates=H","DateFormat=P","Fill=—","Direction=H","UseDPDF=Y")</f>
        <v>2719</v>
      </c>
      <c r="X31" s="13" cm="1">
        <f t="array" ref="X31">_xll.BDH("CAT US Equity","BS_DEFERRED_TAX_ASSETS_LT","FQ4 2023","FQ4 2023","Currency=USD","Period=FQ","BEST_FPERIOD_OVERRIDE=FQ","FILING_STATUS=MR","SCALING_FORMAT=MLN","Sort=A","Dates=H","DateFormat=P","Fill=—","Direction=H","UseDPDF=Y")</f>
        <v>2816</v>
      </c>
      <c r="Y31" s="13" cm="1">
        <f t="array" ref="Y31">_xll.BDH("CAT US Equity","BS_DEFERRED_TAX_ASSETS_LT","FQ1 2024","FQ1 2024","Currency=USD","Period=FQ","BEST_FPERIOD_OVERRIDE=FQ","FILING_STATUS=MR","SCALING_FORMAT=MLN","Sort=A","Dates=H","DateFormat=P","Fill=—","Direction=H","UseDPDF=Y")</f>
        <v>2860</v>
      </c>
      <c r="Z31" s="13" cm="1">
        <f t="array" ref="Z31">_xll.BDH("CAT US Equity","BS_DEFERRED_TAX_ASSETS_LT","FQ2 2024","FQ2 2024","Currency=USD","Period=FQ","BEST_FPERIOD_OVERRIDE=FQ","FILING_STATUS=MR","SCALING_FORMAT=MLN","Sort=A","Dates=H","DateFormat=P","Fill=—","Direction=H","UseDPDF=Y")</f>
        <v>2920</v>
      </c>
      <c r="AA31" s="13" cm="1">
        <f t="array" ref="AA31">_xll.BDH("CAT US Equity","BS_DEFERRED_TAX_ASSETS_LT","FQ3 2024","FQ3 2024","Currency=USD","Period=FQ","BEST_FPERIOD_OVERRIDE=FQ","FILING_STATUS=MR","SCALING_FORMAT=MLN","Sort=A","Dates=H","DateFormat=P","Fill=—","Direction=H","UseDPDF=Y")</f>
        <v>3050</v>
      </c>
      <c r="AB31" s="13" cm="1">
        <f t="array" ref="AB31">_xll.BDH("CAT US Equity","BS_DEFERRED_TAX_ASSETS_LT","FQ4 2024","FQ4 2024","Currency=USD","Period=FQ","BEST_FPERIOD_OVERRIDE=FQ","FILING_STATUS=MR","SCALING_FORMAT=MLN","Sort=A","Dates=H","DateFormat=P","Fill=—","Direction=H","UseDPDF=Y")</f>
        <v>3312</v>
      </c>
      <c r="AC31" s="13" cm="1">
        <f t="array" ref="AC31">_xll.BDH("CAT US Equity","BS_DEFERRED_TAX_ASSETS_LT","FQ1 2025","FQ1 2025","Currency=USD","Period=FQ","BEST_FPERIOD_OVERRIDE=FQ","FILING_STATUS=MR","SCALING_FORMAT=MLN","Sort=A","Dates=H","DateFormat=P","Fill=—","Direction=H","UseDPDF=Y")</f>
        <v>3334</v>
      </c>
      <c r="AD31" s="13" cm="1">
        <f t="array" ref="AD31">_xll.BDH("CAT US Equity","BS_DEFERRED_TAX_ASSETS_LT","FQ2 2025","FQ2 2025","Currency=USD","Period=FQ","BEST_FPERIOD_OVERRIDE=FQ","FILING_STATUS=MR","SCALING_FORMAT=MLN","Sort=A","Dates=H","DateFormat=P","Fill=—","Direction=H","UseDPDF=Y")</f>
        <v>3427</v>
      </c>
      <c r="AE31" s="13" cm="1">
        <f t="array" ref="AE31">_xll.BDH("CAT US Equity","BS_DEFERRED_TAX_ASSETS_LT","FQ3 2025","FQ3 2025","Currency=USD","Period=FQ","BEST_FPERIOD_OVERRIDE=FQ","FILING_STATUS=MR","SCALING_FORMAT=MLN","Sort=A","Dates=H","DateFormat=P","Fill=—","Direction=H","UseDPDF=Y")</f>
        <v>3000</v>
      </c>
      <c r="AF31" s="13" cm="1">
        <f t="array" ref="AF31">_xll.BDH("CAT US Equity","BS_DEFERRED_TAX_ASSETS_LT","FQ4 2025","FQ4 2025","Currency=USD","Period=FQ","BEST_FPERIOD_OVERRIDE=FQ","FILING_STATUS=MR","SCALING_FORMAT=MLN","Sort=A","Dates=H","DateFormat=P","Fill=—","Direction=H","UseDPDF=Y")</f>
        <v>2882</v>
      </c>
    </row>
    <row r="32" spans="1:32" x14ac:dyDescent="0.25">
      <c r="A32" s="10" t="s">
        <v>90</v>
      </c>
      <c r="B32" s="10" t="s">
        <v>116</v>
      </c>
      <c r="C32" s="13" cm="1">
        <f t="array" ref="C32">_xll.BDH("CAT US Equity","BS_DERIV_HEDGING_ASST_LT","FQ3 2018","FQ3 2018","Currency=USD","Period=FQ","BEST_FPERIOD_OVERRIDE=FQ","FILING_STATUS=MR","SCALING_FORMAT=MLN","Sort=A","Dates=H","DateFormat=P","Fill=—","Direction=H","UseDPDF=Y")</f>
        <v>40</v>
      </c>
      <c r="D32" s="13" cm="1">
        <f t="array" ref="D32">_xll.BDH("CAT US Equity","BS_DERIV_HEDGING_ASST_LT","FQ4 2018","FQ4 2018","Currency=USD","Period=FQ","BEST_FPERIOD_OVERRIDE=FQ","FILING_STATUS=MR","SCALING_FORMAT=MLN","Sort=A","Dates=H","DateFormat=P","Fill=—","Direction=H","UseDPDF=Y")</f>
        <v>43</v>
      </c>
      <c r="E32" s="13" cm="1">
        <f t="array" ref="E32">_xll.BDH("CAT US Equity","BS_DERIV_HEDGING_ASST_LT","FQ1 2019","FQ1 2019","Currency=USD","Period=FQ","BEST_FPERIOD_OVERRIDE=FQ","FILING_STATUS=MR","SCALING_FORMAT=MLN","Sort=A","Dates=H","DateFormat=P","Fill=—","Direction=H","UseDPDF=Y")</f>
        <v>61</v>
      </c>
      <c r="F32" s="13" cm="1">
        <f t="array" ref="F32">_xll.BDH("CAT US Equity","BS_DERIV_HEDGING_ASST_LT","FQ2 2019","FQ2 2019","Currency=USD","Period=FQ","BEST_FPERIOD_OVERRIDE=FQ","FILING_STATUS=MR","SCALING_FORMAT=MLN","Sort=A","Dates=H","DateFormat=P","Fill=—","Direction=H","UseDPDF=Y")</f>
        <v>67</v>
      </c>
      <c r="G32" s="13" cm="1">
        <f t="array" ref="G32">_xll.BDH("CAT US Equity","BS_DERIV_HEDGING_ASST_LT","FQ3 2019","FQ3 2019","Currency=USD","Period=FQ","BEST_FPERIOD_OVERRIDE=FQ","FILING_STATUS=MR","SCALING_FORMAT=MLN","Sort=A","Dates=H","DateFormat=P","Fill=—","Direction=H","UseDPDF=Y")</f>
        <v>85</v>
      </c>
      <c r="H32" s="13" cm="1">
        <f t="array" ref="H32">_xll.BDH("CAT US Equity","BS_DERIV_HEDGING_ASST_LT","FQ4 2019","FQ4 2019","Currency=USD","Period=FQ","BEST_FPERIOD_OVERRIDE=FQ","FILING_STATUS=MR","SCALING_FORMAT=MLN","Sort=A","Dates=H","DateFormat=P","Fill=—","Direction=H","UseDPDF=Y")</f>
        <v>32</v>
      </c>
      <c r="I32" s="13" cm="1">
        <f t="array" ref="I32">_xll.BDH("CAT US Equity","BS_DERIV_HEDGING_ASST_LT","FQ1 2020","FQ1 2020","Currency=USD","Period=FQ","BEST_FPERIOD_OVERRIDE=FQ","FILING_STATUS=MR","SCALING_FORMAT=MLN","Sort=A","Dates=H","DateFormat=P","Fill=—","Direction=H","UseDPDF=Y")</f>
        <v>165</v>
      </c>
      <c r="J32" s="13" cm="1">
        <f t="array" ref="J32">_xll.BDH("CAT US Equity","BS_DERIV_HEDGING_ASST_LT","FQ2 2020","FQ2 2020","Currency=USD","Period=FQ","BEST_FPERIOD_OVERRIDE=FQ","FILING_STATUS=MR","SCALING_FORMAT=MLN","Sort=A","Dates=H","DateFormat=P","Fill=—","Direction=H","UseDPDF=Y")</f>
        <v>114</v>
      </c>
      <c r="K32" s="13" cm="1">
        <f t="array" ref="K32">_xll.BDH("CAT US Equity","BS_DERIV_HEDGING_ASST_LT","FQ3 2020","FQ3 2020","Currency=USD","Period=FQ","BEST_FPERIOD_OVERRIDE=FQ","FILING_STATUS=MR","SCALING_FORMAT=MLN","Sort=A","Dates=H","DateFormat=P","Fill=—","Direction=H","UseDPDF=Y")</f>
        <v>102</v>
      </c>
      <c r="L32" s="13" cm="1">
        <f t="array" ref="L32">_xll.BDH("CAT US Equity","BS_DERIV_HEDGING_ASST_LT","FQ4 2020","FQ4 2020","Currency=USD","Period=FQ","BEST_FPERIOD_OVERRIDE=FQ","FILING_STATUS=MR","SCALING_FORMAT=MLN","Sort=A","Dates=H","DateFormat=P","Fill=—","Direction=H","UseDPDF=Y")</f>
        <v>131</v>
      </c>
      <c r="M32" s="13" cm="1">
        <f t="array" ref="M32">_xll.BDH("CAT US Equity","BS_DERIV_HEDGING_ASST_LT","FQ1 2021","FQ1 2021","Currency=USD","Period=FQ","BEST_FPERIOD_OVERRIDE=FQ","FILING_STATUS=MR","SCALING_FORMAT=MLN","Sort=A","Dates=H","DateFormat=P","Fill=—","Direction=H","UseDPDF=Y")</f>
        <v>104</v>
      </c>
      <c r="N32" s="13" cm="1">
        <f t="array" ref="N32">_xll.BDH("CAT US Equity","BS_DERIV_HEDGING_ASST_LT","FQ2 2021","FQ2 2021","Currency=USD","Period=FQ","BEST_FPERIOD_OVERRIDE=FQ","FILING_STATUS=MR","SCALING_FORMAT=MLN","Sort=A","Dates=H","DateFormat=P","Fill=—","Direction=H","UseDPDF=Y")</f>
        <v>151</v>
      </c>
      <c r="O32" s="13" cm="1">
        <f t="array" ref="O32">_xll.BDH("CAT US Equity","BS_DERIV_HEDGING_ASST_LT","FQ3 2021","FQ3 2021","Currency=USD","Period=FQ","BEST_FPERIOD_OVERRIDE=FQ","FILING_STATUS=MR","SCALING_FORMAT=MLN","Sort=A","Dates=H","DateFormat=P","Fill=—","Direction=H","UseDPDF=Y")</f>
        <v>189</v>
      </c>
      <c r="P32" s="13" cm="1">
        <f t="array" ref="P32">_xll.BDH("CAT US Equity","BS_DERIV_HEDGING_ASST_LT","FQ4 2021","FQ4 2021","Currency=USD","Period=FQ","BEST_FPERIOD_OVERRIDE=FQ","FILING_STATUS=MR","SCALING_FORMAT=MLN","Sort=A","Dates=H","DateFormat=P","Fill=—","Direction=H","UseDPDF=Y")</f>
        <v>124</v>
      </c>
      <c r="Q32" s="13" cm="1">
        <f t="array" ref="Q32">_xll.BDH("CAT US Equity","BS_DERIV_HEDGING_ASST_LT","FQ1 2022","FQ1 2022","Currency=USD","Period=FQ","BEST_FPERIOD_OVERRIDE=FQ","FILING_STATUS=MR","SCALING_FORMAT=MLN","Sort=A","Dates=H","DateFormat=P","Fill=—","Direction=H","UseDPDF=Y")</f>
        <v>317</v>
      </c>
      <c r="R32" s="13" cm="1">
        <f t="array" ref="R32">_xll.BDH("CAT US Equity","BS_DERIV_HEDGING_ASST_LT","FQ2 2022","FQ2 2022","Currency=USD","Period=FQ","BEST_FPERIOD_OVERRIDE=FQ","FILING_STATUS=MR","SCALING_FORMAT=MLN","Sort=A","Dates=H","DateFormat=P","Fill=—","Direction=H","UseDPDF=Y")</f>
        <v>562</v>
      </c>
      <c r="S32" s="13" cm="1">
        <f t="array" ref="S32">_xll.BDH("CAT US Equity","BS_DERIV_HEDGING_ASST_LT","FQ3 2022","FQ3 2022","Currency=USD","Period=FQ","BEST_FPERIOD_OVERRIDE=FQ","FILING_STATUS=MR","SCALING_FORMAT=MLN","Sort=A","Dates=H","DateFormat=P","Fill=—","Direction=H","UseDPDF=Y")</f>
        <v>786</v>
      </c>
      <c r="T32" s="13" t="str" cm="1">
        <f t="array" ref="T32">_xll.BDH("CAT US Equity","BS_DERIV_HEDGING_ASST_LT","FQ4 2022","FQ4 2022","Currency=USD","Period=FQ","BEST_FPERIOD_OVERRIDE=FQ","FILING_STATUS=MR","SCALING_FORMAT=MLN","Sort=A","Dates=H","DateFormat=P","Fill=—","Direction=H","UseDPDF=Y")</f>
        <v>—</v>
      </c>
      <c r="U32" s="13" t="str" cm="1">
        <f t="array" ref="U32">_xll.BDH("CAT US Equity","BS_DERIV_HEDGING_ASST_LT","FQ1 2023","FQ1 2023","Currency=USD","Period=FQ","BEST_FPERIOD_OVERRIDE=FQ","FILING_STATUS=MR","SCALING_FORMAT=MLN","Sort=A","Dates=H","DateFormat=P","Fill=—","Direction=H","UseDPDF=Y")</f>
        <v>—</v>
      </c>
      <c r="V32" s="13" t="str" cm="1">
        <f t="array" ref="V32">_xll.BDH("CAT US Equity","BS_DERIV_HEDGING_ASST_LT","FQ2 2023","FQ2 2023","Currency=USD","Period=FQ","BEST_FPERIOD_OVERRIDE=FQ","FILING_STATUS=MR","SCALING_FORMAT=MLN","Sort=A","Dates=H","DateFormat=P","Fill=—","Direction=H","UseDPDF=Y")</f>
        <v>—</v>
      </c>
      <c r="W32" s="13" cm="1">
        <f t="array" ref="W32">_xll.BDH("CAT US Equity","BS_DERIV_HEDGING_ASST_LT","FQ3 2023","FQ3 2023","Currency=USD","Period=FQ","BEST_FPERIOD_OVERRIDE=FQ","FILING_STATUS=MR","SCALING_FORMAT=MLN","Sort=A","Dates=H","DateFormat=P","Fill=—","Direction=H","UseDPDF=Y")</f>
        <v>463</v>
      </c>
      <c r="X32" s="13" t="str" cm="1">
        <f t="array" ref="X32">_xll.BDH("CAT US Equity","BS_DERIV_HEDGING_ASST_LT","FQ4 2023","FQ4 2023","Currency=USD","Period=FQ","BEST_FPERIOD_OVERRIDE=FQ","FILING_STATUS=MR","SCALING_FORMAT=MLN","Sort=A","Dates=H","DateFormat=P","Fill=—","Direction=H","UseDPDF=Y")</f>
        <v>—</v>
      </c>
      <c r="Y32" s="13" t="str" cm="1">
        <f t="array" ref="Y32">_xll.BDH("CAT US Equity","BS_DERIV_HEDGING_ASST_LT","FQ1 2024","FQ1 2024","Currency=USD","Period=FQ","BEST_FPERIOD_OVERRIDE=FQ","FILING_STATUS=MR","SCALING_FORMAT=MLN","Sort=A","Dates=H","DateFormat=P","Fill=—","Direction=H","UseDPDF=Y")</f>
        <v>—</v>
      </c>
      <c r="Z32" s="13" t="str" cm="1">
        <f t="array" ref="Z32">_xll.BDH("CAT US Equity","BS_DERIV_HEDGING_ASST_LT","FQ2 2024","FQ2 2024","Currency=USD","Period=FQ","BEST_FPERIOD_OVERRIDE=FQ","FILING_STATUS=MR","SCALING_FORMAT=MLN","Sort=A","Dates=H","DateFormat=P","Fill=—","Direction=H","UseDPDF=Y")</f>
        <v>—</v>
      </c>
      <c r="AA32" s="13" t="str" cm="1">
        <f t="array" ref="AA32">_xll.BDH("CAT US Equity","BS_DERIV_HEDGING_ASST_LT","FQ3 2024","FQ3 2024","Currency=USD","Period=FQ","BEST_FPERIOD_OVERRIDE=FQ","FILING_STATUS=MR","SCALING_FORMAT=MLN","Sort=A","Dates=H","DateFormat=P","Fill=—","Direction=H","UseDPDF=Y")</f>
        <v>—</v>
      </c>
      <c r="AB32" s="13" cm="1">
        <f t="array" ref="AB32">_xll.BDH("CAT US Equity","BS_DERIV_HEDGING_ASST_LT","FQ4 2024","FQ4 2024","Currency=USD","Period=FQ","BEST_FPERIOD_OVERRIDE=FQ","FILING_STATUS=MR","SCALING_FORMAT=MLN","Sort=A","Dates=H","DateFormat=P","Fill=—","Direction=H","UseDPDF=Y")</f>
        <v>0</v>
      </c>
      <c r="AC32" s="13" t="str" cm="1">
        <f t="array" ref="AC32">_xll.BDH("CAT US Equity","BS_DERIV_HEDGING_ASST_LT","FQ1 2025","FQ1 2025","Currency=USD","Period=FQ","BEST_FPERIOD_OVERRIDE=FQ","FILING_STATUS=MR","SCALING_FORMAT=MLN","Sort=A","Dates=H","DateFormat=P","Fill=—","Direction=H","UseDPDF=Y")</f>
        <v>—</v>
      </c>
      <c r="AD32" s="13" t="str" cm="1">
        <f t="array" ref="AD32">_xll.BDH("CAT US Equity","BS_DERIV_HEDGING_ASST_LT","FQ2 2025","FQ2 2025","Currency=USD","Period=FQ","BEST_FPERIOD_OVERRIDE=FQ","FILING_STATUS=MR","SCALING_FORMAT=MLN","Sort=A","Dates=H","DateFormat=P","Fill=—","Direction=H","UseDPDF=Y")</f>
        <v>—</v>
      </c>
      <c r="AE32" s="13" t="str" cm="1">
        <f t="array" ref="AE32">_xll.BDH("CAT US Equity","BS_DERIV_HEDGING_ASST_LT","FQ3 2025","FQ3 2025","Currency=USD","Period=FQ","BEST_FPERIOD_OVERRIDE=FQ","FILING_STATUS=MR","SCALING_FORMAT=MLN","Sort=A","Dates=H","DateFormat=P","Fill=—","Direction=H","UseDPDF=Y")</f>
        <v>—</v>
      </c>
      <c r="AF32" s="13" cm="1">
        <f t="array" ref="AF32">_xll.BDH("CAT US Equity","BS_DERIV_HEDGING_ASST_LT","FQ4 2025","FQ4 2025","Currency=USD","Period=FQ","BEST_FPERIOD_OVERRIDE=FQ","FILING_STATUS=MR","SCALING_FORMAT=MLN","Sort=A","Dates=H","DateFormat=P","Fill=—","Direction=H","UseDPDF=Y")</f>
        <v>0</v>
      </c>
    </row>
    <row r="33" spans="1:32" x14ac:dyDescent="0.25">
      <c r="A33" s="10" t="s">
        <v>117</v>
      </c>
      <c r="B33" s="10" t="s">
        <v>118</v>
      </c>
      <c r="C33" s="13" cm="1">
        <f t="array" ref="C33">_xll.BDH("CAT US Equity","OTHER_NONCURRENT_ASSETS_DETAILED","FQ3 2018","FQ3 2018","Currency=USD","Period=FQ","BEST_FPERIOD_OVERRIDE=FQ","FILING_STATUS=MR","SCALING_FORMAT=MLN","Sort=A","Dates=H","DateFormat=P","Fill=—","Direction=H","UseDPDF=Y")</f>
        <v>2238</v>
      </c>
      <c r="D33" s="13" cm="1">
        <f t="array" ref="D33">_xll.BDH("CAT US Equity","OTHER_NONCURRENT_ASSETS_DETAILED","FQ4 2018","FQ4 2018","Currency=USD","Period=FQ","BEST_FPERIOD_OVERRIDE=FQ","FILING_STATUS=MR","SCALING_FORMAT=MLN","Sort=A","Dates=H","DateFormat=P","Fill=—","Direction=H","UseDPDF=Y")</f>
        <v>2289</v>
      </c>
      <c r="E33" s="13" cm="1">
        <f t="array" ref="E33">_xll.BDH("CAT US Equity","OTHER_NONCURRENT_ASSETS_DETAILED","FQ1 2019","FQ1 2019","Currency=USD","Period=FQ","BEST_FPERIOD_OVERRIDE=FQ","FILING_STATUS=MR","SCALING_FORMAT=MLN","Sort=A","Dates=H","DateFormat=P","Fill=—","Direction=H","UseDPDF=Y")</f>
        <v>2392</v>
      </c>
      <c r="F33" s="13" cm="1">
        <f t="array" ref="F33">_xll.BDH("CAT US Equity","OTHER_NONCURRENT_ASSETS_DETAILED","FQ2 2019","FQ2 2019","Currency=USD","Period=FQ","BEST_FPERIOD_OVERRIDE=FQ","FILING_STATUS=MR","SCALING_FORMAT=MLN","Sort=A","Dates=H","DateFormat=P","Fill=—","Direction=H","UseDPDF=Y")</f>
        <v>2471</v>
      </c>
      <c r="G33" s="13" cm="1">
        <f t="array" ref="G33">_xll.BDH("CAT US Equity","OTHER_NONCURRENT_ASSETS_DETAILED","FQ3 2019","FQ3 2019","Currency=USD","Period=FQ","BEST_FPERIOD_OVERRIDE=FQ","FILING_STATUS=MR","SCALING_FORMAT=MLN","Sort=A","Dates=H","DateFormat=P","Fill=—","Direction=H","UseDPDF=Y")</f>
        <v>2525</v>
      </c>
      <c r="H33" s="13" cm="1">
        <f t="array" ref="H33">_xll.BDH("CAT US Equity","OTHER_NONCURRENT_ASSETS_DETAILED","FQ4 2019","FQ4 2019","Currency=USD","Period=FQ","BEST_FPERIOD_OVERRIDE=FQ","FILING_STATUS=MR","SCALING_FORMAT=MLN","Sort=A","Dates=H","DateFormat=P","Fill=—","Direction=H","UseDPDF=Y")</f>
        <v>2684</v>
      </c>
      <c r="I33" s="13" cm="1">
        <f t="array" ref="I33">_xll.BDH("CAT US Equity","OTHER_NONCURRENT_ASSETS_DETAILED","FQ1 2020","FQ1 2020","Currency=USD","Period=FQ","BEST_FPERIOD_OVERRIDE=FQ","FILING_STATUS=MR","SCALING_FORMAT=MLN","Sort=A","Dates=H","DateFormat=P","Fill=—","Direction=H","UseDPDF=Y")</f>
        <v>3394</v>
      </c>
      <c r="J33" s="13" cm="1">
        <f t="array" ref="J33">_xll.BDH("CAT US Equity","OTHER_NONCURRENT_ASSETS_DETAILED","FQ2 2020","FQ2 2020","Currency=USD","Period=FQ","BEST_FPERIOD_OVERRIDE=FQ","FILING_STATUS=MR","SCALING_FORMAT=MLN","Sort=A","Dates=H","DateFormat=P","Fill=—","Direction=H","UseDPDF=Y")</f>
        <v>3435</v>
      </c>
      <c r="K33" s="13" cm="1">
        <f t="array" ref="K33">_xll.BDH("CAT US Equity","OTHER_NONCURRENT_ASSETS_DETAILED","FQ3 2020","FQ3 2020","Currency=USD","Period=FQ","BEST_FPERIOD_OVERRIDE=FQ","FILING_STATUS=MR","SCALING_FORMAT=MLN","Sort=A","Dates=H","DateFormat=P","Fill=—","Direction=H","UseDPDF=Y")</f>
        <v>3408</v>
      </c>
      <c r="L33" s="13" cm="1">
        <f t="array" ref="L33">_xll.BDH("CAT US Equity","OTHER_NONCURRENT_ASSETS_DETAILED","FQ4 2020","FQ4 2020","Currency=USD","Period=FQ","BEST_FPERIOD_OVERRIDE=FQ","FILING_STATUS=MR","SCALING_FORMAT=MLN","Sort=A","Dates=H","DateFormat=P","Fill=—","Direction=H","UseDPDF=Y")</f>
        <v>3093</v>
      </c>
      <c r="M33" s="13" cm="1">
        <f t="array" ref="M33">_xll.BDH("CAT US Equity","OTHER_NONCURRENT_ASSETS_DETAILED","FQ1 2021","FQ1 2021","Currency=USD","Period=FQ","BEST_FPERIOD_OVERRIDE=FQ","FILING_STATUS=MR","SCALING_FORMAT=MLN","Sort=A","Dates=H","DateFormat=P","Fill=—","Direction=H","UseDPDF=Y")</f>
        <v>3851</v>
      </c>
      <c r="N33" s="13" cm="1">
        <f t="array" ref="N33">_xll.BDH("CAT US Equity","OTHER_NONCURRENT_ASSETS_DETAILED","FQ2 2021","FQ2 2021","Currency=USD","Period=FQ","BEST_FPERIOD_OVERRIDE=FQ","FILING_STATUS=MR","SCALING_FORMAT=MLN","Sort=A","Dates=H","DateFormat=P","Fill=—","Direction=H","UseDPDF=Y")</f>
        <v>3787</v>
      </c>
      <c r="O33" s="13" cm="1">
        <f t="array" ref="O33">_xll.BDH("CAT US Equity","OTHER_NONCURRENT_ASSETS_DETAILED","FQ3 2021","FQ3 2021","Currency=USD","Period=FQ","BEST_FPERIOD_OVERRIDE=FQ","FILING_STATUS=MR","SCALING_FORMAT=MLN","Sort=A","Dates=H","DateFormat=P","Fill=—","Direction=H","UseDPDF=Y")</f>
        <v>3702</v>
      </c>
      <c r="P33" s="13" cm="1">
        <f t="array" ref="P33">_xll.BDH("CAT US Equity","OTHER_NONCURRENT_ASSETS_DETAILED","FQ4 2021","FQ4 2021","Currency=USD","Period=FQ","BEST_FPERIOD_OVERRIDE=FQ","FILING_STATUS=MR","SCALING_FORMAT=MLN","Sort=A","Dates=H","DateFormat=P","Fill=—","Direction=H","UseDPDF=Y")</f>
        <v>3382</v>
      </c>
      <c r="Q33" s="13" cm="1">
        <f t="array" ref="Q33">_xll.BDH("CAT US Equity","OTHER_NONCURRENT_ASSETS_DETAILED","FQ1 2022","FQ1 2022","Currency=USD","Period=FQ","BEST_FPERIOD_OVERRIDE=FQ","FILING_STATUS=MR","SCALING_FORMAT=MLN","Sort=A","Dates=H","DateFormat=P","Fill=—","Direction=H","UseDPDF=Y")</f>
        <v>4355</v>
      </c>
      <c r="R33" s="13" cm="1">
        <f t="array" ref="R33">_xll.BDH("CAT US Equity","OTHER_NONCURRENT_ASSETS_DETAILED","FQ2 2022","FQ2 2022","Currency=USD","Period=FQ","BEST_FPERIOD_OVERRIDE=FQ","FILING_STATUS=MR","SCALING_FORMAT=MLN","Sort=A","Dates=H","DateFormat=P","Fill=—","Direction=H","UseDPDF=Y")</f>
        <v>4045</v>
      </c>
      <c r="S33" s="13" cm="1">
        <f t="array" ref="S33">_xll.BDH("CAT US Equity","OTHER_NONCURRENT_ASSETS_DETAILED","FQ3 2022","FQ3 2022","Currency=USD","Period=FQ","BEST_FPERIOD_OVERRIDE=FQ","FILING_STATUS=MR","SCALING_FORMAT=MLN","Sort=A","Dates=H","DateFormat=P","Fill=—","Direction=H","UseDPDF=Y")</f>
        <v>3648</v>
      </c>
      <c r="T33" s="13" cm="1">
        <f t="array" ref="T33">_xll.BDH("CAT US Equity","OTHER_NONCURRENT_ASSETS_DETAILED","FQ4 2022","FQ4 2022","Currency=USD","Period=FQ","BEST_FPERIOD_OVERRIDE=FQ","FILING_STATUS=MR","SCALING_FORMAT=MLN","Sort=A","Dates=H","DateFormat=P","Fill=—","Direction=H","UseDPDF=Y")</f>
        <v>4029</v>
      </c>
      <c r="U33" s="13" cm="1">
        <f t="array" ref="U33">_xll.BDH("CAT US Equity","OTHER_NONCURRENT_ASSETS_DETAILED","FQ1 2023","FQ1 2023","Currency=USD","Period=FQ","BEST_FPERIOD_OVERRIDE=FQ","FILING_STATUS=MR","SCALING_FORMAT=MLN","Sort=A","Dates=H","DateFormat=P","Fill=—","Direction=H","UseDPDF=Y")</f>
        <v>4554</v>
      </c>
      <c r="V33" s="13" cm="1">
        <f t="array" ref="V33">_xll.BDH("CAT US Equity","OTHER_NONCURRENT_ASSETS_DETAILED","FQ2 2023","FQ2 2023","Currency=USD","Period=FQ","BEST_FPERIOD_OVERRIDE=FQ","FILING_STATUS=MR","SCALING_FORMAT=MLN","Sort=A","Dates=H","DateFormat=P","Fill=—","Direction=H","UseDPDF=Y")</f>
        <v>4590</v>
      </c>
      <c r="W33" s="13" cm="1">
        <f t="array" ref="W33">_xll.BDH("CAT US Equity","OTHER_NONCURRENT_ASSETS_DETAILED","FQ3 2023","FQ3 2023","Currency=USD","Period=FQ","BEST_FPERIOD_OVERRIDE=FQ","FILING_STATUS=MR","SCALING_FORMAT=MLN","Sort=A","Dates=H","DateFormat=P","Fill=—","Direction=H","UseDPDF=Y")</f>
        <v>4428</v>
      </c>
      <c r="X33" s="13" cm="1">
        <f t="array" ref="X33">_xll.BDH("CAT US Equity","OTHER_NONCURRENT_ASSETS_DETAILED","FQ4 2023","FQ4 2023","Currency=USD","Period=FQ","BEST_FPERIOD_OVERRIDE=FQ","FILING_STATUS=MR","SCALING_FORMAT=MLN","Sort=A","Dates=H","DateFormat=P","Fill=—","Direction=H","UseDPDF=Y")</f>
        <v>4701</v>
      </c>
      <c r="Y33" s="13" cm="1">
        <f t="array" ref="Y33">_xll.BDH("CAT US Equity","OTHER_NONCURRENT_ASSETS_DETAILED","FQ1 2024","FQ1 2024","Currency=USD","Period=FQ","BEST_FPERIOD_OVERRIDE=FQ","FILING_STATUS=MR","SCALING_FORMAT=MLN","Sort=A","Dates=H","DateFormat=P","Fill=—","Direction=H","UseDPDF=Y")</f>
        <v>5155</v>
      </c>
      <c r="Z33" s="13" cm="1">
        <f t="array" ref="Z33">_xll.BDH("CAT US Equity","OTHER_NONCURRENT_ASSETS_DETAILED","FQ2 2024","FQ2 2024","Currency=USD","Period=FQ","BEST_FPERIOD_OVERRIDE=FQ","FILING_STATUS=MR","SCALING_FORMAT=MLN","Sort=A","Dates=H","DateFormat=P","Fill=—","Direction=H","UseDPDF=Y")</f>
        <v>5008</v>
      </c>
      <c r="AA33" s="13" cm="1">
        <f t="array" ref="AA33">_xll.BDH("CAT US Equity","OTHER_NONCURRENT_ASSETS_DETAILED","FQ3 2024","FQ3 2024","Currency=USD","Period=FQ","BEST_FPERIOD_OVERRIDE=FQ","FILING_STATUS=MR","SCALING_FORMAT=MLN","Sort=A","Dates=H","DateFormat=P","Fill=—","Direction=H","UseDPDF=Y")</f>
        <v>5066</v>
      </c>
      <c r="AB33" s="13" cm="1">
        <f t="array" ref="AB33">_xll.BDH("CAT US Equity","OTHER_NONCURRENT_ASSETS_DETAILED","FQ4 2024","FQ4 2024","Currency=USD","Period=FQ","BEST_FPERIOD_OVERRIDE=FQ","FILING_STATUS=MR","SCALING_FORMAT=MLN","Sort=A","Dates=H","DateFormat=P","Fill=—","Direction=H","UseDPDF=Y")</f>
        <v>4710</v>
      </c>
      <c r="AC33" s="13" cm="1">
        <f t="array" ref="AC33">_xll.BDH("CAT US Equity","OTHER_NONCURRENT_ASSETS_DETAILED","FQ1 2025","FQ1 2025","Currency=USD","Period=FQ","BEST_FPERIOD_OVERRIDE=FQ","FILING_STATUS=MR","SCALING_FORMAT=MLN","Sort=A","Dates=H","DateFormat=P","Fill=—","Direction=H","UseDPDF=Y")</f>
        <v>4845</v>
      </c>
      <c r="AD33" s="13" cm="1">
        <f t="array" ref="AD33">_xll.BDH("CAT US Equity","OTHER_NONCURRENT_ASSETS_DETAILED","FQ2 2025","FQ2 2025","Currency=USD","Period=FQ","BEST_FPERIOD_OVERRIDE=FQ","FILING_STATUS=MR","SCALING_FORMAT=MLN","Sort=A","Dates=H","DateFormat=P","Fill=—","Direction=H","UseDPDF=Y")</f>
        <v>5153</v>
      </c>
      <c r="AE33" s="13" cm="1">
        <f t="array" ref="AE33">_xll.BDH("CAT US Equity","OTHER_NONCURRENT_ASSETS_DETAILED","FQ3 2025","FQ3 2025","Currency=USD","Period=FQ","BEST_FPERIOD_OVERRIDE=FQ","FILING_STATUS=MR","SCALING_FORMAT=MLN","Sort=A","Dates=H","DateFormat=P","Fill=—","Direction=H","UseDPDF=Y")</f>
        <v>5381</v>
      </c>
      <c r="AF33" s="13" cm="1">
        <f t="array" ref="AF33">_xll.BDH("CAT US Equity","OTHER_NONCURRENT_ASSETS_DETAILED","FQ4 2025","FQ4 2025","Currency=USD","Period=FQ","BEST_FPERIOD_OVERRIDE=FQ","FILING_STATUS=MR","SCALING_FORMAT=MLN","Sort=A","Dates=H","DateFormat=P","Fill=—","Direction=H","UseDPDF=Y")</f>
        <v>5394</v>
      </c>
    </row>
    <row r="34" spans="1:32" x14ac:dyDescent="0.25">
      <c r="A34" s="6" t="s">
        <v>119</v>
      </c>
      <c r="B34" s="6" t="s">
        <v>120</v>
      </c>
      <c r="C34" s="16" cm="1">
        <f t="array" ref="C34">_xll.BDH("CAT US Equity","BS_TOT_NON_CUR_ASSET","FQ3 2018","FQ3 2018","Currency=USD","Period=FQ","BEST_FPERIOD_OVERRIDE=FQ","FILING_STATUS=MR","SCALING_FORMAT=MLN","Sort=A","Dates=H","DateFormat=P","Fill=—","Direction=H","UseDPDF=Y")</f>
        <v>39755</v>
      </c>
      <c r="D34" s="16" cm="1">
        <f t="array" ref="D34">_xll.BDH("CAT US Equity","BS_TOT_NON_CUR_ASSET","FQ4 2018","FQ4 2018","Currency=USD","Period=FQ","BEST_FPERIOD_OVERRIDE=FQ","FILING_STATUS=MR","SCALING_FORMAT=MLN","Sort=A","Dates=H","DateFormat=P","Fill=—","Direction=H","UseDPDF=Y")</f>
        <v>39906</v>
      </c>
      <c r="E34" s="16" cm="1">
        <f t="array" ref="E34">_xll.BDH("CAT US Equity","BS_TOT_NON_CUR_ASSET","FQ1 2019","FQ1 2019","Currency=USD","Period=FQ","BEST_FPERIOD_OVERRIDE=FQ","FILING_STATUS=MR","SCALING_FORMAT=MLN","Sort=A","Dates=H","DateFormat=P","Fill=—","Direction=H","UseDPDF=Y")</f>
        <v>39600</v>
      </c>
      <c r="F34" s="16" cm="1">
        <f t="array" ref="F34">_xll.BDH("CAT US Equity","BS_TOT_NON_CUR_ASSET","FQ2 2019","FQ2 2019","Currency=USD","Period=FQ","BEST_FPERIOD_OVERRIDE=FQ","FILING_STATUS=MR","SCALING_FORMAT=MLN","Sort=A","Dates=H","DateFormat=P","Fill=—","Direction=H","UseDPDF=Y")</f>
        <v>39398</v>
      </c>
      <c r="G34" s="16" cm="1">
        <f t="array" ref="G34">_xll.BDH("CAT US Equity","BS_TOT_NON_CUR_ASSET","FQ3 2019","FQ3 2019","Currency=USD","Period=FQ","BEST_FPERIOD_OVERRIDE=FQ","FILING_STATUS=MR","SCALING_FORMAT=MLN","Sort=A","Dates=H","DateFormat=P","Fill=—","Direction=H","UseDPDF=Y")</f>
        <v>38833</v>
      </c>
      <c r="H34" s="16" cm="1">
        <f t="array" ref="H34">_xll.BDH("CAT US Equity","BS_TOT_NON_CUR_ASSET","FQ4 2019","FQ4 2019","Currency=USD","Period=FQ","BEST_FPERIOD_OVERRIDE=FQ","FILING_STATUS=MR","SCALING_FORMAT=MLN","Sort=A","Dates=H","DateFormat=P","Fill=—","Direction=H","UseDPDF=Y")</f>
        <v>39260</v>
      </c>
      <c r="I34" s="16" cm="1">
        <f t="array" ref="I34">_xll.BDH("CAT US Equity","BS_TOT_NON_CUR_ASSET","FQ1 2020","FQ1 2020","Currency=USD","Period=FQ","BEST_FPERIOD_OVERRIDE=FQ","FILING_STATUS=MR","SCALING_FORMAT=MLN","Sort=A","Dates=H","DateFormat=P","Fill=—","Direction=H","UseDPDF=Y")</f>
        <v>38308</v>
      </c>
      <c r="J34" s="16" cm="1">
        <f t="array" ref="J34">_xll.BDH("CAT US Equity","BS_TOT_NON_CUR_ASSET","FQ2 2020","FQ2 2020","Currency=USD","Period=FQ","BEST_FPERIOD_OVERRIDE=FQ","FILING_STATUS=MR","SCALING_FORMAT=MLN","Sort=A","Dates=H","DateFormat=P","Fill=—","Direction=H","UseDPDF=Y")</f>
        <v>38704</v>
      </c>
      <c r="K34" s="16" cm="1">
        <f t="array" ref="K34">_xll.BDH("CAT US Equity","BS_TOT_NON_CUR_ASSET","FQ3 2020","FQ3 2020","Currency=USD","Period=FQ","BEST_FPERIOD_OVERRIDE=FQ","FILING_STATUS=MR","SCALING_FORMAT=MLN","Sort=A","Dates=H","DateFormat=P","Fill=—","Direction=H","UseDPDF=Y")</f>
        <v>38207</v>
      </c>
      <c r="L34" s="16" cm="1">
        <f t="array" ref="L34">_xll.BDH("CAT US Equity","BS_TOT_NON_CUR_ASSET","FQ4 2020","FQ4 2020","Currency=USD","Period=FQ","BEST_FPERIOD_OVERRIDE=FQ","FILING_STATUS=MR","SCALING_FORMAT=MLN","Sort=A","Dates=H","DateFormat=P","Fill=—","Direction=H","UseDPDF=Y")</f>
        <v>38860</v>
      </c>
      <c r="M34" s="16" cm="1">
        <f t="array" ref="M34">_xll.BDH("CAT US Equity","BS_TOT_NON_CUR_ASSET","FQ1 2021","FQ1 2021","Currency=USD","Period=FQ","BEST_FPERIOD_OVERRIDE=FQ","FILING_STATUS=MR","SCALING_FORMAT=MLN","Sort=A","Dates=H","DateFormat=P","Fill=—","Direction=H","UseDPDF=Y")</f>
        <v>38148</v>
      </c>
      <c r="N34" s="16" cm="1">
        <f t="array" ref="N34">_xll.BDH("CAT US Equity","BS_TOT_NON_CUR_ASSET","FQ2 2021","FQ2 2021","Currency=USD","Period=FQ","BEST_FPERIOD_OVERRIDE=FQ","FILING_STATUS=MR","SCALING_FORMAT=MLN","Sort=A","Dates=H","DateFormat=P","Fill=—","Direction=H","UseDPDF=Y")</f>
        <v>38751</v>
      </c>
      <c r="O34" s="16" cm="1">
        <f t="array" ref="O34">_xll.BDH("CAT US Equity","BS_TOT_NON_CUR_ASSET","FQ3 2021","FQ3 2021","Currency=USD","Period=FQ","BEST_FPERIOD_OVERRIDE=FQ","FILING_STATUS=MR","SCALING_FORMAT=MLN","Sort=A","Dates=H","DateFormat=P","Fill=—","Direction=H","UseDPDF=Y")</f>
        <v>38891</v>
      </c>
      <c r="P34" s="16" cm="1">
        <f t="array" ref="P34">_xll.BDH("CAT US Equity","BS_TOT_NON_CUR_ASSET","FQ4 2021","FQ4 2021","Currency=USD","Period=FQ","BEST_FPERIOD_OVERRIDE=FQ","FILING_STATUS=MR","SCALING_FORMAT=MLN","Sort=A","Dates=H","DateFormat=P","Fill=—","Direction=H","UseDPDF=Y")</f>
        <v>39338</v>
      </c>
      <c r="Q34" s="16" cm="1">
        <f t="array" ref="Q34">_xll.BDH("CAT US Equity","BS_TOT_NON_CUR_ASSET","FQ1 2022","FQ1 2022","Currency=USD","Period=FQ","BEST_FPERIOD_OVERRIDE=FQ","FILING_STATUS=MR","SCALING_FORMAT=MLN","Sort=A","Dates=H","DateFormat=P","Fill=—","Direction=H","UseDPDF=Y")</f>
        <v>39706</v>
      </c>
      <c r="R34" s="16" cm="1">
        <f t="array" ref="R34">_xll.BDH("CAT US Equity","BS_TOT_NON_CUR_ASSET","FQ2 2022","FQ2 2022","Currency=USD","Period=FQ","BEST_FPERIOD_OVERRIDE=FQ","FILING_STATUS=MR","SCALING_FORMAT=MLN","Sort=A","Dates=H","DateFormat=P","Fill=—","Direction=H","UseDPDF=Y")</f>
        <v>39125</v>
      </c>
      <c r="S34" s="16" cm="1">
        <f t="array" ref="S34">_xll.BDH("CAT US Equity","BS_TOT_NON_CUR_ASSET","FQ3 2022","FQ3 2022","Currency=USD","Period=FQ","BEST_FPERIOD_OVERRIDE=FQ","FILING_STATUS=MR","SCALING_FORMAT=MLN","Sort=A","Dates=H","DateFormat=P","Fill=—","Direction=H","UseDPDF=Y")</f>
        <v>38330</v>
      </c>
      <c r="T34" s="16" cm="1">
        <f t="array" ref="T34">_xll.BDH("CAT US Equity","BS_TOT_NON_CUR_ASSET","FQ4 2022","FQ4 2022","Currency=USD","Period=FQ","BEST_FPERIOD_OVERRIDE=FQ","FILING_STATUS=MR","SCALING_FORMAT=MLN","Sort=A","Dates=H","DateFormat=P","Fill=—","Direction=H","UseDPDF=Y")</f>
        <v>38158</v>
      </c>
      <c r="U34" s="16" cm="1">
        <f t="array" ref="U34">_xll.BDH("CAT US Equity","BS_TOT_NON_CUR_ASSET","FQ1 2023","FQ1 2023","Currency=USD","Period=FQ","BEST_FPERIOD_OVERRIDE=FQ","FILING_STATUS=MR","SCALING_FORMAT=MLN","Sort=A","Dates=H","DateFormat=P","Fill=—","Direction=H","UseDPDF=Y")</f>
        <v>37989</v>
      </c>
      <c r="V34" s="16" cm="1">
        <f t="array" ref="V34">_xll.BDH("CAT US Equity","BS_TOT_NON_CUR_ASSET","FQ2 2023","FQ2 2023","Currency=USD","Period=FQ","BEST_FPERIOD_OVERRIDE=FQ","FILING_STATUS=MR","SCALING_FORMAT=MLN","Sort=A","Dates=H","DateFormat=P","Fill=—","Direction=H","UseDPDF=Y")</f>
        <v>38427</v>
      </c>
      <c r="W34" s="16" cm="1">
        <f t="array" ref="W34">_xll.BDH("CAT US Equity","BS_TOT_NON_CUR_ASSET","FQ3 2023","FQ3 2023","Currency=USD","Period=FQ","BEST_FPERIOD_OVERRIDE=FQ","FILING_STATUS=MR","SCALING_FORMAT=MLN","Sort=A","Dates=H","DateFormat=P","Fill=—","Direction=H","UseDPDF=Y")</f>
        <v>38786</v>
      </c>
      <c r="X34" s="16" cm="1">
        <f t="array" ref="X34">_xll.BDH("CAT US Equity","BS_TOT_NON_CUR_ASSET","FQ4 2023","FQ4 2023","Currency=USD","Period=FQ","BEST_FPERIOD_OVERRIDE=FQ","FILING_STATUS=MR","SCALING_FORMAT=MLN","Sort=A","Dates=H","DateFormat=P","Fill=—","Direction=H","UseDPDF=Y")</f>
        <v>40527</v>
      </c>
      <c r="Y34" s="16" cm="1">
        <f t="array" ref="Y34">_xll.BDH("CAT US Equity","BS_TOT_NON_CUR_ASSET","FQ1 2024","FQ1 2024","Currency=USD","Period=FQ","BEST_FPERIOD_OVERRIDE=FQ","FILING_STATUS=MR","SCALING_FORMAT=MLN","Sort=A","Dates=H","DateFormat=P","Fill=—","Direction=H","UseDPDF=Y")</f>
        <v>40077</v>
      </c>
      <c r="Z34" s="16" cm="1">
        <f t="array" ref="Z34">_xll.BDH("CAT US Equity","BS_TOT_NON_CUR_ASSET","FQ2 2024","FQ2 2024","Currency=USD","Period=FQ","BEST_FPERIOD_OVERRIDE=FQ","FILING_STATUS=MR","SCALING_FORMAT=MLN","Sort=A","Dates=H","DateFormat=P","Fill=—","Direction=H","UseDPDF=Y")</f>
        <v>40240</v>
      </c>
      <c r="AA34" s="16" cm="1">
        <f t="array" ref="AA34">_xll.BDH("CAT US Equity","BS_TOT_NON_CUR_ASSET","FQ3 2024","FQ3 2024","Currency=USD","Period=FQ","BEST_FPERIOD_OVERRIDE=FQ","FILING_STATUS=MR","SCALING_FORMAT=MLN","Sort=A","Dates=H","DateFormat=P","Fill=—","Direction=H","UseDPDF=Y")</f>
        <v>41327</v>
      </c>
      <c r="AB34" s="16" cm="1">
        <f t="array" ref="AB34">_xll.BDH("CAT US Equity","BS_TOT_NON_CUR_ASSET","FQ4 2024","FQ4 2024","Currency=USD","Period=FQ","BEST_FPERIOD_OVERRIDE=FQ","FILING_STATUS=MR","SCALING_FORMAT=MLN","Sort=A","Dates=H","DateFormat=P","Fill=—","Direction=H","UseDPDF=Y")</f>
        <v>42082</v>
      </c>
      <c r="AC34" s="16" cm="1">
        <f t="array" ref="AC34">_xll.BDH("CAT US Equity","BS_TOT_NON_CUR_ASSET","FQ1 2025","FQ1 2025","Currency=USD","Period=FQ","BEST_FPERIOD_OVERRIDE=FQ","FILING_STATUS=MR","SCALING_FORMAT=MLN","Sort=A","Dates=H","DateFormat=P","Fill=—","Direction=H","UseDPDF=Y")</f>
        <v>41955</v>
      </c>
      <c r="AD34" s="16" cm="1">
        <f t="array" ref="AD34">_xll.BDH("CAT US Equity","BS_TOT_NON_CUR_ASSET","FQ2 2025","FQ2 2025","Currency=USD","Period=FQ","BEST_FPERIOD_OVERRIDE=FQ","FILING_STATUS=MR","SCALING_FORMAT=MLN","Sort=A","Dates=H","DateFormat=P","Fill=—","Direction=H","UseDPDF=Y")</f>
        <v>43570</v>
      </c>
      <c r="AE34" s="16" cm="1">
        <f t="array" ref="AE34">_xll.BDH("CAT US Equity","BS_TOT_NON_CUR_ASSET","FQ3 2025","FQ3 2025","Currency=USD","Period=FQ","BEST_FPERIOD_OVERRIDE=FQ","FILING_STATUS=MR","SCALING_FORMAT=MLN","Sort=A","Dates=H","DateFormat=P","Fill=—","Direction=H","UseDPDF=Y")</f>
        <v>43904</v>
      </c>
      <c r="AF34" s="16" cm="1">
        <f t="array" ref="AF34">_xll.BDH("CAT US Equity","BS_TOT_NON_CUR_ASSET","FQ4 2025","FQ4 2025","Currency=USD","Period=FQ","BEST_FPERIOD_OVERRIDE=FQ","FILING_STATUS=MR","SCALING_FORMAT=MLN","Sort=A","Dates=H","DateFormat=P","Fill=—","Direction=H","UseDPDF=Y")</f>
        <v>46100</v>
      </c>
    </row>
    <row r="35" spans="1:32" x14ac:dyDescent="0.25">
      <c r="A35" s="6" t="s">
        <v>65</v>
      </c>
      <c r="B35" s="6" t="s">
        <v>121</v>
      </c>
      <c r="C35" s="16" cm="1">
        <f t="array" ref="C35">_xll.BDH("CAT US Equity","BS_TOT_ASSET","FQ3 2018","FQ3 2018","Currency=USD","Period=FQ","BEST_FPERIOD_OVERRIDE=FQ","FILING_STATUS=MR","SCALING_FORMAT=MLN","Sort=A","Dates=H","DateFormat=P","Fill=—","Direction=H","UseDPDF=Y")</f>
        <v>78209</v>
      </c>
      <c r="D35" s="16" cm="1">
        <f t="array" ref="D35">_xll.BDH("CAT US Equity","BS_TOT_ASSET","FQ4 2018","FQ4 2018","Currency=USD","Period=FQ","BEST_FPERIOD_OVERRIDE=FQ","FILING_STATUS=MR","SCALING_FORMAT=MLN","Sort=A","Dates=H","DateFormat=P","Fill=—","Direction=H","UseDPDF=Y")</f>
        <v>78509</v>
      </c>
      <c r="E35" s="16" cm="1">
        <f t="array" ref="E35">_xll.BDH("CAT US Equity","BS_TOT_ASSET","FQ1 2019","FQ1 2019","Currency=USD","Period=FQ","BEST_FPERIOD_OVERRIDE=FQ","FILING_STATUS=MR","SCALING_FORMAT=MLN","Sort=A","Dates=H","DateFormat=P","Fill=—","Direction=H","UseDPDF=Y")</f>
        <v>78726</v>
      </c>
      <c r="F35" s="16" cm="1">
        <f t="array" ref="F35">_xll.BDH("CAT US Equity","BS_TOT_ASSET","FQ2 2019","FQ2 2019","Currency=USD","Period=FQ","BEST_FPERIOD_OVERRIDE=FQ","FILING_STATUS=MR","SCALING_FORMAT=MLN","Sort=A","Dates=H","DateFormat=P","Fill=—","Direction=H","UseDPDF=Y")</f>
        <v>79187</v>
      </c>
      <c r="G35" s="16" cm="1">
        <f t="array" ref="G35">_xll.BDH("CAT US Equity","BS_TOT_ASSET","FQ3 2019","FQ3 2019","Currency=USD","Period=FQ","BEST_FPERIOD_OVERRIDE=FQ","FILING_STATUS=MR","SCALING_FORMAT=MLN","Sort=A","Dates=H","DateFormat=P","Fill=—","Direction=H","UseDPDF=Y")</f>
        <v>77993</v>
      </c>
      <c r="H35" s="16" cm="1">
        <f t="array" ref="H35">_xll.BDH("CAT US Equity","BS_TOT_ASSET","FQ4 2019","FQ4 2019","Currency=USD","Period=FQ","BEST_FPERIOD_OVERRIDE=FQ","FILING_STATUS=MR","SCALING_FORMAT=MLN","Sort=A","Dates=H","DateFormat=P","Fill=—","Direction=H","UseDPDF=Y")</f>
        <v>78453</v>
      </c>
      <c r="I35" s="16" cm="1">
        <f t="array" ref="I35">_xll.BDH("CAT US Equity","BS_TOT_ASSET","FQ1 2020","FQ1 2020","Currency=USD","Period=FQ","BEST_FPERIOD_OVERRIDE=FQ","FILING_STATUS=MR","SCALING_FORMAT=MLN","Sort=A","Dates=H","DateFormat=P","Fill=—","Direction=H","UseDPDF=Y")</f>
        <v>75894</v>
      </c>
      <c r="J35" s="16" cm="1">
        <f t="array" ref="J35">_xll.BDH("CAT US Equity","BS_TOT_ASSET","FQ2 2020","FQ2 2020","Currency=USD","Period=FQ","BEST_FPERIOD_OVERRIDE=FQ","FILING_STATUS=MR","SCALING_FORMAT=MLN","Sort=A","Dates=H","DateFormat=P","Fill=—","Direction=H","UseDPDF=Y")</f>
        <v>76566</v>
      </c>
      <c r="K35" s="16" cm="1">
        <f t="array" ref="K35">_xll.BDH("CAT US Equity","BS_TOT_ASSET","FQ3 2020","FQ3 2020","Currency=USD","Period=FQ","BEST_FPERIOD_OVERRIDE=FQ","FILING_STATUS=MR","SCALING_FORMAT=MLN","Sort=A","Dates=H","DateFormat=P","Fill=—","Direction=H","UseDPDF=Y")</f>
        <v>76741</v>
      </c>
      <c r="L35" s="16" cm="1">
        <f t="array" ref="L35">_xll.BDH("CAT US Equity","BS_TOT_ASSET","FQ4 2020","FQ4 2020","Currency=USD","Period=FQ","BEST_FPERIOD_OVERRIDE=FQ","FILING_STATUS=MR","SCALING_FORMAT=MLN","Sort=A","Dates=H","DateFormat=P","Fill=—","Direction=H","UseDPDF=Y")</f>
        <v>78324</v>
      </c>
      <c r="M35" s="16" cm="1">
        <f t="array" ref="M35">_xll.BDH("CAT US Equity","BS_TOT_ASSET","FQ1 2021","FQ1 2021","Currency=USD","Period=FQ","BEST_FPERIOD_OVERRIDE=FQ","FILING_STATUS=MR","SCALING_FORMAT=MLN","Sort=A","Dates=H","DateFormat=P","Fill=—","Direction=H","UseDPDF=Y")</f>
        <v>80729</v>
      </c>
      <c r="N35" s="16" cm="1">
        <f t="array" ref="N35">_xll.BDH("CAT US Equity","BS_TOT_ASSET","FQ2 2021","FQ2 2021","Currency=USD","Period=FQ","BEST_FPERIOD_OVERRIDE=FQ","FILING_STATUS=MR","SCALING_FORMAT=MLN","Sort=A","Dates=H","DateFormat=P","Fill=—","Direction=H","UseDPDF=Y")</f>
        <v>81697</v>
      </c>
      <c r="O35" s="16" cm="1">
        <f t="array" ref="O35">_xll.BDH("CAT US Equity","BS_TOT_ASSET","FQ3 2021","FQ3 2021","Currency=USD","Period=FQ","BEST_FPERIOD_OVERRIDE=FQ","FILING_STATUS=MR","SCALING_FORMAT=MLN","Sort=A","Dates=H","DateFormat=P","Fill=—","Direction=H","UseDPDF=Y")</f>
        <v>80784</v>
      </c>
      <c r="P35" s="16" cm="1">
        <f t="array" ref="P35">_xll.BDH("CAT US Equity","BS_TOT_ASSET","FQ4 2021","FQ4 2021","Currency=USD","Period=FQ","BEST_FPERIOD_OVERRIDE=FQ","FILING_STATUS=MR","SCALING_FORMAT=MLN","Sort=A","Dates=H","DateFormat=P","Fill=—","Direction=H","UseDPDF=Y")</f>
        <v>82793</v>
      </c>
      <c r="Q35" s="16" cm="1">
        <f t="array" ref="Q35">_xll.BDH("CAT US Equity","BS_TOT_ASSET","FQ1 2022","FQ1 2022","Currency=USD","Period=FQ","BEST_FPERIOD_OVERRIDE=FQ","FILING_STATUS=MR","SCALING_FORMAT=MLN","Sort=A","Dates=H","DateFormat=P","Fill=—","Direction=H","UseDPDF=Y")</f>
        <v>82276</v>
      </c>
      <c r="R35" s="16" cm="1">
        <f t="array" ref="R35">_xll.BDH("CAT US Equity","BS_TOT_ASSET","FQ2 2022","FQ2 2022","Currency=USD","Period=FQ","BEST_FPERIOD_OVERRIDE=FQ","FILING_STATUS=MR","SCALING_FORMAT=MLN","Sort=A","Dates=H","DateFormat=P","Fill=—","Direction=H","UseDPDF=Y")</f>
        <v>81107</v>
      </c>
      <c r="S35" s="16" cm="1">
        <f t="array" ref="S35">_xll.BDH("CAT US Equity","BS_TOT_ASSET","FQ3 2022","FQ3 2022","Currency=USD","Period=FQ","BEST_FPERIOD_OVERRIDE=FQ","FILING_STATUS=MR","SCALING_FORMAT=MLN","Sort=A","Dates=H","DateFormat=P","Fill=—","Direction=H","UseDPDF=Y")</f>
        <v>80907</v>
      </c>
      <c r="T35" s="16" cm="1">
        <f t="array" ref="T35">_xll.BDH("CAT US Equity","BS_TOT_ASSET","FQ4 2022","FQ4 2022","Currency=USD","Period=FQ","BEST_FPERIOD_OVERRIDE=FQ","FILING_STATUS=MR","SCALING_FORMAT=MLN","Sort=A","Dates=H","DateFormat=P","Fill=—","Direction=H","UseDPDF=Y")</f>
        <v>81943</v>
      </c>
      <c r="U35" s="16" cm="1">
        <f t="array" ref="U35">_xll.BDH("CAT US Equity","BS_TOT_ASSET","FQ1 2023","FQ1 2023","Currency=USD","Period=FQ","BEST_FPERIOD_OVERRIDE=FQ","FILING_STATUS=MR","SCALING_FORMAT=MLN","Sort=A","Dates=H","DateFormat=P","Fill=—","Direction=H","UseDPDF=Y")</f>
        <v>83649</v>
      </c>
      <c r="V35" s="16" cm="1">
        <f t="array" ref="V35">_xll.BDH("CAT US Equity","BS_TOT_ASSET","FQ2 2023","FQ2 2023","Currency=USD","Period=FQ","BEST_FPERIOD_OVERRIDE=FQ","FILING_STATUS=MR","SCALING_FORMAT=MLN","Sort=A","Dates=H","DateFormat=P","Fill=—","Direction=H","UseDPDF=Y")</f>
        <v>85427</v>
      </c>
      <c r="W35" s="16" cm="1">
        <f t="array" ref="W35">_xll.BDH("CAT US Equity","BS_TOT_ASSET","FQ3 2023","FQ3 2023","Currency=USD","Period=FQ","BEST_FPERIOD_OVERRIDE=FQ","FILING_STATUS=MR","SCALING_FORMAT=MLN","Sort=A","Dates=H","DateFormat=P","Fill=—","Direction=H","UseDPDF=Y")</f>
        <v>86791</v>
      </c>
      <c r="X35" s="16" cm="1">
        <f t="array" ref="X35">_xll.BDH("CAT US Equity","BS_TOT_ASSET","FQ4 2023","FQ4 2023","Currency=USD","Period=FQ","BEST_FPERIOD_OVERRIDE=FQ","FILING_STATUS=MR","SCALING_FORMAT=MLN","Sort=A","Dates=H","DateFormat=P","Fill=—","Direction=H","UseDPDF=Y")</f>
        <v>87476</v>
      </c>
      <c r="Y35" s="16" cm="1">
        <f t="array" ref="Y35">_xll.BDH("CAT US Equity","BS_TOT_ASSET","FQ1 2024","FQ1 2024","Currency=USD","Period=FQ","BEST_FPERIOD_OVERRIDE=FQ","FILING_STATUS=MR","SCALING_FORMAT=MLN","Sort=A","Dates=H","DateFormat=P","Fill=—","Direction=H","UseDPDF=Y")</f>
        <v>83741</v>
      </c>
      <c r="Z35" s="16" cm="1">
        <f t="array" ref="Z35">_xll.BDH("CAT US Equity","BS_TOT_ASSET","FQ2 2024","FQ2 2024","Currency=USD","Period=FQ","BEST_FPERIOD_OVERRIDE=FQ","FILING_STATUS=MR","SCALING_FORMAT=MLN","Sort=A","Dates=H","DateFormat=P","Fill=—","Direction=H","UseDPDF=Y")</f>
        <v>83336</v>
      </c>
      <c r="AA35" s="16" cm="1">
        <f t="array" ref="AA35">_xll.BDH("CAT US Equity","BS_TOT_ASSET","FQ3 2024","FQ3 2024","Currency=USD","Period=FQ","BEST_FPERIOD_OVERRIDE=FQ","FILING_STATUS=MR","SCALING_FORMAT=MLN","Sort=A","Dates=H","DateFormat=P","Fill=—","Direction=H","UseDPDF=Y")</f>
        <v>86273</v>
      </c>
      <c r="AB35" s="16" cm="1">
        <f t="array" ref="AB35">_xll.BDH("CAT US Equity","BS_TOT_ASSET","FQ4 2024","FQ4 2024","Currency=USD","Period=FQ","BEST_FPERIOD_OVERRIDE=FQ","FILING_STATUS=MR","SCALING_FORMAT=MLN","Sort=A","Dates=H","DateFormat=P","Fill=—","Direction=H","UseDPDF=Y")</f>
        <v>87764</v>
      </c>
      <c r="AC35" s="16" cm="1">
        <f t="array" ref="AC35">_xll.BDH("CAT US Equity","BS_TOT_ASSET","FQ1 2025","FQ1 2025","Currency=USD","Period=FQ","BEST_FPERIOD_OVERRIDE=FQ","FILING_STATUS=MR","SCALING_FORMAT=MLN","Sort=A","Dates=H","DateFormat=P","Fill=—","Direction=H","UseDPDF=Y")</f>
        <v>84974</v>
      </c>
      <c r="AD35" s="16" cm="1">
        <f t="array" ref="AD35">_xll.BDH("CAT US Equity","BS_TOT_ASSET","FQ2 2025","FQ2 2025","Currency=USD","Period=FQ","BEST_FPERIOD_OVERRIDE=FQ","FILING_STATUS=MR","SCALING_FORMAT=MLN","Sort=A","Dates=H","DateFormat=P","Fill=—","Direction=H","UseDPDF=Y")</f>
        <v>90325</v>
      </c>
      <c r="AE35" s="16" cm="1">
        <f t="array" ref="AE35">_xll.BDH("CAT US Equity","BS_TOT_ASSET","FQ3 2025","FQ3 2025","Currency=USD","Period=FQ","BEST_FPERIOD_OVERRIDE=FQ","FILING_STATUS=MR","SCALING_FORMAT=MLN","Sort=A","Dates=H","DateFormat=P","Fill=—","Direction=H","UseDPDF=Y")</f>
        <v>93722</v>
      </c>
      <c r="AF35" s="16" cm="1">
        <f t="array" ref="AF35">_xll.BDH("CAT US Equity","BS_TOT_ASSET","FQ4 2025","FQ4 2025","Currency=USD","Period=FQ","BEST_FPERIOD_OVERRIDE=FQ","FILING_STATUS=MR","SCALING_FORMAT=MLN","Sort=A","Dates=H","DateFormat=P","Fill=—","Direction=H","UseDPDF=Y")</f>
        <v>98585</v>
      </c>
    </row>
    <row r="36" spans="1:32" x14ac:dyDescent="0.25">
      <c r="A36" s="6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6" t="s">
        <v>122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0" t="s">
        <v>123</v>
      </c>
      <c r="B38" s="10" t="s">
        <v>124</v>
      </c>
      <c r="C38" s="13" cm="1">
        <f t="array" ref="C38">_xll.BDH("CAT US Equity","ACCT_PAYABLE_ACCRUALS_DETAILED","FQ3 2018","FQ3 2018","Currency=USD","Period=FQ","BEST_FPERIOD_OVERRIDE=FQ","FILING_STATUS=MR","SCALING_FORMAT=MLN","Sort=A","Dates=H","DateFormat=P","Fill=—","Direction=H","UseDPDF=Y")</f>
        <v>12221</v>
      </c>
      <c r="D38" s="13" cm="1">
        <f t="array" ref="D38">_xll.BDH("CAT US Equity","ACCT_PAYABLE_ACCRUALS_DETAILED","FQ4 2018","FQ4 2018","Currency=USD","Period=FQ","BEST_FPERIOD_OVERRIDE=FQ","FILING_STATUS=MR","SCALING_FORMAT=MLN","Sort=A","Dates=H","DateFormat=P","Fill=—","Direction=H","UseDPDF=Y")</f>
        <v>13362</v>
      </c>
      <c r="E38" s="13" cm="1">
        <f t="array" ref="E38">_xll.BDH("CAT US Equity","ACCT_PAYABLE_ACCRUALS_DETAILED","FQ1 2019","FQ1 2019","Currency=USD","Period=FQ","BEST_FPERIOD_OVERRIDE=FQ","FILING_STATUS=MR","SCALING_FORMAT=MLN","Sort=A","Dates=H","DateFormat=P","Fill=—","Direction=H","UseDPDF=Y")</f>
        <v>12041</v>
      </c>
      <c r="F38" s="13" cm="1">
        <f t="array" ref="F38">_xll.BDH("CAT US Equity","ACCT_PAYABLE_ACCRUALS_DETAILED","FQ2 2019","FQ2 2019","Currency=USD","Period=FQ","BEST_FPERIOD_OVERRIDE=FQ","FILING_STATUS=MR","SCALING_FORMAT=MLN","Sort=A","Dates=H","DateFormat=P","Fill=—","Direction=H","UseDPDF=Y")</f>
        <v>12681</v>
      </c>
      <c r="G38" s="13" cm="1">
        <f t="array" ref="G38">_xll.BDH("CAT US Equity","ACCT_PAYABLE_ACCRUALS_DETAILED","FQ3 2019","FQ3 2019","Currency=USD","Period=FQ","BEST_FPERIOD_OVERRIDE=FQ","FILING_STATUS=MR","SCALING_FORMAT=MLN","Sort=A","Dates=H","DateFormat=P","Fill=—","Direction=H","UseDPDF=Y")</f>
        <v>11266</v>
      </c>
      <c r="H38" s="13" cm="1">
        <f t="array" ref="H38">_xll.BDH("CAT US Equity","ACCT_PAYABLE_ACCRUALS_DETAILED","FQ4 2019","FQ4 2019","Currency=USD","Period=FQ","BEST_FPERIOD_OVERRIDE=FQ","FILING_STATUS=MR","SCALING_FORMAT=MLN","Sort=A","Dates=H","DateFormat=P","Fill=—","Direction=H","UseDPDF=Y")</f>
        <v>11832</v>
      </c>
      <c r="I38" s="13" cm="1">
        <f t="array" ref="I38">_xll.BDH("CAT US Equity","ACCT_PAYABLE_ACCRUALS_DETAILED","FQ1 2020","FQ1 2020","Currency=USD","Period=FQ","BEST_FPERIOD_OVERRIDE=FQ","FILING_STATUS=MR","SCALING_FORMAT=MLN","Sort=A","Dates=H","DateFormat=P","Fill=—","Direction=H","UseDPDF=Y")</f>
        <v>10169</v>
      </c>
      <c r="J38" s="13" cm="1">
        <f t="array" ref="J38">_xll.BDH("CAT US Equity","ACCT_PAYABLE_ACCRUALS_DETAILED","FQ2 2020","FQ2 2020","Currency=USD","Period=FQ","BEST_FPERIOD_OVERRIDE=FQ","FILING_STATUS=MR","SCALING_FORMAT=MLN","Sort=A","Dates=H","DateFormat=P","Fill=—","Direction=H","UseDPDF=Y")</f>
        <v>9976</v>
      </c>
      <c r="K38" s="13" cm="1">
        <f t="array" ref="K38">_xll.BDH("CAT US Equity","ACCT_PAYABLE_ACCRUALS_DETAILED","FQ3 2020","FQ3 2020","Currency=USD","Period=FQ","BEST_FPERIOD_OVERRIDE=FQ","FILING_STATUS=MR","SCALING_FORMAT=MLN","Sort=A","Dates=H","DateFormat=P","Fill=—","Direction=H","UseDPDF=Y")</f>
        <v>9656</v>
      </c>
      <c r="L38" s="13" cm="1">
        <f t="array" ref="L38">_xll.BDH("CAT US Equity","ACCT_PAYABLE_ACCRUALS_DETAILED","FQ4 2020","FQ4 2020","Currency=USD","Period=FQ","BEST_FPERIOD_OVERRIDE=FQ","FILING_STATUS=MR","SCALING_FORMAT=MLN","Sort=A","Dates=H","DateFormat=P","Fill=—","Direction=H","UseDPDF=Y")</f>
        <v>11237</v>
      </c>
      <c r="M38" s="13" cm="1">
        <f t="array" ref="M38">_xll.BDH("CAT US Equity","ACCT_PAYABLE_ACCRUALS_DETAILED","FQ1 2021","FQ1 2021","Currency=USD","Period=FQ","BEST_FPERIOD_OVERRIDE=FQ","FILING_STATUS=MR","SCALING_FORMAT=MLN","Sort=A","Dates=H","DateFormat=P","Fill=—","Direction=H","UseDPDF=Y")</f>
        <v>11393</v>
      </c>
      <c r="N38" s="13" cm="1">
        <f t="array" ref="N38">_xll.BDH("CAT US Equity","ACCT_PAYABLE_ACCRUALS_DETAILED","FQ2 2021","FQ2 2021","Currency=USD","Period=FQ","BEST_FPERIOD_OVERRIDE=FQ","FILING_STATUS=MR","SCALING_FORMAT=MLN","Sort=A","Dates=H","DateFormat=P","Fill=—","Direction=H","UseDPDF=Y")</f>
        <v>12735</v>
      </c>
      <c r="O38" s="13" cm="1">
        <f t="array" ref="O38">_xll.BDH("CAT US Equity","ACCT_PAYABLE_ACCRUALS_DETAILED","FQ3 2021","FQ3 2021","Currency=USD","Period=FQ","BEST_FPERIOD_OVERRIDE=FQ","FILING_STATUS=MR","SCALING_FORMAT=MLN","Sort=A","Dates=H","DateFormat=P","Fill=—","Direction=H","UseDPDF=Y")</f>
        <v>12807</v>
      </c>
      <c r="P38" s="13" cm="1">
        <f t="array" ref="P38">_xll.BDH("CAT US Equity","ACCT_PAYABLE_ACCRUALS_DETAILED","FQ4 2021","FQ4 2021","Currency=USD","Period=FQ","BEST_FPERIOD_OVERRIDE=FQ","FILING_STATUS=MR","SCALING_FORMAT=MLN","Sort=A","Dates=H","DateFormat=P","Fill=—","Direction=H","UseDPDF=Y")</f>
        <v>14665</v>
      </c>
      <c r="Q38" s="13" cm="1">
        <f t="array" ref="Q38">_xll.BDH("CAT US Equity","ACCT_PAYABLE_ACCRUALS_DETAILED","FQ1 2022","FQ1 2022","Currency=USD","Period=FQ","BEST_FPERIOD_OVERRIDE=FQ","FILING_STATUS=MR","SCALING_FORMAT=MLN","Sort=A","Dates=H","DateFormat=P","Fill=—","Direction=H","UseDPDF=Y")</f>
        <v>13268</v>
      </c>
      <c r="R38" s="13" cm="1">
        <f t="array" ref="R38">_xll.BDH("CAT US Equity","ACCT_PAYABLE_ACCRUALS_DETAILED","FQ2 2022","FQ2 2022","Currency=USD","Period=FQ","BEST_FPERIOD_OVERRIDE=FQ","FILING_STATUS=MR","SCALING_FORMAT=MLN","Sort=A","Dates=H","DateFormat=P","Fill=—","Direction=H","UseDPDF=Y")</f>
        <v>13827</v>
      </c>
      <c r="S38" s="13" cm="1">
        <f t="array" ref="S38">_xll.BDH("CAT US Equity","ACCT_PAYABLE_ACCRUALS_DETAILED","FQ3 2022","FQ3 2022","Currency=USD","Period=FQ","BEST_FPERIOD_OVERRIDE=FQ","FILING_STATUS=MR","SCALING_FORMAT=MLN","Sort=A","Dates=H","DateFormat=P","Fill=—","Direction=H","UseDPDF=Y")</f>
        <v>13660</v>
      </c>
      <c r="T38" s="13" cm="1">
        <f t="array" ref="T38">_xll.BDH("CAT US Equity","ACCT_PAYABLE_ACCRUALS_DETAILED","FQ4 2022","FQ4 2022","Currency=USD","Period=FQ","BEST_FPERIOD_OVERRIDE=FQ","FILING_STATUS=MR","SCALING_FORMAT=MLN","Sort=A","Dates=H","DateFormat=P","Fill=—","Direction=H","UseDPDF=Y")</f>
        <v>15702</v>
      </c>
      <c r="U38" s="13" cm="1">
        <f t="array" ref="U38">_xll.BDH("CAT US Equity","ACCT_PAYABLE_ACCRUALS_DETAILED","FQ1 2023","FQ1 2023","Currency=USD","Period=FQ","BEST_FPERIOD_OVERRIDE=FQ","FILING_STATUS=MR","SCALING_FORMAT=MLN","Sort=A","Dates=H","DateFormat=P","Fill=—","Direction=H","UseDPDF=Y")</f>
        <v>14440</v>
      </c>
      <c r="V38" s="13" cm="1">
        <f t="array" ref="V38">_xll.BDH("CAT US Equity","ACCT_PAYABLE_ACCRUALS_DETAILED","FQ2 2023","FQ2 2023","Currency=USD","Period=FQ","BEST_FPERIOD_OVERRIDE=FQ","FILING_STATUS=MR","SCALING_FORMAT=MLN","Sort=A","Dates=H","DateFormat=P","Fill=—","Direction=H","UseDPDF=Y")</f>
        <v>15354</v>
      </c>
      <c r="W38" s="13" cm="1">
        <f t="array" ref="W38">_xll.BDH("CAT US Equity","ACCT_PAYABLE_ACCRUALS_DETAILED","FQ3 2023","FQ3 2023","Currency=USD","Period=FQ","BEST_FPERIOD_OVERRIDE=FQ","FILING_STATUS=MR","SCALING_FORMAT=MLN","Sort=A","Dates=H","DateFormat=P","Fill=—","Direction=H","UseDPDF=Y")</f>
        <v>14796</v>
      </c>
      <c r="X38" s="13" cm="1">
        <f t="array" ref="X38">_xll.BDH("CAT US Equity","ACCT_PAYABLE_ACCRUALS_DETAILED","FQ4 2023","FQ4 2023","Currency=USD","Period=FQ","BEST_FPERIOD_OVERRIDE=FQ","FILING_STATUS=MR","SCALING_FORMAT=MLN","Sort=A","Dates=H","DateFormat=P","Fill=—","Direction=H","UseDPDF=Y")</f>
        <v>16270</v>
      </c>
      <c r="Y38" s="13" cm="1">
        <f t="array" ref="Y38">_xll.BDH("CAT US Equity","ACCT_PAYABLE_ACCRUALS_DETAILED","FQ1 2024","FQ1 2024","Currency=USD","Period=FQ","BEST_FPERIOD_OVERRIDE=FQ","FILING_STATUS=MR","SCALING_FORMAT=MLN","Sort=A","Dates=H","DateFormat=P","Fill=—","Direction=H","UseDPDF=Y")</f>
        <v>13890</v>
      </c>
      <c r="Z38" s="13" cm="1">
        <f t="array" ref="Z38">_xll.BDH("CAT US Equity","ACCT_PAYABLE_ACCRUALS_DETAILED","FQ2 2024","FQ2 2024","Currency=USD","Period=FQ","BEST_FPERIOD_OVERRIDE=FQ","FILING_STATUS=MR","SCALING_FORMAT=MLN","Sort=A","Dates=H","DateFormat=P","Fill=—","Direction=H","UseDPDF=Y")</f>
        <v>14883</v>
      </c>
      <c r="AA38" s="13" cm="1">
        <f t="array" ref="AA38">_xll.BDH("CAT US Equity","ACCT_PAYABLE_ACCRUALS_DETAILED","FQ3 2024","FQ3 2024","Currency=USD","Period=FQ","BEST_FPERIOD_OVERRIDE=FQ","FILING_STATUS=MR","SCALING_FORMAT=MLN","Sort=A","Dates=H","DateFormat=P","Fill=—","Direction=H","UseDPDF=Y")</f>
        <v>14763</v>
      </c>
      <c r="AB38" s="13" cm="1">
        <f t="array" ref="AB38">_xll.BDH("CAT US Equity","ACCT_PAYABLE_ACCRUALS_DETAILED","FQ4 2024","FQ4 2024","Currency=USD","Period=FQ","BEST_FPERIOD_OVERRIDE=FQ","FILING_STATUS=MR","SCALING_FORMAT=MLN","Sort=A","Dates=H","DateFormat=P","Fill=—","Direction=H","UseDPDF=Y")</f>
        <v>15983</v>
      </c>
      <c r="AC38" s="13" cm="1">
        <f t="array" ref="AC38">_xll.BDH("CAT US Equity","ACCT_PAYABLE_ACCRUALS_DETAILED","FQ1 2025","FQ1 2025","Currency=USD","Period=FQ","BEST_FPERIOD_OVERRIDE=FQ","FILING_STATUS=MR","SCALING_FORMAT=MLN","Sort=A","Dates=H","DateFormat=P","Fill=—","Direction=H","UseDPDF=Y")</f>
        <v>14041</v>
      </c>
      <c r="AD38" s="13" cm="1">
        <f t="array" ref="AD38">_xll.BDH("CAT US Equity","ACCT_PAYABLE_ACCRUALS_DETAILED","FQ2 2025","FQ2 2025","Currency=USD","Period=FQ","BEST_FPERIOD_OVERRIDE=FQ","FILING_STATUS=MR","SCALING_FORMAT=MLN","Sort=A","Dates=H","DateFormat=P","Fill=—","Direction=H","UseDPDF=Y")</f>
        <v>16095</v>
      </c>
      <c r="AE38" s="13" cm="1">
        <f t="array" ref="AE38">_xll.BDH("CAT US Equity","ACCT_PAYABLE_ACCRUALS_DETAILED","FQ3 2025","FQ3 2025","Currency=USD","Period=FQ","BEST_FPERIOD_OVERRIDE=FQ","FILING_STATUS=MR","SCALING_FORMAT=MLN","Sort=A","Dates=H","DateFormat=P","Fill=—","Direction=H","UseDPDF=Y")</f>
        <v>16042</v>
      </c>
      <c r="AF38" s="13" cm="1">
        <f t="array" ref="AF38">_xll.BDH("CAT US Equity","ACCT_PAYABLE_ACCRUALS_DETAILED","FQ4 2025","FQ4 2025","Currency=USD","Period=FQ","BEST_FPERIOD_OVERRIDE=FQ","FILING_STATUS=MR","SCALING_FORMAT=MLN","Sort=A","Dates=H","DateFormat=P","Fill=—","Direction=H","UseDPDF=Y")</f>
        <v>17812</v>
      </c>
    </row>
    <row r="39" spans="1:32" x14ac:dyDescent="0.25">
      <c r="A39" s="10" t="s">
        <v>125</v>
      </c>
      <c r="B39" s="10" t="s">
        <v>126</v>
      </c>
      <c r="C39" s="13" cm="1">
        <f t="array" ref="C39">_xll.BDH("CAT US Equity","BS_ACCT_PAYABLE","FQ3 2018","FQ3 2018","Currency=USD","Period=FQ","BEST_FPERIOD_OVERRIDE=FQ","FILING_STATUS=MR","SCALING_FORMAT=MLN","Sort=A","Dates=H","DateFormat=P","Fill=—","Direction=H","UseDPDF=Y")</f>
        <v>6788</v>
      </c>
      <c r="D39" s="13" cm="1">
        <f t="array" ref="D39">_xll.BDH("CAT US Equity","BS_ACCT_PAYABLE","FQ4 2018","FQ4 2018","Currency=USD","Period=FQ","BEST_FPERIOD_OVERRIDE=FQ","FILING_STATUS=MR","SCALING_FORMAT=MLN","Sort=A","Dates=H","DateFormat=P","Fill=—","Direction=H","UseDPDF=Y")</f>
        <v>7051</v>
      </c>
      <c r="E39" s="13" cm="1">
        <f t="array" ref="E39">_xll.BDH("CAT US Equity","BS_ACCT_PAYABLE","FQ1 2019","FQ1 2019","Currency=USD","Period=FQ","BEST_FPERIOD_OVERRIDE=FQ","FILING_STATUS=MR","SCALING_FORMAT=MLN","Sort=A","Dates=H","DateFormat=P","Fill=—","Direction=H","UseDPDF=Y")</f>
        <v>7198</v>
      </c>
      <c r="F39" s="13" cm="1">
        <f t="array" ref="F39">_xll.BDH("CAT US Equity","BS_ACCT_PAYABLE","FQ2 2019","FQ2 2019","Currency=USD","Period=FQ","BEST_FPERIOD_OVERRIDE=FQ","FILING_STATUS=MR","SCALING_FORMAT=MLN","Sort=A","Dates=H","DateFormat=P","Fill=—","Direction=H","UseDPDF=Y")</f>
        <v>7022</v>
      </c>
      <c r="G39" s="13" cm="1">
        <f t="array" ref="G39">_xll.BDH("CAT US Equity","BS_ACCT_PAYABLE","FQ3 2019","FQ3 2019","Currency=USD","Period=FQ","BEST_FPERIOD_OVERRIDE=FQ","FILING_STATUS=MR","SCALING_FORMAT=MLN","Sort=A","Dates=H","DateFormat=P","Fill=—","Direction=H","UseDPDF=Y")</f>
        <v>6141</v>
      </c>
      <c r="H39" s="13" cm="1">
        <f t="array" ref="H39">_xll.BDH("CAT US Equity","BS_ACCT_PAYABLE","FQ4 2019","FQ4 2019","Currency=USD","Period=FQ","BEST_FPERIOD_OVERRIDE=FQ","FILING_STATUS=MR","SCALING_FORMAT=MLN","Sort=A","Dates=H","DateFormat=P","Fill=—","Direction=H","UseDPDF=Y")</f>
        <v>5957</v>
      </c>
      <c r="I39" s="13" cm="1">
        <f t="array" ref="I39">_xll.BDH("CAT US Equity","BS_ACCT_PAYABLE","FQ1 2020","FQ1 2020","Currency=USD","Period=FQ","BEST_FPERIOD_OVERRIDE=FQ","FILING_STATUS=MR","SCALING_FORMAT=MLN","Sort=A","Dates=H","DateFormat=P","Fill=—","Direction=H","UseDPDF=Y")</f>
        <v>5769</v>
      </c>
      <c r="J39" s="13" cm="1">
        <f t="array" ref="J39">_xll.BDH("CAT US Equity","BS_ACCT_PAYABLE","FQ2 2020","FQ2 2020","Currency=USD","Period=FQ","BEST_FPERIOD_OVERRIDE=FQ","FILING_STATUS=MR","SCALING_FORMAT=MLN","Sort=A","Dates=H","DateFormat=P","Fill=—","Direction=H","UseDPDF=Y")</f>
        <v>5083</v>
      </c>
      <c r="K39" s="13" cm="1">
        <f t="array" ref="K39">_xll.BDH("CAT US Equity","BS_ACCT_PAYABLE","FQ3 2020","FQ3 2020","Currency=USD","Period=FQ","BEST_FPERIOD_OVERRIDE=FQ","FILING_STATUS=MR","SCALING_FORMAT=MLN","Sort=A","Dates=H","DateFormat=P","Fill=—","Direction=H","UseDPDF=Y")</f>
        <v>5193</v>
      </c>
      <c r="L39" s="13" cm="1">
        <f t="array" ref="L39">_xll.BDH("CAT US Equity","BS_ACCT_PAYABLE","FQ4 2020","FQ4 2020","Currency=USD","Period=FQ","BEST_FPERIOD_OVERRIDE=FQ","FILING_STATUS=MR","SCALING_FORMAT=MLN","Sort=A","Dates=H","DateFormat=P","Fill=—","Direction=H","UseDPDF=Y")</f>
        <v>6128</v>
      </c>
      <c r="M39" s="13" cm="1">
        <f t="array" ref="M39">_xll.BDH("CAT US Equity","BS_ACCT_PAYABLE","FQ1 2021","FQ1 2021","Currency=USD","Period=FQ","BEST_FPERIOD_OVERRIDE=FQ","FILING_STATUS=MR","SCALING_FORMAT=MLN","Sort=A","Dates=H","DateFormat=P","Fill=—","Direction=H","UseDPDF=Y")</f>
        <v>6694</v>
      </c>
      <c r="N39" s="13" cm="1">
        <f t="array" ref="N39">_xll.BDH("CAT US Equity","BS_ACCT_PAYABLE","FQ2 2021","FQ2 2021","Currency=USD","Period=FQ","BEST_FPERIOD_OVERRIDE=FQ","FILING_STATUS=MR","SCALING_FORMAT=MLN","Sort=A","Dates=H","DateFormat=P","Fill=—","Direction=H","UseDPDF=Y")</f>
        <v>6921</v>
      </c>
      <c r="O39" s="13" cm="1">
        <f t="array" ref="O39">_xll.BDH("CAT US Equity","BS_ACCT_PAYABLE","FQ3 2021","FQ3 2021","Currency=USD","Period=FQ","BEST_FPERIOD_OVERRIDE=FQ","FILING_STATUS=MR","SCALING_FORMAT=MLN","Sort=A","Dates=H","DateFormat=P","Fill=—","Direction=H","UseDPDF=Y")</f>
        <v>7218</v>
      </c>
      <c r="P39" s="13" cm="1">
        <f t="array" ref="P39">_xll.BDH("CAT US Equity","BS_ACCT_PAYABLE","FQ4 2021","FQ4 2021","Currency=USD","Period=FQ","BEST_FPERIOD_OVERRIDE=FQ","FILING_STATUS=MR","SCALING_FORMAT=MLN","Sort=A","Dates=H","DateFormat=P","Fill=—","Direction=H","UseDPDF=Y")</f>
        <v>8154</v>
      </c>
      <c r="Q39" s="13" cm="1">
        <f t="array" ref="Q39">_xll.BDH("CAT US Equity","BS_ACCT_PAYABLE","FQ1 2022","FQ1 2022","Currency=USD","Period=FQ","BEST_FPERIOD_OVERRIDE=FQ","FILING_STATUS=MR","SCALING_FORMAT=MLN","Sort=A","Dates=H","DateFormat=P","Fill=—","Direction=H","UseDPDF=Y")</f>
        <v>8361</v>
      </c>
      <c r="R39" s="13" cm="1">
        <f t="array" ref="R39">_xll.BDH("CAT US Equity","BS_ACCT_PAYABLE","FQ2 2022","FQ2 2022","Currency=USD","Period=FQ","BEST_FPERIOD_OVERRIDE=FQ","FILING_STATUS=MR","SCALING_FORMAT=MLN","Sort=A","Dates=H","DateFormat=P","Fill=—","Direction=H","UseDPDF=Y")</f>
        <v>8092</v>
      </c>
      <c r="S39" s="13" cm="1">
        <f t="array" ref="S39">_xll.BDH("CAT US Equity","BS_ACCT_PAYABLE","FQ3 2022","FQ3 2022","Currency=USD","Period=FQ","BEST_FPERIOD_OVERRIDE=FQ","FILING_STATUS=MR","SCALING_FORMAT=MLN","Sort=A","Dates=H","DateFormat=P","Fill=—","Direction=H","UseDPDF=Y")</f>
        <v>8260</v>
      </c>
      <c r="T39" s="13" cm="1">
        <f t="array" ref="T39">_xll.BDH("CAT US Equity","BS_ACCT_PAYABLE","FQ4 2022","FQ4 2022","Currency=USD","Period=FQ","BEST_FPERIOD_OVERRIDE=FQ","FILING_STATUS=MR","SCALING_FORMAT=MLN","Sort=A","Dates=H","DateFormat=P","Fill=—","Direction=H","UseDPDF=Y")</f>
        <v>8689</v>
      </c>
      <c r="U39" s="13" cm="1">
        <f t="array" ref="U39">_xll.BDH("CAT US Equity","BS_ACCT_PAYABLE","FQ1 2023","FQ1 2023","Currency=USD","Period=FQ","BEST_FPERIOD_OVERRIDE=FQ","FILING_STATUS=MR","SCALING_FORMAT=MLN","Sort=A","Dates=H","DateFormat=P","Fill=—","Direction=H","UseDPDF=Y")</f>
        <v>8951</v>
      </c>
      <c r="V39" s="13" cm="1">
        <f t="array" ref="V39">_xll.BDH("CAT US Equity","BS_ACCT_PAYABLE","FQ2 2023","FQ2 2023","Currency=USD","Period=FQ","BEST_FPERIOD_OVERRIDE=FQ","FILING_STATUS=MR","SCALING_FORMAT=MLN","Sort=A","Dates=H","DateFormat=P","Fill=—","Direction=H","UseDPDF=Y")</f>
        <v>8443</v>
      </c>
      <c r="W39" s="13" cm="1">
        <f t="array" ref="W39">_xll.BDH("CAT US Equity","BS_ACCT_PAYABLE","FQ3 2023","FQ3 2023","Currency=USD","Period=FQ","BEST_FPERIOD_OVERRIDE=FQ","FILING_STATUS=MR","SCALING_FORMAT=MLN","Sort=A","Dates=H","DateFormat=P","Fill=—","Direction=H","UseDPDF=Y")</f>
        <v>7827</v>
      </c>
      <c r="X39" s="13" cm="1">
        <f t="array" ref="X39">_xll.BDH("CAT US Equity","BS_ACCT_PAYABLE","FQ4 2023","FQ4 2023","Currency=USD","Period=FQ","BEST_FPERIOD_OVERRIDE=FQ","FILING_STATUS=MR","SCALING_FORMAT=MLN","Sort=A","Dates=H","DateFormat=P","Fill=—","Direction=H","UseDPDF=Y")</f>
        <v>7906</v>
      </c>
      <c r="Y39" s="13" cm="1">
        <f t="array" ref="Y39">_xll.BDH("CAT US Equity","BS_ACCT_PAYABLE","FQ1 2024","FQ1 2024","Currency=USD","Period=FQ","BEST_FPERIOD_OVERRIDE=FQ","FILING_STATUS=MR","SCALING_FORMAT=MLN","Sort=A","Dates=H","DateFormat=P","Fill=—","Direction=H","UseDPDF=Y")</f>
        <v>7778</v>
      </c>
      <c r="Z39" s="13" cm="1">
        <f t="array" ref="Z39">_xll.BDH("CAT US Equity","BS_ACCT_PAYABLE","FQ2 2024","FQ2 2024","Currency=USD","Period=FQ","BEST_FPERIOD_OVERRIDE=FQ","FILING_STATUS=MR","SCALING_FORMAT=MLN","Sort=A","Dates=H","DateFormat=P","Fill=—","Direction=H","UseDPDF=Y")</f>
        <v>7575</v>
      </c>
      <c r="AA39" s="13" cm="1">
        <f t="array" ref="AA39">_xll.BDH("CAT US Equity","BS_ACCT_PAYABLE","FQ3 2024","FQ3 2024","Currency=USD","Period=FQ","BEST_FPERIOD_OVERRIDE=FQ","FILING_STATUS=MR","SCALING_FORMAT=MLN","Sort=A","Dates=H","DateFormat=P","Fill=—","Direction=H","UseDPDF=Y")</f>
        <v>7705</v>
      </c>
      <c r="AB39" s="13" cm="1">
        <f t="array" ref="AB39">_xll.BDH("CAT US Equity","BS_ACCT_PAYABLE","FQ4 2024","FQ4 2024","Currency=USD","Period=FQ","BEST_FPERIOD_OVERRIDE=FQ","FILING_STATUS=MR","SCALING_FORMAT=MLN","Sort=A","Dates=H","DateFormat=P","Fill=—","Direction=H","UseDPDF=Y")</f>
        <v>7675</v>
      </c>
      <c r="AC39" s="13" cm="1">
        <f t="array" ref="AC39">_xll.BDH("CAT US Equity","BS_ACCT_PAYABLE","FQ1 2025","FQ1 2025","Currency=USD","Period=FQ","BEST_FPERIOD_OVERRIDE=FQ","FILING_STATUS=MR","SCALING_FORMAT=MLN","Sort=A","Dates=H","DateFormat=P","Fill=—","Direction=H","UseDPDF=Y")</f>
        <v>7792</v>
      </c>
      <c r="AD39" s="13" cm="1">
        <f t="array" ref="AD39">_xll.BDH("CAT US Equity","BS_ACCT_PAYABLE","FQ2 2025","FQ2 2025","Currency=USD","Period=FQ","BEST_FPERIOD_OVERRIDE=FQ","FILING_STATUS=MR","SCALING_FORMAT=MLN","Sort=A","Dates=H","DateFormat=P","Fill=—","Direction=H","UseDPDF=Y")</f>
        <v>8563</v>
      </c>
      <c r="AE39" s="13" cm="1">
        <f t="array" ref="AE39">_xll.BDH("CAT US Equity","BS_ACCT_PAYABLE","FQ3 2025","FQ3 2025","Currency=USD","Period=FQ","BEST_FPERIOD_OVERRIDE=FQ","FILING_STATUS=MR","SCALING_FORMAT=MLN","Sort=A","Dates=H","DateFormat=P","Fill=—","Direction=H","UseDPDF=Y")</f>
        <v>8729</v>
      </c>
      <c r="AF39" s="13" cm="1">
        <f t="array" ref="AF39">_xll.BDH("CAT US Equity","BS_ACCT_PAYABLE","FQ4 2025","FQ4 2025","Currency=USD","Period=FQ","BEST_FPERIOD_OVERRIDE=FQ","FILING_STATUS=MR","SCALING_FORMAT=MLN","Sort=A","Dates=H","DateFormat=P","Fill=—","Direction=H","UseDPDF=Y")</f>
        <v>8968</v>
      </c>
    </row>
    <row r="40" spans="1:32" x14ac:dyDescent="0.25">
      <c r="A40" s="10" t="s">
        <v>127</v>
      </c>
      <c r="B40" s="10" t="s">
        <v>128</v>
      </c>
      <c r="C40" s="13" t="str" cm="1">
        <f t="array" ref="C40">_xll.BDH("CAT US Equity","BS_TAXES_PAYABLE","FQ3 2018","FQ3 2018","Currency=USD","Period=FQ","BEST_FPERIOD_OVERRIDE=FQ","FILING_STATUS=MR","SCALING_FORMAT=MLN","Sort=A","Dates=H","DateFormat=P","Fill=—","Direction=H","UseDPDF=Y")</f>
        <v>—</v>
      </c>
      <c r="D40" s="13" cm="1">
        <f t="array" ref="D40">_xll.BDH("CAT US Equity","BS_TAXES_PAYABLE","FQ4 2018","FQ4 2018","Currency=USD","Period=FQ","BEST_FPERIOD_OVERRIDE=FQ","FILING_STATUS=MR","SCALING_FORMAT=MLN","Sort=A","Dates=H","DateFormat=P","Fill=—","Direction=H","UseDPDF=Y")</f>
        <v>0</v>
      </c>
      <c r="E40" s="13" t="str" cm="1">
        <f t="array" ref="E40">_xll.BDH("CAT US Equity","BS_TAXES_PAYABLE","FQ1 2019","FQ1 2019","Currency=USD","Period=FQ","BEST_FPERIOD_OVERRIDE=FQ","FILING_STATUS=MR","SCALING_FORMAT=MLN","Sort=A","Dates=H","DateFormat=P","Fill=—","Direction=H","UseDPDF=Y")</f>
        <v>—</v>
      </c>
      <c r="F40" s="13" t="str" cm="1">
        <f t="array" ref="F40">_xll.BDH("CAT US Equity","BS_TAXES_PAYABLE","FQ2 2019","FQ2 2019","Currency=USD","Period=FQ","BEST_FPERIOD_OVERRIDE=FQ","FILING_STATUS=MR","SCALING_FORMAT=MLN","Sort=A","Dates=H","DateFormat=P","Fill=—","Direction=H","UseDPDF=Y")</f>
        <v>—</v>
      </c>
      <c r="G40" s="13" cm="1">
        <f t="array" ref="G40">_xll.BDH("CAT US Equity","BS_TAXES_PAYABLE","FQ3 2019","FQ3 2019","Currency=USD","Period=FQ","BEST_FPERIOD_OVERRIDE=FQ","FILING_STATUS=MR","SCALING_FORMAT=MLN","Sort=A","Dates=H","DateFormat=P","Fill=—","Direction=H","UseDPDF=Y")</f>
        <v>0</v>
      </c>
      <c r="H40" s="13" cm="1">
        <f t="array" ref="H40">_xll.BDH("CAT US Equity","BS_TAXES_PAYABLE","FQ4 2019","FQ4 2019","Currency=USD","Period=FQ","BEST_FPERIOD_OVERRIDE=FQ","FILING_STATUS=MR","SCALING_FORMAT=MLN","Sort=A","Dates=H","DateFormat=P","Fill=—","Direction=H","UseDPDF=Y")</f>
        <v>0</v>
      </c>
      <c r="I40" s="13" t="str" cm="1">
        <f t="array" ref="I40">_xll.BDH("CAT US Equity","BS_TAXES_PAYABLE","FQ1 2020","FQ1 2020","Currency=USD","Period=FQ","BEST_FPERIOD_OVERRIDE=FQ","FILING_STATUS=MR","SCALING_FORMAT=MLN","Sort=A","Dates=H","DateFormat=P","Fill=—","Direction=H","UseDPDF=Y")</f>
        <v>—</v>
      </c>
      <c r="J40" s="13" t="str" cm="1">
        <f t="array" ref="J40">_xll.BDH("CAT US Equity","BS_TAXES_PAYABLE","FQ2 2020","FQ2 2020","Currency=USD","Period=FQ","BEST_FPERIOD_OVERRIDE=FQ","FILING_STATUS=MR","SCALING_FORMAT=MLN","Sort=A","Dates=H","DateFormat=P","Fill=—","Direction=H","UseDPDF=Y")</f>
        <v>—</v>
      </c>
      <c r="K40" s="13" cm="1">
        <f t="array" ref="K40">_xll.BDH("CAT US Equity","BS_TAXES_PAYABLE","FQ3 2020","FQ3 2020","Currency=USD","Period=FQ","BEST_FPERIOD_OVERRIDE=FQ","FILING_STATUS=MR","SCALING_FORMAT=MLN","Sort=A","Dates=H","DateFormat=P","Fill=—","Direction=H","UseDPDF=Y")</f>
        <v>0</v>
      </c>
      <c r="L40" s="13" cm="1">
        <f t="array" ref="L40">_xll.BDH("CAT US Equity","BS_TAXES_PAYABLE","FQ4 2020","FQ4 2020","Currency=USD","Period=FQ","BEST_FPERIOD_OVERRIDE=FQ","FILING_STATUS=MR","SCALING_FORMAT=MLN","Sort=A","Dates=H","DateFormat=P","Fill=—","Direction=H","UseDPDF=Y")</f>
        <v>0</v>
      </c>
      <c r="M40" s="13" t="str" cm="1">
        <f t="array" ref="M40">_xll.BDH("CAT US Equity","BS_TAXES_PAYABLE","FQ1 2021","FQ1 2021","Currency=USD","Period=FQ","BEST_FPERIOD_OVERRIDE=FQ","FILING_STATUS=MR","SCALING_FORMAT=MLN","Sort=A","Dates=H","DateFormat=P","Fill=—","Direction=H","UseDPDF=Y")</f>
        <v>—</v>
      </c>
      <c r="N40" s="13" t="str" cm="1">
        <f t="array" ref="N40">_xll.BDH("CAT US Equity","BS_TAXES_PAYABLE","FQ2 2021","FQ2 2021","Currency=USD","Period=FQ","BEST_FPERIOD_OVERRIDE=FQ","FILING_STATUS=MR","SCALING_FORMAT=MLN","Sort=A","Dates=H","DateFormat=P","Fill=—","Direction=H","UseDPDF=Y")</f>
        <v>—</v>
      </c>
      <c r="O40" s="13" cm="1">
        <f t="array" ref="O40">_xll.BDH("CAT US Equity","BS_TAXES_PAYABLE","FQ3 2021","FQ3 2021","Currency=USD","Period=FQ","BEST_FPERIOD_OVERRIDE=FQ","FILING_STATUS=MR","SCALING_FORMAT=MLN","Sort=A","Dates=H","DateFormat=P","Fill=—","Direction=H","UseDPDF=Y")</f>
        <v>0</v>
      </c>
      <c r="P40" s="13" cm="1">
        <f t="array" ref="P40">_xll.BDH("CAT US Equity","BS_TAXES_PAYABLE","FQ4 2021","FQ4 2021","Currency=USD","Period=FQ","BEST_FPERIOD_OVERRIDE=FQ","FILING_STATUS=MR","SCALING_FORMAT=MLN","Sort=A","Dates=H","DateFormat=P","Fill=—","Direction=H","UseDPDF=Y")</f>
        <v>0</v>
      </c>
      <c r="Q40" s="13" t="str" cm="1">
        <f t="array" ref="Q40">_xll.BDH("CAT US Equity","BS_TAXES_PAYABLE","FQ1 2022","FQ1 2022","Currency=USD","Period=FQ","BEST_FPERIOD_OVERRIDE=FQ","FILING_STATUS=MR","SCALING_FORMAT=MLN","Sort=A","Dates=H","DateFormat=P","Fill=—","Direction=H","UseDPDF=Y")</f>
        <v>—</v>
      </c>
      <c r="R40" s="13" t="str" cm="1">
        <f t="array" ref="R40">_xll.BDH("CAT US Equity","BS_TAXES_PAYABLE","FQ2 2022","FQ2 2022","Currency=USD","Period=FQ","BEST_FPERIOD_OVERRIDE=FQ","FILING_STATUS=MR","SCALING_FORMAT=MLN","Sort=A","Dates=H","DateFormat=P","Fill=—","Direction=H","UseDPDF=Y")</f>
        <v>—</v>
      </c>
      <c r="S40" s="13" cm="1">
        <f t="array" ref="S40">_xll.BDH("CAT US Equity","BS_TAXES_PAYABLE","FQ3 2022","FQ3 2022","Currency=USD","Period=FQ","BEST_FPERIOD_OVERRIDE=FQ","FILING_STATUS=MR","SCALING_FORMAT=MLN","Sort=A","Dates=H","DateFormat=P","Fill=—","Direction=H","UseDPDF=Y")</f>
        <v>0</v>
      </c>
      <c r="T40" s="13" cm="1">
        <f t="array" ref="T40">_xll.BDH("CAT US Equity","BS_TAXES_PAYABLE","FQ4 2022","FQ4 2022","Currency=USD","Period=FQ","BEST_FPERIOD_OVERRIDE=FQ","FILING_STATUS=MR","SCALING_FORMAT=MLN","Sort=A","Dates=H","DateFormat=P","Fill=—","Direction=H","UseDPDF=Y")</f>
        <v>0</v>
      </c>
      <c r="U40" s="13" t="str" cm="1">
        <f t="array" ref="U40">_xll.BDH("CAT US Equity","BS_TAXES_PAYABLE","FQ1 2023","FQ1 2023","Currency=USD","Period=FQ","BEST_FPERIOD_OVERRIDE=FQ","FILING_STATUS=MR","SCALING_FORMAT=MLN","Sort=A","Dates=H","DateFormat=P","Fill=—","Direction=H","UseDPDF=Y")</f>
        <v>—</v>
      </c>
      <c r="V40" s="13" t="str" cm="1">
        <f t="array" ref="V40">_xll.BDH("CAT US Equity","BS_TAXES_PAYABLE","FQ2 2023","FQ2 2023","Currency=USD","Period=FQ","BEST_FPERIOD_OVERRIDE=FQ","FILING_STATUS=MR","SCALING_FORMAT=MLN","Sort=A","Dates=H","DateFormat=P","Fill=—","Direction=H","UseDPDF=Y")</f>
        <v>—</v>
      </c>
      <c r="W40" s="13" cm="1">
        <f t="array" ref="W40">_xll.BDH("CAT US Equity","BS_TAXES_PAYABLE","FQ3 2023","FQ3 2023","Currency=USD","Period=FQ","BEST_FPERIOD_OVERRIDE=FQ","FILING_STATUS=MR","SCALING_FORMAT=MLN","Sort=A","Dates=H","DateFormat=P","Fill=—","Direction=H","UseDPDF=Y")</f>
        <v>0</v>
      </c>
      <c r="X40" s="13" cm="1">
        <f t="array" ref="X40">_xll.BDH("CAT US Equity","BS_TAXES_PAYABLE","FQ4 2023","FQ4 2023","Currency=USD","Period=FQ","BEST_FPERIOD_OVERRIDE=FQ","FILING_STATUS=MR","SCALING_FORMAT=MLN","Sort=A","Dates=H","DateFormat=P","Fill=—","Direction=H","UseDPDF=Y")</f>
        <v>0</v>
      </c>
      <c r="Y40" s="13" t="str" cm="1">
        <f t="array" ref="Y40">_xll.BDH("CAT US Equity","BS_TAXES_PAYABLE","FQ1 2024","FQ1 2024","Currency=USD","Period=FQ","BEST_FPERIOD_OVERRIDE=FQ","FILING_STATUS=MR","SCALING_FORMAT=MLN","Sort=A","Dates=H","DateFormat=P","Fill=—","Direction=H","UseDPDF=Y")</f>
        <v>—</v>
      </c>
      <c r="Z40" s="13" t="str" cm="1">
        <f t="array" ref="Z40">_xll.BDH("CAT US Equity","BS_TAXES_PAYABLE","FQ2 2024","FQ2 2024","Currency=USD","Period=FQ","BEST_FPERIOD_OVERRIDE=FQ","FILING_STATUS=MR","SCALING_FORMAT=MLN","Sort=A","Dates=H","DateFormat=P","Fill=—","Direction=H","UseDPDF=Y")</f>
        <v>—</v>
      </c>
      <c r="AA40" s="13" cm="1">
        <f t="array" ref="AA40">_xll.BDH("CAT US Equity","BS_TAXES_PAYABLE","FQ3 2024","FQ3 2024","Currency=USD","Period=FQ","BEST_FPERIOD_OVERRIDE=FQ","FILING_STATUS=MR","SCALING_FORMAT=MLN","Sort=A","Dates=H","DateFormat=P","Fill=—","Direction=H","UseDPDF=Y")</f>
        <v>0</v>
      </c>
      <c r="AB40" s="13" cm="1">
        <f t="array" ref="AB40">_xll.BDH("CAT US Equity","BS_TAXES_PAYABLE","FQ4 2024","FQ4 2024","Currency=USD","Period=FQ","BEST_FPERIOD_OVERRIDE=FQ","FILING_STATUS=MR","SCALING_FORMAT=MLN","Sort=A","Dates=H","DateFormat=P","Fill=—","Direction=H","UseDPDF=Y")</f>
        <v>0</v>
      </c>
      <c r="AC40" s="13" t="str" cm="1">
        <f t="array" ref="AC40">_xll.BDH("CAT US Equity","BS_TAXES_PAYABLE","FQ1 2025","FQ1 2025","Currency=USD","Period=FQ","BEST_FPERIOD_OVERRIDE=FQ","FILING_STATUS=MR","SCALING_FORMAT=MLN","Sort=A","Dates=H","DateFormat=P","Fill=—","Direction=H","UseDPDF=Y")</f>
        <v>—</v>
      </c>
      <c r="AD40" s="13" t="str" cm="1">
        <f t="array" ref="AD40">_xll.BDH("CAT US Equity","BS_TAXES_PAYABLE","FQ2 2025","FQ2 2025","Currency=USD","Period=FQ","BEST_FPERIOD_OVERRIDE=FQ","FILING_STATUS=MR","SCALING_FORMAT=MLN","Sort=A","Dates=H","DateFormat=P","Fill=—","Direction=H","UseDPDF=Y")</f>
        <v>—</v>
      </c>
      <c r="AE40" s="13" t="str" cm="1">
        <f t="array" ref="AE40">_xll.BDH("CAT US Equity","BS_TAXES_PAYABLE","FQ3 2025","FQ3 2025","Currency=USD","Period=FQ","BEST_FPERIOD_OVERRIDE=FQ","FILING_STATUS=MR","SCALING_FORMAT=MLN","Sort=A","Dates=H","DateFormat=P","Fill=—","Direction=H","UseDPDF=Y")</f>
        <v>—</v>
      </c>
      <c r="AF40" s="13" t="str" cm="1">
        <f t="array" ref="AF40">_xll.BDH("CAT US Equity","BS_TAXES_PAYABLE","FQ4 2025","FQ4 2025","Currency=USD","Period=FQ","BEST_FPERIOD_OVERRIDE=FQ","FILING_STATUS=MR","SCALING_FORMAT=MLN","Sort=A","Dates=H","DateFormat=P","Fill=—","Direction=H","UseDPDF=Y")</f>
        <v>—</v>
      </c>
    </row>
    <row r="41" spans="1:32" x14ac:dyDescent="0.25">
      <c r="A41" s="10" t="s">
        <v>129</v>
      </c>
      <c r="B41" s="10" t="s">
        <v>130</v>
      </c>
      <c r="C41" s="13" cm="1">
        <f t="array" ref="C41">_xll.BDH("CAT US Equity","INTEREST_DIVIDENDS_PAYABLE","FQ3 2018","FQ3 2018","Currency=USD","Period=FQ","BEST_FPERIOD_OVERRIDE=FQ","FILING_STATUS=MR","SCALING_FORMAT=MLN","Sort=A","Dates=H","DateFormat=P","Fill=—","Direction=H","UseDPDF=Y")</f>
        <v>0</v>
      </c>
      <c r="D41" s="13" cm="1">
        <f t="array" ref="D41">_xll.BDH("CAT US Equity","INTEREST_DIVIDENDS_PAYABLE","FQ4 2018","FQ4 2018","Currency=USD","Period=FQ","BEST_FPERIOD_OVERRIDE=FQ","FILING_STATUS=MR","SCALING_FORMAT=MLN","Sort=A","Dates=H","DateFormat=P","Fill=—","Direction=H","UseDPDF=Y")</f>
        <v>495</v>
      </c>
      <c r="E41" s="13" cm="1">
        <f t="array" ref="E41">_xll.BDH("CAT US Equity","INTEREST_DIVIDENDS_PAYABLE","FQ1 2019","FQ1 2019","Currency=USD","Period=FQ","BEST_FPERIOD_OVERRIDE=FQ","FILING_STATUS=MR","SCALING_FORMAT=MLN","Sort=A","Dates=H","DateFormat=P","Fill=—","Direction=H","UseDPDF=Y")</f>
        <v>0</v>
      </c>
      <c r="F41" s="13" cm="1">
        <f t="array" ref="F41">_xll.BDH("CAT US Equity","INTEREST_DIVIDENDS_PAYABLE","FQ2 2019","FQ2 2019","Currency=USD","Period=FQ","BEST_FPERIOD_OVERRIDE=FQ","FILING_STATUS=MR","SCALING_FORMAT=MLN","Sort=A","Dates=H","DateFormat=P","Fill=—","Direction=H","UseDPDF=Y")</f>
        <v>579</v>
      </c>
      <c r="G41" s="13" cm="1">
        <f t="array" ref="G41">_xll.BDH("CAT US Equity","INTEREST_DIVIDENDS_PAYABLE","FQ3 2019","FQ3 2019","Currency=USD","Period=FQ","BEST_FPERIOD_OVERRIDE=FQ","FILING_STATUS=MR","SCALING_FORMAT=MLN","Sort=A","Dates=H","DateFormat=P","Fill=—","Direction=H","UseDPDF=Y")</f>
        <v>0</v>
      </c>
      <c r="H41" s="13" cm="1">
        <f t="array" ref="H41">_xll.BDH("CAT US Equity","INTEREST_DIVIDENDS_PAYABLE","FQ4 2019","FQ4 2019","Currency=USD","Period=FQ","BEST_FPERIOD_OVERRIDE=FQ","FILING_STATUS=MR","SCALING_FORMAT=MLN","Sort=A","Dates=H","DateFormat=P","Fill=—","Direction=H","UseDPDF=Y")</f>
        <v>567</v>
      </c>
      <c r="I41" s="13" cm="1">
        <f t="array" ref="I41">_xll.BDH("CAT US Equity","INTEREST_DIVIDENDS_PAYABLE","FQ1 2020","FQ1 2020","Currency=USD","Period=FQ","BEST_FPERIOD_OVERRIDE=FQ","FILING_STATUS=MR","SCALING_FORMAT=MLN","Sort=A","Dates=H","DateFormat=P","Fill=—","Direction=H","UseDPDF=Y")</f>
        <v>0</v>
      </c>
      <c r="J41" s="13" cm="1">
        <f t="array" ref="J41">_xll.BDH("CAT US Equity","INTEREST_DIVIDENDS_PAYABLE","FQ2 2020","FQ2 2020","Currency=USD","Period=FQ","BEST_FPERIOD_OVERRIDE=FQ","FILING_STATUS=MR","SCALING_FORMAT=MLN","Sort=A","Dates=H","DateFormat=P","Fill=—","Direction=H","UseDPDF=Y")</f>
        <v>558</v>
      </c>
      <c r="K41" s="13" cm="1">
        <f t="array" ref="K41">_xll.BDH("CAT US Equity","INTEREST_DIVIDENDS_PAYABLE","FQ3 2020","FQ3 2020","Currency=USD","Period=FQ","BEST_FPERIOD_OVERRIDE=FQ","FILING_STATUS=MR","SCALING_FORMAT=MLN","Sort=A","Dates=H","DateFormat=P","Fill=—","Direction=H","UseDPDF=Y")</f>
        <v>0</v>
      </c>
      <c r="L41" s="13" cm="1">
        <f t="array" ref="L41">_xll.BDH("CAT US Equity","INTEREST_DIVIDENDS_PAYABLE","FQ4 2020","FQ4 2020","Currency=USD","Period=FQ","BEST_FPERIOD_OVERRIDE=FQ","FILING_STATUS=MR","SCALING_FORMAT=MLN","Sort=A","Dates=H","DateFormat=P","Fill=—","Direction=H","UseDPDF=Y")</f>
        <v>562</v>
      </c>
      <c r="M41" s="13" cm="1">
        <f t="array" ref="M41">_xll.BDH("CAT US Equity","INTEREST_DIVIDENDS_PAYABLE","FQ1 2021","FQ1 2021","Currency=USD","Period=FQ","BEST_FPERIOD_OVERRIDE=FQ","FILING_STATUS=MR","SCALING_FORMAT=MLN","Sort=A","Dates=H","DateFormat=P","Fill=—","Direction=H","UseDPDF=Y")</f>
        <v>0</v>
      </c>
      <c r="N41" s="13" cm="1">
        <f t="array" ref="N41">_xll.BDH("CAT US Equity","INTEREST_DIVIDENDS_PAYABLE","FQ2 2021","FQ2 2021","Currency=USD","Period=FQ","BEST_FPERIOD_OVERRIDE=FQ","FILING_STATUS=MR","SCALING_FORMAT=MLN","Sort=A","Dates=H","DateFormat=P","Fill=—","Direction=H","UseDPDF=Y")</f>
        <v>608</v>
      </c>
      <c r="O41" s="13" cm="1">
        <f t="array" ref="O41">_xll.BDH("CAT US Equity","INTEREST_DIVIDENDS_PAYABLE","FQ3 2021","FQ3 2021","Currency=USD","Period=FQ","BEST_FPERIOD_OVERRIDE=FQ","FILING_STATUS=MR","SCALING_FORMAT=MLN","Sort=A","Dates=H","DateFormat=P","Fill=—","Direction=H","UseDPDF=Y")</f>
        <v>0</v>
      </c>
      <c r="P41" s="13" cm="1">
        <f t="array" ref="P41">_xll.BDH("CAT US Equity","INTEREST_DIVIDENDS_PAYABLE","FQ4 2021","FQ4 2021","Currency=USD","Period=FQ","BEST_FPERIOD_OVERRIDE=FQ","FILING_STATUS=MR","SCALING_FORMAT=MLN","Sort=A","Dates=H","DateFormat=P","Fill=—","Direction=H","UseDPDF=Y")</f>
        <v>595</v>
      </c>
      <c r="Q41" s="13" cm="1">
        <f t="array" ref="Q41">_xll.BDH("CAT US Equity","INTEREST_DIVIDENDS_PAYABLE","FQ1 2022","FQ1 2022","Currency=USD","Period=FQ","BEST_FPERIOD_OVERRIDE=FQ","FILING_STATUS=MR","SCALING_FORMAT=MLN","Sort=A","Dates=H","DateFormat=P","Fill=—","Direction=H","UseDPDF=Y")</f>
        <v>0</v>
      </c>
      <c r="R41" s="13" cm="1">
        <f t="array" ref="R41">_xll.BDH("CAT US Equity","INTEREST_DIVIDENDS_PAYABLE","FQ2 2022","FQ2 2022","Currency=USD","Period=FQ","BEST_FPERIOD_OVERRIDE=FQ","FILING_STATUS=MR","SCALING_FORMAT=MLN","Sort=A","Dates=H","DateFormat=P","Fill=—","Direction=H","UseDPDF=Y")</f>
        <v>633</v>
      </c>
      <c r="S41" s="13" cm="1">
        <f t="array" ref="S41">_xll.BDH("CAT US Equity","INTEREST_DIVIDENDS_PAYABLE","FQ3 2022","FQ3 2022","Currency=USD","Period=FQ","BEST_FPERIOD_OVERRIDE=FQ","FILING_STATUS=MR","SCALING_FORMAT=MLN","Sort=A","Dates=H","DateFormat=P","Fill=—","Direction=H","UseDPDF=Y")</f>
        <v>0</v>
      </c>
      <c r="T41" s="13" cm="1">
        <f t="array" ref="T41">_xll.BDH("CAT US Equity","INTEREST_DIVIDENDS_PAYABLE","FQ4 2022","FQ4 2022","Currency=USD","Period=FQ","BEST_FPERIOD_OVERRIDE=FQ","FILING_STATUS=MR","SCALING_FORMAT=MLN","Sort=A","Dates=H","DateFormat=P","Fill=—","Direction=H","UseDPDF=Y")</f>
        <v>620</v>
      </c>
      <c r="U41" s="13" cm="1">
        <f t="array" ref="U41">_xll.BDH("CAT US Equity","INTEREST_DIVIDENDS_PAYABLE","FQ1 2023","FQ1 2023","Currency=USD","Period=FQ","BEST_FPERIOD_OVERRIDE=FQ","FILING_STATUS=MR","SCALING_FORMAT=MLN","Sort=A","Dates=H","DateFormat=P","Fill=—","Direction=H","UseDPDF=Y")</f>
        <v>0</v>
      </c>
      <c r="V41" s="13" cm="1">
        <f t="array" ref="V41">_xll.BDH("CAT US Equity","INTEREST_DIVIDENDS_PAYABLE","FQ2 2023","FQ2 2023","Currency=USD","Period=FQ","BEST_FPERIOD_OVERRIDE=FQ","FILING_STATUS=MR","SCALING_FORMAT=MLN","Sort=A","Dates=H","DateFormat=P","Fill=—","Direction=H","UseDPDF=Y")</f>
        <v>663</v>
      </c>
      <c r="W41" s="13" cm="1">
        <f t="array" ref="W41">_xll.BDH("CAT US Equity","INTEREST_DIVIDENDS_PAYABLE","FQ3 2023","FQ3 2023","Currency=USD","Period=FQ","BEST_FPERIOD_OVERRIDE=FQ","FILING_STATUS=MR","SCALING_FORMAT=MLN","Sort=A","Dates=H","DateFormat=P","Fill=—","Direction=H","UseDPDF=Y")</f>
        <v>0</v>
      </c>
      <c r="X41" s="13" cm="1">
        <f t="array" ref="X41">_xll.BDH("CAT US Equity","INTEREST_DIVIDENDS_PAYABLE","FQ4 2023","FQ4 2023","Currency=USD","Period=FQ","BEST_FPERIOD_OVERRIDE=FQ","FILING_STATUS=MR","SCALING_FORMAT=MLN","Sort=A","Dates=H","DateFormat=P","Fill=—","Direction=H","UseDPDF=Y")</f>
        <v>649</v>
      </c>
      <c r="Y41" s="13" cm="1">
        <f t="array" ref="Y41">_xll.BDH("CAT US Equity","INTEREST_DIVIDENDS_PAYABLE","FQ1 2024","FQ1 2024","Currency=USD","Period=FQ","BEST_FPERIOD_OVERRIDE=FQ","FILING_STATUS=MR","SCALING_FORMAT=MLN","Sort=A","Dates=H","DateFormat=P","Fill=—","Direction=H","UseDPDF=Y")</f>
        <v>0</v>
      </c>
      <c r="Z41" s="13" cm="1">
        <f t="array" ref="Z41">_xll.BDH("CAT US Equity","INTEREST_DIVIDENDS_PAYABLE","FQ2 2024","FQ2 2024","Currency=USD","Period=FQ","BEST_FPERIOD_OVERRIDE=FQ","FILING_STATUS=MR","SCALING_FORMAT=MLN","Sort=A","Dates=H","DateFormat=P","Fill=—","Direction=H","UseDPDF=Y")</f>
        <v>684</v>
      </c>
      <c r="AA41" s="13" cm="1">
        <f t="array" ref="AA41">_xll.BDH("CAT US Equity","INTEREST_DIVIDENDS_PAYABLE","FQ3 2024","FQ3 2024","Currency=USD","Period=FQ","BEST_FPERIOD_OVERRIDE=FQ","FILING_STATUS=MR","SCALING_FORMAT=MLN","Sort=A","Dates=H","DateFormat=P","Fill=—","Direction=H","UseDPDF=Y")</f>
        <v>0</v>
      </c>
      <c r="AB41" s="13" cm="1">
        <f t="array" ref="AB41">_xll.BDH("CAT US Equity","INTEREST_DIVIDENDS_PAYABLE","FQ4 2024","FQ4 2024","Currency=USD","Period=FQ","BEST_FPERIOD_OVERRIDE=FQ","FILING_STATUS=MR","SCALING_FORMAT=MLN","Sort=A","Dates=H","DateFormat=P","Fill=—","Direction=H","UseDPDF=Y")</f>
        <v>674</v>
      </c>
      <c r="AC41" s="13" cm="1">
        <f t="array" ref="AC41">_xll.BDH("CAT US Equity","INTEREST_DIVIDENDS_PAYABLE","FQ1 2025","FQ1 2025","Currency=USD","Period=FQ","BEST_FPERIOD_OVERRIDE=FQ","FILING_STATUS=MR","SCALING_FORMAT=MLN","Sort=A","Dates=H","DateFormat=P","Fill=—","Direction=H","UseDPDF=Y")</f>
        <v>0</v>
      </c>
      <c r="AD41" s="13" cm="1">
        <f t="array" ref="AD41">_xll.BDH("CAT US Equity","INTEREST_DIVIDENDS_PAYABLE","FQ2 2025","FQ2 2025","Currency=USD","Period=FQ","BEST_FPERIOD_OVERRIDE=FQ","FILING_STATUS=MR","SCALING_FORMAT=MLN","Sort=A","Dates=H","DateFormat=P","Fill=—","Direction=H","UseDPDF=Y")</f>
        <v>707</v>
      </c>
      <c r="AE41" s="13" cm="1">
        <f t="array" ref="AE41">_xll.BDH("CAT US Equity","INTEREST_DIVIDENDS_PAYABLE","FQ3 2025","FQ3 2025","Currency=USD","Period=FQ","BEST_FPERIOD_OVERRIDE=FQ","FILING_STATUS=MR","SCALING_FORMAT=MLN","Sort=A","Dates=H","DateFormat=P","Fill=—","Direction=H","UseDPDF=Y")</f>
        <v>0</v>
      </c>
      <c r="AF41" s="13" cm="1">
        <f t="array" ref="AF41">_xll.BDH("CAT US Equity","INTEREST_DIVIDENDS_PAYABLE","FQ4 2025","FQ4 2025","Currency=USD","Period=FQ","BEST_FPERIOD_OVERRIDE=FQ","FILING_STATUS=MR","SCALING_FORMAT=MLN","Sort=A","Dates=H","DateFormat=P","Fill=—","Direction=H","UseDPDF=Y")</f>
        <v>703</v>
      </c>
    </row>
    <row r="42" spans="1:32" x14ac:dyDescent="0.25">
      <c r="A42" s="10" t="s">
        <v>131</v>
      </c>
      <c r="B42" s="10" t="s">
        <v>132</v>
      </c>
      <c r="C42" s="13" cm="1">
        <f t="array" ref="C42">_xll.BDH("CAT US Equity","BS_ACCRUAL","FQ3 2018","FQ3 2018","Currency=USD","Period=FQ","BEST_FPERIOD_OVERRIDE=FQ","FILING_STATUS=MR","SCALING_FORMAT=MLN","Sort=A","Dates=H","DateFormat=P","Fill=—","Direction=H","UseDPDF=Y")</f>
        <v>5433</v>
      </c>
      <c r="D42" s="13" cm="1">
        <f t="array" ref="D42">_xll.BDH("CAT US Equity","BS_ACCRUAL","FQ4 2018","FQ4 2018","Currency=USD","Period=FQ","BEST_FPERIOD_OVERRIDE=FQ","FILING_STATUS=MR","SCALING_FORMAT=MLN","Sort=A","Dates=H","DateFormat=P","Fill=—","Direction=H","UseDPDF=Y")</f>
        <v>5816</v>
      </c>
      <c r="E42" s="13" cm="1">
        <f t="array" ref="E42">_xll.BDH("CAT US Equity","BS_ACCRUAL","FQ1 2019","FQ1 2019","Currency=USD","Period=FQ","BEST_FPERIOD_OVERRIDE=FQ","FILING_STATUS=MR","SCALING_FORMAT=MLN","Sort=A","Dates=H","DateFormat=P","Fill=—","Direction=H","UseDPDF=Y")</f>
        <v>4843</v>
      </c>
      <c r="F42" s="13" cm="1">
        <f t="array" ref="F42">_xll.BDH("CAT US Equity","BS_ACCRUAL","FQ2 2019","FQ2 2019","Currency=USD","Period=FQ","BEST_FPERIOD_OVERRIDE=FQ","FILING_STATUS=MR","SCALING_FORMAT=MLN","Sort=A","Dates=H","DateFormat=P","Fill=—","Direction=H","UseDPDF=Y")</f>
        <v>5080</v>
      </c>
      <c r="G42" s="13" cm="1">
        <f t="array" ref="G42">_xll.BDH("CAT US Equity","BS_ACCRUAL","FQ3 2019","FQ3 2019","Currency=USD","Period=FQ","BEST_FPERIOD_OVERRIDE=FQ","FILING_STATUS=MR","SCALING_FORMAT=MLN","Sort=A","Dates=H","DateFormat=P","Fill=—","Direction=H","UseDPDF=Y")</f>
        <v>5125</v>
      </c>
      <c r="H42" s="13" cm="1">
        <f t="array" ref="H42">_xll.BDH("CAT US Equity","BS_ACCRUAL","FQ4 2019","FQ4 2019","Currency=USD","Period=FQ","BEST_FPERIOD_OVERRIDE=FQ","FILING_STATUS=MR","SCALING_FORMAT=MLN","Sort=A","Dates=H","DateFormat=P","Fill=—","Direction=H","UseDPDF=Y")</f>
        <v>5308</v>
      </c>
      <c r="I42" s="13" cm="1">
        <f t="array" ref="I42">_xll.BDH("CAT US Equity","BS_ACCRUAL","FQ1 2020","FQ1 2020","Currency=USD","Period=FQ","BEST_FPERIOD_OVERRIDE=FQ","FILING_STATUS=MR","SCALING_FORMAT=MLN","Sort=A","Dates=H","DateFormat=P","Fill=—","Direction=H","UseDPDF=Y")</f>
        <v>4400</v>
      </c>
      <c r="J42" s="13" cm="1">
        <f t="array" ref="J42">_xll.BDH("CAT US Equity","BS_ACCRUAL","FQ2 2020","FQ2 2020","Currency=USD","Period=FQ","BEST_FPERIOD_OVERRIDE=FQ","FILING_STATUS=MR","SCALING_FORMAT=MLN","Sort=A","Dates=H","DateFormat=P","Fill=—","Direction=H","UseDPDF=Y")</f>
        <v>4335</v>
      </c>
      <c r="K42" s="13" cm="1">
        <f t="array" ref="K42">_xll.BDH("CAT US Equity","BS_ACCRUAL","FQ3 2020","FQ3 2020","Currency=USD","Period=FQ","BEST_FPERIOD_OVERRIDE=FQ","FILING_STATUS=MR","SCALING_FORMAT=MLN","Sort=A","Dates=H","DateFormat=P","Fill=—","Direction=H","UseDPDF=Y")</f>
        <v>4463</v>
      </c>
      <c r="L42" s="13" cm="1">
        <f t="array" ref="L42">_xll.BDH("CAT US Equity","BS_ACCRUAL","FQ4 2020","FQ4 2020","Currency=USD","Period=FQ","BEST_FPERIOD_OVERRIDE=FQ","FILING_STATUS=MR","SCALING_FORMAT=MLN","Sort=A","Dates=H","DateFormat=P","Fill=—","Direction=H","UseDPDF=Y")</f>
        <v>4547</v>
      </c>
      <c r="M42" s="13" cm="1">
        <f t="array" ref="M42">_xll.BDH("CAT US Equity","BS_ACCRUAL","FQ1 2021","FQ1 2021","Currency=USD","Period=FQ","BEST_FPERIOD_OVERRIDE=FQ","FILING_STATUS=MR","SCALING_FORMAT=MLN","Sort=A","Dates=H","DateFormat=P","Fill=—","Direction=H","UseDPDF=Y")</f>
        <v>4699</v>
      </c>
      <c r="N42" s="13" cm="1">
        <f t="array" ref="N42">_xll.BDH("CAT US Equity","BS_ACCRUAL","FQ2 2021","FQ2 2021","Currency=USD","Period=FQ","BEST_FPERIOD_OVERRIDE=FQ","FILING_STATUS=MR","SCALING_FORMAT=MLN","Sort=A","Dates=H","DateFormat=P","Fill=—","Direction=H","UseDPDF=Y")</f>
        <v>5206</v>
      </c>
      <c r="O42" s="13" cm="1">
        <f t="array" ref="O42">_xll.BDH("CAT US Equity","BS_ACCRUAL","FQ3 2021","FQ3 2021","Currency=USD","Period=FQ","BEST_FPERIOD_OVERRIDE=FQ","FILING_STATUS=MR","SCALING_FORMAT=MLN","Sort=A","Dates=H","DateFormat=P","Fill=—","Direction=H","UseDPDF=Y")</f>
        <v>5589</v>
      </c>
      <c r="P42" s="13" cm="1">
        <f t="array" ref="P42">_xll.BDH("CAT US Equity","BS_ACCRUAL","FQ4 2021","FQ4 2021","Currency=USD","Period=FQ","BEST_FPERIOD_OVERRIDE=FQ","FILING_STATUS=MR","SCALING_FORMAT=MLN","Sort=A","Dates=H","DateFormat=P","Fill=—","Direction=H","UseDPDF=Y")</f>
        <v>5916</v>
      </c>
      <c r="Q42" s="13" cm="1">
        <f t="array" ref="Q42">_xll.BDH("CAT US Equity","BS_ACCRUAL","FQ1 2022","FQ1 2022","Currency=USD","Period=FQ","BEST_FPERIOD_OVERRIDE=FQ","FILING_STATUS=MR","SCALING_FORMAT=MLN","Sort=A","Dates=H","DateFormat=P","Fill=—","Direction=H","UseDPDF=Y")</f>
        <v>4907</v>
      </c>
      <c r="R42" s="13" cm="1">
        <f t="array" ref="R42">_xll.BDH("CAT US Equity","BS_ACCRUAL","FQ2 2022","FQ2 2022","Currency=USD","Period=FQ","BEST_FPERIOD_OVERRIDE=FQ","FILING_STATUS=MR","SCALING_FORMAT=MLN","Sort=A","Dates=H","DateFormat=P","Fill=—","Direction=H","UseDPDF=Y")</f>
        <v>5102</v>
      </c>
      <c r="S42" s="13" cm="1">
        <f t="array" ref="S42">_xll.BDH("CAT US Equity","BS_ACCRUAL","FQ3 2022","FQ3 2022","Currency=USD","Period=FQ","BEST_FPERIOD_OVERRIDE=FQ","FILING_STATUS=MR","SCALING_FORMAT=MLN","Sort=A","Dates=H","DateFormat=P","Fill=—","Direction=H","UseDPDF=Y")</f>
        <v>5400</v>
      </c>
      <c r="T42" s="13" cm="1">
        <f t="array" ref="T42">_xll.BDH("CAT US Equity","BS_ACCRUAL","FQ4 2022","FQ4 2022","Currency=USD","Period=FQ","BEST_FPERIOD_OVERRIDE=FQ","FILING_STATUS=MR","SCALING_FORMAT=MLN","Sort=A","Dates=H","DateFormat=P","Fill=—","Direction=H","UseDPDF=Y")</f>
        <v>6393</v>
      </c>
      <c r="U42" s="13" cm="1">
        <f t="array" ref="U42">_xll.BDH("CAT US Equity","BS_ACCRUAL","FQ1 2023","FQ1 2023","Currency=USD","Period=FQ","BEST_FPERIOD_OVERRIDE=FQ","FILING_STATUS=MR","SCALING_FORMAT=MLN","Sort=A","Dates=H","DateFormat=P","Fill=—","Direction=H","UseDPDF=Y")</f>
        <v>5489</v>
      </c>
      <c r="V42" s="13" cm="1">
        <f t="array" ref="V42">_xll.BDH("CAT US Equity","BS_ACCRUAL","FQ2 2023","FQ2 2023","Currency=USD","Period=FQ","BEST_FPERIOD_OVERRIDE=FQ","FILING_STATUS=MR","SCALING_FORMAT=MLN","Sort=A","Dates=H","DateFormat=P","Fill=—","Direction=H","UseDPDF=Y")</f>
        <v>6248</v>
      </c>
      <c r="W42" s="13" cm="1">
        <f t="array" ref="W42">_xll.BDH("CAT US Equity","BS_ACCRUAL","FQ3 2023","FQ3 2023","Currency=USD","Period=FQ","BEST_FPERIOD_OVERRIDE=FQ","FILING_STATUS=MR","SCALING_FORMAT=MLN","Sort=A","Dates=H","DateFormat=P","Fill=—","Direction=H","UseDPDF=Y")</f>
        <v>6969</v>
      </c>
      <c r="X42" s="13" cm="1">
        <f t="array" ref="X42">_xll.BDH("CAT US Equity","BS_ACCRUAL","FQ4 2023","FQ4 2023","Currency=USD","Period=FQ","BEST_FPERIOD_OVERRIDE=FQ","FILING_STATUS=MR","SCALING_FORMAT=MLN","Sort=A","Dates=H","DateFormat=P","Fill=—","Direction=H","UseDPDF=Y")</f>
        <v>7715</v>
      </c>
      <c r="Y42" s="13" cm="1">
        <f t="array" ref="Y42">_xll.BDH("CAT US Equity","BS_ACCRUAL","FQ1 2024","FQ1 2024","Currency=USD","Period=FQ","BEST_FPERIOD_OVERRIDE=FQ","FILING_STATUS=MR","SCALING_FORMAT=MLN","Sort=A","Dates=H","DateFormat=P","Fill=—","Direction=H","UseDPDF=Y")</f>
        <v>6112</v>
      </c>
      <c r="Z42" s="13" cm="1">
        <f t="array" ref="Z42">_xll.BDH("CAT US Equity","BS_ACCRUAL","FQ2 2024","FQ2 2024","Currency=USD","Period=FQ","BEST_FPERIOD_OVERRIDE=FQ","FILING_STATUS=MR","SCALING_FORMAT=MLN","Sort=A","Dates=H","DateFormat=P","Fill=—","Direction=H","UseDPDF=Y")</f>
        <v>6624</v>
      </c>
      <c r="AA42" s="13" cm="1">
        <f t="array" ref="AA42">_xll.BDH("CAT US Equity","BS_ACCRUAL","FQ3 2024","FQ3 2024","Currency=USD","Period=FQ","BEST_FPERIOD_OVERRIDE=FQ","FILING_STATUS=MR","SCALING_FORMAT=MLN","Sort=A","Dates=H","DateFormat=P","Fill=—","Direction=H","UseDPDF=Y")</f>
        <v>7058</v>
      </c>
      <c r="AB42" s="13" cm="1">
        <f t="array" ref="AB42">_xll.BDH("CAT US Equity","BS_ACCRUAL","FQ4 2024","FQ4 2024","Currency=USD","Period=FQ","BEST_FPERIOD_OVERRIDE=FQ","FILING_STATUS=MR","SCALING_FORMAT=MLN","Sort=A","Dates=H","DateFormat=P","Fill=—","Direction=H","UseDPDF=Y")</f>
        <v>7634</v>
      </c>
      <c r="AC42" s="13" cm="1">
        <f t="array" ref="AC42">_xll.BDH("CAT US Equity","BS_ACCRUAL","FQ1 2025","FQ1 2025","Currency=USD","Period=FQ","BEST_FPERIOD_OVERRIDE=FQ","FILING_STATUS=MR","SCALING_FORMAT=MLN","Sort=A","Dates=H","DateFormat=P","Fill=—","Direction=H","UseDPDF=Y")</f>
        <v>6249</v>
      </c>
      <c r="AD42" s="13" cm="1">
        <f t="array" ref="AD42">_xll.BDH("CAT US Equity","BS_ACCRUAL","FQ2 2025","FQ2 2025","Currency=USD","Period=FQ","BEST_FPERIOD_OVERRIDE=FQ","FILING_STATUS=MR","SCALING_FORMAT=MLN","Sort=A","Dates=H","DateFormat=P","Fill=—","Direction=H","UseDPDF=Y")</f>
        <v>6825</v>
      </c>
      <c r="AE42" s="13" cm="1">
        <f t="array" ref="AE42">_xll.BDH("CAT US Equity","BS_ACCRUAL","FQ3 2025","FQ3 2025","Currency=USD","Period=FQ","BEST_FPERIOD_OVERRIDE=FQ","FILING_STATUS=MR","SCALING_FORMAT=MLN","Sort=A","Dates=H","DateFormat=P","Fill=—","Direction=H","UseDPDF=Y")</f>
        <v>7313</v>
      </c>
      <c r="AF42" s="13" cm="1">
        <f t="array" ref="AF42">_xll.BDH("CAT US Equity","BS_ACCRUAL","FQ4 2025","FQ4 2025","Currency=USD","Period=FQ","BEST_FPERIOD_OVERRIDE=FQ","FILING_STATUS=MR","SCALING_FORMAT=MLN","Sort=A","Dates=H","DateFormat=P","Fill=—","Direction=H","UseDPDF=Y")</f>
        <v>8141</v>
      </c>
    </row>
    <row r="43" spans="1:32" x14ac:dyDescent="0.25">
      <c r="A43" s="10" t="s">
        <v>133</v>
      </c>
      <c r="B43" s="10" t="s">
        <v>134</v>
      </c>
      <c r="C43" s="13" cm="1">
        <f t="array" ref="C43">_xll.BDH("CAT US Equity","BS_ST_BORROW","FQ3 2018","FQ3 2018","Currency=USD","Period=FQ","BEST_FPERIOD_OVERRIDE=FQ","FILING_STATUS=MR","SCALING_FORMAT=MLN","Sort=A","Dates=H","DateFormat=P","Fill=—","Direction=H","UseDPDF=Y")</f>
        <v>10332</v>
      </c>
      <c r="D43" s="13" cm="1">
        <f t="array" ref="D43">_xll.BDH("CAT US Equity","BS_ST_BORROW","FQ4 2018","FQ4 2018","Currency=USD","Period=FQ","BEST_FPERIOD_OVERRIDE=FQ","FILING_STATUS=MR","SCALING_FORMAT=MLN","Sort=A","Dates=H","DateFormat=P","Fill=—","Direction=H","UseDPDF=Y")</f>
        <v>11553</v>
      </c>
      <c r="E43" s="13" cm="1">
        <f t="array" ref="E43">_xll.BDH("CAT US Equity","BS_ST_BORROW","FQ1 2019","FQ1 2019","Currency=USD","Period=FQ","BEST_FPERIOD_OVERRIDE=FQ","FILING_STATUS=MR","SCALING_FORMAT=MLN","Sort=A","Dates=H","DateFormat=P","Fill=—","Direction=H","UseDPDF=Y")</f>
        <v>11730</v>
      </c>
      <c r="F43" s="13" cm="1">
        <f t="array" ref="F43">_xll.BDH("CAT US Equity","BS_ST_BORROW","FQ2 2019","FQ2 2019","Currency=USD","Period=FQ","BEST_FPERIOD_OVERRIDE=FQ","FILING_STATUS=MR","SCALING_FORMAT=MLN","Sort=A","Dates=H","DateFormat=P","Fill=—","Direction=H","UseDPDF=Y")</f>
        <v>11701</v>
      </c>
      <c r="G43" s="13" cm="1">
        <f t="array" ref="G43">_xll.BDH("CAT US Equity","BS_ST_BORROW","FQ3 2019","FQ3 2019","Currency=USD","Period=FQ","BEST_FPERIOD_OVERRIDE=FQ","FILING_STATUS=MR","SCALING_FORMAT=MLN","Sort=A","Dates=H","DateFormat=P","Fill=—","Direction=H","UseDPDF=Y")</f>
        <v>12496</v>
      </c>
      <c r="H43" s="13" cm="1">
        <f t="array" ref="H43">_xll.BDH("CAT US Equity","BS_ST_BORROW","FQ4 2019","FQ4 2019","Currency=USD","Period=FQ","BEST_FPERIOD_OVERRIDE=FQ","FILING_STATUS=MR","SCALING_FORMAT=MLN","Sort=A","Dates=H","DateFormat=P","Fill=—","Direction=H","UseDPDF=Y")</f>
        <v>11549</v>
      </c>
      <c r="I43" s="13" cm="1">
        <f t="array" ref="I43">_xll.BDH("CAT US Equity","BS_ST_BORROW","FQ1 2020","FQ1 2020","Currency=USD","Period=FQ","BEST_FPERIOD_OVERRIDE=FQ","FILING_STATUS=MR","SCALING_FORMAT=MLN","Sort=A","Dates=H","DateFormat=P","Fill=—","Direction=H","UseDPDF=Y")</f>
        <v>12724</v>
      </c>
      <c r="J43" s="13" cm="1">
        <f t="array" ref="J43">_xll.BDH("CAT US Equity","BS_ST_BORROW","FQ2 2020","FQ2 2020","Currency=USD","Period=FQ","BEST_FPERIOD_OVERRIDE=FQ","FILING_STATUS=MR","SCALING_FORMAT=MLN","Sort=A","Dates=H","DateFormat=P","Fill=—","Direction=H","UseDPDF=Y")</f>
        <v>11715</v>
      </c>
      <c r="K43" s="13" cm="1">
        <f t="array" ref="K43">_xll.BDH("CAT US Equity","BS_ST_BORROW","FQ3 2020","FQ3 2020","Currency=USD","Period=FQ","BEST_FPERIOD_OVERRIDE=FQ","FILING_STATUS=MR","SCALING_FORMAT=MLN","Sort=A","Dates=H","DateFormat=P","Fill=—","Direction=H","UseDPDF=Y")</f>
        <v>12019</v>
      </c>
      <c r="L43" s="13" cm="1">
        <f t="array" ref="L43">_xll.BDH("CAT US Equity","BS_ST_BORROW","FQ4 2020","FQ4 2020","Currency=USD","Period=FQ","BEST_FPERIOD_OVERRIDE=FQ","FILING_STATUS=MR","SCALING_FORMAT=MLN","Sort=A","Dates=H","DateFormat=P","Fill=—","Direction=H","UseDPDF=Y")</f>
        <v>11327</v>
      </c>
      <c r="M43" s="13" cm="1">
        <f t="array" ref="M43">_xll.BDH("CAT US Equity","BS_ST_BORROW","FQ1 2021","FQ1 2021","Currency=USD","Period=FQ","BEST_FPERIOD_OVERRIDE=FQ","FILING_STATUS=MR","SCALING_FORMAT=MLN","Sort=A","Dates=H","DateFormat=P","Fill=—","Direction=H","UseDPDF=Y")</f>
        <v>11824</v>
      </c>
      <c r="N43" s="13" cm="1">
        <f t="array" ref="N43">_xll.BDH("CAT US Equity","BS_ST_BORROW","FQ2 2021","FQ2 2021","Currency=USD","Period=FQ","BEST_FPERIOD_OVERRIDE=FQ","FILING_STATUS=MR","SCALING_FORMAT=MLN","Sort=A","Dates=H","DateFormat=P","Fill=—","Direction=H","UseDPDF=Y")</f>
        <v>11381</v>
      </c>
      <c r="O43" s="13" cm="1">
        <f t="array" ref="O43">_xll.BDH("CAT US Equity","BS_ST_BORROW","FQ3 2021","FQ3 2021","Currency=USD","Period=FQ","BEST_FPERIOD_OVERRIDE=FQ","FILING_STATUS=MR","SCALING_FORMAT=MLN","Sort=A","Dates=H","DateFormat=P","Fill=—","Direction=H","UseDPDF=Y")</f>
        <v>9630</v>
      </c>
      <c r="P43" s="13" cm="1">
        <f t="array" ref="P43">_xll.BDH("CAT US Equity","BS_ST_BORROW","FQ4 2021","FQ4 2021","Currency=USD","Period=FQ","BEST_FPERIOD_OVERRIDE=FQ","FILING_STATUS=MR","SCALING_FORMAT=MLN","Sort=A","Dates=H","DateFormat=P","Fill=—","Direction=H","UseDPDF=Y")</f>
        <v>11914</v>
      </c>
      <c r="Q43" s="13" cm="1">
        <f t="array" ref="Q43">_xll.BDH("CAT US Equity","BS_ST_BORROW","FQ1 2022","FQ1 2022","Currency=USD","Period=FQ","BEST_FPERIOD_OVERRIDE=FQ","FILING_STATUS=MR","SCALING_FORMAT=MLN","Sort=A","Dates=H","DateFormat=P","Fill=—","Direction=H","UseDPDF=Y")</f>
        <v>12307</v>
      </c>
      <c r="R43" s="13" cm="1">
        <f t="array" ref="R43">_xll.BDH("CAT US Equity","BS_ST_BORROW","FQ2 2022","FQ2 2022","Currency=USD","Period=FQ","BEST_FPERIOD_OVERRIDE=FQ","FILING_STATUS=MR","SCALING_FORMAT=MLN","Sort=A","Dates=H","DateFormat=P","Fill=—","Direction=H","UseDPDF=Y")</f>
        <v>10743</v>
      </c>
      <c r="S43" s="13" cm="1">
        <f t="array" ref="S43">_xll.BDH("CAT US Equity","BS_ST_BORROW","FQ3 2022","FQ3 2022","Currency=USD","Period=FQ","BEST_FPERIOD_OVERRIDE=FQ","FILING_STATUS=MR","SCALING_FORMAT=MLN","Sort=A","Dates=H","DateFormat=P","Fill=—","Direction=H","UseDPDF=Y")</f>
        <v>11016</v>
      </c>
      <c r="T43" s="13" cm="1">
        <f t="array" ref="T43">_xll.BDH("CAT US Equity","BS_ST_BORROW","FQ4 2022","FQ4 2022","Currency=USD","Period=FQ","BEST_FPERIOD_OVERRIDE=FQ","FILING_STATUS=MR","SCALING_FORMAT=MLN","Sort=A","Dates=H","DateFormat=P","Fill=—","Direction=H","UseDPDF=Y")</f>
        <v>11430</v>
      </c>
      <c r="U43" s="13" cm="1">
        <f t="array" ref="U43">_xll.BDH("CAT US Equity","BS_ST_BORROW","FQ1 2023","FQ1 2023","Currency=USD","Period=FQ","BEST_FPERIOD_OVERRIDE=FQ","FILING_STATUS=MR","SCALING_FORMAT=MLN","Sort=A","Dates=H","DateFormat=P","Fill=—","Direction=H","UseDPDF=Y")</f>
        <v>12165</v>
      </c>
      <c r="V43" s="13" cm="1">
        <f t="array" ref="V43">_xll.BDH("CAT US Equity","BS_ST_BORROW","FQ2 2023","FQ2 2023","Currency=USD","Period=FQ","BEST_FPERIOD_OVERRIDE=FQ","FILING_STATUS=MR","SCALING_FORMAT=MLN","Sort=A","Dates=H","DateFormat=P","Fill=—","Direction=H","UseDPDF=Y")</f>
        <v>14714</v>
      </c>
      <c r="W43" s="13" cm="1">
        <f t="array" ref="W43">_xll.BDH("CAT US Equity","BS_ST_BORROW","FQ3 2023","FQ3 2023","Currency=USD","Period=FQ","BEST_FPERIOD_OVERRIDE=FQ","FILING_STATUS=MR","SCALING_FORMAT=MLN","Sort=A","Dates=H","DateFormat=P","Fill=—","Direction=H","UseDPDF=Y")</f>
        <v>12880</v>
      </c>
      <c r="X43" s="13" cm="1">
        <f t="array" ref="X43">_xll.BDH("CAT US Equity","BS_ST_BORROW","FQ4 2023","FQ4 2023","Currency=USD","Period=FQ","BEST_FPERIOD_OVERRIDE=FQ","FILING_STATUS=MR","SCALING_FORMAT=MLN","Sort=A","Dates=H","DateFormat=P","Fill=—","Direction=H","UseDPDF=Y")</f>
        <v>13553</v>
      </c>
      <c r="Y43" s="13" cm="1">
        <f t="array" ref="Y43">_xll.BDH("CAT US Equity","BS_ST_BORROW","FQ1 2024","FQ1 2024","Currency=USD","Period=FQ","BEST_FPERIOD_OVERRIDE=FQ","FILING_STATUS=MR","SCALING_FORMAT=MLN","Sort=A","Dates=H","DateFormat=P","Fill=—","Direction=H","UseDPDF=Y")</f>
        <v>13022</v>
      </c>
      <c r="Z43" s="13" cm="1">
        <f t="array" ref="Z43">_xll.BDH("CAT US Equity","BS_ST_BORROW","FQ2 2024","FQ2 2024","Currency=USD","Period=FQ","BEST_FPERIOD_OVERRIDE=FQ","FILING_STATUS=MR","SCALING_FORMAT=MLN","Sort=A","Dates=H","DateFormat=P","Fill=—","Direction=H","UseDPDF=Y")</f>
        <v>13475</v>
      </c>
      <c r="AA43" s="13" cm="1">
        <f t="array" ref="AA43">_xll.BDH("CAT US Equity","BS_ST_BORROW","FQ3 2024","FQ3 2024","Currency=USD","Period=FQ","BEST_FPERIOD_OVERRIDE=FQ","FILING_STATUS=MR","SCALING_FORMAT=MLN","Sort=A","Dates=H","DateFormat=P","Fill=—","Direction=H","UseDPDF=Y")</f>
        <v>12117</v>
      </c>
      <c r="AB43" s="13" cm="1">
        <f t="array" ref="AB43">_xll.BDH("CAT US Equity","BS_ST_BORROW","FQ4 2024","FQ4 2024","Currency=USD","Period=FQ","BEST_FPERIOD_OVERRIDE=FQ","FILING_STATUS=MR","SCALING_FORMAT=MLN","Sort=A","Dates=H","DateFormat=P","Fill=—","Direction=H","UseDPDF=Y")</f>
        <v>11201</v>
      </c>
      <c r="AC43" s="13" cm="1">
        <f t="array" ref="AC43">_xll.BDH("CAT US Equity","BS_ST_BORROW","FQ1 2025","FQ1 2025","Currency=USD","Period=FQ","BEST_FPERIOD_OVERRIDE=FQ","FILING_STATUS=MR","SCALING_FORMAT=MLN","Sort=A","Dates=H","DateFormat=P","Fill=—","Direction=H","UseDPDF=Y")</f>
        <v>12769</v>
      </c>
      <c r="AD43" s="13" cm="1">
        <f t="array" ref="AD43">_xll.BDH("CAT US Equity","BS_ST_BORROW","FQ2 2025","FQ2 2025","Currency=USD","Period=FQ","BEST_FPERIOD_OVERRIDE=FQ","FILING_STATUS=MR","SCALING_FORMAT=MLN","Sort=A","Dates=H","DateFormat=P","Fill=—","Direction=H","UseDPDF=Y")</f>
        <v>12800</v>
      </c>
      <c r="AE43" s="13" cm="1">
        <f t="array" ref="AE43">_xll.BDH("CAT US Equity","BS_ST_BORROW","FQ3 2025","FQ3 2025","Currency=USD","Period=FQ","BEST_FPERIOD_OVERRIDE=FQ","FILING_STATUS=MR","SCALING_FORMAT=MLN","Sort=A","Dates=H","DateFormat=P","Fill=—","Direction=H","UseDPDF=Y")</f>
        <v>13798</v>
      </c>
      <c r="AF43" s="13" cm="1">
        <f t="array" ref="AF43">_xll.BDH("CAT US Equity","BS_ST_BORROW","FQ4 2025","FQ4 2025","Currency=USD","Period=FQ","BEST_FPERIOD_OVERRIDE=FQ","FILING_STATUS=MR","SCALING_FORMAT=MLN","Sort=A","Dates=H","DateFormat=P","Fill=—","Direction=H","UseDPDF=Y")</f>
        <v>12792</v>
      </c>
    </row>
    <row r="44" spans="1:32" x14ac:dyDescent="0.25">
      <c r="A44" s="10" t="s">
        <v>135</v>
      </c>
      <c r="B44" s="10" t="s">
        <v>136</v>
      </c>
      <c r="C44" s="13" cm="1">
        <f t="array" ref="C44">_xll.BDH("CAT US Equity","SHORT_TERM_DEBT_DETAILED","FQ3 2018","FQ3 2018","Currency=USD","Period=FQ","BEST_FPERIOD_OVERRIDE=FQ","FILING_STATUS=MR","SCALING_FORMAT=MLN","Sort=A","Dates=H","DateFormat=P","Fill=—","Direction=H","UseDPDF=Y")</f>
        <v>4521</v>
      </c>
      <c r="D44" s="13" cm="1">
        <f t="array" ref="D44">_xll.BDH("CAT US Equity","SHORT_TERM_DEBT_DETAILED","FQ4 2018","FQ4 2018","Currency=USD","Period=FQ","BEST_FPERIOD_OVERRIDE=FQ","FILING_STATUS=MR","SCALING_FORMAT=MLN","Sort=A","Dates=H","DateFormat=P","Fill=—","Direction=H","UseDPDF=Y")</f>
        <v>5723</v>
      </c>
      <c r="E44" s="13" cm="1">
        <f t="array" ref="E44">_xll.BDH("CAT US Equity","SHORT_TERM_DEBT_DETAILED","FQ1 2019","FQ1 2019","Currency=USD","Period=FQ","BEST_FPERIOD_OVERRIDE=FQ","FILING_STATUS=MR","SCALING_FORMAT=MLN","Sort=A","Dates=H","DateFormat=P","Fill=—","Direction=H","UseDPDF=Y")</f>
        <v>5590</v>
      </c>
      <c r="F44" s="13" cm="1">
        <f t="array" ref="F44">_xll.BDH("CAT US Equity","SHORT_TERM_DEBT_DETAILED","FQ2 2019","FQ2 2019","Currency=USD","Period=FQ","BEST_FPERIOD_OVERRIDE=FQ","FILING_STATUS=MR","SCALING_FORMAT=MLN","Sort=A","Dates=H","DateFormat=P","Fill=—","Direction=H","UseDPDF=Y")</f>
        <v>5266</v>
      </c>
      <c r="G44" s="13" cm="1">
        <f t="array" ref="G44">_xll.BDH("CAT US Equity","SHORT_TERM_DEBT_DETAILED","FQ3 2019","FQ3 2019","Currency=USD","Period=FQ","BEST_FPERIOD_OVERRIDE=FQ","FILING_STATUS=MR","SCALING_FORMAT=MLN","Sort=A","Dates=H","DateFormat=P","Fill=—","Direction=H","UseDPDF=Y")</f>
        <v>4268</v>
      </c>
      <c r="H44" s="13" cm="1">
        <f t="array" ref="H44">_xll.BDH("CAT US Equity","SHORT_TERM_DEBT_DETAILED","FQ4 2019","FQ4 2019","Currency=USD","Period=FQ","BEST_FPERIOD_OVERRIDE=FQ","FILING_STATUS=MR","SCALING_FORMAT=MLN","Sort=A","Dates=H","DateFormat=P","Fill=—","Direction=H","UseDPDF=Y")</f>
        <v>5166</v>
      </c>
      <c r="I44" s="13" cm="1">
        <f t="array" ref="I44">_xll.BDH("CAT US Equity","SHORT_TERM_DEBT_DETAILED","FQ1 2020","FQ1 2020","Currency=USD","Period=FQ","BEST_FPERIOD_OVERRIDE=FQ","FILING_STATUS=MR","SCALING_FORMAT=MLN","Sort=A","Dates=H","DateFormat=P","Fill=—","Direction=H","UseDPDF=Y")</f>
        <v>4789</v>
      </c>
      <c r="J44" s="13" cm="1">
        <f t="array" ref="J44">_xll.BDH("CAT US Equity","SHORT_TERM_DEBT_DETAILED","FQ2 2020","FQ2 2020","Currency=USD","Period=FQ","BEST_FPERIOD_OVERRIDE=FQ","FILING_STATUS=MR","SCALING_FORMAT=MLN","Sort=A","Dates=H","DateFormat=P","Fill=—","Direction=H","UseDPDF=Y")</f>
        <v>4314</v>
      </c>
      <c r="K44" s="13" cm="1">
        <f t="array" ref="K44">_xll.BDH("CAT US Equity","SHORT_TERM_DEBT_DETAILED","FQ3 2020","FQ3 2020","Currency=USD","Period=FQ","BEST_FPERIOD_OVERRIDE=FQ","FILING_STATUS=MR","SCALING_FORMAT=MLN","Sort=A","Dates=H","DateFormat=P","Fill=—","Direction=H","UseDPDF=Y")</f>
        <v>2660</v>
      </c>
      <c r="L44" s="13" cm="1">
        <f t="array" ref="L44">_xll.BDH("CAT US Equity","SHORT_TERM_DEBT_DETAILED","FQ4 2020","FQ4 2020","Currency=USD","Period=FQ","BEST_FPERIOD_OVERRIDE=FQ","FILING_STATUS=MR","SCALING_FORMAT=MLN","Sort=A","Dates=H","DateFormat=P","Fill=—","Direction=H","UseDPDF=Y")</f>
        <v>2015</v>
      </c>
      <c r="M44" s="13" cm="1">
        <f t="array" ref="M44">_xll.BDH("CAT US Equity","SHORT_TERM_DEBT_DETAILED","FQ1 2021","FQ1 2021","Currency=USD","Period=FQ","BEST_FPERIOD_OVERRIDE=FQ","FILING_STATUS=MR","SCALING_FORMAT=MLN","Sort=A","Dates=H","DateFormat=P","Fill=—","Direction=H","UseDPDF=Y")</f>
        <v>3625</v>
      </c>
      <c r="N44" s="13" cm="1">
        <f t="array" ref="N44">_xll.BDH("CAT US Equity","SHORT_TERM_DEBT_DETAILED","FQ2 2021","FQ2 2021","Currency=USD","Period=FQ","BEST_FPERIOD_OVERRIDE=FQ","FILING_STATUS=MR","SCALING_FORMAT=MLN","Sort=A","Dates=H","DateFormat=P","Fill=—","Direction=H","UseDPDF=Y")</f>
        <v>3425</v>
      </c>
      <c r="O44" s="13" cm="1">
        <f t="array" ref="O44">_xll.BDH("CAT US Equity","SHORT_TERM_DEBT_DETAILED","FQ3 2021","FQ3 2021","Currency=USD","Period=FQ","BEST_FPERIOD_OVERRIDE=FQ","FILING_STATUS=MR","SCALING_FORMAT=MLN","Sort=A","Dates=H","DateFormat=P","Fill=—","Direction=H","UseDPDF=Y")</f>
        <v>3247</v>
      </c>
      <c r="P44" s="13" cm="1">
        <f t="array" ref="P44">_xll.BDH("CAT US Equity","SHORT_TERM_DEBT_DETAILED","FQ4 2021","FQ4 2021","Currency=USD","Period=FQ","BEST_FPERIOD_OVERRIDE=FQ","FILING_STATUS=MR","SCALING_FORMAT=MLN","Sort=A","Dates=H","DateFormat=P","Fill=—","Direction=H","UseDPDF=Y")</f>
        <v>5404</v>
      </c>
      <c r="Q44" s="13" cm="1">
        <f t="array" ref="Q44">_xll.BDH("CAT US Equity","SHORT_TERM_DEBT_DETAILED","FQ1 2022","FQ1 2022","Currency=USD","Period=FQ","BEST_FPERIOD_OVERRIDE=FQ","FILING_STATUS=MR","SCALING_FORMAT=MLN","Sort=A","Dates=H","DateFormat=P","Fill=—","Direction=H","UseDPDF=Y")</f>
        <v>4501</v>
      </c>
      <c r="R44" s="13" cm="1">
        <f t="array" ref="R44">_xll.BDH("CAT US Equity","SHORT_TERM_DEBT_DETAILED","FQ2 2022","FQ2 2022","Currency=USD","Period=FQ","BEST_FPERIOD_OVERRIDE=FQ","FILING_STATUS=MR","SCALING_FORMAT=MLN","Sort=A","Dates=H","DateFormat=P","Fill=—","Direction=H","UseDPDF=Y")</f>
        <v>5002</v>
      </c>
      <c r="S44" s="13" cm="1">
        <f t="array" ref="S44">_xll.BDH("CAT US Equity","SHORT_TERM_DEBT_DETAILED","FQ3 2022","FQ3 2022","Currency=USD","Period=FQ","BEST_FPERIOD_OVERRIDE=FQ","FILING_STATUS=MR","SCALING_FORMAT=MLN","Sort=A","Dates=H","DateFormat=P","Fill=—","Direction=H","UseDPDF=Y")</f>
        <v>4202</v>
      </c>
      <c r="T44" s="13" cm="1">
        <f t="array" ref="T44">_xll.BDH("CAT US Equity","SHORT_TERM_DEBT_DETAILED","FQ4 2022","FQ4 2022","Currency=USD","Period=FQ","BEST_FPERIOD_OVERRIDE=FQ","FILING_STATUS=MR","SCALING_FORMAT=MLN","Sort=A","Dates=H","DateFormat=P","Fill=—","Direction=H","UseDPDF=Y")</f>
        <v>5957</v>
      </c>
      <c r="U44" s="13" cm="1">
        <f t="array" ref="U44">_xll.BDH("CAT US Equity","SHORT_TERM_DEBT_DETAILED","FQ1 2023","FQ1 2023","Currency=USD","Period=FQ","BEST_FPERIOD_OVERRIDE=FQ","FILING_STATUS=MR","SCALING_FORMAT=MLN","Sort=A","Dates=H","DateFormat=P","Fill=—","Direction=H","UseDPDF=Y")</f>
        <v>5841</v>
      </c>
      <c r="V44" s="13" cm="1">
        <f t="array" ref="V44">_xll.BDH("CAT US Equity","SHORT_TERM_DEBT_DETAILED","FQ2 2023","FQ2 2023","Currency=USD","Period=FQ","BEST_FPERIOD_OVERRIDE=FQ","FILING_STATUS=MR","SCALING_FORMAT=MLN","Sort=A","Dates=H","DateFormat=P","Fill=—","Direction=H","UseDPDF=Y")</f>
        <v>5548</v>
      </c>
      <c r="W44" s="13" cm="1">
        <f t="array" ref="W44">_xll.BDH("CAT US Equity","SHORT_TERM_DEBT_DETAILED","FQ3 2023","FQ3 2023","Currency=USD","Period=FQ","BEST_FPERIOD_OVERRIDE=FQ","FILING_STATUS=MR","SCALING_FORMAT=MLN","Sort=A","Dates=H","DateFormat=P","Fill=—","Direction=H","UseDPDF=Y")</f>
        <v>4218</v>
      </c>
      <c r="X44" s="13" cm="1">
        <f t="array" ref="X44">_xll.BDH("CAT US Equity","SHORT_TERM_DEBT_DETAILED","FQ4 2023","FQ4 2023","Currency=USD","Period=FQ","BEST_FPERIOD_OVERRIDE=FQ","FILING_STATUS=MR","SCALING_FORMAT=MLN","Sort=A","Dates=H","DateFormat=P","Fill=—","Direction=H","UseDPDF=Y")</f>
        <v>4643</v>
      </c>
      <c r="Y44" s="13" cm="1">
        <f t="array" ref="Y44">_xll.BDH("CAT US Equity","SHORT_TERM_DEBT_DETAILED","FQ1 2024","FQ1 2024","Currency=USD","Period=FQ","BEST_FPERIOD_OVERRIDE=FQ","FILING_STATUS=MR","SCALING_FORMAT=MLN","Sort=A","Dates=H","DateFormat=P","Fill=—","Direction=H","UseDPDF=Y")</f>
        <v>3568</v>
      </c>
      <c r="Z44" s="13" cm="1">
        <f t="array" ref="Z44">_xll.BDH("CAT US Equity","SHORT_TERM_DEBT_DETAILED","FQ2 2024","FQ2 2024","Currency=USD","Period=FQ","BEST_FPERIOD_OVERRIDE=FQ","FILING_STATUS=MR","SCALING_FORMAT=MLN","Sort=A","Dates=H","DateFormat=P","Fill=—","Direction=H","UseDPDF=Y")</f>
        <v>5298</v>
      </c>
      <c r="AA44" s="13" cm="1">
        <f t="array" ref="AA44">_xll.BDH("CAT US Equity","SHORT_TERM_DEBT_DETAILED","FQ3 2024","FQ3 2024","Currency=USD","Period=FQ","BEST_FPERIOD_OVERRIDE=FQ","FILING_STATUS=MR","SCALING_FORMAT=MLN","Sort=A","Dates=H","DateFormat=P","Fill=—","Direction=H","UseDPDF=Y")</f>
        <v>3725</v>
      </c>
      <c r="AB44" s="13" cm="1">
        <f t="array" ref="AB44">_xll.BDH("CAT US Equity","SHORT_TERM_DEBT_DETAILED","FQ4 2024","FQ4 2024","Currency=USD","Period=FQ","BEST_FPERIOD_OVERRIDE=FQ","FILING_STATUS=MR","SCALING_FORMAT=MLN","Sort=A","Dates=H","DateFormat=P","Fill=—","Direction=H","UseDPDF=Y")</f>
        <v>4393</v>
      </c>
      <c r="AC44" s="13" cm="1">
        <f t="array" ref="AC44">_xll.BDH("CAT US Equity","SHORT_TERM_DEBT_DETAILED","FQ1 2025","FQ1 2025","Currency=USD","Period=FQ","BEST_FPERIOD_OVERRIDE=FQ","FILING_STATUS=MR","SCALING_FORMAT=MLN","Sort=A","Dates=H","DateFormat=P","Fill=—","Direction=H","UseDPDF=Y")</f>
        <v>3454</v>
      </c>
      <c r="AD44" s="13" cm="1">
        <f t="array" ref="AD44">_xll.BDH("CAT US Equity","SHORT_TERM_DEBT_DETAILED","FQ2 2025","FQ2 2025","Currency=USD","Period=FQ","BEST_FPERIOD_OVERRIDE=FQ","FILING_STATUS=MR","SCALING_FORMAT=MLN","Sort=A","Dates=H","DateFormat=P","Fill=—","Direction=H","UseDPDF=Y")</f>
        <v>4485</v>
      </c>
      <c r="AE44" s="13" cm="1">
        <f t="array" ref="AE44">_xll.BDH("CAT US Equity","SHORT_TERM_DEBT_DETAILED","FQ3 2025","FQ3 2025","Currency=USD","Period=FQ","BEST_FPERIOD_OVERRIDE=FQ","FILING_STATUS=MR","SCALING_FORMAT=MLN","Sort=A","Dates=H","DateFormat=P","Fill=—","Direction=H","UseDPDF=Y")</f>
        <v>4509</v>
      </c>
      <c r="AF44" s="13" cm="1">
        <f t="array" ref="AF44">_xll.BDH("CAT US Equity","SHORT_TERM_DEBT_DETAILED","FQ4 2025","FQ4 2025","Currency=USD","Period=FQ","BEST_FPERIOD_OVERRIDE=FQ","FILING_STATUS=MR","SCALING_FORMAT=MLN","Sort=A","Dates=H","DateFormat=P","Fill=—","Direction=H","UseDPDF=Y")</f>
        <v>5514</v>
      </c>
    </row>
    <row r="45" spans="1:32" x14ac:dyDescent="0.25">
      <c r="A45" s="10" t="s">
        <v>137</v>
      </c>
      <c r="B45" s="10" t="s">
        <v>138</v>
      </c>
      <c r="C45" s="13" t="str" cm="1">
        <f t="array" ref="C45">_xll.BDH("CAT US Equity","ST_CAPITALIZED_LEASE_LIABILITIES","FQ3 2018","FQ3 2018","Currency=USD","Period=FQ","BEST_FPERIOD_OVERRIDE=FQ","FILING_STATUS=MR","SCALING_FORMAT=MLN","Sort=A","Dates=H","DateFormat=P","Fill=—","Direction=H","UseDPDF=Y")</f>
        <v>—</v>
      </c>
      <c r="D45" s="13" t="str" cm="1">
        <f t="array" ref="D45">_xll.BDH("CAT US Equity","ST_CAPITALIZED_LEASE_LIABILITIES","FQ4 2018","FQ4 2018","Currency=USD","Period=FQ","BEST_FPERIOD_OVERRIDE=FQ","FILING_STATUS=MR","SCALING_FORMAT=MLN","Sort=A","Dates=H","DateFormat=P","Fill=—","Direction=H","UseDPDF=Y")</f>
        <v>—</v>
      </c>
      <c r="E45" s="13" cm="1">
        <f t="array" ref="E45">_xll.BDH("CAT US Equity","ST_CAPITALIZED_LEASE_LIABILITIES","FQ1 2019","FQ1 2019","Currency=USD","Period=FQ","BEST_FPERIOD_OVERRIDE=FQ","FILING_STATUS=MR","SCALING_FORMAT=MLN","Sort=A","Dates=H","DateFormat=P","Fill=—","Direction=H","UseDPDF=Y")</f>
        <v>188</v>
      </c>
      <c r="F45" s="13" cm="1">
        <f t="array" ref="F45">_xll.BDH("CAT US Equity","ST_CAPITALIZED_LEASE_LIABILITIES","FQ2 2019","FQ2 2019","Currency=USD","Period=FQ","BEST_FPERIOD_OVERRIDE=FQ","FILING_STATUS=MR","SCALING_FORMAT=MLN","Sort=A","Dates=H","DateFormat=P","Fill=—","Direction=H","UseDPDF=Y")</f>
        <v>187</v>
      </c>
      <c r="G45" s="13" cm="1">
        <f t="array" ref="G45">_xll.BDH("CAT US Equity","ST_CAPITALIZED_LEASE_LIABILITIES","FQ3 2019","FQ3 2019","Currency=USD","Period=FQ","BEST_FPERIOD_OVERRIDE=FQ","FILING_STATUS=MR","SCALING_FORMAT=MLN","Sort=A","Dates=H","DateFormat=P","Fill=—","Direction=H","UseDPDF=Y")</f>
        <v>178</v>
      </c>
      <c r="H45" s="13" cm="1">
        <f t="array" ref="H45">_xll.BDH("CAT US Equity","ST_CAPITALIZED_LEASE_LIABILITIES","FQ4 2019","FQ4 2019","Currency=USD","Period=FQ","BEST_FPERIOD_OVERRIDE=FQ","FILING_STATUS=MR","SCALING_FORMAT=MLN","Sort=A","Dates=H","DateFormat=P","Fill=—","Direction=H","UseDPDF=Y")</f>
        <v>173</v>
      </c>
      <c r="I45" s="13" t="str" cm="1">
        <f t="array" ref="I45">_xll.BDH("CAT US Equity","ST_CAPITALIZED_LEASE_LIABILITIES","FQ1 2020","FQ1 2020","Currency=USD","Period=FQ","BEST_FPERIOD_OVERRIDE=FQ","FILING_STATUS=MR","SCALING_FORMAT=MLN","Sort=A","Dates=H","DateFormat=P","Fill=—","Direction=H","UseDPDF=Y")</f>
        <v>—</v>
      </c>
      <c r="J45" s="13" t="str" cm="1">
        <f t="array" ref="J45">_xll.BDH("CAT US Equity","ST_CAPITALIZED_LEASE_LIABILITIES","FQ2 2020","FQ2 2020","Currency=USD","Period=FQ","BEST_FPERIOD_OVERRIDE=FQ","FILING_STATUS=MR","SCALING_FORMAT=MLN","Sort=A","Dates=H","DateFormat=P","Fill=—","Direction=H","UseDPDF=Y")</f>
        <v>—</v>
      </c>
      <c r="K45" s="13" t="str" cm="1">
        <f t="array" ref="K45">_xll.BDH("CAT US Equity","ST_CAPITALIZED_LEASE_LIABILITIES","FQ3 2020","FQ3 2020","Currency=USD","Period=FQ","BEST_FPERIOD_OVERRIDE=FQ","FILING_STATUS=MR","SCALING_FORMAT=MLN","Sort=A","Dates=H","DateFormat=P","Fill=—","Direction=H","UseDPDF=Y")</f>
        <v>—</v>
      </c>
      <c r="L45" s="13" cm="1">
        <f t="array" ref="L45">_xll.BDH("CAT US Equity","ST_CAPITALIZED_LEASE_LIABILITIES","FQ4 2020","FQ4 2020","Currency=USD","Period=FQ","BEST_FPERIOD_OVERRIDE=FQ","FILING_STATUS=MR","SCALING_FORMAT=MLN","Sort=A","Dates=H","DateFormat=P","Fill=—","Direction=H","UseDPDF=Y")</f>
        <v>163</v>
      </c>
      <c r="M45" s="13" t="str" cm="1">
        <f t="array" ref="M45">_xll.BDH("CAT US Equity","ST_CAPITALIZED_LEASE_LIABILITIES","FQ1 2021","FQ1 2021","Currency=USD","Period=FQ","BEST_FPERIOD_OVERRIDE=FQ","FILING_STATUS=MR","SCALING_FORMAT=MLN","Sort=A","Dates=H","DateFormat=P","Fill=—","Direction=H","UseDPDF=Y")</f>
        <v>—</v>
      </c>
      <c r="N45" s="13" t="str" cm="1">
        <f t="array" ref="N45">_xll.BDH("CAT US Equity","ST_CAPITALIZED_LEASE_LIABILITIES","FQ2 2021","FQ2 2021","Currency=USD","Period=FQ","BEST_FPERIOD_OVERRIDE=FQ","FILING_STATUS=MR","SCALING_FORMAT=MLN","Sort=A","Dates=H","DateFormat=P","Fill=—","Direction=H","UseDPDF=Y")</f>
        <v>—</v>
      </c>
      <c r="O45" s="13" t="str" cm="1">
        <f t="array" ref="O45">_xll.BDH("CAT US Equity","ST_CAPITALIZED_LEASE_LIABILITIES","FQ3 2021","FQ3 2021","Currency=USD","Period=FQ","BEST_FPERIOD_OVERRIDE=FQ","FILING_STATUS=MR","SCALING_FORMAT=MLN","Sort=A","Dates=H","DateFormat=P","Fill=—","Direction=H","UseDPDF=Y")</f>
        <v>—</v>
      </c>
      <c r="P45" s="13" cm="1">
        <f t="array" ref="P45">_xll.BDH("CAT US Equity","ST_CAPITALIZED_LEASE_LIABILITIES","FQ4 2021","FQ4 2021","Currency=USD","Period=FQ","BEST_FPERIOD_OVERRIDE=FQ","FILING_STATUS=MR","SCALING_FORMAT=MLN","Sort=A","Dates=H","DateFormat=P","Fill=—","Direction=H","UseDPDF=Y")</f>
        <v>158</v>
      </c>
      <c r="Q45" s="13" t="str" cm="1">
        <f t="array" ref="Q45">_xll.BDH("CAT US Equity","ST_CAPITALIZED_LEASE_LIABILITIES","FQ1 2022","FQ1 2022","Currency=USD","Period=FQ","BEST_FPERIOD_OVERRIDE=FQ","FILING_STATUS=MR","SCALING_FORMAT=MLN","Sort=A","Dates=H","DateFormat=P","Fill=—","Direction=H","UseDPDF=Y")</f>
        <v>—</v>
      </c>
      <c r="R45" s="13" t="str" cm="1">
        <f t="array" ref="R45">_xll.BDH("CAT US Equity","ST_CAPITALIZED_LEASE_LIABILITIES","FQ2 2022","FQ2 2022","Currency=USD","Period=FQ","BEST_FPERIOD_OVERRIDE=FQ","FILING_STATUS=MR","SCALING_FORMAT=MLN","Sort=A","Dates=H","DateFormat=P","Fill=—","Direction=H","UseDPDF=Y")</f>
        <v>—</v>
      </c>
      <c r="S45" s="13" t="str" cm="1">
        <f t="array" ref="S45">_xll.BDH("CAT US Equity","ST_CAPITALIZED_LEASE_LIABILITIES","FQ3 2022","FQ3 2022","Currency=USD","Period=FQ","BEST_FPERIOD_OVERRIDE=FQ","FILING_STATUS=MR","SCALING_FORMAT=MLN","Sort=A","Dates=H","DateFormat=P","Fill=—","Direction=H","UseDPDF=Y")</f>
        <v>—</v>
      </c>
      <c r="T45" s="13" cm="1">
        <f t="array" ref="T45">_xll.BDH("CAT US Equity","ST_CAPITALIZED_LEASE_LIABILITIES","FQ4 2022","FQ4 2022","Currency=USD","Period=FQ","BEST_FPERIOD_OVERRIDE=FQ","FILING_STATUS=MR","SCALING_FORMAT=MLN","Sort=A","Dates=H","DateFormat=P","Fill=—","Direction=H","UseDPDF=Y")</f>
        <v>151</v>
      </c>
      <c r="U45" s="13" t="str" cm="1">
        <f t="array" ref="U45">_xll.BDH("CAT US Equity","ST_CAPITALIZED_LEASE_LIABILITIES","FQ1 2023","FQ1 2023","Currency=USD","Period=FQ","BEST_FPERIOD_OVERRIDE=FQ","FILING_STATUS=MR","SCALING_FORMAT=MLN","Sort=A","Dates=H","DateFormat=P","Fill=—","Direction=H","UseDPDF=Y")</f>
        <v>—</v>
      </c>
      <c r="V45" s="13" t="str" cm="1">
        <f t="array" ref="V45">_xll.BDH("CAT US Equity","ST_CAPITALIZED_LEASE_LIABILITIES","FQ2 2023","FQ2 2023","Currency=USD","Period=FQ","BEST_FPERIOD_OVERRIDE=FQ","FILING_STATUS=MR","SCALING_FORMAT=MLN","Sort=A","Dates=H","DateFormat=P","Fill=—","Direction=H","UseDPDF=Y")</f>
        <v>—</v>
      </c>
      <c r="W45" s="13" t="str" cm="1">
        <f t="array" ref="W45">_xll.BDH("CAT US Equity","ST_CAPITALIZED_LEASE_LIABILITIES","FQ3 2023","FQ3 2023","Currency=USD","Period=FQ","BEST_FPERIOD_OVERRIDE=FQ","FILING_STATUS=MR","SCALING_FORMAT=MLN","Sort=A","Dates=H","DateFormat=P","Fill=—","Direction=H","UseDPDF=Y")</f>
        <v>—</v>
      </c>
      <c r="X45" s="13" cm="1">
        <f t="array" ref="X45">_xll.BDH("CAT US Equity","ST_CAPITALIZED_LEASE_LIABILITIES","FQ4 2023","FQ4 2023","Currency=USD","Period=FQ","BEST_FPERIOD_OVERRIDE=FQ","FILING_STATUS=MR","SCALING_FORMAT=MLN","Sort=A","Dates=H","DateFormat=P","Fill=—","Direction=H","UseDPDF=Y")</f>
        <v>147</v>
      </c>
      <c r="Y45" s="13" t="str" cm="1">
        <f t="array" ref="Y45">_xll.BDH("CAT US Equity","ST_CAPITALIZED_LEASE_LIABILITIES","FQ1 2024","FQ1 2024","Currency=USD","Period=FQ","BEST_FPERIOD_OVERRIDE=FQ","FILING_STATUS=MR","SCALING_FORMAT=MLN","Sort=A","Dates=H","DateFormat=P","Fill=—","Direction=H","UseDPDF=Y")</f>
        <v>—</v>
      </c>
      <c r="Z45" s="13" t="str" cm="1">
        <f t="array" ref="Z45">_xll.BDH("CAT US Equity","ST_CAPITALIZED_LEASE_LIABILITIES","FQ2 2024","FQ2 2024","Currency=USD","Period=FQ","BEST_FPERIOD_OVERRIDE=FQ","FILING_STATUS=MR","SCALING_FORMAT=MLN","Sort=A","Dates=H","DateFormat=P","Fill=—","Direction=H","UseDPDF=Y")</f>
        <v>—</v>
      </c>
      <c r="AA45" s="13" t="str" cm="1">
        <f t="array" ref="AA45">_xll.BDH("CAT US Equity","ST_CAPITALIZED_LEASE_LIABILITIES","FQ3 2024","FQ3 2024","Currency=USD","Period=FQ","BEST_FPERIOD_OVERRIDE=FQ","FILING_STATUS=MR","SCALING_FORMAT=MLN","Sort=A","Dates=H","DateFormat=P","Fill=—","Direction=H","UseDPDF=Y")</f>
        <v>—</v>
      </c>
      <c r="AB45" s="13" cm="1">
        <f t="array" ref="AB45">_xll.BDH("CAT US Equity","ST_CAPITALIZED_LEASE_LIABILITIES","FQ4 2024","FQ4 2024","Currency=USD","Period=FQ","BEST_FPERIOD_OVERRIDE=FQ","FILING_STATUS=MR","SCALING_FORMAT=MLN","Sort=A","Dates=H","DateFormat=P","Fill=—","Direction=H","UseDPDF=Y")</f>
        <v>143</v>
      </c>
      <c r="AC45" s="13" t="str" cm="1">
        <f t="array" ref="AC45">_xll.BDH("CAT US Equity","ST_CAPITALIZED_LEASE_LIABILITIES","FQ1 2025","FQ1 2025","Currency=USD","Period=FQ","BEST_FPERIOD_OVERRIDE=FQ","FILING_STATUS=MR","SCALING_FORMAT=MLN","Sort=A","Dates=H","DateFormat=P","Fill=—","Direction=H","UseDPDF=Y")</f>
        <v>—</v>
      </c>
      <c r="AD45" s="13" t="str" cm="1">
        <f t="array" ref="AD45">_xll.BDH("CAT US Equity","ST_CAPITALIZED_LEASE_LIABILITIES","FQ2 2025","FQ2 2025","Currency=USD","Period=FQ","BEST_FPERIOD_OVERRIDE=FQ","FILING_STATUS=MR","SCALING_FORMAT=MLN","Sort=A","Dates=H","DateFormat=P","Fill=—","Direction=H","UseDPDF=Y")</f>
        <v>—</v>
      </c>
      <c r="AE45" s="13" t="str" cm="1">
        <f t="array" ref="AE45">_xll.BDH("CAT US Equity","ST_CAPITALIZED_LEASE_LIABILITIES","FQ3 2025","FQ3 2025","Currency=USD","Period=FQ","BEST_FPERIOD_OVERRIDE=FQ","FILING_STATUS=MR","SCALING_FORMAT=MLN","Sort=A","Dates=H","DateFormat=P","Fill=—","Direction=H","UseDPDF=Y")</f>
        <v>—</v>
      </c>
      <c r="AF45" s="13" cm="1">
        <f t="array" ref="AF45">_xll.BDH("CAT US Equity","ST_CAPITALIZED_LEASE_LIABILITIES","FQ4 2025","FQ4 2025","Currency=USD","Period=FQ","BEST_FPERIOD_OVERRIDE=FQ","FILING_STATUS=MR","SCALING_FORMAT=MLN","Sort=A","Dates=H","DateFormat=P","Fill=—","Direction=H","UseDPDF=Y")</f>
        <v>158</v>
      </c>
    </row>
    <row r="46" spans="1:32" x14ac:dyDescent="0.25">
      <c r="A46" s="11" t="s">
        <v>139</v>
      </c>
      <c r="B46" s="11" t="s">
        <v>140</v>
      </c>
      <c r="C46" s="17" t="str" cm="1">
        <f t="array" ref="C46">_xll.BDH("CAT US Equity","ST_CAPITAL_LEASE_OBLIGATIONS","FQ3 2018","FQ3 2018","Currency=USD","Period=FQ","BEST_FPERIOD_OVERRIDE=FQ","FILING_STATUS=MR","SCALING_FORMAT=MLN","Sort=A","Dates=H","DateFormat=P","Fill=—","Direction=H","UseDPDF=Y")</f>
        <v>—</v>
      </c>
      <c r="D46" s="17" t="str" cm="1">
        <f t="array" ref="D46">_xll.BDH("CAT US Equity","ST_CAPITAL_LEASE_OBLIGATIONS","FQ4 2018","FQ4 2018","Currency=USD","Period=FQ","BEST_FPERIOD_OVERRIDE=FQ","FILING_STATUS=MR","SCALING_FORMAT=MLN","Sort=A","Dates=H","DateFormat=P","Fill=—","Direction=H","UseDPDF=Y")</f>
        <v>—</v>
      </c>
      <c r="E46" s="17" t="str" cm="1">
        <f t="array" ref="E46">_xll.BDH("CAT US Equity","ST_CAPITAL_LEASE_OBLIGATIONS","FQ1 2019","FQ1 2019","Currency=USD","Period=FQ","BEST_FPERIOD_OVERRIDE=FQ","FILING_STATUS=MR","SCALING_FORMAT=MLN","Sort=A","Dates=H","DateFormat=P","Fill=—","Direction=H","UseDPDF=Y")</f>
        <v>—</v>
      </c>
      <c r="F46" s="17" t="str" cm="1">
        <f t="array" ref="F46">_xll.BDH("CAT US Equity","ST_CAPITAL_LEASE_OBLIGATIONS","FQ2 2019","FQ2 2019","Currency=USD","Period=FQ","BEST_FPERIOD_OVERRIDE=FQ","FILING_STATUS=MR","SCALING_FORMAT=MLN","Sort=A","Dates=H","DateFormat=P","Fill=—","Direction=H","UseDPDF=Y")</f>
        <v>—</v>
      </c>
      <c r="G46" s="17" t="str" cm="1">
        <f t="array" ref="G46">_xll.BDH("CAT US Equity","ST_CAPITAL_LEASE_OBLIGATIONS","FQ3 2019","FQ3 2019","Currency=USD","Period=FQ","BEST_FPERIOD_OVERRIDE=FQ","FILING_STATUS=MR","SCALING_FORMAT=MLN","Sort=A","Dates=H","DateFormat=P","Fill=—","Direction=H","UseDPDF=Y")</f>
        <v>—</v>
      </c>
      <c r="H46" s="17" cm="1">
        <f t="array" ref="H46">_xll.BDH("CAT US Equity","ST_CAPITAL_LEASE_OBLIGATIONS","FQ4 2019","FQ4 2019","Currency=USD","Period=FQ","BEST_FPERIOD_OVERRIDE=FQ","FILING_STATUS=MR","SCALING_FORMAT=MLN","Sort=A","Dates=H","DateFormat=P","Fill=—","Direction=H","UseDPDF=Y")</f>
        <v>0</v>
      </c>
      <c r="I46" s="17" t="str" cm="1">
        <f t="array" ref="I46">_xll.BDH("CAT US Equity","ST_CAPITAL_LEASE_OBLIGATIONS","FQ1 2020","FQ1 2020","Currency=USD","Period=FQ","BEST_FPERIOD_OVERRIDE=FQ","FILING_STATUS=MR","SCALING_FORMAT=MLN","Sort=A","Dates=H","DateFormat=P","Fill=—","Direction=H","UseDPDF=Y")</f>
        <v>—</v>
      </c>
      <c r="J46" s="17" t="str" cm="1">
        <f t="array" ref="J46">_xll.BDH("CAT US Equity","ST_CAPITAL_LEASE_OBLIGATIONS","FQ2 2020","FQ2 2020","Currency=USD","Period=FQ","BEST_FPERIOD_OVERRIDE=FQ","FILING_STATUS=MR","SCALING_FORMAT=MLN","Sort=A","Dates=H","DateFormat=P","Fill=—","Direction=H","UseDPDF=Y")</f>
        <v>—</v>
      </c>
      <c r="K46" s="17" t="str" cm="1">
        <f t="array" ref="K46">_xll.BDH("CAT US Equity","ST_CAPITAL_LEASE_OBLIGATIONS","FQ3 2020","FQ3 2020","Currency=USD","Period=FQ","BEST_FPERIOD_OVERRIDE=FQ","FILING_STATUS=MR","SCALING_FORMAT=MLN","Sort=A","Dates=H","DateFormat=P","Fill=—","Direction=H","UseDPDF=Y")</f>
        <v>—</v>
      </c>
      <c r="L46" s="17" cm="1">
        <f t="array" ref="L46">_xll.BDH("CAT US Equity","ST_CAPITAL_LEASE_OBLIGATIONS","FQ4 2020","FQ4 2020","Currency=USD","Period=FQ","BEST_FPERIOD_OVERRIDE=FQ","FILING_STATUS=MR","SCALING_FORMAT=MLN","Sort=A","Dates=H","DateFormat=P","Fill=—","Direction=H","UseDPDF=Y")</f>
        <v>0</v>
      </c>
      <c r="M46" s="17" t="str" cm="1">
        <f t="array" ref="M46">_xll.BDH("CAT US Equity","ST_CAPITAL_LEASE_OBLIGATIONS","FQ1 2021","FQ1 2021","Currency=USD","Period=FQ","BEST_FPERIOD_OVERRIDE=FQ","FILING_STATUS=MR","SCALING_FORMAT=MLN","Sort=A","Dates=H","DateFormat=P","Fill=—","Direction=H","UseDPDF=Y")</f>
        <v>—</v>
      </c>
      <c r="N46" s="17" t="str" cm="1">
        <f t="array" ref="N46">_xll.BDH("CAT US Equity","ST_CAPITAL_LEASE_OBLIGATIONS","FQ2 2021","FQ2 2021","Currency=USD","Period=FQ","BEST_FPERIOD_OVERRIDE=FQ","FILING_STATUS=MR","SCALING_FORMAT=MLN","Sort=A","Dates=H","DateFormat=P","Fill=—","Direction=H","UseDPDF=Y")</f>
        <v>—</v>
      </c>
      <c r="O46" s="17" t="str" cm="1">
        <f t="array" ref="O46">_xll.BDH("CAT US Equity","ST_CAPITAL_LEASE_OBLIGATIONS","FQ3 2021","FQ3 2021","Currency=USD","Period=FQ","BEST_FPERIOD_OVERRIDE=FQ","FILING_STATUS=MR","SCALING_FORMAT=MLN","Sort=A","Dates=H","DateFormat=P","Fill=—","Direction=H","UseDPDF=Y")</f>
        <v>—</v>
      </c>
      <c r="P46" s="17" cm="1">
        <f t="array" ref="P46">_xll.BDH("CAT US Equity","ST_CAPITAL_LEASE_OBLIGATIONS","FQ4 2021","FQ4 2021","Currency=USD","Period=FQ","BEST_FPERIOD_OVERRIDE=FQ","FILING_STATUS=MR","SCALING_FORMAT=MLN","Sort=A","Dates=H","DateFormat=P","Fill=—","Direction=H","UseDPDF=Y")</f>
        <v>0</v>
      </c>
      <c r="Q46" s="17" t="str" cm="1">
        <f t="array" ref="Q46">_xll.BDH("CAT US Equity","ST_CAPITAL_LEASE_OBLIGATIONS","FQ1 2022","FQ1 2022","Currency=USD","Period=FQ","BEST_FPERIOD_OVERRIDE=FQ","FILING_STATUS=MR","SCALING_FORMAT=MLN","Sort=A","Dates=H","DateFormat=P","Fill=—","Direction=H","UseDPDF=Y")</f>
        <v>—</v>
      </c>
      <c r="R46" s="17" t="str" cm="1">
        <f t="array" ref="R46">_xll.BDH("CAT US Equity","ST_CAPITAL_LEASE_OBLIGATIONS","FQ2 2022","FQ2 2022","Currency=USD","Period=FQ","BEST_FPERIOD_OVERRIDE=FQ","FILING_STATUS=MR","SCALING_FORMAT=MLN","Sort=A","Dates=H","DateFormat=P","Fill=—","Direction=H","UseDPDF=Y")</f>
        <v>—</v>
      </c>
      <c r="S46" s="17" t="str" cm="1">
        <f t="array" ref="S46">_xll.BDH("CAT US Equity","ST_CAPITAL_LEASE_OBLIGATIONS","FQ3 2022","FQ3 2022","Currency=USD","Period=FQ","BEST_FPERIOD_OVERRIDE=FQ","FILING_STATUS=MR","SCALING_FORMAT=MLN","Sort=A","Dates=H","DateFormat=P","Fill=—","Direction=H","UseDPDF=Y")</f>
        <v>—</v>
      </c>
      <c r="T46" s="17" cm="1">
        <f t="array" ref="T46">_xll.BDH("CAT US Equity","ST_CAPITAL_LEASE_OBLIGATIONS","FQ4 2022","FQ4 2022","Currency=USD","Period=FQ","BEST_FPERIOD_OVERRIDE=FQ","FILING_STATUS=MR","SCALING_FORMAT=MLN","Sort=A","Dates=H","DateFormat=P","Fill=—","Direction=H","UseDPDF=Y")</f>
        <v>0</v>
      </c>
      <c r="U46" s="17" t="str" cm="1">
        <f t="array" ref="U46">_xll.BDH("CAT US Equity","ST_CAPITAL_LEASE_OBLIGATIONS","FQ1 2023","FQ1 2023","Currency=USD","Period=FQ","BEST_FPERIOD_OVERRIDE=FQ","FILING_STATUS=MR","SCALING_FORMAT=MLN","Sort=A","Dates=H","DateFormat=P","Fill=—","Direction=H","UseDPDF=Y")</f>
        <v>—</v>
      </c>
      <c r="V46" s="17" t="str" cm="1">
        <f t="array" ref="V46">_xll.BDH("CAT US Equity","ST_CAPITAL_LEASE_OBLIGATIONS","FQ2 2023","FQ2 2023","Currency=USD","Period=FQ","BEST_FPERIOD_OVERRIDE=FQ","FILING_STATUS=MR","SCALING_FORMAT=MLN","Sort=A","Dates=H","DateFormat=P","Fill=—","Direction=H","UseDPDF=Y")</f>
        <v>—</v>
      </c>
      <c r="W46" s="17" t="str" cm="1">
        <f t="array" ref="W46">_xll.BDH("CAT US Equity","ST_CAPITAL_LEASE_OBLIGATIONS","FQ3 2023","FQ3 2023","Currency=USD","Period=FQ","BEST_FPERIOD_OVERRIDE=FQ","FILING_STATUS=MR","SCALING_FORMAT=MLN","Sort=A","Dates=H","DateFormat=P","Fill=—","Direction=H","UseDPDF=Y")</f>
        <v>—</v>
      </c>
      <c r="X46" s="17" cm="1">
        <f t="array" ref="X46">_xll.BDH("CAT US Equity","ST_CAPITAL_LEASE_OBLIGATIONS","FQ4 2023","FQ4 2023","Currency=USD","Period=FQ","BEST_FPERIOD_OVERRIDE=FQ","FILING_STATUS=MR","SCALING_FORMAT=MLN","Sort=A","Dates=H","DateFormat=P","Fill=—","Direction=H","UseDPDF=Y")</f>
        <v>0</v>
      </c>
      <c r="Y46" s="17" t="str" cm="1">
        <f t="array" ref="Y46">_xll.BDH("CAT US Equity","ST_CAPITAL_LEASE_OBLIGATIONS","FQ1 2024","FQ1 2024","Currency=USD","Period=FQ","BEST_FPERIOD_OVERRIDE=FQ","FILING_STATUS=MR","SCALING_FORMAT=MLN","Sort=A","Dates=H","DateFormat=P","Fill=—","Direction=H","UseDPDF=Y")</f>
        <v>—</v>
      </c>
      <c r="Z46" s="17" t="str" cm="1">
        <f t="array" ref="Z46">_xll.BDH("CAT US Equity","ST_CAPITAL_LEASE_OBLIGATIONS","FQ2 2024","FQ2 2024","Currency=USD","Period=FQ","BEST_FPERIOD_OVERRIDE=FQ","FILING_STATUS=MR","SCALING_FORMAT=MLN","Sort=A","Dates=H","DateFormat=P","Fill=—","Direction=H","UseDPDF=Y")</f>
        <v>—</v>
      </c>
      <c r="AA46" s="17" t="str" cm="1">
        <f t="array" ref="AA46">_xll.BDH("CAT US Equity","ST_CAPITAL_LEASE_OBLIGATIONS","FQ3 2024","FQ3 2024","Currency=USD","Period=FQ","BEST_FPERIOD_OVERRIDE=FQ","FILING_STATUS=MR","SCALING_FORMAT=MLN","Sort=A","Dates=H","DateFormat=P","Fill=—","Direction=H","UseDPDF=Y")</f>
        <v>—</v>
      </c>
      <c r="AB46" s="17" cm="1">
        <f t="array" ref="AB46">_xll.BDH("CAT US Equity","ST_CAPITAL_LEASE_OBLIGATIONS","FQ4 2024","FQ4 2024","Currency=USD","Period=FQ","BEST_FPERIOD_OVERRIDE=FQ","FILING_STATUS=MR","SCALING_FORMAT=MLN","Sort=A","Dates=H","DateFormat=P","Fill=—","Direction=H","UseDPDF=Y")</f>
        <v>0</v>
      </c>
      <c r="AC46" s="17" t="str" cm="1">
        <f t="array" ref="AC46">_xll.BDH("CAT US Equity","ST_CAPITAL_LEASE_OBLIGATIONS","FQ1 2025","FQ1 2025","Currency=USD","Period=FQ","BEST_FPERIOD_OVERRIDE=FQ","FILING_STATUS=MR","SCALING_FORMAT=MLN","Sort=A","Dates=H","DateFormat=P","Fill=—","Direction=H","UseDPDF=Y")</f>
        <v>—</v>
      </c>
      <c r="AD46" s="17" t="str" cm="1">
        <f t="array" ref="AD46">_xll.BDH("CAT US Equity","ST_CAPITAL_LEASE_OBLIGATIONS","FQ2 2025","FQ2 2025","Currency=USD","Period=FQ","BEST_FPERIOD_OVERRIDE=FQ","FILING_STATUS=MR","SCALING_FORMAT=MLN","Sort=A","Dates=H","DateFormat=P","Fill=—","Direction=H","UseDPDF=Y")</f>
        <v>—</v>
      </c>
      <c r="AE46" s="17" t="str" cm="1">
        <f t="array" ref="AE46">_xll.BDH("CAT US Equity","ST_CAPITAL_LEASE_OBLIGATIONS","FQ3 2025","FQ3 2025","Currency=USD","Period=FQ","BEST_FPERIOD_OVERRIDE=FQ","FILING_STATUS=MR","SCALING_FORMAT=MLN","Sort=A","Dates=H","DateFormat=P","Fill=—","Direction=H","UseDPDF=Y")</f>
        <v>—</v>
      </c>
      <c r="AF46" s="17" cm="1">
        <f t="array" ref="AF46">_xll.BDH("CAT US Equity","ST_CAPITAL_LEASE_OBLIGATIONS","FQ4 2025","FQ4 2025","Currency=USD","Period=FQ","BEST_FPERIOD_OVERRIDE=FQ","FILING_STATUS=MR","SCALING_FORMAT=MLN","Sort=A","Dates=H","DateFormat=P","Fill=—","Direction=H","UseDPDF=Y")</f>
        <v>0</v>
      </c>
    </row>
    <row r="47" spans="1:32" x14ac:dyDescent="0.25">
      <c r="A47" s="11" t="s">
        <v>141</v>
      </c>
      <c r="B47" s="11" t="s">
        <v>142</v>
      </c>
      <c r="C47" s="17" t="str" cm="1">
        <f t="array" ref="C47">_xll.BDH("CAT US Equity","BS_ST_OPERATING_LEASE_LIABS","FQ3 2018","FQ3 2018","Currency=USD","Period=FQ","BEST_FPERIOD_OVERRIDE=FQ","FILING_STATUS=MR","SCALING_FORMAT=MLN","Sort=A","Dates=H","DateFormat=P","Fill=—","Direction=H","UseDPDF=Y")</f>
        <v>—</v>
      </c>
      <c r="D47" s="17" t="str" cm="1">
        <f t="array" ref="D47">_xll.BDH("CAT US Equity","BS_ST_OPERATING_LEASE_LIABS","FQ4 2018","FQ4 2018","Currency=USD","Period=FQ","BEST_FPERIOD_OVERRIDE=FQ","FILING_STATUS=MR","SCALING_FORMAT=MLN","Sort=A","Dates=H","DateFormat=P","Fill=—","Direction=H","UseDPDF=Y")</f>
        <v>—</v>
      </c>
      <c r="E47" s="17" cm="1">
        <f t="array" ref="E47">_xll.BDH("CAT US Equity","BS_ST_OPERATING_LEASE_LIABS","FQ1 2019","FQ1 2019","Currency=USD","Period=FQ","BEST_FPERIOD_OVERRIDE=FQ","FILING_STATUS=MR","SCALING_FORMAT=MLN","Sort=A","Dates=H","DateFormat=P","Fill=—","Direction=H","UseDPDF=Y")</f>
        <v>188</v>
      </c>
      <c r="F47" s="17" cm="1">
        <f t="array" ref="F47">_xll.BDH("CAT US Equity","BS_ST_OPERATING_LEASE_LIABS","FQ2 2019","FQ2 2019","Currency=USD","Period=FQ","BEST_FPERIOD_OVERRIDE=FQ","FILING_STATUS=MR","SCALING_FORMAT=MLN","Sort=A","Dates=H","DateFormat=P","Fill=—","Direction=H","UseDPDF=Y")</f>
        <v>187</v>
      </c>
      <c r="G47" s="17" cm="1">
        <f t="array" ref="G47">_xll.BDH("CAT US Equity","BS_ST_OPERATING_LEASE_LIABS","FQ3 2019","FQ3 2019","Currency=USD","Period=FQ","BEST_FPERIOD_OVERRIDE=FQ","FILING_STATUS=MR","SCALING_FORMAT=MLN","Sort=A","Dates=H","DateFormat=P","Fill=—","Direction=H","UseDPDF=Y")</f>
        <v>178</v>
      </c>
      <c r="H47" s="17" cm="1">
        <f t="array" ref="H47">_xll.BDH("CAT US Equity","BS_ST_OPERATING_LEASE_LIABS","FQ4 2019","FQ4 2019","Currency=USD","Period=FQ","BEST_FPERIOD_OVERRIDE=FQ","FILING_STATUS=MR","SCALING_FORMAT=MLN","Sort=A","Dates=H","DateFormat=P","Fill=—","Direction=H","UseDPDF=Y")</f>
        <v>173</v>
      </c>
      <c r="I47" s="17" t="str" cm="1">
        <f t="array" ref="I47">_xll.BDH("CAT US Equity","BS_ST_OPERATING_LEASE_LIABS","FQ1 2020","FQ1 2020","Currency=USD","Period=FQ","BEST_FPERIOD_OVERRIDE=FQ","FILING_STATUS=MR","SCALING_FORMAT=MLN","Sort=A","Dates=H","DateFormat=P","Fill=—","Direction=H","UseDPDF=Y")</f>
        <v>—</v>
      </c>
      <c r="J47" s="17" t="str" cm="1">
        <f t="array" ref="J47">_xll.BDH("CAT US Equity","BS_ST_OPERATING_LEASE_LIABS","FQ2 2020","FQ2 2020","Currency=USD","Period=FQ","BEST_FPERIOD_OVERRIDE=FQ","FILING_STATUS=MR","SCALING_FORMAT=MLN","Sort=A","Dates=H","DateFormat=P","Fill=—","Direction=H","UseDPDF=Y")</f>
        <v>—</v>
      </c>
      <c r="K47" s="17" t="str" cm="1">
        <f t="array" ref="K47">_xll.BDH("CAT US Equity","BS_ST_OPERATING_LEASE_LIABS","FQ3 2020","FQ3 2020","Currency=USD","Period=FQ","BEST_FPERIOD_OVERRIDE=FQ","FILING_STATUS=MR","SCALING_FORMAT=MLN","Sort=A","Dates=H","DateFormat=P","Fill=—","Direction=H","UseDPDF=Y")</f>
        <v>—</v>
      </c>
      <c r="L47" s="17" cm="1">
        <f t="array" ref="L47">_xll.BDH("CAT US Equity","BS_ST_OPERATING_LEASE_LIABS","FQ4 2020","FQ4 2020","Currency=USD","Period=FQ","BEST_FPERIOD_OVERRIDE=FQ","FILING_STATUS=MR","SCALING_FORMAT=MLN","Sort=A","Dates=H","DateFormat=P","Fill=—","Direction=H","UseDPDF=Y")</f>
        <v>163</v>
      </c>
      <c r="M47" s="17" t="str" cm="1">
        <f t="array" ref="M47">_xll.BDH("CAT US Equity","BS_ST_OPERATING_LEASE_LIABS","FQ1 2021","FQ1 2021","Currency=USD","Period=FQ","BEST_FPERIOD_OVERRIDE=FQ","FILING_STATUS=MR","SCALING_FORMAT=MLN","Sort=A","Dates=H","DateFormat=P","Fill=—","Direction=H","UseDPDF=Y")</f>
        <v>—</v>
      </c>
      <c r="N47" s="17" t="str" cm="1">
        <f t="array" ref="N47">_xll.BDH("CAT US Equity","BS_ST_OPERATING_LEASE_LIABS","FQ2 2021","FQ2 2021","Currency=USD","Period=FQ","BEST_FPERIOD_OVERRIDE=FQ","FILING_STATUS=MR","SCALING_FORMAT=MLN","Sort=A","Dates=H","DateFormat=P","Fill=—","Direction=H","UseDPDF=Y")</f>
        <v>—</v>
      </c>
      <c r="O47" s="17" t="str" cm="1">
        <f t="array" ref="O47">_xll.BDH("CAT US Equity","BS_ST_OPERATING_LEASE_LIABS","FQ3 2021","FQ3 2021","Currency=USD","Period=FQ","BEST_FPERIOD_OVERRIDE=FQ","FILING_STATUS=MR","SCALING_FORMAT=MLN","Sort=A","Dates=H","DateFormat=P","Fill=—","Direction=H","UseDPDF=Y")</f>
        <v>—</v>
      </c>
      <c r="P47" s="17" cm="1">
        <f t="array" ref="P47">_xll.BDH("CAT US Equity","BS_ST_OPERATING_LEASE_LIABS","FQ4 2021","FQ4 2021","Currency=USD","Period=FQ","BEST_FPERIOD_OVERRIDE=FQ","FILING_STATUS=MR","SCALING_FORMAT=MLN","Sort=A","Dates=H","DateFormat=P","Fill=—","Direction=H","UseDPDF=Y")</f>
        <v>158</v>
      </c>
      <c r="Q47" s="17" t="str" cm="1">
        <f t="array" ref="Q47">_xll.BDH("CAT US Equity","BS_ST_OPERATING_LEASE_LIABS","FQ1 2022","FQ1 2022","Currency=USD","Period=FQ","BEST_FPERIOD_OVERRIDE=FQ","FILING_STATUS=MR","SCALING_FORMAT=MLN","Sort=A","Dates=H","DateFormat=P","Fill=—","Direction=H","UseDPDF=Y")</f>
        <v>—</v>
      </c>
      <c r="R47" s="17" t="str" cm="1">
        <f t="array" ref="R47">_xll.BDH("CAT US Equity","BS_ST_OPERATING_LEASE_LIABS","FQ2 2022","FQ2 2022","Currency=USD","Period=FQ","BEST_FPERIOD_OVERRIDE=FQ","FILING_STATUS=MR","SCALING_FORMAT=MLN","Sort=A","Dates=H","DateFormat=P","Fill=—","Direction=H","UseDPDF=Y")</f>
        <v>—</v>
      </c>
      <c r="S47" s="17" t="str" cm="1">
        <f t="array" ref="S47">_xll.BDH("CAT US Equity","BS_ST_OPERATING_LEASE_LIABS","FQ3 2022","FQ3 2022","Currency=USD","Period=FQ","BEST_FPERIOD_OVERRIDE=FQ","FILING_STATUS=MR","SCALING_FORMAT=MLN","Sort=A","Dates=H","DateFormat=P","Fill=—","Direction=H","UseDPDF=Y")</f>
        <v>—</v>
      </c>
      <c r="T47" s="17" cm="1">
        <f t="array" ref="T47">_xll.BDH("CAT US Equity","BS_ST_OPERATING_LEASE_LIABS","FQ4 2022","FQ4 2022","Currency=USD","Period=FQ","BEST_FPERIOD_OVERRIDE=FQ","FILING_STATUS=MR","SCALING_FORMAT=MLN","Sort=A","Dates=H","DateFormat=P","Fill=—","Direction=H","UseDPDF=Y")</f>
        <v>151</v>
      </c>
      <c r="U47" s="17" t="str" cm="1">
        <f t="array" ref="U47">_xll.BDH("CAT US Equity","BS_ST_OPERATING_LEASE_LIABS","FQ1 2023","FQ1 2023","Currency=USD","Period=FQ","BEST_FPERIOD_OVERRIDE=FQ","FILING_STATUS=MR","SCALING_FORMAT=MLN","Sort=A","Dates=H","DateFormat=P","Fill=—","Direction=H","UseDPDF=Y")</f>
        <v>—</v>
      </c>
      <c r="V47" s="17" t="str" cm="1">
        <f t="array" ref="V47">_xll.BDH("CAT US Equity","BS_ST_OPERATING_LEASE_LIABS","FQ2 2023","FQ2 2023","Currency=USD","Period=FQ","BEST_FPERIOD_OVERRIDE=FQ","FILING_STATUS=MR","SCALING_FORMAT=MLN","Sort=A","Dates=H","DateFormat=P","Fill=—","Direction=H","UseDPDF=Y")</f>
        <v>—</v>
      </c>
      <c r="W47" s="17" t="str" cm="1">
        <f t="array" ref="W47">_xll.BDH("CAT US Equity","BS_ST_OPERATING_LEASE_LIABS","FQ3 2023","FQ3 2023","Currency=USD","Period=FQ","BEST_FPERIOD_OVERRIDE=FQ","FILING_STATUS=MR","SCALING_FORMAT=MLN","Sort=A","Dates=H","DateFormat=P","Fill=—","Direction=H","UseDPDF=Y")</f>
        <v>—</v>
      </c>
      <c r="X47" s="17" cm="1">
        <f t="array" ref="X47">_xll.BDH("CAT US Equity","BS_ST_OPERATING_LEASE_LIABS","FQ4 2023","FQ4 2023","Currency=USD","Period=FQ","BEST_FPERIOD_OVERRIDE=FQ","FILING_STATUS=MR","SCALING_FORMAT=MLN","Sort=A","Dates=H","DateFormat=P","Fill=—","Direction=H","UseDPDF=Y")</f>
        <v>147</v>
      </c>
      <c r="Y47" s="17" t="str" cm="1">
        <f t="array" ref="Y47">_xll.BDH("CAT US Equity","BS_ST_OPERATING_LEASE_LIABS","FQ1 2024","FQ1 2024","Currency=USD","Period=FQ","BEST_FPERIOD_OVERRIDE=FQ","FILING_STATUS=MR","SCALING_FORMAT=MLN","Sort=A","Dates=H","DateFormat=P","Fill=—","Direction=H","UseDPDF=Y")</f>
        <v>—</v>
      </c>
      <c r="Z47" s="17" t="str" cm="1">
        <f t="array" ref="Z47">_xll.BDH("CAT US Equity","BS_ST_OPERATING_LEASE_LIABS","FQ2 2024","FQ2 2024","Currency=USD","Period=FQ","BEST_FPERIOD_OVERRIDE=FQ","FILING_STATUS=MR","SCALING_FORMAT=MLN","Sort=A","Dates=H","DateFormat=P","Fill=—","Direction=H","UseDPDF=Y")</f>
        <v>—</v>
      </c>
      <c r="AA47" s="17" t="str" cm="1">
        <f t="array" ref="AA47">_xll.BDH("CAT US Equity","BS_ST_OPERATING_LEASE_LIABS","FQ3 2024","FQ3 2024","Currency=USD","Period=FQ","BEST_FPERIOD_OVERRIDE=FQ","FILING_STATUS=MR","SCALING_FORMAT=MLN","Sort=A","Dates=H","DateFormat=P","Fill=—","Direction=H","UseDPDF=Y")</f>
        <v>—</v>
      </c>
      <c r="AB47" s="17" cm="1">
        <f t="array" ref="AB47">_xll.BDH("CAT US Equity","BS_ST_OPERATING_LEASE_LIABS","FQ4 2024","FQ4 2024","Currency=USD","Period=FQ","BEST_FPERIOD_OVERRIDE=FQ","FILING_STATUS=MR","SCALING_FORMAT=MLN","Sort=A","Dates=H","DateFormat=P","Fill=—","Direction=H","UseDPDF=Y")</f>
        <v>143</v>
      </c>
      <c r="AC47" s="17" t="str" cm="1">
        <f t="array" ref="AC47">_xll.BDH("CAT US Equity","BS_ST_OPERATING_LEASE_LIABS","FQ1 2025","FQ1 2025","Currency=USD","Period=FQ","BEST_FPERIOD_OVERRIDE=FQ","FILING_STATUS=MR","SCALING_FORMAT=MLN","Sort=A","Dates=H","DateFormat=P","Fill=—","Direction=H","UseDPDF=Y")</f>
        <v>—</v>
      </c>
      <c r="AD47" s="17" t="str" cm="1">
        <f t="array" ref="AD47">_xll.BDH("CAT US Equity","BS_ST_OPERATING_LEASE_LIABS","FQ2 2025","FQ2 2025","Currency=USD","Period=FQ","BEST_FPERIOD_OVERRIDE=FQ","FILING_STATUS=MR","SCALING_FORMAT=MLN","Sort=A","Dates=H","DateFormat=P","Fill=—","Direction=H","UseDPDF=Y")</f>
        <v>—</v>
      </c>
      <c r="AE47" s="17" t="str" cm="1">
        <f t="array" ref="AE47">_xll.BDH("CAT US Equity","BS_ST_OPERATING_LEASE_LIABS","FQ3 2025","FQ3 2025","Currency=USD","Period=FQ","BEST_FPERIOD_OVERRIDE=FQ","FILING_STATUS=MR","SCALING_FORMAT=MLN","Sort=A","Dates=H","DateFormat=P","Fill=—","Direction=H","UseDPDF=Y")</f>
        <v>—</v>
      </c>
      <c r="AF47" s="17" cm="1">
        <f t="array" ref="AF47">_xll.BDH("CAT US Equity","BS_ST_OPERATING_LEASE_LIABS","FQ4 2025","FQ4 2025","Currency=USD","Period=FQ","BEST_FPERIOD_OVERRIDE=FQ","FILING_STATUS=MR","SCALING_FORMAT=MLN","Sort=A","Dates=H","DateFormat=P","Fill=—","Direction=H","UseDPDF=Y")</f>
        <v>158</v>
      </c>
    </row>
    <row r="48" spans="1:32" x14ac:dyDescent="0.25">
      <c r="A48" s="10" t="s">
        <v>143</v>
      </c>
      <c r="B48" s="10" t="s">
        <v>144</v>
      </c>
      <c r="C48" s="13" cm="1">
        <f t="array" ref="C48">_xll.BDH("CAT US Equity","BS_CURR_PORTION_LT_DEBT","FQ3 2018","FQ3 2018","Currency=USD","Period=FQ","BEST_FPERIOD_OVERRIDE=FQ","FILING_STATUS=MR","SCALING_FORMAT=MLN","Sort=A","Dates=H","DateFormat=P","Fill=—","Direction=H","UseDPDF=Y")</f>
        <v>5811</v>
      </c>
      <c r="D48" s="13" cm="1">
        <f t="array" ref="D48">_xll.BDH("CAT US Equity","BS_CURR_PORTION_LT_DEBT","FQ4 2018","FQ4 2018","Currency=USD","Period=FQ","BEST_FPERIOD_OVERRIDE=FQ","FILING_STATUS=MR","SCALING_FORMAT=MLN","Sort=A","Dates=H","DateFormat=P","Fill=—","Direction=H","UseDPDF=Y")</f>
        <v>5830</v>
      </c>
      <c r="E48" s="13" cm="1">
        <f t="array" ref="E48">_xll.BDH("CAT US Equity","BS_CURR_PORTION_LT_DEBT","FQ1 2019","FQ1 2019","Currency=USD","Period=FQ","BEST_FPERIOD_OVERRIDE=FQ","FILING_STATUS=MR","SCALING_FORMAT=MLN","Sort=A","Dates=H","DateFormat=P","Fill=—","Direction=H","UseDPDF=Y")</f>
        <v>5952</v>
      </c>
      <c r="F48" s="13" cm="1">
        <f t="array" ref="F48">_xll.BDH("CAT US Equity","BS_CURR_PORTION_LT_DEBT","FQ2 2019","FQ2 2019","Currency=USD","Period=FQ","BEST_FPERIOD_OVERRIDE=FQ","FILING_STATUS=MR","SCALING_FORMAT=MLN","Sort=A","Dates=H","DateFormat=P","Fill=—","Direction=H","UseDPDF=Y")</f>
        <v>6248</v>
      </c>
      <c r="G48" s="13" cm="1">
        <f t="array" ref="G48">_xll.BDH("CAT US Equity","BS_CURR_PORTION_LT_DEBT","FQ3 2019","FQ3 2019","Currency=USD","Period=FQ","BEST_FPERIOD_OVERRIDE=FQ","FILING_STATUS=MR","SCALING_FORMAT=MLN","Sort=A","Dates=H","DateFormat=P","Fill=—","Direction=H","UseDPDF=Y")</f>
        <v>8050</v>
      </c>
      <c r="H48" s="13" cm="1">
        <f t="array" ref="H48">_xll.BDH("CAT US Equity","BS_CURR_PORTION_LT_DEBT","FQ4 2019","FQ4 2019","Currency=USD","Period=FQ","BEST_FPERIOD_OVERRIDE=FQ","FILING_STATUS=MR","SCALING_FORMAT=MLN","Sort=A","Dates=H","DateFormat=P","Fill=—","Direction=H","UseDPDF=Y")</f>
        <v>6210</v>
      </c>
      <c r="I48" s="13" cm="1">
        <f t="array" ref="I48">_xll.BDH("CAT US Equity","BS_CURR_PORTION_LT_DEBT","FQ1 2020","FQ1 2020","Currency=USD","Period=FQ","BEST_FPERIOD_OVERRIDE=FQ","FILING_STATUS=MR","SCALING_FORMAT=MLN","Sort=A","Dates=H","DateFormat=P","Fill=—","Direction=H","UseDPDF=Y")</f>
        <v>7935</v>
      </c>
      <c r="J48" s="13" cm="1">
        <f t="array" ref="J48">_xll.BDH("CAT US Equity","BS_CURR_PORTION_LT_DEBT","FQ2 2020","FQ2 2020","Currency=USD","Period=FQ","BEST_FPERIOD_OVERRIDE=FQ","FILING_STATUS=MR","SCALING_FORMAT=MLN","Sort=A","Dates=H","DateFormat=P","Fill=—","Direction=H","UseDPDF=Y")</f>
        <v>7401</v>
      </c>
      <c r="K48" s="13" cm="1">
        <f t="array" ref="K48">_xll.BDH("CAT US Equity","BS_CURR_PORTION_LT_DEBT","FQ3 2020","FQ3 2020","Currency=USD","Period=FQ","BEST_FPERIOD_OVERRIDE=FQ","FILING_STATUS=MR","SCALING_FORMAT=MLN","Sort=A","Dates=H","DateFormat=P","Fill=—","Direction=H","UseDPDF=Y")</f>
        <v>9359</v>
      </c>
      <c r="L48" s="13" cm="1">
        <f t="array" ref="L48">_xll.BDH("CAT US Equity","BS_CURR_PORTION_LT_DEBT","FQ4 2020","FQ4 2020","Currency=USD","Period=FQ","BEST_FPERIOD_OVERRIDE=FQ","FILING_STATUS=MR","SCALING_FORMAT=MLN","Sort=A","Dates=H","DateFormat=P","Fill=—","Direction=H","UseDPDF=Y")</f>
        <v>9149</v>
      </c>
      <c r="M48" s="13" cm="1">
        <f t="array" ref="M48">_xll.BDH("CAT US Equity","BS_CURR_PORTION_LT_DEBT","FQ1 2021","FQ1 2021","Currency=USD","Period=FQ","BEST_FPERIOD_OVERRIDE=FQ","FILING_STATUS=MR","SCALING_FORMAT=MLN","Sort=A","Dates=H","DateFormat=P","Fill=—","Direction=H","UseDPDF=Y")</f>
        <v>8199</v>
      </c>
      <c r="N48" s="13" cm="1">
        <f t="array" ref="N48">_xll.BDH("CAT US Equity","BS_CURR_PORTION_LT_DEBT","FQ2 2021","FQ2 2021","Currency=USD","Period=FQ","BEST_FPERIOD_OVERRIDE=FQ","FILING_STATUS=MR","SCALING_FORMAT=MLN","Sort=A","Dates=H","DateFormat=P","Fill=—","Direction=H","UseDPDF=Y")</f>
        <v>7956</v>
      </c>
      <c r="O48" s="13" cm="1">
        <f t="array" ref="O48">_xll.BDH("CAT US Equity","BS_CURR_PORTION_LT_DEBT","FQ3 2021","FQ3 2021","Currency=USD","Period=FQ","BEST_FPERIOD_OVERRIDE=FQ","FILING_STATUS=MR","SCALING_FORMAT=MLN","Sort=A","Dates=H","DateFormat=P","Fill=—","Direction=H","UseDPDF=Y")</f>
        <v>6383</v>
      </c>
      <c r="P48" s="13" cm="1">
        <f t="array" ref="P48">_xll.BDH("CAT US Equity","BS_CURR_PORTION_LT_DEBT","FQ4 2021","FQ4 2021","Currency=USD","Period=FQ","BEST_FPERIOD_OVERRIDE=FQ","FILING_STATUS=MR","SCALING_FORMAT=MLN","Sort=A","Dates=H","DateFormat=P","Fill=—","Direction=H","UseDPDF=Y")</f>
        <v>6352</v>
      </c>
      <c r="Q48" s="13" cm="1">
        <f t="array" ref="Q48">_xll.BDH("CAT US Equity","BS_CURR_PORTION_LT_DEBT","FQ1 2022","FQ1 2022","Currency=USD","Period=FQ","BEST_FPERIOD_OVERRIDE=FQ","FILING_STATUS=MR","SCALING_FORMAT=MLN","Sort=A","Dates=H","DateFormat=P","Fill=—","Direction=H","UseDPDF=Y")</f>
        <v>7806</v>
      </c>
      <c r="R48" s="13" cm="1">
        <f t="array" ref="R48">_xll.BDH("CAT US Equity","BS_CURR_PORTION_LT_DEBT","FQ2 2022","FQ2 2022","Currency=USD","Period=FQ","BEST_FPERIOD_OVERRIDE=FQ","FILING_STATUS=MR","SCALING_FORMAT=MLN","Sort=A","Dates=H","DateFormat=P","Fill=—","Direction=H","UseDPDF=Y")</f>
        <v>5741</v>
      </c>
      <c r="S48" s="13" cm="1">
        <f t="array" ref="S48">_xll.BDH("CAT US Equity","BS_CURR_PORTION_LT_DEBT","FQ3 2022","FQ3 2022","Currency=USD","Period=FQ","BEST_FPERIOD_OVERRIDE=FQ","FILING_STATUS=MR","SCALING_FORMAT=MLN","Sort=A","Dates=H","DateFormat=P","Fill=—","Direction=H","UseDPDF=Y")</f>
        <v>6814</v>
      </c>
      <c r="T48" s="13" cm="1">
        <f t="array" ref="T48">_xll.BDH("CAT US Equity","BS_CURR_PORTION_LT_DEBT","FQ4 2022","FQ4 2022","Currency=USD","Period=FQ","BEST_FPERIOD_OVERRIDE=FQ","FILING_STATUS=MR","SCALING_FORMAT=MLN","Sort=A","Dates=H","DateFormat=P","Fill=—","Direction=H","UseDPDF=Y")</f>
        <v>5322</v>
      </c>
      <c r="U48" s="13" cm="1">
        <f t="array" ref="U48">_xll.BDH("CAT US Equity","BS_CURR_PORTION_LT_DEBT","FQ1 2023","FQ1 2023","Currency=USD","Period=FQ","BEST_FPERIOD_OVERRIDE=FQ","FILING_STATUS=MR","SCALING_FORMAT=MLN","Sort=A","Dates=H","DateFormat=P","Fill=—","Direction=H","UseDPDF=Y")</f>
        <v>6324</v>
      </c>
      <c r="V48" s="13" cm="1">
        <f t="array" ref="V48">_xll.BDH("CAT US Equity","BS_CURR_PORTION_LT_DEBT","FQ2 2023","FQ2 2023","Currency=USD","Period=FQ","BEST_FPERIOD_OVERRIDE=FQ","FILING_STATUS=MR","SCALING_FORMAT=MLN","Sort=A","Dates=H","DateFormat=P","Fill=—","Direction=H","UseDPDF=Y")</f>
        <v>9166</v>
      </c>
      <c r="W48" s="13" cm="1">
        <f t="array" ref="W48">_xll.BDH("CAT US Equity","BS_CURR_PORTION_LT_DEBT","FQ3 2023","FQ3 2023","Currency=USD","Period=FQ","BEST_FPERIOD_OVERRIDE=FQ","FILING_STATUS=MR","SCALING_FORMAT=MLN","Sort=A","Dates=H","DateFormat=P","Fill=—","Direction=H","UseDPDF=Y")</f>
        <v>8662</v>
      </c>
      <c r="X48" s="13" cm="1">
        <f t="array" ref="X48">_xll.BDH("CAT US Equity","BS_CURR_PORTION_LT_DEBT","FQ4 2023","FQ4 2023","Currency=USD","Period=FQ","BEST_FPERIOD_OVERRIDE=FQ","FILING_STATUS=MR","SCALING_FORMAT=MLN","Sort=A","Dates=H","DateFormat=P","Fill=—","Direction=H","UseDPDF=Y")</f>
        <v>8763</v>
      </c>
      <c r="Y48" s="13" cm="1">
        <f t="array" ref="Y48">_xll.BDH("CAT US Equity","BS_CURR_PORTION_LT_DEBT","FQ1 2024","FQ1 2024","Currency=USD","Period=FQ","BEST_FPERIOD_OVERRIDE=FQ","FILING_STATUS=MR","SCALING_FORMAT=MLN","Sort=A","Dates=H","DateFormat=P","Fill=—","Direction=H","UseDPDF=Y")</f>
        <v>9454</v>
      </c>
      <c r="Z48" s="13" cm="1">
        <f t="array" ref="Z48">_xll.BDH("CAT US Equity","BS_CURR_PORTION_LT_DEBT","FQ2 2024","FQ2 2024","Currency=USD","Period=FQ","BEST_FPERIOD_OVERRIDE=FQ","FILING_STATUS=MR","SCALING_FORMAT=MLN","Sort=A","Dates=H","DateFormat=P","Fill=—","Direction=H","UseDPDF=Y")</f>
        <v>8177</v>
      </c>
      <c r="AA48" s="13" cm="1">
        <f t="array" ref="AA48">_xll.BDH("CAT US Equity","BS_CURR_PORTION_LT_DEBT","FQ3 2024","FQ3 2024","Currency=USD","Period=FQ","BEST_FPERIOD_OVERRIDE=FQ","FILING_STATUS=MR","SCALING_FORMAT=MLN","Sort=A","Dates=H","DateFormat=P","Fill=—","Direction=H","UseDPDF=Y")</f>
        <v>8392</v>
      </c>
      <c r="AB48" s="13" cm="1">
        <f t="array" ref="AB48">_xll.BDH("CAT US Equity","BS_CURR_PORTION_LT_DEBT","FQ4 2024","FQ4 2024","Currency=USD","Period=FQ","BEST_FPERIOD_OVERRIDE=FQ","FILING_STATUS=MR","SCALING_FORMAT=MLN","Sort=A","Dates=H","DateFormat=P","Fill=—","Direction=H","UseDPDF=Y")</f>
        <v>6665</v>
      </c>
      <c r="AC48" s="13" cm="1">
        <f t="array" ref="AC48">_xll.BDH("CAT US Equity","BS_CURR_PORTION_LT_DEBT","FQ1 2025","FQ1 2025","Currency=USD","Period=FQ","BEST_FPERIOD_OVERRIDE=FQ","FILING_STATUS=MR","SCALING_FORMAT=MLN","Sort=A","Dates=H","DateFormat=P","Fill=—","Direction=H","UseDPDF=Y")</f>
        <v>9315</v>
      </c>
      <c r="AD48" s="13" cm="1">
        <f t="array" ref="AD48">_xll.BDH("CAT US Equity","BS_CURR_PORTION_LT_DEBT","FQ2 2025","FQ2 2025","Currency=USD","Period=FQ","BEST_FPERIOD_OVERRIDE=FQ","FILING_STATUS=MR","SCALING_FORMAT=MLN","Sort=A","Dates=H","DateFormat=P","Fill=—","Direction=H","UseDPDF=Y")</f>
        <v>8315</v>
      </c>
      <c r="AE48" s="13" cm="1">
        <f t="array" ref="AE48">_xll.BDH("CAT US Equity","BS_CURR_PORTION_LT_DEBT","FQ3 2025","FQ3 2025","Currency=USD","Period=FQ","BEST_FPERIOD_OVERRIDE=FQ","FILING_STATUS=MR","SCALING_FORMAT=MLN","Sort=A","Dates=H","DateFormat=P","Fill=—","Direction=H","UseDPDF=Y")</f>
        <v>9289</v>
      </c>
      <c r="AF48" s="13" cm="1">
        <f t="array" ref="AF48">_xll.BDH("CAT US Equity","BS_CURR_PORTION_LT_DEBT","FQ4 2025","FQ4 2025","Currency=USD","Period=FQ","BEST_FPERIOD_OVERRIDE=FQ","FILING_STATUS=MR","SCALING_FORMAT=MLN","Sort=A","Dates=H","DateFormat=P","Fill=—","Direction=H","UseDPDF=Y")</f>
        <v>7120</v>
      </c>
    </row>
    <row r="49" spans="1:32" x14ac:dyDescent="0.25">
      <c r="A49" s="10" t="s">
        <v>145</v>
      </c>
      <c r="B49" s="10" t="s">
        <v>146</v>
      </c>
      <c r="C49" s="13" cm="1">
        <f t="array" ref="C49">_xll.BDH("CAT US Equity","OTHER_CURRENT_LIABS_SUB_DETAILED","FQ3 2018","FQ3 2018","Currency=USD","Period=FQ","BEST_FPERIOD_OVERRIDE=FQ","FILING_STATUS=MR","SCALING_FORMAT=MLN","Sort=A","Dates=H","DateFormat=P","Fill=—","Direction=H","UseDPDF=Y")</f>
        <v>3480</v>
      </c>
      <c r="D49" s="13" cm="1">
        <f t="array" ref="D49">_xll.BDH("CAT US Equity","OTHER_CURRENT_LIABS_SUB_DETAILED","FQ4 2018","FQ4 2018","Currency=USD","Period=FQ","BEST_FPERIOD_OVERRIDE=FQ","FILING_STATUS=MR","SCALING_FORMAT=MLN","Sort=A","Dates=H","DateFormat=P","Fill=—","Direction=H","UseDPDF=Y")</f>
        <v>3303</v>
      </c>
      <c r="E49" s="13" cm="1">
        <f t="array" ref="E49">_xll.BDH("CAT US Equity","OTHER_CURRENT_LIABS_SUB_DETAILED","FQ1 2019","FQ1 2019","Currency=USD","Period=FQ","BEST_FPERIOD_OVERRIDE=FQ","FILING_STATUS=MR","SCALING_FORMAT=MLN","Sort=A","Dates=H","DateFormat=P","Fill=—","Direction=H","UseDPDF=Y")</f>
        <v>3617</v>
      </c>
      <c r="F49" s="13" cm="1">
        <f t="array" ref="F49">_xll.BDH("CAT US Equity","OTHER_CURRENT_LIABS_SUB_DETAILED","FQ2 2019","FQ2 2019","Currency=USD","Period=FQ","BEST_FPERIOD_OVERRIDE=FQ","FILING_STATUS=MR","SCALING_FORMAT=MLN","Sort=A","Dates=H","DateFormat=P","Fill=—","Direction=H","UseDPDF=Y")</f>
        <v>3353</v>
      </c>
      <c r="G49" s="13" cm="1">
        <f t="array" ref="G49">_xll.BDH("CAT US Equity","OTHER_CURRENT_LIABS_SUB_DETAILED","FQ3 2019","FQ3 2019","Currency=USD","Period=FQ","BEST_FPERIOD_OVERRIDE=FQ","FILING_STATUS=MR","SCALING_FORMAT=MLN","Sort=A","Dates=H","DateFormat=P","Fill=—","Direction=H","UseDPDF=Y")</f>
        <v>3439</v>
      </c>
      <c r="H49" s="13" cm="1">
        <f t="array" ref="H49">_xll.BDH("CAT US Equity","OTHER_CURRENT_LIABS_SUB_DETAILED","FQ4 2019","FQ4 2019","Currency=USD","Period=FQ","BEST_FPERIOD_OVERRIDE=FQ","FILING_STATUS=MR","SCALING_FORMAT=MLN","Sort=A","Dates=H","DateFormat=P","Fill=—","Direction=H","UseDPDF=Y")</f>
        <v>3240</v>
      </c>
      <c r="I49" s="13" cm="1">
        <f t="array" ref="I49">_xll.BDH("CAT US Equity","OTHER_CURRENT_LIABS_SUB_DETAILED","FQ1 2020","FQ1 2020","Currency=USD","Period=FQ","BEST_FPERIOD_OVERRIDE=FQ","FILING_STATUS=MR","SCALING_FORMAT=MLN","Sort=A","Dates=H","DateFormat=P","Fill=—","Direction=H","UseDPDF=Y")</f>
        <v>3623</v>
      </c>
      <c r="J49" s="13" cm="1">
        <f t="array" ref="J49">_xll.BDH("CAT US Equity","OTHER_CURRENT_LIABS_SUB_DETAILED","FQ2 2020","FQ2 2020","Currency=USD","Period=FQ","BEST_FPERIOD_OVERRIDE=FQ","FILING_STATUS=MR","SCALING_FORMAT=MLN","Sort=A","Dates=H","DateFormat=P","Fill=—","Direction=H","UseDPDF=Y")</f>
        <v>3540</v>
      </c>
      <c r="K49" s="13" cm="1">
        <f t="array" ref="K49">_xll.BDH("CAT US Equity","OTHER_CURRENT_LIABS_SUB_DETAILED","FQ3 2020","FQ3 2020","Currency=USD","Period=FQ","BEST_FPERIOD_OVERRIDE=FQ","FILING_STATUS=MR","SCALING_FORMAT=MLN","Sort=A","Dates=H","DateFormat=P","Fill=—","Direction=H","UseDPDF=Y")</f>
        <v>3303</v>
      </c>
      <c r="L49" s="13" cm="1">
        <f t="array" ref="L49">_xll.BDH("CAT US Equity","OTHER_CURRENT_LIABS_SUB_DETAILED","FQ4 2020","FQ4 2020","Currency=USD","Period=FQ","BEST_FPERIOD_OVERRIDE=FQ","FILING_STATUS=MR","SCALING_FORMAT=MLN","Sort=A","Dates=H","DateFormat=P","Fill=—","Direction=H","UseDPDF=Y")</f>
        <v>3153</v>
      </c>
      <c r="M49" s="13" cm="1">
        <f t="array" ref="M49">_xll.BDH("CAT US Equity","OTHER_CURRENT_LIABS_SUB_DETAILED","FQ1 2021","FQ1 2021","Currency=USD","Period=FQ","BEST_FPERIOD_OVERRIDE=FQ","FILING_STATUS=MR","SCALING_FORMAT=MLN","Sort=A","Dates=H","DateFormat=P","Fill=—","Direction=H","UseDPDF=Y")</f>
        <v>3361</v>
      </c>
      <c r="N49" s="13" cm="1">
        <f t="array" ref="N49">_xll.BDH("CAT US Equity","OTHER_CURRENT_LIABS_SUB_DETAILED","FQ2 2021","FQ2 2021","Currency=USD","Period=FQ","BEST_FPERIOD_OVERRIDE=FQ","FILING_STATUS=MR","SCALING_FORMAT=MLN","Sort=A","Dates=H","DateFormat=P","Fill=—","Direction=H","UseDPDF=Y")</f>
        <v>3392</v>
      </c>
      <c r="O49" s="13" cm="1">
        <f t="array" ref="O49">_xll.BDH("CAT US Equity","OTHER_CURRENT_LIABS_SUB_DETAILED","FQ3 2021","FQ3 2021","Currency=USD","Period=FQ","BEST_FPERIOD_OVERRIDE=FQ","FILING_STATUS=MR","SCALING_FORMAT=MLN","Sort=A","Dates=H","DateFormat=P","Fill=—","Direction=H","UseDPDF=Y")</f>
        <v>3539</v>
      </c>
      <c r="P49" s="13" cm="1">
        <f t="array" ref="P49">_xll.BDH("CAT US Equity","OTHER_CURRENT_LIABS_SUB_DETAILED","FQ4 2021","FQ4 2021","Currency=USD","Period=FQ","BEST_FPERIOD_OVERRIDE=FQ","FILING_STATUS=MR","SCALING_FORMAT=MLN","Sort=A","Dates=H","DateFormat=P","Fill=—","Direction=H","UseDPDF=Y")</f>
        <v>3268</v>
      </c>
      <c r="Q49" s="13" cm="1">
        <f t="array" ref="Q49">_xll.BDH("CAT US Equity","OTHER_CURRENT_LIABS_SUB_DETAILED","FQ1 2022","FQ1 2022","Currency=USD","Period=FQ","BEST_FPERIOD_OVERRIDE=FQ","FILING_STATUS=MR","SCALING_FORMAT=MLN","Sort=A","Dates=H","DateFormat=P","Fill=—","Direction=H","UseDPDF=Y")</f>
        <v>3957</v>
      </c>
      <c r="R49" s="13" cm="1">
        <f t="array" ref="R49">_xll.BDH("CAT US Equity","OTHER_CURRENT_LIABS_SUB_DETAILED","FQ2 2022","FQ2 2022","Currency=USD","Period=FQ","BEST_FPERIOD_OVERRIDE=FQ","FILING_STATUS=MR","SCALING_FORMAT=MLN","Sort=A","Dates=H","DateFormat=P","Fill=—","Direction=H","UseDPDF=Y")</f>
        <v>4393</v>
      </c>
      <c r="S49" s="13" cm="1">
        <f t="array" ref="S49">_xll.BDH("CAT US Equity","OTHER_CURRENT_LIABS_SUB_DETAILED","FQ3 2022","FQ3 2022","Currency=USD","Period=FQ","BEST_FPERIOD_OVERRIDE=FQ","FILING_STATUS=MR","SCALING_FORMAT=MLN","Sort=A","Dates=H","DateFormat=P","Fill=—","Direction=H","UseDPDF=Y")</f>
        <v>5526</v>
      </c>
      <c r="T49" s="13" cm="1">
        <f t="array" ref="T49">_xll.BDH("CAT US Equity","OTHER_CURRENT_LIABS_SUB_DETAILED","FQ4 2022","FQ4 2022","Currency=USD","Period=FQ","BEST_FPERIOD_OVERRIDE=FQ","FILING_STATUS=MR","SCALING_FORMAT=MLN","Sort=A","Dates=H","DateFormat=P","Fill=—","Direction=H","UseDPDF=Y")</f>
        <v>4399</v>
      </c>
      <c r="U49" s="13" cm="1">
        <f t="array" ref="U49">_xll.BDH("CAT US Equity","OTHER_CURRENT_LIABS_SUB_DETAILED","FQ1 2023","FQ1 2023","Currency=USD","Period=FQ","BEST_FPERIOD_OVERRIDE=FQ","FILING_STATUS=MR","SCALING_FORMAT=MLN","Sort=A","Dates=H","DateFormat=P","Fill=—","Direction=H","UseDPDF=Y")</f>
        <v>5237</v>
      </c>
      <c r="V49" s="13" cm="1">
        <f t="array" ref="V49">_xll.BDH("CAT US Equity","OTHER_CURRENT_LIABS_SUB_DETAILED","FQ2 2023","FQ2 2023","Currency=USD","Period=FQ","BEST_FPERIOD_OVERRIDE=FQ","FILING_STATUS=MR","SCALING_FORMAT=MLN","Sort=A","Dates=H","DateFormat=P","Fill=—","Direction=H","UseDPDF=Y")</f>
        <v>5246</v>
      </c>
      <c r="W49" s="13" cm="1">
        <f t="array" ref="W49">_xll.BDH("CAT US Equity","OTHER_CURRENT_LIABS_SUB_DETAILED","FQ3 2023","FQ3 2023","Currency=USD","Period=FQ","BEST_FPERIOD_OVERRIDE=FQ","FILING_STATUS=MR","SCALING_FORMAT=MLN","Sort=A","Dates=H","DateFormat=P","Fill=—","Direction=H","UseDPDF=Y")</f>
        <v>5448</v>
      </c>
      <c r="X49" s="13" cm="1">
        <f t="array" ref="X49">_xll.BDH("CAT US Equity","OTHER_CURRENT_LIABS_SUB_DETAILED","FQ4 2023","FQ4 2023","Currency=USD","Period=FQ","BEST_FPERIOD_OVERRIDE=FQ","FILING_STATUS=MR","SCALING_FORMAT=MLN","Sort=A","Dates=H","DateFormat=P","Fill=—","Direction=H","UseDPDF=Y")</f>
        <v>4905</v>
      </c>
      <c r="Y49" s="13" cm="1">
        <f t="array" ref="Y49">_xll.BDH("CAT US Equity","OTHER_CURRENT_LIABS_SUB_DETAILED","FQ1 2024","FQ1 2024","Currency=USD","Period=FQ","BEST_FPERIOD_OVERRIDE=FQ","FILING_STATUS=MR","SCALING_FORMAT=MLN","Sort=A","Dates=H","DateFormat=P","Fill=—","Direction=H","UseDPDF=Y")</f>
        <v>5459</v>
      </c>
      <c r="Z49" s="13" cm="1">
        <f t="array" ref="Z49">_xll.BDH("CAT US Equity","OTHER_CURRENT_LIABS_SUB_DETAILED","FQ2 2024","FQ2 2024","Currency=USD","Period=FQ","BEST_FPERIOD_OVERRIDE=FQ","FILING_STATUS=MR","SCALING_FORMAT=MLN","Sort=A","Dates=H","DateFormat=P","Fill=—","Direction=H","UseDPDF=Y")</f>
        <v>5206</v>
      </c>
      <c r="AA49" s="13" cm="1">
        <f t="array" ref="AA49">_xll.BDH("CAT US Equity","OTHER_CURRENT_LIABS_SUB_DETAILED","FQ3 2024","FQ3 2024","Currency=USD","Period=FQ","BEST_FPERIOD_OVERRIDE=FQ","FILING_STATUS=MR","SCALING_FORMAT=MLN","Sort=A","Dates=H","DateFormat=P","Fill=—","Direction=H","UseDPDF=Y")</f>
        <v>5338</v>
      </c>
      <c r="AB49" s="13" cm="1">
        <f t="array" ref="AB49">_xll.BDH("CAT US Equity","OTHER_CURRENT_LIABS_SUB_DETAILED","FQ4 2024","FQ4 2024","Currency=USD","Period=FQ","BEST_FPERIOD_OVERRIDE=FQ","FILING_STATUS=MR","SCALING_FORMAT=MLN","Sort=A","Dates=H","DateFormat=P","Fill=—","Direction=H","UseDPDF=Y")</f>
        <v>5088</v>
      </c>
      <c r="AC49" s="13" cm="1">
        <f t="array" ref="AC49">_xll.BDH("CAT US Equity","OTHER_CURRENT_LIABS_SUB_DETAILED","FQ1 2025","FQ1 2025","Currency=USD","Period=FQ","BEST_FPERIOD_OVERRIDE=FQ","FILING_STATUS=MR","SCALING_FORMAT=MLN","Sort=A","Dates=H","DateFormat=P","Fill=—","Direction=H","UseDPDF=Y")</f>
        <v>5785</v>
      </c>
      <c r="AD49" s="13" cm="1">
        <f t="array" ref="AD49">_xll.BDH("CAT US Equity","OTHER_CURRENT_LIABS_SUB_DETAILED","FQ2 2025","FQ2 2025","Currency=USD","Period=FQ","BEST_FPERIOD_OVERRIDE=FQ","FILING_STATUS=MR","SCALING_FORMAT=MLN","Sort=A","Dates=H","DateFormat=P","Fill=—","Direction=H","UseDPDF=Y")</f>
        <v>6039</v>
      </c>
      <c r="AE49" s="13" cm="1">
        <f t="array" ref="AE49">_xll.BDH("CAT US Equity","OTHER_CURRENT_LIABS_SUB_DETAILED","FQ3 2025","FQ3 2025","Currency=USD","Period=FQ","BEST_FPERIOD_OVERRIDE=FQ","FILING_STATUS=MR","SCALING_FORMAT=MLN","Sort=A","Dates=H","DateFormat=P","Fill=—","Direction=H","UseDPDF=Y")</f>
        <v>6151</v>
      </c>
      <c r="AF49" s="13" cm="1">
        <f t="array" ref="AF49">_xll.BDH("CAT US Equity","OTHER_CURRENT_LIABS_SUB_DETAILED","FQ4 2025","FQ4 2025","Currency=USD","Period=FQ","BEST_FPERIOD_OVERRIDE=FQ","FILING_STATUS=MR","SCALING_FORMAT=MLN","Sort=A","Dates=H","DateFormat=P","Fill=—","Direction=H","UseDPDF=Y")</f>
        <v>5954</v>
      </c>
    </row>
    <row r="50" spans="1:32" x14ac:dyDescent="0.25">
      <c r="A50" s="10" t="s">
        <v>147</v>
      </c>
      <c r="B50" s="10" t="s">
        <v>148</v>
      </c>
      <c r="C50" s="13" t="str" cm="1">
        <f t="array" ref="C50">_xll.BDH("CAT US Equity","ST_DEFERRED_REVENUE","FQ3 2018","FQ3 2018","Currency=USD","Period=FQ","BEST_FPERIOD_OVERRIDE=FQ","FILING_STATUS=MR","SCALING_FORMAT=MLN","Sort=A","Dates=H","DateFormat=P","Fill=—","Direction=H","UseDPDF=Y")</f>
        <v>—</v>
      </c>
      <c r="D50" s="13" cm="1">
        <f t="array" ref="D50">_xll.BDH("CAT US Equity","ST_DEFERRED_REVENUE","FQ4 2018","FQ4 2018","Currency=USD","Period=FQ","BEST_FPERIOD_OVERRIDE=FQ","FILING_STATUS=MR","SCALING_FORMAT=MLN","Sort=A","Dates=H","DateFormat=P","Fill=—","Direction=H","UseDPDF=Y")</f>
        <v>0</v>
      </c>
      <c r="E50" s="13" t="str" cm="1">
        <f t="array" ref="E50">_xll.BDH("CAT US Equity","ST_DEFERRED_REVENUE","FQ1 2019","FQ1 2019","Currency=USD","Period=FQ","BEST_FPERIOD_OVERRIDE=FQ","FILING_STATUS=MR","SCALING_FORMAT=MLN","Sort=A","Dates=H","DateFormat=P","Fill=—","Direction=H","UseDPDF=Y")</f>
        <v>—</v>
      </c>
      <c r="F50" s="13" t="str" cm="1">
        <f t="array" ref="F50">_xll.BDH("CAT US Equity","ST_DEFERRED_REVENUE","FQ2 2019","FQ2 2019","Currency=USD","Period=FQ","BEST_FPERIOD_OVERRIDE=FQ","FILING_STATUS=MR","SCALING_FORMAT=MLN","Sort=A","Dates=H","DateFormat=P","Fill=—","Direction=H","UseDPDF=Y")</f>
        <v>—</v>
      </c>
      <c r="G50" s="13" cm="1">
        <f t="array" ref="G50">_xll.BDH("CAT US Equity","ST_DEFERRED_REVENUE","FQ3 2019","FQ3 2019","Currency=USD","Period=FQ","BEST_FPERIOD_OVERRIDE=FQ","FILING_STATUS=MR","SCALING_FORMAT=MLN","Sort=A","Dates=H","DateFormat=P","Fill=—","Direction=H","UseDPDF=Y")</f>
        <v>0</v>
      </c>
      <c r="H50" s="13" cm="1">
        <f t="array" ref="H50">_xll.BDH("CAT US Equity","ST_DEFERRED_REVENUE","FQ4 2019","FQ4 2019","Currency=USD","Period=FQ","BEST_FPERIOD_OVERRIDE=FQ","FILING_STATUS=MR","SCALING_FORMAT=MLN","Sort=A","Dates=H","DateFormat=P","Fill=—","Direction=H","UseDPDF=Y")</f>
        <v>0</v>
      </c>
      <c r="I50" s="13" t="str" cm="1">
        <f t="array" ref="I50">_xll.BDH("CAT US Equity","ST_DEFERRED_REVENUE","FQ1 2020","FQ1 2020","Currency=USD","Period=FQ","BEST_FPERIOD_OVERRIDE=FQ","FILING_STATUS=MR","SCALING_FORMAT=MLN","Sort=A","Dates=H","DateFormat=P","Fill=—","Direction=H","UseDPDF=Y")</f>
        <v>—</v>
      </c>
      <c r="J50" s="13" t="str" cm="1">
        <f t="array" ref="J50">_xll.BDH("CAT US Equity","ST_DEFERRED_REVENUE","FQ2 2020","FQ2 2020","Currency=USD","Period=FQ","BEST_FPERIOD_OVERRIDE=FQ","FILING_STATUS=MR","SCALING_FORMAT=MLN","Sort=A","Dates=H","DateFormat=P","Fill=—","Direction=H","UseDPDF=Y")</f>
        <v>—</v>
      </c>
      <c r="K50" s="13" cm="1">
        <f t="array" ref="K50">_xll.BDH("CAT US Equity","ST_DEFERRED_REVENUE","FQ3 2020","FQ3 2020","Currency=USD","Period=FQ","BEST_FPERIOD_OVERRIDE=FQ","FILING_STATUS=MR","SCALING_FORMAT=MLN","Sort=A","Dates=H","DateFormat=P","Fill=—","Direction=H","UseDPDF=Y")</f>
        <v>0</v>
      </c>
      <c r="L50" s="13" cm="1">
        <f t="array" ref="L50">_xll.BDH("CAT US Equity","ST_DEFERRED_REVENUE","FQ4 2020","FQ4 2020","Currency=USD","Period=FQ","BEST_FPERIOD_OVERRIDE=FQ","FILING_STATUS=MR","SCALING_FORMAT=MLN","Sort=A","Dates=H","DateFormat=P","Fill=—","Direction=H","UseDPDF=Y")</f>
        <v>0</v>
      </c>
      <c r="M50" s="13" t="str" cm="1">
        <f t="array" ref="M50">_xll.BDH("CAT US Equity","ST_DEFERRED_REVENUE","FQ1 2021","FQ1 2021","Currency=USD","Period=FQ","BEST_FPERIOD_OVERRIDE=FQ","FILING_STATUS=MR","SCALING_FORMAT=MLN","Sort=A","Dates=H","DateFormat=P","Fill=—","Direction=H","UseDPDF=Y")</f>
        <v>—</v>
      </c>
      <c r="N50" s="13" t="str" cm="1">
        <f t="array" ref="N50">_xll.BDH("CAT US Equity","ST_DEFERRED_REVENUE","FQ2 2021","FQ2 2021","Currency=USD","Period=FQ","BEST_FPERIOD_OVERRIDE=FQ","FILING_STATUS=MR","SCALING_FORMAT=MLN","Sort=A","Dates=H","DateFormat=P","Fill=—","Direction=H","UseDPDF=Y")</f>
        <v>—</v>
      </c>
      <c r="O50" s="13" cm="1">
        <f t="array" ref="O50">_xll.BDH("CAT US Equity","ST_DEFERRED_REVENUE","FQ3 2021","FQ3 2021","Currency=USD","Period=FQ","BEST_FPERIOD_OVERRIDE=FQ","FILING_STATUS=MR","SCALING_FORMAT=MLN","Sort=A","Dates=H","DateFormat=P","Fill=—","Direction=H","UseDPDF=Y")</f>
        <v>0</v>
      </c>
      <c r="P50" s="13" cm="1">
        <f t="array" ref="P50">_xll.BDH("CAT US Equity","ST_DEFERRED_REVENUE","FQ4 2021","FQ4 2021","Currency=USD","Period=FQ","BEST_FPERIOD_OVERRIDE=FQ","FILING_STATUS=MR","SCALING_FORMAT=MLN","Sort=A","Dates=H","DateFormat=P","Fill=—","Direction=H","UseDPDF=Y")</f>
        <v>0</v>
      </c>
      <c r="Q50" s="13" t="str" cm="1">
        <f t="array" ref="Q50">_xll.BDH("CAT US Equity","ST_DEFERRED_REVENUE","FQ1 2022","FQ1 2022","Currency=USD","Period=FQ","BEST_FPERIOD_OVERRIDE=FQ","FILING_STATUS=MR","SCALING_FORMAT=MLN","Sort=A","Dates=H","DateFormat=P","Fill=—","Direction=H","UseDPDF=Y")</f>
        <v>—</v>
      </c>
      <c r="R50" s="13" t="str" cm="1">
        <f t="array" ref="R50">_xll.BDH("CAT US Equity","ST_DEFERRED_REVENUE","FQ2 2022","FQ2 2022","Currency=USD","Period=FQ","BEST_FPERIOD_OVERRIDE=FQ","FILING_STATUS=MR","SCALING_FORMAT=MLN","Sort=A","Dates=H","DateFormat=P","Fill=—","Direction=H","UseDPDF=Y")</f>
        <v>—</v>
      </c>
      <c r="S50" s="13" cm="1">
        <f t="array" ref="S50">_xll.BDH("CAT US Equity","ST_DEFERRED_REVENUE","FQ3 2022","FQ3 2022","Currency=USD","Period=FQ","BEST_FPERIOD_OVERRIDE=FQ","FILING_STATUS=MR","SCALING_FORMAT=MLN","Sort=A","Dates=H","DateFormat=P","Fill=—","Direction=H","UseDPDF=Y")</f>
        <v>0</v>
      </c>
      <c r="T50" s="13" cm="1">
        <f t="array" ref="T50">_xll.BDH("CAT US Equity","ST_DEFERRED_REVENUE","FQ4 2022","FQ4 2022","Currency=USD","Period=FQ","BEST_FPERIOD_OVERRIDE=FQ","FILING_STATUS=MR","SCALING_FORMAT=MLN","Sort=A","Dates=H","DateFormat=P","Fill=—","Direction=H","UseDPDF=Y")</f>
        <v>0</v>
      </c>
      <c r="U50" s="13" t="str" cm="1">
        <f t="array" ref="U50">_xll.BDH("CAT US Equity","ST_DEFERRED_REVENUE","FQ1 2023","FQ1 2023","Currency=USD","Period=FQ","BEST_FPERIOD_OVERRIDE=FQ","FILING_STATUS=MR","SCALING_FORMAT=MLN","Sort=A","Dates=H","DateFormat=P","Fill=—","Direction=H","UseDPDF=Y")</f>
        <v>—</v>
      </c>
      <c r="V50" s="13" t="str" cm="1">
        <f t="array" ref="V50">_xll.BDH("CAT US Equity","ST_DEFERRED_REVENUE","FQ2 2023","FQ2 2023","Currency=USD","Period=FQ","BEST_FPERIOD_OVERRIDE=FQ","FILING_STATUS=MR","SCALING_FORMAT=MLN","Sort=A","Dates=H","DateFormat=P","Fill=—","Direction=H","UseDPDF=Y")</f>
        <v>—</v>
      </c>
      <c r="W50" s="13" cm="1">
        <f t="array" ref="W50">_xll.BDH("CAT US Equity","ST_DEFERRED_REVENUE","FQ3 2023","FQ3 2023","Currency=USD","Period=FQ","BEST_FPERIOD_OVERRIDE=FQ","FILING_STATUS=MR","SCALING_FORMAT=MLN","Sort=A","Dates=H","DateFormat=P","Fill=—","Direction=H","UseDPDF=Y")</f>
        <v>0</v>
      </c>
      <c r="X50" s="13" cm="1">
        <f t="array" ref="X50">_xll.BDH("CAT US Equity","ST_DEFERRED_REVENUE","FQ4 2023","FQ4 2023","Currency=USD","Period=FQ","BEST_FPERIOD_OVERRIDE=FQ","FILING_STATUS=MR","SCALING_FORMAT=MLN","Sort=A","Dates=H","DateFormat=P","Fill=—","Direction=H","UseDPDF=Y")</f>
        <v>0</v>
      </c>
      <c r="Y50" s="13" t="str" cm="1">
        <f t="array" ref="Y50">_xll.BDH("CAT US Equity","ST_DEFERRED_REVENUE","FQ1 2024","FQ1 2024","Currency=USD","Period=FQ","BEST_FPERIOD_OVERRIDE=FQ","FILING_STATUS=MR","SCALING_FORMAT=MLN","Sort=A","Dates=H","DateFormat=P","Fill=—","Direction=H","UseDPDF=Y")</f>
        <v>—</v>
      </c>
      <c r="Z50" s="13" t="str" cm="1">
        <f t="array" ref="Z50">_xll.BDH("CAT US Equity","ST_DEFERRED_REVENUE","FQ2 2024","FQ2 2024","Currency=USD","Period=FQ","BEST_FPERIOD_OVERRIDE=FQ","FILING_STATUS=MR","SCALING_FORMAT=MLN","Sort=A","Dates=H","DateFormat=P","Fill=—","Direction=H","UseDPDF=Y")</f>
        <v>—</v>
      </c>
      <c r="AA50" s="13" cm="1">
        <f t="array" ref="AA50">_xll.BDH("CAT US Equity","ST_DEFERRED_REVENUE","FQ3 2024","FQ3 2024","Currency=USD","Period=FQ","BEST_FPERIOD_OVERRIDE=FQ","FILING_STATUS=MR","SCALING_FORMAT=MLN","Sort=A","Dates=H","DateFormat=P","Fill=—","Direction=H","UseDPDF=Y")</f>
        <v>0</v>
      </c>
      <c r="AB50" s="13" cm="1">
        <f t="array" ref="AB50">_xll.BDH("CAT US Equity","ST_DEFERRED_REVENUE","FQ4 2024","FQ4 2024","Currency=USD","Period=FQ","BEST_FPERIOD_OVERRIDE=FQ","FILING_STATUS=MR","SCALING_FORMAT=MLN","Sort=A","Dates=H","DateFormat=P","Fill=—","Direction=H","UseDPDF=Y")</f>
        <v>0</v>
      </c>
      <c r="AC50" s="13" t="str" cm="1">
        <f t="array" ref="AC50">_xll.BDH("CAT US Equity","ST_DEFERRED_REVENUE","FQ1 2025","FQ1 2025","Currency=USD","Period=FQ","BEST_FPERIOD_OVERRIDE=FQ","FILING_STATUS=MR","SCALING_FORMAT=MLN","Sort=A","Dates=H","DateFormat=P","Fill=—","Direction=H","UseDPDF=Y")</f>
        <v>—</v>
      </c>
      <c r="AD50" s="13" t="str" cm="1">
        <f t="array" ref="AD50">_xll.BDH("CAT US Equity","ST_DEFERRED_REVENUE","FQ2 2025","FQ2 2025","Currency=USD","Period=FQ","BEST_FPERIOD_OVERRIDE=FQ","FILING_STATUS=MR","SCALING_FORMAT=MLN","Sort=A","Dates=H","DateFormat=P","Fill=—","Direction=H","UseDPDF=Y")</f>
        <v>—</v>
      </c>
      <c r="AE50" s="13" cm="1">
        <f t="array" ref="AE50">_xll.BDH("CAT US Equity","ST_DEFERRED_REVENUE","FQ3 2025","FQ3 2025","Currency=USD","Period=FQ","BEST_FPERIOD_OVERRIDE=FQ","FILING_STATUS=MR","SCALING_FORMAT=MLN","Sort=A","Dates=H","DateFormat=P","Fill=—","Direction=H","UseDPDF=Y")</f>
        <v>0</v>
      </c>
      <c r="AF50" s="13" cm="1">
        <f t="array" ref="AF50">_xll.BDH("CAT US Equity","ST_DEFERRED_REVENUE","FQ4 2025","FQ4 2025","Currency=USD","Period=FQ","BEST_FPERIOD_OVERRIDE=FQ","FILING_STATUS=MR","SCALING_FORMAT=MLN","Sort=A","Dates=H","DateFormat=P","Fill=—","Direction=H","UseDPDF=Y")</f>
        <v>0</v>
      </c>
    </row>
    <row r="51" spans="1:32" x14ac:dyDescent="0.25">
      <c r="A51" s="10" t="s">
        <v>149</v>
      </c>
      <c r="B51" s="10" t="s">
        <v>150</v>
      </c>
      <c r="C51" s="13" cm="1">
        <f t="array" ref="C51">_xll.BDH("CAT US Equity","BS_DERIV_HEDGING_LIAB_ST","FQ3 2018","FQ3 2018","Currency=USD","Period=FQ","BEST_FPERIOD_OVERRIDE=FQ","FILING_STATUS=MR","SCALING_FORMAT=MLN","Sort=A","Dates=H","DateFormat=P","Fill=—","Direction=H","UseDPDF=Y")</f>
        <v>122</v>
      </c>
      <c r="D51" s="13" cm="1">
        <f t="array" ref="D51">_xll.BDH("CAT US Equity","BS_DERIV_HEDGING_LIAB_ST","FQ4 2018","FQ4 2018","Currency=USD","Period=FQ","BEST_FPERIOD_OVERRIDE=FQ","FILING_STATUS=MR","SCALING_FORMAT=MLN","Sort=A","Dates=H","DateFormat=P","Fill=—","Direction=H","UseDPDF=Y")</f>
        <v>141</v>
      </c>
      <c r="E51" s="13" cm="1">
        <f t="array" ref="E51">_xll.BDH("CAT US Equity","BS_DERIV_HEDGING_LIAB_ST","FQ1 2019","FQ1 2019","Currency=USD","Period=FQ","BEST_FPERIOD_OVERRIDE=FQ","FILING_STATUS=MR","SCALING_FORMAT=MLN","Sort=A","Dates=H","DateFormat=P","Fill=—","Direction=H","UseDPDF=Y")</f>
        <v>103</v>
      </c>
      <c r="F51" s="13" cm="1">
        <f t="array" ref="F51">_xll.BDH("CAT US Equity","BS_DERIV_HEDGING_LIAB_ST","FQ2 2019","FQ2 2019","Currency=USD","Period=FQ","BEST_FPERIOD_OVERRIDE=FQ","FILING_STATUS=MR","SCALING_FORMAT=MLN","Sort=A","Dates=H","DateFormat=P","Fill=—","Direction=H","UseDPDF=Y")</f>
        <v>120</v>
      </c>
      <c r="G51" s="13" cm="1">
        <f t="array" ref="G51">_xll.BDH("CAT US Equity","BS_DERIV_HEDGING_LIAB_ST","FQ3 2019","FQ3 2019","Currency=USD","Period=FQ","BEST_FPERIOD_OVERRIDE=FQ","FILING_STATUS=MR","SCALING_FORMAT=MLN","Sort=A","Dates=H","DateFormat=P","Fill=—","Direction=H","UseDPDF=Y")</f>
        <v>120</v>
      </c>
      <c r="H51" s="13" cm="1">
        <f t="array" ref="H51">_xll.BDH("CAT US Equity","BS_DERIV_HEDGING_LIAB_ST","FQ4 2019","FQ4 2019","Currency=USD","Period=FQ","BEST_FPERIOD_OVERRIDE=FQ","FILING_STATUS=MR","SCALING_FORMAT=MLN","Sort=A","Dates=H","DateFormat=P","Fill=—","Direction=H","UseDPDF=Y")</f>
        <v>71</v>
      </c>
      <c r="I51" s="13" cm="1">
        <f t="array" ref="I51">_xll.BDH("CAT US Equity","BS_DERIV_HEDGING_LIAB_ST","FQ1 2020","FQ1 2020","Currency=USD","Period=FQ","BEST_FPERIOD_OVERRIDE=FQ","FILING_STATUS=MR","SCALING_FORMAT=MLN","Sort=A","Dates=H","DateFormat=P","Fill=—","Direction=H","UseDPDF=Y")</f>
        <v>254</v>
      </c>
      <c r="J51" s="13" cm="1">
        <f t="array" ref="J51">_xll.BDH("CAT US Equity","BS_DERIV_HEDGING_LIAB_ST","FQ2 2020","FQ2 2020","Currency=USD","Period=FQ","BEST_FPERIOD_OVERRIDE=FQ","FILING_STATUS=MR","SCALING_FORMAT=MLN","Sort=A","Dates=H","DateFormat=P","Fill=—","Direction=H","UseDPDF=Y")</f>
        <v>170</v>
      </c>
      <c r="K51" s="13" cm="1">
        <f t="array" ref="K51">_xll.BDH("CAT US Equity","BS_DERIV_HEDGING_LIAB_ST","FQ3 2020","FQ3 2020","Currency=USD","Period=FQ","BEST_FPERIOD_OVERRIDE=FQ","FILING_STATUS=MR","SCALING_FORMAT=MLN","Sort=A","Dates=H","DateFormat=P","Fill=—","Direction=H","UseDPDF=Y")</f>
        <v>116</v>
      </c>
      <c r="L51" s="13" cm="1">
        <f t="array" ref="L51">_xll.BDH("CAT US Equity","BS_DERIV_HEDGING_LIAB_ST","FQ4 2020","FQ4 2020","Currency=USD","Period=FQ","BEST_FPERIOD_OVERRIDE=FQ","FILING_STATUS=MR","SCALING_FORMAT=MLN","Sort=A","Dates=H","DateFormat=P","Fill=—","Direction=H","UseDPDF=Y")</f>
        <v>191</v>
      </c>
      <c r="M51" s="13" cm="1">
        <f t="array" ref="M51">_xll.BDH("CAT US Equity","BS_DERIV_HEDGING_LIAB_ST","FQ1 2021","FQ1 2021","Currency=USD","Period=FQ","BEST_FPERIOD_OVERRIDE=FQ","FILING_STATUS=MR","SCALING_FORMAT=MLN","Sort=A","Dates=H","DateFormat=P","Fill=—","Direction=H","UseDPDF=Y")</f>
        <v>158</v>
      </c>
      <c r="N51" s="13" cm="1">
        <f t="array" ref="N51">_xll.BDH("CAT US Equity","BS_DERIV_HEDGING_LIAB_ST","FQ2 2021","FQ2 2021","Currency=USD","Period=FQ","BEST_FPERIOD_OVERRIDE=FQ","FILING_STATUS=MR","SCALING_FORMAT=MLN","Sort=A","Dates=H","DateFormat=P","Fill=—","Direction=H","UseDPDF=Y")</f>
        <v>109</v>
      </c>
      <c r="O51" s="13" cm="1">
        <f t="array" ref="O51">_xll.BDH("CAT US Equity","BS_DERIV_HEDGING_LIAB_ST","FQ3 2021","FQ3 2021","Currency=USD","Period=FQ","BEST_FPERIOD_OVERRIDE=FQ","FILING_STATUS=MR","SCALING_FORMAT=MLN","Sort=A","Dates=H","DateFormat=P","Fill=—","Direction=H","UseDPDF=Y")</f>
        <v>65</v>
      </c>
      <c r="P51" s="13" cm="1">
        <f t="array" ref="P51">_xll.BDH("CAT US Equity","BS_DERIV_HEDGING_LIAB_ST","FQ4 2021","FQ4 2021","Currency=USD","Period=FQ","BEST_FPERIOD_OVERRIDE=FQ","FILING_STATUS=MR","SCALING_FORMAT=MLN","Sort=A","Dates=H","DateFormat=P","Fill=—","Direction=H","UseDPDF=Y")</f>
        <v>83</v>
      </c>
      <c r="Q51" s="13" cm="1">
        <f t="array" ref="Q51">_xll.BDH("CAT US Equity","BS_DERIV_HEDGING_LIAB_ST","FQ1 2022","FQ1 2022","Currency=USD","Period=FQ","BEST_FPERIOD_OVERRIDE=FQ","FILING_STATUS=MR","SCALING_FORMAT=MLN","Sort=A","Dates=H","DateFormat=P","Fill=—","Direction=H","UseDPDF=Y")</f>
        <v>214</v>
      </c>
      <c r="R51" s="13" cm="1">
        <f t="array" ref="R51">_xll.BDH("CAT US Equity","BS_DERIV_HEDGING_LIAB_ST","FQ2 2022","FQ2 2022","Currency=USD","Period=FQ","BEST_FPERIOD_OVERRIDE=FQ","FILING_STATUS=MR","SCALING_FORMAT=MLN","Sort=A","Dates=H","DateFormat=P","Fill=—","Direction=H","UseDPDF=Y")</f>
        <v>452</v>
      </c>
      <c r="S51" s="13" cm="1">
        <f t="array" ref="S51">_xll.BDH("CAT US Equity","BS_DERIV_HEDGING_LIAB_ST","FQ3 2022","FQ3 2022","Currency=USD","Period=FQ","BEST_FPERIOD_OVERRIDE=FQ","FILING_STATUS=MR","SCALING_FORMAT=MLN","Sort=A","Dates=H","DateFormat=P","Fill=—","Direction=H","UseDPDF=Y")</f>
        <v>817</v>
      </c>
      <c r="T51" s="13" cm="1">
        <f t="array" ref="T51">_xll.BDH("CAT US Equity","BS_DERIV_HEDGING_LIAB_ST","FQ4 2022","FQ4 2022","Currency=USD","Period=FQ","BEST_FPERIOD_OVERRIDE=FQ","FILING_STATUS=MR","SCALING_FORMAT=MLN","Sort=A","Dates=H","DateFormat=P","Fill=—","Direction=H","UseDPDF=Y")</f>
        <v>496</v>
      </c>
      <c r="U51" s="13" cm="1">
        <f t="array" ref="U51">_xll.BDH("CAT US Equity","BS_DERIV_HEDGING_LIAB_ST","FQ1 2023","FQ1 2023","Currency=USD","Period=FQ","BEST_FPERIOD_OVERRIDE=FQ","FILING_STATUS=MR","SCALING_FORMAT=MLN","Sort=A","Dates=H","DateFormat=P","Fill=—","Direction=H","UseDPDF=Y")</f>
        <v>404</v>
      </c>
      <c r="V51" s="13" cm="1">
        <f t="array" ref="V51">_xll.BDH("CAT US Equity","BS_DERIV_HEDGING_LIAB_ST","FQ2 2023","FQ2 2023","Currency=USD","Period=FQ","BEST_FPERIOD_OVERRIDE=FQ","FILING_STATUS=MR","SCALING_FORMAT=MLN","Sort=A","Dates=H","DateFormat=P","Fill=—","Direction=H","UseDPDF=Y")</f>
        <v>515</v>
      </c>
      <c r="W51" s="13" cm="1">
        <f t="array" ref="W51">_xll.BDH("CAT US Equity","BS_DERIV_HEDGING_LIAB_ST","FQ3 2023","FQ3 2023","Currency=USD","Period=FQ","BEST_FPERIOD_OVERRIDE=FQ","FILING_STATUS=MR","SCALING_FORMAT=MLN","Sort=A","Dates=H","DateFormat=P","Fill=—","Direction=H","UseDPDF=Y")</f>
        <v>559</v>
      </c>
      <c r="X51" s="13" cm="1">
        <f t="array" ref="X51">_xll.BDH("CAT US Equity","BS_DERIV_HEDGING_LIAB_ST","FQ4 2023","FQ4 2023","Currency=USD","Period=FQ","BEST_FPERIOD_OVERRIDE=FQ","FILING_STATUS=MR","SCALING_FORMAT=MLN","Sort=A","Dates=H","DateFormat=P","Fill=—","Direction=H","UseDPDF=Y")</f>
        <v>455</v>
      </c>
      <c r="Y51" s="13" cm="1">
        <f t="array" ref="Y51">_xll.BDH("CAT US Equity","BS_DERIV_HEDGING_LIAB_ST","FQ1 2024","FQ1 2024","Currency=USD","Period=FQ","BEST_FPERIOD_OVERRIDE=FQ","FILING_STATUS=MR","SCALING_FORMAT=MLN","Sort=A","Dates=H","DateFormat=P","Fill=—","Direction=H","UseDPDF=Y")</f>
        <v>381</v>
      </c>
      <c r="Z51" s="13" cm="1">
        <f t="array" ref="Z51">_xll.BDH("CAT US Equity","BS_DERIV_HEDGING_LIAB_ST","FQ2 2024","FQ2 2024","Currency=USD","Period=FQ","BEST_FPERIOD_OVERRIDE=FQ","FILING_STATUS=MR","SCALING_FORMAT=MLN","Sort=A","Dates=H","DateFormat=P","Fill=—","Direction=H","UseDPDF=Y")</f>
        <v>409</v>
      </c>
      <c r="AA51" s="13" cm="1">
        <f t="array" ref="AA51">_xll.BDH("CAT US Equity","BS_DERIV_HEDGING_LIAB_ST","FQ3 2024","FQ3 2024","Currency=USD","Period=FQ","BEST_FPERIOD_OVERRIDE=FQ","FILING_STATUS=MR","SCALING_FORMAT=MLN","Sort=A","Dates=H","DateFormat=P","Fill=—","Direction=H","UseDPDF=Y")</f>
        <v>520</v>
      </c>
      <c r="AB51" s="13" cm="1">
        <f t="array" ref="AB51">_xll.BDH("CAT US Equity","BS_DERIV_HEDGING_LIAB_ST","FQ4 2024","FQ4 2024","Currency=USD","Period=FQ","BEST_FPERIOD_OVERRIDE=FQ","FILING_STATUS=MR","SCALING_FORMAT=MLN","Sort=A","Dates=H","DateFormat=P","Fill=—","Direction=H","UseDPDF=Y")</f>
        <v>571</v>
      </c>
      <c r="AC51" s="13" cm="1">
        <f t="array" ref="AC51">_xll.BDH("CAT US Equity","BS_DERIV_HEDGING_LIAB_ST","FQ1 2025","FQ1 2025","Currency=USD","Period=FQ","BEST_FPERIOD_OVERRIDE=FQ","FILING_STATUS=MR","SCALING_FORMAT=MLN","Sort=A","Dates=H","DateFormat=P","Fill=—","Direction=H","UseDPDF=Y")</f>
        <v>372</v>
      </c>
      <c r="AD51" s="13" cm="1">
        <f t="array" ref="AD51">_xll.BDH("CAT US Equity","BS_DERIV_HEDGING_LIAB_ST","FQ2 2025","FQ2 2025","Currency=USD","Period=FQ","BEST_FPERIOD_OVERRIDE=FQ","FILING_STATUS=MR","SCALING_FORMAT=MLN","Sort=A","Dates=H","DateFormat=P","Fill=—","Direction=H","UseDPDF=Y")</f>
        <v>439</v>
      </c>
      <c r="AE51" s="13" cm="1">
        <f t="array" ref="AE51">_xll.BDH("CAT US Equity","BS_DERIV_HEDGING_LIAB_ST","FQ3 2025","FQ3 2025","Currency=USD","Period=FQ","BEST_FPERIOD_OVERRIDE=FQ","FILING_STATUS=MR","SCALING_FORMAT=MLN","Sort=A","Dates=H","DateFormat=P","Fill=—","Direction=H","UseDPDF=Y")</f>
        <v>312</v>
      </c>
      <c r="AF51" s="13" cm="1">
        <f t="array" ref="AF51">_xll.BDH("CAT US Equity","BS_DERIV_HEDGING_LIAB_ST","FQ4 2025","FQ4 2025","Currency=USD","Period=FQ","BEST_FPERIOD_OVERRIDE=FQ","FILING_STATUS=MR","SCALING_FORMAT=MLN","Sort=A","Dates=H","DateFormat=P","Fill=—","Direction=H","UseDPDF=Y")</f>
        <v>325</v>
      </c>
    </row>
    <row r="52" spans="1:32" x14ac:dyDescent="0.25">
      <c r="A52" s="10" t="s">
        <v>151</v>
      </c>
      <c r="B52" s="10" t="s">
        <v>152</v>
      </c>
      <c r="C52" s="13" cm="1">
        <f t="array" ref="C52">_xll.BDH("CAT US Equity","OTHER_CURRENT_LIABS_DETAILED","FQ3 2018","FQ3 2018","Currency=USD","Period=FQ","BEST_FPERIOD_OVERRIDE=FQ","FILING_STATUS=MR","SCALING_FORMAT=MLN","Sort=A","Dates=H","DateFormat=P","Fill=—","Direction=H","UseDPDF=Y")</f>
        <v>3358</v>
      </c>
      <c r="D52" s="13" cm="1">
        <f t="array" ref="D52">_xll.BDH("CAT US Equity","OTHER_CURRENT_LIABS_DETAILED","FQ4 2018","FQ4 2018","Currency=USD","Period=FQ","BEST_FPERIOD_OVERRIDE=FQ","FILING_STATUS=MR","SCALING_FORMAT=MLN","Sort=A","Dates=H","DateFormat=P","Fill=—","Direction=H","UseDPDF=Y")</f>
        <v>3162</v>
      </c>
      <c r="E52" s="13" cm="1">
        <f t="array" ref="E52">_xll.BDH("CAT US Equity","OTHER_CURRENT_LIABS_DETAILED","FQ1 2019","FQ1 2019","Currency=USD","Period=FQ","BEST_FPERIOD_OVERRIDE=FQ","FILING_STATUS=MR","SCALING_FORMAT=MLN","Sort=A","Dates=H","DateFormat=P","Fill=—","Direction=H","UseDPDF=Y")</f>
        <v>3514</v>
      </c>
      <c r="F52" s="13" cm="1">
        <f t="array" ref="F52">_xll.BDH("CAT US Equity","OTHER_CURRENT_LIABS_DETAILED","FQ2 2019","FQ2 2019","Currency=USD","Period=FQ","BEST_FPERIOD_OVERRIDE=FQ","FILING_STATUS=MR","SCALING_FORMAT=MLN","Sort=A","Dates=H","DateFormat=P","Fill=—","Direction=H","UseDPDF=Y")</f>
        <v>3233</v>
      </c>
      <c r="G52" s="13" cm="1">
        <f t="array" ref="G52">_xll.BDH("CAT US Equity","OTHER_CURRENT_LIABS_DETAILED","FQ3 2019","FQ3 2019","Currency=USD","Period=FQ","BEST_FPERIOD_OVERRIDE=FQ","FILING_STATUS=MR","SCALING_FORMAT=MLN","Sort=A","Dates=H","DateFormat=P","Fill=—","Direction=H","UseDPDF=Y")</f>
        <v>3319</v>
      </c>
      <c r="H52" s="13" cm="1">
        <f t="array" ref="H52">_xll.BDH("CAT US Equity","OTHER_CURRENT_LIABS_DETAILED","FQ4 2019","FQ4 2019","Currency=USD","Period=FQ","BEST_FPERIOD_OVERRIDE=FQ","FILING_STATUS=MR","SCALING_FORMAT=MLN","Sort=A","Dates=H","DateFormat=P","Fill=—","Direction=H","UseDPDF=Y")</f>
        <v>3169</v>
      </c>
      <c r="I52" s="13" cm="1">
        <f t="array" ref="I52">_xll.BDH("CAT US Equity","OTHER_CURRENT_LIABS_DETAILED","FQ1 2020","FQ1 2020","Currency=USD","Period=FQ","BEST_FPERIOD_OVERRIDE=FQ","FILING_STATUS=MR","SCALING_FORMAT=MLN","Sort=A","Dates=H","DateFormat=P","Fill=—","Direction=H","UseDPDF=Y")</f>
        <v>3369</v>
      </c>
      <c r="J52" s="13" cm="1">
        <f t="array" ref="J52">_xll.BDH("CAT US Equity","OTHER_CURRENT_LIABS_DETAILED","FQ2 2020","FQ2 2020","Currency=USD","Period=FQ","BEST_FPERIOD_OVERRIDE=FQ","FILING_STATUS=MR","SCALING_FORMAT=MLN","Sort=A","Dates=H","DateFormat=P","Fill=—","Direction=H","UseDPDF=Y")</f>
        <v>3370</v>
      </c>
      <c r="K52" s="13" cm="1">
        <f t="array" ref="K52">_xll.BDH("CAT US Equity","OTHER_CURRENT_LIABS_DETAILED","FQ3 2020","FQ3 2020","Currency=USD","Period=FQ","BEST_FPERIOD_OVERRIDE=FQ","FILING_STATUS=MR","SCALING_FORMAT=MLN","Sort=A","Dates=H","DateFormat=P","Fill=—","Direction=H","UseDPDF=Y")</f>
        <v>3187</v>
      </c>
      <c r="L52" s="13" cm="1">
        <f t="array" ref="L52">_xll.BDH("CAT US Equity","OTHER_CURRENT_LIABS_DETAILED","FQ4 2020","FQ4 2020","Currency=USD","Period=FQ","BEST_FPERIOD_OVERRIDE=FQ","FILING_STATUS=MR","SCALING_FORMAT=MLN","Sort=A","Dates=H","DateFormat=P","Fill=—","Direction=H","UseDPDF=Y")</f>
        <v>2962</v>
      </c>
      <c r="M52" s="13" cm="1">
        <f t="array" ref="M52">_xll.BDH("CAT US Equity","OTHER_CURRENT_LIABS_DETAILED","FQ1 2021","FQ1 2021","Currency=USD","Period=FQ","BEST_FPERIOD_OVERRIDE=FQ","FILING_STATUS=MR","SCALING_FORMAT=MLN","Sort=A","Dates=H","DateFormat=P","Fill=—","Direction=H","UseDPDF=Y")</f>
        <v>3203</v>
      </c>
      <c r="N52" s="13" cm="1">
        <f t="array" ref="N52">_xll.BDH("CAT US Equity","OTHER_CURRENT_LIABS_DETAILED","FQ2 2021","FQ2 2021","Currency=USD","Period=FQ","BEST_FPERIOD_OVERRIDE=FQ","FILING_STATUS=MR","SCALING_FORMAT=MLN","Sort=A","Dates=H","DateFormat=P","Fill=—","Direction=H","UseDPDF=Y")</f>
        <v>3283</v>
      </c>
      <c r="O52" s="13" cm="1">
        <f t="array" ref="O52">_xll.BDH("CAT US Equity","OTHER_CURRENT_LIABS_DETAILED","FQ3 2021","FQ3 2021","Currency=USD","Period=FQ","BEST_FPERIOD_OVERRIDE=FQ","FILING_STATUS=MR","SCALING_FORMAT=MLN","Sort=A","Dates=H","DateFormat=P","Fill=—","Direction=H","UseDPDF=Y")</f>
        <v>3474</v>
      </c>
      <c r="P52" s="13" cm="1">
        <f t="array" ref="P52">_xll.BDH("CAT US Equity","OTHER_CURRENT_LIABS_DETAILED","FQ4 2021","FQ4 2021","Currency=USD","Period=FQ","BEST_FPERIOD_OVERRIDE=FQ","FILING_STATUS=MR","SCALING_FORMAT=MLN","Sort=A","Dates=H","DateFormat=P","Fill=—","Direction=H","UseDPDF=Y")</f>
        <v>3185</v>
      </c>
      <c r="Q52" s="13" cm="1">
        <f t="array" ref="Q52">_xll.BDH("CAT US Equity","OTHER_CURRENT_LIABS_DETAILED","FQ1 2022","FQ1 2022","Currency=USD","Period=FQ","BEST_FPERIOD_OVERRIDE=FQ","FILING_STATUS=MR","SCALING_FORMAT=MLN","Sort=A","Dates=H","DateFormat=P","Fill=—","Direction=H","UseDPDF=Y")</f>
        <v>3743</v>
      </c>
      <c r="R52" s="13" cm="1">
        <f t="array" ref="R52">_xll.BDH("CAT US Equity","OTHER_CURRENT_LIABS_DETAILED","FQ2 2022","FQ2 2022","Currency=USD","Period=FQ","BEST_FPERIOD_OVERRIDE=FQ","FILING_STATUS=MR","SCALING_FORMAT=MLN","Sort=A","Dates=H","DateFormat=P","Fill=—","Direction=H","UseDPDF=Y")</f>
        <v>3941</v>
      </c>
      <c r="S52" s="13" cm="1">
        <f t="array" ref="S52">_xll.BDH("CAT US Equity","OTHER_CURRENT_LIABS_DETAILED","FQ3 2022","FQ3 2022","Currency=USD","Period=FQ","BEST_FPERIOD_OVERRIDE=FQ","FILING_STATUS=MR","SCALING_FORMAT=MLN","Sort=A","Dates=H","DateFormat=P","Fill=—","Direction=H","UseDPDF=Y")</f>
        <v>4709</v>
      </c>
      <c r="T52" s="13" cm="1">
        <f t="array" ref="T52">_xll.BDH("CAT US Equity","OTHER_CURRENT_LIABS_DETAILED","FQ4 2022","FQ4 2022","Currency=USD","Period=FQ","BEST_FPERIOD_OVERRIDE=FQ","FILING_STATUS=MR","SCALING_FORMAT=MLN","Sort=A","Dates=H","DateFormat=P","Fill=—","Direction=H","UseDPDF=Y")</f>
        <v>3903</v>
      </c>
      <c r="U52" s="13" cm="1">
        <f t="array" ref="U52">_xll.BDH("CAT US Equity","OTHER_CURRENT_LIABS_DETAILED","FQ1 2023","FQ1 2023","Currency=USD","Period=FQ","BEST_FPERIOD_OVERRIDE=FQ","FILING_STATUS=MR","SCALING_FORMAT=MLN","Sort=A","Dates=H","DateFormat=P","Fill=—","Direction=H","UseDPDF=Y")</f>
        <v>4833</v>
      </c>
      <c r="V52" s="13" cm="1">
        <f t="array" ref="V52">_xll.BDH("CAT US Equity","OTHER_CURRENT_LIABS_DETAILED","FQ2 2023","FQ2 2023","Currency=USD","Period=FQ","BEST_FPERIOD_OVERRIDE=FQ","FILING_STATUS=MR","SCALING_FORMAT=MLN","Sort=A","Dates=H","DateFormat=P","Fill=—","Direction=H","UseDPDF=Y")</f>
        <v>4731</v>
      </c>
      <c r="W52" s="13" cm="1">
        <f t="array" ref="W52">_xll.BDH("CAT US Equity","OTHER_CURRENT_LIABS_DETAILED","FQ3 2023","FQ3 2023","Currency=USD","Period=FQ","BEST_FPERIOD_OVERRIDE=FQ","FILING_STATUS=MR","SCALING_FORMAT=MLN","Sort=A","Dates=H","DateFormat=P","Fill=—","Direction=H","UseDPDF=Y")</f>
        <v>4889</v>
      </c>
      <c r="X52" s="13" cm="1">
        <f t="array" ref="X52">_xll.BDH("CAT US Equity","OTHER_CURRENT_LIABS_DETAILED","FQ4 2023","FQ4 2023","Currency=USD","Period=FQ","BEST_FPERIOD_OVERRIDE=FQ","FILING_STATUS=MR","SCALING_FORMAT=MLN","Sort=A","Dates=H","DateFormat=P","Fill=—","Direction=H","UseDPDF=Y")</f>
        <v>4450</v>
      </c>
      <c r="Y52" s="13" cm="1">
        <f t="array" ref="Y52">_xll.BDH("CAT US Equity","OTHER_CURRENT_LIABS_DETAILED","FQ1 2024","FQ1 2024","Currency=USD","Period=FQ","BEST_FPERIOD_OVERRIDE=FQ","FILING_STATUS=MR","SCALING_FORMAT=MLN","Sort=A","Dates=H","DateFormat=P","Fill=—","Direction=H","UseDPDF=Y")</f>
        <v>5078</v>
      </c>
      <c r="Z52" s="13" cm="1">
        <f t="array" ref="Z52">_xll.BDH("CAT US Equity","OTHER_CURRENT_LIABS_DETAILED","FQ2 2024","FQ2 2024","Currency=USD","Period=FQ","BEST_FPERIOD_OVERRIDE=FQ","FILING_STATUS=MR","SCALING_FORMAT=MLN","Sort=A","Dates=H","DateFormat=P","Fill=—","Direction=H","UseDPDF=Y")</f>
        <v>4797</v>
      </c>
      <c r="AA52" s="13" cm="1">
        <f t="array" ref="AA52">_xll.BDH("CAT US Equity","OTHER_CURRENT_LIABS_DETAILED","FQ3 2024","FQ3 2024","Currency=USD","Period=FQ","BEST_FPERIOD_OVERRIDE=FQ","FILING_STATUS=MR","SCALING_FORMAT=MLN","Sort=A","Dates=H","DateFormat=P","Fill=—","Direction=H","UseDPDF=Y")</f>
        <v>4818</v>
      </c>
      <c r="AB52" s="13" cm="1">
        <f t="array" ref="AB52">_xll.BDH("CAT US Equity","OTHER_CURRENT_LIABS_DETAILED","FQ4 2024","FQ4 2024","Currency=USD","Period=FQ","BEST_FPERIOD_OVERRIDE=FQ","FILING_STATUS=MR","SCALING_FORMAT=MLN","Sort=A","Dates=H","DateFormat=P","Fill=—","Direction=H","UseDPDF=Y")</f>
        <v>4517</v>
      </c>
      <c r="AC52" s="13" cm="1">
        <f t="array" ref="AC52">_xll.BDH("CAT US Equity","OTHER_CURRENT_LIABS_DETAILED","FQ1 2025","FQ1 2025","Currency=USD","Period=FQ","BEST_FPERIOD_OVERRIDE=FQ","FILING_STATUS=MR","SCALING_FORMAT=MLN","Sort=A","Dates=H","DateFormat=P","Fill=—","Direction=H","UseDPDF=Y")</f>
        <v>5413</v>
      </c>
      <c r="AD52" s="13" cm="1">
        <f t="array" ref="AD52">_xll.BDH("CAT US Equity","OTHER_CURRENT_LIABS_DETAILED","FQ2 2025","FQ2 2025","Currency=USD","Period=FQ","BEST_FPERIOD_OVERRIDE=FQ","FILING_STATUS=MR","SCALING_FORMAT=MLN","Sort=A","Dates=H","DateFormat=P","Fill=—","Direction=H","UseDPDF=Y")</f>
        <v>5600</v>
      </c>
      <c r="AE52" s="13" cm="1">
        <f t="array" ref="AE52">_xll.BDH("CAT US Equity","OTHER_CURRENT_LIABS_DETAILED","FQ3 2025","FQ3 2025","Currency=USD","Period=FQ","BEST_FPERIOD_OVERRIDE=FQ","FILING_STATUS=MR","SCALING_FORMAT=MLN","Sort=A","Dates=H","DateFormat=P","Fill=—","Direction=H","UseDPDF=Y")</f>
        <v>5839</v>
      </c>
      <c r="AF52" s="13" cm="1">
        <f t="array" ref="AF52">_xll.BDH("CAT US Equity","OTHER_CURRENT_LIABS_DETAILED","FQ4 2025","FQ4 2025","Currency=USD","Period=FQ","BEST_FPERIOD_OVERRIDE=FQ","FILING_STATUS=MR","SCALING_FORMAT=MLN","Sort=A","Dates=H","DateFormat=P","Fill=—","Direction=H","UseDPDF=Y")</f>
        <v>5629</v>
      </c>
    </row>
    <row r="53" spans="1:32" x14ac:dyDescent="0.25">
      <c r="A53" s="6" t="s">
        <v>153</v>
      </c>
      <c r="B53" s="6" t="s">
        <v>154</v>
      </c>
      <c r="C53" s="16" cm="1">
        <f t="array" ref="C53">_xll.BDH("CAT US Equity","BS_CUR_LIAB","FQ3 2018","FQ3 2018","Currency=USD","Period=FQ","BEST_FPERIOD_OVERRIDE=FQ","FILING_STATUS=MR","SCALING_FORMAT=MLN","Sort=A","Dates=H","DateFormat=P","Fill=—","Direction=H","UseDPDF=Y")</f>
        <v>26033</v>
      </c>
      <c r="D53" s="16" cm="1">
        <f t="array" ref="D53">_xll.BDH("CAT US Equity","BS_CUR_LIAB","FQ4 2018","FQ4 2018","Currency=USD","Period=FQ","BEST_FPERIOD_OVERRIDE=FQ","FILING_STATUS=MR","SCALING_FORMAT=MLN","Sort=A","Dates=H","DateFormat=P","Fill=—","Direction=H","UseDPDF=Y")</f>
        <v>28218</v>
      </c>
      <c r="E53" s="16" cm="1">
        <f t="array" ref="E53">_xll.BDH("CAT US Equity","BS_CUR_LIAB","FQ1 2019","FQ1 2019","Currency=USD","Period=FQ","BEST_FPERIOD_OVERRIDE=FQ","FILING_STATUS=MR","SCALING_FORMAT=MLN","Sort=A","Dates=H","DateFormat=P","Fill=—","Direction=H","UseDPDF=Y")</f>
        <v>27388</v>
      </c>
      <c r="F53" s="16" cm="1">
        <f t="array" ref="F53">_xll.BDH("CAT US Equity","BS_CUR_LIAB","FQ2 2019","FQ2 2019","Currency=USD","Period=FQ","BEST_FPERIOD_OVERRIDE=FQ","FILING_STATUS=MR","SCALING_FORMAT=MLN","Sort=A","Dates=H","DateFormat=P","Fill=—","Direction=H","UseDPDF=Y")</f>
        <v>27735</v>
      </c>
      <c r="G53" s="16" cm="1">
        <f t="array" ref="G53">_xll.BDH("CAT US Equity","BS_CUR_LIAB","FQ3 2019","FQ3 2019","Currency=USD","Period=FQ","BEST_FPERIOD_OVERRIDE=FQ","FILING_STATUS=MR","SCALING_FORMAT=MLN","Sort=A","Dates=H","DateFormat=P","Fill=—","Direction=H","UseDPDF=Y")</f>
        <v>27201</v>
      </c>
      <c r="H53" s="16" cm="1">
        <f t="array" ref="H53">_xll.BDH("CAT US Equity","BS_CUR_LIAB","FQ4 2019","FQ4 2019","Currency=USD","Period=FQ","BEST_FPERIOD_OVERRIDE=FQ","FILING_STATUS=MR","SCALING_FORMAT=MLN","Sort=A","Dates=H","DateFormat=P","Fill=—","Direction=H","UseDPDF=Y")</f>
        <v>26621</v>
      </c>
      <c r="I53" s="16" cm="1">
        <f t="array" ref="I53">_xll.BDH("CAT US Equity","BS_CUR_LIAB","FQ1 2020","FQ1 2020","Currency=USD","Period=FQ","BEST_FPERIOD_OVERRIDE=FQ","FILING_STATUS=MR","SCALING_FORMAT=MLN","Sort=A","Dates=H","DateFormat=P","Fill=—","Direction=H","UseDPDF=Y")</f>
        <v>26516</v>
      </c>
      <c r="J53" s="16" cm="1">
        <f t="array" ref="J53">_xll.BDH("CAT US Equity","BS_CUR_LIAB","FQ2 2020","FQ2 2020","Currency=USD","Period=FQ","BEST_FPERIOD_OVERRIDE=FQ","FILING_STATUS=MR","SCALING_FORMAT=MLN","Sort=A","Dates=H","DateFormat=P","Fill=—","Direction=H","UseDPDF=Y")</f>
        <v>25231</v>
      </c>
      <c r="K53" s="16" cm="1">
        <f t="array" ref="K53">_xll.BDH("CAT US Equity","BS_CUR_LIAB","FQ3 2020","FQ3 2020","Currency=USD","Period=FQ","BEST_FPERIOD_OVERRIDE=FQ","FILING_STATUS=MR","SCALING_FORMAT=MLN","Sort=A","Dates=H","DateFormat=P","Fill=—","Direction=H","UseDPDF=Y")</f>
        <v>24978</v>
      </c>
      <c r="L53" s="16" cm="1">
        <f t="array" ref="L53">_xll.BDH("CAT US Equity","BS_CUR_LIAB","FQ4 2020","FQ4 2020","Currency=USD","Period=FQ","BEST_FPERIOD_OVERRIDE=FQ","FILING_STATUS=MR","SCALING_FORMAT=MLN","Sort=A","Dates=H","DateFormat=P","Fill=—","Direction=H","UseDPDF=Y")</f>
        <v>25717</v>
      </c>
      <c r="M53" s="16" cm="1">
        <f t="array" ref="M53">_xll.BDH("CAT US Equity","BS_CUR_LIAB","FQ1 2021","FQ1 2021","Currency=USD","Period=FQ","BEST_FPERIOD_OVERRIDE=FQ","FILING_STATUS=MR","SCALING_FORMAT=MLN","Sort=A","Dates=H","DateFormat=P","Fill=—","Direction=H","UseDPDF=Y")</f>
        <v>26578</v>
      </c>
      <c r="N53" s="16" cm="1">
        <f t="array" ref="N53">_xll.BDH("CAT US Equity","BS_CUR_LIAB","FQ2 2021","FQ2 2021","Currency=USD","Period=FQ","BEST_FPERIOD_OVERRIDE=FQ","FILING_STATUS=MR","SCALING_FORMAT=MLN","Sort=A","Dates=H","DateFormat=P","Fill=—","Direction=H","UseDPDF=Y")</f>
        <v>27508</v>
      </c>
      <c r="O53" s="16" cm="1">
        <f t="array" ref="O53">_xll.BDH("CAT US Equity","BS_CUR_LIAB","FQ3 2021","FQ3 2021","Currency=USD","Period=FQ","BEST_FPERIOD_OVERRIDE=FQ","FILING_STATUS=MR","SCALING_FORMAT=MLN","Sort=A","Dates=H","DateFormat=P","Fill=—","Direction=H","UseDPDF=Y")</f>
        <v>25976</v>
      </c>
      <c r="P53" s="16" cm="1">
        <f t="array" ref="P53">_xll.BDH("CAT US Equity","BS_CUR_LIAB","FQ4 2021","FQ4 2021","Currency=USD","Period=FQ","BEST_FPERIOD_OVERRIDE=FQ","FILING_STATUS=MR","SCALING_FORMAT=MLN","Sort=A","Dates=H","DateFormat=P","Fill=—","Direction=H","UseDPDF=Y")</f>
        <v>29847</v>
      </c>
      <c r="Q53" s="16" cm="1">
        <f t="array" ref="Q53">_xll.BDH("CAT US Equity","BS_CUR_LIAB","FQ1 2022","FQ1 2022","Currency=USD","Period=FQ","BEST_FPERIOD_OVERRIDE=FQ","FILING_STATUS=MR","SCALING_FORMAT=MLN","Sort=A","Dates=H","DateFormat=P","Fill=—","Direction=H","UseDPDF=Y")</f>
        <v>29532</v>
      </c>
      <c r="R53" s="16" cm="1">
        <f t="array" ref="R53">_xll.BDH("CAT US Equity","BS_CUR_LIAB","FQ2 2022","FQ2 2022","Currency=USD","Period=FQ","BEST_FPERIOD_OVERRIDE=FQ","FILING_STATUS=MR","SCALING_FORMAT=MLN","Sort=A","Dates=H","DateFormat=P","Fill=—","Direction=H","UseDPDF=Y")</f>
        <v>28963</v>
      </c>
      <c r="S53" s="16" cm="1">
        <f t="array" ref="S53">_xll.BDH("CAT US Equity","BS_CUR_LIAB","FQ3 2022","FQ3 2022","Currency=USD","Period=FQ","BEST_FPERIOD_OVERRIDE=FQ","FILING_STATUS=MR","SCALING_FORMAT=MLN","Sort=A","Dates=H","DateFormat=P","Fill=—","Direction=H","UseDPDF=Y")</f>
        <v>30202</v>
      </c>
      <c r="T53" s="16" cm="1">
        <f t="array" ref="T53">_xll.BDH("CAT US Equity","BS_CUR_LIAB","FQ4 2022","FQ4 2022","Currency=USD","Period=FQ","BEST_FPERIOD_OVERRIDE=FQ","FILING_STATUS=MR","SCALING_FORMAT=MLN","Sort=A","Dates=H","DateFormat=P","Fill=—","Direction=H","UseDPDF=Y")</f>
        <v>31531</v>
      </c>
      <c r="U53" s="16" cm="1">
        <f t="array" ref="U53">_xll.BDH("CAT US Equity","BS_CUR_LIAB","FQ1 2023","FQ1 2023","Currency=USD","Period=FQ","BEST_FPERIOD_OVERRIDE=FQ","FILING_STATUS=MR","SCALING_FORMAT=MLN","Sort=A","Dates=H","DateFormat=P","Fill=—","Direction=H","UseDPDF=Y")</f>
        <v>31842</v>
      </c>
      <c r="V53" s="16" cm="1">
        <f t="array" ref="V53">_xll.BDH("CAT US Equity","BS_CUR_LIAB","FQ2 2023","FQ2 2023","Currency=USD","Period=FQ","BEST_FPERIOD_OVERRIDE=FQ","FILING_STATUS=MR","SCALING_FORMAT=MLN","Sort=A","Dates=H","DateFormat=P","Fill=—","Direction=H","UseDPDF=Y")</f>
        <v>35314</v>
      </c>
      <c r="W53" s="16" cm="1">
        <f t="array" ref="W53">_xll.BDH("CAT US Equity","BS_CUR_LIAB","FQ3 2023","FQ3 2023","Currency=USD","Period=FQ","BEST_FPERIOD_OVERRIDE=FQ","FILING_STATUS=MR","SCALING_FORMAT=MLN","Sort=A","Dates=H","DateFormat=P","Fill=—","Direction=H","UseDPDF=Y")</f>
        <v>33124</v>
      </c>
      <c r="X53" s="16" cm="1">
        <f t="array" ref="X53">_xll.BDH("CAT US Equity","BS_CUR_LIAB","FQ4 2023","FQ4 2023","Currency=USD","Period=FQ","BEST_FPERIOD_OVERRIDE=FQ","FILING_STATUS=MR","SCALING_FORMAT=MLN","Sort=A","Dates=H","DateFormat=P","Fill=—","Direction=H","UseDPDF=Y")</f>
        <v>34728</v>
      </c>
      <c r="Y53" s="16" cm="1">
        <f t="array" ref="Y53">_xll.BDH("CAT US Equity","BS_CUR_LIAB","FQ1 2024","FQ1 2024","Currency=USD","Period=FQ","BEST_FPERIOD_OVERRIDE=FQ","FILING_STATUS=MR","SCALING_FORMAT=MLN","Sort=A","Dates=H","DateFormat=P","Fill=—","Direction=H","UseDPDF=Y")</f>
        <v>32371</v>
      </c>
      <c r="Z53" s="16" cm="1">
        <f t="array" ref="Z53">_xll.BDH("CAT US Equity","BS_CUR_LIAB","FQ2 2024","FQ2 2024","Currency=USD","Period=FQ","BEST_FPERIOD_OVERRIDE=FQ","FILING_STATUS=MR","SCALING_FORMAT=MLN","Sort=A","Dates=H","DateFormat=P","Fill=—","Direction=H","UseDPDF=Y")</f>
        <v>33564</v>
      </c>
      <c r="AA53" s="16" cm="1">
        <f t="array" ref="AA53">_xll.BDH("CAT US Equity","BS_CUR_LIAB","FQ3 2024","FQ3 2024","Currency=USD","Period=FQ","BEST_FPERIOD_OVERRIDE=FQ","FILING_STATUS=MR","SCALING_FORMAT=MLN","Sort=A","Dates=H","DateFormat=P","Fill=—","Direction=H","UseDPDF=Y")</f>
        <v>32218</v>
      </c>
      <c r="AB53" s="16" cm="1">
        <f t="array" ref="AB53">_xll.BDH("CAT US Equity","BS_CUR_LIAB","FQ4 2024","FQ4 2024","Currency=USD","Period=FQ","BEST_FPERIOD_OVERRIDE=FQ","FILING_STATUS=MR","SCALING_FORMAT=MLN","Sort=A","Dates=H","DateFormat=P","Fill=—","Direction=H","UseDPDF=Y")</f>
        <v>32272</v>
      </c>
      <c r="AC53" s="16" cm="1">
        <f t="array" ref="AC53">_xll.BDH("CAT US Equity","BS_CUR_LIAB","FQ1 2025","FQ1 2025","Currency=USD","Period=FQ","BEST_FPERIOD_OVERRIDE=FQ","FILING_STATUS=MR","SCALING_FORMAT=MLN","Sort=A","Dates=H","DateFormat=P","Fill=—","Direction=H","UseDPDF=Y")</f>
        <v>32595</v>
      </c>
      <c r="AD53" s="16" cm="1">
        <f t="array" ref="AD53">_xll.BDH("CAT US Equity","BS_CUR_LIAB","FQ2 2025","FQ2 2025","Currency=USD","Period=FQ","BEST_FPERIOD_OVERRIDE=FQ","FILING_STATUS=MR","SCALING_FORMAT=MLN","Sort=A","Dates=H","DateFormat=P","Fill=—","Direction=H","UseDPDF=Y")</f>
        <v>34934</v>
      </c>
      <c r="AE53" s="16" cm="1">
        <f t="array" ref="AE53">_xll.BDH("CAT US Equity","BS_CUR_LIAB","FQ3 2025","FQ3 2025","Currency=USD","Period=FQ","BEST_FPERIOD_OVERRIDE=FQ","FILING_STATUS=MR","SCALING_FORMAT=MLN","Sort=A","Dates=H","DateFormat=P","Fill=—","Direction=H","UseDPDF=Y")</f>
        <v>35991</v>
      </c>
      <c r="AF53" s="16" cm="1">
        <f t="array" ref="AF53">_xll.BDH("CAT US Equity","BS_CUR_LIAB","FQ4 2025","FQ4 2025","Currency=USD","Period=FQ","BEST_FPERIOD_OVERRIDE=FQ","FILING_STATUS=MR","SCALING_FORMAT=MLN","Sort=A","Dates=H","DateFormat=P","Fill=—","Direction=H","UseDPDF=Y")</f>
        <v>36558</v>
      </c>
    </row>
    <row r="54" spans="1:32" x14ac:dyDescent="0.25">
      <c r="A54" s="10" t="s">
        <v>155</v>
      </c>
      <c r="B54" s="10" t="s">
        <v>156</v>
      </c>
      <c r="C54" s="13" cm="1">
        <f t="array" ref="C54">_xll.BDH("CAT US Equity","BS_LT_BORROW","FQ3 2018","FQ3 2018","Currency=USD","Period=FQ","BEST_FPERIOD_OVERRIDE=FQ","FILING_STATUS=MR","SCALING_FORMAT=MLN","Sort=A","Dates=H","DateFormat=P","Fill=—","Direction=H","UseDPDF=Y")</f>
        <v>25441</v>
      </c>
      <c r="D54" s="13" cm="1">
        <f t="array" ref="D54">_xll.BDH("CAT US Equity","BS_LT_BORROW","FQ4 2018","FQ4 2018","Currency=USD","Period=FQ","BEST_FPERIOD_OVERRIDE=FQ","FILING_STATUS=MR","SCALING_FORMAT=MLN","Sort=A","Dates=H","DateFormat=P","Fill=—","Direction=H","UseDPDF=Y")</f>
        <v>25000</v>
      </c>
      <c r="E54" s="13" cm="1">
        <f t="array" ref="E54">_xll.BDH("CAT US Equity","BS_LT_BORROW","FQ1 2019","FQ1 2019","Currency=USD","Period=FQ","BEST_FPERIOD_OVERRIDE=FQ","FILING_STATUS=MR","SCALING_FORMAT=MLN","Sort=A","Dates=H","DateFormat=P","Fill=—","Direction=H","UseDPDF=Y")</f>
        <v>24753</v>
      </c>
      <c r="F54" s="13" cm="1">
        <f t="array" ref="F54">_xll.BDH("CAT US Equity","BS_LT_BORROW","FQ2 2019","FQ2 2019","Currency=USD","Period=FQ","BEST_FPERIOD_OVERRIDE=FQ","FILING_STATUS=MR","SCALING_FORMAT=MLN","Sort=A","Dates=H","DateFormat=P","Fill=—","Direction=H","UseDPDF=Y")</f>
        <v>25244</v>
      </c>
      <c r="G54" s="13" cm="1">
        <f t="array" ref="G54">_xll.BDH("CAT US Equity","BS_LT_BORROW","FQ3 2019","FQ3 2019","Currency=USD","Period=FQ","BEST_FPERIOD_OVERRIDE=FQ","FILING_STATUS=MR","SCALING_FORMAT=MLN","Sort=A","Dates=H","DateFormat=P","Fill=—","Direction=H","UseDPDF=Y")</f>
        <v>26050</v>
      </c>
      <c r="H54" s="13" cm="1">
        <f t="array" ref="H54">_xll.BDH("CAT US Equity","BS_LT_BORROW","FQ4 2019","FQ4 2019","Currency=USD","Period=FQ","BEST_FPERIOD_OVERRIDE=FQ","FILING_STATUS=MR","SCALING_FORMAT=MLN","Sort=A","Dates=H","DateFormat=P","Fill=—","Direction=H","UseDPDF=Y")</f>
        <v>26742</v>
      </c>
      <c r="I54" s="13" cm="1">
        <f t="array" ref="I54">_xll.BDH("CAT US Equity","BS_LT_BORROW","FQ1 2020","FQ1 2020","Currency=USD","Period=FQ","BEST_FPERIOD_OVERRIDE=FQ","FILING_STATUS=MR","SCALING_FORMAT=MLN","Sort=A","Dates=H","DateFormat=P","Fill=—","Direction=H","UseDPDF=Y")</f>
        <v>24369</v>
      </c>
      <c r="J54" s="13" cm="1">
        <f t="array" ref="J54">_xll.BDH("CAT US Equity","BS_LT_BORROW","FQ2 2020","FQ2 2020","Currency=USD","Period=FQ","BEST_FPERIOD_OVERRIDE=FQ","FILING_STATUS=MR","SCALING_FORMAT=MLN","Sort=A","Dates=H","DateFormat=P","Fill=—","Direction=H","UseDPDF=Y")</f>
        <v>26907</v>
      </c>
      <c r="K54" s="13" cm="1">
        <f t="array" ref="K54">_xll.BDH("CAT US Equity","BS_LT_BORROW","FQ3 2020","FQ3 2020","Currency=USD","Period=FQ","BEST_FPERIOD_OVERRIDE=FQ","FILING_STATUS=MR","SCALING_FORMAT=MLN","Sort=A","Dates=H","DateFormat=P","Fill=—","Direction=H","UseDPDF=Y")</f>
        <v>26107</v>
      </c>
      <c r="L54" s="13" cm="1">
        <f t="array" ref="L54">_xll.BDH("CAT US Equity","BS_LT_BORROW","FQ4 2020","FQ4 2020","Currency=USD","Period=FQ","BEST_FPERIOD_OVERRIDE=FQ","FILING_STATUS=MR","SCALING_FORMAT=MLN","Sort=A","Dates=H","DateFormat=P","Fill=—","Direction=H","UseDPDF=Y")</f>
        <v>26456</v>
      </c>
      <c r="M54" s="13" cm="1">
        <f t="array" ref="M54">_xll.BDH("CAT US Equity","BS_LT_BORROW","FQ1 2021","FQ1 2021","Currency=USD","Period=FQ","BEST_FPERIOD_OVERRIDE=FQ","FILING_STATUS=MR","SCALING_FORMAT=MLN","Sort=A","Dates=H","DateFormat=P","Fill=—","Direction=H","UseDPDF=Y")</f>
        <v>26356</v>
      </c>
      <c r="N54" s="13" cm="1">
        <f t="array" ref="N54">_xll.BDH("CAT US Equity","BS_LT_BORROW","FQ2 2021","FQ2 2021","Currency=USD","Period=FQ","BEST_FPERIOD_OVERRIDE=FQ","FILING_STATUS=MR","SCALING_FORMAT=MLN","Sort=A","Dates=H","DateFormat=P","Fill=—","Direction=H","UseDPDF=Y")</f>
        <v>26204</v>
      </c>
      <c r="O54" s="13" cm="1">
        <f t="array" ref="O54">_xll.BDH("CAT US Equity","BS_LT_BORROW","FQ3 2021","FQ3 2021","Currency=USD","Period=FQ","BEST_FPERIOD_OVERRIDE=FQ","FILING_STATUS=MR","SCALING_FORMAT=MLN","Sort=A","Dates=H","DateFormat=P","Fill=—","Direction=H","UseDPDF=Y")</f>
        <v>27154</v>
      </c>
      <c r="P54" s="13" cm="1">
        <f t="array" ref="P54">_xll.BDH("CAT US Equity","BS_LT_BORROW","FQ4 2021","FQ4 2021","Currency=USD","Period=FQ","BEST_FPERIOD_OVERRIDE=FQ","FILING_STATUS=MR","SCALING_FORMAT=MLN","Sort=A","Dates=H","DateFormat=P","Fill=—","Direction=H","UseDPDF=Y")</f>
        <v>26517</v>
      </c>
      <c r="Q54" s="13" cm="1">
        <f t="array" ref="Q54">_xll.BDH("CAT US Equity","BS_LT_BORROW","FQ1 2022","FQ1 2022","Currency=USD","Period=FQ","BEST_FPERIOD_OVERRIDE=FQ","FILING_STATUS=MR","SCALING_FORMAT=MLN","Sort=A","Dates=H","DateFormat=P","Fill=—","Direction=H","UseDPDF=Y")</f>
        <v>25277</v>
      </c>
      <c r="R54" s="13" cm="1">
        <f t="array" ref="R54">_xll.BDH("CAT US Equity","BS_LT_BORROW","FQ2 2022","FQ2 2022","Currency=USD","Period=FQ","BEST_FPERIOD_OVERRIDE=FQ","FILING_STATUS=MR","SCALING_FORMAT=MLN","Sort=A","Dates=H","DateFormat=P","Fill=—","Direction=H","UseDPDF=Y")</f>
        <v>26219</v>
      </c>
      <c r="S54" s="13" cm="1">
        <f t="array" ref="S54">_xll.BDH("CAT US Equity","BS_LT_BORROW","FQ3 2022","FQ3 2022","Currency=USD","Period=FQ","BEST_FPERIOD_OVERRIDE=FQ","FILING_STATUS=MR","SCALING_FORMAT=MLN","Sort=A","Dates=H","DateFormat=P","Fill=—","Direction=H","UseDPDF=Y")</f>
        <v>25509</v>
      </c>
      <c r="T54" s="13" cm="1">
        <f t="array" ref="T54">_xll.BDH("CAT US Equity","BS_LT_BORROW","FQ4 2022","FQ4 2022","Currency=USD","Period=FQ","BEST_FPERIOD_OVERRIDE=FQ","FILING_STATUS=MR","SCALING_FORMAT=MLN","Sort=A","Dates=H","DateFormat=P","Fill=—","Direction=H","UseDPDF=Y")</f>
        <v>26142</v>
      </c>
      <c r="U54" s="13" cm="1">
        <f t="array" ref="U54">_xll.BDH("CAT US Equity","BS_LT_BORROW","FQ1 2023","FQ1 2023","Currency=USD","Period=FQ","BEST_FPERIOD_OVERRIDE=FQ","FILING_STATUS=MR","SCALING_FORMAT=MLN","Sort=A","Dates=H","DateFormat=P","Fill=—","Direction=H","UseDPDF=Y")</f>
        <v>24873</v>
      </c>
      <c r="V54" s="13" cm="1">
        <f t="array" ref="V54">_xll.BDH("CAT US Equity","BS_LT_BORROW","FQ2 2023","FQ2 2023","Currency=USD","Period=FQ","BEST_FPERIOD_OVERRIDE=FQ","FILING_STATUS=MR","SCALING_FORMAT=MLN","Sort=A","Dates=H","DateFormat=P","Fill=—","Direction=H","UseDPDF=Y")</f>
        <v>22985</v>
      </c>
      <c r="W54" s="13" cm="1">
        <f t="array" ref="W54">_xll.BDH("CAT US Equity","BS_LT_BORROW","FQ3 2023","FQ3 2023","Currency=USD","Period=FQ","BEST_FPERIOD_OVERRIDE=FQ","FILING_STATUS=MR","SCALING_FORMAT=MLN","Sort=A","Dates=H","DateFormat=P","Fill=—","Direction=H","UseDPDF=Y")</f>
        <v>24259</v>
      </c>
      <c r="X54" s="13" cm="1">
        <f t="array" ref="X54">_xll.BDH("CAT US Equity","BS_LT_BORROW","FQ4 2023","FQ4 2023","Currency=USD","Period=FQ","BEST_FPERIOD_OVERRIDE=FQ","FILING_STATUS=MR","SCALING_FORMAT=MLN","Sort=A","Dates=H","DateFormat=P","Fill=—","Direction=H","UseDPDF=Y")</f>
        <v>24899</v>
      </c>
      <c r="Y54" s="13" cm="1">
        <f t="array" ref="Y54">_xll.BDH("CAT US Equity","BS_LT_BORROW","FQ1 2024","FQ1 2024","Currency=USD","Period=FQ","BEST_FPERIOD_OVERRIDE=FQ","FILING_STATUS=MR","SCALING_FORMAT=MLN","Sort=A","Dates=H","DateFormat=P","Fill=—","Direction=H","UseDPDF=Y")</f>
        <v>24831</v>
      </c>
      <c r="Z54" s="13" cm="1">
        <f t="array" ref="Z54">_xll.BDH("CAT US Equity","BS_LT_BORROW","FQ2 2024","FQ2 2024","Currency=USD","Period=FQ","BEST_FPERIOD_OVERRIDE=FQ","FILING_STATUS=MR","SCALING_FORMAT=MLN","Sort=A","Dates=H","DateFormat=P","Fill=—","Direction=H","UseDPDF=Y")</f>
        <v>23836</v>
      </c>
      <c r="AA54" s="13" cm="1">
        <f t="array" ref="AA54">_xll.BDH("CAT US Equity","BS_LT_BORROW","FQ3 2024","FQ3 2024","Currency=USD","Period=FQ","BEST_FPERIOD_OVERRIDE=FQ","FILING_STATUS=MR","SCALING_FORMAT=MLN","Sort=A","Dates=H","DateFormat=P","Fill=—","Direction=H","UseDPDF=Y")</f>
        <v>25784</v>
      </c>
      <c r="AB54" s="13" cm="1">
        <f t="array" ref="AB54">_xll.BDH("CAT US Equity","BS_LT_BORROW","FQ4 2024","FQ4 2024","Currency=USD","Period=FQ","BEST_FPERIOD_OVERRIDE=FQ","FILING_STATUS=MR","SCALING_FORMAT=MLN","Sort=A","Dates=H","DateFormat=P","Fill=—","Direction=H","UseDPDF=Y")</f>
        <v>27810</v>
      </c>
      <c r="AC54" s="13" cm="1">
        <f t="array" ref="AC54">_xll.BDH("CAT US Equity","BS_LT_BORROW","FQ1 2025","FQ1 2025","Currency=USD","Period=FQ","BEST_FPERIOD_OVERRIDE=FQ","FILING_STATUS=MR","SCALING_FORMAT=MLN","Sort=A","Dates=H","DateFormat=P","Fill=—","Direction=H","UseDPDF=Y")</f>
        <v>25819</v>
      </c>
      <c r="AD54" s="13" cm="1">
        <f t="array" ref="AD54">_xll.BDH("CAT US Equity","BS_LT_BORROW","FQ2 2025","FQ2 2025","Currency=USD","Period=FQ","BEST_FPERIOD_OVERRIDE=FQ","FILING_STATUS=MR","SCALING_FORMAT=MLN","Sort=A","Dates=H","DateFormat=P","Fill=—","Direction=H","UseDPDF=Y")</f>
        <v>27948</v>
      </c>
      <c r="AE54" s="13" cm="1">
        <f t="array" ref="AE54">_xll.BDH("CAT US Equity","BS_LT_BORROW","FQ3 2025","FQ3 2025","Currency=USD","Period=FQ","BEST_FPERIOD_OVERRIDE=FQ","FILING_STATUS=MR","SCALING_FORMAT=MLN","Sort=A","Dates=H","DateFormat=P","Fill=—","Direction=H","UseDPDF=Y")</f>
        <v>27736</v>
      </c>
      <c r="AF54" s="13" cm="1">
        <f t="array" ref="AF54">_xll.BDH("CAT US Equity","BS_LT_BORROW","FQ4 2025","FQ4 2025","Currency=USD","Period=FQ","BEST_FPERIOD_OVERRIDE=FQ","FILING_STATUS=MR","SCALING_FORMAT=MLN","Sort=A","Dates=H","DateFormat=P","Fill=—","Direction=H","UseDPDF=Y")</f>
        <v>31266</v>
      </c>
    </row>
    <row r="55" spans="1:32" x14ac:dyDescent="0.25">
      <c r="A55" s="10" t="s">
        <v>157</v>
      </c>
      <c r="B55" s="10" t="s">
        <v>158</v>
      </c>
      <c r="C55" s="13" cm="1">
        <f t="array" ref="C55">_xll.BDH("CAT US Equity","LONG_TERM_BORROWINGS_DETAILED","FQ3 2018","FQ3 2018","Currency=USD","Period=FQ","BEST_FPERIOD_OVERRIDE=FQ","FILING_STATUS=MR","SCALING_FORMAT=MLN","Sort=A","Dates=H","DateFormat=P","Fill=—","Direction=H","UseDPDF=Y")</f>
        <v>25441</v>
      </c>
      <c r="D55" s="13" cm="1">
        <f t="array" ref="D55">_xll.BDH("CAT US Equity","LONG_TERM_BORROWINGS_DETAILED","FQ4 2018","FQ4 2018","Currency=USD","Period=FQ","BEST_FPERIOD_OVERRIDE=FQ","FILING_STATUS=MR","SCALING_FORMAT=MLN","Sort=A","Dates=H","DateFormat=P","Fill=—","Direction=H","UseDPDF=Y")</f>
        <v>25000</v>
      </c>
      <c r="E55" s="13" cm="1">
        <f t="array" ref="E55">_xll.BDH("CAT US Equity","LONG_TERM_BORROWINGS_DETAILED","FQ1 2019","FQ1 2019","Currency=USD","Period=FQ","BEST_FPERIOD_OVERRIDE=FQ","FILING_STATUS=MR","SCALING_FORMAT=MLN","Sort=A","Dates=H","DateFormat=P","Fill=—","Direction=H","UseDPDF=Y")</f>
        <v>24240</v>
      </c>
      <c r="F55" s="13" cm="1">
        <f t="array" ref="F55">_xll.BDH("CAT US Equity","LONG_TERM_BORROWINGS_DETAILED","FQ2 2019","FQ2 2019","Currency=USD","Period=FQ","BEST_FPERIOD_OVERRIDE=FQ","FILING_STATUS=MR","SCALING_FORMAT=MLN","Sort=A","Dates=H","DateFormat=P","Fill=—","Direction=H","UseDPDF=Y")</f>
        <v>24764</v>
      </c>
      <c r="G55" s="13" cm="1">
        <f t="array" ref="G55">_xll.BDH("CAT US Equity","LONG_TERM_BORROWINGS_DETAILED","FQ3 2019","FQ3 2019","Currency=USD","Period=FQ","BEST_FPERIOD_OVERRIDE=FQ","FILING_STATUS=MR","SCALING_FORMAT=MLN","Sort=A","Dates=H","DateFormat=P","Fill=—","Direction=H","UseDPDF=Y")</f>
        <v>25588</v>
      </c>
      <c r="H55" s="13" cm="1">
        <f t="array" ref="H55">_xll.BDH("CAT US Equity","LONG_TERM_BORROWINGS_DETAILED","FQ4 2019","FQ4 2019","Currency=USD","Period=FQ","BEST_FPERIOD_OVERRIDE=FQ","FILING_STATUS=MR","SCALING_FORMAT=MLN","Sort=A","Dates=H","DateFormat=P","Fill=—","Direction=H","UseDPDF=Y")</f>
        <v>26281</v>
      </c>
      <c r="I55" s="13" cm="1">
        <f t="array" ref="I55">_xll.BDH("CAT US Equity","LONG_TERM_BORROWINGS_DETAILED","FQ1 2020","FQ1 2020","Currency=USD","Period=FQ","BEST_FPERIOD_OVERRIDE=FQ","FILING_STATUS=MR","SCALING_FORMAT=MLN","Sort=A","Dates=H","DateFormat=P","Fill=—","Direction=H","UseDPDF=Y")</f>
        <v>24369</v>
      </c>
      <c r="J55" s="13" cm="1">
        <f t="array" ref="J55">_xll.BDH("CAT US Equity","LONG_TERM_BORROWINGS_DETAILED","FQ2 2020","FQ2 2020","Currency=USD","Period=FQ","BEST_FPERIOD_OVERRIDE=FQ","FILING_STATUS=MR","SCALING_FORMAT=MLN","Sort=A","Dates=H","DateFormat=P","Fill=—","Direction=H","UseDPDF=Y")</f>
        <v>26907</v>
      </c>
      <c r="K55" s="13" cm="1">
        <f t="array" ref="K55">_xll.BDH("CAT US Equity","LONG_TERM_BORROWINGS_DETAILED","FQ3 2020","FQ3 2020","Currency=USD","Period=FQ","BEST_FPERIOD_OVERRIDE=FQ","FILING_STATUS=MR","SCALING_FORMAT=MLN","Sort=A","Dates=H","DateFormat=P","Fill=—","Direction=H","UseDPDF=Y")</f>
        <v>26107</v>
      </c>
      <c r="L55" s="13" cm="1">
        <f t="array" ref="L55">_xll.BDH("CAT US Equity","LONG_TERM_BORROWINGS_DETAILED","FQ4 2020","FQ4 2020","Currency=USD","Period=FQ","BEST_FPERIOD_OVERRIDE=FQ","FILING_STATUS=MR","SCALING_FORMAT=MLN","Sort=A","Dates=H","DateFormat=P","Fill=—","Direction=H","UseDPDF=Y")</f>
        <v>25999</v>
      </c>
      <c r="M55" s="13" cm="1">
        <f t="array" ref="M55">_xll.BDH("CAT US Equity","LONG_TERM_BORROWINGS_DETAILED","FQ1 2021","FQ1 2021","Currency=USD","Period=FQ","BEST_FPERIOD_OVERRIDE=FQ","FILING_STATUS=MR","SCALING_FORMAT=MLN","Sort=A","Dates=H","DateFormat=P","Fill=—","Direction=H","UseDPDF=Y")</f>
        <v>26356</v>
      </c>
      <c r="N55" s="13" cm="1">
        <f t="array" ref="N55">_xll.BDH("CAT US Equity","LONG_TERM_BORROWINGS_DETAILED","FQ2 2021","FQ2 2021","Currency=USD","Period=FQ","BEST_FPERIOD_OVERRIDE=FQ","FILING_STATUS=MR","SCALING_FORMAT=MLN","Sort=A","Dates=H","DateFormat=P","Fill=—","Direction=H","UseDPDF=Y")</f>
        <v>26204</v>
      </c>
      <c r="O55" s="13" cm="1">
        <f t="array" ref="O55">_xll.BDH("CAT US Equity","LONG_TERM_BORROWINGS_DETAILED","FQ3 2021","FQ3 2021","Currency=USD","Period=FQ","BEST_FPERIOD_OVERRIDE=FQ","FILING_STATUS=MR","SCALING_FORMAT=MLN","Sort=A","Dates=H","DateFormat=P","Fill=—","Direction=H","UseDPDF=Y")</f>
        <v>27154</v>
      </c>
      <c r="P55" s="13" cm="1">
        <f t="array" ref="P55">_xll.BDH("CAT US Equity","LONG_TERM_BORROWINGS_DETAILED","FQ4 2021","FQ4 2021","Currency=USD","Period=FQ","BEST_FPERIOD_OVERRIDE=FQ","FILING_STATUS=MR","SCALING_FORMAT=MLN","Sort=A","Dates=H","DateFormat=P","Fill=—","Direction=H","UseDPDF=Y")</f>
        <v>26033</v>
      </c>
      <c r="Q55" s="13" cm="1">
        <f t="array" ref="Q55">_xll.BDH("CAT US Equity","LONG_TERM_BORROWINGS_DETAILED","FQ1 2022","FQ1 2022","Currency=USD","Period=FQ","BEST_FPERIOD_OVERRIDE=FQ","FILING_STATUS=MR","SCALING_FORMAT=MLN","Sort=A","Dates=H","DateFormat=P","Fill=—","Direction=H","UseDPDF=Y")</f>
        <v>25277</v>
      </c>
      <c r="R55" s="13" cm="1">
        <f t="array" ref="R55">_xll.BDH("CAT US Equity","LONG_TERM_BORROWINGS_DETAILED","FQ2 2022","FQ2 2022","Currency=USD","Period=FQ","BEST_FPERIOD_OVERRIDE=FQ","FILING_STATUS=MR","SCALING_FORMAT=MLN","Sort=A","Dates=H","DateFormat=P","Fill=—","Direction=H","UseDPDF=Y")</f>
        <v>26219</v>
      </c>
      <c r="S55" s="13" cm="1">
        <f t="array" ref="S55">_xll.BDH("CAT US Equity","LONG_TERM_BORROWINGS_DETAILED","FQ3 2022","FQ3 2022","Currency=USD","Period=FQ","BEST_FPERIOD_OVERRIDE=FQ","FILING_STATUS=MR","SCALING_FORMAT=MLN","Sort=A","Dates=H","DateFormat=P","Fill=—","Direction=H","UseDPDF=Y")</f>
        <v>25509</v>
      </c>
      <c r="T55" s="13" cm="1">
        <f t="array" ref="T55">_xll.BDH("CAT US Equity","LONG_TERM_BORROWINGS_DETAILED","FQ4 2022","FQ4 2022","Currency=USD","Period=FQ","BEST_FPERIOD_OVERRIDE=FQ","FILING_STATUS=MR","SCALING_FORMAT=MLN","Sort=A","Dates=H","DateFormat=P","Fill=—","Direction=H","UseDPDF=Y")</f>
        <v>25714</v>
      </c>
      <c r="U55" s="13" cm="1">
        <f t="array" ref="U55">_xll.BDH("CAT US Equity","LONG_TERM_BORROWINGS_DETAILED","FQ1 2023","FQ1 2023","Currency=USD","Period=FQ","BEST_FPERIOD_OVERRIDE=FQ","FILING_STATUS=MR","SCALING_FORMAT=MLN","Sort=A","Dates=H","DateFormat=P","Fill=—","Direction=H","UseDPDF=Y")</f>
        <v>24873</v>
      </c>
      <c r="V55" s="13" cm="1">
        <f t="array" ref="V55">_xll.BDH("CAT US Equity","LONG_TERM_BORROWINGS_DETAILED","FQ2 2023","FQ2 2023","Currency=USD","Period=FQ","BEST_FPERIOD_OVERRIDE=FQ","FILING_STATUS=MR","SCALING_FORMAT=MLN","Sort=A","Dates=H","DateFormat=P","Fill=—","Direction=H","UseDPDF=Y")</f>
        <v>22985</v>
      </c>
      <c r="W55" s="13" cm="1">
        <f t="array" ref="W55">_xll.BDH("CAT US Equity","LONG_TERM_BORROWINGS_DETAILED","FQ3 2023","FQ3 2023","Currency=USD","Period=FQ","BEST_FPERIOD_OVERRIDE=FQ","FILING_STATUS=MR","SCALING_FORMAT=MLN","Sort=A","Dates=H","DateFormat=P","Fill=—","Direction=H","UseDPDF=Y")</f>
        <v>24259</v>
      </c>
      <c r="X55" s="13" cm="1">
        <f t="array" ref="X55">_xll.BDH("CAT US Equity","LONG_TERM_BORROWINGS_DETAILED","FQ4 2023","FQ4 2023","Currency=USD","Period=FQ","BEST_FPERIOD_OVERRIDE=FQ","FILING_STATUS=MR","SCALING_FORMAT=MLN","Sort=A","Dates=H","DateFormat=P","Fill=—","Direction=H","UseDPDF=Y")</f>
        <v>24472</v>
      </c>
      <c r="Y55" s="13" cm="1">
        <f t="array" ref="Y55">_xll.BDH("CAT US Equity","LONG_TERM_BORROWINGS_DETAILED","FQ1 2024","FQ1 2024","Currency=USD","Period=FQ","BEST_FPERIOD_OVERRIDE=FQ","FILING_STATUS=MR","SCALING_FORMAT=MLN","Sort=A","Dates=H","DateFormat=P","Fill=—","Direction=H","UseDPDF=Y")</f>
        <v>24831</v>
      </c>
      <c r="Z55" s="13" cm="1">
        <f t="array" ref="Z55">_xll.BDH("CAT US Equity","LONG_TERM_BORROWINGS_DETAILED","FQ2 2024","FQ2 2024","Currency=USD","Period=FQ","BEST_FPERIOD_OVERRIDE=FQ","FILING_STATUS=MR","SCALING_FORMAT=MLN","Sort=A","Dates=H","DateFormat=P","Fill=—","Direction=H","UseDPDF=Y")</f>
        <v>23836</v>
      </c>
      <c r="AA55" s="13" cm="1">
        <f t="array" ref="AA55">_xll.BDH("CAT US Equity","LONG_TERM_BORROWINGS_DETAILED","FQ3 2024","FQ3 2024","Currency=USD","Period=FQ","BEST_FPERIOD_OVERRIDE=FQ","FILING_STATUS=MR","SCALING_FORMAT=MLN","Sort=A","Dates=H","DateFormat=P","Fill=—","Direction=H","UseDPDF=Y")</f>
        <v>25784</v>
      </c>
      <c r="AB55" s="13" cm="1">
        <f t="array" ref="AB55">_xll.BDH("CAT US Equity","LONG_TERM_BORROWINGS_DETAILED","FQ4 2024","FQ4 2024","Currency=USD","Period=FQ","BEST_FPERIOD_OVERRIDE=FQ","FILING_STATUS=MR","SCALING_FORMAT=MLN","Sort=A","Dates=H","DateFormat=P","Fill=—","Direction=H","UseDPDF=Y")</f>
        <v>27351</v>
      </c>
      <c r="AC55" s="13" cm="1">
        <f t="array" ref="AC55">_xll.BDH("CAT US Equity","LONG_TERM_BORROWINGS_DETAILED","FQ1 2025","FQ1 2025","Currency=USD","Period=FQ","BEST_FPERIOD_OVERRIDE=FQ","FILING_STATUS=MR","SCALING_FORMAT=MLN","Sort=A","Dates=H","DateFormat=P","Fill=—","Direction=H","UseDPDF=Y")</f>
        <v>25819</v>
      </c>
      <c r="AD55" s="13" cm="1">
        <f t="array" ref="AD55">_xll.BDH("CAT US Equity","LONG_TERM_BORROWINGS_DETAILED","FQ2 2025","FQ2 2025","Currency=USD","Period=FQ","BEST_FPERIOD_OVERRIDE=FQ","FILING_STATUS=MR","SCALING_FORMAT=MLN","Sort=A","Dates=H","DateFormat=P","Fill=—","Direction=H","UseDPDF=Y")</f>
        <v>27948</v>
      </c>
      <c r="AE55" s="13" cm="1">
        <f t="array" ref="AE55">_xll.BDH("CAT US Equity","LONG_TERM_BORROWINGS_DETAILED","FQ3 2025","FQ3 2025","Currency=USD","Period=FQ","BEST_FPERIOD_OVERRIDE=FQ","FILING_STATUS=MR","SCALING_FORMAT=MLN","Sort=A","Dates=H","DateFormat=P","Fill=—","Direction=H","UseDPDF=Y")</f>
        <v>27736</v>
      </c>
      <c r="AF55" s="13" cm="1">
        <f t="array" ref="AF55">_xll.BDH("CAT US Equity","LONG_TERM_BORROWINGS_DETAILED","FQ4 2025","FQ4 2025","Currency=USD","Period=FQ","BEST_FPERIOD_OVERRIDE=FQ","FILING_STATUS=MR","SCALING_FORMAT=MLN","Sort=A","Dates=H","DateFormat=P","Fill=—","Direction=H","UseDPDF=Y")</f>
        <v>30696</v>
      </c>
    </row>
    <row r="56" spans="1:32" x14ac:dyDescent="0.25">
      <c r="A56" s="10" t="s">
        <v>159</v>
      </c>
      <c r="B56" s="10" t="s">
        <v>160</v>
      </c>
      <c r="C56" s="13" t="str" cm="1">
        <f t="array" ref="C56">_xll.BDH("CAT US Equity","LT_CAPITALIZED_LEASE_LIABILITIES","FQ3 2018","FQ3 2018","Currency=USD","Period=FQ","BEST_FPERIOD_OVERRIDE=FQ","FILING_STATUS=MR","SCALING_FORMAT=MLN","Sort=A","Dates=H","DateFormat=P","Fill=—","Direction=H","UseDPDF=Y")</f>
        <v>—</v>
      </c>
      <c r="D56" s="13" t="str" cm="1">
        <f t="array" ref="D56">_xll.BDH("CAT US Equity","LT_CAPITALIZED_LEASE_LIABILITIES","FQ4 2018","FQ4 2018","Currency=USD","Period=FQ","BEST_FPERIOD_OVERRIDE=FQ","FILING_STATUS=MR","SCALING_FORMAT=MLN","Sort=A","Dates=H","DateFormat=P","Fill=—","Direction=H","UseDPDF=Y")</f>
        <v>—</v>
      </c>
      <c r="E56" s="13" cm="1">
        <f t="array" ref="E56">_xll.BDH("CAT US Equity","LT_CAPITALIZED_LEASE_LIABILITIES","FQ1 2019","FQ1 2019","Currency=USD","Period=FQ","BEST_FPERIOD_OVERRIDE=FQ","FILING_STATUS=MR","SCALING_FORMAT=MLN","Sort=A","Dates=H","DateFormat=P","Fill=—","Direction=H","UseDPDF=Y")</f>
        <v>513</v>
      </c>
      <c r="F56" s="13" cm="1">
        <f t="array" ref="F56">_xll.BDH("CAT US Equity","LT_CAPITALIZED_LEASE_LIABILITIES","FQ2 2019","FQ2 2019","Currency=USD","Period=FQ","BEST_FPERIOD_OVERRIDE=FQ","FILING_STATUS=MR","SCALING_FORMAT=MLN","Sort=A","Dates=H","DateFormat=P","Fill=—","Direction=H","UseDPDF=Y")</f>
        <v>480</v>
      </c>
      <c r="G56" s="13" cm="1">
        <f t="array" ref="G56">_xll.BDH("CAT US Equity","LT_CAPITALIZED_LEASE_LIABILITIES","FQ3 2019","FQ3 2019","Currency=USD","Period=FQ","BEST_FPERIOD_OVERRIDE=FQ","FILING_STATUS=MR","SCALING_FORMAT=MLN","Sort=A","Dates=H","DateFormat=P","Fill=—","Direction=H","UseDPDF=Y")</f>
        <v>462</v>
      </c>
      <c r="H56" s="13" cm="1">
        <f t="array" ref="H56">_xll.BDH("CAT US Equity","LT_CAPITALIZED_LEASE_LIABILITIES","FQ4 2019","FQ4 2019","Currency=USD","Period=FQ","BEST_FPERIOD_OVERRIDE=FQ","FILING_STATUS=MR","SCALING_FORMAT=MLN","Sort=A","Dates=H","DateFormat=P","Fill=—","Direction=H","UseDPDF=Y")</f>
        <v>461</v>
      </c>
      <c r="I56" s="13" t="str" cm="1">
        <f t="array" ref="I56">_xll.BDH("CAT US Equity","LT_CAPITALIZED_LEASE_LIABILITIES","FQ1 2020","FQ1 2020","Currency=USD","Period=FQ","BEST_FPERIOD_OVERRIDE=FQ","FILING_STATUS=MR","SCALING_FORMAT=MLN","Sort=A","Dates=H","DateFormat=P","Fill=—","Direction=H","UseDPDF=Y")</f>
        <v>—</v>
      </c>
      <c r="J56" s="13" t="str" cm="1">
        <f t="array" ref="J56">_xll.BDH("CAT US Equity","LT_CAPITALIZED_LEASE_LIABILITIES","FQ2 2020","FQ2 2020","Currency=USD","Period=FQ","BEST_FPERIOD_OVERRIDE=FQ","FILING_STATUS=MR","SCALING_FORMAT=MLN","Sort=A","Dates=H","DateFormat=P","Fill=—","Direction=H","UseDPDF=Y")</f>
        <v>—</v>
      </c>
      <c r="K56" s="13" t="str" cm="1">
        <f t="array" ref="K56">_xll.BDH("CAT US Equity","LT_CAPITALIZED_LEASE_LIABILITIES","FQ3 2020","FQ3 2020","Currency=USD","Period=FQ","BEST_FPERIOD_OVERRIDE=FQ","FILING_STATUS=MR","SCALING_FORMAT=MLN","Sort=A","Dates=H","DateFormat=P","Fill=—","Direction=H","UseDPDF=Y")</f>
        <v>—</v>
      </c>
      <c r="L56" s="13" cm="1">
        <f t="array" ref="L56">_xll.BDH("CAT US Equity","LT_CAPITALIZED_LEASE_LIABILITIES","FQ4 2020","FQ4 2020","Currency=USD","Period=FQ","BEST_FPERIOD_OVERRIDE=FQ","FILING_STATUS=MR","SCALING_FORMAT=MLN","Sort=A","Dates=H","DateFormat=P","Fill=—","Direction=H","UseDPDF=Y")</f>
        <v>457</v>
      </c>
      <c r="M56" s="13" t="str" cm="1">
        <f t="array" ref="M56">_xll.BDH("CAT US Equity","LT_CAPITALIZED_LEASE_LIABILITIES","FQ1 2021","FQ1 2021","Currency=USD","Period=FQ","BEST_FPERIOD_OVERRIDE=FQ","FILING_STATUS=MR","SCALING_FORMAT=MLN","Sort=A","Dates=H","DateFormat=P","Fill=—","Direction=H","UseDPDF=Y")</f>
        <v>—</v>
      </c>
      <c r="N56" s="13" t="str" cm="1">
        <f t="array" ref="N56">_xll.BDH("CAT US Equity","LT_CAPITALIZED_LEASE_LIABILITIES","FQ2 2021","FQ2 2021","Currency=USD","Period=FQ","BEST_FPERIOD_OVERRIDE=FQ","FILING_STATUS=MR","SCALING_FORMAT=MLN","Sort=A","Dates=H","DateFormat=P","Fill=—","Direction=H","UseDPDF=Y")</f>
        <v>—</v>
      </c>
      <c r="O56" s="13" t="str" cm="1">
        <f t="array" ref="O56">_xll.BDH("CAT US Equity","LT_CAPITALIZED_LEASE_LIABILITIES","FQ3 2021","FQ3 2021","Currency=USD","Period=FQ","BEST_FPERIOD_OVERRIDE=FQ","FILING_STATUS=MR","SCALING_FORMAT=MLN","Sort=A","Dates=H","DateFormat=P","Fill=—","Direction=H","UseDPDF=Y")</f>
        <v>—</v>
      </c>
      <c r="P56" s="13" cm="1">
        <f t="array" ref="P56">_xll.BDH("CAT US Equity","LT_CAPITALIZED_LEASE_LIABILITIES","FQ4 2021","FQ4 2021","Currency=USD","Period=FQ","BEST_FPERIOD_OVERRIDE=FQ","FILING_STATUS=MR","SCALING_FORMAT=MLN","Sort=A","Dates=H","DateFormat=P","Fill=—","Direction=H","UseDPDF=Y")</f>
        <v>484</v>
      </c>
      <c r="Q56" s="13" t="str" cm="1">
        <f t="array" ref="Q56">_xll.BDH("CAT US Equity","LT_CAPITALIZED_LEASE_LIABILITIES","FQ1 2022","FQ1 2022","Currency=USD","Period=FQ","BEST_FPERIOD_OVERRIDE=FQ","FILING_STATUS=MR","SCALING_FORMAT=MLN","Sort=A","Dates=H","DateFormat=P","Fill=—","Direction=H","UseDPDF=Y")</f>
        <v>—</v>
      </c>
      <c r="R56" s="13" t="str" cm="1">
        <f t="array" ref="R56">_xll.BDH("CAT US Equity","LT_CAPITALIZED_LEASE_LIABILITIES","FQ2 2022","FQ2 2022","Currency=USD","Period=FQ","BEST_FPERIOD_OVERRIDE=FQ","FILING_STATUS=MR","SCALING_FORMAT=MLN","Sort=A","Dates=H","DateFormat=P","Fill=—","Direction=H","UseDPDF=Y")</f>
        <v>—</v>
      </c>
      <c r="S56" s="13" t="str" cm="1">
        <f t="array" ref="S56">_xll.BDH("CAT US Equity","LT_CAPITALIZED_LEASE_LIABILITIES","FQ3 2022","FQ3 2022","Currency=USD","Period=FQ","BEST_FPERIOD_OVERRIDE=FQ","FILING_STATUS=MR","SCALING_FORMAT=MLN","Sort=A","Dates=H","DateFormat=P","Fill=—","Direction=H","UseDPDF=Y")</f>
        <v>—</v>
      </c>
      <c r="T56" s="13" cm="1">
        <f t="array" ref="T56">_xll.BDH("CAT US Equity","LT_CAPITALIZED_LEASE_LIABILITIES","FQ4 2022","FQ4 2022","Currency=USD","Period=FQ","BEST_FPERIOD_OVERRIDE=FQ","FILING_STATUS=MR","SCALING_FORMAT=MLN","Sort=A","Dates=H","DateFormat=P","Fill=—","Direction=H","UseDPDF=Y")</f>
        <v>428</v>
      </c>
      <c r="U56" s="13" t="str" cm="1">
        <f t="array" ref="U56">_xll.BDH("CAT US Equity","LT_CAPITALIZED_LEASE_LIABILITIES","FQ1 2023","FQ1 2023","Currency=USD","Period=FQ","BEST_FPERIOD_OVERRIDE=FQ","FILING_STATUS=MR","SCALING_FORMAT=MLN","Sort=A","Dates=H","DateFormat=P","Fill=—","Direction=H","UseDPDF=Y")</f>
        <v>—</v>
      </c>
      <c r="V56" s="13" t="str" cm="1">
        <f t="array" ref="V56">_xll.BDH("CAT US Equity","LT_CAPITALIZED_LEASE_LIABILITIES","FQ2 2023","FQ2 2023","Currency=USD","Period=FQ","BEST_FPERIOD_OVERRIDE=FQ","FILING_STATUS=MR","SCALING_FORMAT=MLN","Sort=A","Dates=H","DateFormat=P","Fill=—","Direction=H","UseDPDF=Y")</f>
        <v>—</v>
      </c>
      <c r="W56" s="13" t="str" cm="1">
        <f t="array" ref="W56">_xll.BDH("CAT US Equity","LT_CAPITALIZED_LEASE_LIABILITIES","FQ3 2023","FQ3 2023","Currency=USD","Period=FQ","BEST_FPERIOD_OVERRIDE=FQ","FILING_STATUS=MR","SCALING_FORMAT=MLN","Sort=A","Dates=H","DateFormat=P","Fill=—","Direction=H","UseDPDF=Y")</f>
        <v>—</v>
      </c>
      <c r="X56" s="13" cm="1">
        <f t="array" ref="X56">_xll.BDH("CAT US Equity","LT_CAPITALIZED_LEASE_LIABILITIES","FQ4 2023","FQ4 2023","Currency=USD","Period=FQ","BEST_FPERIOD_OVERRIDE=FQ","FILING_STATUS=MR","SCALING_FORMAT=MLN","Sort=A","Dates=H","DateFormat=P","Fill=—","Direction=H","UseDPDF=Y")</f>
        <v>427</v>
      </c>
      <c r="Y56" s="13" t="str" cm="1">
        <f t="array" ref="Y56">_xll.BDH("CAT US Equity","LT_CAPITALIZED_LEASE_LIABILITIES","FQ1 2024","FQ1 2024","Currency=USD","Period=FQ","BEST_FPERIOD_OVERRIDE=FQ","FILING_STATUS=MR","SCALING_FORMAT=MLN","Sort=A","Dates=H","DateFormat=P","Fill=—","Direction=H","UseDPDF=Y")</f>
        <v>—</v>
      </c>
      <c r="Z56" s="13" t="str" cm="1">
        <f t="array" ref="Z56">_xll.BDH("CAT US Equity","LT_CAPITALIZED_LEASE_LIABILITIES","FQ2 2024","FQ2 2024","Currency=USD","Period=FQ","BEST_FPERIOD_OVERRIDE=FQ","FILING_STATUS=MR","SCALING_FORMAT=MLN","Sort=A","Dates=H","DateFormat=P","Fill=—","Direction=H","UseDPDF=Y")</f>
        <v>—</v>
      </c>
      <c r="AA56" s="13" t="str" cm="1">
        <f t="array" ref="AA56">_xll.BDH("CAT US Equity","LT_CAPITALIZED_LEASE_LIABILITIES","FQ3 2024","FQ3 2024","Currency=USD","Period=FQ","BEST_FPERIOD_OVERRIDE=FQ","FILING_STATUS=MR","SCALING_FORMAT=MLN","Sort=A","Dates=H","DateFormat=P","Fill=—","Direction=H","UseDPDF=Y")</f>
        <v>—</v>
      </c>
      <c r="AB56" s="13" cm="1">
        <f t="array" ref="AB56">_xll.BDH("CAT US Equity","LT_CAPITALIZED_LEASE_LIABILITIES","FQ4 2024","FQ4 2024","Currency=USD","Period=FQ","BEST_FPERIOD_OVERRIDE=FQ","FILING_STATUS=MR","SCALING_FORMAT=MLN","Sort=A","Dates=H","DateFormat=P","Fill=—","Direction=H","UseDPDF=Y")</f>
        <v>459</v>
      </c>
      <c r="AC56" s="13" t="str" cm="1">
        <f t="array" ref="AC56">_xll.BDH("CAT US Equity","LT_CAPITALIZED_LEASE_LIABILITIES","FQ1 2025","FQ1 2025","Currency=USD","Period=FQ","BEST_FPERIOD_OVERRIDE=FQ","FILING_STATUS=MR","SCALING_FORMAT=MLN","Sort=A","Dates=H","DateFormat=P","Fill=—","Direction=H","UseDPDF=Y")</f>
        <v>—</v>
      </c>
      <c r="AD56" s="13" t="str" cm="1">
        <f t="array" ref="AD56">_xll.BDH("CAT US Equity","LT_CAPITALIZED_LEASE_LIABILITIES","FQ2 2025","FQ2 2025","Currency=USD","Period=FQ","BEST_FPERIOD_OVERRIDE=FQ","FILING_STATUS=MR","SCALING_FORMAT=MLN","Sort=A","Dates=H","DateFormat=P","Fill=—","Direction=H","UseDPDF=Y")</f>
        <v>—</v>
      </c>
      <c r="AE56" s="13" t="str" cm="1">
        <f t="array" ref="AE56">_xll.BDH("CAT US Equity","LT_CAPITALIZED_LEASE_LIABILITIES","FQ3 2025","FQ3 2025","Currency=USD","Period=FQ","BEST_FPERIOD_OVERRIDE=FQ","FILING_STATUS=MR","SCALING_FORMAT=MLN","Sort=A","Dates=H","DateFormat=P","Fill=—","Direction=H","UseDPDF=Y")</f>
        <v>—</v>
      </c>
      <c r="AF56" s="13" cm="1">
        <f t="array" ref="AF56">_xll.BDH("CAT US Equity","LT_CAPITALIZED_LEASE_LIABILITIES","FQ4 2025","FQ4 2025","Currency=USD","Period=FQ","BEST_FPERIOD_OVERRIDE=FQ","FILING_STATUS=MR","SCALING_FORMAT=MLN","Sort=A","Dates=H","DateFormat=P","Fill=—","Direction=H","UseDPDF=Y")</f>
        <v>570</v>
      </c>
    </row>
    <row r="57" spans="1:32" x14ac:dyDescent="0.25">
      <c r="A57" s="11" t="s">
        <v>161</v>
      </c>
      <c r="B57" s="11" t="s">
        <v>162</v>
      </c>
      <c r="C57" s="17" t="str" cm="1">
        <f t="array" ref="C57">_xll.BDH("CAT US Equity","LT_CAPITAL_LEASE_OBLIGATIONS","FQ3 2018","FQ3 2018","Currency=USD","Period=FQ","BEST_FPERIOD_OVERRIDE=FQ","FILING_STATUS=MR","SCALING_FORMAT=MLN","Sort=A","Dates=H","DateFormat=P","Fill=—","Direction=H","UseDPDF=Y")</f>
        <v>—</v>
      </c>
      <c r="D57" s="17" t="str" cm="1">
        <f t="array" ref="D57">_xll.BDH("CAT US Equity","LT_CAPITAL_LEASE_OBLIGATIONS","FQ4 2018","FQ4 2018","Currency=USD","Period=FQ","BEST_FPERIOD_OVERRIDE=FQ","FILING_STATUS=MR","SCALING_FORMAT=MLN","Sort=A","Dates=H","DateFormat=P","Fill=—","Direction=H","UseDPDF=Y")</f>
        <v>—</v>
      </c>
      <c r="E57" s="17" t="str" cm="1">
        <f t="array" ref="E57">_xll.BDH("CAT US Equity","LT_CAPITAL_LEASE_OBLIGATIONS","FQ1 2019","FQ1 2019","Currency=USD","Period=FQ","BEST_FPERIOD_OVERRIDE=FQ","FILING_STATUS=MR","SCALING_FORMAT=MLN","Sort=A","Dates=H","DateFormat=P","Fill=—","Direction=H","UseDPDF=Y")</f>
        <v>—</v>
      </c>
      <c r="F57" s="17" t="str" cm="1">
        <f t="array" ref="F57">_xll.BDH("CAT US Equity","LT_CAPITAL_LEASE_OBLIGATIONS","FQ2 2019","FQ2 2019","Currency=USD","Period=FQ","BEST_FPERIOD_OVERRIDE=FQ","FILING_STATUS=MR","SCALING_FORMAT=MLN","Sort=A","Dates=H","DateFormat=P","Fill=—","Direction=H","UseDPDF=Y")</f>
        <v>—</v>
      </c>
      <c r="G57" s="17" t="str" cm="1">
        <f t="array" ref="G57">_xll.BDH("CAT US Equity","LT_CAPITAL_LEASE_OBLIGATIONS","FQ3 2019","FQ3 2019","Currency=USD","Period=FQ","BEST_FPERIOD_OVERRIDE=FQ","FILING_STATUS=MR","SCALING_FORMAT=MLN","Sort=A","Dates=H","DateFormat=P","Fill=—","Direction=H","UseDPDF=Y")</f>
        <v>—</v>
      </c>
      <c r="H57" s="17" cm="1">
        <f t="array" ref="H57">_xll.BDH("CAT US Equity","LT_CAPITAL_LEASE_OBLIGATIONS","FQ4 2019","FQ4 2019","Currency=USD","Period=FQ","BEST_FPERIOD_OVERRIDE=FQ","FILING_STATUS=MR","SCALING_FORMAT=MLN","Sort=A","Dates=H","DateFormat=P","Fill=—","Direction=H","UseDPDF=Y")</f>
        <v>0</v>
      </c>
      <c r="I57" s="17" t="str" cm="1">
        <f t="array" ref="I57">_xll.BDH("CAT US Equity","LT_CAPITAL_LEASE_OBLIGATIONS","FQ1 2020","FQ1 2020","Currency=USD","Period=FQ","BEST_FPERIOD_OVERRIDE=FQ","FILING_STATUS=MR","SCALING_FORMAT=MLN","Sort=A","Dates=H","DateFormat=P","Fill=—","Direction=H","UseDPDF=Y")</f>
        <v>—</v>
      </c>
      <c r="J57" s="17" t="str" cm="1">
        <f t="array" ref="J57">_xll.BDH("CAT US Equity","LT_CAPITAL_LEASE_OBLIGATIONS","FQ2 2020","FQ2 2020","Currency=USD","Period=FQ","BEST_FPERIOD_OVERRIDE=FQ","FILING_STATUS=MR","SCALING_FORMAT=MLN","Sort=A","Dates=H","DateFormat=P","Fill=—","Direction=H","UseDPDF=Y")</f>
        <v>—</v>
      </c>
      <c r="K57" s="17" t="str" cm="1">
        <f t="array" ref="K57">_xll.BDH("CAT US Equity","LT_CAPITAL_LEASE_OBLIGATIONS","FQ3 2020","FQ3 2020","Currency=USD","Period=FQ","BEST_FPERIOD_OVERRIDE=FQ","FILING_STATUS=MR","SCALING_FORMAT=MLN","Sort=A","Dates=H","DateFormat=P","Fill=—","Direction=H","UseDPDF=Y")</f>
        <v>—</v>
      </c>
      <c r="L57" s="17" cm="1">
        <f t="array" ref="L57">_xll.BDH("CAT US Equity","LT_CAPITAL_LEASE_OBLIGATIONS","FQ4 2020","FQ4 2020","Currency=USD","Period=FQ","BEST_FPERIOD_OVERRIDE=FQ","FILING_STATUS=MR","SCALING_FORMAT=MLN","Sort=A","Dates=H","DateFormat=P","Fill=—","Direction=H","UseDPDF=Y")</f>
        <v>0</v>
      </c>
      <c r="M57" s="17" t="str" cm="1">
        <f t="array" ref="M57">_xll.BDH("CAT US Equity","LT_CAPITAL_LEASE_OBLIGATIONS","FQ1 2021","FQ1 2021","Currency=USD","Period=FQ","BEST_FPERIOD_OVERRIDE=FQ","FILING_STATUS=MR","SCALING_FORMAT=MLN","Sort=A","Dates=H","DateFormat=P","Fill=—","Direction=H","UseDPDF=Y")</f>
        <v>—</v>
      </c>
      <c r="N57" s="17" t="str" cm="1">
        <f t="array" ref="N57">_xll.BDH("CAT US Equity","LT_CAPITAL_LEASE_OBLIGATIONS","FQ2 2021","FQ2 2021","Currency=USD","Period=FQ","BEST_FPERIOD_OVERRIDE=FQ","FILING_STATUS=MR","SCALING_FORMAT=MLN","Sort=A","Dates=H","DateFormat=P","Fill=—","Direction=H","UseDPDF=Y")</f>
        <v>—</v>
      </c>
      <c r="O57" s="17" t="str" cm="1">
        <f t="array" ref="O57">_xll.BDH("CAT US Equity","LT_CAPITAL_LEASE_OBLIGATIONS","FQ3 2021","FQ3 2021","Currency=USD","Period=FQ","BEST_FPERIOD_OVERRIDE=FQ","FILING_STATUS=MR","SCALING_FORMAT=MLN","Sort=A","Dates=H","DateFormat=P","Fill=—","Direction=H","UseDPDF=Y")</f>
        <v>—</v>
      </c>
      <c r="P57" s="17" cm="1">
        <f t="array" ref="P57">_xll.BDH("CAT US Equity","LT_CAPITAL_LEASE_OBLIGATIONS","FQ4 2021","FQ4 2021","Currency=USD","Period=FQ","BEST_FPERIOD_OVERRIDE=FQ","FILING_STATUS=MR","SCALING_FORMAT=MLN","Sort=A","Dates=H","DateFormat=P","Fill=—","Direction=H","UseDPDF=Y")</f>
        <v>0</v>
      </c>
      <c r="Q57" s="17" t="str" cm="1">
        <f t="array" ref="Q57">_xll.BDH("CAT US Equity","LT_CAPITAL_LEASE_OBLIGATIONS","FQ1 2022","FQ1 2022","Currency=USD","Period=FQ","BEST_FPERIOD_OVERRIDE=FQ","FILING_STATUS=MR","SCALING_FORMAT=MLN","Sort=A","Dates=H","DateFormat=P","Fill=—","Direction=H","UseDPDF=Y")</f>
        <v>—</v>
      </c>
      <c r="R57" s="17" t="str" cm="1">
        <f t="array" ref="R57">_xll.BDH("CAT US Equity","LT_CAPITAL_LEASE_OBLIGATIONS","FQ2 2022","FQ2 2022","Currency=USD","Period=FQ","BEST_FPERIOD_OVERRIDE=FQ","FILING_STATUS=MR","SCALING_FORMAT=MLN","Sort=A","Dates=H","DateFormat=P","Fill=—","Direction=H","UseDPDF=Y")</f>
        <v>—</v>
      </c>
      <c r="S57" s="17" t="str" cm="1">
        <f t="array" ref="S57">_xll.BDH("CAT US Equity","LT_CAPITAL_LEASE_OBLIGATIONS","FQ3 2022","FQ3 2022","Currency=USD","Period=FQ","BEST_FPERIOD_OVERRIDE=FQ","FILING_STATUS=MR","SCALING_FORMAT=MLN","Sort=A","Dates=H","DateFormat=P","Fill=—","Direction=H","UseDPDF=Y")</f>
        <v>—</v>
      </c>
      <c r="T57" s="17" cm="1">
        <f t="array" ref="T57">_xll.BDH("CAT US Equity","LT_CAPITAL_LEASE_OBLIGATIONS","FQ4 2022","FQ4 2022","Currency=USD","Period=FQ","BEST_FPERIOD_OVERRIDE=FQ","FILING_STATUS=MR","SCALING_FORMAT=MLN","Sort=A","Dates=H","DateFormat=P","Fill=—","Direction=H","UseDPDF=Y")</f>
        <v>0</v>
      </c>
      <c r="U57" s="17" t="str" cm="1">
        <f t="array" ref="U57">_xll.BDH("CAT US Equity","LT_CAPITAL_LEASE_OBLIGATIONS","FQ1 2023","FQ1 2023","Currency=USD","Period=FQ","BEST_FPERIOD_OVERRIDE=FQ","FILING_STATUS=MR","SCALING_FORMAT=MLN","Sort=A","Dates=H","DateFormat=P","Fill=—","Direction=H","UseDPDF=Y")</f>
        <v>—</v>
      </c>
      <c r="V57" s="17" t="str" cm="1">
        <f t="array" ref="V57">_xll.BDH("CAT US Equity","LT_CAPITAL_LEASE_OBLIGATIONS","FQ2 2023","FQ2 2023","Currency=USD","Period=FQ","BEST_FPERIOD_OVERRIDE=FQ","FILING_STATUS=MR","SCALING_FORMAT=MLN","Sort=A","Dates=H","DateFormat=P","Fill=—","Direction=H","UseDPDF=Y")</f>
        <v>—</v>
      </c>
      <c r="W57" s="17" t="str" cm="1">
        <f t="array" ref="W57">_xll.BDH("CAT US Equity","LT_CAPITAL_LEASE_OBLIGATIONS","FQ3 2023","FQ3 2023","Currency=USD","Period=FQ","BEST_FPERIOD_OVERRIDE=FQ","FILING_STATUS=MR","SCALING_FORMAT=MLN","Sort=A","Dates=H","DateFormat=P","Fill=—","Direction=H","UseDPDF=Y")</f>
        <v>—</v>
      </c>
      <c r="X57" s="17" cm="1">
        <f t="array" ref="X57">_xll.BDH("CAT US Equity","LT_CAPITAL_LEASE_OBLIGATIONS","FQ4 2023","FQ4 2023","Currency=USD","Period=FQ","BEST_FPERIOD_OVERRIDE=FQ","FILING_STATUS=MR","SCALING_FORMAT=MLN","Sort=A","Dates=H","DateFormat=P","Fill=—","Direction=H","UseDPDF=Y")</f>
        <v>0</v>
      </c>
      <c r="Y57" s="17" t="str" cm="1">
        <f t="array" ref="Y57">_xll.BDH("CAT US Equity","LT_CAPITAL_LEASE_OBLIGATIONS","FQ1 2024","FQ1 2024","Currency=USD","Period=FQ","BEST_FPERIOD_OVERRIDE=FQ","FILING_STATUS=MR","SCALING_FORMAT=MLN","Sort=A","Dates=H","DateFormat=P","Fill=—","Direction=H","UseDPDF=Y")</f>
        <v>—</v>
      </c>
      <c r="Z57" s="17" t="str" cm="1">
        <f t="array" ref="Z57">_xll.BDH("CAT US Equity","LT_CAPITAL_LEASE_OBLIGATIONS","FQ2 2024","FQ2 2024","Currency=USD","Period=FQ","BEST_FPERIOD_OVERRIDE=FQ","FILING_STATUS=MR","SCALING_FORMAT=MLN","Sort=A","Dates=H","DateFormat=P","Fill=—","Direction=H","UseDPDF=Y")</f>
        <v>—</v>
      </c>
      <c r="AA57" s="17" t="str" cm="1">
        <f t="array" ref="AA57">_xll.BDH("CAT US Equity","LT_CAPITAL_LEASE_OBLIGATIONS","FQ3 2024","FQ3 2024","Currency=USD","Period=FQ","BEST_FPERIOD_OVERRIDE=FQ","FILING_STATUS=MR","SCALING_FORMAT=MLN","Sort=A","Dates=H","DateFormat=P","Fill=—","Direction=H","UseDPDF=Y")</f>
        <v>—</v>
      </c>
      <c r="AB57" s="17" cm="1">
        <f t="array" ref="AB57">_xll.BDH("CAT US Equity","LT_CAPITAL_LEASE_OBLIGATIONS","FQ4 2024","FQ4 2024","Currency=USD","Period=FQ","BEST_FPERIOD_OVERRIDE=FQ","FILING_STATUS=MR","SCALING_FORMAT=MLN","Sort=A","Dates=H","DateFormat=P","Fill=—","Direction=H","UseDPDF=Y")</f>
        <v>0</v>
      </c>
      <c r="AC57" s="17" t="str" cm="1">
        <f t="array" ref="AC57">_xll.BDH("CAT US Equity","LT_CAPITAL_LEASE_OBLIGATIONS","FQ1 2025","FQ1 2025","Currency=USD","Period=FQ","BEST_FPERIOD_OVERRIDE=FQ","FILING_STATUS=MR","SCALING_FORMAT=MLN","Sort=A","Dates=H","DateFormat=P","Fill=—","Direction=H","UseDPDF=Y")</f>
        <v>—</v>
      </c>
      <c r="AD57" s="17" t="str" cm="1">
        <f t="array" ref="AD57">_xll.BDH("CAT US Equity","LT_CAPITAL_LEASE_OBLIGATIONS","FQ2 2025","FQ2 2025","Currency=USD","Period=FQ","BEST_FPERIOD_OVERRIDE=FQ","FILING_STATUS=MR","SCALING_FORMAT=MLN","Sort=A","Dates=H","DateFormat=P","Fill=—","Direction=H","UseDPDF=Y")</f>
        <v>—</v>
      </c>
      <c r="AE57" s="17" t="str" cm="1">
        <f t="array" ref="AE57">_xll.BDH("CAT US Equity","LT_CAPITAL_LEASE_OBLIGATIONS","FQ3 2025","FQ3 2025","Currency=USD","Period=FQ","BEST_FPERIOD_OVERRIDE=FQ","FILING_STATUS=MR","SCALING_FORMAT=MLN","Sort=A","Dates=H","DateFormat=P","Fill=—","Direction=H","UseDPDF=Y")</f>
        <v>—</v>
      </c>
      <c r="AF57" s="17" cm="1">
        <f t="array" ref="AF57">_xll.BDH("CAT US Equity","LT_CAPITAL_LEASE_OBLIGATIONS","FQ4 2025","FQ4 2025","Currency=USD","Period=FQ","BEST_FPERIOD_OVERRIDE=FQ","FILING_STATUS=MR","SCALING_FORMAT=MLN","Sort=A","Dates=H","DateFormat=P","Fill=—","Direction=H","UseDPDF=Y")</f>
        <v>0</v>
      </c>
    </row>
    <row r="58" spans="1:32" x14ac:dyDescent="0.25">
      <c r="A58" s="11" t="s">
        <v>163</v>
      </c>
      <c r="B58" s="11" t="s">
        <v>164</v>
      </c>
      <c r="C58" s="17" t="str" cm="1">
        <f t="array" ref="C58">_xll.BDH("CAT US Equity","BS_LT_OPERATING_LEASE_LIABS","FQ3 2018","FQ3 2018","Currency=USD","Period=FQ","BEST_FPERIOD_OVERRIDE=FQ","FILING_STATUS=MR","SCALING_FORMAT=MLN","Sort=A","Dates=H","DateFormat=P","Fill=—","Direction=H","UseDPDF=Y")</f>
        <v>—</v>
      </c>
      <c r="D58" s="17" t="str" cm="1">
        <f t="array" ref="D58">_xll.BDH("CAT US Equity","BS_LT_OPERATING_LEASE_LIABS","FQ4 2018","FQ4 2018","Currency=USD","Period=FQ","BEST_FPERIOD_OVERRIDE=FQ","FILING_STATUS=MR","SCALING_FORMAT=MLN","Sort=A","Dates=H","DateFormat=P","Fill=—","Direction=H","UseDPDF=Y")</f>
        <v>—</v>
      </c>
      <c r="E58" s="17" cm="1">
        <f t="array" ref="E58">_xll.BDH("CAT US Equity","BS_LT_OPERATING_LEASE_LIABS","FQ1 2019","FQ1 2019","Currency=USD","Period=FQ","BEST_FPERIOD_OVERRIDE=FQ","FILING_STATUS=MR","SCALING_FORMAT=MLN","Sort=A","Dates=H","DateFormat=P","Fill=—","Direction=H","UseDPDF=Y")</f>
        <v>513</v>
      </c>
      <c r="F58" s="17" cm="1">
        <f t="array" ref="F58">_xll.BDH("CAT US Equity","BS_LT_OPERATING_LEASE_LIABS","FQ2 2019","FQ2 2019","Currency=USD","Period=FQ","BEST_FPERIOD_OVERRIDE=FQ","FILING_STATUS=MR","SCALING_FORMAT=MLN","Sort=A","Dates=H","DateFormat=P","Fill=—","Direction=H","UseDPDF=Y")</f>
        <v>480</v>
      </c>
      <c r="G58" s="17" cm="1">
        <f t="array" ref="G58">_xll.BDH("CAT US Equity","BS_LT_OPERATING_LEASE_LIABS","FQ3 2019","FQ3 2019","Currency=USD","Period=FQ","BEST_FPERIOD_OVERRIDE=FQ","FILING_STATUS=MR","SCALING_FORMAT=MLN","Sort=A","Dates=H","DateFormat=P","Fill=—","Direction=H","UseDPDF=Y")</f>
        <v>462</v>
      </c>
      <c r="H58" s="17" cm="1">
        <f t="array" ref="H58">_xll.BDH("CAT US Equity","BS_LT_OPERATING_LEASE_LIABS","FQ4 2019","FQ4 2019","Currency=USD","Period=FQ","BEST_FPERIOD_OVERRIDE=FQ","FILING_STATUS=MR","SCALING_FORMAT=MLN","Sort=A","Dates=H","DateFormat=P","Fill=—","Direction=H","UseDPDF=Y")</f>
        <v>461</v>
      </c>
      <c r="I58" s="17" t="str" cm="1">
        <f t="array" ref="I58">_xll.BDH("CAT US Equity","BS_LT_OPERATING_LEASE_LIABS","FQ1 2020","FQ1 2020","Currency=USD","Period=FQ","BEST_FPERIOD_OVERRIDE=FQ","FILING_STATUS=MR","SCALING_FORMAT=MLN","Sort=A","Dates=H","DateFormat=P","Fill=—","Direction=H","UseDPDF=Y")</f>
        <v>—</v>
      </c>
      <c r="J58" s="17" t="str" cm="1">
        <f t="array" ref="J58">_xll.BDH("CAT US Equity","BS_LT_OPERATING_LEASE_LIABS","FQ2 2020","FQ2 2020","Currency=USD","Period=FQ","BEST_FPERIOD_OVERRIDE=FQ","FILING_STATUS=MR","SCALING_FORMAT=MLN","Sort=A","Dates=H","DateFormat=P","Fill=—","Direction=H","UseDPDF=Y")</f>
        <v>—</v>
      </c>
      <c r="K58" s="17" t="str" cm="1">
        <f t="array" ref="K58">_xll.BDH("CAT US Equity","BS_LT_OPERATING_LEASE_LIABS","FQ3 2020","FQ3 2020","Currency=USD","Period=FQ","BEST_FPERIOD_OVERRIDE=FQ","FILING_STATUS=MR","SCALING_FORMAT=MLN","Sort=A","Dates=H","DateFormat=P","Fill=—","Direction=H","UseDPDF=Y")</f>
        <v>—</v>
      </c>
      <c r="L58" s="17" cm="1">
        <f t="array" ref="L58">_xll.BDH("CAT US Equity","BS_LT_OPERATING_LEASE_LIABS","FQ4 2020","FQ4 2020","Currency=USD","Period=FQ","BEST_FPERIOD_OVERRIDE=FQ","FILING_STATUS=MR","SCALING_FORMAT=MLN","Sort=A","Dates=H","DateFormat=P","Fill=—","Direction=H","UseDPDF=Y")</f>
        <v>457</v>
      </c>
      <c r="M58" s="17" t="str" cm="1">
        <f t="array" ref="M58">_xll.BDH("CAT US Equity","BS_LT_OPERATING_LEASE_LIABS","FQ1 2021","FQ1 2021","Currency=USD","Period=FQ","BEST_FPERIOD_OVERRIDE=FQ","FILING_STATUS=MR","SCALING_FORMAT=MLN","Sort=A","Dates=H","DateFormat=P","Fill=—","Direction=H","UseDPDF=Y")</f>
        <v>—</v>
      </c>
      <c r="N58" s="17" t="str" cm="1">
        <f t="array" ref="N58">_xll.BDH("CAT US Equity","BS_LT_OPERATING_LEASE_LIABS","FQ2 2021","FQ2 2021","Currency=USD","Period=FQ","BEST_FPERIOD_OVERRIDE=FQ","FILING_STATUS=MR","SCALING_FORMAT=MLN","Sort=A","Dates=H","DateFormat=P","Fill=—","Direction=H","UseDPDF=Y")</f>
        <v>—</v>
      </c>
      <c r="O58" s="17" t="str" cm="1">
        <f t="array" ref="O58">_xll.BDH("CAT US Equity","BS_LT_OPERATING_LEASE_LIABS","FQ3 2021","FQ3 2021","Currency=USD","Period=FQ","BEST_FPERIOD_OVERRIDE=FQ","FILING_STATUS=MR","SCALING_FORMAT=MLN","Sort=A","Dates=H","DateFormat=P","Fill=—","Direction=H","UseDPDF=Y")</f>
        <v>—</v>
      </c>
      <c r="P58" s="17" cm="1">
        <f t="array" ref="P58">_xll.BDH("CAT US Equity","BS_LT_OPERATING_LEASE_LIABS","FQ4 2021","FQ4 2021","Currency=USD","Period=FQ","BEST_FPERIOD_OVERRIDE=FQ","FILING_STATUS=MR","SCALING_FORMAT=MLN","Sort=A","Dates=H","DateFormat=P","Fill=—","Direction=H","UseDPDF=Y")</f>
        <v>484</v>
      </c>
      <c r="Q58" s="17" t="str" cm="1">
        <f t="array" ref="Q58">_xll.BDH("CAT US Equity","BS_LT_OPERATING_LEASE_LIABS","FQ1 2022","FQ1 2022","Currency=USD","Period=FQ","BEST_FPERIOD_OVERRIDE=FQ","FILING_STATUS=MR","SCALING_FORMAT=MLN","Sort=A","Dates=H","DateFormat=P","Fill=—","Direction=H","UseDPDF=Y")</f>
        <v>—</v>
      </c>
      <c r="R58" s="17" t="str" cm="1">
        <f t="array" ref="R58">_xll.BDH("CAT US Equity","BS_LT_OPERATING_LEASE_LIABS","FQ2 2022","FQ2 2022","Currency=USD","Period=FQ","BEST_FPERIOD_OVERRIDE=FQ","FILING_STATUS=MR","SCALING_FORMAT=MLN","Sort=A","Dates=H","DateFormat=P","Fill=—","Direction=H","UseDPDF=Y")</f>
        <v>—</v>
      </c>
      <c r="S58" s="17" t="str" cm="1">
        <f t="array" ref="S58">_xll.BDH("CAT US Equity","BS_LT_OPERATING_LEASE_LIABS","FQ3 2022","FQ3 2022","Currency=USD","Period=FQ","BEST_FPERIOD_OVERRIDE=FQ","FILING_STATUS=MR","SCALING_FORMAT=MLN","Sort=A","Dates=H","DateFormat=P","Fill=—","Direction=H","UseDPDF=Y")</f>
        <v>—</v>
      </c>
      <c r="T58" s="17" cm="1">
        <f t="array" ref="T58">_xll.BDH("CAT US Equity","BS_LT_OPERATING_LEASE_LIABS","FQ4 2022","FQ4 2022","Currency=USD","Period=FQ","BEST_FPERIOD_OVERRIDE=FQ","FILING_STATUS=MR","SCALING_FORMAT=MLN","Sort=A","Dates=H","DateFormat=P","Fill=—","Direction=H","UseDPDF=Y")</f>
        <v>428</v>
      </c>
      <c r="U58" s="17" t="str" cm="1">
        <f t="array" ref="U58">_xll.BDH("CAT US Equity","BS_LT_OPERATING_LEASE_LIABS","FQ1 2023","FQ1 2023","Currency=USD","Period=FQ","BEST_FPERIOD_OVERRIDE=FQ","FILING_STATUS=MR","SCALING_FORMAT=MLN","Sort=A","Dates=H","DateFormat=P","Fill=—","Direction=H","UseDPDF=Y")</f>
        <v>—</v>
      </c>
      <c r="V58" s="17" t="str" cm="1">
        <f t="array" ref="V58">_xll.BDH("CAT US Equity","BS_LT_OPERATING_LEASE_LIABS","FQ2 2023","FQ2 2023","Currency=USD","Period=FQ","BEST_FPERIOD_OVERRIDE=FQ","FILING_STATUS=MR","SCALING_FORMAT=MLN","Sort=A","Dates=H","DateFormat=P","Fill=—","Direction=H","UseDPDF=Y")</f>
        <v>—</v>
      </c>
      <c r="W58" s="17" t="str" cm="1">
        <f t="array" ref="W58">_xll.BDH("CAT US Equity","BS_LT_OPERATING_LEASE_LIABS","FQ3 2023","FQ3 2023","Currency=USD","Period=FQ","BEST_FPERIOD_OVERRIDE=FQ","FILING_STATUS=MR","SCALING_FORMAT=MLN","Sort=A","Dates=H","DateFormat=P","Fill=—","Direction=H","UseDPDF=Y")</f>
        <v>—</v>
      </c>
      <c r="X58" s="17" cm="1">
        <f t="array" ref="X58">_xll.BDH("CAT US Equity","BS_LT_OPERATING_LEASE_LIABS","FQ4 2023","FQ4 2023","Currency=USD","Period=FQ","BEST_FPERIOD_OVERRIDE=FQ","FILING_STATUS=MR","SCALING_FORMAT=MLN","Sort=A","Dates=H","DateFormat=P","Fill=—","Direction=H","UseDPDF=Y")</f>
        <v>427</v>
      </c>
      <c r="Y58" s="17" t="str" cm="1">
        <f t="array" ref="Y58">_xll.BDH("CAT US Equity","BS_LT_OPERATING_LEASE_LIABS","FQ1 2024","FQ1 2024","Currency=USD","Period=FQ","BEST_FPERIOD_OVERRIDE=FQ","FILING_STATUS=MR","SCALING_FORMAT=MLN","Sort=A","Dates=H","DateFormat=P","Fill=—","Direction=H","UseDPDF=Y")</f>
        <v>—</v>
      </c>
      <c r="Z58" s="17" t="str" cm="1">
        <f t="array" ref="Z58">_xll.BDH("CAT US Equity","BS_LT_OPERATING_LEASE_LIABS","FQ2 2024","FQ2 2024","Currency=USD","Period=FQ","BEST_FPERIOD_OVERRIDE=FQ","FILING_STATUS=MR","SCALING_FORMAT=MLN","Sort=A","Dates=H","DateFormat=P","Fill=—","Direction=H","UseDPDF=Y")</f>
        <v>—</v>
      </c>
      <c r="AA58" s="17" t="str" cm="1">
        <f t="array" ref="AA58">_xll.BDH("CAT US Equity","BS_LT_OPERATING_LEASE_LIABS","FQ3 2024","FQ3 2024","Currency=USD","Period=FQ","BEST_FPERIOD_OVERRIDE=FQ","FILING_STATUS=MR","SCALING_FORMAT=MLN","Sort=A","Dates=H","DateFormat=P","Fill=—","Direction=H","UseDPDF=Y")</f>
        <v>—</v>
      </c>
      <c r="AB58" s="17" cm="1">
        <f t="array" ref="AB58">_xll.BDH("CAT US Equity","BS_LT_OPERATING_LEASE_LIABS","FQ4 2024","FQ4 2024","Currency=USD","Period=FQ","BEST_FPERIOD_OVERRIDE=FQ","FILING_STATUS=MR","SCALING_FORMAT=MLN","Sort=A","Dates=H","DateFormat=P","Fill=—","Direction=H","UseDPDF=Y")</f>
        <v>459</v>
      </c>
      <c r="AC58" s="17" t="str" cm="1">
        <f t="array" ref="AC58">_xll.BDH("CAT US Equity","BS_LT_OPERATING_LEASE_LIABS","FQ1 2025","FQ1 2025","Currency=USD","Period=FQ","BEST_FPERIOD_OVERRIDE=FQ","FILING_STATUS=MR","SCALING_FORMAT=MLN","Sort=A","Dates=H","DateFormat=P","Fill=—","Direction=H","UseDPDF=Y")</f>
        <v>—</v>
      </c>
      <c r="AD58" s="17" t="str" cm="1">
        <f t="array" ref="AD58">_xll.BDH("CAT US Equity","BS_LT_OPERATING_LEASE_LIABS","FQ2 2025","FQ2 2025","Currency=USD","Period=FQ","BEST_FPERIOD_OVERRIDE=FQ","FILING_STATUS=MR","SCALING_FORMAT=MLN","Sort=A","Dates=H","DateFormat=P","Fill=—","Direction=H","UseDPDF=Y")</f>
        <v>—</v>
      </c>
      <c r="AE58" s="17" t="str" cm="1">
        <f t="array" ref="AE58">_xll.BDH("CAT US Equity","BS_LT_OPERATING_LEASE_LIABS","FQ3 2025","FQ3 2025","Currency=USD","Period=FQ","BEST_FPERIOD_OVERRIDE=FQ","FILING_STATUS=MR","SCALING_FORMAT=MLN","Sort=A","Dates=H","DateFormat=P","Fill=—","Direction=H","UseDPDF=Y")</f>
        <v>—</v>
      </c>
      <c r="AF58" s="17" cm="1">
        <f t="array" ref="AF58">_xll.BDH("CAT US Equity","BS_LT_OPERATING_LEASE_LIABS","FQ4 2025","FQ4 2025","Currency=USD","Period=FQ","BEST_FPERIOD_OVERRIDE=FQ","FILING_STATUS=MR","SCALING_FORMAT=MLN","Sort=A","Dates=H","DateFormat=P","Fill=—","Direction=H","UseDPDF=Y")</f>
        <v>570</v>
      </c>
    </row>
    <row r="59" spans="1:32" x14ac:dyDescent="0.25">
      <c r="A59" s="10" t="s">
        <v>165</v>
      </c>
      <c r="B59" s="10" t="s">
        <v>166</v>
      </c>
      <c r="C59" s="13" cm="1">
        <f t="array" ref="C59">_xll.BDH("CAT US Equity","OTHER_NONCUR_LIABS_SUB_DETAILED","FQ3 2018","FQ3 2018","Currency=USD","Period=FQ","BEST_FPERIOD_OVERRIDE=FQ","FILING_STATUS=MR","SCALING_FORMAT=MLN","Sort=A","Dates=H","DateFormat=P","Fill=—","Direction=H","UseDPDF=Y")</f>
        <v>10845</v>
      </c>
      <c r="D59" s="13" cm="1">
        <f t="array" ref="D59">_xll.BDH("CAT US Equity","OTHER_NONCUR_LIABS_SUB_DETAILED","FQ4 2018","FQ4 2018","Currency=USD","Period=FQ","BEST_FPERIOD_OVERRIDE=FQ","FILING_STATUS=MR","SCALING_FORMAT=MLN","Sort=A","Dates=H","DateFormat=P","Fill=—","Direction=H","UseDPDF=Y")</f>
        <v>11211</v>
      </c>
      <c r="E59" s="13" cm="1">
        <f t="array" ref="E59">_xll.BDH("CAT US Equity","OTHER_NONCUR_LIABS_SUB_DETAILED","FQ1 2019","FQ1 2019","Currency=USD","Period=FQ","BEST_FPERIOD_OVERRIDE=FQ","FILING_STATUS=MR","SCALING_FORMAT=MLN","Sort=A","Dates=H","DateFormat=P","Fill=—","Direction=H","UseDPDF=Y")</f>
        <v>11107</v>
      </c>
      <c r="F59" s="13" cm="1">
        <f t="array" ref="F59">_xll.BDH("CAT US Equity","OTHER_NONCUR_LIABS_SUB_DETAILED","FQ2 2019","FQ2 2019","Currency=USD","Period=FQ","BEST_FPERIOD_OVERRIDE=FQ","FILING_STATUS=MR","SCALING_FORMAT=MLN","Sort=A","Dates=H","DateFormat=P","Fill=—","Direction=H","UseDPDF=Y")</f>
        <v>11330</v>
      </c>
      <c r="G59" s="13" cm="1">
        <f t="array" ref="G59">_xll.BDH("CAT US Equity","OTHER_NONCUR_LIABS_SUB_DETAILED","FQ3 2019","FQ3 2019","Currency=USD","Period=FQ","BEST_FPERIOD_OVERRIDE=FQ","FILING_STATUS=MR","SCALING_FORMAT=MLN","Sort=A","Dates=H","DateFormat=P","Fill=—","Direction=H","UseDPDF=Y")</f>
        <v>9749</v>
      </c>
      <c r="H59" s="13" cm="1">
        <f t="array" ref="H59">_xll.BDH("CAT US Equity","OTHER_NONCUR_LIABS_SUB_DETAILED","FQ4 2019","FQ4 2019","Currency=USD","Period=FQ","BEST_FPERIOD_OVERRIDE=FQ","FILING_STATUS=MR","SCALING_FORMAT=MLN","Sort=A","Dates=H","DateFormat=P","Fill=—","Direction=H","UseDPDF=Y")</f>
        <v>10461</v>
      </c>
      <c r="I59" s="13" cm="1">
        <f t="array" ref="I59">_xll.BDH("CAT US Equity","OTHER_NONCUR_LIABS_SUB_DETAILED","FQ1 2020","FQ1 2020","Currency=USD","Period=FQ","BEST_FPERIOD_OVERRIDE=FQ","FILING_STATUS=MR","SCALING_FORMAT=MLN","Sort=A","Dates=H","DateFormat=P","Fill=—","Direction=H","UseDPDF=Y")</f>
        <v>10770</v>
      </c>
      <c r="J59" s="13" cm="1">
        <f t="array" ref="J59">_xll.BDH("CAT US Equity","OTHER_NONCUR_LIABS_SUB_DETAILED","FQ2 2020","FQ2 2020","Currency=USD","Period=FQ","BEST_FPERIOD_OVERRIDE=FQ","FILING_STATUS=MR","SCALING_FORMAT=MLN","Sort=A","Dates=H","DateFormat=P","Fill=—","Direction=H","UseDPDF=Y")</f>
        <v>10651</v>
      </c>
      <c r="K59" s="13" cm="1">
        <f t="array" ref="K59">_xll.BDH("CAT US Equity","OTHER_NONCUR_LIABS_SUB_DETAILED","FQ3 2020","FQ3 2020","Currency=USD","Period=FQ","BEST_FPERIOD_OVERRIDE=FQ","FILING_STATUS=MR","SCALING_FORMAT=MLN","Sort=A","Dates=H","DateFormat=P","Fill=—","Direction=H","UseDPDF=Y")</f>
        <v>10662</v>
      </c>
      <c r="L59" s="13" cm="1">
        <f t="array" ref="L59">_xll.BDH("CAT US Equity","OTHER_NONCUR_LIABS_SUB_DETAILED","FQ4 2020","FQ4 2020","Currency=USD","Period=FQ","BEST_FPERIOD_OVERRIDE=FQ","FILING_STATUS=MR","SCALING_FORMAT=MLN","Sort=A","Dates=H","DateFormat=P","Fill=—","Direction=H","UseDPDF=Y")</f>
        <v>10773</v>
      </c>
      <c r="M59" s="13" cm="1">
        <f t="array" ref="M59">_xll.BDH("CAT US Equity","OTHER_NONCUR_LIABS_SUB_DETAILED","FQ1 2021","FQ1 2021","Currency=USD","Period=FQ","BEST_FPERIOD_OVERRIDE=FQ","FILING_STATUS=MR","SCALING_FORMAT=MLN","Sort=A","Dates=H","DateFormat=P","Fill=—","Direction=H","UseDPDF=Y")</f>
        <v>11178</v>
      </c>
      <c r="N59" s="13" cm="1">
        <f t="array" ref="N59">_xll.BDH("CAT US Equity","OTHER_NONCUR_LIABS_SUB_DETAILED","FQ2 2021","FQ2 2021","Currency=USD","Period=FQ","BEST_FPERIOD_OVERRIDE=FQ","FILING_STATUS=MR","SCALING_FORMAT=MLN","Sort=A","Dates=H","DateFormat=P","Fill=—","Direction=H","UseDPDF=Y")</f>
        <v>11105</v>
      </c>
      <c r="O59" s="13" cm="1">
        <f t="array" ref="O59">_xll.BDH("CAT US Equity","OTHER_NONCUR_LIABS_SUB_DETAILED","FQ3 2021","FQ3 2021","Currency=USD","Period=FQ","BEST_FPERIOD_OVERRIDE=FQ","FILING_STATUS=MR","SCALING_FORMAT=MLN","Sort=A","Dates=H","DateFormat=P","Fill=—","Direction=H","UseDPDF=Y")</f>
        <v>10959</v>
      </c>
      <c r="P59" s="13" cm="1">
        <f t="array" ref="P59">_xll.BDH("CAT US Equity","OTHER_NONCUR_LIABS_SUB_DETAILED","FQ4 2021","FQ4 2021","Currency=USD","Period=FQ","BEST_FPERIOD_OVERRIDE=FQ","FILING_STATUS=MR","SCALING_FORMAT=MLN","Sort=A","Dates=H","DateFormat=P","Fill=—","Direction=H","UseDPDF=Y")</f>
        <v>9913</v>
      </c>
      <c r="Q59" s="13" cm="1">
        <f t="array" ref="Q59">_xll.BDH("CAT US Equity","OTHER_NONCUR_LIABS_SUB_DETAILED","FQ1 2022","FQ1 2022","Currency=USD","Period=FQ","BEST_FPERIOD_OVERRIDE=FQ","FILING_STATUS=MR","SCALING_FORMAT=MLN","Sort=A","Dates=H","DateFormat=P","Fill=—","Direction=H","UseDPDF=Y")</f>
        <v>10370</v>
      </c>
      <c r="R59" s="13" cm="1">
        <f t="array" ref="R59">_xll.BDH("CAT US Equity","OTHER_NONCUR_LIABS_SUB_DETAILED","FQ2 2022","FQ2 2022","Currency=USD","Period=FQ","BEST_FPERIOD_OVERRIDE=FQ","FILING_STATUS=MR","SCALING_FORMAT=MLN","Sort=A","Dates=H","DateFormat=P","Fill=—","Direction=H","UseDPDF=Y")</f>
        <v>10166</v>
      </c>
      <c r="S59" s="13" cm="1">
        <f t="array" ref="S59">_xll.BDH("CAT US Equity","OTHER_NONCUR_LIABS_SUB_DETAILED","FQ3 2022","FQ3 2022","Currency=USD","Period=FQ","BEST_FPERIOD_OVERRIDE=FQ","FILING_STATUS=MR","SCALING_FORMAT=MLN","Sort=A","Dates=H","DateFormat=P","Fill=—","Direction=H","UseDPDF=Y")</f>
        <v>9574</v>
      </c>
      <c r="T59" s="13" cm="1">
        <f t="array" ref="T59">_xll.BDH("CAT US Equity","OTHER_NONCUR_LIABS_SUB_DETAILED","FQ4 2022","FQ4 2022","Currency=USD","Period=FQ","BEST_FPERIOD_OVERRIDE=FQ","FILING_STATUS=MR","SCALING_FORMAT=MLN","Sort=A","Dates=H","DateFormat=P","Fill=—","Direction=H","UseDPDF=Y")</f>
        <v>8379</v>
      </c>
      <c r="U59" s="13" cm="1">
        <f t="array" ref="U59">_xll.BDH("CAT US Equity","OTHER_NONCUR_LIABS_SUB_DETAILED","FQ1 2023","FQ1 2023","Currency=USD","Period=FQ","BEST_FPERIOD_OVERRIDE=FQ","FILING_STATUS=MR","SCALING_FORMAT=MLN","Sort=A","Dates=H","DateFormat=P","Fill=—","Direction=H","UseDPDF=Y")</f>
        <v>8764</v>
      </c>
      <c r="V59" s="13" cm="1">
        <f t="array" ref="V59">_xll.BDH("CAT US Equity","OTHER_NONCUR_LIABS_SUB_DETAILED","FQ2 2023","FQ2 2023","Currency=USD","Period=FQ","BEST_FPERIOD_OVERRIDE=FQ","FILING_STATUS=MR","SCALING_FORMAT=MLN","Sort=A","Dates=H","DateFormat=P","Fill=—","Direction=H","UseDPDF=Y")</f>
        <v>8872</v>
      </c>
      <c r="W59" s="13" cm="1">
        <f t="array" ref="W59">_xll.BDH("CAT US Equity","OTHER_NONCUR_LIABS_SUB_DETAILED","FQ3 2023","FQ3 2023","Currency=USD","Period=FQ","BEST_FPERIOD_OVERRIDE=FQ","FILING_STATUS=MR","SCALING_FORMAT=MLN","Sort=A","Dates=H","DateFormat=P","Fill=—","Direction=H","UseDPDF=Y")</f>
        <v>8901</v>
      </c>
      <c r="X59" s="13" cm="1">
        <f t="array" ref="X59">_xll.BDH("CAT US Equity","OTHER_NONCUR_LIABS_SUB_DETAILED","FQ4 2023","FQ4 2023","Currency=USD","Period=FQ","BEST_FPERIOD_OVERRIDE=FQ","FILING_STATUS=MR","SCALING_FORMAT=MLN","Sort=A","Dates=H","DateFormat=P","Fill=—","Direction=H","UseDPDF=Y")</f>
        <v>8346</v>
      </c>
      <c r="Y59" s="13" cm="1">
        <f t="array" ref="Y59">_xll.BDH("CAT US Equity","OTHER_NONCUR_LIABS_SUB_DETAILED","FQ1 2024","FQ1 2024","Currency=USD","Period=FQ","BEST_FPERIOD_OVERRIDE=FQ","FILING_STATUS=MR","SCALING_FORMAT=MLN","Sort=A","Dates=H","DateFormat=P","Fill=—","Direction=H","UseDPDF=Y")</f>
        <v>8894</v>
      </c>
      <c r="Z59" s="13" cm="1">
        <f t="array" ref="Z59">_xll.BDH("CAT US Equity","OTHER_NONCUR_LIABS_SUB_DETAILED","FQ2 2024","FQ2 2024","Currency=USD","Period=FQ","BEST_FPERIOD_OVERRIDE=FQ","FILING_STATUS=MR","SCALING_FORMAT=MLN","Sort=A","Dates=H","DateFormat=P","Fill=—","Direction=H","UseDPDF=Y")</f>
        <v>8800</v>
      </c>
      <c r="AA59" s="13" cm="1">
        <f t="array" ref="AA59">_xll.BDH("CAT US Equity","OTHER_NONCUR_LIABS_SUB_DETAILED","FQ3 2024","FQ3 2024","Currency=USD","Period=FQ","BEST_FPERIOD_OVERRIDE=FQ","FILING_STATUS=MR","SCALING_FORMAT=MLN","Sort=A","Dates=H","DateFormat=P","Fill=—","Direction=H","UseDPDF=Y")</f>
        <v>8868</v>
      </c>
      <c r="AB59" s="13" cm="1">
        <f t="array" ref="AB59">_xll.BDH("CAT US Equity","OTHER_NONCUR_LIABS_SUB_DETAILED","FQ4 2024","FQ4 2024","Currency=USD","Period=FQ","BEST_FPERIOD_OVERRIDE=FQ","FILING_STATUS=MR","SCALING_FORMAT=MLN","Sort=A","Dates=H","DateFormat=P","Fill=—","Direction=H","UseDPDF=Y")</f>
        <v>8188</v>
      </c>
      <c r="AC59" s="13" cm="1">
        <f t="array" ref="AC59">_xll.BDH("CAT US Equity","OTHER_NONCUR_LIABS_SUB_DETAILED","FQ1 2025","FQ1 2025","Currency=USD","Period=FQ","BEST_FPERIOD_OVERRIDE=FQ","FILING_STATUS=MR","SCALING_FORMAT=MLN","Sort=A","Dates=H","DateFormat=P","Fill=—","Direction=H","UseDPDF=Y")</f>
        <v>8490</v>
      </c>
      <c r="AD59" s="13" cm="1">
        <f t="array" ref="AD59">_xll.BDH("CAT US Equity","OTHER_NONCUR_LIABS_SUB_DETAILED","FQ2 2025","FQ2 2025","Currency=USD","Period=FQ","BEST_FPERIOD_OVERRIDE=FQ","FILING_STATUS=MR","SCALING_FORMAT=MLN","Sort=A","Dates=H","DateFormat=P","Fill=—","Direction=H","UseDPDF=Y")</f>
        <v>8780</v>
      </c>
      <c r="AE59" s="13" cm="1">
        <f t="array" ref="AE59">_xll.BDH("CAT US Equity","OTHER_NONCUR_LIABS_SUB_DETAILED","FQ3 2025","FQ3 2025","Currency=USD","Period=FQ","BEST_FPERIOD_OVERRIDE=FQ","FILING_STATUS=MR","SCALING_FORMAT=MLN","Sort=A","Dates=H","DateFormat=P","Fill=—","Direction=H","UseDPDF=Y")</f>
        <v>9336</v>
      </c>
      <c r="AF59" s="13" cm="1">
        <f t="array" ref="AF59">_xll.BDH("CAT US Equity","OTHER_NONCUR_LIABS_SUB_DETAILED","FQ4 2025","FQ4 2025","Currency=USD","Period=FQ","BEST_FPERIOD_OVERRIDE=FQ","FILING_STATUS=MR","SCALING_FORMAT=MLN","Sort=A","Dates=H","DateFormat=P","Fill=—","Direction=H","UseDPDF=Y")</f>
        <v>9443</v>
      </c>
    </row>
    <row r="60" spans="1:32" x14ac:dyDescent="0.25">
      <c r="A60" s="10" t="s">
        <v>167</v>
      </c>
      <c r="B60" s="10" t="s">
        <v>168</v>
      </c>
      <c r="C60" s="13" t="str" cm="1">
        <f t="array" ref="C60">_xll.BDH("CAT US Equity","BS_ACCRUED_LIABILITIES","FQ3 2018","FQ3 2018","Currency=USD","Period=FQ","BEST_FPERIOD_OVERRIDE=FQ","FILING_STATUS=MR","SCALING_FORMAT=MLN","Sort=A","Dates=H","DateFormat=P","Fill=—","Direction=H","UseDPDF=Y")</f>
        <v>—</v>
      </c>
      <c r="D60" s="13" cm="1">
        <f t="array" ref="D60">_xll.BDH("CAT US Equity","BS_ACCRUED_LIABILITIES","FQ4 2018","FQ4 2018","Currency=USD","Period=FQ","BEST_FPERIOD_OVERRIDE=FQ","FILING_STATUS=MR","SCALING_FORMAT=MLN","Sort=A","Dates=H","DateFormat=P","Fill=—","Direction=H","UseDPDF=Y")</f>
        <v>0</v>
      </c>
      <c r="E60" s="13" t="str" cm="1">
        <f t="array" ref="E60">_xll.BDH("CAT US Equity","BS_ACCRUED_LIABILITIES","FQ1 2019","FQ1 2019","Currency=USD","Period=FQ","BEST_FPERIOD_OVERRIDE=FQ","FILING_STATUS=MR","SCALING_FORMAT=MLN","Sort=A","Dates=H","DateFormat=P","Fill=—","Direction=H","UseDPDF=Y")</f>
        <v>—</v>
      </c>
      <c r="F60" s="13" t="str" cm="1">
        <f t="array" ref="F60">_xll.BDH("CAT US Equity","BS_ACCRUED_LIABILITIES","FQ2 2019","FQ2 2019","Currency=USD","Period=FQ","BEST_FPERIOD_OVERRIDE=FQ","FILING_STATUS=MR","SCALING_FORMAT=MLN","Sort=A","Dates=H","DateFormat=P","Fill=—","Direction=H","UseDPDF=Y")</f>
        <v>—</v>
      </c>
      <c r="G60" s="13" cm="1">
        <f t="array" ref="G60">_xll.BDH("CAT US Equity","BS_ACCRUED_LIABILITIES","FQ3 2019","FQ3 2019","Currency=USD","Period=FQ","BEST_FPERIOD_OVERRIDE=FQ","FILING_STATUS=MR","SCALING_FORMAT=MLN","Sort=A","Dates=H","DateFormat=P","Fill=—","Direction=H","UseDPDF=Y")</f>
        <v>0</v>
      </c>
      <c r="H60" s="13" cm="1">
        <f t="array" ref="H60">_xll.BDH("CAT US Equity","BS_ACCRUED_LIABILITIES","FQ4 2019","FQ4 2019","Currency=USD","Period=FQ","BEST_FPERIOD_OVERRIDE=FQ","FILING_STATUS=MR","SCALING_FORMAT=MLN","Sort=A","Dates=H","DateFormat=P","Fill=—","Direction=H","UseDPDF=Y")</f>
        <v>0</v>
      </c>
      <c r="I60" s="13" t="str" cm="1">
        <f t="array" ref="I60">_xll.BDH("CAT US Equity","BS_ACCRUED_LIABILITIES","FQ1 2020","FQ1 2020","Currency=USD","Period=FQ","BEST_FPERIOD_OVERRIDE=FQ","FILING_STATUS=MR","SCALING_FORMAT=MLN","Sort=A","Dates=H","DateFormat=P","Fill=—","Direction=H","UseDPDF=Y")</f>
        <v>—</v>
      </c>
      <c r="J60" s="13" t="str" cm="1">
        <f t="array" ref="J60">_xll.BDH("CAT US Equity","BS_ACCRUED_LIABILITIES","FQ2 2020","FQ2 2020","Currency=USD","Period=FQ","BEST_FPERIOD_OVERRIDE=FQ","FILING_STATUS=MR","SCALING_FORMAT=MLN","Sort=A","Dates=H","DateFormat=P","Fill=—","Direction=H","UseDPDF=Y")</f>
        <v>—</v>
      </c>
      <c r="K60" s="13" cm="1">
        <f t="array" ref="K60">_xll.BDH("CAT US Equity","BS_ACCRUED_LIABILITIES","FQ3 2020","FQ3 2020","Currency=USD","Period=FQ","BEST_FPERIOD_OVERRIDE=FQ","FILING_STATUS=MR","SCALING_FORMAT=MLN","Sort=A","Dates=H","DateFormat=P","Fill=—","Direction=H","UseDPDF=Y")</f>
        <v>0</v>
      </c>
      <c r="L60" s="13" cm="1">
        <f t="array" ref="L60">_xll.BDH("CAT US Equity","BS_ACCRUED_LIABILITIES","FQ4 2020","FQ4 2020","Currency=USD","Period=FQ","BEST_FPERIOD_OVERRIDE=FQ","FILING_STATUS=MR","SCALING_FORMAT=MLN","Sort=A","Dates=H","DateFormat=P","Fill=—","Direction=H","UseDPDF=Y")</f>
        <v>0</v>
      </c>
      <c r="M60" s="13" t="str" cm="1">
        <f t="array" ref="M60">_xll.BDH("CAT US Equity","BS_ACCRUED_LIABILITIES","FQ1 2021","FQ1 2021","Currency=USD","Period=FQ","BEST_FPERIOD_OVERRIDE=FQ","FILING_STATUS=MR","SCALING_FORMAT=MLN","Sort=A","Dates=H","DateFormat=P","Fill=—","Direction=H","UseDPDF=Y")</f>
        <v>—</v>
      </c>
      <c r="N60" s="13" t="str" cm="1">
        <f t="array" ref="N60">_xll.BDH("CAT US Equity","BS_ACCRUED_LIABILITIES","FQ2 2021","FQ2 2021","Currency=USD","Period=FQ","BEST_FPERIOD_OVERRIDE=FQ","FILING_STATUS=MR","SCALING_FORMAT=MLN","Sort=A","Dates=H","DateFormat=P","Fill=—","Direction=H","UseDPDF=Y")</f>
        <v>—</v>
      </c>
      <c r="O60" s="13" cm="1">
        <f t="array" ref="O60">_xll.BDH("CAT US Equity","BS_ACCRUED_LIABILITIES","FQ3 2021","FQ3 2021","Currency=USD","Period=FQ","BEST_FPERIOD_OVERRIDE=FQ","FILING_STATUS=MR","SCALING_FORMAT=MLN","Sort=A","Dates=H","DateFormat=P","Fill=—","Direction=H","UseDPDF=Y")</f>
        <v>0</v>
      </c>
      <c r="P60" s="13" cm="1">
        <f t="array" ref="P60">_xll.BDH("CAT US Equity","BS_ACCRUED_LIABILITIES","FQ4 2021","FQ4 2021","Currency=USD","Period=FQ","BEST_FPERIOD_OVERRIDE=FQ","FILING_STATUS=MR","SCALING_FORMAT=MLN","Sort=A","Dates=H","DateFormat=P","Fill=—","Direction=H","UseDPDF=Y")</f>
        <v>0</v>
      </c>
      <c r="Q60" s="13" t="str" cm="1">
        <f t="array" ref="Q60">_xll.BDH("CAT US Equity","BS_ACCRUED_LIABILITIES","FQ1 2022","FQ1 2022","Currency=USD","Period=FQ","BEST_FPERIOD_OVERRIDE=FQ","FILING_STATUS=MR","SCALING_FORMAT=MLN","Sort=A","Dates=H","DateFormat=P","Fill=—","Direction=H","UseDPDF=Y")</f>
        <v>—</v>
      </c>
      <c r="R60" s="13" t="str" cm="1">
        <f t="array" ref="R60">_xll.BDH("CAT US Equity","BS_ACCRUED_LIABILITIES","FQ2 2022","FQ2 2022","Currency=USD","Period=FQ","BEST_FPERIOD_OVERRIDE=FQ","FILING_STATUS=MR","SCALING_FORMAT=MLN","Sort=A","Dates=H","DateFormat=P","Fill=—","Direction=H","UseDPDF=Y")</f>
        <v>—</v>
      </c>
      <c r="S60" s="13" cm="1">
        <f t="array" ref="S60">_xll.BDH("CAT US Equity","BS_ACCRUED_LIABILITIES","FQ3 2022","FQ3 2022","Currency=USD","Period=FQ","BEST_FPERIOD_OVERRIDE=FQ","FILING_STATUS=MR","SCALING_FORMAT=MLN","Sort=A","Dates=H","DateFormat=P","Fill=—","Direction=H","UseDPDF=Y")</f>
        <v>0</v>
      </c>
      <c r="T60" s="13" cm="1">
        <f t="array" ref="T60">_xll.BDH("CAT US Equity","BS_ACCRUED_LIABILITIES","FQ4 2022","FQ4 2022","Currency=USD","Period=FQ","BEST_FPERIOD_OVERRIDE=FQ","FILING_STATUS=MR","SCALING_FORMAT=MLN","Sort=A","Dates=H","DateFormat=P","Fill=—","Direction=H","UseDPDF=Y")</f>
        <v>0</v>
      </c>
      <c r="U60" s="13" t="str" cm="1">
        <f t="array" ref="U60">_xll.BDH("CAT US Equity","BS_ACCRUED_LIABILITIES","FQ1 2023","FQ1 2023","Currency=USD","Period=FQ","BEST_FPERIOD_OVERRIDE=FQ","FILING_STATUS=MR","SCALING_FORMAT=MLN","Sort=A","Dates=H","DateFormat=P","Fill=—","Direction=H","UseDPDF=Y")</f>
        <v>—</v>
      </c>
      <c r="V60" s="13" t="str" cm="1">
        <f t="array" ref="V60">_xll.BDH("CAT US Equity","BS_ACCRUED_LIABILITIES","FQ2 2023","FQ2 2023","Currency=USD","Period=FQ","BEST_FPERIOD_OVERRIDE=FQ","FILING_STATUS=MR","SCALING_FORMAT=MLN","Sort=A","Dates=H","DateFormat=P","Fill=—","Direction=H","UseDPDF=Y")</f>
        <v>—</v>
      </c>
      <c r="W60" s="13" cm="1">
        <f t="array" ref="W60">_xll.BDH("CAT US Equity","BS_ACCRUED_LIABILITIES","FQ3 2023","FQ3 2023","Currency=USD","Period=FQ","BEST_FPERIOD_OVERRIDE=FQ","FILING_STATUS=MR","SCALING_FORMAT=MLN","Sort=A","Dates=H","DateFormat=P","Fill=—","Direction=H","UseDPDF=Y")</f>
        <v>0</v>
      </c>
      <c r="X60" s="13" cm="1">
        <f t="array" ref="X60">_xll.BDH("CAT US Equity","BS_ACCRUED_LIABILITIES","FQ4 2023","FQ4 2023","Currency=USD","Period=FQ","BEST_FPERIOD_OVERRIDE=FQ","FILING_STATUS=MR","SCALING_FORMAT=MLN","Sort=A","Dates=H","DateFormat=P","Fill=—","Direction=H","UseDPDF=Y")</f>
        <v>0</v>
      </c>
      <c r="Y60" s="13" t="str" cm="1">
        <f t="array" ref="Y60">_xll.BDH("CAT US Equity","BS_ACCRUED_LIABILITIES","FQ1 2024","FQ1 2024","Currency=USD","Period=FQ","BEST_FPERIOD_OVERRIDE=FQ","FILING_STATUS=MR","SCALING_FORMAT=MLN","Sort=A","Dates=H","DateFormat=P","Fill=—","Direction=H","UseDPDF=Y")</f>
        <v>—</v>
      </c>
      <c r="Z60" s="13" t="str" cm="1">
        <f t="array" ref="Z60">_xll.BDH("CAT US Equity","BS_ACCRUED_LIABILITIES","FQ2 2024","FQ2 2024","Currency=USD","Period=FQ","BEST_FPERIOD_OVERRIDE=FQ","FILING_STATUS=MR","SCALING_FORMAT=MLN","Sort=A","Dates=H","DateFormat=P","Fill=—","Direction=H","UseDPDF=Y")</f>
        <v>—</v>
      </c>
      <c r="AA60" s="13" cm="1">
        <f t="array" ref="AA60">_xll.BDH("CAT US Equity","BS_ACCRUED_LIABILITIES","FQ3 2024","FQ3 2024","Currency=USD","Period=FQ","BEST_FPERIOD_OVERRIDE=FQ","FILING_STATUS=MR","SCALING_FORMAT=MLN","Sort=A","Dates=H","DateFormat=P","Fill=—","Direction=H","UseDPDF=Y")</f>
        <v>0</v>
      </c>
      <c r="AB60" s="13" cm="1">
        <f t="array" ref="AB60">_xll.BDH("CAT US Equity","BS_ACCRUED_LIABILITIES","FQ4 2024","FQ4 2024","Currency=USD","Period=FQ","BEST_FPERIOD_OVERRIDE=FQ","FILING_STATUS=MR","SCALING_FORMAT=MLN","Sort=A","Dates=H","DateFormat=P","Fill=—","Direction=H","UseDPDF=Y")</f>
        <v>0</v>
      </c>
      <c r="AC60" s="13" t="str" cm="1">
        <f t="array" ref="AC60">_xll.BDH("CAT US Equity","BS_ACCRUED_LIABILITIES","FQ1 2025","FQ1 2025","Currency=USD","Period=FQ","BEST_FPERIOD_OVERRIDE=FQ","FILING_STATUS=MR","SCALING_FORMAT=MLN","Sort=A","Dates=H","DateFormat=P","Fill=—","Direction=H","UseDPDF=Y")</f>
        <v>—</v>
      </c>
      <c r="AD60" s="13" t="str" cm="1">
        <f t="array" ref="AD60">_xll.BDH("CAT US Equity","BS_ACCRUED_LIABILITIES","FQ2 2025","FQ2 2025","Currency=USD","Period=FQ","BEST_FPERIOD_OVERRIDE=FQ","FILING_STATUS=MR","SCALING_FORMAT=MLN","Sort=A","Dates=H","DateFormat=P","Fill=—","Direction=H","UseDPDF=Y")</f>
        <v>—</v>
      </c>
      <c r="AE60" s="13" t="str" cm="1">
        <f t="array" ref="AE60">_xll.BDH("CAT US Equity","BS_ACCRUED_LIABILITIES","FQ3 2025","FQ3 2025","Currency=USD","Period=FQ","BEST_FPERIOD_OVERRIDE=FQ","FILING_STATUS=MR","SCALING_FORMAT=MLN","Sort=A","Dates=H","DateFormat=P","Fill=—","Direction=H","UseDPDF=Y")</f>
        <v>—</v>
      </c>
      <c r="AF60" s="13" cm="1">
        <f t="array" ref="AF60">_xll.BDH("CAT US Equity","BS_ACCRUED_LIABILITIES","FQ4 2025","FQ4 2025","Currency=USD","Period=FQ","BEST_FPERIOD_OVERRIDE=FQ","FILING_STATUS=MR","SCALING_FORMAT=MLN","Sort=A","Dates=H","DateFormat=P","Fill=—","Direction=H","UseDPDF=Y")</f>
        <v>0</v>
      </c>
    </row>
    <row r="61" spans="1:32" x14ac:dyDescent="0.25">
      <c r="A61" s="10" t="s">
        <v>169</v>
      </c>
      <c r="B61" s="10" t="s">
        <v>170</v>
      </c>
      <c r="C61" s="13" cm="1">
        <f t="array" ref="C61">_xll.BDH("CAT US Equity","PENSION_LIABILITIES","FQ3 2018","FQ3 2018","Currency=USD","Period=FQ","BEST_FPERIOD_OVERRIDE=FQ","FILING_STATUS=MR","SCALING_FORMAT=MLN","Sort=A","Dates=H","DateFormat=P","Fill=—","Direction=H","UseDPDF=Y")</f>
        <v>7046</v>
      </c>
      <c r="D61" s="13" cm="1">
        <f t="array" ref="D61">_xll.BDH("CAT US Equity","PENSION_LIABILITIES","FQ4 2018","FQ4 2018","Currency=USD","Period=FQ","BEST_FPERIOD_OVERRIDE=FQ","FILING_STATUS=MR","SCALING_FORMAT=MLN","Sort=A","Dates=H","DateFormat=P","Fill=—","Direction=H","UseDPDF=Y")</f>
        <v>7455</v>
      </c>
      <c r="E61" s="13" cm="1">
        <f t="array" ref="E61">_xll.BDH("CAT US Equity","PENSION_LIABILITIES","FQ1 2019","FQ1 2019","Currency=USD","Period=FQ","BEST_FPERIOD_OVERRIDE=FQ","FILING_STATUS=MR","SCALING_FORMAT=MLN","Sort=A","Dates=H","DateFormat=P","Fill=—","Direction=H","UseDPDF=Y")</f>
        <v>7441</v>
      </c>
      <c r="F61" s="13" cm="1">
        <f t="array" ref="F61">_xll.BDH("CAT US Equity","PENSION_LIABILITIES","FQ2 2019","FQ2 2019","Currency=USD","Period=FQ","BEST_FPERIOD_OVERRIDE=FQ","FILING_STATUS=MR","SCALING_FORMAT=MLN","Sort=A","Dates=H","DateFormat=P","Fill=—","Direction=H","UseDPDF=Y")</f>
        <v>7448</v>
      </c>
      <c r="G61" s="13" cm="1">
        <f t="array" ref="G61">_xll.BDH("CAT US Equity","PENSION_LIABILITIES","FQ3 2019","FQ3 2019","Currency=USD","Period=FQ","BEST_FPERIOD_OVERRIDE=FQ","FILING_STATUS=MR","SCALING_FORMAT=MLN","Sort=A","Dates=H","DateFormat=P","Fill=—","Direction=H","UseDPDF=Y")</f>
        <v>5900</v>
      </c>
      <c r="H61" s="13" cm="1">
        <f t="array" ref="H61">_xll.BDH("CAT US Equity","PENSION_LIABILITIES","FQ4 2019","FQ4 2019","Currency=USD","Period=FQ","BEST_FPERIOD_OVERRIDE=FQ","FILING_STATUS=MR","SCALING_FORMAT=MLN","Sort=A","Dates=H","DateFormat=P","Fill=—","Direction=H","UseDPDF=Y")</f>
        <v>6599</v>
      </c>
      <c r="I61" s="13" cm="1">
        <f t="array" ref="I61">_xll.BDH("CAT US Equity","PENSION_LIABILITIES","FQ1 2020","FQ1 2020","Currency=USD","Period=FQ","BEST_FPERIOD_OVERRIDE=FQ","FILING_STATUS=MR","SCALING_FORMAT=MLN","Sort=A","Dates=H","DateFormat=P","Fill=—","Direction=H","UseDPDF=Y")</f>
        <v>6333</v>
      </c>
      <c r="J61" s="13" cm="1">
        <f t="array" ref="J61">_xll.BDH("CAT US Equity","PENSION_LIABILITIES","FQ2 2020","FQ2 2020","Currency=USD","Period=FQ","BEST_FPERIOD_OVERRIDE=FQ","FILING_STATUS=MR","SCALING_FORMAT=MLN","Sort=A","Dates=H","DateFormat=P","Fill=—","Direction=H","UseDPDF=Y")</f>
        <v>6285</v>
      </c>
      <c r="K61" s="13" cm="1">
        <f t="array" ref="K61">_xll.BDH("CAT US Equity","PENSION_LIABILITIES","FQ3 2020","FQ3 2020","Currency=USD","Period=FQ","BEST_FPERIOD_OVERRIDE=FQ","FILING_STATUS=MR","SCALING_FORMAT=MLN","Sort=A","Dates=H","DateFormat=P","Fill=—","Direction=H","UseDPDF=Y")</f>
        <v>6254</v>
      </c>
      <c r="L61" s="13" cm="1">
        <f t="array" ref="L61">_xll.BDH("CAT US Equity","PENSION_LIABILITIES","FQ4 2020","FQ4 2020","Currency=USD","Period=FQ","BEST_FPERIOD_OVERRIDE=FQ","FILING_STATUS=MR","SCALING_FORMAT=MLN","Sort=A","Dates=H","DateFormat=P","Fill=—","Direction=H","UseDPDF=Y")</f>
        <v>6872</v>
      </c>
      <c r="M61" s="13" cm="1">
        <f t="array" ref="M61">_xll.BDH("CAT US Equity","PENSION_LIABILITIES","FQ1 2021","FQ1 2021","Currency=USD","Period=FQ","BEST_FPERIOD_OVERRIDE=FQ","FILING_STATUS=MR","SCALING_FORMAT=MLN","Sort=A","Dates=H","DateFormat=P","Fill=—","Direction=H","UseDPDF=Y")</f>
        <v>6698</v>
      </c>
      <c r="N61" s="13" cm="1">
        <f t="array" ref="N61">_xll.BDH("CAT US Equity","PENSION_LIABILITIES","FQ2 2021","FQ2 2021","Currency=USD","Period=FQ","BEST_FPERIOD_OVERRIDE=FQ","FILING_STATUS=MR","SCALING_FORMAT=MLN","Sort=A","Dates=H","DateFormat=P","Fill=—","Direction=H","UseDPDF=Y")</f>
        <v>6581</v>
      </c>
      <c r="O61" s="13" cm="1">
        <f t="array" ref="O61">_xll.BDH("CAT US Equity","PENSION_LIABILITIES","FQ3 2021","FQ3 2021","Currency=USD","Period=FQ","BEST_FPERIOD_OVERRIDE=FQ","FILING_STATUS=MR","SCALING_FORMAT=MLN","Sort=A","Dates=H","DateFormat=P","Fill=—","Direction=H","UseDPDF=Y")</f>
        <v>6395</v>
      </c>
      <c r="P61" s="13" cm="1">
        <f t="array" ref="P61">_xll.BDH("CAT US Equity","PENSION_LIABILITIES","FQ4 2021","FQ4 2021","Currency=USD","Period=FQ","BEST_FPERIOD_OVERRIDE=FQ","FILING_STATUS=MR","SCALING_FORMAT=MLN","Sort=A","Dates=H","DateFormat=P","Fill=—","Direction=H","UseDPDF=Y")</f>
        <v>5592</v>
      </c>
      <c r="Q61" s="13" cm="1">
        <f t="array" ref="Q61">_xll.BDH("CAT US Equity","PENSION_LIABILITIES","FQ1 2022","FQ1 2022","Currency=USD","Period=FQ","BEST_FPERIOD_OVERRIDE=FQ","FILING_STATUS=MR","SCALING_FORMAT=MLN","Sort=A","Dates=H","DateFormat=P","Fill=—","Direction=H","UseDPDF=Y")</f>
        <v>5363</v>
      </c>
      <c r="R61" s="13" cm="1">
        <f t="array" ref="R61">_xll.BDH("CAT US Equity","PENSION_LIABILITIES","FQ2 2022","FQ2 2022","Currency=USD","Period=FQ","BEST_FPERIOD_OVERRIDE=FQ","FILING_STATUS=MR","SCALING_FORMAT=MLN","Sort=A","Dates=H","DateFormat=P","Fill=—","Direction=H","UseDPDF=Y")</f>
        <v>5160</v>
      </c>
      <c r="S61" s="13" cm="1">
        <f t="array" ref="S61">_xll.BDH("CAT US Equity","PENSION_LIABILITIES","FQ3 2022","FQ3 2022","Currency=USD","Period=FQ","BEST_FPERIOD_OVERRIDE=FQ","FILING_STATUS=MR","SCALING_FORMAT=MLN","Sort=A","Dates=H","DateFormat=P","Fill=—","Direction=H","UseDPDF=Y")</f>
        <v>5038</v>
      </c>
      <c r="T61" s="13" cm="1">
        <f t="array" ref="T61">_xll.BDH("CAT US Equity","PENSION_LIABILITIES","FQ4 2022","FQ4 2022","Currency=USD","Period=FQ","BEST_FPERIOD_OVERRIDE=FQ","FILING_STATUS=MR","SCALING_FORMAT=MLN","Sort=A","Dates=H","DateFormat=P","Fill=—","Direction=H","UseDPDF=Y")</f>
        <v>4203</v>
      </c>
      <c r="U61" s="13" cm="1">
        <f t="array" ref="U61">_xll.BDH("CAT US Equity","PENSION_LIABILITIES","FQ1 2023","FQ1 2023","Currency=USD","Period=FQ","BEST_FPERIOD_OVERRIDE=FQ","FILING_STATUS=MR","SCALING_FORMAT=MLN","Sort=A","Dates=H","DateFormat=P","Fill=—","Direction=H","UseDPDF=Y")</f>
        <v>4069</v>
      </c>
      <c r="V61" s="13" cm="1">
        <f t="array" ref="V61">_xll.BDH("CAT US Equity","PENSION_LIABILITIES","FQ2 2023","FQ2 2023","Currency=USD","Period=FQ","BEST_FPERIOD_OVERRIDE=FQ","FILING_STATUS=MR","SCALING_FORMAT=MLN","Sort=A","Dates=H","DateFormat=P","Fill=—","Direction=H","UseDPDF=Y")</f>
        <v>4084</v>
      </c>
      <c r="W61" s="13" cm="1">
        <f t="array" ref="W61">_xll.BDH("CAT US Equity","PENSION_LIABILITIES","FQ3 2023","FQ3 2023","Currency=USD","Period=FQ","BEST_FPERIOD_OVERRIDE=FQ","FILING_STATUS=MR","SCALING_FORMAT=MLN","Sort=A","Dates=H","DateFormat=P","Fill=—","Direction=H","UseDPDF=Y")</f>
        <v>4060</v>
      </c>
      <c r="X61" s="13" cm="1">
        <f t="array" ref="X61">_xll.BDH("CAT US Equity","PENSION_LIABILITIES","FQ4 2023","FQ4 2023","Currency=USD","Period=FQ","BEST_FPERIOD_OVERRIDE=FQ","FILING_STATUS=MR","SCALING_FORMAT=MLN","Sort=A","Dates=H","DateFormat=P","Fill=—","Direction=H","UseDPDF=Y")</f>
        <v>4098</v>
      </c>
      <c r="Y61" s="13" cm="1">
        <f t="array" ref="Y61">_xll.BDH("CAT US Equity","PENSION_LIABILITIES","FQ1 2024","FQ1 2024","Currency=USD","Period=FQ","BEST_FPERIOD_OVERRIDE=FQ","FILING_STATUS=MR","SCALING_FORMAT=MLN","Sort=A","Dates=H","DateFormat=P","Fill=—","Direction=H","UseDPDF=Y")</f>
        <v>4068</v>
      </c>
      <c r="Z61" s="13" cm="1">
        <f t="array" ref="Z61">_xll.BDH("CAT US Equity","PENSION_LIABILITIES","FQ2 2024","FQ2 2024","Currency=USD","Period=FQ","BEST_FPERIOD_OVERRIDE=FQ","FILING_STATUS=MR","SCALING_FORMAT=MLN","Sort=A","Dates=H","DateFormat=P","Fill=—","Direction=H","UseDPDF=Y")</f>
        <v>3993</v>
      </c>
      <c r="AA61" s="13" cm="1">
        <f t="array" ref="AA61">_xll.BDH("CAT US Equity","PENSION_LIABILITIES","FQ3 2024","FQ3 2024","Currency=USD","Period=FQ","BEST_FPERIOD_OVERRIDE=FQ","FILING_STATUS=MR","SCALING_FORMAT=MLN","Sort=A","Dates=H","DateFormat=P","Fill=—","Direction=H","UseDPDF=Y")</f>
        <v>4029</v>
      </c>
      <c r="AB61" s="13" cm="1">
        <f t="array" ref="AB61">_xll.BDH("CAT US Equity","PENSION_LIABILITIES","FQ4 2024","FQ4 2024","Currency=USD","Period=FQ","BEST_FPERIOD_OVERRIDE=FQ","FILING_STATUS=MR","SCALING_FORMAT=MLN","Sort=A","Dates=H","DateFormat=P","Fill=—","Direction=H","UseDPDF=Y")</f>
        <v>3757</v>
      </c>
      <c r="AC61" s="13" cm="1">
        <f t="array" ref="AC61">_xll.BDH("CAT US Equity","PENSION_LIABILITIES","FQ1 2025","FQ1 2025","Currency=USD","Period=FQ","BEST_FPERIOD_OVERRIDE=FQ","FILING_STATUS=MR","SCALING_FORMAT=MLN","Sort=A","Dates=H","DateFormat=P","Fill=—","Direction=H","UseDPDF=Y")</f>
        <v>3575</v>
      </c>
      <c r="AD61" s="13" cm="1">
        <f t="array" ref="AD61">_xll.BDH("CAT US Equity","PENSION_LIABILITIES","FQ2 2025","FQ2 2025","Currency=USD","Period=FQ","BEST_FPERIOD_OVERRIDE=FQ","FILING_STATUS=MR","SCALING_FORMAT=MLN","Sort=A","Dates=H","DateFormat=P","Fill=—","Direction=H","UseDPDF=Y")</f>
        <v>3611</v>
      </c>
      <c r="AE61" s="13" cm="1">
        <f t="array" ref="AE61">_xll.BDH("CAT US Equity","PENSION_LIABILITIES","FQ3 2025","FQ3 2025","Currency=USD","Period=FQ","BEST_FPERIOD_OVERRIDE=FQ","FILING_STATUS=MR","SCALING_FORMAT=MLN","Sort=A","Dates=H","DateFormat=P","Fill=—","Direction=H","UseDPDF=Y")</f>
        <v>3664</v>
      </c>
      <c r="AF61" s="13" cm="1">
        <f t="array" ref="AF61">_xll.BDH("CAT US Equity","PENSION_LIABILITIES","FQ4 2025","FQ4 2025","Currency=USD","Period=FQ","BEST_FPERIOD_OVERRIDE=FQ","FILING_STATUS=MR","SCALING_FORMAT=MLN","Sort=A","Dates=H","DateFormat=P","Fill=—","Direction=H","UseDPDF=Y")</f>
        <v>3838</v>
      </c>
    </row>
    <row r="62" spans="1:32" x14ac:dyDescent="0.25">
      <c r="A62" s="10" t="s">
        <v>147</v>
      </c>
      <c r="B62" s="10" t="s">
        <v>171</v>
      </c>
      <c r="C62" s="13" t="str" cm="1">
        <f t="array" ref="C62">_xll.BDH("CAT US Equity","LT_DEFERRED_REVENUE","FQ3 2018","FQ3 2018","Currency=USD","Period=FQ","BEST_FPERIOD_OVERRIDE=FQ","FILING_STATUS=MR","SCALING_FORMAT=MLN","Sort=A","Dates=H","DateFormat=P","Fill=—","Direction=H","UseDPDF=Y")</f>
        <v>—</v>
      </c>
      <c r="D62" s="13" cm="1">
        <f t="array" ref="D62">_xll.BDH("CAT US Equity","LT_DEFERRED_REVENUE","FQ4 2018","FQ4 2018","Currency=USD","Period=FQ","BEST_FPERIOD_OVERRIDE=FQ","FILING_STATUS=MR","SCALING_FORMAT=MLN","Sort=A","Dates=H","DateFormat=P","Fill=—","Direction=H","UseDPDF=Y")</f>
        <v>0</v>
      </c>
      <c r="E62" s="13" t="str" cm="1">
        <f t="array" ref="E62">_xll.BDH("CAT US Equity","LT_DEFERRED_REVENUE","FQ1 2019","FQ1 2019","Currency=USD","Period=FQ","BEST_FPERIOD_OVERRIDE=FQ","FILING_STATUS=MR","SCALING_FORMAT=MLN","Sort=A","Dates=H","DateFormat=P","Fill=—","Direction=H","UseDPDF=Y")</f>
        <v>—</v>
      </c>
      <c r="F62" s="13" t="str" cm="1">
        <f t="array" ref="F62">_xll.BDH("CAT US Equity","LT_DEFERRED_REVENUE","FQ2 2019","FQ2 2019","Currency=USD","Period=FQ","BEST_FPERIOD_OVERRIDE=FQ","FILING_STATUS=MR","SCALING_FORMAT=MLN","Sort=A","Dates=H","DateFormat=P","Fill=—","Direction=H","UseDPDF=Y")</f>
        <v>—</v>
      </c>
      <c r="G62" s="13" cm="1">
        <f t="array" ref="G62">_xll.BDH("CAT US Equity","LT_DEFERRED_REVENUE","FQ3 2019","FQ3 2019","Currency=USD","Period=FQ","BEST_FPERIOD_OVERRIDE=FQ","FILING_STATUS=MR","SCALING_FORMAT=MLN","Sort=A","Dates=H","DateFormat=P","Fill=—","Direction=H","UseDPDF=Y")</f>
        <v>0</v>
      </c>
      <c r="H62" s="13" cm="1">
        <f t="array" ref="H62">_xll.BDH("CAT US Equity","LT_DEFERRED_REVENUE","FQ4 2019","FQ4 2019","Currency=USD","Period=FQ","BEST_FPERIOD_OVERRIDE=FQ","FILING_STATUS=MR","SCALING_FORMAT=MLN","Sort=A","Dates=H","DateFormat=P","Fill=—","Direction=H","UseDPDF=Y")</f>
        <v>0</v>
      </c>
      <c r="I62" s="13" t="str" cm="1">
        <f t="array" ref="I62">_xll.BDH("CAT US Equity","LT_DEFERRED_REVENUE","FQ1 2020","FQ1 2020","Currency=USD","Period=FQ","BEST_FPERIOD_OVERRIDE=FQ","FILING_STATUS=MR","SCALING_FORMAT=MLN","Sort=A","Dates=H","DateFormat=P","Fill=—","Direction=H","UseDPDF=Y")</f>
        <v>—</v>
      </c>
      <c r="J62" s="13" t="str" cm="1">
        <f t="array" ref="J62">_xll.BDH("CAT US Equity","LT_DEFERRED_REVENUE","FQ2 2020","FQ2 2020","Currency=USD","Period=FQ","BEST_FPERIOD_OVERRIDE=FQ","FILING_STATUS=MR","SCALING_FORMAT=MLN","Sort=A","Dates=H","DateFormat=P","Fill=—","Direction=H","UseDPDF=Y")</f>
        <v>—</v>
      </c>
      <c r="K62" s="13" cm="1">
        <f t="array" ref="K62">_xll.BDH("CAT US Equity","LT_DEFERRED_REVENUE","FQ3 2020","FQ3 2020","Currency=USD","Period=FQ","BEST_FPERIOD_OVERRIDE=FQ","FILING_STATUS=MR","SCALING_FORMAT=MLN","Sort=A","Dates=H","DateFormat=P","Fill=—","Direction=H","UseDPDF=Y")</f>
        <v>0</v>
      </c>
      <c r="L62" s="13" cm="1">
        <f t="array" ref="L62">_xll.BDH("CAT US Equity","LT_DEFERRED_REVENUE","FQ4 2020","FQ4 2020","Currency=USD","Period=FQ","BEST_FPERIOD_OVERRIDE=FQ","FILING_STATUS=MR","SCALING_FORMAT=MLN","Sort=A","Dates=H","DateFormat=P","Fill=—","Direction=H","UseDPDF=Y")</f>
        <v>0</v>
      </c>
      <c r="M62" s="13" t="str" cm="1">
        <f t="array" ref="M62">_xll.BDH("CAT US Equity","LT_DEFERRED_REVENUE","FQ1 2021","FQ1 2021","Currency=USD","Period=FQ","BEST_FPERIOD_OVERRIDE=FQ","FILING_STATUS=MR","SCALING_FORMAT=MLN","Sort=A","Dates=H","DateFormat=P","Fill=—","Direction=H","UseDPDF=Y")</f>
        <v>—</v>
      </c>
      <c r="N62" s="13" t="str" cm="1">
        <f t="array" ref="N62">_xll.BDH("CAT US Equity","LT_DEFERRED_REVENUE","FQ2 2021","FQ2 2021","Currency=USD","Period=FQ","BEST_FPERIOD_OVERRIDE=FQ","FILING_STATUS=MR","SCALING_FORMAT=MLN","Sort=A","Dates=H","DateFormat=P","Fill=—","Direction=H","UseDPDF=Y")</f>
        <v>—</v>
      </c>
      <c r="O62" s="13" cm="1">
        <f t="array" ref="O62">_xll.BDH("CAT US Equity","LT_DEFERRED_REVENUE","FQ3 2021","FQ3 2021","Currency=USD","Period=FQ","BEST_FPERIOD_OVERRIDE=FQ","FILING_STATUS=MR","SCALING_FORMAT=MLN","Sort=A","Dates=H","DateFormat=P","Fill=—","Direction=H","UseDPDF=Y")</f>
        <v>0</v>
      </c>
      <c r="P62" s="13" cm="1">
        <f t="array" ref="P62">_xll.BDH("CAT US Equity","LT_DEFERRED_REVENUE","FQ4 2021","FQ4 2021","Currency=USD","Period=FQ","BEST_FPERIOD_OVERRIDE=FQ","FILING_STATUS=MR","SCALING_FORMAT=MLN","Sort=A","Dates=H","DateFormat=P","Fill=—","Direction=H","UseDPDF=Y")</f>
        <v>0</v>
      </c>
      <c r="Q62" s="13" t="str" cm="1">
        <f t="array" ref="Q62">_xll.BDH("CAT US Equity","LT_DEFERRED_REVENUE","FQ1 2022","FQ1 2022","Currency=USD","Period=FQ","BEST_FPERIOD_OVERRIDE=FQ","FILING_STATUS=MR","SCALING_FORMAT=MLN","Sort=A","Dates=H","DateFormat=P","Fill=—","Direction=H","UseDPDF=Y")</f>
        <v>—</v>
      </c>
      <c r="R62" s="13" t="str" cm="1">
        <f t="array" ref="R62">_xll.BDH("CAT US Equity","LT_DEFERRED_REVENUE","FQ2 2022","FQ2 2022","Currency=USD","Period=FQ","BEST_FPERIOD_OVERRIDE=FQ","FILING_STATUS=MR","SCALING_FORMAT=MLN","Sort=A","Dates=H","DateFormat=P","Fill=—","Direction=H","UseDPDF=Y")</f>
        <v>—</v>
      </c>
      <c r="S62" s="13" cm="1">
        <f t="array" ref="S62">_xll.BDH("CAT US Equity","LT_DEFERRED_REVENUE","FQ3 2022","FQ3 2022","Currency=USD","Period=FQ","BEST_FPERIOD_OVERRIDE=FQ","FILING_STATUS=MR","SCALING_FORMAT=MLN","Sort=A","Dates=H","DateFormat=P","Fill=—","Direction=H","UseDPDF=Y")</f>
        <v>0</v>
      </c>
      <c r="T62" s="13" cm="1">
        <f t="array" ref="T62">_xll.BDH("CAT US Equity","LT_DEFERRED_REVENUE","FQ4 2022","FQ4 2022","Currency=USD","Period=FQ","BEST_FPERIOD_OVERRIDE=FQ","FILING_STATUS=MR","SCALING_FORMAT=MLN","Sort=A","Dates=H","DateFormat=P","Fill=—","Direction=H","UseDPDF=Y")</f>
        <v>0</v>
      </c>
      <c r="U62" s="13" t="str" cm="1">
        <f t="array" ref="U62">_xll.BDH("CAT US Equity","LT_DEFERRED_REVENUE","FQ1 2023","FQ1 2023","Currency=USD","Period=FQ","BEST_FPERIOD_OVERRIDE=FQ","FILING_STATUS=MR","SCALING_FORMAT=MLN","Sort=A","Dates=H","DateFormat=P","Fill=—","Direction=H","UseDPDF=Y")</f>
        <v>—</v>
      </c>
      <c r="V62" s="13" t="str" cm="1">
        <f t="array" ref="V62">_xll.BDH("CAT US Equity","LT_DEFERRED_REVENUE","FQ2 2023","FQ2 2023","Currency=USD","Period=FQ","BEST_FPERIOD_OVERRIDE=FQ","FILING_STATUS=MR","SCALING_FORMAT=MLN","Sort=A","Dates=H","DateFormat=P","Fill=—","Direction=H","UseDPDF=Y")</f>
        <v>—</v>
      </c>
      <c r="W62" s="13" cm="1">
        <f t="array" ref="W62">_xll.BDH("CAT US Equity","LT_DEFERRED_REVENUE","FQ3 2023","FQ3 2023","Currency=USD","Period=FQ","BEST_FPERIOD_OVERRIDE=FQ","FILING_STATUS=MR","SCALING_FORMAT=MLN","Sort=A","Dates=H","DateFormat=P","Fill=—","Direction=H","UseDPDF=Y")</f>
        <v>0</v>
      </c>
      <c r="X62" s="13" cm="1">
        <f t="array" ref="X62">_xll.BDH("CAT US Equity","LT_DEFERRED_REVENUE","FQ4 2023","FQ4 2023","Currency=USD","Period=FQ","BEST_FPERIOD_OVERRIDE=FQ","FILING_STATUS=MR","SCALING_FORMAT=MLN","Sort=A","Dates=H","DateFormat=P","Fill=—","Direction=H","UseDPDF=Y")</f>
        <v>0</v>
      </c>
      <c r="Y62" s="13" t="str" cm="1">
        <f t="array" ref="Y62">_xll.BDH("CAT US Equity","LT_DEFERRED_REVENUE","FQ1 2024","FQ1 2024","Currency=USD","Period=FQ","BEST_FPERIOD_OVERRIDE=FQ","FILING_STATUS=MR","SCALING_FORMAT=MLN","Sort=A","Dates=H","DateFormat=P","Fill=—","Direction=H","UseDPDF=Y")</f>
        <v>—</v>
      </c>
      <c r="Z62" s="13" t="str" cm="1">
        <f t="array" ref="Z62">_xll.BDH("CAT US Equity","LT_DEFERRED_REVENUE","FQ2 2024","FQ2 2024","Currency=USD","Period=FQ","BEST_FPERIOD_OVERRIDE=FQ","FILING_STATUS=MR","SCALING_FORMAT=MLN","Sort=A","Dates=H","DateFormat=P","Fill=—","Direction=H","UseDPDF=Y")</f>
        <v>—</v>
      </c>
      <c r="AA62" s="13" cm="1">
        <f t="array" ref="AA62">_xll.BDH("CAT US Equity","LT_DEFERRED_REVENUE","FQ3 2024","FQ3 2024","Currency=USD","Period=FQ","BEST_FPERIOD_OVERRIDE=FQ","FILING_STATUS=MR","SCALING_FORMAT=MLN","Sort=A","Dates=H","DateFormat=P","Fill=—","Direction=H","UseDPDF=Y")</f>
        <v>0</v>
      </c>
      <c r="AB62" s="13" cm="1">
        <f t="array" ref="AB62">_xll.BDH("CAT US Equity","LT_DEFERRED_REVENUE","FQ4 2024","FQ4 2024","Currency=USD","Period=FQ","BEST_FPERIOD_OVERRIDE=FQ","FILING_STATUS=MR","SCALING_FORMAT=MLN","Sort=A","Dates=H","DateFormat=P","Fill=—","Direction=H","UseDPDF=Y")</f>
        <v>0</v>
      </c>
      <c r="AC62" s="13" t="str" cm="1">
        <f t="array" ref="AC62">_xll.BDH("CAT US Equity","LT_DEFERRED_REVENUE","FQ1 2025","FQ1 2025","Currency=USD","Period=FQ","BEST_FPERIOD_OVERRIDE=FQ","FILING_STATUS=MR","SCALING_FORMAT=MLN","Sort=A","Dates=H","DateFormat=P","Fill=—","Direction=H","UseDPDF=Y")</f>
        <v>—</v>
      </c>
      <c r="AD62" s="13" t="str" cm="1">
        <f t="array" ref="AD62">_xll.BDH("CAT US Equity","LT_DEFERRED_REVENUE","FQ2 2025","FQ2 2025","Currency=USD","Period=FQ","BEST_FPERIOD_OVERRIDE=FQ","FILING_STATUS=MR","SCALING_FORMAT=MLN","Sort=A","Dates=H","DateFormat=P","Fill=—","Direction=H","UseDPDF=Y")</f>
        <v>—</v>
      </c>
      <c r="AE62" s="13" t="str" cm="1">
        <f t="array" ref="AE62">_xll.BDH("CAT US Equity","LT_DEFERRED_REVENUE","FQ3 2025","FQ3 2025","Currency=USD","Period=FQ","BEST_FPERIOD_OVERRIDE=FQ","FILING_STATUS=MR","SCALING_FORMAT=MLN","Sort=A","Dates=H","DateFormat=P","Fill=—","Direction=H","UseDPDF=Y")</f>
        <v>—</v>
      </c>
      <c r="AF62" s="13" cm="1">
        <f t="array" ref="AF62">_xll.BDH("CAT US Equity","LT_DEFERRED_REVENUE","FQ4 2025","FQ4 2025","Currency=USD","Period=FQ","BEST_FPERIOD_OVERRIDE=FQ","FILING_STATUS=MR","SCALING_FORMAT=MLN","Sort=A","Dates=H","DateFormat=P","Fill=—","Direction=H","UseDPDF=Y")</f>
        <v>0</v>
      </c>
    </row>
    <row r="63" spans="1:32" x14ac:dyDescent="0.25">
      <c r="A63" s="10" t="s">
        <v>149</v>
      </c>
      <c r="B63" s="10" t="s">
        <v>172</v>
      </c>
      <c r="C63" s="13" cm="1">
        <f t="array" ref="C63">_xll.BDH("CAT US Equity","BS_DERIV_HEDGING_LIAB_LT","FQ3 2018","FQ3 2018","Currency=USD","Period=FQ","BEST_FPERIOD_OVERRIDE=FQ","FILING_STATUS=MR","SCALING_FORMAT=MLN","Sort=A","Dates=H","DateFormat=P","Fill=—","Direction=H","UseDPDF=Y")</f>
        <v>6</v>
      </c>
      <c r="D63" s="13" cm="1">
        <f t="array" ref="D63">_xll.BDH("CAT US Equity","BS_DERIV_HEDGING_LIAB_LT","FQ4 2018","FQ4 2018","Currency=USD","Period=FQ","BEST_FPERIOD_OVERRIDE=FQ","FILING_STATUS=MR","SCALING_FORMAT=MLN","Sort=A","Dates=H","DateFormat=P","Fill=—","Direction=H","UseDPDF=Y")</f>
        <v>9</v>
      </c>
      <c r="E63" s="13" cm="1">
        <f t="array" ref="E63">_xll.BDH("CAT US Equity","BS_DERIV_HEDGING_LIAB_LT","FQ1 2019","FQ1 2019","Currency=USD","Period=FQ","BEST_FPERIOD_OVERRIDE=FQ","FILING_STATUS=MR","SCALING_FORMAT=MLN","Sort=A","Dates=H","DateFormat=P","Fill=—","Direction=H","UseDPDF=Y")</f>
        <v>5</v>
      </c>
      <c r="F63" s="13" cm="1">
        <f t="array" ref="F63">_xll.BDH("CAT US Equity","BS_DERIV_HEDGING_LIAB_LT","FQ2 2019","FQ2 2019","Currency=USD","Period=FQ","BEST_FPERIOD_OVERRIDE=FQ","FILING_STATUS=MR","SCALING_FORMAT=MLN","Sort=A","Dates=H","DateFormat=P","Fill=—","Direction=H","UseDPDF=Y")</f>
        <v>17</v>
      </c>
      <c r="G63" s="13" cm="1">
        <f t="array" ref="G63">_xll.BDH("CAT US Equity","BS_DERIV_HEDGING_LIAB_LT","FQ3 2019","FQ3 2019","Currency=USD","Period=FQ","BEST_FPERIOD_OVERRIDE=FQ","FILING_STATUS=MR","SCALING_FORMAT=MLN","Sort=A","Dates=H","DateFormat=P","Fill=—","Direction=H","UseDPDF=Y")</f>
        <v>6</v>
      </c>
      <c r="H63" s="13" cm="1">
        <f t="array" ref="H63">_xll.BDH("CAT US Equity","BS_DERIV_HEDGING_LIAB_LT","FQ4 2019","FQ4 2019","Currency=USD","Period=FQ","BEST_FPERIOD_OVERRIDE=FQ","FILING_STATUS=MR","SCALING_FORMAT=MLN","Sort=A","Dates=H","DateFormat=P","Fill=—","Direction=H","UseDPDF=Y")</f>
        <v>0</v>
      </c>
      <c r="I63" s="13" t="str" cm="1">
        <f t="array" ref="I63">_xll.BDH("CAT US Equity","BS_DERIV_HEDGING_LIAB_LT","FQ1 2020","FQ1 2020","Currency=USD","Period=FQ","BEST_FPERIOD_OVERRIDE=FQ","FILING_STATUS=MR","SCALING_FORMAT=MLN","Sort=A","Dates=H","DateFormat=P","Fill=—","Direction=H","UseDPDF=Y")</f>
        <v>—</v>
      </c>
      <c r="J63" s="13" cm="1">
        <f t="array" ref="J63">_xll.BDH("CAT US Equity","BS_DERIV_HEDGING_LIAB_LT","FQ2 2020","FQ2 2020","Currency=USD","Period=FQ","BEST_FPERIOD_OVERRIDE=FQ","FILING_STATUS=MR","SCALING_FORMAT=MLN","Sort=A","Dates=H","DateFormat=P","Fill=—","Direction=H","UseDPDF=Y")</f>
        <v>3</v>
      </c>
      <c r="K63" s="13" cm="1">
        <f t="array" ref="K63">_xll.BDH("CAT US Equity","BS_DERIV_HEDGING_LIAB_LT","FQ3 2020","FQ3 2020","Currency=USD","Period=FQ","BEST_FPERIOD_OVERRIDE=FQ","FILING_STATUS=MR","SCALING_FORMAT=MLN","Sort=A","Dates=H","DateFormat=P","Fill=—","Direction=H","UseDPDF=Y")</f>
        <v>21</v>
      </c>
      <c r="L63" s="13" cm="1">
        <f t="array" ref="L63">_xll.BDH("CAT US Equity","BS_DERIV_HEDGING_LIAB_LT","FQ4 2020","FQ4 2020","Currency=USD","Period=FQ","BEST_FPERIOD_OVERRIDE=FQ","FILING_STATUS=MR","SCALING_FORMAT=MLN","Sort=A","Dates=H","DateFormat=P","Fill=—","Direction=H","UseDPDF=Y")</f>
        <v>0</v>
      </c>
      <c r="M63" s="13" t="str" cm="1">
        <f t="array" ref="M63">_xll.BDH("CAT US Equity","BS_DERIV_HEDGING_LIAB_LT","FQ1 2021","FQ1 2021","Currency=USD","Period=FQ","BEST_FPERIOD_OVERRIDE=FQ","FILING_STATUS=MR","SCALING_FORMAT=MLN","Sort=A","Dates=H","DateFormat=P","Fill=—","Direction=H","UseDPDF=Y")</f>
        <v>—</v>
      </c>
      <c r="N63" s="13" t="str" cm="1">
        <f t="array" ref="N63">_xll.BDH("CAT US Equity","BS_DERIV_HEDGING_LIAB_LT","FQ2 2021","FQ2 2021","Currency=USD","Period=FQ","BEST_FPERIOD_OVERRIDE=FQ","FILING_STATUS=MR","SCALING_FORMAT=MLN","Sort=A","Dates=H","DateFormat=P","Fill=—","Direction=H","UseDPDF=Y")</f>
        <v>—</v>
      </c>
      <c r="O63" s="13" cm="1">
        <f t="array" ref="O63">_xll.BDH("CAT US Equity","BS_DERIV_HEDGING_LIAB_LT","FQ3 2021","FQ3 2021","Currency=USD","Period=FQ","BEST_FPERIOD_OVERRIDE=FQ","FILING_STATUS=MR","SCALING_FORMAT=MLN","Sort=A","Dates=H","DateFormat=P","Fill=—","Direction=H","UseDPDF=Y")</f>
        <v>10</v>
      </c>
      <c r="P63" s="13" cm="1">
        <f t="array" ref="P63">_xll.BDH("CAT US Equity","BS_DERIV_HEDGING_LIAB_LT","FQ4 2021","FQ4 2021","Currency=USD","Period=FQ","BEST_FPERIOD_OVERRIDE=FQ","FILING_STATUS=MR","SCALING_FORMAT=MLN","Sort=A","Dates=H","DateFormat=P","Fill=—","Direction=H","UseDPDF=Y")</f>
        <v>0</v>
      </c>
      <c r="Q63" s="13" t="str" cm="1">
        <f t="array" ref="Q63">_xll.BDH("CAT US Equity","BS_DERIV_HEDGING_LIAB_LT","FQ1 2022","FQ1 2022","Currency=USD","Period=FQ","BEST_FPERIOD_OVERRIDE=FQ","FILING_STATUS=MR","SCALING_FORMAT=MLN","Sort=A","Dates=H","DateFormat=P","Fill=—","Direction=H","UseDPDF=Y")</f>
        <v>—</v>
      </c>
      <c r="R63" s="13" t="str" cm="1">
        <f t="array" ref="R63">_xll.BDH("CAT US Equity","BS_DERIV_HEDGING_LIAB_LT","FQ2 2022","FQ2 2022","Currency=USD","Period=FQ","BEST_FPERIOD_OVERRIDE=FQ","FILING_STATUS=MR","SCALING_FORMAT=MLN","Sort=A","Dates=H","DateFormat=P","Fill=—","Direction=H","UseDPDF=Y")</f>
        <v>—</v>
      </c>
      <c r="S63" s="13" t="str" cm="1">
        <f t="array" ref="S63">_xll.BDH("CAT US Equity","BS_DERIV_HEDGING_LIAB_LT","FQ3 2022","FQ3 2022","Currency=USD","Period=FQ","BEST_FPERIOD_OVERRIDE=FQ","FILING_STATUS=MR","SCALING_FORMAT=MLN","Sort=A","Dates=H","DateFormat=P","Fill=—","Direction=H","UseDPDF=Y")</f>
        <v>—</v>
      </c>
      <c r="T63" s="13" t="str" cm="1">
        <f t="array" ref="T63">_xll.BDH("CAT US Equity","BS_DERIV_HEDGING_LIAB_LT","FQ4 2022","FQ4 2022","Currency=USD","Period=FQ","BEST_FPERIOD_OVERRIDE=FQ","FILING_STATUS=MR","SCALING_FORMAT=MLN","Sort=A","Dates=H","DateFormat=P","Fill=—","Direction=H","UseDPDF=Y")</f>
        <v>—</v>
      </c>
      <c r="U63" s="13" t="str" cm="1">
        <f t="array" ref="U63">_xll.BDH("CAT US Equity","BS_DERIV_HEDGING_LIAB_LT","FQ1 2023","FQ1 2023","Currency=USD","Period=FQ","BEST_FPERIOD_OVERRIDE=FQ","FILING_STATUS=MR","SCALING_FORMAT=MLN","Sort=A","Dates=H","DateFormat=P","Fill=—","Direction=H","UseDPDF=Y")</f>
        <v>—</v>
      </c>
      <c r="V63" s="13" t="str" cm="1">
        <f t="array" ref="V63">_xll.BDH("CAT US Equity","BS_DERIV_HEDGING_LIAB_LT","FQ2 2023","FQ2 2023","Currency=USD","Period=FQ","BEST_FPERIOD_OVERRIDE=FQ","FILING_STATUS=MR","SCALING_FORMAT=MLN","Sort=A","Dates=H","DateFormat=P","Fill=—","Direction=H","UseDPDF=Y")</f>
        <v>—</v>
      </c>
      <c r="W63" s="13" t="str" cm="1">
        <f t="array" ref="W63">_xll.BDH("CAT US Equity","BS_DERIV_HEDGING_LIAB_LT","FQ3 2023","FQ3 2023","Currency=USD","Period=FQ","BEST_FPERIOD_OVERRIDE=FQ","FILING_STATUS=MR","SCALING_FORMAT=MLN","Sort=A","Dates=H","DateFormat=P","Fill=—","Direction=H","UseDPDF=Y")</f>
        <v>—</v>
      </c>
      <c r="X63" s="13" cm="1">
        <f t="array" ref="X63">_xll.BDH("CAT US Equity","BS_DERIV_HEDGING_LIAB_LT","FQ4 2023","FQ4 2023","Currency=USD","Period=FQ","BEST_FPERIOD_OVERRIDE=FQ","FILING_STATUS=MR","SCALING_FORMAT=MLN","Sort=A","Dates=H","DateFormat=P","Fill=—","Direction=H","UseDPDF=Y")</f>
        <v>0</v>
      </c>
      <c r="Y63" s="13" t="str" cm="1">
        <f t="array" ref="Y63">_xll.BDH("CAT US Equity","BS_DERIV_HEDGING_LIAB_LT","FQ1 2024","FQ1 2024","Currency=USD","Period=FQ","BEST_FPERIOD_OVERRIDE=FQ","FILING_STATUS=MR","SCALING_FORMAT=MLN","Sort=A","Dates=H","DateFormat=P","Fill=—","Direction=H","UseDPDF=Y")</f>
        <v>—</v>
      </c>
      <c r="Z63" s="13" t="str" cm="1">
        <f t="array" ref="Z63">_xll.BDH("CAT US Equity","BS_DERIV_HEDGING_LIAB_LT","FQ2 2024","FQ2 2024","Currency=USD","Period=FQ","BEST_FPERIOD_OVERRIDE=FQ","FILING_STATUS=MR","SCALING_FORMAT=MLN","Sort=A","Dates=H","DateFormat=P","Fill=—","Direction=H","UseDPDF=Y")</f>
        <v>—</v>
      </c>
      <c r="AA63" s="13" t="str" cm="1">
        <f t="array" ref="AA63">_xll.BDH("CAT US Equity","BS_DERIV_HEDGING_LIAB_LT","FQ3 2024","FQ3 2024","Currency=USD","Period=FQ","BEST_FPERIOD_OVERRIDE=FQ","FILING_STATUS=MR","SCALING_FORMAT=MLN","Sort=A","Dates=H","DateFormat=P","Fill=—","Direction=H","UseDPDF=Y")</f>
        <v>—</v>
      </c>
      <c r="AB63" s="13" cm="1">
        <f t="array" ref="AB63">_xll.BDH("CAT US Equity","BS_DERIV_HEDGING_LIAB_LT","FQ4 2024","FQ4 2024","Currency=USD","Period=FQ","BEST_FPERIOD_OVERRIDE=FQ","FILING_STATUS=MR","SCALING_FORMAT=MLN","Sort=A","Dates=H","DateFormat=P","Fill=—","Direction=H","UseDPDF=Y")</f>
        <v>0</v>
      </c>
      <c r="AC63" s="13" t="str" cm="1">
        <f t="array" ref="AC63">_xll.BDH("CAT US Equity","BS_DERIV_HEDGING_LIAB_LT","FQ1 2025","FQ1 2025","Currency=USD","Period=FQ","BEST_FPERIOD_OVERRIDE=FQ","FILING_STATUS=MR","SCALING_FORMAT=MLN","Sort=A","Dates=H","DateFormat=P","Fill=—","Direction=H","UseDPDF=Y")</f>
        <v>—</v>
      </c>
      <c r="AD63" s="13" t="str" cm="1">
        <f t="array" ref="AD63">_xll.BDH("CAT US Equity","BS_DERIV_HEDGING_LIAB_LT","FQ2 2025","FQ2 2025","Currency=USD","Period=FQ","BEST_FPERIOD_OVERRIDE=FQ","FILING_STATUS=MR","SCALING_FORMAT=MLN","Sort=A","Dates=H","DateFormat=P","Fill=—","Direction=H","UseDPDF=Y")</f>
        <v>—</v>
      </c>
      <c r="AE63" s="13" t="str" cm="1">
        <f t="array" ref="AE63">_xll.BDH("CAT US Equity","BS_DERIV_HEDGING_LIAB_LT","FQ3 2025","FQ3 2025","Currency=USD","Period=FQ","BEST_FPERIOD_OVERRIDE=FQ","FILING_STATUS=MR","SCALING_FORMAT=MLN","Sort=A","Dates=H","DateFormat=P","Fill=—","Direction=H","UseDPDF=Y")</f>
        <v>—</v>
      </c>
      <c r="AF63" s="13" cm="1">
        <f t="array" ref="AF63">_xll.BDH("CAT US Equity","BS_DERIV_HEDGING_LIAB_LT","FQ4 2025","FQ4 2025","Currency=USD","Period=FQ","BEST_FPERIOD_OVERRIDE=FQ","FILING_STATUS=MR","SCALING_FORMAT=MLN","Sort=A","Dates=H","DateFormat=P","Fill=—","Direction=H","UseDPDF=Y")</f>
        <v>0</v>
      </c>
    </row>
    <row r="64" spans="1:32" x14ac:dyDescent="0.25">
      <c r="A64" s="10" t="s">
        <v>173</v>
      </c>
      <c r="B64" s="10" t="s">
        <v>174</v>
      </c>
      <c r="C64" s="13" cm="1">
        <f t="array" ref="C64">_xll.BDH("CAT US Equity","OTHER_NONCURRENT_LIABS_DETAILED","FQ3 2018","FQ3 2018","Currency=USD","Period=FQ","BEST_FPERIOD_OVERRIDE=FQ","FILING_STATUS=MR","SCALING_FORMAT=MLN","Sort=A","Dates=H","DateFormat=P","Fill=—","Direction=H","UseDPDF=Y")</f>
        <v>3793</v>
      </c>
      <c r="D64" s="13" cm="1">
        <f t="array" ref="D64">_xll.BDH("CAT US Equity","OTHER_NONCURRENT_LIABS_DETAILED","FQ4 2018","FQ4 2018","Currency=USD","Period=FQ","BEST_FPERIOD_OVERRIDE=FQ","FILING_STATUS=MR","SCALING_FORMAT=MLN","Sort=A","Dates=H","DateFormat=P","Fill=—","Direction=H","UseDPDF=Y")</f>
        <v>3747</v>
      </c>
      <c r="E64" s="13" cm="1">
        <f t="array" ref="E64">_xll.BDH("CAT US Equity","OTHER_NONCURRENT_LIABS_DETAILED","FQ1 2019","FQ1 2019","Currency=USD","Period=FQ","BEST_FPERIOD_OVERRIDE=FQ","FILING_STATUS=MR","SCALING_FORMAT=MLN","Sort=A","Dates=H","DateFormat=P","Fill=—","Direction=H","UseDPDF=Y")</f>
        <v>3661</v>
      </c>
      <c r="F64" s="13" cm="1">
        <f t="array" ref="F64">_xll.BDH("CAT US Equity","OTHER_NONCURRENT_LIABS_DETAILED","FQ2 2019","FQ2 2019","Currency=USD","Period=FQ","BEST_FPERIOD_OVERRIDE=FQ","FILING_STATUS=MR","SCALING_FORMAT=MLN","Sort=A","Dates=H","DateFormat=P","Fill=—","Direction=H","UseDPDF=Y")</f>
        <v>3865</v>
      </c>
      <c r="G64" s="13" cm="1">
        <f t="array" ref="G64">_xll.BDH("CAT US Equity","OTHER_NONCURRENT_LIABS_DETAILED","FQ3 2019","FQ3 2019","Currency=USD","Period=FQ","BEST_FPERIOD_OVERRIDE=FQ","FILING_STATUS=MR","SCALING_FORMAT=MLN","Sort=A","Dates=H","DateFormat=P","Fill=—","Direction=H","UseDPDF=Y")</f>
        <v>3843</v>
      </c>
      <c r="H64" s="13" cm="1">
        <f t="array" ref="H64">_xll.BDH("CAT US Equity","OTHER_NONCURRENT_LIABS_DETAILED","FQ4 2019","FQ4 2019","Currency=USD","Period=FQ","BEST_FPERIOD_OVERRIDE=FQ","FILING_STATUS=MR","SCALING_FORMAT=MLN","Sort=A","Dates=H","DateFormat=P","Fill=—","Direction=H","UseDPDF=Y")</f>
        <v>3862</v>
      </c>
      <c r="I64" s="13" cm="1">
        <f t="array" ref="I64">_xll.BDH("CAT US Equity","OTHER_NONCURRENT_LIABS_DETAILED","FQ1 2020","FQ1 2020","Currency=USD","Period=FQ","BEST_FPERIOD_OVERRIDE=FQ","FILING_STATUS=MR","SCALING_FORMAT=MLN","Sort=A","Dates=H","DateFormat=P","Fill=—","Direction=H","UseDPDF=Y")</f>
        <v>4437</v>
      </c>
      <c r="J64" s="13" cm="1">
        <f t="array" ref="J64">_xll.BDH("CAT US Equity","OTHER_NONCURRENT_LIABS_DETAILED","FQ2 2020","FQ2 2020","Currency=USD","Period=FQ","BEST_FPERIOD_OVERRIDE=FQ","FILING_STATUS=MR","SCALING_FORMAT=MLN","Sort=A","Dates=H","DateFormat=P","Fill=—","Direction=H","UseDPDF=Y")</f>
        <v>4363</v>
      </c>
      <c r="K64" s="13" cm="1">
        <f t="array" ref="K64">_xll.BDH("CAT US Equity","OTHER_NONCURRENT_LIABS_DETAILED","FQ3 2020","FQ3 2020","Currency=USD","Period=FQ","BEST_FPERIOD_OVERRIDE=FQ","FILING_STATUS=MR","SCALING_FORMAT=MLN","Sort=A","Dates=H","DateFormat=P","Fill=—","Direction=H","UseDPDF=Y")</f>
        <v>4387</v>
      </c>
      <c r="L64" s="13" cm="1">
        <f t="array" ref="L64">_xll.BDH("CAT US Equity","OTHER_NONCURRENT_LIABS_DETAILED","FQ4 2020","FQ4 2020","Currency=USD","Period=FQ","BEST_FPERIOD_OVERRIDE=FQ","FILING_STATUS=MR","SCALING_FORMAT=MLN","Sort=A","Dates=H","DateFormat=P","Fill=—","Direction=H","UseDPDF=Y")</f>
        <v>3901</v>
      </c>
      <c r="M64" s="13" cm="1">
        <f t="array" ref="M64">_xll.BDH("CAT US Equity","OTHER_NONCURRENT_LIABS_DETAILED","FQ1 2021","FQ1 2021","Currency=USD","Period=FQ","BEST_FPERIOD_OVERRIDE=FQ","FILING_STATUS=MR","SCALING_FORMAT=MLN","Sort=A","Dates=H","DateFormat=P","Fill=—","Direction=H","UseDPDF=Y")</f>
        <v>4480</v>
      </c>
      <c r="N64" s="13" cm="1">
        <f t="array" ref="N64">_xll.BDH("CAT US Equity","OTHER_NONCURRENT_LIABS_DETAILED","FQ2 2021","FQ2 2021","Currency=USD","Period=FQ","BEST_FPERIOD_OVERRIDE=FQ","FILING_STATUS=MR","SCALING_FORMAT=MLN","Sort=A","Dates=H","DateFormat=P","Fill=—","Direction=H","UseDPDF=Y")</f>
        <v>4524</v>
      </c>
      <c r="O64" s="13" cm="1">
        <f t="array" ref="O64">_xll.BDH("CAT US Equity","OTHER_NONCURRENT_LIABS_DETAILED","FQ3 2021","FQ3 2021","Currency=USD","Period=FQ","BEST_FPERIOD_OVERRIDE=FQ","FILING_STATUS=MR","SCALING_FORMAT=MLN","Sort=A","Dates=H","DateFormat=P","Fill=—","Direction=H","UseDPDF=Y")</f>
        <v>4554</v>
      </c>
      <c r="P64" s="13" cm="1">
        <f t="array" ref="P64">_xll.BDH("CAT US Equity","OTHER_NONCURRENT_LIABS_DETAILED","FQ4 2021","FQ4 2021","Currency=USD","Period=FQ","BEST_FPERIOD_OVERRIDE=FQ","FILING_STATUS=MR","SCALING_FORMAT=MLN","Sort=A","Dates=H","DateFormat=P","Fill=—","Direction=H","UseDPDF=Y")</f>
        <v>4321</v>
      </c>
      <c r="Q64" s="13" cm="1">
        <f t="array" ref="Q64">_xll.BDH("CAT US Equity","OTHER_NONCURRENT_LIABS_DETAILED","FQ1 2022","FQ1 2022","Currency=USD","Period=FQ","BEST_FPERIOD_OVERRIDE=FQ","FILING_STATUS=MR","SCALING_FORMAT=MLN","Sort=A","Dates=H","DateFormat=P","Fill=—","Direction=H","UseDPDF=Y")</f>
        <v>5007</v>
      </c>
      <c r="R64" s="13" cm="1">
        <f t="array" ref="R64">_xll.BDH("CAT US Equity","OTHER_NONCURRENT_LIABS_DETAILED","FQ2 2022","FQ2 2022","Currency=USD","Period=FQ","BEST_FPERIOD_OVERRIDE=FQ","FILING_STATUS=MR","SCALING_FORMAT=MLN","Sort=A","Dates=H","DateFormat=P","Fill=—","Direction=H","UseDPDF=Y")</f>
        <v>5006</v>
      </c>
      <c r="S64" s="13" cm="1">
        <f t="array" ref="S64">_xll.BDH("CAT US Equity","OTHER_NONCURRENT_LIABS_DETAILED","FQ3 2022","FQ3 2022","Currency=USD","Period=FQ","BEST_FPERIOD_OVERRIDE=FQ","FILING_STATUS=MR","SCALING_FORMAT=MLN","Sort=A","Dates=H","DateFormat=P","Fill=—","Direction=H","UseDPDF=Y")</f>
        <v>4536</v>
      </c>
      <c r="T64" s="13" cm="1">
        <f t="array" ref="T64">_xll.BDH("CAT US Equity","OTHER_NONCURRENT_LIABS_DETAILED","FQ4 2022","FQ4 2022","Currency=USD","Period=FQ","BEST_FPERIOD_OVERRIDE=FQ","FILING_STATUS=MR","SCALING_FORMAT=MLN","Sort=A","Dates=H","DateFormat=P","Fill=—","Direction=H","UseDPDF=Y")</f>
        <v>4176</v>
      </c>
      <c r="U64" s="13" cm="1">
        <f t="array" ref="U64">_xll.BDH("CAT US Equity","OTHER_NONCURRENT_LIABS_DETAILED","FQ1 2023","FQ1 2023","Currency=USD","Period=FQ","BEST_FPERIOD_OVERRIDE=FQ","FILING_STATUS=MR","SCALING_FORMAT=MLN","Sort=A","Dates=H","DateFormat=P","Fill=—","Direction=H","UseDPDF=Y")</f>
        <v>4695</v>
      </c>
      <c r="V64" s="13" cm="1">
        <f t="array" ref="V64">_xll.BDH("CAT US Equity","OTHER_NONCURRENT_LIABS_DETAILED","FQ2 2023","FQ2 2023","Currency=USD","Period=FQ","BEST_FPERIOD_OVERRIDE=FQ","FILING_STATUS=MR","SCALING_FORMAT=MLN","Sort=A","Dates=H","DateFormat=P","Fill=—","Direction=H","UseDPDF=Y")</f>
        <v>4788</v>
      </c>
      <c r="W64" s="13" cm="1">
        <f t="array" ref="W64">_xll.BDH("CAT US Equity","OTHER_NONCURRENT_LIABS_DETAILED","FQ3 2023","FQ3 2023","Currency=USD","Period=FQ","BEST_FPERIOD_OVERRIDE=FQ","FILING_STATUS=MR","SCALING_FORMAT=MLN","Sort=A","Dates=H","DateFormat=P","Fill=—","Direction=H","UseDPDF=Y")</f>
        <v>4841</v>
      </c>
      <c r="X64" s="13" cm="1">
        <f t="array" ref="X64">_xll.BDH("CAT US Equity","OTHER_NONCURRENT_LIABS_DETAILED","FQ4 2023","FQ4 2023","Currency=USD","Period=FQ","BEST_FPERIOD_OVERRIDE=FQ","FILING_STATUS=MR","SCALING_FORMAT=MLN","Sort=A","Dates=H","DateFormat=P","Fill=—","Direction=H","UseDPDF=Y")</f>
        <v>4248</v>
      </c>
      <c r="Y64" s="13" cm="1">
        <f t="array" ref="Y64">_xll.BDH("CAT US Equity","OTHER_NONCURRENT_LIABS_DETAILED","FQ1 2024","FQ1 2024","Currency=USD","Period=FQ","BEST_FPERIOD_OVERRIDE=FQ","FILING_STATUS=MR","SCALING_FORMAT=MLN","Sort=A","Dates=H","DateFormat=P","Fill=—","Direction=H","UseDPDF=Y")</f>
        <v>4826</v>
      </c>
      <c r="Z64" s="13" cm="1">
        <f t="array" ref="Z64">_xll.BDH("CAT US Equity","OTHER_NONCURRENT_LIABS_DETAILED","FQ2 2024","FQ2 2024","Currency=USD","Period=FQ","BEST_FPERIOD_OVERRIDE=FQ","FILING_STATUS=MR","SCALING_FORMAT=MLN","Sort=A","Dates=H","DateFormat=P","Fill=—","Direction=H","UseDPDF=Y")</f>
        <v>4807</v>
      </c>
      <c r="AA64" s="13" cm="1">
        <f t="array" ref="AA64">_xll.BDH("CAT US Equity","OTHER_NONCURRENT_LIABS_DETAILED","FQ3 2024","FQ3 2024","Currency=USD","Period=FQ","BEST_FPERIOD_OVERRIDE=FQ","FILING_STATUS=MR","SCALING_FORMAT=MLN","Sort=A","Dates=H","DateFormat=P","Fill=—","Direction=H","UseDPDF=Y")</f>
        <v>4839</v>
      </c>
      <c r="AB64" s="13" cm="1">
        <f t="array" ref="AB64">_xll.BDH("CAT US Equity","OTHER_NONCURRENT_LIABS_DETAILED","FQ4 2024","FQ4 2024","Currency=USD","Period=FQ","BEST_FPERIOD_OVERRIDE=FQ","FILING_STATUS=MR","SCALING_FORMAT=MLN","Sort=A","Dates=H","DateFormat=P","Fill=—","Direction=H","UseDPDF=Y")</f>
        <v>4431</v>
      </c>
      <c r="AC64" s="13" cm="1">
        <f t="array" ref="AC64">_xll.BDH("CAT US Equity","OTHER_NONCURRENT_LIABS_DETAILED","FQ1 2025","FQ1 2025","Currency=USD","Period=FQ","BEST_FPERIOD_OVERRIDE=FQ","FILING_STATUS=MR","SCALING_FORMAT=MLN","Sort=A","Dates=H","DateFormat=P","Fill=—","Direction=H","UseDPDF=Y")</f>
        <v>4915</v>
      </c>
      <c r="AD64" s="13" cm="1">
        <f t="array" ref="AD64">_xll.BDH("CAT US Equity","OTHER_NONCURRENT_LIABS_DETAILED","FQ2 2025","FQ2 2025","Currency=USD","Period=FQ","BEST_FPERIOD_OVERRIDE=FQ","FILING_STATUS=MR","SCALING_FORMAT=MLN","Sort=A","Dates=H","DateFormat=P","Fill=—","Direction=H","UseDPDF=Y")</f>
        <v>5169</v>
      </c>
      <c r="AE64" s="13" cm="1">
        <f t="array" ref="AE64">_xll.BDH("CAT US Equity","OTHER_NONCURRENT_LIABS_DETAILED","FQ3 2025","FQ3 2025","Currency=USD","Period=FQ","BEST_FPERIOD_OVERRIDE=FQ","FILING_STATUS=MR","SCALING_FORMAT=MLN","Sort=A","Dates=H","DateFormat=P","Fill=—","Direction=H","UseDPDF=Y")</f>
        <v>5672</v>
      </c>
      <c r="AF64" s="13" cm="1">
        <f t="array" ref="AF64">_xll.BDH("CAT US Equity","OTHER_NONCURRENT_LIABS_DETAILED","FQ4 2025","FQ4 2025","Currency=USD","Period=FQ","BEST_FPERIOD_OVERRIDE=FQ","FILING_STATUS=MR","SCALING_FORMAT=MLN","Sort=A","Dates=H","DateFormat=P","Fill=—","Direction=H","UseDPDF=Y")</f>
        <v>5605</v>
      </c>
    </row>
    <row r="65" spans="1:32" x14ac:dyDescent="0.25">
      <c r="A65" s="6" t="s">
        <v>175</v>
      </c>
      <c r="B65" s="6" t="s">
        <v>176</v>
      </c>
      <c r="C65" s="16" cm="1">
        <f t="array" ref="C65">_xll.BDH("CAT US Equity","NON_CUR_LIAB","FQ3 2018","FQ3 2018","Currency=USD","Period=FQ","BEST_FPERIOD_OVERRIDE=FQ","FILING_STATUS=MR","SCALING_FORMAT=MLN","Sort=A","Dates=H","DateFormat=P","Fill=—","Direction=H","UseDPDF=Y")</f>
        <v>36286</v>
      </c>
      <c r="D65" s="16" cm="1">
        <f t="array" ref="D65">_xll.BDH("CAT US Equity","NON_CUR_LIAB","FQ4 2018","FQ4 2018","Currency=USD","Period=FQ","BEST_FPERIOD_OVERRIDE=FQ","FILING_STATUS=MR","SCALING_FORMAT=MLN","Sort=A","Dates=H","DateFormat=P","Fill=—","Direction=H","UseDPDF=Y")</f>
        <v>36211</v>
      </c>
      <c r="E65" s="16" cm="1">
        <f t="array" ref="E65">_xll.BDH("CAT US Equity","NON_CUR_LIAB","FQ1 2019","FQ1 2019","Currency=USD","Period=FQ","BEST_FPERIOD_OVERRIDE=FQ","FILING_STATUS=MR","SCALING_FORMAT=MLN","Sort=A","Dates=H","DateFormat=P","Fill=—","Direction=H","UseDPDF=Y")</f>
        <v>35860</v>
      </c>
      <c r="F65" s="16" cm="1">
        <f t="array" ref="F65">_xll.BDH("CAT US Equity","NON_CUR_LIAB","FQ2 2019","FQ2 2019","Currency=USD","Period=FQ","BEST_FPERIOD_OVERRIDE=FQ","FILING_STATUS=MR","SCALING_FORMAT=MLN","Sort=A","Dates=H","DateFormat=P","Fill=—","Direction=H","UseDPDF=Y")</f>
        <v>36574</v>
      </c>
      <c r="G65" s="16" cm="1">
        <f t="array" ref="G65">_xll.BDH("CAT US Equity","NON_CUR_LIAB","FQ3 2019","FQ3 2019","Currency=USD","Period=FQ","BEST_FPERIOD_OVERRIDE=FQ","FILING_STATUS=MR","SCALING_FORMAT=MLN","Sort=A","Dates=H","DateFormat=P","Fill=—","Direction=H","UseDPDF=Y")</f>
        <v>35799</v>
      </c>
      <c r="H65" s="16" cm="1">
        <f t="array" ref="H65">_xll.BDH("CAT US Equity","NON_CUR_LIAB","FQ4 2019","FQ4 2019","Currency=USD","Period=FQ","BEST_FPERIOD_OVERRIDE=FQ","FILING_STATUS=MR","SCALING_FORMAT=MLN","Sort=A","Dates=H","DateFormat=P","Fill=—","Direction=H","UseDPDF=Y")</f>
        <v>37203</v>
      </c>
      <c r="I65" s="16" cm="1">
        <f t="array" ref="I65">_xll.BDH("CAT US Equity","NON_CUR_LIAB","FQ1 2020","FQ1 2020","Currency=USD","Period=FQ","BEST_FPERIOD_OVERRIDE=FQ","FILING_STATUS=MR","SCALING_FORMAT=MLN","Sort=A","Dates=H","DateFormat=P","Fill=—","Direction=H","UseDPDF=Y")</f>
        <v>35139</v>
      </c>
      <c r="J65" s="16" cm="1">
        <f t="array" ref="J65">_xll.BDH("CAT US Equity","NON_CUR_LIAB","FQ2 2020","FQ2 2020","Currency=USD","Period=FQ","BEST_FPERIOD_OVERRIDE=FQ","FILING_STATUS=MR","SCALING_FORMAT=MLN","Sort=A","Dates=H","DateFormat=P","Fill=—","Direction=H","UseDPDF=Y")</f>
        <v>37558</v>
      </c>
      <c r="K65" s="16" cm="1">
        <f t="array" ref="K65">_xll.BDH("CAT US Equity","NON_CUR_LIAB","FQ3 2020","FQ3 2020","Currency=USD","Period=FQ","BEST_FPERIOD_OVERRIDE=FQ","FILING_STATUS=MR","SCALING_FORMAT=MLN","Sort=A","Dates=H","DateFormat=P","Fill=—","Direction=H","UseDPDF=Y")</f>
        <v>36769</v>
      </c>
      <c r="L65" s="16" cm="1">
        <f t="array" ref="L65">_xll.BDH("CAT US Equity","NON_CUR_LIAB","FQ4 2020","FQ4 2020","Currency=USD","Period=FQ","BEST_FPERIOD_OVERRIDE=FQ","FILING_STATUS=MR","SCALING_FORMAT=MLN","Sort=A","Dates=H","DateFormat=P","Fill=—","Direction=H","UseDPDF=Y")</f>
        <v>37229</v>
      </c>
      <c r="M65" s="16" cm="1">
        <f t="array" ref="M65">_xll.BDH("CAT US Equity","NON_CUR_LIAB","FQ1 2021","FQ1 2021","Currency=USD","Period=FQ","BEST_FPERIOD_OVERRIDE=FQ","FILING_STATUS=MR","SCALING_FORMAT=MLN","Sort=A","Dates=H","DateFormat=P","Fill=—","Direction=H","UseDPDF=Y")</f>
        <v>37534</v>
      </c>
      <c r="N65" s="16" cm="1">
        <f t="array" ref="N65">_xll.BDH("CAT US Equity","NON_CUR_LIAB","FQ2 2021","FQ2 2021","Currency=USD","Period=FQ","BEST_FPERIOD_OVERRIDE=FQ","FILING_STATUS=MR","SCALING_FORMAT=MLN","Sort=A","Dates=H","DateFormat=P","Fill=—","Direction=H","UseDPDF=Y")</f>
        <v>37309</v>
      </c>
      <c r="O65" s="16" cm="1">
        <f t="array" ref="O65">_xll.BDH("CAT US Equity","NON_CUR_LIAB","FQ3 2021","FQ3 2021","Currency=USD","Period=FQ","BEST_FPERIOD_OVERRIDE=FQ","FILING_STATUS=MR","SCALING_FORMAT=MLN","Sort=A","Dates=H","DateFormat=P","Fill=—","Direction=H","UseDPDF=Y")</f>
        <v>38113</v>
      </c>
      <c r="P65" s="16" cm="1">
        <f t="array" ref="P65">_xll.BDH("CAT US Equity","NON_CUR_LIAB","FQ4 2021","FQ4 2021","Currency=USD","Period=FQ","BEST_FPERIOD_OVERRIDE=FQ","FILING_STATUS=MR","SCALING_FORMAT=MLN","Sort=A","Dates=H","DateFormat=P","Fill=—","Direction=H","UseDPDF=Y")</f>
        <v>36430</v>
      </c>
      <c r="Q65" s="16" cm="1">
        <f t="array" ref="Q65">_xll.BDH("CAT US Equity","NON_CUR_LIAB","FQ1 2022","FQ1 2022","Currency=USD","Period=FQ","BEST_FPERIOD_OVERRIDE=FQ","FILING_STATUS=MR","SCALING_FORMAT=MLN","Sort=A","Dates=H","DateFormat=P","Fill=—","Direction=H","UseDPDF=Y")</f>
        <v>35647</v>
      </c>
      <c r="R65" s="16" cm="1">
        <f t="array" ref="R65">_xll.BDH("CAT US Equity","NON_CUR_LIAB","FQ2 2022","FQ2 2022","Currency=USD","Period=FQ","BEST_FPERIOD_OVERRIDE=FQ","FILING_STATUS=MR","SCALING_FORMAT=MLN","Sort=A","Dates=H","DateFormat=P","Fill=—","Direction=H","UseDPDF=Y")</f>
        <v>36385</v>
      </c>
      <c r="S65" s="16" cm="1">
        <f t="array" ref="S65">_xll.BDH("CAT US Equity","NON_CUR_LIAB","FQ3 2022","FQ3 2022","Currency=USD","Period=FQ","BEST_FPERIOD_OVERRIDE=FQ","FILING_STATUS=MR","SCALING_FORMAT=MLN","Sort=A","Dates=H","DateFormat=P","Fill=—","Direction=H","UseDPDF=Y")</f>
        <v>35083</v>
      </c>
      <c r="T65" s="16" cm="1">
        <f t="array" ref="T65">_xll.BDH("CAT US Equity","NON_CUR_LIAB","FQ4 2022","FQ4 2022","Currency=USD","Period=FQ","BEST_FPERIOD_OVERRIDE=FQ","FILING_STATUS=MR","SCALING_FORMAT=MLN","Sort=A","Dates=H","DateFormat=P","Fill=—","Direction=H","UseDPDF=Y")</f>
        <v>34521</v>
      </c>
      <c r="U65" s="16" cm="1">
        <f t="array" ref="U65">_xll.BDH("CAT US Equity","NON_CUR_LIAB","FQ1 2023","FQ1 2023","Currency=USD","Period=FQ","BEST_FPERIOD_OVERRIDE=FQ","FILING_STATUS=MR","SCALING_FORMAT=MLN","Sort=A","Dates=H","DateFormat=P","Fill=—","Direction=H","UseDPDF=Y")</f>
        <v>33637</v>
      </c>
      <c r="V65" s="16" cm="1">
        <f t="array" ref="V65">_xll.BDH("CAT US Equity","NON_CUR_LIAB","FQ2 2023","FQ2 2023","Currency=USD","Period=FQ","BEST_FPERIOD_OVERRIDE=FQ","FILING_STATUS=MR","SCALING_FORMAT=MLN","Sort=A","Dates=H","DateFormat=P","Fill=—","Direction=H","UseDPDF=Y")</f>
        <v>31857</v>
      </c>
      <c r="W65" s="16" cm="1">
        <f t="array" ref="W65">_xll.BDH("CAT US Equity","NON_CUR_LIAB","FQ3 2023","FQ3 2023","Currency=USD","Period=FQ","BEST_FPERIOD_OVERRIDE=FQ","FILING_STATUS=MR","SCALING_FORMAT=MLN","Sort=A","Dates=H","DateFormat=P","Fill=—","Direction=H","UseDPDF=Y")</f>
        <v>33160</v>
      </c>
      <c r="X65" s="16" cm="1">
        <f t="array" ref="X65">_xll.BDH("CAT US Equity","NON_CUR_LIAB","FQ4 2023","FQ4 2023","Currency=USD","Period=FQ","BEST_FPERIOD_OVERRIDE=FQ","FILING_STATUS=MR","SCALING_FORMAT=MLN","Sort=A","Dates=H","DateFormat=P","Fill=—","Direction=H","UseDPDF=Y")</f>
        <v>33245</v>
      </c>
      <c r="Y65" s="16" cm="1">
        <f t="array" ref="Y65">_xll.BDH("CAT US Equity","NON_CUR_LIAB","FQ1 2024","FQ1 2024","Currency=USD","Period=FQ","BEST_FPERIOD_OVERRIDE=FQ","FILING_STATUS=MR","SCALING_FORMAT=MLN","Sort=A","Dates=H","DateFormat=P","Fill=—","Direction=H","UseDPDF=Y")</f>
        <v>33725</v>
      </c>
      <c r="Z65" s="16" cm="1">
        <f t="array" ref="Z65">_xll.BDH("CAT US Equity","NON_CUR_LIAB","FQ2 2024","FQ2 2024","Currency=USD","Period=FQ","BEST_FPERIOD_OVERRIDE=FQ","FILING_STATUS=MR","SCALING_FORMAT=MLN","Sort=A","Dates=H","DateFormat=P","Fill=—","Direction=H","UseDPDF=Y")</f>
        <v>32636</v>
      </c>
      <c r="AA65" s="16" cm="1">
        <f t="array" ref="AA65">_xll.BDH("CAT US Equity","NON_CUR_LIAB","FQ3 2024","FQ3 2024","Currency=USD","Period=FQ","BEST_FPERIOD_OVERRIDE=FQ","FILING_STATUS=MR","SCALING_FORMAT=MLN","Sort=A","Dates=H","DateFormat=P","Fill=—","Direction=H","UseDPDF=Y")</f>
        <v>34652</v>
      </c>
      <c r="AB65" s="16" cm="1">
        <f t="array" ref="AB65">_xll.BDH("CAT US Equity","NON_CUR_LIAB","FQ4 2024","FQ4 2024","Currency=USD","Period=FQ","BEST_FPERIOD_OVERRIDE=FQ","FILING_STATUS=MR","SCALING_FORMAT=MLN","Sort=A","Dates=H","DateFormat=P","Fill=—","Direction=H","UseDPDF=Y")</f>
        <v>35998</v>
      </c>
      <c r="AC65" s="16" cm="1">
        <f t="array" ref="AC65">_xll.BDH("CAT US Equity","NON_CUR_LIAB","FQ1 2025","FQ1 2025","Currency=USD","Period=FQ","BEST_FPERIOD_OVERRIDE=FQ","FILING_STATUS=MR","SCALING_FORMAT=MLN","Sort=A","Dates=H","DateFormat=P","Fill=—","Direction=H","UseDPDF=Y")</f>
        <v>34309</v>
      </c>
      <c r="AD65" s="16" cm="1">
        <f t="array" ref="AD65">_xll.BDH("CAT US Equity","NON_CUR_LIAB","FQ2 2025","FQ2 2025","Currency=USD","Period=FQ","BEST_FPERIOD_OVERRIDE=FQ","FILING_STATUS=MR","SCALING_FORMAT=MLN","Sort=A","Dates=H","DateFormat=P","Fill=—","Direction=H","UseDPDF=Y")</f>
        <v>36728</v>
      </c>
      <c r="AE65" s="16" cm="1">
        <f t="array" ref="AE65">_xll.BDH("CAT US Equity","NON_CUR_LIAB","FQ3 2025","FQ3 2025","Currency=USD","Period=FQ","BEST_FPERIOD_OVERRIDE=FQ","FILING_STATUS=MR","SCALING_FORMAT=MLN","Sort=A","Dates=H","DateFormat=P","Fill=—","Direction=H","UseDPDF=Y")</f>
        <v>37072</v>
      </c>
      <c r="AF65" s="16" cm="1">
        <f t="array" ref="AF65">_xll.BDH("CAT US Equity","NON_CUR_LIAB","FQ4 2025","FQ4 2025","Currency=USD","Period=FQ","BEST_FPERIOD_OVERRIDE=FQ","FILING_STATUS=MR","SCALING_FORMAT=MLN","Sort=A","Dates=H","DateFormat=P","Fill=—","Direction=H","UseDPDF=Y")</f>
        <v>40709</v>
      </c>
    </row>
    <row r="66" spans="1:32" x14ac:dyDescent="0.25">
      <c r="A66" s="6" t="s">
        <v>177</v>
      </c>
      <c r="B66" s="6" t="s">
        <v>178</v>
      </c>
      <c r="C66" s="16" cm="1">
        <f t="array" ref="C66">_xll.BDH("CAT US Equity","BS_TOT_LIAB2","FQ3 2018","FQ3 2018","Currency=USD","Period=FQ","BEST_FPERIOD_OVERRIDE=FQ","FILING_STATUS=MR","SCALING_FORMAT=MLN","Sort=A","Dates=H","DateFormat=P","Fill=—","Direction=H","UseDPDF=Y")</f>
        <v>62319</v>
      </c>
      <c r="D66" s="16" cm="1">
        <f t="array" ref="D66">_xll.BDH("CAT US Equity","BS_TOT_LIAB2","FQ4 2018","FQ4 2018","Currency=USD","Period=FQ","BEST_FPERIOD_OVERRIDE=FQ","FILING_STATUS=MR","SCALING_FORMAT=MLN","Sort=A","Dates=H","DateFormat=P","Fill=—","Direction=H","UseDPDF=Y")</f>
        <v>64429</v>
      </c>
      <c r="E66" s="16" cm="1">
        <f t="array" ref="E66">_xll.BDH("CAT US Equity","BS_TOT_LIAB2","FQ1 2019","FQ1 2019","Currency=USD","Period=FQ","BEST_FPERIOD_OVERRIDE=FQ","FILING_STATUS=MR","SCALING_FORMAT=MLN","Sort=A","Dates=H","DateFormat=P","Fill=—","Direction=H","UseDPDF=Y")</f>
        <v>63248</v>
      </c>
      <c r="F66" s="16" cm="1">
        <f t="array" ref="F66">_xll.BDH("CAT US Equity","BS_TOT_LIAB2","FQ2 2019","FQ2 2019","Currency=USD","Period=FQ","BEST_FPERIOD_OVERRIDE=FQ","FILING_STATUS=MR","SCALING_FORMAT=MLN","Sort=A","Dates=H","DateFormat=P","Fill=—","Direction=H","UseDPDF=Y")</f>
        <v>64309</v>
      </c>
      <c r="G66" s="16" cm="1">
        <f t="array" ref="G66">_xll.BDH("CAT US Equity","BS_TOT_LIAB2","FQ3 2019","FQ3 2019","Currency=USD","Period=FQ","BEST_FPERIOD_OVERRIDE=FQ","FILING_STATUS=MR","SCALING_FORMAT=MLN","Sort=A","Dates=H","DateFormat=P","Fill=—","Direction=H","UseDPDF=Y")</f>
        <v>63000</v>
      </c>
      <c r="H66" s="16" cm="1">
        <f t="array" ref="H66">_xll.BDH("CAT US Equity","BS_TOT_LIAB2","FQ4 2019","FQ4 2019","Currency=USD","Period=FQ","BEST_FPERIOD_OVERRIDE=FQ","FILING_STATUS=MR","SCALING_FORMAT=MLN","Sort=A","Dates=H","DateFormat=P","Fill=—","Direction=H","UseDPDF=Y")</f>
        <v>63824</v>
      </c>
      <c r="I66" s="16" cm="1">
        <f t="array" ref="I66">_xll.BDH("CAT US Equity","BS_TOT_LIAB2","FQ1 2020","FQ1 2020","Currency=USD","Period=FQ","BEST_FPERIOD_OVERRIDE=FQ","FILING_STATUS=MR","SCALING_FORMAT=MLN","Sort=A","Dates=H","DateFormat=P","Fill=—","Direction=H","UseDPDF=Y")</f>
        <v>61655</v>
      </c>
      <c r="J66" s="16" cm="1">
        <f t="array" ref="J66">_xll.BDH("CAT US Equity","BS_TOT_LIAB2","FQ2 2020","FQ2 2020","Currency=USD","Period=FQ","BEST_FPERIOD_OVERRIDE=FQ","FILING_STATUS=MR","SCALING_FORMAT=MLN","Sort=A","Dates=H","DateFormat=P","Fill=—","Direction=H","UseDPDF=Y")</f>
        <v>62789</v>
      </c>
      <c r="K66" s="16" cm="1">
        <f t="array" ref="K66">_xll.BDH("CAT US Equity","BS_TOT_LIAB2","FQ3 2020","FQ3 2020","Currency=USD","Period=FQ","BEST_FPERIOD_OVERRIDE=FQ","FILING_STATUS=MR","SCALING_FORMAT=MLN","Sort=A","Dates=H","DateFormat=P","Fill=—","Direction=H","UseDPDF=Y")</f>
        <v>61747</v>
      </c>
      <c r="L66" s="16" cm="1">
        <f t="array" ref="L66">_xll.BDH("CAT US Equity","BS_TOT_LIAB2","FQ4 2020","FQ4 2020","Currency=USD","Period=FQ","BEST_FPERIOD_OVERRIDE=FQ","FILING_STATUS=MR","SCALING_FORMAT=MLN","Sort=A","Dates=H","DateFormat=P","Fill=—","Direction=H","UseDPDF=Y")</f>
        <v>62946</v>
      </c>
      <c r="M66" s="16" cm="1">
        <f t="array" ref="M66">_xll.BDH("CAT US Equity","BS_TOT_LIAB2","FQ1 2021","FQ1 2021","Currency=USD","Period=FQ","BEST_FPERIOD_OVERRIDE=FQ","FILING_STATUS=MR","SCALING_FORMAT=MLN","Sort=A","Dates=H","DateFormat=P","Fill=—","Direction=H","UseDPDF=Y")</f>
        <v>64112</v>
      </c>
      <c r="N66" s="16" cm="1">
        <f t="array" ref="N66">_xll.BDH("CAT US Equity","BS_TOT_LIAB2","FQ2 2021","FQ2 2021","Currency=USD","Period=FQ","BEST_FPERIOD_OVERRIDE=FQ","FILING_STATUS=MR","SCALING_FORMAT=MLN","Sort=A","Dates=H","DateFormat=P","Fill=—","Direction=H","UseDPDF=Y")</f>
        <v>64817</v>
      </c>
      <c r="O66" s="16" cm="1">
        <f t="array" ref="O66">_xll.BDH("CAT US Equity","BS_TOT_LIAB2","FQ3 2021","FQ3 2021","Currency=USD","Period=FQ","BEST_FPERIOD_OVERRIDE=FQ","FILING_STATUS=MR","SCALING_FORMAT=MLN","Sort=A","Dates=H","DateFormat=P","Fill=—","Direction=H","UseDPDF=Y")</f>
        <v>64089</v>
      </c>
      <c r="P66" s="16" cm="1">
        <f t="array" ref="P66">_xll.BDH("CAT US Equity","BS_TOT_LIAB2","FQ4 2021","FQ4 2021","Currency=USD","Period=FQ","BEST_FPERIOD_OVERRIDE=FQ","FILING_STATUS=MR","SCALING_FORMAT=MLN","Sort=A","Dates=H","DateFormat=P","Fill=—","Direction=H","UseDPDF=Y")</f>
        <v>66277</v>
      </c>
      <c r="Q66" s="16" cm="1">
        <f t="array" ref="Q66">_xll.BDH("CAT US Equity","BS_TOT_LIAB2","FQ1 2022","FQ1 2022","Currency=USD","Period=FQ","BEST_FPERIOD_OVERRIDE=FQ","FILING_STATUS=MR","SCALING_FORMAT=MLN","Sort=A","Dates=H","DateFormat=P","Fill=—","Direction=H","UseDPDF=Y")</f>
        <v>65179</v>
      </c>
      <c r="R66" s="16" cm="1">
        <f t="array" ref="R66">_xll.BDH("CAT US Equity","BS_TOT_LIAB2","FQ2 2022","FQ2 2022","Currency=USD","Period=FQ","BEST_FPERIOD_OVERRIDE=FQ","FILING_STATUS=MR","SCALING_FORMAT=MLN","Sort=A","Dates=H","DateFormat=P","Fill=—","Direction=H","UseDPDF=Y")</f>
        <v>65348</v>
      </c>
      <c r="S66" s="16" cm="1">
        <f t="array" ref="S66">_xll.BDH("CAT US Equity","BS_TOT_LIAB2","FQ3 2022","FQ3 2022","Currency=USD","Period=FQ","BEST_FPERIOD_OVERRIDE=FQ","FILING_STATUS=MR","SCALING_FORMAT=MLN","Sort=A","Dates=H","DateFormat=P","Fill=—","Direction=H","UseDPDF=Y")</f>
        <v>65285</v>
      </c>
      <c r="T66" s="16" cm="1">
        <f t="array" ref="T66">_xll.BDH("CAT US Equity","BS_TOT_LIAB2","FQ4 2022","FQ4 2022","Currency=USD","Period=FQ","BEST_FPERIOD_OVERRIDE=FQ","FILING_STATUS=MR","SCALING_FORMAT=MLN","Sort=A","Dates=H","DateFormat=P","Fill=—","Direction=H","UseDPDF=Y")</f>
        <v>66052</v>
      </c>
      <c r="U66" s="16" cm="1">
        <f t="array" ref="U66">_xll.BDH("CAT US Equity","BS_TOT_LIAB2","FQ1 2023","FQ1 2023","Currency=USD","Period=FQ","BEST_FPERIOD_OVERRIDE=FQ","FILING_STATUS=MR","SCALING_FORMAT=MLN","Sort=A","Dates=H","DateFormat=P","Fill=—","Direction=H","UseDPDF=Y")</f>
        <v>65479</v>
      </c>
      <c r="V66" s="16" cm="1">
        <f t="array" ref="V66">_xll.BDH("CAT US Equity","BS_TOT_LIAB2","FQ2 2023","FQ2 2023","Currency=USD","Period=FQ","BEST_FPERIOD_OVERRIDE=FQ","FILING_STATUS=MR","SCALING_FORMAT=MLN","Sort=A","Dates=H","DateFormat=P","Fill=—","Direction=H","UseDPDF=Y")</f>
        <v>67171</v>
      </c>
      <c r="W66" s="16" cm="1">
        <f t="array" ref="W66">_xll.BDH("CAT US Equity","BS_TOT_LIAB2","FQ3 2023","FQ3 2023","Currency=USD","Period=FQ","BEST_FPERIOD_OVERRIDE=FQ","FILING_STATUS=MR","SCALING_FORMAT=MLN","Sort=A","Dates=H","DateFormat=P","Fill=—","Direction=H","UseDPDF=Y")</f>
        <v>66284</v>
      </c>
      <c r="X66" s="16" cm="1">
        <f t="array" ref="X66">_xll.BDH("CAT US Equity","BS_TOT_LIAB2","FQ4 2023","FQ4 2023","Currency=USD","Period=FQ","BEST_FPERIOD_OVERRIDE=FQ","FILING_STATUS=MR","SCALING_FORMAT=MLN","Sort=A","Dates=H","DateFormat=P","Fill=—","Direction=H","UseDPDF=Y")</f>
        <v>67973</v>
      </c>
      <c r="Y66" s="16" cm="1">
        <f t="array" ref="Y66">_xll.BDH("CAT US Equity","BS_TOT_LIAB2","FQ1 2024","FQ1 2024","Currency=USD","Period=FQ","BEST_FPERIOD_OVERRIDE=FQ","FILING_STATUS=MR","SCALING_FORMAT=MLN","Sort=A","Dates=H","DateFormat=P","Fill=—","Direction=H","UseDPDF=Y")</f>
        <v>66096</v>
      </c>
      <c r="Z66" s="16" cm="1">
        <f t="array" ref="Z66">_xll.BDH("CAT US Equity","BS_TOT_LIAB2","FQ2 2024","FQ2 2024","Currency=USD","Period=FQ","BEST_FPERIOD_OVERRIDE=FQ","FILING_STATUS=MR","SCALING_FORMAT=MLN","Sort=A","Dates=H","DateFormat=P","Fill=—","Direction=H","UseDPDF=Y")</f>
        <v>66200</v>
      </c>
      <c r="AA66" s="16" cm="1">
        <f t="array" ref="AA66">_xll.BDH("CAT US Equity","BS_TOT_LIAB2","FQ3 2024","FQ3 2024","Currency=USD","Period=FQ","BEST_FPERIOD_OVERRIDE=FQ","FILING_STATUS=MR","SCALING_FORMAT=MLN","Sort=A","Dates=H","DateFormat=P","Fill=—","Direction=H","UseDPDF=Y")</f>
        <v>66870</v>
      </c>
      <c r="AB66" s="16" cm="1">
        <f t="array" ref="AB66">_xll.BDH("CAT US Equity","BS_TOT_LIAB2","FQ4 2024","FQ4 2024","Currency=USD","Period=FQ","BEST_FPERIOD_OVERRIDE=FQ","FILING_STATUS=MR","SCALING_FORMAT=MLN","Sort=A","Dates=H","DateFormat=P","Fill=—","Direction=H","UseDPDF=Y")</f>
        <v>68270</v>
      </c>
      <c r="AC66" s="16" cm="1">
        <f t="array" ref="AC66">_xll.BDH("CAT US Equity","BS_TOT_LIAB2","FQ1 2025","FQ1 2025","Currency=USD","Period=FQ","BEST_FPERIOD_OVERRIDE=FQ","FILING_STATUS=MR","SCALING_FORMAT=MLN","Sort=A","Dates=H","DateFormat=P","Fill=—","Direction=H","UseDPDF=Y")</f>
        <v>66904</v>
      </c>
      <c r="AD66" s="16" cm="1">
        <f t="array" ref="AD66">_xll.BDH("CAT US Equity","BS_TOT_LIAB2","FQ2 2025","FQ2 2025","Currency=USD","Period=FQ","BEST_FPERIOD_OVERRIDE=FQ","FILING_STATUS=MR","SCALING_FORMAT=MLN","Sort=A","Dates=H","DateFormat=P","Fill=—","Direction=H","UseDPDF=Y")</f>
        <v>71662</v>
      </c>
      <c r="AE66" s="16" cm="1">
        <f t="array" ref="AE66">_xll.BDH("CAT US Equity","BS_TOT_LIAB2","FQ3 2025","FQ3 2025","Currency=USD","Period=FQ","BEST_FPERIOD_OVERRIDE=FQ","FILING_STATUS=MR","SCALING_FORMAT=MLN","Sort=A","Dates=H","DateFormat=P","Fill=—","Direction=H","UseDPDF=Y")</f>
        <v>73063</v>
      </c>
      <c r="AF66" s="16" cm="1">
        <f t="array" ref="AF66">_xll.BDH("CAT US Equity","BS_TOT_LIAB2","FQ4 2025","FQ4 2025","Currency=USD","Period=FQ","BEST_FPERIOD_OVERRIDE=FQ","FILING_STATUS=MR","SCALING_FORMAT=MLN","Sort=A","Dates=H","DateFormat=P","Fill=—","Direction=H","UseDPDF=Y")</f>
        <v>77267</v>
      </c>
    </row>
    <row r="67" spans="1:32" x14ac:dyDescent="0.25">
      <c r="A67" s="10" t="s">
        <v>179</v>
      </c>
      <c r="B67" s="10" t="s">
        <v>180</v>
      </c>
      <c r="C67" s="13" cm="1">
        <f t="array" ref="C67">_xll.BDH("CAT US Equity","PFD_EQTY_HYBRID_CAPITAL","FQ3 2018","FQ3 2018","Currency=USD","Period=FQ","BEST_FPERIOD_OVERRIDE=FQ","FILING_STATUS=MR","SCALING_FORMAT=MLN","Sort=A","Dates=H","DateFormat=P","Fill=—","Direction=H","UseDPDF=Y")</f>
        <v>0</v>
      </c>
      <c r="D67" s="13" cm="1">
        <f t="array" ref="D67">_xll.BDH("CAT US Equity","PFD_EQTY_HYBRID_CAPITAL","FQ4 2018","FQ4 2018","Currency=USD","Period=FQ","BEST_FPERIOD_OVERRIDE=FQ","FILING_STATUS=MR","SCALING_FORMAT=MLN","Sort=A","Dates=H","DateFormat=P","Fill=—","Direction=H","UseDPDF=Y")</f>
        <v>0</v>
      </c>
      <c r="E67" s="13" cm="1">
        <f t="array" ref="E67">_xll.BDH("CAT US Equity","PFD_EQTY_HYBRID_CAPITAL","FQ1 2019","FQ1 2019","Currency=USD","Period=FQ","BEST_FPERIOD_OVERRIDE=FQ","FILING_STATUS=MR","SCALING_FORMAT=MLN","Sort=A","Dates=H","DateFormat=P","Fill=—","Direction=H","UseDPDF=Y")</f>
        <v>0</v>
      </c>
      <c r="F67" s="13" cm="1">
        <f t="array" ref="F67">_xll.BDH("CAT US Equity","PFD_EQTY_HYBRID_CAPITAL","FQ2 2019","FQ2 2019","Currency=USD","Period=FQ","BEST_FPERIOD_OVERRIDE=FQ","FILING_STATUS=MR","SCALING_FORMAT=MLN","Sort=A","Dates=H","DateFormat=P","Fill=—","Direction=H","UseDPDF=Y")</f>
        <v>0</v>
      </c>
      <c r="G67" s="13" cm="1">
        <f t="array" ref="G67">_xll.BDH("CAT US Equity","PFD_EQTY_HYBRID_CAPITAL","FQ3 2019","FQ3 2019","Currency=USD","Period=FQ","BEST_FPERIOD_OVERRIDE=FQ","FILING_STATUS=MR","SCALING_FORMAT=MLN","Sort=A","Dates=H","DateFormat=P","Fill=—","Direction=H","UseDPDF=Y")</f>
        <v>0</v>
      </c>
      <c r="H67" s="13" cm="1">
        <f t="array" ref="H67">_xll.BDH("CAT US Equity","PFD_EQTY_HYBRID_CAPITAL","FQ4 2019","FQ4 2019","Currency=USD","Period=FQ","BEST_FPERIOD_OVERRIDE=FQ","FILING_STATUS=MR","SCALING_FORMAT=MLN","Sort=A","Dates=H","DateFormat=P","Fill=—","Direction=H","UseDPDF=Y")</f>
        <v>0</v>
      </c>
      <c r="I67" s="13" cm="1">
        <f t="array" ref="I67">_xll.BDH("CAT US Equity","PFD_EQTY_HYBRID_CAPITAL","FQ1 2020","FQ1 2020","Currency=USD","Period=FQ","BEST_FPERIOD_OVERRIDE=FQ","FILING_STATUS=MR","SCALING_FORMAT=MLN","Sort=A","Dates=H","DateFormat=P","Fill=—","Direction=H","UseDPDF=Y")</f>
        <v>0</v>
      </c>
      <c r="J67" s="13" cm="1">
        <f t="array" ref="J67">_xll.BDH("CAT US Equity","PFD_EQTY_HYBRID_CAPITAL","FQ2 2020","FQ2 2020","Currency=USD","Period=FQ","BEST_FPERIOD_OVERRIDE=FQ","FILING_STATUS=MR","SCALING_FORMAT=MLN","Sort=A","Dates=H","DateFormat=P","Fill=—","Direction=H","UseDPDF=Y")</f>
        <v>0</v>
      </c>
      <c r="K67" s="13" cm="1">
        <f t="array" ref="K67">_xll.BDH("CAT US Equity","PFD_EQTY_HYBRID_CAPITAL","FQ3 2020","FQ3 2020","Currency=USD","Period=FQ","BEST_FPERIOD_OVERRIDE=FQ","FILING_STATUS=MR","SCALING_FORMAT=MLN","Sort=A","Dates=H","DateFormat=P","Fill=—","Direction=H","UseDPDF=Y")</f>
        <v>0</v>
      </c>
      <c r="L67" s="13" cm="1">
        <f t="array" ref="L67">_xll.BDH("CAT US Equity","PFD_EQTY_HYBRID_CAPITAL","FQ4 2020","FQ4 2020","Currency=USD","Period=FQ","BEST_FPERIOD_OVERRIDE=FQ","FILING_STATUS=MR","SCALING_FORMAT=MLN","Sort=A","Dates=H","DateFormat=P","Fill=—","Direction=H","UseDPDF=Y")</f>
        <v>0</v>
      </c>
      <c r="M67" s="13" cm="1">
        <f t="array" ref="M67">_xll.BDH("CAT US Equity","PFD_EQTY_HYBRID_CAPITAL","FQ1 2021","FQ1 2021","Currency=USD","Period=FQ","BEST_FPERIOD_OVERRIDE=FQ","FILING_STATUS=MR","SCALING_FORMAT=MLN","Sort=A","Dates=H","DateFormat=P","Fill=—","Direction=H","UseDPDF=Y")</f>
        <v>0</v>
      </c>
      <c r="N67" s="13" cm="1">
        <f t="array" ref="N67">_xll.BDH("CAT US Equity","PFD_EQTY_HYBRID_CAPITAL","FQ2 2021","FQ2 2021","Currency=USD","Period=FQ","BEST_FPERIOD_OVERRIDE=FQ","FILING_STATUS=MR","SCALING_FORMAT=MLN","Sort=A","Dates=H","DateFormat=P","Fill=—","Direction=H","UseDPDF=Y")</f>
        <v>0</v>
      </c>
      <c r="O67" s="13" cm="1">
        <f t="array" ref="O67">_xll.BDH("CAT US Equity","PFD_EQTY_HYBRID_CAPITAL","FQ3 2021","FQ3 2021","Currency=USD","Period=FQ","BEST_FPERIOD_OVERRIDE=FQ","FILING_STATUS=MR","SCALING_FORMAT=MLN","Sort=A","Dates=H","DateFormat=P","Fill=—","Direction=H","UseDPDF=Y")</f>
        <v>0</v>
      </c>
      <c r="P67" s="13" cm="1">
        <f t="array" ref="P67">_xll.BDH("CAT US Equity","PFD_EQTY_HYBRID_CAPITAL","FQ4 2021","FQ4 2021","Currency=USD","Period=FQ","BEST_FPERIOD_OVERRIDE=FQ","FILING_STATUS=MR","SCALING_FORMAT=MLN","Sort=A","Dates=H","DateFormat=P","Fill=—","Direction=H","UseDPDF=Y")</f>
        <v>0</v>
      </c>
      <c r="Q67" s="13" cm="1">
        <f t="array" ref="Q67">_xll.BDH("CAT US Equity","PFD_EQTY_HYBRID_CAPITAL","FQ1 2022","FQ1 2022","Currency=USD","Period=FQ","BEST_FPERIOD_OVERRIDE=FQ","FILING_STATUS=MR","SCALING_FORMAT=MLN","Sort=A","Dates=H","DateFormat=P","Fill=—","Direction=H","UseDPDF=Y")</f>
        <v>0</v>
      </c>
      <c r="R67" s="13" cm="1">
        <f t="array" ref="R67">_xll.BDH("CAT US Equity","PFD_EQTY_HYBRID_CAPITAL","FQ2 2022","FQ2 2022","Currency=USD","Period=FQ","BEST_FPERIOD_OVERRIDE=FQ","FILING_STATUS=MR","SCALING_FORMAT=MLN","Sort=A","Dates=H","DateFormat=P","Fill=—","Direction=H","UseDPDF=Y")</f>
        <v>0</v>
      </c>
      <c r="S67" s="13" cm="1">
        <f t="array" ref="S67">_xll.BDH("CAT US Equity","PFD_EQTY_HYBRID_CAPITAL","FQ3 2022","FQ3 2022","Currency=USD","Period=FQ","BEST_FPERIOD_OVERRIDE=FQ","FILING_STATUS=MR","SCALING_FORMAT=MLN","Sort=A","Dates=H","DateFormat=P","Fill=—","Direction=H","UseDPDF=Y")</f>
        <v>0</v>
      </c>
      <c r="T67" s="13" cm="1">
        <f t="array" ref="T67">_xll.BDH("CAT US Equity","PFD_EQTY_HYBRID_CAPITAL","FQ4 2022","FQ4 2022","Currency=USD","Period=FQ","BEST_FPERIOD_OVERRIDE=FQ","FILING_STATUS=MR","SCALING_FORMAT=MLN","Sort=A","Dates=H","DateFormat=P","Fill=—","Direction=H","UseDPDF=Y")</f>
        <v>0</v>
      </c>
      <c r="U67" s="13" cm="1">
        <f t="array" ref="U67">_xll.BDH("CAT US Equity","PFD_EQTY_HYBRID_CAPITAL","FQ1 2023","FQ1 2023","Currency=USD","Period=FQ","BEST_FPERIOD_OVERRIDE=FQ","FILING_STATUS=MR","SCALING_FORMAT=MLN","Sort=A","Dates=H","DateFormat=P","Fill=—","Direction=H","UseDPDF=Y")</f>
        <v>0</v>
      </c>
      <c r="V67" s="13" cm="1">
        <f t="array" ref="V67">_xll.BDH("CAT US Equity","PFD_EQTY_HYBRID_CAPITAL","FQ2 2023","FQ2 2023","Currency=USD","Period=FQ","BEST_FPERIOD_OVERRIDE=FQ","FILING_STATUS=MR","SCALING_FORMAT=MLN","Sort=A","Dates=H","DateFormat=P","Fill=—","Direction=H","UseDPDF=Y")</f>
        <v>0</v>
      </c>
      <c r="W67" s="13" cm="1">
        <f t="array" ref="W67">_xll.BDH("CAT US Equity","PFD_EQTY_HYBRID_CAPITAL","FQ3 2023","FQ3 2023","Currency=USD","Period=FQ","BEST_FPERIOD_OVERRIDE=FQ","FILING_STATUS=MR","SCALING_FORMAT=MLN","Sort=A","Dates=H","DateFormat=P","Fill=—","Direction=H","UseDPDF=Y")</f>
        <v>0</v>
      </c>
      <c r="X67" s="13" cm="1">
        <f t="array" ref="X67">_xll.BDH("CAT US Equity","PFD_EQTY_HYBRID_CAPITAL","FQ4 2023","FQ4 2023","Currency=USD","Period=FQ","BEST_FPERIOD_OVERRIDE=FQ","FILING_STATUS=MR","SCALING_FORMAT=MLN","Sort=A","Dates=H","DateFormat=P","Fill=—","Direction=H","UseDPDF=Y")</f>
        <v>0</v>
      </c>
      <c r="Y67" s="13" cm="1">
        <f t="array" ref="Y67">_xll.BDH("CAT US Equity","PFD_EQTY_HYBRID_CAPITAL","FQ1 2024","FQ1 2024","Currency=USD","Period=FQ","BEST_FPERIOD_OVERRIDE=FQ","FILING_STATUS=MR","SCALING_FORMAT=MLN","Sort=A","Dates=H","DateFormat=P","Fill=—","Direction=H","UseDPDF=Y")</f>
        <v>0</v>
      </c>
      <c r="Z67" s="13" cm="1">
        <f t="array" ref="Z67">_xll.BDH("CAT US Equity","PFD_EQTY_HYBRID_CAPITAL","FQ2 2024","FQ2 2024","Currency=USD","Period=FQ","BEST_FPERIOD_OVERRIDE=FQ","FILING_STATUS=MR","SCALING_FORMAT=MLN","Sort=A","Dates=H","DateFormat=P","Fill=—","Direction=H","UseDPDF=Y")</f>
        <v>0</v>
      </c>
      <c r="AA67" s="13" cm="1">
        <f t="array" ref="AA67">_xll.BDH("CAT US Equity","PFD_EQTY_HYBRID_CAPITAL","FQ3 2024","FQ3 2024","Currency=USD","Period=FQ","BEST_FPERIOD_OVERRIDE=FQ","FILING_STATUS=MR","SCALING_FORMAT=MLN","Sort=A","Dates=H","DateFormat=P","Fill=—","Direction=H","UseDPDF=Y")</f>
        <v>0</v>
      </c>
      <c r="AB67" s="13" cm="1">
        <f t="array" ref="AB67">_xll.BDH("CAT US Equity","PFD_EQTY_HYBRID_CAPITAL","FQ4 2024","FQ4 2024","Currency=USD","Period=FQ","BEST_FPERIOD_OVERRIDE=FQ","FILING_STATUS=MR","SCALING_FORMAT=MLN","Sort=A","Dates=H","DateFormat=P","Fill=—","Direction=H","UseDPDF=Y")</f>
        <v>0</v>
      </c>
      <c r="AC67" s="13" cm="1">
        <f t="array" ref="AC67">_xll.BDH("CAT US Equity","PFD_EQTY_HYBRID_CAPITAL","FQ1 2025","FQ1 2025","Currency=USD","Period=FQ","BEST_FPERIOD_OVERRIDE=FQ","FILING_STATUS=MR","SCALING_FORMAT=MLN","Sort=A","Dates=H","DateFormat=P","Fill=—","Direction=H","UseDPDF=Y")</f>
        <v>0</v>
      </c>
      <c r="AD67" s="13" cm="1">
        <f t="array" ref="AD67">_xll.BDH("CAT US Equity","PFD_EQTY_HYBRID_CAPITAL","FQ2 2025","FQ2 2025","Currency=USD","Period=FQ","BEST_FPERIOD_OVERRIDE=FQ","FILING_STATUS=MR","SCALING_FORMAT=MLN","Sort=A","Dates=H","DateFormat=P","Fill=—","Direction=H","UseDPDF=Y")</f>
        <v>0</v>
      </c>
      <c r="AE67" s="13" cm="1">
        <f t="array" ref="AE67">_xll.BDH("CAT US Equity","PFD_EQTY_HYBRID_CAPITAL","FQ3 2025","FQ3 2025","Currency=USD","Period=FQ","BEST_FPERIOD_OVERRIDE=FQ","FILING_STATUS=MR","SCALING_FORMAT=MLN","Sort=A","Dates=H","DateFormat=P","Fill=—","Direction=H","UseDPDF=Y")</f>
        <v>0</v>
      </c>
      <c r="AF67" s="13" cm="1">
        <f t="array" ref="AF67">_xll.BDH("CAT US Equity","PFD_EQTY_HYBRID_CAPITAL","FQ4 2025","FQ4 2025","Currency=USD","Period=FQ","BEST_FPERIOD_OVERRIDE=FQ","FILING_STATUS=MR","SCALING_FORMAT=MLN","Sort=A","Dates=H","DateFormat=P","Fill=—","Direction=H","UseDPDF=Y")</f>
        <v>0</v>
      </c>
    </row>
    <row r="68" spans="1:32" x14ac:dyDescent="0.25">
      <c r="A68" s="10" t="s">
        <v>181</v>
      </c>
      <c r="B68" s="10" t="s">
        <v>182</v>
      </c>
      <c r="C68" s="13" cm="1">
        <f t="array" ref="C68">_xll.BDH("CAT US Equity","BS_SH_CAP_AND_APIC","FQ3 2018","FQ3 2018","Currency=USD","Period=FQ","BEST_FPERIOD_OVERRIDE=FQ","FILING_STATUS=MR","SCALING_FORMAT=MLN","Sort=A","Dates=H","DateFormat=P","Fill=—","Direction=H","UseDPDF=Y")</f>
        <v>5715</v>
      </c>
      <c r="D68" s="13" cm="1">
        <f t="array" ref="D68">_xll.BDH("CAT US Equity","BS_SH_CAP_AND_APIC","FQ4 2018","FQ4 2018","Currency=USD","Period=FQ","BEST_FPERIOD_OVERRIDE=FQ","FILING_STATUS=MR","SCALING_FORMAT=MLN","Sort=A","Dates=H","DateFormat=P","Fill=—","Direction=H","UseDPDF=Y")</f>
        <v>5827</v>
      </c>
      <c r="E68" s="13" cm="1">
        <f t="array" ref="E68">_xll.BDH("CAT US Equity","BS_SH_CAP_AND_APIC","FQ1 2019","FQ1 2019","Currency=USD","Period=FQ","BEST_FPERIOD_OVERRIDE=FQ","FILING_STATUS=MR","SCALING_FORMAT=MLN","Sort=A","Dates=H","DateFormat=P","Fill=—","Direction=H","UseDPDF=Y")</f>
        <v>5804</v>
      </c>
      <c r="F68" s="13" cm="1">
        <f t="array" ref="F68">_xll.BDH("CAT US Equity","BS_SH_CAP_AND_APIC","FQ2 2019","FQ2 2019","Currency=USD","Period=FQ","BEST_FPERIOD_OVERRIDE=FQ","FILING_STATUS=MR","SCALING_FORMAT=MLN","Sort=A","Dates=H","DateFormat=P","Fill=—","Direction=H","UseDPDF=Y")</f>
        <v>5822</v>
      </c>
      <c r="G68" s="13" cm="1">
        <f t="array" ref="G68">_xll.BDH("CAT US Equity","BS_SH_CAP_AND_APIC","FQ3 2019","FQ3 2019","Currency=USD","Period=FQ","BEST_FPERIOD_OVERRIDE=FQ","FILING_STATUS=MR","SCALING_FORMAT=MLN","Sort=A","Dates=H","DateFormat=P","Fill=—","Direction=H","UseDPDF=Y")</f>
        <v>5951</v>
      </c>
      <c r="H68" s="13" cm="1">
        <f t="array" ref="H68">_xll.BDH("CAT US Equity","BS_SH_CAP_AND_APIC","FQ4 2019","FQ4 2019","Currency=USD","Period=FQ","BEST_FPERIOD_OVERRIDE=FQ","FILING_STATUS=MR","SCALING_FORMAT=MLN","Sort=A","Dates=H","DateFormat=P","Fill=—","Direction=H","UseDPDF=Y")</f>
        <v>5935</v>
      </c>
      <c r="I68" s="13" cm="1">
        <f t="array" ref="I68">_xll.BDH("CAT US Equity","BS_SH_CAP_AND_APIC","FQ1 2020","FQ1 2020","Currency=USD","Period=FQ","BEST_FPERIOD_OVERRIDE=FQ","FILING_STATUS=MR","SCALING_FORMAT=MLN","Sort=A","Dates=H","DateFormat=P","Fill=—","Direction=H","UseDPDF=Y")</f>
        <v>6046</v>
      </c>
      <c r="J68" s="13" cm="1">
        <f t="array" ref="J68">_xll.BDH("CAT US Equity","BS_SH_CAP_AND_APIC","FQ2 2020","FQ2 2020","Currency=USD","Period=FQ","BEST_FPERIOD_OVERRIDE=FQ","FILING_STATUS=MR","SCALING_FORMAT=MLN","Sort=A","Dates=H","DateFormat=P","Fill=—","Direction=H","UseDPDF=Y")</f>
        <v>6120</v>
      </c>
      <c r="K68" s="13" cm="1">
        <f t="array" ref="K68">_xll.BDH("CAT US Equity","BS_SH_CAP_AND_APIC","FQ3 2020","FQ3 2020","Currency=USD","Period=FQ","BEST_FPERIOD_OVERRIDE=FQ","FILING_STATUS=MR","SCALING_FORMAT=MLN","Sort=A","Dates=H","DateFormat=P","Fill=—","Direction=H","UseDPDF=Y")</f>
        <v>6204</v>
      </c>
      <c r="L68" s="13" cm="1">
        <f t="array" ref="L68">_xll.BDH("CAT US Equity","BS_SH_CAP_AND_APIC","FQ4 2020","FQ4 2020","Currency=USD","Period=FQ","BEST_FPERIOD_OVERRIDE=FQ","FILING_STATUS=MR","SCALING_FORMAT=MLN","Sort=A","Dates=H","DateFormat=P","Fill=—","Direction=H","UseDPDF=Y")</f>
        <v>6230</v>
      </c>
      <c r="M68" s="13" cm="1">
        <f t="array" ref="M68">_xll.BDH("CAT US Equity","BS_SH_CAP_AND_APIC","FQ1 2021","FQ1 2021","Currency=USD","Period=FQ","BEST_FPERIOD_OVERRIDE=FQ","FILING_STATUS=MR","SCALING_FORMAT=MLN","Sort=A","Dates=H","DateFormat=P","Fill=—","Direction=H","UseDPDF=Y")</f>
        <v>6215</v>
      </c>
      <c r="N68" s="13" cm="1">
        <f t="array" ref="N68">_xll.BDH("CAT US Equity","BS_SH_CAP_AND_APIC","FQ2 2021","FQ2 2021","Currency=USD","Period=FQ","BEST_FPERIOD_OVERRIDE=FQ","FILING_STATUS=MR","SCALING_FORMAT=MLN","Sort=A","Dates=H","DateFormat=P","Fill=—","Direction=H","UseDPDF=Y")</f>
        <v>6293</v>
      </c>
      <c r="O68" s="13" cm="1">
        <f t="array" ref="O68">_xll.BDH("CAT US Equity","BS_SH_CAP_AND_APIC","FQ3 2021","FQ3 2021","Currency=USD","Period=FQ","BEST_FPERIOD_OVERRIDE=FQ","FILING_STATUS=MR","SCALING_FORMAT=MLN","Sort=A","Dates=H","DateFormat=P","Fill=—","Direction=H","UseDPDF=Y")</f>
        <v>6352</v>
      </c>
      <c r="P68" s="13" cm="1">
        <f t="array" ref="P68">_xll.BDH("CAT US Equity","BS_SH_CAP_AND_APIC","FQ4 2021","FQ4 2021","Currency=USD","Period=FQ","BEST_FPERIOD_OVERRIDE=FQ","FILING_STATUS=MR","SCALING_FORMAT=MLN","Sort=A","Dates=H","DateFormat=P","Fill=—","Direction=H","UseDPDF=Y")</f>
        <v>6398</v>
      </c>
      <c r="Q68" s="13" cm="1">
        <f t="array" ref="Q68">_xll.BDH("CAT US Equity","BS_SH_CAP_AND_APIC","FQ1 2022","FQ1 2022","Currency=USD","Period=FQ","BEST_FPERIOD_OVERRIDE=FQ","FILING_STATUS=MR","SCALING_FORMAT=MLN","Sort=A","Dates=H","DateFormat=P","Fill=—","Direction=H","UseDPDF=Y")</f>
        <v>6281</v>
      </c>
      <c r="R68" s="13" cm="1">
        <f t="array" ref="R68">_xll.BDH("CAT US Equity","BS_SH_CAP_AND_APIC","FQ2 2022","FQ2 2022","Currency=USD","Period=FQ","BEST_FPERIOD_OVERRIDE=FQ","FILING_STATUS=MR","SCALING_FORMAT=MLN","Sort=A","Dates=H","DateFormat=P","Fill=—","Direction=H","UseDPDF=Y")</f>
        <v>6464</v>
      </c>
      <c r="S68" s="13" cm="1">
        <f t="array" ref="S68">_xll.BDH("CAT US Equity","BS_SH_CAP_AND_APIC","FQ3 2022","FQ3 2022","Currency=USD","Period=FQ","BEST_FPERIOD_OVERRIDE=FQ","FILING_STATUS=MR","SCALING_FORMAT=MLN","Sort=A","Dates=H","DateFormat=P","Fill=—","Direction=H","UseDPDF=Y")</f>
        <v>6523</v>
      </c>
      <c r="T68" s="13" cm="1">
        <f t="array" ref="T68">_xll.BDH("CAT US Equity","BS_SH_CAP_AND_APIC","FQ4 2022","FQ4 2022","Currency=USD","Period=FQ","BEST_FPERIOD_OVERRIDE=FQ","FILING_STATUS=MR","SCALING_FORMAT=MLN","Sort=A","Dates=H","DateFormat=P","Fill=—","Direction=H","UseDPDF=Y")</f>
        <v>6560</v>
      </c>
      <c r="U68" s="13" cm="1">
        <f t="array" ref="U68">_xll.BDH("CAT US Equity","BS_SH_CAP_AND_APIC","FQ1 2023","FQ1 2023","Currency=USD","Period=FQ","BEST_FPERIOD_OVERRIDE=FQ","FILING_STATUS=MR","SCALING_FORMAT=MLN","Sort=A","Dates=H","DateFormat=P","Fill=—","Direction=H","UseDPDF=Y")</f>
        <v>6546</v>
      </c>
      <c r="V68" s="13" cm="1">
        <f t="array" ref="V68">_xll.BDH("CAT US Equity","BS_SH_CAP_AND_APIC","FQ2 2023","FQ2 2023","Currency=USD","Period=FQ","BEST_FPERIOD_OVERRIDE=FQ","FILING_STATUS=MR","SCALING_FORMAT=MLN","Sort=A","Dates=H","DateFormat=P","Fill=—","Direction=H","UseDPDF=Y")</f>
        <v>6478</v>
      </c>
      <c r="W68" s="13" cm="1">
        <f t="array" ref="W68">_xll.BDH("CAT US Equity","BS_SH_CAP_AND_APIC","FQ3 2023","FQ3 2023","Currency=USD","Period=FQ","BEST_FPERIOD_OVERRIDE=FQ","FILING_STATUS=MR","SCALING_FORMAT=MLN","Sort=A","Dates=H","DateFormat=P","Fill=—","Direction=H","UseDPDF=Y")</f>
        <v>6698</v>
      </c>
      <c r="X68" s="13" cm="1">
        <f t="array" ref="X68">_xll.BDH("CAT US Equity","BS_SH_CAP_AND_APIC","FQ4 2023","FQ4 2023","Currency=USD","Period=FQ","BEST_FPERIOD_OVERRIDE=FQ","FILING_STATUS=MR","SCALING_FORMAT=MLN","Sort=A","Dates=H","DateFormat=P","Fill=—","Direction=H","UseDPDF=Y")</f>
        <v>6403</v>
      </c>
      <c r="Y68" s="13" cm="1">
        <f t="array" ref="Y68">_xll.BDH("CAT US Equity","BS_SH_CAP_AND_APIC","FQ1 2024","FQ1 2024","Currency=USD","Period=FQ","BEST_FPERIOD_OVERRIDE=FQ","FILING_STATUS=MR","SCALING_FORMAT=MLN","Sort=A","Dates=H","DateFormat=P","Fill=—","Direction=H","UseDPDF=Y")</f>
        <v>5663</v>
      </c>
      <c r="Z68" s="13" cm="1">
        <f t="array" ref="Z68">_xll.BDH("CAT US Equity","BS_SH_CAP_AND_APIC","FQ2 2024","FQ2 2024","Currency=USD","Period=FQ","BEST_FPERIOD_OVERRIDE=FQ","FILING_STATUS=MR","SCALING_FORMAT=MLN","Sort=A","Dates=H","DateFormat=P","Fill=—","Direction=H","UseDPDF=Y")</f>
        <v>5517</v>
      </c>
      <c r="AA68" s="13" cm="1">
        <f t="array" ref="AA68">_xll.BDH("CAT US Equity","BS_SH_CAP_AND_APIC","FQ3 2024","FQ3 2024","Currency=USD","Period=FQ","BEST_FPERIOD_OVERRIDE=FQ","FILING_STATUS=MR","SCALING_FORMAT=MLN","Sort=A","Dates=H","DateFormat=P","Fill=—","Direction=H","UseDPDF=Y")</f>
        <v>5584</v>
      </c>
      <c r="AB68" s="13" cm="1">
        <f t="array" ref="AB68">_xll.BDH("CAT US Equity","BS_SH_CAP_AND_APIC","FQ4 2024","FQ4 2024","Currency=USD","Period=FQ","BEST_FPERIOD_OVERRIDE=FQ","FILING_STATUS=MR","SCALING_FORMAT=MLN","Sort=A","Dates=H","DateFormat=P","Fill=—","Direction=H","UseDPDF=Y")</f>
        <v>6941</v>
      </c>
      <c r="AC68" s="13" cm="1">
        <f t="array" ref="AC68">_xll.BDH("CAT US Equity","BS_SH_CAP_AND_APIC","FQ1 2025","FQ1 2025","Currency=USD","Period=FQ","BEST_FPERIOD_OVERRIDE=FQ","FILING_STATUS=MR","SCALING_FORMAT=MLN","Sort=A","Dates=H","DateFormat=P","Fill=—","Direction=H","UseDPDF=Y")</f>
        <v>6043</v>
      </c>
      <c r="AD68" s="13" cm="1">
        <f t="array" ref="AD68">_xll.BDH("CAT US Equity","BS_SH_CAP_AND_APIC","FQ2 2025","FQ2 2025","Currency=USD","Period=FQ","BEST_FPERIOD_OVERRIDE=FQ","FILING_STATUS=MR","SCALING_FORMAT=MLN","Sort=A","Dates=H","DateFormat=P","Fill=—","Direction=H","UseDPDF=Y")</f>
        <v>6143</v>
      </c>
      <c r="AE68" s="13" cm="1">
        <f t="array" ref="AE68">_xll.BDH("CAT US Equity","BS_SH_CAP_AND_APIC","FQ3 2025","FQ3 2025","Currency=USD","Period=FQ","BEST_FPERIOD_OVERRIDE=FQ","FILING_STATUS=MR","SCALING_FORMAT=MLN","Sort=A","Dates=H","DateFormat=P","Fill=—","Direction=H","UseDPDF=Y")</f>
        <v>6223</v>
      </c>
      <c r="AF68" s="13" cm="1">
        <f t="array" ref="AF68">_xll.BDH("CAT US Equity","BS_SH_CAP_AND_APIC","FQ4 2025","FQ4 2025","Currency=USD","Period=FQ","BEST_FPERIOD_OVERRIDE=FQ","FILING_STATUS=MR","SCALING_FORMAT=MLN","Sort=A","Dates=H","DateFormat=P","Fill=—","Direction=H","UseDPDF=Y")</f>
        <v>7181</v>
      </c>
    </row>
    <row r="69" spans="1:32" x14ac:dyDescent="0.25">
      <c r="A69" s="10" t="s">
        <v>183</v>
      </c>
      <c r="B69" s="10" t="s">
        <v>184</v>
      </c>
      <c r="C69" s="13" cm="1">
        <f t="array" ref="C69">_xll.BDH("CAT US Equity","BS_COMMON_STOCK","FQ3 2018","FQ3 2018","Currency=USD","Period=FQ","BEST_FPERIOD_OVERRIDE=FQ","FILING_STATUS=MR","SCALING_FORMAT=MLN","Sort=A","Dates=H","DateFormat=P","Fill=—","Direction=H","UseDPDF=Y")</f>
        <v>814.89459999999997</v>
      </c>
      <c r="D69" s="13" cm="1">
        <f t="array" ref="D69">_xll.BDH("CAT US Equity","BS_COMMON_STOCK","FQ4 2018","FQ4 2018","Currency=USD","Period=FQ","BEST_FPERIOD_OVERRIDE=FQ","FILING_STATUS=MR","SCALING_FORMAT=MLN","Sort=A","Dates=H","DateFormat=P","Fill=—","Direction=H","UseDPDF=Y")</f>
        <v>814.89459999999997</v>
      </c>
      <c r="E69" s="13" cm="1">
        <f t="array" ref="E69">_xll.BDH("CAT US Equity","BS_COMMON_STOCK","FQ1 2019","FQ1 2019","Currency=USD","Period=FQ","BEST_FPERIOD_OVERRIDE=FQ","FILING_STATUS=MR","SCALING_FORMAT=MLN","Sort=A","Dates=H","DateFormat=P","Fill=—","Direction=H","UseDPDF=Y")</f>
        <v>814.89459999999997</v>
      </c>
      <c r="F69" s="13" cm="1">
        <f t="array" ref="F69">_xll.BDH("CAT US Equity","BS_COMMON_STOCK","FQ2 2019","FQ2 2019","Currency=USD","Period=FQ","BEST_FPERIOD_OVERRIDE=FQ","FILING_STATUS=MR","SCALING_FORMAT=MLN","Sort=A","Dates=H","DateFormat=P","Fill=—","Direction=H","UseDPDF=Y")</f>
        <v>814.89459999999997</v>
      </c>
      <c r="G69" s="13" cm="1">
        <f t="array" ref="G69">_xll.BDH("CAT US Equity","BS_COMMON_STOCK","FQ3 2019","FQ3 2019","Currency=USD","Period=FQ","BEST_FPERIOD_OVERRIDE=FQ","FILING_STATUS=MR","SCALING_FORMAT=MLN","Sort=A","Dates=H","DateFormat=P","Fill=—","Direction=H","UseDPDF=Y")</f>
        <v>814.89459999999997</v>
      </c>
      <c r="H69" s="13" cm="1">
        <f t="array" ref="H69">_xll.BDH("CAT US Equity","BS_COMMON_STOCK","FQ4 2019","FQ4 2019","Currency=USD","Period=FQ","BEST_FPERIOD_OVERRIDE=FQ","FILING_STATUS=MR","SCALING_FORMAT=MLN","Sort=A","Dates=H","DateFormat=P","Fill=—","Direction=H","UseDPDF=Y")</f>
        <v>814.89459999999997</v>
      </c>
      <c r="I69" s="13" cm="1">
        <f t="array" ref="I69">_xll.BDH("CAT US Equity","BS_COMMON_STOCK","FQ1 2020","FQ1 2020","Currency=USD","Period=FQ","BEST_FPERIOD_OVERRIDE=FQ","FILING_STATUS=MR","SCALING_FORMAT=MLN","Sort=A","Dates=H","DateFormat=P","Fill=—","Direction=H","UseDPDF=Y")</f>
        <v>814.89459999999997</v>
      </c>
      <c r="J69" s="13" cm="1">
        <f t="array" ref="J69">_xll.BDH("CAT US Equity","BS_COMMON_STOCK","FQ2 2020","FQ2 2020","Currency=USD","Period=FQ","BEST_FPERIOD_OVERRIDE=FQ","FILING_STATUS=MR","SCALING_FORMAT=MLN","Sort=A","Dates=H","DateFormat=P","Fill=—","Direction=H","UseDPDF=Y")</f>
        <v>814.89459999999997</v>
      </c>
      <c r="K69" s="13" cm="1">
        <f t="array" ref="K69">_xll.BDH("CAT US Equity","BS_COMMON_STOCK","FQ3 2020","FQ3 2020","Currency=USD","Period=FQ","BEST_FPERIOD_OVERRIDE=FQ","FILING_STATUS=MR","SCALING_FORMAT=MLN","Sort=A","Dates=H","DateFormat=P","Fill=—","Direction=H","UseDPDF=Y")</f>
        <v>814.89459999999997</v>
      </c>
      <c r="L69" s="13" cm="1">
        <f t="array" ref="L69">_xll.BDH("CAT US Equity","BS_COMMON_STOCK","FQ4 2020","FQ4 2020","Currency=USD","Period=FQ","BEST_FPERIOD_OVERRIDE=FQ","FILING_STATUS=MR","SCALING_FORMAT=MLN","Sort=A","Dates=H","DateFormat=P","Fill=—","Direction=H","UseDPDF=Y")</f>
        <v>814.89459999999997</v>
      </c>
      <c r="M69" s="13" cm="1">
        <f t="array" ref="M69">_xll.BDH("CAT US Equity","BS_COMMON_STOCK","FQ1 2021","FQ1 2021","Currency=USD","Period=FQ","BEST_FPERIOD_OVERRIDE=FQ","FILING_STATUS=MR","SCALING_FORMAT=MLN","Sort=A","Dates=H","DateFormat=P","Fill=—","Direction=H","UseDPDF=Y")</f>
        <v>814.89459999999997</v>
      </c>
      <c r="N69" s="13" cm="1">
        <f t="array" ref="N69">_xll.BDH("CAT US Equity","BS_COMMON_STOCK","FQ2 2021","FQ2 2021","Currency=USD","Period=FQ","BEST_FPERIOD_OVERRIDE=FQ","FILING_STATUS=MR","SCALING_FORMAT=MLN","Sort=A","Dates=H","DateFormat=P","Fill=—","Direction=H","UseDPDF=Y")</f>
        <v>814.89459999999997</v>
      </c>
      <c r="O69" s="13" cm="1">
        <f t="array" ref="O69">_xll.BDH("CAT US Equity","BS_COMMON_STOCK","FQ3 2021","FQ3 2021","Currency=USD","Period=FQ","BEST_FPERIOD_OVERRIDE=FQ","FILING_STATUS=MR","SCALING_FORMAT=MLN","Sort=A","Dates=H","DateFormat=P","Fill=—","Direction=H","UseDPDF=Y")</f>
        <v>814.89459999999997</v>
      </c>
      <c r="P69" s="13" cm="1">
        <f t="array" ref="P69">_xll.BDH("CAT US Equity","BS_COMMON_STOCK","FQ4 2021","FQ4 2021","Currency=USD","Period=FQ","BEST_FPERIOD_OVERRIDE=FQ","FILING_STATUS=MR","SCALING_FORMAT=MLN","Sort=A","Dates=H","DateFormat=P","Fill=—","Direction=H","UseDPDF=Y")</f>
        <v>814.89459999999997</v>
      </c>
      <c r="Q69" s="13" cm="1">
        <f t="array" ref="Q69">_xll.BDH("CAT US Equity","BS_COMMON_STOCK","FQ1 2022","FQ1 2022","Currency=USD","Period=FQ","BEST_FPERIOD_OVERRIDE=FQ","FILING_STATUS=MR","SCALING_FORMAT=MLN","Sort=A","Dates=H","DateFormat=P","Fill=—","Direction=H","UseDPDF=Y")</f>
        <v>814.89459999999997</v>
      </c>
      <c r="R69" s="13" cm="1">
        <f t="array" ref="R69">_xll.BDH("CAT US Equity","BS_COMMON_STOCK","FQ2 2022","FQ2 2022","Currency=USD","Period=FQ","BEST_FPERIOD_OVERRIDE=FQ","FILING_STATUS=MR","SCALING_FORMAT=MLN","Sort=A","Dates=H","DateFormat=P","Fill=—","Direction=H","UseDPDF=Y")</f>
        <v>814.89459999999997</v>
      </c>
      <c r="S69" s="13" cm="1">
        <f t="array" ref="S69">_xll.BDH("CAT US Equity","BS_COMMON_STOCK","FQ3 2022","FQ3 2022","Currency=USD","Period=FQ","BEST_FPERIOD_OVERRIDE=FQ","FILING_STATUS=MR","SCALING_FORMAT=MLN","Sort=A","Dates=H","DateFormat=P","Fill=—","Direction=H","UseDPDF=Y")</f>
        <v>814.89459999999997</v>
      </c>
      <c r="T69" s="13" cm="1">
        <f t="array" ref="T69">_xll.BDH("CAT US Equity","BS_COMMON_STOCK","FQ4 2022","FQ4 2022","Currency=USD","Period=FQ","BEST_FPERIOD_OVERRIDE=FQ","FILING_STATUS=MR","SCALING_FORMAT=MLN","Sort=A","Dates=H","DateFormat=P","Fill=—","Direction=H","UseDPDF=Y")</f>
        <v>814.89459999999997</v>
      </c>
      <c r="U69" s="13" cm="1">
        <f t="array" ref="U69">_xll.BDH("CAT US Equity","BS_COMMON_STOCK","FQ1 2023","FQ1 2023","Currency=USD","Period=FQ","BEST_FPERIOD_OVERRIDE=FQ","FILING_STATUS=MR","SCALING_FORMAT=MLN","Sort=A","Dates=H","DateFormat=P","Fill=—","Direction=H","UseDPDF=Y")</f>
        <v>814.89459999999997</v>
      </c>
      <c r="V69" s="13" cm="1">
        <f t="array" ref="V69">_xll.BDH("CAT US Equity","BS_COMMON_STOCK","FQ2 2023","FQ2 2023","Currency=USD","Period=FQ","BEST_FPERIOD_OVERRIDE=FQ","FILING_STATUS=MR","SCALING_FORMAT=MLN","Sort=A","Dates=H","DateFormat=P","Fill=—","Direction=H","UseDPDF=Y")</f>
        <v>814.89459999999997</v>
      </c>
      <c r="W69" s="13" cm="1">
        <f t="array" ref="W69">_xll.BDH("CAT US Equity","BS_COMMON_STOCK","FQ3 2023","FQ3 2023","Currency=USD","Period=FQ","BEST_FPERIOD_OVERRIDE=FQ","FILING_STATUS=MR","SCALING_FORMAT=MLN","Sort=A","Dates=H","DateFormat=P","Fill=—","Direction=H","UseDPDF=Y")</f>
        <v>814.89459999999997</v>
      </c>
      <c r="X69" s="13" cm="1">
        <f t="array" ref="X69">_xll.BDH("CAT US Equity","BS_COMMON_STOCK","FQ4 2023","FQ4 2023","Currency=USD","Period=FQ","BEST_FPERIOD_OVERRIDE=FQ","FILING_STATUS=MR","SCALING_FORMAT=MLN","Sort=A","Dates=H","DateFormat=P","Fill=—","Direction=H","UseDPDF=Y")</f>
        <v>814.89459999999997</v>
      </c>
      <c r="Y69" s="13" cm="1">
        <f t="array" ref="Y69">_xll.BDH("CAT US Equity","BS_COMMON_STOCK","FQ1 2024","FQ1 2024","Currency=USD","Period=FQ","BEST_FPERIOD_OVERRIDE=FQ","FILING_STATUS=MR","SCALING_FORMAT=MLN","Sort=A","Dates=H","DateFormat=P","Fill=—","Direction=H","UseDPDF=Y")</f>
        <v>814.89459999999997</v>
      </c>
      <c r="Z69" s="13" cm="1">
        <f t="array" ref="Z69">_xll.BDH("CAT US Equity","BS_COMMON_STOCK","FQ2 2024","FQ2 2024","Currency=USD","Period=FQ","BEST_FPERIOD_OVERRIDE=FQ","FILING_STATUS=MR","SCALING_FORMAT=MLN","Sort=A","Dates=H","DateFormat=P","Fill=—","Direction=H","UseDPDF=Y")</f>
        <v>814.89459999999997</v>
      </c>
      <c r="AA69" s="13" cm="1">
        <f t="array" ref="AA69">_xll.BDH("CAT US Equity","BS_COMMON_STOCK","FQ3 2024","FQ3 2024","Currency=USD","Period=FQ","BEST_FPERIOD_OVERRIDE=FQ","FILING_STATUS=MR","SCALING_FORMAT=MLN","Sort=A","Dates=H","DateFormat=P","Fill=—","Direction=H","UseDPDF=Y")</f>
        <v>814.89459999999997</v>
      </c>
      <c r="AB69" s="13" cm="1">
        <f t="array" ref="AB69">_xll.BDH("CAT US Equity","BS_COMMON_STOCK","FQ4 2024","FQ4 2024","Currency=USD","Period=FQ","BEST_FPERIOD_OVERRIDE=FQ","FILING_STATUS=MR","SCALING_FORMAT=MLN","Sort=A","Dates=H","DateFormat=P","Fill=—","Direction=H","UseDPDF=Y")</f>
        <v>814.89459999999997</v>
      </c>
      <c r="AC69" s="13" cm="1">
        <f t="array" ref="AC69">_xll.BDH("CAT US Equity","BS_COMMON_STOCK","FQ1 2025","FQ1 2025","Currency=USD","Period=FQ","BEST_FPERIOD_OVERRIDE=FQ","FILING_STATUS=MR","SCALING_FORMAT=MLN","Sort=A","Dates=H","DateFormat=P","Fill=—","Direction=H","UseDPDF=Y")</f>
        <v>814.89459999999997</v>
      </c>
      <c r="AD69" s="13" cm="1">
        <f t="array" ref="AD69">_xll.BDH("CAT US Equity","BS_COMMON_STOCK","FQ2 2025","FQ2 2025","Currency=USD","Period=FQ","BEST_FPERIOD_OVERRIDE=FQ","FILING_STATUS=MR","SCALING_FORMAT=MLN","Sort=A","Dates=H","DateFormat=P","Fill=—","Direction=H","UseDPDF=Y")</f>
        <v>814.89459999999997</v>
      </c>
      <c r="AE69" s="13" cm="1">
        <f t="array" ref="AE69">_xll.BDH("CAT US Equity","BS_COMMON_STOCK","FQ3 2025","FQ3 2025","Currency=USD","Period=FQ","BEST_FPERIOD_OVERRIDE=FQ","FILING_STATUS=MR","SCALING_FORMAT=MLN","Sort=A","Dates=H","DateFormat=P","Fill=—","Direction=H","UseDPDF=Y")</f>
        <v>814.89459999999997</v>
      </c>
      <c r="AF69" s="13" cm="1">
        <f t="array" ref="AF69">_xll.BDH("CAT US Equity","BS_COMMON_STOCK","FQ4 2025","FQ4 2025","Currency=USD","Period=FQ","BEST_FPERIOD_OVERRIDE=FQ","FILING_STATUS=MR","SCALING_FORMAT=MLN","Sort=A","Dates=H","DateFormat=P","Fill=—","Direction=H","UseDPDF=Y")</f>
        <v>814.89459999999997</v>
      </c>
    </row>
    <row r="70" spans="1:32" x14ac:dyDescent="0.25">
      <c r="A70" s="10" t="s">
        <v>185</v>
      </c>
      <c r="B70" s="10" t="s">
        <v>186</v>
      </c>
      <c r="C70" s="13" cm="1">
        <f t="array" ref="C70">_xll.BDH("CAT US Equity","BS_ADD_PAID_IN_CAP","FQ3 2018","FQ3 2018","Currency=USD","Period=FQ","BEST_FPERIOD_OVERRIDE=FQ","FILING_STATUS=MR","SCALING_FORMAT=MLN","Sort=A","Dates=H","DateFormat=P","Fill=—","Direction=H","UseDPDF=Y")</f>
        <v>4900.1054000000004</v>
      </c>
      <c r="D70" s="13" cm="1">
        <f t="array" ref="D70">_xll.BDH("CAT US Equity","BS_ADD_PAID_IN_CAP","FQ4 2018","FQ4 2018","Currency=USD","Period=FQ","BEST_FPERIOD_OVERRIDE=FQ","FILING_STATUS=MR","SCALING_FORMAT=MLN","Sort=A","Dates=H","DateFormat=P","Fill=—","Direction=H","UseDPDF=Y")</f>
        <v>5012.1054000000004</v>
      </c>
      <c r="E70" s="13" cm="1">
        <f t="array" ref="E70">_xll.BDH("CAT US Equity","BS_ADD_PAID_IN_CAP","FQ1 2019","FQ1 2019","Currency=USD","Period=FQ","BEST_FPERIOD_OVERRIDE=FQ","FILING_STATUS=MR","SCALING_FORMAT=MLN","Sort=A","Dates=H","DateFormat=P","Fill=—","Direction=H","UseDPDF=Y")</f>
        <v>4989.1054000000004</v>
      </c>
      <c r="F70" s="13" cm="1">
        <f t="array" ref="F70">_xll.BDH("CAT US Equity","BS_ADD_PAID_IN_CAP","FQ2 2019","FQ2 2019","Currency=USD","Period=FQ","BEST_FPERIOD_OVERRIDE=FQ","FILING_STATUS=MR","SCALING_FORMAT=MLN","Sort=A","Dates=H","DateFormat=P","Fill=—","Direction=H","UseDPDF=Y")</f>
        <v>5007.1054000000004</v>
      </c>
      <c r="G70" s="13" cm="1">
        <f t="array" ref="G70">_xll.BDH("CAT US Equity","BS_ADD_PAID_IN_CAP","FQ3 2019","FQ3 2019","Currency=USD","Period=FQ","BEST_FPERIOD_OVERRIDE=FQ","FILING_STATUS=MR","SCALING_FORMAT=MLN","Sort=A","Dates=H","DateFormat=P","Fill=—","Direction=H","UseDPDF=Y")</f>
        <v>5136.1054000000004</v>
      </c>
      <c r="H70" s="13" cm="1">
        <f t="array" ref="H70">_xll.BDH("CAT US Equity","BS_ADD_PAID_IN_CAP","FQ4 2019","FQ4 2019","Currency=USD","Period=FQ","BEST_FPERIOD_OVERRIDE=FQ","FILING_STATUS=MR","SCALING_FORMAT=MLN","Sort=A","Dates=H","DateFormat=P","Fill=—","Direction=H","UseDPDF=Y")</f>
        <v>5120.1054000000004</v>
      </c>
      <c r="I70" s="13" cm="1">
        <f t="array" ref="I70">_xll.BDH("CAT US Equity","BS_ADD_PAID_IN_CAP","FQ1 2020","FQ1 2020","Currency=USD","Period=FQ","BEST_FPERIOD_OVERRIDE=FQ","FILING_STATUS=MR","SCALING_FORMAT=MLN","Sort=A","Dates=H","DateFormat=P","Fill=—","Direction=H","UseDPDF=Y")</f>
        <v>5231.1054000000004</v>
      </c>
      <c r="J70" s="13" cm="1">
        <f t="array" ref="J70">_xll.BDH("CAT US Equity","BS_ADD_PAID_IN_CAP","FQ2 2020","FQ2 2020","Currency=USD","Period=FQ","BEST_FPERIOD_OVERRIDE=FQ","FILING_STATUS=MR","SCALING_FORMAT=MLN","Sort=A","Dates=H","DateFormat=P","Fill=—","Direction=H","UseDPDF=Y")</f>
        <v>5305.1054000000004</v>
      </c>
      <c r="K70" s="13" cm="1">
        <f t="array" ref="K70">_xll.BDH("CAT US Equity","BS_ADD_PAID_IN_CAP","FQ3 2020","FQ3 2020","Currency=USD","Period=FQ","BEST_FPERIOD_OVERRIDE=FQ","FILING_STATUS=MR","SCALING_FORMAT=MLN","Sort=A","Dates=H","DateFormat=P","Fill=—","Direction=H","UseDPDF=Y")</f>
        <v>5389.1054000000004</v>
      </c>
      <c r="L70" s="13" cm="1">
        <f t="array" ref="L70">_xll.BDH("CAT US Equity","BS_ADD_PAID_IN_CAP","FQ4 2020","FQ4 2020","Currency=USD","Period=FQ","BEST_FPERIOD_OVERRIDE=FQ","FILING_STATUS=MR","SCALING_FORMAT=MLN","Sort=A","Dates=H","DateFormat=P","Fill=—","Direction=H","UseDPDF=Y")</f>
        <v>5415.1054000000004</v>
      </c>
      <c r="M70" s="13" cm="1">
        <f t="array" ref="M70">_xll.BDH("CAT US Equity","BS_ADD_PAID_IN_CAP","FQ1 2021","FQ1 2021","Currency=USD","Period=FQ","BEST_FPERIOD_OVERRIDE=FQ","FILING_STATUS=MR","SCALING_FORMAT=MLN","Sort=A","Dates=H","DateFormat=P","Fill=—","Direction=H","UseDPDF=Y")</f>
        <v>5400.1054000000004</v>
      </c>
      <c r="N70" s="13" cm="1">
        <f t="array" ref="N70">_xll.BDH("CAT US Equity","BS_ADD_PAID_IN_CAP","FQ2 2021","FQ2 2021","Currency=USD","Period=FQ","BEST_FPERIOD_OVERRIDE=FQ","FILING_STATUS=MR","SCALING_FORMAT=MLN","Sort=A","Dates=H","DateFormat=P","Fill=—","Direction=H","UseDPDF=Y")</f>
        <v>5478.1054000000004</v>
      </c>
      <c r="O70" s="13" cm="1">
        <f t="array" ref="O70">_xll.BDH("CAT US Equity","BS_ADD_PAID_IN_CAP","FQ3 2021","FQ3 2021","Currency=USD","Period=FQ","BEST_FPERIOD_OVERRIDE=FQ","FILING_STATUS=MR","SCALING_FORMAT=MLN","Sort=A","Dates=H","DateFormat=P","Fill=—","Direction=H","UseDPDF=Y")</f>
        <v>5537.1054000000004</v>
      </c>
      <c r="P70" s="13" cm="1">
        <f t="array" ref="P70">_xll.BDH("CAT US Equity","BS_ADD_PAID_IN_CAP","FQ4 2021","FQ4 2021","Currency=USD","Period=FQ","BEST_FPERIOD_OVERRIDE=FQ","FILING_STATUS=MR","SCALING_FORMAT=MLN","Sort=A","Dates=H","DateFormat=P","Fill=—","Direction=H","UseDPDF=Y")</f>
        <v>5583.1054000000004</v>
      </c>
      <c r="Q70" s="13" cm="1">
        <f t="array" ref="Q70">_xll.BDH("CAT US Equity","BS_ADD_PAID_IN_CAP","FQ1 2022","FQ1 2022","Currency=USD","Period=FQ","BEST_FPERIOD_OVERRIDE=FQ","FILING_STATUS=MR","SCALING_FORMAT=MLN","Sort=A","Dates=H","DateFormat=P","Fill=—","Direction=H","UseDPDF=Y")</f>
        <v>5466.1054000000004</v>
      </c>
      <c r="R70" s="13" cm="1">
        <f t="array" ref="R70">_xll.BDH("CAT US Equity","BS_ADD_PAID_IN_CAP","FQ2 2022","FQ2 2022","Currency=USD","Period=FQ","BEST_FPERIOD_OVERRIDE=FQ","FILING_STATUS=MR","SCALING_FORMAT=MLN","Sort=A","Dates=H","DateFormat=P","Fill=—","Direction=H","UseDPDF=Y")</f>
        <v>5649.1054000000004</v>
      </c>
      <c r="S70" s="13" cm="1">
        <f t="array" ref="S70">_xll.BDH("CAT US Equity","BS_ADD_PAID_IN_CAP","FQ3 2022","FQ3 2022","Currency=USD","Period=FQ","BEST_FPERIOD_OVERRIDE=FQ","FILING_STATUS=MR","SCALING_FORMAT=MLN","Sort=A","Dates=H","DateFormat=P","Fill=—","Direction=H","UseDPDF=Y")</f>
        <v>5708.1054000000004</v>
      </c>
      <c r="T70" s="13" cm="1">
        <f t="array" ref="T70">_xll.BDH("CAT US Equity","BS_ADD_PAID_IN_CAP","FQ4 2022","FQ4 2022","Currency=USD","Period=FQ","BEST_FPERIOD_OVERRIDE=FQ","FILING_STATUS=MR","SCALING_FORMAT=MLN","Sort=A","Dates=H","DateFormat=P","Fill=—","Direction=H","UseDPDF=Y")</f>
        <v>5745.1054000000004</v>
      </c>
      <c r="U70" s="13" cm="1">
        <f t="array" ref="U70">_xll.BDH("CAT US Equity","BS_ADD_PAID_IN_CAP","FQ1 2023","FQ1 2023","Currency=USD","Period=FQ","BEST_FPERIOD_OVERRIDE=FQ","FILING_STATUS=MR","SCALING_FORMAT=MLN","Sort=A","Dates=H","DateFormat=P","Fill=—","Direction=H","UseDPDF=Y")</f>
        <v>5731.1054000000004</v>
      </c>
      <c r="V70" s="13" cm="1">
        <f t="array" ref="V70">_xll.BDH("CAT US Equity","BS_ADD_PAID_IN_CAP","FQ2 2023","FQ2 2023","Currency=USD","Period=FQ","BEST_FPERIOD_OVERRIDE=FQ","FILING_STATUS=MR","SCALING_FORMAT=MLN","Sort=A","Dates=H","DateFormat=P","Fill=—","Direction=H","UseDPDF=Y")</f>
        <v>5663.1054000000004</v>
      </c>
      <c r="W70" s="13" cm="1">
        <f t="array" ref="W70">_xll.BDH("CAT US Equity","BS_ADD_PAID_IN_CAP","FQ3 2023","FQ3 2023","Currency=USD","Period=FQ","BEST_FPERIOD_OVERRIDE=FQ","FILING_STATUS=MR","SCALING_FORMAT=MLN","Sort=A","Dates=H","DateFormat=P","Fill=—","Direction=H","UseDPDF=Y")</f>
        <v>5883.1054000000004</v>
      </c>
      <c r="X70" s="13" cm="1">
        <f t="array" ref="X70">_xll.BDH("CAT US Equity","BS_ADD_PAID_IN_CAP","FQ4 2023","FQ4 2023","Currency=USD","Period=FQ","BEST_FPERIOD_OVERRIDE=FQ","FILING_STATUS=MR","SCALING_FORMAT=MLN","Sort=A","Dates=H","DateFormat=P","Fill=—","Direction=H","UseDPDF=Y")</f>
        <v>5588.1054000000004</v>
      </c>
      <c r="Y70" s="13" cm="1">
        <f t="array" ref="Y70">_xll.BDH("CAT US Equity","BS_ADD_PAID_IN_CAP","FQ1 2024","FQ1 2024","Currency=USD","Period=FQ","BEST_FPERIOD_OVERRIDE=FQ","FILING_STATUS=MR","SCALING_FORMAT=MLN","Sort=A","Dates=H","DateFormat=P","Fill=—","Direction=H","UseDPDF=Y")</f>
        <v>4848.1054000000004</v>
      </c>
      <c r="Z70" s="13" cm="1">
        <f t="array" ref="Z70">_xll.BDH("CAT US Equity","BS_ADD_PAID_IN_CAP","FQ2 2024","FQ2 2024","Currency=USD","Period=FQ","BEST_FPERIOD_OVERRIDE=FQ","FILING_STATUS=MR","SCALING_FORMAT=MLN","Sort=A","Dates=H","DateFormat=P","Fill=—","Direction=H","UseDPDF=Y")</f>
        <v>4702.1054000000004</v>
      </c>
      <c r="AA70" s="13" cm="1">
        <f t="array" ref="AA70">_xll.BDH("CAT US Equity","BS_ADD_PAID_IN_CAP","FQ3 2024","FQ3 2024","Currency=USD","Period=FQ","BEST_FPERIOD_OVERRIDE=FQ","FILING_STATUS=MR","SCALING_FORMAT=MLN","Sort=A","Dates=H","DateFormat=P","Fill=—","Direction=H","UseDPDF=Y")</f>
        <v>4769.1054000000004</v>
      </c>
      <c r="AB70" s="13" cm="1">
        <f t="array" ref="AB70">_xll.BDH("CAT US Equity","BS_ADD_PAID_IN_CAP","FQ4 2024","FQ4 2024","Currency=USD","Period=FQ","BEST_FPERIOD_OVERRIDE=FQ","FILING_STATUS=MR","SCALING_FORMAT=MLN","Sort=A","Dates=H","DateFormat=P","Fill=—","Direction=H","UseDPDF=Y")</f>
        <v>6126.1054000000004</v>
      </c>
      <c r="AC70" s="13" cm="1">
        <f t="array" ref="AC70">_xll.BDH("CAT US Equity","BS_ADD_PAID_IN_CAP","FQ1 2025","FQ1 2025","Currency=USD","Period=FQ","BEST_FPERIOD_OVERRIDE=FQ","FILING_STATUS=MR","SCALING_FORMAT=MLN","Sort=A","Dates=H","DateFormat=P","Fill=—","Direction=H","UseDPDF=Y")</f>
        <v>5228.1054000000004</v>
      </c>
      <c r="AD70" s="13" cm="1">
        <f t="array" ref="AD70">_xll.BDH("CAT US Equity","BS_ADD_PAID_IN_CAP","FQ2 2025","FQ2 2025","Currency=USD","Period=FQ","BEST_FPERIOD_OVERRIDE=FQ","FILING_STATUS=MR","SCALING_FORMAT=MLN","Sort=A","Dates=H","DateFormat=P","Fill=—","Direction=H","UseDPDF=Y")</f>
        <v>5328.1054000000004</v>
      </c>
      <c r="AE70" s="13" cm="1">
        <f t="array" ref="AE70">_xll.BDH("CAT US Equity","BS_ADD_PAID_IN_CAP","FQ3 2025","FQ3 2025","Currency=USD","Period=FQ","BEST_FPERIOD_OVERRIDE=FQ","FILING_STATUS=MR","SCALING_FORMAT=MLN","Sort=A","Dates=H","DateFormat=P","Fill=—","Direction=H","UseDPDF=Y")</f>
        <v>5408.1054000000004</v>
      </c>
      <c r="AF70" s="13" cm="1">
        <f t="array" ref="AF70">_xll.BDH("CAT US Equity","BS_ADD_PAID_IN_CAP","FQ4 2025","FQ4 2025","Currency=USD","Period=FQ","BEST_FPERIOD_OVERRIDE=FQ","FILING_STATUS=MR","SCALING_FORMAT=MLN","Sort=A","Dates=H","DateFormat=P","Fill=—","Direction=H","UseDPDF=Y")</f>
        <v>6366.1054000000004</v>
      </c>
    </row>
    <row r="71" spans="1:32" x14ac:dyDescent="0.25">
      <c r="A71" s="10" t="s">
        <v>187</v>
      </c>
      <c r="B71" s="10" t="s">
        <v>188</v>
      </c>
      <c r="C71" s="13" cm="1">
        <f t="array" ref="C71">_xll.BDH("CAT US Equity","BS_AMT_OF_TSY_STOCK","FQ3 2018","FQ3 2018","Currency=USD","Period=FQ","BEST_FPERIOD_OVERRIDE=FQ","FILING_STATUS=MR","SCALING_FORMAT=MLN","Sort=A","Dates=H","DateFormat=P","Fill=—","Direction=H","UseDPDF=Y")</f>
        <v>18681</v>
      </c>
      <c r="D71" s="13" cm="1">
        <f t="array" ref="D71">_xll.BDH("CAT US Equity","BS_AMT_OF_TSY_STOCK","FQ4 2018","FQ4 2018","Currency=USD","Period=FQ","BEST_FPERIOD_OVERRIDE=FQ","FILING_STATUS=MR","SCALING_FORMAT=MLN","Sort=A","Dates=H","DateFormat=P","Fill=—","Direction=H","UseDPDF=Y")</f>
        <v>20531</v>
      </c>
      <c r="E71" s="13" cm="1">
        <f t="array" ref="E71">_xll.BDH("CAT US Equity","BS_AMT_OF_TSY_STOCK","FQ1 2019","FQ1 2019","Currency=USD","Period=FQ","BEST_FPERIOD_OVERRIDE=FQ","FILING_STATUS=MR","SCALING_FORMAT=MLN","Sort=A","Dates=H","DateFormat=P","Fill=—","Direction=H","UseDPDF=Y")</f>
        <v>21214</v>
      </c>
      <c r="F71" s="13" cm="1">
        <f t="array" ref="F71">_xll.BDH("CAT US Equity","BS_AMT_OF_TSY_STOCK","FQ2 2019","FQ2 2019","Currency=USD","Period=FQ","BEST_FPERIOD_OVERRIDE=FQ","FILING_STATUS=MR","SCALING_FORMAT=MLN","Sort=A","Dates=H","DateFormat=P","Fill=—","Direction=H","UseDPDF=Y")</f>
        <v>22467</v>
      </c>
      <c r="G71" s="13" cm="1">
        <f t="array" ref="G71">_xll.BDH("CAT US Equity","BS_AMT_OF_TSY_STOCK","FQ3 2019","FQ3 2019","Currency=USD","Period=FQ","BEST_FPERIOD_OVERRIDE=FQ","FILING_STATUS=MR","SCALING_FORMAT=MLN","Sort=A","Dates=H","DateFormat=P","Fill=—","Direction=H","UseDPDF=Y")</f>
        <v>23693</v>
      </c>
      <c r="H71" s="13" cm="1">
        <f t="array" ref="H71">_xll.BDH("CAT US Equity","BS_AMT_OF_TSY_STOCK","FQ4 2019","FQ4 2019","Currency=USD","Period=FQ","BEST_FPERIOD_OVERRIDE=FQ","FILING_STATUS=MR","SCALING_FORMAT=MLN","Sort=A","Dates=H","DateFormat=P","Fill=—","Direction=H","UseDPDF=Y")</f>
        <v>24217</v>
      </c>
      <c r="I71" s="13" cm="1">
        <f t="array" ref="I71">_xll.BDH("CAT US Equity","BS_AMT_OF_TSY_STOCK","FQ1 2020","FQ1 2020","Currency=USD","Period=FQ","BEST_FPERIOD_OVERRIDE=FQ","FILING_STATUS=MR","SCALING_FORMAT=MLN","Sort=A","Dates=H","DateFormat=P","Fill=—","Direction=H","UseDPDF=Y")</f>
        <v>25341</v>
      </c>
      <c r="J71" s="13" cm="1">
        <f t="array" ref="J71">_xll.BDH("CAT US Equity","BS_AMT_OF_TSY_STOCK","FQ2 2020","FQ2 2020","Currency=USD","Period=FQ","BEST_FPERIOD_OVERRIDE=FQ","FILING_STATUS=MR","SCALING_FORMAT=MLN","Sort=A","Dates=H","DateFormat=P","Fill=—","Direction=H","UseDPDF=Y")</f>
        <v>25412</v>
      </c>
      <c r="K71" s="13" cm="1">
        <f t="array" ref="K71">_xll.BDH("CAT US Equity","BS_AMT_OF_TSY_STOCK","FQ3 2020","FQ3 2020","Currency=USD","Period=FQ","BEST_FPERIOD_OVERRIDE=FQ","FILING_STATUS=MR","SCALING_FORMAT=MLN","Sort=A","Dates=H","DateFormat=P","Fill=—","Direction=H","UseDPDF=Y")</f>
        <v>25315</v>
      </c>
      <c r="L71" s="13" cm="1">
        <f t="array" ref="L71">_xll.BDH("CAT US Equity","BS_AMT_OF_TSY_STOCK","FQ4 2020","FQ4 2020","Currency=USD","Period=FQ","BEST_FPERIOD_OVERRIDE=FQ","FILING_STATUS=MR","SCALING_FORMAT=MLN","Sort=A","Dates=H","DateFormat=P","Fill=—","Direction=H","UseDPDF=Y")</f>
        <v>25178</v>
      </c>
      <c r="M71" s="13" cm="1">
        <f t="array" ref="M71">_xll.BDH("CAT US Equity","BS_AMT_OF_TSY_STOCK","FQ1 2021","FQ1 2021","Currency=USD","Period=FQ","BEST_FPERIOD_OVERRIDE=FQ","FILING_STATUS=MR","SCALING_FORMAT=MLN","Sort=A","Dates=H","DateFormat=P","Fill=—","Direction=H","UseDPDF=Y")</f>
        <v>25049</v>
      </c>
      <c r="N71" s="13" cm="1">
        <f t="array" ref="N71">_xll.BDH("CAT US Equity","BS_AMT_OF_TSY_STOCK","FQ2 2021","FQ2 2021","Currency=USD","Period=FQ","BEST_FPERIOD_OVERRIDE=FQ","FILING_STATUS=MR","SCALING_FORMAT=MLN","Sort=A","Dates=H","DateFormat=P","Fill=—","Direction=H","UseDPDF=Y")</f>
        <v>25240</v>
      </c>
      <c r="O71" s="13" cm="1">
        <f t="array" ref="O71">_xll.BDH("CAT US Equity","BS_AMT_OF_TSY_STOCK","FQ3 2021","FQ3 2021","Currency=USD","Period=FQ","BEST_FPERIOD_OVERRIDE=FQ","FILING_STATUS=MR","SCALING_FORMAT=MLN","Sort=A","Dates=H","DateFormat=P","Fill=—","Direction=H","UseDPDF=Y")</f>
        <v>26608</v>
      </c>
      <c r="P71" s="13" cm="1">
        <f t="array" ref="P71">_xll.BDH("CAT US Equity","BS_AMT_OF_TSY_STOCK","FQ4 2021","FQ4 2021","Currency=USD","Period=FQ","BEST_FPERIOD_OVERRIDE=FQ","FILING_STATUS=MR","SCALING_FORMAT=MLN","Sort=A","Dates=H","DateFormat=P","Fill=—","Direction=H","UseDPDF=Y")</f>
        <v>27643</v>
      </c>
      <c r="Q71" s="13" cm="1">
        <f t="array" ref="Q71">_xll.BDH("CAT US Equity","BS_AMT_OF_TSY_STOCK","FQ1 2022","FQ1 2022","Currency=USD","Period=FQ","BEST_FPERIOD_OVERRIDE=FQ","FILING_STATUS=MR","SCALING_FORMAT=MLN","Sort=A","Dates=H","DateFormat=P","Fill=—","Direction=H","UseDPDF=Y")</f>
        <v>28326</v>
      </c>
      <c r="R71" s="13" cm="1">
        <f t="array" ref="R71">_xll.BDH("CAT US Equity","BS_AMT_OF_TSY_STOCK","FQ2 2022","FQ2 2022","Currency=USD","Period=FQ","BEST_FPERIOD_OVERRIDE=FQ","FILING_STATUS=MR","SCALING_FORMAT=MLN","Sort=A","Dates=H","DateFormat=P","Fill=—","Direction=H","UseDPDF=Y")</f>
        <v>29501</v>
      </c>
      <c r="S71" s="13" cm="1">
        <f t="array" ref="S71">_xll.BDH("CAT US Equity","BS_AMT_OF_TSY_STOCK","FQ3 2022","FQ3 2022","Currency=USD","Period=FQ","BEST_FPERIOD_OVERRIDE=FQ","FILING_STATUS=MR","SCALING_FORMAT=MLN","Sort=A","Dates=H","DateFormat=P","Fill=—","Direction=H","UseDPDF=Y")</f>
        <v>30883</v>
      </c>
      <c r="T71" s="13" cm="1">
        <f t="array" ref="T71">_xll.BDH("CAT US Equity","BS_AMT_OF_TSY_STOCK","FQ4 2022","FQ4 2022","Currency=USD","Period=FQ","BEST_FPERIOD_OVERRIDE=FQ","FILING_STATUS=MR","SCALING_FORMAT=MLN","Sort=A","Dates=H","DateFormat=P","Fill=—","Direction=H","UseDPDF=Y")</f>
        <v>31748</v>
      </c>
      <c r="U71" s="13" cm="1">
        <f t="array" ref="U71">_xll.BDH("CAT US Equity","BS_AMT_OF_TSY_STOCK","FQ1 2023","FQ1 2023","Currency=USD","Period=FQ","BEST_FPERIOD_OVERRIDE=FQ","FILING_STATUS=MR","SCALING_FORMAT=MLN","Sort=A","Dates=H","DateFormat=P","Fill=—","Direction=H","UseDPDF=Y")</f>
        <v>32108</v>
      </c>
      <c r="V71" s="13" cm="1">
        <f t="array" ref="V71">_xll.BDH("CAT US Equity","BS_AMT_OF_TSY_STOCK","FQ2 2023","FQ2 2023","Currency=USD","Period=FQ","BEST_FPERIOD_OVERRIDE=FQ","FILING_STATUS=MR","SCALING_FORMAT=MLN","Sort=A","Dates=H","DateFormat=P","Fill=—","Direction=H","UseDPDF=Y")</f>
        <v>33391</v>
      </c>
      <c r="W71" s="13" cm="1">
        <f t="array" ref="W71">_xll.BDH("CAT US Equity","BS_AMT_OF_TSY_STOCK","FQ3 2023","FQ3 2023","Currency=USD","Period=FQ","BEST_FPERIOD_OVERRIDE=FQ","FILING_STATUS=MR","SCALING_FORMAT=MLN","Sort=A","Dates=H","DateFormat=P","Fill=—","Direction=H","UseDPDF=Y")</f>
        <v>33865</v>
      </c>
      <c r="X71" s="13" cm="1">
        <f t="array" ref="X71">_xll.BDH("CAT US Equity","BS_AMT_OF_TSY_STOCK","FQ4 2023","FQ4 2023","Currency=USD","Period=FQ","BEST_FPERIOD_OVERRIDE=FQ","FILING_STATUS=MR","SCALING_FORMAT=MLN","Sort=A","Dates=H","DateFormat=P","Fill=—","Direction=H","UseDPDF=Y")</f>
        <v>36339</v>
      </c>
      <c r="Y71" s="13" cm="1">
        <f t="array" ref="Y71">_xll.BDH("CAT US Equity","BS_AMT_OF_TSY_STOCK","FQ1 2024","FQ1 2024","Currency=USD","Period=FQ","BEST_FPERIOD_OVERRIDE=FQ","FILING_STATUS=MR","SCALING_FORMAT=MLN","Sort=A","Dates=H","DateFormat=P","Fill=—","Direction=H","UseDPDF=Y")</f>
        <v>40039</v>
      </c>
      <c r="Z71" s="13" cm="1">
        <f t="array" ref="Z71">_xll.BDH("CAT US Equity","BS_AMT_OF_TSY_STOCK","FQ2 2024","FQ2 2024","Currency=USD","Period=FQ","BEST_FPERIOD_OVERRIDE=FQ","FILING_STATUS=MR","SCALING_FORMAT=MLN","Sort=A","Dates=H","DateFormat=P","Fill=—","Direction=H","UseDPDF=Y")</f>
        <v>41612</v>
      </c>
      <c r="AA71" s="13" cm="1">
        <f t="array" ref="AA71">_xll.BDH("CAT US Equity","BS_AMT_OF_TSY_STOCK","FQ3 2024","FQ3 2024","Currency=USD","Period=FQ","BEST_FPERIOD_OVERRIDE=FQ","FILING_STATUS=MR","SCALING_FORMAT=MLN","Sort=A","Dates=H","DateFormat=P","Fill=—","Direction=H","UseDPDF=Y")</f>
        <v>42390</v>
      </c>
      <c r="AB71" s="13" cm="1">
        <f t="array" ref="AB71">_xll.BDH("CAT US Equity","BS_AMT_OF_TSY_STOCK","FQ4 2024","FQ4 2024","Currency=USD","Period=FQ","BEST_FPERIOD_OVERRIDE=FQ","FILING_STATUS=MR","SCALING_FORMAT=MLN","Sort=A","Dates=H","DateFormat=P","Fill=—","Direction=H","UseDPDF=Y")</f>
        <v>44331</v>
      </c>
      <c r="AC71" s="13" cm="1">
        <f t="array" ref="AC71">_xll.BDH("CAT US Equity","BS_AMT_OF_TSY_STOCK","FQ1 2025","FQ1 2025","Currency=USD","Period=FQ","BEST_FPERIOD_OVERRIDE=FQ","FILING_STATUS=MR","SCALING_FORMAT=MLN","Sort=A","Dates=H","DateFormat=P","Fill=—","Direction=H","UseDPDF=Y")</f>
        <v>47127</v>
      </c>
      <c r="AD71" s="13" cm="1">
        <f t="array" ref="AD71">_xll.BDH("CAT US Equity","BS_AMT_OF_TSY_STOCK","FQ2 2025","FQ2 2025","Currency=USD","Period=FQ","BEST_FPERIOD_OVERRIDE=FQ","FILING_STATUS=MR","SCALING_FORMAT=MLN","Sort=A","Dates=H","DateFormat=P","Fill=—","Direction=H","UseDPDF=Y")</f>
        <v>47958</v>
      </c>
      <c r="AE71" s="13" cm="1">
        <f t="array" ref="AE71">_xll.BDH("CAT US Equity","BS_AMT_OF_TSY_STOCK","FQ3 2025","FQ3 2025","Currency=USD","Period=FQ","BEST_FPERIOD_OVERRIDE=FQ","FILING_STATUS=MR","SCALING_FORMAT=MLN","Sort=A","Dates=H","DateFormat=P","Fill=—","Direction=H","UseDPDF=Y")</f>
        <v>48302</v>
      </c>
      <c r="AF71" s="13" cm="1">
        <f t="array" ref="AF71">_xll.BDH("CAT US Equity","BS_AMT_OF_TSY_STOCK","FQ4 2025","FQ4 2025","Currency=USD","Period=FQ","BEST_FPERIOD_OVERRIDE=FQ","FILING_STATUS=MR","SCALING_FORMAT=MLN","Sort=A","Dates=H","DateFormat=P","Fill=—","Direction=H","UseDPDF=Y")</f>
        <v>49539</v>
      </c>
    </row>
    <row r="72" spans="1:32" x14ac:dyDescent="0.25">
      <c r="A72" s="10" t="s">
        <v>189</v>
      </c>
      <c r="B72" s="10" t="s">
        <v>190</v>
      </c>
      <c r="C72" s="13" cm="1">
        <f t="array" ref="C72">_xll.BDH("CAT US Equity","BS_PURE_RETAINED_EARNINGS","FQ3 2018","FQ3 2018","Currency=USD","Period=FQ","BEST_FPERIOD_OVERRIDE=FQ","FILING_STATUS=MR","SCALING_FORMAT=MLN","Sort=A","Dates=H","DateFormat=P","Fill=—","Direction=H","UseDPDF=Y")</f>
        <v>30384</v>
      </c>
      <c r="D72" s="13" cm="1">
        <f t="array" ref="D72">_xll.BDH("CAT US Equity","BS_PURE_RETAINED_EARNINGS","FQ4 2018","FQ4 2018","Currency=USD","Period=FQ","BEST_FPERIOD_OVERRIDE=FQ","FILING_STATUS=MR","SCALING_FORMAT=MLN","Sort=A","Dates=H","DateFormat=P","Fill=—","Direction=H","UseDPDF=Y")</f>
        <v>30427</v>
      </c>
      <c r="E72" s="13" cm="1">
        <f t="array" ref="E72">_xll.BDH("CAT US Equity","BS_PURE_RETAINED_EARNINGS","FQ1 2019","FQ1 2019","Currency=USD","Period=FQ","BEST_FPERIOD_OVERRIDE=FQ","FILING_STATUS=MR","SCALING_FORMAT=MLN","Sort=A","Dates=H","DateFormat=P","Fill=—","Direction=H","UseDPDF=Y")</f>
        <v>32435</v>
      </c>
      <c r="F72" s="13" cm="1">
        <f t="array" ref="F72">_xll.BDH("CAT US Equity","BS_PURE_RETAINED_EARNINGS","FQ2 2019","FQ2 2019","Currency=USD","Period=FQ","BEST_FPERIOD_OVERRIDE=FQ","FILING_STATUS=MR","SCALING_FORMAT=MLN","Sort=A","Dates=H","DateFormat=P","Fill=—","Direction=H","UseDPDF=Y")</f>
        <v>32981</v>
      </c>
      <c r="G72" s="13" cm="1">
        <f t="array" ref="G72">_xll.BDH("CAT US Equity","BS_PURE_RETAINED_EARNINGS","FQ3 2019","FQ3 2019","Currency=USD","Period=FQ","BEST_FPERIOD_OVERRIDE=FQ","FILING_STATUS=MR","SCALING_FORMAT=MLN","Sort=A","Dates=H","DateFormat=P","Fill=—","Direction=H","UseDPDF=Y")</f>
        <v>34477</v>
      </c>
      <c r="H72" s="13" cm="1">
        <f t="array" ref="H72">_xll.BDH("CAT US Equity","BS_PURE_RETAINED_EARNINGS","FQ4 2019","FQ4 2019","Currency=USD","Period=FQ","BEST_FPERIOD_OVERRIDE=FQ","FILING_STATUS=MR","SCALING_FORMAT=MLN","Sort=A","Dates=H","DateFormat=P","Fill=—","Direction=H","UseDPDF=Y")</f>
        <v>34437</v>
      </c>
      <c r="I72" s="13" cm="1">
        <f t="array" ref="I72">_xll.BDH("CAT US Equity","BS_PURE_RETAINED_EARNINGS","FQ1 2020","FQ1 2020","Currency=USD","Period=FQ","BEST_FPERIOD_OVERRIDE=FQ","FILING_STATUS=MR","SCALING_FORMAT=MLN","Sort=A","Dates=H","DateFormat=P","Fill=—","Direction=H","UseDPDF=Y")</f>
        <v>35504</v>
      </c>
      <c r="J72" s="13" cm="1">
        <f t="array" ref="J72">_xll.BDH("CAT US Equity","BS_PURE_RETAINED_EARNINGS","FQ2 2020","FQ2 2020","Currency=USD","Period=FQ","BEST_FPERIOD_OVERRIDE=FQ","FILING_STATUS=MR","SCALING_FORMAT=MLN","Sort=A","Dates=H","DateFormat=P","Fill=—","Direction=H","UseDPDF=Y")</f>
        <v>34841</v>
      </c>
      <c r="K72" s="13" cm="1">
        <f t="array" ref="K72">_xll.BDH("CAT US Equity","BS_PURE_RETAINED_EARNINGS","FQ3 2020","FQ3 2020","Currency=USD","Period=FQ","BEST_FPERIOD_OVERRIDE=FQ","FILING_STATUS=MR","SCALING_FORMAT=MLN","Sort=A","Dates=H","DateFormat=P","Fill=—","Direction=H","UseDPDF=Y")</f>
        <v>35508</v>
      </c>
      <c r="L72" s="13" cm="1">
        <f t="array" ref="L72">_xll.BDH("CAT US Equity","BS_PURE_RETAINED_EARNINGS","FQ4 2020","FQ4 2020","Currency=USD","Period=FQ","BEST_FPERIOD_OVERRIDE=FQ","FILING_STATUS=MR","SCALING_FORMAT=MLN","Sort=A","Dates=H","DateFormat=P","Fill=—","Direction=H","UseDPDF=Y")</f>
        <v>35167</v>
      </c>
      <c r="M72" s="13" cm="1">
        <f t="array" ref="M72">_xll.BDH("CAT US Equity","BS_PURE_RETAINED_EARNINGS","FQ1 2021","FQ1 2021","Currency=USD","Period=FQ","BEST_FPERIOD_OVERRIDE=FQ","FILING_STATUS=MR","SCALING_FORMAT=MLN","Sort=A","Dates=H","DateFormat=P","Fill=—","Direction=H","UseDPDF=Y")</f>
        <v>36697</v>
      </c>
      <c r="N72" s="13" cm="1">
        <f t="array" ref="N72">_xll.BDH("CAT US Equity","BS_PURE_RETAINED_EARNINGS","FQ2 2021","FQ2 2021","Currency=USD","Period=FQ","BEST_FPERIOD_OVERRIDE=FQ","FILING_STATUS=MR","SCALING_FORMAT=MLN","Sort=A","Dates=H","DateFormat=P","Fill=—","Direction=H","UseDPDF=Y")</f>
        <v>36934</v>
      </c>
      <c r="O72" s="13" cm="1">
        <f t="array" ref="O72">_xll.BDH("CAT US Equity","BS_PURE_RETAINED_EARNINGS","FQ3 2021","FQ3 2021","Currency=USD","Period=FQ","BEST_FPERIOD_OVERRIDE=FQ","FILING_STATUS=MR","SCALING_FORMAT=MLN","Sort=A","Dates=H","DateFormat=P","Fill=—","Direction=H","UseDPDF=Y")</f>
        <v>38361</v>
      </c>
      <c r="P72" s="13" cm="1">
        <f t="array" ref="P72">_xll.BDH("CAT US Equity","BS_PURE_RETAINED_EARNINGS","FQ4 2021","FQ4 2021","Currency=USD","Period=FQ","BEST_FPERIOD_OVERRIDE=FQ","FILING_STATUS=MR","SCALING_FORMAT=MLN","Sort=A","Dates=H","DateFormat=P","Fill=—","Direction=H","UseDPDF=Y")</f>
        <v>39282</v>
      </c>
      <c r="Q72" s="13" cm="1">
        <f t="array" ref="Q72">_xll.BDH("CAT US Equity","BS_PURE_RETAINED_EARNINGS","FQ1 2022","FQ1 2022","Currency=USD","Period=FQ","BEST_FPERIOD_OVERRIDE=FQ","FILING_STATUS=MR","SCALING_FORMAT=MLN","Sort=A","Dates=H","DateFormat=P","Fill=—","Direction=H","UseDPDF=Y")</f>
        <v>40820</v>
      </c>
      <c r="R72" s="13" cm="1">
        <f t="array" ref="R72">_xll.BDH("CAT US Equity","BS_PURE_RETAINED_EARNINGS","FQ2 2022","FQ2 2022","Currency=USD","Period=FQ","BEST_FPERIOD_OVERRIDE=FQ","FILING_STATUS=MR","SCALING_FORMAT=MLN","Sort=A","Dates=H","DateFormat=P","Fill=—","Direction=H","UseDPDF=Y")</f>
        <v>41263</v>
      </c>
      <c r="S72" s="13" cm="1">
        <f t="array" ref="S72">_xll.BDH("CAT US Equity","BS_PURE_RETAINED_EARNINGS","FQ3 2022","FQ3 2022","Currency=USD","Period=FQ","BEST_FPERIOD_OVERRIDE=FQ","FILING_STATUS=MR","SCALING_FORMAT=MLN","Sort=A","Dates=H","DateFormat=P","Fill=—","Direction=H","UseDPDF=Y")</f>
        <v>43304</v>
      </c>
      <c r="T72" s="13" cm="1">
        <f t="array" ref="T72">_xll.BDH("CAT US Equity","BS_PURE_RETAINED_EARNINGS","FQ4 2022","FQ4 2022","Currency=USD","Period=FQ","BEST_FPERIOD_OVERRIDE=FQ","FILING_STATUS=MR","SCALING_FORMAT=MLN","Sort=A","Dates=H","DateFormat=P","Fill=—","Direction=H","UseDPDF=Y")</f>
        <v>43514</v>
      </c>
      <c r="U72" s="13" cm="1">
        <f t="array" ref="U72">_xll.BDH("CAT US Equity","BS_PURE_RETAINED_EARNINGS","FQ1 2023","FQ1 2023","Currency=USD","Period=FQ","BEST_FPERIOD_OVERRIDE=FQ","FILING_STATUS=MR","SCALING_FORMAT=MLN","Sort=A","Dates=H","DateFormat=P","Fill=—","Direction=H","UseDPDF=Y")</f>
        <v>45457</v>
      </c>
      <c r="V72" s="13" cm="1">
        <f t="array" ref="V72">_xll.BDH("CAT US Equity","BS_PURE_RETAINED_EARNINGS","FQ2 2023","FQ2 2023","Currency=USD","Period=FQ","BEST_FPERIOD_OVERRIDE=FQ","FILING_STATUS=MR","SCALING_FORMAT=MLN","Sort=A","Dates=H","DateFormat=P","Fill=—","Direction=H","UseDPDF=Y")</f>
        <v>47094</v>
      </c>
      <c r="W72" s="13" cm="1">
        <f t="array" ref="W72">_xll.BDH("CAT US Equity","BS_PURE_RETAINED_EARNINGS","FQ3 2023","FQ3 2023","Currency=USD","Period=FQ","BEST_FPERIOD_OVERRIDE=FQ","FILING_STATUS=MR","SCALING_FORMAT=MLN","Sort=A","Dates=H","DateFormat=P","Fill=—","Direction=H","UseDPDF=Y")</f>
        <v>49888</v>
      </c>
      <c r="X72" s="13" cm="1">
        <f t="array" ref="X72">_xll.BDH("CAT US Equity","BS_PURE_RETAINED_EARNINGS","FQ4 2023","FQ4 2023","Currency=USD","Period=FQ","BEST_FPERIOD_OVERRIDE=FQ","FILING_STATUS=MR","SCALING_FORMAT=MLN","Sort=A","Dates=H","DateFormat=P","Fill=—","Direction=H","UseDPDF=Y")</f>
        <v>51250</v>
      </c>
      <c r="Y72" s="13" cm="1">
        <f t="array" ref="Y72">_xll.BDH("CAT US Equity","BS_PURE_RETAINED_EARNINGS","FQ1 2024","FQ1 2024","Currency=USD","Period=FQ","BEST_FPERIOD_OVERRIDE=FQ","FILING_STATUS=MR","SCALING_FORMAT=MLN","Sort=A","Dates=H","DateFormat=P","Fill=—","Direction=H","UseDPDF=Y")</f>
        <v>54108</v>
      </c>
      <c r="Z72" s="13" cm="1">
        <f t="array" ref="Z72">_xll.BDH("CAT US Equity","BS_PURE_RETAINED_EARNINGS","FQ2 2024","FQ2 2024","Currency=USD","Period=FQ","BEST_FPERIOD_OVERRIDE=FQ","FILING_STATUS=MR","SCALING_FORMAT=MLN","Sort=A","Dates=H","DateFormat=P","Fill=—","Direction=H","UseDPDF=Y")</f>
        <v>55455</v>
      </c>
      <c r="AA72" s="13" cm="1">
        <f t="array" ref="AA72">_xll.BDH("CAT US Equity","BS_PURE_RETAINED_EARNINGS","FQ3 2024","FQ3 2024","Currency=USD","Period=FQ","BEST_FPERIOD_OVERRIDE=FQ","FILING_STATUS=MR","SCALING_FORMAT=MLN","Sort=A","Dates=H","DateFormat=P","Fill=—","Direction=H","UseDPDF=Y")</f>
        <v>57920</v>
      </c>
      <c r="AB72" s="13" cm="1">
        <f t="array" ref="AB72">_xll.BDH("CAT US Equity","BS_PURE_RETAINED_EARNINGS","FQ4 2024","FQ4 2024","Currency=USD","Period=FQ","BEST_FPERIOD_OVERRIDE=FQ","FILING_STATUS=MR","SCALING_FORMAT=MLN","Sort=A","Dates=H","DateFormat=P","Fill=—","Direction=H","UseDPDF=Y")</f>
        <v>59352</v>
      </c>
      <c r="AC72" s="13" cm="1">
        <f t="array" ref="AC72">_xll.BDH("CAT US Equity","BS_PURE_RETAINED_EARNINGS","FQ1 2025","FQ1 2025","Currency=USD","Period=FQ","BEST_FPERIOD_OVERRIDE=FQ","FILING_STATUS=MR","SCALING_FORMAT=MLN","Sort=A","Dates=H","DateFormat=P","Fill=—","Direction=H","UseDPDF=Y")</f>
        <v>61356</v>
      </c>
      <c r="AD72" s="13" cm="1">
        <f t="array" ref="AD72">_xll.BDH("CAT US Equity","BS_PURE_RETAINED_EARNINGS","FQ2 2025","FQ2 2025","Currency=USD","Period=FQ","BEST_FPERIOD_OVERRIDE=FQ","FILING_STATUS=MR","SCALING_FORMAT=MLN","Sort=A","Dates=H","DateFormat=P","Fill=—","Direction=H","UseDPDF=Y")</f>
        <v>62160</v>
      </c>
      <c r="AE72" s="13" cm="1">
        <f t="array" ref="AE72">_xll.BDH("CAT US Equity","BS_PURE_RETAINED_EARNINGS","FQ3 2025","FQ3 2025","Currency=USD","Period=FQ","BEST_FPERIOD_OVERRIDE=FQ","FILING_STATUS=MR","SCALING_FORMAT=MLN","Sort=A","Dates=H","DateFormat=P","Fill=—","Direction=H","UseDPDF=Y")</f>
        <v>64460</v>
      </c>
      <c r="AF72" s="13" cm="1">
        <f t="array" ref="AF72">_xll.BDH("CAT US Equity","BS_PURE_RETAINED_EARNINGS","FQ4 2025","FQ4 2025","Currency=USD","Period=FQ","BEST_FPERIOD_OVERRIDE=FQ","FILING_STATUS=MR","SCALING_FORMAT=MLN","Sort=A","Dates=H","DateFormat=P","Fill=—","Direction=H","UseDPDF=Y")</f>
        <v>65448</v>
      </c>
    </row>
    <row r="73" spans="1:32" x14ac:dyDescent="0.25">
      <c r="A73" s="10" t="s">
        <v>191</v>
      </c>
      <c r="B73" s="10" t="s">
        <v>192</v>
      </c>
      <c r="C73" s="13" cm="1">
        <f t="array" ref="C73">_xll.BDH("CAT US Equity","OTHER_EQUITY_RATIO","FQ3 2018","FQ3 2018","Currency=USD","Period=FQ","BEST_FPERIOD_OVERRIDE=FQ","FILING_STATUS=MR","SCALING_FORMAT=MLN","Sort=A","Dates=H","DateFormat=P","Fill=—","Direction=H","UseDPDF=Y")</f>
        <v>-1568</v>
      </c>
      <c r="D73" s="13" cm="1">
        <f t="array" ref="D73">_xll.BDH("CAT US Equity","OTHER_EQUITY_RATIO","FQ4 2018","FQ4 2018","Currency=USD","Period=FQ","BEST_FPERIOD_OVERRIDE=FQ","FILING_STATUS=MR","SCALING_FORMAT=MLN","Sort=A","Dates=H","DateFormat=P","Fill=—","Direction=H","UseDPDF=Y")</f>
        <v>-1684</v>
      </c>
      <c r="E73" s="13" cm="1">
        <f t="array" ref="E73">_xll.BDH("CAT US Equity","OTHER_EQUITY_RATIO","FQ1 2019","FQ1 2019","Currency=USD","Period=FQ","BEST_FPERIOD_OVERRIDE=FQ","FILING_STATUS=MR","SCALING_FORMAT=MLN","Sort=A","Dates=H","DateFormat=P","Fill=—","Direction=H","UseDPDF=Y")</f>
        <v>-1588</v>
      </c>
      <c r="F73" s="13" cm="1">
        <f t="array" ref="F73">_xll.BDH("CAT US Equity","OTHER_EQUITY_RATIO","FQ2 2019","FQ2 2019","Currency=USD","Period=FQ","BEST_FPERIOD_OVERRIDE=FQ","FILING_STATUS=MR","SCALING_FORMAT=MLN","Sort=A","Dates=H","DateFormat=P","Fill=—","Direction=H","UseDPDF=Y")</f>
        <v>-1499</v>
      </c>
      <c r="G73" s="13" cm="1">
        <f t="array" ref="G73">_xll.BDH("CAT US Equity","OTHER_EQUITY_RATIO","FQ3 2019","FQ3 2019","Currency=USD","Period=FQ","BEST_FPERIOD_OVERRIDE=FQ","FILING_STATUS=MR","SCALING_FORMAT=MLN","Sort=A","Dates=H","DateFormat=P","Fill=—","Direction=H","UseDPDF=Y")</f>
        <v>-1783</v>
      </c>
      <c r="H73" s="13" cm="1">
        <f t="array" ref="H73">_xll.BDH("CAT US Equity","OTHER_EQUITY_RATIO","FQ4 2019","FQ4 2019","Currency=USD","Period=FQ","BEST_FPERIOD_OVERRIDE=FQ","FILING_STATUS=MR","SCALING_FORMAT=MLN","Sort=A","Dates=H","DateFormat=P","Fill=—","Direction=H","UseDPDF=Y")</f>
        <v>-1567</v>
      </c>
      <c r="I73" s="13" cm="1">
        <f t="array" ref="I73">_xll.BDH("CAT US Equity","OTHER_EQUITY_RATIO","FQ1 2020","FQ1 2020","Currency=USD","Period=FQ","BEST_FPERIOD_OVERRIDE=FQ","FILING_STATUS=MR","SCALING_FORMAT=MLN","Sort=A","Dates=H","DateFormat=P","Fill=—","Direction=H","UseDPDF=Y")</f>
        <v>-2012</v>
      </c>
      <c r="J73" s="13" cm="1">
        <f t="array" ref="J73">_xll.BDH("CAT US Equity","OTHER_EQUITY_RATIO","FQ2 2020","FQ2 2020","Currency=USD","Period=FQ","BEST_FPERIOD_OVERRIDE=FQ","FILING_STATUS=MR","SCALING_FORMAT=MLN","Sort=A","Dates=H","DateFormat=P","Fill=—","Direction=H","UseDPDF=Y")</f>
        <v>-1815</v>
      </c>
      <c r="K73" s="13" cm="1">
        <f t="array" ref="K73">_xll.BDH("CAT US Equity","OTHER_EQUITY_RATIO","FQ3 2020","FQ3 2020","Currency=USD","Period=FQ","BEST_FPERIOD_OVERRIDE=FQ","FILING_STATUS=MR","SCALING_FORMAT=MLN","Sort=A","Dates=H","DateFormat=P","Fill=—","Direction=H","UseDPDF=Y")</f>
        <v>-1448</v>
      </c>
      <c r="L73" s="13" cm="1">
        <f t="array" ref="L73">_xll.BDH("CAT US Equity","OTHER_EQUITY_RATIO","FQ4 2020","FQ4 2020","Currency=USD","Period=FQ","BEST_FPERIOD_OVERRIDE=FQ","FILING_STATUS=MR","SCALING_FORMAT=MLN","Sort=A","Dates=H","DateFormat=P","Fill=—","Direction=H","UseDPDF=Y")</f>
        <v>-888</v>
      </c>
      <c r="M73" s="13" cm="1">
        <f t="array" ref="M73">_xll.BDH("CAT US Equity","OTHER_EQUITY_RATIO","FQ1 2021","FQ1 2021","Currency=USD","Period=FQ","BEST_FPERIOD_OVERRIDE=FQ","FILING_STATUS=MR","SCALING_FORMAT=MLN","Sort=A","Dates=H","DateFormat=P","Fill=—","Direction=H","UseDPDF=Y")</f>
        <v>-1290</v>
      </c>
      <c r="N73" s="13" cm="1">
        <f t="array" ref="N73">_xll.BDH("CAT US Equity","OTHER_EQUITY_RATIO","FQ2 2021","FQ2 2021","Currency=USD","Period=FQ","BEST_FPERIOD_OVERRIDE=FQ","FILING_STATUS=MR","SCALING_FORMAT=MLN","Sort=A","Dates=H","DateFormat=P","Fill=—","Direction=H","UseDPDF=Y")</f>
        <v>-1154</v>
      </c>
      <c r="O73" s="13" cm="1">
        <f t="array" ref="O73">_xll.BDH("CAT US Equity","OTHER_EQUITY_RATIO","FQ3 2021","FQ3 2021","Currency=USD","Period=FQ","BEST_FPERIOD_OVERRIDE=FQ","FILING_STATUS=MR","SCALING_FORMAT=MLN","Sort=A","Dates=H","DateFormat=P","Fill=—","Direction=H","UseDPDF=Y")</f>
        <v>-1440</v>
      </c>
      <c r="P73" s="13" cm="1">
        <f t="array" ref="P73">_xll.BDH("CAT US Equity","OTHER_EQUITY_RATIO","FQ4 2021","FQ4 2021","Currency=USD","Period=FQ","BEST_FPERIOD_OVERRIDE=FQ","FILING_STATUS=MR","SCALING_FORMAT=MLN","Sort=A","Dates=H","DateFormat=P","Fill=—","Direction=H","UseDPDF=Y")</f>
        <v>-1553</v>
      </c>
      <c r="Q73" s="13" cm="1">
        <f t="array" ref="Q73">_xll.BDH("CAT US Equity","OTHER_EQUITY_RATIO","FQ1 2022","FQ1 2022","Currency=USD","Period=FQ","BEST_FPERIOD_OVERRIDE=FQ","FILING_STATUS=MR","SCALING_FORMAT=MLN","Sort=A","Dates=H","DateFormat=P","Fill=—","Direction=H","UseDPDF=Y")</f>
        <v>-1710</v>
      </c>
      <c r="R73" s="13" cm="1">
        <f t="array" ref="R73">_xll.BDH("CAT US Equity","OTHER_EQUITY_RATIO","FQ2 2022","FQ2 2022","Currency=USD","Period=FQ","BEST_FPERIOD_OVERRIDE=FQ","FILING_STATUS=MR","SCALING_FORMAT=MLN","Sort=A","Dates=H","DateFormat=P","Fill=—","Direction=H","UseDPDF=Y")</f>
        <v>-2499</v>
      </c>
      <c r="S73" s="13" cm="1">
        <f t="array" ref="S73">_xll.BDH("CAT US Equity","OTHER_EQUITY_RATIO","FQ3 2022","FQ3 2022","Currency=USD","Period=FQ","BEST_FPERIOD_OVERRIDE=FQ","FILING_STATUS=MR","SCALING_FORMAT=MLN","Sort=A","Dates=H","DateFormat=P","Fill=—","Direction=H","UseDPDF=Y")</f>
        <v>-3353</v>
      </c>
      <c r="T73" s="13" cm="1">
        <f t="array" ref="T73">_xll.BDH("CAT US Equity","OTHER_EQUITY_RATIO","FQ4 2022","FQ4 2022","Currency=USD","Period=FQ","BEST_FPERIOD_OVERRIDE=FQ","FILING_STATUS=MR","SCALING_FORMAT=MLN","Sort=A","Dates=H","DateFormat=P","Fill=—","Direction=H","UseDPDF=Y")</f>
        <v>-2457</v>
      </c>
      <c r="U73" s="13" cm="1">
        <f t="array" ref="U73">_xll.BDH("CAT US Equity","OTHER_EQUITY_RATIO","FQ1 2023","FQ1 2023","Currency=USD","Period=FQ","BEST_FPERIOD_OVERRIDE=FQ","FILING_STATUS=MR","SCALING_FORMAT=MLN","Sort=A","Dates=H","DateFormat=P","Fill=—","Direction=H","UseDPDF=Y")</f>
        <v>-1746</v>
      </c>
      <c r="V73" s="13" cm="1">
        <f t="array" ref="V73">_xll.BDH("CAT US Equity","OTHER_EQUITY_RATIO","FQ2 2023","FQ2 2023","Currency=USD","Period=FQ","BEST_FPERIOD_OVERRIDE=FQ","FILING_STATUS=MR","SCALING_FORMAT=MLN","Sort=A","Dates=H","DateFormat=P","Fill=—","Direction=H","UseDPDF=Y")</f>
        <v>-1946</v>
      </c>
      <c r="W73" s="13" cm="1">
        <f t="array" ref="W73">_xll.BDH("CAT US Equity","OTHER_EQUITY_RATIO","FQ3 2023","FQ3 2023","Currency=USD","Period=FQ","BEST_FPERIOD_OVERRIDE=FQ","FILING_STATUS=MR","SCALING_FORMAT=MLN","Sort=A","Dates=H","DateFormat=P","Fill=—","Direction=H","UseDPDF=Y")</f>
        <v>-2232</v>
      </c>
      <c r="X73" s="13" cm="1">
        <f t="array" ref="X73">_xll.BDH("CAT US Equity","OTHER_EQUITY_RATIO","FQ4 2023","FQ4 2023","Currency=USD","Period=FQ","BEST_FPERIOD_OVERRIDE=FQ","FILING_STATUS=MR","SCALING_FORMAT=MLN","Sort=A","Dates=H","DateFormat=P","Fill=—","Direction=H","UseDPDF=Y")</f>
        <v>-1820</v>
      </c>
      <c r="Y73" s="13" cm="1">
        <f t="array" ref="Y73">_xll.BDH("CAT US Equity","OTHER_EQUITY_RATIO","FQ1 2024","FQ1 2024","Currency=USD","Period=FQ","BEST_FPERIOD_OVERRIDE=FQ","FILING_STATUS=MR","SCALING_FORMAT=MLN","Sort=A","Dates=H","DateFormat=P","Fill=—","Direction=H","UseDPDF=Y")</f>
        <v>-2093</v>
      </c>
      <c r="Z73" s="13" cm="1">
        <f t="array" ref="Z73">_xll.BDH("CAT US Equity","OTHER_EQUITY_RATIO","FQ2 2024","FQ2 2024","Currency=USD","Period=FQ","BEST_FPERIOD_OVERRIDE=FQ","FILING_STATUS=MR","SCALING_FORMAT=MLN","Sort=A","Dates=H","DateFormat=P","Fill=—","Direction=H","UseDPDF=Y")</f>
        <v>-2230</v>
      </c>
      <c r="AA73" s="13" cm="1">
        <f t="array" ref="AA73">_xll.BDH("CAT US Equity","OTHER_EQUITY_RATIO","FQ3 2024","FQ3 2024","Currency=USD","Period=FQ","BEST_FPERIOD_OVERRIDE=FQ","FILING_STATUS=MR","SCALING_FORMAT=MLN","Sort=A","Dates=H","DateFormat=P","Fill=—","Direction=H","UseDPDF=Y")</f>
        <v>-1717</v>
      </c>
      <c r="AB73" s="13" cm="1">
        <f t="array" ref="AB73">_xll.BDH("CAT US Equity","OTHER_EQUITY_RATIO","FQ4 2024","FQ4 2024","Currency=USD","Period=FQ","BEST_FPERIOD_OVERRIDE=FQ","FILING_STATUS=MR","SCALING_FORMAT=MLN","Sort=A","Dates=H","DateFormat=P","Fill=—","Direction=H","UseDPDF=Y")</f>
        <v>-2471</v>
      </c>
      <c r="AC73" s="13" cm="1">
        <f t="array" ref="AC73">_xll.BDH("CAT US Equity","OTHER_EQUITY_RATIO","FQ1 2025","FQ1 2025","Currency=USD","Period=FQ","BEST_FPERIOD_OVERRIDE=FQ","FILING_STATUS=MR","SCALING_FORMAT=MLN","Sort=A","Dates=H","DateFormat=P","Fill=—","Direction=H","UseDPDF=Y")</f>
        <v>-2205</v>
      </c>
      <c r="AD73" s="13" cm="1">
        <f t="array" ref="AD73">_xll.BDH("CAT US Equity","OTHER_EQUITY_RATIO","FQ2 2025","FQ2 2025","Currency=USD","Period=FQ","BEST_FPERIOD_OVERRIDE=FQ","FILING_STATUS=MR","SCALING_FORMAT=MLN","Sort=A","Dates=H","DateFormat=P","Fill=—","Direction=H","UseDPDF=Y")</f>
        <v>-1684</v>
      </c>
      <c r="AE73" s="13" cm="1">
        <f t="array" ref="AE73">_xll.BDH("CAT US Equity","OTHER_EQUITY_RATIO","FQ3 2025","FQ3 2025","Currency=USD","Period=FQ","BEST_FPERIOD_OVERRIDE=FQ","FILING_STATUS=MR","SCALING_FORMAT=MLN","Sort=A","Dates=H","DateFormat=P","Fill=—","Direction=H","UseDPDF=Y")</f>
        <v>-1723</v>
      </c>
      <c r="AF73" s="13" cm="1">
        <f t="array" ref="AF73">_xll.BDH("CAT US Equity","OTHER_EQUITY_RATIO","FQ4 2025","FQ4 2025","Currency=USD","Period=FQ","BEST_FPERIOD_OVERRIDE=FQ","FILING_STATUS=MR","SCALING_FORMAT=MLN","Sort=A","Dates=H","DateFormat=P","Fill=—","Direction=H","UseDPDF=Y")</f>
        <v>-1772</v>
      </c>
    </row>
    <row r="74" spans="1:32" x14ac:dyDescent="0.25">
      <c r="A74" s="6" t="s">
        <v>193</v>
      </c>
      <c r="B74" s="6" t="s">
        <v>194</v>
      </c>
      <c r="C74" s="16" cm="1">
        <f t="array" ref="C74">_xll.BDH("CAT US Equity","EQTY_BEF_MINORITY_INT_DETAILED","FQ3 2018","FQ3 2018","Currency=USD","Period=FQ","BEST_FPERIOD_OVERRIDE=FQ","FILING_STATUS=MR","SCALING_FORMAT=MLN","Sort=A","Dates=H","DateFormat=P","Fill=—","Direction=H","UseDPDF=Y")</f>
        <v>15850</v>
      </c>
      <c r="D74" s="16" cm="1">
        <f t="array" ref="D74">_xll.BDH("CAT US Equity","EQTY_BEF_MINORITY_INT_DETAILED","FQ4 2018","FQ4 2018","Currency=USD","Period=FQ","BEST_FPERIOD_OVERRIDE=FQ","FILING_STATUS=MR","SCALING_FORMAT=MLN","Sort=A","Dates=H","DateFormat=P","Fill=—","Direction=H","UseDPDF=Y")</f>
        <v>14039</v>
      </c>
      <c r="E74" s="16" cm="1">
        <f t="array" ref="E74">_xll.BDH("CAT US Equity","EQTY_BEF_MINORITY_INT_DETAILED","FQ1 2019","FQ1 2019","Currency=USD","Period=FQ","BEST_FPERIOD_OVERRIDE=FQ","FILING_STATUS=MR","SCALING_FORMAT=MLN","Sort=A","Dates=H","DateFormat=P","Fill=—","Direction=H","UseDPDF=Y")</f>
        <v>15437</v>
      </c>
      <c r="F74" s="16" cm="1">
        <f t="array" ref="F74">_xll.BDH("CAT US Equity","EQTY_BEF_MINORITY_INT_DETAILED","FQ2 2019","FQ2 2019","Currency=USD","Period=FQ","BEST_FPERIOD_OVERRIDE=FQ","FILING_STATUS=MR","SCALING_FORMAT=MLN","Sort=A","Dates=H","DateFormat=P","Fill=—","Direction=H","UseDPDF=Y")</f>
        <v>14837</v>
      </c>
      <c r="G74" s="16" cm="1">
        <f t="array" ref="G74">_xll.BDH("CAT US Equity","EQTY_BEF_MINORITY_INT_DETAILED","FQ3 2019","FQ3 2019","Currency=USD","Period=FQ","BEST_FPERIOD_OVERRIDE=FQ","FILING_STATUS=MR","SCALING_FORMAT=MLN","Sort=A","Dates=H","DateFormat=P","Fill=—","Direction=H","UseDPDF=Y")</f>
        <v>14952</v>
      </c>
      <c r="H74" s="16" cm="1">
        <f t="array" ref="H74">_xll.BDH("CAT US Equity","EQTY_BEF_MINORITY_INT_DETAILED","FQ4 2019","FQ4 2019","Currency=USD","Period=FQ","BEST_FPERIOD_OVERRIDE=FQ","FILING_STATUS=MR","SCALING_FORMAT=MLN","Sort=A","Dates=H","DateFormat=P","Fill=—","Direction=H","UseDPDF=Y")</f>
        <v>14588</v>
      </c>
      <c r="I74" s="16" cm="1">
        <f t="array" ref="I74">_xll.BDH("CAT US Equity","EQTY_BEF_MINORITY_INT_DETAILED","FQ1 2020","FQ1 2020","Currency=USD","Period=FQ","BEST_FPERIOD_OVERRIDE=FQ","FILING_STATUS=MR","SCALING_FORMAT=MLN","Sort=A","Dates=H","DateFormat=P","Fill=—","Direction=H","UseDPDF=Y")</f>
        <v>14197</v>
      </c>
      <c r="J74" s="16" cm="1">
        <f t="array" ref="J74">_xll.BDH("CAT US Equity","EQTY_BEF_MINORITY_INT_DETAILED","FQ2 2020","FQ2 2020","Currency=USD","Period=FQ","BEST_FPERIOD_OVERRIDE=FQ","FILING_STATUS=MR","SCALING_FORMAT=MLN","Sort=A","Dates=H","DateFormat=P","Fill=—","Direction=H","UseDPDF=Y")</f>
        <v>13734</v>
      </c>
      <c r="K74" s="16" cm="1">
        <f t="array" ref="K74">_xll.BDH("CAT US Equity","EQTY_BEF_MINORITY_INT_DETAILED","FQ3 2020","FQ3 2020","Currency=USD","Period=FQ","BEST_FPERIOD_OVERRIDE=FQ","FILING_STATUS=MR","SCALING_FORMAT=MLN","Sort=A","Dates=H","DateFormat=P","Fill=—","Direction=H","UseDPDF=Y")</f>
        <v>14949</v>
      </c>
      <c r="L74" s="16" cm="1">
        <f t="array" ref="L74">_xll.BDH("CAT US Equity","EQTY_BEF_MINORITY_INT_DETAILED","FQ4 2020","FQ4 2020","Currency=USD","Period=FQ","BEST_FPERIOD_OVERRIDE=FQ","FILING_STATUS=MR","SCALING_FORMAT=MLN","Sort=A","Dates=H","DateFormat=P","Fill=—","Direction=H","UseDPDF=Y")</f>
        <v>15331</v>
      </c>
      <c r="M74" s="16" cm="1">
        <f t="array" ref="M74">_xll.BDH("CAT US Equity","EQTY_BEF_MINORITY_INT_DETAILED","FQ1 2021","FQ1 2021","Currency=USD","Period=FQ","BEST_FPERIOD_OVERRIDE=FQ","FILING_STATUS=MR","SCALING_FORMAT=MLN","Sort=A","Dates=H","DateFormat=P","Fill=—","Direction=H","UseDPDF=Y")</f>
        <v>16573</v>
      </c>
      <c r="N74" s="16" cm="1">
        <f t="array" ref="N74">_xll.BDH("CAT US Equity","EQTY_BEF_MINORITY_INT_DETAILED","FQ2 2021","FQ2 2021","Currency=USD","Period=FQ","BEST_FPERIOD_OVERRIDE=FQ","FILING_STATUS=MR","SCALING_FORMAT=MLN","Sort=A","Dates=H","DateFormat=P","Fill=—","Direction=H","UseDPDF=Y")</f>
        <v>16833</v>
      </c>
      <c r="O74" s="16" cm="1">
        <f t="array" ref="O74">_xll.BDH("CAT US Equity","EQTY_BEF_MINORITY_INT_DETAILED","FQ3 2021","FQ3 2021","Currency=USD","Period=FQ","BEST_FPERIOD_OVERRIDE=FQ","FILING_STATUS=MR","SCALING_FORMAT=MLN","Sort=A","Dates=H","DateFormat=P","Fill=—","Direction=H","UseDPDF=Y")</f>
        <v>16665</v>
      </c>
      <c r="P74" s="16" cm="1">
        <f t="array" ref="P74">_xll.BDH("CAT US Equity","EQTY_BEF_MINORITY_INT_DETAILED","FQ4 2021","FQ4 2021","Currency=USD","Period=FQ","BEST_FPERIOD_OVERRIDE=FQ","FILING_STATUS=MR","SCALING_FORMAT=MLN","Sort=A","Dates=H","DateFormat=P","Fill=—","Direction=H","UseDPDF=Y")</f>
        <v>16484</v>
      </c>
      <c r="Q74" s="16" cm="1">
        <f t="array" ref="Q74">_xll.BDH("CAT US Equity","EQTY_BEF_MINORITY_INT_DETAILED","FQ1 2022","FQ1 2022","Currency=USD","Period=FQ","BEST_FPERIOD_OVERRIDE=FQ","FILING_STATUS=MR","SCALING_FORMAT=MLN","Sort=A","Dates=H","DateFormat=P","Fill=—","Direction=H","UseDPDF=Y")</f>
        <v>17065</v>
      </c>
      <c r="R74" s="16" cm="1">
        <f t="array" ref="R74">_xll.BDH("CAT US Equity","EQTY_BEF_MINORITY_INT_DETAILED","FQ2 2022","FQ2 2022","Currency=USD","Period=FQ","BEST_FPERIOD_OVERRIDE=FQ","FILING_STATUS=MR","SCALING_FORMAT=MLN","Sort=A","Dates=H","DateFormat=P","Fill=—","Direction=H","UseDPDF=Y")</f>
        <v>15727</v>
      </c>
      <c r="S74" s="16" cm="1">
        <f t="array" ref="S74">_xll.BDH("CAT US Equity","EQTY_BEF_MINORITY_INT_DETAILED","FQ3 2022","FQ3 2022","Currency=USD","Period=FQ","BEST_FPERIOD_OVERRIDE=FQ","FILING_STATUS=MR","SCALING_FORMAT=MLN","Sort=A","Dates=H","DateFormat=P","Fill=—","Direction=H","UseDPDF=Y")</f>
        <v>15591</v>
      </c>
      <c r="T74" s="16" cm="1">
        <f t="array" ref="T74">_xll.BDH("CAT US Equity","EQTY_BEF_MINORITY_INT_DETAILED","FQ4 2022","FQ4 2022","Currency=USD","Period=FQ","BEST_FPERIOD_OVERRIDE=FQ","FILING_STATUS=MR","SCALING_FORMAT=MLN","Sort=A","Dates=H","DateFormat=P","Fill=—","Direction=H","UseDPDF=Y")</f>
        <v>15869</v>
      </c>
      <c r="U74" s="16" cm="1">
        <f t="array" ref="U74">_xll.BDH("CAT US Equity","EQTY_BEF_MINORITY_INT_DETAILED","FQ1 2023","FQ1 2023","Currency=USD","Period=FQ","BEST_FPERIOD_OVERRIDE=FQ","FILING_STATUS=MR","SCALING_FORMAT=MLN","Sort=A","Dates=H","DateFormat=P","Fill=—","Direction=H","UseDPDF=Y")</f>
        <v>18149</v>
      </c>
      <c r="V74" s="16" cm="1">
        <f t="array" ref="V74">_xll.BDH("CAT US Equity","EQTY_BEF_MINORITY_INT_DETAILED","FQ2 2023","FQ2 2023","Currency=USD","Period=FQ","BEST_FPERIOD_OVERRIDE=FQ","FILING_STATUS=MR","SCALING_FORMAT=MLN","Sort=A","Dates=H","DateFormat=P","Fill=—","Direction=H","UseDPDF=Y")</f>
        <v>18235</v>
      </c>
      <c r="W74" s="16" cm="1">
        <f t="array" ref="W74">_xll.BDH("CAT US Equity","EQTY_BEF_MINORITY_INT_DETAILED","FQ3 2023","FQ3 2023","Currency=USD","Period=FQ","BEST_FPERIOD_OVERRIDE=FQ","FILING_STATUS=MR","SCALING_FORMAT=MLN","Sort=A","Dates=H","DateFormat=P","Fill=—","Direction=H","UseDPDF=Y")</f>
        <v>20489</v>
      </c>
      <c r="X74" s="16" cm="1">
        <f t="array" ref="X74">_xll.BDH("CAT US Equity","EQTY_BEF_MINORITY_INT_DETAILED","FQ4 2023","FQ4 2023","Currency=USD","Period=FQ","BEST_FPERIOD_OVERRIDE=FQ","FILING_STATUS=MR","SCALING_FORMAT=MLN","Sort=A","Dates=H","DateFormat=P","Fill=—","Direction=H","UseDPDF=Y")</f>
        <v>19494</v>
      </c>
      <c r="Y74" s="16" cm="1">
        <f t="array" ref="Y74">_xll.BDH("CAT US Equity","EQTY_BEF_MINORITY_INT_DETAILED","FQ1 2024","FQ1 2024","Currency=USD","Period=FQ","BEST_FPERIOD_OVERRIDE=FQ","FILING_STATUS=MR","SCALING_FORMAT=MLN","Sort=A","Dates=H","DateFormat=P","Fill=—","Direction=H","UseDPDF=Y")</f>
        <v>17639</v>
      </c>
      <c r="Z74" s="16" cm="1">
        <f t="array" ref="Z74">_xll.BDH("CAT US Equity","EQTY_BEF_MINORITY_INT_DETAILED","FQ2 2024","FQ2 2024","Currency=USD","Period=FQ","BEST_FPERIOD_OVERRIDE=FQ","FILING_STATUS=MR","SCALING_FORMAT=MLN","Sort=A","Dates=H","DateFormat=P","Fill=—","Direction=H","UseDPDF=Y")</f>
        <v>17130</v>
      </c>
      <c r="AA74" s="16" cm="1">
        <f t="array" ref="AA74">_xll.BDH("CAT US Equity","EQTY_BEF_MINORITY_INT_DETAILED","FQ3 2024","FQ3 2024","Currency=USD","Period=FQ","BEST_FPERIOD_OVERRIDE=FQ","FILING_STATUS=MR","SCALING_FORMAT=MLN","Sort=A","Dates=H","DateFormat=P","Fill=—","Direction=H","UseDPDF=Y")</f>
        <v>19397</v>
      </c>
      <c r="AB74" s="16" cm="1">
        <f t="array" ref="AB74">_xll.BDH("CAT US Equity","EQTY_BEF_MINORITY_INT_DETAILED","FQ4 2024","FQ4 2024","Currency=USD","Period=FQ","BEST_FPERIOD_OVERRIDE=FQ","FILING_STATUS=MR","SCALING_FORMAT=MLN","Sort=A","Dates=H","DateFormat=P","Fill=—","Direction=H","UseDPDF=Y")</f>
        <v>19491</v>
      </c>
      <c r="AC74" s="16" cm="1">
        <f t="array" ref="AC74">_xll.BDH("CAT US Equity","EQTY_BEF_MINORITY_INT_DETAILED","FQ1 2025","FQ1 2025","Currency=USD","Period=FQ","BEST_FPERIOD_OVERRIDE=FQ","FILING_STATUS=MR","SCALING_FORMAT=MLN","Sort=A","Dates=H","DateFormat=P","Fill=—","Direction=H","UseDPDF=Y")</f>
        <v>18067</v>
      </c>
      <c r="AD74" s="16" cm="1">
        <f t="array" ref="AD74">_xll.BDH("CAT US Equity","EQTY_BEF_MINORITY_INT_DETAILED","FQ2 2025","FQ2 2025","Currency=USD","Period=FQ","BEST_FPERIOD_OVERRIDE=FQ","FILING_STATUS=MR","SCALING_FORMAT=MLN","Sort=A","Dates=H","DateFormat=P","Fill=—","Direction=H","UseDPDF=Y")</f>
        <v>18661</v>
      </c>
      <c r="AE74" s="16" cm="1">
        <f t="array" ref="AE74">_xll.BDH("CAT US Equity","EQTY_BEF_MINORITY_INT_DETAILED","FQ3 2025","FQ3 2025","Currency=USD","Period=FQ","BEST_FPERIOD_OVERRIDE=FQ","FILING_STATUS=MR","SCALING_FORMAT=MLN","Sort=A","Dates=H","DateFormat=P","Fill=—","Direction=H","UseDPDF=Y")</f>
        <v>20658</v>
      </c>
      <c r="AF74" s="16" cm="1">
        <f t="array" ref="AF74">_xll.BDH("CAT US Equity","EQTY_BEF_MINORITY_INT_DETAILED","FQ4 2025","FQ4 2025","Currency=USD","Period=FQ","BEST_FPERIOD_OVERRIDE=FQ","FILING_STATUS=MR","SCALING_FORMAT=MLN","Sort=A","Dates=H","DateFormat=P","Fill=—","Direction=H","UseDPDF=Y")</f>
        <v>21318</v>
      </c>
    </row>
    <row r="75" spans="1:32" x14ac:dyDescent="0.25">
      <c r="A75" s="10" t="s">
        <v>195</v>
      </c>
      <c r="B75" s="10" t="s">
        <v>196</v>
      </c>
      <c r="C75" s="13" cm="1">
        <f t="array" ref="C75">_xll.BDH("CAT US Equity","MINORITY_NONCONTROLLING_INTEREST","FQ3 2018","FQ3 2018","Currency=USD","Period=FQ","BEST_FPERIOD_OVERRIDE=FQ","FILING_STATUS=MR","SCALING_FORMAT=MLN","Sort=A","Dates=H","DateFormat=P","Fill=—","Direction=H","UseDPDF=Y")</f>
        <v>40</v>
      </c>
      <c r="D75" s="13" cm="1">
        <f t="array" ref="D75">_xll.BDH("CAT US Equity","MINORITY_NONCONTROLLING_INTEREST","FQ4 2018","FQ4 2018","Currency=USD","Period=FQ","BEST_FPERIOD_OVERRIDE=FQ","FILING_STATUS=MR","SCALING_FORMAT=MLN","Sort=A","Dates=H","DateFormat=P","Fill=—","Direction=H","UseDPDF=Y")</f>
        <v>41</v>
      </c>
      <c r="E75" s="13" cm="1">
        <f t="array" ref="E75">_xll.BDH("CAT US Equity","MINORITY_NONCONTROLLING_INTEREST","FQ1 2019","FQ1 2019","Currency=USD","Period=FQ","BEST_FPERIOD_OVERRIDE=FQ","FILING_STATUS=MR","SCALING_FORMAT=MLN","Sort=A","Dates=H","DateFormat=P","Fill=—","Direction=H","UseDPDF=Y")</f>
        <v>41</v>
      </c>
      <c r="F75" s="13" cm="1">
        <f t="array" ref="F75">_xll.BDH("CAT US Equity","MINORITY_NONCONTROLLING_INTEREST","FQ2 2019","FQ2 2019","Currency=USD","Period=FQ","BEST_FPERIOD_OVERRIDE=FQ","FILING_STATUS=MR","SCALING_FORMAT=MLN","Sort=A","Dates=H","DateFormat=P","Fill=—","Direction=H","UseDPDF=Y")</f>
        <v>41</v>
      </c>
      <c r="G75" s="13" cm="1">
        <f t="array" ref="G75">_xll.BDH("CAT US Equity","MINORITY_NONCONTROLLING_INTEREST","FQ3 2019","FQ3 2019","Currency=USD","Period=FQ","BEST_FPERIOD_OVERRIDE=FQ","FILING_STATUS=MR","SCALING_FORMAT=MLN","Sort=A","Dates=H","DateFormat=P","Fill=—","Direction=H","UseDPDF=Y")</f>
        <v>41</v>
      </c>
      <c r="H75" s="13" cm="1">
        <f t="array" ref="H75">_xll.BDH("CAT US Equity","MINORITY_NONCONTROLLING_INTEREST","FQ4 2019","FQ4 2019","Currency=USD","Period=FQ","BEST_FPERIOD_OVERRIDE=FQ","FILING_STATUS=MR","SCALING_FORMAT=MLN","Sort=A","Dates=H","DateFormat=P","Fill=—","Direction=H","UseDPDF=Y")</f>
        <v>41</v>
      </c>
      <c r="I75" s="13" cm="1">
        <f t="array" ref="I75">_xll.BDH("CAT US Equity","MINORITY_NONCONTROLLING_INTEREST","FQ1 2020","FQ1 2020","Currency=USD","Period=FQ","BEST_FPERIOD_OVERRIDE=FQ","FILING_STATUS=MR","SCALING_FORMAT=MLN","Sort=A","Dates=H","DateFormat=P","Fill=—","Direction=H","UseDPDF=Y")</f>
        <v>42</v>
      </c>
      <c r="J75" s="13" cm="1">
        <f t="array" ref="J75">_xll.BDH("CAT US Equity","MINORITY_NONCONTROLLING_INTEREST","FQ2 2020","FQ2 2020","Currency=USD","Period=FQ","BEST_FPERIOD_OVERRIDE=FQ","FILING_STATUS=MR","SCALING_FORMAT=MLN","Sort=A","Dates=H","DateFormat=P","Fill=—","Direction=H","UseDPDF=Y")</f>
        <v>43</v>
      </c>
      <c r="K75" s="13" cm="1">
        <f t="array" ref="K75">_xll.BDH("CAT US Equity","MINORITY_NONCONTROLLING_INTEREST","FQ3 2020","FQ3 2020","Currency=USD","Period=FQ","BEST_FPERIOD_OVERRIDE=FQ","FILING_STATUS=MR","SCALING_FORMAT=MLN","Sort=A","Dates=H","DateFormat=P","Fill=—","Direction=H","UseDPDF=Y")</f>
        <v>45</v>
      </c>
      <c r="L75" s="13" cm="1">
        <f t="array" ref="L75">_xll.BDH("CAT US Equity","MINORITY_NONCONTROLLING_INTEREST","FQ4 2020","FQ4 2020","Currency=USD","Period=FQ","BEST_FPERIOD_OVERRIDE=FQ","FILING_STATUS=MR","SCALING_FORMAT=MLN","Sort=A","Dates=H","DateFormat=P","Fill=—","Direction=H","UseDPDF=Y")</f>
        <v>47</v>
      </c>
      <c r="M75" s="13" cm="1">
        <f t="array" ref="M75">_xll.BDH("CAT US Equity","MINORITY_NONCONTROLLING_INTEREST","FQ1 2021","FQ1 2021","Currency=USD","Period=FQ","BEST_FPERIOD_OVERRIDE=FQ","FILING_STATUS=MR","SCALING_FORMAT=MLN","Sort=A","Dates=H","DateFormat=P","Fill=—","Direction=H","UseDPDF=Y")</f>
        <v>44</v>
      </c>
      <c r="N75" s="13" cm="1">
        <f t="array" ref="N75">_xll.BDH("CAT US Equity","MINORITY_NONCONTROLLING_INTEREST","FQ2 2021","FQ2 2021","Currency=USD","Period=FQ","BEST_FPERIOD_OVERRIDE=FQ","FILING_STATUS=MR","SCALING_FORMAT=MLN","Sort=A","Dates=H","DateFormat=P","Fill=—","Direction=H","UseDPDF=Y")</f>
        <v>47</v>
      </c>
      <c r="O75" s="13" cm="1">
        <f t="array" ref="O75">_xll.BDH("CAT US Equity","MINORITY_NONCONTROLLING_INTEREST","FQ3 2021","FQ3 2021","Currency=USD","Period=FQ","BEST_FPERIOD_OVERRIDE=FQ","FILING_STATUS=MR","SCALING_FORMAT=MLN","Sort=A","Dates=H","DateFormat=P","Fill=—","Direction=H","UseDPDF=Y")</f>
        <v>30</v>
      </c>
      <c r="P75" s="13" cm="1">
        <f t="array" ref="P75">_xll.BDH("CAT US Equity","MINORITY_NONCONTROLLING_INTEREST","FQ4 2021","FQ4 2021","Currency=USD","Period=FQ","BEST_FPERIOD_OVERRIDE=FQ","FILING_STATUS=MR","SCALING_FORMAT=MLN","Sort=A","Dates=H","DateFormat=P","Fill=—","Direction=H","UseDPDF=Y")</f>
        <v>32</v>
      </c>
      <c r="Q75" s="13" cm="1">
        <f t="array" ref="Q75">_xll.BDH("CAT US Equity","MINORITY_NONCONTROLLING_INTEREST","FQ1 2022","FQ1 2022","Currency=USD","Period=FQ","BEST_FPERIOD_OVERRIDE=FQ","FILING_STATUS=MR","SCALING_FORMAT=MLN","Sort=A","Dates=H","DateFormat=P","Fill=—","Direction=H","UseDPDF=Y")</f>
        <v>32</v>
      </c>
      <c r="R75" s="13" cm="1">
        <f t="array" ref="R75">_xll.BDH("CAT US Equity","MINORITY_NONCONTROLLING_INTEREST","FQ2 2022","FQ2 2022","Currency=USD","Period=FQ","BEST_FPERIOD_OVERRIDE=FQ","FILING_STATUS=MR","SCALING_FORMAT=MLN","Sort=A","Dates=H","DateFormat=P","Fill=—","Direction=H","UseDPDF=Y")</f>
        <v>32</v>
      </c>
      <c r="S75" s="13" cm="1">
        <f t="array" ref="S75">_xll.BDH("CAT US Equity","MINORITY_NONCONTROLLING_INTEREST","FQ3 2022","FQ3 2022","Currency=USD","Period=FQ","BEST_FPERIOD_OVERRIDE=FQ","FILING_STATUS=MR","SCALING_FORMAT=MLN","Sort=A","Dates=H","DateFormat=P","Fill=—","Direction=H","UseDPDF=Y")</f>
        <v>31</v>
      </c>
      <c r="T75" s="13" cm="1">
        <f t="array" ref="T75">_xll.BDH("CAT US Equity","MINORITY_NONCONTROLLING_INTEREST","FQ4 2022","FQ4 2022","Currency=USD","Period=FQ","BEST_FPERIOD_OVERRIDE=FQ","FILING_STATUS=MR","SCALING_FORMAT=MLN","Sort=A","Dates=H","DateFormat=P","Fill=—","Direction=H","UseDPDF=Y")</f>
        <v>22</v>
      </c>
      <c r="U75" s="13" cm="1">
        <f t="array" ref="U75">_xll.BDH("CAT US Equity","MINORITY_NONCONTROLLING_INTEREST","FQ1 2023","FQ1 2023","Currency=USD","Period=FQ","BEST_FPERIOD_OVERRIDE=FQ","FILING_STATUS=MR","SCALING_FORMAT=MLN","Sort=A","Dates=H","DateFormat=P","Fill=—","Direction=H","UseDPDF=Y")</f>
        <v>21</v>
      </c>
      <c r="V75" s="13" cm="1">
        <f t="array" ref="V75">_xll.BDH("CAT US Equity","MINORITY_NONCONTROLLING_INTEREST","FQ2 2023","FQ2 2023","Currency=USD","Period=FQ","BEST_FPERIOD_OVERRIDE=FQ","FILING_STATUS=MR","SCALING_FORMAT=MLN","Sort=A","Dates=H","DateFormat=P","Fill=—","Direction=H","UseDPDF=Y")</f>
        <v>21</v>
      </c>
      <c r="W75" s="13" cm="1">
        <f t="array" ref="W75">_xll.BDH("CAT US Equity","MINORITY_NONCONTROLLING_INTEREST","FQ3 2023","FQ3 2023","Currency=USD","Period=FQ","BEST_FPERIOD_OVERRIDE=FQ","FILING_STATUS=MR","SCALING_FORMAT=MLN","Sort=A","Dates=H","DateFormat=P","Fill=—","Direction=H","UseDPDF=Y")</f>
        <v>18</v>
      </c>
      <c r="X75" s="13" cm="1">
        <f t="array" ref="X75">_xll.BDH("CAT US Equity","MINORITY_NONCONTROLLING_INTEREST","FQ4 2023","FQ4 2023","Currency=USD","Period=FQ","BEST_FPERIOD_OVERRIDE=FQ","FILING_STATUS=MR","SCALING_FORMAT=MLN","Sort=A","Dates=H","DateFormat=P","Fill=—","Direction=H","UseDPDF=Y")</f>
        <v>9</v>
      </c>
      <c r="Y75" s="13" cm="1">
        <f t="array" ref="Y75">_xll.BDH("CAT US Equity","MINORITY_NONCONTROLLING_INTEREST","FQ1 2024","FQ1 2024","Currency=USD","Period=FQ","BEST_FPERIOD_OVERRIDE=FQ","FILING_STATUS=MR","SCALING_FORMAT=MLN","Sort=A","Dates=H","DateFormat=P","Fill=—","Direction=H","UseDPDF=Y")</f>
        <v>6</v>
      </c>
      <c r="Z75" s="13" cm="1">
        <f t="array" ref="Z75">_xll.BDH("CAT US Equity","MINORITY_NONCONTROLLING_INTEREST","FQ2 2024","FQ2 2024","Currency=USD","Period=FQ","BEST_FPERIOD_OVERRIDE=FQ","FILING_STATUS=MR","SCALING_FORMAT=MLN","Sort=A","Dates=H","DateFormat=P","Fill=—","Direction=H","UseDPDF=Y")</f>
        <v>6</v>
      </c>
      <c r="AA75" s="13" cm="1">
        <f t="array" ref="AA75">_xll.BDH("CAT US Equity","MINORITY_NONCONTROLLING_INTEREST","FQ3 2024","FQ3 2024","Currency=USD","Period=FQ","BEST_FPERIOD_OVERRIDE=FQ","FILING_STATUS=MR","SCALING_FORMAT=MLN","Sort=A","Dates=H","DateFormat=P","Fill=—","Direction=H","UseDPDF=Y")</f>
        <v>6</v>
      </c>
      <c r="AB75" s="13" cm="1">
        <f t="array" ref="AB75">_xll.BDH("CAT US Equity","MINORITY_NONCONTROLLING_INTEREST","FQ4 2024","FQ4 2024","Currency=USD","Period=FQ","BEST_FPERIOD_OVERRIDE=FQ","FILING_STATUS=MR","SCALING_FORMAT=MLN","Sort=A","Dates=H","DateFormat=P","Fill=—","Direction=H","UseDPDF=Y")</f>
        <v>3</v>
      </c>
      <c r="AC75" s="13" cm="1">
        <f t="array" ref="AC75">_xll.BDH("CAT US Equity","MINORITY_NONCONTROLLING_INTEREST","FQ1 2025","FQ1 2025","Currency=USD","Period=FQ","BEST_FPERIOD_OVERRIDE=FQ","FILING_STATUS=MR","SCALING_FORMAT=MLN","Sort=A","Dates=H","DateFormat=P","Fill=—","Direction=H","UseDPDF=Y")</f>
        <v>3</v>
      </c>
      <c r="AD75" s="13" cm="1">
        <f t="array" ref="AD75">_xll.BDH("CAT US Equity","MINORITY_NONCONTROLLING_INTEREST","FQ2 2025","FQ2 2025","Currency=USD","Period=FQ","BEST_FPERIOD_OVERRIDE=FQ","FILING_STATUS=MR","SCALING_FORMAT=MLN","Sort=A","Dates=H","DateFormat=P","Fill=—","Direction=H","UseDPDF=Y")</f>
        <v>2</v>
      </c>
      <c r="AE75" s="13" cm="1">
        <f t="array" ref="AE75">_xll.BDH("CAT US Equity","MINORITY_NONCONTROLLING_INTEREST","FQ3 2025","FQ3 2025","Currency=USD","Period=FQ","BEST_FPERIOD_OVERRIDE=FQ","FILING_STATUS=MR","SCALING_FORMAT=MLN","Sort=A","Dates=H","DateFormat=P","Fill=—","Direction=H","UseDPDF=Y")</f>
        <v>1</v>
      </c>
      <c r="AF75" s="13" cm="1">
        <f t="array" ref="AF75">_xll.BDH("CAT US Equity","MINORITY_NONCONTROLLING_INTEREST","FQ4 2025","FQ4 2025","Currency=USD","Period=FQ","BEST_FPERIOD_OVERRIDE=FQ","FILING_STATUS=MR","SCALING_FORMAT=MLN","Sort=A","Dates=H","DateFormat=P","Fill=—","Direction=H","UseDPDF=Y")</f>
        <v>0</v>
      </c>
    </row>
    <row r="76" spans="1:32" x14ac:dyDescent="0.25">
      <c r="A76" s="6" t="s">
        <v>197</v>
      </c>
      <c r="B76" s="6" t="s">
        <v>198</v>
      </c>
      <c r="C76" s="16" cm="1">
        <f t="array" ref="C76">_xll.BDH("CAT US Equity","TOTAL_EQUITY","FQ3 2018","FQ3 2018","Currency=USD","Period=FQ","BEST_FPERIOD_OVERRIDE=FQ","FILING_STATUS=MR","SCALING_FORMAT=MLN","Sort=A","Dates=H","DateFormat=P","Fill=—","Direction=H","UseDPDF=Y")</f>
        <v>15890</v>
      </c>
      <c r="D76" s="16" cm="1">
        <f t="array" ref="D76">_xll.BDH("CAT US Equity","TOTAL_EQUITY","FQ4 2018","FQ4 2018","Currency=USD","Period=FQ","BEST_FPERIOD_OVERRIDE=FQ","FILING_STATUS=MR","SCALING_FORMAT=MLN","Sort=A","Dates=H","DateFormat=P","Fill=—","Direction=H","UseDPDF=Y")</f>
        <v>14080</v>
      </c>
      <c r="E76" s="16" cm="1">
        <f t="array" ref="E76">_xll.BDH("CAT US Equity","TOTAL_EQUITY","FQ1 2019","FQ1 2019","Currency=USD","Period=FQ","BEST_FPERIOD_OVERRIDE=FQ","FILING_STATUS=MR","SCALING_FORMAT=MLN","Sort=A","Dates=H","DateFormat=P","Fill=—","Direction=H","UseDPDF=Y")</f>
        <v>15478</v>
      </c>
      <c r="F76" s="16" cm="1">
        <f t="array" ref="F76">_xll.BDH("CAT US Equity","TOTAL_EQUITY","FQ2 2019","FQ2 2019","Currency=USD","Period=FQ","BEST_FPERIOD_OVERRIDE=FQ","FILING_STATUS=MR","SCALING_FORMAT=MLN","Sort=A","Dates=H","DateFormat=P","Fill=—","Direction=H","UseDPDF=Y")</f>
        <v>14878</v>
      </c>
      <c r="G76" s="16" cm="1">
        <f t="array" ref="G76">_xll.BDH("CAT US Equity","TOTAL_EQUITY","FQ3 2019","FQ3 2019","Currency=USD","Period=FQ","BEST_FPERIOD_OVERRIDE=FQ","FILING_STATUS=MR","SCALING_FORMAT=MLN","Sort=A","Dates=H","DateFormat=P","Fill=—","Direction=H","UseDPDF=Y")</f>
        <v>14993</v>
      </c>
      <c r="H76" s="16" cm="1">
        <f t="array" ref="H76">_xll.BDH("CAT US Equity","TOTAL_EQUITY","FQ4 2019","FQ4 2019","Currency=USD","Period=FQ","BEST_FPERIOD_OVERRIDE=FQ","FILING_STATUS=MR","SCALING_FORMAT=MLN","Sort=A","Dates=H","DateFormat=P","Fill=—","Direction=H","UseDPDF=Y")</f>
        <v>14629</v>
      </c>
      <c r="I76" s="16" cm="1">
        <f t="array" ref="I76">_xll.BDH("CAT US Equity","TOTAL_EQUITY","FQ1 2020","FQ1 2020","Currency=USD","Period=FQ","BEST_FPERIOD_OVERRIDE=FQ","FILING_STATUS=MR","SCALING_FORMAT=MLN","Sort=A","Dates=H","DateFormat=P","Fill=—","Direction=H","UseDPDF=Y")</f>
        <v>14239</v>
      </c>
      <c r="J76" s="16" cm="1">
        <f t="array" ref="J76">_xll.BDH("CAT US Equity","TOTAL_EQUITY","FQ2 2020","FQ2 2020","Currency=USD","Period=FQ","BEST_FPERIOD_OVERRIDE=FQ","FILING_STATUS=MR","SCALING_FORMAT=MLN","Sort=A","Dates=H","DateFormat=P","Fill=—","Direction=H","UseDPDF=Y")</f>
        <v>13777</v>
      </c>
      <c r="K76" s="16" cm="1">
        <f t="array" ref="K76">_xll.BDH("CAT US Equity","TOTAL_EQUITY","FQ3 2020","FQ3 2020","Currency=USD","Period=FQ","BEST_FPERIOD_OVERRIDE=FQ","FILING_STATUS=MR","SCALING_FORMAT=MLN","Sort=A","Dates=H","DateFormat=P","Fill=—","Direction=H","UseDPDF=Y")</f>
        <v>14994</v>
      </c>
      <c r="L76" s="16" cm="1">
        <f t="array" ref="L76">_xll.BDH("CAT US Equity","TOTAL_EQUITY","FQ4 2020","FQ4 2020","Currency=USD","Period=FQ","BEST_FPERIOD_OVERRIDE=FQ","FILING_STATUS=MR","SCALING_FORMAT=MLN","Sort=A","Dates=H","DateFormat=P","Fill=—","Direction=H","UseDPDF=Y")</f>
        <v>15378</v>
      </c>
      <c r="M76" s="16" cm="1">
        <f t="array" ref="M76">_xll.BDH("CAT US Equity","TOTAL_EQUITY","FQ1 2021","FQ1 2021","Currency=USD","Period=FQ","BEST_FPERIOD_OVERRIDE=FQ","FILING_STATUS=MR","SCALING_FORMAT=MLN","Sort=A","Dates=H","DateFormat=P","Fill=—","Direction=H","UseDPDF=Y")</f>
        <v>16617</v>
      </c>
      <c r="N76" s="16" cm="1">
        <f t="array" ref="N76">_xll.BDH("CAT US Equity","TOTAL_EQUITY","FQ2 2021","FQ2 2021","Currency=USD","Period=FQ","BEST_FPERIOD_OVERRIDE=FQ","FILING_STATUS=MR","SCALING_FORMAT=MLN","Sort=A","Dates=H","DateFormat=P","Fill=—","Direction=H","UseDPDF=Y")</f>
        <v>16880</v>
      </c>
      <c r="O76" s="16" cm="1">
        <f t="array" ref="O76">_xll.BDH("CAT US Equity","TOTAL_EQUITY","FQ3 2021","FQ3 2021","Currency=USD","Period=FQ","BEST_FPERIOD_OVERRIDE=FQ","FILING_STATUS=MR","SCALING_FORMAT=MLN","Sort=A","Dates=H","DateFormat=P","Fill=—","Direction=H","UseDPDF=Y")</f>
        <v>16695</v>
      </c>
      <c r="P76" s="16" cm="1">
        <f t="array" ref="P76">_xll.BDH("CAT US Equity","TOTAL_EQUITY","FQ4 2021","FQ4 2021","Currency=USD","Period=FQ","BEST_FPERIOD_OVERRIDE=FQ","FILING_STATUS=MR","SCALING_FORMAT=MLN","Sort=A","Dates=H","DateFormat=P","Fill=—","Direction=H","UseDPDF=Y")</f>
        <v>16516</v>
      </c>
      <c r="Q76" s="16" cm="1">
        <f t="array" ref="Q76">_xll.BDH("CAT US Equity","TOTAL_EQUITY","FQ1 2022","FQ1 2022","Currency=USD","Period=FQ","BEST_FPERIOD_OVERRIDE=FQ","FILING_STATUS=MR","SCALING_FORMAT=MLN","Sort=A","Dates=H","DateFormat=P","Fill=—","Direction=H","UseDPDF=Y")</f>
        <v>17097</v>
      </c>
      <c r="R76" s="16" cm="1">
        <f t="array" ref="R76">_xll.BDH("CAT US Equity","TOTAL_EQUITY","FQ2 2022","FQ2 2022","Currency=USD","Period=FQ","BEST_FPERIOD_OVERRIDE=FQ","FILING_STATUS=MR","SCALING_FORMAT=MLN","Sort=A","Dates=H","DateFormat=P","Fill=—","Direction=H","UseDPDF=Y")</f>
        <v>15759</v>
      </c>
      <c r="S76" s="16" cm="1">
        <f t="array" ref="S76">_xll.BDH("CAT US Equity","TOTAL_EQUITY","FQ3 2022","FQ3 2022","Currency=USD","Period=FQ","BEST_FPERIOD_OVERRIDE=FQ","FILING_STATUS=MR","SCALING_FORMAT=MLN","Sort=A","Dates=H","DateFormat=P","Fill=—","Direction=H","UseDPDF=Y")</f>
        <v>15622</v>
      </c>
      <c r="T76" s="16" cm="1">
        <f t="array" ref="T76">_xll.BDH("CAT US Equity","TOTAL_EQUITY","FQ4 2022","FQ4 2022","Currency=USD","Period=FQ","BEST_FPERIOD_OVERRIDE=FQ","FILING_STATUS=MR","SCALING_FORMAT=MLN","Sort=A","Dates=H","DateFormat=P","Fill=—","Direction=H","UseDPDF=Y")</f>
        <v>15891</v>
      </c>
      <c r="U76" s="16" cm="1">
        <f t="array" ref="U76">_xll.BDH("CAT US Equity","TOTAL_EQUITY","FQ1 2023","FQ1 2023","Currency=USD","Period=FQ","BEST_FPERIOD_OVERRIDE=FQ","FILING_STATUS=MR","SCALING_FORMAT=MLN","Sort=A","Dates=H","DateFormat=P","Fill=—","Direction=H","UseDPDF=Y")</f>
        <v>18170</v>
      </c>
      <c r="V76" s="16" cm="1">
        <f t="array" ref="V76">_xll.BDH("CAT US Equity","TOTAL_EQUITY","FQ2 2023","FQ2 2023","Currency=USD","Period=FQ","BEST_FPERIOD_OVERRIDE=FQ","FILING_STATUS=MR","SCALING_FORMAT=MLN","Sort=A","Dates=H","DateFormat=P","Fill=—","Direction=H","UseDPDF=Y")</f>
        <v>18256</v>
      </c>
      <c r="W76" s="16" cm="1">
        <f t="array" ref="W76">_xll.BDH("CAT US Equity","TOTAL_EQUITY","FQ3 2023","FQ3 2023","Currency=USD","Period=FQ","BEST_FPERIOD_OVERRIDE=FQ","FILING_STATUS=MR","SCALING_FORMAT=MLN","Sort=A","Dates=H","DateFormat=P","Fill=—","Direction=H","UseDPDF=Y")</f>
        <v>20507</v>
      </c>
      <c r="X76" s="16" cm="1">
        <f t="array" ref="X76">_xll.BDH("CAT US Equity","TOTAL_EQUITY","FQ4 2023","FQ4 2023","Currency=USD","Period=FQ","BEST_FPERIOD_OVERRIDE=FQ","FILING_STATUS=MR","SCALING_FORMAT=MLN","Sort=A","Dates=H","DateFormat=P","Fill=—","Direction=H","UseDPDF=Y")</f>
        <v>19503</v>
      </c>
      <c r="Y76" s="16" cm="1">
        <f t="array" ref="Y76">_xll.BDH("CAT US Equity","TOTAL_EQUITY","FQ1 2024","FQ1 2024","Currency=USD","Period=FQ","BEST_FPERIOD_OVERRIDE=FQ","FILING_STATUS=MR","SCALING_FORMAT=MLN","Sort=A","Dates=H","DateFormat=P","Fill=—","Direction=H","UseDPDF=Y")</f>
        <v>17645</v>
      </c>
      <c r="Z76" s="16" cm="1">
        <f t="array" ref="Z76">_xll.BDH("CAT US Equity","TOTAL_EQUITY","FQ2 2024","FQ2 2024","Currency=USD","Period=FQ","BEST_FPERIOD_OVERRIDE=FQ","FILING_STATUS=MR","SCALING_FORMAT=MLN","Sort=A","Dates=H","DateFormat=P","Fill=—","Direction=H","UseDPDF=Y")</f>
        <v>17136</v>
      </c>
      <c r="AA76" s="16" cm="1">
        <f t="array" ref="AA76">_xll.BDH("CAT US Equity","TOTAL_EQUITY","FQ3 2024","FQ3 2024","Currency=USD","Period=FQ","BEST_FPERIOD_OVERRIDE=FQ","FILING_STATUS=MR","SCALING_FORMAT=MLN","Sort=A","Dates=H","DateFormat=P","Fill=—","Direction=H","UseDPDF=Y")</f>
        <v>19403</v>
      </c>
      <c r="AB76" s="16" cm="1">
        <f t="array" ref="AB76">_xll.BDH("CAT US Equity","TOTAL_EQUITY","FQ4 2024","FQ4 2024","Currency=USD","Period=FQ","BEST_FPERIOD_OVERRIDE=FQ","FILING_STATUS=MR","SCALING_FORMAT=MLN","Sort=A","Dates=H","DateFormat=P","Fill=—","Direction=H","UseDPDF=Y")</f>
        <v>19494</v>
      </c>
      <c r="AC76" s="16" cm="1">
        <f t="array" ref="AC76">_xll.BDH("CAT US Equity","TOTAL_EQUITY","FQ1 2025","FQ1 2025","Currency=USD","Period=FQ","BEST_FPERIOD_OVERRIDE=FQ","FILING_STATUS=MR","SCALING_FORMAT=MLN","Sort=A","Dates=H","DateFormat=P","Fill=—","Direction=H","UseDPDF=Y")</f>
        <v>18070</v>
      </c>
      <c r="AD76" s="16" cm="1">
        <f t="array" ref="AD76">_xll.BDH("CAT US Equity","TOTAL_EQUITY","FQ2 2025","FQ2 2025","Currency=USD","Period=FQ","BEST_FPERIOD_OVERRIDE=FQ","FILING_STATUS=MR","SCALING_FORMAT=MLN","Sort=A","Dates=H","DateFormat=P","Fill=—","Direction=H","UseDPDF=Y")</f>
        <v>18663</v>
      </c>
      <c r="AE76" s="16" cm="1">
        <f t="array" ref="AE76">_xll.BDH("CAT US Equity","TOTAL_EQUITY","FQ3 2025","FQ3 2025","Currency=USD","Period=FQ","BEST_FPERIOD_OVERRIDE=FQ","FILING_STATUS=MR","SCALING_FORMAT=MLN","Sort=A","Dates=H","DateFormat=P","Fill=—","Direction=H","UseDPDF=Y")</f>
        <v>20659</v>
      </c>
      <c r="AF76" s="16" cm="1">
        <f t="array" ref="AF76">_xll.BDH("CAT US Equity","TOTAL_EQUITY","FQ4 2025","FQ4 2025","Currency=USD","Period=FQ","BEST_FPERIOD_OVERRIDE=FQ","FILING_STATUS=MR","SCALING_FORMAT=MLN","Sort=A","Dates=H","DateFormat=P","Fill=—","Direction=H","UseDPDF=Y")</f>
        <v>21318</v>
      </c>
    </row>
    <row r="77" spans="1:32" x14ac:dyDescent="0.25">
      <c r="A77" s="6" t="s">
        <v>199</v>
      </c>
      <c r="B77" s="6" t="s">
        <v>200</v>
      </c>
      <c r="C77" s="16" cm="1">
        <f t="array" ref="C77">_xll.BDH("CAT US Equity","TOT_LIAB_AND_EQY","FQ3 2018","FQ3 2018","Currency=USD","Period=FQ","BEST_FPERIOD_OVERRIDE=FQ","FILING_STATUS=MR","SCALING_FORMAT=MLN","Sort=A","Dates=H","DateFormat=P","Fill=—","Direction=H","UseDPDF=Y")</f>
        <v>78209</v>
      </c>
      <c r="D77" s="16" cm="1">
        <f t="array" ref="D77">_xll.BDH("CAT US Equity","TOT_LIAB_AND_EQY","FQ4 2018","FQ4 2018","Currency=USD","Period=FQ","BEST_FPERIOD_OVERRIDE=FQ","FILING_STATUS=MR","SCALING_FORMAT=MLN","Sort=A","Dates=H","DateFormat=P","Fill=—","Direction=H","UseDPDF=Y")</f>
        <v>78509</v>
      </c>
      <c r="E77" s="16" cm="1">
        <f t="array" ref="E77">_xll.BDH("CAT US Equity","TOT_LIAB_AND_EQY","FQ1 2019","FQ1 2019","Currency=USD","Period=FQ","BEST_FPERIOD_OVERRIDE=FQ","FILING_STATUS=MR","SCALING_FORMAT=MLN","Sort=A","Dates=H","DateFormat=P","Fill=—","Direction=H","UseDPDF=Y")</f>
        <v>78726</v>
      </c>
      <c r="F77" s="16" cm="1">
        <f t="array" ref="F77">_xll.BDH("CAT US Equity","TOT_LIAB_AND_EQY","FQ2 2019","FQ2 2019","Currency=USD","Period=FQ","BEST_FPERIOD_OVERRIDE=FQ","FILING_STATUS=MR","SCALING_FORMAT=MLN","Sort=A","Dates=H","DateFormat=P","Fill=—","Direction=H","UseDPDF=Y")</f>
        <v>79187</v>
      </c>
      <c r="G77" s="16" cm="1">
        <f t="array" ref="G77">_xll.BDH("CAT US Equity","TOT_LIAB_AND_EQY","FQ3 2019","FQ3 2019","Currency=USD","Period=FQ","BEST_FPERIOD_OVERRIDE=FQ","FILING_STATUS=MR","SCALING_FORMAT=MLN","Sort=A","Dates=H","DateFormat=P","Fill=—","Direction=H","UseDPDF=Y")</f>
        <v>77993</v>
      </c>
      <c r="H77" s="16" cm="1">
        <f t="array" ref="H77">_xll.BDH("CAT US Equity","TOT_LIAB_AND_EQY","FQ4 2019","FQ4 2019","Currency=USD","Period=FQ","BEST_FPERIOD_OVERRIDE=FQ","FILING_STATUS=MR","SCALING_FORMAT=MLN","Sort=A","Dates=H","DateFormat=P","Fill=—","Direction=H","UseDPDF=Y")</f>
        <v>78453</v>
      </c>
      <c r="I77" s="16" cm="1">
        <f t="array" ref="I77">_xll.BDH("CAT US Equity","TOT_LIAB_AND_EQY","FQ1 2020","FQ1 2020","Currency=USD","Period=FQ","BEST_FPERIOD_OVERRIDE=FQ","FILING_STATUS=MR","SCALING_FORMAT=MLN","Sort=A","Dates=H","DateFormat=P","Fill=—","Direction=H","UseDPDF=Y")</f>
        <v>75894</v>
      </c>
      <c r="J77" s="16" cm="1">
        <f t="array" ref="J77">_xll.BDH("CAT US Equity","TOT_LIAB_AND_EQY","FQ2 2020","FQ2 2020","Currency=USD","Period=FQ","BEST_FPERIOD_OVERRIDE=FQ","FILING_STATUS=MR","SCALING_FORMAT=MLN","Sort=A","Dates=H","DateFormat=P","Fill=—","Direction=H","UseDPDF=Y")</f>
        <v>76566</v>
      </c>
      <c r="K77" s="16" cm="1">
        <f t="array" ref="K77">_xll.BDH("CAT US Equity","TOT_LIAB_AND_EQY","FQ3 2020","FQ3 2020","Currency=USD","Period=FQ","BEST_FPERIOD_OVERRIDE=FQ","FILING_STATUS=MR","SCALING_FORMAT=MLN","Sort=A","Dates=H","DateFormat=P","Fill=—","Direction=H","UseDPDF=Y")</f>
        <v>76741</v>
      </c>
      <c r="L77" s="16" cm="1">
        <f t="array" ref="L77">_xll.BDH("CAT US Equity","TOT_LIAB_AND_EQY","FQ4 2020","FQ4 2020","Currency=USD","Period=FQ","BEST_FPERIOD_OVERRIDE=FQ","FILING_STATUS=MR","SCALING_FORMAT=MLN","Sort=A","Dates=H","DateFormat=P","Fill=—","Direction=H","UseDPDF=Y")</f>
        <v>78324</v>
      </c>
      <c r="M77" s="16" cm="1">
        <f t="array" ref="M77">_xll.BDH("CAT US Equity","TOT_LIAB_AND_EQY","FQ1 2021","FQ1 2021","Currency=USD","Period=FQ","BEST_FPERIOD_OVERRIDE=FQ","FILING_STATUS=MR","SCALING_FORMAT=MLN","Sort=A","Dates=H","DateFormat=P","Fill=—","Direction=H","UseDPDF=Y")</f>
        <v>80729</v>
      </c>
      <c r="N77" s="16" cm="1">
        <f t="array" ref="N77">_xll.BDH("CAT US Equity","TOT_LIAB_AND_EQY","FQ2 2021","FQ2 2021","Currency=USD","Period=FQ","BEST_FPERIOD_OVERRIDE=FQ","FILING_STATUS=MR","SCALING_FORMAT=MLN","Sort=A","Dates=H","DateFormat=P","Fill=—","Direction=H","UseDPDF=Y")</f>
        <v>81697</v>
      </c>
      <c r="O77" s="16" cm="1">
        <f t="array" ref="O77">_xll.BDH("CAT US Equity","TOT_LIAB_AND_EQY","FQ3 2021","FQ3 2021","Currency=USD","Period=FQ","BEST_FPERIOD_OVERRIDE=FQ","FILING_STATUS=MR","SCALING_FORMAT=MLN","Sort=A","Dates=H","DateFormat=P","Fill=—","Direction=H","UseDPDF=Y")</f>
        <v>80784</v>
      </c>
      <c r="P77" s="16" cm="1">
        <f t="array" ref="P77">_xll.BDH("CAT US Equity","TOT_LIAB_AND_EQY","FQ4 2021","FQ4 2021","Currency=USD","Period=FQ","BEST_FPERIOD_OVERRIDE=FQ","FILING_STATUS=MR","SCALING_FORMAT=MLN","Sort=A","Dates=H","DateFormat=P","Fill=—","Direction=H","UseDPDF=Y")</f>
        <v>82793</v>
      </c>
      <c r="Q77" s="16" cm="1">
        <f t="array" ref="Q77">_xll.BDH("CAT US Equity","TOT_LIAB_AND_EQY","FQ1 2022","FQ1 2022","Currency=USD","Period=FQ","BEST_FPERIOD_OVERRIDE=FQ","FILING_STATUS=MR","SCALING_FORMAT=MLN","Sort=A","Dates=H","DateFormat=P","Fill=—","Direction=H","UseDPDF=Y")</f>
        <v>82276</v>
      </c>
      <c r="R77" s="16" cm="1">
        <f t="array" ref="R77">_xll.BDH("CAT US Equity","TOT_LIAB_AND_EQY","FQ2 2022","FQ2 2022","Currency=USD","Period=FQ","BEST_FPERIOD_OVERRIDE=FQ","FILING_STATUS=MR","SCALING_FORMAT=MLN","Sort=A","Dates=H","DateFormat=P","Fill=—","Direction=H","UseDPDF=Y")</f>
        <v>81107</v>
      </c>
      <c r="S77" s="16" cm="1">
        <f t="array" ref="S77">_xll.BDH("CAT US Equity","TOT_LIAB_AND_EQY","FQ3 2022","FQ3 2022","Currency=USD","Period=FQ","BEST_FPERIOD_OVERRIDE=FQ","FILING_STATUS=MR","SCALING_FORMAT=MLN","Sort=A","Dates=H","DateFormat=P","Fill=—","Direction=H","UseDPDF=Y")</f>
        <v>80907</v>
      </c>
      <c r="T77" s="16" cm="1">
        <f t="array" ref="T77">_xll.BDH("CAT US Equity","TOT_LIAB_AND_EQY","FQ4 2022","FQ4 2022","Currency=USD","Period=FQ","BEST_FPERIOD_OVERRIDE=FQ","FILING_STATUS=MR","SCALING_FORMAT=MLN","Sort=A","Dates=H","DateFormat=P","Fill=—","Direction=H","UseDPDF=Y")</f>
        <v>81943</v>
      </c>
      <c r="U77" s="16" cm="1">
        <f t="array" ref="U77">_xll.BDH("CAT US Equity","TOT_LIAB_AND_EQY","FQ1 2023","FQ1 2023","Currency=USD","Period=FQ","BEST_FPERIOD_OVERRIDE=FQ","FILING_STATUS=MR","SCALING_FORMAT=MLN","Sort=A","Dates=H","DateFormat=P","Fill=—","Direction=H","UseDPDF=Y")</f>
        <v>83649</v>
      </c>
      <c r="V77" s="16" cm="1">
        <f t="array" ref="V77">_xll.BDH("CAT US Equity","TOT_LIAB_AND_EQY","FQ2 2023","FQ2 2023","Currency=USD","Period=FQ","BEST_FPERIOD_OVERRIDE=FQ","FILING_STATUS=MR","SCALING_FORMAT=MLN","Sort=A","Dates=H","DateFormat=P","Fill=—","Direction=H","UseDPDF=Y")</f>
        <v>85427</v>
      </c>
      <c r="W77" s="16" cm="1">
        <f t="array" ref="W77">_xll.BDH("CAT US Equity","TOT_LIAB_AND_EQY","FQ3 2023","FQ3 2023","Currency=USD","Period=FQ","BEST_FPERIOD_OVERRIDE=FQ","FILING_STATUS=MR","SCALING_FORMAT=MLN","Sort=A","Dates=H","DateFormat=P","Fill=—","Direction=H","UseDPDF=Y")</f>
        <v>86791</v>
      </c>
      <c r="X77" s="16" cm="1">
        <f t="array" ref="X77">_xll.BDH("CAT US Equity","TOT_LIAB_AND_EQY","FQ4 2023","FQ4 2023","Currency=USD","Period=FQ","BEST_FPERIOD_OVERRIDE=FQ","FILING_STATUS=MR","SCALING_FORMAT=MLN","Sort=A","Dates=H","DateFormat=P","Fill=—","Direction=H","UseDPDF=Y")</f>
        <v>87476</v>
      </c>
      <c r="Y77" s="16" cm="1">
        <f t="array" ref="Y77">_xll.BDH("CAT US Equity","TOT_LIAB_AND_EQY","FQ1 2024","FQ1 2024","Currency=USD","Period=FQ","BEST_FPERIOD_OVERRIDE=FQ","FILING_STATUS=MR","SCALING_FORMAT=MLN","Sort=A","Dates=H","DateFormat=P","Fill=—","Direction=H","UseDPDF=Y")</f>
        <v>83741</v>
      </c>
      <c r="Z77" s="16" cm="1">
        <f t="array" ref="Z77">_xll.BDH("CAT US Equity","TOT_LIAB_AND_EQY","FQ2 2024","FQ2 2024","Currency=USD","Period=FQ","BEST_FPERIOD_OVERRIDE=FQ","FILING_STATUS=MR","SCALING_FORMAT=MLN","Sort=A","Dates=H","DateFormat=P","Fill=—","Direction=H","UseDPDF=Y")</f>
        <v>83336</v>
      </c>
      <c r="AA77" s="16" cm="1">
        <f t="array" ref="AA77">_xll.BDH("CAT US Equity","TOT_LIAB_AND_EQY","FQ3 2024","FQ3 2024","Currency=USD","Period=FQ","BEST_FPERIOD_OVERRIDE=FQ","FILING_STATUS=MR","SCALING_FORMAT=MLN","Sort=A","Dates=H","DateFormat=P","Fill=—","Direction=H","UseDPDF=Y")</f>
        <v>86273</v>
      </c>
      <c r="AB77" s="16" cm="1">
        <f t="array" ref="AB77">_xll.BDH("CAT US Equity","TOT_LIAB_AND_EQY","FQ4 2024","FQ4 2024","Currency=USD","Period=FQ","BEST_FPERIOD_OVERRIDE=FQ","FILING_STATUS=MR","SCALING_FORMAT=MLN","Sort=A","Dates=H","DateFormat=P","Fill=—","Direction=H","UseDPDF=Y")</f>
        <v>87764</v>
      </c>
      <c r="AC77" s="16" cm="1">
        <f t="array" ref="AC77">_xll.BDH("CAT US Equity","TOT_LIAB_AND_EQY","FQ1 2025","FQ1 2025","Currency=USD","Period=FQ","BEST_FPERIOD_OVERRIDE=FQ","FILING_STATUS=MR","SCALING_FORMAT=MLN","Sort=A","Dates=H","DateFormat=P","Fill=—","Direction=H","UseDPDF=Y")</f>
        <v>84974</v>
      </c>
      <c r="AD77" s="16" cm="1">
        <f t="array" ref="AD77">_xll.BDH("CAT US Equity","TOT_LIAB_AND_EQY","FQ2 2025","FQ2 2025","Currency=USD","Period=FQ","BEST_FPERIOD_OVERRIDE=FQ","FILING_STATUS=MR","SCALING_FORMAT=MLN","Sort=A","Dates=H","DateFormat=P","Fill=—","Direction=H","UseDPDF=Y")</f>
        <v>90325</v>
      </c>
      <c r="AE77" s="16" cm="1">
        <f t="array" ref="AE77">_xll.BDH("CAT US Equity","TOT_LIAB_AND_EQY","FQ3 2025","FQ3 2025","Currency=USD","Period=FQ","BEST_FPERIOD_OVERRIDE=FQ","FILING_STATUS=MR","SCALING_FORMAT=MLN","Sort=A","Dates=H","DateFormat=P","Fill=—","Direction=H","UseDPDF=Y")</f>
        <v>93722</v>
      </c>
      <c r="AF77" s="16" cm="1">
        <f t="array" ref="AF77">_xll.BDH("CAT US Equity","TOT_LIAB_AND_EQY","FQ4 2025","FQ4 2025","Currency=USD","Period=FQ","BEST_FPERIOD_OVERRIDE=FQ","FILING_STATUS=MR","SCALING_FORMAT=MLN","Sort=A","Dates=H","DateFormat=P","Fill=—","Direction=H","UseDPDF=Y")</f>
        <v>98585</v>
      </c>
    </row>
    <row r="78" spans="1:32" x14ac:dyDescent="0.25">
      <c r="A78" s="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spans="1:32" x14ac:dyDescent="0.25">
      <c r="A79" s="6" t="s">
        <v>0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spans="1:32" x14ac:dyDescent="0.25">
      <c r="A80" s="10" t="s">
        <v>201</v>
      </c>
      <c r="B80" s="10" t="s">
        <v>202</v>
      </c>
      <c r="C80" s="12" t="s">
        <v>203</v>
      </c>
      <c r="D80" s="12" t="s">
        <v>203</v>
      </c>
      <c r="E80" s="12" t="s">
        <v>203</v>
      </c>
      <c r="F80" s="12" t="s">
        <v>203</v>
      </c>
      <c r="G80" s="12" t="s">
        <v>203</v>
      </c>
      <c r="H80" s="12" t="s">
        <v>203</v>
      </c>
      <c r="I80" s="12" t="s">
        <v>203</v>
      </c>
      <c r="J80" s="12" t="s">
        <v>203</v>
      </c>
      <c r="K80" s="12" t="s">
        <v>203</v>
      </c>
      <c r="L80" s="12" t="s">
        <v>203</v>
      </c>
      <c r="M80" s="12" t="s">
        <v>203</v>
      </c>
      <c r="N80" s="12" t="s">
        <v>203</v>
      </c>
      <c r="O80" s="12" t="s">
        <v>203</v>
      </c>
      <c r="P80" s="12" t="s">
        <v>203</v>
      </c>
      <c r="Q80" s="12" t="s">
        <v>203</v>
      </c>
      <c r="R80" s="12" t="s">
        <v>203</v>
      </c>
      <c r="S80" s="12" t="s">
        <v>203</v>
      </c>
      <c r="T80" s="12" t="s">
        <v>203</v>
      </c>
      <c r="U80" s="12" t="s">
        <v>203</v>
      </c>
      <c r="V80" s="12" t="s">
        <v>203</v>
      </c>
      <c r="W80" s="12" t="s">
        <v>203</v>
      </c>
      <c r="X80" s="12" t="s">
        <v>203</v>
      </c>
      <c r="Y80" s="12" t="s">
        <v>203</v>
      </c>
      <c r="Z80" s="12" t="s">
        <v>203</v>
      </c>
      <c r="AA80" s="12" t="s">
        <v>203</v>
      </c>
      <c r="AB80" s="12" t="s">
        <v>203</v>
      </c>
      <c r="AC80" s="12" t="s">
        <v>203</v>
      </c>
      <c r="AD80" s="12" t="s">
        <v>203</v>
      </c>
      <c r="AE80" s="12" t="s">
        <v>203</v>
      </c>
      <c r="AF80" s="12" t="s">
        <v>203</v>
      </c>
    </row>
    <row r="81" spans="1:32" x14ac:dyDescent="0.25">
      <c r="A81" s="10" t="s">
        <v>204</v>
      </c>
      <c r="B81" s="10" t="s">
        <v>205</v>
      </c>
      <c r="C81" s="13" cm="1">
        <f t="array" ref="C81">_xll.BDH("CAT US Equity","BS_SH_OUT","FQ3 2018","FQ3 2018","Currency=USD","Period=FQ","BEST_FPERIOD_OVERRIDE=FQ","FILING_STATUS=MR","Sort=A","Dates=H","DateFormat=P","Fill=—","Direction=H","UseDPDF=Y")</f>
        <v>590.10670000000005</v>
      </c>
      <c r="D81" s="13" cm="1">
        <f t="array" ref="D81">_xll.BDH("CAT US Equity","BS_SH_OUT","FQ4 2018","FQ4 2018","Currency=USD","Period=FQ","BEST_FPERIOD_OVERRIDE=FQ","FILING_STATUS=MR","Sort=A","Dates=H","DateFormat=P","Fill=—","Direction=H","UseDPDF=Y")</f>
        <v>575.54269999999997</v>
      </c>
      <c r="E81" s="13" cm="1">
        <f t="array" ref="E81">_xll.BDH("CAT US Equity","BS_SH_OUT","FQ1 2019","FQ1 2019","Currency=USD","Period=FQ","BEST_FPERIOD_OVERRIDE=FQ","FILING_STATUS=MR","Sort=A","Dates=H","DateFormat=P","Fill=—","Direction=H","UseDPDF=Y")</f>
        <v>575.54269999999997</v>
      </c>
      <c r="F81" s="13" cm="1">
        <f t="array" ref="F81">_xll.BDH("CAT US Equity","BS_SH_OUT","FQ2 2019","FQ2 2019","Currency=USD","Period=FQ","BEST_FPERIOD_OVERRIDE=FQ","FILING_STATUS=MR","Sort=A","Dates=H","DateFormat=P","Fill=—","Direction=H","UseDPDF=Y")</f>
        <v>562.58920000000001</v>
      </c>
      <c r="G81" s="13" cm="1">
        <f t="array" ref="G81">_xll.BDH("CAT US Equity","BS_SH_OUT","FQ3 2019","FQ3 2019","Currency=USD","Period=FQ","BEST_FPERIOD_OVERRIDE=FQ","FILING_STATUS=MR","Sort=A","Dates=H","DateFormat=P","Fill=—","Direction=H","UseDPDF=Y")</f>
        <v>552.65840000000003</v>
      </c>
      <c r="H81" s="13" cm="1">
        <f t="array" ref="H81">_xll.BDH("CAT US Equity","BS_SH_OUT","FQ4 2019","FQ4 2019","Currency=USD","Period=FQ","BEST_FPERIOD_OVERRIDE=FQ","FILING_STATUS=MR","Sort=A","Dates=H","DateFormat=P","Fill=—","Direction=H","UseDPDF=Y")</f>
        <v>550.08259999999996</v>
      </c>
      <c r="I81" s="13" cm="1">
        <f t="array" ref="I81">_xll.BDH("CAT US Equity","BS_SH_OUT","FQ1 2020","FQ1 2020","Currency=USD","Period=FQ","BEST_FPERIOD_OVERRIDE=FQ","FILING_STATUS=MR","Sort=A","Dates=H","DateFormat=P","Fill=—","Direction=H","UseDPDF=Y")</f>
        <v>541.95150000000001</v>
      </c>
      <c r="J81" s="13" cm="1">
        <f t="array" ref="J81">_xll.BDH("CAT US Equity","BS_SH_OUT","FQ2 2020","FQ2 2020","Currency=USD","Period=FQ","BEST_FPERIOD_OVERRIDE=FQ","FILING_STATUS=MR","Sort=A","Dates=H","DateFormat=P","Fill=—","Direction=H","UseDPDF=Y")</f>
        <v>541.50660000000005</v>
      </c>
      <c r="K81" s="13" cm="1">
        <f t="array" ref="K81">_xll.BDH("CAT US Equity","BS_SH_OUT","FQ3 2020","FQ3 2020","Currency=USD","Period=FQ","BEST_FPERIOD_OVERRIDE=FQ","FILING_STATUS=MR","Sort=A","Dates=H","DateFormat=P","Fill=—","Direction=H","UseDPDF=Y")</f>
        <v>543.25829999999996</v>
      </c>
      <c r="L81" s="13" cm="1">
        <f t="array" ref="L81">_xll.BDH("CAT US Equity","BS_SH_OUT","FQ4 2020","FQ4 2020","Currency=USD","Period=FQ","BEST_FPERIOD_OVERRIDE=FQ","FILING_STATUS=MR","Sort=A","Dates=H","DateFormat=P","Fill=—","Direction=H","UseDPDF=Y")</f>
        <v>545.30380000000002</v>
      </c>
      <c r="M81" s="13" cm="1">
        <f t="array" ref="M81">_xll.BDH("CAT US Equity","BS_SH_OUT","FQ1 2021","FQ1 2021","Currency=USD","Period=FQ","BEST_FPERIOD_OVERRIDE=FQ","FILING_STATUS=MR","Sort=A","Dates=H","DateFormat=P","Fill=—","Direction=H","UseDPDF=Y")</f>
        <v>545.30380000000002</v>
      </c>
      <c r="N81" s="13" cm="1">
        <f t="array" ref="N81">_xll.BDH("CAT US Equity","BS_SH_OUT","FQ2 2021","FQ2 2021","Currency=USD","Period=FQ","BEST_FPERIOD_OVERRIDE=FQ","FILING_STATUS=MR","Sort=A","Dates=H","DateFormat=P","Fill=—","Direction=H","UseDPDF=Y")</f>
        <v>545.30380000000002</v>
      </c>
      <c r="O81" s="13" cm="1">
        <f t="array" ref="O81">_xll.BDH("CAT US Equity","BS_SH_OUT","FQ3 2021","FQ3 2021","Currency=USD","Period=FQ","BEST_FPERIOD_OVERRIDE=FQ","FILING_STATUS=MR","Sort=A","Dates=H","DateFormat=P","Fill=—","Direction=H","UseDPDF=Y")</f>
        <v>540.94159999999999</v>
      </c>
      <c r="P81" s="13" cm="1">
        <f t="array" ref="P81">_xll.BDH("CAT US Equity","BS_SH_OUT","FQ4 2021","FQ4 2021","Currency=USD","Period=FQ","BEST_FPERIOD_OVERRIDE=FQ","FILING_STATUS=MR","Sort=A","Dates=H","DateFormat=P","Fill=—","Direction=H","UseDPDF=Y")</f>
        <v>535.88810000000001</v>
      </c>
      <c r="Q81" s="13" cm="1">
        <f t="array" ref="Q81">_xll.BDH("CAT US Equity","BS_SH_OUT","FQ1 2022","FQ1 2022","Currency=USD","Period=FQ","BEST_FPERIOD_OVERRIDE=FQ","FILING_STATUS=MR","Sort=A","Dates=H","DateFormat=P","Fill=—","Direction=H","UseDPDF=Y")</f>
        <v>533.35320000000002</v>
      </c>
      <c r="R81" s="13" cm="1">
        <f t="array" ref="R81">_xll.BDH("CAT US Equity","BS_SH_OUT","FQ2 2022","FQ2 2022","Currency=USD","Period=FQ","BEST_FPERIOD_OVERRIDE=FQ","FILING_STATUS=MR","Sort=A","Dates=H","DateFormat=P","Fill=—","Direction=H","UseDPDF=Y")</f>
        <v>527.90909999999997</v>
      </c>
      <c r="S81" s="13" cm="1">
        <f t="array" ref="S81">_xll.BDH("CAT US Equity","BS_SH_OUT","FQ3 2022","FQ3 2022","Currency=USD","Period=FQ","BEST_FPERIOD_OVERRIDE=FQ","FILING_STATUS=MR","Sort=A","Dates=H","DateFormat=P","Fill=—","Direction=H","UseDPDF=Y")</f>
        <v>520.40940000000001</v>
      </c>
      <c r="T81" s="13" cm="1">
        <f t="array" ref="T81">_xll.BDH("CAT US Equity","BS_SH_OUT","FQ4 2022","FQ4 2022","Currency=USD","Period=FQ","BEST_FPERIOD_OVERRIDE=FQ","FILING_STATUS=MR","Sort=A","Dates=H","DateFormat=P","Fill=—","Direction=H","UseDPDF=Y")</f>
        <v>516.34550000000002</v>
      </c>
      <c r="U81" s="13" cm="1">
        <f t="array" ref="U81">_xll.BDH("CAT US Equity","BS_SH_OUT","FQ1 2023","FQ1 2023","Currency=USD","Period=FQ","BEST_FPERIOD_OVERRIDE=FQ","FILING_STATUS=MR","Sort=A","Dates=H","DateFormat=P","Fill=—","Direction=H","UseDPDF=Y")</f>
        <v>515.92010000000005</v>
      </c>
      <c r="V81" s="13" cm="1">
        <f t="array" ref="V81">_xll.BDH("CAT US Equity","BS_SH_OUT","FQ2 2023","FQ2 2023","Currency=USD","Period=FQ","BEST_FPERIOD_OVERRIDE=FQ","FILING_STATUS=MR","Sort=A","Dates=H","DateFormat=P","Fill=—","Direction=H","UseDPDF=Y")</f>
        <v>510.1431</v>
      </c>
      <c r="W81" s="13" cm="1">
        <f t="array" ref="W81">_xll.BDH("CAT US Equity","BS_SH_OUT","FQ3 2023","FQ3 2023","Currency=USD","Period=FQ","BEST_FPERIOD_OVERRIDE=FQ","FILING_STATUS=MR","Sort=A","Dates=H","DateFormat=P","Fill=—","Direction=H","UseDPDF=Y")</f>
        <v>509.0847</v>
      </c>
      <c r="X81" s="13" cm="1">
        <f t="array" ref="X81">_xll.BDH("CAT US Equity","BS_SH_OUT","FQ4 2023","FQ4 2023","Currency=USD","Period=FQ","BEST_FPERIOD_OVERRIDE=FQ","FILING_STATUS=MR","Sort=A","Dates=H","DateFormat=P","Fill=—","Direction=H","UseDPDF=Y")</f>
        <v>499.37729999999999</v>
      </c>
      <c r="Y81" s="13" cm="1">
        <f t="array" ref="Y81">_xll.BDH("CAT US Equity","BS_SH_OUT","FQ1 2024","FQ1 2024","Currency=USD","Period=FQ","BEST_FPERIOD_OVERRIDE=FQ","FILING_STATUS=MR","Sort=A","Dates=H","DateFormat=P","Fill=—","Direction=H","UseDPDF=Y")</f>
        <v>489.27289999999999</v>
      </c>
      <c r="Z81" s="13" cm="1">
        <f t="array" ref="Z81">_xll.BDH("CAT US Equity","BS_SH_OUT","FQ2 2024","FQ2 2024","Currency=USD","Period=FQ","BEST_FPERIOD_OVERRIDE=FQ","FILING_STATUS=MR","Sort=A","Dates=H","DateFormat=P","Fill=—","Direction=H","UseDPDF=Y")</f>
        <v>484.8981</v>
      </c>
      <c r="AA81" s="13" cm="1">
        <f t="array" ref="AA81">_xll.BDH("CAT US Equity","BS_SH_OUT","FQ3 2024","FQ3 2024","Currency=USD","Period=FQ","BEST_FPERIOD_OVERRIDE=FQ","FILING_STATUS=MR","Sort=A","Dates=H","DateFormat=P","Fill=—","Direction=H","UseDPDF=Y")</f>
        <v>482.80250000000001</v>
      </c>
      <c r="AB81" s="13" cm="1">
        <f t="array" ref="AB81">_xll.BDH("CAT US Equity","BS_SH_OUT","FQ4 2024","FQ4 2024","Currency=USD","Period=FQ","BEST_FPERIOD_OVERRIDE=FQ","FILING_STATUS=MR","Sort=A","Dates=H","DateFormat=P","Fill=—","Direction=H","UseDPDF=Y")</f>
        <v>477.93200000000002</v>
      </c>
      <c r="AC81" s="13" cm="1">
        <f t="array" ref="AC81">_xll.BDH("CAT US Equity","BS_SH_OUT","FQ1 2025","FQ1 2025","Currency=USD","Period=FQ","BEST_FPERIOD_OVERRIDE=FQ","FILING_STATUS=MR","Sort=A","Dates=H","DateFormat=P","Fill=—","Direction=H","UseDPDF=Y")</f>
        <v>471.04180000000002</v>
      </c>
      <c r="AD81" s="13" cm="1">
        <f t="array" ref="AD81">_xll.BDH("CAT US Equity","BS_SH_OUT","FQ2 2025","FQ2 2025","Currency=USD","Period=FQ","BEST_FPERIOD_OVERRIDE=FQ","FILING_STATUS=MR","Sort=A","Dates=H","DateFormat=P","Fill=—","Direction=H","UseDPDF=Y")</f>
        <v>468.47890000000001</v>
      </c>
      <c r="AE81" s="13" cm="1">
        <f t="array" ref="AE81">_xll.BDH("CAT US Equity","BS_SH_OUT","FQ3 2025","FQ3 2025","Currency=USD","Period=FQ","BEST_FPERIOD_OVERRIDE=FQ","FILING_STATUS=MR","Sort=A","Dates=H","DateFormat=P","Fill=—","Direction=H","UseDPDF=Y")</f>
        <v>467.9796</v>
      </c>
      <c r="AF81" s="13" cm="1">
        <f t="array" ref="AF81">_xll.BDH("CAT US Equity","BS_SH_OUT","FQ4 2025","FQ4 2025","Currency=USD","Period=FQ","BEST_FPERIOD_OVERRIDE=FQ","FILING_STATUS=MR","Sort=A","Dates=H","DateFormat=P","Fill=—","Direction=H","UseDPDF=Y")</f>
        <v>465.28730000000002</v>
      </c>
    </row>
    <row r="82" spans="1:32" x14ac:dyDescent="0.25">
      <c r="A82" s="10" t="s">
        <v>206</v>
      </c>
      <c r="B82" s="10" t="s">
        <v>207</v>
      </c>
      <c r="C82" s="13" cm="1">
        <f t="array" ref="C82">_xll.BDH("CAT US Equity","BS_NUM_OF_TSY_SH","FQ3 2018","FQ3 2018","Currency=USD","Period=FQ","BEST_FPERIOD_OVERRIDE=FQ","FILING_STATUS=MR","Sort=A","Dates=H","DateFormat=P","Fill=—","Direction=H","UseDPDF=Y")</f>
        <v>224.78790000000001</v>
      </c>
      <c r="D82" s="13" cm="1">
        <f t="array" ref="D82">_xll.BDH("CAT US Equity","BS_NUM_OF_TSY_SH","FQ4 2018","FQ4 2018","Currency=USD","Period=FQ","BEST_FPERIOD_OVERRIDE=FQ","FILING_STATUS=MR","Sort=A","Dates=H","DateFormat=P","Fill=—","Direction=H","UseDPDF=Y")</f>
        <v>239.3519</v>
      </c>
      <c r="E82" s="13" cm="1">
        <f t="array" ref="E82">_xll.BDH("CAT US Equity","BS_NUM_OF_TSY_SH","FQ1 2019","FQ1 2019","Currency=USD","Period=FQ","BEST_FPERIOD_OVERRIDE=FQ","FILING_STATUS=MR","Sort=A","Dates=H","DateFormat=P","Fill=—","Direction=H","UseDPDF=Y")</f>
        <v>239.3519</v>
      </c>
      <c r="F82" s="13" cm="1">
        <f t="array" ref="F82">_xll.BDH("CAT US Equity","BS_NUM_OF_TSY_SH","FQ2 2019","FQ2 2019","Currency=USD","Period=FQ","BEST_FPERIOD_OVERRIDE=FQ","FILING_STATUS=MR","Sort=A","Dates=H","DateFormat=P","Fill=—","Direction=H","UseDPDF=Y")</f>
        <v>252.30539999999999</v>
      </c>
      <c r="G82" s="13" cm="1">
        <f t="array" ref="G82">_xll.BDH("CAT US Equity","BS_NUM_OF_TSY_SH","FQ3 2019","FQ3 2019","Currency=USD","Period=FQ","BEST_FPERIOD_OVERRIDE=FQ","FILING_STATUS=MR","Sort=A","Dates=H","DateFormat=P","Fill=—","Direction=H","UseDPDF=Y")</f>
        <v>262.2362</v>
      </c>
      <c r="H82" s="13" cm="1">
        <f t="array" ref="H82">_xll.BDH("CAT US Equity","BS_NUM_OF_TSY_SH","FQ4 2019","FQ4 2019","Currency=USD","Period=FQ","BEST_FPERIOD_OVERRIDE=FQ","FILING_STATUS=MR","Sort=A","Dates=H","DateFormat=P","Fill=—","Direction=H","UseDPDF=Y")</f>
        <v>264.81200000000001</v>
      </c>
      <c r="I82" s="13" cm="1">
        <f t="array" ref="I82">_xll.BDH("CAT US Equity","BS_NUM_OF_TSY_SH","FQ1 2020","FQ1 2020","Currency=USD","Period=FQ","BEST_FPERIOD_OVERRIDE=FQ","FILING_STATUS=MR","Sort=A","Dates=H","DateFormat=P","Fill=—","Direction=H","UseDPDF=Y")</f>
        <v>272.94310000000002</v>
      </c>
      <c r="J82" s="13" cm="1">
        <f t="array" ref="J82">_xll.BDH("CAT US Equity","BS_NUM_OF_TSY_SH","FQ2 2020","FQ2 2020","Currency=USD","Period=FQ","BEST_FPERIOD_OVERRIDE=FQ","FILING_STATUS=MR","Sort=A","Dates=H","DateFormat=P","Fill=—","Direction=H","UseDPDF=Y")</f>
        <v>273.38799999999998</v>
      </c>
      <c r="K82" s="13" cm="1">
        <f t="array" ref="K82">_xll.BDH("CAT US Equity","BS_NUM_OF_TSY_SH","FQ3 2020","FQ3 2020","Currency=USD","Period=FQ","BEST_FPERIOD_OVERRIDE=FQ","FILING_STATUS=MR","Sort=A","Dates=H","DateFormat=P","Fill=—","Direction=H","UseDPDF=Y")</f>
        <v>271.63630000000001</v>
      </c>
      <c r="L82" s="13" cm="1">
        <f t="array" ref="L82">_xll.BDH("CAT US Equity","BS_NUM_OF_TSY_SH","FQ4 2020","FQ4 2020","Currency=USD","Period=FQ","BEST_FPERIOD_OVERRIDE=FQ","FILING_STATUS=MR","Sort=A","Dates=H","DateFormat=P","Fill=—","Direction=H","UseDPDF=Y")</f>
        <v>269.5908</v>
      </c>
      <c r="M82" s="13" cm="1">
        <f t="array" ref="M82">_xll.BDH("CAT US Equity","BS_NUM_OF_TSY_SH","FQ1 2021","FQ1 2021","Currency=USD","Period=FQ","BEST_FPERIOD_OVERRIDE=FQ","FILING_STATUS=MR","Sort=A","Dates=H","DateFormat=P","Fill=—","Direction=H","UseDPDF=Y")</f>
        <v>269.5908</v>
      </c>
      <c r="N82" s="13" cm="1">
        <f t="array" ref="N82">_xll.BDH("CAT US Equity","BS_NUM_OF_TSY_SH","FQ2 2021","FQ2 2021","Currency=USD","Period=FQ","BEST_FPERIOD_OVERRIDE=FQ","FILING_STATUS=MR","Sort=A","Dates=H","DateFormat=P","Fill=—","Direction=H","UseDPDF=Y")</f>
        <v>269.5908</v>
      </c>
      <c r="O82" s="13" cm="1">
        <f t="array" ref="O82">_xll.BDH("CAT US Equity","BS_NUM_OF_TSY_SH","FQ3 2021","FQ3 2021","Currency=USD","Period=FQ","BEST_FPERIOD_OVERRIDE=FQ","FILING_STATUS=MR","Sort=A","Dates=H","DateFormat=P","Fill=—","Direction=H","UseDPDF=Y")</f>
        <v>273.95299999999997</v>
      </c>
      <c r="P82" s="13" cm="1">
        <f t="array" ref="P82">_xll.BDH("CAT US Equity","BS_NUM_OF_TSY_SH","FQ4 2021","FQ4 2021","Currency=USD","Period=FQ","BEST_FPERIOD_OVERRIDE=FQ","FILING_STATUS=MR","Sort=A","Dates=H","DateFormat=P","Fill=—","Direction=H","UseDPDF=Y")</f>
        <v>279.00659999999999</v>
      </c>
      <c r="Q82" s="13" cm="1">
        <f t="array" ref="Q82">_xll.BDH("CAT US Equity","BS_NUM_OF_TSY_SH","FQ1 2022","FQ1 2022","Currency=USD","Period=FQ","BEST_FPERIOD_OVERRIDE=FQ","FILING_STATUS=MR","Sort=A","Dates=H","DateFormat=P","Fill=—","Direction=H","UseDPDF=Y")</f>
        <v>281.54140000000001</v>
      </c>
      <c r="R82" s="13" cm="1">
        <f t="array" ref="R82">_xll.BDH("CAT US Equity","BS_NUM_OF_TSY_SH","FQ2 2022","FQ2 2022","Currency=USD","Period=FQ","BEST_FPERIOD_OVERRIDE=FQ","FILING_STATUS=MR","Sort=A","Dates=H","DateFormat=P","Fill=—","Direction=H","UseDPDF=Y")</f>
        <v>286.9855</v>
      </c>
      <c r="S82" s="13" cm="1">
        <f t="array" ref="S82">_xll.BDH("CAT US Equity","BS_NUM_OF_TSY_SH","FQ3 2022","FQ3 2022","Currency=USD","Period=FQ","BEST_FPERIOD_OVERRIDE=FQ","FILING_STATUS=MR","Sort=A","Dates=H","DateFormat=P","Fill=—","Direction=H","UseDPDF=Y")</f>
        <v>294.4853</v>
      </c>
      <c r="T82" s="13" cm="1">
        <f t="array" ref="T82">_xll.BDH("CAT US Equity","BS_NUM_OF_TSY_SH","FQ4 2022","FQ4 2022","Currency=USD","Period=FQ","BEST_FPERIOD_OVERRIDE=FQ","FILING_STATUS=MR","Sort=A","Dates=H","DateFormat=P","Fill=—","Direction=H","UseDPDF=Y")</f>
        <v>298.54910000000001</v>
      </c>
      <c r="U82" s="13" cm="1">
        <f t="array" ref="U82">_xll.BDH("CAT US Equity","BS_NUM_OF_TSY_SH","FQ1 2023","FQ1 2023","Currency=USD","Period=FQ","BEST_FPERIOD_OVERRIDE=FQ","FILING_STATUS=MR","Sort=A","Dates=H","DateFormat=P","Fill=—","Direction=H","UseDPDF=Y")</f>
        <v>298.97460000000001</v>
      </c>
      <c r="V82" s="13" cm="1">
        <f t="array" ref="V82">_xll.BDH("CAT US Equity","BS_NUM_OF_TSY_SH","FQ2 2023","FQ2 2023","Currency=USD","Period=FQ","BEST_FPERIOD_OVERRIDE=FQ","FILING_STATUS=MR","Sort=A","Dates=H","DateFormat=P","Fill=—","Direction=H","UseDPDF=Y")</f>
        <v>304.75150000000002</v>
      </c>
      <c r="W82" s="13" cm="1">
        <f t="array" ref="W82">_xll.BDH("CAT US Equity","BS_NUM_OF_TSY_SH","FQ3 2023","FQ3 2023","Currency=USD","Period=FQ","BEST_FPERIOD_OVERRIDE=FQ","FILING_STATUS=MR","Sort=A","Dates=H","DateFormat=P","Fill=—","Direction=H","UseDPDF=Y")</f>
        <v>305.80990000000003</v>
      </c>
      <c r="X82" s="13" cm="1">
        <f t="array" ref="X82">_xll.BDH("CAT US Equity","BS_NUM_OF_TSY_SH","FQ4 2023","FQ4 2023","Currency=USD","Period=FQ","BEST_FPERIOD_OVERRIDE=FQ","FILING_STATUS=MR","Sort=A","Dates=H","DateFormat=P","Fill=—","Direction=H","UseDPDF=Y")</f>
        <v>315.51740000000001</v>
      </c>
      <c r="Y82" s="13" cm="1">
        <f t="array" ref="Y82">_xll.BDH("CAT US Equity","BS_NUM_OF_TSY_SH","FQ1 2024","FQ1 2024","Currency=USD","Period=FQ","BEST_FPERIOD_OVERRIDE=FQ","FILING_STATUS=MR","Sort=A","Dates=H","DateFormat=P","Fill=—","Direction=H","UseDPDF=Y")</f>
        <v>325.62169999999998</v>
      </c>
      <c r="Z82" s="13" cm="1">
        <f t="array" ref="Z82">_xll.BDH("CAT US Equity","BS_NUM_OF_TSY_SH","FQ2 2024","FQ2 2024","Currency=USD","Period=FQ","BEST_FPERIOD_OVERRIDE=FQ","FILING_STATUS=MR","Sort=A","Dates=H","DateFormat=P","Fill=—","Direction=H","UseDPDF=Y")</f>
        <v>329.99650000000003</v>
      </c>
      <c r="AA82" s="13" cm="1">
        <f t="array" ref="AA82">_xll.BDH("CAT US Equity","BS_NUM_OF_TSY_SH","FQ3 2024","FQ3 2024","Currency=USD","Period=FQ","BEST_FPERIOD_OVERRIDE=FQ","FILING_STATUS=MR","Sort=A","Dates=H","DateFormat=P","Fill=—","Direction=H","UseDPDF=Y")</f>
        <v>332.09210000000002</v>
      </c>
      <c r="AB82" s="13" cm="1">
        <f t="array" ref="AB82">_xll.BDH("CAT US Equity","BS_NUM_OF_TSY_SH","FQ4 2024","FQ4 2024","Currency=USD","Period=FQ","BEST_FPERIOD_OVERRIDE=FQ","FILING_STATUS=MR","Sort=A","Dates=H","DateFormat=P","Fill=—","Direction=H","UseDPDF=Y")</f>
        <v>336.96260000000001</v>
      </c>
      <c r="AC82" s="13" cm="1">
        <f t="array" ref="AC82">_xll.BDH("CAT US Equity","BS_NUM_OF_TSY_SH","FQ1 2025","FQ1 2025","Currency=USD","Period=FQ","BEST_FPERIOD_OVERRIDE=FQ","FILING_STATUS=MR","Sort=A","Dates=H","DateFormat=P","Fill=—","Direction=H","UseDPDF=Y")</f>
        <v>343.8528</v>
      </c>
      <c r="AD82" s="13" cm="1">
        <f t="array" ref="AD82">_xll.BDH("CAT US Equity","BS_NUM_OF_TSY_SH","FQ2 2025","FQ2 2025","Currency=USD","Period=FQ","BEST_FPERIOD_OVERRIDE=FQ","FILING_STATUS=MR","Sort=A","Dates=H","DateFormat=P","Fill=—","Direction=H","UseDPDF=Y")</f>
        <v>346.41570000000002</v>
      </c>
      <c r="AE82" s="13" cm="1">
        <f t="array" ref="AE82">_xll.BDH("CAT US Equity","BS_NUM_OF_TSY_SH","FQ3 2025","FQ3 2025","Currency=USD","Period=FQ","BEST_FPERIOD_OVERRIDE=FQ","FILING_STATUS=MR","Sort=A","Dates=H","DateFormat=P","Fill=—","Direction=H","UseDPDF=Y")</f>
        <v>346.91500000000002</v>
      </c>
      <c r="AF82" s="13" cm="1">
        <f t="array" ref="AF82">_xll.BDH("CAT US Equity","BS_NUM_OF_TSY_SH","FQ4 2025","FQ4 2025","Currency=USD","Period=FQ","BEST_FPERIOD_OVERRIDE=FQ","FILING_STATUS=MR","Sort=A","Dates=H","DateFormat=P","Fill=—","Direction=H","UseDPDF=Y")</f>
        <v>349.60730000000001</v>
      </c>
    </row>
    <row r="83" spans="1:32" x14ac:dyDescent="0.25">
      <c r="A83" s="10" t="s">
        <v>208</v>
      </c>
      <c r="B83" s="10" t="s">
        <v>209</v>
      </c>
      <c r="C83" s="13" cm="1">
        <f t="array" ref="C83">_xll.BDH("CAT US Equity","BS_PENSION_RSRV","FQ3 2018","FQ3 2018","Currency=USD","Period=FQ","BEST_FPERIOD_OVERRIDE=FQ","FILING_STATUS=MR","SCALING_FORMAT=MLN","Sort=A","Dates=H","DateFormat=P","Fill=—","Direction=H","UseDPDF=Y")</f>
        <v>7046</v>
      </c>
      <c r="D83" s="13" cm="1">
        <f t="array" ref="D83">_xll.BDH("CAT US Equity","BS_PENSION_RSRV","FQ4 2018","FQ4 2018","Currency=USD","Period=FQ","BEST_FPERIOD_OVERRIDE=FQ","FILING_STATUS=MR","SCALING_FORMAT=MLN","Sort=A","Dates=H","DateFormat=P","Fill=—","Direction=H","UseDPDF=Y")</f>
        <v>7455</v>
      </c>
      <c r="E83" s="13" cm="1">
        <f t="array" ref="E83">_xll.BDH("CAT US Equity","BS_PENSION_RSRV","FQ1 2019","FQ1 2019","Currency=USD","Period=FQ","BEST_FPERIOD_OVERRIDE=FQ","FILING_STATUS=MR","SCALING_FORMAT=MLN","Sort=A","Dates=H","DateFormat=P","Fill=—","Direction=H","UseDPDF=Y")</f>
        <v>7441</v>
      </c>
      <c r="F83" s="13" cm="1">
        <f t="array" ref="F83">_xll.BDH("CAT US Equity","BS_PENSION_RSRV","FQ2 2019","FQ2 2019","Currency=USD","Period=FQ","BEST_FPERIOD_OVERRIDE=FQ","FILING_STATUS=MR","SCALING_FORMAT=MLN","Sort=A","Dates=H","DateFormat=P","Fill=—","Direction=H","UseDPDF=Y")</f>
        <v>7448</v>
      </c>
      <c r="G83" s="13" cm="1">
        <f t="array" ref="G83">_xll.BDH("CAT US Equity","BS_PENSION_RSRV","FQ3 2019","FQ3 2019","Currency=USD","Period=FQ","BEST_FPERIOD_OVERRIDE=FQ","FILING_STATUS=MR","SCALING_FORMAT=MLN","Sort=A","Dates=H","DateFormat=P","Fill=—","Direction=H","UseDPDF=Y")</f>
        <v>5900</v>
      </c>
      <c r="H83" s="13" cm="1">
        <f t="array" ref="H83">_xll.BDH("CAT US Equity","BS_PENSION_RSRV","FQ4 2019","FQ4 2019","Currency=USD","Period=FQ","BEST_FPERIOD_OVERRIDE=FQ","FILING_STATUS=MR","SCALING_FORMAT=MLN","Sort=A","Dates=H","DateFormat=P","Fill=—","Direction=H","UseDPDF=Y")</f>
        <v>6599</v>
      </c>
      <c r="I83" s="13" cm="1">
        <f t="array" ref="I83">_xll.BDH("CAT US Equity","BS_PENSION_RSRV","FQ1 2020","FQ1 2020","Currency=USD","Period=FQ","BEST_FPERIOD_OVERRIDE=FQ","FILING_STATUS=MR","SCALING_FORMAT=MLN","Sort=A","Dates=H","DateFormat=P","Fill=—","Direction=H","UseDPDF=Y")</f>
        <v>6333</v>
      </c>
      <c r="J83" s="13" cm="1">
        <f t="array" ref="J83">_xll.BDH("CAT US Equity","BS_PENSION_RSRV","FQ2 2020","FQ2 2020","Currency=USD","Period=FQ","BEST_FPERIOD_OVERRIDE=FQ","FILING_STATUS=MR","SCALING_FORMAT=MLN","Sort=A","Dates=H","DateFormat=P","Fill=—","Direction=H","UseDPDF=Y")</f>
        <v>6285</v>
      </c>
      <c r="K83" s="13" cm="1">
        <f t="array" ref="K83">_xll.BDH("CAT US Equity","BS_PENSION_RSRV","FQ3 2020","FQ3 2020","Currency=USD","Period=FQ","BEST_FPERIOD_OVERRIDE=FQ","FILING_STATUS=MR","SCALING_FORMAT=MLN","Sort=A","Dates=H","DateFormat=P","Fill=—","Direction=H","UseDPDF=Y")</f>
        <v>6254</v>
      </c>
      <c r="L83" s="13" cm="1">
        <f t="array" ref="L83">_xll.BDH("CAT US Equity","BS_PENSION_RSRV","FQ4 2020","FQ4 2020","Currency=USD","Period=FQ","BEST_FPERIOD_OVERRIDE=FQ","FILING_STATUS=MR","SCALING_FORMAT=MLN","Sort=A","Dates=H","DateFormat=P","Fill=—","Direction=H","UseDPDF=Y")</f>
        <v>6872</v>
      </c>
      <c r="M83" s="13" cm="1">
        <f t="array" ref="M83">_xll.BDH("CAT US Equity","BS_PENSION_RSRV","FQ1 2021","FQ1 2021","Currency=USD","Period=FQ","BEST_FPERIOD_OVERRIDE=FQ","FILING_STATUS=MR","SCALING_FORMAT=MLN","Sort=A","Dates=H","DateFormat=P","Fill=—","Direction=H","UseDPDF=Y")</f>
        <v>6698</v>
      </c>
      <c r="N83" s="13" cm="1">
        <f t="array" ref="N83">_xll.BDH("CAT US Equity","BS_PENSION_RSRV","FQ2 2021","FQ2 2021","Currency=USD","Period=FQ","BEST_FPERIOD_OVERRIDE=FQ","FILING_STATUS=MR","SCALING_FORMAT=MLN","Sort=A","Dates=H","DateFormat=P","Fill=—","Direction=H","UseDPDF=Y")</f>
        <v>6581</v>
      </c>
      <c r="O83" s="13" cm="1">
        <f t="array" ref="O83">_xll.BDH("CAT US Equity","BS_PENSION_RSRV","FQ3 2021","FQ3 2021","Currency=USD","Period=FQ","BEST_FPERIOD_OVERRIDE=FQ","FILING_STATUS=MR","SCALING_FORMAT=MLN","Sort=A","Dates=H","DateFormat=P","Fill=—","Direction=H","UseDPDF=Y")</f>
        <v>6395</v>
      </c>
      <c r="P83" s="13" cm="1">
        <f t="array" ref="P83">_xll.BDH("CAT US Equity","BS_PENSION_RSRV","FQ4 2021","FQ4 2021","Currency=USD","Period=FQ","BEST_FPERIOD_OVERRIDE=FQ","FILING_STATUS=MR","SCALING_FORMAT=MLN","Sort=A","Dates=H","DateFormat=P","Fill=—","Direction=H","UseDPDF=Y")</f>
        <v>5592</v>
      </c>
      <c r="Q83" s="13" cm="1">
        <f t="array" ref="Q83">_xll.BDH("CAT US Equity","BS_PENSION_RSRV","FQ1 2022","FQ1 2022","Currency=USD","Period=FQ","BEST_FPERIOD_OVERRIDE=FQ","FILING_STATUS=MR","SCALING_FORMAT=MLN","Sort=A","Dates=H","DateFormat=P","Fill=—","Direction=H","UseDPDF=Y")</f>
        <v>5363</v>
      </c>
      <c r="R83" s="13" cm="1">
        <f t="array" ref="R83">_xll.BDH("CAT US Equity","BS_PENSION_RSRV","FQ2 2022","FQ2 2022","Currency=USD","Period=FQ","BEST_FPERIOD_OVERRIDE=FQ","FILING_STATUS=MR","SCALING_FORMAT=MLN","Sort=A","Dates=H","DateFormat=P","Fill=—","Direction=H","UseDPDF=Y")</f>
        <v>5160</v>
      </c>
      <c r="S83" s="13" cm="1">
        <f t="array" ref="S83">_xll.BDH("CAT US Equity","BS_PENSION_RSRV","FQ3 2022","FQ3 2022","Currency=USD","Period=FQ","BEST_FPERIOD_OVERRIDE=FQ","FILING_STATUS=MR","SCALING_FORMAT=MLN","Sort=A","Dates=H","DateFormat=P","Fill=—","Direction=H","UseDPDF=Y")</f>
        <v>5038</v>
      </c>
      <c r="T83" s="13" cm="1">
        <f t="array" ref="T83">_xll.BDH("CAT US Equity","BS_PENSION_RSRV","FQ4 2022","FQ4 2022","Currency=USD","Period=FQ","BEST_FPERIOD_OVERRIDE=FQ","FILING_STATUS=MR","SCALING_FORMAT=MLN","Sort=A","Dates=H","DateFormat=P","Fill=—","Direction=H","UseDPDF=Y")</f>
        <v>4203</v>
      </c>
      <c r="U83" s="13" cm="1">
        <f t="array" ref="U83">_xll.BDH("CAT US Equity","BS_PENSION_RSRV","FQ1 2023","FQ1 2023","Currency=USD","Period=FQ","BEST_FPERIOD_OVERRIDE=FQ","FILING_STATUS=MR","SCALING_FORMAT=MLN","Sort=A","Dates=H","DateFormat=P","Fill=—","Direction=H","UseDPDF=Y")</f>
        <v>4069</v>
      </c>
      <c r="V83" s="13" cm="1">
        <f t="array" ref="V83">_xll.BDH("CAT US Equity","BS_PENSION_RSRV","FQ2 2023","FQ2 2023","Currency=USD","Period=FQ","BEST_FPERIOD_OVERRIDE=FQ","FILING_STATUS=MR","SCALING_FORMAT=MLN","Sort=A","Dates=H","DateFormat=P","Fill=—","Direction=H","UseDPDF=Y")</f>
        <v>4084</v>
      </c>
      <c r="W83" s="13" cm="1">
        <f t="array" ref="W83">_xll.BDH("CAT US Equity","BS_PENSION_RSRV","FQ3 2023","FQ3 2023","Currency=USD","Period=FQ","BEST_FPERIOD_OVERRIDE=FQ","FILING_STATUS=MR","SCALING_FORMAT=MLN","Sort=A","Dates=H","DateFormat=P","Fill=—","Direction=H","UseDPDF=Y")</f>
        <v>4060</v>
      </c>
      <c r="X83" s="13" cm="1">
        <f t="array" ref="X83">_xll.BDH("CAT US Equity","BS_PENSION_RSRV","FQ4 2023","FQ4 2023","Currency=USD","Period=FQ","BEST_FPERIOD_OVERRIDE=FQ","FILING_STATUS=MR","SCALING_FORMAT=MLN","Sort=A","Dates=H","DateFormat=P","Fill=—","Direction=H","UseDPDF=Y")</f>
        <v>4098</v>
      </c>
      <c r="Y83" s="13" cm="1">
        <f t="array" ref="Y83">_xll.BDH("CAT US Equity","BS_PENSION_RSRV","FQ1 2024","FQ1 2024","Currency=USD","Period=FQ","BEST_FPERIOD_OVERRIDE=FQ","FILING_STATUS=MR","SCALING_FORMAT=MLN","Sort=A","Dates=H","DateFormat=P","Fill=—","Direction=H","UseDPDF=Y")</f>
        <v>4068</v>
      </c>
      <c r="Z83" s="13" cm="1">
        <f t="array" ref="Z83">_xll.BDH("CAT US Equity","BS_PENSION_RSRV","FQ2 2024","FQ2 2024","Currency=USD","Period=FQ","BEST_FPERIOD_OVERRIDE=FQ","FILING_STATUS=MR","SCALING_FORMAT=MLN","Sort=A","Dates=H","DateFormat=P","Fill=—","Direction=H","UseDPDF=Y")</f>
        <v>3993</v>
      </c>
      <c r="AA83" s="13" cm="1">
        <f t="array" ref="AA83">_xll.BDH("CAT US Equity","BS_PENSION_RSRV","FQ3 2024","FQ3 2024","Currency=USD","Period=FQ","BEST_FPERIOD_OVERRIDE=FQ","FILING_STATUS=MR","SCALING_FORMAT=MLN","Sort=A","Dates=H","DateFormat=P","Fill=—","Direction=H","UseDPDF=Y")</f>
        <v>4029</v>
      </c>
      <c r="AB83" s="13" cm="1">
        <f t="array" ref="AB83">_xll.BDH("CAT US Equity","BS_PENSION_RSRV","FQ4 2024","FQ4 2024","Currency=USD","Period=FQ","BEST_FPERIOD_OVERRIDE=FQ","FILING_STATUS=MR","SCALING_FORMAT=MLN","Sort=A","Dates=H","DateFormat=P","Fill=—","Direction=H","UseDPDF=Y")</f>
        <v>3757</v>
      </c>
      <c r="AC83" s="13" cm="1">
        <f t="array" ref="AC83">_xll.BDH("CAT US Equity","BS_PENSION_RSRV","FQ1 2025","FQ1 2025","Currency=USD","Period=FQ","BEST_FPERIOD_OVERRIDE=FQ","FILING_STATUS=MR","SCALING_FORMAT=MLN","Sort=A","Dates=H","DateFormat=P","Fill=—","Direction=H","UseDPDF=Y")</f>
        <v>3575</v>
      </c>
      <c r="AD83" s="13" cm="1">
        <f t="array" ref="AD83">_xll.BDH("CAT US Equity","BS_PENSION_RSRV","FQ2 2025","FQ2 2025","Currency=USD","Period=FQ","BEST_FPERIOD_OVERRIDE=FQ","FILING_STATUS=MR","SCALING_FORMAT=MLN","Sort=A","Dates=H","DateFormat=P","Fill=—","Direction=H","UseDPDF=Y")</f>
        <v>3611</v>
      </c>
      <c r="AE83" s="13" cm="1">
        <f t="array" ref="AE83">_xll.BDH("CAT US Equity","BS_PENSION_RSRV","FQ3 2025","FQ3 2025","Currency=USD","Period=FQ","BEST_FPERIOD_OVERRIDE=FQ","FILING_STATUS=MR","SCALING_FORMAT=MLN","Sort=A","Dates=H","DateFormat=P","Fill=—","Direction=H","UseDPDF=Y")</f>
        <v>3664</v>
      </c>
      <c r="AF83" s="13" cm="1">
        <f t="array" ref="AF83">_xll.BDH("CAT US Equity","BS_PENSION_RSRV","FQ4 2025","FQ4 2025","Currency=USD","Period=FQ","BEST_FPERIOD_OVERRIDE=FQ","FILING_STATUS=MR","SCALING_FORMAT=MLN","Sort=A","Dates=H","DateFormat=P","Fill=—","Direction=H","UseDPDF=Y")</f>
        <v>3838</v>
      </c>
    </row>
    <row r="84" spans="1:32" x14ac:dyDescent="0.25">
      <c r="A84" s="10" t="s">
        <v>210</v>
      </c>
      <c r="B84" s="10" t="s">
        <v>211</v>
      </c>
      <c r="C84" s="13" t="str" cm="1">
        <f t="array" ref="C84">_xll.BDH("CAT US Equity","BS_FUTURE_MIN_OPER_LEASE_OBLIG","FQ3 2018","FQ3 2018","Currency=USD","Period=FQ","BEST_FPERIOD_OVERRIDE=FQ","FILING_STATUS=MR","SCALING_FORMAT=MLN","Sort=A","Dates=H","DateFormat=P","Fill=—","Direction=H","UseDPDF=Y")</f>
        <v>—</v>
      </c>
      <c r="D84" s="13" cm="1">
        <f t="array" ref="D84">_xll.BDH("CAT US Equity","BS_FUTURE_MIN_OPER_LEASE_OBLIG","FQ4 2018","FQ4 2018","Currency=USD","Period=FQ","BEST_FPERIOD_OVERRIDE=FQ","FILING_STATUS=MR","SCALING_FORMAT=MLN","Sort=A","Dates=H","DateFormat=P","Fill=—","Direction=H","UseDPDF=Y")</f>
        <v>772</v>
      </c>
      <c r="E84" s="13" cm="1">
        <f t="array" ref="E84">_xll.BDH("CAT US Equity","BS_FUTURE_MIN_OPER_LEASE_OBLIG","FQ1 2019","FQ1 2019","Currency=USD","Period=FQ","BEST_FPERIOD_OVERRIDE=FQ","FILING_STATUS=MR","SCALING_FORMAT=MLN","Sort=A","Dates=H","DateFormat=P","Fill=—","Direction=H","UseDPDF=Y")</f>
        <v>770</v>
      </c>
      <c r="F84" s="13" cm="1">
        <f t="array" ref="F84">_xll.BDH("CAT US Equity","BS_FUTURE_MIN_OPER_LEASE_OBLIG","FQ2 2019","FQ2 2019","Currency=USD","Period=FQ","BEST_FPERIOD_OVERRIDE=FQ","FILING_STATUS=MR","SCALING_FORMAT=MLN","Sort=A","Dates=H","DateFormat=P","Fill=—","Direction=H","UseDPDF=Y")</f>
        <v>718</v>
      </c>
      <c r="G84" s="13" cm="1">
        <f t="array" ref="G84">_xll.BDH("CAT US Equity","BS_FUTURE_MIN_OPER_LEASE_OBLIG","FQ3 2019","FQ3 2019","Currency=USD","Period=FQ","BEST_FPERIOD_OVERRIDE=FQ","FILING_STATUS=MR","SCALING_FORMAT=MLN","Sort=A","Dates=H","DateFormat=P","Fill=—","Direction=H","UseDPDF=Y")</f>
        <v>677</v>
      </c>
      <c r="H84" s="13" cm="1">
        <f t="array" ref="H84">_xll.BDH("CAT US Equity","BS_FUTURE_MIN_OPER_LEASE_OBLIG","FQ4 2019","FQ4 2019","Currency=USD","Period=FQ","BEST_FPERIOD_OVERRIDE=FQ","FILING_STATUS=MR","SCALING_FORMAT=MLN","Sort=A","Dates=H","DateFormat=P","Fill=—","Direction=H","UseDPDF=Y")</f>
        <v>695</v>
      </c>
      <c r="I84" s="13" t="str" cm="1">
        <f t="array" ref="I84">_xll.BDH("CAT US Equity","BS_FUTURE_MIN_OPER_LEASE_OBLIG","FQ1 2020","FQ1 2020","Currency=USD","Period=FQ","BEST_FPERIOD_OVERRIDE=FQ","FILING_STATUS=MR","SCALING_FORMAT=MLN","Sort=A","Dates=H","DateFormat=P","Fill=—","Direction=H","UseDPDF=Y")</f>
        <v>—</v>
      </c>
      <c r="J84" s="13" t="str" cm="1">
        <f t="array" ref="J84">_xll.BDH("CAT US Equity","BS_FUTURE_MIN_OPER_LEASE_OBLIG","FQ2 2020","FQ2 2020","Currency=USD","Period=FQ","BEST_FPERIOD_OVERRIDE=FQ","FILING_STATUS=MR","SCALING_FORMAT=MLN","Sort=A","Dates=H","DateFormat=P","Fill=—","Direction=H","UseDPDF=Y")</f>
        <v>—</v>
      </c>
      <c r="K84" s="13" t="str" cm="1">
        <f t="array" ref="K84">_xll.BDH("CAT US Equity","BS_FUTURE_MIN_OPER_LEASE_OBLIG","FQ3 2020","FQ3 2020","Currency=USD","Period=FQ","BEST_FPERIOD_OVERRIDE=FQ","FILING_STATUS=MR","SCALING_FORMAT=MLN","Sort=A","Dates=H","DateFormat=P","Fill=—","Direction=H","UseDPDF=Y")</f>
        <v>—</v>
      </c>
      <c r="L84" s="13" cm="1">
        <f t="array" ref="L84">_xll.BDH("CAT US Equity","BS_FUTURE_MIN_OPER_LEASE_OBLIG","FQ4 2020","FQ4 2020","Currency=USD","Period=FQ","BEST_FPERIOD_OVERRIDE=FQ","FILING_STATUS=MR","SCALING_FORMAT=MLN","Sort=A","Dates=H","DateFormat=P","Fill=—","Direction=H","UseDPDF=Y")</f>
        <v>679</v>
      </c>
      <c r="M84" s="13" t="str" cm="1">
        <f t="array" ref="M84">_xll.BDH("CAT US Equity","BS_FUTURE_MIN_OPER_LEASE_OBLIG","FQ1 2021","FQ1 2021","Currency=USD","Period=FQ","BEST_FPERIOD_OVERRIDE=FQ","FILING_STATUS=MR","SCALING_FORMAT=MLN","Sort=A","Dates=H","DateFormat=P","Fill=—","Direction=H","UseDPDF=Y")</f>
        <v>—</v>
      </c>
      <c r="N84" s="13" t="str" cm="1">
        <f t="array" ref="N84">_xll.BDH("CAT US Equity","BS_FUTURE_MIN_OPER_LEASE_OBLIG","FQ2 2021","FQ2 2021","Currency=USD","Period=FQ","BEST_FPERIOD_OVERRIDE=FQ","FILING_STATUS=MR","SCALING_FORMAT=MLN","Sort=A","Dates=H","DateFormat=P","Fill=—","Direction=H","UseDPDF=Y")</f>
        <v>—</v>
      </c>
      <c r="O84" s="13" t="str" cm="1">
        <f t="array" ref="O84">_xll.BDH("CAT US Equity","BS_FUTURE_MIN_OPER_LEASE_OBLIG","FQ3 2021","FQ3 2021","Currency=USD","Period=FQ","BEST_FPERIOD_OVERRIDE=FQ","FILING_STATUS=MR","SCALING_FORMAT=MLN","Sort=A","Dates=H","DateFormat=P","Fill=—","Direction=H","UseDPDF=Y")</f>
        <v>—</v>
      </c>
      <c r="P84" s="13" cm="1">
        <f t="array" ref="P84">_xll.BDH("CAT US Equity","BS_FUTURE_MIN_OPER_LEASE_OBLIG","FQ4 2021","FQ4 2021","Currency=USD","Period=FQ","BEST_FPERIOD_OVERRIDE=FQ","FILING_STATUS=MR","SCALING_FORMAT=MLN","Sort=A","Dates=H","DateFormat=P","Fill=—","Direction=H","UseDPDF=Y")</f>
        <v>695</v>
      </c>
      <c r="Q84" s="13" t="str" cm="1">
        <f t="array" ref="Q84">_xll.BDH("CAT US Equity","BS_FUTURE_MIN_OPER_LEASE_OBLIG","FQ1 2022","FQ1 2022","Currency=USD","Period=FQ","BEST_FPERIOD_OVERRIDE=FQ","FILING_STATUS=MR","SCALING_FORMAT=MLN","Sort=A","Dates=H","DateFormat=P","Fill=—","Direction=H","UseDPDF=Y")</f>
        <v>—</v>
      </c>
      <c r="R84" s="13" t="str" cm="1">
        <f t="array" ref="R84">_xll.BDH("CAT US Equity","BS_FUTURE_MIN_OPER_LEASE_OBLIG","FQ2 2022","FQ2 2022","Currency=USD","Period=FQ","BEST_FPERIOD_OVERRIDE=FQ","FILING_STATUS=MR","SCALING_FORMAT=MLN","Sort=A","Dates=H","DateFormat=P","Fill=—","Direction=H","UseDPDF=Y")</f>
        <v>—</v>
      </c>
      <c r="S84" s="13" t="str" cm="1">
        <f t="array" ref="S84">_xll.BDH("CAT US Equity","BS_FUTURE_MIN_OPER_LEASE_OBLIG","FQ3 2022","FQ3 2022","Currency=USD","Period=FQ","BEST_FPERIOD_OVERRIDE=FQ","FILING_STATUS=MR","SCALING_FORMAT=MLN","Sort=A","Dates=H","DateFormat=P","Fill=—","Direction=H","UseDPDF=Y")</f>
        <v>—</v>
      </c>
      <c r="T84" s="13" cm="1">
        <f t="array" ref="T84">_xll.BDH("CAT US Equity","BS_FUTURE_MIN_OPER_LEASE_OBLIG","FQ4 2022","FQ4 2022","Currency=USD","Period=FQ","BEST_FPERIOD_OVERRIDE=FQ","FILING_STATUS=MR","SCALING_FORMAT=MLN","Sort=A","Dates=H","DateFormat=P","Fill=—","Direction=H","UseDPDF=Y")</f>
        <v>627</v>
      </c>
      <c r="U84" s="13" t="str" cm="1">
        <f t="array" ref="U84">_xll.BDH("CAT US Equity","BS_FUTURE_MIN_OPER_LEASE_OBLIG","FQ1 2023","FQ1 2023","Currency=USD","Period=FQ","BEST_FPERIOD_OVERRIDE=FQ","FILING_STATUS=MR","SCALING_FORMAT=MLN","Sort=A","Dates=H","DateFormat=P","Fill=—","Direction=H","UseDPDF=Y")</f>
        <v>—</v>
      </c>
      <c r="V84" s="13" t="str" cm="1">
        <f t="array" ref="V84">_xll.BDH("CAT US Equity","BS_FUTURE_MIN_OPER_LEASE_OBLIG","FQ2 2023","FQ2 2023","Currency=USD","Period=FQ","BEST_FPERIOD_OVERRIDE=FQ","FILING_STATUS=MR","SCALING_FORMAT=MLN","Sort=A","Dates=H","DateFormat=P","Fill=—","Direction=H","UseDPDF=Y")</f>
        <v>—</v>
      </c>
      <c r="W84" s="13" t="str" cm="1">
        <f t="array" ref="W84">_xll.BDH("CAT US Equity","BS_FUTURE_MIN_OPER_LEASE_OBLIG","FQ3 2023","FQ3 2023","Currency=USD","Period=FQ","BEST_FPERIOD_OVERRIDE=FQ","FILING_STATUS=MR","SCALING_FORMAT=MLN","Sort=A","Dates=H","DateFormat=P","Fill=—","Direction=H","UseDPDF=Y")</f>
        <v>—</v>
      </c>
      <c r="X84" s="13" cm="1">
        <f t="array" ref="X84">_xll.BDH("CAT US Equity","BS_FUTURE_MIN_OPER_LEASE_OBLIG","FQ4 2023","FQ4 2023","Currency=USD","Period=FQ","BEST_FPERIOD_OVERRIDE=FQ","FILING_STATUS=MR","SCALING_FORMAT=MLN","Sort=A","Dates=H","DateFormat=P","Fill=—","Direction=H","UseDPDF=Y")</f>
        <v>644</v>
      </c>
      <c r="Y84" s="13" t="str" cm="1">
        <f t="array" ref="Y84">_xll.BDH("CAT US Equity","BS_FUTURE_MIN_OPER_LEASE_OBLIG","FQ1 2024","FQ1 2024","Currency=USD","Period=FQ","BEST_FPERIOD_OVERRIDE=FQ","FILING_STATUS=MR","SCALING_FORMAT=MLN","Sort=A","Dates=H","DateFormat=P","Fill=—","Direction=H","UseDPDF=Y")</f>
        <v>—</v>
      </c>
      <c r="Z84" s="13" t="str" cm="1">
        <f t="array" ref="Z84">_xll.BDH("CAT US Equity","BS_FUTURE_MIN_OPER_LEASE_OBLIG","FQ2 2024","FQ2 2024","Currency=USD","Period=FQ","BEST_FPERIOD_OVERRIDE=FQ","FILING_STATUS=MR","SCALING_FORMAT=MLN","Sort=A","Dates=H","DateFormat=P","Fill=—","Direction=H","UseDPDF=Y")</f>
        <v>—</v>
      </c>
      <c r="AA84" s="13" t="str" cm="1">
        <f t="array" ref="AA84">_xll.BDH("CAT US Equity","BS_FUTURE_MIN_OPER_LEASE_OBLIG","FQ3 2024","FQ3 2024","Currency=USD","Period=FQ","BEST_FPERIOD_OVERRIDE=FQ","FILING_STATUS=MR","SCALING_FORMAT=MLN","Sort=A","Dates=H","DateFormat=P","Fill=—","Direction=H","UseDPDF=Y")</f>
        <v>—</v>
      </c>
      <c r="AB84" s="13" cm="1">
        <f t="array" ref="AB84">_xll.BDH("CAT US Equity","BS_FUTURE_MIN_OPER_LEASE_OBLIG","FQ4 2024","FQ4 2024","Currency=USD","Period=FQ","BEST_FPERIOD_OVERRIDE=FQ","FILING_STATUS=MR","SCALING_FORMAT=MLN","Sort=A","Dates=H","DateFormat=P","Fill=—","Direction=H","UseDPDF=Y")</f>
        <v>679</v>
      </c>
      <c r="AC84" s="13" t="str" cm="1">
        <f t="array" ref="AC84">_xll.BDH("CAT US Equity","BS_FUTURE_MIN_OPER_LEASE_OBLIG","FQ1 2025","FQ1 2025","Currency=USD","Period=FQ","BEST_FPERIOD_OVERRIDE=FQ","FILING_STATUS=MR","SCALING_FORMAT=MLN","Sort=A","Dates=H","DateFormat=P","Fill=—","Direction=H","UseDPDF=Y")</f>
        <v>—</v>
      </c>
      <c r="AD84" s="13" t="str" cm="1">
        <f t="array" ref="AD84">_xll.BDH("CAT US Equity","BS_FUTURE_MIN_OPER_LEASE_OBLIG","FQ2 2025","FQ2 2025","Currency=USD","Period=FQ","BEST_FPERIOD_OVERRIDE=FQ","FILING_STATUS=MR","SCALING_FORMAT=MLN","Sort=A","Dates=H","DateFormat=P","Fill=—","Direction=H","UseDPDF=Y")</f>
        <v>—</v>
      </c>
      <c r="AE84" s="13" t="str" cm="1">
        <f t="array" ref="AE84">_xll.BDH("CAT US Equity","BS_FUTURE_MIN_OPER_LEASE_OBLIG","FQ3 2025","FQ3 2025","Currency=USD","Period=FQ","BEST_FPERIOD_OVERRIDE=FQ","FILING_STATUS=MR","SCALING_FORMAT=MLN","Sort=A","Dates=H","DateFormat=P","Fill=—","Direction=H","UseDPDF=Y")</f>
        <v>—</v>
      </c>
      <c r="AF84" s="13" cm="1">
        <f t="array" ref="AF84">_xll.BDH("CAT US Equity","BS_FUTURE_MIN_OPER_LEASE_OBLIG","FQ4 2025","FQ4 2025","Currency=USD","Period=FQ","BEST_FPERIOD_OVERRIDE=FQ","FILING_STATUS=MR","SCALING_FORMAT=MLN","Sort=A","Dates=H","DateFormat=P","Fill=—","Direction=H","UseDPDF=Y")</f>
        <v>842</v>
      </c>
    </row>
    <row r="85" spans="1:32" x14ac:dyDescent="0.25">
      <c r="A85" s="10" t="s">
        <v>212</v>
      </c>
      <c r="B85" s="10" t="s">
        <v>213</v>
      </c>
      <c r="C85" s="13" t="str" cm="1">
        <f t="array" ref="C85">_xll.BDH("CAT US Equity","BS_TOTAL_CAPITAL_LEASES","FQ3 2018","FQ3 2018","Currency=USD","Period=FQ","BEST_FPERIOD_OVERRIDE=FQ","FILING_STATUS=MR","SCALING_FORMAT=MLN","Sort=A","Dates=H","DateFormat=P","Fill=—","Direction=H","UseDPDF=Y")</f>
        <v>—</v>
      </c>
      <c r="D85" s="13" t="str" cm="1">
        <f t="array" ref="D85">_xll.BDH("CAT US Equity","BS_TOTAL_CAPITAL_LEASES","FQ4 2018","FQ4 2018","Currency=USD","Period=FQ","BEST_FPERIOD_OVERRIDE=FQ","FILING_STATUS=MR","SCALING_FORMAT=MLN","Sort=A","Dates=H","DateFormat=P","Fill=—","Direction=H","UseDPDF=Y")</f>
        <v>—</v>
      </c>
      <c r="E85" s="13" t="str" cm="1">
        <f t="array" ref="E85">_xll.BDH("CAT US Equity","BS_TOTAL_CAPITAL_LEASES","FQ1 2019","FQ1 2019","Currency=USD","Period=FQ","BEST_FPERIOD_OVERRIDE=FQ","FILING_STATUS=MR","SCALING_FORMAT=MLN","Sort=A","Dates=H","DateFormat=P","Fill=—","Direction=H","UseDPDF=Y")</f>
        <v>—</v>
      </c>
      <c r="F85" s="13" t="str" cm="1">
        <f t="array" ref="F85">_xll.BDH("CAT US Equity","BS_TOTAL_CAPITAL_LEASES","FQ2 2019","FQ2 2019","Currency=USD","Period=FQ","BEST_FPERIOD_OVERRIDE=FQ","FILING_STATUS=MR","SCALING_FORMAT=MLN","Sort=A","Dates=H","DateFormat=P","Fill=—","Direction=H","UseDPDF=Y")</f>
        <v>—</v>
      </c>
      <c r="G85" s="13" t="str" cm="1">
        <f t="array" ref="G85">_xll.BDH("CAT US Equity","BS_TOTAL_CAPITAL_LEASES","FQ3 2019","FQ3 2019","Currency=USD","Period=FQ","BEST_FPERIOD_OVERRIDE=FQ","FILING_STATUS=MR","SCALING_FORMAT=MLN","Sort=A","Dates=H","DateFormat=P","Fill=—","Direction=H","UseDPDF=Y")</f>
        <v>—</v>
      </c>
      <c r="H85" s="13" cm="1">
        <f t="array" ref="H85">_xll.BDH("CAT US Equity","BS_TOTAL_CAPITAL_LEASES","FQ4 2019","FQ4 2019","Currency=USD","Period=FQ","BEST_FPERIOD_OVERRIDE=FQ","FILING_STATUS=MR","SCALING_FORMAT=MLN","Sort=A","Dates=H","DateFormat=P","Fill=—","Direction=H","UseDPDF=Y")</f>
        <v>0</v>
      </c>
      <c r="I85" s="13" t="str" cm="1">
        <f t="array" ref="I85">_xll.BDH("CAT US Equity","BS_TOTAL_CAPITAL_LEASES","FQ1 2020","FQ1 2020","Currency=USD","Period=FQ","BEST_FPERIOD_OVERRIDE=FQ","FILING_STATUS=MR","SCALING_FORMAT=MLN","Sort=A","Dates=H","DateFormat=P","Fill=—","Direction=H","UseDPDF=Y")</f>
        <v>—</v>
      </c>
      <c r="J85" s="13" t="str" cm="1">
        <f t="array" ref="J85">_xll.BDH("CAT US Equity","BS_TOTAL_CAPITAL_LEASES","FQ2 2020","FQ2 2020","Currency=USD","Period=FQ","BEST_FPERIOD_OVERRIDE=FQ","FILING_STATUS=MR","SCALING_FORMAT=MLN","Sort=A","Dates=H","DateFormat=P","Fill=—","Direction=H","UseDPDF=Y")</f>
        <v>—</v>
      </c>
      <c r="K85" s="13" t="str" cm="1">
        <f t="array" ref="K85">_xll.BDH("CAT US Equity","BS_TOTAL_CAPITAL_LEASES","FQ3 2020","FQ3 2020","Currency=USD","Period=FQ","BEST_FPERIOD_OVERRIDE=FQ","FILING_STATUS=MR","SCALING_FORMAT=MLN","Sort=A","Dates=H","DateFormat=P","Fill=—","Direction=H","UseDPDF=Y")</f>
        <v>—</v>
      </c>
      <c r="L85" s="13" cm="1">
        <f t="array" ref="L85">_xll.BDH("CAT US Equity","BS_TOTAL_CAPITAL_LEASES","FQ4 2020","FQ4 2020","Currency=USD","Period=FQ","BEST_FPERIOD_OVERRIDE=FQ","FILING_STATUS=MR","SCALING_FORMAT=MLN","Sort=A","Dates=H","DateFormat=P","Fill=—","Direction=H","UseDPDF=Y")</f>
        <v>0</v>
      </c>
      <c r="M85" s="13" t="str" cm="1">
        <f t="array" ref="M85">_xll.BDH("CAT US Equity","BS_TOTAL_CAPITAL_LEASES","FQ1 2021","FQ1 2021","Currency=USD","Period=FQ","BEST_FPERIOD_OVERRIDE=FQ","FILING_STATUS=MR","SCALING_FORMAT=MLN","Sort=A","Dates=H","DateFormat=P","Fill=—","Direction=H","UseDPDF=Y")</f>
        <v>—</v>
      </c>
      <c r="N85" s="13" t="str" cm="1">
        <f t="array" ref="N85">_xll.BDH("CAT US Equity","BS_TOTAL_CAPITAL_LEASES","FQ2 2021","FQ2 2021","Currency=USD","Period=FQ","BEST_FPERIOD_OVERRIDE=FQ","FILING_STATUS=MR","SCALING_FORMAT=MLN","Sort=A","Dates=H","DateFormat=P","Fill=—","Direction=H","UseDPDF=Y")</f>
        <v>—</v>
      </c>
      <c r="O85" s="13" t="str" cm="1">
        <f t="array" ref="O85">_xll.BDH("CAT US Equity","BS_TOTAL_CAPITAL_LEASES","FQ3 2021","FQ3 2021","Currency=USD","Period=FQ","BEST_FPERIOD_OVERRIDE=FQ","FILING_STATUS=MR","SCALING_FORMAT=MLN","Sort=A","Dates=H","DateFormat=P","Fill=—","Direction=H","UseDPDF=Y")</f>
        <v>—</v>
      </c>
      <c r="P85" s="13" cm="1">
        <f t="array" ref="P85">_xll.BDH("CAT US Equity","BS_TOTAL_CAPITAL_LEASES","FQ4 2021","FQ4 2021","Currency=USD","Period=FQ","BEST_FPERIOD_OVERRIDE=FQ","FILING_STATUS=MR","SCALING_FORMAT=MLN","Sort=A","Dates=H","DateFormat=P","Fill=—","Direction=H","UseDPDF=Y")</f>
        <v>0</v>
      </c>
      <c r="Q85" s="13" t="str" cm="1">
        <f t="array" ref="Q85">_xll.BDH("CAT US Equity","BS_TOTAL_CAPITAL_LEASES","FQ1 2022","FQ1 2022","Currency=USD","Period=FQ","BEST_FPERIOD_OVERRIDE=FQ","FILING_STATUS=MR","SCALING_FORMAT=MLN","Sort=A","Dates=H","DateFormat=P","Fill=—","Direction=H","UseDPDF=Y")</f>
        <v>—</v>
      </c>
      <c r="R85" s="13" t="str" cm="1">
        <f t="array" ref="R85">_xll.BDH("CAT US Equity","BS_TOTAL_CAPITAL_LEASES","FQ2 2022","FQ2 2022","Currency=USD","Period=FQ","BEST_FPERIOD_OVERRIDE=FQ","FILING_STATUS=MR","SCALING_FORMAT=MLN","Sort=A","Dates=H","DateFormat=P","Fill=—","Direction=H","UseDPDF=Y")</f>
        <v>—</v>
      </c>
      <c r="S85" s="13" t="str" cm="1">
        <f t="array" ref="S85">_xll.BDH("CAT US Equity","BS_TOTAL_CAPITAL_LEASES","FQ3 2022","FQ3 2022","Currency=USD","Period=FQ","BEST_FPERIOD_OVERRIDE=FQ","FILING_STATUS=MR","SCALING_FORMAT=MLN","Sort=A","Dates=H","DateFormat=P","Fill=—","Direction=H","UseDPDF=Y")</f>
        <v>—</v>
      </c>
      <c r="T85" s="13" cm="1">
        <f t="array" ref="T85">_xll.BDH("CAT US Equity","BS_TOTAL_CAPITAL_LEASES","FQ4 2022","FQ4 2022","Currency=USD","Period=FQ","BEST_FPERIOD_OVERRIDE=FQ","FILING_STATUS=MR","SCALING_FORMAT=MLN","Sort=A","Dates=H","DateFormat=P","Fill=—","Direction=H","UseDPDF=Y")</f>
        <v>0</v>
      </c>
      <c r="U85" s="13" t="str" cm="1">
        <f t="array" ref="U85">_xll.BDH("CAT US Equity","BS_TOTAL_CAPITAL_LEASES","FQ1 2023","FQ1 2023","Currency=USD","Period=FQ","BEST_FPERIOD_OVERRIDE=FQ","FILING_STATUS=MR","SCALING_FORMAT=MLN","Sort=A","Dates=H","DateFormat=P","Fill=—","Direction=H","UseDPDF=Y")</f>
        <v>—</v>
      </c>
      <c r="V85" s="13" t="str" cm="1">
        <f t="array" ref="V85">_xll.BDH("CAT US Equity","BS_TOTAL_CAPITAL_LEASES","FQ2 2023","FQ2 2023","Currency=USD","Period=FQ","BEST_FPERIOD_OVERRIDE=FQ","FILING_STATUS=MR","SCALING_FORMAT=MLN","Sort=A","Dates=H","DateFormat=P","Fill=—","Direction=H","UseDPDF=Y")</f>
        <v>—</v>
      </c>
      <c r="W85" s="13" t="str" cm="1">
        <f t="array" ref="W85">_xll.BDH("CAT US Equity","BS_TOTAL_CAPITAL_LEASES","FQ3 2023","FQ3 2023","Currency=USD","Period=FQ","BEST_FPERIOD_OVERRIDE=FQ","FILING_STATUS=MR","SCALING_FORMAT=MLN","Sort=A","Dates=H","DateFormat=P","Fill=—","Direction=H","UseDPDF=Y")</f>
        <v>—</v>
      </c>
      <c r="X85" s="13" cm="1">
        <f t="array" ref="X85">_xll.BDH("CAT US Equity","BS_TOTAL_CAPITAL_LEASES","FQ4 2023","FQ4 2023","Currency=USD","Period=FQ","BEST_FPERIOD_OVERRIDE=FQ","FILING_STATUS=MR","SCALING_FORMAT=MLN","Sort=A","Dates=H","DateFormat=P","Fill=—","Direction=H","UseDPDF=Y")</f>
        <v>0</v>
      </c>
      <c r="Y85" s="13" t="str" cm="1">
        <f t="array" ref="Y85">_xll.BDH("CAT US Equity","BS_TOTAL_CAPITAL_LEASES","FQ1 2024","FQ1 2024","Currency=USD","Period=FQ","BEST_FPERIOD_OVERRIDE=FQ","FILING_STATUS=MR","SCALING_FORMAT=MLN","Sort=A","Dates=H","DateFormat=P","Fill=—","Direction=H","UseDPDF=Y")</f>
        <v>—</v>
      </c>
      <c r="Z85" s="13" t="str" cm="1">
        <f t="array" ref="Z85">_xll.BDH("CAT US Equity","BS_TOTAL_CAPITAL_LEASES","FQ2 2024","FQ2 2024","Currency=USD","Period=FQ","BEST_FPERIOD_OVERRIDE=FQ","FILING_STATUS=MR","SCALING_FORMAT=MLN","Sort=A","Dates=H","DateFormat=P","Fill=—","Direction=H","UseDPDF=Y")</f>
        <v>—</v>
      </c>
      <c r="AA85" s="13" t="str" cm="1">
        <f t="array" ref="AA85">_xll.BDH("CAT US Equity","BS_TOTAL_CAPITAL_LEASES","FQ3 2024","FQ3 2024","Currency=USD","Period=FQ","BEST_FPERIOD_OVERRIDE=FQ","FILING_STATUS=MR","SCALING_FORMAT=MLN","Sort=A","Dates=H","DateFormat=P","Fill=—","Direction=H","UseDPDF=Y")</f>
        <v>—</v>
      </c>
      <c r="AB85" s="13" cm="1">
        <f t="array" ref="AB85">_xll.BDH("CAT US Equity","BS_TOTAL_CAPITAL_LEASES","FQ4 2024","FQ4 2024","Currency=USD","Period=FQ","BEST_FPERIOD_OVERRIDE=FQ","FILING_STATUS=MR","SCALING_FORMAT=MLN","Sort=A","Dates=H","DateFormat=P","Fill=—","Direction=H","UseDPDF=Y")</f>
        <v>0</v>
      </c>
      <c r="AC85" s="13" t="str" cm="1">
        <f t="array" ref="AC85">_xll.BDH("CAT US Equity","BS_TOTAL_CAPITAL_LEASES","FQ1 2025","FQ1 2025","Currency=USD","Period=FQ","BEST_FPERIOD_OVERRIDE=FQ","FILING_STATUS=MR","SCALING_FORMAT=MLN","Sort=A","Dates=H","DateFormat=P","Fill=—","Direction=H","UseDPDF=Y")</f>
        <v>—</v>
      </c>
      <c r="AD85" s="13" t="str" cm="1">
        <f t="array" ref="AD85">_xll.BDH("CAT US Equity","BS_TOTAL_CAPITAL_LEASES","FQ2 2025","FQ2 2025","Currency=USD","Period=FQ","BEST_FPERIOD_OVERRIDE=FQ","FILING_STATUS=MR","SCALING_FORMAT=MLN","Sort=A","Dates=H","DateFormat=P","Fill=—","Direction=H","UseDPDF=Y")</f>
        <v>—</v>
      </c>
      <c r="AE85" s="13" t="str" cm="1">
        <f t="array" ref="AE85">_xll.BDH("CAT US Equity","BS_TOTAL_CAPITAL_LEASES","FQ3 2025","FQ3 2025","Currency=USD","Period=FQ","BEST_FPERIOD_OVERRIDE=FQ","FILING_STATUS=MR","SCALING_FORMAT=MLN","Sort=A","Dates=H","DateFormat=P","Fill=—","Direction=H","UseDPDF=Y")</f>
        <v>—</v>
      </c>
      <c r="AF85" s="13" cm="1">
        <f t="array" ref="AF85">_xll.BDH("CAT US Equity","BS_TOTAL_CAPITAL_LEASES","FQ4 2025","FQ4 2025","Currency=USD","Period=FQ","BEST_FPERIOD_OVERRIDE=FQ","FILING_STATUS=MR","SCALING_FORMAT=MLN","Sort=A","Dates=H","DateFormat=P","Fill=—","Direction=H","UseDPDF=Y")</f>
        <v>0</v>
      </c>
    </row>
    <row r="86" spans="1:32" x14ac:dyDescent="0.25">
      <c r="A86" s="10" t="s">
        <v>214</v>
      </c>
      <c r="B86" s="10" t="s">
        <v>215</v>
      </c>
      <c r="C86" s="13" cm="1">
        <f t="array" ref="C86">_xll.BDH("CAT US Equity","BS_OPTIONS_GRANTED","FQ3 2018","FQ3 2018","Currency=USD","Period=FQ","BEST_FPERIOD_OVERRIDE=FQ","FILING_STATUS=MR","Sort=A","Dates=H","DateFormat=P","Fill=—","Direction=H","UseDPDF=Y")</f>
        <v>3.8399999999999997E-2</v>
      </c>
      <c r="D86" s="13" t="str" cm="1">
        <f t="array" ref="D86">_xll.BDH("CAT US Equity","BS_OPTIONS_GRANTED","FQ4 2018","FQ4 2018","Currency=USD","Period=FQ","BEST_FPERIOD_OVERRIDE=FQ","FILING_STATUS=MR","Sort=A","Dates=H","DateFormat=P","Fill=—","Direction=H","UseDPDF=Y")</f>
        <v>—</v>
      </c>
      <c r="E86" s="13" cm="1">
        <f t="array" ref="E86">_xll.BDH("CAT US Equity","BS_OPTIONS_GRANTED","FQ1 2019","FQ1 2019","Currency=USD","Period=FQ","BEST_FPERIOD_OVERRIDE=FQ","FILING_STATUS=MR","Sort=A","Dates=H","DateFormat=P","Fill=—","Direction=H","UseDPDF=Y")</f>
        <v>1.4995000000000001</v>
      </c>
      <c r="F86" s="13" cm="1">
        <f t="array" ref="F86">_xll.BDH("CAT US Equity","BS_OPTIONS_GRANTED","FQ2 2019","FQ2 2019","Currency=USD","Period=FQ","BEST_FPERIOD_OVERRIDE=FQ","FILING_STATUS=MR","Sort=A","Dates=H","DateFormat=P","Fill=—","Direction=H","UseDPDF=Y")</f>
        <v>0</v>
      </c>
      <c r="G86" s="13" cm="1">
        <f t="array" ref="G86">_xll.BDH("CAT US Equity","BS_OPTIONS_GRANTED","FQ3 2019","FQ3 2019","Currency=USD","Period=FQ","BEST_FPERIOD_OVERRIDE=FQ","FILING_STATUS=MR","Sort=A","Dates=H","DateFormat=P","Fill=—","Direction=H","UseDPDF=Y")</f>
        <v>0</v>
      </c>
      <c r="H86" s="13" cm="1">
        <f t="array" ref="H86">_xll.BDH("CAT US Equity","BS_OPTIONS_GRANTED","FQ4 2019","FQ4 2019","Currency=USD","Period=FQ","BEST_FPERIOD_OVERRIDE=FQ","FILING_STATUS=MR","Sort=A","Dates=H","DateFormat=P","Fill=—","Direction=H","UseDPDF=Y")</f>
        <v>1.4995000000000001</v>
      </c>
      <c r="I86" s="13" cm="1">
        <f t="array" ref="I86">_xll.BDH("CAT US Equity","BS_OPTIONS_GRANTED","FQ1 2020","FQ1 2020","Currency=USD","Period=FQ","BEST_FPERIOD_OVERRIDE=FQ","FILING_STATUS=MR","Sort=A","Dates=H","DateFormat=P","Fill=—","Direction=H","UseDPDF=Y")</f>
        <v>1.9138999999999999</v>
      </c>
      <c r="J86" s="13" cm="1">
        <f t="array" ref="J86">_xll.BDH("CAT US Equity","BS_OPTIONS_GRANTED","FQ2 2020","FQ2 2020","Currency=USD","Period=FQ","BEST_FPERIOD_OVERRIDE=FQ","FILING_STATUS=MR","Sort=A","Dates=H","DateFormat=P","Fill=—","Direction=H","UseDPDF=Y")</f>
        <v>1.9138999999999999</v>
      </c>
      <c r="K86" s="13" cm="1">
        <f t="array" ref="K86">_xll.BDH("CAT US Equity","BS_OPTIONS_GRANTED","FQ3 2020","FQ3 2020","Currency=USD","Period=FQ","BEST_FPERIOD_OVERRIDE=FQ","FILING_STATUS=MR","Sort=A","Dates=H","DateFormat=P","Fill=—","Direction=H","UseDPDF=Y")</f>
        <v>1.9138999999999999</v>
      </c>
      <c r="L86" s="13" cm="1">
        <f t="array" ref="L86">_xll.BDH("CAT US Equity","BS_OPTIONS_GRANTED","FQ4 2020","FQ4 2020","Currency=USD","Period=FQ","BEST_FPERIOD_OVERRIDE=FQ","FILING_STATUS=MR","Sort=A","Dates=H","DateFormat=P","Fill=—","Direction=H","UseDPDF=Y")</f>
        <v>1.9138999999999999</v>
      </c>
      <c r="M86" s="13" cm="1">
        <f t="array" ref="M86">_xll.BDH("CAT US Equity","BS_OPTIONS_GRANTED","FQ1 2021","FQ1 2021","Currency=USD","Period=FQ","BEST_FPERIOD_OVERRIDE=FQ","FILING_STATUS=MR","Sort=A","Dates=H","DateFormat=P","Fill=—","Direction=H","UseDPDF=Y")</f>
        <v>1.0848</v>
      </c>
      <c r="N86" s="13" cm="1">
        <f t="array" ref="N86">_xll.BDH("CAT US Equity","BS_OPTIONS_GRANTED","FQ2 2021","FQ2 2021","Currency=USD","Period=FQ","BEST_FPERIOD_OVERRIDE=FQ","FILING_STATUS=MR","Sort=A","Dates=H","DateFormat=P","Fill=—","Direction=H","UseDPDF=Y")</f>
        <v>0</v>
      </c>
      <c r="O86" s="13" cm="1">
        <f t="array" ref="O86">_xll.BDH("CAT US Equity","BS_OPTIONS_GRANTED","FQ3 2021","FQ3 2021","Currency=USD","Period=FQ","BEST_FPERIOD_OVERRIDE=FQ","FILING_STATUS=MR","Sort=A","Dates=H","DateFormat=P","Fill=—","Direction=H","UseDPDF=Y")</f>
        <v>1.0848</v>
      </c>
      <c r="P86" s="13" cm="1">
        <f t="array" ref="P86">_xll.BDH("CAT US Equity","BS_OPTIONS_GRANTED","FQ4 2021","FQ4 2021","Currency=USD","Period=FQ","BEST_FPERIOD_OVERRIDE=FQ","FILING_STATUS=MR","Sort=A","Dates=H","DateFormat=P","Fill=—","Direction=H","UseDPDF=Y")</f>
        <v>0</v>
      </c>
      <c r="Q86" s="13" cm="1">
        <f t="array" ref="Q86">_xll.BDH("CAT US Equity","BS_OPTIONS_GRANTED","FQ1 2022","FQ1 2022","Currency=USD","Period=FQ","BEST_FPERIOD_OVERRIDE=FQ","FILING_STATUS=MR","Sort=A","Dates=H","DateFormat=P","Fill=—","Direction=H","UseDPDF=Y")</f>
        <v>1.0291999999999999</v>
      </c>
      <c r="R86" s="13" cm="1">
        <f t="array" ref="R86">_xll.BDH("CAT US Equity","BS_OPTIONS_GRANTED","FQ2 2022","FQ2 2022","Currency=USD","Period=FQ","BEST_FPERIOD_OVERRIDE=FQ","FILING_STATUS=MR","Sort=A","Dates=H","DateFormat=P","Fill=—","Direction=H","UseDPDF=Y")</f>
        <v>0</v>
      </c>
      <c r="S86" s="13" cm="1">
        <f t="array" ref="S86">_xll.BDH("CAT US Equity","BS_OPTIONS_GRANTED","FQ3 2022","FQ3 2022","Currency=USD","Period=FQ","BEST_FPERIOD_OVERRIDE=FQ","FILING_STATUS=MR","Sort=A","Dates=H","DateFormat=P","Fill=—","Direction=H","UseDPDF=Y")</f>
        <v>0</v>
      </c>
      <c r="T86" s="13" cm="1">
        <f t="array" ref="T86">_xll.BDH("CAT US Equity","BS_OPTIONS_GRANTED","FQ4 2022","FQ4 2022","Currency=USD","Period=FQ","BEST_FPERIOD_OVERRIDE=FQ","FILING_STATUS=MR","Sort=A","Dates=H","DateFormat=P","Fill=—","Direction=H","UseDPDF=Y")</f>
        <v>0</v>
      </c>
      <c r="U86" s="13" cm="1">
        <f t="array" ref="U86">_xll.BDH("CAT US Equity","BS_OPTIONS_GRANTED","FQ1 2023","FQ1 2023","Currency=USD","Period=FQ","BEST_FPERIOD_OVERRIDE=FQ","FILING_STATUS=MR","Sort=A","Dates=H","DateFormat=P","Fill=—","Direction=H","UseDPDF=Y")</f>
        <v>0.77729999999999999</v>
      </c>
      <c r="V86" s="13" cm="1">
        <f t="array" ref="V86">_xll.BDH("CAT US Equity","BS_OPTIONS_GRANTED","FQ2 2023","FQ2 2023","Currency=USD","Period=FQ","BEST_FPERIOD_OVERRIDE=FQ","FILING_STATUS=MR","Sort=A","Dates=H","DateFormat=P","Fill=—","Direction=H","UseDPDF=Y")</f>
        <v>0</v>
      </c>
      <c r="W86" s="13" cm="1">
        <f t="array" ref="W86">_xll.BDH("CAT US Equity","BS_OPTIONS_GRANTED","FQ3 2023","FQ3 2023","Currency=USD","Period=FQ","BEST_FPERIOD_OVERRIDE=FQ","FILING_STATUS=MR","Sort=A","Dates=H","DateFormat=P","Fill=—","Direction=H","UseDPDF=Y")</f>
        <v>0</v>
      </c>
      <c r="X86" s="13" cm="1">
        <f t="array" ref="X86">_xll.BDH("CAT US Equity","BS_OPTIONS_GRANTED","FQ4 2023","FQ4 2023","Currency=USD","Period=FQ","BEST_FPERIOD_OVERRIDE=FQ","FILING_STATUS=MR","Sort=A","Dates=H","DateFormat=P","Fill=—","Direction=H","UseDPDF=Y")</f>
        <v>0</v>
      </c>
      <c r="Y86" s="13" cm="1">
        <f t="array" ref="Y86">_xll.BDH("CAT US Equity","BS_OPTIONS_GRANTED","FQ1 2024","FQ1 2024","Currency=USD","Period=FQ","BEST_FPERIOD_OVERRIDE=FQ","FILING_STATUS=MR","Sort=A","Dates=H","DateFormat=P","Fill=—","Direction=H","UseDPDF=Y")</f>
        <v>0.29630000000000001</v>
      </c>
      <c r="Z86" s="13" cm="1">
        <f t="array" ref="Z86">_xll.BDH("CAT US Equity","BS_OPTIONS_GRANTED","FQ2 2024","FQ2 2024","Currency=USD","Period=FQ","BEST_FPERIOD_OVERRIDE=FQ","FILING_STATUS=MR","Sort=A","Dates=H","DateFormat=P","Fill=—","Direction=H","UseDPDF=Y")</f>
        <v>0.29630000000000001</v>
      </c>
      <c r="AA86" s="13" cm="1">
        <f t="array" ref="AA86">_xll.BDH("CAT US Equity","BS_OPTIONS_GRANTED","FQ3 2024","FQ3 2024","Currency=USD","Period=FQ","BEST_FPERIOD_OVERRIDE=FQ","FILING_STATUS=MR","Sort=A","Dates=H","DateFormat=P","Fill=—","Direction=H","UseDPDF=Y")</f>
        <v>0</v>
      </c>
      <c r="AB86" s="13" t="str" cm="1">
        <f t="array" ref="AB86">_xll.BDH("CAT US Equity","BS_OPTIONS_GRANTED","FQ4 2024","FQ4 2024","Currency=USD","Period=FQ","BEST_FPERIOD_OVERRIDE=FQ","FILING_STATUS=MR","Sort=A","Dates=H","DateFormat=P","Fill=—","Direction=H","UseDPDF=Y")</f>
        <v>—</v>
      </c>
      <c r="AC86" s="13" cm="1">
        <f t="array" ref="AC86">_xll.BDH("CAT US Equity","BS_OPTIONS_GRANTED","FQ1 2025","FQ1 2025","Currency=USD","Period=FQ","BEST_FPERIOD_OVERRIDE=FQ","FILING_STATUS=MR","Sort=A","Dates=H","DateFormat=P","Fill=—","Direction=H","UseDPDF=Y")</f>
        <v>0.28000000000000003</v>
      </c>
      <c r="AD86" s="13" cm="1">
        <f t="array" ref="AD86">_xll.BDH("CAT US Equity","BS_OPTIONS_GRANTED","FQ2 2025","FQ2 2025","Currency=USD","Period=FQ","BEST_FPERIOD_OVERRIDE=FQ","FILING_STATUS=MR","Sort=A","Dates=H","DateFormat=P","Fill=—","Direction=H","UseDPDF=Y")</f>
        <v>1.95E-2</v>
      </c>
      <c r="AE86" s="13" cm="1">
        <f t="array" ref="AE86">_xll.BDH("CAT US Equity","BS_OPTIONS_GRANTED","FQ3 2025","FQ3 2025","Currency=USD","Period=FQ","BEST_FPERIOD_OVERRIDE=FQ","FILING_STATUS=MR","Sort=A","Dates=H","DateFormat=P","Fill=—","Direction=H","UseDPDF=Y")</f>
        <v>0</v>
      </c>
      <c r="AF86" s="13" cm="1">
        <f t="array" ref="AF86">_xll.BDH("CAT US Equity","BS_OPTIONS_GRANTED","FQ4 2025","FQ4 2025","Currency=USD","Period=FQ","BEST_FPERIOD_OVERRIDE=FQ","FILING_STATUS=MR","Sort=A","Dates=H","DateFormat=P","Fill=—","Direction=H","UseDPDF=Y")</f>
        <v>0.29949999999999999</v>
      </c>
    </row>
    <row r="87" spans="1:32" x14ac:dyDescent="0.25">
      <c r="A87" s="10" t="s">
        <v>216</v>
      </c>
      <c r="B87" s="10" t="s">
        <v>217</v>
      </c>
      <c r="C87" s="13" t="str" cm="1">
        <f t="array" ref="C87">_xll.BDH("CAT US Equity","BS_OPTIONS_OUTSTANDING","FQ3 2018","FQ3 2018","Currency=USD","Period=FQ","BEST_FPERIOD_OVERRIDE=FQ","FILING_STATUS=MR","Sort=A","Dates=H","DateFormat=P","Fill=—","Direction=H","UseDPDF=Y")</f>
        <v>—</v>
      </c>
      <c r="D87" s="13" cm="1">
        <f t="array" ref="D87">_xll.BDH("CAT US Equity","BS_OPTIONS_OUTSTANDING","FQ4 2018","FQ4 2018","Currency=USD","Period=FQ","BEST_FPERIOD_OVERRIDE=FQ","FILING_STATUS=MR","Sort=A","Dates=H","DateFormat=P","Fill=—","Direction=H","UseDPDF=Y")</f>
        <v>17.841699999999999</v>
      </c>
      <c r="E87" s="13" t="str" cm="1">
        <f t="array" ref="E87">_xll.BDH("CAT US Equity","BS_OPTIONS_OUTSTANDING","FQ1 2019","FQ1 2019","Currency=USD","Period=FQ","BEST_FPERIOD_OVERRIDE=FQ","FILING_STATUS=MR","Sort=A","Dates=H","DateFormat=P","Fill=—","Direction=H","UseDPDF=Y")</f>
        <v>—</v>
      </c>
      <c r="F87" s="13" t="str" cm="1">
        <f t="array" ref="F87">_xll.BDH("CAT US Equity","BS_OPTIONS_OUTSTANDING","FQ2 2019","FQ2 2019","Currency=USD","Period=FQ","BEST_FPERIOD_OVERRIDE=FQ","FILING_STATUS=MR","Sort=A","Dates=H","DateFormat=P","Fill=—","Direction=H","UseDPDF=Y")</f>
        <v>—</v>
      </c>
      <c r="G87" s="13" t="str" cm="1">
        <f t="array" ref="G87">_xll.BDH("CAT US Equity","BS_OPTIONS_OUTSTANDING","FQ3 2019","FQ3 2019","Currency=USD","Period=FQ","BEST_FPERIOD_OVERRIDE=FQ","FILING_STATUS=MR","Sort=A","Dates=H","DateFormat=P","Fill=—","Direction=H","UseDPDF=Y")</f>
        <v>—</v>
      </c>
      <c r="H87" s="13" cm="1">
        <f t="array" ref="H87">_xll.BDH("CAT US Equity","BS_OPTIONS_OUTSTANDING","FQ4 2019","FQ4 2019","Currency=USD","Period=FQ","BEST_FPERIOD_OVERRIDE=FQ","FILING_STATUS=MR","Sort=A","Dates=H","DateFormat=P","Fill=—","Direction=H","UseDPDF=Y")</f>
        <v>14.465</v>
      </c>
      <c r="I87" s="13" t="str" cm="1">
        <f t="array" ref="I87">_xll.BDH("CAT US Equity","BS_OPTIONS_OUTSTANDING","FQ1 2020","FQ1 2020","Currency=USD","Period=FQ","BEST_FPERIOD_OVERRIDE=FQ","FILING_STATUS=MR","Sort=A","Dates=H","DateFormat=P","Fill=—","Direction=H","UseDPDF=Y")</f>
        <v>—</v>
      </c>
      <c r="J87" s="13" t="str" cm="1">
        <f t="array" ref="J87">_xll.BDH("CAT US Equity","BS_OPTIONS_OUTSTANDING","FQ2 2020","FQ2 2020","Currency=USD","Period=FQ","BEST_FPERIOD_OVERRIDE=FQ","FILING_STATUS=MR","Sort=A","Dates=H","DateFormat=P","Fill=—","Direction=H","UseDPDF=Y")</f>
        <v>—</v>
      </c>
      <c r="K87" s="13" t="str" cm="1">
        <f t="array" ref="K87">_xll.BDH("CAT US Equity","BS_OPTIONS_OUTSTANDING","FQ3 2020","FQ3 2020","Currency=USD","Period=FQ","BEST_FPERIOD_OVERRIDE=FQ","FILING_STATUS=MR","Sort=A","Dates=H","DateFormat=P","Fill=—","Direction=H","UseDPDF=Y")</f>
        <v>—</v>
      </c>
      <c r="L87" s="13" cm="1">
        <f t="array" ref="L87">_xll.BDH("CAT US Equity","BS_OPTIONS_OUTSTANDING","FQ4 2020","FQ4 2020","Currency=USD","Period=FQ","BEST_FPERIOD_OVERRIDE=FQ","FILING_STATUS=MR","Sort=A","Dates=H","DateFormat=P","Fill=—","Direction=H","UseDPDF=Y")</f>
        <v>10.077</v>
      </c>
      <c r="M87" s="13" t="str" cm="1">
        <f t="array" ref="M87">_xll.BDH("CAT US Equity","BS_OPTIONS_OUTSTANDING","FQ1 2021","FQ1 2021","Currency=USD","Period=FQ","BEST_FPERIOD_OVERRIDE=FQ","FILING_STATUS=MR","Sort=A","Dates=H","DateFormat=P","Fill=—","Direction=H","UseDPDF=Y")</f>
        <v>—</v>
      </c>
      <c r="N87" s="13" t="str" cm="1">
        <f t="array" ref="N87">_xll.BDH("CAT US Equity","BS_OPTIONS_OUTSTANDING","FQ2 2021","FQ2 2021","Currency=USD","Period=FQ","BEST_FPERIOD_OVERRIDE=FQ","FILING_STATUS=MR","Sort=A","Dates=H","DateFormat=P","Fill=—","Direction=H","UseDPDF=Y")</f>
        <v>—</v>
      </c>
      <c r="O87" s="13" t="str" cm="1">
        <f t="array" ref="O87">_xll.BDH("CAT US Equity","BS_OPTIONS_OUTSTANDING","FQ3 2021","FQ3 2021","Currency=USD","Period=FQ","BEST_FPERIOD_OVERRIDE=FQ","FILING_STATUS=MR","Sort=A","Dates=H","DateFormat=P","Fill=—","Direction=H","UseDPDF=Y")</f>
        <v>—</v>
      </c>
      <c r="P87" s="13" cm="1">
        <f t="array" ref="P87">_xll.BDH("CAT US Equity","BS_OPTIONS_OUTSTANDING","FQ4 2021","FQ4 2021","Currency=USD","Period=FQ","BEST_FPERIOD_OVERRIDE=FQ","FILING_STATUS=MR","Sort=A","Dates=H","DateFormat=P","Fill=—","Direction=H","UseDPDF=Y")</f>
        <v>7.7224000000000004</v>
      </c>
      <c r="Q87" s="13" t="str" cm="1">
        <f t="array" ref="Q87">_xll.BDH("CAT US Equity","BS_OPTIONS_OUTSTANDING","FQ1 2022","FQ1 2022","Currency=USD","Period=FQ","BEST_FPERIOD_OVERRIDE=FQ","FILING_STATUS=MR","Sort=A","Dates=H","DateFormat=P","Fill=—","Direction=H","UseDPDF=Y")</f>
        <v>—</v>
      </c>
      <c r="R87" s="13" t="str" cm="1">
        <f t="array" ref="R87">_xll.BDH("CAT US Equity","BS_OPTIONS_OUTSTANDING","FQ2 2022","FQ2 2022","Currency=USD","Period=FQ","BEST_FPERIOD_OVERRIDE=FQ","FILING_STATUS=MR","Sort=A","Dates=H","DateFormat=P","Fill=—","Direction=H","UseDPDF=Y")</f>
        <v>—</v>
      </c>
      <c r="S87" s="13" t="str" cm="1">
        <f t="array" ref="S87">_xll.BDH("CAT US Equity","BS_OPTIONS_OUTSTANDING","FQ3 2022","FQ3 2022","Currency=USD","Period=FQ","BEST_FPERIOD_OVERRIDE=FQ","FILING_STATUS=MR","Sort=A","Dates=H","DateFormat=P","Fill=—","Direction=H","UseDPDF=Y")</f>
        <v>—</v>
      </c>
      <c r="T87" s="13" cm="1">
        <f t="array" ref="T87">_xll.BDH("CAT US Equity","BS_OPTIONS_OUTSTANDING","FQ4 2022","FQ4 2022","Currency=USD","Period=FQ","BEST_FPERIOD_OVERRIDE=FQ","FILING_STATUS=MR","Sort=A","Dates=H","DateFormat=P","Fill=—","Direction=H","UseDPDF=Y")</f>
        <v>6.8013000000000003</v>
      </c>
      <c r="U87" s="13" t="str" cm="1">
        <f t="array" ref="U87">_xll.BDH("CAT US Equity","BS_OPTIONS_OUTSTANDING","FQ1 2023","FQ1 2023","Currency=USD","Period=FQ","BEST_FPERIOD_OVERRIDE=FQ","FILING_STATUS=MR","Sort=A","Dates=H","DateFormat=P","Fill=—","Direction=H","UseDPDF=Y")</f>
        <v>—</v>
      </c>
      <c r="V87" s="13" t="str" cm="1">
        <f t="array" ref="V87">_xll.BDH("CAT US Equity","BS_OPTIONS_OUTSTANDING","FQ2 2023","FQ2 2023","Currency=USD","Period=FQ","BEST_FPERIOD_OVERRIDE=FQ","FILING_STATUS=MR","Sort=A","Dates=H","DateFormat=P","Fill=—","Direction=H","UseDPDF=Y")</f>
        <v>—</v>
      </c>
      <c r="W87" s="13" t="str" cm="1">
        <f t="array" ref="W87">_xll.BDH("CAT US Equity","BS_OPTIONS_OUTSTANDING","FQ3 2023","FQ3 2023","Currency=USD","Period=FQ","BEST_FPERIOD_OVERRIDE=FQ","FILING_STATUS=MR","Sort=A","Dates=H","DateFormat=P","Fill=—","Direction=H","UseDPDF=Y")</f>
        <v>—</v>
      </c>
      <c r="X87" s="13" cm="1">
        <f t="array" ref="X87">_xll.BDH("CAT US Equity","BS_OPTIONS_OUTSTANDING","FQ4 2023","FQ4 2023","Currency=USD","Period=FQ","BEST_FPERIOD_OVERRIDE=FQ","FILING_STATUS=MR","Sort=A","Dates=H","DateFormat=P","Fill=—","Direction=H","UseDPDF=Y")</f>
        <v>5.1414</v>
      </c>
      <c r="Y87" s="13" t="str" cm="1">
        <f t="array" ref="Y87">_xll.BDH("CAT US Equity","BS_OPTIONS_OUTSTANDING","FQ1 2024","FQ1 2024","Currency=USD","Period=FQ","BEST_FPERIOD_OVERRIDE=FQ","FILING_STATUS=MR","Sort=A","Dates=H","DateFormat=P","Fill=—","Direction=H","UseDPDF=Y")</f>
        <v>—</v>
      </c>
      <c r="Z87" s="13" t="str" cm="1">
        <f t="array" ref="Z87">_xll.BDH("CAT US Equity","BS_OPTIONS_OUTSTANDING","FQ2 2024","FQ2 2024","Currency=USD","Period=FQ","BEST_FPERIOD_OVERRIDE=FQ","FILING_STATUS=MR","Sort=A","Dates=H","DateFormat=P","Fill=—","Direction=H","UseDPDF=Y")</f>
        <v>—</v>
      </c>
      <c r="AA87" s="13" t="str" cm="1">
        <f t="array" ref="AA87">_xll.BDH("CAT US Equity","BS_OPTIONS_OUTSTANDING","FQ3 2024","FQ3 2024","Currency=USD","Period=FQ","BEST_FPERIOD_OVERRIDE=FQ","FILING_STATUS=MR","Sort=A","Dates=H","DateFormat=P","Fill=—","Direction=H","UseDPDF=Y")</f>
        <v>—</v>
      </c>
      <c r="AB87" s="13" cm="1">
        <f t="array" ref="AB87">_xll.BDH("CAT US Equity","BS_OPTIONS_OUTSTANDING","FQ4 2024","FQ4 2024","Currency=USD","Period=FQ","BEST_FPERIOD_OVERRIDE=FQ","FILING_STATUS=MR","Sort=A","Dates=H","DateFormat=P","Fill=—","Direction=H","UseDPDF=Y")</f>
        <v>3.7328999999999999</v>
      </c>
      <c r="AC87" s="13" t="str" cm="1">
        <f t="array" ref="AC87">_xll.BDH("CAT US Equity","BS_OPTIONS_OUTSTANDING","FQ1 2025","FQ1 2025","Currency=USD","Period=FQ","BEST_FPERIOD_OVERRIDE=FQ","FILING_STATUS=MR","Sort=A","Dates=H","DateFormat=P","Fill=—","Direction=H","UseDPDF=Y")</f>
        <v>—</v>
      </c>
      <c r="AD87" s="13" t="str" cm="1">
        <f t="array" ref="AD87">_xll.BDH("CAT US Equity","BS_OPTIONS_OUTSTANDING","FQ2 2025","FQ2 2025","Currency=USD","Period=FQ","BEST_FPERIOD_OVERRIDE=FQ","FILING_STATUS=MR","Sort=A","Dates=H","DateFormat=P","Fill=—","Direction=H","UseDPDF=Y")</f>
        <v>—</v>
      </c>
      <c r="AE87" s="13" t="str" cm="1">
        <f t="array" ref="AE87">_xll.BDH("CAT US Equity","BS_OPTIONS_OUTSTANDING","FQ3 2025","FQ3 2025","Currency=USD","Period=FQ","BEST_FPERIOD_OVERRIDE=FQ","FILING_STATUS=MR","Sort=A","Dates=H","DateFormat=P","Fill=—","Direction=H","UseDPDF=Y")</f>
        <v>—</v>
      </c>
      <c r="AF87" s="13" cm="1">
        <f t="array" ref="AF87">_xll.BDH("CAT US Equity","BS_OPTIONS_OUTSTANDING","FQ4 2025","FQ4 2025","Currency=USD","Period=FQ","BEST_FPERIOD_OVERRIDE=FQ","FILING_STATUS=MR","Sort=A","Dates=H","DateFormat=P","Fill=—","Direction=H","UseDPDF=Y")</f>
        <v>3.0171000000000001</v>
      </c>
    </row>
    <row r="88" spans="1:32" x14ac:dyDescent="0.25">
      <c r="A88" s="10" t="s">
        <v>218</v>
      </c>
      <c r="B88" s="10" t="s">
        <v>219</v>
      </c>
      <c r="C88" s="13" cm="1">
        <f t="array" ref="C88">_xll.BDH("CAT US Equity","NET_DEBT","FQ3 2018","FQ3 2018","Currency=USD","Period=FQ","BEST_FPERIOD_OVERRIDE=FQ","FILING_STATUS=MR","SCALING_FORMAT=MLN","Sort=A","Dates=H","DateFormat=P","Fill=—","Direction=H","UseDPDF=Y")</f>
        <v>874</v>
      </c>
      <c r="D88" s="13" cm="1">
        <f t="array" ref="D88">_xll.BDH("CAT US Equity","NET_DEBT","FQ4 2018","FQ4 2018","Currency=USD","Period=FQ","BEST_FPERIOD_OVERRIDE=FQ","FILING_STATUS=MR","SCALING_FORMAT=MLN","Sort=A","Dates=H","DateFormat=P","Fill=—","Direction=H","UseDPDF=Y")</f>
        <v>1047</v>
      </c>
      <c r="E88" s="13" cm="1">
        <f t="array" ref="E88">_xll.BDH("CAT US Equity","NET_DEBT","FQ1 2019","FQ1 2019","Currency=USD","Period=FQ","BEST_FPERIOD_OVERRIDE=FQ","FILING_STATUS=MR","SCALING_FORMAT=MLN","Sort=A","Dates=H","DateFormat=P","Fill=—","Direction=H","UseDPDF=Y")</f>
        <v>1313</v>
      </c>
      <c r="F88" s="13" cm="1">
        <f t="array" ref="F88">_xll.BDH("CAT US Equity","NET_DEBT","FQ2 2019","FQ2 2019","Currency=USD","Period=FQ","BEST_FPERIOD_OVERRIDE=FQ","FILING_STATUS=MR","SCALING_FORMAT=MLN","Sort=A","Dates=H","DateFormat=P","Fill=—","Direction=H","UseDPDF=Y")</f>
        <v>1146</v>
      </c>
      <c r="G88" s="13" cm="1">
        <f t="array" ref="G88">_xll.BDH("CAT US Equity","NET_DEBT","FQ3 2019","FQ3 2019","Currency=USD","Period=FQ","BEST_FPERIOD_OVERRIDE=FQ","FILING_STATUS=MR","SCALING_FORMAT=MLN","Sort=A","Dates=H","DateFormat=P","Fill=—","Direction=H","UseDPDF=Y")</f>
        <v>2794</v>
      </c>
      <c r="H88" s="13" cm="1">
        <f t="array" ref="H88">_xll.BDH("CAT US Equity","NET_DEBT","FQ4 2019","FQ4 2019","Currency=USD","Period=FQ","BEST_FPERIOD_OVERRIDE=FQ","FILING_STATUS=MR","SCALING_FORMAT=MLN","Sort=A","Dates=H","DateFormat=P","Fill=—","Direction=H","UseDPDF=Y")</f>
        <v>1863</v>
      </c>
      <c r="I88" s="13" cm="1">
        <f t="array" ref="I88">_xll.BDH("CAT US Equity","NET_DEBT","FQ1 2020","FQ1 2020","Currency=USD","Period=FQ","BEST_FPERIOD_OVERRIDE=FQ","FILING_STATUS=MR","SCALING_FORMAT=MLN","Sort=A","Dates=H","DateFormat=P","Fill=—","Direction=H","UseDPDF=Y")</f>
        <v>2894</v>
      </c>
      <c r="J88" s="13" cm="1">
        <f t="array" ref="J88">_xll.BDH("CAT US Equity","NET_DEBT","FQ2 2020","FQ2 2020","Currency=USD","Period=FQ","BEST_FPERIOD_OVERRIDE=FQ","FILING_STATUS=MR","SCALING_FORMAT=MLN","Sort=A","Dates=H","DateFormat=P","Fill=—","Direction=H","UseDPDF=Y")</f>
        <v>3125</v>
      </c>
      <c r="K88" s="13" cm="1">
        <f t="array" ref="K88">_xll.BDH("CAT US Equity","NET_DEBT","FQ3 2020","FQ3 2020","Currency=USD","Period=FQ","BEST_FPERIOD_OVERRIDE=FQ","FILING_STATUS=MR","SCALING_FORMAT=MLN","Sort=A","Dates=H","DateFormat=P","Fill=—","Direction=H","UseDPDF=Y")</f>
        <v>2631</v>
      </c>
      <c r="L88" s="13" cm="1">
        <f t="array" ref="L88">_xll.BDH("CAT US Equity","NET_DEBT","FQ4 2020","FQ4 2020","Currency=USD","Period=FQ","BEST_FPERIOD_OVERRIDE=FQ","FILING_STATUS=MR","SCALING_FORMAT=MLN","Sort=A","Dates=H","DateFormat=P","Fill=—","Direction=H","UseDPDF=Y")</f>
        <v>2357</v>
      </c>
      <c r="M88" s="13" cm="1">
        <f t="array" ref="M88">_xll.BDH("CAT US Equity","NET_DEBT","FQ1 2021","FQ1 2021","Currency=USD","Period=FQ","BEST_FPERIOD_OVERRIDE=FQ","FILING_STATUS=MR","SCALING_FORMAT=MLN","Sort=A","Dates=H","DateFormat=P","Fill=—","Direction=H","UseDPDF=Y")</f>
        <v>-707</v>
      </c>
      <c r="N88" s="13" cm="1">
        <f t="array" ref="N88">_xll.BDH("CAT US Equity","NET_DEBT","FQ2 2021","FQ2 2021","Currency=USD","Period=FQ","BEST_FPERIOD_OVERRIDE=FQ","FILING_STATUS=MR","SCALING_FORMAT=MLN","Sort=A","Dates=H","DateFormat=P","Fill=—","Direction=H","UseDPDF=Y")</f>
        <v>-184</v>
      </c>
      <c r="O88" s="13" cm="1">
        <f t="array" ref="O88">_xll.BDH("CAT US Equity","NET_DEBT","FQ3 2021","FQ3 2021","Currency=USD","Period=FQ","BEST_FPERIOD_OVERRIDE=FQ","FILING_STATUS=MR","SCALING_FORMAT=MLN","Sort=A","Dates=H","DateFormat=P","Fill=—","Direction=H","UseDPDF=Y")</f>
        <v>1253</v>
      </c>
      <c r="P88" s="13" cm="1">
        <f t="array" ref="P88">_xll.BDH("CAT US Equity","NET_DEBT","FQ4 2021","FQ4 2021","Currency=USD","Period=FQ","BEST_FPERIOD_OVERRIDE=FQ","FILING_STATUS=MR","SCALING_FORMAT=MLN","Sort=A","Dates=H","DateFormat=P","Fill=—","Direction=H","UseDPDF=Y")</f>
        <v>1372</v>
      </c>
      <c r="Q88" s="13" cm="1">
        <f t="array" ref="Q88">_xll.BDH("CAT US Equity","NET_DEBT","FQ1 2022","FQ1 2022","Currency=USD","Period=FQ","BEST_FPERIOD_OVERRIDE=FQ","FILING_STATUS=MR","SCALING_FORMAT=MLN","Sort=A","Dates=H","DateFormat=P","Fill=—","Direction=H","UseDPDF=Y")</f>
        <v>4003</v>
      </c>
      <c r="R88" s="13" cm="1">
        <f t="array" ref="R88">_xll.BDH("CAT US Equity","NET_DEBT","FQ2 2022","FQ2 2022","Currency=USD","Period=FQ","BEST_FPERIOD_OVERRIDE=FQ","FILING_STATUS=MR","SCALING_FORMAT=MLN","Sort=A","Dates=H","DateFormat=P","Fill=—","Direction=H","UseDPDF=Y")</f>
        <v>4530</v>
      </c>
      <c r="S88" s="13" cm="1">
        <f t="array" ref="S88">_xll.BDH("CAT US Equity","NET_DEBT","FQ3 2022","FQ3 2022","Currency=USD","Period=FQ","BEST_FPERIOD_OVERRIDE=FQ","FILING_STATUS=MR","SCALING_FORMAT=MLN","Sort=A","Dates=H","DateFormat=P","Fill=—","Direction=H","UseDPDF=Y")</f>
        <v>4231</v>
      </c>
      <c r="T88" s="13" cm="1">
        <f t="array" ref="T88">_xll.BDH("CAT US Equity","NET_DEBT","FQ4 2022","FQ4 2022","Currency=USD","Period=FQ","BEST_FPERIOD_OVERRIDE=FQ","FILING_STATUS=MR","SCALING_FORMAT=MLN","Sort=A","Dates=H","DateFormat=P","Fill=—","Direction=H","UseDPDF=Y")</f>
        <v>4541</v>
      </c>
      <c r="U88" s="13" cm="1">
        <f t="array" ref="U88">_xll.BDH("CAT US Equity","NET_DEBT","FQ1 2023","FQ1 2023","Currency=USD","Period=FQ","BEST_FPERIOD_OVERRIDE=FQ","FILING_STATUS=MR","SCALING_FORMAT=MLN","Sort=A","Dates=H","DateFormat=P","Fill=—","Direction=H","UseDPDF=Y")</f>
        <v>3578</v>
      </c>
      <c r="V88" s="13" cm="1">
        <f t="array" ref="V88">_xll.BDH("CAT US Equity","NET_DEBT","FQ2 2023","FQ2 2023","Currency=USD","Period=FQ","BEST_FPERIOD_OVERRIDE=FQ","FILING_STATUS=MR","SCALING_FORMAT=MLN","Sort=A","Dates=H","DateFormat=P","Fill=—","Direction=H","UseDPDF=Y")</f>
        <v>3294</v>
      </c>
      <c r="W88" s="13" cm="1">
        <f t="array" ref="W88">_xll.BDH("CAT US Equity","NET_DEBT","FQ3 2023","FQ3 2023","Currency=USD","Period=FQ","BEST_FPERIOD_OVERRIDE=FQ","FILING_STATUS=MR","SCALING_FORMAT=MLN","Sort=A","Dates=H","DateFormat=P","Fill=—","Direction=H","UseDPDF=Y")</f>
        <v>3679</v>
      </c>
      <c r="X88" s="13" cm="1">
        <f t="array" ref="X88">_xll.BDH("CAT US Equity","NET_DEBT","FQ4 2023","FQ4 2023","Currency=USD","Period=FQ","BEST_FPERIOD_OVERRIDE=FQ","FILING_STATUS=MR","SCALING_FORMAT=MLN","Sort=A","Dates=H","DateFormat=P","Fill=—","Direction=H","UseDPDF=Y")</f>
        <v>3517</v>
      </c>
      <c r="Y88" s="13" cm="1">
        <f t="array" ref="Y88">_xll.BDH("CAT US Equity","NET_DEBT","FQ1 2024","FQ1 2024","Currency=USD","Period=FQ","BEST_FPERIOD_OVERRIDE=FQ","FILING_STATUS=MR","SCALING_FORMAT=MLN","Sort=A","Dates=H","DateFormat=P","Fill=—","Direction=H","UseDPDF=Y")</f>
        <v>5621</v>
      </c>
      <c r="Z88" s="13" cm="1">
        <f t="array" ref="Z88">_xll.BDH("CAT US Equity","NET_DEBT","FQ2 2024","FQ2 2024","Currency=USD","Period=FQ","BEST_FPERIOD_OVERRIDE=FQ","FILING_STATUS=MR","SCALING_FORMAT=MLN","Sort=A","Dates=H","DateFormat=P","Fill=—","Direction=H","UseDPDF=Y")</f>
        <v>5169</v>
      </c>
      <c r="AA88" s="13" cm="1">
        <f t="array" ref="AA88">_xll.BDH("CAT US Equity","NET_DEBT","FQ3 2024","FQ3 2024","Currency=USD","Period=FQ","BEST_FPERIOD_OVERRIDE=FQ","FILING_STATUS=MR","SCALING_FORMAT=MLN","Sort=A","Dates=H","DateFormat=P","Fill=—","Direction=H","UseDPDF=Y")</f>
        <v>4024</v>
      </c>
      <c r="AB88" s="13" cm="1">
        <f t="array" ref="AB88">_xll.BDH("CAT US Equity","NET_DEBT","FQ4 2024","FQ4 2024","Currency=USD","Period=FQ","BEST_FPERIOD_OVERRIDE=FQ","FILING_STATUS=MR","SCALING_FORMAT=MLN","Sort=A","Dates=H","DateFormat=P","Fill=—","Direction=H","UseDPDF=Y")</f>
        <v>2445</v>
      </c>
      <c r="AC88" s="13" cm="1">
        <f t="array" ref="AC88">_xll.BDH("CAT US Equity","NET_DEBT","FQ1 2025","FQ1 2025","Currency=USD","Period=FQ","BEST_FPERIOD_OVERRIDE=FQ","FILING_STATUS=MR","SCALING_FORMAT=MLN","Sort=A","Dates=H","DateFormat=P","Fill=—","Direction=H","UseDPDF=Y")</f>
        <v>6099</v>
      </c>
      <c r="AD88" s="13" cm="1">
        <f t="array" ref="AD88">_xll.BDH("CAT US Equity","NET_DEBT","FQ2 2025","FQ2 2025","Currency=USD","Period=FQ","BEST_FPERIOD_OVERRIDE=FQ","FILING_STATUS=MR","SCALING_FORMAT=MLN","Sort=A","Dates=H","DateFormat=P","Fill=—","Direction=H","UseDPDF=Y")</f>
        <v>6452</v>
      </c>
      <c r="AE88" s="13" cm="1">
        <f t="array" ref="AE88">_xll.BDH("CAT US Equity","NET_DEBT","FQ3 2025","FQ3 2025","Currency=USD","Period=FQ","BEST_FPERIOD_OVERRIDE=FQ","FILING_STATUS=MR","SCALING_FORMAT=MLN","Sort=A","Dates=H","DateFormat=P","Fill=—","Direction=H","UseDPDF=Y")</f>
        <v>2144</v>
      </c>
      <c r="AF88" s="13" cm="1">
        <f t="array" ref="AF88">_xll.BDH("CAT US Equity","NET_DEBT","FQ4 2025","FQ4 2025","Currency=USD","Period=FQ","BEST_FPERIOD_OVERRIDE=FQ","FILING_STATUS=MR","SCALING_FORMAT=MLN","Sort=A","Dates=H","DateFormat=P","Fill=—","Direction=H","UseDPDF=Y")</f>
        <v>1380</v>
      </c>
    </row>
    <row r="89" spans="1:32" x14ac:dyDescent="0.25">
      <c r="A89" s="10" t="s">
        <v>220</v>
      </c>
      <c r="B89" s="10" t="s">
        <v>221</v>
      </c>
      <c r="C89" s="14" cm="1">
        <f t="array" ref="C89">_xll.BDH("CAT US Equity","NET_DEBT_TO_SHRHLDR_EQTY","FQ3 2018","FQ3 2018","Currency=USD","Period=FQ","BEST_FPERIOD_OVERRIDE=FQ","FILING_STATUS=MR","Sort=A","Dates=H","DateFormat=P","Fill=—","Direction=H","UseDPDF=Y")</f>
        <v>5.5003000000000002</v>
      </c>
      <c r="D89" s="14" cm="1">
        <f t="array" ref="D89">_xll.BDH("CAT US Equity","NET_DEBT_TO_SHRHLDR_EQTY","FQ4 2018","FQ4 2018","Currency=USD","Period=FQ","BEST_FPERIOD_OVERRIDE=FQ","FILING_STATUS=MR","Sort=A","Dates=H","DateFormat=P","Fill=—","Direction=H","UseDPDF=Y")</f>
        <v>7.4360999999999997</v>
      </c>
      <c r="E89" s="14" cm="1">
        <f t="array" ref="E89">_xll.BDH("CAT US Equity","NET_DEBT_TO_SHRHLDR_EQTY","FQ1 2019","FQ1 2019","Currency=USD","Period=FQ","BEST_FPERIOD_OVERRIDE=FQ","FILING_STATUS=MR","Sort=A","Dates=H","DateFormat=P","Fill=—","Direction=H","UseDPDF=Y")</f>
        <v>8.4830000000000005</v>
      </c>
      <c r="F89" s="14" cm="1">
        <f t="array" ref="F89">_xll.BDH("CAT US Equity","NET_DEBT_TO_SHRHLDR_EQTY","FQ2 2019","FQ2 2019","Currency=USD","Period=FQ","BEST_FPERIOD_OVERRIDE=FQ","FILING_STATUS=MR","Sort=A","Dates=H","DateFormat=P","Fill=—","Direction=H","UseDPDF=Y")</f>
        <v>7.7026000000000003</v>
      </c>
      <c r="G89" s="14" cm="1">
        <f t="array" ref="G89">_xll.BDH("CAT US Equity","NET_DEBT_TO_SHRHLDR_EQTY","FQ3 2019","FQ3 2019","Currency=USD","Period=FQ","BEST_FPERIOD_OVERRIDE=FQ","FILING_STATUS=MR","Sort=A","Dates=H","DateFormat=P","Fill=—","Direction=H","UseDPDF=Y")</f>
        <v>18.635400000000001</v>
      </c>
      <c r="H89" s="14" cm="1">
        <f t="array" ref="H89">_xll.BDH("CAT US Equity","NET_DEBT_TO_SHRHLDR_EQTY","FQ4 2019","FQ4 2019","Currency=USD","Period=FQ","BEST_FPERIOD_OVERRIDE=FQ","FILING_STATUS=MR","Sort=A","Dates=H","DateFormat=P","Fill=—","Direction=H","UseDPDF=Y")</f>
        <v>12.734999999999999</v>
      </c>
      <c r="I89" s="14" cm="1">
        <f t="array" ref="I89">_xll.BDH("CAT US Equity","NET_DEBT_TO_SHRHLDR_EQTY","FQ1 2020","FQ1 2020","Currency=USD","Period=FQ","BEST_FPERIOD_OVERRIDE=FQ","FILING_STATUS=MR","Sort=A","Dates=H","DateFormat=P","Fill=—","Direction=H","UseDPDF=Y")</f>
        <v>20.3245</v>
      </c>
      <c r="J89" s="14" cm="1">
        <f t="array" ref="J89">_xll.BDH("CAT US Equity","NET_DEBT_TO_SHRHLDR_EQTY","FQ2 2020","FQ2 2020","Currency=USD","Period=FQ","BEST_FPERIOD_OVERRIDE=FQ","FILING_STATUS=MR","Sort=A","Dates=H","DateFormat=P","Fill=—","Direction=H","UseDPDF=Y")</f>
        <v>22.682700000000001</v>
      </c>
      <c r="K89" s="14" cm="1">
        <f t="array" ref="K89">_xll.BDH("CAT US Equity","NET_DEBT_TO_SHRHLDR_EQTY","FQ3 2020","FQ3 2020","Currency=USD","Period=FQ","BEST_FPERIOD_OVERRIDE=FQ","FILING_STATUS=MR","Sort=A","Dates=H","DateFormat=P","Fill=—","Direction=H","UseDPDF=Y")</f>
        <v>17.547000000000001</v>
      </c>
      <c r="L89" s="14" cm="1">
        <f t="array" ref="L89">_xll.BDH("CAT US Equity","NET_DEBT_TO_SHRHLDR_EQTY","FQ4 2020","FQ4 2020","Currency=USD","Period=FQ","BEST_FPERIOD_OVERRIDE=FQ","FILING_STATUS=MR","Sort=A","Dates=H","DateFormat=P","Fill=—","Direction=H","UseDPDF=Y")</f>
        <v>15.3271</v>
      </c>
      <c r="M89" s="14" cm="1">
        <f t="array" ref="M89">_xll.BDH("CAT US Equity","NET_DEBT_TO_SHRHLDR_EQTY","FQ1 2021","FQ1 2021","Currency=USD","Period=FQ","BEST_FPERIOD_OVERRIDE=FQ","FILING_STATUS=MR","Sort=A","Dates=H","DateFormat=P","Fill=—","Direction=H","UseDPDF=Y")</f>
        <v>-4.2546999999999997</v>
      </c>
      <c r="N89" s="14" cm="1">
        <f t="array" ref="N89">_xll.BDH("CAT US Equity","NET_DEBT_TO_SHRHLDR_EQTY","FQ2 2021","FQ2 2021","Currency=USD","Period=FQ","BEST_FPERIOD_OVERRIDE=FQ","FILING_STATUS=MR","Sort=A","Dates=H","DateFormat=P","Fill=—","Direction=H","UseDPDF=Y")</f>
        <v>-1.0900000000000001</v>
      </c>
      <c r="O89" s="14" cm="1">
        <f t="array" ref="O89">_xll.BDH("CAT US Equity","NET_DEBT_TO_SHRHLDR_EQTY","FQ3 2021","FQ3 2021","Currency=USD","Period=FQ","BEST_FPERIOD_OVERRIDE=FQ","FILING_STATUS=MR","Sort=A","Dates=H","DateFormat=P","Fill=—","Direction=H","UseDPDF=Y")</f>
        <v>7.5052000000000003</v>
      </c>
      <c r="P89" s="14" cm="1">
        <f t="array" ref="P89">_xll.BDH("CAT US Equity","NET_DEBT_TO_SHRHLDR_EQTY","FQ4 2021","FQ4 2021","Currency=USD","Period=FQ","BEST_FPERIOD_OVERRIDE=FQ","FILING_STATUS=MR","Sort=A","Dates=H","DateFormat=P","Fill=—","Direction=H","UseDPDF=Y")</f>
        <v>8.3071000000000002</v>
      </c>
      <c r="Q89" s="14" cm="1">
        <f t="array" ref="Q89">_xll.BDH("CAT US Equity","NET_DEBT_TO_SHRHLDR_EQTY","FQ1 2022","FQ1 2022","Currency=USD","Period=FQ","BEST_FPERIOD_OVERRIDE=FQ","FILING_STATUS=MR","Sort=A","Dates=H","DateFormat=P","Fill=—","Direction=H","UseDPDF=Y")</f>
        <v>23.413499999999999</v>
      </c>
      <c r="R89" s="14" cm="1">
        <f t="array" ref="R89">_xll.BDH("CAT US Equity","NET_DEBT_TO_SHRHLDR_EQTY","FQ2 2022","FQ2 2022","Currency=USD","Period=FQ","BEST_FPERIOD_OVERRIDE=FQ","FILING_STATUS=MR","Sort=A","Dates=H","DateFormat=P","Fill=—","Direction=H","UseDPDF=Y")</f>
        <v>28.7455</v>
      </c>
      <c r="S89" s="14" cm="1">
        <f t="array" ref="S89">_xll.BDH("CAT US Equity","NET_DEBT_TO_SHRHLDR_EQTY","FQ3 2022","FQ3 2022","Currency=USD","Period=FQ","BEST_FPERIOD_OVERRIDE=FQ","FILING_STATUS=MR","Sort=A","Dates=H","DateFormat=P","Fill=—","Direction=H","UseDPDF=Y")</f>
        <v>27.083600000000001</v>
      </c>
      <c r="T89" s="14" cm="1">
        <f t="array" ref="T89">_xll.BDH("CAT US Equity","NET_DEBT_TO_SHRHLDR_EQTY","FQ4 2022","FQ4 2022","Currency=USD","Period=FQ","BEST_FPERIOD_OVERRIDE=FQ","FILING_STATUS=MR","Sort=A","Dates=H","DateFormat=P","Fill=—","Direction=H","UseDPDF=Y")</f>
        <v>28.575900000000001</v>
      </c>
      <c r="U89" s="14" cm="1">
        <f t="array" ref="U89">_xll.BDH("CAT US Equity","NET_DEBT_TO_SHRHLDR_EQTY","FQ1 2023","FQ1 2023","Currency=USD","Period=FQ","BEST_FPERIOD_OVERRIDE=FQ","FILING_STATUS=MR","Sort=A","Dates=H","DateFormat=P","Fill=—","Direction=H","UseDPDF=Y")</f>
        <v>19.691800000000001</v>
      </c>
      <c r="V89" s="14" cm="1">
        <f t="array" ref="V89">_xll.BDH("CAT US Equity","NET_DEBT_TO_SHRHLDR_EQTY","FQ2 2023","FQ2 2023","Currency=USD","Period=FQ","BEST_FPERIOD_OVERRIDE=FQ","FILING_STATUS=MR","Sort=A","Dates=H","DateFormat=P","Fill=—","Direction=H","UseDPDF=Y")</f>
        <v>18.043399999999998</v>
      </c>
      <c r="W89" s="14" cm="1">
        <f t="array" ref="W89">_xll.BDH("CAT US Equity","NET_DEBT_TO_SHRHLDR_EQTY","FQ3 2023","FQ3 2023","Currency=USD","Period=FQ","BEST_FPERIOD_OVERRIDE=FQ","FILING_STATUS=MR","Sort=A","Dates=H","DateFormat=P","Fill=—","Direction=H","UseDPDF=Y")</f>
        <v>17.940200000000001</v>
      </c>
      <c r="X89" s="14" cm="1">
        <f t="array" ref="X89">_xll.BDH("CAT US Equity","NET_DEBT_TO_SHRHLDR_EQTY","FQ4 2023","FQ4 2023","Currency=USD","Period=FQ","BEST_FPERIOD_OVERRIDE=FQ","FILING_STATUS=MR","Sort=A","Dates=H","DateFormat=P","Fill=—","Direction=H","UseDPDF=Y")</f>
        <v>18.033100000000001</v>
      </c>
      <c r="Y89" s="14" cm="1">
        <f t="array" ref="Y89">_xll.BDH("CAT US Equity","NET_DEBT_TO_SHRHLDR_EQTY","FQ1 2024","FQ1 2024","Currency=USD","Period=FQ","BEST_FPERIOD_OVERRIDE=FQ","FILING_STATUS=MR","Sort=A","Dates=H","DateFormat=P","Fill=—","Direction=H","UseDPDF=Y")</f>
        <v>31.856000000000002</v>
      </c>
      <c r="Z89" s="14" cm="1">
        <f t="array" ref="Z89">_xll.BDH("CAT US Equity","NET_DEBT_TO_SHRHLDR_EQTY","FQ2 2024","FQ2 2024","Currency=USD","Period=FQ","BEST_FPERIOD_OVERRIDE=FQ","FILING_STATUS=MR","Sort=A","Dates=H","DateFormat=P","Fill=—","Direction=H","UseDPDF=Y")</f>
        <v>30.1646</v>
      </c>
      <c r="AA89" s="14" cm="1">
        <f t="array" ref="AA89">_xll.BDH("CAT US Equity","NET_DEBT_TO_SHRHLDR_EQTY","FQ3 2024","FQ3 2024","Currency=USD","Period=FQ","BEST_FPERIOD_OVERRIDE=FQ","FILING_STATUS=MR","Sort=A","Dates=H","DateFormat=P","Fill=—","Direction=H","UseDPDF=Y")</f>
        <v>20.739100000000001</v>
      </c>
      <c r="AB89" s="14" cm="1">
        <f t="array" ref="AB89">_xll.BDH("CAT US Equity","NET_DEBT_TO_SHRHLDR_EQTY","FQ4 2024","FQ4 2024","Currency=USD","Period=FQ","BEST_FPERIOD_OVERRIDE=FQ","FILING_STATUS=MR","Sort=A","Dates=H","DateFormat=P","Fill=—","Direction=H","UseDPDF=Y")</f>
        <v>12.542299999999999</v>
      </c>
      <c r="AC89" s="14" cm="1">
        <f t="array" ref="AC89">_xll.BDH("CAT US Equity","NET_DEBT_TO_SHRHLDR_EQTY","FQ1 2025","FQ1 2025","Currency=USD","Period=FQ","BEST_FPERIOD_OVERRIDE=FQ","FILING_STATUS=MR","Sort=A","Dates=H","DateFormat=P","Fill=—","Direction=H","UseDPDF=Y")</f>
        <v>33.752099999999999</v>
      </c>
      <c r="AD89" s="14" cm="1">
        <f t="array" ref="AD89">_xll.BDH("CAT US Equity","NET_DEBT_TO_SHRHLDR_EQTY","FQ2 2025","FQ2 2025","Currency=USD","Period=FQ","BEST_FPERIOD_OVERRIDE=FQ","FILING_STATUS=MR","Sort=A","Dates=H","DateFormat=P","Fill=—","Direction=H","UseDPDF=Y")</f>
        <v>34.571100000000001</v>
      </c>
      <c r="AE89" s="14" cm="1">
        <f t="array" ref="AE89">_xll.BDH("CAT US Equity","NET_DEBT_TO_SHRHLDR_EQTY","FQ3 2025","FQ3 2025","Currency=USD","Period=FQ","BEST_FPERIOD_OVERRIDE=FQ","FILING_STATUS=MR","Sort=A","Dates=H","DateFormat=P","Fill=—","Direction=H","UseDPDF=Y")</f>
        <v>10.378</v>
      </c>
      <c r="AF89" s="14" cm="1">
        <f t="array" ref="AF89">_xll.BDH("CAT US Equity","NET_DEBT_TO_SHRHLDR_EQTY","FQ4 2025","FQ4 2025","Currency=USD","Period=FQ","BEST_FPERIOD_OVERRIDE=FQ","FILING_STATUS=MR","Sort=A","Dates=H","DateFormat=P","Fill=—","Direction=H","UseDPDF=Y")</f>
        <v>6.4733999999999998</v>
      </c>
    </row>
    <row r="90" spans="1:32" x14ac:dyDescent="0.25">
      <c r="A90" s="10" t="s">
        <v>222</v>
      </c>
      <c r="B90" s="10" t="s">
        <v>223</v>
      </c>
      <c r="C90" s="14" cm="1">
        <f t="array" ref="C90">_xll.BDH("CAT US Equity","TCE_RATIO","FQ3 2018","FQ3 2018","Currency=USD","Period=FQ","BEST_FPERIOD_OVERRIDE=FQ","FILING_STATUS=MR","Sort=A","Dates=H","DateFormat=P","Fill=—","Direction=H","UseDPDF=Y")</f>
        <v>10.915699999999999</v>
      </c>
      <c r="D90" s="14" cm="1">
        <f t="array" ref="D90">_xll.BDH("CAT US Equity","TCE_RATIO","FQ4 2018","FQ4 2018","Currency=USD","Period=FQ","BEST_FPERIOD_OVERRIDE=FQ","FILING_STATUS=MR","Sort=A","Dates=H","DateFormat=P","Fill=—","Direction=H","UseDPDF=Y")</f>
        <v>8.4168000000000003</v>
      </c>
      <c r="E90" s="14" cm="1">
        <f t="array" ref="E90">_xll.BDH("CAT US Equity","TCE_RATIO","FQ1 2019","FQ1 2019","Currency=USD","Period=FQ","BEST_FPERIOD_OVERRIDE=FQ","FILING_STATUS=MR","Sort=A","Dates=H","DateFormat=P","Fill=—","Direction=H","UseDPDF=Y")</f>
        <v>10.517799999999999</v>
      </c>
      <c r="F90" s="14" cm="1">
        <f t="array" ref="F90">_xll.BDH("CAT US Equity","TCE_RATIO","FQ2 2019","FQ2 2019","Currency=USD","Period=FQ","BEST_FPERIOD_OVERRIDE=FQ","FILING_STATUS=MR","Sort=A","Dates=H","DateFormat=P","Fill=—","Direction=H","UseDPDF=Y")</f>
        <v>9.6753</v>
      </c>
      <c r="G90" s="14" cm="1">
        <f t="array" ref="G90">_xll.BDH("CAT US Equity","TCE_RATIO","FQ3 2019","FQ3 2019","Currency=USD","Period=FQ","BEST_FPERIOD_OVERRIDE=FQ","FILING_STATUS=MR","Sort=A","Dates=H","DateFormat=P","Fill=—","Direction=H","UseDPDF=Y")</f>
        <v>10.2249</v>
      </c>
      <c r="H90" s="14" cm="1">
        <f t="array" ref="H90">_xll.BDH("CAT US Equity","TCE_RATIO","FQ4 2019","FQ4 2019","Currency=USD","Period=FQ","BEST_FPERIOD_OVERRIDE=FQ","FILING_STATUS=MR","Sort=A","Dates=H","DateFormat=P","Fill=—","Direction=H","UseDPDF=Y")</f>
        <v>9.6574000000000009</v>
      </c>
      <c r="I90" s="14" cm="1">
        <f t="array" ref="I90">_xll.BDH("CAT US Equity","TCE_RATIO","FQ1 2020","FQ1 2020","Currency=USD","Period=FQ","BEST_FPERIOD_OVERRIDE=FQ","FILING_STATUS=MR","Sort=A","Dates=H","DateFormat=P","Fill=—","Direction=H","UseDPDF=Y")</f>
        <v>9.6358999999999995</v>
      </c>
      <c r="J90" s="14" cm="1">
        <f t="array" ref="J90">_xll.BDH("CAT US Equity","TCE_RATIO","FQ2 2020","FQ2 2020","Currency=USD","Period=FQ","BEST_FPERIOD_OVERRIDE=FQ","FILING_STATUS=MR","Sort=A","Dates=H","DateFormat=P","Fill=—","Direction=H","UseDPDF=Y")</f>
        <v>8.8783999999999992</v>
      </c>
      <c r="K90" s="14" cm="1">
        <f t="array" ref="K90">_xll.BDH("CAT US Equity","TCE_RATIO","FQ3 2020","FQ3 2020","Currency=USD","Period=FQ","BEST_FPERIOD_OVERRIDE=FQ","FILING_STATUS=MR","Sort=A","Dates=H","DateFormat=P","Fill=—","Direction=H","UseDPDF=Y")</f>
        <v>10.542299999999999</v>
      </c>
      <c r="L90" s="14" cm="1">
        <f t="array" ref="L90">_xll.BDH("CAT US Equity","TCE_RATIO","FQ4 2020","FQ4 2020","Currency=USD","Period=FQ","BEST_FPERIOD_OVERRIDE=FQ","FILING_STATUS=MR","Sort=A","Dates=H","DateFormat=P","Fill=—","Direction=H","UseDPDF=Y")</f>
        <v>10.8026</v>
      </c>
      <c r="M90" s="14" cm="1">
        <f t="array" ref="M90">_xll.BDH("CAT US Equity","TCE_RATIO","FQ1 2021","FQ1 2021","Currency=USD","Period=FQ","BEST_FPERIOD_OVERRIDE=FQ","FILING_STATUS=MR","Sort=A","Dates=H","DateFormat=P","Fill=—","Direction=H","UseDPDF=Y")</f>
        <v>12.283300000000001</v>
      </c>
      <c r="N90" s="14" cm="1">
        <f t="array" ref="N90">_xll.BDH("CAT US Equity","TCE_RATIO","FQ2 2021","FQ2 2021","Currency=USD","Period=FQ","BEST_FPERIOD_OVERRIDE=FQ","FILING_STATUS=MR","Sort=A","Dates=H","DateFormat=P","Fill=—","Direction=H","UseDPDF=Y")</f>
        <v>12.5221</v>
      </c>
      <c r="O90" s="14" cm="1">
        <f t="array" ref="O90">_xll.BDH("CAT US Equity","TCE_RATIO","FQ3 2021","FQ3 2021","Currency=USD","Period=FQ","BEST_FPERIOD_OVERRIDE=FQ","FILING_STATUS=MR","Sort=A","Dates=H","DateFormat=P","Fill=—","Direction=H","UseDPDF=Y")</f>
        <v>12.5372</v>
      </c>
      <c r="P90" s="14" cm="1">
        <f t="array" ref="P90">_xll.BDH("CAT US Equity","TCE_RATIO","FQ4 2021","FQ4 2021","Currency=USD","Period=FQ","BEST_FPERIOD_OVERRIDE=FQ","FILING_STATUS=MR","Sort=A","Dates=H","DateFormat=P","Fill=—","Direction=H","UseDPDF=Y")</f>
        <v>12.0885</v>
      </c>
      <c r="Q90" s="14" cm="1">
        <f t="array" ref="Q90">_xll.BDH("CAT US Equity","TCE_RATIO","FQ1 2022","FQ1 2022","Currency=USD","Period=FQ","BEST_FPERIOD_OVERRIDE=FQ","FILING_STATUS=MR","Sort=A","Dates=H","DateFormat=P","Fill=—","Direction=H","UseDPDF=Y")</f>
        <v>13.070499999999999</v>
      </c>
      <c r="R90" s="14" cm="1">
        <f t="array" ref="R90">_xll.BDH("CAT US Equity","TCE_RATIO","FQ2 2022","FQ2 2022","Currency=USD","Period=FQ","BEST_FPERIOD_OVERRIDE=FQ","FILING_STATUS=MR","Sort=A","Dates=H","DateFormat=P","Fill=—","Direction=H","UseDPDF=Y")</f>
        <v>11.6761</v>
      </c>
      <c r="S90" s="14" cm="1">
        <f t="array" ref="S90">_xll.BDH("CAT US Equity","TCE_RATIO","FQ3 2022","FQ3 2022","Currency=USD","Period=FQ","BEST_FPERIOD_OVERRIDE=FQ","FILING_STATUS=MR","Sort=A","Dates=H","DateFormat=P","Fill=—","Direction=H","UseDPDF=Y")</f>
        <v>11.745900000000001</v>
      </c>
      <c r="T90" s="14" cm="1">
        <f t="array" ref="T90">_xll.BDH("CAT US Equity","TCE_RATIO","FQ4 2022","FQ4 2022","Currency=USD","Period=FQ","BEST_FPERIOD_OVERRIDE=FQ","FILING_STATUS=MR","Sort=A","Dates=H","DateFormat=P","Fill=—","Direction=H","UseDPDF=Y")</f>
        <v>12.942500000000001</v>
      </c>
      <c r="U90" s="14" cm="1">
        <f t="array" ref="U90">_xll.BDH("CAT US Equity","TCE_RATIO","FQ1 2023","FQ1 2023","Currency=USD","Period=FQ","BEST_FPERIOD_OVERRIDE=FQ","FILING_STATUS=MR","Sort=A","Dates=H","DateFormat=P","Fill=—","Direction=H","UseDPDF=Y")</f>
        <v>15.642799999999999</v>
      </c>
      <c r="V90" s="14" cm="1">
        <f t="array" ref="V90">_xll.BDH("CAT US Equity","TCE_RATIO","FQ2 2023","FQ2 2023","Currency=USD","Period=FQ","BEST_FPERIOD_OVERRIDE=FQ","FILING_STATUS=MR","Sort=A","Dates=H","DateFormat=P","Fill=—","Direction=H","UseDPDF=Y")</f>
        <v>15.486000000000001</v>
      </c>
      <c r="W90" s="14" cm="1">
        <f t="array" ref="W90">_xll.BDH("CAT US Equity","TCE_RATIO","FQ3 2023","FQ3 2023","Currency=USD","Period=FQ","BEST_FPERIOD_OVERRIDE=FQ","FILING_STATUS=MR","Sort=A","Dates=H","DateFormat=P","Fill=—","Direction=H","UseDPDF=Y")</f>
        <v>18.063700000000001</v>
      </c>
      <c r="X90" s="14" cm="1">
        <f t="array" ref="X90">_xll.BDH("CAT US Equity","TCE_RATIO","FQ4 2023","FQ4 2023","Currency=USD","Period=FQ","BEST_FPERIOD_OVERRIDE=FQ","FILING_STATUS=MR","Sort=A","Dates=H","DateFormat=P","Fill=—","Direction=H","UseDPDF=Y")</f>
        <v>16.692799999999998</v>
      </c>
      <c r="Y90" s="14" cm="1">
        <f t="array" ref="Y90">_xll.BDH("CAT US Equity","TCE_RATIO","FQ1 2024","FQ1 2024","Currency=USD","Period=FQ","BEST_FPERIOD_OVERRIDE=FQ","FILING_STATUS=MR","Sort=A","Dates=H","DateFormat=P","Fill=—","Direction=H","UseDPDF=Y")</f>
        <v>15.1973</v>
      </c>
      <c r="Z90" s="14" cm="1">
        <f t="array" ref="Z90">_xll.BDH("CAT US Equity","TCE_RATIO","FQ2 2024","FQ2 2024","Currency=USD","Period=FQ","BEST_FPERIOD_OVERRIDE=FQ","FILING_STATUS=MR","Sort=A","Dates=H","DateFormat=P","Fill=—","Direction=H","UseDPDF=Y")</f>
        <v>14.6654</v>
      </c>
      <c r="AA90" s="14" cm="1">
        <f t="array" ref="AA90">_xll.BDH("CAT US Equity","TCE_RATIO","FQ3 2024","FQ3 2024","Currency=USD","Period=FQ","BEST_FPERIOD_OVERRIDE=FQ","FILING_STATUS=MR","Sort=A","Dates=H","DateFormat=P","Fill=—","Direction=H","UseDPDF=Y")</f>
        <v>16.932500000000001</v>
      </c>
      <c r="AB90" s="14" cm="1">
        <f t="array" ref="AB90">_xll.BDH("CAT US Equity","TCE_RATIO","FQ4 2024","FQ4 2024","Currency=USD","Period=FQ","BEST_FPERIOD_OVERRIDE=FQ","FILING_STATUS=MR","Sort=A","Dates=H","DateFormat=P","Fill=—","Direction=H","UseDPDF=Y")</f>
        <v>16.866</v>
      </c>
      <c r="AC90" s="14" cm="1">
        <f t="array" ref="AC90">_xll.BDH("CAT US Equity","TCE_RATIO","FQ1 2025","FQ1 2025","Currency=USD","Period=FQ","BEST_FPERIOD_OVERRIDE=FQ","FILING_STATUS=MR","Sort=A","Dates=H","DateFormat=P","Fill=—","Direction=H","UseDPDF=Y")</f>
        <v>15.6737</v>
      </c>
      <c r="AD90" s="14" cm="1">
        <f t="array" ref="AD90">_xll.BDH("CAT US Equity","TCE_RATIO","FQ2 2025","FQ2 2025","Currency=USD","Period=FQ","BEST_FPERIOD_OVERRIDE=FQ","FILING_STATUS=MR","Sort=A","Dates=H","DateFormat=P","Fill=—","Direction=H","UseDPDF=Y")</f>
        <v>15.363799999999999</v>
      </c>
      <c r="AE90" s="14" cm="1">
        <f t="array" ref="AE90">_xll.BDH("CAT US Equity","TCE_RATIO","FQ3 2025","FQ3 2025","Currency=USD","Period=FQ","BEST_FPERIOD_OVERRIDE=FQ","FILING_STATUS=MR","Sort=A","Dates=H","DateFormat=P","Fill=—","Direction=H","UseDPDF=Y")</f>
        <v>17.078299999999999</v>
      </c>
      <c r="AF90" s="14" cm="1">
        <f t="array" ref="AF90">_xll.BDH("CAT US Equity","TCE_RATIO","FQ4 2025","FQ4 2025","Currency=USD","Period=FQ","BEST_FPERIOD_OVERRIDE=FQ","FILING_STATUS=MR","Sort=A","Dates=H","DateFormat=P","Fill=—","Direction=H","UseDPDF=Y")</f>
        <v>16.9377</v>
      </c>
    </row>
    <row r="91" spans="1:32" x14ac:dyDescent="0.25">
      <c r="A91" s="10" t="s">
        <v>224</v>
      </c>
      <c r="B91" s="10" t="s">
        <v>225</v>
      </c>
      <c r="C91" s="14" cm="1">
        <f t="array" ref="C91">_xll.BDH("CAT US Equity","CUR_RATIO","FQ3 2018","FQ3 2018","Currency=USD","Period=FQ","BEST_FPERIOD_OVERRIDE=FQ","FILING_STATUS=MR","Sort=A","Dates=H","DateFormat=P","Fill=—","Direction=H","UseDPDF=Y")</f>
        <v>1.4771000000000001</v>
      </c>
      <c r="D91" s="14" cm="1">
        <f t="array" ref="D91">_xll.BDH("CAT US Equity","CUR_RATIO","FQ4 2018","FQ4 2018","Currency=USD","Period=FQ","BEST_FPERIOD_OVERRIDE=FQ","FILING_STATUS=MR","Sort=A","Dates=H","DateFormat=P","Fill=—","Direction=H","UseDPDF=Y")</f>
        <v>1.3680000000000001</v>
      </c>
      <c r="E91" s="14" cm="1">
        <f t="array" ref="E91">_xll.BDH("CAT US Equity","CUR_RATIO","FQ1 2019","FQ1 2019","Currency=USD","Period=FQ","BEST_FPERIOD_OVERRIDE=FQ","FILING_STATUS=MR","Sort=A","Dates=H","DateFormat=P","Fill=—","Direction=H","UseDPDF=Y")</f>
        <v>1.4286000000000001</v>
      </c>
      <c r="F91" s="14" cm="1">
        <f t="array" ref="F91">_xll.BDH("CAT US Equity","CUR_RATIO","FQ2 2019","FQ2 2019","Currency=USD","Period=FQ","BEST_FPERIOD_OVERRIDE=FQ","FILING_STATUS=MR","Sort=A","Dates=H","DateFormat=P","Fill=—","Direction=H","UseDPDF=Y")</f>
        <v>1.4346000000000001</v>
      </c>
      <c r="G91" s="14" cm="1">
        <f t="array" ref="G91">_xll.BDH("CAT US Equity","CUR_RATIO","FQ3 2019","FQ3 2019","Currency=USD","Period=FQ","BEST_FPERIOD_OVERRIDE=FQ","FILING_STATUS=MR","Sort=A","Dates=H","DateFormat=P","Fill=—","Direction=H","UseDPDF=Y")</f>
        <v>1.4397</v>
      </c>
      <c r="H91" s="14" cm="1">
        <f t="array" ref="H91">_xll.BDH("CAT US Equity","CUR_RATIO","FQ4 2019","FQ4 2019","Currency=USD","Period=FQ","BEST_FPERIOD_OVERRIDE=FQ","FILING_STATUS=MR","Sort=A","Dates=H","DateFormat=P","Fill=—","Direction=H","UseDPDF=Y")</f>
        <v>1.4722999999999999</v>
      </c>
      <c r="I91" s="14" cm="1">
        <f t="array" ref="I91">_xll.BDH("CAT US Equity","CUR_RATIO","FQ1 2020","FQ1 2020","Currency=USD","Period=FQ","BEST_FPERIOD_OVERRIDE=FQ","FILING_STATUS=MR","Sort=A","Dates=H","DateFormat=P","Fill=—","Direction=H","UseDPDF=Y")</f>
        <v>1.4175</v>
      </c>
      <c r="J91" s="14" cm="1">
        <f t="array" ref="J91">_xll.BDH("CAT US Equity","CUR_RATIO","FQ2 2020","FQ2 2020","Currency=USD","Period=FQ","BEST_FPERIOD_OVERRIDE=FQ","FILING_STATUS=MR","Sort=A","Dates=H","DateFormat=P","Fill=—","Direction=H","UseDPDF=Y")</f>
        <v>1.5005999999999999</v>
      </c>
      <c r="K91" s="14" cm="1">
        <f t="array" ref="K91">_xll.BDH("CAT US Equity","CUR_RATIO","FQ3 2020","FQ3 2020","Currency=USD","Period=FQ","BEST_FPERIOD_OVERRIDE=FQ","FILING_STATUS=MR","Sort=A","Dates=H","DateFormat=P","Fill=—","Direction=H","UseDPDF=Y")</f>
        <v>1.5427</v>
      </c>
      <c r="L91" s="14" cm="1">
        <f t="array" ref="L91">_xll.BDH("CAT US Equity","CUR_RATIO","FQ4 2020","FQ4 2020","Currency=USD","Period=FQ","BEST_FPERIOD_OVERRIDE=FQ","FILING_STATUS=MR","Sort=A","Dates=H","DateFormat=P","Fill=—","Direction=H","UseDPDF=Y")</f>
        <v>1.5345</v>
      </c>
      <c r="M91" s="14" cm="1">
        <f t="array" ref="M91">_xll.BDH("CAT US Equity","CUR_RATIO","FQ1 2021","FQ1 2021","Currency=USD","Period=FQ","BEST_FPERIOD_OVERRIDE=FQ","FILING_STATUS=MR","Sort=A","Dates=H","DateFormat=P","Fill=—","Direction=H","UseDPDF=Y")</f>
        <v>1.6021000000000001</v>
      </c>
      <c r="N91" s="14" cm="1">
        <f t="array" ref="N91">_xll.BDH("CAT US Equity","CUR_RATIO","FQ2 2021","FQ2 2021","Currency=USD","Period=FQ","BEST_FPERIOD_OVERRIDE=FQ","FILING_STATUS=MR","Sort=A","Dates=H","DateFormat=P","Fill=—","Direction=H","UseDPDF=Y")</f>
        <v>1.5611999999999999</v>
      </c>
      <c r="O91" s="14" cm="1">
        <f t="array" ref="O91">_xll.BDH("CAT US Equity","CUR_RATIO","FQ3 2021","FQ3 2021","Currency=USD","Period=FQ","BEST_FPERIOD_OVERRIDE=FQ","FILING_STATUS=MR","Sort=A","Dates=H","DateFormat=P","Fill=—","Direction=H","UseDPDF=Y")</f>
        <v>1.6128</v>
      </c>
      <c r="P91" s="14" cm="1">
        <f t="array" ref="P91">_xll.BDH("CAT US Equity","CUR_RATIO","FQ4 2021","FQ4 2021","Currency=USD","Period=FQ","BEST_FPERIOD_OVERRIDE=FQ","FILING_STATUS=MR","Sort=A","Dates=H","DateFormat=P","Fill=—","Direction=H","UseDPDF=Y")</f>
        <v>1.4559</v>
      </c>
      <c r="Q91" s="14" cm="1">
        <f t="array" ref="Q91">_xll.BDH("CAT US Equity","CUR_RATIO","FQ1 2022","FQ1 2022","Currency=USD","Period=FQ","BEST_FPERIOD_OVERRIDE=FQ","FILING_STATUS=MR","Sort=A","Dates=H","DateFormat=P","Fill=—","Direction=H","UseDPDF=Y")</f>
        <v>1.4415</v>
      </c>
      <c r="R91" s="14" cm="1">
        <f t="array" ref="R91">_xll.BDH("CAT US Equity","CUR_RATIO","FQ2 2022","FQ2 2022","Currency=USD","Period=FQ","BEST_FPERIOD_OVERRIDE=FQ","FILING_STATUS=MR","Sort=A","Dates=H","DateFormat=P","Fill=—","Direction=H","UseDPDF=Y")</f>
        <v>1.4495</v>
      </c>
      <c r="S91" s="14" cm="1">
        <f t="array" ref="S91">_xll.BDH("CAT US Equity","CUR_RATIO","FQ3 2022","FQ3 2022","Currency=USD","Period=FQ","BEST_FPERIOD_OVERRIDE=FQ","FILING_STATUS=MR","Sort=A","Dates=H","DateFormat=P","Fill=—","Direction=H","UseDPDF=Y")</f>
        <v>1.4097</v>
      </c>
      <c r="T91" s="14" cm="1">
        <f t="array" ref="T91">_xll.BDH("CAT US Equity","CUR_RATIO","FQ4 2022","FQ4 2022","Currency=USD","Period=FQ","BEST_FPERIOD_OVERRIDE=FQ","FILING_STATUS=MR","Sort=A","Dates=H","DateFormat=P","Fill=—","Direction=H","UseDPDF=Y")</f>
        <v>1.3886000000000001</v>
      </c>
      <c r="U91" s="14" cm="1">
        <f t="array" ref="U91">_xll.BDH("CAT US Equity","CUR_RATIO","FQ1 2023","FQ1 2023","Currency=USD","Period=FQ","BEST_FPERIOD_OVERRIDE=FQ","FILING_STATUS=MR","Sort=A","Dates=H","DateFormat=P","Fill=—","Direction=H","UseDPDF=Y")</f>
        <v>1.4339999999999999</v>
      </c>
      <c r="V91" s="14" cm="1">
        <f t="array" ref="V91">_xll.BDH("CAT US Equity","CUR_RATIO","FQ2 2023","FQ2 2023","Currency=USD","Period=FQ","BEST_FPERIOD_OVERRIDE=FQ","FILING_STATUS=MR","Sort=A","Dates=H","DateFormat=P","Fill=—","Direction=H","UseDPDF=Y")</f>
        <v>1.3309</v>
      </c>
      <c r="W91" s="14" cm="1">
        <f t="array" ref="W91">_xll.BDH("CAT US Equity","CUR_RATIO","FQ3 2023","FQ3 2023","Currency=USD","Period=FQ","BEST_FPERIOD_OVERRIDE=FQ","FILING_STATUS=MR","Sort=A","Dates=H","DateFormat=P","Fill=—","Direction=H","UseDPDF=Y")</f>
        <v>1.4493</v>
      </c>
      <c r="X91" s="14" cm="1">
        <f t="array" ref="X91">_xll.BDH("CAT US Equity","CUR_RATIO","FQ4 2023","FQ4 2023","Currency=USD","Period=FQ","BEST_FPERIOD_OVERRIDE=FQ","FILING_STATUS=MR","Sort=A","Dates=H","DateFormat=P","Fill=—","Direction=H","UseDPDF=Y")</f>
        <v>1.3519000000000001</v>
      </c>
      <c r="Y91" s="14" cm="1">
        <f t="array" ref="Y91">_xll.BDH("CAT US Equity","CUR_RATIO","FQ1 2024","FQ1 2024","Currency=USD","Period=FQ","BEST_FPERIOD_OVERRIDE=FQ","FILING_STATUS=MR","Sort=A","Dates=H","DateFormat=P","Fill=—","Direction=H","UseDPDF=Y")</f>
        <v>1.3489</v>
      </c>
      <c r="Z91" s="14" cm="1">
        <f t="array" ref="Z91">_xll.BDH("CAT US Equity","CUR_RATIO","FQ2 2024","FQ2 2024","Currency=USD","Period=FQ","BEST_FPERIOD_OVERRIDE=FQ","FILING_STATUS=MR","Sort=A","Dates=H","DateFormat=P","Fill=—","Direction=H","UseDPDF=Y")</f>
        <v>1.284</v>
      </c>
      <c r="AA91" s="14" cm="1">
        <f t="array" ref="AA91">_xll.BDH("CAT US Equity","CUR_RATIO","FQ3 2024","FQ3 2024","Currency=USD","Period=FQ","BEST_FPERIOD_OVERRIDE=FQ","FILING_STATUS=MR","Sort=A","Dates=H","DateFormat=P","Fill=—","Direction=H","UseDPDF=Y")</f>
        <v>1.3951</v>
      </c>
      <c r="AB91" s="14" cm="1">
        <f t="array" ref="AB91">_xll.BDH("CAT US Equity","CUR_RATIO","FQ4 2024","FQ4 2024","Currency=USD","Period=FQ","BEST_FPERIOD_OVERRIDE=FQ","FILING_STATUS=MR","Sort=A","Dates=H","DateFormat=P","Fill=—","Direction=H","UseDPDF=Y")</f>
        <v>1.4155</v>
      </c>
      <c r="AC91" s="14" cm="1">
        <f t="array" ref="AC91">_xll.BDH("CAT US Equity","CUR_RATIO","FQ1 2025","FQ1 2025","Currency=USD","Period=FQ","BEST_FPERIOD_OVERRIDE=FQ","FILING_STATUS=MR","Sort=A","Dates=H","DateFormat=P","Fill=—","Direction=H","UseDPDF=Y")</f>
        <v>1.3198000000000001</v>
      </c>
      <c r="AD91" s="14" cm="1">
        <f t="array" ref="AD91">_xll.BDH("CAT US Equity","CUR_RATIO","FQ2 2025","FQ2 2025","Currency=USD","Period=FQ","BEST_FPERIOD_OVERRIDE=FQ","FILING_STATUS=MR","Sort=A","Dates=H","DateFormat=P","Fill=—","Direction=H","UseDPDF=Y")</f>
        <v>1.3384</v>
      </c>
      <c r="AE91" s="14" cm="1">
        <f t="array" ref="AE91">_xll.BDH("CAT US Equity","CUR_RATIO","FQ3 2025","FQ3 2025","Currency=USD","Period=FQ","BEST_FPERIOD_OVERRIDE=FQ","FILING_STATUS=MR","Sort=A","Dates=H","DateFormat=P","Fill=—","Direction=H","UseDPDF=Y")</f>
        <v>1.3842000000000001</v>
      </c>
      <c r="AF91" s="14" cm="1">
        <f t="array" ref="AF91">_xll.BDH("CAT US Equity","CUR_RATIO","FQ4 2025","FQ4 2025","Currency=USD","Period=FQ","BEST_FPERIOD_OVERRIDE=FQ","FILING_STATUS=MR","Sort=A","Dates=H","DateFormat=P","Fill=—","Direction=H","UseDPDF=Y")</f>
        <v>1.4357</v>
      </c>
    </row>
    <row r="92" spans="1:32" x14ac:dyDescent="0.25">
      <c r="A92" s="10" t="s">
        <v>226</v>
      </c>
      <c r="B92" s="10" t="s">
        <v>227</v>
      </c>
      <c r="C92" s="14" cm="1">
        <f t="array" ref="C92">_xll.BDH("CAT US Equity","CASH_CONVERSION_CYCLE","FQ3 2018","FQ3 2018","Currency=USD","Period=FQ","BEST_FPERIOD_OVERRIDE=FQ","FILING_STATUS=MR","FA_ADJUSTED=GAAP","Sort=A","Dates=H","DateFormat=P","Fill=—","Direction=H","UseDPDF=Y")</f>
        <v>158.9452</v>
      </c>
      <c r="D92" s="14" cm="1">
        <f t="array" ref="D92">_xll.BDH("CAT US Equity","CASH_CONVERSION_CYCLE","FQ4 2018","FQ4 2018","Currency=USD","Period=FQ","BEST_FPERIOD_OVERRIDE=FQ","FILING_STATUS=MR","FA_ADJUSTED=GAAP","Sort=A","Dates=H","DateFormat=P","Fill=—","Direction=H","UseDPDF=Y")</f>
        <v>152.98750000000001</v>
      </c>
      <c r="E92" s="14" cm="1">
        <f t="array" ref="E92">_xll.BDH("CAT US Equity","CASH_CONVERSION_CYCLE","FQ1 2019","FQ1 2019","Currency=USD","Period=FQ","BEST_FPERIOD_OVERRIDE=FQ","FILING_STATUS=MR","FA_ADJUSTED=GAAP","Sort=A","Dates=H","DateFormat=P","Fill=—","Direction=H","UseDPDF=Y")</f>
        <v>159.60669999999999</v>
      </c>
      <c r="F92" s="14" cm="1">
        <f t="array" ref="F92">_xll.BDH("CAT US Equity","CASH_CONVERSION_CYCLE","FQ2 2019","FQ2 2019","Currency=USD","Period=FQ","BEST_FPERIOD_OVERRIDE=FQ","FILING_STATUS=MR","FA_ADJUSTED=GAAP","Sort=A","Dates=H","DateFormat=P","Fill=—","Direction=H","UseDPDF=Y")</f>
        <v>161.2199</v>
      </c>
      <c r="G92" s="14" cm="1">
        <f t="array" ref="G92">_xll.BDH("CAT US Equity","CASH_CONVERSION_CYCLE","FQ3 2019","FQ3 2019","Currency=USD","Period=FQ","BEST_FPERIOD_OVERRIDE=FQ","FILING_STATUS=MR","FA_ADJUSTED=GAAP","Sort=A","Dates=H","DateFormat=P","Fill=—","Direction=H","UseDPDF=Y")</f>
        <v>166.67439999999999</v>
      </c>
      <c r="H92" s="14" cm="1">
        <f t="array" ref="H92">_xll.BDH("CAT US Equity","CASH_CONVERSION_CYCLE","FQ4 2019","FQ4 2019","Currency=USD","Period=FQ","BEST_FPERIOD_OVERRIDE=FQ","FILING_STATUS=MR","FA_ADJUSTED=GAAP","Sort=A","Dates=H","DateFormat=P","Fill=—","Direction=H","UseDPDF=Y")</f>
        <v>166.6789</v>
      </c>
      <c r="I92" s="14" cm="1">
        <f t="array" ref="I92">_xll.BDH("CAT US Equity","CASH_CONVERSION_CYCLE","FQ1 2020","FQ1 2020","Currency=USD","Period=FQ","BEST_FPERIOD_OVERRIDE=FQ","FILING_STATUS=MR","FA_ADJUSTED=GAAP","Sort=A","Dates=H","DateFormat=P","Fill=—","Direction=H","UseDPDF=Y")</f>
        <v>180.0968</v>
      </c>
      <c r="J92" s="14" cm="1">
        <f t="array" ref="J92">_xll.BDH("CAT US Equity","CASH_CONVERSION_CYCLE","FQ2 2020","FQ2 2020","Currency=USD","Period=FQ","BEST_FPERIOD_OVERRIDE=FQ","FILING_STATUS=MR","FA_ADJUSTED=GAAP","Sort=A","Dates=H","DateFormat=P","Fill=—","Direction=H","UseDPDF=Y")</f>
        <v>196.47649999999999</v>
      </c>
      <c r="K92" s="14" cm="1">
        <f t="array" ref="K92">_xll.BDH("CAT US Equity","CASH_CONVERSION_CYCLE","FQ3 2020","FQ3 2020","Currency=USD","Period=FQ","BEST_FPERIOD_OVERRIDE=FQ","FILING_STATUS=MR","FA_ADJUSTED=GAAP","Sort=A","Dates=H","DateFormat=P","Fill=—","Direction=H","UseDPDF=Y")</f>
        <v>209.9984</v>
      </c>
      <c r="L92" s="14" cm="1">
        <f t="array" ref="L92">_xll.BDH("CAT US Equity","CASH_CONVERSION_CYCLE","FQ4 2020","FQ4 2020","Currency=USD","Period=FQ","BEST_FPERIOD_OVERRIDE=FQ","FILING_STATUS=MR","FA_ADJUSTED=GAAP","Sort=A","Dates=H","DateFormat=P","Fill=—","Direction=H","UseDPDF=Y")</f>
        <v>216.62180000000001</v>
      </c>
      <c r="M92" s="14" cm="1">
        <f t="array" ref="M92">_xll.BDH("CAT US Equity","CASH_CONVERSION_CYCLE","FQ1 2021","FQ1 2021","Currency=USD","Period=FQ","BEST_FPERIOD_OVERRIDE=FQ","FILING_STATUS=MR","FA_ADJUSTED=GAAP","Sort=A","Dates=H","DateFormat=P","Fill=—","Direction=H","UseDPDF=Y")</f>
        <v>213.2987</v>
      </c>
      <c r="N92" s="14" cm="1">
        <f t="array" ref="N92">_xll.BDH("CAT US Equity","CASH_CONVERSION_CYCLE","FQ2 2021","FQ2 2021","Currency=USD","Period=FQ","BEST_FPERIOD_OVERRIDE=FQ","FILING_STATUS=MR","FA_ADJUSTED=GAAP","Sort=A","Dates=H","DateFormat=P","Fill=—","Direction=H","UseDPDF=Y")</f>
        <v>202.24430000000001</v>
      </c>
      <c r="O92" s="14" cm="1">
        <f t="array" ref="O92">_xll.BDH("CAT US Equity","CASH_CONVERSION_CYCLE","FQ3 2021","FQ3 2021","Currency=USD","Period=FQ","BEST_FPERIOD_OVERRIDE=FQ","FILING_STATUS=MR","FA_ADJUSTED=GAAP","Sort=A","Dates=H","DateFormat=P","Fill=—","Direction=H","UseDPDF=Y")</f>
        <v>194.29329999999999</v>
      </c>
      <c r="P92" s="14" cm="1">
        <f t="array" ref="P92">_xll.BDH("CAT US Equity","CASH_CONVERSION_CYCLE","FQ4 2021","FQ4 2021","Currency=USD","Period=FQ","BEST_FPERIOD_OVERRIDE=FQ","FILING_STATUS=MR","FA_ADJUSTED=GAAP","Sort=A","Dates=H","DateFormat=P","Fill=—","Direction=H","UseDPDF=Y")</f>
        <v>182.4221</v>
      </c>
      <c r="Q92" s="14" cm="1">
        <f t="array" ref="Q92">_xll.BDH("CAT US Equity","CASH_CONVERSION_CYCLE","FQ1 2022","FQ1 2022","Currency=USD","Period=FQ","BEST_FPERIOD_OVERRIDE=FQ","FILING_STATUS=MR","FA_ADJUSTED=GAAP","Sort=A","Dates=H","DateFormat=P","Fill=—","Direction=H","UseDPDF=Y")</f>
        <v>185.85210000000001</v>
      </c>
      <c r="R92" s="14" cm="1">
        <f t="array" ref="R92">_xll.BDH("CAT US Equity","CASH_CONVERSION_CYCLE","FQ2 2022","FQ2 2022","Currency=USD","Period=FQ","BEST_FPERIOD_OVERRIDE=FQ","FILING_STATUS=MR","FA_ADJUSTED=GAAP","Sort=A","Dates=H","DateFormat=P","Fill=—","Direction=H","UseDPDF=Y")</f>
        <v>185.40899999999999</v>
      </c>
      <c r="S92" s="14" cm="1">
        <f t="array" ref="S92">_xll.BDH("CAT US Equity","CASH_CONVERSION_CYCLE","FQ3 2022","FQ3 2022","Currency=USD","Period=FQ","BEST_FPERIOD_OVERRIDE=FQ","FILING_STATUS=MR","FA_ADJUSTED=GAAP","Sort=A","Dates=H","DateFormat=P","Fill=—","Direction=H","UseDPDF=Y")</f>
        <v>180.9589</v>
      </c>
      <c r="T92" s="14" cm="1">
        <f t="array" ref="T92">_xll.BDH("CAT US Equity","CASH_CONVERSION_CYCLE","FQ4 2022","FQ4 2022","Currency=USD","Period=FQ","BEST_FPERIOD_OVERRIDE=FQ","FILING_STATUS=MR","FA_ADJUSTED=GAAP","Sort=A","Dates=H","DateFormat=P","Fill=—","Direction=H","UseDPDF=Y")</f>
        <v>169.8014</v>
      </c>
      <c r="U92" s="14" cm="1">
        <f t="array" ref="U92">_xll.BDH("CAT US Equity","CASH_CONVERSION_CYCLE","FQ1 2023","FQ1 2023","Currency=USD","Period=FQ","BEST_FPERIOD_OVERRIDE=FQ","FILING_STATUS=MR","FA_ADJUSTED=GAAP","Sort=A","Dates=H","DateFormat=P","Fill=—","Direction=H","UseDPDF=Y")</f>
        <v>177.6037</v>
      </c>
      <c r="V92" s="14" cm="1">
        <f t="array" ref="V92">_xll.BDH("CAT US Equity","CASH_CONVERSION_CYCLE","FQ2 2023","FQ2 2023","Currency=USD","Period=FQ","BEST_FPERIOD_OVERRIDE=FQ","FILING_STATUS=MR","FA_ADJUSTED=GAAP","Sort=A","Dates=H","DateFormat=P","Fill=—","Direction=H","UseDPDF=Y")</f>
        <v>175.1782</v>
      </c>
      <c r="W92" s="14" cm="1">
        <f t="array" ref="W92">_xll.BDH("CAT US Equity","CASH_CONVERSION_CYCLE","FQ3 2023","FQ3 2023","Currency=USD","Period=FQ","BEST_FPERIOD_OVERRIDE=FQ","FILING_STATUS=MR","FA_ADJUSTED=GAAP","Sort=A","Dates=H","DateFormat=P","Fill=—","Direction=H","UseDPDF=Y")</f>
        <v>174.37950000000001</v>
      </c>
      <c r="X92" s="14" cm="1">
        <f t="array" ref="X92">_xll.BDH("CAT US Equity","CASH_CONVERSION_CYCLE","FQ4 2023","FQ4 2023","Currency=USD","Period=FQ","BEST_FPERIOD_OVERRIDE=FQ","FILING_STATUS=MR","FA_ADJUSTED=GAAP","Sort=A","Dates=H","DateFormat=P","Fill=—","Direction=H","UseDPDF=Y")</f>
        <v>167.98099999999999</v>
      </c>
      <c r="Y92" s="14" cm="1">
        <f t="array" ref="Y92">_xll.BDH("CAT US Equity","CASH_CONVERSION_CYCLE","FQ1 2024","FQ1 2024","Currency=USD","Period=FQ","BEST_FPERIOD_OVERRIDE=FQ","FILING_STATUS=MR","FA_ADJUSTED=GAAP","Sort=A","Dates=H","DateFormat=P","Fill=—","Direction=H","UseDPDF=Y")</f>
        <v>175.42339999999999</v>
      </c>
      <c r="Z92" s="14" cm="1">
        <f t="array" ref="Z92">_xll.BDH("CAT US Equity","CASH_CONVERSION_CYCLE","FQ2 2024","FQ2 2024","Currency=USD","Period=FQ","BEST_FPERIOD_OVERRIDE=FQ","FILING_STATUS=MR","FA_ADJUSTED=GAAP","Sort=A","Dates=H","DateFormat=P","Fill=—","Direction=H","UseDPDF=Y")</f>
        <v>183.52010000000001</v>
      </c>
      <c r="AA92" s="14" cm="1">
        <f t="array" ref="AA92">_xll.BDH("CAT US Equity","CASH_CONVERSION_CYCLE","FQ3 2024","FQ3 2024","Currency=USD","Period=FQ","BEST_FPERIOD_OVERRIDE=FQ","FILING_STATUS=MR","FA_ADJUSTED=GAAP","Sort=A","Dates=H","DateFormat=P","Fill=—","Direction=H","UseDPDF=Y")</f>
        <v>188.4529</v>
      </c>
      <c r="AB92" s="14" cm="1">
        <f t="array" ref="AB92">_xll.BDH("CAT US Equity","CASH_CONVERSION_CYCLE","FQ4 2024","FQ4 2024","Currency=USD","Period=FQ","BEST_FPERIOD_OVERRIDE=FQ","FILING_STATUS=MR","FA_ADJUSTED=GAAP","Sort=A","Dates=H","DateFormat=P","Fill=—","Direction=H","UseDPDF=Y")</f>
        <v>185.35939999999999</v>
      </c>
      <c r="AC92" s="14" cm="1">
        <f t="array" ref="AC92">_xll.BDH("CAT US Equity","CASH_CONVERSION_CYCLE","FQ1 2025","FQ1 2025","Currency=USD","Period=FQ","BEST_FPERIOD_OVERRIDE=FQ","FILING_STATUS=MR","FA_ADJUSTED=GAAP","Sort=A","Dates=H","DateFormat=P","Fill=—","Direction=H","UseDPDF=Y")</f>
        <v>195.7902</v>
      </c>
      <c r="AD92" s="14" cm="1">
        <f t="array" ref="AD92">_xll.BDH("CAT US Equity","CASH_CONVERSION_CYCLE","FQ2 2025","FQ2 2025","Currency=USD","Period=FQ","BEST_FPERIOD_OVERRIDE=FQ","FILING_STATUS=MR","FA_ADJUSTED=GAAP","Sort=A","Dates=H","DateFormat=P","Fill=—","Direction=H","UseDPDF=Y")</f>
        <v>200.54650000000001</v>
      </c>
      <c r="AE92" s="14" cm="1">
        <f t="array" ref="AE92">_xll.BDH("CAT US Equity","CASH_CONVERSION_CYCLE","FQ3 2025","FQ3 2025","Currency=USD","Period=FQ","BEST_FPERIOD_OVERRIDE=FQ","FILING_STATUS=MR","FA_ADJUSTED=GAAP","Sort=A","Dates=H","DateFormat=P","Fill=—","Direction=H","UseDPDF=Y")</f>
        <v>197.6088</v>
      </c>
      <c r="AF92" s="14" cm="1">
        <f t="array" ref="AF92">_xll.BDH("CAT US Equity","CASH_CONVERSION_CYCLE","FQ4 2025","FQ4 2025","Currency=USD","Period=FQ","BEST_FPERIOD_OVERRIDE=FQ","FILING_STATUS=MR","FA_ADJUSTED=GAAP","Sort=A","Dates=H","DateFormat=P","Fill=—","Direction=H","UseDPDF=Y")</f>
        <v>183.4496</v>
      </c>
    </row>
    <row r="93" spans="1:32" x14ac:dyDescent="0.25">
      <c r="A93" s="10" t="s">
        <v>228</v>
      </c>
      <c r="B93" s="10" t="s">
        <v>229</v>
      </c>
      <c r="C93" s="13" cm="1">
        <f t="array" ref="C93">_xll.BDH("CAT US Equity","BS_CASH_HELD_OVERSEAS","FQ3 2018","FQ3 2018","Currency=USD","Period=FQ","BEST_FPERIOD_OVERRIDE=FQ","FILING_STATUS=MR","SCALING_FORMAT=MLN","Sort=A","Dates=H","DateFormat=P","Fill=—","Direction=H","UseDPDF=Y")</f>
        <v>7100</v>
      </c>
      <c r="D93" s="13" cm="1">
        <f t="array" ref="D93">_xll.BDH("CAT US Equity","BS_CASH_HELD_OVERSEAS","FQ4 2018","FQ4 2018","Currency=USD","Period=FQ","BEST_FPERIOD_OVERRIDE=FQ","FILING_STATUS=MR","SCALING_FORMAT=MLN","Sort=A","Dates=H","DateFormat=P","Fill=—","Direction=H","UseDPDF=Y")</f>
        <v>6900</v>
      </c>
      <c r="E93" s="13" t="str" cm="1">
        <f t="array" ref="E93">_xll.BDH("CAT US Equity","BS_CASH_HELD_OVERSEAS","FQ1 2019","FQ1 2019","Currency=USD","Period=FQ","BEST_FPERIOD_OVERRIDE=FQ","FILING_STATUS=MR","SCALING_FORMAT=MLN","Sort=A","Dates=H","DateFormat=P","Fill=—","Direction=H","UseDPDF=Y")</f>
        <v>—</v>
      </c>
      <c r="F93" s="13" cm="1">
        <f t="array" ref="F93">_xll.BDH("CAT US Equity","BS_CASH_HELD_OVERSEAS","FQ2 2019","FQ2 2019","Currency=USD","Period=FQ","BEST_FPERIOD_OVERRIDE=FQ","FILING_STATUS=MR","SCALING_FORMAT=MLN","Sort=A","Dates=H","DateFormat=P","Fill=—","Direction=H","UseDPDF=Y")</f>
        <v>3710</v>
      </c>
      <c r="G93" s="13" cm="1">
        <f t="array" ref="G93">_xll.BDH("CAT US Equity","BS_CASH_HELD_OVERSEAS","FQ3 2019","FQ3 2019","Currency=USD","Period=FQ","BEST_FPERIOD_OVERRIDE=FQ","FILING_STATUS=MR","SCALING_FORMAT=MLN","Sort=A","Dates=H","DateFormat=P","Fill=—","Direction=H","UseDPDF=Y")</f>
        <v>4480</v>
      </c>
      <c r="H93" s="13" t="str" cm="1">
        <f t="array" ref="H93">_xll.BDH("CAT US Equity","BS_CASH_HELD_OVERSEAS","FQ4 2019","FQ4 2019","Currency=USD","Period=FQ","BEST_FPERIOD_OVERRIDE=FQ","FILING_STATUS=MR","SCALING_FORMAT=MLN","Sort=A","Dates=H","DateFormat=P","Fill=—","Direction=H","UseDPDF=Y")</f>
        <v>—</v>
      </c>
      <c r="I93" s="13" cm="1">
        <f t="array" ref="I93">_xll.BDH("CAT US Equity","BS_CASH_HELD_OVERSEAS","FQ1 2020","FQ1 2020","Currency=USD","Period=FQ","BEST_FPERIOD_OVERRIDE=FQ","FILING_STATUS=MR","SCALING_FORMAT=MLN","Sort=A","Dates=H","DateFormat=P","Fill=—","Direction=H","UseDPDF=Y")</f>
        <v>1130</v>
      </c>
      <c r="J93" s="13" cm="1">
        <f t="array" ref="J93">_xll.BDH("CAT US Equity","BS_CASH_HELD_OVERSEAS","FQ2 2020","FQ2 2020","Currency=USD","Period=FQ","BEST_FPERIOD_OVERRIDE=FQ","FILING_STATUS=MR","SCALING_FORMAT=MLN","Sort=A","Dates=H","DateFormat=P","Fill=—","Direction=H","UseDPDF=Y")</f>
        <v>2520</v>
      </c>
      <c r="K93" s="13" t="str" cm="1">
        <f t="array" ref="K93">_xll.BDH("CAT US Equity","BS_CASH_HELD_OVERSEAS","FQ3 2020","FQ3 2020","Currency=USD","Period=FQ","BEST_FPERIOD_OVERRIDE=FQ","FILING_STATUS=MR","SCALING_FORMAT=MLN","Sort=A","Dates=H","DateFormat=P","Fill=—","Direction=H","UseDPDF=Y")</f>
        <v>—</v>
      </c>
      <c r="L93" s="13" t="str" cm="1">
        <f t="array" ref="L93">_xll.BDH("CAT US Equity","BS_CASH_HELD_OVERSEAS","FQ4 2020","FQ4 2020","Currency=USD","Period=FQ","BEST_FPERIOD_OVERRIDE=FQ","FILING_STATUS=MR","SCALING_FORMAT=MLN","Sort=A","Dates=H","DateFormat=P","Fill=—","Direction=H","UseDPDF=Y")</f>
        <v>—</v>
      </c>
      <c r="M93" s="13" cm="1">
        <f t="array" ref="M93">_xll.BDH("CAT US Equity","BS_CASH_HELD_OVERSEAS","FQ1 2021","FQ1 2021","Currency=USD","Period=FQ","BEST_FPERIOD_OVERRIDE=FQ","FILING_STATUS=MR","SCALING_FORMAT=MLN","Sort=A","Dates=H","DateFormat=P","Fill=—","Direction=H","UseDPDF=Y")</f>
        <v>1930</v>
      </c>
      <c r="N93" s="13" t="str" cm="1">
        <f t="array" ref="N93">_xll.BDH("CAT US Equity","BS_CASH_HELD_OVERSEAS","FQ2 2021","FQ2 2021","Currency=USD","Period=FQ","BEST_FPERIOD_OVERRIDE=FQ","FILING_STATUS=MR","SCALING_FORMAT=MLN","Sort=A","Dates=H","DateFormat=P","Fill=—","Direction=H","UseDPDF=Y")</f>
        <v>—</v>
      </c>
      <c r="O93" s="13" t="str" cm="1">
        <f t="array" ref="O93">_xll.BDH("CAT US Equity","BS_CASH_HELD_OVERSEAS","FQ3 2021","FQ3 2021","Currency=USD","Period=FQ","BEST_FPERIOD_OVERRIDE=FQ","FILING_STATUS=MR","SCALING_FORMAT=MLN","Sort=A","Dates=H","DateFormat=P","Fill=—","Direction=H","UseDPDF=Y")</f>
        <v>—</v>
      </c>
      <c r="P93" s="13" t="str" cm="1">
        <f t="array" ref="P93">_xll.BDH("CAT US Equity","BS_CASH_HELD_OVERSEAS","FQ4 2021","FQ4 2021","Currency=USD","Period=FQ","BEST_FPERIOD_OVERRIDE=FQ","FILING_STATUS=MR","SCALING_FORMAT=MLN","Sort=A","Dates=H","DateFormat=P","Fill=—","Direction=H","UseDPDF=Y")</f>
        <v>—</v>
      </c>
      <c r="Q93" s="13" cm="1">
        <f t="array" ref="Q93">_xll.BDH("CAT US Equity","BS_CASH_HELD_OVERSEAS","FQ1 2022","FQ1 2022","Currency=USD","Period=FQ","BEST_FPERIOD_OVERRIDE=FQ","FILING_STATUS=MR","SCALING_FORMAT=MLN","Sort=A","Dates=H","DateFormat=P","Fill=—","Direction=H","UseDPDF=Y")</f>
        <v>313</v>
      </c>
      <c r="R93" s="13" t="str" cm="1">
        <f t="array" ref="R93">_xll.BDH("CAT US Equity","BS_CASH_HELD_OVERSEAS","FQ2 2022","FQ2 2022","Currency=USD","Period=FQ","BEST_FPERIOD_OVERRIDE=FQ","FILING_STATUS=MR","SCALING_FORMAT=MLN","Sort=A","Dates=H","DateFormat=P","Fill=—","Direction=H","UseDPDF=Y")</f>
        <v>—</v>
      </c>
      <c r="S93" s="13" t="str" cm="1">
        <f t="array" ref="S93">_xll.BDH("CAT US Equity","BS_CASH_HELD_OVERSEAS","FQ3 2022","FQ3 2022","Currency=USD","Period=FQ","BEST_FPERIOD_OVERRIDE=FQ","FILING_STATUS=MR","SCALING_FORMAT=MLN","Sort=A","Dates=H","DateFormat=P","Fill=—","Direction=H","UseDPDF=Y")</f>
        <v>—</v>
      </c>
      <c r="T93" s="13" t="str" cm="1">
        <f t="array" ref="T93">_xll.BDH("CAT US Equity","BS_CASH_HELD_OVERSEAS","FQ4 2022","FQ4 2022","Currency=USD","Period=FQ","BEST_FPERIOD_OVERRIDE=FQ","FILING_STATUS=MR","SCALING_FORMAT=MLN","Sort=A","Dates=H","DateFormat=P","Fill=—","Direction=H","UseDPDF=Y")</f>
        <v>—</v>
      </c>
      <c r="U93" s="13" t="str" cm="1">
        <f t="array" ref="U93">_xll.BDH("CAT US Equity","BS_CASH_HELD_OVERSEAS","FQ1 2023","FQ1 2023","Currency=USD","Period=FQ","BEST_FPERIOD_OVERRIDE=FQ","FILING_STATUS=MR","SCALING_FORMAT=MLN","Sort=A","Dates=H","DateFormat=P","Fill=—","Direction=H","UseDPDF=Y")</f>
        <v>—</v>
      </c>
      <c r="V93" s="13" t="str" cm="1">
        <f t="array" ref="V93">_xll.BDH("CAT US Equity","BS_CASH_HELD_OVERSEAS","FQ2 2023","FQ2 2023","Currency=USD","Period=FQ","BEST_FPERIOD_OVERRIDE=FQ","FILING_STATUS=MR","SCALING_FORMAT=MLN","Sort=A","Dates=H","DateFormat=P","Fill=—","Direction=H","UseDPDF=Y")</f>
        <v>—</v>
      </c>
      <c r="W93" s="13" t="str" cm="1">
        <f t="array" ref="W93">_xll.BDH("CAT US Equity","BS_CASH_HELD_OVERSEAS","FQ3 2023","FQ3 2023","Currency=USD","Period=FQ","BEST_FPERIOD_OVERRIDE=FQ","FILING_STATUS=MR","SCALING_FORMAT=MLN","Sort=A","Dates=H","DateFormat=P","Fill=—","Direction=H","UseDPDF=Y")</f>
        <v>—</v>
      </c>
      <c r="X93" s="13" t="str" cm="1">
        <f t="array" ref="X93">_xll.BDH("CAT US Equity","BS_CASH_HELD_OVERSEAS","FQ4 2023","FQ4 2023","Currency=USD","Period=FQ","BEST_FPERIOD_OVERRIDE=FQ","FILING_STATUS=MR","SCALING_FORMAT=MLN","Sort=A","Dates=H","DateFormat=P","Fill=—","Direction=H","UseDPDF=Y")</f>
        <v>—</v>
      </c>
      <c r="Y93" s="13" t="str" cm="1">
        <f t="array" ref="Y93">_xll.BDH("CAT US Equity","BS_CASH_HELD_OVERSEAS","FQ1 2024","FQ1 2024","Currency=USD","Period=FQ","BEST_FPERIOD_OVERRIDE=FQ","FILING_STATUS=MR","SCALING_FORMAT=MLN","Sort=A","Dates=H","DateFormat=P","Fill=—","Direction=H","UseDPDF=Y")</f>
        <v>—</v>
      </c>
      <c r="Z93" s="13" t="str" cm="1">
        <f t="array" ref="Z93">_xll.BDH("CAT US Equity","BS_CASH_HELD_OVERSEAS","FQ2 2024","FQ2 2024","Currency=USD","Period=FQ","BEST_FPERIOD_OVERRIDE=FQ","FILING_STATUS=MR","SCALING_FORMAT=MLN","Sort=A","Dates=H","DateFormat=P","Fill=—","Direction=H","UseDPDF=Y")</f>
        <v>—</v>
      </c>
      <c r="AA93" s="13" t="str" cm="1">
        <f t="array" ref="AA93">_xll.BDH("CAT US Equity","BS_CASH_HELD_OVERSEAS","FQ3 2024","FQ3 2024","Currency=USD","Period=FQ","BEST_FPERIOD_OVERRIDE=FQ","FILING_STATUS=MR","SCALING_FORMAT=MLN","Sort=A","Dates=H","DateFormat=P","Fill=—","Direction=H","UseDPDF=Y")</f>
        <v>—</v>
      </c>
      <c r="AB93" s="13" t="str" cm="1">
        <f t="array" ref="AB93">_xll.BDH("CAT US Equity","BS_CASH_HELD_OVERSEAS","FQ4 2024","FQ4 2024","Currency=USD","Period=FQ","BEST_FPERIOD_OVERRIDE=FQ","FILING_STATUS=MR","SCALING_FORMAT=MLN","Sort=A","Dates=H","DateFormat=P","Fill=—","Direction=H","UseDPDF=Y")</f>
        <v>—</v>
      </c>
      <c r="AC93" s="13" t="str" cm="1">
        <f t="array" ref="AC93">_xll.BDH("CAT US Equity","BS_CASH_HELD_OVERSEAS","FQ1 2025","FQ1 2025","Currency=USD","Period=FQ","BEST_FPERIOD_OVERRIDE=FQ","FILING_STATUS=MR","SCALING_FORMAT=MLN","Sort=A","Dates=H","DateFormat=P","Fill=—","Direction=H","UseDPDF=Y")</f>
        <v>—</v>
      </c>
      <c r="AD93" s="13" t="str" cm="1">
        <f t="array" ref="AD93">_xll.BDH("CAT US Equity","BS_CASH_HELD_OVERSEAS","FQ2 2025","FQ2 2025","Currency=USD","Period=FQ","BEST_FPERIOD_OVERRIDE=FQ","FILING_STATUS=MR","SCALING_FORMAT=MLN","Sort=A","Dates=H","DateFormat=P","Fill=—","Direction=H","UseDPDF=Y")</f>
        <v>—</v>
      </c>
      <c r="AE93" s="13" t="str" cm="1">
        <f t="array" ref="AE93">_xll.BDH("CAT US Equity","BS_CASH_HELD_OVERSEAS","FQ3 2025","FQ3 2025","Currency=USD","Period=FQ","BEST_FPERIOD_OVERRIDE=FQ","FILING_STATUS=MR","SCALING_FORMAT=MLN","Sort=A","Dates=H","DateFormat=P","Fill=—","Direction=H","UseDPDF=Y")</f>
        <v>—</v>
      </c>
      <c r="AF93" s="13" t="str" cm="1">
        <f t="array" ref="AF93">_xll.BDH("CAT US Equity","BS_CASH_HELD_OVERSEAS","FQ4 2025","FQ4 2025","Currency=USD","Period=FQ","BEST_FPERIOD_OVERRIDE=FQ","FILING_STATUS=MR","SCALING_FORMAT=MLN","Sort=A","Dates=H","DateFormat=P","Fill=—","Direction=H","UseDPDF=Y")</f>
        <v>—</v>
      </c>
    </row>
    <row r="94" spans="1:32" x14ac:dyDescent="0.25">
      <c r="A94" s="10" t="s">
        <v>230</v>
      </c>
      <c r="B94" s="10" t="s">
        <v>231</v>
      </c>
      <c r="C94" s="14" cm="1">
        <f t="array" ref="C94">_xll.BDH("CAT US Equity","NUM_OF_EMPLOYEES","FQ3 2018","FQ3 2018","Currency=USD","Period=FQ","BEST_FPERIOD_OVERRIDE=FQ","FILING_STATUS=MR","Sort=A","Dates=H","DateFormat=P","Fill=—","Direction=H","UseDPDF=Y")</f>
        <v>103000</v>
      </c>
      <c r="D94" s="14" cm="1">
        <f t="array" ref="D94">_xll.BDH("CAT US Equity","NUM_OF_EMPLOYEES","FQ4 2018","FQ4 2018","Currency=USD","Period=FQ","BEST_FPERIOD_OVERRIDE=FQ","FILING_STATUS=MR","Sort=A","Dates=H","DateFormat=P","Fill=—","Direction=H","UseDPDF=Y")</f>
        <v>104000</v>
      </c>
      <c r="E94" s="14" cm="1">
        <f t="array" ref="E94">_xll.BDH("CAT US Equity","NUM_OF_EMPLOYEES","FQ1 2019","FQ1 2019","Currency=USD","Period=FQ","BEST_FPERIOD_OVERRIDE=FQ","FILING_STATUS=MR","Sort=A","Dates=H","DateFormat=P","Fill=—","Direction=H","UseDPDF=Y")</f>
        <v>104000</v>
      </c>
      <c r="F94" s="14" t="str" cm="1">
        <f t="array" ref="F94">_xll.BDH("CAT US Equity","NUM_OF_EMPLOYEES","FQ2 2019","FQ2 2019","Currency=USD","Period=FQ","BEST_FPERIOD_OVERRIDE=FQ","FILING_STATUS=MR","Sort=A","Dates=H","DateFormat=P","Fill=—","Direction=H","UseDPDF=Y")</f>
        <v>—</v>
      </c>
      <c r="G94" s="14" t="str" cm="1">
        <f t="array" ref="G94">_xll.BDH("CAT US Equity","NUM_OF_EMPLOYEES","FQ3 2019","FQ3 2019","Currency=USD","Period=FQ","BEST_FPERIOD_OVERRIDE=FQ","FILING_STATUS=MR","Sort=A","Dates=H","DateFormat=P","Fill=—","Direction=H","UseDPDF=Y")</f>
        <v>—</v>
      </c>
      <c r="H94" s="14" cm="1">
        <f t="array" ref="H94">_xll.BDH("CAT US Equity","NUM_OF_EMPLOYEES","FQ4 2019","FQ4 2019","Currency=USD","Period=FQ","BEST_FPERIOD_OVERRIDE=FQ","FILING_STATUS=MR","Sort=A","Dates=H","DateFormat=P","Fill=—","Direction=H","UseDPDF=Y")</f>
        <v>102300</v>
      </c>
      <c r="I94" s="14" t="str" cm="1">
        <f t="array" ref="I94">_xll.BDH("CAT US Equity","NUM_OF_EMPLOYEES","FQ1 2020","FQ1 2020","Currency=USD","Period=FQ","BEST_FPERIOD_OVERRIDE=FQ","FILING_STATUS=MR","Sort=A","Dates=H","DateFormat=P","Fill=—","Direction=H","UseDPDF=Y")</f>
        <v>—</v>
      </c>
      <c r="J94" s="14" t="str" cm="1">
        <f t="array" ref="J94">_xll.BDH("CAT US Equity","NUM_OF_EMPLOYEES","FQ2 2020","FQ2 2020","Currency=USD","Period=FQ","BEST_FPERIOD_OVERRIDE=FQ","FILING_STATUS=MR","Sort=A","Dates=H","DateFormat=P","Fill=—","Direction=H","UseDPDF=Y")</f>
        <v>—</v>
      </c>
      <c r="K94" s="14" t="str" cm="1">
        <f t="array" ref="K94">_xll.BDH("CAT US Equity","NUM_OF_EMPLOYEES","FQ3 2020","FQ3 2020","Currency=USD","Period=FQ","BEST_FPERIOD_OVERRIDE=FQ","FILING_STATUS=MR","Sort=A","Dates=H","DateFormat=P","Fill=—","Direction=H","UseDPDF=Y")</f>
        <v>—</v>
      </c>
      <c r="L94" s="14" cm="1">
        <f t="array" ref="L94">_xll.BDH("CAT US Equity","NUM_OF_EMPLOYEES","FQ4 2020","FQ4 2020","Currency=USD","Period=FQ","BEST_FPERIOD_OVERRIDE=FQ","FILING_STATUS=MR","Sort=A","Dates=H","DateFormat=P","Fill=—","Direction=H","UseDPDF=Y")</f>
        <v>97300</v>
      </c>
      <c r="M94" s="14" t="str" cm="1">
        <f t="array" ref="M94">_xll.BDH("CAT US Equity","NUM_OF_EMPLOYEES","FQ1 2021","FQ1 2021","Currency=USD","Period=FQ","BEST_FPERIOD_OVERRIDE=FQ","FILING_STATUS=MR","Sort=A","Dates=H","DateFormat=P","Fill=—","Direction=H","UseDPDF=Y")</f>
        <v>—</v>
      </c>
      <c r="N94" s="14" t="str" cm="1">
        <f t="array" ref="N94">_xll.BDH("CAT US Equity","NUM_OF_EMPLOYEES","FQ2 2021","FQ2 2021","Currency=USD","Period=FQ","BEST_FPERIOD_OVERRIDE=FQ","FILING_STATUS=MR","Sort=A","Dates=H","DateFormat=P","Fill=—","Direction=H","UseDPDF=Y")</f>
        <v>—</v>
      </c>
      <c r="O94" s="14" t="str" cm="1">
        <f t="array" ref="O94">_xll.BDH("CAT US Equity","NUM_OF_EMPLOYEES","FQ3 2021","FQ3 2021","Currency=USD","Period=FQ","BEST_FPERIOD_OVERRIDE=FQ","FILING_STATUS=MR","Sort=A","Dates=H","DateFormat=P","Fill=—","Direction=H","UseDPDF=Y")</f>
        <v>—</v>
      </c>
      <c r="P94" s="14" cm="1">
        <f t="array" ref="P94">_xll.BDH("CAT US Equity","NUM_OF_EMPLOYEES","FQ4 2021","FQ4 2021","Currency=USD","Period=FQ","BEST_FPERIOD_OVERRIDE=FQ","FILING_STATUS=MR","Sort=A","Dates=H","DateFormat=P","Fill=—","Direction=H","UseDPDF=Y")</f>
        <v>107700</v>
      </c>
      <c r="Q94" s="14" t="str" cm="1">
        <f t="array" ref="Q94">_xll.BDH("CAT US Equity","NUM_OF_EMPLOYEES","FQ1 2022","FQ1 2022","Currency=USD","Period=FQ","BEST_FPERIOD_OVERRIDE=FQ","FILING_STATUS=MR","Sort=A","Dates=H","DateFormat=P","Fill=—","Direction=H","UseDPDF=Y")</f>
        <v>—</v>
      </c>
      <c r="R94" s="14" t="str" cm="1">
        <f t="array" ref="R94">_xll.BDH("CAT US Equity","NUM_OF_EMPLOYEES","FQ2 2022","FQ2 2022","Currency=USD","Period=FQ","BEST_FPERIOD_OVERRIDE=FQ","FILING_STATUS=MR","Sort=A","Dates=H","DateFormat=P","Fill=—","Direction=H","UseDPDF=Y")</f>
        <v>—</v>
      </c>
      <c r="S94" s="14" t="str" cm="1">
        <f t="array" ref="S94">_xll.BDH("CAT US Equity","NUM_OF_EMPLOYEES","FQ3 2022","FQ3 2022","Currency=USD","Period=FQ","BEST_FPERIOD_OVERRIDE=FQ","FILING_STATUS=MR","Sort=A","Dates=H","DateFormat=P","Fill=—","Direction=H","UseDPDF=Y")</f>
        <v>—</v>
      </c>
      <c r="T94" s="14" cm="1">
        <f t="array" ref="T94">_xll.BDH("CAT US Equity","NUM_OF_EMPLOYEES","FQ4 2022","FQ4 2022","Currency=USD","Period=FQ","BEST_FPERIOD_OVERRIDE=FQ","FILING_STATUS=MR","Sort=A","Dates=H","DateFormat=P","Fill=—","Direction=H","UseDPDF=Y")</f>
        <v>109100</v>
      </c>
      <c r="U94" s="14" t="str" cm="1">
        <f t="array" ref="U94">_xll.BDH("CAT US Equity","NUM_OF_EMPLOYEES","FQ1 2023","FQ1 2023","Currency=USD","Period=FQ","BEST_FPERIOD_OVERRIDE=FQ","FILING_STATUS=MR","Sort=A","Dates=H","DateFormat=P","Fill=—","Direction=H","UseDPDF=Y")</f>
        <v>—</v>
      </c>
      <c r="V94" s="14" t="str" cm="1">
        <f t="array" ref="V94">_xll.BDH("CAT US Equity","NUM_OF_EMPLOYEES","FQ2 2023","FQ2 2023","Currency=USD","Period=FQ","BEST_FPERIOD_OVERRIDE=FQ","FILING_STATUS=MR","Sort=A","Dates=H","DateFormat=P","Fill=—","Direction=H","UseDPDF=Y")</f>
        <v>—</v>
      </c>
      <c r="W94" s="14" t="str" cm="1">
        <f t="array" ref="W94">_xll.BDH("CAT US Equity","NUM_OF_EMPLOYEES","FQ3 2023","FQ3 2023","Currency=USD","Period=FQ","BEST_FPERIOD_OVERRIDE=FQ","FILING_STATUS=MR","Sort=A","Dates=H","DateFormat=P","Fill=—","Direction=H","UseDPDF=Y")</f>
        <v>—</v>
      </c>
      <c r="X94" s="14" t="str" cm="1">
        <f t="array" ref="X94">_xll.BDH("CAT US Equity","NUM_OF_EMPLOYEES","FQ4 2023","FQ4 2023","Currency=USD","Period=FQ","BEST_FPERIOD_OVERRIDE=FQ","FILING_STATUS=MR","Sort=A","Dates=H","DateFormat=P","Fill=—","Direction=H","UseDPDF=Y")</f>
        <v>—</v>
      </c>
      <c r="Y94" s="14" t="str" cm="1">
        <f t="array" ref="Y94">_xll.BDH("CAT US Equity","NUM_OF_EMPLOYEES","FQ1 2024","FQ1 2024","Currency=USD","Period=FQ","BEST_FPERIOD_OVERRIDE=FQ","FILING_STATUS=MR","Sort=A","Dates=H","DateFormat=P","Fill=—","Direction=H","UseDPDF=Y")</f>
        <v>—</v>
      </c>
      <c r="Z94" s="14" t="str" cm="1">
        <f t="array" ref="Z94">_xll.BDH("CAT US Equity","NUM_OF_EMPLOYEES","FQ2 2024","FQ2 2024","Currency=USD","Period=FQ","BEST_FPERIOD_OVERRIDE=FQ","FILING_STATUS=MR","Sort=A","Dates=H","DateFormat=P","Fill=—","Direction=H","UseDPDF=Y")</f>
        <v>—</v>
      </c>
      <c r="AA94" s="14" t="str" cm="1">
        <f t="array" ref="AA94">_xll.BDH("CAT US Equity","NUM_OF_EMPLOYEES","FQ3 2024","FQ3 2024","Currency=USD","Period=FQ","BEST_FPERIOD_OVERRIDE=FQ","FILING_STATUS=MR","Sort=A","Dates=H","DateFormat=P","Fill=—","Direction=H","UseDPDF=Y")</f>
        <v>—</v>
      </c>
      <c r="AB94" s="14" t="str" cm="1">
        <f t="array" ref="AB94">_xll.BDH("CAT US Equity","NUM_OF_EMPLOYEES","FQ4 2024","FQ4 2024","Currency=USD","Period=FQ","BEST_FPERIOD_OVERRIDE=FQ","FILING_STATUS=MR","Sort=A","Dates=H","DateFormat=P","Fill=—","Direction=H","UseDPDF=Y")</f>
        <v>—</v>
      </c>
      <c r="AC94" s="14" t="str" cm="1">
        <f t="array" ref="AC94">_xll.BDH("CAT US Equity","NUM_OF_EMPLOYEES","FQ1 2025","FQ1 2025","Currency=USD","Period=FQ","BEST_FPERIOD_OVERRIDE=FQ","FILING_STATUS=MR","Sort=A","Dates=H","DateFormat=P","Fill=—","Direction=H","UseDPDF=Y")</f>
        <v>—</v>
      </c>
      <c r="AD94" s="14" t="str" cm="1">
        <f t="array" ref="AD94">_xll.BDH("CAT US Equity","NUM_OF_EMPLOYEES","FQ2 2025","FQ2 2025","Currency=USD","Period=FQ","BEST_FPERIOD_OVERRIDE=FQ","FILING_STATUS=MR","Sort=A","Dates=H","DateFormat=P","Fill=—","Direction=H","UseDPDF=Y")</f>
        <v>—</v>
      </c>
      <c r="AE94" s="14" t="str" cm="1">
        <f t="array" ref="AE94">_xll.BDH("CAT US Equity","NUM_OF_EMPLOYEES","FQ3 2025","FQ3 2025","Currency=USD","Period=FQ","BEST_FPERIOD_OVERRIDE=FQ","FILING_STATUS=MR","Sort=A","Dates=H","DateFormat=P","Fill=—","Direction=H","UseDPDF=Y")</f>
        <v>—</v>
      </c>
      <c r="AF94" s="14" t="str" cm="1">
        <f t="array" ref="AF94">_xll.BDH("CAT US Equity","NUM_OF_EMPLOYEES","FQ4 2025","FQ4 2025","Currency=USD","Period=FQ","BEST_FPERIOD_OVERRIDE=FQ","FILING_STATUS=MR","Sort=A","Dates=H","DateFormat=P","Fill=—","Direction=H","UseDPDF=Y")</f>
        <v>—</v>
      </c>
    </row>
    <row r="95" spans="1:32" x14ac:dyDescent="0.25">
      <c r="A95" s="7" t="s">
        <v>232</v>
      </c>
      <c r="B95" s="7"/>
      <c r="C95" s="7" t="s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2026-02-19T01:55:51Z</dcterms:modified>
</cp:coreProperties>
</file>