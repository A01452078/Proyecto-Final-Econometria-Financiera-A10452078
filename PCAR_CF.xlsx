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03518131\Desktop\Bloomberg\Mariann\FA Excel\"/>
    </mc:Choice>
  </mc:AlternateContent>
  <xr:revisionPtr revIDLastSave="0" documentId="8_{AF62AC92-5AB0-4D7C-9F56-D2482DB0C6D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sh Flow - Standardized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34" i="2" l="1" a="1"/>
  <c r="L16" i="2" a="1"/>
  <c r="L14" i="2" a="1"/>
  <c r="L42" i="2" a="1"/>
  <c r="AC21" i="2" a="1"/>
  <c r="AC9" i="2" a="1"/>
  <c r="AC39" i="2" a="1"/>
  <c r="AA35" i="2" a="1"/>
  <c r="AA14" i="2" a="1"/>
  <c r="AA25" i="2" a="1"/>
  <c r="I21" i="2" a="1"/>
  <c r="I52" i="2" a="1"/>
  <c r="I25" i="2" a="1"/>
  <c r="I15" i="2" a="1"/>
  <c r="U40" i="2" a="1"/>
  <c r="U30" i="2" a="1"/>
  <c r="U14" i="2" a="1"/>
  <c r="C50" i="2" a="1"/>
  <c r="C31" i="2" a="1"/>
  <c r="C28" i="2" a="1"/>
  <c r="O13" i="2" a="1"/>
  <c r="O52" i="2" a="1"/>
  <c r="O23" i="2" a="1"/>
  <c r="O45" i="2" a="1"/>
  <c r="L46" i="2" a="1"/>
  <c r="L30" i="2" a="1"/>
  <c r="L8" i="2" a="1"/>
  <c r="AC47" i="2" a="1"/>
  <c r="AC15" i="2" a="1"/>
  <c r="AA48" i="2" a="1"/>
  <c r="I42" i="2" a="1"/>
  <c r="I24" i="2" a="1"/>
  <c r="I8" i="2" a="1"/>
  <c r="U32" i="2" a="1"/>
  <c r="C11" i="2" a="1"/>
  <c r="C46" i="2" a="1"/>
  <c r="O41" i="2" a="1"/>
  <c r="O39" i="2" a="1"/>
  <c r="L32" i="2" a="1"/>
  <c r="L12" i="2" a="1"/>
  <c r="AC19" i="2" a="1"/>
  <c r="AC45" i="2" a="1"/>
  <c r="AA30" i="2" a="1"/>
  <c r="I44" i="2" a="1"/>
  <c r="I32" i="2" a="1"/>
  <c r="U19" i="2" a="1"/>
  <c r="U9" i="2" a="1"/>
  <c r="C39" i="2" a="1"/>
  <c r="C20" i="2" a="1"/>
  <c r="O34" i="2" a="1"/>
  <c r="L22" i="2" a="1"/>
  <c r="L40" i="2" a="1"/>
  <c r="AC25" i="2" a="1"/>
  <c r="AC13" i="2" a="1"/>
  <c r="AA32" i="2" a="1"/>
  <c r="I31" i="2" a="1"/>
  <c r="U8" i="2" a="1"/>
  <c r="U45" i="2" a="1"/>
  <c r="U10" i="2" a="1"/>
  <c r="C12" i="2" a="1"/>
  <c r="O16" i="2" a="1"/>
  <c r="L10" i="2" a="1"/>
  <c r="AC11" i="2" a="1"/>
  <c r="AA47" i="2" a="1"/>
  <c r="AA12" i="2" a="1"/>
  <c r="I16" i="2" a="1"/>
  <c r="U24" i="2" a="1"/>
  <c r="U48" i="2" a="1"/>
  <c r="C13" i="2" a="1"/>
  <c r="O29" i="2" a="1"/>
  <c r="O14" i="2" a="1"/>
  <c r="L44" i="2" a="1"/>
  <c r="AC29" i="2" a="1"/>
  <c r="AC50" i="2" a="1"/>
  <c r="AA15" i="2" a="1"/>
  <c r="AA27" i="2" a="1"/>
  <c r="I13" i="2" a="1"/>
  <c r="U35" i="2" a="1"/>
  <c r="U7" i="2" a="1"/>
  <c r="C29" i="2" a="1"/>
  <c r="O58" i="2" a="1"/>
  <c r="O42" i="2" a="1"/>
  <c r="L26" i="2" a="1"/>
  <c r="AC41" i="2" a="1"/>
  <c r="AC33" i="2" a="1"/>
  <c r="AA42" i="2" a="1"/>
  <c r="AA19" i="2" a="1"/>
  <c r="I60" i="2" a="1"/>
  <c r="I41" i="2" a="1"/>
  <c r="U27" i="2" a="1"/>
  <c r="C41" i="2" a="1"/>
  <c r="C26" i="2" a="1"/>
  <c r="O60" i="2" a="1"/>
  <c r="O32" i="2" a="1"/>
  <c r="L28" i="2" a="1"/>
  <c r="AC23" i="2" a="1"/>
  <c r="AA33" i="2" a="1"/>
  <c r="I50" i="2" a="1"/>
  <c r="U42" i="2" a="1"/>
  <c r="C8" i="2" a="1"/>
  <c r="C60" i="2" a="1"/>
  <c r="O26" i="2" a="1"/>
  <c r="L48" i="2" a="1"/>
  <c r="AC27" i="2" a="1"/>
  <c r="L24" i="2" a="1"/>
  <c r="AC31" i="2" a="1"/>
  <c r="AA24" i="2" a="1"/>
  <c r="U11" i="2" a="1"/>
  <c r="AC7" i="2" a="1"/>
  <c r="I26" i="2" a="1"/>
  <c r="C10" i="2" a="1"/>
  <c r="L20" i="2" a="1"/>
  <c r="AA9" i="2" a="1"/>
  <c r="U52" i="2" a="1"/>
  <c r="O24" i="2" a="1"/>
  <c r="AC43" i="2" a="1"/>
  <c r="AA7" i="2" a="1"/>
  <c r="O44" i="2" a="1"/>
  <c r="O11" i="2" a="1"/>
  <c r="U12" i="2" a="1"/>
  <c r="C16" i="2" a="1"/>
  <c r="C38" i="2" a="1"/>
  <c r="AC35" i="2" a="1"/>
  <c r="AA40" i="2" a="1"/>
  <c r="I23" i="2" a="1"/>
  <c r="U13" i="2" a="1"/>
  <c r="C34" i="2" a="1"/>
  <c r="C44" i="2" a="1"/>
  <c r="O19" i="2" a="1"/>
  <c r="I14" i="2" a="1"/>
  <c r="L52" i="2" a="1"/>
  <c r="AA45" i="2" a="1"/>
  <c r="U22" i="2" a="1"/>
  <c r="O47" i="2" a="1"/>
  <c r="AA52" i="2" a="1"/>
  <c r="I34" i="2" a="1"/>
  <c r="C47" i="2" a="1"/>
  <c r="L38" i="2" a="1"/>
  <c r="AA58" i="2" a="1"/>
  <c r="I7" i="2" a="1"/>
  <c r="V24" i="2" a="1"/>
  <c r="V8" i="2" a="1"/>
  <c r="V44" i="2" a="1"/>
  <c r="V10" i="2" a="1"/>
  <c r="J42" i="2" a="1"/>
  <c r="J9" i="2" a="1"/>
  <c r="J28" i="2" a="1"/>
  <c r="P47" i="2" a="1"/>
  <c r="P31" i="2" a="1"/>
  <c r="P29" i="2" a="1"/>
  <c r="P23" i="2" a="1"/>
  <c r="D11" i="2" a="1"/>
  <c r="D39" i="2" a="1"/>
  <c r="D60" i="2" a="1"/>
  <c r="AA62" i="2" a="1"/>
  <c r="AB7" i="2" a="1"/>
  <c r="AB13" i="2" a="1"/>
  <c r="AB60" i="2" a="1"/>
  <c r="I59" i="2" a="1"/>
  <c r="O7" i="2" a="1"/>
  <c r="O33" i="2" a="1"/>
  <c r="O35" i="2" a="1"/>
  <c r="O59" i="2" a="1"/>
  <c r="U28" i="2" a="1"/>
  <c r="U50" i="2" a="1"/>
  <c r="U31" i="2" a="1"/>
  <c r="U21" i="2" a="1"/>
  <c r="AA26" i="2" a="1"/>
  <c r="AA34" i="2" a="1"/>
  <c r="AA39" i="2" a="1"/>
  <c r="AA10" i="2" a="1"/>
  <c r="I43" i="2" a="1"/>
  <c r="I27" i="2" a="1"/>
  <c r="I35" i="2" a="1"/>
  <c r="I19" i="2" a="1"/>
  <c r="C23" i="2" a="1"/>
  <c r="C58" i="2" a="1"/>
  <c r="C45" i="2" a="1"/>
  <c r="C30" i="2" a="1"/>
  <c r="P43" i="2" a="1"/>
  <c r="AB45" i="2" a="1"/>
  <c r="AB27" i="2" a="1"/>
  <c r="V20" i="2" a="1"/>
  <c r="V22" i="2" a="1"/>
  <c r="V30" i="2" a="1"/>
  <c r="V16" i="2" a="1"/>
  <c r="J44" i="2" a="1"/>
  <c r="J12" i="2" a="1"/>
  <c r="J10" i="2" a="1"/>
  <c r="P19" i="2" a="1"/>
  <c r="P25" i="2" a="1"/>
  <c r="P11" i="2" a="1"/>
  <c r="D43" i="2" a="1"/>
  <c r="D27" i="2" a="1"/>
  <c r="D7" i="2" a="1"/>
  <c r="U61" i="2" a="1"/>
  <c r="AB11" i="2" a="1"/>
  <c r="V7" i="2" a="1"/>
  <c r="V34" i="2" a="1"/>
  <c r="V12" i="2" a="1"/>
  <c r="J20" i="2" a="1"/>
  <c r="J24" i="2" a="1"/>
  <c r="J52" i="2" a="1"/>
  <c r="J34" i="2" a="1"/>
  <c r="P21" i="2" a="1"/>
  <c r="P39" i="2" a="1"/>
  <c r="P60" i="2" a="1"/>
  <c r="C56" i="2" a="1"/>
  <c r="D19" i="2" a="1"/>
  <c r="D33" i="2" a="1"/>
  <c r="D25" i="2" a="1"/>
  <c r="AB43" i="2" a="1"/>
  <c r="AB35" i="2" a="1"/>
  <c r="V38" i="2" a="1"/>
  <c r="V28" i="2" a="1"/>
  <c r="V26" i="2" a="1"/>
  <c r="J46" i="2" a="1"/>
  <c r="J14" i="2" a="1"/>
  <c r="J26" i="2" a="1"/>
  <c r="J7" i="2" a="1"/>
  <c r="P27" i="2" a="1"/>
  <c r="P15" i="2" a="1"/>
  <c r="P9" i="2" a="1"/>
  <c r="D31" i="2" a="1"/>
  <c r="D47" i="2" a="1"/>
  <c r="D15" i="2" a="1"/>
  <c r="V52" i="2" a="1"/>
  <c r="V14" i="2" a="1"/>
  <c r="V42" i="2" a="1"/>
  <c r="J32" i="2" a="1"/>
  <c r="J38" i="2" a="1"/>
  <c r="J48" i="2" a="1"/>
  <c r="C63" i="2" a="1"/>
  <c r="P41" i="2" a="1"/>
  <c r="P45" i="2" a="1"/>
  <c r="P35" i="2" a="1"/>
  <c r="D23" i="2" a="1"/>
  <c r="D50" i="2" a="1"/>
  <c r="D13" i="2" a="1"/>
  <c r="D29" i="2" a="1"/>
  <c r="AB58" i="2" a="1"/>
  <c r="AB19" i="2" a="1"/>
  <c r="AB33" i="2" a="1"/>
  <c r="AB47" i="2" a="1"/>
  <c r="O40" i="2" a="1"/>
  <c r="O43" i="2" a="1"/>
  <c r="O30" i="2" a="1"/>
  <c r="O25" i="2" a="1"/>
  <c r="U23" i="2" a="1"/>
  <c r="U20" i="2" a="1"/>
  <c r="U26" i="2" a="1"/>
  <c r="U44" i="2" a="1"/>
  <c r="AA20" i="2" a="1"/>
  <c r="AA21" i="2" a="1"/>
  <c r="AA44" i="2" a="1"/>
  <c r="AA16" i="2" a="1"/>
  <c r="O57" i="2" a="1"/>
  <c r="I45" i="2" a="1"/>
  <c r="I10" i="2" a="1"/>
  <c r="I39" i="2" a="1"/>
  <c r="C14" i="2" a="1"/>
  <c r="C42" i="2" a="1"/>
  <c r="C48" i="2" a="1"/>
  <c r="C40" i="2" a="1"/>
  <c r="E33" i="2" a="1"/>
  <c r="E41" i="2" a="1"/>
  <c r="E21" i="2" a="1"/>
  <c r="E27" i="2" a="1"/>
  <c r="Q39" i="2" a="1"/>
  <c r="Q11" i="2" a="1"/>
  <c r="Q19" i="2" a="1"/>
  <c r="Q50" i="2" a="1"/>
  <c r="K12" i="2" a="1"/>
  <c r="K48" i="2" a="1"/>
  <c r="K46" i="2" a="1"/>
  <c r="AD39" i="2" a="1"/>
  <c r="AD11" i="2" a="1"/>
  <c r="AD41" i="2" a="1"/>
  <c r="AD13" i="2" a="1"/>
  <c r="R43" i="2" a="1"/>
  <c r="W44" i="2" a="1"/>
  <c r="W8" i="2" a="1"/>
  <c r="W30" i="2" a="1"/>
  <c r="R27" i="2" a="1"/>
  <c r="R47" i="2" a="1"/>
  <c r="W42" i="2" a="1"/>
  <c r="G19" i="2" a="1"/>
  <c r="X16" i="2" a="1"/>
  <c r="F31" i="2" a="1"/>
  <c r="V32" i="2" a="1"/>
  <c r="V48" i="2" a="1"/>
  <c r="V40" i="2" a="1"/>
  <c r="J22" i="2" a="1"/>
  <c r="J16" i="2" a="1"/>
  <c r="J8" i="2" a="1"/>
  <c r="C57" i="2" a="1"/>
  <c r="P58" i="2" a="1"/>
  <c r="P13" i="2" a="1"/>
  <c r="P50" i="2" a="1"/>
  <c r="D21" i="2" a="1"/>
  <c r="D8" i="2" a="1"/>
  <c r="D9" i="2" a="1"/>
  <c r="D41" i="2" a="1"/>
  <c r="AB21" i="2" a="1"/>
  <c r="AB25" i="2" a="1"/>
  <c r="AB39" i="2" a="1"/>
  <c r="AB23" i="2" a="1"/>
  <c r="O28" i="2" a="1"/>
  <c r="O10" i="2" a="1"/>
  <c r="O15" i="2" a="1"/>
  <c r="O31" i="2" a="1"/>
  <c r="U15" i="2" a="1"/>
  <c r="U29" i="2" a="1"/>
  <c r="U16" i="2" a="1"/>
  <c r="U33" i="2" a="1"/>
  <c r="AA22" i="2" a="1"/>
  <c r="AA43" i="2" a="1"/>
  <c r="AA46" i="2" a="1"/>
  <c r="AA8" i="2" a="1"/>
  <c r="O63" i="2" a="1"/>
  <c r="I29" i="2" a="1"/>
  <c r="I38" i="2" a="1"/>
  <c r="I46" i="2" a="1"/>
  <c r="C32" i="2" a="1"/>
  <c r="C19" i="2" a="1"/>
  <c r="C15" i="2" a="1"/>
  <c r="C25" i="2" a="1"/>
  <c r="E11" i="2" a="1"/>
  <c r="E23" i="2" a="1"/>
  <c r="E45" i="2" a="1"/>
  <c r="E29" i="2" a="1"/>
  <c r="Q7" i="2" a="1"/>
  <c r="Q43" i="2" a="1"/>
  <c r="Q21" i="2" a="1"/>
  <c r="Q29" i="2" a="1"/>
  <c r="K24" i="2" a="1"/>
  <c r="K26" i="2" a="1"/>
  <c r="K42" i="2" a="1"/>
  <c r="AD29" i="2" a="1"/>
  <c r="AD7" i="2" a="1"/>
  <c r="AD27" i="2" a="1"/>
  <c r="AD33" i="2" a="1"/>
  <c r="W46" i="2" a="1"/>
  <c r="W14" i="2" a="1"/>
  <c r="W32" i="2" a="1"/>
  <c r="R7" i="2" a="1"/>
  <c r="W26" i="2" a="1"/>
  <c r="W40" i="2" a="1"/>
  <c r="R9" i="2" a="1"/>
  <c r="G15" i="2" a="1"/>
  <c r="G13" i="2" a="1"/>
  <c r="G11" i="2" a="1"/>
  <c r="X52" i="2" a="1"/>
  <c r="X30" i="2" a="1"/>
  <c r="F11" i="2" a="1"/>
  <c r="F27" i="2" a="1"/>
  <c r="F50" i="2" a="1"/>
  <c r="C59" i="2" a="1"/>
  <c r="O50" i="2" a="1"/>
  <c r="U43" i="2" a="1"/>
  <c r="AA50" i="2" a="1"/>
  <c r="I61" i="2" a="1"/>
  <c r="I48" i="2" a="1"/>
  <c r="C22" i="2" a="1"/>
  <c r="E31" i="2" a="1"/>
  <c r="Q9" i="2" a="1"/>
  <c r="K28" i="2" a="1"/>
  <c r="K34" i="2" a="1"/>
  <c r="AD35" i="2" a="1"/>
  <c r="R41" i="2" a="1"/>
  <c r="W12" i="2" a="1"/>
  <c r="G8" i="2" a="1"/>
  <c r="G29" i="2" a="1"/>
  <c r="X10" i="2" a="1"/>
  <c r="F39" i="2" a="1"/>
  <c r="F9" i="2" a="1"/>
  <c r="F33" i="2" a="1"/>
  <c r="AA61" i="2" a="1"/>
  <c r="O27" i="2" a="1"/>
  <c r="U58" i="2" a="1"/>
  <c r="AA60" i="2" a="1"/>
  <c r="I11" i="2" a="1"/>
  <c r="I12" i="2" a="1"/>
  <c r="C7" i="2" a="1"/>
  <c r="O61" i="2" a="1"/>
  <c r="Q31" i="2" a="1"/>
  <c r="K44" i="2" a="1"/>
  <c r="U59" i="2" a="1"/>
  <c r="W24" i="2" a="1"/>
  <c r="X24" i="2" a="1"/>
  <c r="O46" i="2" a="1"/>
  <c r="AA13" i="2" a="1"/>
  <c r="C33" i="2" a="1"/>
  <c r="K30" i="2" a="1"/>
  <c r="R15" i="2" a="1"/>
  <c r="X12" i="2" a="1"/>
  <c r="F29" i="2" a="1"/>
  <c r="I9" i="2" a="1"/>
  <c r="AA57" i="2" a="1"/>
  <c r="W16" i="2" a="1"/>
  <c r="K22" i="2" a="1"/>
  <c r="I20" i="2" a="1"/>
  <c r="R21" i="2" a="1"/>
  <c r="F41" i="2" a="1"/>
  <c r="AD31" i="2" a="1"/>
  <c r="F13" i="2" a="1"/>
  <c r="U62" i="2" a="1"/>
  <c r="O20" i="2" a="1"/>
  <c r="U60" i="2" a="1"/>
  <c r="E47" i="2" a="1"/>
  <c r="O62" i="2" a="1"/>
  <c r="Q45" i="2" a="1"/>
  <c r="K14" i="2" a="1"/>
  <c r="AD47" i="2" a="1"/>
  <c r="W28" i="2" a="1"/>
  <c r="R13" i="2" a="1"/>
  <c r="G31" i="2" a="1"/>
  <c r="G43" i="2" a="1"/>
  <c r="X48" i="2" a="1"/>
  <c r="F35" i="2" a="1"/>
  <c r="K16" i="2" a="1"/>
  <c r="W34" i="2" a="1"/>
  <c r="R25" i="2" a="1"/>
  <c r="C9" i="2" a="1"/>
  <c r="AD19" i="2" a="1"/>
  <c r="R33" i="2" a="1"/>
  <c r="X34" i="2" a="1"/>
  <c r="I22" i="2" a="1"/>
  <c r="G23" i="2" a="1"/>
  <c r="F15" i="2" a="1"/>
  <c r="E43" i="2" a="1"/>
  <c r="R23" i="2" a="1"/>
  <c r="Q33" i="2" a="1"/>
  <c r="K63" i="2" a="1"/>
  <c r="W20" i="2" a="1"/>
  <c r="F25" i="2" a="1"/>
  <c r="AD50" i="2" a="1"/>
  <c r="C21" i="2" a="1"/>
  <c r="AD43" i="2" a="1"/>
  <c r="K32" i="2" a="1"/>
  <c r="AB15" i="2" a="1"/>
  <c r="AA41" i="2" a="1"/>
  <c r="Q13" i="2" a="1"/>
  <c r="O38" i="2" a="1"/>
  <c r="G9" i="2" a="1"/>
  <c r="G27" i="2" a="1"/>
  <c r="AB29" i="2" a="1"/>
  <c r="O48" i="2" a="1"/>
  <c r="U34" i="2" a="1"/>
  <c r="E9" i="2" a="1"/>
  <c r="Q23" i="2" a="1"/>
  <c r="AD23" i="2" a="1"/>
  <c r="U41" i="2" a="1"/>
  <c r="U57" i="2" a="1"/>
  <c r="X32" i="2" a="1"/>
  <c r="I56" i="2" a="1"/>
  <c r="O56" i="2" a="1"/>
  <c r="U47" i="2" a="1"/>
  <c r="AA23" i="2" a="1"/>
  <c r="I40" i="2" a="1"/>
  <c r="C24" i="2" a="1"/>
  <c r="Q15" i="2" a="1"/>
  <c r="O8" i="2" a="1"/>
  <c r="I57" i="2" a="1"/>
  <c r="C62" i="2" a="1"/>
  <c r="AA38" i="2" a="1"/>
  <c r="I47" i="2" a="1"/>
  <c r="C35" i="2" a="1"/>
  <c r="U63" i="2" a="1"/>
  <c r="E7" i="2" a="1"/>
  <c r="Q27" i="2" a="1"/>
  <c r="K38" i="2" a="1"/>
  <c r="AD25" i="2" a="1"/>
  <c r="AA59" i="2" a="1"/>
  <c r="R29" i="2" a="1"/>
  <c r="G39" i="2" a="1"/>
  <c r="G21" i="2" a="1"/>
  <c r="X44" i="2" a="1"/>
  <c r="X8" i="2" a="1"/>
  <c r="F23" i="2" a="1"/>
  <c r="K57" i="2" a="1"/>
  <c r="O22" i="2" a="1"/>
  <c r="I63" i="2" a="1"/>
  <c r="C61" i="2" a="1"/>
  <c r="E15" i="2" a="1"/>
  <c r="Q41" i="2" a="1"/>
  <c r="K40" i="2" a="1"/>
  <c r="K20" i="2" a="1"/>
  <c r="AA56" i="2" a="1"/>
  <c r="W52" i="2" a="1"/>
  <c r="R39" i="2" a="1"/>
  <c r="G7" i="2" a="1"/>
  <c r="G33" i="2" a="1"/>
  <c r="X42" i="2" a="1"/>
  <c r="X22" i="2" a="1"/>
  <c r="F43" i="2" a="1"/>
  <c r="R35" i="2" a="1"/>
  <c r="X40" i="2" a="1"/>
  <c r="F47" i="2" a="1"/>
  <c r="U39" i="2" a="1"/>
  <c r="I30" i="2" a="1"/>
  <c r="E13" i="2" a="1"/>
  <c r="U56" i="2" a="1"/>
  <c r="G25" i="2" a="1"/>
  <c r="F7" i="2" a="1"/>
  <c r="O12" i="2" a="1"/>
  <c r="E35" i="2" a="1"/>
  <c r="AD9" i="2" a="1"/>
  <c r="X14" i="2" a="1"/>
  <c r="R11" i="2" a="1"/>
  <c r="AA31" i="2" a="1"/>
  <c r="Q25" i="2" a="1"/>
  <c r="X20" i="2" a="1"/>
  <c r="G45" i="2" a="1"/>
  <c r="O21" i="2" a="1"/>
  <c r="U38" i="2" a="1"/>
  <c r="AA11" i="2" a="1"/>
  <c r="AA29" i="2" a="1"/>
  <c r="I58" i="2" a="1"/>
  <c r="C43" i="2" a="1"/>
  <c r="E25" i="2" a="1"/>
  <c r="E50" i="2" a="1"/>
  <c r="K7" i="2" a="1"/>
  <c r="K10" i="2" a="1"/>
  <c r="AD15" i="2" a="1"/>
  <c r="W22" i="2" a="1"/>
  <c r="R50" i="2" a="1"/>
  <c r="G47" i="2" a="1"/>
  <c r="G41" i="2" a="1"/>
  <c r="X26" i="2" a="1"/>
  <c r="F21" i="2" a="1"/>
  <c r="F19" i="2" a="1"/>
  <c r="O9" i="2" a="1"/>
  <c r="U25" i="2" a="1"/>
  <c r="AA28" i="2" a="1"/>
  <c r="I62" i="2" a="1"/>
  <c r="I28" i="2" a="1"/>
  <c r="C52" i="2" a="1"/>
  <c r="E39" i="2" a="1"/>
  <c r="E19" i="2" a="1"/>
  <c r="Q47" i="2" a="1"/>
  <c r="K8" i="2" a="1"/>
  <c r="AD21" i="2" a="1"/>
  <c r="W38" i="2" a="1"/>
  <c r="R31" i="2" a="1"/>
  <c r="R19" i="2" a="1"/>
  <c r="W10" i="2" a="1"/>
  <c r="G35" i="2" a="1"/>
  <c r="F45" i="2" a="1"/>
  <c r="AB8" i="2" a="1"/>
  <c r="I33" i="2" a="1"/>
  <c r="AA63" i="2" a="1"/>
  <c r="AD60" i="2" a="1"/>
  <c r="X46" i="2" a="1"/>
  <c r="U46" i="2" a="1"/>
  <c r="C27" i="2" a="1"/>
  <c r="W48" i="2" a="1"/>
  <c r="X28" i="2" a="1"/>
  <c r="AB9" i="2" a="1"/>
  <c r="Q35" i="2" a="1"/>
  <c r="X38" i="2" a="1"/>
  <c r="R45" i="2" a="1"/>
  <c r="Y48" i="2" a="1"/>
  <c r="Y26" i="2" a="1"/>
  <c r="Y32" i="2" a="1"/>
  <c r="Y28" i="2" a="1"/>
  <c r="Z38" i="2" a="1"/>
  <c r="Z30" i="2" a="1"/>
  <c r="Z20" i="2" a="1"/>
  <c r="X57" i="2" a="1"/>
  <c r="AE29" i="2" a="1"/>
  <c r="AE27" i="2" a="1"/>
  <c r="AE9" i="2" a="1"/>
  <c r="T13" i="2" a="1"/>
  <c r="T41" i="2" a="1"/>
  <c r="T33" i="2" a="1"/>
  <c r="S7" i="2" a="1"/>
  <c r="S39" i="2" a="1"/>
  <c r="S8" i="2" a="1"/>
  <c r="S43" i="2" a="1"/>
  <c r="M38" i="2" a="1"/>
  <c r="M32" i="2" a="1"/>
  <c r="M14" i="2" a="1"/>
  <c r="L63" i="2" a="1"/>
  <c r="H41" i="2" a="1"/>
  <c r="H25" i="2" a="1"/>
  <c r="H29" i="2" a="1"/>
  <c r="AF45" i="2" a="1"/>
  <c r="AF25" i="2" a="1"/>
  <c r="AF35" i="2" a="1"/>
  <c r="AF31" i="2" a="1"/>
  <c r="N46" i="2" a="1"/>
  <c r="N38" i="2" a="1"/>
  <c r="N48" i="2" a="1"/>
  <c r="Z57" i="2" a="1"/>
  <c r="D10" i="2" a="1"/>
  <c r="D26" i="2" a="1"/>
  <c r="D34" i="2" a="1"/>
  <c r="D32" i="2" a="1"/>
  <c r="AB22" i="2" a="1"/>
  <c r="AB48" i="2" a="1"/>
  <c r="AB31" i="2" a="1"/>
  <c r="AB41" i="2" a="1"/>
  <c r="J60" i="2" a="1"/>
  <c r="J31" i="2" a="1"/>
  <c r="J30" i="2" a="1"/>
  <c r="N63" i="2" a="1"/>
  <c r="P48" i="2" a="1"/>
  <c r="P38" i="2" a="1"/>
  <c r="P24" i="2" a="1"/>
  <c r="P44" i="2" a="1"/>
  <c r="V43" i="2" a="1"/>
  <c r="V45" i="2" a="1"/>
  <c r="V39" i="2" a="1"/>
  <c r="J56" i="2" a="1"/>
  <c r="P59" i="2" a="1"/>
  <c r="D56" i="2" a="1"/>
  <c r="T21" i="2" a="1"/>
  <c r="S45" i="2" a="1"/>
  <c r="L57" i="2" a="1"/>
  <c r="H23" i="2" a="1"/>
  <c r="AF41" i="2" a="1"/>
  <c r="D20" i="2" a="1"/>
  <c r="AB46" i="2" a="1"/>
  <c r="J43" i="2" a="1"/>
  <c r="P8" i="2" a="1"/>
  <c r="J59" i="2" a="1"/>
  <c r="J39" i="2" a="1"/>
  <c r="P32" i="2" a="1"/>
  <c r="M30" i="2" a="1"/>
  <c r="M57" i="2" a="1"/>
  <c r="D14" i="2" a="1"/>
  <c r="AB44" i="2" a="1"/>
  <c r="P14" i="2" a="1"/>
  <c r="V9" i="2" a="1"/>
  <c r="N32" i="2" a="1"/>
  <c r="J35" i="2" a="1"/>
  <c r="V46" i="2" a="1"/>
  <c r="J15" i="2" a="1"/>
  <c r="V33" i="2" a="1"/>
  <c r="M7" i="2" a="1"/>
  <c r="N26" i="2" a="1"/>
  <c r="D58" i="2" a="1"/>
  <c r="AB20" i="2" a="1"/>
  <c r="J50" i="2" a="1"/>
  <c r="P26" i="2" a="1"/>
  <c r="V19" i="2" a="1"/>
  <c r="P56" i="2" a="1"/>
  <c r="J58" i="2" a="1"/>
  <c r="V41" i="2" a="1"/>
  <c r="M12" i="2" a="1"/>
  <c r="N44" i="2" a="1"/>
  <c r="Q61" i="2" a="1"/>
  <c r="J21" i="2" a="1"/>
  <c r="P16" i="2" a="1"/>
  <c r="N34" i="2" a="1"/>
  <c r="AB10" i="2" a="1"/>
  <c r="P30" i="2" a="1"/>
  <c r="AB62" i="2" a="1"/>
  <c r="P7" i="2" a="1"/>
  <c r="Y8" i="2" a="1"/>
  <c r="Y38" i="2" a="1"/>
  <c r="Y14" i="2" a="1"/>
  <c r="Y40" i="2" a="1"/>
  <c r="Z48" i="2" a="1"/>
  <c r="Z46" i="2" a="1"/>
  <c r="Z24" i="2" a="1"/>
  <c r="X63" i="2" a="1"/>
  <c r="AE39" i="2" a="1"/>
  <c r="AE19" i="2" a="1"/>
  <c r="AE11" i="2" a="1"/>
  <c r="T9" i="2" a="1"/>
  <c r="S33" i="2" a="1"/>
  <c r="S47" i="2" a="1"/>
  <c r="S11" i="2" a="1"/>
  <c r="M42" i="2" a="1"/>
  <c r="H9" i="2" a="1"/>
  <c r="AF47" i="2" a="1"/>
  <c r="AF13" i="2" a="1"/>
  <c r="N24" i="2" a="1"/>
  <c r="D38" i="2" a="1"/>
  <c r="AB16" i="2" a="1"/>
  <c r="P46" i="2" a="1"/>
  <c r="V31" i="2" a="1"/>
  <c r="D59" i="2" a="1"/>
  <c r="P40" i="2" a="1"/>
  <c r="V13" i="2" a="1"/>
  <c r="J57" i="2" a="1"/>
  <c r="N10" i="2" a="1"/>
  <c r="D35" i="2" a="1"/>
  <c r="J41" i="2" a="1"/>
  <c r="P34" i="2" a="1"/>
  <c r="J62" i="2" a="1"/>
  <c r="D40" i="2" a="1"/>
  <c r="AB30" i="2" a="1"/>
  <c r="P10" i="2" a="1"/>
  <c r="J40" i="2" a="1"/>
  <c r="AB61" i="2" a="1"/>
  <c r="V63" i="2" a="1"/>
  <c r="J63" i="2" a="1"/>
  <c r="H47" i="2" a="1"/>
  <c r="AF9" i="2" a="1"/>
  <c r="AF27" i="2" a="1"/>
  <c r="N30" i="2" a="1"/>
  <c r="Y57" i="2" a="1"/>
  <c r="D28" i="2" a="1"/>
  <c r="Q62" i="2" a="1"/>
  <c r="AB40" i="2" a="1"/>
  <c r="V56" i="2" a="1"/>
  <c r="V21" i="2" a="1"/>
  <c r="J61" i="2" a="1"/>
  <c r="H15" i="2" a="1"/>
  <c r="Y63" i="2" a="1"/>
  <c r="J33" i="2" a="1"/>
  <c r="V27" i="2" a="1"/>
  <c r="V62" i="2" a="1"/>
  <c r="AB38" i="2" a="1"/>
  <c r="P28" i="2" a="1"/>
  <c r="V47" i="2" a="1"/>
  <c r="J11" i="2" a="1"/>
  <c r="V23" i="2" a="1"/>
  <c r="Y16" i="2" a="1"/>
  <c r="Y22" i="2" a="1"/>
  <c r="Y12" i="2" a="1"/>
  <c r="W63" i="2" a="1"/>
  <c r="Z52" i="2" a="1"/>
  <c r="Z44" i="2" a="1"/>
  <c r="Z32" i="2" a="1"/>
  <c r="AE31" i="2" a="1"/>
  <c r="AE41" i="2" a="1"/>
  <c r="AE7" i="2" a="1"/>
  <c r="AE47" i="2" a="1"/>
  <c r="T43" i="2" a="1"/>
  <c r="T19" i="2" a="1"/>
  <c r="T7" i="2" a="1"/>
  <c r="S9" i="2" a="1"/>
  <c r="S29" i="2" a="1"/>
  <c r="S13" i="2" a="1"/>
  <c r="M40" i="2" a="1"/>
  <c r="M9" i="2" a="1"/>
  <c r="M20" i="2" a="1"/>
  <c r="H27" i="2" a="1"/>
  <c r="H7" i="2" a="1"/>
  <c r="AF39" i="2" a="1"/>
  <c r="M63" i="2" a="1"/>
  <c r="N8" i="2" a="1"/>
  <c r="N52" i="2" a="1"/>
  <c r="D16" i="2" a="1"/>
  <c r="D30" i="2" a="1"/>
  <c r="AB34" i="2" a="1"/>
  <c r="AB24" i="2" a="1"/>
  <c r="J23" i="2" a="1"/>
  <c r="P33" i="2" a="1"/>
  <c r="D63" i="2" a="1"/>
  <c r="H50" i="2" a="1"/>
  <c r="N12" i="2" a="1"/>
  <c r="J27" i="2" a="1"/>
  <c r="V15" i="2" a="1"/>
  <c r="N20" i="2" a="1"/>
  <c r="AB28" i="2" a="1"/>
  <c r="V50" i="2" a="1"/>
  <c r="K56" i="2" a="1"/>
  <c r="V35" i="2" a="1"/>
  <c r="T15" i="2" a="1"/>
  <c r="V57" i="2" a="1"/>
  <c r="AF15" i="2" a="1"/>
  <c r="AB32" i="2" a="1"/>
  <c r="D57" i="2" a="1"/>
  <c r="J47" i="2" a="1"/>
  <c r="Y9" i="2" a="1"/>
  <c r="Y10" i="2" a="1"/>
  <c r="Y42" i="2" a="1"/>
  <c r="W57" i="2" a="1"/>
  <c r="Z40" i="2" a="1"/>
  <c r="Z26" i="2" a="1"/>
  <c r="Z22" i="2" a="1"/>
  <c r="AE13" i="2" a="1"/>
  <c r="AE43" i="2" a="1"/>
  <c r="AE35" i="2" a="1"/>
  <c r="AE15" i="2" a="1"/>
  <c r="T25" i="2" a="1"/>
  <c r="T29" i="2" a="1"/>
  <c r="S21" i="2" a="1"/>
  <c r="S31" i="2" a="1"/>
  <c r="S25" i="2" a="1"/>
  <c r="M16" i="2" a="1"/>
  <c r="AF50" i="2" a="1"/>
  <c r="AB14" i="2" a="1"/>
  <c r="P12" i="2" a="1"/>
  <c r="K59" i="2" a="1"/>
  <c r="T23" i="2" a="1"/>
  <c r="S23" i="2" a="1"/>
  <c r="M46" i="2" a="1"/>
  <c r="M10" i="2" a="1"/>
  <c r="H31" i="2" a="1"/>
  <c r="H39" i="2" a="1"/>
  <c r="AF19" i="2" a="1"/>
  <c r="AF29" i="2" a="1"/>
  <c r="D52" i="2" a="1"/>
  <c r="J19" i="2" a="1"/>
  <c r="AB59" i="2" a="1"/>
  <c r="V60" i="2" a="1"/>
  <c r="Y46" i="2" a="1"/>
  <c r="Y20" i="2" a="1"/>
  <c r="Y30" i="2" a="1"/>
  <c r="Z16" i="2" a="1"/>
  <c r="Z34" i="2" a="1"/>
  <c r="Z10" i="2" a="1"/>
  <c r="Z8" i="2" a="1"/>
  <c r="AE25" i="2" a="1"/>
  <c r="AE21" i="2" a="1"/>
  <c r="AE23" i="2" a="1"/>
  <c r="T39" i="2" a="1"/>
  <c r="T47" i="2" a="1"/>
  <c r="T35" i="2" a="1"/>
  <c r="S15" i="2" a="1"/>
  <c r="S27" i="2" a="1"/>
  <c r="M8" i="2" a="1"/>
  <c r="M28" i="2" a="1"/>
  <c r="H11" i="2" a="1"/>
  <c r="H45" i="2" a="1"/>
  <c r="AF23" i="2" a="1"/>
  <c r="N28" i="2" a="1"/>
  <c r="D12" i="2" a="1"/>
  <c r="J25" i="2" a="1"/>
  <c r="P20" i="2" a="1"/>
  <c r="T58" i="2" a="1"/>
  <c r="S19" i="2" a="1"/>
  <c r="M22" i="2" a="1"/>
  <c r="M34" i="2" a="1"/>
  <c r="H21" i="2" a="1"/>
  <c r="H35" i="2" a="1"/>
  <c r="AF43" i="2" a="1"/>
  <c r="AF7" i="2" a="1"/>
  <c r="N16" i="2" a="1"/>
  <c r="N14" i="2" a="1"/>
  <c r="D45" i="2" a="1"/>
  <c r="AB42" i="2" a="1"/>
  <c r="AB50" i="2" a="1"/>
  <c r="P42" i="2" a="1"/>
  <c r="Y7" i="2" a="1"/>
  <c r="Y34" i="2" a="1"/>
  <c r="Y24" i="2" a="1"/>
  <c r="Z42" i="2" a="1"/>
  <c r="Z12" i="2" a="1"/>
  <c r="Z14" i="2" a="1"/>
  <c r="Z28" i="2" a="1"/>
  <c r="AE33" i="2" a="1"/>
  <c r="AE8" i="2" a="1"/>
  <c r="AE45" i="2" a="1"/>
  <c r="T11" i="2" a="1"/>
  <c r="T27" i="2" a="1"/>
  <c r="T45" i="2" a="1"/>
  <c r="S35" i="2" a="1"/>
  <c r="S41" i="2" a="1"/>
  <c r="M44" i="2" a="1"/>
  <c r="M24" i="2" a="1"/>
  <c r="H43" i="2" a="1"/>
  <c r="H13" i="2" a="1"/>
  <c r="AF21" i="2" a="1"/>
  <c r="N42" i="2" a="1"/>
  <c r="N22" i="2" a="1"/>
  <c r="D48" i="2" a="1"/>
  <c r="D46" i="2" a="1"/>
  <c r="D22" i="2" a="1"/>
  <c r="AB12" i="2" a="1"/>
  <c r="P22" i="2" a="1"/>
  <c r="T31" i="2" a="1"/>
  <c r="M26" i="2" a="1"/>
  <c r="H19" i="2" a="1"/>
  <c r="AF33" i="2" a="1"/>
  <c r="N40" i="2" a="1"/>
  <c r="Z63" i="2" a="1"/>
  <c r="D24" i="2" a="1"/>
  <c r="AB26" i="2" a="1"/>
  <c r="J29" i="2" a="1"/>
  <c r="N57" i="2" a="1"/>
  <c r="P52" i="2" a="1"/>
  <c r="V58" i="2" a="1"/>
  <c r="J13" i="2" a="1"/>
  <c r="V29" i="2" a="1"/>
  <c r="V61" i="2" a="1"/>
  <c r="H33" i="2" a="1"/>
  <c r="AF11" i="2" a="1"/>
  <c r="D44" i="2" a="1"/>
  <c r="V59" i="2" a="1"/>
  <c r="V25" i="2" a="1"/>
  <c r="D42" i="2" a="1"/>
  <c r="J45" i="2" a="1"/>
  <c r="V11" i="2" a="1"/>
  <c r="AB52" i="2" a="1"/>
  <c r="AB56" i="2" a="1"/>
  <c r="Q56" i="2" a="1"/>
  <c r="K47" i="2" a="1"/>
  <c r="K27" i="2" a="1"/>
  <c r="K41" i="2" a="1"/>
  <c r="P61" i="2" a="1"/>
  <c r="E59" i="2" a="1"/>
  <c r="E62" i="2" a="1"/>
  <c r="Q12" i="2" a="1"/>
  <c r="Q48" i="2" a="1"/>
  <c r="Q40" i="2" a="1"/>
  <c r="Q16" i="2" a="1"/>
  <c r="W43" i="2" a="1"/>
  <c r="W60" i="2" a="1"/>
  <c r="W19" i="2" a="1"/>
  <c r="W33" i="2" a="1"/>
  <c r="E34" i="2" a="1"/>
  <c r="E26" i="2" a="1"/>
  <c r="E52" i="2" a="1"/>
  <c r="E10" i="2" a="1"/>
  <c r="AC12" i="2" a="1"/>
  <c r="AC8" i="2" a="1"/>
  <c r="AC60" i="2" a="1"/>
  <c r="AC26" i="2" a="1"/>
  <c r="R8" i="2" a="1"/>
  <c r="R10" i="2" a="1"/>
  <c r="R60" i="2" a="1"/>
  <c r="E57" i="2" a="1"/>
  <c r="AD26" i="2" a="1"/>
  <c r="AD12" i="2" a="1"/>
  <c r="AD45" i="2" a="1"/>
  <c r="AC57" i="2" a="1"/>
  <c r="F46" i="2" a="1"/>
  <c r="F42" i="2" a="1"/>
  <c r="F10" i="2" a="1"/>
  <c r="X35" i="2" a="1"/>
  <c r="X11" i="2" a="1"/>
  <c r="X33" i="2" a="1"/>
  <c r="X27" i="2" a="1"/>
  <c r="L43" i="2" a="1"/>
  <c r="L47" i="2" a="1"/>
  <c r="L29" i="2" a="1"/>
  <c r="F63" i="2" a="1"/>
  <c r="R56" i="2" a="1"/>
  <c r="AD61" i="2" a="1"/>
  <c r="AD59" i="2" a="1"/>
  <c r="R62" i="2" a="1"/>
  <c r="E56" i="2" a="1"/>
  <c r="Q32" i="2" a="1"/>
  <c r="Q28" i="2" a="1"/>
  <c r="W9" i="2" a="1"/>
  <c r="E14" i="2" a="1"/>
  <c r="E48" i="2" a="1"/>
  <c r="AC42" i="2" a="1"/>
  <c r="R22" i="2" a="1"/>
  <c r="AD8" i="2" a="1"/>
  <c r="F32" i="2" a="1"/>
  <c r="X7" i="2" a="1"/>
  <c r="L25" i="2" a="1"/>
  <c r="R61" i="2" a="1"/>
  <c r="E22" i="2" a="1"/>
  <c r="AC30" i="2" a="1"/>
  <c r="AD34" i="2" a="1"/>
  <c r="F14" i="2" a="1"/>
  <c r="L13" i="2" a="1"/>
  <c r="X56" i="2" a="1"/>
  <c r="L39" i="2" a="1"/>
  <c r="F62" i="2" a="1"/>
  <c r="AC28" i="2" a="1"/>
  <c r="AD58" i="2" a="1"/>
  <c r="F60" i="2" a="1"/>
  <c r="X29" i="2" a="1"/>
  <c r="L60" i="2" a="1"/>
  <c r="R59" i="2" a="1"/>
  <c r="E46" i="2" a="1"/>
  <c r="R32" i="2" a="1"/>
  <c r="AD40" i="2" a="1"/>
  <c r="X45" i="2" a="1"/>
  <c r="M56" i="2" a="1"/>
  <c r="L56" i="2" a="1"/>
  <c r="Q59" i="2" a="1"/>
  <c r="K50" i="2" a="1"/>
  <c r="K52" i="2" a="1"/>
  <c r="K11" i="2" a="1"/>
  <c r="E61" i="2" a="1"/>
  <c r="Q24" i="2" a="1"/>
  <c r="Q34" i="2" a="1"/>
  <c r="W29" i="2" a="1"/>
  <c r="E60" i="2" a="1"/>
  <c r="AC52" i="2" a="1"/>
  <c r="E63" i="2" a="1"/>
  <c r="F28" i="2" a="1"/>
  <c r="X41" i="2" a="1"/>
  <c r="L41" i="2" a="1"/>
  <c r="AD62" i="2" a="1"/>
  <c r="AC38" i="2" a="1"/>
  <c r="R42" i="2" a="1"/>
  <c r="AD30" i="2" a="1"/>
  <c r="X47" i="2" a="1"/>
  <c r="L23" i="2" a="1"/>
  <c r="M59" i="2" a="1"/>
  <c r="K21" i="2" a="1"/>
  <c r="K23" i="2" a="1"/>
  <c r="K29" i="2" a="1"/>
  <c r="K60" i="2" a="1"/>
  <c r="D61" i="2" a="1"/>
  <c r="W56" i="2" a="1"/>
  <c r="K62" i="2" a="1"/>
  <c r="Q22" i="2" a="1"/>
  <c r="Q8" i="2" a="1"/>
  <c r="Q30" i="2" a="1"/>
  <c r="AC61" i="2" a="1"/>
  <c r="W50" i="2" a="1"/>
  <c r="W11" i="2" a="1"/>
  <c r="W39" i="2" a="1"/>
  <c r="AC24" i="2" a="1"/>
  <c r="F48" i="2" a="1"/>
  <c r="R63" i="2" a="1"/>
  <c r="AC46" i="2" a="1"/>
  <c r="R24" i="2" a="1"/>
  <c r="AD42" i="2" a="1"/>
  <c r="AD52" i="2" a="1"/>
  <c r="F34" i="2" a="1"/>
  <c r="F26" i="2" a="1"/>
  <c r="X9" i="2" a="1"/>
  <c r="X58" i="2" a="1"/>
  <c r="L19" i="2" a="1"/>
  <c r="L33" i="2" a="1"/>
  <c r="K58" i="2" a="1"/>
  <c r="K43" i="2" a="1"/>
  <c r="K31" i="2" a="1"/>
  <c r="K19" i="2" a="1"/>
  <c r="D62" i="2" a="1"/>
  <c r="W59" i="2" a="1"/>
  <c r="K61" i="2" a="1"/>
  <c r="Q46" i="2" a="1"/>
  <c r="Q60" i="2" a="1"/>
  <c r="Q58" i="2" a="1"/>
  <c r="AC62" i="2" a="1"/>
  <c r="W21" i="2" a="1"/>
  <c r="W41" i="2" a="1"/>
  <c r="W15" i="2" a="1"/>
  <c r="W23" i="2" a="1"/>
  <c r="E30" i="2" a="1"/>
  <c r="E28" i="2" a="1"/>
  <c r="E8" i="2" a="1"/>
  <c r="E16" i="2" a="1"/>
  <c r="AC40" i="2" a="1"/>
  <c r="AC44" i="2" a="1"/>
  <c r="R26" i="2" a="1"/>
  <c r="R30" i="2" a="1"/>
  <c r="R28" i="2" a="1"/>
  <c r="AD14" i="2" a="1"/>
  <c r="AD22" i="2" a="1"/>
  <c r="F12" i="2" a="1"/>
  <c r="F20" i="2" a="1"/>
  <c r="X13" i="2" a="1"/>
  <c r="X39" i="2" a="1"/>
  <c r="X59" i="2" a="1"/>
  <c r="AC14" i="2" a="1"/>
  <c r="R48" i="2" a="1"/>
  <c r="AD48" i="2" a="1"/>
  <c r="AD44" i="2" a="1"/>
  <c r="AD16" i="2" a="1"/>
  <c r="F44" i="2" a="1"/>
  <c r="F30" i="2" a="1"/>
  <c r="X25" i="2" a="1"/>
  <c r="Q63" i="2" a="1"/>
  <c r="L45" i="2" a="1"/>
  <c r="F59" i="2" a="1"/>
  <c r="K33" i="2" a="1"/>
  <c r="K9" i="2" a="1"/>
  <c r="K39" i="2" a="1"/>
  <c r="K15" i="2" a="1"/>
  <c r="P57" i="2" a="1"/>
  <c r="AB63" i="2" a="1"/>
  <c r="Q26" i="2" a="1"/>
  <c r="Q44" i="2" a="1"/>
  <c r="Q38" i="2" a="1"/>
  <c r="Q52" i="2" a="1"/>
  <c r="AC59" i="2" a="1"/>
  <c r="W45" i="2" a="1"/>
  <c r="W35" i="2" a="1"/>
  <c r="W7" i="2" a="1"/>
  <c r="W61" i="2" a="1"/>
  <c r="E20" i="2" a="1"/>
  <c r="E24" i="2" a="1"/>
  <c r="E44" i="2" a="1"/>
  <c r="AC16" i="2" a="1"/>
  <c r="AC58" i="2" a="1"/>
  <c r="AC22" i="2" a="1"/>
  <c r="R14" i="2" a="1"/>
  <c r="R46" i="2" a="1"/>
  <c r="R58" i="2" a="1"/>
  <c r="AD32" i="2" a="1"/>
  <c r="F8" i="2" a="1"/>
  <c r="F38" i="2" a="1"/>
  <c r="X23" i="2" a="1"/>
  <c r="X15" i="2" a="1"/>
  <c r="L15" i="2" a="1"/>
  <c r="L9" i="2" a="1"/>
  <c r="F56" i="2" a="1"/>
  <c r="E12" i="2" a="1"/>
  <c r="AD38" i="2" a="1"/>
  <c r="X50" i="2" a="1"/>
  <c r="R57" i="2" a="1"/>
  <c r="K13" i="2" a="1"/>
  <c r="K25" i="2" a="1"/>
  <c r="K45" i="2" a="1"/>
  <c r="K35" i="2" a="1"/>
  <c r="P63" i="2" a="1"/>
  <c r="AB57" i="2" a="1"/>
  <c r="Q20" i="2" a="1"/>
  <c r="Q14" i="2" a="1"/>
  <c r="Q10" i="2" a="1"/>
  <c r="Q42" i="2" a="1"/>
  <c r="AC56" i="2" a="1"/>
  <c r="W58" i="2" a="1"/>
  <c r="W31" i="2" a="1"/>
  <c r="W47" i="2" a="1"/>
  <c r="W62" i="2" a="1"/>
  <c r="E38" i="2" a="1"/>
  <c r="E42" i="2" a="1"/>
  <c r="E32" i="2" a="1"/>
  <c r="AC32" i="2" a="1"/>
  <c r="AC48" i="2" a="1"/>
  <c r="AC20" i="2" a="1"/>
  <c r="AC10" i="2" a="1"/>
  <c r="R12" i="2" a="1"/>
  <c r="R16" i="2" a="1"/>
  <c r="R34" i="2" a="1"/>
  <c r="R40" i="2" a="1"/>
  <c r="AD10" i="2" a="1"/>
  <c r="AD28" i="2" a="1"/>
  <c r="AD20" i="2" a="1"/>
  <c r="AD46" i="2" a="1"/>
  <c r="F24" i="2" a="1"/>
  <c r="F58" i="2" a="1"/>
  <c r="F22" i="2" a="1"/>
  <c r="F52" i="2" a="1"/>
  <c r="X43" i="2" a="1"/>
  <c r="X19" i="2" a="1"/>
  <c r="X31" i="2" a="1"/>
  <c r="Q57" i="2" a="1"/>
  <c r="L11" i="2" a="1"/>
  <c r="L7" i="2" a="1"/>
  <c r="L35" i="2" a="1"/>
  <c r="L31" i="2" a="1"/>
  <c r="L59" i="2" a="1"/>
  <c r="F61" i="2" a="1"/>
  <c r="E58" i="2" a="1"/>
  <c r="R52" i="2" a="1"/>
  <c r="F16" i="2" a="1"/>
  <c r="L21" i="2" a="1"/>
  <c r="F57" i="2" a="1"/>
  <c r="P62" i="2" a="1"/>
  <c r="W13" i="2" a="1"/>
  <c r="W25" i="2" a="1"/>
  <c r="E40" i="2" a="1"/>
  <c r="AC34" i="2" a="1"/>
  <c r="R20" i="2" a="1"/>
  <c r="R44" i="2" a="1"/>
  <c r="AD24" i="2" a="1"/>
  <c r="AC63" i="2" a="1"/>
  <c r="X21" i="2" a="1"/>
  <c r="L58" i="2" a="1"/>
  <c r="AD56" i="2" a="1"/>
  <c r="W27" i="2" a="1"/>
  <c r="R38" i="2" a="1"/>
  <c r="F40" i="2" a="1"/>
  <c r="X60" i="2" a="1"/>
  <c r="L27" i="2" a="1"/>
  <c r="L50" i="2" a="1"/>
  <c r="Y59" i="2" a="1"/>
  <c r="AD63" i="2" a="1"/>
  <c r="T22" i="2" a="1"/>
  <c r="T24" i="2" a="1"/>
  <c r="T12" i="2" a="1"/>
  <c r="T30" i="2" a="1"/>
  <c r="AF34" i="2" a="1"/>
  <c r="AF24" i="2" a="1"/>
  <c r="AF22" i="2" a="1"/>
  <c r="AF28" i="2" a="1"/>
  <c r="G40" i="2" a="1"/>
  <c r="G10" i="2" a="1"/>
  <c r="G16" i="2" a="1"/>
  <c r="Y13" i="2" a="1"/>
  <c r="Y21" i="2" a="1"/>
  <c r="Y47" i="2" a="1"/>
  <c r="Y52" i="2" a="1"/>
  <c r="N43" i="2" a="1"/>
  <c r="N27" i="2" a="1"/>
  <c r="N39" i="2" a="1"/>
  <c r="N60" i="2" a="1"/>
  <c r="Z11" i="2" a="1"/>
  <c r="Z58" i="2" a="1"/>
  <c r="Z35" i="2" a="1"/>
  <c r="M58" i="2" a="1"/>
  <c r="M39" i="2" a="1"/>
  <c r="M31" i="2" a="1"/>
  <c r="M50" i="2" a="1"/>
  <c r="AE22" i="2" a="1"/>
  <c r="AE60" i="2" a="1"/>
  <c r="AE16" i="2" a="1"/>
  <c r="AE46" i="2" a="1"/>
  <c r="S48" i="2" a="1"/>
  <c r="S30" i="2" a="1"/>
  <c r="S52" i="2" a="1"/>
  <c r="H30" i="2" a="1"/>
  <c r="H20" i="2" a="1"/>
  <c r="H8" i="2" a="1"/>
  <c r="H46" i="2" a="1"/>
  <c r="M61" i="2" a="1"/>
  <c r="Y61" i="2" a="1"/>
  <c r="G57" i="2" a="1"/>
  <c r="AE61" i="2" a="1"/>
  <c r="AF59" i="2" a="1"/>
  <c r="G62" i="2" a="1"/>
  <c r="N56" i="2" a="1"/>
  <c r="H60" i="2" a="1"/>
  <c r="H38" i="2" a="1"/>
  <c r="AF56" i="2" a="1"/>
  <c r="AF52" i="2" a="1"/>
  <c r="G42" i="2" a="1"/>
  <c r="Y44" i="2" a="1"/>
  <c r="Y27" i="2" a="1"/>
  <c r="N29" i="2" a="1"/>
  <c r="N47" i="2" a="1"/>
  <c r="Z27" i="2" a="1"/>
  <c r="Z50" i="2" a="1"/>
  <c r="M15" i="2" a="1"/>
  <c r="M23" i="2" a="1"/>
  <c r="AE58" i="2" a="1"/>
  <c r="AE48" i="2" a="1"/>
  <c r="AE30" i="2" a="1"/>
  <c r="S22" i="2" a="1"/>
  <c r="H52" i="2" a="1"/>
  <c r="M62" i="2" a="1"/>
  <c r="G63" i="2" a="1"/>
  <c r="AF61" i="2" a="1"/>
  <c r="Y56" i="2" a="1"/>
  <c r="AD57" i="2" a="1"/>
  <c r="T38" i="2" a="1"/>
  <c r="T42" i="2" a="1"/>
  <c r="T14" i="2" a="1"/>
  <c r="T50" i="2" a="1"/>
  <c r="AF16" i="2" a="1"/>
  <c r="AF12" i="2" a="1"/>
  <c r="AF10" i="2" a="1"/>
  <c r="G22" i="2" a="1"/>
  <c r="G44" i="2" a="1"/>
  <c r="Y41" i="2" a="1"/>
  <c r="Y23" i="2" a="1"/>
  <c r="N50" i="2" a="1"/>
  <c r="N21" i="2" a="1"/>
  <c r="Z39" i="2" a="1"/>
  <c r="M43" i="2" a="1"/>
  <c r="M19" i="2" a="1"/>
  <c r="AE40" i="2" a="1"/>
  <c r="S14" i="2" a="1"/>
  <c r="S24" i="2" a="1"/>
  <c r="H10" i="2" a="1"/>
  <c r="Y62" i="2" a="1"/>
  <c r="AE62" i="2" a="1"/>
  <c r="N59" i="2" a="1"/>
  <c r="S60" i="2" a="1"/>
  <c r="H61" i="2" a="1"/>
  <c r="Z62" i="2" a="1"/>
  <c r="T40" i="2" a="1"/>
  <c r="G34" i="2" a="1"/>
  <c r="Y15" i="2" a="1"/>
  <c r="Z15" i="2" a="1"/>
  <c r="AE14" i="2" a="1"/>
  <c r="S26" i="2" a="1"/>
  <c r="H56" i="2" a="1"/>
  <c r="L62" i="2" a="1"/>
  <c r="S56" i="2" a="1"/>
  <c r="T34" i="2" a="1"/>
  <c r="T60" i="2" a="1"/>
  <c r="T48" i="2" a="1"/>
  <c r="T52" i="2" a="1"/>
  <c r="AF40" i="2" a="1"/>
  <c r="AF14" i="2" a="1"/>
  <c r="AF48" i="2" a="1"/>
  <c r="G46" i="2" a="1"/>
  <c r="G60" i="2" a="1"/>
  <c r="G26" i="2" a="1"/>
  <c r="G20" i="2" a="1"/>
  <c r="Y19" i="2" a="1"/>
  <c r="Y31" i="2" a="1"/>
  <c r="Y25" i="2" a="1"/>
  <c r="Y11" i="2" a="1"/>
  <c r="N23" i="2" a="1"/>
  <c r="N7" i="2" a="1"/>
  <c r="N41" i="2" a="1"/>
  <c r="Z43" i="2" a="1"/>
  <c r="Z23" i="2" a="1"/>
  <c r="Z45" i="2" a="1"/>
  <c r="Z29" i="2" a="1"/>
  <c r="M48" i="2" a="1"/>
  <c r="M52" i="2" a="1"/>
  <c r="M25" i="2" a="1"/>
  <c r="M45" i="2" a="1"/>
  <c r="AE26" i="2" a="1"/>
  <c r="AE50" i="2" a="1"/>
  <c r="AE44" i="2" a="1"/>
  <c r="S34" i="2" a="1"/>
  <c r="S58" i="2" a="1"/>
  <c r="S40" i="2" a="1"/>
  <c r="S12" i="2" a="1"/>
  <c r="H14" i="2" a="1"/>
  <c r="H22" i="2" a="1"/>
  <c r="H48" i="2" a="1"/>
  <c r="H44" i="2" a="1"/>
  <c r="S61" i="2" a="1"/>
  <c r="H62" i="2" a="1"/>
  <c r="AE63" i="2" a="1"/>
  <c r="T59" i="2" a="1"/>
  <c r="H57" i="2" a="1"/>
  <c r="G61" i="2" a="1"/>
  <c r="Z61" i="2" a="1"/>
  <c r="H42" i="2" a="1"/>
  <c r="H34" i="2" a="1"/>
  <c r="S62" i="2" a="1"/>
  <c r="T56" i="2" a="1"/>
  <c r="AF62" i="2" a="1"/>
  <c r="T46" i="2" a="1"/>
  <c r="AF26" i="2" a="1"/>
  <c r="G32" i="2" a="1"/>
  <c r="Y35" i="2" a="1"/>
  <c r="N45" i="2" a="1"/>
  <c r="Z21" i="2" a="1"/>
  <c r="M35" i="2" a="1"/>
  <c r="AE24" i="2" a="1"/>
  <c r="S38" i="2" a="1"/>
  <c r="H26" i="2" a="1"/>
  <c r="S63" i="2" a="1"/>
  <c r="T63" i="2" a="1"/>
  <c r="S16" i="2" a="1"/>
  <c r="AE57" i="2" a="1"/>
  <c r="G56" i="2" a="1"/>
  <c r="G38" i="2" a="1"/>
  <c r="N35" i="2" a="1"/>
  <c r="Z25" i="2" a="1"/>
  <c r="AE52" i="2" a="1"/>
  <c r="S20" i="2" a="1"/>
  <c r="H16" i="2" a="1"/>
  <c r="AE59" i="2" a="1"/>
  <c r="N62" i="2" a="1"/>
  <c r="L61" i="2" a="1"/>
  <c r="S59" i="2" a="1"/>
  <c r="T10" i="2" a="1"/>
  <c r="T20" i="2" a="1"/>
  <c r="T26" i="2" a="1"/>
  <c r="T32" i="2" a="1"/>
  <c r="AF20" i="2" a="1"/>
  <c r="AF38" i="2" a="1"/>
  <c r="AF8" i="2" a="1"/>
  <c r="G24" i="2" a="1"/>
  <c r="G48" i="2" a="1"/>
  <c r="G30" i="2" a="1"/>
  <c r="G12" i="2" a="1"/>
  <c r="Y29" i="2" a="1"/>
  <c r="Y58" i="2" a="1"/>
  <c r="Y60" i="2" a="1"/>
  <c r="Y45" i="2" a="1"/>
  <c r="N11" i="2" a="1"/>
  <c r="N58" i="2" a="1"/>
  <c r="N13" i="2" a="1"/>
  <c r="Z7" i="2" a="1"/>
  <c r="Z47" i="2" a="1"/>
  <c r="Z33" i="2" a="1"/>
  <c r="Z31" i="2" a="1"/>
  <c r="M41" i="2" a="1"/>
  <c r="M13" i="2" a="1"/>
  <c r="M27" i="2" a="1"/>
  <c r="M29" i="2" a="1"/>
  <c r="AE42" i="2" a="1"/>
  <c r="AE12" i="2" a="1"/>
  <c r="AE10" i="2" a="1"/>
  <c r="S32" i="2" a="1"/>
  <c r="S44" i="2" a="1"/>
  <c r="H28" i="2" a="1"/>
  <c r="H58" i="2" a="1"/>
  <c r="H63" i="2" a="1"/>
  <c r="AF42" i="2" a="1"/>
  <c r="N33" i="2" a="1"/>
  <c r="M21" i="2" a="1"/>
  <c r="H24" i="2" a="1"/>
  <c r="T62" i="2" a="1"/>
  <c r="X61" i="2" a="1"/>
  <c r="T44" i="2" a="1"/>
  <c r="AF44" i="2" a="1"/>
  <c r="AF32" i="2" a="1"/>
  <c r="G28" i="2" a="1"/>
  <c r="Y43" i="2" a="1"/>
  <c r="N19" i="2" a="1"/>
  <c r="Z60" i="2" a="1"/>
  <c r="M33" i="2" a="1"/>
  <c r="AE38" i="2" a="1"/>
  <c r="S42" i="2" a="1"/>
  <c r="Z56" i="2" a="1"/>
  <c r="AF57" i="2" a="1"/>
  <c r="X62" i="2" a="1"/>
  <c r="G59" i="2" a="1"/>
  <c r="T8" i="2" a="1"/>
  <c r="T16" i="2" a="1"/>
  <c r="T28" i="2" a="1"/>
  <c r="AF60" i="2" a="1"/>
  <c r="AF30" i="2" a="1"/>
  <c r="AF58" i="2" a="1"/>
  <c r="AF46" i="2" a="1"/>
  <c r="G50" i="2" a="1"/>
  <c r="G14" i="2" a="1"/>
  <c r="G52" i="2" a="1"/>
  <c r="G58" i="2" a="1"/>
  <c r="Y33" i="2" a="1"/>
  <c r="Y39" i="2" a="1"/>
  <c r="Y50" i="2" a="1"/>
  <c r="N9" i="2" a="1"/>
  <c r="N31" i="2" a="1"/>
  <c r="N15" i="2" a="1"/>
  <c r="N25" i="2" a="1"/>
  <c r="Z9" i="2" a="1"/>
  <c r="Z13" i="2" a="1"/>
  <c r="Z41" i="2" a="1"/>
  <c r="Z19" i="2" a="1"/>
  <c r="M47" i="2" a="1"/>
  <c r="M60" i="2" a="1"/>
  <c r="M11" i="2" a="1"/>
  <c r="AE20" i="2" a="1"/>
  <c r="AE34" i="2" a="1"/>
  <c r="AE32" i="2" a="1"/>
  <c r="AE28" i="2" a="1"/>
  <c r="S46" i="2" a="1"/>
  <c r="S10" i="2" a="1"/>
  <c r="S28" i="2" a="1"/>
  <c r="S50" i="2" a="1"/>
  <c r="H32" i="2" a="1"/>
  <c r="H12" i="2" a="1"/>
  <c r="H40" i="2" a="1"/>
  <c r="AE56" i="2" a="1"/>
  <c r="H59" i="2" a="1"/>
  <c r="Z59" i="2" a="1"/>
  <c r="S57" i="2" a="1"/>
  <c r="T61" i="2" a="1"/>
  <c r="N61" i="2" a="1"/>
  <c r="T57" i="2" a="1"/>
  <c r="AF63" i="2" a="1"/>
  <c r="I7" i="2" l="1"/>
  <c r="AA58" i="2"/>
  <c r="L38" i="2"/>
  <c r="C47" i="2"/>
  <c r="I34" i="2"/>
  <c r="AA52" i="2"/>
  <c r="O47" i="2"/>
  <c r="U22" i="2"/>
  <c r="AA45" i="2"/>
  <c r="L52" i="2"/>
  <c r="I14" i="2"/>
  <c r="O19" i="2"/>
  <c r="C44" i="2"/>
  <c r="C34" i="2"/>
  <c r="U13" i="2"/>
  <c r="I23" i="2"/>
  <c r="AA40" i="2"/>
  <c r="AC35" i="2"/>
  <c r="C38" i="2"/>
  <c r="C16" i="2"/>
  <c r="U12" i="2"/>
  <c r="O11" i="2"/>
  <c r="O44" i="2"/>
  <c r="AA7" i="2"/>
  <c r="AC43" i="2"/>
  <c r="O24" i="2"/>
  <c r="U52" i="2"/>
  <c r="AA9" i="2"/>
  <c r="L20" i="2"/>
  <c r="C10" i="2"/>
  <c r="I26" i="2"/>
  <c r="AC7" i="2"/>
  <c r="U11" i="2"/>
  <c r="AA24" i="2"/>
  <c r="AC31" i="2"/>
  <c r="L24" i="2"/>
  <c r="AC27" i="2"/>
  <c r="L48" i="2"/>
  <c r="O26" i="2"/>
  <c r="C60" i="2"/>
  <c r="C8" i="2"/>
  <c r="U42" i="2"/>
  <c r="I50" i="2"/>
  <c r="AA33" i="2"/>
  <c r="AC23" i="2"/>
  <c r="L28" i="2"/>
  <c r="O32" i="2"/>
  <c r="O60" i="2"/>
  <c r="C26" i="2"/>
  <c r="C41" i="2"/>
  <c r="U27" i="2"/>
  <c r="I41" i="2"/>
  <c r="I60" i="2"/>
  <c r="AA19" i="2"/>
  <c r="AA42" i="2"/>
  <c r="AC33" i="2"/>
  <c r="AC41" i="2"/>
  <c r="L26" i="2"/>
  <c r="O42" i="2"/>
  <c r="O58" i="2"/>
  <c r="C29" i="2"/>
  <c r="U7" i="2"/>
  <c r="U35" i="2"/>
  <c r="I13" i="2"/>
  <c r="AA27" i="2"/>
  <c r="AA15" i="2"/>
  <c r="AC50" i="2"/>
  <c r="AC29" i="2"/>
  <c r="L44" i="2"/>
  <c r="O14" i="2"/>
  <c r="O29" i="2"/>
  <c r="C13" i="2"/>
  <c r="U48" i="2"/>
  <c r="U24" i="2"/>
  <c r="I16" i="2"/>
  <c r="AA12" i="2"/>
  <c r="AA47" i="2"/>
  <c r="AC11" i="2"/>
  <c r="L10" i="2"/>
  <c r="O16" i="2"/>
  <c r="C12" i="2"/>
  <c r="U10" i="2"/>
  <c r="U45" i="2"/>
  <c r="U8" i="2"/>
  <c r="I31" i="2"/>
  <c r="AA32" i="2"/>
  <c r="AC13" i="2"/>
  <c r="AC25" i="2"/>
  <c r="L40" i="2"/>
  <c r="L22" i="2"/>
  <c r="O34" i="2"/>
  <c r="C20" i="2"/>
  <c r="C39" i="2"/>
  <c r="U9" i="2"/>
  <c r="U19" i="2"/>
  <c r="I32" i="2"/>
  <c r="I44" i="2"/>
  <c r="AA30" i="2"/>
  <c r="AC45" i="2"/>
  <c r="AC19" i="2"/>
  <c r="L12" i="2"/>
  <c r="L32" i="2"/>
  <c r="O39" i="2"/>
  <c r="O41" i="2"/>
  <c r="C46" i="2"/>
  <c r="C11" i="2"/>
  <c r="U32" i="2"/>
  <c r="I8" i="2"/>
  <c r="I24" i="2"/>
  <c r="I42" i="2"/>
  <c r="AA48" i="2"/>
  <c r="AC15" i="2"/>
  <c r="AC47" i="2"/>
  <c r="L8" i="2"/>
  <c r="L30" i="2"/>
  <c r="L46" i="2"/>
  <c r="O45" i="2"/>
  <c r="O23" i="2"/>
  <c r="O52" i="2"/>
  <c r="O13" i="2"/>
  <c r="C28" i="2"/>
  <c r="C31" i="2"/>
  <c r="C50" i="2"/>
  <c r="U14" i="2"/>
  <c r="U30" i="2"/>
  <c r="U40" i="2"/>
  <c r="I15" i="2"/>
  <c r="I25" i="2"/>
  <c r="I52" i="2"/>
  <c r="I21" i="2"/>
  <c r="AA25" i="2"/>
  <c r="AA14" i="2"/>
  <c r="AA35" i="2"/>
  <c r="AC39" i="2"/>
  <c r="AC9" i="2"/>
  <c r="AC21" i="2"/>
  <c r="L42" i="2"/>
  <c r="L14" i="2"/>
  <c r="L16" i="2"/>
  <c r="L34" i="2"/>
  <c r="R45" i="2"/>
  <c r="X38" i="2"/>
  <c r="Q35" i="2"/>
  <c r="AB9" i="2"/>
  <c r="X28" i="2"/>
  <c r="W48" i="2"/>
  <c r="C27" i="2"/>
  <c r="U46" i="2"/>
  <c r="X46" i="2"/>
  <c r="AD60" i="2"/>
  <c r="AA63" i="2"/>
  <c r="I33" i="2"/>
  <c r="AB8" i="2"/>
  <c r="F45" i="2"/>
  <c r="G35" i="2"/>
  <c r="W10" i="2"/>
  <c r="R19" i="2"/>
  <c r="R31" i="2"/>
  <c r="W38" i="2"/>
  <c r="AD21" i="2"/>
  <c r="K8" i="2"/>
  <c r="Q47" i="2"/>
  <c r="E19" i="2"/>
  <c r="E39" i="2"/>
  <c r="C52" i="2"/>
  <c r="I28" i="2"/>
  <c r="I62" i="2"/>
  <c r="AA28" i="2"/>
  <c r="U25" i="2"/>
  <c r="O9" i="2"/>
  <c r="F19" i="2"/>
  <c r="F21" i="2"/>
  <c r="X26" i="2"/>
  <c r="G41" i="2"/>
  <c r="G47" i="2"/>
  <c r="R50" i="2"/>
  <c r="W22" i="2"/>
  <c r="AD15" i="2"/>
  <c r="K10" i="2"/>
  <c r="K7" i="2"/>
  <c r="E50" i="2"/>
  <c r="E25" i="2"/>
  <c r="C43" i="2"/>
  <c r="I58" i="2"/>
  <c r="AA29" i="2"/>
  <c r="AA11" i="2"/>
  <c r="U38" i="2"/>
  <c r="O21" i="2"/>
  <c r="G45" i="2"/>
  <c r="X20" i="2"/>
  <c r="Q25" i="2"/>
  <c r="AA31" i="2"/>
  <c r="R11" i="2"/>
  <c r="X14" i="2"/>
  <c r="AD9" i="2"/>
  <c r="E35" i="2"/>
  <c r="O12" i="2"/>
  <c r="F7" i="2"/>
  <c r="G25" i="2"/>
  <c r="U56" i="2"/>
  <c r="E13" i="2"/>
  <c r="I30" i="2"/>
  <c r="U39" i="2"/>
  <c r="F47" i="2"/>
  <c r="X40" i="2"/>
  <c r="R35" i="2"/>
  <c r="F43" i="2"/>
  <c r="X22" i="2"/>
  <c r="X42" i="2"/>
  <c r="G33" i="2"/>
  <c r="G7" i="2"/>
  <c r="R39" i="2"/>
  <c r="W52" i="2"/>
  <c r="AA56" i="2"/>
  <c r="K20" i="2"/>
  <c r="K40" i="2"/>
  <c r="Q41" i="2"/>
  <c r="E15" i="2"/>
  <c r="C61" i="2"/>
  <c r="I63" i="2"/>
  <c r="O22" i="2"/>
  <c r="K57" i="2"/>
  <c r="F23" i="2"/>
  <c r="X8" i="2"/>
  <c r="X44" i="2"/>
  <c r="G21" i="2"/>
  <c r="G39" i="2"/>
  <c r="R29" i="2"/>
  <c r="AA59" i="2"/>
  <c r="AD25" i="2"/>
  <c r="K38" i="2"/>
  <c r="Q27" i="2"/>
  <c r="E7" i="2"/>
  <c r="U63" i="2"/>
  <c r="C35" i="2"/>
  <c r="I47" i="2"/>
  <c r="AA38" i="2"/>
  <c r="C62" i="2"/>
  <c r="I57" i="2"/>
  <c r="O8" i="2"/>
  <c r="Q15" i="2"/>
  <c r="C24" i="2"/>
  <c r="I40" i="2"/>
  <c r="AA23" i="2"/>
  <c r="U47" i="2"/>
  <c r="O56" i="2"/>
  <c r="I56" i="2"/>
  <c r="X32" i="2"/>
  <c r="U57" i="2"/>
  <c r="U41" i="2"/>
  <c r="AD23" i="2"/>
  <c r="Q23" i="2"/>
  <c r="E9" i="2"/>
  <c r="U34" i="2"/>
  <c r="O48" i="2"/>
  <c r="AB29" i="2"/>
  <c r="G27" i="2"/>
  <c r="G9" i="2"/>
  <c r="O38" i="2"/>
  <c r="Q13" i="2"/>
  <c r="AA41" i="2"/>
  <c r="AB15" i="2"/>
  <c r="K32" i="2"/>
  <c r="AD43" i="2"/>
  <c r="C21" i="2"/>
  <c r="AD50" i="2"/>
  <c r="F25" i="2"/>
  <c r="W20" i="2"/>
  <c r="K63" i="2"/>
  <c r="Q33" i="2"/>
  <c r="R23" i="2"/>
  <c r="E43" i="2"/>
  <c r="F15" i="2"/>
  <c r="G23" i="2"/>
  <c r="I22" i="2"/>
  <c r="X34" i="2"/>
  <c r="R33" i="2"/>
  <c r="AD19" i="2"/>
  <c r="C9" i="2"/>
  <c r="R25" i="2"/>
  <c r="W34" i="2"/>
  <c r="K16" i="2"/>
  <c r="F35" i="2"/>
  <c r="X48" i="2"/>
  <c r="G43" i="2"/>
  <c r="G31" i="2"/>
  <c r="R13" i="2"/>
  <c r="W28" i="2"/>
  <c r="AD47" i="2"/>
  <c r="K14" i="2"/>
  <c r="Q45" i="2"/>
  <c r="O62" i="2"/>
  <c r="E47" i="2"/>
  <c r="U60" i="2"/>
  <c r="O20" i="2"/>
  <c r="U62" i="2"/>
  <c r="F13" i="2"/>
  <c r="AD31" i="2"/>
  <c r="F41" i="2"/>
  <c r="R21" i="2"/>
  <c r="I20" i="2"/>
  <c r="K22" i="2"/>
  <c r="W16" i="2"/>
  <c r="AA57" i="2"/>
  <c r="I9" i="2"/>
  <c r="F29" i="2"/>
  <c r="X12" i="2"/>
  <c r="R15" i="2"/>
  <c r="K30" i="2"/>
  <c r="C33" i="2"/>
  <c r="AA13" i="2"/>
  <c r="O46" i="2"/>
  <c r="X24" i="2"/>
  <c r="W24" i="2"/>
  <c r="U59" i="2"/>
  <c r="K44" i="2"/>
  <c r="Q31" i="2"/>
  <c r="O61" i="2"/>
  <c r="C7" i="2"/>
  <c r="I12" i="2"/>
  <c r="I11" i="2"/>
  <c r="AA60" i="2"/>
  <c r="U58" i="2"/>
  <c r="O27" i="2"/>
  <c r="AA61" i="2"/>
  <c r="F33" i="2"/>
  <c r="F9" i="2"/>
  <c r="F39" i="2"/>
  <c r="X10" i="2"/>
  <c r="G29" i="2"/>
  <c r="G8" i="2"/>
  <c r="W12" i="2"/>
  <c r="R41" i="2"/>
  <c r="AD35" i="2"/>
  <c r="K34" i="2"/>
  <c r="K28" i="2"/>
  <c r="Q9" i="2"/>
  <c r="E31" i="2"/>
  <c r="C22" i="2"/>
  <c r="I48" i="2"/>
  <c r="I61" i="2"/>
  <c r="AA50" i="2"/>
  <c r="U43" i="2"/>
  <c r="O50" i="2"/>
  <c r="C59" i="2"/>
  <c r="F50" i="2"/>
  <c r="F27" i="2"/>
  <c r="F11" i="2"/>
  <c r="X30" i="2"/>
  <c r="X52" i="2"/>
  <c r="G11" i="2"/>
  <c r="G13" i="2"/>
  <c r="G15" i="2"/>
  <c r="R9" i="2"/>
  <c r="W40" i="2"/>
  <c r="W26" i="2"/>
  <c r="R7" i="2"/>
  <c r="W32" i="2"/>
  <c r="W14" i="2"/>
  <c r="W46" i="2"/>
  <c r="AD33" i="2"/>
  <c r="AD27" i="2"/>
  <c r="AD7" i="2"/>
  <c r="AD29" i="2"/>
  <c r="K42" i="2"/>
  <c r="K26" i="2"/>
  <c r="K24" i="2"/>
  <c r="Q29" i="2"/>
  <c r="Q21" i="2"/>
  <c r="Q43" i="2"/>
  <c r="Q7" i="2"/>
  <c r="E29" i="2"/>
  <c r="E45" i="2"/>
  <c r="E23" i="2"/>
  <c r="E11" i="2"/>
  <c r="C25" i="2"/>
  <c r="C15" i="2"/>
  <c r="C19" i="2"/>
  <c r="C32" i="2"/>
  <c r="I46" i="2"/>
  <c r="I38" i="2"/>
  <c r="I29" i="2"/>
  <c r="O63" i="2"/>
  <c r="AA8" i="2"/>
  <c r="AA46" i="2"/>
  <c r="AA43" i="2"/>
  <c r="AA22" i="2"/>
  <c r="U33" i="2"/>
  <c r="U16" i="2"/>
  <c r="U29" i="2"/>
  <c r="U15" i="2"/>
  <c r="O31" i="2"/>
  <c r="O15" i="2"/>
  <c r="O10" i="2"/>
  <c r="O28" i="2"/>
  <c r="AB23" i="2"/>
  <c r="AB39" i="2"/>
  <c r="AB25" i="2"/>
  <c r="AB21" i="2"/>
  <c r="D41" i="2"/>
  <c r="D9" i="2"/>
  <c r="D8" i="2"/>
  <c r="D21" i="2"/>
  <c r="P50" i="2"/>
  <c r="P13" i="2"/>
  <c r="P58" i="2"/>
  <c r="C57" i="2"/>
  <c r="J8" i="2"/>
  <c r="J16" i="2"/>
  <c r="J22" i="2"/>
  <c r="V40" i="2"/>
  <c r="V48" i="2"/>
  <c r="V32" i="2"/>
  <c r="F31" i="2"/>
  <c r="X16" i="2"/>
  <c r="G19" i="2"/>
  <c r="W42" i="2"/>
  <c r="R47" i="2"/>
  <c r="R27" i="2"/>
  <c r="W30" i="2"/>
  <c r="W8" i="2"/>
  <c r="W44" i="2"/>
  <c r="R43" i="2"/>
  <c r="AD13" i="2"/>
  <c r="AD41" i="2"/>
  <c r="AD11" i="2"/>
  <c r="AD39" i="2"/>
  <c r="K46" i="2"/>
  <c r="K48" i="2"/>
  <c r="K12" i="2"/>
  <c r="Q50" i="2"/>
  <c r="Q19" i="2"/>
  <c r="Q11" i="2"/>
  <c r="Q39" i="2"/>
  <c r="E27" i="2"/>
  <c r="E21" i="2"/>
  <c r="E41" i="2"/>
  <c r="E33" i="2"/>
  <c r="C40" i="2"/>
  <c r="C48" i="2"/>
  <c r="C42" i="2"/>
  <c r="C14" i="2"/>
  <c r="I39" i="2"/>
  <c r="I10" i="2"/>
  <c r="I45" i="2"/>
  <c r="O57" i="2"/>
  <c r="AA16" i="2"/>
  <c r="AA44" i="2"/>
  <c r="AA21" i="2"/>
  <c r="AA20" i="2"/>
  <c r="U44" i="2"/>
  <c r="U26" i="2"/>
  <c r="U20" i="2"/>
  <c r="U23" i="2"/>
  <c r="O25" i="2"/>
  <c r="O30" i="2"/>
  <c r="O43" i="2"/>
  <c r="O40" i="2"/>
  <c r="AB47" i="2"/>
  <c r="AB33" i="2"/>
  <c r="AB19" i="2"/>
  <c r="AB58" i="2"/>
  <c r="D29" i="2"/>
  <c r="D13" i="2"/>
  <c r="D50" i="2"/>
  <c r="D23" i="2"/>
  <c r="P35" i="2"/>
  <c r="P45" i="2"/>
  <c r="P41" i="2"/>
  <c r="C63" i="2"/>
  <c r="J48" i="2"/>
  <c r="J38" i="2"/>
  <c r="J32" i="2"/>
  <c r="V42" i="2"/>
  <c r="V14" i="2"/>
  <c r="V52" i="2"/>
  <c r="D15" i="2"/>
  <c r="D47" i="2"/>
  <c r="D31" i="2"/>
  <c r="P9" i="2"/>
  <c r="P15" i="2"/>
  <c r="P27" i="2"/>
  <c r="J7" i="2"/>
  <c r="J26" i="2"/>
  <c r="J14" i="2"/>
  <c r="J46" i="2"/>
  <c r="V26" i="2"/>
  <c r="V28" i="2"/>
  <c r="V38" i="2"/>
  <c r="AB35" i="2"/>
  <c r="AB43" i="2"/>
  <c r="D25" i="2"/>
  <c r="D33" i="2"/>
  <c r="D19" i="2"/>
  <c r="C56" i="2"/>
  <c r="P60" i="2"/>
  <c r="P39" i="2"/>
  <c r="P21" i="2"/>
  <c r="J34" i="2"/>
  <c r="J52" i="2"/>
  <c r="J24" i="2"/>
  <c r="J20" i="2"/>
  <c r="V12" i="2"/>
  <c r="V34" i="2"/>
  <c r="V7" i="2"/>
  <c r="AB11" i="2"/>
  <c r="U61" i="2"/>
  <c r="D7" i="2"/>
  <c r="D27" i="2"/>
  <c r="D43" i="2"/>
  <c r="P11" i="2"/>
  <c r="P25" i="2"/>
  <c r="P19" i="2"/>
  <c r="J10" i="2"/>
  <c r="J12" i="2"/>
  <c r="J44" i="2"/>
  <c r="V16" i="2"/>
  <c r="V30" i="2"/>
  <c r="V22" i="2"/>
  <c r="V20" i="2"/>
  <c r="AB27" i="2"/>
  <c r="AB45" i="2"/>
  <c r="P43" i="2"/>
  <c r="C30" i="2"/>
  <c r="C45" i="2"/>
  <c r="C58" i="2"/>
  <c r="C23" i="2"/>
  <c r="I19" i="2"/>
  <c r="I35" i="2"/>
  <c r="I27" i="2"/>
  <c r="I43" i="2"/>
  <c r="AA10" i="2"/>
  <c r="AA39" i="2"/>
  <c r="AA34" i="2"/>
  <c r="AA26" i="2"/>
  <c r="U21" i="2"/>
  <c r="U31" i="2"/>
  <c r="U50" i="2"/>
  <c r="U28" i="2"/>
  <c r="O59" i="2"/>
  <c r="O35" i="2"/>
  <c r="O33" i="2"/>
  <c r="O7" i="2"/>
  <c r="I59" i="2"/>
  <c r="AB60" i="2"/>
  <c r="AB13" i="2"/>
  <c r="AB7" i="2"/>
  <c r="AA62" i="2"/>
  <c r="D60" i="2"/>
  <c r="D39" i="2"/>
  <c r="D11" i="2"/>
  <c r="P23" i="2"/>
  <c r="P29" i="2"/>
  <c r="P31" i="2"/>
  <c r="P47" i="2"/>
  <c r="J28" i="2"/>
  <c r="J9" i="2"/>
  <c r="J42" i="2"/>
  <c r="V10" i="2"/>
  <c r="V44" i="2"/>
  <c r="V8" i="2"/>
  <c r="V24" i="2"/>
  <c r="AB56" i="2"/>
  <c r="AB52" i="2"/>
  <c r="V11" i="2"/>
  <c r="J45" i="2"/>
  <c r="D42" i="2"/>
  <c r="V25" i="2"/>
  <c r="V59" i="2"/>
  <c r="D44" i="2"/>
  <c r="AF11" i="2"/>
  <c r="H33" i="2"/>
  <c r="V61" i="2"/>
  <c r="V29" i="2"/>
  <c r="J13" i="2"/>
  <c r="V58" i="2"/>
  <c r="P52" i="2"/>
  <c r="N57" i="2"/>
  <c r="J29" i="2"/>
  <c r="AB26" i="2"/>
  <c r="D24" i="2"/>
  <c r="Z63" i="2"/>
  <c r="N40" i="2"/>
  <c r="AF33" i="2"/>
  <c r="H19" i="2"/>
  <c r="M26" i="2"/>
  <c r="T31" i="2"/>
  <c r="P22" i="2"/>
  <c r="AB12" i="2"/>
  <c r="D22" i="2"/>
  <c r="D46" i="2"/>
  <c r="D48" i="2"/>
  <c r="N22" i="2"/>
  <c r="N42" i="2"/>
  <c r="AF21" i="2"/>
  <c r="H13" i="2"/>
  <c r="H43" i="2"/>
  <c r="M24" i="2"/>
  <c r="M44" i="2"/>
  <c r="S41" i="2"/>
  <c r="S35" i="2"/>
  <c r="T45" i="2"/>
  <c r="T27" i="2"/>
  <c r="T11" i="2"/>
  <c r="AE45" i="2"/>
  <c r="AE8" i="2"/>
  <c r="AE33" i="2"/>
  <c r="Z28" i="2"/>
  <c r="Z14" i="2"/>
  <c r="Z12" i="2"/>
  <c r="Z42" i="2"/>
  <c r="Y24" i="2"/>
  <c r="Y34" i="2"/>
  <c r="Y7" i="2"/>
  <c r="P42" i="2"/>
  <c r="AB50" i="2"/>
  <c r="AB42" i="2"/>
  <c r="D45" i="2"/>
  <c r="N14" i="2"/>
  <c r="N16" i="2"/>
  <c r="AF7" i="2"/>
  <c r="AF43" i="2"/>
  <c r="H35" i="2"/>
  <c r="H21" i="2"/>
  <c r="M34" i="2"/>
  <c r="M22" i="2"/>
  <c r="S19" i="2"/>
  <c r="T58" i="2"/>
  <c r="P20" i="2"/>
  <c r="J25" i="2"/>
  <c r="D12" i="2"/>
  <c r="N28" i="2"/>
  <c r="AF23" i="2"/>
  <c r="H45" i="2"/>
  <c r="H11" i="2"/>
  <c r="M28" i="2"/>
  <c r="M8" i="2"/>
  <c r="S27" i="2"/>
  <c r="S15" i="2"/>
  <c r="T35" i="2"/>
  <c r="T47" i="2"/>
  <c r="T39" i="2"/>
  <c r="AE23" i="2"/>
  <c r="AE21" i="2"/>
  <c r="AE25" i="2"/>
  <c r="Z8" i="2"/>
  <c r="Z10" i="2"/>
  <c r="Z34" i="2"/>
  <c r="Z16" i="2"/>
  <c r="Y30" i="2"/>
  <c r="Y20" i="2"/>
  <c r="Y46" i="2"/>
  <c r="V60" i="2"/>
  <c r="AB59" i="2"/>
  <c r="J19" i="2"/>
  <c r="D52" i="2"/>
  <c r="AF29" i="2"/>
  <c r="AF19" i="2"/>
  <c r="H39" i="2"/>
  <c r="H31" i="2"/>
  <c r="M10" i="2"/>
  <c r="M46" i="2"/>
  <c r="S23" i="2"/>
  <c r="T23" i="2"/>
  <c r="K59" i="2"/>
  <c r="P12" i="2"/>
  <c r="AB14" i="2"/>
  <c r="AF50" i="2"/>
  <c r="M16" i="2"/>
  <c r="S25" i="2"/>
  <c r="S31" i="2"/>
  <c r="S21" i="2"/>
  <c r="T29" i="2"/>
  <c r="T25" i="2"/>
  <c r="AE15" i="2"/>
  <c r="AE35" i="2"/>
  <c r="AE43" i="2"/>
  <c r="AE13" i="2"/>
  <c r="Z22" i="2"/>
  <c r="Z26" i="2"/>
  <c r="Z40" i="2"/>
  <c r="W57" i="2"/>
  <c r="Y42" i="2"/>
  <c r="Y10" i="2"/>
  <c r="Y9" i="2"/>
  <c r="J47" i="2"/>
  <c r="D57" i="2"/>
  <c r="AB32" i="2"/>
  <c r="AF15" i="2"/>
  <c r="V57" i="2"/>
  <c r="T15" i="2"/>
  <c r="V35" i="2"/>
  <c r="K56" i="2"/>
  <c r="V50" i="2"/>
  <c r="AB28" i="2"/>
  <c r="N20" i="2"/>
  <c r="V15" i="2"/>
  <c r="J27" i="2"/>
  <c r="N12" i="2"/>
  <c r="H50" i="2"/>
  <c r="D63" i="2"/>
  <c r="P33" i="2"/>
  <c r="J23" i="2"/>
  <c r="AB24" i="2"/>
  <c r="AB34" i="2"/>
  <c r="D30" i="2"/>
  <c r="D16" i="2"/>
  <c r="N52" i="2"/>
  <c r="N8" i="2"/>
  <c r="M63" i="2"/>
  <c r="AF39" i="2"/>
  <c r="H7" i="2"/>
  <c r="H27" i="2"/>
  <c r="M20" i="2"/>
  <c r="M9" i="2"/>
  <c r="M40" i="2"/>
  <c r="S13" i="2"/>
  <c r="S29" i="2"/>
  <c r="S9" i="2"/>
  <c r="T7" i="2"/>
  <c r="T19" i="2"/>
  <c r="T43" i="2"/>
  <c r="AE47" i="2"/>
  <c r="AE7" i="2"/>
  <c r="AE41" i="2"/>
  <c r="AE31" i="2"/>
  <c r="Z32" i="2"/>
  <c r="Z44" i="2"/>
  <c r="Z52" i="2"/>
  <c r="W63" i="2"/>
  <c r="Y12" i="2"/>
  <c r="Y22" i="2"/>
  <c r="Y16" i="2"/>
  <c r="V23" i="2"/>
  <c r="J11" i="2"/>
  <c r="V47" i="2"/>
  <c r="P28" i="2"/>
  <c r="AB38" i="2"/>
  <c r="V62" i="2"/>
  <c r="V27" i="2"/>
  <c r="J33" i="2"/>
  <c r="Y63" i="2"/>
  <c r="H15" i="2"/>
  <c r="J61" i="2"/>
  <c r="V21" i="2"/>
  <c r="V56" i="2"/>
  <c r="AB40" i="2"/>
  <c r="Q62" i="2"/>
  <c r="D28" i="2"/>
  <c r="Y57" i="2"/>
  <c r="N30" i="2"/>
  <c r="AF27" i="2"/>
  <c r="AF9" i="2"/>
  <c r="H47" i="2"/>
  <c r="J63" i="2"/>
  <c r="V63" i="2"/>
  <c r="AB61" i="2"/>
  <c r="J40" i="2"/>
  <c r="P10" i="2"/>
  <c r="AB30" i="2"/>
  <c r="D40" i="2"/>
  <c r="J62" i="2"/>
  <c r="P34" i="2"/>
  <c r="J41" i="2"/>
  <c r="D35" i="2"/>
  <c r="N10" i="2"/>
  <c r="J57" i="2"/>
  <c r="V13" i="2"/>
  <c r="P40" i="2"/>
  <c r="D59" i="2"/>
  <c r="V31" i="2"/>
  <c r="P46" i="2"/>
  <c r="AB16" i="2"/>
  <c r="D38" i="2"/>
  <c r="N24" i="2"/>
  <c r="AF13" i="2"/>
  <c r="AF47" i="2"/>
  <c r="H9" i="2"/>
  <c r="M42" i="2"/>
  <c r="S11" i="2"/>
  <c r="S47" i="2"/>
  <c r="S33" i="2"/>
  <c r="T9" i="2"/>
  <c r="AE11" i="2"/>
  <c r="AE19" i="2"/>
  <c r="AE39" i="2"/>
  <c r="X63" i="2"/>
  <c r="Z24" i="2"/>
  <c r="Z46" i="2"/>
  <c r="Z48" i="2"/>
  <c r="Y40" i="2"/>
  <c r="Y14" i="2"/>
  <c r="Y38" i="2"/>
  <c r="Y8" i="2"/>
  <c r="P7" i="2"/>
  <c r="AB62" i="2"/>
  <c r="P30" i="2"/>
  <c r="AB10" i="2"/>
  <c r="N34" i="2"/>
  <c r="P16" i="2"/>
  <c r="J21" i="2"/>
  <c r="Q61" i="2"/>
  <c r="N44" i="2"/>
  <c r="M12" i="2"/>
  <c r="V41" i="2"/>
  <c r="J58" i="2"/>
  <c r="P56" i="2"/>
  <c r="V19" i="2"/>
  <c r="P26" i="2"/>
  <c r="J50" i="2"/>
  <c r="AB20" i="2"/>
  <c r="D58" i="2"/>
  <c r="N26" i="2"/>
  <c r="M7" i="2"/>
  <c r="V33" i="2"/>
  <c r="J15" i="2"/>
  <c r="V46" i="2"/>
  <c r="J35" i="2"/>
  <c r="N32" i="2"/>
  <c r="V9" i="2"/>
  <c r="P14" i="2"/>
  <c r="AB44" i="2"/>
  <c r="D14" i="2"/>
  <c r="M57" i="2"/>
  <c r="M30" i="2"/>
  <c r="P32" i="2"/>
  <c r="J39" i="2"/>
  <c r="J59" i="2"/>
  <c r="P8" i="2"/>
  <c r="J43" i="2"/>
  <c r="AB46" i="2"/>
  <c r="D20" i="2"/>
  <c r="AF41" i="2"/>
  <c r="H23" i="2"/>
  <c r="L57" i="2"/>
  <c r="S45" i="2"/>
  <c r="T21" i="2"/>
  <c r="D56" i="2"/>
  <c r="P59" i="2"/>
  <c r="J56" i="2"/>
  <c r="V39" i="2"/>
  <c r="V45" i="2"/>
  <c r="V43" i="2"/>
  <c r="P44" i="2"/>
  <c r="P24" i="2"/>
  <c r="P38" i="2"/>
  <c r="P48" i="2"/>
  <c r="N63" i="2"/>
  <c r="J30" i="2"/>
  <c r="J31" i="2"/>
  <c r="J60" i="2"/>
  <c r="AB41" i="2"/>
  <c r="AB31" i="2"/>
  <c r="AB48" i="2"/>
  <c r="AB22" i="2"/>
  <c r="D32" i="2"/>
  <c r="D34" i="2"/>
  <c r="D26" i="2"/>
  <c r="D10" i="2"/>
  <c r="Z57" i="2"/>
  <c r="N48" i="2"/>
  <c r="N38" i="2"/>
  <c r="N46" i="2"/>
  <c r="AF31" i="2"/>
  <c r="AF35" i="2"/>
  <c r="AF25" i="2"/>
  <c r="AF45" i="2"/>
  <c r="H29" i="2"/>
  <c r="H25" i="2"/>
  <c r="H41" i="2"/>
  <c r="L63" i="2"/>
  <c r="M14" i="2"/>
  <c r="M32" i="2"/>
  <c r="M38" i="2"/>
  <c r="S43" i="2"/>
  <c r="S8" i="2"/>
  <c r="S39" i="2"/>
  <c r="S7" i="2"/>
  <c r="T33" i="2"/>
  <c r="T41" i="2"/>
  <c r="T13" i="2"/>
  <c r="AE9" i="2"/>
  <c r="AE27" i="2"/>
  <c r="AE29" i="2"/>
  <c r="X57" i="2"/>
  <c r="Z20" i="2"/>
  <c r="Z30" i="2"/>
  <c r="Z38" i="2"/>
  <c r="Y28" i="2"/>
  <c r="Y32" i="2"/>
  <c r="Y26" i="2"/>
  <c r="Y48" i="2"/>
  <c r="L50" i="2"/>
  <c r="L27" i="2"/>
  <c r="X60" i="2"/>
  <c r="F40" i="2"/>
  <c r="R38" i="2"/>
  <c r="W27" i="2"/>
  <c r="AD56" i="2"/>
  <c r="L58" i="2"/>
  <c r="X21" i="2"/>
  <c r="AC63" i="2"/>
  <c r="AD24" i="2"/>
  <c r="R44" i="2"/>
  <c r="R20" i="2"/>
  <c r="AC34" i="2"/>
  <c r="E40" i="2"/>
  <c r="W25" i="2"/>
  <c r="W13" i="2"/>
  <c r="P62" i="2"/>
  <c r="F57" i="2"/>
  <c r="L21" i="2"/>
  <c r="F16" i="2"/>
  <c r="R52" i="2"/>
  <c r="E58" i="2"/>
  <c r="F61" i="2"/>
  <c r="L59" i="2"/>
  <c r="L31" i="2"/>
  <c r="L35" i="2"/>
  <c r="L7" i="2"/>
  <c r="L11" i="2"/>
  <c r="Q57" i="2"/>
  <c r="X31" i="2"/>
  <c r="X19" i="2"/>
  <c r="X43" i="2"/>
  <c r="F52" i="2"/>
  <c r="F22" i="2"/>
  <c r="F58" i="2"/>
  <c r="F24" i="2"/>
  <c r="AD46" i="2"/>
  <c r="AD20" i="2"/>
  <c r="AD28" i="2"/>
  <c r="AD10" i="2"/>
  <c r="R40" i="2"/>
  <c r="R34" i="2"/>
  <c r="R16" i="2"/>
  <c r="R12" i="2"/>
  <c r="AC10" i="2"/>
  <c r="AC20" i="2"/>
  <c r="AC48" i="2"/>
  <c r="AC32" i="2"/>
  <c r="E32" i="2"/>
  <c r="E42" i="2"/>
  <c r="E38" i="2"/>
  <c r="W62" i="2"/>
  <c r="W47" i="2"/>
  <c r="W31" i="2"/>
  <c r="W58" i="2"/>
  <c r="AC56" i="2"/>
  <c r="Q42" i="2"/>
  <c r="Q10" i="2"/>
  <c r="Q14" i="2"/>
  <c r="Q20" i="2"/>
  <c r="AB57" i="2"/>
  <c r="P63" i="2"/>
  <c r="K35" i="2"/>
  <c r="K45" i="2"/>
  <c r="K25" i="2"/>
  <c r="K13" i="2"/>
  <c r="R57" i="2"/>
  <c r="X50" i="2"/>
  <c r="AD38" i="2"/>
  <c r="E12" i="2"/>
  <c r="F56" i="2"/>
  <c r="L9" i="2"/>
  <c r="L15" i="2"/>
  <c r="X15" i="2"/>
  <c r="X23" i="2"/>
  <c r="F38" i="2"/>
  <c r="F8" i="2"/>
  <c r="AD32" i="2"/>
  <c r="R58" i="2"/>
  <c r="R46" i="2"/>
  <c r="R14" i="2"/>
  <c r="AC22" i="2"/>
  <c r="AC58" i="2"/>
  <c r="AC16" i="2"/>
  <c r="E44" i="2"/>
  <c r="E24" i="2"/>
  <c r="E20" i="2"/>
  <c r="W61" i="2"/>
  <c r="W7" i="2"/>
  <c r="W35" i="2"/>
  <c r="W45" i="2"/>
  <c r="AC59" i="2"/>
  <c r="Q52" i="2"/>
  <c r="Q38" i="2"/>
  <c r="Q44" i="2"/>
  <c r="Q26" i="2"/>
  <c r="AB63" i="2"/>
  <c r="P57" i="2"/>
  <c r="K15" i="2"/>
  <c r="K39" i="2"/>
  <c r="K9" i="2"/>
  <c r="K33" i="2"/>
  <c r="F59" i="2"/>
  <c r="L45" i="2"/>
  <c r="Q63" i="2"/>
  <c r="X25" i="2"/>
  <c r="F30" i="2"/>
  <c r="F44" i="2"/>
  <c r="AD16" i="2"/>
  <c r="AD44" i="2"/>
  <c r="AD48" i="2"/>
  <c r="R48" i="2"/>
  <c r="AC14" i="2"/>
  <c r="X59" i="2"/>
  <c r="X39" i="2"/>
  <c r="X13" i="2"/>
  <c r="F20" i="2"/>
  <c r="F12" i="2"/>
  <c r="AD22" i="2"/>
  <c r="AD14" i="2"/>
  <c r="R28" i="2"/>
  <c r="R30" i="2"/>
  <c r="R26" i="2"/>
  <c r="AC44" i="2"/>
  <c r="AC40" i="2"/>
  <c r="E16" i="2"/>
  <c r="E8" i="2"/>
  <c r="E28" i="2"/>
  <c r="E30" i="2"/>
  <c r="W23" i="2"/>
  <c r="W15" i="2"/>
  <c r="W41" i="2"/>
  <c r="W21" i="2"/>
  <c r="AC62" i="2"/>
  <c r="Q58" i="2"/>
  <c r="Q60" i="2"/>
  <c r="Q46" i="2"/>
  <c r="K61" i="2"/>
  <c r="W59" i="2"/>
  <c r="D62" i="2"/>
  <c r="K19" i="2"/>
  <c r="K31" i="2"/>
  <c r="K43" i="2"/>
  <c r="K58" i="2"/>
  <c r="L33" i="2"/>
  <c r="L19" i="2"/>
  <c r="X58" i="2"/>
  <c r="X9" i="2"/>
  <c r="F26" i="2"/>
  <c r="F34" i="2"/>
  <c r="AD52" i="2"/>
  <c r="AD42" i="2"/>
  <c r="R24" i="2"/>
  <c r="AC46" i="2"/>
  <c r="R63" i="2"/>
  <c r="F48" i="2"/>
  <c r="AC24" i="2"/>
  <c r="W39" i="2"/>
  <c r="W11" i="2"/>
  <c r="W50" i="2"/>
  <c r="AC61" i="2"/>
  <c r="Q30" i="2"/>
  <c r="Q8" i="2"/>
  <c r="Q22" i="2"/>
  <c r="K62" i="2"/>
  <c r="W56" i="2"/>
  <c r="D61" i="2"/>
  <c r="K60" i="2"/>
  <c r="K29" i="2"/>
  <c r="K23" i="2"/>
  <c r="K21" i="2"/>
  <c r="M59" i="2"/>
  <c r="L23" i="2"/>
  <c r="X47" i="2"/>
  <c r="AD30" i="2"/>
  <c r="R42" i="2"/>
  <c r="AC38" i="2"/>
  <c r="AD62" i="2"/>
  <c r="L41" i="2"/>
  <c r="X41" i="2"/>
  <c r="F28" i="2"/>
  <c r="E63" i="2"/>
  <c r="AC52" i="2"/>
  <c r="E60" i="2"/>
  <c r="W29" i="2"/>
  <c r="Q34" i="2"/>
  <c r="Q24" i="2"/>
  <c r="E61" i="2"/>
  <c r="K11" i="2"/>
  <c r="K52" i="2"/>
  <c r="K50" i="2"/>
  <c r="Q59" i="2"/>
  <c r="L56" i="2"/>
  <c r="M56" i="2"/>
  <c r="X45" i="2"/>
  <c r="AD40" i="2"/>
  <c r="R32" i="2"/>
  <c r="E46" i="2"/>
  <c r="R59" i="2"/>
  <c r="L60" i="2"/>
  <c r="X29" i="2"/>
  <c r="F60" i="2"/>
  <c r="AD58" i="2"/>
  <c r="AC28" i="2"/>
  <c r="F62" i="2"/>
  <c r="L39" i="2"/>
  <c r="X56" i="2"/>
  <c r="L13" i="2"/>
  <c r="F14" i="2"/>
  <c r="AD34" i="2"/>
  <c r="AC30" i="2"/>
  <c r="E22" i="2"/>
  <c r="R61" i="2"/>
  <c r="L25" i="2"/>
  <c r="X7" i="2"/>
  <c r="F32" i="2"/>
  <c r="AD8" i="2"/>
  <c r="R22" i="2"/>
  <c r="AC42" i="2"/>
  <c r="E48" i="2"/>
  <c r="E14" i="2"/>
  <c r="W9" i="2"/>
  <c r="Q28" i="2"/>
  <c r="Q32" i="2"/>
  <c r="E56" i="2"/>
  <c r="R62" i="2"/>
  <c r="AD59" i="2"/>
  <c r="AD61" i="2"/>
  <c r="R56" i="2"/>
  <c r="F63" i="2"/>
  <c r="L29" i="2"/>
  <c r="L47" i="2"/>
  <c r="L43" i="2"/>
  <c r="X27" i="2"/>
  <c r="X33" i="2"/>
  <c r="X11" i="2"/>
  <c r="X35" i="2"/>
  <c r="F10" i="2"/>
  <c r="F42" i="2"/>
  <c r="F46" i="2"/>
  <c r="AC57" i="2"/>
  <c r="AD45" i="2"/>
  <c r="AD12" i="2"/>
  <c r="AD26" i="2"/>
  <c r="E57" i="2"/>
  <c r="R60" i="2"/>
  <c r="R10" i="2"/>
  <c r="R8" i="2"/>
  <c r="AC26" i="2"/>
  <c r="AC60" i="2"/>
  <c r="AC8" i="2"/>
  <c r="AC12" i="2"/>
  <c r="E10" i="2"/>
  <c r="E52" i="2"/>
  <c r="E26" i="2"/>
  <c r="E34" i="2"/>
  <c r="W33" i="2"/>
  <c r="W19" i="2"/>
  <c r="W60" i="2"/>
  <c r="W43" i="2"/>
  <c r="Q16" i="2"/>
  <c r="Q40" i="2"/>
  <c r="Q48" i="2"/>
  <c r="Q12" i="2"/>
  <c r="E62" i="2"/>
  <c r="E59" i="2"/>
  <c r="P61" i="2"/>
  <c r="K41" i="2"/>
  <c r="K27" i="2"/>
  <c r="K47" i="2"/>
  <c r="Q56" i="2"/>
  <c r="AF63" i="2"/>
  <c r="T57" i="2"/>
  <c r="N61" i="2"/>
  <c r="T61" i="2"/>
  <c r="S57" i="2"/>
  <c r="Z59" i="2"/>
  <c r="H59" i="2"/>
  <c r="AE56" i="2"/>
  <c r="H40" i="2"/>
  <c r="H12" i="2"/>
  <c r="H32" i="2"/>
  <c r="S50" i="2"/>
  <c r="S28" i="2"/>
  <c r="S10" i="2"/>
  <c r="S46" i="2"/>
  <c r="AE28" i="2"/>
  <c r="AE32" i="2"/>
  <c r="AE34" i="2"/>
  <c r="AE20" i="2"/>
  <c r="M11" i="2"/>
  <c r="M60" i="2"/>
  <c r="M47" i="2"/>
  <c r="Z19" i="2"/>
  <c r="Z41" i="2"/>
  <c r="Z13" i="2"/>
  <c r="Z9" i="2"/>
  <c r="N25" i="2"/>
  <c r="N15" i="2"/>
  <c r="N31" i="2"/>
  <c r="N9" i="2"/>
  <c r="Y50" i="2"/>
  <c r="Y39" i="2"/>
  <c r="Y33" i="2"/>
  <c r="G58" i="2"/>
  <c r="G52" i="2"/>
  <c r="G14" i="2"/>
  <c r="G50" i="2"/>
  <c r="AF46" i="2"/>
  <c r="AF58" i="2"/>
  <c r="AF30" i="2"/>
  <c r="AF60" i="2"/>
  <c r="T28" i="2"/>
  <c r="T16" i="2"/>
  <c r="T8" i="2"/>
  <c r="G59" i="2"/>
  <c r="X62" i="2"/>
  <c r="AF57" i="2"/>
  <c r="Z56" i="2"/>
  <c r="S42" i="2"/>
  <c r="AE38" i="2"/>
  <c r="M33" i="2"/>
  <c r="Z60" i="2"/>
  <c r="N19" i="2"/>
  <c r="Y43" i="2"/>
  <c r="G28" i="2"/>
  <c r="AF32" i="2"/>
  <c r="AF44" i="2"/>
  <c r="T44" i="2"/>
  <c r="X61" i="2"/>
  <c r="T62" i="2"/>
  <c r="H24" i="2"/>
  <c r="M21" i="2"/>
  <c r="N33" i="2"/>
  <c r="AF42" i="2"/>
  <c r="H63" i="2"/>
  <c r="H58" i="2"/>
  <c r="H28" i="2"/>
  <c r="S44" i="2"/>
  <c r="S32" i="2"/>
  <c r="AE10" i="2"/>
  <c r="AE12" i="2"/>
  <c r="AE42" i="2"/>
  <c r="M29" i="2"/>
  <c r="M27" i="2"/>
  <c r="M13" i="2"/>
  <c r="M41" i="2"/>
  <c r="Z31" i="2"/>
  <c r="Z33" i="2"/>
  <c r="Z47" i="2"/>
  <c r="Z7" i="2"/>
  <c r="N13" i="2"/>
  <c r="N58" i="2"/>
  <c r="N11" i="2"/>
  <c r="Y45" i="2"/>
  <c r="Y60" i="2"/>
  <c r="Y58" i="2"/>
  <c r="Y29" i="2"/>
  <c r="G12" i="2"/>
  <c r="G30" i="2"/>
  <c r="G48" i="2"/>
  <c r="G24" i="2"/>
  <c r="AF8" i="2"/>
  <c r="AF38" i="2"/>
  <c r="AF20" i="2"/>
  <c r="T32" i="2"/>
  <c r="T26" i="2"/>
  <c r="T20" i="2"/>
  <c r="T10" i="2"/>
  <c r="S59" i="2"/>
  <c r="L61" i="2"/>
  <c r="N62" i="2"/>
  <c r="AE59" i="2"/>
  <c r="H16" i="2"/>
  <c r="S20" i="2"/>
  <c r="AE52" i="2"/>
  <c r="Z25" i="2"/>
  <c r="N35" i="2"/>
  <c r="G38" i="2"/>
  <c r="G56" i="2"/>
  <c r="AE57" i="2"/>
  <c r="S16" i="2"/>
  <c r="T63" i="2"/>
  <c r="S63" i="2"/>
  <c r="H26" i="2"/>
  <c r="S38" i="2"/>
  <c r="AE24" i="2"/>
  <c r="M35" i="2"/>
  <c r="Z21" i="2"/>
  <c r="N45" i="2"/>
  <c r="Y35" i="2"/>
  <c r="G32" i="2"/>
  <c r="AF26" i="2"/>
  <c r="T46" i="2"/>
  <c r="AF62" i="2"/>
  <c r="T56" i="2"/>
  <c r="S62" i="2"/>
  <c r="H34" i="2"/>
  <c r="H42" i="2"/>
  <c r="Z61" i="2"/>
  <c r="G61" i="2"/>
  <c r="H57" i="2"/>
  <c r="T59" i="2"/>
  <c r="AE63" i="2"/>
  <c r="H62" i="2"/>
  <c r="S61" i="2"/>
  <c r="H44" i="2"/>
  <c r="H48" i="2"/>
  <c r="H22" i="2"/>
  <c r="H14" i="2"/>
  <c r="S12" i="2"/>
  <c r="S40" i="2"/>
  <c r="S58" i="2"/>
  <c r="S34" i="2"/>
  <c r="AE44" i="2"/>
  <c r="AE50" i="2"/>
  <c r="AE26" i="2"/>
  <c r="M45" i="2"/>
  <c r="M25" i="2"/>
  <c r="M52" i="2"/>
  <c r="M48" i="2"/>
  <c r="Z29" i="2"/>
  <c r="Z45" i="2"/>
  <c r="Z23" i="2"/>
  <c r="Z43" i="2"/>
  <c r="N41" i="2"/>
  <c r="N7" i="2"/>
  <c r="N23" i="2"/>
  <c r="Y11" i="2"/>
  <c r="Y25" i="2"/>
  <c r="Y31" i="2"/>
  <c r="Y19" i="2"/>
  <c r="G20" i="2"/>
  <c r="G26" i="2"/>
  <c r="G60" i="2"/>
  <c r="G46" i="2"/>
  <c r="AF48" i="2"/>
  <c r="AF14" i="2"/>
  <c r="AF40" i="2"/>
  <c r="T52" i="2"/>
  <c r="T48" i="2"/>
  <c r="T60" i="2"/>
  <c r="T34" i="2"/>
  <c r="S56" i="2"/>
  <c r="L62" i="2"/>
  <c r="H56" i="2"/>
  <c r="S26" i="2"/>
  <c r="AE14" i="2"/>
  <c r="Z15" i="2"/>
  <c r="Y15" i="2"/>
  <c r="G34" i="2"/>
  <c r="T40" i="2"/>
  <c r="Z62" i="2"/>
  <c r="H61" i="2"/>
  <c r="S60" i="2"/>
  <c r="N59" i="2"/>
  <c r="AE62" i="2"/>
  <c r="Y62" i="2"/>
  <c r="H10" i="2"/>
  <c r="S24" i="2"/>
  <c r="S14" i="2"/>
  <c r="AE40" i="2"/>
  <c r="M19" i="2"/>
  <c r="M43" i="2"/>
  <c r="Z39" i="2"/>
  <c r="N21" i="2"/>
  <c r="N50" i="2"/>
  <c r="Y23" i="2"/>
  <c r="Y41" i="2"/>
  <c r="G44" i="2"/>
  <c r="G22" i="2"/>
  <c r="AF10" i="2"/>
  <c r="AF12" i="2"/>
  <c r="AF16" i="2"/>
  <c r="T50" i="2"/>
  <c r="T14" i="2"/>
  <c r="T42" i="2"/>
  <c r="T38" i="2"/>
  <c r="AD57" i="2"/>
  <c r="Y56" i="2"/>
  <c r="AF61" i="2"/>
  <c r="G63" i="2"/>
  <c r="M62" i="2"/>
  <c r="H52" i="2"/>
  <c r="S22" i="2"/>
  <c r="AE30" i="2"/>
  <c r="AE48" i="2"/>
  <c r="AE58" i="2"/>
  <c r="M23" i="2"/>
  <c r="M15" i="2"/>
  <c r="Z50" i="2"/>
  <c r="Z27" i="2"/>
  <c r="N47" i="2"/>
  <c r="N29" i="2"/>
  <c r="Y27" i="2"/>
  <c r="Y44" i="2"/>
  <c r="G42" i="2"/>
  <c r="AF52" i="2"/>
  <c r="AF56" i="2"/>
  <c r="H38" i="2"/>
  <c r="H60" i="2"/>
  <c r="N56" i="2"/>
  <c r="G62" i="2"/>
  <c r="AF59" i="2"/>
  <c r="AE61" i="2"/>
  <c r="G57" i="2"/>
  <c r="Y61" i="2"/>
  <c r="M61" i="2"/>
  <c r="H46" i="2"/>
  <c r="H8" i="2"/>
  <c r="H20" i="2"/>
  <c r="H30" i="2"/>
  <c r="S52" i="2"/>
  <c r="S30" i="2"/>
  <c r="S48" i="2"/>
  <c r="AE46" i="2"/>
  <c r="AE16" i="2"/>
  <c r="AE60" i="2"/>
  <c r="AE22" i="2"/>
  <c r="M50" i="2"/>
  <c r="M31" i="2"/>
  <c r="M39" i="2"/>
  <c r="M58" i="2"/>
  <c r="Z35" i="2"/>
  <c r="Z58" i="2"/>
  <c r="Z11" i="2"/>
  <c r="N60" i="2"/>
  <c r="N39" i="2"/>
  <c r="N27" i="2"/>
  <c r="N43" i="2"/>
  <c r="Y52" i="2"/>
  <c r="Y47" i="2"/>
  <c r="Y21" i="2"/>
  <c r="Y13" i="2"/>
  <c r="G16" i="2"/>
  <c r="G10" i="2"/>
  <c r="G40" i="2"/>
  <c r="AF28" i="2"/>
  <c r="AF22" i="2"/>
  <c r="AF24" i="2"/>
  <c r="AF34" i="2"/>
  <c r="T30" i="2"/>
  <c r="T12" i="2"/>
  <c r="T24" i="2"/>
  <c r="T22" i="2"/>
  <c r="AD63" i="2"/>
  <c r="Y5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<sst xmlns="http://schemas.openxmlformats.org/spreadsheetml/2006/main" count="165" uniqueCount="159">
  <si>
    <t>Reference Items</t>
  </si>
  <si>
    <t>Right click to show data transparency (not supported for all values)</t>
  </si>
  <si>
    <t>PACCAR Inc (PCAR US) - Standardized</t>
  </si>
  <si>
    <t>In Millions of USD except Per Share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</si>
  <si>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</si>
  <si>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</si>
  <si>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</si>
  <si>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</si>
  <si>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</si>
  <si>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</si>
  <si>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</si>
  <si>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</si>
  <si>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</si>
  <si>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</si>
  <si>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</si>
  <si>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</si>
  <si>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</si>
  <si>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</si>
  <si>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</si>
  <si>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</si>
  <si>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</si>
  <si>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</si>
  <si>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</si>
  <si>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</si>
  <si>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</si>
  <si>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</si>
  <si>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</si>
  <si>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</si>
  <si>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</si>
  <si>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</si>
  <si>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</si>
  <si>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</si>
  <si>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</si>
  <si>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</si>
  <si>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3 Months Ending</t>
  </si>
  <si>
    <t>09/30/2018</t>
  </si>
  <si>
    <t>12/31/2018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</si>
  <si>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</si>
  <si>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</si>
  <si>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</si>
  <si>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</si>
  <si>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</si>
  <si>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</si>
  <si>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</si>
  <si>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</si>
  <si>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</si>
  <si>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</si>
  <si>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</si>
  <si>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</si>
  <si>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</si>
  <si>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</si>
  <si>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</si>
  <si>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</si>
  <si>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</si>
  <si>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</si>
  <si>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</si>
  <si>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</si>
  <si>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</si>
  <si>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</si>
  <si>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</si>
  <si>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</si>
  <si>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</si>
  <si>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</si>
  <si>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</si>
  <si>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</si>
  <si>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Cash from Operating Activities</t>
  </si>
  <si>
    <t xml:space="preserve">  + Net Income</t>
  </si>
  <si>
    <t>CF_NET_INC</t>
  </si>
  <si>
    <t xml:space="preserve">  + Depreciation &amp; Amortization</t>
  </si>
  <si>
    <t>CF_DEPR_AMORT</t>
  </si>
  <si>
    <t xml:space="preserve">  + Non-Cash Items</t>
  </si>
  <si>
    <t>NON_CASH_ITEMS_DETAILED</t>
  </si>
  <si>
    <t xml:space="preserve">    + Other Non-Cash Adj</t>
  </si>
  <si>
    <t>OTHER_NON_CASH_ADJ_LESS_DETAILED</t>
  </si>
  <si>
    <t xml:space="preserve">  + Chg in Non-Cash Work Cap</t>
  </si>
  <si>
    <t>CF_CHNG_NON_CASH_WORK_CAP</t>
  </si>
  <si>
    <t xml:space="preserve">    + (Inc) Dec in Accts Receiv</t>
  </si>
  <si>
    <t>CF_ACCT_RCV_UNBILLED_REV</t>
  </si>
  <si>
    <t xml:space="preserve">    + (Inc) Dec in Inventories</t>
  </si>
  <si>
    <t>CF_CHANGE_IN_INVENTORIES</t>
  </si>
  <si>
    <t xml:space="preserve">    + Inc (Dec) in Other</t>
  </si>
  <si>
    <t>INC_DEC_IN_OT_OP_AST_LIAB_DETAIL</t>
  </si>
  <si>
    <t xml:space="preserve">  + Net Cash From Disc Ops</t>
  </si>
  <si>
    <t>CF_NET_CASH_DISCONT_OPS_OPER</t>
  </si>
  <si>
    <t>CF_CASH_FROM_OPER</t>
  </si>
  <si>
    <t>Cash from Investing Activities</t>
  </si>
  <si>
    <t xml:space="preserve">  + Change in Fixed &amp; Intang</t>
  </si>
  <si>
    <t>FIXED_INTANG_ASST_CHANGE</t>
  </si>
  <si>
    <t xml:space="preserve">    + Disp in Fixed &amp; Intang</t>
  </si>
  <si>
    <t>DISPOSAL_OF_FIXED_INTANG</t>
  </si>
  <si>
    <t xml:space="preserve">    + Disp of Fixed Prod Assets</t>
  </si>
  <si>
    <t>CF_DISPOSAL_OF_FIXED_PROD_ASSETS</t>
  </si>
  <si>
    <t xml:space="preserve">    + Disp of Intangible Assets</t>
  </si>
  <si>
    <t>CF_DISPOSAL_OF_INTANGIBLE_ASSETS</t>
  </si>
  <si>
    <t xml:space="preserve">    + Acq of Fixed &amp; Intang</t>
  </si>
  <si>
    <t>ACQUIS_OF_FIXED_INTANG</t>
  </si>
  <si>
    <t xml:space="preserve">    + Acq of Fixed Prod Assets</t>
  </si>
  <si>
    <t>CF_PURCHASE_OF_FIXED_PROD_ASSETS</t>
  </si>
  <si>
    <t xml:space="preserve">    + Acq of Intangible Assets</t>
  </si>
  <si>
    <t>CF_ACQUISITION_OF_INTANG_ASSETS</t>
  </si>
  <si>
    <t xml:space="preserve">  + Net Change in LT Investment</t>
  </si>
  <si>
    <t>NET_CHG_IN_LT_INVEST_DETAILED</t>
  </si>
  <si>
    <t xml:space="preserve">    + Dec in LT Investment</t>
  </si>
  <si>
    <t>CF_DECR_INVEST</t>
  </si>
  <si>
    <t xml:space="preserve">    + Inc in LT Investment</t>
  </si>
  <si>
    <t>CF_INCR_INVEST</t>
  </si>
  <si>
    <t xml:space="preserve">  + Net Cash From Acq &amp; Div</t>
  </si>
  <si>
    <t>CF_NT_CSH_RCVD_PD_FOR_ACQUIS_DIV</t>
  </si>
  <si>
    <t xml:space="preserve">    + Cash from Divestitures</t>
  </si>
  <si>
    <t>CF_CASH_FOR_DIVESTITURES</t>
  </si>
  <si>
    <t xml:space="preserve">    + Cash for Acq of Subs</t>
  </si>
  <si>
    <t>CF_CASH_FOR_ACQUIS_SUBSIDIARIES</t>
  </si>
  <si>
    <t xml:space="preserve">    + Cash for JVs</t>
  </si>
  <si>
    <t>CF_CASH_FOR_JOINT_VENTURES_ASSOC</t>
  </si>
  <si>
    <t xml:space="preserve">  + Other Investing Activities</t>
  </si>
  <si>
    <t>OTHER_INVESTING_ACT_DETAILED</t>
  </si>
  <si>
    <t>CF_NET_CASH_DISCONTINUED_OPS_INV</t>
  </si>
  <si>
    <t>CF_CASH_FROM_INV_ACT</t>
  </si>
  <si>
    <t>Cash from Financing Activities</t>
  </si>
  <si>
    <t xml:space="preserve">  + Dividends Paid</t>
  </si>
  <si>
    <t>CF_DVD_PAID</t>
  </si>
  <si>
    <t xml:space="preserve">  + Cash From (Repayment) Debt</t>
  </si>
  <si>
    <t>PROC_FR_REPAYMNTS_BOR_DETAILED</t>
  </si>
  <si>
    <t xml:space="preserve">    + Cash From (Repay) ST Debt</t>
  </si>
  <si>
    <t>CF_NET_CHG_ST_DEBT_CPTL_LEAS</t>
  </si>
  <si>
    <t xml:space="preserve">    + Cash From LT Debt</t>
  </si>
  <si>
    <t>CF_LT_DEBT_CAP_LEAS_PROCEEDS</t>
  </si>
  <si>
    <t xml:space="preserve">    + Repayments of LT Debt</t>
  </si>
  <si>
    <t>CF_LT_DEBT_CAP_LEAS_PAYMENT</t>
  </si>
  <si>
    <t xml:space="preserve">  + Cash (Repurchase) of Equity</t>
  </si>
  <si>
    <t>PROC_FR_REPURCH_EQTY_DETAILED</t>
  </si>
  <si>
    <t xml:space="preserve">    + Increase in Capital Stock</t>
  </si>
  <si>
    <t>CF_INCR_CAP_STOCK</t>
  </si>
  <si>
    <t xml:space="preserve">    + Decrease in Capital Stock</t>
  </si>
  <si>
    <t>CF_DECR_CAP_STOCK</t>
  </si>
  <si>
    <t xml:space="preserve">  + Other Financing Activities</t>
  </si>
  <si>
    <t>OTHER_FIN_AND_DEC_CAP</t>
  </si>
  <si>
    <t>CF_NET_CASH_DISCONTINUED_OPS_FIN</t>
  </si>
  <si>
    <t>CFF_ACTIVITIES_DETAILED</t>
  </si>
  <si>
    <t xml:space="preserve">  Effect of Foreign Exchange Rates</t>
  </si>
  <si>
    <t>CF_EFFECT_FOREIGN_EXCHANGES</t>
  </si>
  <si>
    <t>Net Changes in Cash</t>
  </si>
  <si>
    <t>CF_NET_CHNG_CASH</t>
  </si>
  <si>
    <t>EBITDA</t>
  </si>
  <si>
    <t>Trailing 12M EBITDA Margin</t>
  </si>
  <si>
    <t>EBITDA_MARGIN</t>
  </si>
  <si>
    <t>Free Cash Flow</t>
  </si>
  <si>
    <t>CF_FREE_CASH_FLOW</t>
  </si>
  <si>
    <t>Free Cash Flow to Firm</t>
  </si>
  <si>
    <t>CF_FREE_CASH_FLOW_FIRM</t>
  </si>
  <si>
    <t>Free Cash Flow to Equity</t>
  </si>
  <si>
    <t>FREE_CASH_FLOW_EQUITY</t>
  </si>
  <si>
    <t>Free Cash Flow per Basic Share</t>
  </si>
  <si>
    <t>FREE_CASH_FLOW_PER_SH</t>
  </si>
  <si>
    <t>Price to Free Cash Flow</t>
  </si>
  <si>
    <t>PX_TO_FREE_CASH_FLOW</t>
  </si>
  <si>
    <t>Cash Flow to Net Income</t>
  </si>
  <si>
    <t>CASH_FLOW_TO_NET_INC</t>
  </si>
  <si>
    <t>Source: Bloomberg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</si>
</sst>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58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5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171" fontId="1" fillId="34" borderId="2">
      <alignment horizontal="right"/>
    </xf>
    <xf numFmtId="4" fontId="1" fillId="34" borderId="2">
      <alignment horizontal="right"/>
    </xf>
    <xf numFmtId="3" fontId="8" fillId="34" borderId="2">
      <alignment horizontal="right"/>
    </xf>
    <xf numFmtId="171" fontId="8" fillId="34" borderId="2">
      <alignment horizontal="right"/>
    </xf>
    <xf numFmtId="171" fontId="11" fillId="34" borderId="2">
      <alignment horizontal="right"/>
    </xf>
  </cellStyleXfs>
  <cellXfs count="17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5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171" fontId="1" fillId="34" borderId="2" xfId="53" applyNumberFormat="1" applyFont="1" applyFill="1" applyBorder="1" applyAlignment="1" applyProtection="1">
      <alignment horizontal="right"/>
    </xf>
    <xf numFmtId="4" fontId="1" fillId="34" borderId="2" xfId="54" applyNumberFormat="1" applyFont="1" applyFill="1" applyBorder="1" applyAlignment="1" applyProtection="1">
      <alignment horizontal="right"/>
    </xf>
    <xf numFmtId="3" fontId="8" fillId="34" borderId="2" xfId="55" applyNumberFormat="1" applyFont="1" applyFill="1" applyBorder="1" applyAlignment="1" applyProtection="1">
      <alignment horizontal="right"/>
    </xf>
    <xf numFmtId="171" fontId="8" fillId="34" borderId="2" xfId="56" applyNumberFormat="1" applyFont="1" applyFill="1" applyBorder="1" applyAlignment="1" applyProtection="1">
      <alignment horizontal="right"/>
    </xf>
    <xf numFmtId="171" fontId="11" fillId="34" borderId="2" xfId="57" applyNumberFormat="1" applyFont="1" applyFill="1" applyBorder="1" applyAlignment="1" applyProtection="1">
      <alignment horizontal="right"/>
    </xf>
  </cellXfs>
  <cellStyles count="58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5" xr:uid="{00000000-0005-0000-0000-000023000000}"/>
    <cellStyle name="fa_data_bold_1_grouped" xfId="56" xr:uid="{00000000-0005-0000-0000-000024000000}"/>
    <cellStyle name="fa_data_italic_1_grouped" xfId="57" xr:uid="{00000000-0005-0000-0000-000025000000}"/>
    <cellStyle name="fa_data_standard_1_grouped" xfId="53" xr:uid="{00000000-0005-0000-0000-000026000000}"/>
    <cellStyle name="fa_data_standard_2_grouped" xfId="54" xr:uid="{00000000-0005-0000-0000-000027000000}"/>
    <cellStyle name="fa_footer_italic" xfId="34" xr:uid="{00000000-0005-0000-0000-000028000000}"/>
    <cellStyle name="fa_row_header_bold" xfId="35" xr:uid="{00000000-0005-0000-0000-000029000000}"/>
    <cellStyle name="fa_row_header_italic" xfId="36" xr:uid="{00000000-0005-0000-0000-00002A000000}"/>
    <cellStyle name="fa_row_header_standard" xfId="37" xr:uid="{00000000-0005-0000-0000-00002B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BDH|16222997033043173598</stp>
        <tr r="W45" s="2"/>
      </tp>
      <tp t="s">
        <v>#N/A N/A</v>
        <stp/>
        <stp>BDH|14184123490596162020</stp>
        <tr r="S44" s="2"/>
      </tp>
      <tp t="s">
        <v>#N/A N/A</v>
        <stp/>
        <stp>BDH|10134746085061319431</stp>
        <tr r="Q15" s="2"/>
      </tp>
      <tp t="s">
        <v>#N/A N/A</v>
        <stp/>
        <stp>BDH|13472862503843725250</stp>
        <tr r="AE60" s="2"/>
      </tp>
      <tp t="s">
        <v>#N/A N/A</v>
        <stp/>
        <stp>BDH|15370144820404045842</stp>
        <tr r="I45" s="2"/>
      </tp>
      <tp t="s">
        <v>#N/A N/A</v>
        <stp/>
        <stp>BDH|16073137318504029897</stp>
        <tr r="AF34" s="2"/>
      </tp>
      <tp t="s">
        <v>#N/A N/A</v>
        <stp/>
        <stp>BDH|13136905801806697639</stp>
        <tr r="AF19" s="2"/>
      </tp>
      <tp t="s">
        <v>#N/A N/A</v>
        <stp/>
        <stp>BDH|17880615906208857327</stp>
        <tr r="Z43" s="2"/>
      </tp>
      <tp t="s">
        <v>#N/A N/A</v>
        <stp/>
        <stp>BDH|16680646401462398856</stp>
        <tr r="AE25" s="2"/>
      </tp>
      <tp t="s">
        <v>#N/A N/A</v>
        <stp/>
        <stp>BDH|17193086084360972505</stp>
        <tr r="AB58" s="2"/>
      </tp>
      <tp t="s">
        <v>#N/A N/A</v>
        <stp/>
        <stp>BDH|13680543232437783835</stp>
        <tr r="G38" s="2"/>
      </tp>
      <tp t="s">
        <v>#N/A N/A</v>
        <stp/>
        <stp>BDH|11541337483399651973</stp>
        <tr r="AC33" s="2"/>
      </tp>
      <tp t="s">
        <v>#N/A N/A</v>
        <stp/>
        <stp>BDH|10332439242159749322</stp>
        <tr r="AC27" s="2"/>
      </tp>
      <tp t="s">
        <v>#N/A N/A</v>
        <stp/>
        <stp>BDH|12121428569292826845</stp>
        <tr r="V25" s="2"/>
      </tp>
      <tp t="s">
        <v>#N/A N/A</v>
        <stp/>
        <stp>BDH|13363432664029144236</stp>
        <tr r="Y26" s="2"/>
      </tp>
      <tp t="s">
        <v>#N/A N/A</v>
        <stp/>
        <stp>BDH|11288737769759370321</stp>
        <tr r="C19" s="2"/>
      </tp>
      <tp t="s">
        <v>#N/A N/A</v>
        <stp/>
        <stp>BDH|13740684683085304262</stp>
        <tr r="F45" s="2"/>
      </tp>
      <tp t="s">
        <v>#N/A N/A</v>
        <stp/>
        <stp>BDH|17519553189329136913</stp>
        <tr r="P48" s="2"/>
      </tp>
      <tp t="s">
        <v>#N/A N/A</v>
        <stp/>
        <stp>BDH|10955009002329418374</stp>
        <tr r="Z27" s="2"/>
      </tp>
      <tp t="s">
        <v>#N/A N/A</v>
        <stp/>
        <stp>BDH|10893926972547358336</stp>
        <tr r="Y44" s="2"/>
      </tp>
      <tp t="s">
        <v>#N/A N/A</v>
        <stp/>
        <stp>BDH|16784495787743946380</stp>
        <tr r="AB42" s="2"/>
      </tp>
      <tp t="s">
        <v>#N/A N/A</v>
        <stp/>
        <stp>BDH|10371826732214957527</stp>
        <tr r="E23" s="2"/>
      </tp>
      <tp t="s">
        <v>#N/A N/A</v>
        <stp/>
        <stp>BDH|11356305308608584057</stp>
        <tr r="X26" s="2"/>
      </tp>
      <tp t="s">
        <v>#N/A N/A</v>
        <stp/>
        <stp>BDH|16687782221789025040</stp>
        <tr r="W63" s="2"/>
      </tp>
      <tp t="s">
        <v>#N/A N/A</v>
        <stp/>
        <stp>BDH|17461289784910796755</stp>
        <tr r="AC28" s="2"/>
      </tp>
      <tp t="s">
        <v>#N/A N/A</v>
        <stp/>
        <stp>BDH|11267127528809639142</stp>
        <tr r="AE59" s="2"/>
      </tp>
      <tp t="s">
        <v>#N/A N/A</v>
        <stp/>
        <stp>BDH|13961522406828542427</stp>
        <tr r="H28" s="2"/>
      </tp>
      <tp t="s">
        <v>#N/A N/A</v>
        <stp/>
        <stp>BDH|16493893758138059987</stp>
        <tr r="AB43" s="2"/>
      </tp>
      <tp t="s">
        <v>#N/A N/A</v>
        <stp/>
        <stp>BDH|13744510239017223800</stp>
        <tr r="N43" s="2"/>
      </tp>
      <tp t="s">
        <v>#N/A N/A</v>
        <stp/>
        <stp>BDH|17450847788174125944</stp>
        <tr r="V20" s="2"/>
      </tp>
      <tp t="s">
        <v>#N/A N/A</v>
        <stp/>
        <stp>BDH|14085358213069083593</stp>
        <tr r="G19" s="2"/>
      </tp>
      <tp t="s">
        <v>#N/A N/A</v>
        <stp/>
        <stp>BDH|13609970316913065281</stp>
        <tr r="W9" s="2"/>
      </tp>
      <tp t="s">
        <v>#N/A N/A</v>
        <stp/>
        <stp>BDH|17794799546756059870</stp>
        <tr r="X41" s="2"/>
      </tp>
      <tp t="s">
        <v>#N/A N/A</v>
        <stp/>
        <stp>BDH|12709895309390954017</stp>
        <tr r="C16" s="2"/>
      </tp>
      <tp t="s">
        <v>#N/A N/A</v>
        <stp/>
        <stp>BDH|17434267499060785627</stp>
        <tr r="AC57" s="2"/>
      </tp>
      <tp t="s">
        <v>#N/A N/A</v>
        <stp/>
        <stp>BDH|14304680083704480425</stp>
        <tr r="G22" s="2"/>
      </tp>
      <tp t="s">
        <v>#N/A N/A</v>
        <stp/>
        <stp>BDH|16169170749180125902</stp>
        <tr r="Q24" s="2"/>
      </tp>
      <tp t="s">
        <v>#N/A N/A</v>
        <stp/>
        <stp>BDH|11738661883276511395</stp>
        <tr r="K23" s="2"/>
      </tp>
      <tp t="s">
        <v>#N/A N/A</v>
        <stp/>
        <stp>BDH|13294987472417912106</stp>
        <tr r="AA40" s="2"/>
      </tp>
      <tp t="s">
        <v>#N/A N/A</v>
        <stp/>
        <stp>BDH|17086877976155412654</stp>
        <tr r="T10" s="2"/>
      </tp>
      <tp t="s">
        <v>#N/A N/A</v>
        <stp/>
        <stp>BDH|14052932031184785157</stp>
        <tr r="P19" s="2"/>
      </tp>
      <tp t="s">
        <v>#N/A N/A</v>
        <stp/>
        <stp>BDH|11382542853649745336</stp>
        <tr r="L7" s="2"/>
      </tp>
      <tp t="s">
        <v>#N/A N/A</v>
        <stp/>
        <stp>BDH|11742577282540013724</stp>
        <tr r="AC21" s="2"/>
      </tp>
      <tp t="s">
        <v>#N/A N/A</v>
        <stp/>
        <stp>BDH|15597616041295566930</stp>
        <tr r="AE42" s="2"/>
      </tp>
      <tp t="s">
        <v>#N/A N/A</v>
        <stp/>
        <stp>BDH|12209639909806926929</stp>
        <tr r="U25" s="2"/>
      </tp>
      <tp t="s">
        <v>#N/A N/A</v>
        <stp/>
        <stp>BDH|15184893239592568770</stp>
        <tr r="Q7" s="2"/>
      </tp>
      <tp t="s">
        <v>#N/A N/A</v>
        <stp/>
        <stp>BDH|15923780471569257710</stp>
        <tr r="P21" s="2"/>
      </tp>
      <tp t="s">
        <v>#N/A N/A</v>
        <stp/>
        <stp>BDH|14276751091822329368</stp>
        <tr r="U27" s="2"/>
      </tp>
      <tp t="s">
        <v>#N/A N/A</v>
        <stp/>
        <stp>BDH|17581804027366950091</stp>
        <tr r="N26" s="2"/>
      </tp>
      <tp t="s">
        <v>#N/A N/A</v>
        <stp/>
        <stp>BDH|18296179432749101848</stp>
        <tr r="X35" s="2"/>
      </tp>
      <tp t="s">
        <v>#N/A N/A</v>
        <stp/>
        <stp>BDH|12447004630449062319</stp>
        <tr r="AF39" s="2"/>
      </tp>
      <tp t="s">
        <v>#N/A N/A</v>
        <stp/>
        <stp>BDH|10243920815256541550</stp>
        <tr r="AA61" s="2"/>
      </tp>
      <tp t="s">
        <v>#N/A N/A</v>
        <stp/>
        <stp>BDH|12587554380376310268</stp>
        <tr r="W11" s="2"/>
      </tp>
      <tp t="s">
        <v>#N/A N/A</v>
        <stp/>
        <stp>BDH|12420963522572442007</stp>
        <tr r="AD19" s="2"/>
      </tp>
      <tp t="s">
        <v>#N/A N/A</v>
        <stp/>
        <stp>BDH|16657631973905250925</stp>
        <tr r="V61" s="2"/>
      </tp>
      <tp t="s">
        <v>#N/A N/A</v>
        <stp/>
        <stp>BDH|17253990941066907758</stp>
        <tr r="AF9" s="2"/>
      </tp>
      <tp t="s">
        <v>#N/A N/A</v>
        <stp/>
        <stp>BDH|14967917458330033367</stp>
        <tr r="R35" s="2"/>
      </tp>
      <tp t="s">
        <v>#N/A N/A</v>
        <stp/>
        <stp>BDH|16969522785586308649</stp>
        <tr r="Y9" s="2"/>
      </tp>
      <tp t="s">
        <v>#N/A N/A</v>
        <stp/>
        <stp>BDH|13895083610360191983</stp>
        <tr r="V27" s="2"/>
      </tp>
      <tp t="s">
        <v>#N/A N/A</v>
        <stp/>
        <stp>BDH|17976984014574505090</stp>
        <tr r="AD61" s="2"/>
      </tp>
      <tp t="s">
        <v>#N/A N/A</v>
        <stp/>
        <stp>BDH|13614309996154801606</stp>
        <tr r="N50" s="2"/>
      </tp>
      <tp t="s">
        <v>#N/A N/A</v>
        <stp/>
        <stp>BDH|10077168816708871301</stp>
        <tr r="P33" s="2"/>
      </tp>
      <tp t="s">
        <v>#N/A N/A</v>
        <stp/>
        <stp>BDH|16469453413118350097</stp>
        <tr r="U42" s="2"/>
      </tp>
      <tp t="s">
        <v>#N/A N/A</v>
        <stp/>
        <stp>BDH|16986619188996337589</stp>
        <tr r="L19" s="2"/>
      </tp>
      <tp t="s">
        <v>#N/A N/A</v>
        <stp/>
        <stp>BDH|13176934918239574958</stp>
        <tr r="L60" s="2"/>
      </tp>
      <tp t="s">
        <v>#N/A N/A</v>
        <stp/>
        <stp>BDH|13114118742464093989</stp>
        <tr r="M15" s="2"/>
      </tp>
      <tp t="s">
        <v>#N/A N/A</v>
        <stp/>
        <stp>BDH|15907787476937359993</stp>
        <tr r="V52" s="2"/>
      </tp>
      <tp t="s">
        <v>#N/A N/A</v>
        <stp/>
        <stp>BDH|15629408605939794392</stp>
        <tr r="AC43" s="2"/>
      </tp>
      <tp t="s">
        <v>#N/A N/A</v>
        <stp/>
        <stp>BDH|13106085874307923897</stp>
        <tr r="Y22" s="2"/>
      </tp>
      <tp t="s">
        <v>#N/A N/A</v>
        <stp/>
        <stp>BDH|17209992663385113642</stp>
        <tr r="O22" s="2"/>
      </tp>
      <tp t="s">
        <v>#N/A N/A</v>
        <stp/>
        <stp>BDH|13653345079034236844</stp>
        <tr r="Y38" s="2"/>
      </tp>
      <tp t="s">
        <v>#N/A N/A</v>
        <stp/>
        <stp>BDH|14234614707259950005</stp>
        <tr r="S35" s="2"/>
      </tp>
      <tp t="s">
        <v>#N/A N/A</v>
        <stp/>
        <stp>BDH|10969479336004077848</stp>
        <tr r="W35" s="2"/>
      </tp>
      <tp t="s">
        <v>#N/A N/A</v>
        <stp/>
        <stp>BDH|17895667593052363128</stp>
        <tr r="Y48" s="2"/>
      </tp>
      <tp t="s">
        <v>#N/A N/A</v>
        <stp/>
        <stp>BDH|11004582806818969786</stp>
        <tr r="R41" s="2"/>
      </tp>
      <tp t="s">
        <v>#N/A N/A</v>
        <stp/>
        <stp>BDH|13230907470531510463</stp>
        <tr r="S39" s="2"/>
      </tp>
      <tp t="s">
        <v>#N/A N/A</v>
        <stp/>
        <stp>BDH|13797819314472540077</stp>
        <tr r="U11" s="2"/>
      </tp>
      <tp t="s">
        <v>#N/A N/A</v>
        <stp/>
        <stp>BDH|16976423355757855863</stp>
        <tr r="AA22" s="2"/>
      </tp>
      <tp t="s">
        <v>#N/A N/A</v>
        <stp/>
        <stp>BDH|18163023438230929321</stp>
        <tr r="P28" s="2"/>
      </tp>
      <tp t="s">
        <v>#N/A N/A</v>
        <stp/>
        <stp>BDH|16271515784072163153</stp>
        <tr r="S33" s="2"/>
      </tp>
      <tp t="s">
        <v>#N/A N/A</v>
        <stp/>
        <stp>BDH|16932206639979660643</stp>
        <tr r="AB7" s="2"/>
      </tp>
      <tp t="s">
        <v>#N/A N/A</v>
        <stp/>
        <stp>BDH|18070349916467251523</stp>
        <tr r="G39" s="2"/>
      </tp>
      <tp t="s">
        <v>#N/A N/A</v>
        <stp/>
        <stp>BDH|16277822615243526427</stp>
        <tr r="V38" s="2"/>
      </tp>
      <tp t="s">
        <v>#N/A N/A</v>
        <stp/>
        <stp>BDH|16371274911838284552</stp>
        <tr r="T34" s="2"/>
      </tp>
      <tp t="s">
        <v>#N/A N/A</v>
        <stp/>
        <stp>BDH|14656219177029519078</stp>
        <tr r="Q46" s="2"/>
      </tp>
      <tp t="s">
        <v>#N/A N/A</v>
        <stp/>
        <stp>BDH|14324951736737415161</stp>
        <tr r="T43" s="2"/>
      </tp>
      <tp t="s">
        <v>#N/A N/A</v>
        <stp/>
        <stp>BDH|13721230694798370869</stp>
        <tr r="G15" s="2"/>
      </tp>
      <tp t="s">
        <v>#N/A N/A</v>
        <stp/>
        <stp>BDH|17360561227481611919</stp>
        <tr r="C32" s="2"/>
      </tp>
      <tp t="s">
        <v>#N/A N/A</v>
        <stp/>
        <stp>BDH|11368419261512669902</stp>
        <tr r="K43" s="2"/>
      </tp>
      <tp t="s">
        <v>#N/A N/A</v>
        <stp/>
        <stp>BDH|14635499135439789284</stp>
        <tr r="Y61" s="2"/>
      </tp>
      <tp t="s">
        <v>#N/A N/A</v>
        <stp/>
        <stp>BDH|10508472720369201757</stp>
        <tr r="M8" s="2"/>
      </tp>
      <tp t="s">
        <v>#N/A N/A</v>
        <stp/>
        <stp>BDH|11656869237454606652</stp>
        <tr r="D62" s="2"/>
      </tp>
      <tp t="s">
        <v>#N/A N/A</v>
        <stp/>
        <stp>BDH|14234851581025014918</stp>
        <tr r="AB30" s="2"/>
      </tp>
      <tp t="s">
        <v>#N/A N/A</v>
        <stp/>
        <stp>BDH|18076789122030985541</stp>
        <tr r="Y8" s="2"/>
      </tp>
      <tp t="s">
        <v>#N/A N/A</v>
        <stp/>
        <stp>BDH|11451348497533967098</stp>
        <tr r="AD25" s="2"/>
      </tp>
      <tp t="s">
        <v>#N/A N/A</v>
        <stp/>
        <stp>BDH|18165427354157401644</stp>
        <tr r="E33" s="2"/>
      </tp>
      <tp t="s">
        <v>#N/A N/A</v>
        <stp/>
        <stp>BDH|16266033539998966571</stp>
        <tr r="H33" s="2"/>
      </tp>
      <tp t="s">
        <v>#N/A N/A</v>
        <stp/>
        <stp>BDH|13410633688924830119</stp>
        <tr r="I63" s="2"/>
      </tp>
      <tp t="s">
        <v>#N/A N/A</v>
        <stp/>
        <stp>BDH|17691487107268347333</stp>
        <tr r="M43" s="2"/>
      </tp>
      <tp t="s">
        <v>#N/A N/A</v>
        <stp/>
        <stp>BDH|14734331578318160043</stp>
        <tr r="J45" s="2"/>
      </tp>
      <tp t="s">
        <v>#N/A N/A</v>
        <stp/>
        <stp>BDH|16928277307915738966</stp>
        <tr r="K62" s="2"/>
      </tp>
      <tp t="s">
        <v>#N/A N/A</v>
        <stp/>
        <stp>BDH|13017583531309172409</stp>
        <tr r="X11" s="2"/>
      </tp>
      <tp t="s">
        <v>#N/A N/A</v>
        <stp/>
        <stp>BDH|14162587967579731625</stp>
        <tr r="I23" s="2"/>
      </tp>
      <tp t="s">
        <v>#N/A N/A</v>
        <stp/>
        <stp>BDH|14620246017176855962</stp>
        <tr r="Q35" s="2"/>
      </tp>
      <tp t="s">
        <v>#N/A N/A</v>
        <stp/>
        <stp>BDH|11238878012065577581</stp>
        <tr r="Y43" s="2"/>
      </tp>
      <tp t="s">
        <v>#N/A N/A</v>
        <stp/>
        <stp>BDH|14914986828120633751</stp>
        <tr r="AB19" s="2"/>
      </tp>
      <tp t="s">
        <v>#N/A N/A</v>
        <stp/>
        <stp>BDH|15952950632423354404</stp>
        <tr r="G47" s="2"/>
      </tp>
      <tp t="s">
        <v>#N/A N/A</v>
        <stp/>
        <stp>BDH|15535684060089282430</stp>
        <tr r="W60" s="2"/>
      </tp>
      <tp t="s">
        <v>#N/A N/A</v>
        <stp/>
        <stp>BDH|17251760149905236931</stp>
        <tr r="L41" s="2"/>
      </tp>
      <tp t="s">
        <v>#N/A N/A</v>
        <stp/>
        <stp>BDH|17750114395861566695</stp>
        <tr r="Z59" s="2"/>
      </tp>
      <tp t="s">
        <v>#N/A N/A</v>
        <stp/>
        <stp>BDH|13739788883024104030</stp>
        <tr r="Z47" s="2"/>
      </tp>
      <tp t="s">
        <v>#N/A N/A</v>
        <stp/>
        <stp>BDH|10551118037922870852</stp>
        <tr r="K44" s="2"/>
      </tp>
      <tp t="s">
        <v>#N/A N/A</v>
        <stp/>
        <stp>BDH|17727650567346239869</stp>
        <tr r="Q20" s="2"/>
      </tp>
      <tp t="s">
        <v>#N/A N/A</v>
        <stp/>
        <stp>BDH|10441661772808152001</stp>
        <tr r="U20" s="2"/>
      </tp>
      <tp t="s">
        <v>#N/A N/A</v>
        <stp/>
        <stp>BDH|10516966375834595328</stp>
        <tr r="X30" s="2"/>
      </tp>
      <tp t="s">
        <v>#N/A N/A</v>
        <stp/>
        <stp>BDH|17123731784291766000</stp>
        <tr r="X56" s="2"/>
      </tp>
      <tp t="s">
        <v>#N/A N/A</v>
        <stp/>
        <stp>BDH|10731620784826632177</stp>
        <tr r="H47" s="2"/>
      </tp>
      <tp t="s">
        <v>#N/A N/A</v>
        <stp/>
        <stp>BDH|10920881750026864297</stp>
        <tr r="AA30" s="2"/>
      </tp>
      <tp t="s">
        <v>#N/A N/A</v>
        <stp/>
        <stp>BDH|12608736269139721393</stp>
        <tr r="AB56" s="2"/>
      </tp>
      <tp t="s">
        <v>#N/A N/A</v>
        <stp/>
        <stp>BDH|15663772596520019255</stp>
        <tr r="AC59" s="2"/>
      </tp>
      <tp t="s">
        <v>#N/A N/A</v>
        <stp/>
        <stp>BDH|17581842663259755978</stp>
        <tr r="P22" s="2"/>
      </tp>
      <tp t="s">
        <v>#N/A N/A</v>
        <stp/>
        <stp>BDH|10928981209438814848</stp>
        <tr r="Y20" s="2"/>
      </tp>
      <tp t="s">
        <v>#N/A N/A</v>
        <stp/>
        <stp>BDH|10579829500359722871</stp>
        <tr r="AC23" s="2"/>
      </tp>
      <tp t="s">
        <v>#N/A N/A</v>
        <stp/>
        <stp>BDH|10148924466447442167</stp>
        <tr r="Y31" s="2"/>
      </tp>
      <tp t="s">
        <v>#N/A N/A</v>
        <stp/>
        <stp>BDH|13957463254499942250</stp>
        <tr r="W14" s="2"/>
      </tp>
      <tp t="s">
        <v>#N/A N/A</v>
        <stp/>
        <stp>BDH|14323056394424314065</stp>
        <tr r="AE52" s="2"/>
      </tp>
      <tp t="s">
        <v>#N/A N/A</v>
        <stp/>
        <stp>BDH|15293953649275396450</stp>
        <tr r="N20" s="2"/>
      </tp>
      <tp t="s">
        <v>#N/A N/A</v>
        <stp/>
        <stp>BDH|10516967916143654289</stp>
        <tr r="D61" s="2"/>
      </tp>
      <tp t="s">
        <v>#N/A N/A</v>
        <stp/>
        <stp>BDH|13530795404705389812</stp>
        <tr r="N56" s="2"/>
      </tp>
      <tp t="s">
        <v>#N/A N/A</v>
        <stp/>
        <stp>BDH|15796902558295139549</stp>
        <tr r="S48" s="2"/>
      </tp>
      <tp t="s">
        <v>#N/A N/A</v>
        <stp/>
        <stp>BDH|14252960711467068286</stp>
        <tr r="O62" s="2"/>
      </tp>
      <tp t="s">
        <v>#N/A N/A</v>
        <stp/>
        <stp>BDH|14567866646074834528</stp>
        <tr r="Z12" s="2"/>
      </tp>
      <tp t="s">
        <v>#N/A N/A</v>
        <stp/>
        <stp>BDH|15184811418734748105</stp>
        <tr r="J32" s="2"/>
      </tp>
      <tp t="s">
        <v>#N/A N/A</v>
        <stp/>
        <stp>BDH|10920756615519547638</stp>
        <tr r="L58" s="2"/>
      </tp>
      <tp t="s">
        <v>#N/A N/A</v>
        <stp/>
        <stp>BDH|17023416217728933303</stp>
        <tr r="J63" s="2"/>
      </tp>
      <tp t="s">
        <v>#N/A N/A</v>
        <stp/>
        <stp>BDH|10365451409364176917</stp>
        <tr r="AC19" s="2"/>
      </tp>
      <tp t="s">
        <v>#N/A N/A</v>
        <stp/>
        <stp>BDH|10829788497456989101</stp>
        <tr r="AE56" s="2"/>
      </tp>
      <tp t="s">
        <v>#N/A N/A</v>
        <stp/>
        <stp>BDH|14207448433489572415</stp>
        <tr r="M61" s="2"/>
      </tp>
      <tp t="s">
        <v>#N/A N/A</v>
        <stp/>
        <stp>BDH|12118651880267303566</stp>
        <tr r="F28" s="2"/>
      </tp>
      <tp t="s">
        <v>#N/A N/A</v>
        <stp/>
        <stp>BDH|15097424880956409170</stp>
        <tr r="P58" s="2"/>
      </tp>
      <tp t="s">
        <v>#N/A N/A</v>
        <stp/>
        <stp>BDH|17104207037359471123</stp>
        <tr r="H60" s="2"/>
      </tp>
      <tp t="s">
        <v>#N/A N/A</v>
        <stp/>
        <stp>BDH|13685325371170381963</stp>
        <tr r="I57" s="2"/>
      </tp>
      <tp t="s">
        <v>#N/A N/A</v>
        <stp/>
        <stp>BDH|10774902534160942499</stp>
        <tr r="H16" s="2"/>
      </tp>
      <tp t="s">
        <v>#N/A N/A</v>
        <stp/>
        <stp>BDH|18380976890597714103</stp>
        <tr r="V24" s="2"/>
      </tp>
      <tp t="s">
        <v>#N/A N/A</v>
        <stp/>
        <stp>BDH|12062774192420198270</stp>
        <tr r="H20" s="2"/>
      </tp>
      <tp t="s">
        <v>#N/A N/A</v>
        <stp/>
        <stp>BDH|10292619946964195873</stp>
        <tr r="G35" s="2"/>
      </tp>
      <tp t="s">
        <v>#N/A N/A</v>
        <stp/>
        <stp>BDH|15884664183057732299</stp>
        <tr r="AB26" s="2"/>
      </tp>
      <tp t="s">
        <v>#N/A N/A</v>
        <stp/>
        <stp>BDH|15971185763209806595</stp>
        <tr r="E20" s="2"/>
      </tp>
      <tp t="s">
        <v>#N/A N/A</v>
        <stp/>
        <stp>BDH|17162936143684484074</stp>
        <tr r="N35" s="2"/>
      </tp>
      <tp t="s">
        <v>#N/A N/A</v>
        <stp/>
        <stp>BDH|10433274761132587858</stp>
        <tr r="AB57" s="2"/>
      </tp>
      <tp t="s">
        <v>#N/A N/A</v>
        <stp/>
        <stp>BDH|16160663795163809481</stp>
        <tr r="S21" s="2"/>
      </tp>
      <tp t="s">
        <v>#N/A N/A</v>
        <stp/>
        <stp>BDH|15103783489321795524</stp>
        <tr r="E39" s="2"/>
      </tp>
      <tp t="s">
        <v>#N/A N/A</v>
        <stp/>
        <stp>BDH|11743761984105433540</stp>
        <tr r="J35" s="2"/>
      </tp>
      <tp t="s">
        <v>#N/A N/A</v>
        <stp/>
        <stp>BDH|11412613292372555269</stp>
        <tr r="M52" s="2"/>
      </tp>
      <tp t="s">
        <v>#N/A N/A</v>
        <stp/>
        <stp>BDH|10926585996011668352</stp>
        <tr r="K25" s="2"/>
      </tp>
      <tp t="s">
        <v>#N/A N/A</v>
        <stp/>
        <stp>BDH|16156847552437161221</stp>
        <tr r="R43" s="2"/>
      </tp>
      <tp t="s">
        <v>#N/A N/A</v>
        <stp/>
        <stp>BDH|14166046096935351671</stp>
        <tr r="E47" s="2"/>
      </tp>
      <tp t="s">
        <v>#N/A N/A</v>
        <stp/>
        <stp>BDH|11553804178732307294</stp>
        <tr r="Z60" s="2"/>
      </tp>
      <tp t="s">
        <v>#N/A N/A</v>
        <stp/>
        <stp>BDH|15211404699002598485</stp>
        <tr r="F11" s="2"/>
      </tp>
      <tp t="s">
        <v>#N/A N/A</v>
        <stp/>
        <stp>BDH|12689949635215580347</stp>
        <tr r="AD63" s="2"/>
      </tp>
      <tp t="s">
        <v>#N/A N/A</v>
        <stp/>
        <stp>BDH|18205836730429012470</stp>
        <tr r="G34" s="2"/>
      </tp>
      <tp t="s">
        <v>#N/A N/A</v>
        <stp/>
        <stp>BDH|17867286910702997801</stp>
        <tr r="AE31" s="2"/>
      </tp>
      <tp t="s">
        <v>#N/A N/A</v>
        <stp/>
        <stp>BDH|17735379773419275490</stp>
        <tr r="H9" s="2"/>
      </tp>
      <tp t="s">
        <v>#N/A N/A</v>
        <stp/>
        <stp>BDH|12415074424419942764</stp>
        <tr r="R12" s="2"/>
      </tp>
      <tp t="s">
        <v>#N/A N/A</v>
        <stp/>
        <stp>BDH|16840062401391656929</stp>
        <tr r="U8" s="2"/>
      </tp>
      <tp t="s">
        <v>#N/A N/A</v>
        <stp/>
        <stp>BDH|10147395329079908637</stp>
        <tr r="AD28" s="2"/>
      </tp>
      <tp t="s">
        <v>#N/A N/A</v>
        <stp/>
        <stp>BDH|10970314089823865628</stp>
        <tr r="L44" s="2"/>
      </tp>
      <tp t="s">
        <v>#N/A N/A</v>
        <stp/>
        <stp>BDH|13069687507128135340</stp>
        <tr r="K7" s="2"/>
      </tp>
      <tp t="s">
        <v>#N/A N/A</v>
        <stp/>
        <stp>BDH|14924370287001167074</stp>
        <tr r="Z23" s="2"/>
      </tp>
      <tp t="s">
        <v>#N/A N/A</v>
        <stp/>
        <stp>BDH|15227410430328579491</stp>
        <tr r="Z34" s="2"/>
      </tp>
      <tp t="s">
        <v>#N/A N/A</v>
        <stp/>
        <stp>BDH|12119886708762947669</stp>
        <tr r="X45" s="2"/>
      </tp>
      <tp t="s">
        <v>#N/A N/A</v>
        <stp/>
        <stp>BDH|18336004592138758781</stp>
        <tr r="O8" s="2"/>
      </tp>
      <tp t="s">
        <v>#N/A N/A</v>
        <stp/>
        <stp>BDH|17170421691274379119</stp>
        <tr r="G50" s="2"/>
      </tp>
      <tp t="s">
        <v>#N/A N/A</v>
        <stp/>
        <stp>BDH|17926918650751839500</stp>
        <tr r="K33" s="2"/>
      </tp>
      <tp t="s">
        <v>#N/A N/A</v>
        <stp/>
        <stp>BDH|15001839304421083373</stp>
        <tr r="C9" s="2"/>
      </tp>
      <tp t="s">
        <v>#N/A N/A</v>
        <stp/>
        <stp>BDH|13442103972969315365</stp>
        <tr r="AD24" s="2"/>
      </tp>
      <tp t="s">
        <v>#N/A N/A</v>
        <stp/>
        <stp>BDH|18108731127870467226</stp>
        <tr r="X62" s="2"/>
      </tp>
      <tp t="s">
        <v>#N/A N/A</v>
        <stp/>
        <stp>BDH|18338927566498643025</stp>
        <tr r="T63" s="2"/>
      </tp>
      <tp t="s">
        <v>#N/A N/A</v>
        <stp/>
        <stp>BDH|17556107096077801786</stp>
        <tr r="N30" s="2"/>
      </tp>
      <tp t="s">
        <v>#N/A N/A</v>
        <stp/>
        <stp>BDH|12924701401379367399</stp>
        <tr r="Y13" s="2"/>
      </tp>
      <tp t="s">
        <v>#N/A N/A</v>
        <stp/>
        <stp>BDH|13353445227193504972</stp>
        <tr r="S34" s="2"/>
      </tp>
      <tp t="s">
        <v>#N/A N/A</v>
        <stp/>
        <stp>BDH|15494328983744142567</stp>
        <tr r="Z11" s="2"/>
      </tp>
      <tp t="s">
        <v>#N/A N/A</v>
        <stp/>
        <stp>BDH|12077175617495414863</stp>
        <tr r="AF20" s="2"/>
      </tp>
      <tp t="s">
        <v>#N/A N/A</v>
        <stp/>
        <stp>BDH|14473608036328680660</stp>
        <tr r="AA15" s="2"/>
      </tp>
      <tp t="s">
        <v>#N/A N/A</v>
        <stp/>
        <stp>BDH|15722629374768512306</stp>
        <tr r="M48" s="2"/>
      </tp>
      <tp t="s">
        <v>#N/A N/A</v>
        <stp/>
        <stp>BDH|13651467513929065074</stp>
        <tr r="AF16" s="2"/>
      </tp>
      <tp t="s">
        <v>#N/A N/A</v>
        <stp/>
        <stp>BDH|11273040420818240405</stp>
        <tr r="D40" s="2"/>
      </tp>
      <tp t="s">
        <v>#N/A N/A</v>
        <stp/>
        <stp>BDH|14732900406466792413</stp>
        <tr r="AB34" s="2"/>
      </tp>
      <tp t="s">
        <v>#N/A N/A</v>
        <stp/>
        <stp>BDH|17334265867818542409</stp>
        <tr r="D10" s="2"/>
      </tp>
      <tp t="s">
        <v>#N/A N/A</v>
        <stp/>
        <stp>BDH|10659976100561273740</stp>
        <tr r="AC24" s="2"/>
      </tp>
      <tp t="s">
        <v>#N/A N/A</v>
        <stp/>
        <stp>BDH|16406576782363334743</stp>
        <tr r="V29" s="2"/>
      </tp>
      <tp t="s">
        <v>#N/A N/A</v>
        <stp/>
        <stp>BDH|17121202134299344002</stp>
        <tr r="U15" s="2"/>
      </tp>
      <tp t="s">
        <v>#N/A N/A</v>
        <stp/>
        <stp>BDH|17417170162996848908</stp>
        <tr r="U23" s="2"/>
      </tp>
      <tp t="s">
        <v>#N/A N/A</v>
        <stp/>
        <stp>BDH|10140843368273201270</stp>
        <tr r="I52" s="2"/>
      </tp>
      <tp t="s">
        <v>#N/A N/A</v>
        <stp/>
        <stp>BDH|16294881616706141663</stp>
        <tr r="U40" s="2"/>
      </tp>
      <tp t="s">
        <v>#N/A N/A</v>
        <stp/>
        <stp>BDH|10822472120480707934</stp>
        <tr r="L24" s="2"/>
      </tp>
      <tp t="s">
        <v>#N/A N/A</v>
        <stp/>
        <stp>BDH|10030481887761398278</stp>
        <tr r="E57" s="2"/>
      </tp>
      <tp t="s">
        <v>#N/A N/A</v>
        <stp/>
        <stp>BDH|15259691647629356155</stp>
        <tr r="X23" s="2"/>
      </tp>
      <tp t="s">
        <v>#N/A N/A</v>
        <stp/>
        <stp>BDH|13223946549452445312</stp>
        <tr r="R29" s="2"/>
      </tp>
      <tp t="s">
        <v>#N/A N/A</v>
        <stp/>
        <stp>BDH|11167087756379645249</stp>
        <tr r="H42" s="2"/>
      </tp>
      <tp t="s">
        <v>#N/A N/A</v>
        <stp/>
        <stp>BDH|14509835354350934664</stp>
        <tr r="K56" s="2"/>
      </tp>
      <tp t="s">
        <v>#N/A N/A</v>
        <stp/>
        <stp>BDH|18340391951269412820</stp>
        <tr r="AE20" s="2"/>
      </tp>
      <tp t="s">
        <v>#N/A N/A</v>
        <stp/>
        <stp>BDH|12448675487996847508</stp>
        <tr r="AA21" s="2"/>
      </tp>
      <tp t="s">
        <v>#N/A N/A</v>
        <stp/>
        <stp>BDH|14793604285647906249</stp>
        <tr r="Q44" s="2"/>
      </tp>
      <tp t="s">
        <v>#N/A N/A</v>
        <stp/>
        <stp>BDH|10702002579118344025</stp>
        <tr r="Z44" s="2"/>
      </tp>
      <tp t="s">
        <v>#N/A N/A</v>
        <stp/>
        <stp>BDH|18065385119310618581</stp>
        <tr r="H41" s="2"/>
      </tp>
      <tp t="s">
        <v>#N/A N/A</v>
        <stp/>
        <stp>BDH|12647873620006718191</stp>
        <tr r="G31" s="2"/>
      </tp>
      <tp t="s">
        <v>#N/A N/A</v>
        <stp/>
        <stp>BDH|17756803578193711470</stp>
        <tr r="AF45" s="2"/>
      </tp>
      <tp t="s">
        <v>#N/A N/A</v>
        <stp/>
        <stp>BDH|11098344541118901128</stp>
        <tr r="J52" s="2"/>
      </tp>
      <tp t="s">
        <v>#N/A N/A</v>
        <stp/>
        <stp>BDH|16849139232730801800</stp>
        <tr r="C23" s="2"/>
      </tp>
      <tp t="s">
        <v>#N/A N/A</v>
        <stp/>
        <stp>BDH|11701147594906740312</stp>
        <tr r="AC48" s="2"/>
      </tp>
      <tp t="s">
        <v>#N/A N/A</v>
        <stp/>
        <stp>BDH|16329820337130491139</stp>
        <tr r="F34" s="2"/>
      </tp>
      <tp t="s">
        <v>#N/A N/A</v>
        <stp/>
        <stp>BDH|13631957130050563563</stp>
        <tr r="J44" s="2"/>
      </tp>
      <tp t="s">
        <v>#N/A N/A</v>
        <stp/>
        <stp>BDH|14789072084071334179</stp>
        <tr r="T58" s="2"/>
      </tp>
      <tp t="s">
        <v>#N/A N/A</v>
        <stp/>
        <stp>BDH|16078896029445929592</stp>
        <tr r="V43" s="2"/>
      </tp>
      <tp t="s">
        <v>#N/A N/A</v>
        <stp/>
        <stp>BDH|14041232387584774603</stp>
        <tr r="AA28" s="2"/>
      </tp>
      <tp t="s">
        <v>#N/A N/A</v>
        <stp/>
        <stp>BDH|16645193495145964704</stp>
        <tr r="AE58" s="2"/>
      </tp>
      <tp t="s">
        <v>#N/A N/A</v>
        <stp/>
        <stp>BDH|13569071071568819098</stp>
        <tr r="U28" s="2"/>
      </tp>
      <tp t="s">
        <v>#N/A N/A</v>
        <stp/>
        <stp>BDH|18158566477605477368</stp>
        <tr r="AD42" s="2"/>
      </tp>
      <tp t="s">
        <v>#N/A N/A</v>
        <stp/>
        <stp>BDH|10601569220252003958</stp>
        <tr r="W19" s="2"/>
      </tp>
      <tp t="s">
        <v>#N/A N/A</v>
        <stp/>
        <stp>BDH|16330737193730565437</stp>
        <tr r="AE26" s="2"/>
      </tp>
      <tp t="s">
        <v>#N/A N/A</v>
        <stp/>
        <stp>BDH|15918664109456545964</stp>
        <tr r="AD23" s="2"/>
      </tp>
      <tp t="s">
        <v>#N/A N/A</v>
        <stp/>
        <stp>BDH|18123836636066264933</stp>
        <tr r="H31" s="2"/>
      </tp>
      <tp t="s">
        <v>#N/A N/A</v>
        <stp/>
        <stp>BDH|15298700534539516469</stp>
        <tr r="X9" s="2"/>
      </tp>
      <tp t="s">
        <v>#N/A N/A</v>
        <stp/>
        <stp>BDH|14722202414323149864</stp>
        <tr r="H62" s="2"/>
      </tp>
      <tp t="s">
        <v>#N/A N/A</v>
        <stp/>
        <stp>BDH|16609203585551350141</stp>
        <tr r="J46" s="2"/>
      </tp>
      <tp t="s">
        <v>#N/A N/A</v>
        <stp/>
        <stp>BDH|16212733682163471634</stp>
        <tr r="V50" s="2"/>
      </tp>
      <tp t="s">
        <v>#N/A N/A</v>
        <stp/>
        <stp>BDH|16910796107554193904</stp>
        <tr r="C8" s="2"/>
      </tp>
      <tp t="s">
        <v>#N/A N/A</v>
        <stp/>
        <stp>BDH|18434793744452801597</stp>
        <tr r="G46" s="2"/>
      </tp>
      <tp t="s">
        <v>#N/A N/A</v>
        <stp/>
        <stp>BDH|15702856576263658592</stp>
        <tr r="D11" s="2"/>
      </tp>
      <tp t="s">
        <v>#N/A N/A</v>
        <stp/>
        <stp>BDH|13401990870687408626</stp>
        <tr r="S47" s="2"/>
      </tp>
      <tp t="s">
        <v>#N/A N/A</v>
        <stp/>
        <stp>BDH|10202972340873896264</stp>
        <tr r="AF21" s="2"/>
      </tp>
      <tp t="s">
        <v>#N/A N/A</v>
        <stp/>
        <stp>BDH|18050873519608032557</stp>
        <tr r="I43" s="2"/>
      </tp>
      <tp t="s">
        <v>#N/A N/A</v>
        <stp/>
        <stp>BDH|18247348327862451788</stp>
        <tr r="G24" s="2"/>
      </tp>
      <tp t="s">
        <v>#N/A N/A</v>
        <stp/>
        <stp>BDH|13650411026240870947</stp>
        <tr r="E62" s="2"/>
      </tp>
      <tp t="s">
        <v>#N/A N/A</v>
        <stp/>
        <stp>BDH|11459299654248272277</stp>
        <tr r="H22" s="2"/>
      </tp>
      <tp t="s">
        <v>#N/A N/A</v>
        <stp/>
        <stp>BDH|12809400171764503905</stp>
        <tr r="D44" s="2"/>
      </tp>
      <tp t="s">
        <v>#N/A N/A</v>
        <stp/>
        <stp>BDH|17092317972579537695</stp>
        <tr r="O40" s="2"/>
      </tp>
      <tp t="s">
        <v>#N/A N/A</v>
        <stp/>
        <stp>BDH|10399561239929548368</stp>
        <tr r="W31" s="2"/>
      </tp>
      <tp t="s">
        <v>#N/A N/A</v>
        <stp/>
        <stp>BDH|14130592593492713634</stp>
        <tr r="AA42" s="2"/>
      </tp>
      <tp t="s">
        <v>#N/A N/A</v>
        <stp/>
        <stp>BDH|12363191201798073743</stp>
        <tr r="K47" s="2"/>
      </tp>
      <tp t="s">
        <v>#N/A N/A</v>
        <stp/>
        <stp>BDH|17088568182234247289</stp>
        <tr r="V7" s="2"/>
      </tp>
      <tp t="s">
        <v>#N/A N/A</v>
        <stp/>
        <stp>BDH|16003880872803541613</stp>
        <tr r="L11" s="2"/>
      </tp>
      <tp t="s">
        <v>#N/A N/A</v>
        <stp/>
        <stp>BDH|14455929213366323681</stp>
        <tr r="O60" s="2"/>
      </tp>
      <tp t="s">
        <v>#N/A N/A</v>
        <stp/>
        <stp>BDH|13835343963402740863</stp>
        <tr r="V35" s="2"/>
      </tp>
      <tp t="s">
        <v>#N/A N/A</v>
        <stp/>
        <stp>BDH|12979938093109301748</stp>
        <tr r="M7" s="2"/>
      </tp>
      <tp t="s">
        <v>#N/A N/A</v>
        <stp/>
        <stp>BDH|10369427025358379293</stp>
        <tr r="AA63" s="2"/>
      </tp>
      <tp t="s">
        <v>#N/A N/A</v>
        <stp/>
        <stp>BDH|17098435605206722802</stp>
        <tr r="Z38" s="2"/>
      </tp>
      <tp t="s">
        <v>#N/A N/A</v>
        <stp/>
        <stp>BDH|16684825552811595722</stp>
        <tr r="M46" s="2"/>
      </tp>
      <tp t="s">
        <v>#N/A N/A</v>
        <stp/>
        <stp>BDH|13893422339618333112</stp>
        <tr r="J15" s="2"/>
      </tp>
      <tp t="s">
        <v>#N/A N/A</v>
        <stp/>
        <stp>BDH|15832812138445108613</stp>
        <tr r="N16" s="2"/>
      </tp>
      <tp t="s">
        <v>#N/A N/A</v>
        <stp/>
        <stp>BDH|10892912582468219494</stp>
        <tr r="X61" s="2"/>
      </tp>
      <tp t="s">
        <v>#N/A N/A</v>
        <stp/>
        <stp>BDH|13020969614492439464</stp>
        <tr r="AF33" s="2"/>
      </tp>
      <tp t="s">
        <v>#N/A N/A</v>
        <stp/>
        <stp>BDH|14234419736556685839</stp>
        <tr r="K63" s="2"/>
      </tp>
      <tp t="s">
        <v>#N/A N/A</v>
        <stp/>
        <stp>BDH|15190828362433277531</stp>
        <tr r="S15" s="2"/>
      </tp>
      <tp t="s">
        <v>#N/A N/A</v>
        <stp/>
        <stp>BDH|16468577882946139037</stp>
        <tr r="AB62" s="2"/>
      </tp>
      <tp t="s">
        <v>#N/A N/A</v>
        <stp/>
        <stp>BDH|10366874646165533457</stp>
        <tr r="AF24" s="2"/>
      </tp>
      <tp t="s">
        <v>#N/A N/A</v>
        <stp/>
        <stp>BDH|13883858590616649994</stp>
        <tr r="J60" s="2"/>
      </tp>
      <tp t="s">
        <v>#N/A N/A</v>
        <stp/>
        <stp>BDH|14138437297375774179</stp>
        <tr r="W48" s="2"/>
      </tp>
      <tp t="s">
        <v>#N/A N/A</v>
        <stp/>
        <stp>BDH|10041855654501728139</stp>
        <tr r="P15" s="2"/>
      </tp>
      <tp t="s">
        <v>#N/A N/A</v>
        <stp/>
        <stp>BDH|15801960299819127135</stp>
        <tr r="T23" s="2"/>
      </tp>
      <tp t="s">
        <v>#N/A N/A</v>
        <stp/>
        <stp>BDH|15686826663660572671</stp>
        <tr r="M41" s="2"/>
      </tp>
      <tp t="s">
        <v>#N/A N/A</v>
        <stp/>
        <stp>BDH|17148394026793350887</stp>
        <tr r="AE13" s="2"/>
      </tp>
      <tp t="s">
        <v>#N/A N/A</v>
        <stp/>
        <stp>BDH|12970901913125970264</stp>
        <tr r="AD39" s="2"/>
      </tp>
      <tp t="s">
        <v>#N/A N/A</v>
        <stp/>
        <stp>BDH|17764233197375192465</stp>
        <tr r="Z56" s="2"/>
      </tp>
      <tp t="s">
        <v>#N/A N/A</v>
        <stp/>
        <stp>BDH|14188423047201172819</stp>
        <tr r="AC11" s="2"/>
      </tp>
      <tp t="s">
        <v>#N/A N/A</v>
        <stp/>
        <stp>BDH|11762753696797207519</stp>
        <tr r="U43" s="2"/>
      </tp>
      <tp t="s">
        <v>#N/A N/A</v>
        <stp/>
        <stp>BDH|14309301920680191854</stp>
        <tr r="P42" s="2"/>
      </tp>
      <tp t="s">
        <v>#N/A N/A</v>
        <stp/>
        <stp>BDH|17417600202048817496</stp>
        <tr r="K21" s="2"/>
      </tp>
      <tp t="s">
        <v>#N/A N/A</v>
        <stp/>
        <stp>BDH|14773381081792082083</stp>
        <tr r="F39" s="2"/>
      </tp>
      <tp t="s">
        <v>#N/A N/A</v>
        <stp/>
        <stp>BDH|18236227035056356209</stp>
        <tr r="N28" s="2"/>
      </tp>
      <tp t="s">
        <v>#N/A N/A</v>
        <stp/>
        <stp>BDH|10699407077516258852</stp>
        <tr r="E48" s="2"/>
      </tp>
      <tp t="s">
        <v>#N/A N/A</v>
        <stp/>
        <stp>BDH|18415337906146321046</stp>
        <tr r="AE14" s="2"/>
      </tp>
      <tp t="s">
        <v>#N/A N/A</v>
        <stp/>
        <stp>BDH|12824222751440963841</stp>
        <tr r="X20" s="2"/>
      </tp>
      <tp t="s">
        <v>#N/A N/A</v>
        <stp/>
        <stp>BDH|11092846125355936307</stp>
        <tr r="S59" s="2"/>
      </tp>
      <tp t="s">
        <v>#N/A N/A</v>
        <stp/>
        <stp>BDH|13227333255269933152</stp>
        <tr r="D63" s="2"/>
      </tp>
      <tp t="s">
        <v>#N/A N/A</v>
        <stp/>
        <stp>BDH|17601257928549464375</stp>
        <tr r="AB38" s="2"/>
      </tp>
      <tp t="s">
        <v>#N/A N/A</v>
        <stp/>
        <stp>BDH|16847064477654034812</stp>
        <tr r="O13" s="2"/>
      </tp>
      <tp t="s">
        <v>#N/A N/A</v>
        <stp/>
        <stp>BDH|17081067112159956262</stp>
        <tr r="C50" s="2"/>
      </tp>
      <tp t="s">
        <v>#N/A N/A</v>
        <stp/>
        <stp>BDH|12290652311158491084</stp>
        <tr r="G8" s="2"/>
      </tp>
      <tp t="s">
        <v>#N/A N/A</v>
        <stp/>
        <stp>BDH|16242152434018000193</stp>
        <tr r="O57" s="2"/>
      </tp>
      <tp t="s">
        <v>#N/A N/A</v>
        <stp/>
        <stp>BDH|11372819993214545994</stp>
        <tr r="T20" s="2"/>
      </tp>
      <tp t="s">
        <v>#N/A N/A</v>
        <stp/>
        <stp>BDH|18181383400010320678</stp>
        <tr r="AC29" s="2"/>
      </tp>
      <tp t="s">
        <v>#N/A N/A</v>
        <stp/>
        <stp>BDH|10238055006449447498</stp>
        <tr r="AE50" s="2"/>
      </tp>
      <tp t="s">
        <v>#N/A N/A</v>
        <stp/>
        <stp>BDH|13825445369215030994</stp>
        <tr r="AF15" s="2"/>
      </tp>
      <tp t="s">
        <v>#N/A N/A</v>
        <stp/>
        <stp>BDH|12060487691560260272</stp>
        <tr r="P59" s="2"/>
      </tp>
      <tp t="s">
        <v>#N/A N/A</v>
        <stp/>
        <stp>BDH|10732884453488603855</stp>
        <tr r="R59" s="2"/>
      </tp>
      <tp t="s">
        <v>#N/A N/A</v>
        <stp/>
        <stp>BDH|11579492357674566905</stp>
        <tr r="X13" s="2"/>
      </tp>
      <tp t="s">
        <v>#N/A N/A</v>
        <stp/>
        <stp>BDH|17816153266340399292</stp>
        <tr r="W46" s="2"/>
      </tp>
      <tp t="s">
        <v>#N/A N/A</v>
        <stp/>
        <stp>BDH|10764014792333602839</stp>
        <tr r="J50" s="2"/>
      </tp>
      <tp t="s">
        <v>#N/A N/A</v>
        <stp/>
        <stp>BDH|12488050357602564728</stp>
        <tr r="M40" s="2"/>
      </tp>
      <tp t="s">
        <v>#N/A N/A</v>
        <stp/>
        <stp>BDH|11247267018024847450</stp>
        <tr r="AC8" s="2"/>
      </tp>
      <tp t="s">
        <v>#N/A N/A</v>
        <stp/>
        <stp>BDH|15260340733836626137</stp>
        <tr r="V21" s="2"/>
      </tp>
      <tp t="s">
        <v>#N/A N/A</v>
        <stp/>
        <stp>BDH|12781977737163051978</stp>
        <tr r="W52" s="2"/>
      </tp>
      <tp t="s">
        <v>#N/A N/A</v>
        <stp/>
        <stp>BDH|16164577043246374356</stp>
        <tr r="S57" s="2"/>
      </tp>
      <tp t="s">
        <v>#N/A N/A</v>
        <stp/>
        <stp>BDH|11167552906231869790</stp>
        <tr r="AA48" s="2"/>
      </tp>
      <tp t="s">
        <v>#N/A N/A</v>
        <stp/>
        <stp>BDH|14710640845184592013</stp>
        <tr r="T62" s="2"/>
      </tp>
      <tp t="s">
        <v>#N/A N/A</v>
        <stp/>
        <stp>BDH|17374264505893326419</stp>
        <tr r="AE22" s="2"/>
      </tp>
      <tp t="s">
        <v>#N/A N/A</v>
        <stp/>
        <stp>BDH|13215076511871076112</stp>
        <tr r="F46" s="2"/>
      </tp>
      <tp t="s">
        <v>#N/A N/A</v>
        <stp/>
        <stp>BDH|10122782869042756128</stp>
        <tr r="E28" s="2"/>
      </tp>
      <tp t="s">
        <v>#N/A N/A</v>
        <stp/>
        <stp>BDH|10805686339374839347</stp>
        <tr r="V48" s="2"/>
      </tp>
      <tp t="s">
        <v>#N/A N/A</v>
        <stp/>
        <stp>BDH|10032492055382128185</stp>
        <tr r="E41" s="2"/>
      </tp>
      <tp t="s">
        <v>#N/A N/A</v>
        <stp/>
        <stp>BDH|11836850419968451247</stp>
        <tr r="J27" s="2"/>
      </tp>
      <tp t="s">
        <v>#N/A N/A</v>
        <stp/>
        <stp>BDH|13553972597904957587</stp>
        <tr r="J13" s="2"/>
      </tp>
      <tp t="s">
        <v>#N/A N/A</v>
        <stp/>
        <stp>BDH|15891766837121851258</stp>
        <tr r="M58" s="2"/>
      </tp>
      <tp t="s">
        <v>#N/A N/A</v>
        <stp/>
        <stp>BDH|10134233146576430245</stp>
        <tr r="U29" s="2"/>
      </tp>
      <tp t="s">
        <v>#N/A N/A</v>
        <stp/>
        <stp>BDH|11607335848301805523</stp>
        <tr r="J11" s="2"/>
      </tp>
      <tp t="s">
        <v>#N/A N/A</v>
        <stp/>
        <stp>BDH|13121366061364300038</stp>
        <tr r="J16" s="2"/>
      </tp>
      <tp t="s">
        <v>#N/A N/A</v>
        <stp/>
        <stp>BDH|17231505556140428565</stp>
        <tr r="Z42" s="2"/>
      </tp>
      <tp t="s">
        <v>#N/A N/A</v>
        <stp/>
        <stp>BDH|11336977633258622174</stp>
        <tr r="L28" s="2"/>
      </tp>
      <tp t="s">
        <v>#N/A N/A</v>
        <stp/>
        <stp>BDH|15323735943000042454</stp>
        <tr r="X28" s="2"/>
      </tp>
      <tp t="s">
        <v>#N/A N/A</v>
        <stp/>
        <stp>BDH|16055124549547873654</stp>
        <tr r="N46" s="2"/>
      </tp>
      <tp t="s">
        <v>#N/A N/A</v>
        <stp/>
        <stp>BDH|11397879449816123955</stp>
        <tr r="W56" s="2"/>
      </tp>
      <tp t="s">
        <v>#N/A N/A</v>
        <stp/>
        <stp>BDH|10005837050969881625</stp>
        <tr r="P45" s="2"/>
      </tp>
      <tp t="s">
        <v>#N/A N/A</v>
        <stp/>
        <stp>BDH|11319063540085900250</stp>
        <tr r="C31" s="2"/>
      </tp>
      <tp t="s">
        <v>#N/A N/A</v>
        <stp/>
        <stp>BDH|11366431401590967715</stp>
        <tr r="S16" s="2"/>
      </tp>
      <tp t="s">
        <v>#N/A N/A</v>
        <stp/>
        <stp>BDH|14016709809222480344</stp>
        <tr r="J42" s="2"/>
      </tp>
      <tp t="s">
        <v>#N/A N/A</v>
        <stp/>
        <stp>BDH|12785118989128606105</stp>
        <tr r="L46" s="2"/>
      </tp>
      <tp t="s">
        <v>#N/A N/A</v>
        <stp/>
        <stp>BDH|12066597366165776600</stp>
        <tr r="L50" s="2"/>
      </tp>
      <tp t="s">
        <v>#N/A N/A</v>
        <stp/>
        <stp>BDH|12261613219203886499</stp>
        <tr r="X44" s="2"/>
      </tp>
      <tp t="s">
        <v>#N/A N/A</v>
        <stp/>
        <stp>BDH|15408546527267863746</stp>
        <tr r="S46" s="2"/>
      </tp>
      <tp t="s">
        <v>#N/A N/A</v>
        <stp/>
        <stp>BDH|12299982011989070101</stp>
        <tr r="J12" s="2"/>
      </tp>
      <tp t="s">
        <v>#N/A N/A</v>
        <stp/>
        <stp>BDH|14827566352044379229</stp>
        <tr r="AE29" s="2"/>
      </tp>
      <tp t="s">
        <v>#N/A N/A</v>
        <stp/>
        <stp>BDH|11764832078939499555</stp>
        <tr r="G62" s="2"/>
      </tp>
      <tp t="s">
        <v>#N/A N/A</v>
        <stp/>
        <stp>BDH|14785516469400278517</stp>
        <tr r="D43" s="2"/>
      </tp>
      <tp t="s">
        <v>#N/A N/A</v>
        <stp/>
        <stp>BDH|12645847761186846875</stp>
        <tr r="O52" s="2"/>
      </tp>
      <tp t="s">
        <v>#N/A N/A</v>
        <stp/>
        <stp>BDH|16230480107462917285</stp>
        <tr r="D48" s="2"/>
      </tp>
      <tp t="s">
        <v>#N/A N/A</v>
        <stp/>
        <stp>BDH|10574638128313682540</stp>
        <tr r="Q48" s="2"/>
      </tp>
      <tp t="s">
        <v>#N/A N/A</v>
        <stp/>
        <stp>BDH|10144278941845093181</stp>
        <tr r="C58" s="2"/>
      </tp>
      <tp t="s">
        <v>#N/A N/A</v>
        <stp/>
        <stp>BDH|10936486929027134363</stp>
        <tr r="AC42" s="2"/>
      </tp>
      <tp t="s">
        <v>#N/A N/A</v>
        <stp/>
        <stp>BDH|11130775929997468153</stp>
        <tr r="L16" s="2"/>
      </tp>
      <tp t="s">
        <v>#N/A N/A</v>
        <stp/>
        <stp>BDH|15870438937166053627</stp>
        <tr r="Z9" s="2"/>
      </tp>
      <tp t="s">
        <v>#N/A N/A</v>
        <stp/>
        <stp>BDH|13416543977227824411</stp>
        <tr r="Z58" s="2"/>
      </tp>
      <tp t="s">
        <v>#N/A N/A</v>
        <stp/>
        <stp>BDH|17890254137063219695</stp>
        <tr r="H21" s="2"/>
      </tp>
      <tp t="s">
        <v>#N/A N/A</v>
        <stp/>
        <stp>BDH|11175704017654251059</stp>
        <tr r="L48" s="2"/>
      </tp>
      <tp t="s">
        <v>#N/A N/A</v>
        <stp/>
        <stp>BDH|17505984609118712524</stp>
        <tr r="AC12" s="2"/>
      </tp>
      <tp t="s">
        <v>#N/A N/A</v>
        <stp/>
        <stp>BDH|13580340811486753472</stp>
        <tr r="AE34" s="2"/>
      </tp>
      <tp t="s">
        <v>#N/A N/A</v>
        <stp/>
        <stp>BDH|18198410994171714732</stp>
        <tr r="N42" s="2"/>
      </tp>
      <tp t="s">
        <v>#N/A N/A</v>
        <stp/>
        <stp>BDH|17761128208473853650</stp>
        <tr r="W13" s="2"/>
      </tp>
      <tp t="s">
        <v>#N/A N/A</v>
        <stp/>
        <stp>BDH|10112132907245340767</stp>
        <tr r="I24" s="2"/>
      </tp>
      <tp t="s">
        <v>#N/A N/A</v>
        <stp/>
        <stp>BDH|11443856417729241241</stp>
        <tr r="E26" s="2"/>
      </tp>
      <tp t="s">
        <v>#N/A N/A</v>
        <stp/>
        <stp>BDH|10494478108522811533</stp>
        <tr r="G14" s="2"/>
      </tp>
      <tp t="s">
        <v>#N/A N/A</v>
        <stp/>
        <stp>BDH|14046781010637870601</stp>
        <tr r="K13" s="2"/>
      </tp>
      <tp t="s">
        <v>#N/A N/A</v>
        <stp/>
        <stp>BDH|12598287232076407680</stp>
        <tr r="N19" s="2"/>
      </tp>
      <tp t="s">
        <v>#N/A N/A</v>
        <stp/>
        <stp>BDH|12000443075501513376</stp>
        <tr r="C42" s="2"/>
      </tp>
      <tp t="s">
        <v>#N/A N/A</v>
        <stp/>
        <stp>BDH|13817896886974760423</stp>
        <tr r="R15" s="2"/>
      </tp>
      <tp t="s">
        <v>#N/A N/A</v>
        <stp/>
        <stp>BDH|12344558067716157421</stp>
        <tr r="L32" s="2"/>
      </tp>
      <tp t="s">
        <v>#N/A N/A</v>
        <stp/>
        <stp>BDH|16912592973170819794</stp>
        <tr r="AF42" s="2"/>
      </tp>
      <tp t="s">
        <v>#N/A N/A</v>
        <stp/>
        <stp>BDH|16406562946706215239</stp>
        <tr r="L59" s="2"/>
      </tp>
      <tp t="s">
        <v>#N/A N/A</v>
        <stp/>
        <stp>BDH|13250951787385540403</stp>
        <tr r="AF43" s="2"/>
      </tp>
      <tp t="s">
        <v>#N/A N/A</v>
        <stp/>
        <stp>BDH|13941171708129235810</stp>
        <tr r="V22" s="2"/>
      </tp>
      <tp t="s">
        <v>#N/A N/A</v>
        <stp/>
        <stp>BDH|17519425396541612825</stp>
        <tr r="K40" s="2"/>
      </tp>
      <tp t="s">
        <v>#N/A N/A</v>
        <stp/>
        <stp>BDH|18280947080393286910</stp>
        <tr r="AC32" s="2"/>
      </tp>
      <tp t="s">
        <v>#N/A N/A</v>
        <stp/>
        <stp>BDH|15964630578262568531</stp>
        <tr r="AC38" s="2"/>
      </tp>
      <tp t="s">
        <v>#N/A N/A</v>
        <stp/>
        <stp>BDH|12130410274113700171</stp>
        <tr r="W41" s="2"/>
      </tp>
      <tp t="s">
        <v>#N/A N/A</v>
        <stp/>
        <stp>BDH|11678579774334183402</stp>
        <tr r="P46" s="2"/>
      </tp>
      <tp t="s">
        <v>#N/A N/A</v>
        <stp/>
        <stp>BDH|14855483280222335972</stp>
        <tr r="W28" s="2"/>
      </tp>
      <tp t="s">
        <v>#N/A N/A</v>
        <stp/>
        <stp>BDH|16638775916692514157</stp>
        <tr r="J33" s="2"/>
      </tp>
      <tp t="s">
        <v>#N/A N/A</v>
        <stp/>
        <stp>BDH|15971831761988984053</stp>
        <tr r="J57" s="2"/>
      </tp>
      <tp t="s">
        <v>#N/A N/A</v>
        <stp/>
        <stp>BDH|12965683744085317607</stp>
        <tr r="S38" s="2"/>
      </tp>
      <tp t="s">
        <v>#N/A N/A</v>
        <stp/>
        <stp>BDH|13990608362401515186</stp>
        <tr r="T24" s="2"/>
      </tp>
      <tp t="s">
        <v>#N/A N/A</v>
        <stp/>
        <stp>BDH|14237204905265177006</stp>
        <tr r="AB32" s="2"/>
      </tp>
      <tp t="s">
        <v>#N/A N/A</v>
        <stp/>
        <stp>BDH|15747046052186678510</stp>
        <tr r="C11" s="2"/>
      </tp>
      <tp t="s">
        <v>#N/A N/A</v>
        <stp/>
        <stp>BDH|10570486778472941248</stp>
        <tr r="Q32" s="2"/>
      </tp>
      <tp t="s">
        <v>#N/A N/A</v>
        <stp/>
        <stp>BDH|13302621033707312296</stp>
        <tr r="N23" s="2"/>
      </tp>
      <tp t="s">
        <v>#N/A N/A</v>
        <stp/>
        <stp>BDH|11228379907065133484</stp>
        <tr r="Y33" s="2"/>
      </tp>
      <tp t="s">
        <v>#N/A N/A</v>
        <stp/>
        <stp>BDH|12306851961407450884</stp>
        <tr r="V63" s="2"/>
      </tp>
      <tp t="s">
        <v>#N/A N/A</v>
        <stp/>
        <stp>BDH|10356919290582175197</stp>
        <tr r="K24" s="2"/>
      </tp>
      <tp t="s">
        <v>#N/A N/A</v>
        <stp/>
        <stp>BDH|16570337908737494102</stp>
        <tr r="R26" s="2"/>
      </tp>
      <tp t="s">
        <v>#N/A N/A</v>
        <stp/>
        <stp>BDH|11497909595812904051</stp>
        <tr r="T11" s="2"/>
      </tp>
      <tp t="s">
        <v>#N/A N/A</v>
        <stp/>
        <stp>BDH|10540515785108891641</stp>
        <tr r="J26" s="2"/>
      </tp>
      <tp t="s">
        <v>#N/A N/A</v>
        <stp/>
        <stp>BDH|15536500621197864612</stp>
        <tr r="AE33" s="2"/>
      </tp>
      <tp t="s">
        <v>#N/A N/A</v>
        <stp/>
        <stp>BDH|13349355661592256785</stp>
        <tr r="D8" s="2"/>
      </tp>
      <tp t="s">
        <v>#N/A N/A</v>
        <stp/>
        <stp>BDH|15943236797915318822</stp>
        <tr r="H30" s="2"/>
      </tp>
      <tp t="s">
        <v>#N/A N/A</v>
        <stp/>
        <stp>BDH|17585364762084515582</stp>
        <tr r="I21" s="2"/>
      </tp>
      <tp t="s">
        <v>#N/A N/A</v>
        <stp/>
        <stp>BDH|15308581444344699358</stp>
        <tr r="Q39" s="2"/>
      </tp>
      <tp t="s">
        <v>#N/A N/A</v>
        <stp/>
        <stp>BDH|14950752588670147895</stp>
        <tr r="AB45" s="2"/>
      </tp>
      <tp t="s">
        <v>#N/A N/A</v>
        <stp/>
        <stp>BDH|16285274655403678197</stp>
        <tr r="V15" s="2"/>
      </tp>
      <tp t="s">
        <v>#N/A N/A</v>
        <stp/>
        <stp>BDH|15738695371943386436</stp>
        <tr r="H14" s="2"/>
      </tp>
      <tp t="s">
        <v>#N/A N/A</v>
        <stp/>
        <stp>BDH|14766536573050027587</stp>
        <tr r="P31" s="2"/>
      </tp>
      <tp t="s">
        <v>#N/A N/A</v>
        <stp/>
        <stp>BDH|10655528173484884519</stp>
        <tr r="K12" s="2"/>
      </tp>
      <tp t="s">
        <v>#N/A N/A</v>
        <stp/>
        <stp>BDH|11672076957377196093</stp>
        <tr r="AB63" s="2"/>
      </tp>
      <tp t="s">
        <v>#N/A N/A</v>
        <stp/>
        <stp>BDH|14003241408341053423</stp>
        <tr r="K8" s="2"/>
      </tp>
      <tp t="s">
        <v>#N/A N/A</v>
        <stp/>
        <stp>BDH|12041910031479028118</stp>
        <tr r="D39" s="2"/>
      </tp>
      <tp t="s">
        <v>#N/A N/A</v>
        <stp/>
        <stp>BDH|12331779943569083865</stp>
        <tr r="R56" s="2"/>
      </tp>
      <tp t="s">
        <v>#N/A N/A</v>
        <stp/>
        <stp>BDH|13881879744188271786</stp>
        <tr r="F35" s="2"/>
      </tp>
      <tp t="s">
        <v>#N/A N/A</v>
        <stp/>
        <stp>BDH|10769406696929093400</stp>
        <tr r="I29" s="2"/>
      </tp>
      <tp t="s">
        <v>#N/A N/A</v>
        <stp/>
        <stp>BDH|14525721870620394443</stp>
        <tr r="J39" s="2"/>
      </tp>
      <tp t="s">
        <v>#N/A N/A</v>
        <stp/>
        <stp>BDH|15582721039297816666</stp>
        <tr r="F8" s="2"/>
      </tp>
      <tp t="s">
        <v>#N/A N/A</v>
        <stp/>
        <stp>BDH|14670517655632249600</stp>
        <tr r="T46" s="2"/>
      </tp>
      <tp t="s">
        <v>#N/A N/A</v>
        <stp/>
        <stp>BDH|13821718232680100794</stp>
        <tr r="V46" s="2"/>
      </tp>
      <tp t="s">
        <v>#N/A N/A</v>
        <stp/>
        <stp>BDH|12806381469897214087</stp>
        <tr r="X32" s="2"/>
      </tp>
      <tp t="s">
        <v>#N/A N/A</v>
        <stp/>
        <stp>BDH|11180660441943584006</stp>
        <tr r="Z46" s="2"/>
      </tp>
      <tp t="s">
        <v>#N/A N/A</v>
        <stp/>
        <stp>BDH|17223544054312670570</stp>
        <tr r="U61" s="2"/>
      </tp>
      <tp t="s">
        <v>#N/A N/A</v>
        <stp/>
        <stp>BDH|14776009231224027345</stp>
        <tr r="L61" s="2"/>
      </tp>
      <tp t="s">
        <v>#N/A N/A</v>
        <stp/>
        <stp>BDH|14135974324867926897</stp>
        <tr r="AB25" s="2"/>
      </tp>
      <tp t="s">
        <v>#N/A N/A</v>
        <stp/>
        <stp>BDH|12201418112267163052</stp>
        <tr r="AE48" s="2"/>
      </tp>
      <tp t="s">
        <v>#N/A N/A</v>
        <stp/>
        <stp>BDH|12224090377610109599</stp>
        <tr r="R31" s="2"/>
      </tp>
      <tp t="s">
        <v>#N/A N/A</v>
        <stp/>
        <stp>BDH|12147383775621042788</stp>
        <tr r="T60" s="2"/>
      </tp>
      <tp t="s">
        <v>#N/A N/A</v>
        <stp/>
        <stp>BDH|14678794722305124480</stp>
        <tr r="P61" s="2"/>
      </tp>
      <tp t="s">
        <v>#N/A N/A</v>
        <stp/>
        <stp>BDH|17002819033015797912</stp>
        <tr r="Z48" s="2"/>
      </tp>
      <tp t="s">
        <v>#N/A N/A</v>
        <stp/>
        <stp>BDH|15777441066506032111</stp>
        <tr r="U24" s="2"/>
      </tp>
      <tp t="s">
        <v>#N/A N/A</v>
        <stp/>
        <stp>BDH|10734752876934888480</stp>
        <tr r="AF61" s="2"/>
      </tp>
      <tp t="s">
        <v>#N/A N/A</v>
        <stp/>
        <stp>BDH|16792545824226433743</stp>
        <tr r="L56" s="2"/>
      </tp>
      <tp t="s">
        <v>#N/A N/A</v>
        <stp/>
        <stp>BDH|15932319540165845764</stp>
        <tr r="L34" s="2"/>
      </tp>
      <tp t="s">
        <v>#N/A N/A</v>
        <stp/>
        <stp>BDH|11067151058570873538</stp>
        <tr r="O50" s="2"/>
      </tp>
      <tp t="s">
        <v>#N/A N/A</v>
        <stp/>
        <stp>BDH|13545862698413476195</stp>
        <tr r="C24" s="2"/>
      </tp>
      <tp t="s">
        <v>#N/A N/A</v>
        <stp/>
        <stp>BDH|12917636611176412390</stp>
        <tr r="AA62" s="2"/>
      </tp>
      <tp t="s">
        <v>#N/A N/A</v>
        <stp/>
        <stp>BDH|10340741530160964486</stp>
        <tr r="O43" s="2"/>
      </tp>
      <tp t="s">
        <v>#N/A N/A</v>
        <stp/>
        <stp>BDH|10574304354935902311</stp>
        <tr r="AD11" s="2"/>
      </tp>
      <tp t="s">
        <v>#N/A N/A</v>
        <stp/>
        <stp>BDH|13639035355533127588</stp>
        <tr r="N9" s="2"/>
      </tp>
      <tp t="s">
        <v>#N/A N/A</v>
        <stp/>
        <stp>BDH|10324809074557878865</stp>
        <tr r="AB13" s="2"/>
      </tp>
      <tp t="s">
        <v>#N/A N/A</v>
        <stp/>
        <stp>BDH|15003125376036911554</stp>
        <tr r="I31" s="2"/>
      </tp>
      <tp t="s">
        <v>#N/A N/A</v>
        <stp/>
        <stp>BDH|17689147998847886894</stp>
        <tr r="S63" s="2"/>
      </tp>
      <tp t="s">
        <v>#N/A N/A</v>
        <stp/>
        <stp>BDH|15946472602890305142</stp>
        <tr r="AD38" s="2"/>
      </tp>
      <tp t="s">
        <v>#N/A N/A</v>
        <stp/>
        <stp>BDH|12809313740370151533</stp>
        <tr r="K28" s="2"/>
      </tp>
      <tp t="s">
        <v>#N/A N/A</v>
        <stp/>
        <stp>BDH|11879716406893228575</stp>
        <tr r="AF11" s="2"/>
      </tp>
      <tp t="s">
        <v>#N/A N/A</v>
        <stp/>
        <stp>BDH|17664799848482299688</stp>
        <tr r="S32" s="2"/>
      </tp>
      <tp t="s">
        <v>#N/A N/A</v>
        <stp/>
        <stp>BDH|10823009131427771432</stp>
        <tr r="C35" s="2"/>
      </tp>
      <tp t="s">
        <v>#N/A N/A</v>
        <stp/>
        <stp>BDH|13607335117366880772</stp>
        <tr r="J38" s="2"/>
      </tp>
      <tp t="s">
        <v>#N/A N/A</v>
        <stp/>
        <stp>BDH|10452214312103834027</stp>
        <tr r="T41" s="2"/>
      </tp>
      <tp t="s">
        <v>#N/A N/A</v>
        <stp/>
        <stp>BDH|15150670616864556692</stp>
        <tr r="V8" s="2"/>
      </tp>
      <tp t="s">
        <v>#N/A N/A</v>
        <stp/>
        <stp>BDH|15477931109194065822</stp>
        <tr r="P41" s="2"/>
      </tp>
      <tp t="s">
        <v>#N/A N/A</v>
        <stp/>
        <stp>BDH|11901038952005288162</stp>
        <tr r="O9" s="2"/>
      </tp>
      <tp t="s">
        <v>#N/A N/A</v>
        <stp/>
        <stp>BDH|10035197154026825292</stp>
        <tr r="G10" s="2"/>
      </tp>
      <tp t="s">
        <v>#N/A N/A</v>
        <stp/>
        <stp>BDH|11104312346400805622</stp>
        <tr r="N22" s="2"/>
      </tp>
      <tp t="s">
        <v>#N/A N/A</v>
        <stp/>
        <stp>BDH|18351300062794755999</stp>
        <tr r="AC16" s="2"/>
      </tp>
      <tp t="s">
        <v>#N/A N/A</v>
        <stp/>
        <stp>BDH|16009285916503364623</stp>
        <tr r="S9" s="2"/>
      </tp>
      <tp t="s">
        <v>#N/A N/A</v>
        <stp/>
        <stp>BDH|10906821785577113717</stp>
        <tr r="Y21" s="2"/>
      </tp>
      <tp t="s">
        <v>#N/A N/A</v>
        <stp/>
        <stp>BDH|13795690947457522629</stp>
        <tr r="C41" s="2"/>
      </tp>
      <tp t="s">
        <v>#N/A N/A</v>
        <stp/>
        <stp>BDH|14164245311930603631</stp>
        <tr r="O11" s="2"/>
      </tp>
      <tp t="s">
        <v>#N/A N/A</v>
        <stp/>
        <stp>BDH|17295032030352375737</stp>
        <tr r="AC41" s="2"/>
      </tp>
      <tp t="s">
        <v>#N/A N/A</v>
        <stp/>
        <stp>BDH|12515887278075058942</stp>
        <tr r="Z30" s="2"/>
      </tp>
      <tp t="s">
        <v>#N/A N/A</v>
        <stp/>
        <stp>BDH|15719411593838455115</stp>
        <tr r="U19" s="2"/>
      </tp>
      <tp t="s">
        <v>#N/A N/A</v>
        <stp/>
        <stp>BDH|15669126255940835096</stp>
        <tr r="AD10" s="2"/>
      </tp>
      <tp t="s">
        <v>#N/A N/A</v>
        <stp/>
        <stp>BDH|15175345161837317677</stp>
        <tr r="AF47" s="2"/>
      </tp>
      <tp t="s">
        <v>#N/A N/A</v>
        <stp/>
        <stp>BDH|17164302753714517470</stp>
        <tr r="S20" s="2"/>
      </tp>
      <tp t="s">
        <v>#N/A N/A</v>
        <stp/>
        <stp>BDH|13871322959983152729</stp>
        <tr r="M38" s="2"/>
      </tp>
      <tp t="s">
        <v>#N/A N/A</v>
        <stp/>
        <stp>BDH|18373665745823349801</stp>
        <tr r="R42" s="2"/>
      </tp>
      <tp t="s">
        <v>#N/A N/A</v>
        <stp/>
        <stp>BDH|13707154138229047991</stp>
        <tr r="N40" s="2"/>
      </tp>
      <tp t="s">
        <v>#N/A N/A</v>
        <stp/>
        <stp>BDH|14579495956942928609</stp>
        <tr r="S58" s="2"/>
      </tp>
      <tp t="s">
        <v>#N/A N/A</v>
        <stp/>
        <stp>BDH|16538120450375110646</stp>
        <tr r="AF60" s="2"/>
      </tp>
      <tp t="s">
        <v>#N/A N/A</v>
        <stp/>
        <stp>BDH|18359646815069796702</stp>
        <tr r="W22" s="2"/>
      </tp>
      <tp t="s">
        <v>#N/A N/A</v>
        <stp/>
        <stp>BDH|16437267936462189407</stp>
        <tr r="Z52" s="2"/>
      </tp>
      <tp t="s">
        <v>#N/A N/A</v>
        <stp/>
        <stp>BDH|15394374783288582774</stp>
        <tr r="AC62" s="2"/>
      </tp>
      <tp t="s">
        <v>#N/A N/A</v>
        <stp/>
        <stp>BDH|17063657651636106306</stp>
        <tr r="Z25" s="2"/>
      </tp>
      <tp t="s">
        <v>#N/A N/A</v>
        <stp/>
        <stp>BDH|14593176563640213268</stp>
        <tr r="AC14" s="2"/>
      </tp>
      <tp t="s">
        <v>#N/A N/A</v>
        <stp/>
        <stp>BDH|11770917921629478267</stp>
        <tr r="I9" s="2"/>
      </tp>
      <tp t="s">
        <v>#N/A N/A</v>
        <stp/>
        <stp>BDH|15662710663426788370</stp>
        <tr r="P27" s="2"/>
      </tp>
      <tp t="s">
        <v>#N/A N/A</v>
        <stp/>
        <stp>BDH|13138279686881492902</stp>
        <tr r="AD34" s="2"/>
      </tp>
      <tp t="s">
        <v>#N/A N/A</v>
        <stp/>
        <stp>BDH|13118846654186096957</stp>
        <tr r="AF40" s="2"/>
      </tp>
      <tp t="s">
        <v>#N/A N/A</v>
        <stp/>
        <stp>BDH|15425367292196680822</stp>
        <tr r="AC35" s="2"/>
      </tp>
      <tp t="s">
        <v>#N/A N/A</v>
        <stp/>
        <stp>BDH|14452433777814154256</stp>
        <tr r="Y7" s="2"/>
      </tp>
      <tp t="s">
        <v>#N/A N/A</v>
        <stp/>
        <stp>BDH|13623897300432999824</stp>
        <tr r="R33" s="2"/>
      </tp>
      <tp t="s">
        <v>#N/A N/A</v>
        <stp/>
        <stp>BDH|14777529526476075471</stp>
        <tr r="D50" s="2"/>
      </tp>
      <tp t="s">
        <v>#N/A N/A</v>
        <stp/>
        <stp>BDH|13226560707373785409</stp>
        <tr r="S10" s="2"/>
      </tp>
      <tp t="s">
        <v>#N/A N/A</v>
        <stp/>
        <stp>BDH|13614397790671972915</stp>
        <tr r="J14" s="2"/>
      </tp>
      <tp t="s">
        <v>#N/A N/A</v>
        <stp/>
        <stp>BDH|11135453997254737937</stp>
        <tr r="V28" s="2"/>
      </tp>
      <tp t="s">
        <v>#N/A N/A</v>
        <stp/>
        <stp>BDH|11118856892529334839</stp>
        <tr r="P38" s="2"/>
      </tp>
      <tp t="s">
        <v>#N/A N/A</v>
        <stp/>
        <stp>BDH|12248467106684473300</stp>
        <tr r="AD31" s="2"/>
      </tp>
      <tp t="s">
        <v>#N/A N/A</v>
        <stp/>
        <stp>BDH|18425816967602915528</stp>
        <tr r="T22" s="2"/>
      </tp>
      <tp t="s">
        <v>#N/A N/A</v>
        <stp/>
        <stp>BDH|10756379341621900717</stp>
        <tr r="AD32" s="2"/>
      </tp>
      <tp t="s">
        <v>#N/A N/A</v>
        <stp/>
        <stp>BDH|17923778015456012623</stp>
        <tr r="U59" s="2"/>
      </tp>
      <tp t="s">
        <v>#N/A N/A</v>
        <stp/>
        <stp>BDH|16272340206384142082</stp>
        <tr r="L15" s="2"/>
      </tp>
      <tp t="s">
        <v>#N/A N/A</v>
        <stp/>
        <stp>BDH|14600285798367977963</stp>
        <tr r="S62" s="2"/>
      </tp>
      <tp t="s">
        <v>#N/A N/A</v>
        <stp/>
        <stp>BDH|16108904450033901815</stp>
        <tr r="I11" s="2"/>
      </tp>
      <tp t="s">
        <v>#N/A N/A</v>
        <stp/>
        <stp>BDH|14224133408536589247</stp>
        <tr r="P10" s="2"/>
      </tp>
      <tp t="s">
        <v>#N/A N/A</v>
        <stp/>
        <stp>BDH|10695195560876080076</stp>
        <tr r="P56" s="2"/>
      </tp>
      <tp t="s">
        <v>#N/A N/A</v>
        <stp/>
        <stp>BDH|12797905585045235786</stp>
        <tr r="W59" s="2"/>
      </tp>
      <tp t="s">
        <v>#N/A N/A</v>
        <stp/>
        <stp>BDH|15877547741980061550</stp>
        <tr r="N10" s="2"/>
      </tp>
      <tp t="s">
        <v>#N/A N/A</v>
        <stp/>
        <stp>BDH|17861243864724782679</stp>
        <tr r="W38" s="2"/>
      </tp>
      <tp t="s">
        <v>#N/A N/A</v>
        <stp/>
        <stp>BDH|15823112454729621937</stp>
        <tr r="V32" s="2"/>
      </tp>
      <tp t="s">
        <v>#N/A N/A</v>
        <stp/>
        <stp>BDH|15844215861161436147</stp>
        <tr r="X47" s="2"/>
      </tp>
      <tp t="s">
        <v>#N/A N/A</v>
        <stp/>
        <stp>BDH|14517827418879435539</stp>
        <tr r="O58" s="2"/>
      </tp>
      <tp t="s">
        <v>#N/A N/A</v>
        <stp/>
        <stp>BDH|12214701663785823724</stp>
        <tr r="L22" s="2"/>
      </tp>
      <tp t="s">
        <v>#N/A N/A</v>
        <stp/>
        <stp>BDH|12135270679886020049</stp>
        <tr r="Y10" s="2"/>
      </tp>
      <tp t="s">
        <v>#N/A N/A</v>
        <stp/>
        <stp>BDH|10198499664424236751</stp>
        <tr r="W8" s="2"/>
      </tp>
      <tp t="s">
        <v>#N/A N/A</v>
        <stp/>
        <stp>BDH|12844051013712779033</stp>
        <tr r="AA33" s="2"/>
      </tp>
      <tp t="s">
        <v>#N/A N/A</v>
        <stp/>
        <stp>BDH|10033378645715833361</stp>
        <tr r="W29" s="2"/>
      </tp>
      <tp t="s">
        <v>#N/A N/A</v>
        <stp/>
        <stp>BDH|15041116611115482186</stp>
        <tr r="J22" s="2"/>
      </tp>
      <tp t="s">
        <v>#N/A N/A</v>
        <stp/>
        <stp>BDH|10905029267431428648</stp>
        <tr r="J23" s="2"/>
      </tp>
      <tp t="s">
        <v>#N/A N/A</v>
        <stp/>
        <stp>BDH|12221693213496630220</stp>
        <tr r="N31" s="2"/>
      </tp>
      <tp t="s">
        <v>#N/A N/A</v>
        <stp/>
        <stp>BDH|10989899990288870876</stp>
        <tr r="K27" s="2"/>
      </tp>
      <tp t="s">
        <v>#N/A N/A</v>
        <stp/>
        <stp>BDH|16440340538185753205</stp>
        <tr r="AA35" s="2"/>
      </tp>
      <tp t="s">
        <v>#N/A N/A</v>
        <stp/>
        <stp>BDH|14204244648947267421</stp>
        <tr r="T25" s="2"/>
      </tp>
      <tp t="s">
        <v>#N/A N/A</v>
        <stp/>
        <stp>BDH|12836379267206572036</stp>
        <tr r="P39" s="2"/>
      </tp>
      <tp t="s">
        <v>#N/A N/A</v>
        <stp/>
        <stp>BDH|16956607326994228734</stp>
        <tr r="AC40" s="2"/>
      </tp>
      <tp t="s">
        <v>#N/A N/A</v>
        <stp/>
        <stp>BDH|10458597570757207414</stp>
        <tr r="F40" s="2"/>
      </tp>
      <tp t="s">
        <v>#N/A N/A</v>
        <stp/>
        <stp>BDH|10190057890429938138</stp>
        <tr r="I40" s="2"/>
      </tp>
      <tp t="s">
        <v>#N/A N/A</v>
        <stp/>
        <stp>BDH|16478582505197710503</stp>
        <tr r="F21" s="2"/>
      </tp>
      <tp t="s">
        <v>#N/A N/A</v>
        <stp/>
        <stp>BDH|14641791669793966710</stp>
        <tr r="G40" s="2"/>
      </tp>
      <tp t="s">
        <v>#N/A N/A</v>
        <stp/>
        <stp>BDH|16738720352214495620</stp>
        <tr r="D23" s="2"/>
      </tp>
      <tp t="s">
        <v>#N/A N/A</v>
        <stp/>
        <stp>BDH|10095535732511527155</stp>
        <tr r="E56" s="2"/>
      </tp>
      <tp t="s">
        <v>#N/A N/A</v>
        <stp/>
        <stp>BDH|15181801701738457359</stp>
        <tr r="U57" s="2"/>
      </tp>
      <tp t="s">
        <v>#N/A N/A</v>
        <stp/>
        <stp>BDH|14690916816462458848</stp>
        <tr r="H59" s="2"/>
      </tp>
      <tp t="s">
        <v>#N/A N/A</v>
        <stp/>
        <stp>BDH|17981230217513802154</stp>
        <tr r="E14" s="2"/>
      </tp>
      <tp t="s">
        <v>#N/A N/A</v>
        <stp/>
        <stp>BDH|10609615805074500479</stp>
        <tr r="L33" s="2"/>
      </tp>
      <tp t="s">
        <v>#N/A N/A</v>
        <stp/>
        <stp>BDH|11009043328420958552</stp>
        <tr r="L10" s="2"/>
      </tp>
      <tp t="s">
        <v>#N/A N/A</v>
        <stp/>
        <stp>BDH|17876916114110995976</stp>
        <tr r="U35" s="2"/>
      </tp>
      <tp t="s">
        <v>#N/A N/A</v>
        <stp/>
        <stp>BDH|17078740734314432169</stp>
        <tr r="AA20" s="2"/>
      </tp>
      <tp t="s">
        <v>#N/A N/A</v>
        <stp/>
        <stp>BDH|13259023452750098004</stp>
        <tr r="AE39" s="2"/>
      </tp>
      <tp t="s">
        <v>#N/A N/A</v>
        <stp/>
        <stp>BDH|13691455279341880704</stp>
        <tr r="T8" s="2"/>
      </tp>
      <tp t="s">
        <v>#N/A N/A</v>
        <stp/>
        <stp>BDH|16094766004326689166</stp>
        <tr r="AA59" s="2"/>
      </tp>
      <tp t="s">
        <v>#N/A N/A</v>
        <stp/>
        <stp>BDH|11705816883082294558</stp>
        <tr r="Y41" s="2"/>
      </tp>
      <tp t="s">
        <v>#N/A N/A</v>
        <stp/>
        <stp>BDH|16667554607801590434</stp>
        <tr r="AA58" s="2"/>
      </tp>
      <tp t="s">
        <v>#N/A N/A</v>
        <stp/>
        <stp>BDH|10305743115687305733</stp>
        <tr r="F62" s="2"/>
      </tp>
      <tp t="s">
        <v>#N/A N/A</v>
        <stp/>
        <stp>BDH|11669365645607436732</stp>
        <tr r="S56" s="2"/>
      </tp>
      <tp t="s">
        <v>#N/A N/A</v>
        <stp/>
        <stp>BDH|12549822857711307866</stp>
        <tr r="L21" s="2"/>
      </tp>
      <tp t="s">
        <v>#N/A N/A</v>
        <stp/>
        <stp>BDH|13192301471109050841</stp>
        <tr r="AF63" s="2"/>
      </tp>
      <tp t="s">
        <v>#N/A N/A</v>
        <stp/>
        <stp>BDH|11316747047715523111</stp>
        <tr r="S40" s="2"/>
      </tp>
      <tp t="s">
        <v>#N/A N/A</v>
        <stp/>
        <stp>BDH|13836596655577815280</stp>
        <tr r="V34" s="2"/>
      </tp>
      <tp t="s">
        <v>#N/A N/A</v>
        <stp/>
        <stp>BDH|11704292947582893359</stp>
        <tr r="M16" s="2"/>
      </tp>
      <tp t="s">
        <v>#N/A N/A</v>
        <stp/>
        <stp>BDH|11110038281886228956</stp>
        <tr r="O61" s="2"/>
      </tp>
      <tp t="s">
        <v>#N/A N/A</v>
        <stp/>
        <stp>BDH|15358163548062848438</stp>
        <tr r="K58" s="2"/>
      </tp>
      <tp t="s">
        <v>#N/A N/A</v>
        <stp/>
        <stp>BDH|11023713876280974789</stp>
        <tr r="F7" s="2"/>
      </tp>
      <tp t="s">
        <v>#N/A N/A</v>
        <stp/>
        <stp>BDH|10721017296987061866</stp>
        <tr r="V62" s="2"/>
      </tp>
      <tp t="s">
        <v>#N/A N/A</v>
        <stp/>
        <stp>BDH|10627340525582640570</stp>
        <tr r="AF23" s="2"/>
      </tp>
      <tp t="s">
        <v>#N/A N/A</v>
        <stp/>
        <stp>BDH|15978042055693645585</stp>
        <tr r="X46" s="2"/>
      </tp>
      <tp t="s">
        <v>#N/A N/A</v>
        <stp/>
        <stp>BDH|13728423870971834742</stp>
        <tr r="G48" s="2"/>
      </tp>
      <tp t="s">
        <v>#N/A N/A</v>
        <stp/>
        <stp>BDH|12792769488592592951</stp>
        <tr r="C39" s="2"/>
      </tp>
      <tp t="s">
        <v>#N/A N/A</v>
        <stp/>
        <stp>BDH|12527690427252184234</stp>
        <tr r="W32" s="2"/>
      </tp>
      <tp t="s">
        <v>#N/A N/A</v>
        <stp/>
        <stp>BDH|14993704851360703069</stp>
        <tr r="H25" s="2"/>
      </tp>
      <tp t="s">
        <v>#N/A N/A</v>
        <stp/>
        <stp>BDH|11801543161736292277</stp>
        <tr r="S24" s="2"/>
      </tp>
      <tp t="s">
        <v>#N/A N/A</v>
        <stp/>
        <stp>BDH|14295205413562942302</stp>
        <tr r="Z39" s="2"/>
      </tp>
      <tp t="s">
        <v>#N/A N/A</v>
        <stp/>
        <stp>BDH|12957735049426118196</stp>
        <tr r="AF25" s="2"/>
      </tp>
      <tp t="s">
        <v>#N/A N/A</v>
        <stp/>
        <stp>BDH|16710412380385561982</stp>
        <tr r="Q12" s="2"/>
      </tp>
      <tp t="s">
        <v>#N/A N/A</v>
        <stp/>
        <stp>BDH|14433503899946072873</stp>
        <tr r="X43" s="2"/>
      </tp>
      <tp t="s">
        <v>#N/A N/A</v>
        <stp/>
        <stp>BDH|15601705339084601339</stp>
        <tr r="O28" s="2"/>
      </tp>
      <tp t="s">
        <v>#N/A N/A</v>
        <stp/>
        <stp>BDH|15141122768415575149</stp>
        <tr r="S14" s="2"/>
      </tp>
      <tp t="s">
        <v>#N/A N/A</v>
        <stp/>
        <stp>BDH|18140940469432648376</stp>
        <tr r="P47" s="2"/>
      </tp>
      <tp t="s">
        <v>#N/A N/A</v>
        <stp/>
        <stp>BDH|17074125978754762303</stp>
        <tr r="Y16" s="2"/>
      </tp>
      <tp t="s">
        <v>#N/A N/A</v>
        <stp/>
        <stp>BDH|11326671256275713180</stp>
        <tr r="K9" s="2"/>
      </tp>
      <tp t="s">
        <v>#N/A N/A</v>
        <stp/>
        <stp>BDH|13722316592738028795</stp>
        <tr r="R23" s="2"/>
      </tp>
      <tp t="s">
        <v>#N/A N/A</v>
        <stp/>
        <stp>BDH|13401346845304838602</stp>
        <tr r="D31" s="2"/>
      </tp>
      <tp t="s">
        <v>#N/A N/A</v>
        <stp/>
        <stp>BDH|11937469447172408501</stp>
        <tr r="AA43" s="2"/>
      </tp>
      <tp t="s">
        <v>#N/A N/A</v>
        <stp/>
        <stp>BDH|17020659233014935034</stp>
        <tr r="G27" s="2"/>
      </tp>
      <tp t="s">
        <v>#N/A N/A</v>
        <stp/>
        <stp>BDH|16754063529120078243</stp>
        <tr r="G56" s="2"/>
      </tp>
      <tp t="s">
        <v>#N/A N/A</v>
        <stp/>
        <stp>BDH|10675784974161604700</stp>
        <tr r="L29" s="2"/>
      </tp>
      <tp t="s">
        <v>#N/A N/A</v>
        <stp/>
        <stp>BDH|16212272762414845008</stp>
        <tr r="D58" s="2"/>
      </tp>
      <tp t="s">
        <v>#N/A N/A</v>
        <stp/>
        <stp>BDH|16618790548901901217</stp>
        <tr r="P26" s="2"/>
      </tp>
      <tp t="s">
        <v>#N/A N/A</v>
        <stp/>
        <stp>BDH|10830288951630811163</stp>
        <tr r="AA12" s="2"/>
      </tp>
      <tp t="s">
        <v>#N/A N/A</v>
        <stp/>
        <stp>BDH|15591287022372621161</stp>
        <tr r="E25" s="2"/>
      </tp>
      <tp t="s">
        <v>#N/A N/A</v>
        <stp/>
        <stp>BDH|11851918165539055139</stp>
        <tr r="AD14" s="2"/>
      </tp>
      <tp t="s">
        <v>#N/A N/A</v>
        <stp/>
        <stp>BDH|12844159505365794010</stp>
        <tr r="N11" s="2"/>
      </tp>
      <tp t="s">
        <v>#N/A N/A</v>
        <stp/>
        <stp>BDH|17083381686359744286</stp>
        <tr r="X40" s="2"/>
      </tp>
      <tp t="s">
        <v>#N/A N/A</v>
        <stp/>
        <stp>BDH|11526887121708875459</stp>
        <tr r="Q14" s="2"/>
      </tp>
      <tp t="s">
        <v>#N/A N/A</v>
        <stp/>
        <stp>BDH|15659038877424295111</stp>
        <tr r="AA47" s="2"/>
      </tp>
      <tp t="s">
        <v>#N/A N/A</v>
        <stp/>
        <stp>BDH|18042255084151924496</stp>
        <tr r="C14" s="2"/>
      </tp>
      <tp t="s">
        <v>#N/A N/A</v>
        <stp/>
        <stp>BDH|12952261075054228488</stp>
        <tr r="S30" s="2"/>
      </tp>
      <tp t="s">
        <v>#N/A N/A</v>
        <stp/>
        <stp>BDH|17068224873026438353</stp>
        <tr r="L13" s="2"/>
      </tp>
      <tp t="s">
        <v>#N/A N/A</v>
        <stp/>
        <stp>BDH|16780591702984971052</stp>
        <tr r="F48" s="2"/>
      </tp>
      <tp t="s">
        <v>#N/A N/A</v>
        <stp/>
        <stp>BDH|17506538003400620505</stp>
        <tr r="P57" s="2"/>
      </tp>
      <tp t="s">
        <v>#N/A N/A</v>
        <stp/>
        <stp>BDH|14947309065167712184</stp>
        <tr r="O29" s="2"/>
      </tp>
      <tp t="s">
        <v>#N/A N/A</v>
        <stp/>
        <stp>BDH|14122652920185152267</stp>
        <tr r="W44" s="2"/>
      </tp>
      <tp t="s">
        <v>#N/A N/A</v>
        <stp/>
        <stp>BDH|10121130415681066643</stp>
        <tr r="Z26" s="2"/>
      </tp>
      <tp t="s">
        <v>#N/A N/A</v>
        <stp/>
        <stp>BDH|11819593126695373472</stp>
        <tr r="N8" s="2"/>
      </tp>
      <tp t="s">
        <v>#N/A N/A</v>
        <stp/>
        <stp>BDH|13175863881373315760</stp>
        <tr r="H19" s="2"/>
      </tp>
      <tp t="s">
        <v>#N/A N/A</v>
        <stp/>
        <stp>BDH|14644610536032575476</stp>
        <tr r="I50" s="2"/>
      </tp>
      <tp t="s">
        <v>#N/A N/A</v>
        <stp/>
        <stp>BDH|10518788156673708697</stp>
        <tr r="G59" s="2"/>
      </tp>
      <tp t="s">
        <v>#N/A N/A</v>
        <stp/>
        <stp>BDH|11601823598865875219</stp>
        <tr r="AF44" s="2"/>
      </tp>
      <tp t="s">
        <v>#N/A N/A</v>
        <stp/>
        <stp>BDH|18395313095505498062</stp>
        <tr r="D42" s="2"/>
      </tp>
      <tp t="s">
        <v>#N/A N/A</v>
        <stp/>
        <stp>BDH|17190983707700261981</stp>
        <tr r="I42" s="2"/>
      </tp>
      <tp t="s">
        <v>#N/A N/A</v>
        <stp/>
        <stp>BDH|13026540615580588005</stp>
        <tr r="AA50" s="2"/>
      </tp>
      <tp t="s">
        <v>#N/A N/A</v>
        <stp/>
        <stp>BDH|12183060155666656630</stp>
        <tr r="C61" s="2"/>
      </tp>
      <tp t="s">
        <v>#N/A N/A</v>
        <stp/>
        <stp>BDH|10627729502815334528</stp>
        <tr r="C56" s="2"/>
      </tp>
      <tp t="s">
        <v>#N/A N/A</v>
        <stp/>
        <stp>BDH|15459220575652168558</stp>
        <tr r="I30" s="2"/>
      </tp>
      <tp t="s">
        <v>#N/A N/A</v>
        <stp/>
        <stp>BDH|15205013650017064046</stp>
        <tr r="AD48" s="2"/>
      </tp>
      <tp t="s">
        <v>#N/A N/A</v>
        <stp/>
        <stp>BDH|15792155636621388103</stp>
        <tr r="I44" s="2"/>
      </tp>
      <tp t="s">
        <v>#N/A N/A</v>
        <stp/>
        <stp>BDH|12833087215001008524</stp>
        <tr r="U22" s="2"/>
      </tp>
      <tp t="s">
        <v>#N/A N/A</v>
        <stp/>
        <stp>BDH|10964468614691981343</stp>
        <tr r="H61" s="2"/>
      </tp>
      <tp t="s">
        <v>#N/A N/A</v>
        <stp/>
        <stp>BDH|12349205872163559324</stp>
        <tr r="H32" s="2"/>
      </tp>
      <tp t="s">
        <v>#N/A N/A</v>
        <stp/>
        <stp>BDH|13085025039792683549</stp>
        <tr r="U38" s="2"/>
      </tp>
      <tp t="s">
        <v>#N/A N/A</v>
        <stp/>
        <stp>BDH|17384108507278947948</stp>
        <tr r="M22" s="2"/>
      </tp>
      <tp t="s">
        <v>#N/A N/A</v>
        <stp/>
        <stp>BDH|11574507958194442209</stp>
        <tr r="D27" s="2"/>
      </tp>
      <tp t="s">
        <v>#N/A N/A</v>
        <stp/>
        <stp>BDH|14931765679451825273</stp>
        <tr r="L47" s="2"/>
      </tp>
      <tp t="s">
        <v>#N/A N/A</v>
        <stp/>
        <stp>BDH|10357393591659536472</stp>
        <tr r="S23" s="2"/>
      </tp>
      <tp t="s">
        <v>#N/A N/A</v>
        <stp/>
        <stp>BDH|17846078077966004115</stp>
        <tr r="W43" s="2"/>
      </tp>
      <tp t="s">
        <v>#N/A N/A</v>
        <stp/>
        <stp>BDH|17084178398449046178</stp>
        <tr r="C34" s="2"/>
      </tp>
      <tp t="s">
        <v>#N/A N/A</v>
        <stp/>
        <stp>BDH|12612584831720389373</stp>
        <tr r="X42" s="2"/>
      </tp>
      <tp t="s">
        <v>#N/A N/A</v>
        <stp/>
        <stp>BDH|11419240929307471166</stp>
        <tr r="AF30" s="2"/>
      </tp>
      <tp t="s">
        <v>#N/A N/A</v>
        <stp/>
        <stp>BDH|16003332270351876405</stp>
        <tr r="F63" s="2"/>
      </tp>
      <tp t="s">
        <v>#N/A N/A</v>
        <stp/>
        <stp>BDH|18375425589763610050</stp>
        <tr r="AA52" s="2"/>
      </tp>
      <tp t="s">
        <v>#N/A N/A</v>
        <stp/>
        <stp>BDH|12815377228732874659</stp>
        <tr r="S29" s="2"/>
      </tp>
      <tp t="s">
        <v>#N/A N/A</v>
        <stp/>
        <stp>BDH|11340059629193707720</stp>
        <tr r="J31" s="2"/>
      </tp>
      <tp t="s">
        <v>#N/A N/A</v>
        <stp/>
        <stp>BDH|17602220828674601404</stp>
        <tr r="W50" s="2"/>
      </tp>
      <tp t="s">
        <v>#N/A N/A</v>
        <stp/>
        <stp>BDH|14090382415961341040</stp>
        <tr r="M56" s="2"/>
      </tp>
      <tp t="s">
        <v>#N/A N/A</v>
        <stp/>
        <stp>BDH|14594504174133807239</stp>
        <tr r="N38" s="2"/>
      </tp>
      <tp t="s">
        <v>#N/A N/A</v>
        <stp/>
        <stp>BDH|11465453278045713035</stp>
        <tr r="N34" s="2"/>
      </tp>
      <tp t="s">
        <v>#N/A N/A</v>
        <stp/>
        <stp>BDH|18054727049065742913</stp>
        <tr r="E34" s="2"/>
      </tp>
      <tp t="s">
        <v>#N/A N/A</v>
        <stp/>
        <stp>BDH|15630039272740218596</stp>
        <tr r="Q22" s="2"/>
      </tp>
      <tp t="s">
        <v>#N/A N/A</v>
        <stp/>
        <stp>BDH|11954076668078981831</stp>
        <tr r="M39" s="2"/>
      </tp>
      <tp t="s">
        <v>#N/A N/A</v>
        <stp/>
        <stp>BDH|11566491145423185542</stp>
        <tr r="Y19" s="2"/>
      </tp>
      <tp t="s">
        <v>#N/A N/A</v>
        <stp/>
        <stp>BDH|15464036749453587546</stp>
        <tr r="Z40" s="2"/>
      </tp>
      <tp t="s">
        <v>#N/A N/A</v>
        <stp/>
        <stp>BDH|12279358054501420284</stp>
        <tr r="AA14" s="2"/>
      </tp>
      <tp t="s">
        <v>#N/A N/A</v>
        <stp/>
        <stp>BDH|16085344010524331793</stp>
        <tr r="V60" s="2"/>
      </tp>
      <tp t="s">
        <v>#N/A N/A</v>
        <stp/>
        <stp>BDH|13591054018936291344</stp>
        <tr r="X52" s="2"/>
      </tp>
      <tp t="s">
        <v>#N/A N/A</v>
        <stp/>
        <stp>BDH|10836200823374382365</stp>
        <tr r="V14" s="2"/>
      </tp>
      <tp t="s">
        <v>#N/A N/A</v>
        <stp/>
        <stp>BDH|13381616529648399863</stp>
        <tr r="P14" s="2"/>
      </tp>
      <tp t="s">
        <v>#N/A N/A</v>
        <stp/>
        <stp>BDH|10811545421758746847</stp>
        <tr r="S31" s="2"/>
      </tp>
      <tp t="s">
        <v>#N/A N/A</v>
        <stp/>
        <stp>BDH|10590256702490396605</stp>
        <tr r="K52" s="2"/>
      </tp>
      <tp t="s">
        <v>#N/A N/A</v>
        <stp/>
        <stp>BDH|10415699462863837766</stp>
        <tr r="K29" s="2"/>
      </tp>
      <tp t="s">
        <v>#N/A N/A</v>
        <stp/>
        <stp>BDH|16884724616021830545</stp>
        <tr r="Z7" s="2"/>
      </tp>
      <tp t="s">
        <v>#N/A N/A</v>
        <stp/>
        <stp>BDH|13597046819316167098</stp>
        <tr r="J29" s="2"/>
      </tp>
      <tp t="s">
        <v>#N/A N/A</v>
        <stp/>
        <stp>BDH|16987290211080096116</stp>
        <tr r="H11" s="2"/>
      </tp>
      <tp t="s">
        <v>#N/A N/A</v>
        <stp/>
        <stp>BDH|14643111661832644523</stp>
        <tr r="T9" s="2"/>
      </tp>
      <tp t="s">
        <v>#N/A N/A</v>
        <stp/>
        <stp>BDH|16449333931850139253</stp>
        <tr r="L63" s="2"/>
      </tp>
      <tp t="s">
        <v>#N/A N/A</v>
        <stp/>
        <stp>BDH|16161619212520705577</stp>
        <tr r="P40" s="2"/>
      </tp>
      <tp t="s">
        <v>#N/A N/A</v>
        <stp/>
        <stp>BDH|16644891890671582288</stp>
        <tr r="N62" s="2"/>
      </tp>
      <tp t="s">
        <v>#N/A N/A</v>
        <stp/>
        <stp>BDH|12272165854750409264</stp>
        <tr r="O21" s="2"/>
      </tp>
      <tp t="s">
        <v>#N/A N/A</v>
        <stp/>
        <stp>BDH|17261107113984375708</stp>
        <tr r="E12" s="2"/>
      </tp>
      <tp t="s">
        <v>#N/A N/A</v>
        <stp/>
        <stp>BDH|15405700974306412766</stp>
        <tr r="E38" s="2"/>
      </tp>
      <tp t="s">
        <v>#N/A N/A</v>
        <stp/>
        <stp>BDH|11872515628705414703</stp>
        <tr r="F12" s="2"/>
      </tp>
      <tp t="s">
        <v>#N/A N/A</v>
        <stp/>
        <stp>BDH|10997774372860123481</stp>
        <tr r="M31" s="2"/>
      </tp>
      <tp t="s">
        <v>#N/A N/A</v>
        <stp/>
        <stp>BDH|13739837482321416660</stp>
        <tr r="T39" s="2"/>
      </tp>
      <tp t="s">
        <v>#N/A N/A</v>
        <stp/>
        <stp>BDH|16239365314603565313</stp>
        <tr r="G7" s="2"/>
      </tp>
      <tp t="s">
        <v>#N/A N/A</v>
        <stp/>
        <stp>BDH|13651300614947122243</stp>
        <tr r="X21" s="2"/>
      </tp>
      <tp t="s">
        <v>#N/A N/A</v>
        <stp/>
        <stp>BDH|16140711367765616670</stp>
        <tr r="AD29" s="2"/>
      </tp>
      <tp t="s">
        <v>#N/A N/A</v>
        <stp/>
        <stp>BDH|14771898599336492757</stp>
        <tr r="H24" s="2"/>
      </tp>
      <tp t="s">
        <v>#N/A N/A</v>
        <stp/>
        <stp>BDH|17355625715200923449</stp>
        <tr r="J20" s="2"/>
      </tp>
      <tp t="s">
        <v>#N/A N/A</v>
        <stp/>
        <stp>BDH|16815972943906763923</stp>
        <tr r="U13" s="2"/>
      </tp>
      <tp t="s">
        <v>#N/A N/A</v>
        <stp/>
        <stp>BDH|10115263626683170797</stp>
        <tr r="C13" s="2"/>
      </tp>
      <tp t="s">
        <v>#N/A N/A</v>
        <stp/>
        <stp>BDH|10050436267893897548</stp>
        <tr r="G25" s="2"/>
      </tp>
      <tp t="s">
        <v>#N/A N/A</v>
        <stp/>
        <stp>BDH|15575901568088772628</stp>
        <tr r="R14" s="2"/>
      </tp>
      <tp t="s">
        <v>#N/A N/A</v>
        <stp/>
        <stp>BDH|11494388360676366679</stp>
        <tr r="Y29" s="2"/>
      </tp>
      <tp t="s">
        <v>#N/A N/A</v>
        <stp/>
        <stp>BDH|10786705937009890901</stp>
        <tr r="V44" s="2"/>
      </tp>
      <tp t="s">
        <v>#N/A N/A</v>
        <stp/>
        <stp>BDH|14939098447497686392</stp>
        <tr r="D19" s="2"/>
      </tp>
      <tp t="s">
        <v>#N/A N/A</v>
        <stp/>
        <stp>BDH|15805488585719928469</stp>
        <tr r="V19" s="2"/>
      </tp>
      <tp t="s">
        <v>#N/A N/A</v>
        <stp/>
        <stp>BDH|13165489468994410189</stp>
        <tr r="O59" s="2"/>
      </tp>
      <tp t="s">
        <v>#N/A N/A</v>
        <stp/>
        <stp>BDH|15895048261375508253</stp>
        <tr r="AB8" s="2"/>
      </tp>
      <tp t="s">
        <v>#N/A N/A</v>
        <stp/>
        <stp>BDH|10937533805549932891</stp>
        <tr r="Q63" s="2"/>
      </tp>
      <tp t="s">
        <v>#N/A N/A</v>
        <stp/>
        <stp>BDH|10229723647232090590</stp>
        <tr r="E58" s="2"/>
      </tp>
      <tp t="s">
        <v>#N/A N/A</v>
        <stp/>
        <stp>BDH|10209374767023586295</stp>
        <tr r="AE8" s="2"/>
      </tp>
      <tp t="s">
        <v>#N/A N/A</v>
        <stp/>
        <stp>BDH|13887204646220716172</stp>
        <tr r="J24" s="2"/>
      </tp>
      <tp t="s">
        <v>#N/A N/A</v>
        <stp/>
        <stp>BDH|12260651853856736223</stp>
        <tr r="AD59" s="2"/>
      </tp>
      <tp t="s">
        <v>#N/A N/A</v>
        <stp/>
        <stp>BDH|12882524432433033296</stp>
        <tr r="AE41" s="2"/>
      </tp>
      <tp t="s">
        <v>#N/A N/A</v>
        <stp/>
        <stp>BDH|14072237795662458834</stp>
        <tr r="G60" s="2"/>
      </tp>
      <tp t="s">
        <v>#N/A N/A</v>
        <stp/>
        <stp>BDH|13650623567392073439</stp>
        <tr r="V56" s="2"/>
      </tp>
      <tp t="s">
        <v>#N/A N/A</v>
        <stp/>
        <stp>BDH|11719123007087158232</stp>
        <tr r="AA32" s="2"/>
      </tp>
      <tp t="s">
        <v>#N/A N/A</v>
        <stp/>
        <stp>BDH|12996164469184468401</stp>
        <tr r="V45" s="2"/>
      </tp>
      <tp t="s">
        <v>#N/A N/A</v>
        <stp/>
        <stp>BDH|11134147325361432665</stp>
        <tr r="Z13" s="2"/>
      </tp>
      <tp t="s">
        <v>#N/A N/A</v>
        <stp/>
        <stp>BDH|15533099524270873255</stp>
        <tr r="D21" s="2"/>
      </tp>
      <tp t="s">
        <v>#N/A N/A</v>
        <stp/>
        <stp>BDH|17187162860267457261</stp>
        <tr r="E30" s="2"/>
      </tp>
      <tp t="s">
        <v>#N/A N/A</v>
        <stp/>
        <stp>BDH|17384310322182509109</stp>
        <tr r="H27" s="2"/>
      </tp>
      <tp t="s">
        <v>#N/A N/A</v>
        <stp/>
        <stp>BDH|12850596896573170837</stp>
        <tr r="K50" s="2"/>
      </tp>
      <tp t="s">
        <v>#N/A N/A</v>
        <stp/>
        <stp>BDH|16647229171785691371</stp>
        <tr r="S7" s="2"/>
      </tp>
      <tp t="s">
        <v>#N/A N/A</v>
        <stp/>
        <stp>BDH|16647500750411227206</stp>
        <tr r="AA11" s="2"/>
      </tp>
      <tp t="s">
        <v>#N/A N/A</v>
        <stp/>
        <stp>BDH|11943797345151510670</stp>
        <tr r="E59" s="2"/>
      </tp>
      <tp t="s">
        <v>#N/A N/A</v>
        <stp/>
        <stp>BDH|17641979955367494977</stp>
        <tr r="P43" s="2"/>
      </tp>
      <tp t="s">
        <v>#N/A N/A</v>
        <stp/>
        <stp>BDH|15168625577227764641</stp>
        <tr r="O7" s="2"/>
      </tp>
      <tp t="s">
        <v>#N/A N/A</v>
        <stp/>
        <stp>BDH|11592412862075575348</stp>
        <tr r="AE61" s="2"/>
      </tp>
      <tp t="s">
        <v>#N/A N/A</v>
        <stp/>
        <stp>BDH|10125736447602704456</stp>
        <tr r="O47" s="2"/>
      </tp>
      <tp t="s">
        <v>#N/A N/A</v>
        <stp/>
        <stp>BDH|12079917084053617550</stp>
        <tr r="T42" s="2"/>
      </tp>
      <tp t="s">
        <v>#N/A N/A</v>
        <stp/>
        <stp>BDH|16237025061365565025</stp>
        <tr r="Y46" s="2"/>
      </tp>
      <tp t="s">
        <v>#N/A N/A</v>
        <stp/>
        <stp>BDH|11962195349817043606</stp>
        <tr r="T61" s="2"/>
      </tp>
      <tp t="s">
        <v>#N/A N/A</v>
        <stp/>
        <stp>BDH|11214594454330480435</stp>
        <tr r="T44" s="2"/>
      </tp>
      <tp t="s">
        <v>#N/A N/A</v>
        <stp/>
        <stp>BDH|13222140947072832117</stp>
        <tr r="AB12" s="2"/>
      </tp>
      <tp t="s">
        <v>#N/A N/A</v>
        <stp/>
        <stp>BDH|13899878256139739266</stp>
        <tr r="AD26" s="2"/>
      </tp>
      <tp t="s">
        <v>#N/A N/A</v>
        <stp/>
        <stp>BDH|17926413876121519009</stp>
        <tr r="Z16" s="2"/>
      </tp>
      <tp t="s">
        <v>#N/A N/A</v>
        <stp/>
        <stp>BDH|18435324619867548814</stp>
        <tr r="Q26" s="2"/>
      </tp>
      <tp t="s">
        <v>#N/A N/A</v>
        <stp/>
        <stp>BDH|11896806963523677963</stp>
        <tr r="L45" s="2"/>
      </tp>
      <tp t="s">
        <v>#N/A N/A</v>
        <stp/>
        <stp>BDH|16198179764553137785</stp>
        <tr r="W58" s="2"/>
      </tp>
      <tp t="s">
        <v>#N/A N/A</v>
        <stp/>
        <stp>BDH|17600413928211241566</stp>
        <tr r="AB22" s="2"/>
      </tp>
      <tp t="s">
        <v>#N/A N/A</v>
        <stp/>
        <stp>BDH|15109269234231088085</stp>
        <tr r="H43" s="2"/>
      </tp>
      <tp t="s">
        <v>#N/A N/A</v>
        <stp/>
        <stp>BDH|17442304352337517399</stp>
        <tr r="W21" s="2"/>
      </tp>
      <tp t="s">
        <v>#N/A N/A</v>
        <stp/>
        <stp>BDH|11321265709272792413</stp>
        <tr r="AE43" s="2"/>
      </tp>
      <tp t="s">
        <v>#N/A N/A</v>
        <stp/>
        <stp>BDH|17252690996379220458</stp>
        <tr r="T38" s="2"/>
      </tp>
      <tp t="s">
        <v>#N/A N/A</v>
        <stp/>
        <stp>BDH|14372451182109750497</stp>
        <tr r="AA26" s="2"/>
      </tp>
      <tp t="s">
        <v>#N/A N/A</v>
        <stp/>
        <stp>BDH|10473566838963055077</stp>
        <tr r="AE21" s="2"/>
      </tp>
      <tp t="s">
        <v>#N/A N/A</v>
        <stp/>
        <stp>BDH|12921351655239443807</stp>
        <tr r="J9" s="2"/>
      </tp>
      <tp t="s">
        <v>#N/A N/A</v>
        <stp/>
        <stp>BDH|10281380541896308450</stp>
        <tr r="O10" s="2"/>
      </tp>
      <tp t="s">
        <v>#N/A N/A</v>
        <stp/>
        <stp>BDH|17732639049203349320</stp>
        <tr r="L43" s="2"/>
      </tp>
      <tp t="s">
        <v>#N/A N/A</v>
        <stp/>
        <stp>BDH|11375096754111133033</stp>
        <tr r="C10" s="2"/>
      </tp>
      <tp t="s">
        <v>#N/A N/A</v>
        <stp/>
        <stp>BDH|17020403092617413899</stp>
        <tr r="AB21" s="2"/>
      </tp>
      <tp t="s">
        <v>#N/A N/A</v>
        <stp/>
        <stp>BDH|11676655139594441511</stp>
        <tr r="H10" s="2"/>
      </tp>
      <tp t="s">
        <v>#N/A N/A</v>
        <stp/>
        <stp>BDH|14404492775812391043</stp>
        <tr r="T13" s="2"/>
      </tp>
      <tp t="s">
        <v>#N/A N/A</v>
        <stp/>
        <stp>BDH|16294794504087642370</stp>
        <tr r="E11" s="2"/>
      </tp>
      <tp t="s">
        <v>#N/A N/A</v>
        <stp/>
        <stp>BDH|12879978489861851702</stp>
        <tr r="D16" s="2"/>
      </tp>
      <tp t="s">
        <v>#N/A N/A</v>
        <stp/>
        <stp>BDH|14668714530511946403</stp>
        <tr r="F24" s="2"/>
      </tp>
    </main>
    <main first="bofaddin.rtdserver">
      <tp t="s">
        <v>#N/A N/A</v>
        <stp/>
        <stp>BDH|4135986124322314147</stp>
        <tr r="I16" s="2"/>
      </tp>
      <tp t="s">
        <v>#N/A N/A</v>
        <stp/>
        <stp>BDH|4275221285195900767</stp>
        <tr r="G42" s="2"/>
      </tp>
      <tp t="s">
        <v>#N/A N/A</v>
        <stp/>
        <stp>BDH|3175403688296715542</stp>
        <tr r="X27" s="2"/>
      </tp>
      <tp t="s">
        <v>#N/A N/A</v>
        <stp/>
        <stp>BDH|5434994600193368347</stp>
        <tr r="W26" s="2"/>
      </tp>
      <tp t="s">
        <v>#N/A N/A</v>
        <stp/>
        <stp>BDH|1580182253648518114</stp>
        <tr r="M12" s="2"/>
      </tp>
      <tp t="s">
        <v>#N/A N/A</v>
        <stp/>
        <stp>BDH|7927078764148349528</stp>
        <tr r="E43" s="2"/>
      </tp>
      <tp t="s">
        <v>#N/A N/A</v>
        <stp/>
        <stp>BDH|3253237836397793989</stp>
        <tr r="R34" s="2"/>
      </tp>
      <tp t="s">
        <v>#N/A N/A</v>
        <stp/>
        <stp>BDH|5527562988625252111</stp>
        <tr r="C7" s="2"/>
      </tp>
      <tp t="s">
        <v>#N/A N/A</v>
        <stp/>
        <stp>BDH|7304323330043947802</stp>
        <tr r="X15" s="2"/>
      </tp>
      <tp t="s">
        <v>#N/A N/A</v>
        <stp/>
        <stp>BDH|4799999251845096176</stp>
        <tr r="L39" s="2"/>
      </tp>
      <tp t="s">
        <v>#N/A N/A</v>
        <stp/>
        <stp>BDH|8888606917641476230</stp>
        <tr r="AB40" s="2"/>
      </tp>
      <tp t="s">
        <v>#N/A N/A</v>
        <stp/>
        <stp>BDH|3936012303819539664</stp>
        <tr r="F47" s="2"/>
      </tp>
      <tp t="s">
        <v>#N/A N/A</v>
        <stp/>
        <stp>BDH|7518350084318952843</stp>
        <tr r="E31" s="2"/>
      </tp>
      <tp t="s">
        <v>#N/A N/A</v>
        <stp/>
        <stp>BDH|6796737537227889954</stp>
        <tr r="Y62" s="2"/>
      </tp>
      <tp t="s">
        <v>#N/A N/A</v>
        <stp/>
        <stp>BDH|7276934571711619483</stp>
        <tr r="R21" s="2"/>
      </tp>
      <tp t="s">
        <v>#N/A N/A</v>
        <stp/>
        <stp>BDH|2060306552058976063</stp>
        <tr r="Q42" s="2"/>
      </tp>
      <tp t="s">
        <v>#N/A N/A</v>
        <stp/>
        <stp>BDH|6197864074070922574</stp>
        <tr r="W47" s="2"/>
      </tp>
      <tp t="s">
        <v>#N/A N/A</v>
        <stp/>
        <stp>BDH|9059800834647018998</stp>
        <tr r="C29" s="2"/>
      </tp>
      <tp t="s">
        <v>#N/A N/A</v>
        <stp/>
        <stp>BDH|6432276536448250355</stp>
        <tr r="E45" s="2"/>
      </tp>
      <tp t="s">
        <v>#N/A N/A</v>
        <stp/>
        <stp>BDH|4050761755938066213</stp>
        <tr r="D35" s="2"/>
      </tp>
      <tp t="s">
        <v>#N/A N/A</v>
        <stp/>
        <stp>BDH|7935027085450836349</stp>
        <tr r="Y25" s="2"/>
      </tp>
      <tp t="s">
        <v>#N/A N/A</v>
        <stp/>
        <stp>BDH|3486061911336559851</stp>
        <tr r="AD9" s="2"/>
      </tp>
      <tp t="s">
        <v>#N/A N/A</v>
        <stp/>
        <stp>BDH|9373200376738126843</stp>
        <tr r="E13" s="2"/>
      </tp>
      <tp t="s">
        <v>#N/A N/A</v>
        <stp/>
        <stp>BDH|4741149844918507524</stp>
        <tr r="T29" s="2"/>
      </tp>
      <tp t="s">
        <v>#N/A N/A</v>
        <stp/>
        <stp>BDH|2634205170048438322</stp>
        <tr r="M11" s="2"/>
      </tp>
      <tp t="s">
        <v>#N/A N/A</v>
        <stp/>
        <stp>BDH|2338919889259810637</stp>
        <tr r="Z21" s="2"/>
      </tp>
      <tp t="s">
        <v>#N/A N/A</v>
        <stp/>
        <stp>BDH|7392013055287657905</stp>
        <tr r="F16" s="2"/>
      </tp>
      <tp t="s">
        <v>#N/A N/A</v>
        <stp/>
        <stp>BDH|4653305852818464613</stp>
        <tr r="I25" s="2"/>
      </tp>
      <tp t="s">
        <v>#N/A N/A</v>
        <stp/>
        <stp>BDH|9044290025427363292</stp>
        <tr r="F41" s="2"/>
      </tp>
      <tp t="s">
        <v>#N/A N/A</v>
        <stp/>
        <stp>BDH|9619510866965114363</stp>
        <tr r="AD57" s="2"/>
      </tp>
      <tp t="s">
        <v>#N/A N/A</v>
        <stp/>
        <stp>BDH|9384003993209105568</stp>
        <tr r="Y58" s="2"/>
      </tp>
      <tp t="s">
        <v>#N/A N/A</v>
        <stp/>
        <stp>BDH|2131818641122769017</stp>
        <tr r="T56" s="2"/>
      </tp>
      <tp t="s">
        <v>#N/A N/A</v>
        <stp/>
        <stp>BDH|9323586115026029798</stp>
        <tr r="K31" s="2"/>
      </tp>
      <tp t="s">
        <v>#N/A N/A</v>
        <stp/>
        <stp>BDH|5846884136671252306</stp>
        <tr r="I28" s="2"/>
      </tp>
      <tp t="s">
        <v>#N/A N/A</v>
        <stp/>
        <stp>BDH|6857446443159271380</stp>
        <tr r="T27" s="2"/>
      </tp>
      <tp t="s">
        <v>#N/A N/A</v>
        <stp/>
        <stp>BDH|5732552425166166831</stp>
        <tr r="O35" s="2"/>
      </tp>
      <tp t="s">
        <v>#N/A N/A</v>
        <stp/>
        <stp>BDH|4872320294336582519</stp>
        <tr r="E61" s="2"/>
      </tp>
      <tp t="s">
        <v>#N/A N/A</v>
        <stp/>
        <stp>BDH|6777117683356849466</stp>
        <tr r="E21" s="2"/>
      </tp>
      <tp t="s">
        <v>#N/A N/A</v>
        <stp/>
        <stp>BDH|8328313563442042290</stp>
        <tr r="N29" s="2"/>
      </tp>
      <tp t="s">
        <v>#N/A N/A</v>
        <stp/>
        <stp>BDH|5369530948158737174</stp>
        <tr r="AD20" s="2"/>
      </tp>
      <tp t="s">
        <v>#N/A N/A</v>
        <stp/>
        <stp>BDH|6868644542899496029</stp>
        <tr r="O30" s="2"/>
      </tp>
      <tp t="s">
        <v>#N/A N/A</v>
        <stp/>
        <stp>BDH|4129905727395938713</stp>
        <tr r="M59" s="2"/>
      </tp>
      <tp t="s">
        <v>#N/A N/A</v>
        <stp/>
        <stp>BDH|3402491285590798214</stp>
        <tr r="Q59" s="2"/>
      </tp>
      <tp t="s">
        <v>#N/A N/A</v>
        <stp/>
        <stp>BDH|6990126886680388218</stp>
        <tr r="L14" s="2"/>
      </tp>
      <tp t="s">
        <v>#N/A N/A</v>
        <stp/>
        <stp>BDH|4448442718975647929</stp>
        <tr r="O26" s="2"/>
      </tp>
      <tp t="s">
        <v>#N/A N/A</v>
        <stp/>
        <stp>BDH|3980826909833795592</stp>
        <tr r="P7" s="2"/>
      </tp>
      <tp t="s">
        <v>#N/A N/A</v>
        <stp/>
        <stp>BDH|8378666285132946942</stp>
        <tr r="J41" s="2"/>
      </tp>
      <tp t="s">
        <v>#N/A N/A</v>
        <stp/>
        <stp>BDH|8214258252757944513</stp>
        <tr r="V11" s="2"/>
      </tp>
      <tp t="s">
        <v>#N/A N/A</v>
        <stp/>
        <stp>BDH|5515608583771522719</stp>
        <tr r="AF27" s="2"/>
      </tp>
      <tp t="s">
        <v>#N/A N/A</v>
        <stp/>
        <stp>BDH|9436093868294772609</stp>
        <tr r="E42" s="2"/>
      </tp>
      <tp t="s">
        <v>#N/A N/A</v>
        <stp/>
        <stp>BDH|3416111145653152826</stp>
        <tr r="Z28" s="2"/>
      </tp>
      <tp t="s">
        <v>#N/A N/A</v>
        <stp/>
        <stp>BDH|4668981394779813029</stp>
        <tr r="AD30" s="2"/>
      </tp>
      <tp t="s">
        <v>#N/A N/A</v>
        <stp/>
        <stp>BDH|7601935135071470149</stp>
        <tr r="AD52" s="2"/>
      </tp>
      <tp t="s">
        <v>#N/A N/A</v>
        <stp/>
        <stp>BDH|3256898660078253883</stp>
        <tr r="J43" s="2"/>
      </tp>
      <tp t="s">
        <v>#N/A N/A</v>
        <stp/>
        <stp>BDH|7701158282505046616</stp>
        <tr r="R30" s="2"/>
      </tp>
      <tp t="s">
        <v>#N/A N/A</v>
        <stp/>
        <stp>BDH|5428162610111762931</stp>
        <tr r="AE23" s="2"/>
      </tp>
      <tp t="s">
        <v>#N/A N/A</v>
        <stp/>
        <stp>BDH|9566564665631398637</stp>
        <tr r="AB48" s="2"/>
      </tp>
      <tp t="s">
        <v>#N/A N/A</v>
        <stp/>
        <stp>BDH|8109368069428109891</stp>
        <tr r="O46" s="2"/>
      </tp>
      <tp t="s">
        <v>#N/A N/A</v>
        <stp/>
        <stp>BDH|4163907230643426024</stp>
        <tr r="Q34" s="2"/>
      </tp>
      <tp t="s">
        <v>#N/A N/A</v>
        <stp/>
        <stp>BDH|4034837991761631934</stp>
        <tr r="AE44" s="2"/>
      </tp>
      <tp t="s">
        <v>#N/A N/A</v>
        <stp/>
        <stp>BDH|6705982838540203121</stp>
        <tr r="T59" s="2"/>
      </tp>
      <tp t="s">
        <v>#N/A N/A</v>
        <stp/>
        <stp>BDH|8820398055653614051</stp>
        <tr r="F42" s="2"/>
      </tp>
      <tp t="s">
        <v>#N/A N/A</v>
        <stp/>
        <stp>BDH|8688647407501112203</stp>
        <tr r="AE12" s="2"/>
      </tp>
      <tp t="s">
        <v>#N/A N/A</v>
        <stp/>
        <stp>BDH|1182876014126435335</stp>
        <tr r="AD46" s="2"/>
      </tp>
      <tp t="s">
        <v>#N/A N/A</v>
        <stp/>
        <stp>BDH|7399840052071615667</stp>
        <tr r="AD35" s="2"/>
      </tp>
      <tp t="s">
        <v>#N/A N/A</v>
        <stp/>
        <stp>BDH|65580362361852263</stp>
        <tr r="N14" s="2"/>
      </tp>
      <tp t="s">
        <v>#N/A N/A</v>
        <stp/>
        <stp>BDH|87261854633746481</stp>
        <tr r="M24" s="2"/>
      </tp>
      <tp t="s">
        <v>#N/A N/A</v>
        <stp/>
        <stp>BDH|4022319386631588086</stp>
        <tr r="F57" s="2"/>
      </tp>
      <tp t="s">
        <v>#N/A N/A</v>
        <stp/>
        <stp>BDH|1881742103608098052</stp>
        <tr r="D59" s="2"/>
      </tp>
      <tp t="s">
        <v>#N/A N/A</v>
        <stp/>
        <stp>BDH|6714477719489432476</stp>
        <tr r="V40" s="2"/>
      </tp>
      <tp t="s">
        <v>#N/A N/A</v>
        <stp/>
        <stp>BDH|9177053176290016097</stp>
        <tr r="AD44" s="2"/>
      </tp>
      <tp t="s">
        <v>#N/A N/A</v>
        <stp/>
        <stp>BDH|7985879472297404117</stp>
        <tr r="AB15" s="2"/>
      </tp>
      <tp t="s">
        <v>#N/A N/A</v>
        <stp/>
        <stp>BDH|8437962728665623852</stp>
        <tr r="J61" s="2"/>
      </tp>
      <tp t="s">
        <v>#N/A N/A</v>
        <stp/>
        <stp>BDH|9035096931940792463</stp>
        <tr r="U58" s="2"/>
      </tp>
      <tp t="s">
        <v>#N/A N/A</v>
        <stp/>
        <stp>BDH|7987922635667655417</stp>
        <tr r="E9" s="2"/>
      </tp>
      <tp t="s">
        <v>#N/A N/A</v>
        <stp/>
        <stp>BDH|6300867933612180192</stp>
        <tr r="Q38" s="2"/>
      </tp>
      <tp t="s">
        <v>#N/A N/A</v>
        <stp/>
        <stp>BDH|4040272585599891958</stp>
        <tr r="C25" s="2"/>
      </tp>
      <tp t="s">
        <v>#N/A N/A</v>
        <stp/>
        <stp>BDH|3161256889462611540</stp>
        <tr r="AE62" s="2"/>
      </tp>
      <tp t="s">
        <v>#N/A N/A</v>
        <stp/>
        <stp>BDH|8267081945122513051</stp>
        <tr r="AA44" s="2"/>
      </tp>
      <tp t="s">
        <v>#N/A N/A</v>
        <stp/>
        <stp>BDH|9096667645922667790</stp>
        <tr r="K30" s="2"/>
      </tp>
      <tp t="s">
        <v>#N/A N/A</v>
        <stp/>
        <stp>BDH|1964869179352900236</stp>
        <tr r="H45" s="2"/>
      </tp>
      <tp t="s">
        <v>#N/A N/A</v>
        <stp/>
        <stp>BDH|8856109755671518358</stp>
        <tr r="T12" s="2"/>
      </tp>
      <tp t="s">
        <v>#N/A N/A</v>
        <stp/>
        <stp>BDH|9740326575517854450</stp>
        <tr r="X24" s="2"/>
      </tp>
      <tp t="s">
        <v>#N/A N/A</v>
        <stp/>
        <stp>BDH|8264221819093395672</stp>
        <tr r="E60" s="2"/>
      </tp>
      <tp t="s">
        <v>#N/A N/A</v>
        <stp/>
        <stp>BDH|4873962500557907450</stp>
        <tr r="K20" s="2"/>
      </tp>
      <tp t="s">
        <v>#N/A N/A</v>
        <stp/>
        <stp>BDH|2093706291213576160</stp>
        <tr r="AE28" s="2"/>
      </tp>
      <tp t="s">
        <v>#N/A N/A</v>
        <stp/>
        <stp>BDH|3287389276098732198</stp>
        <tr r="P44" s="2"/>
      </tp>
      <tp t="s">
        <v>#N/A N/A</v>
        <stp/>
        <stp>BDH|3671456424098510315</stp>
        <tr r="F32" s="2"/>
      </tp>
      <tp t="s">
        <v>#N/A N/A</v>
        <stp/>
        <stp>BDH|6237569423787021879</stp>
        <tr r="L35" s="2"/>
      </tp>
      <tp t="s">
        <v>#N/A N/A</v>
        <stp/>
        <stp>BDH|8473701034246101400</stp>
        <tr r="P13" s="2"/>
      </tp>
      <tp t="s">
        <v>#N/A N/A</v>
        <stp/>
        <stp>BDH|3397559903548229069</stp>
        <tr r="AE24" s="2"/>
      </tp>
      <tp t="s">
        <v>#N/A N/A</v>
        <stp/>
        <stp>BDH|3046972164343422110</stp>
        <tr r="G41" s="2"/>
      </tp>
      <tp t="s">
        <v>#N/A N/A</v>
        <stp/>
        <stp>BDH|3920377768621993992</stp>
        <tr r="R19" s="2"/>
      </tp>
      <tp t="s">
        <v>#N/A N/A</v>
        <stp/>
        <stp>BDH|7467920821824972683</stp>
        <tr r="V9" s="2"/>
      </tp>
      <tp t="s">
        <v>#N/A N/A</v>
        <stp/>
        <stp>BDH|9569373816736704342</stp>
        <tr r="R20" s="2"/>
      </tp>
      <tp t="s">
        <v>#N/A N/A</v>
        <stp/>
        <stp>BDH|7679706602677592965</stp>
        <tr r="Y47" s="2"/>
      </tp>
      <tp t="s">
        <v>#N/A N/A</v>
        <stp/>
        <stp>BDH|9648460552805248376</stp>
        <tr r="L52" s="2"/>
      </tp>
      <tp t="s">
        <v>#N/A N/A</v>
        <stp/>
        <stp>BDH|3436160697556452354</stp>
        <tr r="AB14" s="2"/>
      </tp>
      <tp t="s">
        <v>#N/A N/A</v>
        <stp/>
        <stp>BDH|9878947550249004284</stp>
        <tr r="R8" s="2"/>
      </tp>
      <tp t="s">
        <v>#N/A N/A</v>
        <stp/>
        <stp>BDH|5547021937710621829</stp>
        <tr r="O44" s="2"/>
      </tp>
      <tp t="s">
        <v>#N/A N/A</v>
        <stp/>
        <stp>BDH|8501633635151476238</stp>
        <tr r="L9" s="2"/>
      </tp>
      <tp t="s">
        <v>#N/A N/A</v>
        <stp/>
        <stp>BDH|6082618752872325959</stp>
        <tr r="P9" s="2"/>
      </tp>
      <tp t="s">
        <v>#N/A N/A</v>
        <stp/>
        <stp>BDH|6499453939267518881</stp>
        <tr r="R10" s="2"/>
      </tp>
      <tp t="s">
        <v>#N/A N/A</v>
        <stp/>
        <stp>BDH|6947070182806036694</stp>
        <tr r="AA25" s="2"/>
      </tp>
      <tp t="s">
        <v>#N/A N/A</v>
        <stp/>
        <stp>BDH|1357406882621828334</stp>
        <tr r="M19" s="2"/>
      </tp>
      <tp t="s">
        <v>#N/A N/A</v>
        <stp/>
        <stp>BDH|6168183278856926927</stp>
        <tr r="H23" s="2"/>
      </tp>
      <tp t="s">
        <v>#N/A N/A</v>
        <stp/>
        <stp>BDH|1411280636946675962</stp>
        <tr r="AD33" s="2"/>
      </tp>
      <tp t="s">
        <v>#N/A N/A</v>
        <stp/>
        <stp>BDH|8277005903085276282</stp>
        <tr r="G9" s="2"/>
      </tp>
      <tp t="s">
        <v>#N/A N/A</v>
        <stp/>
        <stp>BDH|1423118586927016084</stp>
        <tr r="C12" s="2"/>
      </tp>
      <tp t="s">
        <v>#N/A N/A</v>
        <stp/>
        <stp>BDH|9767391850985146545</stp>
        <tr r="T16" s="2"/>
      </tp>
      <tp t="s">
        <v>#N/A N/A</v>
        <stp/>
        <stp>BDH|1574965923757805202</stp>
        <tr r="Y45" s="2"/>
      </tp>
      <tp t="s">
        <v>#N/A N/A</v>
        <stp/>
        <stp>BDH|5687773183350236585</stp>
        <tr r="Y27" s="2"/>
      </tp>
      <tp t="s">
        <v>#N/A N/A</v>
        <stp/>
        <stp>BDH|2580839850783746383</stp>
        <tr r="Y30" s="2"/>
      </tp>
      <tp t="s">
        <v>#N/A N/A</v>
        <stp/>
        <stp>BDH|6520053591587915711</stp>
        <tr r="R45" s="2"/>
      </tp>
      <tp t="s">
        <v>#N/A N/A</v>
        <stp/>
        <stp>BDH|5483263792938940900</stp>
        <tr r="Q40" s="2"/>
      </tp>
      <tp t="s">
        <v>#N/A N/A</v>
        <stp/>
        <stp>BDH|1162178173278872041</stp>
        <tr r="C44" s="2"/>
      </tp>
      <tp t="s">
        <v>#N/A N/A</v>
        <stp/>
        <stp>BDH|8794300749744189417</stp>
        <tr r="I47" s="2"/>
      </tp>
      <tp t="s">
        <v>#N/A N/A</v>
        <stp/>
        <stp>BDH|6669562983012410697</stp>
        <tr r="AC9" s="2"/>
      </tp>
      <tp t="s">
        <v>#N/A N/A</v>
        <stp/>
        <stp>BDH|4000564001218869603</stp>
        <tr r="H63" s="2"/>
      </tp>
      <tp t="s">
        <v>#N/A N/A</v>
        <stp/>
        <stp>BDH|3674745099843565114</stp>
        <tr r="AE63" s="2"/>
      </tp>
      <tp t="s">
        <v>#N/A N/A</v>
        <stp/>
        <stp>BDH|2974787235789349088</stp>
        <tr r="AB23" s="2"/>
      </tp>
      <tp t="s">
        <v>#N/A N/A</v>
        <stp/>
        <stp>BDH|4678982263335020129</stp>
        <tr r="AB27" s="2"/>
      </tp>
      <tp t="s">
        <v>#N/A N/A</v>
        <stp/>
        <stp>BDH|8248259546155597484</stp>
        <tr r="O39" s="2"/>
      </tp>
      <tp t="s">
        <v>#N/A N/A</v>
        <stp/>
        <stp>BDH|1025583764814215927</stp>
        <tr r="T32" s="2"/>
      </tp>
      <tp t="s">
        <v>#N/A N/A</v>
        <stp/>
        <stp>BDH|1809075852498675364</stp>
        <tr r="AB16" s="2"/>
      </tp>
      <tp t="s">
        <v>#N/A N/A</v>
        <stp/>
        <stp>BDH|6476097995055112543</stp>
        <tr r="AD27" s="2"/>
      </tp>
      <tp t="s">
        <v>#N/A N/A</v>
        <stp/>
        <stp>BDH|9964687450636804342</stp>
        <tr r="AC60" s="2"/>
      </tp>
      <tp t="s">
        <v>#N/A N/A</v>
        <stp/>
        <stp>BDH|3694224082800304681</stp>
        <tr r="J30" s="2"/>
      </tp>
      <tp t="s">
        <v>#N/A N/A</v>
        <stp/>
        <stp>BDH|1304664149148619470</stp>
        <tr r="I61" s="2"/>
      </tp>
      <tp t="s">
        <v>#N/A N/A</v>
        <stp/>
        <stp>BDH|2887434955945422979</stp>
        <tr r="E40" s="2"/>
      </tp>
      <tp t="s">
        <v>#N/A N/A</v>
        <stp/>
        <stp>BDH|9656239010053693606</stp>
        <tr r="S11" s="2"/>
      </tp>
      <tp t="s">
        <v>#N/A N/A</v>
        <stp/>
        <stp>BDH|2607877717064528001</stp>
        <tr r="U48" s="2"/>
      </tp>
      <tp t="s">
        <v>#N/A N/A</v>
        <stp/>
        <stp>BDH|6528926601313775329</stp>
        <tr r="C38" s="2"/>
      </tp>
      <tp t="s">
        <v>#N/A N/A</v>
        <stp/>
        <stp>BDH|4293578082822566414</stp>
        <tr r="AF56" s="2"/>
      </tp>
      <tp t="s">
        <v>#N/A N/A</v>
        <stp/>
        <stp>BDH|4138854379987890353</stp>
        <tr r="R50" s="2"/>
      </tp>
      <tp t="s">
        <v>#N/A N/A</v>
        <stp/>
        <stp>BDH|8292011625954791114</stp>
        <tr r="I14" s="2"/>
      </tp>
      <tp t="s">
        <v>#N/A N/A</v>
        <stp/>
        <stp>BDH|4225174992405344655</stp>
        <tr r="Q62" s="2"/>
      </tp>
      <tp t="s">
        <v>#N/A N/A</v>
        <stp/>
        <stp>BDH|9055043571415539414</stp>
        <tr r="X48" s="2"/>
      </tp>
      <tp t="s">
        <v>#N/A N/A</v>
        <stp/>
        <stp>BDH|6817990684348165052</stp>
        <tr r="J28" s="2"/>
      </tp>
      <tp t="s">
        <v>#N/A N/A</v>
        <stp/>
        <stp>BDH|4150848467473457676</stp>
        <tr r="G20" s="2"/>
      </tp>
      <tp t="s">
        <v>#N/A N/A</v>
        <stp/>
        <stp>BDH|6436882810122991243</stp>
        <tr r="U46" s="2"/>
      </tp>
      <tp t="s">
        <v>#N/A N/A</v>
        <stp/>
        <stp>BDH|7512089266157236987</stp>
        <tr r="K48" s="2"/>
      </tp>
      <tp t="s">
        <v>#N/A N/A</v>
        <stp/>
        <stp>BDH|9230295568401168344</stp>
        <tr r="F27" s="2"/>
      </tp>
      <tp t="s">
        <v>#N/A N/A</v>
        <stp/>
        <stp>BDH|1547671786415606542</stp>
        <tr r="K15" s="2"/>
      </tp>
      <tp t="s">
        <v>#N/A N/A</v>
        <stp/>
        <stp>BDH|5455677032246262955</stp>
        <tr r="R63" s="2"/>
      </tp>
      <tp t="s">
        <v>#N/A N/A</v>
        <stp/>
        <stp>BDH|4831044453207911909</stp>
        <tr r="P62" s="2"/>
      </tp>
      <tp t="s">
        <v>#N/A N/A</v>
        <stp/>
        <stp>BDH|5888273338339899283</stp>
        <tr r="Q47" s="2"/>
      </tp>
      <tp t="s">
        <v>#N/A N/A</v>
        <stp/>
        <stp>BDH|2006922135791095609</stp>
        <tr r="AA7" s="2"/>
      </tp>
      <tp t="s">
        <v>#N/A N/A</v>
        <stp/>
        <stp>BDH|2876442579336244808</stp>
        <tr r="C46" s="2"/>
      </tp>
      <tp t="s">
        <v>#N/A N/A</v>
        <stp/>
        <stp>BDH|2348471411119239109</stp>
        <tr r="H15" s="2"/>
      </tp>
      <tp t="s">
        <v>#N/A N/A</v>
        <stp/>
        <stp>BDH|5180435268769876166</stp>
        <tr r="S13" s="2"/>
      </tp>
      <tp t="s">
        <v>#N/A N/A</v>
        <stp/>
        <stp>BDH|9434040507917537164</stp>
        <tr r="AA34" s="2"/>
      </tp>
      <tp t="s">
        <v>#N/A N/A</v>
        <stp/>
        <stp>BDH|8902183374077137617</stp>
        <tr r="F13" s="2"/>
      </tp>
      <tp t="s">
        <v>#N/A N/A</v>
        <stp/>
        <stp>BDH|4271781333689408171</stp>
        <tr r="Z8" s="2"/>
      </tp>
      <tp t="s">
        <v>#N/A N/A</v>
        <stp/>
        <stp>BDH|9778748801451036788</stp>
        <tr r="G44" s="2"/>
      </tp>
      <tp t="s">
        <v>#N/A N/A</v>
        <stp/>
        <stp>BDH|5831507795900448135</stp>
        <tr r="P32" s="2"/>
      </tp>
      <tp t="s">
        <v>#N/A N/A</v>
        <stp/>
        <stp>BDH|6287600712600817921</stp>
        <tr r="AA39" s="2"/>
      </tp>
      <tp t="s">
        <v>#N/A N/A</v>
        <stp/>
        <stp>BDH|3488261701960197991</stp>
        <tr r="M57" s="2"/>
      </tp>
      <tp t="s">
        <v>#N/A N/A</v>
        <stp/>
        <stp>BDH|8407990073329763728</stp>
        <tr r="D9" s="2"/>
      </tp>
      <tp t="s">
        <v>#N/A N/A</v>
        <stp/>
        <stp>BDH|7578495856897290905</stp>
        <tr r="O32" s="2"/>
      </tp>
      <tp t="s">
        <v>#N/A N/A</v>
        <stp/>
        <stp>BDH|5450504732753641896</stp>
        <tr r="O19" s="2"/>
      </tp>
      <tp t="s">
        <v>#N/A N/A</v>
        <stp/>
        <stp>BDH|8977667035393299617</stp>
        <tr r="M44" s="2"/>
      </tp>
      <tp t="s">
        <v>#N/A N/A</v>
        <stp/>
        <stp>BDH|3508050735069323196</stp>
        <tr r="M25" s="2"/>
      </tp>
      <tp t="s">
        <v>#N/A N/A</v>
        <stp/>
        <stp>BDH|7984089177470344892</stp>
        <tr r="U26" s="2"/>
      </tp>
      <tp t="s">
        <v>#N/A N/A</v>
        <stp/>
        <stp>BDH|3345712531749827677</stp>
        <tr r="U31" s="2"/>
      </tp>
      <tp t="s">
        <v>#N/A N/A</v>
        <stp/>
        <stp>BDH|2220047295630767382</stp>
        <tr r="X16" s="2"/>
      </tp>
      <tp t="s">
        <v>#N/A N/A</v>
        <stp/>
        <stp>BDH|4220781392525207760</stp>
        <tr r="Q23" s="2"/>
      </tp>
      <tp t="s">
        <v>#N/A N/A</v>
        <stp/>
        <stp>BDH|6177087346728579266</stp>
        <tr r="AE35" s="2"/>
      </tp>
      <tp t="s">
        <v>#N/A N/A</v>
        <stp/>
        <stp>BDH|3375366387339796992</stp>
        <tr r="U9" s="2"/>
      </tp>
      <tp t="s">
        <v>#N/A N/A</v>
        <stp/>
        <stp>BDH|6308393312368638428</stp>
        <tr r="T28" s="2"/>
      </tp>
      <tp t="s">
        <v>#N/A N/A</v>
        <stp/>
        <stp>BDH|6321535799295285777</stp>
        <tr r="W39" s="2"/>
      </tp>
      <tp t="s">
        <v>#N/A N/A</v>
        <stp/>
        <stp>BDH|9094303603623681184</stp>
        <tr r="H35" s="2"/>
      </tp>
      <tp t="s">
        <v>#N/A N/A</v>
        <stp/>
        <stp>BDH|6258063989257899187</stp>
        <tr r="AD60" s="2"/>
      </tp>
      <tp t="s">
        <v>#N/A N/A</v>
        <stp/>
        <stp>BDH|5400449196042212297</stp>
        <tr r="M26" s="2"/>
      </tp>
      <tp t="s">
        <v>#N/A N/A</v>
        <stp/>
        <stp>BDH|8019554519327704390</stp>
        <tr r="U56" s="2"/>
      </tp>
      <tp t="s">
        <v>#N/A N/A</v>
        <stp/>
        <stp>BDH|1759628275288216006</stp>
        <tr r="T45" s="2"/>
      </tp>
      <tp t="s">
        <v>#N/A N/A</v>
        <stp/>
        <stp>BDH|4130615095944173763</stp>
        <tr r="G12" s="2"/>
      </tp>
      <tp t="s">
        <v>#N/A N/A</v>
        <stp/>
        <stp>BDH|2297963235301362100</stp>
        <tr r="G63" s="2"/>
      </tp>
      <tp t="s">
        <v>#N/A N/A</v>
        <stp/>
        <stp>BDH|5772759644867475912</stp>
        <tr r="Y59" s="2"/>
      </tp>
      <tp t="s">
        <v>#N/A N/A</v>
        <stp/>
        <stp>BDH|5178287199576425075</stp>
        <tr r="I58" s="2"/>
      </tp>
      <tp t="s">
        <v>#N/A N/A</v>
        <stp/>
        <stp>BDH|8616621640136692412</stp>
        <tr r="S28" s="2"/>
      </tp>
      <tp t="s">
        <v>#N/A N/A</v>
        <stp/>
        <stp>BDH|5524472939222300889</stp>
        <tr r="E44" s="2"/>
      </tp>
      <tp t="s">
        <v>#N/A N/A</v>
        <stp/>
        <stp>BDH|3969600474609495388</stp>
        <tr r="I32" s="2"/>
      </tp>
      <tp t="s">
        <v>#N/A N/A</v>
        <stp/>
        <stp>BDH|2394204483925517547</stp>
        <tr r="L31" s="2"/>
      </tp>
      <tp t="s">
        <v>#N/A N/A</v>
        <stp/>
        <stp>BDH|9475834396216647660</stp>
        <tr r="AF12" s="2"/>
      </tp>
      <tp t="s">
        <v>#N/A N/A</v>
        <stp/>
        <stp>BDH|4643841470844479702</stp>
        <tr r="AC25" s="2"/>
      </tp>
      <tp t="s">
        <v>#N/A N/A</v>
        <stp/>
        <stp>BDH|4302703640636376975</stp>
        <tr r="R24" s="2"/>
      </tp>
      <tp t="s">
        <v>#N/A N/A</v>
        <stp/>
        <stp>BDH|1020823332724022672</stp>
        <tr r="G29" s="2"/>
      </tp>
      <tp t="s">
        <v>#N/A N/A</v>
        <stp/>
        <stp>BDH|3212228500281559826</stp>
        <tr r="N39" s="2"/>
      </tp>
      <tp t="s">
        <v>#N/A N/A</v>
        <stp/>
        <stp>BDH|3816718256550808907</stp>
        <tr r="Q30" s="2"/>
      </tp>
      <tp t="s">
        <v>#N/A N/A</v>
        <stp/>
        <stp>BDH|9268637571894199455</stp>
        <tr r="U60" s="2"/>
      </tp>
      <tp t="s">
        <v>#N/A N/A</v>
        <stp/>
        <stp>BDH|4803104221156440997</stp>
        <tr r="H7" s="2"/>
      </tp>
      <tp t="s">
        <v>#N/A N/A</v>
        <stp/>
        <stp>BDH|6234615599506881767</stp>
        <tr r="K41" s="2"/>
      </tp>
      <tp t="s">
        <v>#N/A N/A</v>
        <stp/>
        <stp>BDH|9512814849235125895</stp>
        <tr r="R32" s="2"/>
      </tp>
      <tp t="s">
        <v>#N/A N/A</v>
        <stp/>
        <stp>BDH|78175797618682564</stp>
        <tr r="N47" s="2"/>
      </tp>
      <tp t="s">
        <v>#N/A N/A</v>
        <stp/>
        <stp>BDH|9237813991180976112</stp>
        <tr r="I20" s="2"/>
      </tp>
      <tp t="s">
        <v>#N/A N/A</v>
        <stp/>
        <stp>BDH|4834402809791951832</stp>
        <tr r="R52" s="2"/>
      </tp>
      <tp t="s">
        <v>#N/A N/A</v>
        <stp/>
        <stp>BDH|7521372289752897786</stp>
        <tr r="L26" s="2"/>
      </tp>
      <tp t="s">
        <v>#N/A N/A</v>
        <stp/>
        <stp>BDH|9903422779581940236</stp>
        <tr r="Q27" s="2"/>
      </tp>
      <tp t="s">
        <v>#N/A N/A</v>
        <stp/>
        <stp>BDH|7305798522682786973</stp>
        <tr r="N7" s="2"/>
      </tp>
      <tp t="s">
        <v>#N/A N/A</v>
        <stp/>
        <stp>BDH|2343385873498209723</stp>
        <tr r="W20" s="2"/>
      </tp>
      <tp t="s">
        <v>#N/A N/A</v>
        <stp/>
        <stp>BDH|8897821131379153338</stp>
        <tr r="C26" s="2"/>
      </tp>
      <tp t="s">
        <v>#N/A N/A</v>
        <stp/>
        <stp>BDH|8496048326105098688</stp>
        <tr r="P12" s="2"/>
      </tp>
      <tp t="s">
        <v>#N/A N/A</v>
        <stp/>
        <stp>BDH|6334666767439446686</stp>
        <tr r="Y52" s="2"/>
      </tp>
      <tp t="s">
        <v>#N/A N/A</v>
        <stp/>
        <stp>BDH|7974830512864635309</stp>
        <tr r="AE19" s="2"/>
      </tp>
      <tp t="s">
        <v>#N/A N/A</v>
        <stp/>
        <stp>BDH|4796810734351559796</stp>
        <tr r="AF29" s="2"/>
      </tp>
      <tp t="s">
        <v>#N/A N/A</v>
        <stp/>
        <stp>BDH|8200722769322699216</stp>
        <tr r="AC34" s="2"/>
      </tp>
      <tp t="s">
        <v>#N/A N/A</v>
        <stp/>
        <stp>BDH|2168280982302329370</stp>
        <tr r="R60" s="2"/>
      </tp>
      <tp t="s">
        <v>#N/A N/A</v>
        <stp/>
        <stp>BDH|8319342848224527255</stp>
        <tr r="X59" s="2"/>
      </tp>
      <tp t="s">
        <v>#N/A N/A</v>
        <stp/>
        <stp>BDH|7656411397625837679</stp>
        <tr r="G52" s="2"/>
      </tp>
      <tp t="s">
        <v>#N/A N/A</v>
        <stp/>
        <stp>BDH|7148409132868862148</stp>
        <tr r="I35" s="2"/>
      </tp>
      <tp t="s">
        <v>#N/A N/A</v>
        <stp/>
        <stp>BDH|8934395164523190789</stp>
        <tr r="E22" s="2"/>
      </tp>
      <tp t="s">
        <v>#N/A N/A</v>
        <stp/>
        <stp>BDH|6053120607396907818</stp>
        <tr r="N58" s="2"/>
      </tp>
      <tp t="s">
        <v>#N/A N/A</v>
        <stp/>
        <stp>BDH|3258246233888095372</stp>
        <tr r="S27" s="2"/>
      </tp>
      <tp t="s">
        <v>#N/A N/A</v>
        <stp/>
        <stp>BDH|4571120749061926953</stp>
        <tr r="AE45" s="2"/>
      </tp>
      <tp t="s">
        <v>#N/A N/A</v>
        <stp/>
        <stp>BDH|5545255793846518143</stp>
        <tr r="C27" s="2"/>
      </tp>
      <tp t="s">
        <v>#N/A N/A</v>
        <stp/>
        <stp>BDH|8386169863674057255</stp>
        <tr r="G30" s="2"/>
      </tp>
      <tp t="s">
        <v>#N/A N/A</v>
        <stp/>
        <stp>BDH|1021451172302223964</stp>
        <tr r="AA10" s="2"/>
      </tp>
      <tp t="s">
        <v>#N/A N/A</v>
        <stp/>
        <stp>BDH|6375036642769812299</stp>
        <tr r="W16" s="2"/>
      </tp>
      <tp t="s">
        <v>#N/A N/A</v>
        <stp/>
        <stp>BDH|6555145914777137844</stp>
        <tr r="K32" s="2"/>
      </tp>
      <tp t="s">
        <v>#N/A N/A</v>
        <stp/>
        <stp>BDH|9411309411792462017</stp>
        <tr r="H39" s="2"/>
      </tp>
      <tp t="s">
        <v>#N/A N/A</v>
        <stp/>
        <stp>BDH|8027080759374132013</stp>
        <tr r="K45" s="2"/>
      </tp>
      <tp t="s">
        <v>#N/A N/A</v>
        <stp/>
        <stp>BDH|4888037844441875869</stp>
        <tr r="W12" s="2"/>
      </tp>
      <tp t="s">
        <v>#N/A N/A</v>
        <stp/>
        <stp>BDH|4299847043560612125</stp>
        <tr r="AC22" s="2"/>
      </tp>
      <tp t="s">
        <v>#N/A N/A</v>
        <stp/>
        <stp>BDH|9221126847755231037</stp>
        <tr r="E52" s="2"/>
      </tp>
      <tp t="s">
        <v>#N/A N/A</v>
        <stp/>
        <stp>BDH|3016503306076087906</stp>
        <tr r="X34" s="2"/>
      </tp>
      <tp t="s">
        <v>#N/A N/A</v>
        <stp/>
        <stp>BDH|9714853324013659968</stp>
        <tr r="Z10" s="2"/>
      </tp>
      <tp t="s">
        <v>#N/A N/A</v>
        <stp/>
        <stp>BDH|8684993015701961848</stp>
        <tr r="T15" s="2"/>
      </tp>
      <tp t="s">
        <v>#N/A N/A</v>
        <stp/>
        <stp>BDH|5197076499024829106</stp>
        <tr r="L40" s="2"/>
      </tp>
      <tp t="s">
        <v>#N/A N/A</v>
        <stp/>
        <stp>BDH|4257042930529362713</stp>
        <tr r="Q31" s="2"/>
      </tp>
      <tp t="s">
        <v>#N/A N/A</v>
        <stp/>
        <stp>BDH|9303689769195528534</stp>
        <tr r="T57" s="2"/>
      </tp>
      <tp t="s">
        <v>#N/A N/A</v>
        <stp/>
        <stp>BDH|5812593213118248055</stp>
        <tr r="V10" s="2"/>
      </tp>
      <tp t="s">
        <v>#N/A N/A</v>
        <stp/>
        <stp>BDH|6934836112443507584</stp>
        <tr r="AF58" s="2"/>
      </tp>
      <tp t="s">
        <v>#N/A N/A</v>
        <stp/>
        <stp>BDH|5366286775141305884</stp>
        <tr r="Q13" s="2"/>
      </tp>
      <tp t="s">
        <v>#N/A N/A</v>
        <stp/>
        <stp>BDH|4982855083674271982</stp>
        <tr r="Z15" s="2"/>
      </tp>
      <tp t="s">
        <v>#N/A N/A</v>
        <stp/>
        <stp>BDH|87663763934539061</stp>
        <tr r="F50" s="2"/>
      </tp>
      <tp t="s">
        <v>#N/A N/A</v>
        <stp/>
        <stp>BDH|7626446099344561450</stp>
        <tr r="D47" s="2"/>
      </tp>
      <tp t="s">
        <v>#N/A N/A</v>
        <stp/>
        <stp>BDH|1960641372139145354</stp>
        <tr r="E15" s="2"/>
      </tp>
      <tp t="s">
        <v>#N/A N/A</v>
        <stp/>
        <stp>BDH|1955065983273385079</stp>
        <tr r="AC13" s="2"/>
      </tp>
      <tp t="s">
        <v>#N/A N/A</v>
        <stp/>
        <stp>BDH|2668160754744863842</stp>
        <tr r="N41" s="2"/>
      </tp>
      <tp t="s">
        <v>#N/A N/A</v>
        <stp/>
        <stp>BDH|6983171172783218978</stp>
        <tr r="AB31" s="2"/>
      </tp>
      <tp t="s">
        <v>#N/A N/A</v>
        <stp/>
        <stp>BDH|6189644907153866930</stp>
        <tr r="H34" s="2"/>
      </tp>
      <tp t="s">
        <v>#N/A N/A</v>
        <stp/>
        <stp>BDH|7831638093341269340</stp>
        <tr r="P20" s="2"/>
      </tp>
      <tp t="s">
        <v>#N/A N/A</v>
        <stp/>
        <stp>BDH|8967563143964065738</stp>
        <tr r="O27" s="2"/>
      </tp>
      <tp t="s">
        <v>#N/A N/A</v>
        <stp/>
        <stp>BDH|4855780251185794998</stp>
        <tr r="AA16" s="2"/>
      </tp>
      <tp t="s">
        <v>#N/A N/A</v>
        <stp/>
        <stp>BDH|6103238169871443902</stp>
        <tr r="Z45" s="2"/>
      </tp>
      <tp t="s">
        <v>#N/A N/A</v>
        <stp/>
        <stp>BDH|3898920316269169821</stp>
        <tr r="T50" s="2"/>
      </tp>
      <tp t="s">
        <v>#N/A N/A</v>
        <stp/>
        <stp>BDH|5384967407515806355</stp>
        <tr r="AB60" s="2"/>
      </tp>
      <tp t="s">
        <v>#N/A N/A</v>
        <stp/>
        <stp>BDH|3195597762988172279</stp>
        <tr r="AD58" s="2"/>
      </tp>
      <tp t="s">
        <v>#N/A N/A</v>
        <stp/>
        <stp>BDH|6848638193511166253</stp>
        <tr r="T26" s="2"/>
      </tp>
      <tp t="s">
        <v>#N/A N/A</v>
        <stp/>
        <stp>BDH|4641509983975765603</stp>
        <tr r="AF7" s="2"/>
      </tp>
      <tp t="s">
        <v>#N/A N/A</v>
        <stp/>
        <stp>BDH|5374525872038718563</stp>
        <tr r="R39" s="2"/>
      </tp>
      <tp t="s">
        <v>#N/A N/A</v>
        <stp/>
        <stp>BDH|8519305316728664872</stp>
        <tr r="X33" s="2"/>
      </tp>
      <tp t="s">
        <v>#N/A N/A</v>
        <stp/>
        <stp>BDH|7868347123635921943</stp>
        <tr r="L57" s="2"/>
      </tp>
      <tp t="s">
        <v>#N/A N/A</v>
        <stp/>
        <stp>BDH|8571301173074578200</stp>
        <tr r="J62" s="2"/>
      </tp>
      <tp t="s">
        <v>#N/A N/A</v>
        <stp/>
        <stp>BDH|6952317358133051939</stp>
        <tr r="AD8" s="2"/>
      </tp>
      <tp t="s">
        <v>#N/A N/A</v>
        <stp/>
        <stp>BDH|2189690239849294436</stp>
        <tr r="P23" s="2"/>
      </tp>
      <tp t="s">
        <v>#N/A N/A</v>
        <stp/>
        <stp>BDH|4268859226404492040</stp>
        <tr r="AB29" s="2"/>
      </tp>
      <tp t="s">
        <v>#N/A N/A</v>
        <stp/>
        <stp>BDH|6974004279548621371</stp>
        <tr r="W7" s="2"/>
      </tp>
      <tp t="s">
        <v>#N/A N/A</v>
        <stp/>
        <stp>BDH|1225441733488644429</stp>
        <tr r="C63" s="2"/>
      </tp>
      <tp t="s">
        <v>#N/A N/A</v>
        <stp/>
        <stp>BDH|2511034661326005868</stp>
        <tr r="I62" s="2"/>
      </tp>
      <tp t="s">
        <v>#N/A N/A</v>
        <stp/>
        <stp>BDH|2737007217769071066</stp>
        <tr r="F14" s="2"/>
      </tp>
      <tp t="s">
        <v>#N/A N/A</v>
        <stp/>
        <stp>BDH|4019680005128846031</stp>
        <tr r="AC10" s="2"/>
      </tp>
      <tp t="s">
        <v>#N/A N/A</v>
        <stp/>
        <stp>BDH|6519908324634208354</stp>
        <tr r="AA57" s="2"/>
      </tp>
      <tp t="s">
        <v>#N/A N/A</v>
        <stp/>
        <stp>BDH|1003292102438449199</stp>
        <tr r="N25" s="2"/>
      </tp>
      <tp t="s">
        <v>#N/A N/A</v>
        <stp/>
        <stp>BDH|5518211584344798115</stp>
        <tr r="D34" s="2"/>
      </tp>
      <tp t="s">
        <v>#N/A N/A</v>
        <stp/>
        <stp>BDH|4971597090975417726</stp>
        <tr r="V57" s="2"/>
      </tp>
      <tp t="s">
        <v>#N/A N/A</v>
        <stp/>
        <stp>BDH|4787627689962953225</stp>
        <tr r="Z35" s="2"/>
      </tp>
      <tp t="s">
        <v>#N/A N/A</v>
        <stp/>
        <stp>BDH|9404342082968464014</stp>
        <tr r="P29" s="2"/>
      </tp>
      <tp t="s">
        <v>#N/A N/A</v>
        <stp/>
        <stp>BDH|3932227309349348255</stp>
        <tr r="D57" s="2"/>
      </tp>
      <tp t="s">
        <v>#N/A N/A</v>
        <stp/>
        <stp>BDH|5201637481210560104</stp>
        <tr r="Y50" s="2"/>
      </tp>
      <tp t="s">
        <v>#N/A N/A</v>
        <stp/>
        <stp>BDH|8602532724777656227</stp>
        <tr r="O23" s="2"/>
      </tp>
      <tp t="s">
        <v>#N/A N/A</v>
        <stp/>
        <stp>BDH|8981971243239090684</stp>
        <tr r="I27" s="2"/>
      </tp>
      <tp t="s">
        <v>#N/A N/A</v>
        <stp/>
        <stp>BDH|1315814337985094503</stp>
        <tr r="T30" s="2"/>
      </tp>
      <tp t="s">
        <v>#N/A N/A</v>
        <stp/>
        <stp>BDH|8324239524950848299</stp>
        <tr r="P60" s="2"/>
      </tp>
      <tp t="s">
        <v>#N/A N/A</v>
        <stp/>
        <stp>BDH|7666965115881422446</stp>
        <tr r="Q41" s="2"/>
      </tp>
      <tp t="s">
        <v>#N/A N/A</v>
        <stp/>
        <stp>BDH|56463510155020751</stp>
        <tr r="N61" s="2"/>
      </tp>
      <tp t="s">
        <v>#N/A N/A</v>
        <stp/>
        <stp>BDH|1621947403035267699</stp>
        <tr r="F20" s="2"/>
      </tp>
      <tp t="s">
        <v>#N/A N/A</v>
        <stp/>
        <stp>BDH|6257999157613165272</stp>
        <tr r="M14" s="2"/>
      </tp>
      <tp t="s">
        <v>#N/A N/A</v>
        <stp/>
        <stp>BDH|8877862793590169276</stp>
        <tr r="O24" s="2"/>
      </tp>
      <tp t="s">
        <v>#N/A N/A</v>
        <stp/>
        <stp>BDH|8522030449110697724</stp>
        <tr r="T48" s="2"/>
      </tp>
      <tp t="s">
        <v>#N/A N/A</v>
        <stp/>
        <stp>BDH|5823517240219327623</stp>
        <tr r="C20" s="2"/>
      </tp>
      <tp t="s">
        <v>#N/A N/A</v>
        <stp/>
        <stp>BDH|5887800412401641644</stp>
        <tr r="AF22" s="2"/>
      </tp>
      <tp t="s">
        <v>#N/A N/A</v>
        <stp/>
        <stp>BDH|2908588100358890406</stp>
        <tr r="D7" s="2"/>
      </tp>
      <tp t="s">
        <v>#N/A N/A</v>
        <stp/>
        <stp>BDH|9408601914960870518</stp>
        <tr r="X25" s="2"/>
      </tp>
      <tp t="s">
        <v>#N/A N/A</v>
        <stp/>
        <stp>BDH|3521860921656549496</stp>
        <tr r="F56" s="2"/>
      </tp>
      <tp t="s">
        <v>#N/A N/A</v>
        <stp/>
        <stp>BDH|7874536098572880255</stp>
        <tr r="I10" s="2"/>
      </tp>
      <tp t="s">
        <v>#N/A N/A</v>
        <stp/>
        <stp>BDH|7720579480828982970</stp>
        <tr r="AB10" s="2"/>
      </tp>
      <tp t="s">
        <v>#N/A N/A</v>
        <stp/>
        <stp>BDH|1594595966160104956</stp>
        <tr r="J21" s="2"/>
      </tp>
      <tp t="s">
        <v>#N/A N/A</v>
        <stp/>
        <stp>BDH|6321192611938629531</stp>
        <tr r="Q10" s="2"/>
      </tp>
      <tp t="s">
        <v>#N/A N/A</v>
        <stp/>
        <stp>BDH|2878467984135564006</stp>
        <tr r="S22" s="2"/>
      </tp>
      <tp t="s">
        <v>#N/A N/A</v>
        <stp/>
        <stp>BDH|9516404543077803511</stp>
        <tr r="F58" s="2"/>
      </tp>
      <tp t="s">
        <v>#N/A N/A</v>
        <stp/>
        <stp>BDH|2800464275059532319</stp>
        <tr r="M50" s="2"/>
      </tp>
      <tp t="s">
        <v>#N/A N/A</v>
        <stp/>
        <stp>BDH|2093906629081530304</stp>
        <tr r="Q33" s="2"/>
      </tp>
      <tp t="s">
        <v>#N/A N/A</v>
        <stp/>
        <stp>BDH|1828755143341574868</stp>
        <tr r="G21" s="2"/>
      </tp>
      <tp t="s">
        <v>#N/A N/A</v>
        <stp/>
        <stp>BDH|8067432667363676201</stp>
        <tr r="E8" s="2"/>
      </tp>
      <tp t="s">
        <v>#N/A N/A</v>
        <stp/>
        <stp>BDH|2339835400279774853</stp>
        <tr r="K59" s="2"/>
      </tp>
      <tp t="s">
        <v>#N/A N/A</v>
        <stp/>
        <stp>BDH|6054855144600561166</stp>
        <tr r="L30" s="2"/>
      </tp>
      <tp t="s">
        <v>#N/A N/A</v>
        <stp/>
        <stp>BDH|5081717290267612742</stp>
        <tr r="R27" s="2"/>
      </tp>
      <tp t="s">
        <v>#N/A N/A</v>
        <stp/>
        <stp>BDH|7552006833558671700</stp>
        <tr r="AE38" s="2"/>
      </tp>
      <tp t="s">
        <v>#N/A N/A</v>
        <stp/>
        <stp>BDH|6645120533329290658</stp>
        <tr r="AA41" s="2"/>
      </tp>
      <tp t="s">
        <v>#N/A N/A</v>
        <stp/>
        <stp>BDH|3668920907675130429</stp>
        <tr r="Z41" s="2"/>
      </tp>
      <tp t="s">
        <v>#N/A N/A</v>
        <stp/>
        <stp>BDH|5642408664118558477</stp>
        <tr r="AD50" s="2"/>
      </tp>
      <tp t="s">
        <v>#N/A N/A</v>
        <stp/>
        <stp>BDH|9255151552436775037</stp>
        <tr r="D26" s="2"/>
      </tp>
      <tp t="s">
        <v>#N/A N/A</v>
        <stp/>
        <stp>BDH|4265231427407554825</stp>
        <tr r="X31" s="2"/>
      </tp>
      <tp t="s">
        <v>#N/A N/A</v>
        <stp/>
        <stp>BDH|2018379137089334021</stp>
        <tr r="AA9" s="2"/>
      </tp>
      <tp t="s">
        <v>#N/A N/A</v>
        <stp/>
        <stp>BDH|9058310245873118635</stp>
        <tr r="Y39" s="2"/>
      </tp>
      <tp t="s">
        <v>#N/A N/A</v>
        <stp/>
        <stp>BDH|4876889591236704819</stp>
        <tr r="G57" s="2"/>
      </tp>
      <tp t="s">
        <v>#N/A N/A</v>
        <stp/>
        <stp>BDH|9712257170952555503</stp>
        <tr r="O41" s="2"/>
      </tp>
      <tp t="s">
        <v>#N/A N/A</v>
        <stp/>
        <stp>BDH|8993188048985671383</stp>
        <tr r="M60" s="2"/>
      </tp>
      <tp t="s">
        <v>#N/A N/A</v>
        <stp/>
        <stp>BDH|6412025555029649112</stp>
        <tr r="I26" s="2"/>
      </tp>
      <tp t="s">
        <v>#N/A N/A</v>
        <stp/>
        <stp>BDH|7293666584963152154</stp>
        <tr r="R46" s="2"/>
      </tp>
      <tp t="s">
        <v>#N/A N/A</v>
        <stp/>
        <stp>BDH|4840828160846976775</stp>
        <tr r="S12" s="2"/>
      </tp>
      <tp t="s">
        <v>#N/A N/A</v>
        <stp/>
        <stp>BDH|8359784330787957069</stp>
        <tr r="W24" s="2"/>
      </tp>
      <tp t="s">
        <v>#N/A N/A</v>
        <stp/>
        <stp>BDH|7733600758837980829</stp>
        <tr r="AF38" s="2"/>
      </tp>
      <tp t="s">
        <v>#N/A N/A</v>
        <stp/>
        <stp>BDH|3411560742340181954</stp>
        <tr r="AB24" s="2"/>
      </tp>
      <tp t="s">
        <v>#N/A N/A</v>
        <stp/>
        <stp>BDH|33283909060148426</stp>
        <tr r="R61" s="2"/>
      </tp>
      <tp t="s">
        <v>#N/A N/A</v>
        <stp/>
        <stp>BDH|7000221324186855541</stp>
        <tr r="V13" s="2"/>
      </tp>
      <tp t="s">
        <v>#N/A N/A</v>
        <stp/>
        <stp>BDH|9706677489924753742</stp>
        <tr r="S19" s="2"/>
      </tp>
      <tp t="s">
        <v>#N/A N/A</v>
        <stp/>
        <stp>BDH|9675998342135587536</stp>
        <tr r="AD40" s="2"/>
      </tp>
      <tp t="s">
        <v>#N/A N/A</v>
        <stp/>
        <stp>BDH|2298926268980626956</stp>
        <tr r="P25" s="2"/>
      </tp>
      <tp t="s">
        <v>#N/A N/A</v>
        <stp/>
        <stp>BDH|8917494720613946925</stp>
        <tr r="I13" s="2"/>
      </tp>
      <tp t="s">
        <v>#N/A N/A</v>
        <stp/>
        <stp>BDH|9494231860381923852</stp>
        <tr r="AB35" s="2"/>
      </tp>
      <tp t="s">
        <v>#N/A N/A</v>
        <stp/>
        <stp>BDH|4071723668617488651</stp>
        <tr r="AC15" s="2"/>
      </tp>
      <tp t="s">
        <v>#N/A N/A</v>
        <stp/>
        <stp>BDH|9430729158967799821</stp>
        <tr r="O34" s="2"/>
      </tp>
      <tp t="s">
        <v>#N/A N/A</v>
        <stp/>
        <stp>BDH|8622304978159461124</stp>
        <tr r="T14" s="2"/>
      </tp>
      <tp t="s">
        <v>#N/A N/A</v>
        <stp/>
        <stp>BDH|7996370370217113074</stp>
        <tr r="AC58" s="2"/>
      </tp>
      <tp t="s">
        <v>#N/A N/A</v>
        <stp/>
        <stp>BDH|7444595195657469851</stp>
        <tr r="O63" s="2"/>
      </tp>
      <tp t="s">
        <v>#N/A N/A</v>
        <stp/>
        <stp>BDH|5009082828356866514</stp>
        <tr r="D60" s="2"/>
      </tp>
      <tp t="s">
        <v>#N/A N/A</v>
        <stp/>
        <stp>BDH|4798810581390670089</stp>
        <tr r="AE16" s="2"/>
      </tp>
      <tp t="s">
        <v>#N/A N/A</v>
        <stp/>
        <stp>BDH|9331488160957419864</stp>
        <tr r="F44" s="2"/>
      </tp>
      <tp t="s">
        <v>#N/A N/A</v>
        <stp/>
        <stp>BDH|5556034267111087683</stp>
        <tr r="L25" s="2"/>
      </tp>
      <tp t="s">
        <v>#N/A N/A</v>
        <stp/>
        <stp>BDH|2558440619731603279</stp>
        <tr r="K10" s="2"/>
      </tp>
      <tp t="s">
        <v>#N/A N/A</v>
        <stp/>
        <stp>BDH|7993463933064775020</stp>
        <tr r="C62" s="2"/>
      </tp>
      <tp t="s">
        <v>#N/A N/A</v>
        <stp/>
        <stp>BDH|1498595901257347764</stp>
        <tr r="C57" s="2"/>
      </tp>
      <tp t="s">
        <v>#N/A N/A</v>
        <stp/>
        <stp>BDH|7933730544426886699</stp>
        <tr r="U16" s="2"/>
      </tp>
      <tp t="s">
        <v>#N/A N/A</v>
        <stp/>
        <stp>BDH|4548367779200273446</stp>
        <tr r="D30" s="2"/>
      </tp>
      <tp t="s">
        <v>#N/A N/A</v>
        <stp/>
        <stp>BDH|4074364379102177627</stp>
        <tr r="C59" s="2"/>
      </tp>
      <tp t="s">
        <v>#N/A N/A</v>
        <stp/>
        <stp>BDH|5818320234006541772</stp>
        <tr r="P16" s="2"/>
      </tp>
      <tp t="s">
        <v>#N/A N/A</v>
        <stp/>
        <stp>BDH|2129607606862357285</stp>
        <tr r="N24" s="2"/>
      </tp>
      <tp t="s">
        <v>#N/A N/A</v>
        <stp/>
        <stp>BDH|5320371423102379296</stp>
        <tr r="AC44" s="2"/>
      </tp>
      <tp t="s">
        <v>#N/A N/A</v>
        <stp/>
        <stp>BDH|6695987245486600900</stp>
        <tr r="AF50" s="2"/>
      </tp>
      <tp t="s">
        <v>#N/A N/A</v>
        <stp/>
        <stp>BDH|9607070829378343768</stp>
        <tr r="U50" s="2"/>
      </tp>
      <tp t="s">
        <v>#N/A N/A</v>
        <stp/>
        <stp>BDH|7827149683708410299</stp>
        <tr r="AD45" s="2"/>
      </tp>
      <tp t="s">
        <v>#N/A N/A</v>
        <stp/>
        <stp>BDH|1350314536614224142</stp>
        <tr r="AA56" s="2"/>
      </tp>
      <tp t="s">
        <v>#N/A N/A</v>
        <stp/>
        <stp>BDH|7535560378830067192</stp>
        <tr r="U45" s="2"/>
      </tp>
      <tp t="s">
        <v>#N/A N/A</v>
        <stp/>
        <stp>BDH|1237240354675320721</stp>
        <tr r="J7" s="2"/>
      </tp>
      <tp t="s">
        <v>#N/A N/A</v>
        <stp/>
        <stp>BDH|6696534039846524296</stp>
        <tr r="R16" s="2"/>
      </tp>
      <tp t="s">
        <v>#N/A N/A</v>
        <stp/>
        <stp>BDH|3083628013354211436</stp>
        <tr r="K11" s="2"/>
      </tp>
      <tp t="s">
        <v>#N/A N/A</v>
        <stp/>
        <stp>BDH|6721812411858456335</stp>
        <tr r="M21" s="2"/>
      </tp>
      <tp t="s">
        <v>#N/A N/A</v>
        <stp/>
        <stp>BDH|4572001851976759337</stp>
        <tr r="F9" s="2"/>
      </tp>
      <tp t="s">
        <v>#N/A N/A</v>
        <stp/>
        <stp>BDH|5186577552058421903</stp>
        <tr r="Z24" s="2"/>
      </tp>
      <tp t="s">
        <v>#N/A N/A</v>
        <stp/>
        <stp>BDH|1741307817580681760</stp>
        <tr r="I7" s="2"/>
      </tp>
      <tp t="s">
        <v>#N/A N/A</v>
        <stp/>
        <stp>BDH|4540160312488321834</stp>
        <tr r="Z63" s="2"/>
      </tp>
      <tp t="s">
        <v>#N/A N/A</v>
        <stp/>
        <stp>BDH|8516032089722968613</stp>
        <tr r="O20" s="2"/>
      </tp>
      <tp t="s">
        <v>#N/A N/A</v>
        <stp/>
        <stp>BDH|5904283294218325210</stp>
        <tr r="N33" s="2"/>
      </tp>
      <tp t="s">
        <v>#N/A N/A</v>
        <stp/>
        <stp>BDH|8566109346898018144</stp>
        <tr r="AB44" s="2"/>
      </tp>
      <tp t="s">
        <v>#N/A N/A</v>
        <stp/>
        <stp>BDH|2743270038934681390</stp>
        <tr r="J34" s="2"/>
      </tp>
      <tp t="s">
        <v>#N/A N/A</v>
        <stp/>
        <stp>BDH|9094974660986037403</stp>
        <tr r="T31" s="2"/>
      </tp>
      <tp t="s">
        <v>#N/A N/A</v>
        <stp/>
        <stp>BDH|2880991563480422914</stp>
        <tr r="Q25" s="2"/>
      </tp>
      <tp t="s">
        <v>#N/A N/A</v>
        <stp/>
        <stp>BDH|6136539952602284059</stp>
        <tr r="F23" s="2"/>
      </tp>
      <tp t="s">
        <v>#N/A N/A</v>
        <stp/>
        <stp>BDH|7788910815632581925</stp>
        <tr r="V39" s="2"/>
      </tp>
      <tp t="s">
        <v>#N/A N/A</v>
        <stp/>
        <stp>BDH|6509446346261484379</stp>
        <tr r="T47" s="2"/>
      </tp>
      <tp t="s">
        <v>#N/A N/A</v>
        <stp/>
        <stp>BDH|5576752255866922584</stp>
        <tr r="AF59" s="2"/>
      </tp>
      <tp t="s">
        <v>#N/A N/A</v>
        <stp/>
        <stp>BDH|2353678210118757968</stp>
        <tr r="Y15" s="2"/>
      </tp>
      <tp t="s">
        <v>#N/A N/A</v>
        <stp/>
        <stp>BDH|4479710661516331722</stp>
        <tr r="M33" s="2"/>
      </tp>
      <tp t="s">
        <v>#N/A N/A</v>
        <stp/>
        <stp>BDH|4129529270105379755</stp>
        <tr r="O45" s="2"/>
      </tp>
      <tp t="s">
        <v>#N/A N/A</v>
        <stp/>
        <stp>BDH|8124486489971166145</stp>
        <tr r="Z20" s="2"/>
      </tp>
      <tp t="s">
        <v>#N/A N/A</v>
        <stp/>
        <stp>BDH|7942326956083407737</stp>
        <tr r="P63" s="2"/>
      </tp>
      <tp t="s">
        <v>#N/A N/A</v>
        <stp/>
        <stp>BDH|5839454315546617347</stp>
        <tr r="L12" s="2"/>
      </tp>
      <tp t="s">
        <v>#N/A N/A</v>
        <stp/>
        <stp>BDH|1763498301750749027</stp>
        <tr r="Q58" s="2"/>
      </tp>
      <tp t="s">
        <v>#N/A N/A</v>
        <stp/>
        <stp>BDH|7838354147476814388</stp>
        <tr r="X50" s="2"/>
      </tp>
      <tp t="s">
        <v>#N/A N/A</v>
        <stp/>
        <stp>BDH|4431260868191920484</stp>
        <tr r="I39" s="2"/>
      </tp>
      <tp t="s">
        <v>#N/A N/A</v>
        <stp/>
        <stp>BDH|4926949437408065311</stp>
        <tr r="AD56" s="2"/>
      </tp>
      <tp t="s">
        <v>#N/A N/A</v>
        <stp/>
        <stp>BDH|7120403556370959366</stp>
        <tr r="M30" s="2"/>
      </tp>
      <tp t="s">
        <v>#N/A N/A</v>
        <stp/>
        <stp>BDH|4073530400636210297</stp>
        <tr r="Q21" s="2"/>
      </tp>
      <tp t="s">
        <v>#N/A N/A</v>
        <stp/>
        <stp>BDH|4719093013986656636</stp>
        <tr r="D14" s="2"/>
      </tp>
      <tp t="s">
        <v>#N/A N/A</v>
        <stp/>
        <stp>BDH|2731489949551737691</stp>
        <tr r="W27" s="2"/>
      </tp>
      <tp t="s">
        <v>#N/A N/A</v>
        <stp/>
        <stp>BDH|5249836388372723272</stp>
        <tr r="E10" s="2"/>
      </tp>
      <tp t="s">
        <v>#N/A N/A</v>
        <stp/>
        <stp>BDH|8517147181710958404</stp>
        <tr r="AA13" s="2"/>
      </tp>
      <tp t="s">
        <v>#N/A N/A</v>
        <stp/>
        <stp>BDH|2217969037694286983</stp>
        <tr r="R11" s="2"/>
      </tp>
      <tp t="s">
        <v>#N/A N/A</v>
        <stp/>
        <stp>BDH|9591945740116168792</stp>
        <tr r="G26" s="2"/>
      </tp>
      <tp t="s">
        <v>#N/A N/A</v>
        <stp/>
        <stp>BDH|5950229737764116541</stp>
        <tr r="S26" s="2"/>
      </tp>
      <tp t="s">
        <v>#N/A N/A</v>
        <stp/>
        <stp>BDH|5818413055701619054</stp>
        <tr r="V59" s="2"/>
      </tp>
      <tp t="s">
        <v>#N/A N/A</v>
        <stp/>
        <stp>BDH|2964271615896498206</stp>
        <tr r="O38" s="2"/>
      </tp>
      <tp t="s">
        <v>#N/A N/A</v>
        <stp/>
        <stp>BDH|1718468419394760507</stp>
        <tr r="R58" s="2"/>
      </tp>
      <tp t="s">
        <v>#N/A N/A</v>
        <stp/>
        <stp>BDH|9804284090921492684</stp>
        <tr r="AD12" s="2"/>
      </tp>
      <tp t="s">
        <v>#N/A N/A</v>
        <stp/>
        <stp>BDH|2154160610802361583</stp>
        <tr r="T35" s="2"/>
      </tp>
      <tp t="s">
        <v>#N/A N/A</v>
        <stp/>
        <stp>BDH|9933236596297170000</stp>
        <tr r="E24" s="2"/>
      </tp>
      <tp t="s">
        <v>#N/A N/A</v>
        <stp/>
        <stp>BDH|2377725358244732137</stp>
        <tr r="J25" s="2"/>
      </tp>
      <tp t="s">
        <v>#N/A N/A</v>
        <stp/>
        <stp>BDH|9342557099462092222</stp>
        <tr r="AB33" s="2"/>
      </tp>
      <tp t="s">
        <v>#N/A N/A</v>
        <stp/>
        <stp>BDH|4279539749076026650</stp>
        <tr r="Z22" s="2"/>
      </tp>
      <tp t="s">
        <v>#N/A N/A</v>
        <stp/>
        <stp>BDH|5830127853531077548</stp>
        <tr r="Y32" s="2"/>
      </tp>
      <tp t="s">
        <v>#N/A N/A</v>
        <stp/>
        <stp>BDH|1364301034085741123</stp>
        <tr r="R9" s="2"/>
      </tp>
      <tp t="s">
        <v>#N/A N/A</v>
        <stp/>
        <stp>BDH|4615195558665558007</stp>
        <tr r="AC63" s="2"/>
      </tp>
      <tp t="s">
        <v>#N/A N/A</v>
        <stp/>
        <stp>BDH|8738019087894077137</stp>
        <tr r="D33" s="2"/>
      </tp>
      <tp t="s">
        <v>#N/A N/A</v>
        <stp/>
        <stp>BDH|1235582010624039494</stp>
        <tr r="S43" s="2"/>
      </tp>
      <tp t="s">
        <v>#N/A N/A</v>
        <stp/>
        <stp>BDH|4148236973746779250</stp>
        <tr r="AC39" s="2"/>
      </tp>
      <tp t="s">
        <v>#N/A N/A</v>
        <stp/>
        <stp>BDH|9046639133519131026</stp>
        <tr r="O16" s="2"/>
      </tp>
      <tp t="s">
        <v>#N/A N/A</v>
        <stp/>
        <stp>BDH|1823678532409657884</stp>
        <tr r="AD62" s="2"/>
      </tp>
      <tp t="s">
        <v>#N/A N/A</v>
        <stp/>
        <stp>BDH|8894798795113290056</stp>
        <tr r="K16" s="2"/>
      </tp>
      <tp t="s">
        <v>#N/A N/A</v>
        <stp/>
        <stp>BDH|7599690848159390976</stp>
        <tr r="F26" s="2"/>
      </tp>
      <tp t="s">
        <v>#N/A N/A</v>
        <stp/>
        <stp>BDH|5159490040476087681</stp>
        <tr r="F22" s="2"/>
      </tp>
      <tp t="s">
        <v>#N/A N/A</v>
        <stp/>
        <stp>BDH|9012002934698295760</stp>
        <tr r="V41" s="2"/>
      </tp>
      <tp t="s">
        <v>#N/A N/A</v>
        <stp/>
        <stp>BDH|2405471057386193054</stp>
        <tr r="I46" s="2"/>
      </tp>
      <tp t="s">
        <v>#N/A N/A</v>
        <stp/>
        <stp>BDH|2090249953808726804</stp>
        <tr r="W25" s="2"/>
      </tp>
      <tp t="s">
        <v>#N/A N/A</v>
        <stp/>
        <stp>BDH|3928613011313919212</stp>
        <tr r="I41" s="2"/>
      </tp>
      <tp t="s">
        <v>#N/A N/A</v>
        <stp/>
        <stp>BDH|3078260567550691264</stp>
        <tr r="J58" s="2"/>
      </tp>
      <tp t="s">
        <v>#N/A N/A</v>
        <stp/>
        <stp>BDH|9286113160943023854</stp>
        <tr r="R13" s="2"/>
      </tp>
      <tp t="s">
        <v>#N/A N/A</v>
        <stp/>
        <stp>BDH|1821125018757072348</stp>
        <tr r="U63" s="2"/>
      </tp>
      <tp t="s">
        <v>#N/A N/A</v>
        <stp/>
        <stp>BDH|5142290017255893611</stp>
        <tr r="AA31" s="2"/>
      </tp>
      <tp t="s">
        <v>#N/A N/A</v>
        <stp/>
        <stp>BDH|8203806216732239612</stp>
        <tr r="X29" s="2"/>
      </tp>
      <tp t="s">
        <v>#N/A N/A</v>
        <stp/>
        <stp>BDH|2545951236055287837</stp>
        <tr r="X39" s="2"/>
      </tp>
      <tp t="s">
        <v>#N/A N/A</v>
        <stp/>
        <stp>BDH|4107955461898768657</stp>
        <tr r="U14" s="2"/>
      </tp>
      <tp t="s">
        <v>#N/A N/A</v>
        <stp/>
        <stp>BDH|1562878887431552544</stp>
        <tr r="G58" s="2"/>
      </tp>
      <tp t="s">
        <v>#N/A N/A</v>
        <stp/>
        <stp>BDH|8555936610073576678</stp>
        <tr r="G13" s="2"/>
      </tp>
      <tp t="s">
        <v>#N/A N/A</v>
        <stp/>
        <stp>BDH|2195480009766026543</stp>
        <tr r="Q52" s="2"/>
      </tp>
      <tp t="s">
        <v>#N/A N/A</v>
        <stp/>
        <stp>BDH|5863907667376309991</stp>
        <tr r="H40" s="2"/>
      </tp>
      <tp t="s">
        <v>#N/A N/A</v>
        <stp/>
        <stp>BDH|2706505919133340082</stp>
        <tr r="G11" s="2"/>
      </tp>
      <tp t="s">
        <v>#N/A N/A</v>
        <stp/>
        <stp>BDH|6632844955629663742</stp>
        <tr r="P52" s="2"/>
      </tp>
      <tp t="s">
        <v>#N/A N/A</v>
        <stp/>
        <stp>BDH|6776992301248055157</stp>
        <tr r="P24" s="2"/>
      </tp>
      <tp t="s">
        <v>#N/A N/A</v>
        <stp/>
        <stp>BDH|3899129552751602040</stp>
        <tr r="AC45" s="2"/>
      </tp>
      <tp t="s">
        <v>#N/A N/A</v>
        <stp/>
        <stp>BDH|4223794521035423242</stp>
        <tr r="C40" s="2"/>
      </tp>
      <tp t="s">
        <v>#N/A N/A</v>
        <stp/>
        <stp>BDH|1597347065502791082</stp>
        <tr r="F10" s="2"/>
      </tp>
      <tp t="s">
        <v>#N/A N/A</v>
        <stp/>
        <stp>BDH|9983842167051521043</stp>
        <tr r="C43" s="2"/>
      </tp>
      <tp t="s">
        <v>#N/A N/A</v>
        <stp/>
        <stp>BDH|7315608258480209222</stp>
        <tr r="K26" s="2"/>
      </tp>
      <tp t="s">
        <v>#N/A N/A</v>
        <stp/>
        <stp>BDH|2079492285659127150</stp>
        <tr r="AE47" s="2"/>
      </tp>
      <tp t="s">
        <v>#N/A N/A</v>
        <stp/>
        <stp>BDH|4593326809833178274</stp>
        <tr r="AA27" s="2"/>
      </tp>
      <tp t="s">
        <v>#N/A N/A</v>
        <stp/>
        <stp>BDH|1428033358502628012</stp>
        <tr r="N45" s="2"/>
      </tp>
      <tp t="s">
        <v>#N/A N/A</v>
        <stp/>
        <stp>BDH|5334989720580298812</stp>
        <tr r="C15" s="2"/>
      </tp>
      <tp t="s">
        <v>#N/A N/A</v>
        <stp/>
        <stp>BDH|9125331211229255492</stp>
        <tr r="O33" s="2"/>
      </tp>
      <tp t="s">
        <v>#N/A N/A</v>
        <stp/>
        <stp>BDH|9805957790516441910</stp>
        <tr r="AD15" s="2"/>
      </tp>
      <tp t="s">
        <v>#N/A N/A</v>
        <stp/>
        <stp>BDH|3360464218845673520</stp>
        <tr r="AE57" s="2"/>
      </tp>
      <tp t="s">
        <v>#N/A N/A</v>
        <stp/>
        <stp>BDH|4168966758766320820</stp>
        <tr r="T52" s="2"/>
      </tp>
      <tp t="s">
        <v>#N/A N/A</v>
        <stp/>
        <stp>BDH|1369355857257972669</stp>
        <tr r="AE15" s="2"/>
      </tp>
      <tp t="s">
        <v>#N/A N/A</v>
        <stp/>
        <stp>BDH|5626136907822436081</stp>
        <tr r="T7" s="2"/>
      </tp>
      <tp t="s">
        <v>#N/A N/A</v>
        <stp/>
        <stp>BDH|4245078555986871175</stp>
        <tr r="U62" s="2"/>
      </tp>
      <tp t="s">
        <v>#N/A N/A</v>
        <stp/>
        <stp>BDH|2524027352622252388</stp>
        <tr r="AE10" s="2"/>
      </tp>
      <tp t="s">
        <v>#N/A N/A</v>
        <stp/>
        <stp>BDH|5103136894872871929</stp>
        <tr r="AC31" s="2"/>
      </tp>
      <tp t="s">
        <v>#N/A N/A</v>
        <stp/>
        <stp>BDH|2116376028684451176</stp>
        <tr r="AE11" s="2"/>
      </tp>
      <tp t="s">
        <v>#N/A N/A</v>
        <stp/>
        <stp>BDH|3653723817766918577</stp>
        <tr r="E7" s="2"/>
      </tp>
      <tp t="s">
        <v>#N/A N/A</v>
        <stp/>
        <stp>BDH|3493496021282511141</stp>
        <tr r="O48" s="2"/>
      </tp>
      <tp t="s">
        <v>#N/A N/A</v>
        <stp/>
        <stp>BDH|8588346147899318075</stp>
        <tr r="N63" s="2"/>
      </tp>
      <tp t="s">
        <v>#N/A N/A</v>
        <stp/>
        <stp>BDH|4856674713214926177</stp>
        <tr r="L20" s="2"/>
      </tp>
      <tp t="s">
        <v>#N/A N/A</v>
        <stp/>
        <stp>BDH|7616491111965460186</stp>
        <tr r="W30" s="2"/>
      </tp>
      <tp t="s">
        <v>#N/A N/A</v>
        <stp/>
        <stp>BDH|5880291301771701056</stp>
        <tr r="O56" s="2"/>
      </tp>
      <tp t="s">
        <v>#N/A N/A</v>
        <stp/>
        <stp>BDH|1086128420565086107</stp>
        <tr r="V47" s="2"/>
      </tp>
      <tp t="s">
        <v>#N/A N/A</v>
        <stp/>
        <stp>BDH|1173151207084075206</stp>
        <tr r="S42" s="2"/>
      </tp>
      <tp t="s">
        <v>#N/A N/A</v>
        <stp/>
        <stp>BDH|7501607928711951472</stp>
        <tr r="AB50" s="2"/>
      </tp>
      <tp t="s">
        <v>#N/A N/A</v>
        <stp/>
        <stp>BDH|8726879473648039907</stp>
        <tr r="V31" s="2"/>
      </tp>
      <tp t="s">
        <v>#N/A N/A</v>
        <stp/>
        <stp>BDH|8882697711470525964</stp>
        <tr r="V26" s="2"/>
      </tp>
      <tp t="s">
        <v>#N/A N/A</v>
        <stp/>
        <stp>BDH|3923772139415406435</stp>
        <tr r="I34" s="2"/>
      </tp>
      <tp t="s">
        <v>#N/A N/A</v>
        <stp/>
        <stp>BDH|1948556001792919045</stp>
        <tr r="U33" s="2"/>
      </tp>
      <tp t="s">
        <v>#N/A N/A</v>
        <stp/>
        <stp>BDH|7119931965928069664</stp>
        <tr r="O15" s="2"/>
      </tp>
      <tp t="s">
        <v>#N/A N/A</v>
        <stp/>
        <stp>BDH|4091033429181459185</stp>
        <tr r="Y11" s="2"/>
      </tp>
      <tp t="s">
        <v>#N/A N/A</v>
        <stp/>
        <stp>BDH|5593431023470745542</stp>
        <tr r="Q56" s="2"/>
      </tp>
      <tp t="s">
        <v>#N/A N/A</v>
        <stp/>
        <stp>BDH|7846859098050138022</stp>
        <tr r="C28" s="2"/>
      </tp>
      <tp t="s">
        <v>#N/A N/A</v>
        <stp/>
        <stp>BDH|3719827614039100569</stp>
        <tr r="U34" s="2"/>
      </tp>
      <tp t="s">
        <v>#N/A N/A</v>
        <stp/>
        <stp>BDH|5387815087381351204</stp>
        <tr r="C45" s="2"/>
      </tp>
      <tp t="s">
        <v>#N/A N/A</v>
        <stp/>
        <stp>BDH|8424829005372210477</stp>
        <tr r="AF62" s="2"/>
      </tp>
      <tp t="s">
        <v>#N/A N/A</v>
        <stp/>
        <stp>BDH|2404156695618245417</stp>
        <tr r="Y24" s="2"/>
      </tp>
      <tp t="s">
        <v>#N/A N/A</v>
        <stp/>
        <stp>BDH|3935600010031727393</stp>
        <tr r="Q61" s="2"/>
      </tp>
      <tp t="s">
        <v>#N/A N/A</v>
        <stp/>
        <stp>BDH|9145628042725424824</stp>
        <tr r="N27" s="2"/>
      </tp>
      <tp t="s">
        <v>#N/A N/A</v>
        <stp/>
        <stp>BDH|4507292193469267097</stp>
        <tr r="Z32" s="2"/>
      </tp>
      <tp t="s">
        <v>#N/A N/A</v>
        <stp/>
        <stp>BDH|6613029125030362269</stp>
        <tr r="U52" s="2"/>
      </tp>
      <tp t="s">
        <v>#N/A N/A</v>
        <stp/>
        <stp>BDH|3545667824323082233</stp>
        <tr r="M27" s="2"/>
      </tp>
      <tp t="s">
        <v>#N/A N/A</v>
        <stp/>
        <stp>BDH|7778810984938650901</stp>
        <tr r="S61" s="2"/>
      </tp>
      <tp t="s">
        <v>#N/A N/A</v>
        <stp/>
        <stp>BDH|5254977252367462862</stp>
        <tr r="O12" s="2"/>
      </tp>
      <tp t="s">
        <v>#N/A N/A</v>
        <stp/>
        <stp>BDH|1116085111381536780</stp>
        <tr r="AE30" s="2"/>
      </tp>
      <tp t="s">
        <v>#N/A N/A</v>
        <stp/>
        <stp>BDH|8324544174699725515</stp>
        <tr r="R25" s="2"/>
      </tp>
      <tp t="s">
        <v>#N/A N/A</v>
        <stp/>
        <stp>BDH|9191940322316427261</stp>
        <tr r="V30" s="2"/>
      </tp>
      <tp t="s">
        <v>#N/A N/A</v>
        <stp/>
        <stp>BDH|1438178119864821378</stp>
        <tr r="AB59" s="2"/>
      </tp>
      <tp t="s">
        <v>#N/A N/A</v>
        <stp/>
        <stp>BDH|3919345620950953414</stp>
        <tr r="AE40" s="2"/>
      </tp>
      <tp t="s">
        <v>#N/A N/A</v>
        <stp/>
        <stp>BDH|6435151317673439378</stp>
        <tr r="AC61" s="2"/>
      </tp>
      <tp t="s">
        <v>#N/A N/A</v>
        <stp/>
        <stp>BDH|7898539706530172562</stp>
        <tr r="D52" s="2"/>
      </tp>
      <tp t="s">
        <v>#N/A N/A</v>
        <stp/>
        <stp>BDH|8564827526162932721</stp>
        <tr r="Y23" s="2"/>
      </tp>
      <tp t="s">
        <v>#N/A N/A</v>
        <stp/>
        <stp>BDH|5892658043184529416</stp>
        <tr r="Q43" s="2"/>
      </tp>
      <tp t="s">
        <v>#N/A N/A</v>
        <stp/>
        <stp>BDH|6127242207934998719</stp>
        <tr r="R22" s="2"/>
      </tp>
      <tp t="s">
        <v>#N/A N/A</v>
        <stp/>
        <stp>BDH|8460155689891715752</stp>
        <tr r="AC46" s="2"/>
      </tp>
      <tp t="s">
        <v>#N/A N/A</v>
        <stp/>
        <stp>BDH|7621374159104418268</stp>
        <tr r="G45" s="2"/>
      </tp>
      <tp t="s">
        <v>#N/A N/A</v>
        <stp/>
        <stp>BDH|2589292075068545878</stp>
        <tr r="AB28" s="2"/>
      </tp>
      <tp t="s">
        <v>#N/A N/A</v>
        <stp/>
        <stp>BDH|2238301373635977400</stp>
        <tr r="AF57" s="2"/>
      </tp>
      <tp t="s">
        <v>#N/A N/A</v>
        <stp/>
        <stp>BDH|7976591376640879265</stp>
        <tr r="Z14" s="2"/>
      </tp>
      <tp t="s">
        <v>#N/A N/A</v>
        <stp/>
        <stp>BDH|6929325622079402950</stp>
        <tr r="J8" s="2"/>
      </tp>
      <tp t="s">
        <v>#N/A N/A</v>
        <stp/>
        <stp>BDH|2670097355971319115</stp>
        <tr r="G32" s="2"/>
      </tp>
      <tp t="s">
        <v>#N/A N/A</v>
        <stp/>
        <stp>BDH|4725479823407374287</stp>
        <tr r="W40" s="2"/>
      </tp>
      <tp t="s">
        <v>#N/A N/A</v>
        <stp/>
        <stp>BDH|8961960375110020134</stp>
        <tr r="AF13" s="2"/>
      </tp>
      <tp t="s">
        <v>#N/A N/A</v>
        <stp/>
        <stp>BDH|1158487564860710439</stp>
        <tr r="F52" s="2"/>
      </tp>
      <tp t="s">
        <v>#N/A N/A</v>
        <stp/>
        <stp>BDH|5554769479586581469</stp>
        <tr r="F19" s="2"/>
      </tp>
      <tp t="s">
        <v>#N/A N/A</v>
        <stp/>
        <stp>BDH|5594761341660435182</stp>
        <tr r="J10" s="2"/>
      </tp>
      <tp t="s">
        <v>#N/A N/A</v>
        <stp/>
        <stp>BDH|7481421407520973464</stp>
        <tr r="Y34" s="2"/>
      </tp>
      <tp t="s">
        <v>#N/A N/A</v>
        <stp/>
        <stp>BDH|7237216316835301682</stp>
        <tr r="V33" s="2"/>
      </tp>
      <tp t="s">
        <v>#N/A N/A</v>
        <stp/>
        <stp>BDH|3612392256657662503</stp>
        <tr r="AB47" s="2"/>
      </tp>
      <tp t="s">
        <v>#N/A N/A</v>
        <stp/>
        <stp>BDH|6778071905061897025</stp>
        <tr r="C48" s="2"/>
      </tp>
      <tp t="s">
        <v>#N/A N/A</v>
        <stp/>
        <stp>BDH|7960337600085418625</stp>
        <tr r="J48" s="2"/>
      </tp>
      <tp t="s">
        <v>#N/A N/A</v>
        <stp/>
        <stp>BDH|9056021388912138478</stp>
        <tr r="AD7" s="2"/>
      </tp>
      <tp t="s">
        <v>#N/A N/A</v>
        <stp/>
        <stp>BDH|3291762900157016487</stp>
        <tr r="R48" s="2"/>
      </tp>
      <tp t="s">
        <v>#N/A N/A</v>
        <stp/>
        <stp>BDH|8546658411820557894</stp>
        <tr r="AD21" s="2"/>
      </tp>
      <tp t="s">
        <v>#N/A N/A</v>
        <stp/>
        <stp>BDH|8419963394167985827</stp>
        <tr r="M9" s="2"/>
      </tp>
      <tp t="s">
        <v>#N/A N/A</v>
        <stp/>
        <stp>BDH|3600073834063166463</stp>
        <tr r="W10" s="2"/>
      </tp>
      <tp t="s">
        <v>#N/A N/A</v>
        <stp/>
        <stp>BDH|1276435480372499870</stp>
        <tr r="F30" s="2"/>
      </tp>
      <tp t="s">
        <v>#N/A N/A</v>
        <stp/>
        <stp>BDH|3014345423865413011</stp>
        <tr r="R44" s="2"/>
      </tp>
      <tp t="s">
        <v>#N/A N/A</v>
        <stp/>
        <stp>BDH|2018622624145563401</stp>
        <tr r="AD13" s="2"/>
      </tp>
      <tp t="s">
        <v>#N/A N/A</v>
        <stp/>
        <stp>BDH|8075801405746717117</stp>
        <tr r="D56" s="2"/>
      </tp>
      <tp t="s">
        <v>#N/A N/A</v>
        <stp/>
        <stp>BDH|2265659000946129552</stp>
        <tr r="D22" s="2"/>
      </tp>
      <tp t="s">
        <v>#N/A N/A</v>
        <stp/>
        <stp>BDH|2052654376306569261</stp>
        <tr r="AD16" s="2"/>
      </tp>
      <tp t="s">
        <v>#N/A N/A</v>
        <stp/>
        <stp>BDH|2711476842520498563</stp>
        <tr r="X60" s="2"/>
      </tp>
      <tp t="s">
        <v>#N/A N/A</v>
        <stp/>
        <stp>BDH|3517160752353095316</stp>
        <tr r="E63" s="2"/>
      </tp>
      <tp t="s">
        <v>#N/A N/A</v>
        <stp/>
        <stp>BDH|8976619190437839705</stp>
        <tr r="H52" s="2"/>
      </tp>
      <tp t="s">
        <v>#N/A N/A</v>
        <stp/>
        <stp>BDH|9013008897025317246</stp>
        <tr r="H8" s="2"/>
      </tp>
      <tp t="s">
        <v>#N/A N/A</v>
        <stp/>
        <stp>BDH|4193719884949389561</stp>
        <tr r="M13" s="2"/>
      </tp>
      <tp t="s">
        <v>#N/A N/A</v>
        <stp/>
        <stp>BDH|2748425981641619831</stp>
        <tr r="Q19" s="2"/>
      </tp>
      <tp t="s">
        <v>#N/A N/A</v>
        <stp/>
        <stp>BDH|7848388899792810802</stp>
        <tr r="Y60" s="2"/>
      </tp>
      <tp t="s">
        <v>#N/A N/A</v>
        <stp/>
        <stp>BDH|3766836955430173919</stp>
        <tr r="L38" s="2"/>
      </tp>
      <tp t="s">
        <v>#N/A N/A</v>
        <stp/>
        <stp>BDH|7556696181657209995</stp>
        <tr r="AC30" s="2"/>
      </tp>
      <tp t="s">
        <v>#N/A N/A</v>
        <stp/>
        <stp>BDH|4598949795593616041</stp>
        <tr r="F31" s="2"/>
      </tp>
      <tp t="s">
        <v>#N/A N/A</v>
        <stp/>
        <stp>BDH|7919689576508877989</stp>
        <tr r="C47" s="2"/>
      </tp>
      <tp t="s">
        <v>#N/A N/A</v>
        <stp/>
        <stp>BDH|1405215334613256444</stp>
        <tr r="AE46" s="2"/>
      </tp>
      <tp t="s">
        <v>#N/A N/A</v>
        <stp/>
        <stp>BDH|3044919429217847870</stp>
        <tr r="U44" s="2"/>
      </tp>
      <tp t="s">
        <v>#N/A N/A</v>
        <stp/>
        <stp>BDH|6885211156053171594</stp>
        <tr r="AE32" s="2"/>
      </tp>
      <tp t="s">
        <v>#N/A N/A</v>
        <stp/>
        <stp>BDH|2001367644874513602</stp>
        <tr r="D15" s="2"/>
      </tp>
      <tp t="s">
        <v>#N/A N/A</v>
        <stp/>
        <stp>BDH|7615870928903974941</stp>
        <tr r="V42" s="2"/>
      </tp>
      <tp t="s">
        <v>#N/A N/A</v>
        <stp/>
        <stp>BDH|6512153464185316321</stp>
        <tr r="N57" s="2"/>
      </tp>
      <tp t="s">
        <v>#N/A N/A</v>
        <stp/>
        <stp>BDH|9837152229345778862</stp>
        <tr r="AB11" s="2"/>
      </tp>
      <tp t="s">
        <v>#N/A N/A</v>
        <stp/>
        <stp>BDH|6276219377126957283</stp>
        <tr r="H29" s="2"/>
      </tp>
      <tp t="s">
        <v>#N/A N/A</v>
        <stp/>
        <stp>BDH|5902549908666362131</stp>
        <tr r="K38" s="2"/>
      </tp>
      <tp t="s">
        <v>#N/A N/A</v>
        <stp/>
        <stp>BDH|4189456652065513094</stp>
        <tr r="AD22" s="2"/>
      </tp>
      <tp t="s">
        <v>#N/A N/A</v>
        <stp/>
        <stp>BDH|9617512919985709835</stp>
        <tr r="R7" s="2"/>
      </tp>
      <tp t="s">
        <v>#N/A N/A</v>
        <stp/>
        <stp>BDH|4702881482401221543</stp>
        <tr r="D46" s="2"/>
      </tp>
      <tp t="s">
        <v>#N/A N/A</v>
        <stp/>
        <stp>BDH|3783459708050043726</stp>
        <tr r="AB9" s="2"/>
      </tp>
      <tp t="s">
        <v>#N/A N/A</v>
        <stp/>
        <stp>BDH|8267304569848096536</stp>
        <tr r="D28" s="2"/>
      </tp>
      <tp t="s">
        <v>#N/A N/A</v>
        <stp/>
        <stp>BDH|7807407396778798213</stp>
        <tr r="Q57" s="2"/>
      </tp>
      <tp t="s">
        <v>#N/A N/A</v>
        <stp/>
        <stp>BDH|3283545819836005164</stp>
        <tr r="X7" s="2"/>
      </tp>
      <tp t="s">
        <v>#N/A N/A</v>
        <stp/>
        <stp>BDH|1892555454493297222</stp>
        <tr r="E46" s="2"/>
      </tp>
      <tp t="s">
        <v>#N/A N/A</v>
        <stp/>
        <stp>BDH|7536887066688334114</stp>
        <tr r="W15" s="2"/>
      </tp>
      <tp t="s">
        <v>#N/A N/A</v>
        <stp/>
        <stp>BDH|3227609353585828505</stp>
        <tr r="I56" s="2"/>
      </tp>
      <tp t="s">
        <v>#N/A N/A</v>
        <stp/>
        <stp>BDH|7818037398807324992</stp>
        <tr r="M47" s="2"/>
      </tp>
      <tp t="s">
        <v>#N/A N/A</v>
        <stp/>
        <stp>BDH|1581338894129528292</stp>
        <tr r="W23" s="2"/>
      </tp>
      <tp t="s">
        <v>#N/A N/A</v>
        <stp/>
        <stp>BDH|6244387041571249077</stp>
        <tr r="Q11" s="2"/>
      </tp>
      <tp t="s">
        <v>#N/A N/A</v>
        <stp/>
        <stp>BDH|4122086955556782755</stp>
        <tr r="P35" s="2"/>
      </tp>
      <tp t="s">
        <v>#N/A N/A</v>
        <stp/>
        <stp>BDH|4456054426072154497</stp>
        <tr r="I48" s="2"/>
      </tp>
      <tp t="s">
        <v>#N/A N/A</v>
        <stp/>
        <stp>BDH|1929004080399144074</stp>
        <tr r="P8" s="2"/>
      </tp>
      <tp t="s">
        <v>#N/A N/A</v>
        <stp/>
        <stp>BDH|3722726550548278983</stp>
        <tr r="AE9" s="2"/>
      </tp>
      <tp t="s">
        <v>#N/A N/A</v>
        <stp/>
        <stp>BDH|9339974313192061384</stp>
        <tr r="Y35" s="2"/>
      </tp>
      <tp t="s">
        <v>#N/A N/A</v>
        <stp/>
        <stp>BDH|1264971831939902226</stp>
        <tr r="R38" s="2"/>
      </tp>
      <tp t="s">
        <v>#N/A N/A</v>
        <stp/>
        <stp>BDH|1581044666597175095</stp>
        <tr r="N32" s="2"/>
      </tp>
      <tp t="s">
        <v>#N/A N/A</v>
        <stp/>
        <stp>BDH|4924455084578609021</stp>
        <tr r="Z57" s="2"/>
      </tp>
      <tp t="s">
        <v>#N/A N/A</v>
        <stp/>
        <stp>BDH|4956780061521427487</stp>
        <tr r="V58" s="2"/>
      </tp>
      <tp t="s">
        <v>#N/A N/A</v>
        <stp/>
        <stp>BDH|2614225813260324182</stp>
        <tr r="U41" s="2"/>
      </tp>
      <tp t="s">
        <v>#N/A N/A</v>
        <stp/>
        <stp>BDH|4822248916450462723</stp>
        <tr r="N44" s="2"/>
      </tp>
      <tp t="s">
        <v>#N/A N/A</v>
        <stp/>
        <stp>BDH|7236787196758226132</stp>
        <tr r="C22" s="2"/>
      </tp>
      <tp t="s">
        <v>#N/A N/A</v>
        <stp/>
        <stp>BDH|3189095795033373938</stp>
        <tr r="L42" s="2"/>
      </tp>
      <tp t="s">
        <v>#N/A N/A</v>
        <stp/>
        <stp>BDH|8902623396087403046</stp>
        <tr r="Z61" s="2"/>
      </tp>
      <tp t="s">
        <v>#N/A N/A</v>
        <stp/>
        <stp>BDH|5205911794516370397</stp>
        <tr r="S8" s="2"/>
      </tp>
      <tp t="s">
        <v>#N/A N/A</v>
        <stp/>
        <stp>BDH|5953358243834551678</stp>
        <tr r="H57" s="2"/>
      </tp>
      <tp t="s">
        <v>#N/A N/A</v>
        <stp/>
        <stp>BDH|6359908036058196465</stp>
        <tr r="I59" s="2"/>
      </tp>
      <tp t="s">
        <v>#N/A N/A</v>
        <stp/>
        <stp>BDH|2565649554916557726</stp>
        <tr r="T33" s="2"/>
      </tp>
      <tp t="s">
        <v>#N/A N/A</v>
        <stp/>
        <stp>BDH|2671371230631526367</stp>
        <tr r="E50" s="2"/>
      </tp>
      <tp t="s">
        <v>#N/A N/A</v>
        <stp/>
        <stp>BDH|5077206743050254332</stp>
        <tr r="F38" s="2"/>
      </tp>
      <tp t="s">
        <v>#N/A N/A</v>
        <stp/>
        <stp>BDH|2446712156413484350</stp>
        <tr r="R47" s="2"/>
      </tp>
      <tp t="s">
        <v>#N/A N/A</v>
        <stp/>
        <stp>BDH|7659542621062297230</stp>
        <tr r="V12" s="2"/>
      </tp>
      <tp t="s">
        <v>#N/A N/A</v>
        <stp/>
        <stp>BDH|7114238823112542572</stp>
        <tr r="AE7" s="2"/>
      </tp>
      <tp t="s">
        <v>#N/A N/A</v>
        <stp/>
        <stp>BDH|7694801686924404340</stp>
        <tr r="G28" s="2"/>
      </tp>
      <tp t="s">
        <v>#N/A N/A</v>
        <stp/>
        <stp>BDH|2141714480494122917</stp>
        <tr r="Y28" s="2"/>
      </tp>
      <tp t="s">
        <v>#N/A N/A</v>
        <stp/>
        <stp>BDH|3720871351347418954</stp>
        <tr r="X38" s="2"/>
      </tp>
      <tp t="s">
        <v>#N/A N/A</v>
        <stp/>
        <stp>BDH|5024524009144274497</stp>
        <tr r="M35" s="2"/>
      </tp>
      <tp t="s">
        <v>#N/A N/A</v>
        <stp/>
        <stp>BDH|4879078466813810111</stp>
        <tr r="AC7" s="2"/>
      </tp>
      <tp t="s">
        <v>#N/A N/A</v>
        <stp/>
        <stp>BDH|1543888986296306783</stp>
        <tr r="AC52" s="2"/>
      </tp>
      <tp t="s">
        <v>#N/A N/A</v>
        <stp/>
        <stp>BDH|8220982669425725249</stp>
        <tr r="L23" s="2"/>
      </tp>
      <tp t="s">
        <v>#N/A N/A</v>
        <stp/>
        <stp>BDH|3243061257361341711</stp>
        <tr r="AB41" s="2"/>
      </tp>
      <tp t="s">
        <v>#N/A N/A</v>
        <stp/>
        <stp>BDH|7170279369495805666</stp>
        <tr r="K61" s="2"/>
      </tp>
      <tp t="s">
        <v>#N/A N/A</v>
        <stp/>
        <stp>BDH|7754648044963722665</stp>
        <tr r="G61" s="2"/>
      </tp>
      <tp t="s">
        <v>#N/A N/A</v>
        <stp/>
        <stp>BDH|4819102672880878248</stp>
        <tr r="Y63" s="2"/>
      </tp>
      <tp t="s">
        <v>#N/A N/A</v>
        <stp/>
        <stp>BDH|7759449725633430244</stp>
        <tr r="M10" s="2"/>
      </tp>
      <tp t="s">
        <v>#N/A N/A</v>
        <stp/>
        <stp>BDH|9351430725888505761</stp>
        <tr r="AA60" s="2"/>
      </tp>
      <tp t="s">
        <v>#N/A N/A</v>
        <stp/>
        <stp>BDH|5329169133161938685</stp>
        <tr r="L27" s="2"/>
      </tp>
      <tp t="s">
        <v>#N/A N/A</v>
        <stp/>
        <stp>BDH|4039149610622522662</stp>
        <tr r="N12" s="2"/>
      </tp>
      <tp t="s">
        <v>#N/A N/A</v>
        <stp/>
        <stp>BDH|3921664558946199618</stp>
        <tr r="N21" s="2"/>
      </tp>
      <tp t="s">
        <v>#N/A N/A</v>
        <stp/>
        <stp>BDH|5628405526982773138</stp>
        <tr r="Y14" s="2"/>
      </tp>
      <tp t="s">
        <v>#N/A N/A</v>
        <stp/>
        <stp>BDH|4882259318827146008</stp>
        <tr r="AA38" s="2"/>
      </tp>
      <tp t="s">
        <v>#N/A N/A</v>
        <stp/>
        <stp>BDH|6018336767560972391</stp>
        <tr r="F43" s="2"/>
      </tp>
      <tp t="s">
        <v>#N/A N/A</v>
        <stp/>
        <stp>BDH|7282499663977804243</stp>
        <tr r="T19" s="2"/>
      </tp>
      <tp t="s">
        <v>#N/A N/A</v>
        <stp/>
        <stp>BDH|6289204651729093878</stp>
        <tr r="C33" s="2"/>
      </tp>
      <tp t="s">
        <v>#N/A N/A</v>
        <stp/>
        <stp>BDH|7338435321373234278</stp>
        <tr r="AD41" s="2"/>
      </tp>
      <tp t="s">
        <v>#N/A N/A</v>
        <stp/>
        <stp>BDH|3435869744707492871</stp>
        <tr r="Z50" s="2"/>
      </tp>
      <tp t="s">
        <v>#N/A N/A</v>
        <stp/>
        <stp>BDH|7674774194411589858</stp>
        <tr r="Y57" s="2"/>
      </tp>
      <tp t="s">
        <v>#N/A N/A</v>
        <stp/>
        <stp>BDH|1366019397491792975</stp>
        <tr r="AF48" s="2"/>
      </tp>
      <tp t="s">
        <v>#N/A N/A</v>
        <stp/>
        <stp>BDH|9399552820717557963</stp>
        <tr r="F25" s="2"/>
      </tp>
      <tp t="s">
        <v>#N/A N/A</v>
        <stp/>
        <stp>BDH|8786146857854190805</stp>
        <tr r="I60" s="2"/>
      </tp>
      <tp t="s">
        <v>#N/A N/A</v>
        <stp/>
        <stp>BDH|2628928117279637307</stp>
        <tr r="K60" s="2"/>
      </tp>
      <tp t="s">
        <v>#N/A N/A</v>
        <stp/>
        <stp>BDH|66316851179478277</stp>
        <tr r="AF10" s="2"/>
      </tp>
      <tp t="s">
        <v>#N/A N/A</v>
        <stp/>
        <stp>BDH|8616468186633515695</stp>
        <tr r="AA24" s="2"/>
      </tp>
      <tp t="s">
        <v>#N/A N/A</v>
        <stp/>
        <stp>BDH|4193074855005897530</stp>
        <tr r="J47" s="2"/>
      </tp>
      <tp t="s">
        <v>#N/A N/A</v>
        <stp/>
        <stp>BDH|1616815877609830606</stp>
        <tr r="AA8" s="2"/>
      </tp>
      <tp t="s">
        <v>#N/A N/A</v>
        <stp/>
        <stp>BDH|3945540826447536269</stp>
        <tr r="Y42" s="2"/>
      </tp>
      <tp t="s">
        <v>#N/A N/A</v>
        <stp/>
        <stp>BDH|4334828592807533383</stp>
        <tr r="P30" s="2"/>
      </tp>
      <tp t="s">
        <v>#N/A N/A</v>
        <stp/>
        <stp>BDH|1070710116030014692</stp>
        <tr r="I33" s="2"/>
      </tp>
      <tp t="s">
        <v>#N/A N/A</v>
        <stp/>
        <stp>BDH|2647781404210563415</stp>
        <tr r="I12" s="2"/>
      </tp>
      <tp t="s">
        <v>#N/A N/A</v>
        <stp/>
        <stp>BDH|9608230951418201782</stp>
        <tr r="H50" s="2"/>
      </tp>
      <tp t="s">
        <v>#N/A N/A</v>
        <stp/>
        <stp>BDH|1913072650697345239</stp>
        <tr r="Z31" s="2"/>
      </tp>
      <tp t="s">
        <v>#N/A N/A</v>
        <stp/>
        <stp>BDH|3275546797466619898</stp>
        <tr r="F59" s="2"/>
      </tp>
      <tp t="s">
        <v>#N/A N/A</v>
        <stp/>
        <stp>BDH|1568066018789206867</stp>
        <tr r="D12" s="2"/>
      </tp>
      <tp t="s">
        <v>#N/A N/A</v>
        <stp/>
        <stp>BDH|2928006709733849074</stp>
        <tr r="AC26" s="2"/>
      </tp>
      <tp t="s">
        <v>#N/A N/A</v>
        <stp/>
        <stp>BDH|7042551357476557082</stp>
        <tr r="E32" s="2"/>
      </tp>
      <tp t="s">
        <v>#N/A N/A</v>
        <stp/>
        <stp>BDH|1827765169385199491</stp>
        <tr r="U21" s="2"/>
      </tp>
      <tp t="s">
        <v>#N/A N/A</v>
        <stp/>
        <stp>BDH|5662269045177045592</stp>
        <tr r="M62" s="2"/>
      </tp>
      <tp t="s">
        <v>#N/A N/A</v>
        <stp/>
        <stp>BDH|4186970637119821651</stp>
        <tr r="F33" s="2"/>
      </tp>
      <tp t="s">
        <v>#N/A N/A</v>
        <stp/>
        <stp>BDH|4552185424043222567</stp>
        <tr r="N48" s="2"/>
      </tp>
      <tp t="s">
        <v>#N/A N/A</v>
        <stp/>
        <stp>BDH|1311484728200970676</stp>
        <tr r="Y40" s="2"/>
      </tp>
      <tp t="s">
        <v>#N/A N/A</v>
        <stp/>
        <stp>BDH|7612144522440593570</stp>
        <tr r="O42" s="2"/>
      </tp>
      <tp t="s">
        <v>#N/A N/A</v>
        <stp/>
        <stp>BDH|5123205212376202123</stp>
        <tr r="AA23" s="2"/>
      </tp>
      <tp t="s">
        <v>#N/A N/A</v>
        <stp/>
        <stp>BDH|5166024946992182240</stp>
        <tr r="X10" s="2"/>
      </tp>
      <tp t="s">
        <v>#N/A N/A</v>
        <stp/>
        <stp>BDH|4420974255001108879</stp>
        <tr r="U7" s="2"/>
      </tp>
      <tp t="s">
        <v>#N/A N/A</v>
        <stp/>
        <stp>BDH|7484457416345605601</stp>
        <tr r="Q60" s="2"/>
      </tp>
      <tp t="s">
        <v>#N/A N/A</v>
        <stp/>
        <stp>BDH|7670183806340730795</stp>
        <tr r="AC50" s="2"/>
      </tp>
      <tp t="s">
        <v>#N/A N/A</v>
        <stp/>
        <stp>BDH|7372379242457898682</stp>
        <tr r="AB39" s="2"/>
      </tp>
      <tp t="s">
        <v>#N/A N/A</v>
        <stp/>
        <stp>BDH|7697279582115396960</stp>
        <tr r="AE27" s="2"/>
      </tp>
      <tp t="s">
        <v>#N/A N/A</v>
        <stp/>
        <stp>BDH|3195367117196426625</stp>
        <tr r="S41" s="2"/>
      </tp>
      <tp t="s">
        <v>#N/A N/A</v>
        <stp/>
        <stp>BDH|4734479526413169015</stp>
        <tr r="J19" s="2"/>
      </tp>
      <tp t="s">
        <v>#N/A N/A</v>
        <stp/>
        <stp>BDH|3064294044361124593</stp>
        <tr r="N13" s="2"/>
      </tp>
      <tp t="s">
        <v>#N/A N/A</v>
        <stp/>
        <stp>BDH|7958863991765933229</stp>
        <tr r="P50" s="2"/>
      </tp>
      <tp t="s">
        <v>#N/A N/A</v>
        <stp/>
        <stp>BDH|8609337633580195926</stp>
        <tr r="F60" s="2"/>
      </tp>
      <tp t="s">
        <v>#N/A N/A</v>
        <stp/>
        <stp>BDH|7373669600616518657</stp>
        <tr r="K39" s="2"/>
      </tp>
      <tp t="s">
        <v>#N/A N/A</v>
        <stp/>
        <stp>BDH|89141526317327850</stp>
        <tr r="AF28" s="2"/>
      </tp>
      <tp t="s">
        <v>#N/A N/A</v>
        <stp/>
        <stp>BDH|7999747197653796873</stp>
        <tr r="U32" s="2"/>
      </tp>
      <tp t="s">
        <v>#N/A N/A</v>
        <stp/>
        <stp>BDH|4992016572217343634</stp>
        <tr r="S25" s="2"/>
      </tp>
      <tp t="s">
        <v>#N/A N/A</v>
        <stp/>
        <stp>BDH|9537078620759911011</stp>
        <tr r="AC20" s="2"/>
      </tp>
      <tp t="s">
        <v>#N/A N/A</v>
        <stp/>
        <stp>BDH|7784794975327194216</stp>
        <tr r="AC56" s="2"/>
      </tp>
      <tp t="s">
        <v>#N/A N/A</v>
        <stp/>
        <stp>BDH|9865400074930226858</stp>
        <tr r="AF35" s="2"/>
      </tp>
      <tp t="s">
        <v>#N/A N/A</v>
        <stp/>
        <stp>BDH|2570991727673892887</stp>
        <tr r="E19" s="2"/>
      </tp>
      <tp t="s">
        <v>#N/A N/A</v>
        <stp/>
        <stp>BDH|1643414216472074496</stp>
        <tr r="M34" s="2"/>
      </tp>
      <tp t="s">
        <v>#N/A N/A</v>
        <stp/>
        <stp>BDH|4874436608035895735</stp>
        <tr r="L62" s="2"/>
      </tp>
      <tp t="s">
        <v>#N/A N/A</v>
        <stp/>
        <stp>BDH|7475499492980196863</stp>
        <tr r="X14" s="2"/>
      </tp>
      <tp t="s">
        <v>#N/A N/A</v>
        <stp/>
        <stp>BDH|4829187098816720860</stp>
        <tr r="Q45" s="2"/>
      </tp>
      <tp t="s">
        <v>#N/A N/A</v>
        <stp/>
        <stp>BDH|1828561656157248441</stp>
        <tr r="D29" s="2"/>
      </tp>
      <tp t="s">
        <v>#N/A N/A</v>
        <stp/>
        <stp>BDH|8226202819339669033</stp>
        <tr r="T40" s="2"/>
      </tp>
      <tp t="s">
        <v>#N/A N/A</v>
        <stp/>
        <stp>BDH|5851839020958340574</stp>
        <tr r="I38" s="2"/>
      </tp>
      <tp t="s">
        <v>#N/A N/A</v>
        <stp/>
        <stp>BDH|1358296807632298301</stp>
        <tr r="AF8" s="2"/>
      </tp>
      <tp t="s">
        <v>#N/A N/A</v>
        <stp/>
        <stp>BDH|1840895145879826634</stp>
        <tr r="AB52" s="2"/>
      </tp>
      <tp t="s">
        <v>#N/A N/A</v>
        <stp/>
        <stp>BDH|7912276990286446865</stp>
        <tr r="K22" s="2"/>
      </tp>
      <tp t="s">
        <v>#N/A N/A</v>
        <stp/>
        <stp>BDH|3915638612624254263</stp>
        <tr r="H46" s="2"/>
      </tp>
      <tp t="s">
        <v>#N/A N/A</v>
        <stp/>
        <stp>BDH|8442389353609021530</stp>
        <tr r="X19" s="2"/>
      </tp>
      <tp t="s">
        <v>#N/A N/A</v>
        <stp/>
        <stp>BDH|1399291835307706541</stp>
        <tr r="M23" s="2"/>
      </tp>
      <tp t="s">
        <v>#N/A N/A</v>
        <stp/>
        <stp>BDH|1689204966986409197</stp>
        <tr r="F15" s="2"/>
      </tp>
      <tp t="s">
        <v>#N/A N/A</v>
        <stp/>
        <stp>BDH|8765758039278504631</stp>
        <tr r="Z33" s="2"/>
      </tp>
      <tp t="s">
        <v>#N/A N/A</v>
        <stp/>
        <stp>BDH|6379595307554139518</stp>
        <tr r="U12" s="2"/>
      </tp>
      <tp t="s">
        <v>#N/A N/A</v>
        <stp/>
        <stp>BDH|1552646401943783658</stp>
        <tr r="I19" s="2"/>
      </tp>
      <tp t="s">
        <v>#N/A N/A</v>
        <stp/>
        <stp>BDH|2821491273000988395</stp>
        <tr r="N52" s="2"/>
      </tp>
      <tp t="s">
        <v>#N/A N/A</v>
        <stp/>
        <stp>BDH|2769220791758625317</stp>
        <tr r="C21" s="2"/>
      </tp>
      <tp t="s">
        <v>#N/A N/A</v>
        <stp/>
        <stp>BDH|5374837842252442973</stp>
        <tr r="T21" s="2"/>
      </tp>
      <tp t="s">
        <v>#N/A N/A</v>
        <stp/>
        <stp>BDH|8364508386654752336</stp>
        <tr r="U39" s="2"/>
      </tp>
      <tp t="s">
        <v>#N/A N/A</v>
        <stp/>
        <stp>BDH|9107335646889319567</stp>
        <tr r="AB20" s="2"/>
      </tp>
      <tp t="s">
        <v>#N/A N/A</v>
        <stp/>
        <stp>BDH|5661010077986727662</stp>
        <tr r="W57" s="2"/>
      </tp>
      <tp t="s">
        <v>#N/A N/A</v>
        <stp/>
        <stp>BDH|1472370617503494269</stp>
        <tr r="U47" s="2"/>
      </tp>
      <tp t="s">
        <v>#N/A N/A</v>
        <stp/>
        <stp>BDH|3488259211522765014</stp>
        <tr r="K46" s="2"/>
      </tp>
      <tp t="s">
        <v>#N/A N/A</v>
        <stp/>
        <stp>BDH|8734967571492149679</stp>
        <tr r="AF14" s="2"/>
      </tp>
      <tp t="s">
        <v>#N/A N/A</v>
        <stp/>
        <stp>BDH|9163873900313867093</stp>
        <tr r="D13" s="2"/>
      </tp>
      <tp t="s">
        <v>#N/A N/A</v>
        <stp/>
        <stp>BDH|8429422294772512505</stp>
        <tr r="M63" s="2"/>
      </tp>
      <tp t="s">
        <v>#N/A N/A</v>
        <stp/>
        <stp>BDH|9664514031684128903</stp>
        <tr r="D45" s="2"/>
      </tp>
      <tp t="s">
        <v>#N/A N/A</v>
        <stp/>
        <stp>BDH|7336727496522269913</stp>
        <tr r="C52" s="2"/>
      </tp>
      <tp t="s">
        <v>#N/A N/A</v>
        <stp/>
        <stp>BDH|2727221450125284231</stp>
        <tr r="K57" s="2"/>
      </tp>
      <tp t="s">
        <v>#N/A N/A</v>
        <stp/>
        <stp>BDH|3900319369455694126</stp>
        <tr r="D25" s="2"/>
      </tp>
      <tp t="s">
        <v>#N/A N/A</v>
        <stp/>
        <stp>BDH|9303448719089224797</stp>
        <tr r="E35" s="2"/>
      </tp>
      <tp t="s">
        <v>#N/A N/A</v>
        <stp/>
        <stp>BDH|8827883159151300705</stp>
        <tr r="G23" s="2"/>
      </tp>
      <tp t="s">
        <v>#N/A N/A</v>
        <stp/>
        <stp>BDH|3505631542511748398</stp>
        <tr r="D38" s="2"/>
      </tp>
      <tp t="s">
        <v>#N/A N/A</v>
        <stp/>
        <stp>BDH|1973635857183195267</stp>
        <tr r="K19" s="2"/>
      </tp>
      <tp t="s">
        <v>#N/A N/A</v>
        <stp/>
        <stp>BDH|6139753467600062480</stp>
        <tr r="AF32" s="2"/>
      </tp>
      <tp t="s">
        <v>#N/A N/A</v>
        <stp/>
        <stp>BDH|7275274178730373156</stp>
        <tr r="AA45" s="2"/>
      </tp>
      <tp t="s">
        <v>#N/A N/A</v>
        <stp/>
        <stp>BDH|3284305233617946733</stp>
        <tr r="AF52" s="2"/>
      </tp>
      <tp t="s">
        <v>#N/A N/A</v>
        <stp/>
        <stp>BDH|5830701276716799023</stp>
        <tr r="Q9" s="2"/>
      </tp>
      <tp t="s">
        <v>#N/A N/A</v>
        <stp/>
        <stp>BDH|8196286452148492477</stp>
        <tr r="AD47" s="2"/>
      </tp>
      <tp t="s">
        <v>#N/A N/A</v>
        <stp/>
        <stp>BDH|1618387828074748797</stp>
        <tr r="Q50" s="2"/>
      </tp>
      <tp t="s">
        <v>#N/A N/A</v>
        <stp/>
        <stp>BDH|9152886286082472827</stp>
        <tr r="H12" s="2"/>
      </tp>
      <tp t="s">
        <v>#N/A N/A</v>
        <stp/>
        <stp>BDH|4267835692911964737</stp>
        <tr r="R57" s="2"/>
      </tp>
      <tp t="s">
        <v>#N/A N/A</v>
        <stp/>
        <stp>BDH|3604156798811673944</stp>
        <tr r="H44" s="2"/>
      </tp>
      <tp t="s">
        <v>#N/A N/A</v>
        <stp/>
        <stp>BDH|8278130618812596959</stp>
        <tr r="D20" s="2"/>
      </tp>
      <tp t="s">
        <v>#N/A N/A</v>
        <stp/>
        <stp>BDH|5392261946177457796</stp>
        <tr r="AA46" s="2"/>
      </tp>
      <tp t="s">
        <v>#N/A N/A</v>
        <stp/>
        <stp>BDH|7810180543194483589</stp>
        <tr r="Q8" s="2"/>
      </tp>
      <tp t="s">
        <v>#N/A N/A</v>
        <stp/>
        <stp>BDH|8370278370186306881</stp>
        <tr r="H48" s="2"/>
      </tp>
      <tp t="s">
        <v>#N/A N/A</v>
        <stp/>
        <stp>BDH|1468336621161976209</stp>
        <tr r="AF31" s="2"/>
      </tp>
      <tp t="s">
        <v>#N/A N/A</v>
        <stp/>
        <stp>BDH|4304227020457888065</stp>
        <tr r="G16" s="2"/>
      </tp>
      <tp t="s">
        <v>#N/A N/A</v>
        <stp/>
        <stp>BDH|4449212506652878773</stp>
        <tr r="N15" s="2"/>
      </tp>
      <tp t="s">
        <v>#N/A N/A</v>
        <stp/>
        <stp>BDH|8222618107724091988</stp>
        <tr r="U30" s="2"/>
      </tp>
      <tp t="s">
        <v>#N/A N/A</v>
        <stp/>
        <stp>BDH|5815824051343389841</stp>
        <tr r="G33" s="2"/>
      </tp>
      <tp t="s">
        <v>#N/A N/A</v>
        <stp/>
        <stp>BDH|1834042229996087689</stp>
        <tr r="AD43" s="2"/>
      </tp>
      <tp t="s">
        <v>#N/A N/A</v>
        <stp/>
        <stp>BDH|4907955983742910440</stp>
        <tr r="S52" s="2"/>
      </tp>
      <tp t="s">
        <v>#N/A N/A</v>
        <stp/>
        <stp>BDH|5097425676074512135</stp>
        <tr r="J56" s="2"/>
      </tp>
      <tp t="s">
        <v>#N/A N/A</v>
        <stp/>
        <stp>BDH|5186415151124515365</stp>
        <tr r="W62" s="2"/>
      </tp>
      <tp t="s">
        <v>#N/A N/A</v>
        <stp/>
        <stp>BDH|1991098269690860439</stp>
        <tr r="X8" s="2"/>
      </tp>
      <tp t="s">
        <v>#N/A N/A</v>
        <stp/>
        <stp>BDH|3018014512268429946</stp>
        <tr r="C30" s="2"/>
      </tp>
      <tp t="s">
        <v>#N/A N/A</v>
        <stp/>
        <stp>BDH|3258642923844501038</stp>
        <tr r="AA19" s="2"/>
      </tp>
      <tp t="s">
        <v>#N/A N/A</v>
        <stp/>
        <stp>BDH|1764157755820797600</stp>
        <tr r="F29" s="2"/>
      </tp>
      <tp t="s">
        <v>#N/A N/A</v>
        <stp/>
        <stp>BDH|1187966259379697786</stp>
        <tr r="O14" s="2"/>
      </tp>
      <tp t="s">
        <v>#N/A N/A</v>
        <stp/>
        <stp>BDH|5416326405213209617</stp>
        <tr r="H26" s="2"/>
      </tp>
      <tp t="s">
        <v>#N/A N/A</v>
        <stp/>
        <stp>BDH|7716291849427630513</stp>
        <tr r="X12" s="2"/>
      </tp>
      <tp t="s">
        <v>#N/A N/A</v>
        <stp/>
        <stp>BDH|7447031258875659493</stp>
        <tr r="X58" s="2"/>
      </tp>
      <tp t="s">
        <v>#N/A N/A</v>
        <stp/>
        <stp>BDH|5525853916306138963</stp>
        <tr r="AB46" s="2"/>
      </tp>
      <tp t="s">
        <v>#N/A N/A</v>
        <stp/>
        <stp>BDH|8142101782655549775</stp>
        <tr r="W61" s="2"/>
      </tp>
      <tp t="s">
        <v>#N/A N/A</v>
        <stp/>
        <stp>BDH|4636860745983748835</stp>
        <tr r="AB61" s="2"/>
      </tp>
      <tp t="s">
        <v>#N/A N/A</v>
        <stp/>
        <stp>BDH|3592058218185856461</stp>
        <tr r="W33" s="2"/>
      </tp>
      <tp t="s">
        <v>#N/A N/A</v>
        <stp/>
        <stp>BDH|4419586722003992312</stp>
        <tr r="AC47" s="2"/>
      </tp>
      <tp t="s">
        <v>#N/A N/A</v>
        <stp/>
        <stp>BDH|1084608253034489509</stp>
        <tr r="K35" s="2"/>
      </tp>
      <tp t="s">
        <v>#N/A N/A</v>
        <stp/>
        <stp>BDH|5466306812416514249</stp>
        <tr r="Y12" s="2"/>
      </tp>
      <tp t="s">
        <v>#N/A N/A</v>
        <stp/>
        <stp>BDH|8598944123366679600</stp>
        <tr r="M42" s="2"/>
      </tp>
      <tp t="s">
        <v>#N/A N/A</v>
        <stp/>
        <stp>BDH|8655814665406491327</stp>
        <tr r="M32" s="2"/>
      </tp>
      <tp t="s">
        <v>#N/A N/A</v>
        <stp/>
        <stp>BDH|9267377844758253568</stp>
        <tr r="P34" s="2"/>
      </tp>
      <tp t="s">
        <v>#N/A N/A</v>
        <stp/>
        <stp>BDH|259057354145763529</stp>
        <tr r="E16" s="2"/>
      </tp>
      <tp t="s">
        <v>#N/A N/A</v>
        <stp/>
        <stp>BDH|456055415431000524</stp>
        <tr r="I22" s="2"/>
      </tp>
      <tp t="s">
        <v>#N/A N/A</v>
        <stp/>
        <stp>BDH|818290356174363663</stp>
        <tr r="N59" s="2"/>
      </tp>
      <tp t="s">
        <v>#N/A N/A</v>
        <stp/>
        <stp>BDH|556622462417596238</stp>
        <tr r="I8" s="2"/>
      </tp>
      <tp t="s">
        <v>#N/A N/A</v>
        <stp/>
        <stp>BDH|673369660421063088</stp>
        <tr r="AF46" s="2"/>
      </tp>
      <tp t="s">
        <v>#N/A N/A</v>
        <stp/>
        <stp>BDH|406139960575253633</stp>
        <tr r="K42" s="2"/>
      </tp>
      <tp t="s">
        <v>#N/A N/A</v>
        <stp/>
        <stp>BDH|819143479316149429</stp>
        <tr r="X57" s="2"/>
      </tp>
      <tp t="s">
        <v>#N/A N/A</v>
        <stp/>
        <stp>BDH|792608131635589423</stp>
        <tr r="AF26" s="2"/>
      </tp>
      <tp t="s">
        <v>#N/A N/A</v>
        <stp/>
        <stp>BDH|625334073002545191</stp>
        <tr r="F61" s="2"/>
      </tp>
      <tp t="s">
        <v>#N/A N/A</v>
        <stp/>
        <stp>BDH|427407386772345975</stp>
        <tr r="E29" s="2"/>
      </tp>
      <tp t="s">
        <v>#N/A N/A</v>
        <stp/>
        <stp>BDH|732475502865142645</stp>
        <tr r="G43" s="2"/>
      </tp>
      <tp t="s">
        <v>#N/A N/A</v>
        <stp/>
        <stp>BDH|720313749374633258</stp>
        <tr r="O25" s="2"/>
      </tp>
      <tp t="s">
        <v>#N/A N/A</v>
        <stp/>
        <stp>BDH|983041197580448831</stp>
        <tr r="N60" s="2"/>
      </tp>
      <tp t="s">
        <v>#N/A N/A</v>
        <stp/>
        <stp>BDH|796884111760301821</stp>
        <tr r="V23" s="2"/>
      </tp>
      <tp t="s">
        <v>#N/A N/A</v>
        <stp/>
        <stp>BDH|907023301561534065</stp>
        <tr r="Y56" s="2"/>
      </tp>
      <tp t="s">
        <v>#N/A N/A</v>
        <stp/>
        <stp>BDH|653299467324084120</stp>
        <tr r="M28" s="2"/>
      </tp>
      <tp t="s">
        <v>#N/A N/A</v>
        <stp/>
        <stp>BDH|734082020947097456</stp>
        <tr r="S60" s="2"/>
      </tp>
      <tp t="s">
        <v>#N/A N/A</v>
        <stp/>
        <stp>BDH|567272261212554750</stp>
        <tr r="Z19" s="2"/>
      </tp>
      <tp t="s">
        <v>#N/A N/A</v>
        <stp/>
        <stp>BDH|238891444459222518</stp>
        <tr r="H38" s="2"/>
      </tp>
      <tp t="s">
        <v>#N/A N/A</v>
        <stp/>
        <stp>BDH|163704579866101626</stp>
        <tr r="X63" s="2"/>
      </tp>
      <tp t="s">
        <v>#N/A N/A</v>
        <stp/>
        <stp>BDH|650744954712948047</stp>
        <tr r="J59" s="2"/>
      </tp>
      <tp t="s">
        <v>#N/A N/A</v>
        <stp/>
        <stp>BDH|950402427594505298</stp>
        <tr r="S45" s="2"/>
      </tp>
      <tp t="s">
        <v>#N/A N/A</v>
        <stp/>
        <stp>BDH|406793546071224156</stp>
        <tr r="H56" s="2"/>
      </tp>
      <tp t="s">
        <v>#N/A N/A</v>
        <stp/>
        <stp>BDH|510807412093170964</stp>
        <tr r="X22" s="2"/>
      </tp>
      <tp t="s">
        <v>#N/A N/A</v>
        <stp/>
        <stp>BDH|719102535809974957</stp>
        <tr r="P11" s="2"/>
      </tp>
      <tp t="s">
        <v>#N/A N/A</v>
        <stp/>
        <stp>BDH|740686053061069075</stp>
        <tr r="D32" s="2"/>
      </tp>
      <tp t="s">
        <v>#N/A N/A</v>
        <stp/>
        <stp>BDH|170987498241398316</stp>
        <tr r="AA29" s="2"/>
      </tp>
      <tp t="s">
        <v>#N/A N/A</v>
        <stp/>
        <stp>BDH|882030650041894998</stp>
        <tr r="M45" s="2"/>
      </tp>
      <tp t="s">
        <v>#N/A N/A</v>
        <stp/>
        <stp>BDH|904310940709572395</stp>
        <tr r="H13" s="2"/>
      </tp>
      <tp t="s">
        <v>#N/A N/A</v>
        <stp/>
        <stp>BDH|606116613444063898</stp>
        <tr r="D24" s="2"/>
      </tp>
      <tp t="s">
        <v>#N/A N/A</v>
        <stp/>
        <stp>BDH|715527387425615428</stp>
        <tr r="I15" s="2"/>
      </tp>
      <tp t="s">
        <v>#N/A N/A</v>
        <stp/>
        <stp>BDH|557792616448442119</stp>
        <tr r="H58" s="2"/>
      </tp>
      <tp t="s">
        <v>#N/A N/A</v>
        <stp/>
        <stp>BDH|649892972491356173</stp>
        <tr r="W42" s="2"/>
      </tp>
      <tp t="s">
        <v>#N/A N/A</v>
        <stp/>
        <stp>BDH|251930754677800465</stp>
        <tr r="L8" s="2"/>
      </tp>
      <tp t="s">
        <v>#N/A N/A</v>
        <stp/>
        <stp>BDH|568853997506489823</stp>
        <tr r="Q28" s="2"/>
      </tp>
      <tp t="s">
        <v>#N/A N/A</v>
        <stp/>
        <stp>BDH|730705684232174207</stp>
        <tr r="V16" s="2"/>
      </tp>
      <tp t="s">
        <v>#N/A N/A</v>
        <stp/>
        <stp>BDH|980376137836256884</stp>
        <tr r="M20" s="2"/>
      </tp>
      <tp t="s">
        <v>#N/A N/A</v>
        <stp/>
        <stp>BDH|389845367481956659</stp>
        <tr r="S50" s="2"/>
      </tp>
      <tp t="s">
        <v>#N/A N/A</v>
        <stp/>
        <stp>BDH|921805810035354502</stp>
        <tr r="E27" s="2"/>
      </tp>
      <tp t="s">
        <v>#N/A N/A</v>
        <stp/>
        <stp>BDH|670309975935209847</stp>
        <tr r="Z62" s="2"/>
      </tp>
      <tp t="s">
        <v>#N/A N/A</v>
        <stp/>
        <stp>BDH|274335183283049148</stp>
        <tr r="K14" s="2"/>
      </tp>
      <tp t="s">
        <v>#N/A N/A</v>
        <stp/>
        <stp>BDH|893891896741523949</stp>
        <tr r="AF41" s="2"/>
      </tp>
      <tp t="s">
        <v>#N/A N/A</v>
        <stp/>
        <stp>BDH|786892504271163086</stp>
        <tr r="Q16" s="2"/>
      </tp>
      <tp t="s">
        <v>#N/A N/A</v>
        <stp/>
        <stp>BDH|236703195711235666</stp>
        <tr r="J40" s="2"/>
      </tp>
      <tp t="s">
        <v>#N/A N/A</v>
        <stp/>
        <stp>BDH|129484587403793722</stp>
        <tr r="R62" s="2"/>
      </tp>
      <tp t="s">
        <v>#N/A N/A</v>
        <stp/>
        <stp>BDH|542915160705747280</stp>
        <tr r="C60" s="2"/>
      </tp>
      <tp t="s">
        <v>#N/A N/A</v>
        <stp/>
        <stp>BDH|180611879098845155</stp>
        <tr r="R40" s="2"/>
      </tp>
      <tp t="s">
        <v>#N/A N/A</v>
        <stp/>
        <stp>BDH|893926058973069742</stp>
        <tr r="K34" s="2"/>
      </tp>
      <tp t="s">
        <v>#N/A N/A</v>
        <stp/>
        <stp>BDH|353159238012857819</stp>
        <tr r="Q29" s="2"/>
      </tp>
      <tp t="s">
        <v>#N/A N/A</v>
        <stp/>
        <stp>BDH|871889730551087220</stp>
        <tr r="M29" s="2"/>
      </tp>
      <tp t="s">
        <v>#N/A N/A</v>
        <stp/>
        <stp>BDH|570009271775051926</stp>
        <tr r="D41" s="2"/>
      </tp>
      <tp t="s">
        <v>#N/A N/A</v>
        <stp/>
        <stp>BDH|872171189796869517</stp>
        <tr r="U10" s="2"/>
      </tp>
      <tp t="s">
        <v>#N/A N/A</v>
        <stp/>
        <stp>BDH|868510144368467312</stp>
        <tr r="Z29" s="2"/>
      </tp>
      <tp t="s">
        <v>#N/A N/A</v>
        <stp/>
        <stp>BDH|180951624439671802</stp>
        <tr r="R28" s="2"/>
      </tp>
      <tp t="s">
        <v>#N/A N/A</v>
        <stp/>
        <stp>BDH|758646497555355078</stp>
        <tr r="W34" s="2"/>
      </tp>
      <tp t="s">
        <v>#N/A N/A</v>
        <stp/>
        <stp>BDH|798304973308002653</stp>
        <tr r="O31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4"/>
  <sheetViews>
    <sheetView tabSelected="1" workbookViewId="0"/>
  </sheetViews>
  <sheetFormatPr defaultRowHeight="15" x14ac:dyDescent="0.25"/>
  <cols>
    <col min="1" max="1" width="35.140625" customWidth="1"/>
    <col min="2" max="2" width="0" hidden="1" customWidth="1"/>
    <col min="3" max="32" width="11.85546875" customWidth="1"/>
  </cols>
  <sheetData>
    <row r="1" spans="1:3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20.25" x14ac:dyDescent="0.25">
      <c r="A2" s="8" t="s">
        <v>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3" t="s">
        <v>3</v>
      </c>
      <c r="B4" s="3"/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</row>
    <row r="5" spans="1:32" x14ac:dyDescent="0.25">
      <c r="A5" s="9" t="s">
        <v>34</v>
      </c>
      <c r="B5" s="9"/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  <c r="AE5" s="5" t="s">
        <v>63</v>
      </c>
      <c r="AF5" s="5" t="s">
        <v>64</v>
      </c>
    </row>
    <row r="6" spans="1:32" x14ac:dyDescent="0.25">
      <c r="A6" s="6" t="s">
        <v>65</v>
      </c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</row>
    <row r="7" spans="1:32" x14ac:dyDescent="0.25">
      <c r="A7" s="10" t="s">
        <v>66</v>
      </c>
      <c r="B7" s="10" t="s">
        <v>67</v>
      </c>
      <c r="C7" s="12" cm="1">
        <f t="array" ref="C7">_xll.BDH("PCAR US Equity","CF_NET_INC","FQ3 2018","FQ3 2018","Currency=USD","Period=FQ","BEST_FPERIOD_OVERRIDE=FQ","FILING_STATUS=MR","SCALING_FORMAT=MLN","Sort=A","Dates=H","DateFormat=P","Fill=—","Direction=H","UseDPDF=Y")</f>
        <v>545.29999999999995</v>
      </c>
      <c r="D7" s="12" cm="1">
        <f t="array" ref="D7">_xll.BDH("PCAR US Equity","CF_NET_INC","FQ4 2018","FQ4 2018","Currency=USD","Period=FQ","BEST_FPERIOD_OVERRIDE=FQ","FILING_STATUS=MR","SCALING_FORMAT=MLN","Sort=A","Dates=H","DateFormat=P","Fill=—","Direction=H","UseDPDF=Y")</f>
        <v>578.1</v>
      </c>
      <c r="E7" s="12" cm="1">
        <f t="array" ref="E7">_xll.BDH("PCAR US Equity","CF_NET_INC","FQ1 2019","FQ1 2019","Currency=USD","Period=FQ","BEST_FPERIOD_OVERRIDE=FQ","FILING_STATUS=MR","SCALING_FORMAT=MLN","Sort=A","Dates=H","DateFormat=P","Fill=—","Direction=H","UseDPDF=Y")</f>
        <v>629</v>
      </c>
      <c r="F7" s="12" cm="1">
        <f t="array" ref="F7">_xll.BDH("PCAR US Equity","CF_NET_INC","FQ2 2019","FQ2 2019","Currency=USD","Period=FQ","BEST_FPERIOD_OVERRIDE=FQ","FILING_STATUS=MR","SCALING_FORMAT=MLN","Sort=A","Dates=H","DateFormat=P","Fill=—","Direction=H","UseDPDF=Y")</f>
        <v>619.70000000000005</v>
      </c>
      <c r="G7" s="12" cm="1">
        <f t="array" ref="G7">_xll.BDH("PCAR US Equity","CF_NET_INC","FQ3 2019","FQ3 2019","Currency=USD","Period=FQ","BEST_FPERIOD_OVERRIDE=FQ","FILING_STATUS=MR","SCALING_FORMAT=MLN","Sort=A","Dates=H","DateFormat=P","Fill=—","Direction=H","UseDPDF=Y")</f>
        <v>607.9</v>
      </c>
      <c r="H7" s="12" cm="1">
        <f t="array" ref="H7">_xll.BDH("PCAR US Equity","CF_NET_INC","FQ4 2019","FQ4 2019","Currency=USD","Period=FQ","BEST_FPERIOD_OVERRIDE=FQ","FILING_STATUS=MR","SCALING_FORMAT=MLN","Sort=A","Dates=H","DateFormat=P","Fill=—","Direction=H","UseDPDF=Y")</f>
        <v>531.29999999999995</v>
      </c>
      <c r="I7" s="12" cm="1">
        <f t="array" ref="I7">_xll.BDH("PCAR US Equity","CF_NET_INC","FQ1 2020","FQ1 2020","Currency=USD","Period=FQ","BEST_FPERIOD_OVERRIDE=FQ","FILING_STATUS=MR","SCALING_FORMAT=MLN","Sort=A","Dates=H","DateFormat=P","Fill=—","Direction=H","UseDPDF=Y")</f>
        <v>359.4</v>
      </c>
      <c r="J7" s="12" cm="1">
        <f t="array" ref="J7">_xll.BDH("PCAR US Equity","CF_NET_INC","FQ2 2020","FQ2 2020","Currency=USD","Period=FQ","BEST_FPERIOD_OVERRIDE=FQ","FILING_STATUS=MR","SCALING_FORMAT=MLN","Sort=A","Dates=H","DateFormat=P","Fill=—","Direction=H","UseDPDF=Y")</f>
        <v>147.69999999999999</v>
      </c>
      <c r="K7" s="12" cm="1">
        <f t="array" ref="K7">_xll.BDH("PCAR US Equity","CF_NET_INC","FQ3 2020","FQ3 2020","Currency=USD","Period=FQ","BEST_FPERIOD_OVERRIDE=FQ","FILING_STATUS=MR","SCALING_FORMAT=MLN","Sort=A","Dates=H","DateFormat=P","Fill=—","Direction=H","UseDPDF=Y")</f>
        <v>385.5</v>
      </c>
      <c r="L7" s="12" cm="1">
        <f t="array" ref="L7">_xll.BDH("PCAR US Equity","CF_NET_INC","FQ4 2020","FQ4 2020","Currency=USD","Period=FQ","BEST_FPERIOD_OVERRIDE=FQ","FILING_STATUS=MR","SCALING_FORMAT=MLN","Sort=A","Dates=H","DateFormat=P","Fill=—","Direction=H","UseDPDF=Y")</f>
        <v>405.8</v>
      </c>
      <c r="M7" s="12" cm="1">
        <f t="array" ref="M7">_xll.BDH("PCAR US Equity","CF_NET_INC","FQ1 2021","FQ1 2021","Currency=USD","Period=FQ","BEST_FPERIOD_OVERRIDE=FQ","FILING_STATUS=MR","SCALING_FORMAT=MLN","Sort=A","Dates=H","DateFormat=P","Fill=—","Direction=H","UseDPDF=Y")</f>
        <v>470.8</v>
      </c>
      <c r="N7" s="12" cm="1">
        <f t="array" ref="N7">_xll.BDH("PCAR US Equity","CF_NET_INC","FQ2 2021","FQ2 2021","Currency=USD","Period=FQ","BEST_FPERIOD_OVERRIDE=FQ","FILING_STATUS=MR","SCALING_FORMAT=MLN","Sort=A","Dates=H","DateFormat=P","Fill=—","Direction=H","UseDPDF=Y")</f>
        <v>495.5</v>
      </c>
      <c r="O7" s="12" cm="1">
        <f t="array" ref="O7">_xll.BDH("PCAR US Equity","CF_NET_INC","FQ3 2021","FQ3 2021","Currency=USD","Period=FQ","BEST_FPERIOD_OVERRIDE=FQ","FILING_STATUS=MR","SCALING_FORMAT=MLN","Sort=A","Dates=H","DateFormat=P","Fill=—","Direction=H","UseDPDF=Y")</f>
        <v>380.5</v>
      </c>
      <c r="P7" s="12" cm="1">
        <f t="array" ref="P7">_xll.BDH("PCAR US Equity","CF_NET_INC","FQ4 2021","FQ4 2021","Currency=USD","Period=FQ","BEST_FPERIOD_OVERRIDE=FQ","FILING_STATUS=MR","SCALING_FORMAT=MLN","Sort=A","Dates=H","DateFormat=P","Fill=—","Direction=H","UseDPDF=Y")</f>
        <v>518.70000000000005</v>
      </c>
      <c r="Q7" s="12" cm="1">
        <f t="array" ref="Q7">_xll.BDH("PCAR US Equity","CF_NET_INC","FQ1 2022","FQ1 2022","Currency=USD","Period=FQ","BEST_FPERIOD_OVERRIDE=FQ","FILING_STATUS=MR","SCALING_FORMAT=MLN","Sort=A","Dates=H","DateFormat=P","Fill=—","Direction=H","UseDPDF=Y")</f>
        <v>600.5</v>
      </c>
      <c r="R7" s="12" cm="1">
        <f t="array" ref="R7">_xll.BDH("PCAR US Equity","CF_NET_INC","FQ2 2022","FQ2 2022","Currency=USD","Period=FQ","BEST_FPERIOD_OVERRIDE=FQ","FILING_STATUS=MR","SCALING_FORMAT=MLN","Sort=A","Dates=H","DateFormat=P","Fill=—","Direction=H","UseDPDF=Y")</f>
        <v>720.4</v>
      </c>
      <c r="S7" s="12" cm="1">
        <f t="array" ref="S7">_xll.BDH("PCAR US Equity","CF_NET_INC","FQ3 2022","FQ3 2022","Currency=USD","Period=FQ","BEST_FPERIOD_OVERRIDE=FQ","FILING_STATUS=MR","SCALING_FORMAT=MLN","Sort=A","Dates=H","DateFormat=P","Fill=—","Direction=H","UseDPDF=Y")</f>
        <v>769.4</v>
      </c>
      <c r="T7" s="12" cm="1">
        <f t="array" ref="T7">_xll.BDH("PCAR US Equity","CF_NET_INC","FQ4 2022","FQ4 2022","Currency=USD","Period=FQ","BEST_FPERIOD_OVERRIDE=FQ","FILING_STATUS=MR","SCALING_FORMAT=MLN","Sort=A","Dates=H","DateFormat=P","Fill=—","Direction=H","UseDPDF=Y")</f>
        <v>921.3</v>
      </c>
      <c r="U7" s="12" cm="1">
        <f t="array" ref="U7">_xll.BDH("PCAR US Equity","CF_NET_INC","FQ1 2023","FQ1 2023","Currency=USD","Period=FQ","BEST_FPERIOD_OVERRIDE=FQ","FILING_STATUS=MR","SCALING_FORMAT=MLN","Sort=A","Dates=H","DateFormat=P","Fill=—","Direction=H","UseDPDF=Y")</f>
        <v>733.9</v>
      </c>
      <c r="V7" s="12" cm="1">
        <f t="array" ref="V7">_xll.BDH("PCAR US Equity","CF_NET_INC","FQ2 2023","FQ2 2023","Currency=USD","Period=FQ","BEST_FPERIOD_OVERRIDE=FQ","FILING_STATUS=MR","SCALING_FORMAT=MLN","Sort=A","Dates=H","DateFormat=P","Fill=—","Direction=H","UseDPDF=Y")</f>
        <v>1221.0999999999999</v>
      </c>
      <c r="W7" s="12" cm="1">
        <f t="array" ref="W7">_xll.BDH("PCAR US Equity","CF_NET_INC","FQ3 2023","FQ3 2023","Currency=USD","Period=FQ","BEST_FPERIOD_OVERRIDE=FQ","FILING_STATUS=MR","SCALING_FORMAT=MLN","Sort=A","Dates=H","DateFormat=P","Fill=—","Direction=H","UseDPDF=Y")</f>
        <v>1228.5</v>
      </c>
      <c r="X7" s="12" cm="1">
        <f t="array" ref="X7">_xll.BDH("PCAR US Equity","CF_NET_INC","FQ4 2023","FQ4 2023","Currency=USD","Period=FQ","BEST_FPERIOD_OVERRIDE=FQ","FILING_STATUS=MR","SCALING_FORMAT=MLN","Sort=A","Dates=H","DateFormat=P","Fill=—","Direction=H","UseDPDF=Y")</f>
        <v>1417.3</v>
      </c>
      <c r="Y7" s="12" cm="1">
        <f t="array" ref="Y7">_xll.BDH("PCAR US Equity","CF_NET_INC","FQ1 2024","FQ1 2024","Currency=USD","Period=FQ","BEST_FPERIOD_OVERRIDE=FQ","FILING_STATUS=MR","SCALING_FORMAT=MLN","Sort=A","Dates=H","DateFormat=P","Fill=—","Direction=H","UseDPDF=Y")</f>
        <v>1195.3</v>
      </c>
      <c r="Z7" s="12" cm="1">
        <f t="array" ref="Z7">_xll.BDH("PCAR US Equity","CF_NET_INC","FQ2 2024","FQ2 2024","Currency=USD","Period=FQ","BEST_FPERIOD_OVERRIDE=FQ","FILING_STATUS=MR","SCALING_FORMAT=MLN","Sort=A","Dates=H","DateFormat=P","Fill=—","Direction=H","UseDPDF=Y")</f>
        <v>1122.5999999999999</v>
      </c>
      <c r="AA7" s="12" cm="1">
        <f t="array" ref="AA7">_xll.BDH("PCAR US Equity","CF_NET_INC","FQ3 2024","FQ3 2024","Currency=USD","Period=FQ","BEST_FPERIOD_OVERRIDE=FQ","FILING_STATUS=MR","SCALING_FORMAT=MLN","Sort=A","Dates=H","DateFormat=P","Fill=—","Direction=H","UseDPDF=Y")</f>
        <v>972.1</v>
      </c>
      <c r="AB7" s="12" cm="1">
        <f t="array" ref="AB7">_xll.BDH("PCAR US Equity","CF_NET_INC","FQ4 2024","FQ4 2024","Currency=USD","Period=FQ","BEST_FPERIOD_OVERRIDE=FQ","FILING_STATUS=MR","SCALING_FORMAT=MLN","Sort=A","Dates=H","DateFormat=P","Fill=—","Direction=H","UseDPDF=Y")</f>
        <v>872</v>
      </c>
      <c r="AC7" s="12" cm="1">
        <f t="array" ref="AC7">_xll.BDH("PCAR US Equity","CF_NET_INC","FQ1 2025","FQ1 2025","Currency=USD","Period=FQ","BEST_FPERIOD_OVERRIDE=FQ","FILING_STATUS=MR","SCALING_FORMAT=MLN","Sort=A","Dates=H","DateFormat=P","Fill=—","Direction=H","UseDPDF=Y")</f>
        <v>505.1</v>
      </c>
      <c r="AD7" s="12" cm="1">
        <f t="array" ref="AD7">_xll.BDH("PCAR US Equity","CF_NET_INC","FQ2 2025","FQ2 2025","Currency=USD","Period=FQ","BEST_FPERIOD_OVERRIDE=FQ","FILING_STATUS=MR","SCALING_FORMAT=MLN","Sort=A","Dates=H","DateFormat=P","Fill=—","Direction=H","UseDPDF=Y")</f>
        <v>723.8</v>
      </c>
      <c r="AE7" s="12" cm="1">
        <f t="array" ref="AE7">_xll.BDH("PCAR US Equity","CF_NET_INC","FQ3 2025","FQ3 2025","Currency=USD","Period=FQ","BEST_FPERIOD_OVERRIDE=FQ","FILING_STATUS=MR","SCALING_FORMAT=MLN","Sort=A","Dates=H","DateFormat=P","Fill=—","Direction=H","UseDPDF=Y")</f>
        <v>590</v>
      </c>
      <c r="AF7" s="12" cm="1">
        <f t="array" ref="AF7">_xll.BDH("PCAR US Equity","CF_NET_INC","FQ4 2025","FQ4 2025","Currency=USD","Period=FQ","BEST_FPERIOD_OVERRIDE=FQ","FILING_STATUS=MR","SCALING_FORMAT=MLN","Sort=A","Dates=H","DateFormat=P","Fill=—","Direction=H","UseDPDF=Y")</f>
        <v>556.9</v>
      </c>
    </row>
    <row r="8" spans="1:32" x14ac:dyDescent="0.25">
      <c r="A8" s="10" t="s">
        <v>68</v>
      </c>
      <c r="B8" s="10" t="s">
        <v>69</v>
      </c>
      <c r="C8" s="12" cm="1">
        <f t="array" ref="C8">_xll.BDH("PCAR US Equity","CF_DEPR_AMORT","FQ3 2018","FQ3 2018","Currency=USD","Period=FQ","BEST_FPERIOD_OVERRIDE=FQ","FILING_STATUS=MR","SCALING_FORMAT=MLN","Sort=A","Dates=H","DateFormat=P","Fill=—","Direction=H","UseDPDF=Y")</f>
        <v>75.8</v>
      </c>
      <c r="D8" s="12" cm="1">
        <f t="array" ref="D8">_xll.BDH("PCAR US Equity","CF_DEPR_AMORT","FQ4 2018","FQ4 2018","Currency=USD","Period=FQ","BEST_FPERIOD_OVERRIDE=FQ","FILING_STATUS=MR","SCALING_FORMAT=MLN","Sort=A","Dates=H","DateFormat=P","Fill=—","Direction=H","UseDPDF=Y")</f>
        <v>82</v>
      </c>
      <c r="E8" s="12" cm="1">
        <f t="array" ref="E8">_xll.BDH("PCAR US Equity","CF_DEPR_AMORT","FQ1 2019","FQ1 2019","Currency=USD","Period=FQ","BEST_FPERIOD_OVERRIDE=FQ","FILING_STATUS=MR","SCALING_FORMAT=MLN","Sort=A","Dates=H","DateFormat=P","Fill=—","Direction=H","UseDPDF=Y")</f>
        <v>81.400000000000006</v>
      </c>
      <c r="F8" s="12" cm="1">
        <f t="array" ref="F8">_xll.BDH("PCAR US Equity","CF_DEPR_AMORT","FQ2 2019","FQ2 2019","Currency=USD","Period=FQ","BEST_FPERIOD_OVERRIDE=FQ","FILING_STATUS=MR","SCALING_FORMAT=MLN","Sort=A","Dates=H","DateFormat=P","Fill=—","Direction=H","UseDPDF=Y")</f>
        <v>81.2</v>
      </c>
      <c r="G8" s="12" cm="1">
        <f t="array" ref="G8">_xll.BDH("PCAR US Equity","CF_DEPR_AMORT","FQ3 2019","FQ3 2019","Currency=USD","Period=FQ","BEST_FPERIOD_OVERRIDE=FQ","FILING_STATUS=MR","SCALING_FORMAT=MLN","Sort=A","Dates=H","DateFormat=P","Fill=—","Direction=H","UseDPDF=Y")</f>
        <v>80.5</v>
      </c>
      <c r="H8" s="12" cm="1">
        <f t="array" ref="H8">_xll.BDH("PCAR US Equity","CF_DEPR_AMORT","FQ4 2019","FQ4 2019","Currency=USD","Period=FQ","BEST_FPERIOD_OVERRIDE=FQ","FILING_STATUS=MR","SCALING_FORMAT=MLN","Sort=A","Dates=H","DateFormat=P","Fill=—","Direction=H","UseDPDF=Y")</f>
        <v>79.099999999999994</v>
      </c>
      <c r="I8" s="12" cm="1">
        <f t="array" ref="I8">_xll.BDH("PCAR US Equity","CF_DEPR_AMORT","FQ1 2020","FQ1 2020","Currency=USD","Period=FQ","BEST_FPERIOD_OVERRIDE=FQ","FILING_STATUS=MR","SCALING_FORMAT=MLN","Sort=A","Dates=H","DateFormat=P","Fill=—","Direction=H","UseDPDF=Y")</f>
        <v>70</v>
      </c>
      <c r="J8" s="12" cm="1">
        <f t="array" ref="J8">_xll.BDH("PCAR US Equity","CF_DEPR_AMORT","FQ2 2020","FQ2 2020","Currency=USD","Period=FQ","BEST_FPERIOD_OVERRIDE=FQ","FILING_STATUS=MR","SCALING_FORMAT=MLN","Sort=A","Dates=H","DateFormat=P","Fill=—","Direction=H","UseDPDF=Y")</f>
        <v>52.4</v>
      </c>
      <c r="K8" s="12" cm="1">
        <f t="array" ref="K8">_xll.BDH("PCAR US Equity","CF_DEPR_AMORT","FQ3 2020","FQ3 2020","Currency=USD","Period=FQ","BEST_FPERIOD_OVERRIDE=FQ","FILING_STATUS=MR","SCALING_FORMAT=MLN","Sort=A","Dates=H","DateFormat=P","Fill=—","Direction=H","UseDPDF=Y")</f>
        <v>63.6</v>
      </c>
      <c r="L8" s="12" cm="1">
        <f t="array" ref="L8">_xll.BDH("PCAR US Equity","CF_DEPR_AMORT","FQ4 2020","FQ4 2020","Currency=USD","Period=FQ","BEST_FPERIOD_OVERRIDE=FQ","FILING_STATUS=MR","SCALING_FORMAT=MLN","Sort=A","Dates=H","DateFormat=P","Fill=—","Direction=H","UseDPDF=Y")</f>
        <v>63.6</v>
      </c>
      <c r="M8" s="12" cm="1">
        <f t="array" ref="M8">_xll.BDH("PCAR US Equity","CF_DEPR_AMORT","FQ1 2021","FQ1 2021","Currency=USD","Period=FQ","BEST_FPERIOD_OVERRIDE=FQ","FILING_STATUS=MR","SCALING_FORMAT=MLN","Sort=A","Dates=H","DateFormat=P","Fill=—","Direction=H","UseDPDF=Y")</f>
        <v>66.900000000000006</v>
      </c>
      <c r="N8" s="12" cm="1">
        <f t="array" ref="N8">_xll.BDH("PCAR US Equity","CF_DEPR_AMORT","FQ2 2021","FQ2 2021","Currency=USD","Period=FQ","BEST_FPERIOD_OVERRIDE=FQ","FILING_STATUS=MR","SCALING_FORMAT=MLN","Sort=A","Dates=H","DateFormat=P","Fill=—","Direction=H","UseDPDF=Y")</f>
        <v>66.900000000000006</v>
      </c>
      <c r="O8" s="12" cm="1">
        <f t="array" ref="O8">_xll.BDH("PCAR US Equity","CF_DEPR_AMORT","FQ3 2021","FQ3 2021","Currency=USD","Period=FQ","BEST_FPERIOD_OVERRIDE=FQ","FILING_STATUS=MR","SCALING_FORMAT=MLN","Sort=A","Dates=H","DateFormat=P","Fill=—","Direction=H","UseDPDF=Y")</f>
        <v>63.7</v>
      </c>
      <c r="P8" s="12" cm="1">
        <f t="array" ref="P8">_xll.BDH("PCAR US Equity","CF_DEPR_AMORT","FQ4 2021","FQ4 2021","Currency=USD","Period=FQ","BEST_FPERIOD_OVERRIDE=FQ","FILING_STATUS=MR","SCALING_FORMAT=MLN","Sort=A","Dates=H","DateFormat=P","Fill=—","Direction=H","UseDPDF=Y")</f>
        <v>72.5</v>
      </c>
      <c r="Q8" s="12" cm="1">
        <f t="array" ref="Q8">_xll.BDH("PCAR US Equity","CF_DEPR_AMORT","FQ1 2022","FQ1 2022","Currency=USD","Period=FQ","BEST_FPERIOD_OVERRIDE=FQ","FILING_STATUS=MR","SCALING_FORMAT=MLN","Sort=A","Dates=H","DateFormat=P","Fill=—","Direction=H","UseDPDF=Y")</f>
        <v>74</v>
      </c>
      <c r="R8" s="12" cm="1">
        <f t="array" ref="R8">_xll.BDH("PCAR US Equity","CF_DEPR_AMORT","FQ2 2022","FQ2 2022","Currency=USD","Period=FQ","BEST_FPERIOD_OVERRIDE=FQ","FILING_STATUS=MR","SCALING_FORMAT=MLN","Sort=A","Dates=H","DateFormat=P","Fill=—","Direction=H","UseDPDF=Y")</f>
        <v>81.3</v>
      </c>
      <c r="S8" s="12" cm="1">
        <f t="array" ref="S8">_xll.BDH("PCAR US Equity","CF_DEPR_AMORT","FQ3 2022","FQ3 2022","Currency=USD","Period=FQ","BEST_FPERIOD_OVERRIDE=FQ","FILING_STATUS=MR","SCALING_FORMAT=MLN","Sort=A","Dates=H","DateFormat=P","Fill=—","Direction=H","UseDPDF=Y")</f>
        <v>84.4</v>
      </c>
      <c r="T8" s="12" cm="1">
        <f t="array" ref="T8">_xll.BDH("PCAR US Equity","CF_DEPR_AMORT","FQ4 2022","FQ4 2022","Currency=USD","Period=FQ","BEST_FPERIOD_OVERRIDE=FQ","FILING_STATUS=MR","SCALING_FORMAT=MLN","Sort=A","Dates=H","DateFormat=P","Fill=—","Direction=H","UseDPDF=Y")</f>
        <v>92.5</v>
      </c>
      <c r="U8" s="12" cm="1">
        <f t="array" ref="U8">_xll.BDH("PCAR US Equity","CF_DEPR_AMORT","FQ1 2023","FQ1 2023","Currency=USD","Period=FQ","BEST_FPERIOD_OVERRIDE=FQ","FILING_STATUS=MR","SCALING_FORMAT=MLN","Sort=A","Dates=H","DateFormat=P","Fill=—","Direction=H","UseDPDF=Y")</f>
        <v>103</v>
      </c>
      <c r="V8" s="12" cm="1">
        <f t="array" ref="V8">_xll.BDH("PCAR US Equity","CF_DEPR_AMORT","FQ2 2023","FQ2 2023","Currency=USD","Period=FQ","BEST_FPERIOD_OVERRIDE=FQ","FILING_STATUS=MR","SCALING_FORMAT=MLN","Sort=A","Dates=H","DateFormat=P","Fill=—","Direction=H","UseDPDF=Y")</f>
        <v>102.2</v>
      </c>
      <c r="W8" s="12" cm="1">
        <f t="array" ref="W8">_xll.BDH("PCAR US Equity","CF_DEPR_AMORT","FQ3 2023","FQ3 2023","Currency=USD","Period=FQ","BEST_FPERIOD_OVERRIDE=FQ","FILING_STATUS=MR","SCALING_FORMAT=MLN","Sort=A","Dates=H","DateFormat=P","Fill=—","Direction=H","UseDPDF=Y")</f>
        <v>103</v>
      </c>
      <c r="X8" s="12" cm="1">
        <f t="array" ref="X8">_xll.BDH("PCAR US Equity","CF_DEPR_AMORT","FQ4 2023","FQ4 2023","Currency=USD","Period=FQ","BEST_FPERIOD_OVERRIDE=FQ","FILING_STATUS=MR","SCALING_FORMAT=MLN","Sort=A","Dates=H","DateFormat=P","Fill=—","Direction=H","UseDPDF=Y")</f>
        <v>106.8</v>
      </c>
      <c r="Y8" s="12" cm="1">
        <f t="array" ref="Y8">_xll.BDH("PCAR US Equity","CF_DEPR_AMORT","FQ1 2024","FQ1 2024","Currency=USD","Period=FQ","BEST_FPERIOD_OVERRIDE=FQ","FILING_STATUS=MR","SCALING_FORMAT=MLN","Sort=A","Dates=H","DateFormat=P","Fill=—","Direction=H","UseDPDF=Y")</f>
        <v>104.2</v>
      </c>
      <c r="Z8" s="12" cm="1">
        <f t="array" ref="Z8">_xll.BDH("PCAR US Equity","CF_DEPR_AMORT","FQ2 2024","FQ2 2024","Currency=USD","Period=FQ","BEST_FPERIOD_OVERRIDE=FQ","FILING_STATUS=MR","SCALING_FORMAT=MLN","Sort=A","Dates=H","DateFormat=P","Fill=—","Direction=H","UseDPDF=Y")</f>
        <v>100.1</v>
      </c>
      <c r="AA8" s="12" cm="1">
        <f t="array" ref="AA8">_xll.BDH("PCAR US Equity","CF_DEPR_AMORT","FQ3 2024","FQ3 2024","Currency=USD","Period=FQ","BEST_FPERIOD_OVERRIDE=FQ","FILING_STATUS=MR","SCALING_FORMAT=MLN","Sort=A","Dates=H","DateFormat=P","Fill=—","Direction=H","UseDPDF=Y")</f>
        <v>95.9</v>
      </c>
      <c r="AB8" s="12" cm="1">
        <f t="array" ref="AB8">_xll.BDH("PCAR US Equity","CF_DEPR_AMORT","FQ4 2024","FQ4 2024","Currency=USD","Period=FQ","BEST_FPERIOD_OVERRIDE=FQ","FILING_STATUS=MR","SCALING_FORMAT=MLN","Sort=A","Dates=H","DateFormat=P","Fill=—","Direction=H","UseDPDF=Y")</f>
        <v>98.2</v>
      </c>
      <c r="AC8" s="12" cm="1">
        <f t="array" ref="AC8">_xll.BDH("PCAR US Equity","CF_DEPR_AMORT","FQ1 2025","FQ1 2025","Currency=USD","Period=FQ","BEST_FPERIOD_OVERRIDE=FQ","FILING_STATUS=MR","SCALING_FORMAT=MLN","Sort=A","Dates=H","DateFormat=P","Fill=—","Direction=H","UseDPDF=Y")</f>
        <v>99.7</v>
      </c>
      <c r="AD8" s="12" cm="1">
        <f t="array" ref="AD8">_xll.BDH("PCAR US Equity","CF_DEPR_AMORT","FQ2 2025","FQ2 2025","Currency=USD","Period=FQ","BEST_FPERIOD_OVERRIDE=FQ","FILING_STATUS=MR","SCALING_FORMAT=MLN","Sort=A","Dates=H","DateFormat=P","Fill=—","Direction=H","UseDPDF=Y")</f>
        <v>99.8</v>
      </c>
      <c r="AE8" s="12" cm="1">
        <f t="array" ref="AE8">_xll.BDH("PCAR US Equity","CF_DEPR_AMORT","FQ3 2025","FQ3 2025","Currency=USD","Period=FQ","BEST_FPERIOD_OVERRIDE=FQ","FILING_STATUS=MR","SCALING_FORMAT=MLN","Sort=A","Dates=H","DateFormat=P","Fill=—","Direction=H","UseDPDF=Y")</f>
        <v>97.8</v>
      </c>
      <c r="AF8" s="12" cm="1">
        <f t="array" ref="AF8">_xll.BDH("PCAR US Equity","CF_DEPR_AMORT","FQ4 2025","FQ4 2025","Currency=USD","Period=FQ","BEST_FPERIOD_OVERRIDE=FQ","FILING_STATUS=MR","SCALING_FORMAT=MLN","Sort=A","Dates=H","DateFormat=P","Fill=—","Direction=H","UseDPDF=Y")</f>
        <v>100.9</v>
      </c>
    </row>
    <row r="9" spans="1:32" x14ac:dyDescent="0.25">
      <c r="A9" s="10" t="s">
        <v>70</v>
      </c>
      <c r="B9" s="10" t="s">
        <v>71</v>
      </c>
      <c r="C9" s="12" cm="1">
        <f t="array" ref="C9">_xll.BDH("PCAR US Equity","NON_CASH_ITEMS_DETAILED","FQ3 2018","FQ3 2018","Currency=USD","Period=FQ","BEST_FPERIOD_OVERRIDE=FQ","FILING_STATUS=MR","SCALING_FORMAT=MLN","Sort=A","Dates=H","DateFormat=P","Fill=—","Direction=H","UseDPDF=Y")</f>
        <v>182.8</v>
      </c>
      <c r="D9" s="12" cm="1">
        <f t="array" ref="D9">_xll.BDH("PCAR US Equity","NON_CASH_ITEMS_DETAILED","FQ4 2018","FQ4 2018","Currency=USD","Period=FQ","BEST_FPERIOD_OVERRIDE=FQ","FILING_STATUS=MR","SCALING_FORMAT=MLN","Sort=A","Dates=H","DateFormat=P","Fill=—","Direction=H","UseDPDF=Y")</f>
        <v>224.8</v>
      </c>
      <c r="E9" s="12" cm="1">
        <f t="array" ref="E9">_xll.BDH("PCAR US Equity","NON_CASH_ITEMS_DETAILED","FQ1 2019","FQ1 2019","Currency=USD","Period=FQ","BEST_FPERIOD_OVERRIDE=FQ","FILING_STATUS=MR","SCALING_FORMAT=MLN","Sort=A","Dates=H","DateFormat=P","Fill=—","Direction=H","UseDPDF=Y")</f>
        <v>165.1</v>
      </c>
      <c r="F9" s="12" cm="1">
        <f t="array" ref="F9">_xll.BDH("PCAR US Equity","NON_CASH_ITEMS_DETAILED","FQ2 2019","FQ2 2019","Currency=USD","Period=FQ","BEST_FPERIOD_OVERRIDE=FQ","FILING_STATUS=MR","SCALING_FORMAT=MLN","Sort=A","Dates=H","DateFormat=P","Fill=—","Direction=H","UseDPDF=Y")</f>
        <v>216.1</v>
      </c>
      <c r="G9" s="12" cm="1">
        <f t="array" ref="G9">_xll.BDH("PCAR US Equity","NON_CASH_ITEMS_DETAILED","FQ3 2019","FQ3 2019","Currency=USD","Period=FQ","BEST_FPERIOD_OVERRIDE=FQ","FILING_STATUS=MR","SCALING_FORMAT=MLN","Sort=A","Dates=H","DateFormat=P","Fill=—","Direction=H","UseDPDF=Y")</f>
        <v>216.4</v>
      </c>
      <c r="H9" s="12" cm="1">
        <f t="array" ref="H9">_xll.BDH("PCAR US Equity","NON_CASH_ITEMS_DETAILED","FQ4 2019","FQ4 2019","Currency=USD","Period=FQ","BEST_FPERIOD_OVERRIDE=FQ","FILING_STATUS=MR","SCALING_FORMAT=MLN","Sort=A","Dates=H","DateFormat=P","Fill=—","Direction=H","UseDPDF=Y")</f>
        <v>234.6</v>
      </c>
      <c r="I9" s="12" cm="1">
        <f t="array" ref="I9">_xll.BDH("PCAR US Equity","NON_CASH_ITEMS_DETAILED","FQ1 2020","FQ1 2020","Currency=USD","Period=FQ","BEST_FPERIOD_OVERRIDE=FQ","FILING_STATUS=MR","SCALING_FORMAT=MLN","Sort=A","Dates=H","DateFormat=P","Fill=—","Direction=H","UseDPDF=Y")</f>
        <v>194</v>
      </c>
      <c r="J9" s="12" cm="1">
        <f t="array" ref="J9">_xll.BDH("PCAR US Equity","NON_CASH_ITEMS_DETAILED","FQ2 2020","FQ2 2020","Currency=USD","Period=FQ","BEST_FPERIOD_OVERRIDE=FQ","FILING_STATUS=MR","SCALING_FORMAT=MLN","Sort=A","Dates=H","DateFormat=P","Fill=—","Direction=H","UseDPDF=Y")</f>
        <v>199</v>
      </c>
      <c r="K9" s="12" cm="1">
        <f t="array" ref="K9">_xll.BDH("PCAR US Equity","NON_CASH_ITEMS_DETAILED","FQ3 2020","FQ3 2020","Currency=USD","Period=FQ","BEST_FPERIOD_OVERRIDE=FQ","FILING_STATUS=MR","SCALING_FORMAT=MLN","Sort=A","Dates=H","DateFormat=P","Fill=—","Direction=H","UseDPDF=Y")</f>
        <v>136.19999999999999</v>
      </c>
      <c r="L9" s="12" cm="1">
        <f t="array" ref="L9">_xll.BDH("PCAR US Equity","NON_CASH_ITEMS_DETAILED","FQ4 2020","FQ4 2020","Currency=USD","Period=FQ","BEST_FPERIOD_OVERRIDE=FQ","FILING_STATUS=MR","SCALING_FORMAT=MLN","Sort=A","Dates=H","DateFormat=P","Fill=—","Direction=H","UseDPDF=Y")</f>
        <v>134</v>
      </c>
      <c r="M9" s="12" cm="1">
        <f t="array" ref="M9">_xll.BDH("PCAR US Equity","NON_CASH_ITEMS_DETAILED","FQ1 2021","FQ1 2021","Currency=USD","Period=FQ","BEST_FPERIOD_OVERRIDE=FQ","FILING_STATUS=MR","SCALING_FORMAT=MLN","Sort=A","Dates=H","DateFormat=P","Fill=—","Direction=H","UseDPDF=Y")</f>
        <v>135.19999999999999</v>
      </c>
      <c r="N9" s="12" cm="1">
        <f t="array" ref="N9">_xll.BDH("PCAR US Equity","NON_CASH_ITEMS_DETAILED","FQ2 2021","FQ2 2021","Currency=USD","Period=FQ","BEST_FPERIOD_OVERRIDE=FQ","FILING_STATUS=MR","SCALING_FORMAT=MLN","Sort=A","Dates=H","DateFormat=P","Fill=—","Direction=H","UseDPDF=Y")</f>
        <v>153</v>
      </c>
      <c r="O9" s="12" cm="1">
        <f t="array" ref="O9">_xll.BDH("PCAR US Equity","NON_CASH_ITEMS_DETAILED","FQ3 2021","FQ3 2021","Currency=USD","Period=FQ","BEST_FPERIOD_OVERRIDE=FQ","FILING_STATUS=MR","SCALING_FORMAT=MLN","Sort=A","Dates=H","DateFormat=P","Fill=—","Direction=H","UseDPDF=Y")</f>
        <v>-49.3</v>
      </c>
      <c r="P9" s="12" cm="1">
        <f t="array" ref="P9">_xll.BDH("PCAR US Equity","NON_CASH_ITEMS_DETAILED","FQ4 2021","FQ4 2021","Currency=USD","Period=FQ","BEST_FPERIOD_OVERRIDE=FQ","FILING_STATUS=MR","SCALING_FORMAT=MLN","Sort=A","Dates=H","DateFormat=P","Fill=—","Direction=H","UseDPDF=Y")</f>
        <v>51.7</v>
      </c>
      <c r="Q9" s="12" cm="1">
        <f t="array" ref="Q9">_xll.BDH("PCAR US Equity","NON_CASH_ITEMS_DETAILED","FQ1 2022","FQ1 2022","Currency=USD","Period=FQ","BEST_FPERIOD_OVERRIDE=FQ","FILING_STATUS=MR","SCALING_FORMAT=MLN","Sort=A","Dates=H","DateFormat=P","Fill=—","Direction=H","UseDPDF=Y")</f>
        <v>-35.5</v>
      </c>
      <c r="R9" s="12" cm="1">
        <f t="array" ref="R9">_xll.BDH("PCAR US Equity","NON_CASH_ITEMS_DETAILED","FQ2 2022","FQ2 2022","Currency=USD","Period=FQ","BEST_FPERIOD_OVERRIDE=FQ","FILING_STATUS=MR","SCALING_FORMAT=MLN","Sort=A","Dates=H","DateFormat=P","Fill=—","Direction=H","UseDPDF=Y")</f>
        <v>96.2</v>
      </c>
      <c r="S9" s="12" cm="1">
        <f t="array" ref="S9">_xll.BDH("PCAR US Equity","NON_CASH_ITEMS_DETAILED","FQ3 2022","FQ3 2022","Currency=USD","Period=FQ","BEST_FPERIOD_OVERRIDE=FQ","FILING_STATUS=MR","SCALING_FORMAT=MLN","Sort=A","Dates=H","DateFormat=P","Fill=—","Direction=H","UseDPDF=Y")</f>
        <v>67.5</v>
      </c>
      <c r="T9" s="12" cm="1">
        <f t="array" ref="T9">_xll.BDH("PCAR US Equity","NON_CASH_ITEMS_DETAILED","FQ4 2022","FQ4 2022","Currency=USD","Period=FQ","BEST_FPERIOD_OVERRIDE=FQ","FILING_STATUS=MR","SCALING_FORMAT=MLN","Sort=A","Dates=H","DateFormat=P","Fill=—","Direction=H","UseDPDF=Y")</f>
        <v>70.2</v>
      </c>
      <c r="U9" s="12" cm="1">
        <f t="array" ref="U9">_xll.BDH("PCAR US Equity","NON_CASH_ITEMS_DETAILED","FQ1 2023","FQ1 2023","Currency=USD","Period=FQ","BEST_FPERIOD_OVERRIDE=FQ","FILING_STATUS=MR","SCALING_FORMAT=MLN","Sort=A","Dates=H","DateFormat=P","Fill=—","Direction=H","UseDPDF=Y")</f>
        <v>56.9</v>
      </c>
      <c r="V9" s="12" cm="1">
        <f t="array" ref="V9">_xll.BDH("PCAR US Equity","NON_CASH_ITEMS_DETAILED","FQ2 2023","FQ2 2023","Currency=USD","Period=FQ","BEST_FPERIOD_OVERRIDE=FQ","FILING_STATUS=MR","SCALING_FORMAT=MLN","Sort=A","Dates=H","DateFormat=P","Fill=—","Direction=H","UseDPDF=Y")</f>
        <v>68.599999999999994</v>
      </c>
      <c r="W9" s="12" cm="1">
        <f t="array" ref="W9">_xll.BDH("PCAR US Equity","NON_CASH_ITEMS_DETAILED","FQ3 2023","FQ3 2023","Currency=USD","Period=FQ","BEST_FPERIOD_OVERRIDE=FQ","FILING_STATUS=MR","SCALING_FORMAT=MLN","Sort=A","Dates=H","DateFormat=P","Fill=—","Direction=H","UseDPDF=Y")</f>
        <v>126.6</v>
      </c>
      <c r="X9" s="12" cm="1">
        <f t="array" ref="X9">_xll.BDH("PCAR US Equity","NON_CASH_ITEMS_DETAILED","FQ4 2023","FQ4 2023","Currency=USD","Period=FQ","BEST_FPERIOD_OVERRIDE=FQ","FILING_STATUS=MR","SCALING_FORMAT=MLN","Sort=A","Dates=H","DateFormat=P","Fill=—","Direction=H","UseDPDF=Y")</f>
        <v>-123.6</v>
      </c>
      <c r="Y9" s="12" cm="1">
        <f t="array" ref="Y9">_xll.BDH("PCAR US Equity","NON_CASH_ITEMS_DETAILED","FQ1 2024","FQ1 2024","Currency=USD","Period=FQ","BEST_FPERIOD_OVERRIDE=FQ","FILING_STATUS=MR","SCALING_FORMAT=MLN","Sort=A","Dates=H","DateFormat=P","Fill=—","Direction=H","UseDPDF=Y")</f>
        <v>138.80000000000001</v>
      </c>
      <c r="Z9" s="12" cm="1">
        <f t="array" ref="Z9">_xll.BDH("PCAR US Equity","NON_CASH_ITEMS_DETAILED","FQ2 2024","FQ2 2024","Currency=USD","Period=FQ","BEST_FPERIOD_OVERRIDE=FQ","FILING_STATUS=MR","SCALING_FORMAT=MLN","Sort=A","Dates=H","DateFormat=P","Fill=—","Direction=H","UseDPDF=Y")</f>
        <v>137.69999999999999</v>
      </c>
      <c r="AA9" s="12" cm="1">
        <f t="array" ref="AA9">_xll.BDH("PCAR US Equity","NON_CASH_ITEMS_DETAILED","FQ3 2024","FQ3 2024","Currency=USD","Period=FQ","BEST_FPERIOD_OVERRIDE=FQ","FILING_STATUS=MR","SCALING_FORMAT=MLN","Sort=A","Dates=H","DateFormat=P","Fill=—","Direction=H","UseDPDF=Y")</f>
        <v>113.9</v>
      </c>
      <c r="AB9" s="12" cm="1">
        <f t="array" ref="AB9">_xll.BDH("PCAR US Equity","NON_CASH_ITEMS_DETAILED","FQ4 2024","FQ4 2024","Currency=USD","Period=FQ","BEST_FPERIOD_OVERRIDE=FQ","FILING_STATUS=MR","SCALING_FORMAT=MLN","Sort=A","Dates=H","DateFormat=P","Fill=—","Direction=H","UseDPDF=Y")</f>
        <v>-39.4</v>
      </c>
      <c r="AC9" s="12" cm="1">
        <f t="array" ref="AC9">_xll.BDH("PCAR US Equity","NON_CASH_ITEMS_DETAILED","FQ1 2025","FQ1 2025","Currency=USD","Period=FQ","BEST_FPERIOD_OVERRIDE=FQ","FILING_STATUS=MR","SCALING_FORMAT=MLN","Sort=A","Dates=H","DateFormat=P","Fill=—","Direction=H","UseDPDF=Y")</f>
        <v>153.5</v>
      </c>
      <c r="AD9" s="12" cm="1">
        <f t="array" ref="AD9">_xll.BDH("PCAR US Equity","NON_CASH_ITEMS_DETAILED","FQ2 2025","FQ2 2025","Currency=USD","Period=FQ","BEST_FPERIOD_OVERRIDE=FQ","FILING_STATUS=MR","SCALING_FORMAT=MLN","Sort=A","Dates=H","DateFormat=P","Fill=—","Direction=H","UseDPDF=Y")</f>
        <v>86.7</v>
      </c>
      <c r="AE9" s="12" cm="1">
        <f t="array" ref="AE9">_xll.BDH("PCAR US Equity","NON_CASH_ITEMS_DETAILED","FQ3 2025","FQ3 2025","Currency=USD","Period=FQ","BEST_FPERIOD_OVERRIDE=FQ","FILING_STATUS=MR","SCALING_FORMAT=MLN","Sort=A","Dates=H","DateFormat=P","Fill=—","Direction=H","UseDPDF=Y")</f>
        <v>507.6</v>
      </c>
      <c r="AF9" s="12" cm="1">
        <f t="array" ref="AF9">_xll.BDH("PCAR US Equity","NON_CASH_ITEMS_DETAILED","FQ4 2025","FQ4 2025","Currency=USD","Period=FQ","BEST_FPERIOD_OVERRIDE=FQ","FILING_STATUS=MR","SCALING_FORMAT=MLN","Sort=A","Dates=H","DateFormat=P","Fill=—","Direction=H","UseDPDF=Y")</f>
        <v>-78.900000000000006</v>
      </c>
    </row>
    <row r="10" spans="1:32" x14ac:dyDescent="0.25">
      <c r="A10" s="10" t="s">
        <v>72</v>
      </c>
      <c r="B10" s="10" t="s">
        <v>73</v>
      </c>
      <c r="C10" s="12" cm="1">
        <f t="array" ref="C10">_xll.BDH("PCAR US Equity","OTHER_NON_CASH_ADJ_LESS_DETAILED","FQ3 2018","FQ3 2018","Currency=USD","Period=FQ","BEST_FPERIOD_OVERRIDE=FQ","FILING_STATUS=MR","SCALING_FORMAT=MLN","Sort=A","Dates=H","DateFormat=P","Fill=—","Direction=H","UseDPDF=Y")</f>
        <v>182.8</v>
      </c>
      <c r="D10" s="12" cm="1">
        <f t="array" ref="D10">_xll.BDH("PCAR US Equity","OTHER_NON_CASH_ADJ_LESS_DETAILED","FQ4 2018","FQ4 2018","Currency=USD","Period=FQ","BEST_FPERIOD_OVERRIDE=FQ","FILING_STATUS=MR","SCALING_FORMAT=MLN","Sort=A","Dates=H","DateFormat=P","Fill=—","Direction=H","UseDPDF=Y")</f>
        <v>224.8</v>
      </c>
      <c r="E10" s="12" cm="1">
        <f t="array" ref="E10">_xll.BDH("PCAR US Equity","OTHER_NON_CASH_ADJ_LESS_DETAILED","FQ1 2019","FQ1 2019","Currency=USD","Period=FQ","BEST_FPERIOD_OVERRIDE=FQ","FILING_STATUS=MR","SCALING_FORMAT=MLN","Sort=A","Dates=H","DateFormat=P","Fill=—","Direction=H","UseDPDF=Y")</f>
        <v>165.1</v>
      </c>
      <c r="F10" s="12" cm="1">
        <f t="array" ref="F10">_xll.BDH("PCAR US Equity","OTHER_NON_CASH_ADJ_LESS_DETAILED","FQ2 2019","FQ2 2019","Currency=USD","Period=FQ","BEST_FPERIOD_OVERRIDE=FQ","FILING_STATUS=MR","SCALING_FORMAT=MLN","Sort=A","Dates=H","DateFormat=P","Fill=—","Direction=H","UseDPDF=Y")</f>
        <v>216.1</v>
      </c>
      <c r="G10" s="12" cm="1">
        <f t="array" ref="G10">_xll.BDH("PCAR US Equity","OTHER_NON_CASH_ADJ_LESS_DETAILED","FQ3 2019","FQ3 2019","Currency=USD","Period=FQ","BEST_FPERIOD_OVERRIDE=FQ","FILING_STATUS=MR","SCALING_FORMAT=MLN","Sort=A","Dates=H","DateFormat=P","Fill=—","Direction=H","UseDPDF=Y")</f>
        <v>216.4</v>
      </c>
      <c r="H10" s="12" cm="1">
        <f t="array" ref="H10">_xll.BDH("PCAR US Equity","OTHER_NON_CASH_ADJ_LESS_DETAILED","FQ4 2019","FQ4 2019","Currency=USD","Period=FQ","BEST_FPERIOD_OVERRIDE=FQ","FILING_STATUS=MR","SCALING_FORMAT=MLN","Sort=A","Dates=H","DateFormat=P","Fill=—","Direction=H","UseDPDF=Y")</f>
        <v>234.6</v>
      </c>
      <c r="I10" s="12" cm="1">
        <f t="array" ref="I10">_xll.BDH("PCAR US Equity","OTHER_NON_CASH_ADJ_LESS_DETAILED","FQ1 2020","FQ1 2020","Currency=USD","Period=FQ","BEST_FPERIOD_OVERRIDE=FQ","FILING_STATUS=MR","SCALING_FORMAT=MLN","Sort=A","Dates=H","DateFormat=P","Fill=—","Direction=H","UseDPDF=Y")</f>
        <v>194</v>
      </c>
      <c r="J10" s="12" cm="1">
        <f t="array" ref="J10">_xll.BDH("PCAR US Equity","OTHER_NON_CASH_ADJ_LESS_DETAILED","FQ2 2020","FQ2 2020","Currency=USD","Period=FQ","BEST_FPERIOD_OVERRIDE=FQ","FILING_STATUS=MR","SCALING_FORMAT=MLN","Sort=A","Dates=H","DateFormat=P","Fill=—","Direction=H","UseDPDF=Y")</f>
        <v>199</v>
      </c>
      <c r="K10" s="12" cm="1">
        <f t="array" ref="K10">_xll.BDH("PCAR US Equity","OTHER_NON_CASH_ADJ_LESS_DETAILED","FQ3 2020","FQ3 2020","Currency=USD","Period=FQ","BEST_FPERIOD_OVERRIDE=FQ","FILING_STATUS=MR","SCALING_FORMAT=MLN","Sort=A","Dates=H","DateFormat=P","Fill=—","Direction=H","UseDPDF=Y")</f>
        <v>136.19999999999999</v>
      </c>
      <c r="L10" s="12" cm="1">
        <f t="array" ref="L10">_xll.BDH("PCAR US Equity","OTHER_NON_CASH_ADJ_LESS_DETAILED","FQ4 2020","FQ4 2020","Currency=USD","Period=FQ","BEST_FPERIOD_OVERRIDE=FQ","FILING_STATUS=MR","SCALING_FORMAT=MLN","Sort=A","Dates=H","DateFormat=P","Fill=—","Direction=H","UseDPDF=Y")</f>
        <v>134</v>
      </c>
      <c r="M10" s="12" cm="1">
        <f t="array" ref="M10">_xll.BDH("PCAR US Equity","OTHER_NON_CASH_ADJ_LESS_DETAILED","FQ1 2021","FQ1 2021","Currency=USD","Period=FQ","BEST_FPERIOD_OVERRIDE=FQ","FILING_STATUS=MR","SCALING_FORMAT=MLN","Sort=A","Dates=H","DateFormat=P","Fill=—","Direction=H","UseDPDF=Y")</f>
        <v>135.19999999999999</v>
      </c>
      <c r="N10" s="12" cm="1">
        <f t="array" ref="N10">_xll.BDH("PCAR US Equity","OTHER_NON_CASH_ADJ_LESS_DETAILED","FQ2 2021","FQ2 2021","Currency=USD","Period=FQ","BEST_FPERIOD_OVERRIDE=FQ","FILING_STATUS=MR","SCALING_FORMAT=MLN","Sort=A","Dates=H","DateFormat=P","Fill=—","Direction=H","UseDPDF=Y")</f>
        <v>153</v>
      </c>
      <c r="O10" s="12" cm="1">
        <f t="array" ref="O10">_xll.BDH("PCAR US Equity","OTHER_NON_CASH_ADJ_LESS_DETAILED","FQ3 2021","FQ3 2021","Currency=USD","Period=FQ","BEST_FPERIOD_OVERRIDE=FQ","FILING_STATUS=MR","SCALING_FORMAT=MLN","Sort=A","Dates=H","DateFormat=P","Fill=—","Direction=H","UseDPDF=Y")</f>
        <v>-49.3</v>
      </c>
      <c r="P10" s="12" cm="1">
        <f t="array" ref="P10">_xll.BDH("PCAR US Equity","OTHER_NON_CASH_ADJ_LESS_DETAILED","FQ4 2021","FQ4 2021","Currency=USD","Period=FQ","BEST_FPERIOD_OVERRIDE=FQ","FILING_STATUS=MR","SCALING_FORMAT=MLN","Sort=A","Dates=H","DateFormat=P","Fill=—","Direction=H","UseDPDF=Y")</f>
        <v>51.7</v>
      </c>
      <c r="Q10" s="12" cm="1">
        <f t="array" ref="Q10">_xll.BDH("PCAR US Equity","OTHER_NON_CASH_ADJ_LESS_DETAILED","FQ1 2022","FQ1 2022","Currency=USD","Period=FQ","BEST_FPERIOD_OVERRIDE=FQ","FILING_STATUS=MR","SCALING_FORMAT=MLN","Sort=A","Dates=H","DateFormat=P","Fill=—","Direction=H","UseDPDF=Y")</f>
        <v>-35.5</v>
      </c>
      <c r="R10" s="12" cm="1">
        <f t="array" ref="R10">_xll.BDH("PCAR US Equity","OTHER_NON_CASH_ADJ_LESS_DETAILED","FQ2 2022","FQ2 2022","Currency=USD","Period=FQ","BEST_FPERIOD_OVERRIDE=FQ","FILING_STATUS=MR","SCALING_FORMAT=MLN","Sort=A","Dates=H","DateFormat=P","Fill=—","Direction=H","UseDPDF=Y")</f>
        <v>96.2</v>
      </c>
      <c r="S10" s="12" cm="1">
        <f t="array" ref="S10">_xll.BDH("PCAR US Equity","OTHER_NON_CASH_ADJ_LESS_DETAILED","FQ3 2022","FQ3 2022","Currency=USD","Period=FQ","BEST_FPERIOD_OVERRIDE=FQ","FILING_STATUS=MR","SCALING_FORMAT=MLN","Sort=A","Dates=H","DateFormat=P","Fill=—","Direction=H","UseDPDF=Y")</f>
        <v>67.5</v>
      </c>
      <c r="T10" s="12" cm="1">
        <f t="array" ref="T10">_xll.BDH("PCAR US Equity","OTHER_NON_CASH_ADJ_LESS_DETAILED","FQ4 2022","FQ4 2022","Currency=USD","Period=FQ","BEST_FPERIOD_OVERRIDE=FQ","FILING_STATUS=MR","SCALING_FORMAT=MLN","Sort=A","Dates=H","DateFormat=P","Fill=—","Direction=H","UseDPDF=Y")</f>
        <v>70.2</v>
      </c>
      <c r="U10" s="12" cm="1">
        <f t="array" ref="U10">_xll.BDH("PCAR US Equity","OTHER_NON_CASH_ADJ_LESS_DETAILED","FQ1 2023","FQ1 2023","Currency=USD","Period=FQ","BEST_FPERIOD_OVERRIDE=FQ","FILING_STATUS=MR","SCALING_FORMAT=MLN","Sort=A","Dates=H","DateFormat=P","Fill=—","Direction=H","UseDPDF=Y")</f>
        <v>56.9</v>
      </c>
      <c r="V10" s="12" cm="1">
        <f t="array" ref="V10">_xll.BDH("PCAR US Equity","OTHER_NON_CASH_ADJ_LESS_DETAILED","FQ2 2023","FQ2 2023","Currency=USD","Period=FQ","BEST_FPERIOD_OVERRIDE=FQ","FILING_STATUS=MR","SCALING_FORMAT=MLN","Sort=A","Dates=H","DateFormat=P","Fill=—","Direction=H","UseDPDF=Y")</f>
        <v>68.599999999999994</v>
      </c>
      <c r="W10" s="12" cm="1">
        <f t="array" ref="W10">_xll.BDH("PCAR US Equity","OTHER_NON_CASH_ADJ_LESS_DETAILED","FQ3 2023","FQ3 2023","Currency=USD","Period=FQ","BEST_FPERIOD_OVERRIDE=FQ","FILING_STATUS=MR","SCALING_FORMAT=MLN","Sort=A","Dates=H","DateFormat=P","Fill=—","Direction=H","UseDPDF=Y")</f>
        <v>126.6</v>
      </c>
      <c r="X10" s="12" cm="1">
        <f t="array" ref="X10">_xll.BDH("PCAR US Equity","OTHER_NON_CASH_ADJ_LESS_DETAILED","FQ4 2023","FQ4 2023","Currency=USD","Period=FQ","BEST_FPERIOD_OVERRIDE=FQ","FILING_STATUS=MR","SCALING_FORMAT=MLN","Sort=A","Dates=H","DateFormat=P","Fill=—","Direction=H","UseDPDF=Y")</f>
        <v>-123.6</v>
      </c>
      <c r="Y10" s="12" cm="1">
        <f t="array" ref="Y10">_xll.BDH("PCAR US Equity","OTHER_NON_CASH_ADJ_LESS_DETAILED","FQ1 2024","FQ1 2024","Currency=USD","Period=FQ","BEST_FPERIOD_OVERRIDE=FQ","FILING_STATUS=MR","SCALING_FORMAT=MLN","Sort=A","Dates=H","DateFormat=P","Fill=—","Direction=H","UseDPDF=Y")</f>
        <v>138.80000000000001</v>
      </c>
      <c r="Z10" s="12" cm="1">
        <f t="array" ref="Z10">_xll.BDH("PCAR US Equity","OTHER_NON_CASH_ADJ_LESS_DETAILED","FQ2 2024","FQ2 2024","Currency=USD","Period=FQ","BEST_FPERIOD_OVERRIDE=FQ","FILING_STATUS=MR","SCALING_FORMAT=MLN","Sort=A","Dates=H","DateFormat=P","Fill=—","Direction=H","UseDPDF=Y")</f>
        <v>137.69999999999999</v>
      </c>
      <c r="AA10" s="12" cm="1">
        <f t="array" ref="AA10">_xll.BDH("PCAR US Equity","OTHER_NON_CASH_ADJ_LESS_DETAILED","FQ3 2024","FQ3 2024","Currency=USD","Period=FQ","BEST_FPERIOD_OVERRIDE=FQ","FILING_STATUS=MR","SCALING_FORMAT=MLN","Sort=A","Dates=H","DateFormat=P","Fill=—","Direction=H","UseDPDF=Y")</f>
        <v>113.9</v>
      </c>
      <c r="AB10" s="12" cm="1">
        <f t="array" ref="AB10">_xll.BDH("PCAR US Equity","OTHER_NON_CASH_ADJ_LESS_DETAILED","FQ4 2024","FQ4 2024","Currency=USD","Period=FQ","BEST_FPERIOD_OVERRIDE=FQ","FILING_STATUS=MR","SCALING_FORMAT=MLN","Sort=A","Dates=H","DateFormat=P","Fill=—","Direction=H","UseDPDF=Y")</f>
        <v>-39.4</v>
      </c>
      <c r="AC10" s="12" cm="1">
        <f t="array" ref="AC10">_xll.BDH("PCAR US Equity","OTHER_NON_CASH_ADJ_LESS_DETAILED","FQ1 2025","FQ1 2025","Currency=USD","Period=FQ","BEST_FPERIOD_OVERRIDE=FQ","FILING_STATUS=MR","SCALING_FORMAT=MLN","Sort=A","Dates=H","DateFormat=P","Fill=—","Direction=H","UseDPDF=Y")</f>
        <v>153.5</v>
      </c>
      <c r="AD10" s="12" cm="1">
        <f t="array" ref="AD10">_xll.BDH("PCAR US Equity","OTHER_NON_CASH_ADJ_LESS_DETAILED","FQ2 2025","FQ2 2025","Currency=USD","Period=FQ","BEST_FPERIOD_OVERRIDE=FQ","FILING_STATUS=MR","SCALING_FORMAT=MLN","Sort=A","Dates=H","DateFormat=P","Fill=—","Direction=H","UseDPDF=Y")</f>
        <v>86.7</v>
      </c>
      <c r="AE10" s="12" cm="1">
        <f t="array" ref="AE10">_xll.BDH("PCAR US Equity","OTHER_NON_CASH_ADJ_LESS_DETAILED","FQ3 2025","FQ3 2025","Currency=USD","Period=FQ","BEST_FPERIOD_OVERRIDE=FQ","FILING_STATUS=MR","SCALING_FORMAT=MLN","Sort=A","Dates=H","DateFormat=P","Fill=—","Direction=H","UseDPDF=Y")</f>
        <v>507.6</v>
      </c>
      <c r="AF10" s="12" cm="1">
        <f t="array" ref="AF10">_xll.BDH("PCAR US Equity","OTHER_NON_CASH_ADJ_LESS_DETAILED","FQ4 2025","FQ4 2025","Currency=USD","Period=FQ","BEST_FPERIOD_OVERRIDE=FQ","FILING_STATUS=MR","SCALING_FORMAT=MLN","Sort=A","Dates=H","DateFormat=P","Fill=—","Direction=H","UseDPDF=Y")</f>
        <v>-78.900000000000006</v>
      </c>
    </row>
    <row r="11" spans="1:32" x14ac:dyDescent="0.25">
      <c r="A11" s="10" t="s">
        <v>74</v>
      </c>
      <c r="B11" s="10" t="s">
        <v>75</v>
      </c>
      <c r="C11" s="12" cm="1">
        <f t="array" ref="C11">_xll.BDH("PCAR US Equity","CF_CHNG_NON_CASH_WORK_CAP","FQ3 2018","FQ3 2018","Currency=USD","Period=FQ","BEST_FPERIOD_OVERRIDE=FQ","FILING_STATUS=MR","SCALING_FORMAT=MLN","Sort=A","Dates=H","DateFormat=P","Fill=—","Direction=H","UseDPDF=Y")</f>
        <v>-75.2</v>
      </c>
      <c r="D11" s="12" cm="1">
        <f t="array" ref="D11">_xll.BDH("PCAR US Equity","CF_CHNG_NON_CASH_WORK_CAP","FQ4 2018","FQ4 2018","Currency=USD","Period=FQ","BEST_FPERIOD_OVERRIDE=FQ","FILING_STATUS=MR","SCALING_FORMAT=MLN","Sort=A","Dates=H","DateFormat=P","Fill=—","Direction=H","UseDPDF=Y")</f>
        <v>180.2</v>
      </c>
      <c r="E11" s="12" cm="1">
        <f t="array" ref="E11">_xll.BDH("PCAR US Equity","CF_CHNG_NON_CASH_WORK_CAP","FQ1 2019","FQ1 2019","Currency=USD","Period=FQ","BEST_FPERIOD_OVERRIDE=FQ","FILING_STATUS=MR","SCALING_FORMAT=MLN","Sort=A","Dates=H","DateFormat=P","Fill=—","Direction=H","UseDPDF=Y")</f>
        <v>-512.5</v>
      </c>
      <c r="F11" s="12" cm="1">
        <f t="array" ref="F11">_xll.BDH("PCAR US Equity","CF_CHNG_NON_CASH_WORK_CAP","FQ2 2019","FQ2 2019","Currency=USD","Period=FQ","BEST_FPERIOD_OVERRIDE=FQ","FILING_STATUS=MR","SCALING_FORMAT=MLN","Sort=A","Dates=H","DateFormat=P","Fill=—","Direction=H","UseDPDF=Y")</f>
        <v>-90.5</v>
      </c>
      <c r="G11" s="12" cm="1">
        <f t="array" ref="G11">_xll.BDH("PCAR US Equity","CF_CHNG_NON_CASH_WORK_CAP","FQ3 2019","FQ3 2019","Currency=USD","Period=FQ","BEST_FPERIOD_OVERRIDE=FQ","FILING_STATUS=MR","SCALING_FORMAT=MLN","Sort=A","Dates=H","DateFormat=P","Fill=—","Direction=H","UseDPDF=Y")</f>
        <v>-177.7</v>
      </c>
      <c r="H11" s="12" cm="1">
        <f t="array" ref="H11">_xll.BDH("PCAR US Equity","CF_CHNG_NON_CASH_WORK_CAP","FQ4 2019","FQ4 2019","Currency=USD","Period=FQ","BEST_FPERIOD_OVERRIDE=FQ","FILING_STATUS=MR","SCALING_FORMAT=MLN","Sort=A","Dates=H","DateFormat=P","Fill=—","Direction=H","UseDPDF=Y")</f>
        <v>98.7</v>
      </c>
      <c r="I11" s="12" cm="1">
        <f t="array" ref="I11">_xll.BDH("PCAR US Equity","CF_CHNG_NON_CASH_WORK_CAP","FQ1 2020","FQ1 2020","Currency=USD","Period=FQ","BEST_FPERIOD_OVERRIDE=FQ","FILING_STATUS=MR","SCALING_FORMAT=MLN","Sort=A","Dates=H","DateFormat=P","Fill=—","Direction=H","UseDPDF=Y")</f>
        <v>-197.5</v>
      </c>
      <c r="J11" s="12" cm="1">
        <f t="array" ref="J11">_xll.BDH("PCAR US Equity","CF_CHNG_NON_CASH_WORK_CAP","FQ2 2020","FQ2 2020","Currency=USD","Period=FQ","BEST_FPERIOD_OVERRIDE=FQ","FILING_STATUS=MR","SCALING_FORMAT=MLN","Sort=A","Dates=H","DateFormat=P","Fill=—","Direction=H","UseDPDF=Y")</f>
        <v>535.79999999999995</v>
      </c>
      <c r="K11" s="12" cm="1">
        <f t="array" ref="K11">_xll.BDH("PCAR US Equity","CF_CHNG_NON_CASH_WORK_CAP","FQ3 2020","FQ3 2020","Currency=USD","Period=FQ","BEST_FPERIOD_OVERRIDE=FQ","FILING_STATUS=MR","SCALING_FORMAT=MLN","Sort=A","Dates=H","DateFormat=P","Fill=—","Direction=H","UseDPDF=Y")</f>
        <v>246.4</v>
      </c>
      <c r="L11" s="12" cm="1">
        <f t="array" ref="L11">_xll.BDH("PCAR US Equity","CF_CHNG_NON_CASH_WORK_CAP","FQ4 2020","FQ4 2020","Currency=USD","Period=FQ","BEST_FPERIOD_OVERRIDE=FQ","FILING_STATUS=MR","SCALING_FORMAT=MLN","Sort=A","Dates=H","DateFormat=P","Fill=—","Direction=H","UseDPDF=Y")</f>
        <v>191.3</v>
      </c>
      <c r="M11" s="12" cm="1">
        <f t="array" ref="M11">_xll.BDH("PCAR US Equity","CF_CHNG_NON_CASH_WORK_CAP","FQ1 2021","FQ1 2021","Currency=USD","Period=FQ","BEST_FPERIOD_OVERRIDE=FQ","FILING_STATUS=MR","SCALING_FORMAT=MLN","Sort=A","Dates=H","DateFormat=P","Fill=—","Direction=H","UseDPDF=Y")</f>
        <v>-136</v>
      </c>
      <c r="N11" s="12" cm="1">
        <f t="array" ref="N11">_xll.BDH("PCAR US Equity","CF_CHNG_NON_CASH_WORK_CAP","FQ2 2021","FQ2 2021","Currency=USD","Period=FQ","BEST_FPERIOD_OVERRIDE=FQ","FILING_STATUS=MR","SCALING_FORMAT=MLN","Sort=A","Dates=H","DateFormat=P","Fill=—","Direction=H","UseDPDF=Y")</f>
        <v>-384.6</v>
      </c>
      <c r="O11" s="12" cm="1">
        <f t="array" ref="O11">_xll.BDH("PCAR US Equity","CF_CHNG_NON_CASH_WORK_CAP","FQ3 2021","FQ3 2021","Currency=USD","Period=FQ","BEST_FPERIOD_OVERRIDE=FQ","FILING_STATUS=MR","SCALING_FORMAT=MLN","Sort=A","Dates=H","DateFormat=P","Fill=—","Direction=H","UseDPDF=Y")</f>
        <v>-112.4</v>
      </c>
      <c r="P11" s="12" cm="1">
        <f t="array" ref="P11">_xll.BDH("PCAR US Equity","CF_CHNG_NON_CASH_WORK_CAP","FQ4 2021","FQ4 2021","Currency=USD","Period=FQ","BEST_FPERIOD_OVERRIDE=FQ","FILING_STATUS=MR","SCALING_FORMAT=MLN","Sort=A","Dates=H","DateFormat=P","Fill=—","Direction=H","UseDPDF=Y")</f>
        <v>393.6</v>
      </c>
      <c r="Q11" s="12" cm="1">
        <f t="array" ref="Q11">_xll.BDH("PCAR US Equity","CF_CHNG_NON_CASH_WORK_CAP","FQ1 2022","FQ1 2022","Currency=USD","Period=FQ","BEST_FPERIOD_OVERRIDE=FQ","FILING_STATUS=MR","SCALING_FORMAT=MLN","Sort=A","Dates=H","DateFormat=P","Fill=—","Direction=H","UseDPDF=Y")</f>
        <v>-179.7</v>
      </c>
      <c r="R11" s="12" cm="1">
        <f t="array" ref="R11">_xll.BDH("PCAR US Equity","CF_CHNG_NON_CASH_WORK_CAP","FQ2 2022","FQ2 2022","Currency=USD","Period=FQ","BEST_FPERIOD_OVERRIDE=FQ","FILING_STATUS=MR","SCALING_FORMAT=MLN","Sort=A","Dates=H","DateFormat=P","Fill=—","Direction=H","UseDPDF=Y")</f>
        <v>-259.7</v>
      </c>
      <c r="S11" s="12" cm="1">
        <f t="array" ref="S11">_xll.BDH("PCAR US Equity","CF_CHNG_NON_CASH_WORK_CAP","FQ3 2022","FQ3 2022","Currency=USD","Period=FQ","BEST_FPERIOD_OVERRIDE=FQ","FILING_STATUS=MR","SCALING_FORMAT=MLN","Sort=A","Dates=H","DateFormat=P","Fill=—","Direction=H","UseDPDF=Y")</f>
        <v>-240.6</v>
      </c>
      <c r="T11" s="12" cm="1">
        <f t="array" ref="T11">_xll.BDH("PCAR US Equity","CF_CHNG_NON_CASH_WORK_CAP","FQ4 2022","FQ4 2022","Currency=USD","Period=FQ","BEST_FPERIOD_OVERRIDE=FQ","FILING_STATUS=MR","SCALING_FORMAT=MLN","Sort=A","Dates=H","DateFormat=P","Fill=—","Direction=H","UseDPDF=Y")</f>
        <v>164.8</v>
      </c>
      <c r="U11" s="12" cm="1">
        <f t="array" ref="U11">_xll.BDH("PCAR US Equity","CF_CHNG_NON_CASH_WORK_CAP","FQ1 2023","FQ1 2023","Currency=USD","Period=FQ","BEST_FPERIOD_OVERRIDE=FQ","FILING_STATUS=MR","SCALING_FORMAT=MLN","Sort=A","Dates=H","DateFormat=P","Fill=—","Direction=H","UseDPDF=Y")</f>
        <v>-209</v>
      </c>
      <c r="V11" s="12" cm="1">
        <f t="array" ref="V11">_xll.BDH("PCAR US Equity","CF_CHNG_NON_CASH_WORK_CAP","FQ2 2023","FQ2 2023","Currency=USD","Period=FQ","BEST_FPERIOD_OVERRIDE=FQ","FILING_STATUS=MR","SCALING_FORMAT=MLN","Sort=A","Dates=H","DateFormat=P","Fill=—","Direction=H","UseDPDF=Y")</f>
        <v>-416.4</v>
      </c>
      <c r="W11" s="12" cm="1">
        <f t="array" ref="W11">_xll.BDH("PCAR US Equity","CF_CHNG_NON_CASH_WORK_CAP","FQ3 2023","FQ3 2023","Currency=USD","Period=FQ","BEST_FPERIOD_OVERRIDE=FQ","FILING_STATUS=MR","SCALING_FORMAT=MLN","Sort=A","Dates=H","DateFormat=P","Fill=—","Direction=H","UseDPDF=Y")</f>
        <v>-115.1</v>
      </c>
      <c r="X11" s="12" cm="1">
        <f t="array" ref="X11">_xll.BDH("PCAR US Equity","CF_CHNG_NON_CASH_WORK_CAP","FQ4 2023","FQ4 2023","Currency=USD","Period=FQ","BEST_FPERIOD_OVERRIDE=FQ","FILING_STATUS=MR","SCALING_FORMAT=MLN","Sort=A","Dates=H","DateFormat=P","Fill=—","Direction=H","UseDPDF=Y")</f>
        <v>-213.8</v>
      </c>
      <c r="Y11" s="12" cm="1">
        <f t="array" ref="Y11">_xll.BDH("PCAR US Equity","CF_CHNG_NON_CASH_WORK_CAP","FQ1 2024","FQ1 2024","Currency=USD","Period=FQ","BEST_FPERIOD_OVERRIDE=FQ","FILING_STATUS=MR","SCALING_FORMAT=MLN","Sort=A","Dates=H","DateFormat=P","Fill=—","Direction=H","UseDPDF=Y")</f>
        <v>30.7</v>
      </c>
      <c r="Z11" s="12" cm="1">
        <f t="array" ref="Z11">_xll.BDH("PCAR US Equity","CF_CHNG_NON_CASH_WORK_CAP","FQ2 2024","FQ2 2024","Currency=USD","Period=FQ","BEST_FPERIOD_OVERRIDE=FQ","FILING_STATUS=MR","SCALING_FORMAT=MLN","Sort=A","Dates=H","DateFormat=P","Fill=—","Direction=H","UseDPDF=Y")</f>
        <v>-920.4</v>
      </c>
      <c r="AA11" s="12" cm="1">
        <f t="array" ref="AA11">_xll.BDH("PCAR US Equity","CF_CHNG_NON_CASH_WORK_CAP","FQ3 2024","FQ3 2024","Currency=USD","Period=FQ","BEST_FPERIOD_OVERRIDE=FQ","FILING_STATUS=MR","SCALING_FORMAT=MLN","Sort=A","Dates=H","DateFormat=P","Fill=—","Direction=H","UseDPDF=Y")</f>
        <v>104.3</v>
      </c>
      <c r="AB11" s="12" cm="1">
        <f t="array" ref="AB11">_xll.BDH("PCAR US Equity","CF_CHNG_NON_CASH_WORK_CAP","FQ4 2024","FQ4 2024","Currency=USD","Period=FQ","BEST_FPERIOD_OVERRIDE=FQ","FILING_STATUS=MR","SCALING_FORMAT=MLN","Sort=A","Dates=H","DateFormat=P","Fill=—","Direction=H","UseDPDF=Y")</f>
        <v>514.9</v>
      </c>
      <c r="AC11" s="12" cm="1">
        <f t="array" ref="AC11">_xll.BDH("PCAR US Equity","CF_CHNG_NON_CASH_WORK_CAP","FQ1 2025","FQ1 2025","Currency=USD","Period=FQ","BEST_FPERIOD_OVERRIDE=FQ","FILING_STATUS=MR","SCALING_FORMAT=MLN","Sort=A","Dates=H","DateFormat=P","Fill=—","Direction=H","UseDPDF=Y")</f>
        <v>152</v>
      </c>
      <c r="AD11" s="12" cm="1">
        <f t="array" ref="AD11">_xll.BDH("PCAR US Equity","CF_CHNG_NON_CASH_WORK_CAP","FQ2 2025","FQ2 2025","Currency=USD","Period=FQ","BEST_FPERIOD_OVERRIDE=FQ","FILING_STATUS=MR","SCALING_FORMAT=MLN","Sort=A","Dates=H","DateFormat=P","Fill=—","Direction=H","UseDPDF=Y")</f>
        <v>-76.900000000000006</v>
      </c>
      <c r="AE11" s="12" cm="1">
        <f t="array" ref="AE11">_xll.BDH("PCAR US Equity","CF_CHNG_NON_CASH_WORK_CAP","FQ3 2025","FQ3 2025","Currency=USD","Period=FQ","BEST_FPERIOD_OVERRIDE=FQ","FILING_STATUS=MR","SCALING_FORMAT=MLN","Sort=A","Dates=H","DateFormat=P","Fill=—","Direction=H","UseDPDF=Y")</f>
        <v>332.4</v>
      </c>
      <c r="AF11" s="12" cm="1">
        <f t="array" ref="AF11">_xll.BDH("PCAR US Equity","CF_CHNG_NON_CASH_WORK_CAP","FQ4 2025","FQ4 2025","Currency=USD","Period=FQ","BEST_FPERIOD_OVERRIDE=FQ","FILING_STATUS=MR","SCALING_FORMAT=MLN","Sort=A","Dates=H","DateFormat=P","Fill=—","Direction=H","UseDPDF=Y")</f>
        <v>565.4</v>
      </c>
    </row>
    <row r="12" spans="1:32" x14ac:dyDescent="0.25">
      <c r="A12" s="10" t="s">
        <v>76</v>
      </c>
      <c r="B12" s="10" t="s">
        <v>77</v>
      </c>
      <c r="C12" s="12" cm="1">
        <f t="array" ref="C12">_xll.BDH("PCAR US Equity","CF_ACCT_RCV_UNBILLED_REV","FQ3 2018","FQ3 2018","Currency=USD","Period=FQ","BEST_FPERIOD_OVERRIDE=FQ","FILING_STATUS=MR","SCALING_FORMAT=MLN","Sort=A","Dates=H","DateFormat=P","Fill=—","Direction=H","UseDPDF=Y")</f>
        <v>-140.5</v>
      </c>
      <c r="D12" s="12" cm="1">
        <f t="array" ref="D12">_xll.BDH("PCAR US Equity","CF_ACCT_RCV_UNBILLED_REV","FQ4 2018","FQ4 2018","Currency=USD","Period=FQ","BEST_FPERIOD_OVERRIDE=FQ","FILING_STATUS=MR","SCALING_FORMAT=MLN","Sort=A","Dates=H","DateFormat=P","Fill=—","Direction=H","UseDPDF=Y")</f>
        <v>-137.30000000000001</v>
      </c>
      <c r="E12" s="12" cm="1">
        <f t="array" ref="E12">_xll.BDH("PCAR US Equity","CF_ACCT_RCV_UNBILLED_REV","FQ1 2019","FQ1 2019","Currency=USD","Period=FQ","BEST_FPERIOD_OVERRIDE=FQ","FILING_STATUS=MR","SCALING_FORMAT=MLN","Sort=A","Dates=H","DateFormat=P","Fill=—","Direction=H","UseDPDF=Y")</f>
        <v>-402.7</v>
      </c>
      <c r="F12" s="12" cm="1">
        <f t="array" ref="F12">_xll.BDH("PCAR US Equity","CF_ACCT_RCV_UNBILLED_REV","FQ2 2019","FQ2 2019","Currency=USD","Period=FQ","BEST_FPERIOD_OVERRIDE=FQ","FILING_STATUS=MR","SCALING_FORMAT=MLN","Sort=A","Dates=H","DateFormat=P","Fill=—","Direction=H","UseDPDF=Y")</f>
        <v>81.7</v>
      </c>
      <c r="G12" s="12" cm="1">
        <f t="array" ref="G12">_xll.BDH("PCAR US Equity","CF_ACCT_RCV_UNBILLED_REV","FQ3 2019","FQ3 2019","Currency=USD","Period=FQ","BEST_FPERIOD_OVERRIDE=FQ","FILING_STATUS=MR","SCALING_FORMAT=MLN","Sort=A","Dates=H","DateFormat=P","Fill=—","Direction=H","UseDPDF=Y")</f>
        <v>-151.80000000000001</v>
      </c>
      <c r="H12" s="12" cm="1">
        <f t="array" ref="H12">_xll.BDH("PCAR US Equity","CF_ACCT_RCV_UNBILLED_REV","FQ4 2019","FQ4 2019","Currency=USD","Period=FQ","BEST_FPERIOD_OVERRIDE=FQ","FILING_STATUS=MR","SCALING_FORMAT=MLN","Sort=A","Dates=H","DateFormat=P","Fill=—","Direction=H","UseDPDF=Y")</f>
        <v>-47.4</v>
      </c>
      <c r="I12" s="12" cm="1">
        <f t="array" ref="I12">_xll.BDH("PCAR US Equity","CF_ACCT_RCV_UNBILLED_REV","FQ1 2020","FQ1 2020","Currency=USD","Period=FQ","BEST_FPERIOD_OVERRIDE=FQ","FILING_STATUS=MR","SCALING_FORMAT=MLN","Sort=A","Dates=H","DateFormat=P","Fill=—","Direction=H","UseDPDF=Y")</f>
        <v>-6.8</v>
      </c>
      <c r="J12" s="12" cm="1">
        <f t="array" ref="J12">_xll.BDH("PCAR US Equity","CF_ACCT_RCV_UNBILLED_REV","FQ2 2020","FQ2 2020","Currency=USD","Period=FQ","BEST_FPERIOD_OVERRIDE=FQ","FILING_STATUS=MR","SCALING_FORMAT=MLN","Sort=A","Dates=H","DateFormat=P","Fill=—","Direction=H","UseDPDF=Y")</f>
        <v>701.5</v>
      </c>
      <c r="K12" s="12" cm="1">
        <f t="array" ref="K12">_xll.BDH("PCAR US Equity","CF_ACCT_RCV_UNBILLED_REV","FQ3 2020","FQ3 2020","Currency=USD","Period=FQ","BEST_FPERIOD_OVERRIDE=FQ","FILING_STATUS=MR","SCALING_FORMAT=MLN","Sort=A","Dates=H","DateFormat=P","Fill=—","Direction=H","UseDPDF=Y")</f>
        <v>91</v>
      </c>
      <c r="L12" s="12" cm="1">
        <f t="array" ref="L12">_xll.BDH("PCAR US Equity","CF_ACCT_RCV_UNBILLED_REV","FQ4 2020","FQ4 2020","Currency=USD","Period=FQ","BEST_FPERIOD_OVERRIDE=FQ","FILING_STATUS=MR","SCALING_FORMAT=MLN","Sort=A","Dates=H","DateFormat=P","Fill=—","Direction=H","UseDPDF=Y")</f>
        <v>85.5</v>
      </c>
      <c r="M12" s="12" cm="1">
        <f t="array" ref="M12">_xll.BDH("PCAR US Equity","CF_ACCT_RCV_UNBILLED_REV","FQ1 2021","FQ1 2021","Currency=USD","Period=FQ","BEST_FPERIOD_OVERRIDE=FQ","FILING_STATUS=MR","SCALING_FORMAT=MLN","Sort=A","Dates=H","DateFormat=P","Fill=—","Direction=H","UseDPDF=Y")</f>
        <v>26.8</v>
      </c>
      <c r="N12" s="12" cm="1">
        <f t="array" ref="N12">_xll.BDH("PCAR US Equity","CF_ACCT_RCV_UNBILLED_REV","FQ2 2021","FQ2 2021","Currency=USD","Period=FQ","BEST_FPERIOD_OVERRIDE=FQ","FILING_STATUS=MR","SCALING_FORMAT=MLN","Sort=A","Dates=H","DateFormat=P","Fill=—","Direction=H","UseDPDF=Y")</f>
        <v>136.6</v>
      </c>
      <c r="O12" s="12" cm="1">
        <f t="array" ref="O12">_xll.BDH("PCAR US Equity","CF_ACCT_RCV_UNBILLED_REV","FQ3 2021","FQ3 2021","Currency=USD","Period=FQ","BEST_FPERIOD_OVERRIDE=FQ","FILING_STATUS=MR","SCALING_FORMAT=MLN","Sort=A","Dates=H","DateFormat=P","Fill=—","Direction=H","UseDPDF=Y")</f>
        <v>424.3</v>
      </c>
      <c r="P12" s="12" cm="1">
        <f t="array" ref="P12">_xll.BDH("PCAR US Equity","CF_ACCT_RCV_UNBILLED_REV","FQ4 2021","FQ4 2021","Currency=USD","Period=FQ","BEST_FPERIOD_OVERRIDE=FQ","FILING_STATUS=MR","SCALING_FORMAT=MLN","Sort=A","Dates=H","DateFormat=P","Fill=—","Direction=H","UseDPDF=Y")</f>
        <v>-496.9</v>
      </c>
      <c r="Q12" s="12" cm="1">
        <f t="array" ref="Q12">_xll.BDH("PCAR US Equity","CF_ACCT_RCV_UNBILLED_REV","FQ1 2022","FQ1 2022","Currency=USD","Period=FQ","BEST_FPERIOD_OVERRIDE=FQ","FILING_STATUS=MR","SCALING_FORMAT=MLN","Sort=A","Dates=H","DateFormat=P","Fill=—","Direction=H","UseDPDF=Y")</f>
        <v>-327.39999999999998</v>
      </c>
      <c r="R12" s="12" cm="1">
        <f t="array" ref="R12">_xll.BDH("PCAR US Equity","CF_ACCT_RCV_UNBILLED_REV","FQ2 2022","FQ2 2022","Currency=USD","Period=FQ","BEST_FPERIOD_OVERRIDE=FQ","FILING_STATUS=MR","SCALING_FORMAT=MLN","Sort=A","Dates=H","DateFormat=P","Fill=—","Direction=H","UseDPDF=Y")</f>
        <v>-243</v>
      </c>
      <c r="S12" s="12" cm="1">
        <f t="array" ref="S12">_xll.BDH("PCAR US Equity","CF_ACCT_RCV_UNBILLED_REV","FQ3 2022","FQ3 2022","Currency=USD","Period=FQ","BEST_FPERIOD_OVERRIDE=FQ","FILING_STATUS=MR","SCALING_FORMAT=MLN","Sort=A","Dates=H","DateFormat=P","Fill=—","Direction=H","UseDPDF=Y")</f>
        <v>-7.4</v>
      </c>
      <c r="T12" s="12" cm="1">
        <f t="array" ref="T12">_xll.BDH("PCAR US Equity","CF_ACCT_RCV_UNBILLED_REV","FQ4 2022","FQ4 2022","Currency=USD","Period=FQ","BEST_FPERIOD_OVERRIDE=FQ","FILING_STATUS=MR","SCALING_FORMAT=MLN","Sort=A","Dates=H","DateFormat=P","Fill=—","Direction=H","UseDPDF=Y")</f>
        <v>-357.6</v>
      </c>
      <c r="U12" s="12" cm="1">
        <f t="array" ref="U12">_xll.BDH("PCAR US Equity","CF_ACCT_RCV_UNBILLED_REV","FQ1 2023","FQ1 2023","Currency=USD","Period=FQ","BEST_FPERIOD_OVERRIDE=FQ","FILING_STATUS=MR","SCALING_FORMAT=MLN","Sort=A","Dates=H","DateFormat=P","Fill=—","Direction=H","UseDPDF=Y")</f>
        <v>-451.2</v>
      </c>
      <c r="V12" s="12" cm="1">
        <f t="array" ref="V12">_xll.BDH("PCAR US Equity","CF_ACCT_RCV_UNBILLED_REV","FQ2 2023","FQ2 2023","Currency=USD","Period=FQ","BEST_FPERIOD_OVERRIDE=FQ","FILING_STATUS=MR","SCALING_FORMAT=MLN","Sort=A","Dates=H","DateFormat=P","Fill=—","Direction=H","UseDPDF=Y")</f>
        <v>-363.9</v>
      </c>
      <c r="W12" s="12" cm="1">
        <f t="array" ref="W12">_xll.BDH("PCAR US Equity","CF_ACCT_RCV_UNBILLED_REV","FQ3 2023","FQ3 2023","Currency=USD","Period=FQ","BEST_FPERIOD_OVERRIDE=FQ","FILING_STATUS=MR","SCALING_FORMAT=MLN","Sort=A","Dates=H","DateFormat=P","Fill=—","Direction=H","UseDPDF=Y")</f>
        <v>-191.7</v>
      </c>
      <c r="X12" s="12" cm="1">
        <f t="array" ref="X12">_xll.BDH("PCAR US Equity","CF_ACCT_RCV_UNBILLED_REV","FQ4 2023","FQ4 2023","Currency=USD","Period=FQ","BEST_FPERIOD_OVERRIDE=FQ","FILING_STATUS=MR","SCALING_FORMAT=MLN","Sort=A","Dates=H","DateFormat=P","Fill=—","Direction=H","UseDPDF=Y")</f>
        <v>-259.60000000000002</v>
      </c>
      <c r="Y12" s="12" cm="1">
        <f t="array" ref="Y12">_xll.BDH("PCAR US Equity","CF_ACCT_RCV_UNBILLED_REV","FQ1 2024","FQ1 2024","Currency=USD","Period=FQ","BEST_FPERIOD_OVERRIDE=FQ","FILING_STATUS=MR","SCALING_FORMAT=MLN","Sort=A","Dates=H","DateFormat=P","Fill=—","Direction=H","UseDPDF=Y")</f>
        <v>-183.4</v>
      </c>
      <c r="Z12" s="12" cm="1">
        <f t="array" ref="Z12">_xll.BDH("PCAR US Equity","CF_ACCT_RCV_UNBILLED_REV","FQ2 2024","FQ2 2024","Currency=USD","Period=FQ","BEST_FPERIOD_OVERRIDE=FQ","FILING_STATUS=MR","SCALING_FORMAT=MLN","Sort=A","Dates=H","DateFormat=P","Fill=—","Direction=H","UseDPDF=Y")</f>
        <v>-164.8</v>
      </c>
      <c r="AA12" s="12" cm="1">
        <f t="array" ref="AA12">_xll.BDH("PCAR US Equity","CF_ACCT_RCV_UNBILLED_REV","FQ3 2024","FQ3 2024","Currency=USD","Period=FQ","BEST_FPERIOD_OVERRIDE=FQ","FILING_STATUS=MR","SCALING_FORMAT=MLN","Sort=A","Dates=H","DateFormat=P","Fill=—","Direction=H","UseDPDF=Y")</f>
        <v>-489.2</v>
      </c>
      <c r="AB12" s="12" cm="1">
        <f t="array" ref="AB12">_xll.BDH("PCAR US Equity","CF_ACCT_RCV_UNBILLED_REV","FQ4 2024","FQ4 2024","Currency=USD","Period=FQ","BEST_FPERIOD_OVERRIDE=FQ","FILING_STATUS=MR","SCALING_FORMAT=MLN","Sort=A","Dates=H","DateFormat=P","Fill=—","Direction=H","UseDPDF=Y")</f>
        <v>358.7</v>
      </c>
      <c r="AC12" s="12" cm="1">
        <f t="array" ref="AC12">_xll.BDH("PCAR US Equity","CF_ACCT_RCV_UNBILLED_REV","FQ1 2025","FQ1 2025","Currency=USD","Period=FQ","BEST_FPERIOD_OVERRIDE=FQ","FILING_STATUS=MR","SCALING_FORMAT=MLN","Sort=A","Dates=H","DateFormat=P","Fill=—","Direction=H","UseDPDF=Y")</f>
        <v>28.8</v>
      </c>
      <c r="AD12" s="12" cm="1">
        <f t="array" ref="AD12">_xll.BDH("PCAR US Equity","CF_ACCT_RCV_UNBILLED_REV","FQ2 2025","FQ2 2025","Currency=USD","Period=FQ","BEST_FPERIOD_OVERRIDE=FQ","FILING_STATUS=MR","SCALING_FORMAT=MLN","Sort=A","Dates=H","DateFormat=P","Fill=—","Direction=H","UseDPDF=Y")</f>
        <v>275.8</v>
      </c>
      <c r="AE12" s="12" cm="1">
        <f t="array" ref="AE12">_xll.BDH("PCAR US Equity","CF_ACCT_RCV_UNBILLED_REV","FQ3 2025","FQ3 2025","Currency=USD","Period=FQ","BEST_FPERIOD_OVERRIDE=FQ","FILING_STATUS=MR","SCALING_FORMAT=MLN","Sort=A","Dates=H","DateFormat=P","Fill=—","Direction=H","UseDPDF=Y")</f>
        <v>410.3</v>
      </c>
      <c r="AF12" s="12" t="str" cm="1">
        <f t="array" ref="AF12">_xll.BDH("PCAR US Equity","CF_ACCT_RCV_UNBILLED_REV","FQ4 2025","FQ4 2025","Currency=USD","Period=FQ","BEST_FPERIOD_OVERRIDE=FQ","FILING_STATUS=MR","SCALING_FORMAT=MLN","Sort=A","Dates=H","DateFormat=P","Fill=—","Direction=H","UseDPDF=Y")</f>
        <v>—</v>
      </c>
    </row>
    <row r="13" spans="1:32" x14ac:dyDescent="0.25">
      <c r="A13" s="10" t="s">
        <v>78</v>
      </c>
      <c r="B13" s="10" t="s">
        <v>79</v>
      </c>
      <c r="C13" s="12" cm="1">
        <f t="array" ref="C13">_xll.BDH("PCAR US Equity","CF_CHANGE_IN_INVENTORIES","FQ3 2018","FQ3 2018","Currency=USD","Period=FQ","BEST_FPERIOD_OVERRIDE=FQ","FILING_STATUS=MR","SCALING_FORMAT=MLN","Sort=A","Dates=H","DateFormat=P","Fill=—","Direction=H","UseDPDF=Y")</f>
        <v>-38.700000000000003</v>
      </c>
      <c r="D13" s="12" cm="1">
        <f t="array" ref="D13">_xll.BDH("PCAR US Equity","CF_CHANGE_IN_INVENTORIES","FQ4 2018","FQ4 2018","Currency=USD","Period=FQ","BEST_FPERIOD_OVERRIDE=FQ","FILING_STATUS=MR","SCALING_FORMAT=MLN","Sort=A","Dates=H","DateFormat=P","Fill=—","Direction=H","UseDPDF=Y")</f>
        <v>94.5</v>
      </c>
      <c r="E13" s="12" cm="1">
        <f t="array" ref="E13">_xll.BDH("PCAR US Equity","CF_CHANGE_IN_INVENTORIES","FQ1 2019","FQ1 2019","Currency=USD","Period=FQ","BEST_FPERIOD_OVERRIDE=FQ","FILING_STATUS=MR","SCALING_FORMAT=MLN","Sort=A","Dates=H","DateFormat=P","Fill=—","Direction=H","UseDPDF=Y")</f>
        <v>-92.8</v>
      </c>
      <c r="F13" s="12" cm="1">
        <f t="array" ref="F13">_xll.BDH("PCAR US Equity","CF_CHANGE_IN_INVENTORIES","FQ2 2019","FQ2 2019","Currency=USD","Period=FQ","BEST_FPERIOD_OVERRIDE=FQ","FILING_STATUS=MR","SCALING_FORMAT=MLN","Sort=A","Dates=H","DateFormat=P","Fill=—","Direction=H","UseDPDF=Y")</f>
        <v>-55.9</v>
      </c>
      <c r="G13" s="12" cm="1">
        <f t="array" ref="G13">_xll.BDH("PCAR US Equity","CF_CHANGE_IN_INVENTORIES","FQ3 2019","FQ3 2019","Currency=USD","Period=FQ","BEST_FPERIOD_OVERRIDE=FQ","FILING_STATUS=MR","SCALING_FORMAT=MLN","Sort=A","Dates=H","DateFormat=P","Fill=—","Direction=H","UseDPDF=Y")</f>
        <v>13.5</v>
      </c>
      <c r="H13" s="12" cm="1">
        <f t="array" ref="H13">_xll.BDH("PCAR US Equity","CF_CHANGE_IN_INVENTORIES","FQ4 2019","FQ4 2019","Currency=USD","Period=FQ","BEST_FPERIOD_OVERRIDE=FQ","FILING_STATUS=MR","SCALING_FORMAT=MLN","Sort=A","Dates=H","DateFormat=P","Fill=—","Direction=H","UseDPDF=Y")</f>
        <v>159.80000000000001</v>
      </c>
      <c r="I13" s="12" cm="1">
        <f t="array" ref="I13">_xll.BDH("PCAR US Equity","CF_CHANGE_IN_INVENTORIES","FQ1 2020","FQ1 2020","Currency=USD","Period=FQ","BEST_FPERIOD_OVERRIDE=FQ","FILING_STATUS=MR","SCALING_FORMAT=MLN","Sort=A","Dates=H","DateFormat=P","Fill=—","Direction=H","UseDPDF=Y")</f>
        <v>-169</v>
      </c>
      <c r="J13" s="12" cm="1">
        <f t="array" ref="J13">_xll.BDH("PCAR US Equity","CF_CHANGE_IN_INVENTORIES","FQ2 2020","FQ2 2020","Currency=USD","Period=FQ","BEST_FPERIOD_OVERRIDE=FQ","FILING_STATUS=MR","SCALING_FORMAT=MLN","Sort=A","Dates=H","DateFormat=P","Fill=—","Direction=H","UseDPDF=Y")</f>
        <v>153.5</v>
      </c>
      <c r="K13" s="12" cm="1">
        <f t="array" ref="K13">_xll.BDH("PCAR US Equity","CF_CHANGE_IN_INVENTORIES","FQ3 2020","FQ3 2020","Currency=USD","Period=FQ","BEST_FPERIOD_OVERRIDE=FQ","FILING_STATUS=MR","SCALING_FORMAT=MLN","Sort=A","Dates=H","DateFormat=P","Fill=—","Direction=H","UseDPDF=Y")</f>
        <v>27.4</v>
      </c>
      <c r="L13" s="12" cm="1">
        <f t="array" ref="L13">_xll.BDH("PCAR US Equity","CF_CHANGE_IN_INVENTORIES","FQ4 2020","FQ4 2020","Currency=USD","Period=FQ","BEST_FPERIOD_OVERRIDE=FQ","FILING_STATUS=MR","SCALING_FORMAT=MLN","Sort=A","Dates=H","DateFormat=P","Fill=—","Direction=H","UseDPDF=Y")</f>
        <v>-60.1</v>
      </c>
      <c r="M13" s="12" cm="1">
        <f t="array" ref="M13">_xll.BDH("PCAR US Equity","CF_CHANGE_IN_INVENTORIES","FQ1 2021","FQ1 2021","Currency=USD","Period=FQ","BEST_FPERIOD_OVERRIDE=FQ","FILING_STATUS=MR","SCALING_FORMAT=MLN","Sort=A","Dates=H","DateFormat=P","Fill=—","Direction=H","UseDPDF=Y")</f>
        <v>-270.89999999999998</v>
      </c>
      <c r="N13" s="12" cm="1">
        <f t="array" ref="N13">_xll.BDH("PCAR US Equity","CF_CHANGE_IN_INVENTORIES","FQ2 2021","FQ2 2021","Currency=USD","Period=FQ","BEST_FPERIOD_OVERRIDE=FQ","FILING_STATUS=MR","SCALING_FORMAT=MLN","Sort=A","Dates=H","DateFormat=P","Fill=—","Direction=H","UseDPDF=Y")</f>
        <v>-572.4</v>
      </c>
      <c r="O13" s="12" cm="1">
        <f t="array" ref="O13">_xll.BDH("PCAR US Equity","CF_CHANGE_IN_INVENTORIES","FQ3 2021","FQ3 2021","Currency=USD","Period=FQ","BEST_FPERIOD_OVERRIDE=FQ","FILING_STATUS=MR","SCALING_FORMAT=MLN","Sort=A","Dates=H","DateFormat=P","Fill=—","Direction=H","UseDPDF=Y")</f>
        <v>-505.9</v>
      </c>
      <c r="P13" s="12" cm="1">
        <f t="array" ref="P13">_xll.BDH("PCAR US Equity","CF_CHANGE_IN_INVENTORIES","FQ4 2021","FQ4 2021","Currency=USD","Period=FQ","BEST_FPERIOD_OVERRIDE=FQ","FILING_STATUS=MR","SCALING_FORMAT=MLN","Sort=A","Dates=H","DateFormat=P","Fill=—","Direction=H","UseDPDF=Y")</f>
        <v>721.2</v>
      </c>
      <c r="Q13" s="12" cm="1">
        <f t="array" ref="Q13">_xll.BDH("PCAR US Equity","CF_CHANGE_IN_INVENTORIES","FQ1 2022","FQ1 2022","Currency=USD","Period=FQ","BEST_FPERIOD_OVERRIDE=FQ","FILING_STATUS=MR","SCALING_FORMAT=MLN","Sort=A","Dates=H","DateFormat=P","Fill=—","Direction=H","UseDPDF=Y")</f>
        <v>-230.9</v>
      </c>
      <c r="R13" s="12" cm="1">
        <f t="array" ref="R13">_xll.BDH("PCAR US Equity","CF_CHANGE_IN_INVENTORIES","FQ2 2022","FQ2 2022","Currency=USD","Period=FQ","BEST_FPERIOD_OVERRIDE=FQ","FILING_STATUS=MR","SCALING_FORMAT=MLN","Sort=A","Dates=H","DateFormat=P","Fill=—","Direction=H","UseDPDF=Y")</f>
        <v>-77</v>
      </c>
      <c r="S13" s="12" cm="1">
        <f t="array" ref="S13">_xll.BDH("PCAR US Equity","CF_CHANGE_IN_INVENTORIES","FQ3 2022","FQ3 2022","Currency=USD","Period=FQ","BEST_FPERIOD_OVERRIDE=FQ","FILING_STATUS=MR","SCALING_FORMAT=MLN","Sort=A","Dates=H","DateFormat=P","Fill=—","Direction=H","UseDPDF=Y")</f>
        <v>-215.6</v>
      </c>
      <c r="T13" s="12" cm="1">
        <f t="array" ref="T13">_xll.BDH("PCAR US Equity","CF_CHANGE_IN_INVENTORIES","FQ4 2022","FQ4 2022","Currency=USD","Period=FQ","BEST_FPERIOD_OVERRIDE=FQ","FILING_STATUS=MR","SCALING_FORMAT=MLN","Sort=A","Dates=H","DateFormat=P","Fill=—","Direction=H","UseDPDF=Y")</f>
        <v>250.8</v>
      </c>
      <c r="U13" s="12" cm="1">
        <f t="array" ref="U13">_xll.BDH("PCAR US Equity","CF_CHANGE_IN_INVENTORIES","FQ1 2023","FQ1 2023","Currency=USD","Period=FQ","BEST_FPERIOD_OVERRIDE=FQ","FILING_STATUS=MR","SCALING_FORMAT=MLN","Sort=A","Dates=H","DateFormat=P","Fill=—","Direction=H","UseDPDF=Y")</f>
        <v>-401.7</v>
      </c>
      <c r="V13" s="12" cm="1">
        <f t="array" ref="V13">_xll.BDH("PCAR US Equity","CF_CHANGE_IN_INVENTORIES","FQ2 2023","FQ2 2023","Currency=USD","Period=FQ","BEST_FPERIOD_OVERRIDE=FQ","FILING_STATUS=MR","SCALING_FORMAT=MLN","Sort=A","Dates=H","DateFormat=P","Fill=—","Direction=H","UseDPDF=Y")</f>
        <v>-92.6</v>
      </c>
      <c r="W13" s="12" cm="1">
        <f t="array" ref="W13">_xll.BDH("PCAR US Equity","CF_CHANGE_IN_INVENTORIES","FQ3 2023","FQ3 2023","Currency=USD","Period=FQ","BEST_FPERIOD_OVERRIDE=FQ","FILING_STATUS=MR","SCALING_FORMAT=MLN","Sort=A","Dates=H","DateFormat=P","Fill=—","Direction=H","UseDPDF=Y")</f>
        <v>44.3</v>
      </c>
      <c r="X13" s="12" cm="1">
        <f t="array" ref="X13">_xll.BDH("PCAR US Equity","CF_CHANGE_IN_INVENTORIES","FQ4 2023","FQ4 2023","Currency=USD","Period=FQ","BEST_FPERIOD_OVERRIDE=FQ","FILING_STATUS=MR","SCALING_FORMAT=MLN","Sort=A","Dates=H","DateFormat=P","Fill=—","Direction=H","UseDPDF=Y")</f>
        <v>99.3</v>
      </c>
      <c r="Y13" s="12" cm="1">
        <f t="array" ref="Y13">_xll.BDH("PCAR US Equity","CF_CHANGE_IN_INVENTORIES","FQ1 2024","FQ1 2024","Currency=USD","Period=FQ","BEST_FPERIOD_OVERRIDE=FQ","FILING_STATUS=MR","SCALING_FORMAT=MLN","Sort=A","Dates=H","DateFormat=P","Fill=—","Direction=H","UseDPDF=Y")</f>
        <v>-203.8</v>
      </c>
      <c r="Z13" s="12" cm="1">
        <f t="array" ref="Z13">_xll.BDH("PCAR US Equity","CF_CHANGE_IN_INVENTORIES","FQ2 2024","FQ2 2024","Currency=USD","Period=FQ","BEST_FPERIOD_OVERRIDE=FQ","FILING_STATUS=MR","SCALING_FORMAT=MLN","Sort=A","Dates=H","DateFormat=P","Fill=—","Direction=H","UseDPDF=Y")</f>
        <v>-59.4</v>
      </c>
      <c r="AA13" s="12" cm="1">
        <f t="array" ref="AA13">_xll.BDH("PCAR US Equity","CF_CHANGE_IN_INVENTORIES","FQ3 2024","FQ3 2024","Currency=USD","Period=FQ","BEST_FPERIOD_OVERRIDE=FQ","FILING_STATUS=MR","SCALING_FORMAT=MLN","Sort=A","Dates=H","DateFormat=P","Fill=—","Direction=H","UseDPDF=Y")</f>
        <v>176.9</v>
      </c>
      <c r="AB13" s="12" cm="1">
        <f t="array" ref="AB13">_xll.BDH("PCAR US Equity","CF_CHANGE_IN_INVENTORIES","FQ4 2024","FQ4 2024","Currency=USD","Period=FQ","BEST_FPERIOD_OVERRIDE=FQ","FILING_STATUS=MR","SCALING_FORMAT=MLN","Sort=A","Dates=H","DateFormat=P","Fill=—","Direction=H","UseDPDF=Y")</f>
        <v>128.80000000000001</v>
      </c>
      <c r="AC13" s="12" cm="1">
        <f t="array" ref="AC13">_xll.BDH("PCAR US Equity","CF_CHANGE_IN_INVENTORIES","FQ1 2025","FQ1 2025","Currency=USD","Period=FQ","BEST_FPERIOD_OVERRIDE=FQ","FILING_STATUS=MR","SCALING_FORMAT=MLN","Sort=A","Dates=H","DateFormat=P","Fill=—","Direction=H","UseDPDF=Y")</f>
        <v>33</v>
      </c>
      <c r="AD13" s="12" cm="1">
        <f t="array" ref="AD13">_xll.BDH("PCAR US Equity","CF_CHANGE_IN_INVENTORIES","FQ2 2025","FQ2 2025","Currency=USD","Period=FQ","BEST_FPERIOD_OVERRIDE=FQ","FILING_STATUS=MR","SCALING_FORMAT=MLN","Sort=A","Dates=H","DateFormat=P","Fill=—","Direction=H","UseDPDF=Y")</f>
        <v>-4.0999999999999996</v>
      </c>
      <c r="AE13" s="12" cm="1">
        <f t="array" ref="AE13">_xll.BDH("PCAR US Equity","CF_CHANGE_IN_INVENTORIES","FQ3 2025","FQ3 2025","Currency=USD","Period=FQ","BEST_FPERIOD_OVERRIDE=FQ","FILING_STATUS=MR","SCALING_FORMAT=MLN","Sort=A","Dates=H","DateFormat=P","Fill=—","Direction=H","UseDPDF=Y")</f>
        <v>160.80000000000001</v>
      </c>
      <c r="AF13" s="12" t="str" cm="1">
        <f t="array" ref="AF13">_xll.BDH("PCAR US Equity","CF_CHANGE_IN_INVENTORIES","FQ4 2025","FQ4 2025","Currency=USD","Period=FQ","BEST_FPERIOD_OVERRIDE=FQ","FILING_STATUS=MR","SCALING_FORMAT=MLN","Sort=A","Dates=H","DateFormat=P","Fill=—","Direction=H","UseDPDF=Y")</f>
        <v>—</v>
      </c>
    </row>
    <row r="14" spans="1:32" x14ac:dyDescent="0.25">
      <c r="A14" s="10" t="s">
        <v>80</v>
      </c>
      <c r="B14" s="10" t="s">
        <v>81</v>
      </c>
      <c r="C14" s="12" cm="1">
        <f t="array" ref="C14">_xll.BDH("PCAR US Equity","INC_DEC_IN_OT_OP_AST_LIAB_DETAIL","FQ3 2018","FQ3 2018","Currency=USD","Period=FQ","BEST_FPERIOD_OVERRIDE=FQ","FILING_STATUS=MR","SCALING_FORMAT=MLN","Sort=A","Dates=H","DateFormat=P","Fill=—","Direction=H","UseDPDF=Y")</f>
        <v>104</v>
      </c>
      <c r="D14" s="12" cm="1">
        <f t="array" ref="D14">_xll.BDH("PCAR US Equity","INC_DEC_IN_OT_OP_AST_LIAB_DETAIL","FQ4 2018","FQ4 2018","Currency=USD","Period=FQ","BEST_FPERIOD_OVERRIDE=FQ","FILING_STATUS=MR","SCALING_FORMAT=MLN","Sort=A","Dates=H","DateFormat=P","Fill=—","Direction=H","UseDPDF=Y")</f>
        <v>223</v>
      </c>
      <c r="E14" s="12" cm="1">
        <f t="array" ref="E14">_xll.BDH("PCAR US Equity","INC_DEC_IN_OT_OP_AST_LIAB_DETAIL","FQ1 2019","FQ1 2019","Currency=USD","Period=FQ","BEST_FPERIOD_OVERRIDE=FQ","FILING_STATUS=MR","SCALING_FORMAT=MLN","Sort=A","Dates=H","DateFormat=P","Fill=—","Direction=H","UseDPDF=Y")</f>
        <v>-17</v>
      </c>
      <c r="F14" s="12" cm="1">
        <f t="array" ref="F14">_xll.BDH("PCAR US Equity","INC_DEC_IN_OT_OP_AST_LIAB_DETAIL","FQ2 2019","FQ2 2019","Currency=USD","Period=FQ","BEST_FPERIOD_OVERRIDE=FQ","FILING_STATUS=MR","SCALING_FORMAT=MLN","Sort=A","Dates=H","DateFormat=P","Fill=—","Direction=H","UseDPDF=Y")</f>
        <v>-116.3</v>
      </c>
      <c r="G14" s="12" cm="1">
        <f t="array" ref="G14">_xll.BDH("PCAR US Equity","INC_DEC_IN_OT_OP_AST_LIAB_DETAIL","FQ3 2019","FQ3 2019","Currency=USD","Period=FQ","BEST_FPERIOD_OVERRIDE=FQ","FILING_STATUS=MR","SCALING_FORMAT=MLN","Sort=A","Dates=H","DateFormat=P","Fill=—","Direction=H","UseDPDF=Y")</f>
        <v>-39.4</v>
      </c>
      <c r="H14" s="12" cm="1">
        <f t="array" ref="H14">_xll.BDH("PCAR US Equity","INC_DEC_IN_OT_OP_AST_LIAB_DETAIL","FQ4 2019","FQ4 2019","Currency=USD","Period=FQ","BEST_FPERIOD_OVERRIDE=FQ","FILING_STATUS=MR","SCALING_FORMAT=MLN","Sort=A","Dates=H","DateFormat=P","Fill=—","Direction=H","UseDPDF=Y")</f>
        <v>-13.7</v>
      </c>
      <c r="I14" s="12" cm="1">
        <f t="array" ref="I14">_xll.BDH("PCAR US Equity","INC_DEC_IN_OT_OP_AST_LIAB_DETAIL","FQ1 2020","FQ1 2020","Currency=USD","Period=FQ","BEST_FPERIOD_OVERRIDE=FQ","FILING_STATUS=MR","SCALING_FORMAT=MLN","Sort=A","Dates=H","DateFormat=P","Fill=—","Direction=H","UseDPDF=Y")</f>
        <v>-21.7</v>
      </c>
      <c r="J14" s="12" cm="1">
        <f t="array" ref="J14">_xll.BDH("PCAR US Equity","INC_DEC_IN_OT_OP_AST_LIAB_DETAIL","FQ2 2020","FQ2 2020","Currency=USD","Period=FQ","BEST_FPERIOD_OVERRIDE=FQ","FILING_STATUS=MR","SCALING_FORMAT=MLN","Sort=A","Dates=H","DateFormat=P","Fill=—","Direction=H","UseDPDF=Y")</f>
        <v>-319.2</v>
      </c>
      <c r="K14" s="12" cm="1">
        <f t="array" ref="K14">_xll.BDH("PCAR US Equity","INC_DEC_IN_OT_OP_AST_LIAB_DETAIL","FQ3 2020","FQ3 2020","Currency=USD","Period=FQ","BEST_FPERIOD_OVERRIDE=FQ","FILING_STATUS=MR","SCALING_FORMAT=MLN","Sort=A","Dates=H","DateFormat=P","Fill=—","Direction=H","UseDPDF=Y")</f>
        <v>128</v>
      </c>
      <c r="L14" s="12" cm="1">
        <f t="array" ref="L14">_xll.BDH("PCAR US Equity","INC_DEC_IN_OT_OP_AST_LIAB_DETAIL","FQ4 2020","FQ4 2020","Currency=USD","Period=FQ","BEST_FPERIOD_OVERRIDE=FQ","FILING_STATUS=MR","SCALING_FORMAT=MLN","Sort=A","Dates=H","DateFormat=P","Fill=—","Direction=H","UseDPDF=Y")</f>
        <v>165.9</v>
      </c>
      <c r="M14" s="12" cm="1">
        <f t="array" ref="M14">_xll.BDH("PCAR US Equity","INC_DEC_IN_OT_OP_AST_LIAB_DETAIL","FQ1 2021","FQ1 2021","Currency=USD","Period=FQ","BEST_FPERIOD_OVERRIDE=FQ","FILING_STATUS=MR","SCALING_FORMAT=MLN","Sort=A","Dates=H","DateFormat=P","Fill=—","Direction=H","UseDPDF=Y")</f>
        <v>108.1</v>
      </c>
      <c r="N14" s="12" cm="1">
        <f t="array" ref="N14">_xll.BDH("PCAR US Equity","INC_DEC_IN_OT_OP_AST_LIAB_DETAIL","FQ2 2021","FQ2 2021","Currency=USD","Period=FQ","BEST_FPERIOD_OVERRIDE=FQ","FILING_STATUS=MR","SCALING_FORMAT=MLN","Sort=A","Dates=H","DateFormat=P","Fill=—","Direction=H","UseDPDF=Y")</f>
        <v>51.2</v>
      </c>
      <c r="O14" s="12" cm="1">
        <f t="array" ref="O14">_xll.BDH("PCAR US Equity","INC_DEC_IN_OT_OP_AST_LIAB_DETAIL","FQ3 2021","FQ3 2021","Currency=USD","Period=FQ","BEST_FPERIOD_OVERRIDE=FQ","FILING_STATUS=MR","SCALING_FORMAT=MLN","Sort=A","Dates=H","DateFormat=P","Fill=—","Direction=H","UseDPDF=Y")</f>
        <v>-30.8</v>
      </c>
      <c r="P14" s="12" cm="1">
        <f t="array" ref="P14">_xll.BDH("PCAR US Equity","INC_DEC_IN_OT_OP_AST_LIAB_DETAIL","FQ4 2021","FQ4 2021","Currency=USD","Period=FQ","BEST_FPERIOD_OVERRIDE=FQ","FILING_STATUS=MR","SCALING_FORMAT=MLN","Sort=A","Dates=H","DateFormat=P","Fill=—","Direction=H","UseDPDF=Y")</f>
        <v>169.3</v>
      </c>
      <c r="Q14" s="12" cm="1">
        <f t="array" ref="Q14">_xll.BDH("PCAR US Equity","INC_DEC_IN_OT_OP_AST_LIAB_DETAIL","FQ1 2022","FQ1 2022","Currency=USD","Period=FQ","BEST_FPERIOD_OVERRIDE=FQ","FILING_STATUS=MR","SCALING_FORMAT=MLN","Sort=A","Dates=H","DateFormat=P","Fill=—","Direction=H","UseDPDF=Y")</f>
        <v>378.6</v>
      </c>
      <c r="R14" s="12" cm="1">
        <f t="array" ref="R14">_xll.BDH("PCAR US Equity","INC_DEC_IN_OT_OP_AST_LIAB_DETAIL","FQ2 2022","FQ2 2022","Currency=USD","Period=FQ","BEST_FPERIOD_OVERRIDE=FQ","FILING_STATUS=MR","SCALING_FORMAT=MLN","Sort=A","Dates=H","DateFormat=P","Fill=—","Direction=H","UseDPDF=Y")</f>
        <v>60.3</v>
      </c>
      <c r="S14" s="12" cm="1">
        <f t="array" ref="S14">_xll.BDH("PCAR US Equity","INC_DEC_IN_OT_OP_AST_LIAB_DETAIL","FQ3 2022","FQ3 2022","Currency=USD","Period=FQ","BEST_FPERIOD_OVERRIDE=FQ","FILING_STATUS=MR","SCALING_FORMAT=MLN","Sort=A","Dates=H","DateFormat=P","Fill=—","Direction=H","UseDPDF=Y")</f>
        <v>-17.600000000000001</v>
      </c>
      <c r="T14" s="12" cm="1">
        <f t="array" ref="T14">_xll.BDH("PCAR US Equity","INC_DEC_IN_OT_OP_AST_LIAB_DETAIL","FQ4 2022","FQ4 2022","Currency=USD","Period=FQ","BEST_FPERIOD_OVERRIDE=FQ","FILING_STATUS=MR","SCALING_FORMAT=MLN","Sort=A","Dates=H","DateFormat=P","Fill=—","Direction=H","UseDPDF=Y")</f>
        <v>271.60000000000002</v>
      </c>
      <c r="U14" s="12" cm="1">
        <f t="array" ref="U14">_xll.BDH("PCAR US Equity","INC_DEC_IN_OT_OP_AST_LIAB_DETAIL","FQ1 2023","FQ1 2023","Currency=USD","Period=FQ","BEST_FPERIOD_OVERRIDE=FQ","FILING_STATUS=MR","SCALING_FORMAT=MLN","Sort=A","Dates=H","DateFormat=P","Fill=—","Direction=H","UseDPDF=Y")</f>
        <v>643.9</v>
      </c>
      <c r="V14" s="12" cm="1">
        <f t="array" ref="V14">_xll.BDH("PCAR US Equity","INC_DEC_IN_OT_OP_AST_LIAB_DETAIL","FQ2 2023","FQ2 2023","Currency=USD","Period=FQ","BEST_FPERIOD_OVERRIDE=FQ","FILING_STATUS=MR","SCALING_FORMAT=MLN","Sort=A","Dates=H","DateFormat=P","Fill=—","Direction=H","UseDPDF=Y")</f>
        <v>40.1</v>
      </c>
      <c r="W14" s="12" cm="1">
        <f t="array" ref="W14">_xll.BDH("PCAR US Equity","INC_DEC_IN_OT_OP_AST_LIAB_DETAIL","FQ3 2023","FQ3 2023","Currency=USD","Period=FQ","BEST_FPERIOD_OVERRIDE=FQ","FILING_STATUS=MR","SCALING_FORMAT=MLN","Sort=A","Dates=H","DateFormat=P","Fill=—","Direction=H","UseDPDF=Y")</f>
        <v>32.299999999999997</v>
      </c>
      <c r="X14" s="12" cm="1">
        <f t="array" ref="X14">_xll.BDH("PCAR US Equity","INC_DEC_IN_OT_OP_AST_LIAB_DETAIL","FQ4 2023","FQ4 2023","Currency=USD","Period=FQ","BEST_FPERIOD_OVERRIDE=FQ","FILING_STATUS=MR","SCALING_FORMAT=MLN","Sort=A","Dates=H","DateFormat=P","Fill=—","Direction=H","UseDPDF=Y")</f>
        <v>-53.5</v>
      </c>
      <c r="Y14" s="12" cm="1">
        <f t="array" ref="Y14">_xll.BDH("PCAR US Equity","INC_DEC_IN_OT_OP_AST_LIAB_DETAIL","FQ1 2024","FQ1 2024","Currency=USD","Period=FQ","BEST_FPERIOD_OVERRIDE=FQ","FILING_STATUS=MR","SCALING_FORMAT=MLN","Sort=A","Dates=H","DateFormat=P","Fill=—","Direction=H","UseDPDF=Y")</f>
        <v>417.9</v>
      </c>
      <c r="Z14" s="12" cm="1">
        <f t="array" ref="Z14">_xll.BDH("PCAR US Equity","INC_DEC_IN_OT_OP_AST_LIAB_DETAIL","FQ2 2024","FQ2 2024","Currency=USD","Period=FQ","BEST_FPERIOD_OVERRIDE=FQ","FILING_STATUS=MR","SCALING_FORMAT=MLN","Sort=A","Dates=H","DateFormat=P","Fill=—","Direction=H","UseDPDF=Y")</f>
        <v>-696.2</v>
      </c>
      <c r="AA14" s="12" cm="1">
        <f t="array" ref="AA14">_xll.BDH("PCAR US Equity","INC_DEC_IN_OT_OP_AST_LIAB_DETAIL","FQ3 2024","FQ3 2024","Currency=USD","Period=FQ","BEST_FPERIOD_OVERRIDE=FQ","FILING_STATUS=MR","SCALING_FORMAT=MLN","Sort=A","Dates=H","DateFormat=P","Fill=—","Direction=H","UseDPDF=Y")</f>
        <v>416.6</v>
      </c>
      <c r="AB14" s="12" cm="1">
        <f t="array" ref="AB14">_xll.BDH("PCAR US Equity","INC_DEC_IN_OT_OP_AST_LIAB_DETAIL","FQ4 2024","FQ4 2024","Currency=USD","Period=FQ","BEST_FPERIOD_OVERRIDE=FQ","FILING_STATUS=MR","SCALING_FORMAT=MLN","Sort=A","Dates=H","DateFormat=P","Fill=—","Direction=H","UseDPDF=Y")</f>
        <v>27.4</v>
      </c>
      <c r="AC14" s="12" cm="1">
        <f t="array" ref="AC14">_xll.BDH("PCAR US Equity","INC_DEC_IN_OT_OP_AST_LIAB_DETAIL","FQ1 2025","FQ1 2025","Currency=USD","Period=FQ","BEST_FPERIOD_OVERRIDE=FQ","FILING_STATUS=MR","SCALING_FORMAT=MLN","Sort=A","Dates=H","DateFormat=P","Fill=—","Direction=H","UseDPDF=Y")</f>
        <v>90.2</v>
      </c>
      <c r="AD14" s="12" cm="1">
        <f t="array" ref="AD14">_xll.BDH("PCAR US Equity","INC_DEC_IN_OT_OP_AST_LIAB_DETAIL","FQ2 2025","FQ2 2025","Currency=USD","Period=FQ","BEST_FPERIOD_OVERRIDE=FQ","FILING_STATUS=MR","SCALING_FORMAT=MLN","Sort=A","Dates=H","DateFormat=P","Fill=—","Direction=H","UseDPDF=Y")</f>
        <v>-348.6</v>
      </c>
      <c r="AE14" s="12" cm="1">
        <f t="array" ref="AE14">_xll.BDH("PCAR US Equity","INC_DEC_IN_OT_OP_AST_LIAB_DETAIL","FQ3 2025","FQ3 2025","Currency=USD","Period=FQ","BEST_FPERIOD_OVERRIDE=FQ","FILING_STATUS=MR","SCALING_FORMAT=MLN","Sort=A","Dates=H","DateFormat=P","Fill=—","Direction=H","UseDPDF=Y")</f>
        <v>-238.7</v>
      </c>
      <c r="AF14" s="12" cm="1">
        <f t="array" ref="AF14">_xll.BDH("PCAR US Equity","INC_DEC_IN_OT_OP_AST_LIAB_DETAIL","FQ4 2025","FQ4 2025","Currency=USD","Period=FQ","BEST_FPERIOD_OVERRIDE=FQ","FILING_STATUS=MR","SCALING_FORMAT=MLN","Sort=A","Dates=H","DateFormat=P","Fill=—","Direction=H","UseDPDF=Y")</f>
        <v>1470</v>
      </c>
    </row>
    <row r="15" spans="1:32" x14ac:dyDescent="0.25">
      <c r="A15" s="10" t="s">
        <v>82</v>
      </c>
      <c r="B15" s="10" t="s">
        <v>83</v>
      </c>
      <c r="C15" s="12" cm="1">
        <f t="array" ref="C15">_xll.BDH("PCAR US Equity","CF_NET_CASH_DISCONT_OPS_OPER","FQ3 2018","FQ3 2018","Currency=USD","Period=FQ","BEST_FPERIOD_OVERRIDE=FQ","FILING_STATUS=MR","SCALING_FORMAT=MLN","Sort=A","Dates=H","DateFormat=P","Fill=—","Direction=H","UseDPDF=Y")</f>
        <v>0</v>
      </c>
      <c r="D15" s="12" cm="1">
        <f t="array" ref="D15">_xll.BDH("PCAR US Equity","CF_NET_CASH_DISCONT_OPS_OPER","FQ4 2018","FQ4 2018","Currency=USD","Period=FQ","BEST_FPERIOD_OVERRIDE=FQ","FILING_STATUS=MR","SCALING_FORMAT=MLN","Sort=A","Dates=H","DateFormat=P","Fill=—","Direction=H","UseDPDF=Y")</f>
        <v>0</v>
      </c>
      <c r="E15" s="12" cm="1">
        <f t="array" ref="E15">_xll.BDH("PCAR US Equity","CF_NET_CASH_DISCONT_OPS_OPER","FQ1 2019","FQ1 2019","Currency=USD","Period=FQ","BEST_FPERIOD_OVERRIDE=FQ","FILING_STATUS=MR","SCALING_FORMAT=MLN","Sort=A","Dates=H","DateFormat=P","Fill=—","Direction=H","UseDPDF=Y")</f>
        <v>0</v>
      </c>
      <c r="F15" s="12" cm="1">
        <f t="array" ref="F15">_xll.BDH("PCAR US Equity","CF_NET_CASH_DISCONT_OPS_OPER","FQ2 2019","FQ2 2019","Currency=USD","Period=FQ","BEST_FPERIOD_OVERRIDE=FQ","FILING_STATUS=MR","SCALING_FORMAT=MLN","Sort=A","Dates=H","DateFormat=P","Fill=—","Direction=H","UseDPDF=Y")</f>
        <v>0</v>
      </c>
      <c r="G15" s="12" cm="1">
        <f t="array" ref="G15">_xll.BDH("PCAR US Equity","CF_NET_CASH_DISCONT_OPS_OPER","FQ3 2019","FQ3 2019","Currency=USD","Period=FQ","BEST_FPERIOD_OVERRIDE=FQ","FILING_STATUS=MR","SCALING_FORMAT=MLN","Sort=A","Dates=H","DateFormat=P","Fill=—","Direction=H","UseDPDF=Y")</f>
        <v>0</v>
      </c>
      <c r="H15" s="12" cm="1">
        <f t="array" ref="H15">_xll.BDH("PCAR US Equity","CF_NET_CASH_DISCONT_OPS_OPER","FQ4 2019","FQ4 2019","Currency=USD","Period=FQ","BEST_FPERIOD_OVERRIDE=FQ","FILING_STATUS=MR","SCALING_FORMAT=MLN","Sort=A","Dates=H","DateFormat=P","Fill=—","Direction=H","UseDPDF=Y")</f>
        <v>0</v>
      </c>
      <c r="I15" s="12" cm="1">
        <f t="array" ref="I15">_xll.BDH("PCAR US Equity","CF_NET_CASH_DISCONT_OPS_OPER","FQ1 2020","FQ1 2020","Currency=USD","Period=FQ","BEST_FPERIOD_OVERRIDE=FQ","FILING_STATUS=MR","SCALING_FORMAT=MLN","Sort=A","Dates=H","DateFormat=P","Fill=—","Direction=H","UseDPDF=Y")</f>
        <v>0</v>
      </c>
      <c r="J15" s="12" cm="1">
        <f t="array" ref="J15">_xll.BDH("PCAR US Equity","CF_NET_CASH_DISCONT_OPS_OPER","FQ2 2020","FQ2 2020","Currency=USD","Period=FQ","BEST_FPERIOD_OVERRIDE=FQ","FILING_STATUS=MR","SCALING_FORMAT=MLN","Sort=A","Dates=H","DateFormat=P","Fill=—","Direction=H","UseDPDF=Y")</f>
        <v>0</v>
      </c>
      <c r="K15" s="12" cm="1">
        <f t="array" ref="K15">_xll.BDH("PCAR US Equity","CF_NET_CASH_DISCONT_OPS_OPER","FQ3 2020","FQ3 2020","Currency=USD","Period=FQ","BEST_FPERIOD_OVERRIDE=FQ","FILING_STATUS=MR","SCALING_FORMAT=MLN","Sort=A","Dates=H","DateFormat=P","Fill=—","Direction=H","UseDPDF=Y")</f>
        <v>0</v>
      </c>
      <c r="L15" s="12" cm="1">
        <f t="array" ref="L15">_xll.BDH("PCAR US Equity","CF_NET_CASH_DISCONT_OPS_OPER","FQ4 2020","FQ4 2020","Currency=USD","Period=FQ","BEST_FPERIOD_OVERRIDE=FQ","FILING_STATUS=MR","SCALING_FORMAT=MLN","Sort=A","Dates=H","DateFormat=P","Fill=—","Direction=H","UseDPDF=Y")</f>
        <v>0</v>
      </c>
      <c r="M15" s="12" cm="1">
        <f t="array" ref="M15">_xll.BDH("PCAR US Equity","CF_NET_CASH_DISCONT_OPS_OPER","FQ1 2021","FQ1 2021","Currency=USD","Period=FQ","BEST_FPERIOD_OVERRIDE=FQ","FILING_STATUS=MR","SCALING_FORMAT=MLN","Sort=A","Dates=H","DateFormat=P","Fill=—","Direction=H","UseDPDF=Y")</f>
        <v>0</v>
      </c>
      <c r="N15" s="12" cm="1">
        <f t="array" ref="N15">_xll.BDH("PCAR US Equity","CF_NET_CASH_DISCONT_OPS_OPER","FQ2 2021","FQ2 2021","Currency=USD","Period=FQ","BEST_FPERIOD_OVERRIDE=FQ","FILING_STATUS=MR","SCALING_FORMAT=MLN","Sort=A","Dates=H","DateFormat=P","Fill=—","Direction=H","UseDPDF=Y")</f>
        <v>0</v>
      </c>
      <c r="O15" s="12" cm="1">
        <f t="array" ref="O15">_xll.BDH("PCAR US Equity","CF_NET_CASH_DISCONT_OPS_OPER","FQ3 2021","FQ3 2021","Currency=USD","Period=FQ","BEST_FPERIOD_OVERRIDE=FQ","FILING_STATUS=MR","SCALING_FORMAT=MLN","Sort=A","Dates=H","DateFormat=P","Fill=—","Direction=H","UseDPDF=Y")</f>
        <v>0</v>
      </c>
      <c r="P15" s="12" cm="1">
        <f t="array" ref="P15">_xll.BDH("PCAR US Equity","CF_NET_CASH_DISCONT_OPS_OPER","FQ4 2021","FQ4 2021","Currency=USD","Period=FQ","BEST_FPERIOD_OVERRIDE=FQ","FILING_STATUS=MR","SCALING_FORMAT=MLN","Sort=A","Dates=H","DateFormat=P","Fill=—","Direction=H","UseDPDF=Y")</f>
        <v>0</v>
      </c>
      <c r="Q15" s="12" cm="1">
        <f t="array" ref="Q15">_xll.BDH("PCAR US Equity","CF_NET_CASH_DISCONT_OPS_OPER","FQ1 2022","FQ1 2022","Currency=USD","Period=FQ","BEST_FPERIOD_OVERRIDE=FQ","FILING_STATUS=MR","SCALING_FORMAT=MLN","Sort=A","Dates=H","DateFormat=P","Fill=—","Direction=H","UseDPDF=Y")</f>
        <v>0</v>
      </c>
      <c r="R15" s="12" cm="1">
        <f t="array" ref="R15">_xll.BDH("PCAR US Equity","CF_NET_CASH_DISCONT_OPS_OPER","FQ2 2022","FQ2 2022","Currency=USD","Period=FQ","BEST_FPERIOD_OVERRIDE=FQ","FILING_STATUS=MR","SCALING_FORMAT=MLN","Sort=A","Dates=H","DateFormat=P","Fill=—","Direction=H","UseDPDF=Y")</f>
        <v>0</v>
      </c>
      <c r="S15" s="12" cm="1">
        <f t="array" ref="S15">_xll.BDH("PCAR US Equity","CF_NET_CASH_DISCONT_OPS_OPER","FQ3 2022","FQ3 2022","Currency=USD","Period=FQ","BEST_FPERIOD_OVERRIDE=FQ","FILING_STATUS=MR","SCALING_FORMAT=MLN","Sort=A","Dates=H","DateFormat=P","Fill=—","Direction=H","UseDPDF=Y")</f>
        <v>0</v>
      </c>
      <c r="T15" s="12" cm="1">
        <f t="array" ref="T15">_xll.BDH("PCAR US Equity","CF_NET_CASH_DISCONT_OPS_OPER","FQ4 2022","FQ4 2022","Currency=USD","Period=FQ","BEST_FPERIOD_OVERRIDE=FQ","FILING_STATUS=MR","SCALING_FORMAT=MLN","Sort=A","Dates=H","DateFormat=P","Fill=—","Direction=H","UseDPDF=Y")</f>
        <v>0</v>
      </c>
      <c r="U15" s="12" cm="1">
        <f t="array" ref="U15">_xll.BDH("PCAR US Equity","CF_NET_CASH_DISCONT_OPS_OPER","FQ1 2023","FQ1 2023","Currency=USD","Period=FQ","BEST_FPERIOD_OVERRIDE=FQ","FILING_STATUS=MR","SCALING_FORMAT=MLN","Sort=A","Dates=H","DateFormat=P","Fill=—","Direction=H","UseDPDF=Y")</f>
        <v>0</v>
      </c>
      <c r="V15" s="12" cm="1">
        <f t="array" ref="V15">_xll.BDH("PCAR US Equity","CF_NET_CASH_DISCONT_OPS_OPER","FQ2 2023","FQ2 2023","Currency=USD","Period=FQ","BEST_FPERIOD_OVERRIDE=FQ","FILING_STATUS=MR","SCALING_FORMAT=MLN","Sort=A","Dates=H","DateFormat=P","Fill=—","Direction=H","UseDPDF=Y")</f>
        <v>0</v>
      </c>
      <c r="W15" s="12" cm="1">
        <f t="array" ref="W15">_xll.BDH("PCAR US Equity","CF_NET_CASH_DISCONT_OPS_OPER","FQ3 2023","FQ3 2023","Currency=USD","Period=FQ","BEST_FPERIOD_OVERRIDE=FQ","FILING_STATUS=MR","SCALING_FORMAT=MLN","Sort=A","Dates=H","DateFormat=P","Fill=—","Direction=H","UseDPDF=Y")</f>
        <v>0</v>
      </c>
      <c r="X15" s="12" cm="1">
        <f t="array" ref="X15">_xll.BDH("PCAR US Equity","CF_NET_CASH_DISCONT_OPS_OPER","FQ4 2023","FQ4 2023","Currency=USD","Period=FQ","BEST_FPERIOD_OVERRIDE=FQ","FILING_STATUS=MR","SCALING_FORMAT=MLN","Sort=A","Dates=H","DateFormat=P","Fill=—","Direction=H","UseDPDF=Y")</f>
        <v>0</v>
      </c>
      <c r="Y15" s="12" cm="1">
        <f t="array" ref="Y15">_xll.BDH("PCAR US Equity","CF_NET_CASH_DISCONT_OPS_OPER","FQ1 2024","FQ1 2024","Currency=USD","Period=FQ","BEST_FPERIOD_OVERRIDE=FQ","FILING_STATUS=MR","SCALING_FORMAT=MLN","Sort=A","Dates=H","DateFormat=P","Fill=—","Direction=H","UseDPDF=Y")</f>
        <v>0</v>
      </c>
      <c r="Z15" s="12" cm="1">
        <f t="array" ref="Z15">_xll.BDH("PCAR US Equity","CF_NET_CASH_DISCONT_OPS_OPER","FQ2 2024","FQ2 2024","Currency=USD","Period=FQ","BEST_FPERIOD_OVERRIDE=FQ","FILING_STATUS=MR","SCALING_FORMAT=MLN","Sort=A","Dates=H","DateFormat=P","Fill=—","Direction=H","UseDPDF=Y")</f>
        <v>0</v>
      </c>
      <c r="AA15" s="12" cm="1">
        <f t="array" ref="AA15">_xll.BDH("PCAR US Equity","CF_NET_CASH_DISCONT_OPS_OPER","FQ3 2024","FQ3 2024","Currency=USD","Period=FQ","BEST_FPERIOD_OVERRIDE=FQ","FILING_STATUS=MR","SCALING_FORMAT=MLN","Sort=A","Dates=H","DateFormat=P","Fill=—","Direction=H","UseDPDF=Y")</f>
        <v>0</v>
      </c>
      <c r="AB15" s="12" cm="1">
        <f t="array" ref="AB15">_xll.BDH("PCAR US Equity","CF_NET_CASH_DISCONT_OPS_OPER","FQ4 2024","FQ4 2024","Currency=USD","Period=FQ","BEST_FPERIOD_OVERRIDE=FQ","FILING_STATUS=MR","SCALING_FORMAT=MLN","Sort=A","Dates=H","DateFormat=P","Fill=—","Direction=H","UseDPDF=Y")</f>
        <v>0</v>
      </c>
      <c r="AC15" s="12" cm="1">
        <f t="array" ref="AC15">_xll.BDH("PCAR US Equity","CF_NET_CASH_DISCONT_OPS_OPER","FQ1 2025","FQ1 2025","Currency=USD","Period=FQ","BEST_FPERIOD_OVERRIDE=FQ","FILING_STATUS=MR","SCALING_FORMAT=MLN","Sort=A","Dates=H","DateFormat=P","Fill=—","Direction=H","UseDPDF=Y")</f>
        <v>0</v>
      </c>
      <c r="AD15" s="12" cm="1">
        <f t="array" ref="AD15">_xll.BDH("PCAR US Equity","CF_NET_CASH_DISCONT_OPS_OPER","FQ2 2025","FQ2 2025","Currency=USD","Period=FQ","BEST_FPERIOD_OVERRIDE=FQ","FILING_STATUS=MR","SCALING_FORMAT=MLN","Sort=A","Dates=H","DateFormat=P","Fill=—","Direction=H","UseDPDF=Y")</f>
        <v>0</v>
      </c>
      <c r="AE15" s="12" cm="1">
        <f t="array" ref="AE15">_xll.BDH("PCAR US Equity","CF_NET_CASH_DISCONT_OPS_OPER","FQ3 2025","FQ3 2025","Currency=USD","Period=FQ","BEST_FPERIOD_OVERRIDE=FQ","FILING_STATUS=MR","SCALING_FORMAT=MLN","Sort=A","Dates=H","DateFormat=P","Fill=—","Direction=H","UseDPDF=Y")</f>
        <v>0</v>
      </c>
      <c r="AF15" s="12" cm="1">
        <f t="array" ref="AF15">_xll.BDH("PCAR US Equity","CF_NET_CASH_DISCONT_OPS_OPER","FQ4 2025","FQ4 2025","Currency=USD","Period=FQ","BEST_FPERIOD_OVERRIDE=FQ","FILING_STATUS=MR","SCALING_FORMAT=MLN","Sort=A","Dates=H","DateFormat=P","Fill=—","Direction=H","UseDPDF=Y")</f>
        <v>0</v>
      </c>
    </row>
    <row r="16" spans="1:32" x14ac:dyDescent="0.25">
      <c r="A16" s="6" t="s">
        <v>65</v>
      </c>
      <c r="B16" s="6" t="s">
        <v>84</v>
      </c>
      <c r="C16" s="15" cm="1">
        <f t="array" ref="C16">_xll.BDH("PCAR US Equity","CF_CASH_FROM_OPER","FQ3 2018","FQ3 2018","Currency=USD","Period=FQ","BEST_FPERIOD_OVERRIDE=FQ","FILING_STATUS=MR","SCALING_FORMAT=MLN","Sort=A","Dates=H","DateFormat=P","Fill=—","Direction=H","UseDPDF=Y")</f>
        <v>728.7</v>
      </c>
      <c r="D16" s="15" cm="1">
        <f t="array" ref="D16">_xll.BDH("PCAR US Equity","CF_CASH_FROM_OPER","FQ4 2018","FQ4 2018","Currency=USD","Period=FQ","BEST_FPERIOD_OVERRIDE=FQ","FILING_STATUS=MR","SCALING_FORMAT=MLN","Sort=A","Dates=H","DateFormat=P","Fill=—","Direction=H","UseDPDF=Y")</f>
        <v>1065.0999999999999</v>
      </c>
      <c r="E16" s="15" cm="1">
        <f t="array" ref="E16">_xll.BDH("PCAR US Equity","CF_CASH_FROM_OPER","FQ1 2019","FQ1 2019","Currency=USD","Period=FQ","BEST_FPERIOD_OVERRIDE=FQ","FILING_STATUS=MR","SCALING_FORMAT=MLN","Sort=A","Dates=H","DateFormat=P","Fill=—","Direction=H","UseDPDF=Y")</f>
        <v>363</v>
      </c>
      <c r="F16" s="15" cm="1">
        <f t="array" ref="F16">_xll.BDH("PCAR US Equity","CF_CASH_FROM_OPER","FQ2 2019","FQ2 2019","Currency=USD","Period=FQ","BEST_FPERIOD_OVERRIDE=FQ","FILING_STATUS=MR","SCALING_FORMAT=MLN","Sort=A","Dates=H","DateFormat=P","Fill=—","Direction=H","UseDPDF=Y")</f>
        <v>826.5</v>
      </c>
      <c r="G16" s="15" cm="1">
        <f t="array" ref="G16">_xll.BDH("PCAR US Equity","CF_CASH_FROM_OPER","FQ3 2019","FQ3 2019","Currency=USD","Period=FQ","BEST_FPERIOD_OVERRIDE=FQ","FILING_STATUS=MR","SCALING_FORMAT=MLN","Sort=A","Dates=H","DateFormat=P","Fill=—","Direction=H","UseDPDF=Y")</f>
        <v>727.1</v>
      </c>
      <c r="H16" s="15" cm="1">
        <f t="array" ref="H16">_xll.BDH("PCAR US Equity","CF_CASH_FROM_OPER","FQ4 2019","FQ4 2019","Currency=USD","Period=FQ","BEST_FPERIOD_OVERRIDE=FQ","FILING_STATUS=MR","SCALING_FORMAT=MLN","Sort=A","Dates=H","DateFormat=P","Fill=—","Direction=H","UseDPDF=Y")</f>
        <v>943.7</v>
      </c>
      <c r="I16" s="15" cm="1">
        <f t="array" ref="I16">_xll.BDH("PCAR US Equity","CF_CASH_FROM_OPER","FQ1 2020","FQ1 2020","Currency=USD","Period=FQ","BEST_FPERIOD_OVERRIDE=FQ","FILING_STATUS=MR","SCALING_FORMAT=MLN","Sort=A","Dates=H","DateFormat=P","Fill=—","Direction=H","UseDPDF=Y")</f>
        <v>425.9</v>
      </c>
      <c r="J16" s="15" cm="1">
        <f t="array" ref="J16">_xll.BDH("PCAR US Equity","CF_CASH_FROM_OPER","FQ2 2020","FQ2 2020","Currency=USD","Period=FQ","BEST_FPERIOD_OVERRIDE=FQ","FILING_STATUS=MR","SCALING_FORMAT=MLN","Sort=A","Dates=H","DateFormat=P","Fill=—","Direction=H","UseDPDF=Y")</f>
        <v>934.9</v>
      </c>
      <c r="K16" s="15" cm="1">
        <f t="array" ref="K16">_xll.BDH("PCAR US Equity","CF_CASH_FROM_OPER","FQ3 2020","FQ3 2020","Currency=USD","Period=FQ","BEST_FPERIOD_OVERRIDE=FQ","FILING_STATUS=MR","SCALING_FORMAT=MLN","Sort=A","Dates=H","DateFormat=P","Fill=—","Direction=H","UseDPDF=Y")</f>
        <v>831.7</v>
      </c>
      <c r="L16" s="15" cm="1">
        <f t="array" ref="L16">_xll.BDH("PCAR US Equity","CF_CASH_FROM_OPER","FQ4 2020","FQ4 2020","Currency=USD","Period=FQ","BEST_FPERIOD_OVERRIDE=FQ","FILING_STATUS=MR","SCALING_FORMAT=MLN","Sort=A","Dates=H","DateFormat=P","Fill=—","Direction=H","UseDPDF=Y")</f>
        <v>794.7</v>
      </c>
      <c r="M16" s="15" cm="1">
        <f t="array" ref="M16">_xll.BDH("PCAR US Equity","CF_CASH_FROM_OPER","FQ1 2021","FQ1 2021","Currency=USD","Period=FQ","BEST_FPERIOD_OVERRIDE=FQ","FILING_STATUS=MR","SCALING_FORMAT=MLN","Sort=A","Dates=H","DateFormat=P","Fill=—","Direction=H","UseDPDF=Y")</f>
        <v>536.9</v>
      </c>
      <c r="N16" s="15" cm="1">
        <f t="array" ref="N16">_xll.BDH("PCAR US Equity","CF_CASH_FROM_OPER","FQ2 2021","FQ2 2021","Currency=USD","Period=FQ","BEST_FPERIOD_OVERRIDE=FQ","FILING_STATUS=MR","SCALING_FORMAT=MLN","Sort=A","Dates=H","DateFormat=P","Fill=—","Direction=H","UseDPDF=Y")</f>
        <v>330.8</v>
      </c>
      <c r="O16" s="15" cm="1">
        <f t="array" ref="O16">_xll.BDH("PCAR US Equity","CF_CASH_FROM_OPER","FQ3 2021","FQ3 2021","Currency=USD","Period=FQ","BEST_FPERIOD_OVERRIDE=FQ","FILING_STATUS=MR","SCALING_FORMAT=MLN","Sort=A","Dates=H","DateFormat=P","Fill=—","Direction=H","UseDPDF=Y")</f>
        <v>282.5</v>
      </c>
      <c r="P16" s="15" cm="1">
        <f t="array" ref="P16">_xll.BDH("PCAR US Equity","CF_CASH_FROM_OPER","FQ4 2021","FQ4 2021","Currency=USD","Period=FQ","BEST_FPERIOD_OVERRIDE=FQ","FILING_STATUS=MR","SCALING_FORMAT=MLN","Sort=A","Dates=H","DateFormat=P","Fill=—","Direction=H","UseDPDF=Y")</f>
        <v>1036.5</v>
      </c>
      <c r="Q16" s="15" cm="1">
        <f t="array" ref="Q16">_xll.BDH("PCAR US Equity","CF_CASH_FROM_OPER","FQ1 2022","FQ1 2022","Currency=USD","Period=FQ","BEST_FPERIOD_OVERRIDE=FQ","FILING_STATUS=MR","SCALING_FORMAT=MLN","Sort=A","Dates=H","DateFormat=P","Fill=—","Direction=H","UseDPDF=Y")</f>
        <v>459.3</v>
      </c>
      <c r="R16" s="15" cm="1">
        <f t="array" ref="R16">_xll.BDH("PCAR US Equity","CF_CASH_FROM_OPER","FQ2 2022","FQ2 2022","Currency=USD","Period=FQ","BEST_FPERIOD_OVERRIDE=FQ","FILING_STATUS=MR","SCALING_FORMAT=MLN","Sort=A","Dates=H","DateFormat=P","Fill=—","Direction=H","UseDPDF=Y")</f>
        <v>638.20000000000005</v>
      </c>
      <c r="S16" s="15" cm="1">
        <f t="array" ref="S16">_xll.BDH("PCAR US Equity","CF_CASH_FROM_OPER","FQ3 2022","FQ3 2022","Currency=USD","Period=FQ","BEST_FPERIOD_OVERRIDE=FQ","FILING_STATUS=MR","SCALING_FORMAT=MLN","Sort=A","Dates=H","DateFormat=P","Fill=—","Direction=H","UseDPDF=Y")</f>
        <v>680.7</v>
      </c>
      <c r="T16" s="15" cm="1">
        <f t="array" ref="T16">_xll.BDH("PCAR US Equity","CF_CASH_FROM_OPER","FQ4 2022","FQ4 2022","Currency=USD","Period=FQ","BEST_FPERIOD_OVERRIDE=FQ","FILING_STATUS=MR","SCALING_FORMAT=MLN","Sort=A","Dates=H","DateFormat=P","Fill=—","Direction=H","UseDPDF=Y")</f>
        <v>1248.8</v>
      </c>
      <c r="U16" s="15" cm="1">
        <f t="array" ref="U16">_xll.BDH("PCAR US Equity","CF_CASH_FROM_OPER","FQ1 2023","FQ1 2023","Currency=USD","Period=FQ","BEST_FPERIOD_OVERRIDE=FQ","FILING_STATUS=MR","SCALING_FORMAT=MLN","Sort=A","Dates=H","DateFormat=P","Fill=—","Direction=H","UseDPDF=Y")</f>
        <v>684.8</v>
      </c>
      <c r="V16" s="15" cm="1">
        <f t="array" ref="V16">_xll.BDH("PCAR US Equity","CF_CASH_FROM_OPER","FQ2 2023","FQ2 2023","Currency=USD","Period=FQ","BEST_FPERIOD_OVERRIDE=FQ","FILING_STATUS=MR","SCALING_FORMAT=MLN","Sort=A","Dates=H","DateFormat=P","Fill=—","Direction=H","UseDPDF=Y")</f>
        <v>975.5</v>
      </c>
      <c r="W16" s="15" cm="1">
        <f t="array" ref="W16">_xll.BDH("PCAR US Equity","CF_CASH_FROM_OPER","FQ3 2023","FQ3 2023","Currency=USD","Period=FQ","BEST_FPERIOD_OVERRIDE=FQ","FILING_STATUS=MR","SCALING_FORMAT=MLN","Sort=A","Dates=H","DateFormat=P","Fill=—","Direction=H","UseDPDF=Y")</f>
        <v>1343</v>
      </c>
      <c r="X16" s="15" cm="1">
        <f t="array" ref="X16">_xll.BDH("PCAR US Equity","CF_CASH_FROM_OPER","FQ4 2023","FQ4 2023","Currency=USD","Period=FQ","BEST_FPERIOD_OVERRIDE=FQ","FILING_STATUS=MR","SCALING_FORMAT=MLN","Sort=A","Dates=H","DateFormat=P","Fill=—","Direction=H","UseDPDF=Y")</f>
        <v>1186.7</v>
      </c>
      <c r="Y16" s="15" cm="1">
        <f t="array" ref="Y16">_xll.BDH("PCAR US Equity","CF_CASH_FROM_OPER","FQ1 2024","FQ1 2024","Currency=USD","Period=FQ","BEST_FPERIOD_OVERRIDE=FQ","FILING_STATUS=MR","SCALING_FORMAT=MLN","Sort=A","Dates=H","DateFormat=P","Fill=—","Direction=H","UseDPDF=Y")</f>
        <v>1469</v>
      </c>
      <c r="Z16" s="15" cm="1">
        <f t="array" ref="Z16">_xll.BDH("PCAR US Equity","CF_CASH_FROM_OPER","FQ2 2024","FQ2 2024","Currency=USD","Period=FQ","BEST_FPERIOD_OVERRIDE=FQ","FILING_STATUS=MR","SCALING_FORMAT=MLN","Sort=A","Dates=H","DateFormat=P","Fill=—","Direction=H","UseDPDF=Y")</f>
        <v>440</v>
      </c>
      <c r="AA16" s="15" cm="1">
        <f t="array" ref="AA16">_xll.BDH("PCAR US Equity","CF_CASH_FROM_OPER","FQ3 2024","FQ3 2024","Currency=USD","Period=FQ","BEST_FPERIOD_OVERRIDE=FQ","FILING_STATUS=MR","SCALING_FORMAT=MLN","Sort=A","Dates=H","DateFormat=P","Fill=—","Direction=H","UseDPDF=Y")</f>
        <v>1286.2</v>
      </c>
      <c r="AB16" s="15" cm="1">
        <f t="array" ref="AB16">_xll.BDH("PCAR US Equity","CF_CASH_FROM_OPER","FQ4 2024","FQ4 2024","Currency=USD","Period=FQ","BEST_FPERIOD_OVERRIDE=FQ","FILING_STATUS=MR","SCALING_FORMAT=MLN","Sort=A","Dates=H","DateFormat=P","Fill=—","Direction=H","UseDPDF=Y")</f>
        <v>1445.7</v>
      </c>
      <c r="AC16" s="15" cm="1">
        <f t="array" ref="AC16">_xll.BDH("PCAR US Equity","CF_CASH_FROM_OPER","FQ1 2025","FQ1 2025","Currency=USD","Period=FQ","BEST_FPERIOD_OVERRIDE=FQ","FILING_STATUS=MR","SCALING_FORMAT=MLN","Sort=A","Dates=H","DateFormat=P","Fill=—","Direction=H","UseDPDF=Y")</f>
        <v>910.3</v>
      </c>
      <c r="AD16" s="15" cm="1">
        <f t="array" ref="AD16">_xll.BDH("PCAR US Equity","CF_CASH_FROM_OPER","FQ2 2025","FQ2 2025","Currency=USD","Period=FQ","BEST_FPERIOD_OVERRIDE=FQ","FILING_STATUS=MR","SCALING_FORMAT=MLN","Sort=A","Dates=H","DateFormat=P","Fill=—","Direction=H","UseDPDF=Y")</f>
        <v>833.4</v>
      </c>
      <c r="AE16" s="15" cm="1">
        <f t="array" ref="AE16">_xll.BDH("PCAR US Equity","CF_CASH_FROM_OPER","FQ3 2025","FQ3 2025","Currency=USD","Period=FQ","BEST_FPERIOD_OVERRIDE=FQ","FILING_STATUS=MR","SCALING_FORMAT=MLN","Sort=A","Dates=H","DateFormat=P","Fill=—","Direction=H","UseDPDF=Y")</f>
        <v>1527.8</v>
      </c>
      <c r="AF16" s="15" cm="1">
        <f t="array" ref="AF16">_xll.BDH("PCAR US Equity","CF_CASH_FROM_OPER","FQ4 2025","FQ4 2025","Currency=USD","Period=FQ","BEST_FPERIOD_OVERRIDE=FQ","FILING_STATUS=MR","SCALING_FORMAT=MLN","Sort=A","Dates=H","DateFormat=P","Fill=—","Direction=H","UseDPDF=Y")</f>
        <v>1144.3</v>
      </c>
    </row>
    <row r="17" spans="1:32" x14ac:dyDescent="0.25">
      <c r="A17" s="6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</row>
    <row r="18" spans="1:32" x14ac:dyDescent="0.25">
      <c r="A18" s="6" t="s">
        <v>85</v>
      </c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</row>
    <row r="19" spans="1:32" x14ac:dyDescent="0.25">
      <c r="A19" s="10" t="s">
        <v>86</v>
      </c>
      <c r="B19" s="10" t="s">
        <v>87</v>
      </c>
      <c r="C19" s="12" cm="1">
        <f t="array" ref="C19">_xll.BDH("PCAR US Equity","FIXED_INTANG_ASST_CHANGE","FQ3 2018","FQ3 2018","Currency=USD","Period=FQ","BEST_FPERIOD_OVERRIDE=FQ","FILING_STATUS=MR","SCALING_FORMAT=MLN","Sort=A","Dates=H","DateFormat=P","Fill=—","Direction=H","UseDPDF=Y")</f>
        <v>-311.89999999999998</v>
      </c>
      <c r="D19" s="12" cm="1">
        <f t="array" ref="D19">_xll.BDH("PCAR US Equity","FIXED_INTANG_ASST_CHANGE","FQ4 2018","FQ4 2018","Currency=USD","Period=FQ","BEST_FPERIOD_OVERRIDE=FQ","FILING_STATUS=MR","SCALING_FORMAT=MLN","Sort=A","Dates=H","DateFormat=P","Fill=—","Direction=H","UseDPDF=Y")</f>
        <v>-376.4</v>
      </c>
      <c r="E19" s="12" cm="1">
        <f t="array" ref="E19">_xll.BDH("PCAR US Equity","FIXED_INTANG_ASST_CHANGE","FQ1 2019","FQ1 2019","Currency=USD","Period=FQ","BEST_FPERIOD_OVERRIDE=FQ","FILING_STATUS=MR","SCALING_FORMAT=MLN","Sort=A","Dates=H","DateFormat=P","Fill=—","Direction=H","UseDPDF=Y")</f>
        <v>-225.7</v>
      </c>
      <c r="F19" s="12" cm="1">
        <f t="array" ref="F19">_xll.BDH("PCAR US Equity","FIXED_INTANG_ASST_CHANGE","FQ2 2019","FQ2 2019","Currency=USD","Period=FQ","BEST_FPERIOD_OVERRIDE=FQ","FILING_STATUS=MR","SCALING_FORMAT=MLN","Sort=A","Dates=H","DateFormat=P","Fill=—","Direction=H","UseDPDF=Y")</f>
        <v>-385.4</v>
      </c>
      <c r="G19" s="12" cm="1">
        <f t="array" ref="G19">_xll.BDH("PCAR US Equity","FIXED_INTANG_ASST_CHANGE","FQ3 2019","FQ3 2019","Currency=USD","Period=FQ","BEST_FPERIOD_OVERRIDE=FQ","FILING_STATUS=MR","SCALING_FORMAT=MLN","Sort=A","Dates=H","DateFormat=P","Fill=—","Direction=H","UseDPDF=Y")</f>
        <v>-336.9</v>
      </c>
      <c r="H19" s="12" cm="1">
        <f t="array" ref="H19">_xll.BDH("PCAR US Equity","FIXED_INTANG_ASST_CHANGE","FQ4 2019","FQ4 2019","Currency=USD","Period=FQ","BEST_FPERIOD_OVERRIDE=FQ","FILING_STATUS=MR","SCALING_FORMAT=MLN","Sort=A","Dates=H","DateFormat=P","Fill=—","Direction=H","UseDPDF=Y")</f>
        <v>-384.7</v>
      </c>
      <c r="I19" s="12" cm="1">
        <f t="array" ref="I19">_xll.BDH("PCAR US Equity","FIXED_INTANG_ASST_CHANGE","FQ1 2020","FQ1 2020","Currency=USD","Period=FQ","BEST_FPERIOD_OVERRIDE=FQ","FILING_STATUS=MR","SCALING_FORMAT=MLN","Sort=A","Dates=H","DateFormat=P","Fill=—","Direction=H","UseDPDF=Y")</f>
        <v>-343.4</v>
      </c>
      <c r="J19" s="12" cm="1">
        <f t="array" ref="J19">_xll.BDH("PCAR US Equity","FIXED_INTANG_ASST_CHANGE","FQ2 2020","FQ2 2020","Currency=USD","Period=FQ","BEST_FPERIOD_OVERRIDE=FQ","FILING_STATUS=MR","SCALING_FORMAT=MLN","Sort=A","Dates=H","DateFormat=P","Fill=—","Direction=H","UseDPDF=Y")</f>
        <v>-165.8</v>
      </c>
      <c r="K19" s="12" cm="1">
        <f t="array" ref="K19">_xll.BDH("PCAR US Equity","FIXED_INTANG_ASST_CHANGE","FQ3 2020","FQ3 2020","Currency=USD","Period=FQ","BEST_FPERIOD_OVERRIDE=FQ","FILING_STATUS=MR","SCALING_FORMAT=MLN","Sort=A","Dates=H","DateFormat=P","Fill=—","Direction=H","UseDPDF=Y")</f>
        <v>-204.4</v>
      </c>
      <c r="L19" s="12" cm="1">
        <f t="array" ref="L19">_xll.BDH("PCAR US Equity","FIXED_INTANG_ASST_CHANGE","FQ4 2020","FQ4 2020","Currency=USD","Period=FQ","BEST_FPERIOD_OVERRIDE=FQ","FILING_STATUS=MR","SCALING_FORMAT=MLN","Sort=A","Dates=H","DateFormat=P","Fill=—","Direction=H","UseDPDF=Y")</f>
        <v>-322.89999999999998</v>
      </c>
      <c r="M19" s="12" cm="1">
        <f t="array" ref="M19">_xll.BDH("PCAR US Equity","FIXED_INTANG_ASST_CHANGE","FQ1 2021","FQ1 2021","Currency=USD","Period=FQ","BEST_FPERIOD_OVERRIDE=FQ","FILING_STATUS=MR","SCALING_FORMAT=MLN","Sort=A","Dates=H","DateFormat=P","Fill=—","Direction=H","UseDPDF=Y")</f>
        <v>-116.8</v>
      </c>
      <c r="N19" s="12" cm="1">
        <f t="array" ref="N19">_xll.BDH("PCAR US Equity","FIXED_INTANG_ASST_CHANGE","FQ2 2021","FQ2 2021","Currency=USD","Period=FQ","BEST_FPERIOD_OVERRIDE=FQ","FILING_STATUS=MR","SCALING_FORMAT=MLN","Sort=A","Dates=H","DateFormat=P","Fill=—","Direction=H","UseDPDF=Y")</f>
        <v>-203.1</v>
      </c>
      <c r="O19" s="12" cm="1">
        <f t="array" ref="O19">_xll.BDH("PCAR US Equity","FIXED_INTANG_ASST_CHANGE","FQ3 2021","FQ3 2021","Currency=USD","Period=FQ","BEST_FPERIOD_OVERRIDE=FQ","FILING_STATUS=MR","SCALING_FORMAT=MLN","Sort=A","Dates=H","DateFormat=P","Fill=—","Direction=H","UseDPDF=Y")</f>
        <v>-165.8</v>
      </c>
      <c r="P19" s="12" cm="1">
        <f t="array" ref="P19">_xll.BDH("PCAR US Equity","FIXED_INTANG_ASST_CHANGE","FQ4 2021","FQ4 2021","Currency=USD","Period=FQ","BEST_FPERIOD_OVERRIDE=FQ","FILING_STATUS=MR","SCALING_FORMAT=MLN","Sort=A","Dates=H","DateFormat=P","Fill=—","Direction=H","UseDPDF=Y")</f>
        <v>-243</v>
      </c>
      <c r="Q19" s="12" cm="1">
        <f t="array" ref="Q19">_xll.BDH("PCAR US Equity","FIXED_INTANG_ASST_CHANGE","FQ1 2022","FQ1 2022","Currency=USD","Period=FQ","BEST_FPERIOD_OVERRIDE=FQ","FILING_STATUS=MR","SCALING_FORMAT=MLN","Sort=A","Dates=H","DateFormat=P","Fill=—","Direction=H","UseDPDF=Y")</f>
        <v>-180.5</v>
      </c>
      <c r="R19" s="12" cm="1">
        <f t="array" ref="R19">_xll.BDH("PCAR US Equity","FIXED_INTANG_ASST_CHANGE","FQ2 2022","FQ2 2022","Currency=USD","Period=FQ","BEST_FPERIOD_OVERRIDE=FQ","FILING_STATUS=MR","SCALING_FORMAT=MLN","Sort=A","Dates=H","DateFormat=P","Fill=—","Direction=H","UseDPDF=Y")</f>
        <v>-210.5</v>
      </c>
      <c r="S19" s="12" cm="1">
        <f t="array" ref="S19">_xll.BDH("PCAR US Equity","FIXED_INTANG_ASST_CHANGE","FQ3 2022","FQ3 2022","Currency=USD","Period=FQ","BEST_FPERIOD_OVERRIDE=FQ","FILING_STATUS=MR","SCALING_FORMAT=MLN","Sort=A","Dates=H","DateFormat=P","Fill=—","Direction=H","UseDPDF=Y")</f>
        <v>-179.5</v>
      </c>
      <c r="T19" s="12" cm="1">
        <f t="array" ref="T19">_xll.BDH("PCAR US Equity","FIXED_INTANG_ASST_CHANGE","FQ4 2022","FQ4 2022","Currency=USD","Period=FQ","BEST_FPERIOD_OVERRIDE=FQ","FILING_STATUS=MR","SCALING_FORMAT=MLN","Sort=A","Dates=H","DateFormat=P","Fill=—","Direction=H","UseDPDF=Y")</f>
        <v>-132.30000000000001</v>
      </c>
      <c r="U19" s="12" cm="1">
        <f t="array" ref="U19">_xll.BDH("PCAR US Equity","FIXED_INTANG_ASST_CHANGE","FQ1 2023","FQ1 2023","Currency=USD","Period=FQ","BEST_FPERIOD_OVERRIDE=FQ","FILING_STATUS=MR","SCALING_FORMAT=MLN","Sort=A","Dates=H","DateFormat=P","Fill=—","Direction=H","UseDPDF=Y")</f>
        <v>-120.4</v>
      </c>
      <c r="V19" s="12" cm="1">
        <f t="array" ref="V19">_xll.BDH("PCAR US Equity","FIXED_INTANG_ASST_CHANGE","FQ2 2023","FQ2 2023","Currency=USD","Period=FQ","BEST_FPERIOD_OVERRIDE=FQ","FILING_STATUS=MR","SCALING_FORMAT=MLN","Sort=A","Dates=H","DateFormat=P","Fill=—","Direction=H","UseDPDF=Y")</f>
        <v>-126.1</v>
      </c>
      <c r="W19" s="12" cm="1">
        <f t="array" ref="W19">_xll.BDH("PCAR US Equity","FIXED_INTANG_ASST_CHANGE","FQ3 2023","FQ3 2023","Currency=USD","Period=FQ","BEST_FPERIOD_OVERRIDE=FQ","FILING_STATUS=MR","SCALING_FORMAT=MLN","Sort=A","Dates=H","DateFormat=P","Fill=—","Direction=H","UseDPDF=Y")</f>
        <v>-203.6</v>
      </c>
      <c r="X19" s="12" cm="1">
        <f t="array" ref="X19">_xll.BDH("PCAR US Equity","FIXED_INTANG_ASST_CHANGE","FQ4 2023","FQ4 2023","Currency=USD","Period=FQ","BEST_FPERIOD_OVERRIDE=FQ","FILING_STATUS=MR","SCALING_FORMAT=MLN","Sort=A","Dates=H","DateFormat=P","Fill=—","Direction=H","UseDPDF=Y")</f>
        <v>-197.9</v>
      </c>
      <c r="Y19" s="12" cm="1">
        <f t="array" ref="Y19">_xll.BDH("PCAR US Equity","FIXED_INTANG_ASST_CHANGE","FQ1 2024","FQ1 2024","Currency=USD","Period=FQ","BEST_FPERIOD_OVERRIDE=FQ","FILING_STATUS=MR","SCALING_FORMAT=MLN","Sort=A","Dates=H","DateFormat=P","Fill=—","Direction=H","UseDPDF=Y")</f>
        <v>-182.7</v>
      </c>
      <c r="Z19" s="12" cm="1">
        <f t="array" ref="Z19">_xll.BDH("PCAR US Equity","FIXED_INTANG_ASST_CHANGE","FQ2 2024","FQ2 2024","Currency=USD","Period=FQ","BEST_FPERIOD_OVERRIDE=FQ","FILING_STATUS=MR","SCALING_FORMAT=MLN","Sort=A","Dates=H","DateFormat=P","Fill=—","Direction=H","UseDPDF=Y")</f>
        <v>-329</v>
      </c>
      <c r="AA19" s="12" cm="1">
        <f t="array" ref="AA19">_xll.BDH("PCAR US Equity","FIXED_INTANG_ASST_CHANGE","FQ3 2024","FQ3 2024","Currency=USD","Period=FQ","BEST_FPERIOD_OVERRIDE=FQ","FILING_STATUS=MR","SCALING_FORMAT=MLN","Sort=A","Dates=H","DateFormat=P","Fill=—","Direction=H","UseDPDF=Y")</f>
        <v>-209.4</v>
      </c>
      <c r="AB19" s="12" cm="1">
        <f t="array" ref="AB19">_xll.BDH("PCAR US Equity","FIXED_INTANG_ASST_CHANGE","FQ4 2024","FQ4 2024","Currency=USD","Period=FQ","BEST_FPERIOD_OVERRIDE=FQ","FILING_STATUS=MR","SCALING_FORMAT=MLN","Sort=A","Dates=H","DateFormat=P","Fill=—","Direction=H","UseDPDF=Y")</f>
        <v>-328.4</v>
      </c>
      <c r="AC19" s="12" cm="1">
        <f t="array" ref="AC19">_xll.BDH("PCAR US Equity","FIXED_INTANG_ASST_CHANGE","FQ1 2025","FQ1 2025","Currency=USD","Period=FQ","BEST_FPERIOD_OVERRIDE=FQ","FILING_STATUS=MR","SCALING_FORMAT=MLN","Sort=A","Dates=H","DateFormat=P","Fill=—","Direction=H","UseDPDF=Y")</f>
        <v>-125.6</v>
      </c>
      <c r="AD19" s="12" cm="1">
        <f t="array" ref="AD19">_xll.BDH("PCAR US Equity","FIXED_INTANG_ASST_CHANGE","FQ2 2025","FQ2 2025","Currency=USD","Period=FQ","BEST_FPERIOD_OVERRIDE=FQ","FILING_STATUS=MR","SCALING_FORMAT=MLN","Sort=A","Dates=H","DateFormat=P","Fill=—","Direction=H","UseDPDF=Y")</f>
        <v>-236.3</v>
      </c>
      <c r="AE19" s="12" cm="1">
        <f t="array" ref="AE19">_xll.BDH("PCAR US Equity","FIXED_INTANG_ASST_CHANGE","FQ3 2025","FQ3 2025","Currency=USD","Period=FQ","BEST_FPERIOD_OVERRIDE=FQ","FILING_STATUS=MR","SCALING_FORMAT=MLN","Sort=A","Dates=H","DateFormat=P","Fill=—","Direction=H","UseDPDF=Y")</f>
        <v>-158.1</v>
      </c>
      <c r="AF19" s="12" cm="1">
        <f t="array" ref="AF19">_xll.BDH("PCAR US Equity","FIXED_INTANG_ASST_CHANGE","FQ4 2025","FQ4 2025","Currency=USD","Period=FQ","BEST_FPERIOD_OVERRIDE=FQ","FILING_STATUS=MR","SCALING_FORMAT=MLN","Sort=A","Dates=H","DateFormat=P","Fill=—","Direction=H","UseDPDF=Y")</f>
        <v>-391</v>
      </c>
    </row>
    <row r="20" spans="1:32" x14ac:dyDescent="0.25">
      <c r="A20" s="10" t="s">
        <v>88</v>
      </c>
      <c r="B20" s="10" t="s">
        <v>89</v>
      </c>
      <c r="C20" s="12" cm="1">
        <f t="array" ref="C20">_xll.BDH("PCAR US Equity","DISPOSAL_OF_FIXED_INTANG","FQ3 2018","FQ3 2018","Currency=USD","Period=FQ","BEST_FPERIOD_OVERRIDE=FQ","FILING_STATUS=MR","SCALING_FORMAT=MLN","Sort=A","Dates=H","DateFormat=P","Fill=—","Direction=H","UseDPDF=Y")</f>
        <v>182.4</v>
      </c>
      <c r="D20" s="12" cm="1">
        <f t="array" ref="D20">_xll.BDH("PCAR US Equity","DISPOSAL_OF_FIXED_INTANG","FQ4 2018","FQ4 2018","Currency=USD","Period=FQ","BEST_FPERIOD_OVERRIDE=FQ","FILING_STATUS=MR","SCALING_FORMAT=MLN","Sort=A","Dates=H","DateFormat=P","Fill=—","Direction=H","UseDPDF=Y")</f>
        <v>163</v>
      </c>
      <c r="E20" s="12" cm="1">
        <f t="array" ref="E20">_xll.BDH("PCAR US Equity","DISPOSAL_OF_FIXED_INTANG","FQ1 2019","FQ1 2019","Currency=USD","Period=FQ","BEST_FPERIOD_OVERRIDE=FQ","FILING_STATUS=MR","SCALING_FORMAT=MLN","Sort=A","Dates=H","DateFormat=P","Fill=—","Direction=H","UseDPDF=Y")</f>
        <v>164.5</v>
      </c>
      <c r="F20" s="12" cm="1">
        <f t="array" ref="F20">_xll.BDH("PCAR US Equity","DISPOSAL_OF_FIXED_INTANG","FQ2 2019","FQ2 2019","Currency=USD","Period=FQ","BEST_FPERIOD_OVERRIDE=FQ","FILING_STATUS=MR","SCALING_FORMAT=MLN","Sort=A","Dates=H","DateFormat=P","Fill=—","Direction=H","UseDPDF=Y")</f>
        <v>134.69999999999999</v>
      </c>
      <c r="G20" s="12" cm="1">
        <f t="array" ref="G20">_xll.BDH("PCAR US Equity","DISPOSAL_OF_FIXED_INTANG","FQ3 2019","FQ3 2019","Currency=USD","Period=FQ","BEST_FPERIOD_OVERRIDE=FQ","FILING_STATUS=MR","SCALING_FORMAT=MLN","Sort=A","Dates=H","DateFormat=P","Fill=—","Direction=H","UseDPDF=Y")</f>
        <v>178.4</v>
      </c>
      <c r="H20" s="12" cm="1">
        <f t="array" ref="H20">_xll.BDH("PCAR US Equity","DISPOSAL_OF_FIXED_INTANG","FQ4 2019","FQ4 2019","Currency=USD","Period=FQ","BEST_FPERIOD_OVERRIDE=FQ","FILING_STATUS=MR","SCALING_FORMAT=MLN","Sort=A","Dates=H","DateFormat=P","Fill=—","Direction=H","UseDPDF=Y")</f>
        <v>160.5</v>
      </c>
      <c r="I20" s="12" cm="1">
        <f t="array" ref="I20">_xll.BDH("PCAR US Equity","DISPOSAL_OF_FIXED_INTANG","FQ1 2020","FQ1 2020","Currency=USD","Period=FQ","BEST_FPERIOD_OVERRIDE=FQ","FILING_STATUS=MR","SCALING_FORMAT=MLN","Sort=A","Dates=H","DateFormat=P","Fill=—","Direction=H","UseDPDF=Y")</f>
        <v>113.1</v>
      </c>
      <c r="J20" s="12" cm="1">
        <f t="array" ref="J20">_xll.BDH("PCAR US Equity","DISPOSAL_OF_FIXED_INTANG","FQ2 2020","FQ2 2020","Currency=USD","Period=FQ","BEST_FPERIOD_OVERRIDE=FQ","FILING_STATUS=MR","SCALING_FORMAT=MLN","Sort=A","Dates=H","DateFormat=P","Fill=—","Direction=H","UseDPDF=Y")</f>
        <v>129.5</v>
      </c>
      <c r="K20" s="12" cm="1">
        <f t="array" ref="K20">_xll.BDH("PCAR US Equity","DISPOSAL_OF_FIXED_INTANG","FQ3 2020","FQ3 2020","Currency=USD","Period=FQ","BEST_FPERIOD_OVERRIDE=FQ","FILING_STATUS=MR","SCALING_FORMAT=MLN","Sort=A","Dates=H","DateFormat=P","Fill=—","Direction=H","UseDPDF=Y")</f>
        <v>176.7</v>
      </c>
      <c r="L20" s="12" cm="1">
        <f t="array" ref="L20">_xll.BDH("PCAR US Equity","DISPOSAL_OF_FIXED_INTANG","FQ4 2020","FQ4 2020","Currency=USD","Period=FQ","BEST_FPERIOD_OVERRIDE=FQ","FILING_STATUS=MR","SCALING_FORMAT=MLN","Sort=A","Dates=H","DateFormat=P","Fill=—","Direction=H","UseDPDF=Y")</f>
        <v>182.6</v>
      </c>
      <c r="M20" s="12" cm="1">
        <f t="array" ref="M20">_xll.BDH("PCAR US Equity","DISPOSAL_OF_FIXED_INTANG","FQ1 2021","FQ1 2021","Currency=USD","Period=FQ","BEST_FPERIOD_OVERRIDE=FQ","FILING_STATUS=MR","SCALING_FORMAT=MLN","Sort=A","Dates=H","DateFormat=P","Fill=—","Direction=H","UseDPDF=Y")</f>
        <v>240.9</v>
      </c>
      <c r="N20" s="12" cm="1">
        <f t="array" ref="N20">_xll.BDH("PCAR US Equity","DISPOSAL_OF_FIXED_INTANG","FQ2 2021","FQ2 2021","Currency=USD","Period=FQ","BEST_FPERIOD_OVERRIDE=FQ","FILING_STATUS=MR","SCALING_FORMAT=MLN","Sort=A","Dates=H","DateFormat=P","Fill=—","Direction=H","UseDPDF=Y")</f>
        <v>232.5</v>
      </c>
      <c r="O20" s="12" cm="1">
        <f t="array" ref="O20">_xll.BDH("PCAR US Equity","DISPOSAL_OF_FIXED_INTANG","FQ3 2021","FQ3 2021","Currency=USD","Period=FQ","BEST_FPERIOD_OVERRIDE=FQ","FILING_STATUS=MR","SCALING_FORMAT=MLN","Sort=A","Dates=H","DateFormat=P","Fill=—","Direction=H","UseDPDF=Y")</f>
        <v>212.7</v>
      </c>
      <c r="P20" s="12" cm="1">
        <f t="array" ref="P20">_xll.BDH("PCAR US Equity","DISPOSAL_OF_FIXED_INTANG","FQ4 2021","FQ4 2021","Currency=USD","Period=FQ","BEST_FPERIOD_OVERRIDE=FQ","FILING_STATUS=MR","SCALING_FORMAT=MLN","Sort=A","Dates=H","DateFormat=P","Fill=—","Direction=H","UseDPDF=Y")</f>
        <v>218</v>
      </c>
      <c r="Q20" s="12" cm="1">
        <f t="array" ref="Q20">_xll.BDH("PCAR US Equity","DISPOSAL_OF_FIXED_INTANG","FQ1 2022","FQ1 2022","Currency=USD","Period=FQ","BEST_FPERIOD_OVERRIDE=FQ","FILING_STATUS=MR","SCALING_FORMAT=MLN","Sort=A","Dates=H","DateFormat=P","Fill=—","Direction=H","UseDPDF=Y")</f>
        <v>188.1</v>
      </c>
      <c r="R20" s="12" cm="1">
        <f t="array" ref="R20">_xll.BDH("PCAR US Equity","DISPOSAL_OF_FIXED_INTANG","FQ2 2022","FQ2 2022","Currency=USD","Period=FQ","BEST_FPERIOD_OVERRIDE=FQ","FILING_STATUS=MR","SCALING_FORMAT=MLN","Sort=A","Dates=H","DateFormat=P","Fill=—","Direction=H","UseDPDF=Y")</f>
        <v>160.19999999999999</v>
      </c>
      <c r="S20" s="12" cm="1">
        <f t="array" ref="S20">_xll.BDH("PCAR US Equity","DISPOSAL_OF_FIXED_INTANG","FQ3 2022","FQ3 2022","Currency=USD","Period=FQ","BEST_FPERIOD_OVERRIDE=FQ","FILING_STATUS=MR","SCALING_FORMAT=MLN","Sort=A","Dates=H","DateFormat=P","Fill=—","Direction=H","UseDPDF=Y")</f>
        <v>163</v>
      </c>
      <c r="T20" s="12" cm="1">
        <f t="array" ref="T20">_xll.BDH("PCAR US Equity","DISPOSAL_OF_FIXED_INTANG","FQ4 2022","FQ4 2022","Currency=USD","Period=FQ","BEST_FPERIOD_OVERRIDE=FQ","FILING_STATUS=MR","SCALING_FORMAT=MLN","Sort=A","Dates=H","DateFormat=P","Fill=—","Direction=H","UseDPDF=Y")</f>
        <v>176.4</v>
      </c>
      <c r="U20" s="12" cm="1">
        <f t="array" ref="U20">_xll.BDH("PCAR US Equity","DISPOSAL_OF_FIXED_INTANG","FQ1 2023","FQ1 2023","Currency=USD","Period=FQ","BEST_FPERIOD_OVERRIDE=FQ","FILING_STATUS=MR","SCALING_FORMAT=MLN","Sort=A","Dates=H","DateFormat=P","Fill=—","Direction=H","UseDPDF=Y")</f>
        <v>171.4</v>
      </c>
      <c r="V20" s="12" cm="1">
        <f t="array" ref="V20">_xll.BDH("PCAR US Equity","DISPOSAL_OF_FIXED_INTANG","FQ2 2023","FQ2 2023","Currency=USD","Period=FQ","BEST_FPERIOD_OVERRIDE=FQ","FILING_STATUS=MR","SCALING_FORMAT=MLN","Sort=A","Dates=H","DateFormat=P","Fill=—","Direction=H","UseDPDF=Y")</f>
        <v>145.5</v>
      </c>
      <c r="W20" s="12" cm="1">
        <f t="array" ref="W20">_xll.BDH("PCAR US Equity","DISPOSAL_OF_FIXED_INTANG","FQ3 2023","FQ3 2023","Currency=USD","Period=FQ","BEST_FPERIOD_OVERRIDE=FQ","FILING_STATUS=MR","SCALING_FORMAT=MLN","Sort=A","Dates=H","DateFormat=P","Fill=—","Direction=H","UseDPDF=Y")</f>
        <v>132.1</v>
      </c>
      <c r="X20" s="12" cm="1">
        <f t="array" ref="X20">_xll.BDH("PCAR US Equity","DISPOSAL_OF_FIXED_INTANG","FQ4 2023","FQ4 2023","Currency=USD","Period=FQ","BEST_FPERIOD_OVERRIDE=FQ","FILING_STATUS=MR","SCALING_FORMAT=MLN","Sort=A","Dates=H","DateFormat=P","Fill=—","Direction=H","UseDPDF=Y")</f>
        <v>165.5</v>
      </c>
      <c r="Y20" s="12" cm="1">
        <f t="array" ref="Y20">_xll.BDH("PCAR US Equity","DISPOSAL_OF_FIXED_INTANG","FQ1 2024","FQ1 2024","Currency=USD","Period=FQ","BEST_FPERIOD_OVERRIDE=FQ","FILING_STATUS=MR","SCALING_FORMAT=MLN","Sort=A","Dates=H","DateFormat=P","Fill=—","Direction=H","UseDPDF=Y")</f>
        <v>169.1</v>
      </c>
      <c r="Z20" s="12" cm="1">
        <f t="array" ref="Z20">_xll.BDH("PCAR US Equity","DISPOSAL_OF_FIXED_INTANG","FQ2 2024","FQ2 2024","Currency=USD","Period=FQ","BEST_FPERIOD_OVERRIDE=FQ","FILING_STATUS=MR","SCALING_FORMAT=MLN","Sort=A","Dates=H","DateFormat=P","Fill=—","Direction=H","UseDPDF=Y")</f>
        <v>183.8</v>
      </c>
      <c r="AA20" s="12" cm="1">
        <f t="array" ref="AA20">_xll.BDH("PCAR US Equity","DISPOSAL_OF_FIXED_INTANG","FQ3 2024","FQ3 2024","Currency=USD","Period=FQ","BEST_FPERIOD_OVERRIDE=FQ","FILING_STATUS=MR","SCALING_FORMAT=MLN","Sort=A","Dates=H","DateFormat=P","Fill=—","Direction=H","UseDPDF=Y")</f>
        <v>168.7</v>
      </c>
      <c r="AB20" s="12" cm="1">
        <f t="array" ref="AB20">_xll.BDH("PCAR US Equity","DISPOSAL_OF_FIXED_INTANG","FQ4 2024","FQ4 2024","Currency=USD","Period=FQ","BEST_FPERIOD_OVERRIDE=FQ","FILING_STATUS=MR","SCALING_FORMAT=MLN","Sort=A","Dates=H","DateFormat=P","Fill=—","Direction=H","UseDPDF=Y")</f>
        <v>174.5</v>
      </c>
      <c r="AC20" s="12" cm="1">
        <f t="array" ref="AC20">_xll.BDH("PCAR US Equity","DISPOSAL_OF_FIXED_INTANG","FQ1 2025","FQ1 2025","Currency=USD","Period=FQ","BEST_FPERIOD_OVERRIDE=FQ","FILING_STATUS=MR","SCALING_FORMAT=MLN","Sort=A","Dates=H","DateFormat=P","Fill=—","Direction=H","UseDPDF=Y")</f>
        <v>200.2</v>
      </c>
      <c r="AD20" s="12" cm="1">
        <f t="array" ref="AD20">_xll.BDH("PCAR US Equity","DISPOSAL_OF_FIXED_INTANG","FQ2 2025","FQ2 2025","Currency=USD","Period=FQ","BEST_FPERIOD_OVERRIDE=FQ","FILING_STATUS=MR","SCALING_FORMAT=MLN","Sort=A","Dates=H","DateFormat=P","Fill=—","Direction=H","UseDPDF=Y")</f>
        <v>152.6</v>
      </c>
      <c r="AE20" s="12" cm="1">
        <f t="array" ref="AE20">_xll.BDH("PCAR US Equity","DISPOSAL_OF_FIXED_INTANG","FQ3 2025","FQ3 2025","Currency=USD","Period=FQ","BEST_FPERIOD_OVERRIDE=FQ","FILING_STATUS=MR","SCALING_FORMAT=MLN","Sort=A","Dates=H","DateFormat=P","Fill=—","Direction=H","UseDPDF=Y")</f>
        <v>147.5</v>
      </c>
      <c r="AF20" s="12" t="str" cm="1">
        <f t="array" ref="AF20">_xll.BDH("PCAR US Equity","DISPOSAL_OF_FIXED_INTANG","FQ4 2025","FQ4 2025","Currency=USD","Period=FQ","BEST_FPERIOD_OVERRIDE=FQ","FILING_STATUS=MR","SCALING_FORMAT=MLN","Sort=A","Dates=H","DateFormat=P","Fill=—","Direction=H","UseDPDF=Y")</f>
        <v>—</v>
      </c>
    </row>
    <row r="21" spans="1:32" x14ac:dyDescent="0.25">
      <c r="A21" s="11" t="s">
        <v>90</v>
      </c>
      <c r="B21" s="11" t="s">
        <v>91</v>
      </c>
      <c r="C21" s="16" cm="1">
        <f t="array" ref="C21">_xll.BDH("PCAR US Equity","CF_DISPOSAL_OF_FIXED_PROD_ASSETS","FQ3 2018","FQ3 2018","Currency=USD","Period=FQ","BEST_FPERIOD_OVERRIDE=FQ","FILING_STATUS=MR","SCALING_FORMAT=MLN","Sort=A","Dates=H","DateFormat=P","Fill=—","Direction=H","UseDPDF=Y")</f>
        <v>182.4</v>
      </c>
      <c r="D21" s="16" cm="1">
        <f t="array" ref="D21">_xll.BDH("PCAR US Equity","CF_DISPOSAL_OF_FIXED_PROD_ASSETS","FQ4 2018","FQ4 2018","Currency=USD","Period=FQ","BEST_FPERIOD_OVERRIDE=FQ","FILING_STATUS=MR","SCALING_FORMAT=MLN","Sort=A","Dates=H","DateFormat=P","Fill=—","Direction=H","UseDPDF=Y")</f>
        <v>163</v>
      </c>
      <c r="E21" s="16" cm="1">
        <f t="array" ref="E21">_xll.BDH("PCAR US Equity","CF_DISPOSAL_OF_FIXED_PROD_ASSETS","FQ1 2019","FQ1 2019","Currency=USD","Period=FQ","BEST_FPERIOD_OVERRIDE=FQ","FILING_STATUS=MR","SCALING_FORMAT=MLN","Sort=A","Dates=H","DateFormat=P","Fill=—","Direction=H","UseDPDF=Y")</f>
        <v>164.5</v>
      </c>
      <c r="F21" s="16" cm="1">
        <f t="array" ref="F21">_xll.BDH("PCAR US Equity","CF_DISPOSAL_OF_FIXED_PROD_ASSETS","FQ2 2019","FQ2 2019","Currency=USD","Period=FQ","BEST_FPERIOD_OVERRIDE=FQ","FILING_STATUS=MR","SCALING_FORMAT=MLN","Sort=A","Dates=H","DateFormat=P","Fill=—","Direction=H","UseDPDF=Y")</f>
        <v>134.69999999999999</v>
      </c>
      <c r="G21" s="16" cm="1">
        <f t="array" ref="G21">_xll.BDH("PCAR US Equity","CF_DISPOSAL_OF_FIXED_PROD_ASSETS","FQ3 2019","FQ3 2019","Currency=USD","Period=FQ","BEST_FPERIOD_OVERRIDE=FQ","FILING_STATUS=MR","SCALING_FORMAT=MLN","Sort=A","Dates=H","DateFormat=P","Fill=—","Direction=H","UseDPDF=Y")</f>
        <v>178.4</v>
      </c>
      <c r="H21" s="16" cm="1">
        <f t="array" ref="H21">_xll.BDH("PCAR US Equity","CF_DISPOSAL_OF_FIXED_PROD_ASSETS","FQ4 2019","FQ4 2019","Currency=USD","Period=FQ","BEST_FPERIOD_OVERRIDE=FQ","FILING_STATUS=MR","SCALING_FORMAT=MLN","Sort=A","Dates=H","DateFormat=P","Fill=—","Direction=H","UseDPDF=Y")</f>
        <v>160.5</v>
      </c>
      <c r="I21" s="16" cm="1">
        <f t="array" ref="I21">_xll.BDH("PCAR US Equity","CF_DISPOSAL_OF_FIXED_PROD_ASSETS","FQ1 2020","FQ1 2020","Currency=USD","Period=FQ","BEST_FPERIOD_OVERRIDE=FQ","FILING_STATUS=MR","SCALING_FORMAT=MLN","Sort=A","Dates=H","DateFormat=P","Fill=—","Direction=H","UseDPDF=Y")</f>
        <v>113.1</v>
      </c>
      <c r="J21" s="16" cm="1">
        <f t="array" ref="J21">_xll.BDH("PCAR US Equity","CF_DISPOSAL_OF_FIXED_PROD_ASSETS","FQ2 2020","FQ2 2020","Currency=USD","Period=FQ","BEST_FPERIOD_OVERRIDE=FQ","FILING_STATUS=MR","SCALING_FORMAT=MLN","Sort=A","Dates=H","DateFormat=P","Fill=—","Direction=H","UseDPDF=Y")</f>
        <v>129.5</v>
      </c>
      <c r="K21" s="16" cm="1">
        <f t="array" ref="K21">_xll.BDH("PCAR US Equity","CF_DISPOSAL_OF_FIXED_PROD_ASSETS","FQ3 2020","FQ3 2020","Currency=USD","Period=FQ","BEST_FPERIOD_OVERRIDE=FQ","FILING_STATUS=MR","SCALING_FORMAT=MLN","Sort=A","Dates=H","DateFormat=P","Fill=—","Direction=H","UseDPDF=Y")</f>
        <v>176.7</v>
      </c>
      <c r="L21" s="16" cm="1">
        <f t="array" ref="L21">_xll.BDH("PCAR US Equity","CF_DISPOSAL_OF_FIXED_PROD_ASSETS","FQ4 2020","FQ4 2020","Currency=USD","Period=FQ","BEST_FPERIOD_OVERRIDE=FQ","FILING_STATUS=MR","SCALING_FORMAT=MLN","Sort=A","Dates=H","DateFormat=P","Fill=—","Direction=H","UseDPDF=Y")</f>
        <v>182.6</v>
      </c>
      <c r="M21" s="16" cm="1">
        <f t="array" ref="M21">_xll.BDH("PCAR US Equity","CF_DISPOSAL_OF_FIXED_PROD_ASSETS","FQ1 2021","FQ1 2021","Currency=USD","Period=FQ","BEST_FPERIOD_OVERRIDE=FQ","FILING_STATUS=MR","SCALING_FORMAT=MLN","Sort=A","Dates=H","DateFormat=P","Fill=—","Direction=H","UseDPDF=Y")</f>
        <v>240.9</v>
      </c>
      <c r="N21" s="16" cm="1">
        <f t="array" ref="N21">_xll.BDH("PCAR US Equity","CF_DISPOSAL_OF_FIXED_PROD_ASSETS","FQ2 2021","FQ2 2021","Currency=USD","Period=FQ","BEST_FPERIOD_OVERRIDE=FQ","FILING_STATUS=MR","SCALING_FORMAT=MLN","Sort=A","Dates=H","DateFormat=P","Fill=—","Direction=H","UseDPDF=Y")</f>
        <v>232.5</v>
      </c>
      <c r="O21" s="16" cm="1">
        <f t="array" ref="O21">_xll.BDH("PCAR US Equity","CF_DISPOSAL_OF_FIXED_PROD_ASSETS","FQ3 2021","FQ3 2021","Currency=USD","Period=FQ","BEST_FPERIOD_OVERRIDE=FQ","FILING_STATUS=MR","SCALING_FORMAT=MLN","Sort=A","Dates=H","DateFormat=P","Fill=—","Direction=H","UseDPDF=Y")</f>
        <v>212.7</v>
      </c>
      <c r="P21" s="16" cm="1">
        <f t="array" ref="P21">_xll.BDH("PCAR US Equity","CF_DISPOSAL_OF_FIXED_PROD_ASSETS","FQ4 2021","FQ4 2021","Currency=USD","Period=FQ","BEST_FPERIOD_OVERRIDE=FQ","FILING_STATUS=MR","SCALING_FORMAT=MLN","Sort=A","Dates=H","DateFormat=P","Fill=—","Direction=H","UseDPDF=Y")</f>
        <v>218</v>
      </c>
      <c r="Q21" s="16" cm="1">
        <f t="array" ref="Q21">_xll.BDH("PCAR US Equity","CF_DISPOSAL_OF_FIXED_PROD_ASSETS","FQ1 2022","FQ1 2022","Currency=USD","Period=FQ","BEST_FPERIOD_OVERRIDE=FQ","FILING_STATUS=MR","SCALING_FORMAT=MLN","Sort=A","Dates=H","DateFormat=P","Fill=—","Direction=H","UseDPDF=Y")</f>
        <v>188.1</v>
      </c>
      <c r="R21" s="16" cm="1">
        <f t="array" ref="R21">_xll.BDH("PCAR US Equity","CF_DISPOSAL_OF_FIXED_PROD_ASSETS","FQ2 2022","FQ2 2022","Currency=USD","Period=FQ","BEST_FPERIOD_OVERRIDE=FQ","FILING_STATUS=MR","SCALING_FORMAT=MLN","Sort=A","Dates=H","DateFormat=P","Fill=—","Direction=H","UseDPDF=Y")</f>
        <v>160.19999999999999</v>
      </c>
      <c r="S21" s="16" cm="1">
        <f t="array" ref="S21">_xll.BDH("PCAR US Equity","CF_DISPOSAL_OF_FIXED_PROD_ASSETS","FQ3 2022","FQ3 2022","Currency=USD","Period=FQ","BEST_FPERIOD_OVERRIDE=FQ","FILING_STATUS=MR","SCALING_FORMAT=MLN","Sort=A","Dates=H","DateFormat=P","Fill=—","Direction=H","UseDPDF=Y")</f>
        <v>163</v>
      </c>
      <c r="T21" s="16" cm="1">
        <f t="array" ref="T21">_xll.BDH("PCAR US Equity","CF_DISPOSAL_OF_FIXED_PROD_ASSETS","FQ4 2022","FQ4 2022","Currency=USD","Period=FQ","BEST_FPERIOD_OVERRIDE=FQ","FILING_STATUS=MR","SCALING_FORMAT=MLN","Sort=A","Dates=H","DateFormat=P","Fill=—","Direction=H","UseDPDF=Y")</f>
        <v>176.4</v>
      </c>
      <c r="U21" s="16" cm="1">
        <f t="array" ref="U21">_xll.BDH("PCAR US Equity","CF_DISPOSAL_OF_FIXED_PROD_ASSETS","FQ1 2023","FQ1 2023","Currency=USD","Period=FQ","BEST_FPERIOD_OVERRIDE=FQ","FILING_STATUS=MR","SCALING_FORMAT=MLN","Sort=A","Dates=H","DateFormat=P","Fill=—","Direction=H","UseDPDF=Y")</f>
        <v>171.4</v>
      </c>
      <c r="V21" s="16" cm="1">
        <f t="array" ref="V21">_xll.BDH("PCAR US Equity","CF_DISPOSAL_OF_FIXED_PROD_ASSETS","FQ2 2023","FQ2 2023","Currency=USD","Period=FQ","BEST_FPERIOD_OVERRIDE=FQ","FILING_STATUS=MR","SCALING_FORMAT=MLN","Sort=A","Dates=H","DateFormat=P","Fill=—","Direction=H","UseDPDF=Y")</f>
        <v>145.5</v>
      </c>
      <c r="W21" s="16" cm="1">
        <f t="array" ref="W21">_xll.BDH("PCAR US Equity","CF_DISPOSAL_OF_FIXED_PROD_ASSETS","FQ3 2023","FQ3 2023","Currency=USD","Period=FQ","BEST_FPERIOD_OVERRIDE=FQ","FILING_STATUS=MR","SCALING_FORMAT=MLN","Sort=A","Dates=H","DateFormat=P","Fill=—","Direction=H","UseDPDF=Y")</f>
        <v>132.1</v>
      </c>
      <c r="X21" s="16" cm="1">
        <f t="array" ref="X21">_xll.BDH("PCAR US Equity","CF_DISPOSAL_OF_FIXED_PROD_ASSETS","FQ4 2023","FQ4 2023","Currency=USD","Period=FQ","BEST_FPERIOD_OVERRIDE=FQ","FILING_STATUS=MR","SCALING_FORMAT=MLN","Sort=A","Dates=H","DateFormat=P","Fill=—","Direction=H","UseDPDF=Y")</f>
        <v>165.5</v>
      </c>
      <c r="Y21" s="16" cm="1">
        <f t="array" ref="Y21">_xll.BDH("PCAR US Equity","CF_DISPOSAL_OF_FIXED_PROD_ASSETS","FQ1 2024","FQ1 2024","Currency=USD","Period=FQ","BEST_FPERIOD_OVERRIDE=FQ","FILING_STATUS=MR","SCALING_FORMAT=MLN","Sort=A","Dates=H","DateFormat=P","Fill=—","Direction=H","UseDPDF=Y")</f>
        <v>169.1</v>
      </c>
      <c r="Z21" s="16" cm="1">
        <f t="array" ref="Z21">_xll.BDH("PCAR US Equity","CF_DISPOSAL_OF_FIXED_PROD_ASSETS","FQ2 2024","FQ2 2024","Currency=USD","Period=FQ","BEST_FPERIOD_OVERRIDE=FQ","FILING_STATUS=MR","SCALING_FORMAT=MLN","Sort=A","Dates=H","DateFormat=P","Fill=—","Direction=H","UseDPDF=Y")</f>
        <v>183.8</v>
      </c>
      <c r="AA21" s="16" cm="1">
        <f t="array" ref="AA21">_xll.BDH("PCAR US Equity","CF_DISPOSAL_OF_FIXED_PROD_ASSETS","FQ3 2024","FQ3 2024","Currency=USD","Period=FQ","BEST_FPERIOD_OVERRIDE=FQ","FILING_STATUS=MR","SCALING_FORMAT=MLN","Sort=A","Dates=H","DateFormat=P","Fill=—","Direction=H","UseDPDF=Y")</f>
        <v>168.7</v>
      </c>
      <c r="AB21" s="16" cm="1">
        <f t="array" ref="AB21">_xll.BDH("PCAR US Equity","CF_DISPOSAL_OF_FIXED_PROD_ASSETS","FQ4 2024","FQ4 2024","Currency=USD","Period=FQ","BEST_FPERIOD_OVERRIDE=FQ","FILING_STATUS=MR","SCALING_FORMAT=MLN","Sort=A","Dates=H","DateFormat=P","Fill=—","Direction=H","UseDPDF=Y")</f>
        <v>174.5</v>
      </c>
      <c r="AC21" s="16" cm="1">
        <f t="array" ref="AC21">_xll.BDH("PCAR US Equity","CF_DISPOSAL_OF_FIXED_PROD_ASSETS","FQ1 2025","FQ1 2025","Currency=USD","Period=FQ","BEST_FPERIOD_OVERRIDE=FQ","FILING_STATUS=MR","SCALING_FORMAT=MLN","Sort=A","Dates=H","DateFormat=P","Fill=—","Direction=H","UseDPDF=Y")</f>
        <v>200.2</v>
      </c>
      <c r="AD21" s="16" cm="1">
        <f t="array" ref="AD21">_xll.BDH("PCAR US Equity","CF_DISPOSAL_OF_FIXED_PROD_ASSETS","FQ2 2025","FQ2 2025","Currency=USD","Period=FQ","BEST_FPERIOD_OVERRIDE=FQ","FILING_STATUS=MR","SCALING_FORMAT=MLN","Sort=A","Dates=H","DateFormat=P","Fill=—","Direction=H","UseDPDF=Y")</f>
        <v>152.6</v>
      </c>
      <c r="AE21" s="16" cm="1">
        <f t="array" ref="AE21">_xll.BDH("PCAR US Equity","CF_DISPOSAL_OF_FIXED_PROD_ASSETS","FQ3 2025","FQ3 2025","Currency=USD","Period=FQ","BEST_FPERIOD_OVERRIDE=FQ","FILING_STATUS=MR","SCALING_FORMAT=MLN","Sort=A","Dates=H","DateFormat=P","Fill=—","Direction=H","UseDPDF=Y")</f>
        <v>147.5</v>
      </c>
      <c r="AF21" s="16" t="str" cm="1">
        <f t="array" ref="AF21">_xll.BDH("PCAR US Equity","CF_DISPOSAL_OF_FIXED_PROD_ASSETS","FQ4 2025","FQ4 2025","Currency=USD","Period=FQ","BEST_FPERIOD_OVERRIDE=FQ","FILING_STATUS=MR","SCALING_FORMAT=MLN","Sort=A","Dates=H","DateFormat=P","Fill=—","Direction=H","UseDPDF=Y")</f>
        <v>—</v>
      </c>
    </row>
    <row r="22" spans="1:32" x14ac:dyDescent="0.25">
      <c r="A22" s="11" t="s">
        <v>92</v>
      </c>
      <c r="B22" s="11" t="s">
        <v>93</v>
      </c>
      <c r="C22" s="16" cm="1">
        <f t="array" ref="C22">_xll.BDH("PCAR US Equity","CF_DISPOSAL_OF_INTANGIBLE_ASSETS","FQ3 2018","FQ3 2018","Currency=USD","Period=FQ","BEST_FPERIOD_OVERRIDE=FQ","FILING_STATUS=MR","SCALING_FORMAT=MLN","Sort=A","Dates=H","DateFormat=P","Fill=—","Direction=H","UseDPDF=Y")</f>
        <v>0</v>
      </c>
      <c r="D22" s="16" cm="1">
        <f t="array" ref="D22">_xll.BDH("PCAR US Equity","CF_DISPOSAL_OF_INTANGIBLE_ASSETS","FQ4 2018","FQ4 2018","Currency=USD","Period=FQ","BEST_FPERIOD_OVERRIDE=FQ","FILING_STATUS=MR","SCALING_FORMAT=MLN","Sort=A","Dates=H","DateFormat=P","Fill=—","Direction=H","UseDPDF=Y")</f>
        <v>0</v>
      </c>
      <c r="E22" s="16" cm="1">
        <f t="array" ref="E22">_xll.BDH("PCAR US Equity","CF_DISPOSAL_OF_INTANGIBLE_ASSETS","FQ1 2019","FQ1 2019","Currency=USD","Period=FQ","BEST_FPERIOD_OVERRIDE=FQ","FILING_STATUS=MR","SCALING_FORMAT=MLN","Sort=A","Dates=H","DateFormat=P","Fill=—","Direction=H","UseDPDF=Y")</f>
        <v>0</v>
      </c>
      <c r="F22" s="16" cm="1">
        <f t="array" ref="F22">_xll.BDH("PCAR US Equity","CF_DISPOSAL_OF_INTANGIBLE_ASSETS","FQ2 2019","FQ2 2019","Currency=USD","Period=FQ","BEST_FPERIOD_OVERRIDE=FQ","FILING_STATUS=MR","SCALING_FORMAT=MLN","Sort=A","Dates=H","DateFormat=P","Fill=—","Direction=H","UseDPDF=Y")</f>
        <v>0</v>
      </c>
      <c r="G22" s="16" cm="1">
        <f t="array" ref="G22">_xll.BDH("PCAR US Equity","CF_DISPOSAL_OF_INTANGIBLE_ASSETS","FQ3 2019","FQ3 2019","Currency=USD","Period=FQ","BEST_FPERIOD_OVERRIDE=FQ","FILING_STATUS=MR","SCALING_FORMAT=MLN","Sort=A","Dates=H","DateFormat=P","Fill=—","Direction=H","UseDPDF=Y")</f>
        <v>0</v>
      </c>
      <c r="H22" s="16" cm="1">
        <f t="array" ref="H22">_xll.BDH("PCAR US Equity","CF_DISPOSAL_OF_INTANGIBLE_ASSETS","FQ4 2019","FQ4 2019","Currency=USD","Period=FQ","BEST_FPERIOD_OVERRIDE=FQ","FILING_STATUS=MR","SCALING_FORMAT=MLN","Sort=A","Dates=H","DateFormat=P","Fill=—","Direction=H","UseDPDF=Y")</f>
        <v>0</v>
      </c>
      <c r="I22" s="16" cm="1">
        <f t="array" ref="I22">_xll.BDH("PCAR US Equity","CF_DISPOSAL_OF_INTANGIBLE_ASSETS","FQ1 2020","FQ1 2020","Currency=USD","Period=FQ","BEST_FPERIOD_OVERRIDE=FQ","FILING_STATUS=MR","SCALING_FORMAT=MLN","Sort=A","Dates=H","DateFormat=P","Fill=—","Direction=H","UseDPDF=Y")</f>
        <v>0</v>
      </c>
      <c r="J22" s="16" cm="1">
        <f t="array" ref="J22">_xll.BDH("PCAR US Equity","CF_DISPOSAL_OF_INTANGIBLE_ASSETS","FQ2 2020","FQ2 2020","Currency=USD","Period=FQ","BEST_FPERIOD_OVERRIDE=FQ","FILING_STATUS=MR","SCALING_FORMAT=MLN","Sort=A","Dates=H","DateFormat=P","Fill=—","Direction=H","UseDPDF=Y")</f>
        <v>0</v>
      </c>
      <c r="K22" s="16" cm="1">
        <f t="array" ref="K22">_xll.BDH("PCAR US Equity","CF_DISPOSAL_OF_INTANGIBLE_ASSETS","FQ3 2020","FQ3 2020","Currency=USD","Period=FQ","BEST_FPERIOD_OVERRIDE=FQ","FILING_STATUS=MR","SCALING_FORMAT=MLN","Sort=A","Dates=H","DateFormat=P","Fill=—","Direction=H","UseDPDF=Y")</f>
        <v>0</v>
      </c>
      <c r="L22" s="16" cm="1">
        <f t="array" ref="L22">_xll.BDH("PCAR US Equity","CF_DISPOSAL_OF_INTANGIBLE_ASSETS","FQ4 2020","FQ4 2020","Currency=USD","Period=FQ","BEST_FPERIOD_OVERRIDE=FQ","FILING_STATUS=MR","SCALING_FORMAT=MLN","Sort=A","Dates=H","DateFormat=P","Fill=—","Direction=H","UseDPDF=Y")</f>
        <v>0</v>
      </c>
      <c r="M22" s="16" cm="1">
        <f t="array" ref="M22">_xll.BDH("PCAR US Equity","CF_DISPOSAL_OF_INTANGIBLE_ASSETS","FQ1 2021","FQ1 2021","Currency=USD","Period=FQ","BEST_FPERIOD_OVERRIDE=FQ","FILING_STATUS=MR","SCALING_FORMAT=MLN","Sort=A","Dates=H","DateFormat=P","Fill=—","Direction=H","UseDPDF=Y")</f>
        <v>0</v>
      </c>
      <c r="N22" s="16" cm="1">
        <f t="array" ref="N22">_xll.BDH("PCAR US Equity","CF_DISPOSAL_OF_INTANGIBLE_ASSETS","FQ2 2021","FQ2 2021","Currency=USD","Period=FQ","BEST_FPERIOD_OVERRIDE=FQ","FILING_STATUS=MR","SCALING_FORMAT=MLN","Sort=A","Dates=H","DateFormat=P","Fill=—","Direction=H","UseDPDF=Y")</f>
        <v>0</v>
      </c>
      <c r="O22" s="16" cm="1">
        <f t="array" ref="O22">_xll.BDH("PCAR US Equity","CF_DISPOSAL_OF_INTANGIBLE_ASSETS","FQ3 2021","FQ3 2021","Currency=USD","Period=FQ","BEST_FPERIOD_OVERRIDE=FQ","FILING_STATUS=MR","SCALING_FORMAT=MLN","Sort=A","Dates=H","DateFormat=P","Fill=—","Direction=H","UseDPDF=Y")</f>
        <v>0</v>
      </c>
      <c r="P22" s="16" cm="1">
        <f t="array" ref="P22">_xll.BDH("PCAR US Equity","CF_DISPOSAL_OF_INTANGIBLE_ASSETS","FQ4 2021","FQ4 2021","Currency=USD","Period=FQ","BEST_FPERIOD_OVERRIDE=FQ","FILING_STATUS=MR","SCALING_FORMAT=MLN","Sort=A","Dates=H","DateFormat=P","Fill=—","Direction=H","UseDPDF=Y")</f>
        <v>0</v>
      </c>
      <c r="Q22" s="16" cm="1">
        <f t="array" ref="Q22">_xll.BDH("PCAR US Equity","CF_DISPOSAL_OF_INTANGIBLE_ASSETS","FQ1 2022","FQ1 2022","Currency=USD","Period=FQ","BEST_FPERIOD_OVERRIDE=FQ","FILING_STATUS=MR","SCALING_FORMAT=MLN","Sort=A","Dates=H","DateFormat=P","Fill=—","Direction=H","UseDPDF=Y")</f>
        <v>0</v>
      </c>
      <c r="R22" s="16" cm="1">
        <f t="array" ref="R22">_xll.BDH("PCAR US Equity","CF_DISPOSAL_OF_INTANGIBLE_ASSETS","FQ2 2022","FQ2 2022","Currency=USD","Period=FQ","BEST_FPERIOD_OVERRIDE=FQ","FILING_STATUS=MR","SCALING_FORMAT=MLN","Sort=A","Dates=H","DateFormat=P","Fill=—","Direction=H","UseDPDF=Y")</f>
        <v>0</v>
      </c>
      <c r="S22" s="16" cm="1">
        <f t="array" ref="S22">_xll.BDH("PCAR US Equity","CF_DISPOSAL_OF_INTANGIBLE_ASSETS","FQ3 2022","FQ3 2022","Currency=USD","Period=FQ","BEST_FPERIOD_OVERRIDE=FQ","FILING_STATUS=MR","SCALING_FORMAT=MLN","Sort=A","Dates=H","DateFormat=P","Fill=—","Direction=H","UseDPDF=Y")</f>
        <v>0</v>
      </c>
      <c r="T22" s="16" cm="1">
        <f t="array" ref="T22">_xll.BDH("PCAR US Equity","CF_DISPOSAL_OF_INTANGIBLE_ASSETS","FQ4 2022","FQ4 2022","Currency=USD","Period=FQ","BEST_FPERIOD_OVERRIDE=FQ","FILING_STATUS=MR","SCALING_FORMAT=MLN","Sort=A","Dates=H","DateFormat=P","Fill=—","Direction=H","UseDPDF=Y")</f>
        <v>0</v>
      </c>
      <c r="U22" s="16" cm="1">
        <f t="array" ref="U22">_xll.BDH("PCAR US Equity","CF_DISPOSAL_OF_INTANGIBLE_ASSETS","FQ1 2023","FQ1 2023","Currency=USD","Period=FQ","BEST_FPERIOD_OVERRIDE=FQ","FILING_STATUS=MR","SCALING_FORMAT=MLN","Sort=A","Dates=H","DateFormat=P","Fill=—","Direction=H","UseDPDF=Y")</f>
        <v>0</v>
      </c>
      <c r="V22" s="16" cm="1">
        <f t="array" ref="V22">_xll.BDH("PCAR US Equity","CF_DISPOSAL_OF_INTANGIBLE_ASSETS","FQ2 2023","FQ2 2023","Currency=USD","Period=FQ","BEST_FPERIOD_OVERRIDE=FQ","FILING_STATUS=MR","SCALING_FORMAT=MLN","Sort=A","Dates=H","DateFormat=P","Fill=—","Direction=H","UseDPDF=Y")</f>
        <v>0</v>
      </c>
      <c r="W22" s="16" cm="1">
        <f t="array" ref="W22">_xll.BDH("PCAR US Equity","CF_DISPOSAL_OF_INTANGIBLE_ASSETS","FQ3 2023","FQ3 2023","Currency=USD","Period=FQ","BEST_FPERIOD_OVERRIDE=FQ","FILING_STATUS=MR","SCALING_FORMAT=MLN","Sort=A","Dates=H","DateFormat=P","Fill=—","Direction=H","UseDPDF=Y")</f>
        <v>0</v>
      </c>
      <c r="X22" s="16" cm="1">
        <f t="array" ref="X22">_xll.BDH("PCAR US Equity","CF_DISPOSAL_OF_INTANGIBLE_ASSETS","FQ4 2023","FQ4 2023","Currency=USD","Period=FQ","BEST_FPERIOD_OVERRIDE=FQ","FILING_STATUS=MR","SCALING_FORMAT=MLN","Sort=A","Dates=H","DateFormat=P","Fill=—","Direction=H","UseDPDF=Y")</f>
        <v>0</v>
      </c>
      <c r="Y22" s="16" cm="1">
        <f t="array" ref="Y22">_xll.BDH("PCAR US Equity","CF_DISPOSAL_OF_INTANGIBLE_ASSETS","FQ1 2024","FQ1 2024","Currency=USD","Period=FQ","BEST_FPERIOD_OVERRIDE=FQ","FILING_STATUS=MR","SCALING_FORMAT=MLN","Sort=A","Dates=H","DateFormat=P","Fill=—","Direction=H","UseDPDF=Y")</f>
        <v>0</v>
      </c>
      <c r="Z22" s="16" cm="1">
        <f t="array" ref="Z22">_xll.BDH("PCAR US Equity","CF_DISPOSAL_OF_INTANGIBLE_ASSETS","FQ2 2024","FQ2 2024","Currency=USD","Period=FQ","BEST_FPERIOD_OVERRIDE=FQ","FILING_STATUS=MR","SCALING_FORMAT=MLN","Sort=A","Dates=H","DateFormat=P","Fill=—","Direction=H","UseDPDF=Y")</f>
        <v>0</v>
      </c>
      <c r="AA22" s="16" cm="1">
        <f t="array" ref="AA22">_xll.BDH("PCAR US Equity","CF_DISPOSAL_OF_INTANGIBLE_ASSETS","FQ3 2024","FQ3 2024","Currency=USD","Period=FQ","BEST_FPERIOD_OVERRIDE=FQ","FILING_STATUS=MR","SCALING_FORMAT=MLN","Sort=A","Dates=H","DateFormat=P","Fill=—","Direction=H","UseDPDF=Y")</f>
        <v>0</v>
      </c>
      <c r="AB22" s="16" cm="1">
        <f t="array" ref="AB22">_xll.BDH("PCAR US Equity","CF_DISPOSAL_OF_INTANGIBLE_ASSETS","FQ4 2024","FQ4 2024","Currency=USD","Period=FQ","BEST_FPERIOD_OVERRIDE=FQ","FILING_STATUS=MR","SCALING_FORMAT=MLN","Sort=A","Dates=H","DateFormat=P","Fill=—","Direction=H","UseDPDF=Y")</f>
        <v>0</v>
      </c>
      <c r="AC22" s="16" cm="1">
        <f t="array" ref="AC22">_xll.BDH("PCAR US Equity","CF_DISPOSAL_OF_INTANGIBLE_ASSETS","FQ1 2025","FQ1 2025","Currency=USD","Period=FQ","BEST_FPERIOD_OVERRIDE=FQ","FILING_STATUS=MR","SCALING_FORMAT=MLN","Sort=A","Dates=H","DateFormat=P","Fill=—","Direction=H","UseDPDF=Y")</f>
        <v>0</v>
      </c>
      <c r="AD22" s="16" cm="1">
        <f t="array" ref="AD22">_xll.BDH("PCAR US Equity","CF_DISPOSAL_OF_INTANGIBLE_ASSETS","FQ2 2025","FQ2 2025","Currency=USD","Period=FQ","BEST_FPERIOD_OVERRIDE=FQ","FILING_STATUS=MR","SCALING_FORMAT=MLN","Sort=A","Dates=H","DateFormat=P","Fill=—","Direction=H","UseDPDF=Y")</f>
        <v>0</v>
      </c>
      <c r="AE22" s="16" cm="1">
        <f t="array" ref="AE22">_xll.BDH("PCAR US Equity","CF_DISPOSAL_OF_INTANGIBLE_ASSETS","FQ3 2025","FQ3 2025","Currency=USD","Period=FQ","BEST_FPERIOD_OVERRIDE=FQ","FILING_STATUS=MR","SCALING_FORMAT=MLN","Sort=A","Dates=H","DateFormat=P","Fill=—","Direction=H","UseDPDF=Y")</f>
        <v>0</v>
      </c>
      <c r="AF22" s="16" t="str" cm="1">
        <f t="array" ref="AF22">_xll.BDH("PCAR US Equity","CF_DISPOSAL_OF_INTANGIBLE_ASSETS","FQ4 2025","FQ4 2025","Currency=USD","Period=FQ","BEST_FPERIOD_OVERRIDE=FQ","FILING_STATUS=MR","SCALING_FORMAT=MLN","Sort=A","Dates=H","DateFormat=P","Fill=—","Direction=H","UseDPDF=Y")</f>
        <v>—</v>
      </c>
    </row>
    <row r="23" spans="1:32" x14ac:dyDescent="0.25">
      <c r="A23" s="10" t="s">
        <v>94</v>
      </c>
      <c r="B23" s="10" t="s">
        <v>95</v>
      </c>
      <c r="C23" s="12" cm="1">
        <f t="array" ref="C23">_xll.BDH("PCAR US Equity","ACQUIS_OF_FIXED_INTANG","FQ3 2018","FQ3 2018","Currency=USD","Period=FQ","BEST_FPERIOD_OVERRIDE=FQ","FILING_STATUS=MR","SCALING_FORMAT=MLN","Sort=A","Dates=H","DateFormat=P","Fill=—","Direction=H","UseDPDF=Y")</f>
        <v>-494.3</v>
      </c>
      <c r="D23" s="12" cm="1">
        <f t="array" ref="D23">_xll.BDH("PCAR US Equity","ACQUIS_OF_FIXED_INTANG","FQ4 2018","FQ4 2018","Currency=USD","Period=FQ","BEST_FPERIOD_OVERRIDE=FQ","FILING_STATUS=MR","SCALING_FORMAT=MLN","Sort=A","Dates=H","DateFormat=P","Fill=—","Direction=H","UseDPDF=Y")</f>
        <v>-539.4</v>
      </c>
      <c r="E23" s="12" cm="1">
        <f t="array" ref="E23">_xll.BDH("PCAR US Equity","ACQUIS_OF_FIXED_INTANG","FQ1 2019","FQ1 2019","Currency=USD","Period=FQ","BEST_FPERIOD_OVERRIDE=FQ","FILING_STATUS=MR","SCALING_FORMAT=MLN","Sort=A","Dates=H","DateFormat=P","Fill=—","Direction=H","UseDPDF=Y")</f>
        <v>-390.2</v>
      </c>
      <c r="F23" s="12" cm="1">
        <f t="array" ref="F23">_xll.BDH("PCAR US Equity","ACQUIS_OF_FIXED_INTANG","FQ2 2019","FQ2 2019","Currency=USD","Period=FQ","BEST_FPERIOD_OVERRIDE=FQ","FILING_STATUS=MR","SCALING_FORMAT=MLN","Sort=A","Dates=H","DateFormat=P","Fill=—","Direction=H","UseDPDF=Y")</f>
        <v>-520.1</v>
      </c>
      <c r="G23" s="12" cm="1">
        <f t="array" ref="G23">_xll.BDH("PCAR US Equity","ACQUIS_OF_FIXED_INTANG","FQ3 2019","FQ3 2019","Currency=USD","Period=FQ","BEST_FPERIOD_OVERRIDE=FQ","FILING_STATUS=MR","SCALING_FORMAT=MLN","Sort=A","Dates=H","DateFormat=P","Fill=—","Direction=H","UseDPDF=Y")</f>
        <v>-515.29999999999995</v>
      </c>
      <c r="H23" s="12" cm="1">
        <f t="array" ref="H23">_xll.BDH("PCAR US Equity","ACQUIS_OF_FIXED_INTANG","FQ4 2019","FQ4 2019","Currency=USD","Period=FQ","BEST_FPERIOD_OVERRIDE=FQ","FILING_STATUS=MR","SCALING_FORMAT=MLN","Sort=A","Dates=H","DateFormat=P","Fill=—","Direction=H","UseDPDF=Y")</f>
        <v>-545.20000000000005</v>
      </c>
      <c r="I23" s="12" cm="1">
        <f t="array" ref="I23">_xll.BDH("PCAR US Equity","ACQUIS_OF_FIXED_INTANG","FQ1 2020","FQ1 2020","Currency=USD","Period=FQ","BEST_FPERIOD_OVERRIDE=FQ","FILING_STATUS=MR","SCALING_FORMAT=MLN","Sort=A","Dates=H","DateFormat=P","Fill=—","Direction=H","UseDPDF=Y")</f>
        <v>-456.5</v>
      </c>
      <c r="J23" s="12" cm="1">
        <f t="array" ref="J23">_xll.BDH("PCAR US Equity","ACQUIS_OF_FIXED_INTANG","FQ2 2020","FQ2 2020","Currency=USD","Period=FQ","BEST_FPERIOD_OVERRIDE=FQ","FILING_STATUS=MR","SCALING_FORMAT=MLN","Sort=A","Dates=H","DateFormat=P","Fill=—","Direction=H","UseDPDF=Y")</f>
        <v>-295.3</v>
      </c>
      <c r="K23" s="12" cm="1">
        <f t="array" ref="K23">_xll.BDH("PCAR US Equity","ACQUIS_OF_FIXED_INTANG","FQ3 2020","FQ3 2020","Currency=USD","Period=FQ","BEST_FPERIOD_OVERRIDE=FQ","FILING_STATUS=MR","SCALING_FORMAT=MLN","Sort=A","Dates=H","DateFormat=P","Fill=—","Direction=H","UseDPDF=Y")</f>
        <v>-381.1</v>
      </c>
      <c r="L23" s="12" cm="1">
        <f t="array" ref="L23">_xll.BDH("PCAR US Equity","ACQUIS_OF_FIXED_INTANG","FQ4 2020","FQ4 2020","Currency=USD","Period=FQ","BEST_FPERIOD_OVERRIDE=FQ","FILING_STATUS=MR","SCALING_FORMAT=MLN","Sort=A","Dates=H","DateFormat=P","Fill=—","Direction=H","UseDPDF=Y")</f>
        <v>-505.5</v>
      </c>
      <c r="M23" s="12" cm="1">
        <f t="array" ref="M23">_xll.BDH("PCAR US Equity","ACQUIS_OF_FIXED_INTANG","FQ1 2021","FQ1 2021","Currency=USD","Period=FQ","BEST_FPERIOD_OVERRIDE=FQ","FILING_STATUS=MR","SCALING_FORMAT=MLN","Sort=A","Dates=H","DateFormat=P","Fill=—","Direction=H","UseDPDF=Y")</f>
        <v>-357.7</v>
      </c>
      <c r="N23" s="12" cm="1">
        <f t="array" ref="N23">_xll.BDH("PCAR US Equity","ACQUIS_OF_FIXED_INTANG","FQ2 2021","FQ2 2021","Currency=USD","Period=FQ","BEST_FPERIOD_OVERRIDE=FQ","FILING_STATUS=MR","SCALING_FORMAT=MLN","Sort=A","Dates=H","DateFormat=P","Fill=—","Direction=H","UseDPDF=Y")</f>
        <v>-435.6</v>
      </c>
      <c r="O23" s="12" cm="1">
        <f t="array" ref="O23">_xll.BDH("PCAR US Equity","ACQUIS_OF_FIXED_INTANG","FQ3 2021","FQ3 2021","Currency=USD","Period=FQ","BEST_FPERIOD_OVERRIDE=FQ","FILING_STATUS=MR","SCALING_FORMAT=MLN","Sort=A","Dates=H","DateFormat=P","Fill=—","Direction=H","UseDPDF=Y")</f>
        <v>-378.5</v>
      </c>
      <c r="P23" s="12" cm="1">
        <f t="array" ref="P23">_xll.BDH("PCAR US Equity","ACQUIS_OF_FIXED_INTANG","FQ4 2021","FQ4 2021","Currency=USD","Period=FQ","BEST_FPERIOD_OVERRIDE=FQ","FILING_STATUS=MR","SCALING_FORMAT=MLN","Sort=A","Dates=H","DateFormat=P","Fill=—","Direction=H","UseDPDF=Y")</f>
        <v>-461</v>
      </c>
      <c r="Q23" s="12" cm="1">
        <f t="array" ref="Q23">_xll.BDH("PCAR US Equity","ACQUIS_OF_FIXED_INTANG","FQ1 2022","FQ1 2022","Currency=USD","Period=FQ","BEST_FPERIOD_OVERRIDE=FQ","FILING_STATUS=MR","SCALING_FORMAT=MLN","Sort=A","Dates=H","DateFormat=P","Fill=—","Direction=H","UseDPDF=Y")</f>
        <v>-368.6</v>
      </c>
      <c r="R23" s="12" cm="1">
        <f t="array" ref="R23">_xll.BDH("PCAR US Equity","ACQUIS_OF_FIXED_INTANG","FQ2 2022","FQ2 2022","Currency=USD","Period=FQ","BEST_FPERIOD_OVERRIDE=FQ","FILING_STATUS=MR","SCALING_FORMAT=MLN","Sort=A","Dates=H","DateFormat=P","Fill=—","Direction=H","UseDPDF=Y")</f>
        <v>-370.7</v>
      </c>
      <c r="S23" s="12" cm="1">
        <f t="array" ref="S23">_xll.BDH("PCAR US Equity","ACQUIS_OF_FIXED_INTANG","FQ3 2022","FQ3 2022","Currency=USD","Period=FQ","BEST_FPERIOD_OVERRIDE=FQ","FILING_STATUS=MR","SCALING_FORMAT=MLN","Sort=A","Dates=H","DateFormat=P","Fill=—","Direction=H","UseDPDF=Y")</f>
        <v>-342.5</v>
      </c>
      <c r="T23" s="12" cm="1">
        <f t="array" ref="T23">_xll.BDH("PCAR US Equity","ACQUIS_OF_FIXED_INTANG","FQ4 2022","FQ4 2022","Currency=USD","Period=FQ","BEST_FPERIOD_OVERRIDE=FQ","FILING_STATUS=MR","SCALING_FORMAT=MLN","Sort=A","Dates=H","DateFormat=P","Fill=—","Direction=H","UseDPDF=Y")</f>
        <v>-308.7</v>
      </c>
      <c r="U23" s="12" cm="1">
        <f t="array" ref="U23">_xll.BDH("PCAR US Equity","ACQUIS_OF_FIXED_INTANG","FQ1 2023","FQ1 2023","Currency=USD","Period=FQ","BEST_FPERIOD_OVERRIDE=FQ","FILING_STATUS=MR","SCALING_FORMAT=MLN","Sort=A","Dates=H","DateFormat=P","Fill=—","Direction=H","UseDPDF=Y")</f>
        <v>-291.8</v>
      </c>
      <c r="V23" s="12" cm="1">
        <f t="array" ref="V23">_xll.BDH("PCAR US Equity","ACQUIS_OF_FIXED_INTANG","FQ2 2023","FQ2 2023","Currency=USD","Period=FQ","BEST_FPERIOD_OVERRIDE=FQ","FILING_STATUS=MR","SCALING_FORMAT=MLN","Sort=A","Dates=H","DateFormat=P","Fill=—","Direction=H","UseDPDF=Y")</f>
        <v>-271.60000000000002</v>
      </c>
      <c r="W23" s="12" cm="1">
        <f t="array" ref="W23">_xll.BDH("PCAR US Equity","ACQUIS_OF_FIXED_INTANG","FQ3 2023","FQ3 2023","Currency=USD","Period=FQ","BEST_FPERIOD_OVERRIDE=FQ","FILING_STATUS=MR","SCALING_FORMAT=MLN","Sort=A","Dates=H","DateFormat=P","Fill=—","Direction=H","UseDPDF=Y")</f>
        <v>-335.7</v>
      </c>
      <c r="X23" s="12" cm="1">
        <f t="array" ref="X23">_xll.BDH("PCAR US Equity","ACQUIS_OF_FIXED_INTANG","FQ4 2023","FQ4 2023","Currency=USD","Period=FQ","BEST_FPERIOD_OVERRIDE=FQ","FILING_STATUS=MR","SCALING_FORMAT=MLN","Sort=A","Dates=H","DateFormat=P","Fill=—","Direction=H","UseDPDF=Y")</f>
        <v>-363.4</v>
      </c>
      <c r="Y23" s="12" cm="1">
        <f t="array" ref="Y23">_xll.BDH("PCAR US Equity","ACQUIS_OF_FIXED_INTANG","FQ1 2024","FQ1 2024","Currency=USD","Period=FQ","BEST_FPERIOD_OVERRIDE=FQ","FILING_STATUS=MR","SCALING_FORMAT=MLN","Sort=A","Dates=H","DateFormat=P","Fill=—","Direction=H","UseDPDF=Y")</f>
        <v>-351.8</v>
      </c>
      <c r="Z23" s="12" cm="1">
        <f t="array" ref="Z23">_xll.BDH("PCAR US Equity","ACQUIS_OF_FIXED_INTANG","FQ2 2024","FQ2 2024","Currency=USD","Period=FQ","BEST_FPERIOD_OVERRIDE=FQ","FILING_STATUS=MR","SCALING_FORMAT=MLN","Sort=A","Dates=H","DateFormat=P","Fill=—","Direction=H","UseDPDF=Y")</f>
        <v>-512.79999999999995</v>
      </c>
      <c r="AA23" s="12" cm="1">
        <f t="array" ref="AA23">_xll.BDH("PCAR US Equity","ACQUIS_OF_FIXED_INTANG","FQ3 2024","FQ3 2024","Currency=USD","Period=FQ","BEST_FPERIOD_OVERRIDE=FQ","FILING_STATUS=MR","SCALING_FORMAT=MLN","Sort=A","Dates=H","DateFormat=P","Fill=—","Direction=H","UseDPDF=Y")</f>
        <v>-378.1</v>
      </c>
      <c r="AB23" s="12" cm="1">
        <f t="array" ref="AB23">_xll.BDH("PCAR US Equity","ACQUIS_OF_FIXED_INTANG","FQ4 2024","FQ4 2024","Currency=USD","Period=FQ","BEST_FPERIOD_OVERRIDE=FQ","FILING_STATUS=MR","SCALING_FORMAT=MLN","Sort=A","Dates=H","DateFormat=P","Fill=—","Direction=H","UseDPDF=Y")</f>
        <v>-502.9</v>
      </c>
      <c r="AC23" s="12" cm="1">
        <f t="array" ref="AC23">_xll.BDH("PCAR US Equity","ACQUIS_OF_FIXED_INTANG","FQ1 2025","FQ1 2025","Currency=USD","Period=FQ","BEST_FPERIOD_OVERRIDE=FQ","FILING_STATUS=MR","SCALING_FORMAT=MLN","Sort=A","Dates=H","DateFormat=P","Fill=—","Direction=H","UseDPDF=Y")</f>
        <v>-325.8</v>
      </c>
      <c r="AD23" s="12" cm="1">
        <f t="array" ref="AD23">_xll.BDH("PCAR US Equity","ACQUIS_OF_FIXED_INTANG","FQ2 2025","FQ2 2025","Currency=USD","Period=FQ","BEST_FPERIOD_OVERRIDE=FQ","FILING_STATUS=MR","SCALING_FORMAT=MLN","Sort=A","Dates=H","DateFormat=P","Fill=—","Direction=H","UseDPDF=Y")</f>
        <v>-388.9</v>
      </c>
      <c r="AE23" s="12" cm="1">
        <f t="array" ref="AE23">_xll.BDH("PCAR US Equity","ACQUIS_OF_FIXED_INTANG","FQ3 2025","FQ3 2025","Currency=USD","Period=FQ","BEST_FPERIOD_OVERRIDE=FQ","FILING_STATUS=MR","SCALING_FORMAT=MLN","Sort=A","Dates=H","DateFormat=P","Fill=—","Direction=H","UseDPDF=Y")</f>
        <v>-305.60000000000002</v>
      </c>
      <c r="AF23" s="12" t="str" cm="1">
        <f t="array" ref="AF23">_xll.BDH("PCAR US Equity","ACQUIS_OF_FIXED_INTANG","FQ4 2025","FQ4 2025","Currency=USD","Period=FQ","BEST_FPERIOD_OVERRIDE=FQ","FILING_STATUS=MR","SCALING_FORMAT=MLN","Sort=A","Dates=H","DateFormat=P","Fill=—","Direction=H","UseDPDF=Y")</f>
        <v>—</v>
      </c>
    </row>
    <row r="24" spans="1:32" x14ac:dyDescent="0.25">
      <c r="A24" s="11" t="s">
        <v>96</v>
      </c>
      <c r="B24" s="11" t="s">
        <v>97</v>
      </c>
      <c r="C24" s="16" cm="1">
        <f t="array" ref="C24">_xll.BDH("PCAR US Equity","CF_PURCHASE_OF_FIXED_PROD_ASSETS","FQ3 2018","FQ3 2018","Currency=USD","Period=FQ","BEST_FPERIOD_OVERRIDE=FQ","FILING_STATUS=MR","SCALING_FORMAT=MLN","Sort=A","Dates=H","DateFormat=P","Fill=—","Direction=H","UseDPDF=Y")</f>
        <v>-494.3</v>
      </c>
      <c r="D24" s="16" cm="1">
        <f t="array" ref="D24">_xll.BDH("PCAR US Equity","CF_PURCHASE_OF_FIXED_PROD_ASSETS","FQ4 2018","FQ4 2018","Currency=USD","Period=FQ","BEST_FPERIOD_OVERRIDE=FQ","FILING_STATUS=MR","SCALING_FORMAT=MLN","Sort=A","Dates=H","DateFormat=P","Fill=—","Direction=H","UseDPDF=Y")</f>
        <v>-539.4</v>
      </c>
      <c r="E24" s="16" cm="1">
        <f t="array" ref="E24">_xll.BDH("PCAR US Equity","CF_PURCHASE_OF_FIXED_PROD_ASSETS","FQ1 2019","FQ1 2019","Currency=USD","Period=FQ","BEST_FPERIOD_OVERRIDE=FQ","FILING_STATUS=MR","SCALING_FORMAT=MLN","Sort=A","Dates=H","DateFormat=P","Fill=—","Direction=H","UseDPDF=Y")</f>
        <v>-390.2</v>
      </c>
      <c r="F24" s="16" cm="1">
        <f t="array" ref="F24">_xll.BDH("PCAR US Equity","CF_PURCHASE_OF_FIXED_PROD_ASSETS","FQ2 2019","FQ2 2019","Currency=USD","Period=FQ","BEST_FPERIOD_OVERRIDE=FQ","FILING_STATUS=MR","SCALING_FORMAT=MLN","Sort=A","Dates=H","DateFormat=P","Fill=—","Direction=H","UseDPDF=Y")</f>
        <v>-520.1</v>
      </c>
      <c r="G24" s="16" cm="1">
        <f t="array" ref="G24">_xll.BDH("PCAR US Equity","CF_PURCHASE_OF_FIXED_PROD_ASSETS","FQ3 2019","FQ3 2019","Currency=USD","Period=FQ","BEST_FPERIOD_OVERRIDE=FQ","FILING_STATUS=MR","SCALING_FORMAT=MLN","Sort=A","Dates=H","DateFormat=P","Fill=—","Direction=H","UseDPDF=Y")</f>
        <v>-515.29999999999995</v>
      </c>
      <c r="H24" s="16" cm="1">
        <f t="array" ref="H24">_xll.BDH("PCAR US Equity","CF_PURCHASE_OF_FIXED_PROD_ASSETS","FQ4 2019","FQ4 2019","Currency=USD","Period=FQ","BEST_FPERIOD_OVERRIDE=FQ","FILING_STATUS=MR","SCALING_FORMAT=MLN","Sort=A","Dates=H","DateFormat=P","Fill=—","Direction=H","UseDPDF=Y")</f>
        <v>-545.20000000000005</v>
      </c>
      <c r="I24" s="16" cm="1">
        <f t="array" ref="I24">_xll.BDH("PCAR US Equity","CF_PURCHASE_OF_FIXED_PROD_ASSETS","FQ1 2020","FQ1 2020","Currency=USD","Period=FQ","BEST_FPERIOD_OVERRIDE=FQ","FILING_STATUS=MR","SCALING_FORMAT=MLN","Sort=A","Dates=H","DateFormat=P","Fill=—","Direction=H","UseDPDF=Y")</f>
        <v>-456.5</v>
      </c>
      <c r="J24" s="16" cm="1">
        <f t="array" ref="J24">_xll.BDH("PCAR US Equity","CF_PURCHASE_OF_FIXED_PROD_ASSETS","FQ2 2020","FQ2 2020","Currency=USD","Period=FQ","BEST_FPERIOD_OVERRIDE=FQ","FILING_STATUS=MR","SCALING_FORMAT=MLN","Sort=A","Dates=H","DateFormat=P","Fill=—","Direction=H","UseDPDF=Y")</f>
        <v>-295.3</v>
      </c>
      <c r="K24" s="16" cm="1">
        <f t="array" ref="K24">_xll.BDH("PCAR US Equity","CF_PURCHASE_OF_FIXED_PROD_ASSETS","FQ3 2020","FQ3 2020","Currency=USD","Period=FQ","BEST_FPERIOD_OVERRIDE=FQ","FILING_STATUS=MR","SCALING_FORMAT=MLN","Sort=A","Dates=H","DateFormat=P","Fill=—","Direction=H","UseDPDF=Y")</f>
        <v>-381.1</v>
      </c>
      <c r="L24" s="16" cm="1">
        <f t="array" ref="L24">_xll.BDH("PCAR US Equity","CF_PURCHASE_OF_FIXED_PROD_ASSETS","FQ4 2020","FQ4 2020","Currency=USD","Period=FQ","BEST_FPERIOD_OVERRIDE=FQ","FILING_STATUS=MR","SCALING_FORMAT=MLN","Sort=A","Dates=H","DateFormat=P","Fill=—","Direction=H","UseDPDF=Y")</f>
        <v>-505.5</v>
      </c>
      <c r="M24" s="16" cm="1">
        <f t="array" ref="M24">_xll.BDH("PCAR US Equity","CF_PURCHASE_OF_FIXED_PROD_ASSETS","FQ1 2021","FQ1 2021","Currency=USD","Period=FQ","BEST_FPERIOD_OVERRIDE=FQ","FILING_STATUS=MR","SCALING_FORMAT=MLN","Sort=A","Dates=H","DateFormat=P","Fill=—","Direction=H","UseDPDF=Y")</f>
        <v>-357.7</v>
      </c>
      <c r="N24" s="16" cm="1">
        <f t="array" ref="N24">_xll.BDH("PCAR US Equity","CF_PURCHASE_OF_FIXED_PROD_ASSETS","FQ2 2021","FQ2 2021","Currency=USD","Period=FQ","BEST_FPERIOD_OVERRIDE=FQ","FILING_STATUS=MR","SCALING_FORMAT=MLN","Sort=A","Dates=H","DateFormat=P","Fill=—","Direction=H","UseDPDF=Y")</f>
        <v>-435.6</v>
      </c>
      <c r="O24" s="16" cm="1">
        <f t="array" ref="O24">_xll.BDH("PCAR US Equity","CF_PURCHASE_OF_FIXED_PROD_ASSETS","FQ3 2021","FQ3 2021","Currency=USD","Period=FQ","BEST_FPERIOD_OVERRIDE=FQ","FILING_STATUS=MR","SCALING_FORMAT=MLN","Sort=A","Dates=H","DateFormat=P","Fill=—","Direction=H","UseDPDF=Y")</f>
        <v>-378.5</v>
      </c>
      <c r="P24" s="16" cm="1">
        <f t="array" ref="P24">_xll.BDH("PCAR US Equity","CF_PURCHASE_OF_FIXED_PROD_ASSETS","FQ4 2021","FQ4 2021","Currency=USD","Period=FQ","BEST_FPERIOD_OVERRIDE=FQ","FILING_STATUS=MR","SCALING_FORMAT=MLN","Sort=A","Dates=H","DateFormat=P","Fill=—","Direction=H","UseDPDF=Y")</f>
        <v>-461</v>
      </c>
      <c r="Q24" s="16" cm="1">
        <f t="array" ref="Q24">_xll.BDH("PCAR US Equity","CF_PURCHASE_OF_FIXED_PROD_ASSETS","FQ1 2022","FQ1 2022","Currency=USD","Period=FQ","BEST_FPERIOD_OVERRIDE=FQ","FILING_STATUS=MR","SCALING_FORMAT=MLN","Sort=A","Dates=H","DateFormat=P","Fill=—","Direction=H","UseDPDF=Y")</f>
        <v>-368.6</v>
      </c>
      <c r="R24" s="16" cm="1">
        <f t="array" ref="R24">_xll.BDH("PCAR US Equity","CF_PURCHASE_OF_FIXED_PROD_ASSETS","FQ2 2022","FQ2 2022","Currency=USD","Period=FQ","BEST_FPERIOD_OVERRIDE=FQ","FILING_STATUS=MR","SCALING_FORMAT=MLN","Sort=A","Dates=H","DateFormat=P","Fill=—","Direction=H","UseDPDF=Y")</f>
        <v>-370.7</v>
      </c>
      <c r="S24" s="16" cm="1">
        <f t="array" ref="S24">_xll.BDH("PCAR US Equity","CF_PURCHASE_OF_FIXED_PROD_ASSETS","FQ3 2022","FQ3 2022","Currency=USD","Period=FQ","BEST_FPERIOD_OVERRIDE=FQ","FILING_STATUS=MR","SCALING_FORMAT=MLN","Sort=A","Dates=H","DateFormat=P","Fill=—","Direction=H","UseDPDF=Y")</f>
        <v>-342.5</v>
      </c>
      <c r="T24" s="16" cm="1">
        <f t="array" ref="T24">_xll.BDH("PCAR US Equity","CF_PURCHASE_OF_FIXED_PROD_ASSETS","FQ4 2022","FQ4 2022","Currency=USD","Period=FQ","BEST_FPERIOD_OVERRIDE=FQ","FILING_STATUS=MR","SCALING_FORMAT=MLN","Sort=A","Dates=H","DateFormat=P","Fill=—","Direction=H","UseDPDF=Y")</f>
        <v>-308.7</v>
      </c>
      <c r="U24" s="16" cm="1">
        <f t="array" ref="U24">_xll.BDH("PCAR US Equity","CF_PURCHASE_OF_FIXED_PROD_ASSETS","FQ1 2023","FQ1 2023","Currency=USD","Period=FQ","BEST_FPERIOD_OVERRIDE=FQ","FILING_STATUS=MR","SCALING_FORMAT=MLN","Sort=A","Dates=H","DateFormat=P","Fill=—","Direction=H","UseDPDF=Y")</f>
        <v>-291.8</v>
      </c>
      <c r="V24" s="16" cm="1">
        <f t="array" ref="V24">_xll.BDH("PCAR US Equity","CF_PURCHASE_OF_FIXED_PROD_ASSETS","FQ2 2023","FQ2 2023","Currency=USD","Period=FQ","BEST_FPERIOD_OVERRIDE=FQ","FILING_STATUS=MR","SCALING_FORMAT=MLN","Sort=A","Dates=H","DateFormat=P","Fill=—","Direction=H","UseDPDF=Y")</f>
        <v>-271.60000000000002</v>
      </c>
      <c r="W24" s="16" cm="1">
        <f t="array" ref="W24">_xll.BDH("PCAR US Equity","CF_PURCHASE_OF_FIXED_PROD_ASSETS","FQ3 2023","FQ3 2023","Currency=USD","Period=FQ","BEST_FPERIOD_OVERRIDE=FQ","FILING_STATUS=MR","SCALING_FORMAT=MLN","Sort=A","Dates=H","DateFormat=P","Fill=—","Direction=H","UseDPDF=Y")</f>
        <v>-335.7</v>
      </c>
      <c r="X24" s="16" cm="1">
        <f t="array" ref="X24">_xll.BDH("PCAR US Equity","CF_PURCHASE_OF_FIXED_PROD_ASSETS","FQ4 2023","FQ4 2023","Currency=USD","Period=FQ","BEST_FPERIOD_OVERRIDE=FQ","FILING_STATUS=MR","SCALING_FORMAT=MLN","Sort=A","Dates=H","DateFormat=P","Fill=—","Direction=H","UseDPDF=Y")</f>
        <v>-363.4</v>
      </c>
      <c r="Y24" s="16" cm="1">
        <f t="array" ref="Y24">_xll.BDH("PCAR US Equity","CF_PURCHASE_OF_FIXED_PROD_ASSETS","FQ1 2024","FQ1 2024","Currency=USD","Period=FQ","BEST_FPERIOD_OVERRIDE=FQ","FILING_STATUS=MR","SCALING_FORMAT=MLN","Sort=A","Dates=H","DateFormat=P","Fill=—","Direction=H","UseDPDF=Y")</f>
        <v>-351.8</v>
      </c>
      <c r="Z24" s="16" cm="1">
        <f t="array" ref="Z24">_xll.BDH("PCAR US Equity","CF_PURCHASE_OF_FIXED_PROD_ASSETS","FQ2 2024","FQ2 2024","Currency=USD","Period=FQ","BEST_FPERIOD_OVERRIDE=FQ","FILING_STATUS=MR","SCALING_FORMAT=MLN","Sort=A","Dates=H","DateFormat=P","Fill=—","Direction=H","UseDPDF=Y")</f>
        <v>-512.79999999999995</v>
      </c>
      <c r="AA24" s="16" cm="1">
        <f t="array" ref="AA24">_xll.BDH("PCAR US Equity","CF_PURCHASE_OF_FIXED_PROD_ASSETS","FQ3 2024","FQ3 2024","Currency=USD","Period=FQ","BEST_FPERIOD_OVERRIDE=FQ","FILING_STATUS=MR","SCALING_FORMAT=MLN","Sort=A","Dates=H","DateFormat=P","Fill=—","Direction=H","UseDPDF=Y")</f>
        <v>-378.1</v>
      </c>
      <c r="AB24" s="16" cm="1">
        <f t="array" ref="AB24">_xll.BDH("PCAR US Equity","CF_PURCHASE_OF_FIXED_PROD_ASSETS","FQ4 2024","FQ4 2024","Currency=USD","Period=FQ","BEST_FPERIOD_OVERRIDE=FQ","FILING_STATUS=MR","SCALING_FORMAT=MLN","Sort=A","Dates=H","DateFormat=P","Fill=—","Direction=H","UseDPDF=Y")</f>
        <v>-502.9</v>
      </c>
      <c r="AC24" s="16" cm="1">
        <f t="array" ref="AC24">_xll.BDH("PCAR US Equity","CF_PURCHASE_OF_FIXED_PROD_ASSETS","FQ1 2025","FQ1 2025","Currency=USD","Period=FQ","BEST_FPERIOD_OVERRIDE=FQ","FILING_STATUS=MR","SCALING_FORMAT=MLN","Sort=A","Dates=H","DateFormat=P","Fill=—","Direction=H","UseDPDF=Y")</f>
        <v>-325.8</v>
      </c>
      <c r="AD24" s="16" cm="1">
        <f t="array" ref="AD24">_xll.BDH("PCAR US Equity","CF_PURCHASE_OF_FIXED_PROD_ASSETS","FQ2 2025","FQ2 2025","Currency=USD","Period=FQ","BEST_FPERIOD_OVERRIDE=FQ","FILING_STATUS=MR","SCALING_FORMAT=MLN","Sort=A","Dates=H","DateFormat=P","Fill=—","Direction=H","UseDPDF=Y")</f>
        <v>-388.9</v>
      </c>
      <c r="AE24" s="16" cm="1">
        <f t="array" ref="AE24">_xll.BDH("PCAR US Equity","CF_PURCHASE_OF_FIXED_PROD_ASSETS","FQ3 2025","FQ3 2025","Currency=USD","Period=FQ","BEST_FPERIOD_OVERRIDE=FQ","FILING_STATUS=MR","SCALING_FORMAT=MLN","Sort=A","Dates=H","DateFormat=P","Fill=—","Direction=H","UseDPDF=Y")</f>
        <v>-305.60000000000002</v>
      </c>
      <c r="AF24" s="16" t="str" cm="1">
        <f t="array" ref="AF24">_xll.BDH("PCAR US Equity","CF_PURCHASE_OF_FIXED_PROD_ASSETS","FQ4 2025","FQ4 2025","Currency=USD","Period=FQ","BEST_FPERIOD_OVERRIDE=FQ","FILING_STATUS=MR","SCALING_FORMAT=MLN","Sort=A","Dates=H","DateFormat=P","Fill=—","Direction=H","UseDPDF=Y")</f>
        <v>—</v>
      </c>
    </row>
    <row r="25" spans="1:32" x14ac:dyDescent="0.25">
      <c r="A25" s="11" t="s">
        <v>98</v>
      </c>
      <c r="B25" s="11" t="s">
        <v>99</v>
      </c>
      <c r="C25" s="16" cm="1">
        <f t="array" ref="C25">_xll.BDH("PCAR US Equity","CF_ACQUISITION_OF_INTANG_ASSETS","FQ3 2018","FQ3 2018","Currency=USD","Period=FQ","BEST_FPERIOD_OVERRIDE=FQ","FILING_STATUS=MR","SCALING_FORMAT=MLN","Sort=A","Dates=H","DateFormat=P","Fill=—","Direction=H","UseDPDF=Y")</f>
        <v>0</v>
      </c>
      <c r="D25" s="16" cm="1">
        <f t="array" ref="D25">_xll.BDH("PCAR US Equity","CF_ACQUISITION_OF_INTANG_ASSETS","FQ4 2018","FQ4 2018","Currency=USD","Period=FQ","BEST_FPERIOD_OVERRIDE=FQ","FILING_STATUS=MR","SCALING_FORMAT=MLN","Sort=A","Dates=H","DateFormat=P","Fill=—","Direction=H","UseDPDF=Y")</f>
        <v>0</v>
      </c>
      <c r="E25" s="16" cm="1">
        <f t="array" ref="E25">_xll.BDH("PCAR US Equity","CF_ACQUISITION_OF_INTANG_ASSETS","FQ1 2019","FQ1 2019","Currency=USD","Period=FQ","BEST_FPERIOD_OVERRIDE=FQ","FILING_STATUS=MR","SCALING_FORMAT=MLN","Sort=A","Dates=H","DateFormat=P","Fill=—","Direction=H","UseDPDF=Y")</f>
        <v>0</v>
      </c>
      <c r="F25" s="16" cm="1">
        <f t="array" ref="F25">_xll.BDH("PCAR US Equity","CF_ACQUISITION_OF_INTANG_ASSETS","FQ2 2019","FQ2 2019","Currency=USD","Period=FQ","BEST_FPERIOD_OVERRIDE=FQ","FILING_STATUS=MR","SCALING_FORMAT=MLN","Sort=A","Dates=H","DateFormat=P","Fill=—","Direction=H","UseDPDF=Y")</f>
        <v>0</v>
      </c>
      <c r="G25" s="16" cm="1">
        <f t="array" ref="G25">_xll.BDH("PCAR US Equity","CF_ACQUISITION_OF_INTANG_ASSETS","FQ3 2019","FQ3 2019","Currency=USD","Period=FQ","BEST_FPERIOD_OVERRIDE=FQ","FILING_STATUS=MR","SCALING_FORMAT=MLN","Sort=A","Dates=H","DateFormat=P","Fill=—","Direction=H","UseDPDF=Y")</f>
        <v>0</v>
      </c>
      <c r="H25" s="16" cm="1">
        <f t="array" ref="H25">_xll.BDH("PCAR US Equity","CF_ACQUISITION_OF_INTANG_ASSETS","FQ4 2019","FQ4 2019","Currency=USD","Period=FQ","BEST_FPERIOD_OVERRIDE=FQ","FILING_STATUS=MR","SCALING_FORMAT=MLN","Sort=A","Dates=H","DateFormat=P","Fill=—","Direction=H","UseDPDF=Y")</f>
        <v>0</v>
      </c>
      <c r="I25" s="16" cm="1">
        <f t="array" ref="I25">_xll.BDH("PCAR US Equity","CF_ACQUISITION_OF_INTANG_ASSETS","FQ1 2020","FQ1 2020","Currency=USD","Period=FQ","BEST_FPERIOD_OVERRIDE=FQ","FILING_STATUS=MR","SCALING_FORMAT=MLN","Sort=A","Dates=H","DateFormat=P","Fill=—","Direction=H","UseDPDF=Y")</f>
        <v>0</v>
      </c>
      <c r="J25" s="16" cm="1">
        <f t="array" ref="J25">_xll.BDH("PCAR US Equity","CF_ACQUISITION_OF_INTANG_ASSETS","FQ2 2020","FQ2 2020","Currency=USD","Period=FQ","BEST_FPERIOD_OVERRIDE=FQ","FILING_STATUS=MR","SCALING_FORMAT=MLN","Sort=A","Dates=H","DateFormat=P","Fill=—","Direction=H","UseDPDF=Y")</f>
        <v>0</v>
      </c>
      <c r="K25" s="16" cm="1">
        <f t="array" ref="K25">_xll.BDH("PCAR US Equity","CF_ACQUISITION_OF_INTANG_ASSETS","FQ3 2020","FQ3 2020","Currency=USD","Period=FQ","BEST_FPERIOD_OVERRIDE=FQ","FILING_STATUS=MR","SCALING_FORMAT=MLN","Sort=A","Dates=H","DateFormat=P","Fill=—","Direction=H","UseDPDF=Y")</f>
        <v>0</v>
      </c>
      <c r="L25" s="16" cm="1">
        <f t="array" ref="L25">_xll.BDH("PCAR US Equity","CF_ACQUISITION_OF_INTANG_ASSETS","FQ4 2020","FQ4 2020","Currency=USD","Period=FQ","BEST_FPERIOD_OVERRIDE=FQ","FILING_STATUS=MR","SCALING_FORMAT=MLN","Sort=A","Dates=H","DateFormat=P","Fill=—","Direction=H","UseDPDF=Y")</f>
        <v>0</v>
      </c>
      <c r="M25" s="16" cm="1">
        <f t="array" ref="M25">_xll.BDH("PCAR US Equity","CF_ACQUISITION_OF_INTANG_ASSETS","FQ1 2021","FQ1 2021","Currency=USD","Period=FQ","BEST_FPERIOD_OVERRIDE=FQ","FILING_STATUS=MR","SCALING_FORMAT=MLN","Sort=A","Dates=H","DateFormat=P","Fill=—","Direction=H","UseDPDF=Y")</f>
        <v>0</v>
      </c>
      <c r="N25" s="16" cm="1">
        <f t="array" ref="N25">_xll.BDH("PCAR US Equity","CF_ACQUISITION_OF_INTANG_ASSETS","FQ2 2021","FQ2 2021","Currency=USD","Period=FQ","BEST_FPERIOD_OVERRIDE=FQ","FILING_STATUS=MR","SCALING_FORMAT=MLN","Sort=A","Dates=H","DateFormat=P","Fill=—","Direction=H","UseDPDF=Y")</f>
        <v>0</v>
      </c>
      <c r="O25" s="16" cm="1">
        <f t="array" ref="O25">_xll.BDH("PCAR US Equity","CF_ACQUISITION_OF_INTANG_ASSETS","FQ3 2021","FQ3 2021","Currency=USD","Period=FQ","BEST_FPERIOD_OVERRIDE=FQ","FILING_STATUS=MR","SCALING_FORMAT=MLN","Sort=A","Dates=H","DateFormat=P","Fill=—","Direction=H","UseDPDF=Y")</f>
        <v>0</v>
      </c>
      <c r="P25" s="16" cm="1">
        <f t="array" ref="P25">_xll.BDH("PCAR US Equity","CF_ACQUISITION_OF_INTANG_ASSETS","FQ4 2021","FQ4 2021","Currency=USD","Period=FQ","BEST_FPERIOD_OVERRIDE=FQ","FILING_STATUS=MR","SCALING_FORMAT=MLN","Sort=A","Dates=H","DateFormat=P","Fill=—","Direction=H","UseDPDF=Y")</f>
        <v>0</v>
      </c>
      <c r="Q25" s="16" cm="1">
        <f t="array" ref="Q25">_xll.BDH("PCAR US Equity","CF_ACQUISITION_OF_INTANG_ASSETS","FQ1 2022","FQ1 2022","Currency=USD","Period=FQ","BEST_FPERIOD_OVERRIDE=FQ","FILING_STATUS=MR","SCALING_FORMAT=MLN","Sort=A","Dates=H","DateFormat=P","Fill=—","Direction=H","UseDPDF=Y")</f>
        <v>0</v>
      </c>
      <c r="R25" s="16" cm="1">
        <f t="array" ref="R25">_xll.BDH("PCAR US Equity","CF_ACQUISITION_OF_INTANG_ASSETS","FQ2 2022","FQ2 2022","Currency=USD","Period=FQ","BEST_FPERIOD_OVERRIDE=FQ","FILING_STATUS=MR","SCALING_FORMAT=MLN","Sort=A","Dates=H","DateFormat=P","Fill=—","Direction=H","UseDPDF=Y")</f>
        <v>0</v>
      </c>
      <c r="S25" s="16" cm="1">
        <f t="array" ref="S25">_xll.BDH("PCAR US Equity","CF_ACQUISITION_OF_INTANG_ASSETS","FQ3 2022","FQ3 2022","Currency=USD","Period=FQ","BEST_FPERIOD_OVERRIDE=FQ","FILING_STATUS=MR","SCALING_FORMAT=MLN","Sort=A","Dates=H","DateFormat=P","Fill=—","Direction=H","UseDPDF=Y")</f>
        <v>0</v>
      </c>
      <c r="T25" s="16" cm="1">
        <f t="array" ref="T25">_xll.BDH("PCAR US Equity","CF_ACQUISITION_OF_INTANG_ASSETS","FQ4 2022","FQ4 2022","Currency=USD","Period=FQ","BEST_FPERIOD_OVERRIDE=FQ","FILING_STATUS=MR","SCALING_FORMAT=MLN","Sort=A","Dates=H","DateFormat=P","Fill=—","Direction=H","UseDPDF=Y")</f>
        <v>0</v>
      </c>
      <c r="U25" s="16" cm="1">
        <f t="array" ref="U25">_xll.BDH("PCAR US Equity","CF_ACQUISITION_OF_INTANG_ASSETS","FQ1 2023","FQ1 2023","Currency=USD","Period=FQ","BEST_FPERIOD_OVERRIDE=FQ","FILING_STATUS=MR","SCALING_FORMAT=MLN","Sort=A","Dates=H","DateFormat=P","Fill=—","Direction=H","UseDPDF=Y")</f>
        <v>0</v>
      </c>
      <c r="V25" s="16" cm="1">
        <f t="array" ref="V25">_xll.BDH("PCAR US Equity","CF_ACQUISITION_OF_INTANG_ASSETS","FQ2 2023","FQ2 2023","Currency=USD","Period=FQ","BEST_FPERIOD_OVERRIDE=FQ","FILING_STATUS=MR","SCALING_FORMAT=MLN","Sort=A","Dates=H","DateFormat=P","Fill=—","Direction=H","UseDPDF=Y")</f>
        <v>0</v>
      </c>
      <c r="W25" s="16" cm="1">
        <f t="array" ref="W25">_xll.BDH("PCAR US Equity","CF_ACQUISITION_OF_INTANG_ASSETS","FQ3 2023","FQ3 2023","Currency=USD","Period=FQ","BEST_FPERIOD_OVERRIDE=FQ","FILING_STATUS=MR","SCALING_FORMAT=MLN","Sort=A","Dates=H","DateFormat=P","Fill=—","Direction=H","UseDPDF=Y")</f>
        <v>0</v>
      </c>
      <c r="X25" s="16" cm="1">
        <f t="array" ref="X25">_xll.BDH("PCAR US Equity","CF_ACQUISITION_OF_INTANG_ASSETS","FQ4 2023","FQ4 2023","Currency=USD","Period=FQ","BEST_FPERIOD_OVERRIDE=FQ","FILING_STATUS=MR","SCALING_FORMAT=MLN","Sort=A","Dates=H","DateFormat=P","Fill=—","Direction=H","UseDPDF=Y")</f>
        <v>0</v>
      </c>
      <c r="Y25" s="16" cm="1">
        <f t="array" ref="Y25">_xll.BDH("PCAR US Equity","CF_ACQUISITION_OF_INTANG_ASSETS","FQ1 2024","FQ1 2024","Currency=USD","Period=FQ","BEST_FPERIOD_OVERRIDE=FQ","FILING_STATUS=MR","SCALING_FORMAT=MLN","Sort=A","Dates=H","DateFormat=P","Fill=—","Direction=H","UseDPDF=Y")</f>
        <v>0</v>
      </c>
      <c r="Z25" s="16" cm="1">
        <f t="array" ref="Z25">_xll.BDH("PCAR US Equity","CF_ACQUISITION_OF_INTANG_ASSETS","FQ2 2024","FQ2 2024","Currency=USD","Period=FQ","BEST_FPERIOD_OVERRIDE=FQ","FILING_STATUS=MR","SCALING_FORMAT=MLN","Sort=A","Dates=H","DateFormat=P","Fill=—","Direction=H","UseDPDF=Y")</f>
        <v>0</v>
      </c>
      <c r="AA25" s="16" cm="1">
        <f t="array" ref="AA25">_xll.BDH("PCAR US Equity","CF_ACQUISITION_OF_INTANG_ASSETS","FQ3 2024","FQ3 2024","Currency=USD","Period=FQ","BEST_FPERIOD_OVERRIDE=FQ","FILING_STATUS=MR","SCALING_FORMAT=MLN","Sort=A","Dates=H","DateFormat=P","Fill=—","Direction=H","UseDPDF=Y")</f>
        <v>0</v>
      </c>
      <c r="AB25" s="16" cm="1">
        <f t="array" ref="AB25">_xll.BDH("PCAR US Equity","CF_ACQUISITION_OF_INTANG_ASSETS","FQ4 2024","FQ4 2024","Currency=USD","Period=FQ","BEST_FPERIOD_OVERRIDE=FQ","FILING_STATUS=MR","SCALING_FORMAT=MLN","Sort=A","Dates=H","DateFormat=P","Fill=—","Direction=H","UseDPDF=Y")</f>
        <v>0</v>
      </c>
      <c r="AC25" s="16" cm="1">
        <f t="array" ref="AC25">_xll.BDH("PCAR US Equity","CF_ACQUISITION_OF_INTANG_ASSETS","FQ1 2025","FQ1 2025","Currency=USD","Period=FQ","BEST_FPERIOD_OVERRIDE=FQ","FILING_STATUS=MR","SCALING_FORMAT=MLN","Sort=A","Dates=H","DateFormat=P","Fill=—","Direction=H","UseDPDF=Y")</f>
        <v>0</v>
      </c>
      <c r="AD25" s="16" cm="1">
        <f t="array" ref="AD25">_xll.BDH("PCAR US Equity","CF_ACQUISITION_OF_INTANG_ASSETS","FQ2 2025","FQ2 2025","Currency=USD","Period=FQ","BEST_FPERIOD_OVERRIDE=FQ","FILING_STATUS=MR","SCALING_FORMAT=MLN","Sort=A","Dates=H","DateFormat=P","Fill=—","Direction=H","UseDPDF=Y")</f>
        <v>0</v>
      </c>
      <c r="AE25" s="16" cm="1">
        <f t="array" ref="AE25">_xll.BDH("PCAR US Equity","CF_ACQUISITION_OF_INTANG_ASSETS","FQ3 2025","FQ3 2025","Currency=USD","Period=FQ","BEST_FPERIOD_OVERRIDE=FQ","FILING_STATUS=MR","SCALING_FORMAT=MLN","Sort=A","Dates=H","DateFormat=P","Fill=—","Direction=H","UseDPDF=Y")</f>
        <v>0</v>
      </c>
      <c r="AF25" s="16" t="str" cm="1">
        <f t="array" ref="AF25">_xll.BDH("PCAR US Equity","CF_ACQUISITION_OF_INTANG_ASSETS","FQ4 2025","FQ4 2025","Currency=USD","Period=FQ","BEST_FPERIOD_OVERRIDE=FQ","FILING_STATUS=MR","SCALING_FORMAT=MLN","Sort=A","Dates=H","DateFormat=P","Fill=—","Direction=H","UseDPDF=Y")</f>
        <v>—</v>
      </c>
    </row>
    <row r="26" spans="1:32" x14ac:dyDescent="0.25">
      <c r="A26" s="10" t="s">
        <v>100</v>
      </c>
      <c r="B26" s="10" t="s">
        <v>101</v>
      </c>
      <c r="C26" s="12" cm="1">
        <f t="array" ref="C26">_xll.BDH("PCAR US Equity","NET_CHG_IN_LT_INVEST_DETAILED","FQ3 2018","FQ3 2018","Currency=USD","Period=FQ","BEST_FPERIOD_OVERRIDE=FQ","FILING_STATUS=MR","SCALING_FORMAT=MLN","Sort=A","Dates=H","DateFormat=P","Fill=—","Direction=H","UseDPDF=Y")</f>
        <v>-225.1</v>
      </c>
      <c r="D26" s="12" cm="1">
        <f t="array" ref="D26">_xll.BDH("PCAR US Equity","NET_CHG_IN_LT_INVEST_DETAILED","FQ4 2018","FQ4 2018","Currency=USD","Period=FQ","BEST_FPERIOD_OVERRIDE=FQ","FILING_STATUS=MR","SCALING_FORMAT=MLN","Sort=A","Dates=H","DateFormat=P","Fill=—","Direction=H","UseDPDF=Y")</f>
        <v>-254.6</v>
      </c>
      <c r="E26" s="12" cm="1">
        <f t="array" ref="E26">_xll.BDH("PCAR US Equity","NET_CHG_IN_LT_INVEST_DETAILED","FQ1 2019","FQ1 2019","Currency=USD","Period=FQ","BEST_FPERIOD_OVERRIDE=FQ","FILING_STATUS=MR","SCALING_FORMAT=MLN","Sort=A","Dates=H","DateFormat=P","Fill=—","Direction=H","UseDPDF=Y")</f>
        <v>-123.3</v>
      </c>
      <c r="F26" s="12" cm="1">
        <f t="array" ref="F26">_xll.BDH("PCAR US Equity","NET_CHG_IN_LT_INVEST_DETAILED","FQ2 2019","FQ2 2019","Currency=USD","Period=FQ","BEST_FPERIOD_OVERRIDE=FQ","FILING_STATUS=MR","SCALING_FORMAT=MLN","Sort=A","Dates=H","DateFormat=P","Fill=—","Direction=H","UseDPDF=Y")</f>
        <v>-289.10000000000002</v>
      </c>
      <c r="G26" s="12" cm="1">
        <f t="array" ref="G26">_xll.BDH("PCAR US Equity","NET_CHG_IN_LT_INVEST_DETAILED","FQ3 2019","FQ3 2019","Currency=USD","Period=FQ","BEST_FPERIOD_OVERRIDE=FQ","FILING_STATUS=MR","SCALING_FORMAT=MLN","Sort=A","Dates=H","DateFormat=P","Fill=—","Direction=H","UseDPDF=Y")</f>
        <v>-76.7</v>
      </c>
      <c r="H26" s="12" cm="1">
        <f t="array" ref="H26">_xll.BDH("PCAR US Equity","NET_CHG_IN_LT_INVEST_DETAILED","FQ4 2019","FQ4 2019","Currency=USD","Period=FQ","BEST_FPERIOD_OVERRIDE=FQ","FILING_STATUS=MR","SCALING_FORMAT=MLN","Sort=A","Dates=H","DateFormat=P","Fill=—","Direction=H","UseDPDF=Y")</f>
        <v>-203.9</v>
      </c>
      <c r="I26" s="12" cm="1">
        <f t="array" ref="I26">_xll.BDH("PCAR US Equity","NET_CHG_IN_LT_INVEST_DETAILED","FQ1 2020","FQ1 2020","Currency=USD","Period=FQ","BEST_FPERIOD_OVERRIDE=FQ","FILING_STATUS=MR","SCALING_FORMAT=MLN","Sort=A","Dates=H","DateFormat=P","Fill=—","Direction=H","UseDPDF=Y")</f>
        <v>-65.099999999999994</v>
      </c>
      <c r="J26" s="12" cm="1">
        <f t="array" ref="J26">_xll.BDH("PCAR US Equity","NET_CHG_IN_LT_INVEST_DETAILED","FQ2 2020","FQ2 2020","Currency=USD","Period=FQ","BEST_FPERIOD_OVERRIDE=FQ","FILING_STATUS=MR","SCALING_FORMAT=MLN","Sort=A","Dates=H","DateFormat=P","Fill=—","Direction=H","UseDPDF=Y")</f>
        <v>-40.700000000000003</v>
      </c>
      <c r="K26" s="12" cm="1">
        <f t="array" ref="K26">_xll.BDH("PCAR US Equity","NET_CHG_IN_LT_INVEST_DETAILED","FQ3 2020","FQ3 2020","Currency=USD","Period=FQ","BEST_FPERIOD_OVERRIDE=FQ","FILING_STATUS=MR","SCALING_FORMAT=MLN","Sort=A","Dates=H","DateFormat=P","Fill=—","Direction=H","UseDPDF=Y")</f>
        <v>-229.1</v>
      </c>
      <c r="L26" s="12" cm="1">
        <f t="array" ref="L26">_xll.BDH("PCAR US Equity","NET_CHG_IN_LT_INVEST_DETAILED","FQ4 2020","FQ4 2020","Currency=USD","Period=FQ","BEST_FPERIOD_OVERRIDE=FQ","FILING_STATUS=MR","SCALING_FORMAT=MLN","Sort=A","Dates=H","DateFormat=P","Fill=—","Direction=H","UseDPDF=Y")</f>
        <v>-330.4</v>
      </c>
      <c r="M26" s="12" cm="1">
        <f t="array" ref="M26">_xll.BDH("PCAR US Equity","NET_CHG_IN_LT_INVEST_DETAILED","FQ1 2021","FQ1 2021","Currency=USD","Period=FQ","BEST_FPERIOD_OVERRIDE=FQ","FILING_STATUS=MR","SCALING_FORMAT=MLN","Sort=A","Dates=H","DateFormat=P","Fill=—","Direction=H","UseDPDF=Y")</f>
        <v>-98.7</v>
      </c>
      <c r="N26" s="12" cm="1">
        <f t="array" ref="N26">_xll.BDH("PCAR US Equity","NET_CHG_IN_LT_INVEST_DETAILED","FQ2 2021","FQ2 2021","Currency=USD","Period=FQ","BEST_FPERIOD_OVERRIDE=FQ","FILING_STATUS=MR","SCALING_FORMAT=MLN","Sort=A","Dates=H","DateFormat=P","Fill=—","Direction=H","UseDPDF=Y")</f>
        <v>-238.4</v>
      </c>
      <c r="O26" s="12" cm="1">
        <f t="array" ref="O26">_xll.BDH("PCAR US Equity","NET_CHG_IN_LT_INVEST_DETAILED","FQ3 2021","FQ3 2021","Currency=USD","Period=FQ","BEST_FPERIOD_OVERRIDE=FQ","FILING_STATUS=MR","SCALING_FORMAT=MLN","Sort=A","Dates=H","DateFormat=P","Fill=—","Direction=H","UseDPDF=Y")</f>
        <v>-51.2</v>
      </c>
      <c r="P26" s="12" cm="1">
        <f t="array" ref="P26">_xll.BDH("PCAR US Equity","NET_CHG_IN_LT_INVEST_DETAILED","FQ4 2021","FQ4 2021","Currency=USD","Period=FQ","BEST_FPERIOD_OVERRIDE=FQ","FILING_STATUS=MR","SCALING_FORMAT=MLN","Sort=A","Dates=H","DateFormat=P","Fill=—","Direction=H","UseDPDF=Y")</f>
        <v>-69</v>
      </c>
      <c r="Q26" s="12" cm="1">
        <f t="array" ref="Q26">_xll.BDH("PCAR US Equity","NET_CHG_IN_LT_INVEST_DETAILED","FQ1 2022","FQ1 2022","Currency=USD","Period=FQ","BEST_FPERIOD_OVERRIDE=FQ","FILING_STATUS=MR","SCALING_FORMAT=MLN","Sort=A","Dates=H","DateFormat=P","Fill=—","Direction=H","UseDPDF=Y")</f>
        <v>-246.9</v>
      </c>
      <c r="R26" s="12" cm="1">
        <f t="array" ref="R26">_xll.BDH("PCAR US Equity","NET_CHG_IN_LT_INVEST_DETAILED","FQ2 2022","FQ2 2022","Currency=USD","Period=FQ","BEST_FPERIOD_OVERRIDE=FQ","FILING_STATUS=MR","SCALING_FORMAT=MLN","Sort=A","Dates=H","DateFormat=P","Fill=—","Direction=H","UseDPDF=Y")</f>
        <v>-159.5</v>
      </c>
      <c r="S26" s="12" cm="1">
        <f t="array" ref="S26">_xll.BDH("PCAR US Equity","NET_CHG_IN_LT_INVEST_DETAILED","FQ3 2022","FQ3 2022","Currency=USD","Period=FQ","BEST_FPERIOD_OVERRIDE=FQ","FILING_STATUS=MR","SCALING_FORMAT=MLN","Sort=A","Dates=H","DateFormat=P","Fill=—","Direction=H","UseDPDF=Y")</f>
        <v>-220.8</v>
      </c>
      <c r="T26" s="12" cm="1">
        <f t="array" ref="T26">_xll.BDH("PCAR US Equity","NET_CHG_IN_LT_INVEST_DETAILED","FQ4 2022","FQ4 2022","Currency=USD","Period=FQ","BEST_FPERIOD_OVERRIDE=FQ","FILING_STATUS=MR","SCALING_FORMAT=MLN","Sort=A","Dates=H","DateFormat=P","Fill=—","Direction=H","UseDPDF=Y")</f>
        <v>-543.5</v>
      </c>
      <c r="U26" s="12" cm="1">
        <f t="array" ref="U26">_xll.BDH("PCAR US Equity","NET_CHG_IN_LT_INVEST_DETAILED","FQ1 2023","FQ1 2023","Currency=USD","Period=FQ","BEST_FPERIOD_OVERRIDE=FQ","FILING_STATUS=MR","SCALING_FORMAT=MLN","Sort=A","Dates=H","DateFormat=P","Fill=—","Direction=H","UseDPDF=Y")</f>
        <v>-169</v>
      </c>
      <c r="V26" s="12" cm="1">
        <f t="array" ref="V26">_xll.BDH("PCAR US Equity","NET_CHG_IN_LT_INVEST_DETAILED","FQ2 2023","FQ2 2023","Currency=USD","Period=FQ","BEST_FPERIOD_OVERRIDE=FQ","FILING_STATUS=MR","SCALING_FORMAT=MLN","Sort=A","Dates=H","DateFormat=P","Fill=—","Direction=H","UseDPDF=Y")</f>
        <v>-561.1</v>
      </c>
      <c r="W26" s="12" cm="1">
        <f t="array" ref="W26">_xll.BDH("PCAR US Equity","NET_CHG_IN_LT_INVEST_DETAILED","FQ3 2023","FQ3 2023","Currency=USD","Period=FQ","BEST_FPERIOD_OVERRIDE=FQ","FILING_STATUS=MR","SCALING_FORMAT=MLN","Sort=A","Dates=H","DateFormat=P","Fill=—","Direction=H","UseDPDF=Y")</f>
        <v>-616.70000000000005</v>
      </c>
      <c r="X26" s="12" cm="1">
        <f t="array" ref="X26">_xll.BDH("PCAR US Equity","NET_CHG_IN_LT_INVEST_DETAILED","FQ4 2023","FQ4 2023","Currency=USD","Period=FQ","BEST_FPERIOD_OVERRIDE=FQ","FILING_STATUS=MR","SCALING_FORMAT=MLN","Sort=A","Dates=H","DateFormat=P","Fill=—","Direction=H","UseDPDF=Y")</f>
        <v>-701</v>
      </c>
      <c r="Y26" s="12" cm="1">
        <f t="array" ref="Y26">_xll.BDH("PCAR US Equity","NET_CHG_IN_LT_INVEST_DETAILED","FQ1 2024","FQ1 2024","Currency=USD","Period=FQ","BEST_FPERIOD_OVERRIDE=FQ","FILING_STATUS=MR","SCALING_FORMAT=MLN","Sort=A","Dates=H","DateFormat=P","Fill=—","Direction=H","UseDPDF=Y")</f>
        <v>-241.7</v>
      </c>
      <c r="Z26" s="12" cm="1">
        <f t="array" ref="Z26">_xll.BDH("PCAR US Equity","NET_CHG_IN_LT_INVEST_DETAILED","FQ2 2024","FQ2 2024","Currency=USD","Period=FQ","BEST_FPERIOD_OVERRIDE=FQ","FILING_STATUS=MR","SCALING_FORMAT=MLN","Sort=A","Dates=H","DateFormat=P","Fill=—","Direction=H","UseDPDF=Y")</f>
        <v>-362.5</v>
      </c>
      <c r="AA26" s="12" cm="1">
        <f t="array" ref="AA26">_xll.BDH("PCAR US Equity","NET_CHG_IN_LT_INVEST_DETAILED","FQ3 2024","FQ3 2024","Currency=USD","Period=FQ","BEST_FPERIOD_OVERRIDE=FQ","FILING_STATUS=MR","SCALING_FORMAT=MLN","Sort=A","Dates=H","DateFormat=P","Fill=—","Direction=H","UseDPDF=Y")</f>
        <v>-645.1</v>
      </c>
      <c r="AB26" s="12" cm="1">
        <f t="array" ref="AB26">_xll.BDH("PCAR US Equity","NET_CHG_IN_LT_INVEST_DETAILED","FQ4 2024","FQ4 2024","Currency=USD","Period=FQ","BEST_FPERIOD_OVERRIDE=FQ","FILING_STATUS=MR","SCALING_FORMAT=MLN","Sort=A","Dates=H","DateFormat=P","Fill=—","Direction=H","UseDPDF=Y")</f>
        <v>-577.29999999999995</v>
      </c>
      <c r="AC26" s="12" cm="1">
        <f t="array" ref="AC26">_xll.BDH("PCAR US Equity","NET_CHG_IN_LT_INVEST_DETAILED","FQ1 2025","FQ1 2025","Currency=USD","Period=FQ","BEST_FPERIOD_OVERRIDE=FQ","FILING_STATUS=MR","SCALING_FORMAT=MLN","Sort=A","Dates=H","DateFormat=P","Fill=—","Direction=H","UseDPDF=Y")</f>
        <v>-222</v>
      </c>
      <c r="AD26" s="12" cm="1">
        <f t="array" ref="AD26">_xll.BDH("PCAR US Equity","NET_CHG_IN_LT_INVEST_DETAILED","FQ2 2025","FQ2 2025","Currency=USD","Period=FQ","BEST_FPERIOD_OVERRIDE=FQ","FILING_STATUS=MR","SCALING_FORMAT=MLN","Sort=A","Dates=H","DateFormat=P","Fill=—","Direction=H","UseDPDF=Y")</f>
        <v>-346.5</v>
      </c>
      <c r="AE26" s="12" cm="1">
        <f t="array" ref="AE26">_xll.BDH("PCAR US Equity","NET_CHG_IN_LT_INVEST_DETAILED","FQ3 2025","FQ3 2025","Currency=USD","Period=FQ","BEST_FPERIOD_OVERRIDE=FQ","FILING_STATUS=MR","SCALING_FORMAT=MLN","Sort=A","Dates=H","DateFormat=P","Fill=—","Direction=H","UseDPDF=Y")</f>
        <v>-165.1</v>
      </c>
      <c r="AF26" s="12" cm="1">
        <f t="array" ref="AF26">_xll.BDH("PCAR US Equity","NET_CHG_IN_LT_INVEST_DETAILED","FQ4 2025","FQ4 2025","Currency=USD","Period=FQ","BEST_FPERIOD_OVERRIDE=FQ","FILING_STATUS=MR","SCALING_FORMAT=MLN","Sort=A","Dates=H","DateFormat=P","Fill=—","Direction=H","UseDPDF=Y")</f>
        <v>-285.3</v>
      </c>
    </row>
    <row r="27" spans="1:32" x14ac:dyDescent="0.25">
      <c r="A27" s="10" t="s">
        <v>102</v>
      </c>
      <c r="B27" s="10" t="s">
        <v>103</v>
      </c>
      <c r="C27" s="12" cm="1">
        <f t="array" ref="C27">_xll.BDH("PCAR US Equity","CF_DECR_INVEST","FQ3 2018","FQ3 2018","Currency=USD","Period=FQ","BEST_FPERIOD_OVERRIDE=FQ","FILING_STATUS=MR","SCALING_FORMAT=MLN","Sort=A","Dates=H","DateFormat=P","Fill=—","Direction=H","UseDPDF=Y")</f>
        <v>734</v>
      </c>
      <c r="D27" s="12" cm="1">
        <f t="array" ref="D27">_xll.BDH("PCAR US Equity","CF_DECR_INVEST","FQ4 2018","FQ4 2018","Currency=USD","Period=FQ","BEST_FPERIOD_OVERRIDE=FQ","FILING_STATUS=MR","SCALING_FORMAT=MLN","Sort=A","Dates=H","DateFormat=P","Fill=—","Direction=H","UseDPDF=Y")</f>
        <v>715.1</v>
      </c>
      <c r="E27" s="12" cm="1">
        <f t="array" ref="E27">_xll.BDH("PCAR US Equity","CF_DECR_INVEST","FQ1 2019","FQ1 2019","Currency=USD","Period=FQ","BEST_FPERIOD_OVERRIDE=FQ","FILING_STATUS=MR","SCALING_FORMAT=MLN","Sort=A","Dates=H","DateFormat=P","Fill=—","Direction=H","UseDPDF=Y")</f>
        <v>764.8</v>
      </c>
      <c r="F27" s="12" cm="1">
        <f t="array" ref="F27">_xll.BDH("PCAR US Equity","CF_DECR_INVEST","FQ2 2019","FQ2 2019","Currency=USD","Period=FQ","BEST_FPERIOD_OVERRIDE=FQ","FILING_STATUS=MR","SCALING_FORMAT=MLN","Sort=A","Dates=H","DateFormat=P","Fill=—","Direction=H","UseDPDF=Y")</f>
        <v>798.4</v>
      </c>
      <c r="G27" s="12" cm="1">
        <f t="array" ref="G27">_xll.BDH("PCAR US Equity","CF_DECR_INVEST","FQ3 2019","FQ3 2019","Currency=USD","Period=FQ","BEST_FPERIOD_OVERRIDE=FQ","FILING_STATUS=MR","SCALING_FORMAT=MLN","Sort=A","Dates=H","DateFormat=P","Fill=—","Direction=H","UseDPDF=Y")</f>
        <v>921.3</v>
      </c>
      <c r="H27" s="12" cm="1">
        <f t="array" ref="H27">_xll.BDH("PCAR US Equity","CF_DECR_INVEST","FQ4 2019","FQ4 2019","Currency=USD","Period=FQ","BEST_FPERIOD_OVERRIDE=FQ","FILING_STATUS=MR","SCALING_FORMAT=MLN","Sort=A","Dates=H","DateFormat=P","Fill=—","Direction=H","UseDPDF=Y")</f>
        <v>904.3</v>
      </c>
      <c r="I27" s="12" cm="1">
        <f t="array" ref="I27">_xll.BDH("PCAR US Equity","CF_DECR_INVEST","FQ1 2020","FQ1 2020","Currency=USD","Period=FQ","BEST_FPERIOD_OVERRIDE=FQ","FILING_STATUS=MR","SCALING_FORMAT=MLN","Sort=A","Dates=H","DateFormat=P","Fill=—","Direction=H","UseDPDF=Y")</f>
        <v>759.2</v>
      </c>
      <c r="J27" s="12" cm="1">
        <f t="array" ref="J27">_xll.BDH("PCAR US Equity","CF_DECR_INVEST","FQ2 2020","FQ2 2020","Currency=USD","Period=FQ","BEST_FPERIOD_OVERRIDE=FQ","FILING_STATUS=MR","SCALING_FORMAT=MLN","Sort=A","Dates=H","DateFormat=P","Fill=—","Direction=H","UseDPDF=Y")</f>
        <v>707.8</v>
      </c>
      <c r="K27" s="12" cm="1">
        <f t="array" ref="K27">_xll.BDH("PCAR US Equity","CF_DECR_INVEST","FQ3 2020","FQ3 2020","Currency=USD","Period=FQ","BEST_FPERIOD_OVERRIDE=FQ","FILING_STATUS=MR","SCALING_FORMAT=MLN","Sort=A","Dates=H","DateFormat=P","Fill=—","Direction=H","UseDPDF=Y")</f>
        <v>809.5</v>
      </c>
      <c r="L27" s="12" cm="1">
        <f t="array" ref="L27">_xll.BDH("PCAR US Equity","CF_DECR_INVEST","FQ4 2020","FQ4 2020","Currency=USD","Period=FQ","BEST_FPERIOD_OVERRIDE=FQ","FILING_STATUS=MR","SCALING_FORMAT=MLN","Sort=A","Dates=H","DateFormat=P","Fill=—","Direction=H","UseDPDF=Y")</f>
        <v>975.5</v>
      </c>
      <c r="M27" s="12" cm="1">
        <f t="array" ref="M27">_xll.BDH("PCAR US Equity","CF_DECR_INVEST","FQ1 2021","FQ1 2021","Currency=USD","Period=FQ","BEST_FPERIOD_OVERRIDE=FQ","FILING_STATUS=MR","SCALING_FORMAT=MLN","Sort=A","Dates=H","DateFormat=P","Fill=—","Direction=H","UseDPDF=Y")</f>
        <v>937.5</v>
      </c>
      <c r="N27" s="12" cm="1">
        <f t="array" ref="N27">_xll.BDH("PCAR US Equity","CF_DECR_INVEST","FQ2 2021","FQ2 2021","Currency=USD","Period=FQ","BEST_FPERIOD_OVERRIDE=FQ","FILING_STATUS=MR","SCALING_FORMAT=MLN","Sort=A","Dates=H","DateFormat=P","Fill=—","Direction=H","UseDPDF=Y")</f>
        <v>1017.1</v>
      </c>
      <c r="O27" s="12" cm="1">
        <f t="array" ref="O27">_xll.BDH("PCAR US Equity","CF_DECR_INVEST","FQ3 2021","FQ3 2021","Currency=USD","Period=FQ","BEST_FPERIOD_OVERRIDE=FQ","FILING_STATUS=MR","SCALING_FORMAT=MLN","Sort=A","Dates=H","DateFormat=P","Fill=—","Direction=H","UseDPDF=Y")</f>
        <v>1036.4000000000001</v>
      </c>
      <c r="P27" s="12" cm="1">
        <f t="array" ref="P27">_xll.BDH("PCAR US Equity","CF_DECR_INVEST","FQ4 2021","FQ4 2021","Currency=USD","Period=FQ","BEST_FPERIOD_OVERRIDE=FQ","FILING_STATUS=MR","SCALING_FORMAT=MLN","Sort=A","Dates=H","DateFormat=P","Fill=—","Direction=H","UseDPDF=Y")</f>
        <v>1122.3</v>
      </c>
      <c r="Q27" s="12" cm="1">
        <f t="array" ref="Q27">_xll.BDH("PCAR US Equity","CF_DECR_INVEST","FQ1 2022","FQ1 2022","Currency=USD","Period=FQ","BEST_FPERIOD_OVERRIDE=FQ","FILING_STATUS=MR","SCALING_FORMAT=MLN","Sort=A","Dates=H","DateFormat=P","Fill=—","Direction=H","UseDPDF=Y")</f>
        <v>974.1</v>
      </c>
      <c r="R27" s="12" cm="1">
        <f t="array" ref="R27">_xll.BDH("PCAR US Equity","CF_DECR_INVEST","FQ2 2022","FQ2 2022","Currency=USD","Period=FQ","BEST_FPERIOD_OVERRIDE=FQ","FILING_STATUS=MR","SCALING_FORMAT=MLN","Sort=A","Dates=H","DateFormat=P","Fill=—","Direction=H","UseDPDF=Y")</f>
        <v>1026.5</v>
      </c>
      <c r="S27" s="12" cm="1">
        <f t="array" ref="S27">_xll.BDH("PCAR US Equity","CF_DECR_INVEST","FQ3 2022","FQ3 2022","Currency=USD","Period=FQ","BEST_FPERIOD_OVERRIDE=FQ","FILING_STATUS=MR","SCALING_FORMAT=MLN","Sort=A","Dates=H","DateFormat=P","Fill=—","Direction=H","UseDPDF=Y")</f>
        <v>931.7</v>
      </c>
      <c r="T27" s="12" cm="1">
        <f t="array" ref="T27">_xll.BDH("PCAR US Equity","CF_DECR_INVEST","FQ4 2022","FQ4 2022","Currency=USD","Period=FQ","BEST_FPERIOD_OVERRIDE=FQ","FILING_STATUS=MR","SCALING_FORMAT=MLN","Sort=A","Dates=H","DateFormat=P","Fill=—","Direction=H","UseDPDF=Y")</f>
        <v>955.7</v>
      </c>
      <c r="U27" s="12" cm="1">
        <f t="array" ref="U27">_xll.BDH("PCAR US Equity","CF_DECR_INVEST","FQ1 2023","FQ1 2023","Currency=USD","Period=FQ","BEST_FPERIOD_OVERRIDE=FQ","FILING_STATUS=MR","SCALING_FORMAT=MLN","Sort=A","Dates=H","DateFormat=P","Fill=—","Direction=H","UseDPDF=Y")</f>
        <v>1030.3</v>
      </c>
      <c r="V27" s="12" cm="1">
        <f t="array" ref="V27">_xll.BDH("PCAR US Equity","CF_DECR_INVEST","FQ2 2023","FQ2 2023","Currency=USD","Period=FQ","BEST_FPERIOD_OVERRIDE=FQ","FILING_STATUS=MR","SCALING_FORMAT=MLN","Sort=A","Dates=H","DateFormat=P","Fill=—","Direction=H","UseDPDF=Y")</f>
        <v>1150</v>
      </c>
      <c r="W27" s="12" cm="1">
        <f t="array" ref="W27">_xll.BDH("PCAR US Equity","CF_DECR_INVEST","FQ3 2023","FQ3 2023","Currency=USD","Period=FQ","BEST_FPERIOD_OVERRIDE=FQ","FILING_STATUS=MR","SCALING_FORMAT=MLN","Sort=A","Dates=H","DateFormat=P","Fill=—","Direction=H","UseDPDF=Y")</f>
        <v>1030.3</v>
      </c>
      <c r="X27" s="12" cm="1">
        <f t="array" ref="X27">_xll.BDH("PCAR US Equity","CF_DECR_INVEST","FQ4 2023","FQ4 2023","Currency=USD","Period=FQ","BEST_FPERIOD_OVERRIDE=FQ","FILING_STATUS=MR","SCALING_FORMAT=MLN","Sort=A","Dates=H","DateFormat=P","Fill=—","Direction=H","UseDPDF=Y")</f>
        <v>1119.8</v>
      </c>
      <c r="Y27" s="12" cm="1">
        <f t="array" ref="Y27">_xll.BDH("PCAR US Equity","CF_DECR_INVEST","FQ1 2024","FQ1 2024","Currency=USD","Period=FQ","BEST_FPERIOD_OVERRIDE=FQ","FILING_STATUS=MR","SCALING_FORMAT=MLN","Sort=A","Dates=H","DateFormat=P","Fill=—","Direction=H","UseDPDF=Y")</f>
        <v>1196.8</v>
      </c>
      <c r="Z27" s="12" cm="1">
        <f t="array" ref="Z27">_xll.BDH("PCAR US Equity","CF_DECR_INVEST","FQ2 2024","FQ2 2024","Currency=USD","Period=FQ","BEST_FPERIOD_OVERRIDE=FQ","FILING_STATUS=MR","SCALING_FORMAT=MLN","Sort=A","Dates=H","DateFormat=P","Fill=—","Direction=H","UseDPDF=Y")</f>
        <v>1316.5</v>
      </c>
      <c r="AA27" s="12" cm="1">
        <f t="array" ref="AA27">_xll.BDH("PCAR US Equity","CF_DECR_INVEST","FQ3 2024","FQ3 2024","Currency=USD","Period=FQ","BEST_FPERIOD_OVERRIDE=FQ","FILING_STATUS=MR","SCALING_FORMAT=MLN","Sort=A","Dates=H","DateFormat=P","Fill=—","Direction=H","UseDPDF=Y")</f>
        <v>1133.3</v>
      </c>
      <c r="AB27" s="12" cm="1">
        <f t="array" ref="AB27">_xll.BDH("PCAR US Equity","CF_DECR_INVEST","FQ4 2024","FQ4 2024","Currency=USD","Period=FQ","BEST_FPERIOD_OVERRIDE=FQ","FILING_STATUS=MR","SCALING_FORMAT=MLN","Sort=A","Dates=H","DateFormat=P","Fill=—","Direction=H","UseDPDF=Y")</f>
        <v>1193.5</v>
      </c>
      <c r="AC27" s="12" cm="1">
        <f t="array" ref="AC27">_xll.BDH("PCAR US Equity","CF_DECR_INVEST","FQ1 2025","FQ1 2025","Currency=USD","Period=FQ","BEST_FPERIOD_OVERRIDE=FQ","FILING_STATUS=MR","SCALING_FORMAT=MLN","Sort=A","Dates=H","DateFormat=P","Fill=—","Direction=H","UseDPDF=Y")</f>
        <v>1110</v>
      </c>
      <c r="AD27" s="12" cm="1">
        <f t="array" ref="AD27">_xll.BDH("PCAR US Equity","CF_DECR_INVEST","FQ2 2025","FQ2 2025","Currency=USD","Period=FQ","BEST_FPERIOD_OVERRIDE=FQ","FILING_STATUS=MR","SCALING_FORMAT=MLN","Sort=A","Dates=H","DateFormat=P","Fill=—","Direction=H","UseDPDF=Y")</f>
        <v>1299.9000000000001</v>
      </c>
      <c r="AE27" s="12" cm="1">
        <f t="array" ref="AE27">_xll.BDH("PCAR US Equity","CF_DECR_INVEST","FQ3 2025","FQ3 2025","Currency=USD","Period=FQ","BEST_FPERIOD_OVERRIDE=FQ","FILING_STATUS=MR","SCALING_FORMAT=MLN","Sort=A","Dates=H","DateFormat=P","Fill=—","Direction=H","UseDPDF=Y")</f>
        <v>1340.8</v>
      </c>
      <c r="AF27" s="12" t="str" cm="1">
        <f t="array" ref="AF27">_xll.BDH("PCAR US Equity","CF_DECR_INVEST","FQ4 2025","FQ4 2025","Currency=USD","Period=FQ","BEST_FPERIOD_OVERRIDE=FQ","FILING_STATUS=MR","SCALING_FORMAT=MLN","Sort=A","Dates=H","DateFormat=P","Fill=—","Direction=H","UseDPDF=Y")</f>
        <v>—</v>
      </c>
    </row>
    <row r="28" spans="1:32" x14ac:dyDescent="0.25">
      <c r="A28" s="10" t="s">
        <v>104</v>
      </c>
      <c r="B28" s="10" t="s">
        <v>105</v>
      </c>
      <c r="C28" s="12" cm="1">
        <f t="array" ref="C28">_xll.BDH("PCAR US Equity","CF_INCR_INVEST","FQ3 2018","FQ3 2018","Currency=USD","Period=FQ","BEST_FPERIOD_OVERRIDE=FQ","FILING_STATUS=MR","SCALING_FORMAT=MLN","Sort=A","Dates=H","DateFormat=P","Fill=—","Direction=H","UseDPDF=Y")</f>
        <v>-959.1</v>
      </c>
      <c r="D28" s="12" cm="1">
        <f t="array" ref="D28">_xll.BDH("PCAR US Equity","CF_INCR_INVEST","FQ4 2018","FQ4 2018","Currency=USD","Period=FQ","BEST_FPERIOD_OVERRIDE=FQ","FILING_STATUS=MR","SCALING_FORMAT=MLN","Sort=A","Dates=H","DateFormat=P","Fill=—","Direction=H","UseDPDF=Y")</f>
        <v>-969.7</v>
      </c>
      <c r="E28" s="12" cm="1">
        <f t="array" ref="E28">_xll.BDH("PCAR US Equity","CF_INCR_INVEST","FQ1 2019","FQ1 2019","Currency=USD","Period=FQ","BEST_FPERIOD_OVERRIDE=FQ","FILING_STATUS=MR","SCALING_FORMAT=MLN","Sort=A","Dates=H","DateFormat=P","Fill=—","Direction=H","UseDPDF=Y")</f>
        <v>-888.1</v>
      </c>
      <c r="F28" s="12" cm="1">
        <f t="array" ref="F28">_xll.BDH("PCAR US Equity","CF_INCR_INVEST","FQ2 2019","FQ2 2019","Currency=USD","Period=FQ","BEST_FPERIOD_OVERRIDE=FQ","FILING_STATUS=MR","SCALING_FORMAT=MLN","Sort=A","Dates=H","DateFormat=P","Fill=—","Direction=H","UseDPDF=Y")</f>
        <v>-1087.5</v>
      </c>
      <c r="G28" s="12" cm="1">
        <f t="array" ref="G28">_xll.BDH("PCAR US Equity","CF_INCR_INVEST","FQ3 2019","FQ3 2019","Currency=USD","Period=FQ","BEST_FPERIOD_OVERRIDE=FQ","FILING_STATUS=MR","SCALING_FORMAT=MLN","Sort=A","Dates=H","DateFormat=P","Fill=—","Direction=H","UseDPDF=Y")</f>
        <v>-998</v>
      </c>
      <c r="H28" s="12" cm="1">
        <f t="array" ref="H28">_xll.BDH("PCAR US Equity","CF_INCR_INVEST","FQ4 2019","FQ4 2019","Currency=USD","Period=FQ","BEST_FPERIOD_OVERRIDE=FQ","FILING_STATUS=MR","SCALING_FORMAT=MLN","Sort=A","Dates=H","DateFormat=P","Fill=—","Direction=H","UseDPDF=Y")</f>
        <v>-1108.2</v>
      </c>
      <c r="I28" s="12" cm="1">
        <f t="array" ref="I28">_xll.BDH("PCAR US Equity","CF_INCR_INVEST","FQ1 2020","FQ1 2020","Currency=USD","Period=FQ","BEST_FPERIOD_OVERRIDE=FQ","FILING_STATUS=MR","SCALING_FORMAT=MLN","Sort=A","Dates=H","DateFormat=P","Fill=—","Direction=H","UseDPDF=Y")</f>
        <v>-824.3</v>
      </c>
      <c r="J28" s="12" cm="1">
        <f t="array" ref="J28">_xll.BDH("PCAR US Equity","CF_INCR_INVEST","FQ2 2020","FQ2 2020","Currency=USD","Period=FQ","BEST_FPERIOD_OVERRIDE=FQ","FILING_STATUS=MR","SCALING_FORMAT=MLN","Sort=A","Dates=H","DateFormat=P","Fill=—","Direction=H","UseDPDF=Y")</f>
        <v>-748.5</v>
      </c>
      <c r="K28" s="12" cm="1">
        <f t="array" ref="K28">_xll.BDH("PCAR US Equity","CF_INCR_INVEST","FQ3 2020","FQ3 2020","Currency=USD","Period=FQ","BEST_FPERIOD_OVERRIDE=FQ","FILING_STATUS=MR","SCALING_FORMAT=MLN","Sort=A","Dates=H","DateFormat=P","Fill=—","Direction=H","UseDPDF=Y")</f>
        <v>-1038.5999999999999</v>
      </c>
      <c r="L28" s="12" cm="1">
        <f t="array" ref="L28">_xll.BDH("PCAR US Equity","CF_INCR_INVEST","FQ4 2020","FQ4 2020","Currency=USD","Period=FQ","BEST_FPERIOD_OVERRIDE=FQ","FILING_STATUS=MR","SCALING_FORMAT=MLN","Sort=A","Dates=H","DateFormat=P","Fill=—","Direction=H","UseDPDF=Y")</f>
        <v>-1305.9000000000001</v>
      </c>
      <c r="M28" s="12" cm="1">
        <f t="array" ref="M28">_xll.BDH("PCAR US Equity","CF_INCR_INVEST","FQ1 2021","FQ1 2021","Currency=USD","Period=FQ","BEST_FPERIOD_OVERRIDE=FQ","FILING_STATUS=MR","SCALING_FORMAT=MLN","Sort=A","Dates=H","DateFormat=P","Fill=—","Direction=H","UseDPDF=Y")</f>
        <v>-1036.2</v>
      </c>
      <c r="N28" s="12" cm="1">
        <f t="array" ref="N28">_xll.BDH("PCAR US Equity","CF_INCR_INVEST","FQ2 2021","FQ2 2021","Currency=USD","Period=FQ","BEST_FPERIOD_OVERRIDE=FQ","FILING_STATUS=MR","SCALING_FORMAT=MLN","Sort=A","Dates=H","DateFormat=P","Fill=—","Direction=H","UseDPDF=Y")</f>
        <v>-1255.5</v>
      </c>
      <c r="O28" s="12" cm="1">
        <f t="array" ref="O28">_xll.BDH("PCAR US Equity","CF_INCR_INVEST","FQ3 2021","FQ3 2021","Currency=USD","Period=FQ","BEST_FPERIOD_OVERRIDE=FQ","FILING_STATUS=MR","SCALING_FORMAT=MLN","Sort=A","Dates=H","DateFormat=P","Fill=—","Direction=H","UseDPDF=Y")</f>
        <v>-1087.5999999999999</v>
      </c>
      <c r="P28" s="12" cm="1">
        <f t="array" ref="P28">_xll.BDH("PCAR US Equity","CF_INCR_INVEST","FQ4 2021","FQ4 2021","Currency=USD","Period=FQ","BEST_FPERIOD_OVERRIDE=FQ","FILING_STATUS=MR","SCALING_FORMAT=MLN","Sort=A","Dates=H","DateFormat=P","Fill=—","Direction=H","UseDPDF=Y")</f>
        <v>-1191.3</v>
      </c>
      <c r="Q28" s="12" cm="1">
        <f t="array" ref="Q28">_xll.BDH("PCAR US Equity","CF_INCR_INVEST","FQ1 2022","FQ1 2022","Currency=USD","Period=FQ","BEST_FPERIOD_OVERRIDE=FQ","FILING_STATUS=MR","SCALING_FORMAT=MLN","Sort=A","Dates=H","DateFormat=P","Fill=—","Direction=H","UseDPDF=Y")</f>
        <v>-1221</v>
      </c>
      <c r="R28" s="12" cm="1">
        <f t="array" ref="R28">_xll.BDH("PCAR US Equity","CF_INCR_INVEST","FQ2 2022","FQ2 2022","Currency=USD","Period=FQ","BEST_FPERIOD_OVERRIDE=FQ","FILING_STATUS=MR","SCALING_FORMAT=MLN","Sort=A","Dates=H","DateFormat=P","Fill=—","Direction=H","UseDPDF=Y")</f>
        <v>-1186</v>
      </c>
      <c r="S28" s="12" cm="1">
        <f t="array" ref="S28">_xll.BDH("PCAR US Equity","CF_INCR_INVEST","FQ3 2022","FQ3 2022","Currency=USD","Period=FQ","BEST_FPERIOD_OVERRIDE=FQ","FILING_STATUS=MR","SCALING_FORMAT=MLN","Sort=A","Dates=H","DateFormat=P","Fill=—","Direction=H","UseDPDF=Y")</f>
        <v>-1152.5</v>
      </c>
      <c r="T28" s="12" cm="1">
        <f t="array" ref="T28">_xll.BDH("PCAR US Equity","CF_INCR_INVEST","FQ4 2022","FQ4 2022","Currency=USD","Period=FQ","BEST_FPERIOD_OVERRIDE=FQ","FILING_STATUS=MR","SCALING_FORMAT=MLN","Sort=A","Dates=H","DateFormat=P","Fill=—","Direction=H","UseDPDF=Y")</f>
        <v>-1499.2</v>
      </c>
      <c r="U28" s="12" cm="1">
        <f t="array" ref="U28">_xll.BDH("PCAR US Equity","CF_INCR_INVEST","FQ1 2023","FQ1 2023","Currency=USD","Period=FQ","BEST_FPERIOD_OVERRIDE=FQ","FILING_STATUS=MR","SCALING_FORMAT=MLN","Sort=A","Dates=H","DateFormat=P","Fill=—","Direction=H","UseDPDF=Y")</f>
        <v>-1199.3</v>
      </c>
      <c r="V28" s="12" cm="1">
        <f t="array" ref="V28">_xll.BDH("PCAR US Equity","CF_INCR_INVEST","FQ2 2023","FQ2 2023","Currency=USD","Period=FQ","BEST_FPERIOD_OVERRIDE=FQ","FILING_STATUS=MR","SCALING_FORMAT=MLN","Sort=A","Dates=H","DateFormat=P","Fill=—","Direction=H","UseDPDF=Y")</f>
        <v>-1711.1</v>
      </c>
      <c r="W28" s="12" cm="1">
        <f t="array" ref="W28">_xll.BDH("PCAR US Equity","CF_INCR_INVEST","FQ3 2023","FQ3 2023","Currency=USD","Period=FQ","BEST_FPERIOD_OVERRIDE=FQ","FILING_STATUS=MR","SCALING_FORMAT=MLN","Sort=A","Dates=H","DateFormat=P","Fill=—","Direction=H","UseDPDF=Y")</f>
        <v>-1647</v>
      </c>
      <c r="X28" s="12" cm="1">
        <f t="array" ref="X28">_xll.BDH("PCAR US Equity","CF_INCR_INVEST","FQ4 2023","FQ4 2023","Currency=USD","Period=FQ","BEST_FPERIOD_OVERRIDE=FQ","FILING_STATUS=MR","SCALING_FORMAT=MLN","Sort=A","Dates=H","DateFormat=P","Fill=—","Direction=H","UseDPDF=Y")</f>
        <v>-1820.8</v>
      </c>
      <c r="Y28" s="12" cm="1">
        <f t="array" ref="Y28">_xll.BDH("PCAR US Equity","CF_INCR_INVEST","FQ1 2024","FQ1 2024","Currency=USD","Period=FQ","BEST_FPERIOD_OVERRIDE=FQ","FILING_STATUS=MR","SCALING_FORMAT=MLN","Sort=A","Dates=H","DateFormat=P","Fill=—","Direction=H","UseDPDF=Y")</f>
        <v>-1438.5</v>
      </c>
      <c r="Z28" s="12" cm="1">
        <f t="array" ref="Z28">_xll.BDH("PCAR US Equity","CF_INCR_INVEST","FQ2 2024","FQ2 2024","Currency=USD","Period=FQ","BEST_FPERIOD_OVERRIDE=FQ","FILING_STATUS=MR","SCALING_FORMAT=MLN","Sort=A","Dates=H","DateFormat=P","Fill=—","Direction=H","UseDPDF=Y")</f>
        <v>-1679</v>
      </c>
      <c r="AA28" s="12" cm="1">
        <f t="array" ref="AA28">_xll.BDH("PCAR US Equity","CF_INCR_INVEST","FQ3 2024","FQ3 2024","Currency=USD","Period=FQ","BEST_FPERIOD_OVERRIDE=FQ","FILING_STATUS=MR","SCALING_FORMAT=MLN","Sort=A","Dates=H","DateFormat=P","Fill=—","Direction=H","UseDPDF=Y")</f>
        <v>-1778.4</v>
      </c>
      <c r="AB28" s="12" cm="1">
        <f t="array" ref="AB28">_xll.BDH("PCAR US Equity","CF_INCR_INVEST","FQ4 2024","FQ4 2024","Currency=USD","Period=FQ","BEST_FPERIOD_OVERRIDE=FQ","FILING_STATUS=MR","SCALING_FORMAT=MLN","Sort=A","Dates=H","DateFormat=P","Fill=—","Direction=H","UseDPDF=Y")</f>
        <v>-1770.8</v>
      </c>
      <c r="AC28" s="12" cm="1">
        <f t="array" ref="AC28">_xll.BDH("PCAR US Equity","CF_INCR_INVEST","FQ1 2025","FQ1 2025","Currency=USD","Period=FQ","BEST_FPERIOD_OVERRIDE=FQ","FILING_STATUS=MR","SCALING_FORMAT=MLN","Sort=A","Dates=H","DateFormat=P","Fill=—","Direction=H","UseDPDF=Y")</f>
        <v>-1332</v>
      </c>
      <c r="AD28" s="12" cm="1">
        <f t="array" ref="AD28">_xll.BDH("PCAR US Equity","CF_INCR_INVEST","FQ2 2025","FQ2 2025","Currency=USD","Period=FQ","BEST_FPERIOD_OVERRIDE=FQ","FILING_STATUS=MR","SCALING_FORMAT=MLN","Sort=A","Dates=H","DateFormat=P","Fill=—","Direction=H","UseDPDF=Y")</f>
        <v>-1646.4</v>
      </c>
      <c r="AE28" s="12" cm="1">
        <f t="array" ref="AE28">_xll.BDH("PCAR US Equity","CF_INCR_INVEST","FQ3 2025","FQ3 2025","Currency=USD","Period=FQ","BEST_FPERIOD_OVERRIDE=FQ","FILING_STATUS=MR","SCALING_FORMAT=MLN","Sort=A","Dates=H","DateFormat=P","Fill=—","Direction=H","UseDPDF=Y")</f>
        <v>-1505.9</v>
      </c>
      <c r="AF28" s="12" t="str" cm="1">
        <f t="array" ref="AF28">_xll.BDH("PCAR US Equity","CF_INCR_INVEST","FQ4 2025","FQ4 2025","Currency=USD","Period=FQ","BEST_FPERIOD_OVERRIDE=FQ","FILING_STATUS=MR","SCALING_FORMAT=MLN","Sort=A","Dates=H","DateFormat=P","Fill=—","Direction=H","UseDPDF=Y")</f>
        <v>—</v>
      </c>
    </row>
    <row r="29" spans="1:32" x14ac:dyDescent="0.25">
      <c r="A29" s="10" t="s">
        <v>106</v>
      </c>
      <c r="B29" s="10" t="s">
        <v>107</v>
      </c>
      <c r="C29" s="12" cm="1">
        <f t="array" ref="C29">_xll.BDH("PCAR US Equity","CF_NT_CSH_RCVD_PD_FOR_ACQUIS_DIV","FQ3 2018","FQ3 2018","Currency=USD","Period=FQ","BEST_FPERIOD_OVERRIDE=FQ","FILING_STATUS=MR","SCALING_FORMAT=MLN","Sort=A","Dates=H","DateFormat=P","Fill=—","Direction=H","UseDPDF=Y")</f>
        <v>0</v>
      </c>
      <c r="D29" s="12" cm="1">
        <f t="array" ref="D29">_xll.BDH("PCAR US Equity","CF_NT_CSH_RCVD_PD_FOR_ACQUIS_DIV","FQ4 2018","FQ4 2018","Currency=USD","Period=FQ","BEST_FPERIOD_OVERRIDE=FQ","FILING_STATUS=MR","SCALING_FORMAT=MLN","Sort=A","Dates=H","DateFormat=P","Fill=—","Direction=H","UseDPDF=Y")</f>
        <v>0</v>
      </c>
      <c r="E29" s="12" cm="1">
        <f t="array" ref="E29">_xll.BDH("PCAR US Equity","CF_NT_CSH_RCVD_PD_FOR_ACQUIS_DIV","FQ1 2019","FQ1 2019","Currency=USD","Period=FQ","BEST_FPERIOD_OVERRIDE=FQ","FILING_STATUS=MR","SCALING_FORMAT=MLN","Sort=A","Dates=H","DateFormat=P","Fill=—","Direction=H","UseDPDF=Y")</f>
        <v>0</v>
      </c>
      <c r="F29" s="12" cm="1">
        <f t="array" ref="F29">_xll.BDH("PCAR US Equity","CF_NT_CSH_RCVD_PD_FOR_ACQUIS_DIV","FQ2 2019","FQ2 2019","Currency=USD","Period=FQ","BEST_FPERIOD_OVERRIDE=FQ","FILING_STATUS=MR","SCALING_FORMAT=MLN","Sort=A","Dates=H","DateFormat=P","Fill=—","Direction=H","UseDPDF=Y")</f>
        <v>0</v>
      </c>
      <c r="G29" s="12" cm="1">
        <f t="array" ref="G29">_xll.BDH("PCAR US Equity","CF_NT_CSH_RCVD_PD_FOR_ACQUIS_DIV","FQ3 2019","FQ3 2019","Currency=USD","Period=FQ","BEST_FPERIOD_OVERRIDE=FQ","FILING_STATUS=MR","SCALING_FORMAT=MLN","Sort=A","Dates=H","DateFormat=P","Fill=—","Direction=H","UseDPDF=Y")</f>
        <v>0</v>
      </c>
      <c r="H29" s="12" cm="1">
        <f t="array" ref="H29">_xll.BDH("PCAR US Equity","CF_NT_CSH_RCVD_PD_FOR_ACQUIS_DIV","FQ4 2019","FQ4 2019","Currency=USD","Period=FQ","BEST_FPERIOD_OVERRIDE=FQ","FILING_STATUS=MR","SCALING_FORMAT=MLN","Sort=A","Dates=H","DateFormat=P","Fill=—","Direction=H","UseDPDF=Y")</f>
        <v>0</v>
      </c>
      <c r="I29" s="12" cm="1">
        <f t="array" ref="I29">_xll.BDH("PCAR US Equity","CF_NT_CSH_RCVD_PD_FOR_ACQUIS_DIV","FQ1 2020","FQ1 2020","Currency=USD","Period=FQ","BEST_FPERIOD_OVERRIDE=FQ","FILING_STATUS=MR","SCALING_FORMAT=MLN","Sort=A","Dates=H","DateFormat=P","Fill=—","Direction=H","UseDPDF=Y")</f>
        <v>0</v>
      </c>
      <c r="J29" s="12" cm="1">
        <f t="array" ref="J29">_xll.BDH("PCAR US Equity","CF_NT_CSH_RCVD_PD_FOR_ACQUIS_DIV","FQ2 2020","FQ2 2020","Currency=USD","Period=FQ","BEST_FPERIOD_OVERRIDE=FQ","FILING_STATUS=MR","SCALING_FORMAT=MLN","Sort=A","Dates=H","DateFormat=P","Fill=—","Direction=H","UseDPDF=Y")</f>
        <v>0</v>
      </c>
      <c r="K29" s="12" cm="1">
        <f t="array" ref="K29">_xll.BDH("PCAR US Equity","CF_NT_CSH_RCVD_PD_FOR_ACQUIS_DIV","FQ3 2020","FQ3 2020","Currency=USD","Period=FQ","BEST_FPERIOD_OVERRIDE=FQ","FILING_STATUS=MR","SCALING_FORMAT=MLN","Sort=A","Dates=H","DateFormat=P","Fill=—","Direction=H","UseDPDF=Y")</f>
        <v>0</v>
      </c>
      <c r="L29" s="12" cm="1">
        <f t="array" ref="L29">_xll.BDH("PCAR US Equity","CF_NT_CSH_RCVD_PD_FOR_ACQUIS_DIV","FQ4 2020","FQ4 2020","Currency=USD","Period=FQ","BEST_FPERIOD_OVERRIDE=FQ","FILING_STATUS=MR","SCALING_FORMAT=MLN","Sort=A","Dates=H","DateFormat=P","Fill=—","Direction=H","UseDPDF=Y")</f>
        <v>0</v>
      </c>
      <c r="M29" s="12" cm="1">
        <f t="array" ref="M29">_xll.BDH("PCAR US Equity","CF_NT_CSH_RCVD_PD_FOR_ACQUIS_DIV","FQ1 2021","FQ1 2021","Currency=USD","Period=FQ","BEST_FPERIOD_OVERRIDE=FQ","FILING_STATUS=MR","SCALING_FORMAT=MLN","Sort=A","Dates=H","DateFormat=P","Fill=—","Direction=H","UseDPDF=Y")</f>
        <v>0</v>
      </c>
      <c r="N29" s="12" cm="1">
        <f t="array" ref="N29">_xll.BDH("PCAR US Equity","CF_NT_CSH_RCVD_PD_FOR_ACQUIS_DIV","FQ2 2021","FQ2 2021","Currency=USD","Period=FQ","BEST_FPERIOD_OVERRIDE=FQ","FILING_STATUS=MR","SCALING_FORMAT=MLN","Sort=A","Dates=H","DateFormat=P","Fill=—","Direction=H","UseDPDF=Y")</f>
        <v>0</v>
      </c>
      <c r="O29" s="12" cm="1">
        <f t="array" ref="O29">_xll.BDH("PCAR US Equity","CF_NT_CSH_RCVD_PD_FOR_ACQUIS_DIV","FQ3 2021","FQ3 2021","Currency=USD","Period=FQ","BEST_FPERIOD_OVERRIDE=FQ","FILING_STATUS=MR","SCALING_FORMAT=MLN","Sort=A","Dates=H","DateFormat=P","Fill=—","Direction=H","UseDPDF=Y")</f>
        <v>0</v>
      </c>
      <c r="P29" s="12" cm="1">
        <f t="array" ref="P29">_xll.BDH("PCAR US Equity","CF_NT_CSH_RCVD_PD_FOR_ACQUIS_DIV","FQ4 2021","FQ4 2021","Currency=USD","Period=FQ","BEST_FPERIOD_OVERRIDE=FQ","FILING_STATUS=MR","SCALING_FORMAT=MLN","Sort=A","Dates=H","DateFormat=P","Fill=—","Direction=H","UseDPDF=Y")</f>
        <v>0</v>
      </c>
      <c r="Q29" s="12" cm="1">
        <f t="array" ref="Q29">_xll.BDH("PCAR US Equity","CF_NT_CSH_RCVD_PD_FOR_ACQUIS_DIV","FQ1 2022","FQ1 2022","Currency=USD","Period=FQ","BEST_FPERIOD_OVERRIDE=FQ","FILING_STATUS=MR","SCALING_FORMAT=MLN","Sort=A","Dates=H","DateFormat=P","Fill=—","Direction=H","UseDPDF=Y")</f>
        <v>0</v>
      </c>
      <c r="R29" s="12" cm="1">
        <f t="array" ref="R29">_xll.BDH("PCAR US Equity","CF_NT_CSH_RCVD_PD_FOR_ACQUIS_DIV","FQ2 2022","FQ2 2022","Currency=USD","Period=FQ","BEST_FPERIOD_OVERRIDE=FQ","FILING_STATUS=MR","SCALING_FORMAT=MLN","Sort=A","Dates=H","DateFormat=P","Fill=—","Direction=H","UseDPDF=Y")</f>
        <v>0</v>
      </c>
      <c r="S29" s="12" cm="1">
        <f t="array" ref="S29">_xll.BDH("PCAR US Equity","CF_NT_CSH_RCVD_PD_FOR_ACQUIS_DIV","FQ3 2022","FQ3 2022","Currency=USD","Period=FQ","BEST_FPERIOD_OVERRIDE=FQ","FILING_STATUS=MR","SCALING_FORMAT=MLN","Sort=A","Dates=H","DateFormat=P","Fill=—","Direction=H","UseDPDF=Y")</f>
        <v>0</v>
      </c>
      <c r="T29" s="12" cm="1">
        <f t="array" ref="T29">_xll.BDH("PCAR US Equity","CF_NT_CSH_RCVD_PD_FOR_ACQUIS_DIV","FQ4 2022","FQ4 2022","Currency=USD","Period=FQ","BEST_FPERIOD_OVERRIDE=FQ","FILING_STATUS=MR","SCALING_FORMAT=MLN","Sort=A","Dates=H","DateFormat=P","Fill=—","Direction=H","UseDPDF=Y")</f>
        <v>0</v>
      </c>
      <c r="U29" s="12" cm="1">
        <f t="array" ref="U29">_xll.BDH("PCAR US Equity","CF_NT_CSH_RCVD_PD_FOR_ACQUIS_DIV","FQ1 2023","FQ1 2023","Currency=USD","Period=FQ","BEST_FPERIOD_OVERRIDE=FQ","FILING_STATUS=MR","SCALING_FORMAT=MLN","Sort=A","Dates=H","DateFormat=P","Fill=—","Direction=H","UseDPDF=Y")</f>
        <v>0</v>
      </c>
      <c r="V29" s="12" cm="1">
        <f t="array" ref="V29">_xll.BDH("PCAR US Equity","CF_NT_CSH_RCVD_PD_FOR_ACQUIS_DIV","FQ2 2023","FQ2 2023","Currency=USD","Period=FQ","BEST_FPERIOD_OVERRIDE=FQ","FILING_STATUS=MR","SCALING_FORMAT=MLN","Sort=A","Dates=H","DateFormat=P","Fill=—","Direction=H","UseDPDF=Y")</f>
        <v>0</v>
      </c>
      <c r="W29" s="12" cm="1">
        <f t="array" ref="W29">_xll.BDH("PCAR US Equity","CF_NT_CSH_RCVD_PD_FOR_ACQUIS_DIV","FQ3 2023","FQ3 2023","Currency=USD","Period=FQ","BEST_FPERIOD_OVERRIDE=FQ","FILING_STATUS=MR","SCALING_FORMAT=MLN","Sort=A","Dates=H","DateFormat=P","Fill=—","Direction=H","UseDPDF=Y")</f>
        <v>0</v>
      </c>
      <c r="X29" s="12" cm="1">
        <f t="array" ref="X29">_xll.BDH("PCAR US Equity","CF_NT_CSH_RCVD_PD_FOR_ACQUIS_DIV","FQ4 2023","FQ4 2023","Currency=USD","Period=FQ","BEST_FPERIOD_OVERRIDE=FQ","FILING_STATUS=MR","SCALING_FORMAT=MLN","Sort=A","Dates=H","DateFormat=P","Fill=—","Direction=H","UseDPDF=Y")</f>
        <v>0</v>
      </c>
      <c r="Y29" s="12" cm="1">
        <f t="array" ref="Y29">_xll.BDH("PCAR US Equity","CF_NT_CSH_RCVD_PD_FOR_ACQUIS_DIV","FQ1 2024","FQ1 2024","Currency=USD","Period=FQ","BEST_FPERIOD_OVERRIDE=FQ","FILING_STATUS=MR","SCALING_FORMAT=MLN","Sort=A","Dates=H","DateFormat=P","Fill=—","Direction=H","UseDPDF=Y")</f>
        <v>0</v>
      </c>
      <c r="Z29" s="12" cm="1">
        <f t="array" ref="Z29">_xll.BDH("PCAR US Equity","CF_NT_CSH_RCVD_PD_FOR_ACQUIS_DIV","FQ2 2024","FQ2 2024","Currency=USD","Period=FQ","BEST_FPERIOD_OVERRIDE=FQ","FILING_STATUS=MR","SCALING_FORMAT=MLN","Sort=A","Dates=H","DateFormat=P","Fill=—","Direction=H","UseDPDF=Y")</f>
        <v>0</v>
      </c>
      <c r="AA29" s="12" cm="1">
        <f t="array" ref="AA29">_xll.BDH("PCAR US Equity","CF_NT_CSH_RCVD_PD_FOR_ACQUIS_DIV","FQ3 2024","FQ3 2024","Currency=USD","Period=FQ","BEST_FPERIOD_OVERRIDE=FQ","FILING_STATUS=MR","SCALING_FORMAT=MLN","Sort=A","Dates=H","DateFormat=P","Fill=—","Direction=H","UseDPDF=Y")</f>
        <v>0</v>
      </c>
      <c r="AB29" s="12" cm="1">
        <f t="array" ref="AB29">_xll.BDH("PCAR US Equity","CF_NT_CSH_RCVD_PD_FOR_ACQUIS_DIV","FQ4 2024","FQ4 2024","Currency=USD","Period=FQ","BEST_FPERIOD_OVERRIDE=FQ","FILING_STATUS=MR","SCALING_FORMAT=MLN","Sort=A","Dates=H","DateFormat=P","Fill=—","Direction=H","UseDPDF=Y")</f>
        <v>-207.6</v>
      </c>
      <c r="AC29" s="12" cm="1">
        <f t="array" ref="AC29">_xll.BDH("PCAR US Equity","CF_NT_CSH_RCVD_PD_FOR_ACQUIS_DIV","FQ1 2025","FQ1 2025","Currency=USD","Period=FQ","BEST_FPERIOD_OVERRIDE=FQ","FILING_STATUS=MR","SCALING_FORMAT=MLN","Sort=A","Dates=H","DateFormat=P","Fill=—","Direction=H","UseDPDF=Y")</f>
        <v>-44.7</v>
      </c>
      <c r="AD29" s="12" cm="1">
        <f t="array" ref="AD29">_xll.BDH("PCAR US Equity","CF_NT_CSH_RCVD_PD_FOR_ACQUIS_DIV","FQ2 2025","FQ2 2025","Currency=USD","Period=FQ","BEST_FPERIOD_OVERRIDE=FQ","FILING_STATUS=MR","SCALING_FORMAT=MLN","Sort=A","Dates=H","DateFormat=P","Fill=—","Direction=H","UseDPDF=Y")</f>
        <v>44.7</v>
      </c>
      <c r="AE29" s="12" cm="1">
        <f t="array" ref="AE29">_xll.BDH("PCAR US Equity","CF_NT_CSH_RCVD_PD_FOR_ACQUIS_DIV","FQ3 2025","FQ3 2025","Currency=USD","Period=FQ","BEST_FPERIOD_OVERRIDE=FQ","FILING_STATUS=MR","SCALING_FORMAT=MLN","Sort=A","Dates=H","DateFormat=P","Fill=—","Direction=H","UseDPDF=Y")</f>
        <v>0</v>
      </c>
      <c r="AF29" s="12" cm="1">
        <f t="array" ref="AF29">_xll.BDH("PCAR US Equity","CF_NT_CSH_RCVD_PD_FOR_ACQUIS_DIV","FQ4 2025","FQ4 2025","Currency=USD","Period=FQ","BEST_FPERIOD_OVERRIDE=FQ","FILING_STATUS=MR","SCALING_FORMAT=MLN","Sort=A","Dates=H","DateFormat=P","Fill=—","Direction=H","UseDPDF=Y")</f>
        <v>0</v>
      </c>
    </row>
    <row r="30" spans="1:32" x14ac:dyDescent="0.25">
      <c r="A30" s="10" t="s">
        <v>108</v>
      </c>
      <c r="B30" s="10" t="s">
        <v>109</v>
      </c>
      <c r="C30" s="12" cm="1">
        <f t="array" ref="C30">_xll.BDH("PCAR US Equity","CF_CASH_FOR_DIVESTITURES","FQ3 2018","FQ3 2018","Currency=USD","Period=FQ","BEST_FPERIOD_OVERRIDE=FQ","FILING_STATUS=MR","SCALING_FORMAT=MLN","Sort=A","Dates=H","DateFormat=P","Fill=—","Direction=H","UseDPDF=Y")</f>
        <v>0</v>
      </c>
      <c r="D30" s="12" cm="1">
        <f t="array" ref="D30">_xll.BDH("PCAR US Equity","CF_CASH_FOR_DIVESTITURES","FQ4 2018","FQ4 2018","Currency=USD","Period=FQ","BEST_FPERIOD_OVERRIDE=FQ","FILING_STATUS=MR","SCALING_FORMAT=MLN","Sort=A","Dates=H","DateFormat=P","Fill=—","Direction=H","UseDPDF=Y")</f>
        <v>0</v>
      </c>
      <c r="E30" s="12" cm="1">
        <f t="array" ref="E30">_xll.BDH("PCAR US Equity","CF_CASH_FOR_DIVESTITURES","FQ1 2019","FQ1 2019","Currency=USD","Period=FQ","BEST_FPERIOD_OVERRIDE=FQ","FILING_STATUS=MR","SCALING_FORMAT=MLN","Sort=A","Dates=H","DateFormat=P","Fill=—","Direction=H","UseDPDF=Y")</f>
        <v>0</v>
      </c>
      <c r="F30" s="12" cm="1">
        <f t="array" ref="F30">_xll.BDH("PCAR US Equity","CF_CASH_FOR_DIVESTITURES","FQ2 2019","FQ2 2019","Currency=USD","Period=FQ","BEST_FPERIOD_OVERRIDE=FQ","FILING_STATUS=MR","SCALING_FORMAT=MLN","Sort=A","Dates=H","DateFormat=P","Fill=—","Direction=H","UseDPDF=Y")</f>
        <v>0</v>
      </c>
      <c r="G30" s="12" cm="1">
        <f t="array" ref="G30">_xll.BDH("PCAR US Equity","CF_CASH_FOR_DIVESTITURES","FQ3 2019","FQ3 2019","Currency=USD","Period=FQ","BEST_FPERIOD_OVERRIDE=FQ","FILING_STATUS=MR","SCALING_FORMAT=MLN","Sort=A","Dates=H","DateFormat=P","Fill=—","Direction=H","UseDPDF=Y")</f>
        <v>0</v>
      </c>
      <c r="H30" s="12" cm="1">
        <f t="array" ref="H30">_xll.BDH("PCAR US Equity","CF_CASH_FOR_DIVESTITURES","FQ4 2019","FQ4 2019","Currency=USD","Period=FQ","BEST_FPERIOD_OVERRIDE=FQ","FILING_STATUS=MR","SCALING_FORMAT=MLN","Sort=A","Dates=H","DateFormat=P","Fill=—","Direction=H","UseDPDF=Y")</f>
        <v>0</v>
      </c>
      <c r="I30" s="12" cm="1">
        <f t="array" ref="I30">_xll.BDH("PCAR US Equity","CF_CASH_FOR_DIVESTITURES","FQ1 2020","FQ1 2020","Currency=USD","Period=FQ","BEST_FPERIOD_OVERRIDE=FQ","FILING_STATUS=MR","SCALING_FORMAT=MLN","Sort=A","Dates=H","DateFormat=P","Fill=—","Direction=H","UseDPDF=Y")</f>
        <v>0</v>
      </c>
      <c r="J30" s="12" cm="1">
        <f t="array" ref="J30">_xll.BDH("PCAR US Equity","CF_CASH_FOR_DIVESTITURES","FQ2 2020","FQ2 2020","Currency=USD","Period=FQ","BEST_FPERIOD_OVERRIDE=FQ","FILING_STATUS=MR","SCALING_FORMAT=MLN","Sort=A","Dates=H","DateFormat=P","Fill=—","Direction=H","UseDPDF=Y")</f>
        <v>0</v>
      </c>
      <c r="K30" s="12" cm="1">
        <f t="array" ref="K30">_xll.BDH("PCAR US Equity","CF_CASH_FOR_DIVESTITURES","FQ3 2020","FQ3 2020","Currency=USD","Period=FQ","BEST_FPERIOD_OVERRIDE=FQ","FILING_STATUS=MR","SCALING_FORMAT=MLN","Sort=A","Dates=H","DateFormat=P","Fill=—","Direction=H","UseDPDF=Y")</f>
        <v>0</v>
      </c>
      <c r="L30" s="12" cm="1">
        <f t="array" ref="L30">_xll.BDH("PCAR US Equity","CF_CASH_FOR_DIVESTITURES","FQ4 2020","FQ4 2020","Currency=USD","Period=FQ","BEST_FPERIOD_OVERRIDE=FQ","FILING_STATUS=MR","SCALING_FORMAT=MLN","Sort=A","Dates=H","DateFormat=P","Fill=—","Direction=H","UseDPDF=Y")</f>
        <v>0</v>
      </c>
      <c r="M30" s="12" cm="1">
        <f t="array" ref="M30">_xll.BDH("PCAR US Equity","CF_CASH_FOR_DIVESTITURES","FQ1 2021","FQ1 2021","Currency=USD","Period=FQ","BEST_FPERIOD_OVERRIDE=FQ","FILING_STATUS=MR","SCALING_FORMAT=MLN","Sort=A","Dates=H","DateFormat=P","Fill=—","Direction=H","UseDPDF=Y")</f>
        <v>0</v>
      </c>
      <c r="N30" s="12" cm="1">
        <f t="array" ref="N30">_xll.BDH("PCAR US Equity","CF_CASH_FOR_DIVESTITURES","FQ2 2021","FQ2 2021","Currency=USD","Period=FQ","BEST_FPERIOD_OVERRIDE=FQ","FILING_STATUS=MR","SCALING_FORMAT=MLN","Sort=A","Dates=H","DateFormat=P","Fill=—","Direction=H","UseDPDF=Y")</f>
        <v>0</v>
      </c>
      <c r="O30" s="12" cm="1">
        <f t="array" ref="O30">_xll.BDH("PCAR US Equity","CF_CASH_FOR_DIVESTITURES","FQ3 2021","FQ3 2021","Currency=USD","Period=FQ","BEST_FPERIOD_OVERRIDE=FQ","FILING_STATUS=MR","SCALING_FORMAT=MLN","Sort=A","Dates=H","DateFormat=P","Fill=—","Direction=H","UseDPDF=Y")</f>
        <v>0</v>
      </c>
      <c r="P30" s="12" cm="1">
        <f t="array" ref="P30">_xll.BDH("PCAR US Equity","CF_CASH_FOR_DIVESTITURES","FQ4 2021","FQ4 2021","Currency=USD","Period=FQ","BEST_FPERIOD_OVERRIDE=FQ","FILING_STATUS=MR","SCALING_FORMAT=MLN","Sort=A","Dates=H","DateFormat=P","Fill=—","Direction=H","UseDPDF=Y")</f>
        <v>0</v>
      </c>
      <c r="Q30" s="12" cm="1">
        <f t="array" ref="Q30">_xll.BDH("PCAR US Equity","CF_CASH_FOR_DIVESTITURES","FQ1 2022","FQ1 2022","Currency=USD","Period=FQ","BEST_FPERIOD_OVERRIDE=FQ","FILING_STATUS=MR","SCALING_FORMAT=MLN","Sort=A","Dates=H","DateFormat=P","Fill=—","Direction=H","UseDPDF=Y")</f>
        <v>0</v>
      </c>
      <c r="R30" s="12" cm="1">
        <f t="array" ref="R30">_xll.BDH("PCAR US Equity","CF_CASH_FOR_DIVESTITURES","FQ2 2022","FQ2 2022","Currency=USD","Period=FQ","BEST_FPERIOD_OVERRIDE=FQ","FILING_STATUS=MR","SCALING_FORMAT=MLN","Sort=A","Dates=H","DateFormat=P","Fill=—","Direction=H","UseDPDF=Y")</f>
        <v>0</v>
      </c>
      <c r="S30" s="12" cm="1">
        <f t="array" ref="S30">_xll.BDH("PCAR US Equity","CF_CASH_FOR_DIVESTITURES","FQ3 2022","FQ3 2022","Currency=USD","Period=FQ","BEST_FPERIOD_OVERRIDE=FQ","FILING_STATUS=MR","SCALING_FORMAT=MLN","Sort=A","Dates=H","DateFormat=P","Fill=—","Direction=H","UseDPDF=Y")</f>
        <v>0</v>
      </c>
      <c r="T30" s="12" cm="1">
        <f t="array" ref="T30">_xll.BDH("PCAR US Equity","CF_CASH_FOR_DIVESTITURES","FQ4 2022","FQ4 2022","Currency=USD","Period=FQ","BEST_FPERIOD_OVERRIDE=FQ","FILING_STATUS=MR","SCALING_FORMAT=MLN","Sort=A","Dates=H","DateFormat=P","Fill=—","Direction=H","UseDPDF=Y")</f>
        <v>0</v>
      </c>
      <c r="U30" s="12" cm="1">
        <f t="array" ref="U30">_xll.BDH("PCAR US Equity","CF_CASH_FOR_DIVESTITURES","FQ1 2023","FQ1 2023","Currency=USD","Period=FQ","BEST_FPERIOD_OVERRIDE=FQ","FILING_STATUS=MR","SCALING_FORMAT=MLN","Sort=A","Dates=H","DateFormat=P","Fill=—","Direction=H","UseDPDF=Y")</f>
        <v>0</v>
      </c>
      <c r="V30" s="12" cm="1">
        <f t="array" ref="V30">_xll.BDH("PCAR US Equity","CF_CASH_FOR_DIVESTITURES","FQ2 2023","FQ2 2023","Currency=USD","Period=FQ","BEST_FPERIOD_OVERRIDE=FQ","FILING_STATUS=MR","SCALING_FORMAT=MLN","Sort=A","Dates=H","DateFormat=P","Fill=—","Direction=H","UseDPDF=Y")</f>
        <v>0</v>
      </c>
      <c r="W30" s="12" cm="1">
        <f t="array" ref="W30">_xll.BDH("PCAR US Equity","CF_CASH_FOR_DIVESTITURES","FQ3 2023","FQ3 2023","Currency=USD","Period=FQ","BEST_FPERIOD_OVERRIDE=FQ","FILING_STATUS=MR","SCALING_FORMAT=MLN","Sort=A","Dates=H","DateFormat=P","Fill=—","Direction=H","UseDPDF=Y")</f>
        <v>0</v>
      </c>
      <c r="X30" s="12" cm="1">
        <f t="array" ref="X30">_xll.BDH("PCAR US Equity","CF_CASH_FOR_DIVESTITURES","FQ4 2023","FQ4 2023","Currency=USD","Period=FQ","BEST_FPERIOD_OVERRIDE=FQ","FILING_STATUS=MR","SCALING_FORMAT=MLN","Sort=A","Dates=H","DateFormat=P","Fill=—","Direction=H","UseDPDF=Y")</f>
        <v>0</v>
      </c>
      <c r="Y30" s="12" cm="1">
        <f t="array" ref="Y30">_xll.BDH("PCAR US Equity","CF_CASH_FOR_DIVESTITURES","FQ1 2024","FQ1 2024","Currency=USD","Period=FQ","BEST_FPERIOD_OVERRIDE=FQ","FILING_STATUS=MR","SCALING_FORMAT=MLN","Sort=A","Dates=H","DateFormat=P","Fill=—","Direction=H","UseDPDF=Y")</f>
        <v>0</v>
      </c>
      <c r="Z30" s="12" cm="1">
        <f t="array" ref="Z30">_xll.BDH("PCAR US Equity","CF_CASH_FOR_DIVESTITURES","FQ2 2024","FQ2 2024","Currency=USD","Period=FQ","BEST_FPERIOD_OVERRIDE=FQ","FILING_STATUS=MR","SCALING_FORMAT=MLN","Sort=A","Dates=H","DateFormat=P","Fill=—","Direction=H","UseDPDF=Y")</f>
        <v>0</v>
      </c>
      <c r="AA30" s="12" cm="1">
        <f t="array" ref="AA30">_xll.BDH("PCAR US Equity","CF_CASH_FOR_DIVESTITURES","FQ3 2024","FQ3 2024","Currency=USD","Period=FQ","BEST_FPERIOD_OVERRIDE=FQ","FILING_STATUS=MR","SCALING_FORMAT=MLN","Sort=A","Dates=H","DateFormat=P","Fill=—","Direction=H","UseDPDF=Y")</f>
        <v>0</v>
      </c>
      <c r="AB30" s="12" cm="1">
        <f t="array" ref="AB30">_xll.BDH("PCAR US Equity","CF_CASH_FOR_DIVESTITURES","FQ4 2024","FQ4 2024","Currency=USD","Period=FQ","BEST_FPERIOD_OVERRIDE=FQ","FILING_STATUS=MR","SCALING_FORMAT=MLN","Sort=A","Dates=H","DateFormat=P","Fill=—","Direction=H","UseDPDF=Y")</f>
        <v>0</v>
      </c>
      <c r="AC30" s="12" cm="1">
        <f t="array" ref="AC30">_xll.BDH("PCAR US Equity","CF_CASH_FOR_DIVESTITURES","FQ1 2025","FQ1 2025","Currency=USD","Period=FQ","BEST_FPERIOD_OVERRIDE=FQ","FILING_STATUS=MR","SCALING_FORMAT=MLN","Sort=A","Dates=H","DateFormat=P","Fill=—","Direction=H","UseDPDF=Y")</f>
        <v>0</v>
      </c>
      <c r="AD30" s="12" cm="1">
        <f t="array" ref="AD30">_xll.BDH("PCAR US Equity","CF_CASH_FOR_DIVESTITURES","FQ2 2025","FQ2 2025","Currency=USD","Period=FQ","BEST_FPERIOD_OVERRIDE=FQ","FILING_STATUS=MR","SCALING_FORMAT=MLN","Sort=A","Dates=H","DateFormat=P","Fill=—","Direction=H","UseDPDF=Y")</f>
        <v>0</v>
      </c>
      <c r="AE30" s="12" cm="1">
        <f t="array" ref="AE30">_xll.BDH("PCAR US Equity","CF_CASH_FOR_DIVESTITURES","FQ3 2025","FQ3 2025","Currency=USD","Period=FQ","BEST_FPERIOD_OVERRIDE=FQ","FILING_STATUS=MR","SCALING_FORMAT=MLN","Sort=A","Dates=H","DateFormat=P","Fill=—","Direction=H","UseDPDF=Y")</f>
        <v>0</v>
      </c>
      <c r="AF30" s="12" cm="1">
        <f t="array" ref="AF30">_xll.BDH("PCAR US Equity","CF_CASH_FOR_DIVESTITURES","FQ4 2025","FQ4 2025","Currency=USD","Period=FQ","BEST_FPERIOD_OVERRIDE=FQ","FILING_STATUS=MR","SCALING_FORMAT=MLN","Sort=A","Dates=H","DateFormat=P","Fill=—","Direction=H","UseDPDF=Y")</f>
        <v>0</v>
      </c>
    </row>
    <row r="31" spans="1:32" x14ac:dyDescent="0.25">
      <c r="A31" s="10" t="s">
        <v>110</v>
      </c>
      <c r="B31" s="10" t="s">
        <v>111</v>
      </c>
      <c r="C31" s="12" cm="1">
        <f t="array" ref="C31">_xll.BDH("PCAR US Equity","CF_CASH_FOR_ACQUIS_SUBSIDIARIES","FQ3 2018","FQ3 2018","Currency=USD","Period=FQ","BEST_FPERIOD_OVERRIDE=FQ","FILING_STATUS=MR","SCALING_FORMAT=MLN","Sort=A","Dates=H","DateFormat=P","Fill=—","Direction=H","UseDPDF=Y")</f>
        <v>0</v>
      </c>
      <c r="D31" s="12" cm="1">
        <f t="array" ref="D31">_xll.BDH("PCAR US Equity","CF_CASH_FOR_ACQUIS_SUBSIDIARIES","FQ4 2018","FQ4 2018","Currency=USD","Period=FQ","BEST_FPERIOD_OVERRIDE=FQ","FILING_STATUS=MR","SCALING_FORMAT=MLN","Sort=A","Dates=H","DateFormat=P","Fill=—","Direction=H","UseDPDF=Y")</f>
        <v>0</v>
      </c>
      <c r="E31" s="12" cm="1">
        <f t="array" ref="E31">_xll.BDH("PCAR US Equity","CF_CASH_FOR_ACQUIS_SUBSIDIARIES","FQ1 2019","FQ1 2019","Currency=USD","Period=FQ","BEST_FPERIOD_OVERRIDE=FQ","FILING_STATUS=MR","SCALING_FORMAT=MLN","Sort=A","Dates=H","DateFormat=P","Fill=—","Direction=H","UseDPDF=Y")</f>
        <v>0</v>
      </c>
      <c r="F31" s="12" cm="1">
        <f t="array" ref="F31">_xll.BDH("PCAR US Equity","CF_CASH_FOR_ACQUIS_SUBSIDIARIES","FQ2 2019","FQ2 2019","Currency=USD","Period=FQ","BEST_FPERIOD_OVERRIDE=FQ","FILING_STATUS=MR","SCALING_FORMAT=MLN","Sort=A","Dates=H","DateFormat=P","Fill=—","Direction=H","UseDPDF=Y")</f>
        <v>0</v>
      </c>
      <c r="G31" s="12" cm="1">
        <f t="array" ref="G31">_xll.BDH("PCAR US Equity","CF_CASH_FOR_ACQUIS_SUBSIDIARIES","FQ3 2019","FQ3 2019","Currency=USD","Period=FQ","BEST_FPERIOD_OVERRIDE=FQ","FILING_STATUS=MR","SCALING_FORMAT=MLN","Sort=A","Dates=H","DateFormat=P","Fill=—","Direction=H","UseDPDF=Y")</f>
        <v>0</v>
      </c>
      <c r="H31" s="12" cm="1">
        <f t="array" ref="H31">_xll.BDH("PCAR US Equity","CF_CASH_FOR_ACQUIS_SUBSIDIARIES","FQ4 2019","FQ4 2019","Currency=USD","Period=FQ","BEST_FPERIOD_OVERRIDE=FQ","FILING_STATUS=MR","SCALING_FORMAT=MLN","Sort=A","Dates=H","DateFormat=P","Fill=—","Direction=H","UseDPDF=Y")</f>
        <v>0</v>
      </c>
      <c r="I31" s="12" cm="1">
        <f t="array" ref="I31">_xll.BDH("PCAR US Equity","CF_CASH_FOR_ACQUIS_SUBSIDIARIES","FQ1 2020","FQ1 2020","Currency=USD","Period=FQ","BEST_FPERIOD_OVERRIDE=FQ","FILING_STATUS=MR","SCALING_FORMAT=MLN","Sort=A","Dates=H","DateFormat=P","Fill=—","Direction=H","UseDPDF=Y")</f>
        <v>0</v>
      </c>
      <c r="J31" s="12" cm="1">
        <f t="array" ref="J31">_xll.BDH("PCAR US Equity","CF_CASH_FOR_ACQUIS_SUBSIDIARIES","FQ2 2020","FQ2 2020","Currency=USD","Period=FQ","BEST_FPERIOD_OVERRIDE=FQ","FILING_STATUS=MR","SCALING_FORMAT=MLN","Sort=A","Dates=H","DateFormat=P","Fill=—","Direction=H","UseDPDF=Y")</f>
        <v>0</v>
      </c>
      <c r="K31" s="12" cm="1">
        <f t="array" ref="K31">_xll.BDH("PCAR US Equity","CF_CASH_FOR_ACQUIS_SUBSIDIARIES","FQ3 2020","FQ3 2020","Currency=USD","Period=FQ","BEST_FPERIOD_OVERRIDE=FQ","FILING_STATUS=MR","SCALING_FORMAT=MLN","Sort=A","Dates=H","DateFormat=P","Fill=—","Direction=H","UseDPDF=Y")</f>
        <v>0</v>
      </c>
      <c r="L31" s="12" cm="1">
        <f t="array" ref="L31">_xll.BDH("PCAR US Equity","CF_CASH_FOR_ACQUIS_SUBSIDIARIES","FQ4 2020","FQ4 2020","Currency=USD","Period=FQ","BEST_FPERIOD_OVERRIDE=FQ","FILING_STATUS=MR","SCALING_FORMAT=MLN","Sort=A","Dates=H","DateFormat=P","Fill=—","Direction=H","UseDPDF=Y")</f>
        <v>0</v>
      </c>
      <c r="M31" s="12" cm="1">
        <f t="array" ref="M31">_xll.BDH("PCAR US Equity","CF_CASH_FOR_ACQUIS_SUBSIDIARIES","FQ1 2021","FQ1 2021","Currency=USD","Period=FQ","BEST_FPERIOD_OVERRIDE=FQ","FILING_STATUS=MR","SCALING_FORMAT=MLN","Sort=A","Dates=H","DateFormat=P","Fill=—","Direction=H","UseDPDF=Y")</f>
        <v>0</v>
      </c>
      <c r="N31" s="12" cm="1">
        <f t="array" ref="N31">_xll.BDH("PCAR US Equity","CF_CASH_FOR_ACQUIS_SUBSIDIARIES","FQ2 2021","FQ2 2021","Currency=USD","Period=FQ","BEST_FPERIOD_OVERRIDE=FQ","FILING_STATUS=MR","SCALING_FORMAT=MLN","Sort=A","Dates=H","DateFormat=P","Fill=—","Direction=H","UseDPDF=Y")</f>
        <v>0</v>
      </c>
      <c r="O31" s="12" cm="1">
        <f t="array" ref="O31">_xll.BDH("PCAR US Equity","CF_CASH_FOR_ACQUIS_SUBSIDIARIES","FQ3 2021","FQ3 2021","Currency=USD","Period=FQ","BEST_FPERIOD_OVERRIDE=FQ","FILING_STATUS=MR","SCALING_FORMAT=MLN","Sort=A","Dates=H","DateFormat=P","Fill=—","Direction=H","UseDPDF=Y")</f>
        <v>0</v>
      </c>
      <c r="P31" s="12" cm="1">
        <f t="array" ref="P31">_xll.BDH("PCAR US Equity","CF_CASH_FOR_ACQUIS_SUBSIDIARIES","FQ4 2021","FQ4 2021","Currency=USD","Period=FQ","BEST_FPERIOD_OVERRIDE=FQ","FILING_STATUS=MR","SCALING_FORMAT=MLN","Sort=A","Dates=H","DateFormat=P","Fill=—","Direction=H","UseDPDF=Y")</f>
        <v>0</v>
      </c>
      <c r="Q31" s="12" cm="1">
        <f t="array" ref="Q31">_xll.BDH("PCAR US Equity","CF_CASH_FOR_ACQUIS_SUBSIDIARIES","FQ1 2022","FQ1 2022","Currency=USD","Period=FQ","BEST_FPERIOD_OVERRIDE=FQ","FILING_STATUS=MR","SCALING_FORMAT=MLN","Sort=A","Dates=H","DateFormat=P","Fill=—","Direction=H","UseDPDF=Y")</f>
        <v>0</v>
      </c>
      <c r="R31" s="12" cm="1">
        <f t="array" ref="R31">_xll.BDH("PCAR US Equity","CF_CASH_FOR_ACQUIS_SUBSIDIARIES","FQ2 2022","FQ2 2022","Currency=USD","Period=FQ","BEST_FPERIOD_OVERRIDE=FQ","FILING_STATUS=MR","SCALING_FORMAT=MLN","Sort=A","Dates=H","DateFormat=P","Fill=—","Direction=H","UseDPDF=Y")</f>
        <v>0</v>
      </c>
      <c r="S31" s="12" cm="1">
        <f t="array" ref="S31">_xll.BDH("PCAR US Equity","CF_CASH_FOR_ACQUIS_SUBSIDIARIES","FQ3 2022","FQ3 2022","Currency=USD","Period=FQ","BEST_FPERIOD_OVERRIDE=FQ","FILING_STATUS=MR","SCALING_FORMAT=MLN","Sort=A","Dates=H","DateFormat=P","Fill=—","Direction=H","UseDPDF=Y")</f>
        <v>0</v>
      </c>
      <c r="T31" s="12" cm="1">
        <f t="array" ref="T31">_xll.BDH("PCAR US Equity","CF_CASH_FOR_ACQUIS_SUBSIDIARIES","FQ4 2022","FQ4 2022","Currency=USD","Period=FQ","BEST_FPERIOD_OVERRIDE=FQ","FILING_STATUS=MR","SCALING_FORMAT=MLN","Sort=A","Dates=H","DateFormat=P","Fill=—","Direction=H","UseDPDF=Y")</f>
        <v>0</v>
      </c>
      <c r="U31" s="12" cm="1">
        <f t="array" ref="U31">_xll.BDH("PCAR US Equity","CF_CASH_FOR_ACQUIS_SUBSIDIARIES","FQ1 2023","FQ1 2023","Currency=USD","Period=FQ","BEST_FPERIOD_OVERRIDE=FQ","FILING_STATUS=MR","SCALING_FORMAT=MLN","Sort=A","Dates=H","DateFormat=P","Fill=—","Direction=H","UseDPDF=Y")</f>
        <v>0</v>
      </c>
      <c r="V31" s="12" cm="1">
        <f t="array" ref="V31">_xll.BDH("PCAR US Equity","CF_CASH_FOR_ACQUIS_SUBSIDIARIES","FQ2 2023","FQ2 2023","Currency=USD","Period=FQ","BEST_FPERIOD_OVERRIDE=FQ","FILING_STATUS=MR","SCALING_FORMAT=MLN","Sort=A","Dates=H","DateFormat=P","Fill=—","Direction=H","UseDPDF=Y")</f>
        <v>0</v>
      </c>
      <c r="W31" s="12" cm="1">
        <f t="array" ref="W31">_xll.BDH("PCAR US Equity","CF_CASH_FOR_ACQUIS_SUBSIDIARIES","FQ3 2023","FQ3 2023","Currency=USD","Period=FQ","BEST_FPERIOD_OVERRIDE=FQ","FILING_STATUS=MR","SCALING_FORMAT=MLN","Sort=A","Dates=H","DateFormat=P","Fill=—","Direction=H","UseDPDF=Y")</f>
        <v>0</v>
      </c>
      <c r="X31" s="12" cm="1">
        <f t="array" ref="X31">_xll.BDH("PCAR US Equity","CF_CASH_FOR_ACQUIS_SUBSIDIARIES","FQ4 2023","FQ4 2023","Currency=USD","Period=FQ","BEST_FPERIOD_OVERRIDE=FQ","FILING_STATUS=MR","SCALING_FORMAT=MLN","Sort=A","Dates=H","DateFormat=P","Fill=—","Direction=H","UseDPDF=Y")</f>
        <v>0</v>
      </c>
      <c r="Y31" s="12" cm="1">
        <f t="array" ref="Y31">_xll.BDH("PCAR US Equity","CF_CASH_FOR_ACQUIS_SUBSIDIARIES","FQ1 2024","FQ1 2024","Currency=USD","Period=FQ","BEST_FPERIOD_OVERRIDE=FQ","FILING_STATUS=MR","SCALING_FORMAT=MLN","Sort=A","Dates=H","DateFormat=P","Fill=—","Direction=H","UseDPDF=Y")</f>
        <v>0</v>
      </c>
      <c r="Z31" s="12" cm="1">
        <f t="array" ref="Z31">_xll.BDH("PCAR US Equity","CF_CASH_FOR_ACQUIS_SUBSIDIARIES","FQ2 2024","FQ2 2024","Currency=USD","Period=FQ","BEST_FPERIOD_OVERRIDE=FQ","FILING_STATUS=MR","SCALING_FORMAT=MLN","Sort=A","Dates=H","DateFormat=P","Fill=—","Direction=H","UseDPDF=Y")</f>
        <v>0</v>
      </c>
      <c r="AA31" s="12" cm="1">
        <f t="array" ref="AA31">_xll.BDH("PCAR US Equity","CF_CASH_FOR_ACQUIS_SUBSIDIARIES","FQ3 2024","FQ3 2024","Currency=USD","Period=FQ","BEST_FPERIOD_OVERRIDE=FQ","FILING_STATUS=MR","SCALING_FORMAT=MLN","Sort=A","Dates=H","DateFormat=P","Fill=—","Direction=H","UseDPDF=Y")</f>
        <v>0</v>
      </c>
      <c r="AB31" s="12" cm="1">
        <f t="array" ref="AB31">_xll.BDH("PCAR US Equity","CF_CASH_FOR_ACQUIS_SUBSIDIARIES","FQ4 2024","FQ4 2024","Currency=USD","Period=FQ","BEST_FPERIOD_OVERRIDE=FQ","FILING_STATUS=MR","SCALING_FORMAT=MLN","Sort=A","Dates=H","DateFormat=P","Fill=—","Direction=H","UseDPDF=Y")</f>
        <v>0</v>
      </c>
      <c r="AC31" s="12" cm="1">
        <f t="array" ref="AC31">_xll.BDH("PCAR US Equity","CF_CASH_FOR_ACQUIS_SUBSIDIARIES","FQ1 2025","FQ1 2025","Currency=USD","Period=FQ","BEST_FPERIOD_OVERRIDE=FQ","FILING_STATUS=MR","SCALING_FORMAT=MLN","Sort=A","Dates=H","DateFormat=P","Fill=—","Direction=H","UseDPDF=Y")</f>
        <v>0</v>
      </c>
      <c r="AD31" s="12" cm="1">
        <f t="array" ref="AD31">_xll.BDH("PCAR US Equity","CF_CASH_FOR_ACQUIS_SUBSIDIARIES","FQ2 2025","FQ2 2025","Currency=USD","Period=FQ","BEST_FPERIOD_OVERRIDE=FQ","FILING_STATUS=MR","SCALING_FORMAT=MLN","Sort=A","Dates=H","DateFormat=P","Fill=—","Direction=H","UseDPDF=Y")</f>
        <v>0</v>
      </c>
      <c r="AE31" s="12" cm="1">
        <f t="array" ref="AE31">_xll.BDH("PCAR US Equity","CF_CASH_FOR_ACQUIS_SUBSIDIARIES","FQ3 2025","FQ3 2025","Currency=USD","Period=FQ","BEST_FPERIOD_OVERRIDE=FQ","FILING_STATUS=MR","SCALING_FORMAT=MLN","Sort=A","Dates=H","DateFormat=P","Fill=—","Direction=H","UseDPDF=Y")</f>
        <v>0</v>
      </c>
      <c r="AF31" s="12" cm="1">
        <f t="array" ref="AF31">_xll.BDH("PCAR US Equity","CF_CASH_FOR_ACQUIS_SUBSIDIARIES","FQ4 2025","FQ4 2025","Currency=USD","Period=FQ","BEST_FPERIOD_OVERRIDE=FQ","FILING_STATUS=MR","SCALING_FORMAT=MLN","Sort=A","Dates=H","DateFormat=P","Fill=—","Direction=H","UseDPDF=Y")</f>
        <v>0</v>
      </c>
    </row>
    <row r="32" spans="1:32" x14ac:dyDescent="0.25">
      <c r="A32" s="10" t="s">
        <v>112</v>
      </c>
      <c r="B32" s="10" t="s">
        <v>113</v>
      </c>
      <c r="C32" s="12" cm="1">
        <f t="array" ref="C32">_xll.BDH("PCAR US Equity","CF_CASH_FOR_JOINT_VENTURES_ASSOC","FQ3 2018","FQ3 2018","Currency=USD","Period=FQ","BEST_FPERIOD_OVERRIDE=FQ","FILING_STATUS=MR","SCALING_FORMAT=MLN","Sort=A","Dates=H","DateFormat=P","Fill=—","Direction=H","UseDPDF=Y")</f>
        <v>0</v>
      </c>
      <c r="D32" s="12" cm="1">
        <f t="array" ref="D32">_xll.BDH("PCAR US Equity","CF_CASH_FOR_JOINT_VENTURES_ASSOC","FQ4 2018","FQ4 2018","Currency=USD","Period=FQ","BEST_FPERIOD_OVERRIDE=FQ","FILING_STATUS=MR","SCALING_FORMAT=MLN","Sort=A","Dates=H","DateFormat=P","Fill=—","Direction=H","UseDPDF=Y")</f>
        <v>0</v>
      </c>
      <c r="E32" s="12" cm="1">
        <f t="array" ref="E32">_xll.BDH("PCAR US Equity","CF_CASH_FOR_JOINT_VENTURES_ASSOC","FQ1 2019","FQ1 2019","Currency=USD","Period=FQ","BEST_FPERIOD_OVERRIDE=FQ","FILING_STATUS=MR","SCALING_FORMAT=MLN","Sort=A","Dates=H","DateFormat=P","Fill=—","Direction=H","UseDPDF=Y")</f>
        <v>0</v>
      </c>
      <c r="F32" s="12" cm="1">
        <f t="array" ref="F32">_xll.BDH("PCAR US Equity","CF_CASH_FOR_JOINT_VENTURES_ASSOC","FQ2 2019","FQ2 2019","Currency=USD","Period=FQ","BEST_FPERIOD_OVERRIDE=FQ","FILING_STATUS=MR","SCALING_FORMAT=MLN","Sort=A","Dates=H","DateFormat=P","Fill=—","Direction=H","UseDPDF=Y")</f>
        <v>0</v>
      </c>
      <c r="G32" s="12" cm="1">
        <f t="array" ref="G32">_xll.BDH("PCAR US Equity","CF_CASH_FOR_JOINT_VENTURES_ASSOC","FQ3 2019","FQ3 2019","Currency=USD","Period=FQ","BEST_FPERIOD_OVERRIDE=FQ","FILING_STATUS=MR","SCALING_FORMAT=MLN","Sort=A","Dates=H","DateFormat=P","Fill=—","Direction=H","UseDPDF=Y")</f>
        <v>0</v>
      </c>
      <c r="H32" s="12" cm="1">
        <f t="array" ref="H32">_xll.BDH("PCAR US Equity","CF_CASH_FOR_JOINT_VENTURES_ASSOC","FQ4 2019","FQ4 2019","Currency=USD","Period=FQ","BEST_FPERIOD_OVERRIDE=FQ","FILING_STATUS=MR","SCALING_FORMAT=MLN","Sort=A","Dates=H","DateFormat=P","Fill=—","Direction=H","UseDPDF=Y")</f>
        <v>0</v>
      </c>
      <c r="I32" s="12" cm="1">
        <f t="array" ref="I32">_xll.BDH("PCAR US Equity","CF_CASH_FOR_JOINT_VENTURES_ASSOC","FQ1 2020","FQ1 2020","Currency=USD","Period=FQ","BEST_FPERIOD_OVERRIDE=FQ","FILING_STATUS=MR","SCALING_FORMAT=MLN","Sort=A","Dates=H","DateFormat=P","Fill=—","Direction=H","UseDPDF=Y")</f>
        <v>0</v>
      </c>
      <c r="J32" s="12" cm="1">
        <f t="array" ref="J32">_xll.BDH("PCAR US Equity","CF_CASH_FOR_JOINT_VENTURES_ASSOC","FQ2 2020","FQ2 2020","Currency=USD","Period=FQ","BEST_FPERIOD_OVERRIDE=FQ","FILING_STATUS=MR","SCALING_FORMAT=MLN","Sort=A","Dates=H","DateFormat=P","Fill=—","Direction=H","UseDPDF=Y")</f>
        <v>0</v>
      </c>
      <c r="K32" s="12" cm="1">
        <f t="array" ref="K32">_xll.BDH("PCAR US Equity","CF_CASH_FOR_JOINT_VENTURES_ASSOC","FQ3 2020","FQ3 2020","Currency=USD","Period=FQ","BEST_FPERIOD_OVERRIDE=FQ","FILING_STATUS=MR","SCALING_FORMAT=MLN","Sort=A","Dates=H","DateFormat=P","Fill=—","Direction=H","UseDPDF=Y")</f>
        <v>0</v>
      </c>
      <c r="L32" s="12" cm="1">
        <f t="array" ref="L32">_xll.BDH("PCAR US Equity","CF_CASH_FOR_JOINT_VENTURES_ASSOC","FQ4 2020","FQ4 2020","Currency=USD","Period=FQ","BEST_FPERIOD_OVERRIDE=FQ","FILING_STATUS=MR","SCALING_FORMAT=MLN","Sort=A","Dates=H","DateFormat=P","Fill=—","Direction=H","UseDPDF=Y")</f>
        <v>0</v>
      </c>
      <c r="M32" s="12" cm="1">
        <f t="array" ref="M32">_xll.BDH("PCAR US Equity","CF_CASH_FOR_JOINT_VENTURES_ASSOC","FQ1 2021","FQ1 2021","Currency=USD","Period=FQ","BEST_FPERIOD_OVERRIDE=FQ","FILING_STATUS=MR","SCALING_FORMAT=MLN","Sort=A","Dates=H","DateFormat=P","Fill=—","Direction=H","UseDPDF=Y")</f>
        <v>0</v>
      </c>
      <c r="N32" s="12" cm="1">
        <f t="array" ref="N32">_xll.BDH("PCAR US Equity","CF_CASH_FOR_JOINT_VENTURES_ASSOC","FQ2 2021","FQ2 2021","Currency=USD","Period=FQ","BEST_FPERIOD_OVERRIDE=FQ","FILING_STATUS=MR","SCALING_FORMAT=MLN","Sort=A","Dates=H","DateFormat=P","Fill=—","Direction=H","UseDPDF=Y")</f>
        <v>0</v>
      </c>
      <c r="O32" s="12" cm="1">
        <f t="array" ref="O32">_xll.BDH("PCAR US Equity","CF_CASH_FOR_JOINT_VENTURES_ASSOC","FQ3 2021","FQ3 2021","Currency=USD","Period=FQ","BEST_FPERIOD_OVERRIDE=FQ","FILING_STATUS=MR","SCALING_FORMAT=MLN","Sort=A","Dates=H","DateFormat=P","Fill=—","Direction=H","UseDPDF=Y")</f>
        <v>0</v>
      </c>
      <c r="P32" s="12" cm="1">
        <f t="array" ref="P32">_xll.BDH("PCAR US Equity","CF_CASH_FOR_JOINT_VENTURES_ASSOC","FQ4 2021","FQ4 2021","Currency=USD","Period=FQ","BEST_FPERIOD_OVERRIDE=FQ","FILING_STATUS=MR","SCALING_FORMAT=MLN","Sort=A","Dates=H","DateFormat=P","Fill=—","Direction=H","UseDPDF=Y")</f>
        <v>0</v>
      </c>
      <c r="Q32" s="12" cm="1">
        <f t="array" ref="Q32">_xll.BDH("PCAR US Equity","CF_CASH_FOR_JOINT_VENTURES_ASSOC","FQ1 2022","FQ1 2022","Currency=USD","Period=FQ","BEST_FPERIOD_OVERRIDE=FQ","FILING_STATUS=MR","SCALING_FORMAT=MLN","Sort=A","Dates=H","DateFormat=P","Fill=—","Direction=H","UseDPDF=Y")</f>
        <v>0</v>
      </c>
      <c r="R32" s="12" cm="1">
        <f t="array" ref="R32">_xll.BDH("PCAR US Equity","CF_CASH_FOR_JOINT_VENTURES_ASSOC","FQ2 2022","FQ2 2022","Currency=USD","Period=FQ","BEST_FPERIOD_OVERRIDE=FQ","FILING_STATUS=MR","SCALING_FORMAT=MLN","Sort=A","Dates=H","DateFormat=P","Fill=—","Direction=H","UseDPDF=Y")</f>
        <v>0</v>
      </c>
      <c r="S32" s="12" cm="1">
        <f t="array" ref="S32">_xll.BDH("PCAR US Equity","CF_CASH_FOR_JOINT_VENTURES_ASSOC","FQ3 2022","FQ3 2022","Currency=USD","Period=FQ","BEST_FPERIOD_OVERRIDE=FQ","FILING_STATUS=MR","SCALING_FORMAT=MLN","Sort=A","Dates=H","DateFormat=P","Fill=—","Direction=H","UseDPDF=Y")</f>
        <v>0</v>
      </c>
      <c r="T32" s="12" cm="1">
        <f t="array" ref="T32">_xll.BDH("PCAR US Equity","CF_CASH_FOR_JOINT_VENTURES_ASSOC","FQ4 2022","FQ4 2022","Currency=USD","Period=FQ","BEST_FPERIOD_OVERRIDE=FQ","FILING_STATUS=MR","SCALING_FORMAT=MLN","Sort=A","Dates=H","DateFormat=P","Fill=—","Direction=H","UseDPDF=Y")</f>
        <v>0</v>
      </c>
      <c r="U32" s="12" cm="1">
        <f t="array" ref="U32">_xll.BDH("PCAR US Equity","CF_CASH_FOR_JOINT_VENTURES_ASSOC","FQ1 2023","FQ1 2023","Currency=USD","Period=FQ","BEST_FPERIOD_OVERRIDE=FQ","FILING_STATUS=MR","SCALING_FORMAT=MLN","Sort=A","Dates=H","DateFormat=P","Fill=—","Direction=H","UseDPDF=Y")</f>
        <v>0</v>
      </c>
      <c r="V32" s="12" cm="1">
        <f t="array" ref="V32">_xll.BDH("PCAR US Equity","CF_CASH_FOR_JOINT_VENTURES_ASSOC","FQ2 2023","FQ2 2023","Currency=USD","Period=FQ","BEST_FPERIOD_OVERRIDE=FQ","FILING_STATUS=MR","SCALING_FORMAT=MLN","Sort=A","Dates=H","DateFormat=P","Fill=—","Direction=H","UseDPDF=Y")</f>
        <v>0</v>
      </c>
      <c r="W32" s="12" cm="1">
        <f t="array" ref="W32">_xll.BDH("PCAR US Equity","CF_CASH_FOR_JOINT_VENTURES_ASSOC","FQ3 2023","FQ3 2023","Currency=USD","Period=FQ","BEST_FPERIOD_OVERRIDE=FQ","FILING_STATUS=MR","SCALING_FORMAT=MLN","Sort=A","Dates=H","DateFormat=P","Fill=—","Direction=H","UseDPDF=Y")</f>
        <v>0</v>
      </c>
      <c r="X32" s="12" cm="1">
        <f t="array" ref="X32">_xll.BDH("PCAR US Equity","CF_CASH_FOR_JOINT_VENTURES_ASSOC","FQ4 2023","FQ4 2023","Currency=USD","Period=FQ","BEST_FPERIOD_OVERRIDE=FQ","FILING_STATUS=MR","SCALING_FORMAT=MLN","Sort=A","Dates=H","DateFormat=P","Fill=—","Direction=H","UseDPDF=Y")</f>
        <v>0</v>
      </c>
      <c r="Y32" s="12" cm="1">
        <f t="array" ref="Y32">_xll.BDH("PCAR US Equity","CF_CASH_FOR_JOINT_VENTURES_ASSOC","FQ1 2024","FQ1 2024","Currency=USD","Period=FQ","BEST_FPERIOD_OVERRIDE=FQ","FILING_STATUS=MR","SCALING_FORMAT=MLN","Sort=A","Dates=H","DateFormat=P","Fill=—","Direction=H","UseDPDF=Y")</f>
        <v>0</v>
      </c>
      <c r="Z32" s="12" cm="1">
        <f t="array" ref="Z32">_xll.BDH("PCAR US Equity","CF_CASH_FOR_JOINT_VENTURES_ASSOC","FQ2 2024","FQ2 2024","Currency=USD","Period=FQ","BEST_FPERIOD_OVERRIDE=FQ","FILING_STATUS=MR","SCALING_FORMAT=MLN","Sort=A","Dates=H","DateFormat=P","Fill=—","Direction=H","UseDPDF=Y")</f>
        <v>0</v>
      </c>
      <c r="AA32" s="12" cm="1">
        <f t="array" ref="AA32">_xll.BDH("PCAR US Equity","CF_CASH_FOR_JOINT_VENTURES_ASSOC","FQ3 2024","FQ3 2024","Currency=USD","Period=FQ","BEST_FPERIOD_OVERRIDE=FQ","FILING_STATUS=MR","SCALING_FORMAT=MLN","Sort=A","Dates=H","DateFormat=P","Fill=—","Direction=H","UseDPDF=Y")</f>
        <v>0</v>
      </c>
      <c r="AB32" s="12" cm="1">
        <f t="array" ref="AB32">_xll.BDH("PCAR US Equity","CF_CASH_FOR_JOINT_VENTURES_ASSOC","FQ4 2024","FQ4 2024","Currency=USD","Period=FQ","BEST_FPERIOD_OVERRIDE=FQ","FILING_STATUS=MR","SCALING_FORMAT=MLN","Sort=A","Dates=H","DateFormat=P","Fill=—","Direction=H","UseDPDF=Y")</f>
        <v>-207.6</v>
      </c>
      <c r="AC32" s="12" cm="1">
        <f t="array" ref="AC32">_xll.BDH("PCAR US Equity","CF_CASH_FOR_JOINT_VENTURES_ASSOC","FQ1 2025","FQ1 2025","Currency=USD","Period=FQ","BEST_FPERIOD_OVERRIDE=FQ","FILING_STATUS=MR","SCALING_FORMAT=MLN","Sort=A","Dates=H","DateFormat=P","Fill=—","Direction=H","UseDPDF=Y")</f>
        <v>-44.7</v>
      </c>
      <c r="AD32" s="12" cm="1">
        <f t="array" ref="AD32">_xll.BDH("PCAR US Equity","CF_CASH_FOR_JOINT_VENTURES_ASSOC","FQ2 2025","FQ2 2025","Currency=USD","Period=FQ","BEST_FPERIOD_OVERRIDE=FQ","FILING_STATUS=MR","SCALING_FORMAT=MLN","Sort=A","Dates=H","DateFormat=P","Fill=—","Direction=H","UseDPDF=Y")</f>
        <v>44.7</v>
      </c>
      <c r="AE32" s="12" cm="1">
        <f t="array" ref="AE32">_xll.BDH("PCAR US Equity","CF_CASH_FOR_JOINT_VENTURES_ASSOC","FQ3 2025","FQ3 2025","Currency=USD","Period=FQ","BEST_FPERIOD_OVERRIDE=FQ","FILING_STATUS=MR","SCALING_FORMAT=MLN","Sort=A","Dates=H","DateFormat=P","Fill=—","Direction=H","UseDPDF=Y")</f>
        <v>0</v>
      </c>
      <c r="AF32" s="12" cm="1">
        <f t="array" ref="AF32">_xll.BDH("PCAR US Equity","CF_CASH_FOR_JOINT_VENTURES_ASSOC","FQ4 2025","FQ4 2025","Currency=USD","Period=FQ","BEST_FPERIOD_OVERRIDE=FQ","FILING_STATUS=MR","SCALING_FORMAT=MLN","Sort=A","Dates=H","DateFormat=P","Fill=—","Direction=H","UseDPDF=Y")</f>
        <v>0</v>
      </c>
    </row>
    <row r="33" spans="1:32" x14ac:dyDescent="0.25">
      <c r="A33" s="10" t="s">
        <v>114</v>
      </c>
      <c r="B33" s="10" t="s">
        <v>115</v>
      </c>
      <c r="C33" s="12" cm="1">
        <f t="array" ref="C33">_xll.BDH("PCAR US Equity","OTHER_INVESTING_ACT_DETAILED","FQ3 2018","FQ3 2018","Currency=USD","Period=FQ","BEST_FPERIOD_OVERRIDE=FQ","FILING_STATUS=MR","SCALING_FORMAT=MLN","Sort=A","Dates=H","DateFormat=P","Fill=—","Direction=H","UseDPDF=Y")</f>
        <v>5.7</v>
      </c>
      <c r="D33" s="12" cm="1">
        <f t="array" ref="D33">_xll.BDH("PCAR US Equity","OTHER_INVESTING_ACT_DETAILED","FQ4 2018","FQ4 2018","Currency=USD","Period=FQ","BEST_FPERIOD_OVERRIDE=FQ","FILING_STATUS=MR","SCALING_FORMAT=MLN","Sort=A","Dates=H","DateFormat=P","Fill=—","Direction=H","UseDPDF=Y")</f>
        <v>-23.2</v>
      </c>
      <c r="E33" s="12" cm="1">
        <f t="array" ref="E33">_xll.BDH("PCAR US Equity","OTHER_INVESTING_ACT_DETAILED","FQ1 2019","FQ1 2019","Currency=USD","Period=FQ","BEST_FPERIOD_OVERRIDE=FQ","FILING_STATUS=MR","SCALING_FORMAT=MLN","Sort=A","Dates=H","DateFormat=P","Fill=—","Direction=H","UseDPDF=Y")</f>
        <v>-51.7</v>
      </c>
      <c r="F33" s="12" cm="1">
        <f t="array" ref="F33">_xll.BDH("PCAR US Equity","OTHER_INVESTING_ACT_DETAILED","FQ2 2019","FQ2 2019","Currency=USD","Period=FQ","BEST_FPERIOD_OVERRIDE=FQ","FILING_STATUS=MR","SCALING_FORMAT=MLN","Sort=A","Dates=H","DateFormat=P","Fill=—","Direction=H","UseDPDF=Y")</f>
        <v>-50.2</v>
      </c>
      <c r="G33" s="12" cm="1">
        <f t="array" ref="G33">_xll.BDH("PCAR US Equity","OTHER_INVESTING_ACT_DETAILED","FQ3 2019","FQ3 2019","Currency=USD","Period=FQ","BEST_FPERIOD_OVERRIDE=FQ","FILING_STATUS=MR","SCALING_FORMAT=MLN","Sort=A","Dates=H","DateFormat=P","Fill=—","Direction=H","UseDPDF=Y")</f>
        <v>-17.5</v>
      </c>
      <c r="H33" s="12" cm="1">
        <f t="array" ref="H33">_xll.BDH("PCAR US Equity","OTHER_INVESTING_ACT_DETAILED","FQ4 2019","FQ4 2019","Currency=USD","Period=FQ","BEST_FPERIOD_OVERRIDE=FQ","FILING_STATUS=MR","SCALING_FORMAT=MLN","Sort=A","Dates=H","DateFormat=P","Fill=—","Direction=H","UseDPDF=Y")</f>
        <v>-62.3</v>
      </c>
      <c r="I33" s="12" cm="1">
        <f t="array" ref="I33">_xll.BDH("PCAR US Equity","OTHER_INVESTING_ACT_DETAILED","FQ1 2020","FQ1 2020","Currency=USD","Period=FQ","BEST_FPERIOD_OVERRIDE=FQ","FILING_STATUS=MR","SCALING_FORMAT=MLN","Sort=A","Dates=H","DateFormat=P","Fill=—","Direction=H","UseDPDF=Y")</f>
        <v>28.7</v>
      </c>
      <c r="J33" s="12" cm="1">
        <f t="array" ref="J33">_xll.BDH("PCAR US Equity","OTHER_INVESTING_ACT_DETAILED","FQ2 2020","FQ2 2020","Currency=USD","Period=FQ","BEST_FPERIOD_OVERRIDE=FQ","FILING_STATUS=MR","SCALING_FORMAT=MLN","Sort=A","Dates=H","DateFormat=P","Fill=—","Direction=H","UseDPDF=Y")</f>
        <v>-7.8</v>
      </c>
      <c r="K33" s="12" cm="1">
        <f t="array" ref="K33">_xll.BDH("PCAR US Equity","OTHER_INVESTING_ACT_DETAILED","FQ3 2020","FQ3 2020","Currency=USD","Period=FQ","BEST_FPERIOD_OVERRIDE=FQ","FILING_STATUS=MR","SCALING_FORMAT=MLN","Sort=A","Dates=H","DateFormat=P","Fill=—","Direction=H","UseDPDF=Y")</f>
        <v>-6.7</v>
      </c>
      <c r="L33" s="12" cm="1">
        <f t="array" ref="L33">_xll.BDH("PCAR US Equity","OTHER_INVESTING_ACT_DETAILED","FQ4 2020","FQ4 2020","Currency=USD","Period=FQ","BEST_FPERIOD_OVERRIDE=FQ","FILING_STATUS=MR","SCALING_FORMAT=MLN","Sort=A","Dates=H","DateFormat=P","Fill=—","Direction=H","UseDPDF=Y")</f>
        <v>-188.2</v>
      </c>
      <c r="M33" s="12" cm="1">
        <f t="array" ref="M33">_xll.BDH("PCAR US Equity","OTHER_INVESTING_ACT_DETAILED","FQ1 2021","FQ1 2021","Currency=USD","Period=FQ","BEST_FPERIOD_OVERRIDE=FQ","FILING_STATUS=MR","SCALING_FORMAT=MLN","Sort=A","Dates=H","DateFormat=P","Fill=—","Direction=H","UseDPDF=Y")</f>
        <v>-0.2</v>
      </c>
      <c r="N33" s="12" cm="1">
        <f t="array" ref="N33">_xll.BDH("PCAR US Equity","OTHER_INVESTING_ACT_DETAILED","FQ2 2021","FQ2 2021","Currency=USD","Period=FQ","BEST_FPERIOD_OVERRIDE=FQ","FILING_STATUS=MR","SCALING_FORMAT=MLN","Sort=A","Dates=H","DateFormat=P","Fill=—","Direction=H","UseDPDF=Y")</f>
        <v>-9.5</v>
      </c>
      <c r="O33" s="12" cm="1">
        <f t="array" ref="O33">_xll.BDH("PCAR US Equity","OTHER_INVESTING_ACT_DETAILED","FQ3 2021","FQ3 2021","Currency=USD","Period=FQ","BEST_FPERIOD_OVERRIDE=FQ","FILING_STATUS=MR","SCALING_FORMAT=MLN","Sort=A","Dates=H","DateFormat=P","Fill=—","Direction=H","UseDPDF=Y")</f>
        <v>-141.69999999999999</v>
      </c>
      <c r="P33" s="12" cm="1">
        <f t="array" ref="P33">_xll.BDH("PCAR US Equity","OTHER_INVESTING_ACT_DETAILED","FQ4 2021","FQ4 2021","Currency=USD","Period=FQ","BEST_FPERIOD_OVERRIDE=FQ","FILING_STATUS=MR","SCALING_FORMAT=MLN","Sort=A","Dates=H","DateFormat=P","Fill=—","Direction=H","UseDPDF=Y")</f>
        <v>-25.3</v>
      </c>
      <c r="Q33" s="12" cm="1">
        <f t="array" ref="Q33">_xll.BDH("PCAR US Equity","OTHER_INVESTING_ACT_DETAILED","FQ1 2022","FQ1 2022","Currency=USD","Period=FQ","BEST_FPERIOD_OVERRIDE=FQ","FILING_STATUS=MR","SCALING_FORMAT=MLN","Sort=A","Dates=H","DateFormat=P","Fill=—","Direction=H","UseDPDF=Y")</f>
        <v>21.3</v>
      </c>
      <c r="R33" s="12" cm="1">
        <f t="array" ref="R33">_xll.BDH("PCAR US Equity","OTHER_INVESTING_ACT_DETAILED","FQ2 2022","FQ2 2022","Currency=USD","Period=FQ","BEST_FPERIOD_OVERRIDE=FQ","FILING_STATUS=MR","SCALING_FORMAT=MLN","Sort=A","Dates=H","DateFormat=P","Fill=—","Direction=H","UseDPDF=Y")</f>
        <v>-102.9</v>
      </c>
      <c r="S33" s="12" cm="1">
        <f t="array" ref="S33">_xll.BDH("PCAR US Equity","OTHER_INVESTING_ACT_DETAILED","FQ3 2022","FQ3 2022","Currency=USD","Period=FQ","BEST_FPERIOD_OVERRIDE=FQ","FILING_STATUS=MR","SCALING_FORMAT=MLN","Sort=A","Dates=H","DateFormat=P","Fill=—","Direction=H","UseDPDF=Y")</f>
        <v>-39.200000000000003</v>
      </c>
      <c r="T33" s="12" cm="1">
        <f t="array" ref="T33">_xll.BDH("PCAR US Equity","OTHER_INVESTING_ACT_DETAILED","FQ4 2022","FQ4 2022","Currency=USD","Period=FQ","BEST_FPERIOD_OVERRIDE=FQ","FILING_STATUS=MR","SCALING_FORMAT=MLN","Sort=A","Dates=H","DateFormat=P","Fill=—","Direction=H","UseDPDF=Y")</f>
        <v>-38.700000000000003</v>
      </c>
      <c r="U33" s="12" cm="1">
        <f t="array" ref="U33">_xll.BDH("PCAR US Equity","OTHER_INVESTING_ACT_DETAILED","FQ1 2023","FQ1 2023","Currency=USD","Period=FQ","BEST_FPERIOD_OVERRIDE=FQ","FILING_STATUS=MR","SCALING_FORMAT=MLN","Sort=A","Dates=H","DateFormat=P","Fill=—","Direction=H","UseDPDF=Y")</f>
        <v>-3.3</v>
      </c>
      <c r="V33" s="12" cm="1">
        <f t="array" ref="V33">_xll.BDH("PCAR US Equity","OTHER_INVESTING_ACT_DETAILED","FQ2 2023","FQ2 2023","Currency=USD","Period=FQ","BEST_FPERIOD_OVERRIDE=FQ","FILING_STATUS=MR","SCALING_FORMAT=MLN","Sort=A","Dates=H","DateFormat=P","Fill=—","Direction=H","UseDPDF=Y")</f>
        <v>-64.8</v>
      </c>
      <c r="W33" s="12" cm="1">
        <f t="array" ref="W33">_xll.BDH("PCAR US Equity","OTHER_INVESTING_ACT_DETAILED","FQ3 2023","FQ3 2023","Currency=USD","Period=FQ","BEST_FPERIOD_OVERRIDE=FQ","FILING_STATUS=MR","SCALING_FORMAT=MLN","Sort=A","Dates=H","DateFormat=P","Fill=—","Direction=H","UseDPDF=Y")</f>
        <v>-66.099999999999994</v>
      </c>
      <c r="X33" s="12" cm="1">
        <f t="array" ref="X33">_xll.BDH("PCAR US Equity","OTHER_INVESTING_ACT_DETAILED","FQ4 2023","FQ4 2023","Currency=USD","Period=FQ","BEST_FPERIOD_OVERRIDE=FQ","FILING_STATUS=MR","SCALING_FORMAT=MLN","Sort=A","Dates=H","DateFormat=P","Fill=—","Direction=H","UseDPDF=Y")</f>
        <v>-41</v>
      </c>
      <c r="Y33" s="12" cm="1">
        <f t="array" ref="Y33">_xll.BDH("PCAR US Equity","OTHER_INVESTING_ACT_DETAILED","FQ1 2024","FQ1 2024","Currency=USD","Period=FQ","BEST_FPERIOD_OVERRIDE=FQ","FILING_STATUS=MR","SCALING_FORMAT=MLN","Sort=A","Dates=H","DateFormat=P","Fill=—","Direction=H","UseDPDF=Y")</f>
        <v>-101.7</v>
      </c>
      <c r="Z33" s="12" cm="1">
        <f t="array" ref="Z33">_xll.BDH("PCAR US Equity","OTHER_INVESTING_ACT_DETAILED","FQ2 2024","FQ2 2024","Currency=USD","Period=FQ","BEST_FPERIOD_OVERRIDE=FQ","FILING_STATUS=MR","SCALING_FORMAT=MLN","Sort=A","Dates=H","DateFormat=P","Fill=—","Direction=H","UseDPDF=Y")</f>
        <v>-352.2</v>
      </c>
      <c r="AA33" s="12" cm="1">
        <f t="array" ref="AA33">_xll.BDH("PCAR US Equity","OTHER_INVESTING_ACT_DETAILED","FQ3 2024","FQ3 2024","Currency=USD","Period=FQ","BEST_FPERIOD_OVERRIDE=FQ","FILING_STATUS=MR","SCALING_FORMAT=MLN","Sort=A","Dates=H","DateFormat=P","Fill=—","Direction=H","UseDPDF=Y")</f>
        <v>-331</v>
      </c>
      <c r="AB33" s="12" cm="1">
        <f t="array" ref="AB33">_xll.BDH("PCAR US Equity","OTHER_INVESTING_ACT_DETAILED","FQ4 2024","FQ4 2024","Currency=USD","Period=FQ","BEST_FPERIOD_OVERRIDE=FQ","FILING_STATUS=MR","SCALING_FORMAT=MLN","Sort=A","Dates=H","DateFormat=P","Fill=—","Direction=H","UseDPDF=Y")</f>
        <v>-618.70000000000005</v>
      </c>
      <c r="AC33" s="12" cm="1">
        <f t="array" ref="AC33">_xll.BDH("PCAR US Equity","OTHER_INVESTING_ACT_DETAILED","FQ1 2025","FQ1 2025","Currency=USD","Period=FQ","BEST_FPERIOD_OVERRIDE=FQ","FILING_STATUS=MR","SCALING_FORMAT=MLN","Sort=A","Dates=H","DateFormat=P","Fill=—","Direction=H","UseDPDF=Y")</f>
        <v>-0.3</v>
      </c>
      <c r="AD33" s="12" cm="1">
        <f t="array" ref="AD33">_xll.BDH("PCAR US Equity","OTHER_INVESTING_ACT_DETAILED","FQ2 2025","FQ2 2025","Currency=USD","Period=FQ","BEST_FPERIOD_OVERRIDE=FQ","FILING_STATUS=MR","SCALING_FORMAT=MLN","Sort=A","Dates=H","DateFormat=P","Fill=—","Direction=H","UseDPDF=Y")</f>
        <v>-79.400000000000006</v>
      </c>
      <c r="AE33" s="12" cm="1">
        <f t="array" ref="AE33">_xll.BDH("PCAR US Equity","OTHER_INVESTING_ACT_DETAILED","FQ3 2025","FQ3 2025","Currency=USD","Period=FQ","BEST_FPERIOD_OVERRIDE=FQ","FILING_STATUS=MR","SCALING_FORMAT=MLN","Sort=A","Dates=H","DateFormat=P","Fill=—","Direction=H","UseDPDF=Y")</f>
        <v>-180.1</v>
      </c>
      <c r="AF33" s="12" cm="1">
        <f t="array" ref="AF33">_xll.BDH("PCAR US Equity","OTHER_INVESTING_ACT_DETAILED","FQ4 2025","FQ4 2025","Currency=USD","Period=FQ","BEST_FPERIOD_OVERRIDE=FQ","FILING_STATUS=MR","SCALING_FORMAT=MLN","Sort=A","Dates=H","DateFormat=P","Fill=—","Direction=H","UseDPDF=Y")</f>
        <v>-77.5</v>
      </c>
    </row>
    <row r="34" spans="1:32" x14ac:dyDescent="0.25">
      <c r="A34" s="10" t="s">
        <v>82</v>
      </c>
      <c r="B34" s="10" t="s">
        <v>116</v>
      </c>
      <c r="C34" s="12" cm="1">
        <f t="array" ref="C34">_xll.BDH("PCAR US Equity","CF_NET_CASH_DISCONTINUED_OPS_INV","FQ3 2018","FQ3 2018","Currency=USD","Period=FQ","BEST_FPERIOD_OVERRIDE=FQ","FILING_STATUS=MR","SCALING_FORMAT=MLN","Sort=A","Dates=H","DateFormat=P","Fill=—","Direction=H","UseDPDF=Y")</f>
        <v>0</v>
      </c>
      <c r="D34" s="12" cm="1">
        <f t="array" ref="D34">_xll.BDH("PCAR US Equity","CF_NET_CASH_DISCONTINUED_OPS_INV","FQ4 2018","FQ4 2018","Currency=USD","Period=FQ","BEST_FPERIOD_OVERRIDE=FQ","FILING_STATUS=MR","SCALING_FORMAT=MLN","Sort=A","Dates=H","DateFormat=P","Fill=—","Direction=H","UseDPDF=Y")</f>
        <v>0</v>
      </c>
      <c r="E34" s="12" cm="1">
        <f t="array" ref="E34">_xll.BDH("PCAR US Equity","CF_NET_CASH_DISCONTINUED_OPS_INV","FQ1 2019","FQ1 2019","Currency=USD","Period=FQ","BEST_FPERIOD_OVERRIDE=FQ","FILING_STATUS=MR","SCALING_FORMAT=MLN","Sort=A","Dates=H","DateFormat=P","Fill=—","Direction=H","UseDPDF=Y")</f>
        <v>0</v>
      </c>
      <c r="F34" s="12" cm="1">
        <f t="array" ref="F34">_xll.BDH("PCAR US Equity","CF_NET_CASH_DISCONTINUED_OPS_INV","FQ2 2019","FQ2 2019","Currency=USD","Period=FQ","BEST_FPERIOD_OVERRIDE=FQ","FILING_STATUS=MR","SCALING_FORMAT=MLN","Sort=A","Dates=H","DateFormat=P","Fill=—","Direction=H","UseDPDF=Y")</f>
        <v>0</v>
      </c>
      <c r="G34" s="12" cm="1">
        <f t="array" ref="G34">_xll.BDH("PCAR US Equity","CF_NET_CASH_DISCONTINUED_OPS_INV","FQ3 2019","FQ3 2019","Currency=USD","Period=FQ","BEST_FPERIOD_OVERRIDE=FQ","FILING_STATUS=MR","SCALING_FORMAT=MLN","Sort=A","Dates=H","DateFormat=P","Fill=—","Direction=H","UseDPDF=Y")</f>
        <v>0</v>
      </c>
      <c r="H34" s="12" cm="1">
        <f t="array" ref="H34">_xll.BDH("PCAR US Equity","CF_NET_CASH_DISCONTINUED_OPS_INV","FQ4 2019","FQ4 2019","Currency=USD","Period=FQ","BEST_FPERIOD_OVERRIDE=FQ","FILING_STATUS=MR","SCALING_FORMAT=MLN","Sort=A","Dates=H","DateFormat=P","Fill=—","Direction=H","UseDPDF=Y")</f>
        <v>0</v>
      </c>
      <c r="I34" s="12" cm="1">
        <f t="array" ref="I34">_xll.BDH("PCAR US Equity","CF_NET_CASH_DISCONTINUED_OPS_INV","FQ1 2020","FQ1 2020","Currency=USD","Period=FQ","BEST_FPERIOD_OVERRIDE=FQ","FILING_STATUS=MR","SCALING_FORMAT=MLN","Sort=A","Dates=H","DateFormat=P","Fill=—","Direction=H","UseDPDF=Y")</f>
        <v>0</v>
      </c>
      <c r="J34" s="12" cm="1">
        <f t="array" ref="J34">_xll.BDH("PCAR US Equity","CF_NET_CASH_DISCONTINUED_OPS_INV","FQ2 2020","FQ2 2020","Currency=USD","Period=FQ","BEST_FPERIOD_OVERRIDE=FQ","FILING_STATUS=MR","SCALING_FORMAT=MLN","Sort=A","Dates=H","DateFormat=P","Fill=—","Direction=H","UseDPDF=Y")</f>
        <v>0</v>
      </c>
      <c r="K34" s="12" cm="1">
        <f t="array" ref="K34">_xll.BDH("PCAR US Equity","CF_NET_CASH_DISCONTINUED_OPS_INV","FQ3 2020","FQ3 2020","Currency=USD","Period=FQ","BEST_FPERIOD_OVERRIDE=FQ","FILING_STATUS=MR","SCALING_FORMAT=MLN","Sort=A","Dates=H","DateFormat=P","Fill=—","Direction=H","UseDPDF=Y")</f>
        <v>0</v>
      </c>
      <c r="L34" s="12" cm="1">
        <f t="array" ref="L34">_xll.BDH("PCAR US Equity","CF_NET_CASH_DISCONTINUED_OPS_INV","FQ4 2020","FQ4 2020","Currency=USD","Period=FQ","BEST_FPERIOD_OVERRIDE=FQ","FILING_STATUS=MR","SCALING_FORMAT=MLN","Sort=A","Dates=H","DateFormat=P","Fill=—","Direction=H","UseDPDF=Y")</f>
        <v>0</v>
      </c>
      <c r="M34" s="12" cm="1">
        <f t="array" ref="M34">_xll.BDH("PCAR US Equity","CF_NET_CASH_DISCONTINUED_OPS_INV","FQ1 2021","FQ1 2021","Currency=USD","Period=FQ","BEST_FPERIOD_OVERRIDE=FQ","FILING_STATUS=MR","SCALING_FORMAT=MLN","Sort=A","Dates=H","DateFormat=P","Fill=—","Direction=H","UseDPDF=Y")</f>
        <v>0</v>
      </c>
      <c r="N34" s="12" cm="1">
        <f t="array" ref="N34">_xll.BDH("PCAR US Equity","CF_NET_CASH_DISCONTINUED_OPS_INV","FQ2 2021","FQ2 2021","Currency=USD","Period=FQ","BEST_FPERIOD_OVERRIDE=FQ","FILING_STATUS=MR","SCALING_FORMAT=MLN","Sort=A","Dates=H","DateFormat=P","Fill=—","Direction=H","UseDPDF=Y")</f>
        <v>0</v>
      </c>
      <c r="O34" s="12" cm="1">
        <f t="array" ref="O34">_xll.BDH("PCAR US Equity","CF_NET_CASH_DISCONTINUED_OPS_INV","FQ3 2021","FQ3 2021","Currency=USD","Period=FQ","BEST_FPERIOD_OVERRIDE=FQ","FILING_STATUS=MR","SCALING_FORMAT=MLN","Sort=A","Dates=H","DateFormat=P","Fill=—","Direction=H","UseDPDF=Y")</f>
        <v>0</v>
      </c>
      <c r="P34" s="12" cm="1">
        <f t="array" ref="P34">_xll.BDH("PCAR US Equity","CF_NET_CASH_DISCONTINUED_OPS_INV","FQ4 2021","FQ4 2021","Currency=USD","Period=FQ","BEST_FPERIOD_OVERRIDE=FQ","FILING_STATUS=MR","SCALING_FORMAT=MLN","Sort=A","Dates=H","DateFormat=P","Fill=—","Direction=H","UseDPDF=Y")</f>
        <v>0</v>
      </c>
      <c r="Q34" s="12" cm="1">
        <f t="array" ref="Q34">_xll.BDH("PCAR US Equity","CF_NET_CASH_DISCONTINUED_OPS_INV","FQ1 2022","FQ1 2022","Currency=USD","Period=FQ","BEST_FPERIOD_OVERRIDE=FQ","FILING_STATUS=MR","SCALING_FORMAT=MLN","Sort=A","Dates=H","DateFormat=P","Fill=—","Direction=H","UseDPDF=Y")</f>
        <v>0</v>
      </c>
      <c r="R34" s="12" cm="1">
        <f t="array" ref="R34">_xll.BDH("PCAR US Equity","CF_NET_CASH_DISCONTINUED_OPS_INV","FQ2 2022","FQ2 2022","Currency=USD","Period=FQ","BEST_FPERIOD_OVERRIDE=FQ","FILING_STATUS=MR","SCALING_FORMAT=MLN","Sort=A","Dates=H","DateFormat=P","Fill=—","Direction=H","UseDPDF=Y")</f>
        <v>0</v>
      </c>
      <c r="S34" s="12" cm="1">
        <f t="array" ref="S34">_xll.BDH("PCAR US Equity","CF_NET_CASH_DISCONTINUED_OPS_INV","FQ3 2022","FQ3 2022","Currency=USD","Period=FQ","BEST_FPERIOD_OVERRIDE=FQ","FILING_STATUS=MR","SCALING_FORMAT=MLN","Sort=A","Dates=H","DateFormat=P","Fill=—","Direction=H","UseDPDF=Y")</f>
        <v>0</v>
      </c>
      <c r="T34" s="12" cm="1">
        <f t="array" ref="T34">_xll.BDH("PCAR US Equity","CF_NET_CASH_DISCONTINUED_OPS_INV","FQ4 2022","FQ4 2022","Currency=USD","Period=FQ","BEST_FPERIOD_OVERRIDE=FQ","FILING_STATUS=MR","SCALING_FORMAT=MLN","Sort=A","Dates=H","DateFormat=P","Fill=—","Direction=H","UseDPDF=Y")</f>
        <v>0</v>
      </c>
      <c r="U34" s="12" cm="1">
        <f t="array" ref="U34">_xll.BDH("PCAR US Equity","CF_NET_CASH_DISCONTINUED_OPS_INV","FQ1 2023","FQ1 2023","Currency=USD","Period=FQ","BEST_FPERIOD_OVERRIDE=FQ","FILING_STATUS=MR","SCALING_FORMAT=MLN","Sort=A","Dates=H","DateFormat=P","Fill=—","Direction=H","UseDPDF=Y")</f>
        <v>0</v>
      </c>
      <c r="V34" s="12" cm="1">
        <f t="array" ref="V34">_xll.BDH("PCAR US Equity","CF_NET_CASH_DISCONTINUED_OPS_INV","FQ2 2023","FQ2 2023","Currency=USD","Period=FQ","BEST_FPERIOD_OVERRIDE=FQ","FILING_STATUS=MR","SCALING_FORMAT=MLN","Sort=A","Dates=H","DateFormat=P","Fill=—","Direction=H","UseDPDF=Y")</f>
        <v>0</v>
      </c>
      <c r="W34" s="12" cm="1">
        <f t="array" ref="W34">_xll.BDH("PCAR US Equity","CF_NET_CASH_DISCONTINUED_OPS_INV","FQ3 2023","FQ3 2023","Currency=USD","Period=FQ","BEST_FPERIOD_OVERRIDE=FQ","FILING_STATUS=MR","SCALING_FORMAT=MLN","Sort=A","Dates=H","DateFormat=P","Fill=—","Direction=H","UseDPDF=Y")</f>
        <v>0</v>
      </c>
      <c r="X34" s="12" cm="1">
        <f t="array" ref="X34">_xll.BDH("PCAR US Equity","CF_NET_CASH_DISCONTINUED_OPS_INV","FQ4 2023","FQ4 2023","Currency=USD","Period=FQ","BEST_FPERIOD_OVERRIDE=FQ","FILING_STATUS=MR","SCALING_FORMAT=MLN","Sort=A","Dates=H","DateFormat=P","Fill=—","Direction=H","UseDPDF=Y")</f>
        <v>0</v>
      </c>
      <c r="Y34" s="12" cm="1">
        <f t="array" ref="Y34">_xll.BDH("PCAR US Equity","CF_NET_CASH_DISCONTINUED_OPS_INV","FQ1 2024","FQ1 2024","Currency=USD","Period=FQ","BEST_FPERIOD_OVERRIDE=FQ","FILING_STATUS=MR","SCALING_FORMAT=MLN","Sort=A","Dates=H","DateFormat=P","Fill=—","Direction=H","UseDPDF=Y")</f>
        <v>0</v>
      </c>
      <c r="Z34" s="12" cm="1">
        <f t="array" ref="Z34">_xll.BDH("PCAR US Equity","CF_NET_CASH_DISCONTINUED_OPS_INV","FQ2 2024","FQ2 2024","Currency=USD","Period=FQ","BEST_FPERIOD_OVERRIDE=FQ","FILING_STATUS=MR","SCALING_FORMAT=MLN","Sort=A","Dates=H","DateFormat=P","Fill=—","Direction=H","UseDPDF=Y")</f>
        <v>0</v>
      </c>
      <c r="AA34" s="12" cm="1">
        <f t="array" ref="AA34">_xll.BDH("PCAR US Equity","CF_NET_CASH_DISCONTINUED_OPS_INV","FQ3 2024","FQ3 2024","Currency=USD","Period=FQ","BEST_FPERIOD_OVERRIDE=FQ","FILING_STATUS=MR","SCALING_FORMAT=MLN","Sort=A","Dates=H","DateFormat=P","Fill=—","Direction=H","UseDPDF=Y")</f>
        <v>0</v>
      </c>
      <c r="AB34" s="12" cm="1">
        <f t="array" ref="AB34">_xll.BDH("PCAR US Equity","CF_NET_CASH_DISCONTINUED_OPS_INV","FQ4 2024","FQ4 2024","Currency=USD","Period=FQ","BEST_FPERIOD_OVERRIDE=FQ","FILING_STATUS=MR","SCALING_FORMAT=MLN","Sort=A","Dates=H","DateFormat=P","Fill=—","Direction=H","UseDPDF=Y")</f>
        <v>0</v>
      </c>
      <c r="AC34" s="12" cm="1">
        <f t="array" ref="AC34">_xll.BDH("PCAR US Equity","CF_NET_CASH_DISCONTINUED_OPS_INV","FQ1 2025","FQ1 2025","Currency=USD","Period=FQ","BEST_FPERIOD_OVERRIDE=FQ","FILING_STATUS=MR","SCALING_FORMAT=MLN","Sort=A","Dates=H","DateFormat=P","Fill=—","Direction=H","UseDPDF=Y")</f>
        <v>0</v>
      </c>
      <c r="AD34" s="12" cm="1">
        <f t="array" ref="AD34">_xll.BDH("PCAR US Equity","CF_NET_CASH_DISCONTINUED_OPS_INV","FQ2 2025","FQ2 2025","Currency=USD","Period=FQ","BEST_FPERIOD_OVERRIDE=FQ","FILING_STATUS=MR","SCALING_FORMAT=MLN","Sort=A","Dates=H","DateFormat=P","Fill=—","Direction=H","UseDPDF=Y")</f>
        <v>0</v>
      </c>
      <c r="AE34" s="12" cm="1">
        <f t="array" ref="AE34">_xll.BDH("PCAR US Equity","CF_NET_CASH_DISCONTINUED_OPS_INV","FQ3 2025","FQ3 2025","Currency=USD","Period=FQ","BEST_FPERIOD_OVERRIDE=FQ","FILING_STATUS=MR","SCALING_FORMAT=MLN","Sort=A","Dates=H","DateFormat=P","Fill=—","Direction=H","UseDPDF=Y")</f>
        <v>0</v>
      </c>
      <c r="AF34" s="12" cm="1">
        <f t="array" ref="AF34">_xll.BDH("PCAR US Equity","CF_NET_CASH_DISCONTINUED_OPS_INV","FQ4 2025","FQ4 2025","Currency=USD","Period=FQ","BEST_FPERIOD_OVERRIDE=FQ","FILING_STATUS=MR","SCALING_FORMAT=MLN","Sort=A","Dates=H","DateFormat=P","Fill=—","Direction=H","UseDPDF=Y")</f>
        <v>0</v>
      </c>
    </row>
    <row r="35" spans="1:32" x14ac:dyDescent="0.25">
      <c r="A35" s="6" t="s">
        <v>85</v>
      </c>
      <c r="B35" s="6" t="s">
        <v>117</v>
      </c>
      <c r="C35" s="15" cm="1">
        <f t="array" ref="C35">_xll.BDH("PCAR US Equity","CF_CASH_FROM_INV_ACT","FQ3 2018","FQ3 2018","Currency=USD","Period=FQ","BEST_FPERIOD_OVERRIDE=FQ","FILING_STATUS=MR","SCALING_FORMAT=MLN","Sort=A","Dates=H","DateFormat=P","Fill=—","Direction=H","UseDPDF=Y")</f>
        <v>-531.29999999999995</v>
      </c>
      <c r="D35" s="15" cm="1">
        <f t="array" ref="D35">_xll.BDH("PCAR US Equity","CF_CASH_FROM_INV_ACT","FQ4 2018","FQ4 2018","Currency=USD","Period=FQ","BEST_FPERIOD_OVERRIDE=FQ","FILING_STATUS=MR","SCALING_FORMAT=MLN","Sort=A","Dates=H","DateFormat=P","Fill=—","Direction=H","UseDPDF=Y")</f>
        <v>-654.20000000000005</v>
      </c>
      <c r="E35" s="15" cm="1">
        <f t="array" ref="E35">_xll.BDH("PCAR US Equity","CF_CASH_FROM_INV_ACT","FQ1 2019","FQ1 2019","Currency=USD","Period=FQ","BEST_FPERIOD_OVERRIDE=FQ","FILING_STATUS=MR","SCALING_FORMAT=MLN","Sort=A","Dates=H","DateFormat=P","Fill=—","Direction=H","UseDPDF=Y")</f>
        <v>-400.7</v>
      </c>
      <c r="F35" s="15" cm="1">
        <f t="array" ref="F35">_xll.BDH("PCAR US Equity","CF_CASH_FROM_INV_ACT","FQ2 2019","FQ2 2019","Currency=USD","Period=FQ","BEST_FPERIOD_OVERRIDE=FQ","FILING_STATUS=MR","SCALING_FORMAT=MLN","Sort=A","Dates=H","DateFormat=P","Fill=—","Direction=H","UseDPDF=Y")</f>
        <v>-724.7</v>
      </c>
      <c r="G35" s="15" cm="1">
        <f t="array" ref="G35">_xll.BDH("PCAR US Equity","CF_CASH_FROM_INV_ACT","FQ3 2019","FQ3 2019","Currency=USD","Period=FQ","BEST_FPERIOD_OVERRIDE=FQ","FILING_STATUS=MR","SCALING_FORMAT=MLN","Sort=A","Dates=H","DateFormat=P","Fill=—","Direction=H","UseDPDF=Y")</f>
        <v>-431.1</v>
      </c>
      <c r="H35" s="15" cm="1">
        <f t="array" ref="H35">_xll.BDH("PCAR US Equity","CF_CASH_FROM_INV_ACT","FQ4 2019","FQ4 2019","Currency=USD","Period=FQ","BEST_FPERIOD_OVERRIDE=FQ","FILING_STATUS=MR","SCALING_FORMAT=MLN","Sort=A","Dates=H","DateFormat=P","Fill=—","Direction=H","UseDPDF=Y")</f>
        <v>-650.9</v>
      </c>
      <c r="I35" s="15" cm="1">
        <f t="array" ref="I35">_xll.BDH("PCAR US Equity","CF_CASH_FROM_INV_ACT","FQ1 2020","FQ1 2020","Currency=USD","Period=FQ","BEST_FPERIOD_OVERRIDE=FQ","FILING_STATUS=MR","SCALING_FORMAT=MLN","Sort=A","Dates=H","DateFormat=P","Fill=—","Direction=H","UseDPDF=Y")</f>
        <v>-379.8</v>
      </c>
      <c r="J35" s="15" cm="1">
        <f t="array" ref="J35">_xll.BDH("PCAR US Equity","CF_CASH_FROM_INV_ACT","FQ2 2020","FQ2 2020","Currency=USD","Period=FQ","BEST_FPERIOD_OVERRIDE=FQ","FILING_STATUS=MR","SCALING_FORMAT=MLN","Sort=A","Dates=H","DateFormat=P","Fill=—","Direction=H","UseDPDF=Y")</f>
        <v>-214.3</v>
      </c>
      <c r="K35" s="15" cm="1">
        <f t="array" ref="K35">_xll.BDH("PCAR US Equity","CF_CASH_FROM_INV_ACT","FQ3 2020","FQ3 2020","Currency=USD","Period=FQ","BEST_FPERIOD_OVERRIDE=FQ","FILING_STATUS=MR","SCALING_FORMAT=MLN","Sort=A","Dates=H","DateFormat=P","Fill=—","Direction=H","UseDPDF=Y")</f>
        <v>-440.2</v>
      </c>
      <c r="L35" s="15" cm="1">
        <f t="array" ref="L35">_xll.BDH("PCAR US Equity","CF_CASH_FROM_INV_ACT","FQ4 2020","FQ4 2020","Currency=USD","Period=FQ","BEST_FPERIOD_OVERRIDE=FQ","FILING_STATUS=MR","SCALING_FORMAT=MLN","Sort=A","Dates=H","DateFormat=P","Fill=—","Direction=H","UseDPDF=Y")</f>
        <v>-841.5</v>
      </c>
      <c r="M35" s="15" cm="1">
        <f t="array" ref="M35">_xll.BDH("PCAR US Equity","CF_CASH_FROM_INV_ACT","FQ1 2021","FQ1 2021","Currency=USD","Period=FQ","BEST_FPERIOD_OVERRIDE=FQ","FILING_STATUS=MR","SCALING_FORMAT=MLN","Sort=A","Dates=H","DateFormat=P","Fill=—","Direction=H","UseDPDF=Y")</f>
        <v>-215.7</v>
      </c>
      <c r="N35" s="15" cm="1">
        <f t="array" ref="N35">_xll.BDH("PCAR US Equity","CF_CASH_FROM_INV_ACT","FQ2 2021","FQ2 2021","Currency=USD","Period=FQ","BEST_FPERIOD_OVERRIDE=FQ","FILING_STATUS=MR","SCALING_FORMAT=MLN","Sort=A","Dates=H","DateFormat=P","Fill=—","Direction=H","UseDPDF=Y")</f>
        <v>-451</v>
      </c>
      <c r="O35" s="15" cm="1">
        <f t="array" ref="O35">_xll.BDH("PCAR US Equity","CF_CASH_FROM_INV_ACT","FQ3 2021","FQ3 2021","Currency=USD","Period=FQ","BEST_FPERIOD_OVERRIDE=FQ","FILING_STATUS=MR","SCALING_FORMAT=MLN","Sort=A","Dates=H","DateFormat=P","Fill=—","Direction=H","UseDPDF=Y")</f>
        <v>-358.7</v>
      </c>
      <c r="P35" s="15" cm="1">
        <f t="array" ref="P35">_xll.BDH("PCAR US Equity","CF_CASH_FROM_INV_ACT","FQ4 2021","FQ4 2021","Currency=USD","Period=FQ","BEST_FPERIOD_OVERRIDE=FQ","FILING_STATUS=MR","SCALING_FORMAT=MLN","Sort=A","Dates=H","DateFormat=P","Fill=—","Direction=H","UseDPDF=Y")</f>
        <v>-337.3</v>
      </c>
      <c r="Q35" s="15" cm="1">
        <f t="array" ref="Q35">_xll.BDH("PCAR US Equity","CF_CASH_FROM_INV_ACT","FQ1 2022","FQ1 2022","Currency=USD","Period=FQ","BEST_FPERIOD_OVERRIDE=FQ","FILING_STATUS=MR","SCALING_FORMAT=MLN","Sort=A","Dates=H","DateFormat=P","Fill=—","Direction=H","UseDPDF=Y")</f>
        <v>-406.1</v>
      </c>
      <c r="R35" s="15" cm="1">
        <f t="array" ref="R35">_xll.BDH("PCAR US Equity","CF_CASH_FROM_INV_ACT","FQ2 2022","FQ2 2022","Currency=USD","Period=FQ","BEST_FPERIOD_OVERRIDE=FQ","FILING_STATUS=MR","SCALING_FORMAT=MLN","Sort=A","Dates=H","DateFormat=P","Fill=—","Direction=H","UseDPDF=Y")</f>
        <v>-472.9</v>
      </c>
      <c r="S35" s="15" cm="1">
        <f t="array" ref="S35">_xll.BDH("PCAR US Equity","CF_CASH_FROM_INV_ACT","FQ3 2022","FQ3 2022","Currency=USD","Period=FQ","BEST_FPERIOD_OVERRIDE=FQ","FILING_STATUS=MR","SCALING_FORMAT=MLN","Sort=A","Dates=H","DateFormat=P","Fill=—","Direction=H","UseDPDF=Y")</f>
        <v>-439.5</v>
      </c>
      <c r="T35" s="15" cm="1">
        <f t="array" ref="T35">_xll.BDH("PCAR US Equity","CF_CASH_FROM_INV_ACT","FQ4 2022","FQ4 2022","Currency=USD","Period=FQ","BEST_FPERIOD_OVERRIDE=FQ","FILING_STATUS=MR","SCALING_FORMAT=MLN","Sort=A","Dates=H","DateFormat=P","Fill=—","Direction=H","UseDPDF=Y")</f>
        <v>-714.5</v>
      </c>
      <c r="U35" s="15" cm="1">
        <f t="array" ref="U35">_xll.BDH("PCAR US Equity","CF_CASH_FROM_INV_ACT","FQ1 2023","FQ1 2023","Currency=USD","Period=FQ","BEST_FPERIOD_OVERRIDE=FQ","FILING_STATUS=MR","SCALING_FORMAT=MLN","Sort=A","Dates=H","DateFormat=P","Fill=—","Direction=H","UseDPDF=Y")</f>
        <v>-292.7</v>
      </c>
      <c r="V35" s="15" cm="1">
        <f t="array" ref="V35">_xll.BDH("PCAR US Equity","CF_CASH_FROM_INV_ACT","FQ2 2023","FQ2 2023","Currency=USD","Period=FQ","BEST_FPERIOD_OVERRIDE=FQ","FILING_STATUS=MR","SCALING_FORMAT=MLN","Sort=A","Dates=H","DateFormat=P","Fill=—","Direction=H","UseDPDF=Y")</f>
        <v>-752</v>
      </c>
      <c r="W35" s="15" cm="1">
        <f t="array" ref="W35">_xll.BDH("PCAR US Equity","CF_CASH_FROM_INV_ACT","FQ3 2023","FQ3 2023","Currency=USD","Period=FQ","BEST_FPERIOD_OVERRIDE=FQ","FILING_STATUS=MR","SCALING_FORMAT=MLN","Sort=A","Dates=H","DateFormat=P","Fill=—","Direction=H","UseDPDF=Y")</f>
        <v>-886.4</v>
      </c>
      <c r="X35" s="15" cm="1">
        <f t="array" ref="X35">_xll.BDH("PCAR US Equity","CF_CASH_FROM_INV_ACT","FQ4 2023","FQ4 2023","Currency=USD","Period=FQ","BEST_FPERIOD_OVERRIDE=FQ","FILING_STATUS=MR","SCALING_FORMAT=MLN","Sort=A","Dates=H","DateFormat=P","Fill=—","Direction=H","UseDPDF=Y")</f>
        <v>-939.9</v>
      </c>
      <c r="Y35" s="15" cm="1">
        <f t="array" ref="Y35">_xll.BDH("PCAR US Equity","CF_CASH_FROM_INV_ACT","FQ1 2024","FQ1 2024","Currency=USD","Period=FQ","BEST_FPERIOD_OVERRIDE=FQ","FILING_STATUS=MR","SCALING_FORMAT=MLN","Sort=A","Dates=H","DateFormat=P","Fill=—","Direction=H","UseDPDF=Y")</f>
        <v>-526.1</v>
      </c>
      <c r="Z35" s="15" cm="1">
        <f t="array" ref="Z35">_xll.BDH("PCAR US Equity","CF_CASH_FROM_INV_ACT","FQ2 2024","FQ2 2024","Currency=USD","Period=FQ","BEST_FPERIOD_OVERRIDE=FQ","FILING_STATUS=MR","SCALING_FORMAT=MLN","Sort=A","Dates=H","DateFormat=P","Fill=—","Direction=H","UseDPDF=Y")</f>
        <v>-1043.7</v>
      </c>
      <c r="AA35" s="15" cm="1">
        <f t="array" ref="AA35">_xll.BDH("PCAR US Equity","CF_CASH_FROM_INV_ACT","FQ3 2024","FQ3 2024","Currency=USD","Period=FQ","BEST_FPERIOD_OVERRIDE=FQ","FILING_STATUS=MR","SCALING_FORMAT=MLN","Sort=A","Dates=H","DateFormat=P","Fill=—","Direction=H","UseDPDF=Y")</f>
        <v>-1185.5</v>
      </c>
      <c r="AB35" s="15" cm="1">
        <f t="array" ref="AB35">_xll.BDH("PCAR US Equity","CF_CASH_FROM_INV_ACT","FQ4 2024","FQ4 2024","Currency=USD","Period=FQ","BEST_FPERIOD_OVERRIDE=FQ","FILING_STATUS=MR","SCALING_FORMAT=MLN","Sort=A","Dates=H","DateFormat=P","Fill=—","Direction=H","UseDPDF=Y")</f>
        <v>-1732</v>
      </c>
      <c r="AC35" s="15" cm="1">
        <f t="array" ref="AC35">_xll.BDH("PCAR US Equity","CF_CASH_FROM_INV_ACT","FQ1 2025","FQ1 2025","Currency=USD","Period=FQ","BEST_FPERIOD_OVERRIDE=FQ","FILING_STATUS=MR","SCALING_FORMAT=MLN","Sort=A","Dates=H","DateFormat=P","Fill=—","Direction=H","UseDPDF=Y")</f>
        <v>-392.6</v>
      </c>
      <c r="AD35" s="15" cm="1">
        <f t="array" ref="AD35">_xll.BDH("PCAR US Equity","CF_CASH_FROM_INV_ACT","FQ2 2025","FQ2 2025","Currency=USD","Period=FQ","BEST_FPERIOD_OVERRIDE=FQ","FILING_STATUS=MR","SCALING_FORMAT=MLN","Sort=A","Dates=H","DateFormat=P","Fill=—","Direction=H","UseDPDF=Y")</f>
        <v>-617.5</v>
      </c>
      <c r="AE35" s="15" cm="1">
        <f t="array" ref="AE35">_xll.BDH("PCAR US Equity","CF_CASH_FROM_INV_ACT","FQ3 2025","FQ3 2025","Currency=USD","Period=FQ","BEST_FPERIOD_OVERRIDE=FQ","FILING_STATUS=MR","SCALING_FORMAT=MLN","Sort=A","Dates=H","DateFormat=P","Fill=—","Direction=H","UseDPDF=Y")</f>
        <v>-503.3</v>
      </c>
      <c r="AF35" s="15" cm="1">
        <f t="array" ref="AF35">_xll.BDH("PCAR US Equity","CF_CASH_FROM_INV_ACT","FQ4 2025","FQ4 2025","Currency=USD","Period=FQ","BEST_FPERIOD_OVERRIDE=FQ","FILING_STATUS=MR","SCALING_FORMAT=MLN","Sort=A","Dates=H","DateFormat=P","Fill=—","Direction=H","UseDPDF=Y")</f>
        <v>-753.8</v>
      </c>
    </row>
    <row r="36" spans="1:32" x14ac:dyDescent="0.25">
      <c r="A36" s="6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</row>
    <row r="37" spans="1:32" x14ac:dyDescent="0.25">
      <c r="A37" s="6" t="s">
        <v>118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</row>
    <row r="38" spans="1:32" x14ac:dyDescent="0.25">
      <c r="A38" s="10" t="s">
        <v>119</v>
      </c>
      <c r="B38" s="10" t="s">
        <v>120</v>
      </c>
      <c r="C38" s="12" cm="1">
        <f t="array" ref="C38">_xll.BDH("PCAR US Equity","CF_DVD_PAID","FQ3 2018","FQ3 2018","Currency=USD","Period=FQ","BEST_FPERIOD_OVERRIDE=FQ","FILING_STATUS=MR","SCALING_FORMAT=MLN","Sort=A","Dates=H","DateFormat=P","Fill=—","Direction=H","UseDPDF=Y")</f>
        <v>-98.1</v>
      </c>
      <c r="D38" s="12" cm="1">
        <f t="array" ref="D38">_xll.BDH("PCAR US Equity","CF_DVD_PAID","FQ4 2018","FQ4 2018","Currency=USD","Period=FQ","BEST_FPERIOD_OVERRIDE=FQ","FILING_STATUS=MR","SCALING_FORMAT=MLN","Sort=A","Dates=H","DateFormat=P","Fill=—","Direction=H","UseDPDF=Y")</f>
        <v>-97.7</v>
      </c>
      <c r="E38" s="12" cm="1">
        <f t="array" ref="E38">_xll.BDH("PCAR US Equity","CF_DVD_PAID","FQ1 2019","FQ1 2019","Currency=USD","Period=FQ","BEST_FPERIOD_OVERRIDE=FQ","FILING_STATUS=MR","SCALING_FORMAT=MLN","Sort=A","Dates=H","DateFormat=P","Fill=—","Direction=H","UseDPDF=Y")</f>
        <v>-806.1</v>
      </c>
      <c r="F38" s="12" cm="1">
        <f t="array" ref="F38">_xll.BDH("PCAR US Equity","CF_DVD_PAID","FQ2 2019","FQ2 2019","Currency=USD","Period=FQ","BEST_FPERIOD_OVERRIDE=FQ","FILING_STATUS=MR","SCALING_FORMAT=MLN","Sort=A","Dates=H","DateFormat=P","Fill=—","Direction=H","UseDPDF=Y")</f>
        <v>-110.9</v>
      </c>
      <c r="G38" s="12" cm="1">
        <f t="array" ref="G38">_xll.BDH("PCAR US Equity","CF_DVD_PAID","FQ3 2019","FQ3 2019","Currency=USD","Period=FQ","BEST_FPERIOD_OVERRIDE=FQ","FILING_STATUS=MR","SCALING_FORMAT=MLN","Sort=A","Dates=H","DateFormat=P","Fill=—","Direction=H","UseDPDF=Y")</f>
        <v>-110.8</v>
      </c>
      <c r="H38" s="12" cm="1">
        <f t="array" ref="H38">_xll.BDH("PCAR US Equity","CF_DVD_PAID","FQ4 2019","FQ4 2019","Currency=USD","Period=FQ","BEST_FPERIOD_OVERRIDE=FQ","FILING_STATUS=MR","SCALING_FORMAT=MLN","Sort=A","Dates=H","DateFormat=P","Fill=—","Direction=H","UseDPDF=Y")</f>
        <v>-110.8</v>
      </c>
      <c r="I38" s="12" cm="1">
        <f t="array" ref="I38">_xll.BDH("PCAR US Equity","CF_DVD_PAID","FQ1 2020","FQ1 2020","Currency=USD","Period=FQ","BEST_FPERIOD_OVERRIDE=FQ","FILING_STATUS=MR","SCALING_FORMAT=MLN","Sort=A","Dates=H","DateFormat=P","Fill=—","Direction=H","UseDPDF=Y")</f>
        <v>-907.4</v>
      </c>
      <c r="J38" s="12" cm="1">
        <f t="array" ref="J38">_xll.BDH("PCAR US Equity","CF_DVD_PAID","FQ2 2020","FQ2 2020","Currency=USD","Period=FQ","BEST_FPERIOD_OVERRIDE=FQ","FILING_STATUS=MR","SCALING_FORMAT=MLN","Sort=A","Dates=H","DateFormat=P","Fill=—","Direction=H","UseDPDF=Y")</f>
        <v>-110.6</v>
      </c>
      <c r="K38" s="12" cm="1">
        <f t="array" ref="K38">_xll.BDH("PCAR US Equity","CF_DVD_PAID","FQ3 2020","FQ3 2020","Currency=USD","Period=FQ","BEST_FPERIOD_OVERRIDE=FQ","FILING_STATUS=MR","SCALING_FORMAT=MLN","Sort=A","Dates=H","DateFormat=P","Fill=—","Direction=H","UseDPDF=Y")</f>
        <v>-110.9</v>
      </c>
      <c r="L38" s="12" cm="1">
        <f t="array" ref="L38">_xll.BDH("PCAR US Equity","CF_DVD_PAID","FQ4 2020","FQ4 2020","Currency=USD","Period=FQ","BEST_FPERIOD_OVERRIDE=FQ","FILING_STATUS=MR","SCALING_FORMAT=MLN","Sort=A","Dates=H","DateFormat=P","Fill=—","Direction=H","UseDPDF=Y")</f>
        <v>-110.9</v>
      </c>
      <c r="M38" s="12" cm="1">
        <f t="array" ref="M38">_xll.BDH("PCAR US Equity","CF_DVD_PAID","FQ1 2021","FQ1 2021","Currency=USD","Period=FQ","BEST_FPERIOD_OVERRIDE=FQ","FILING_STATUS=MR","SCALING_FORMAT=MLN","Sort=A","Dates=H","DateFormat=P","Fill=—","Direction=H","UseDPDF=Y")</f>
        <v>-353.7</v>
      </c>
      <c r="N38" s="12" cm="1">
        <f t="array" ref="N38">_xll.BDH("PCAR US Equity","CF_DVD_PAID","FQ2 2021","FQ2 2021","Currency=USD","Period=FQ","BEST_FPERIOD_OVERRIDE=FQ","FILING_STATUS=MR","SCALING_FORMAT=MLN","Sort=A","Dates=H","DateFormat=P","Fill=—","Direction=H","UseDPDF=Y")</f>
        <v>-118.1</v>
      </c>
      <c r="O38" s="12" cm="1">
        <f t="array" ref="O38">_xll.BDH("PCAR US Equity","CF_DVD_PAID","FQ3 2021","FQ3 2021","Currency=USD","Period=FQ","BEST_FPERIOD_OVERRIDE=FQ","FILING_STATUS=MR","SCALING_FORMAT=MLN","Sort=A","Dates=H","DateFormat=P","Fill=—","Direction=H","UseDPDF=Y")</f>
        <v>-118.1</v>
      </c>
      <c r="P38" s="12" cm="1">
        <f t="array" ref="P38">_xll.BDH("PCAR US Equity","CF_DVD_PAID","FQ4 2021","FQ4 2021","Currency=USD","Period=FQ","BEST_FPERIOD_OVERRIDE=FQ","FILING_STATUS=MR","SCALING_FORMAT=MLN","Sort=A","Dates=H","DateFormat=P","Fill=—","Direction=H","UseDPDF=Y")</f>
        <v>-118.1</v>
      </c>
      <c r="Q38" s="12" cm="1">
        <f t="array" ref="Q38">_xll.BDH("PCAR US Equity","CF_DVD_PAID","FQ1 2022","FQ1 2022","Currency=USD","Period=FQ","BEST_FPERIOD_OVERRIDE=FQ","FILING_STATUS=MR","SCALING_FORMAT=MLN","Sort=A","Dates=H","DateFormat=P","Fill=—","Direction=H","UseDPDF=Y")</f>
        <v>-639.4</v>
      </c>
      <c r="R38" s="12" cm="1">
        <f t="array" ref="R38">_xll.BDH("PCAR US Equity","CF_DVD_PAID","FQ2 2022","FQ2 2022","Currency=USD","Period=FQ","BEST_FPERIOD_OVERRIDE=FQ","FILING_STATUS=MR","SCALING_FORMAT=MLN","Sort=A","Dates=H","DateFormat=P","Fill=—","Direction=H","UseDPDF=Y")</f>
        <v>-118.2</v>
      </c>
      <c r="S38" s="12" cm="1">
        <f t="array" ref="S38">_xll.BDH("PCAR US Equity","CF_DVD_PAID","FQ3 2022","FQ3 2022","Currency=USD","Period=FQ","BEST_FPERIOD_OVERRIDE=FQ","FILING_STATUS=MR","SCALING_FORMAT=MLN","Sort=A","Dates=H","DateFormat=P","Fill=—","Direction=H","UseDPDF=Y")</f>
        <v>-118.3</v>
      </c>
      <c r="T38" s="12" cm="1">
        <f t="array" ref="T38">_xll.BDH("PCAR US Equity","CF_DVD_PAID","FQ4 2022","FQ4 2022","Currency=USD","Period=FQ","BEST_FPERIOD_OVERRIDE=FQ","FILING_STATUS=MR","SCALING_FORMAT=MLN","Sort=A","Dates=H","DateFormat=P","Fill=—","Direction=H","UseDPDF=Y")</f>
        <v>-128.80000000000001</v>
      </c>
      <c r="U38" s="12" cm="1">
        <f t="array" ref="U38">_xll.BDH("PCAR US Equity","CF_DVD_PAID","FQ1 2023","FQ1 2023","Currency=USD","Period=FQ","BEST_FPERIOD_OVERRIDE=FQ","FILING_STATUS=MR","SCALING_FORMAT=MLN","Sort=A","Dates=H","DateFormat=P","Fill=—","Direction=H","UseDPDF=Y")</f>
        <v>-1105.3</v>
      </c>
      <c r="V38" s="12" cm="1">
        <f t="array" ref="V38">_xll.BDH("PCAR US Equity","CF_DVD_PAID","FQ2 2023","FQ2 2023","Currency=USD","Period=FQ","BEST_FPERIOD_OVERRIDE=FQ","FILING_STATUS=MR","SCALING_FORMAT=MLN","Sort=A","Dates=H","DateFormat=P","Fill=—","Direction=H","UseDPDF=Y")</f>
        <v>-130.69999999999999</v>
      </c>
      <c r="W38" s="12" cm="1">
        <f t="array" ref="W38">_xll.BDH("PCAR US Equity","CF_DVD_PAID","FQ3 2023","FQ3 2023","Currency=USD","Period=FQ","BEST_FPERIOD_OVERRIDE=FQ","FILING_STATUS=MR","SCALING_FORMAT=MLN","Sort=A","Dates=H","DateFormat=P","Fill=—","Direction=H","UseDPDF=Y")</f>
        <v>-141.30000000000001</v>
      </c>
      <c r="X38" s="12" cm="1">
        <f t="array" ref="X38">_xll.BDH("PCAR US Equity","CF_DVD_PAID","FQ4 2023","FQ4 2023","Currency=USD","Period=FQ","BEST_FPERIOD_OVERRIDE=FQ","FILING_STATUS=MR","SCALING_FORMAT=MLN","Sort=A","Dates=H","DateFormat=P","Fill=—","Direction=H","UseDPDF=Y")</f>
        <v>-141.30000000000001</v>
      </c>
      <c r="Y38" s="12" cm="1">
        <f t="array" ref="Y38">_xll.BDH("PCAR US Equity","CF_DVD_PAID","FQ1 2024","FQ1 2024","Currency=USD","Period=FQ","BEST_FPERIOD_OVERRIDE=FQ","FILING_STATUS=MR","SCALING_FORMAT=MLN","Sort=A","Dates=H","DateFormat=P","Fill=—","Direction=H","UseDPDF=Y")</f>
        <v>-1816.5</v>
      </c>
      <c r="Z38" s="12" cm="1">
        <f t="array" ref="Z38">_xll.BDH("PCAR US Equity","CF_DVD_PAID","FQ2 2024","FQ2 2024","Currency=USD","Period=FQ","BEST_FPERIOD_OVERRIDE=FQ","FILING_STATUS=MR","SCALING_FORMAT=MLN","Sort=A","Dates=H","DateFormat=P","Fill=—","Direction=H","UseDPDF=Y")</f>
        <v>-157.30000000000001</v>
      </c>
      <c r="AA38" s="12" cm="1">
        <f t="array" ref="AA38">_xll.BDH("PCAR US Equity","CF_DVD_PAID","FQ3 2024","FQ3 2024","Currency=USD","Period=FQ","BEST_FPERIOD_OVERRIDE=FQ","FILING_STATUS=MR","SCALING_FORMAT=MLN","Sort=A","Dates=H","DateFormat=P","Fill=—","Direction=H","UseDPDF=Y")</f>
        <v>-157.30000000000001</v>
      </c>
      <c r="AB38" s="12" cm="1">
        <f t="array" ref="AB38">_xll.BDH("PCAR US Equity","CF_DVD_PAID","FQ4 2024","FQ4 2024","Currency=USD","Period=FQ","BEST_FPERIOD_OVERRIDE=FQ","FILING_STATUS=MR","SCALING_FORMAT=MLN","Sort=A","Dates=H","DateFormat=P","Fill=—","Direction=H","UseDPDF=Y")</f>
        <v>-157.4</v>
      </c>
      <c r="AC38" s="12" cm="1">
        <f t="array" ref="AC38">_xll.BDH("PCAR US Equity","CF_DVD_PAID","FQ1 2025","FQ1 2025","Currency=USD","Period=FQ","BEST_FPERIOD_OVERRIDE=FQ","FILING_STATUS=MR","SCALING_FORMAT=MLN","Sort=A","Dates=H","DateFormat=P","Fill=—","Direction=H","UseDPDF=Y")</f>
        <v>-1747</v>
      </c>
      <c r="AD38" s="12" cm="1">
        <f t="array" ref="AD38">_xll.BDH("PCAR US Equity","CF_DVD_PAID","FQ2 2025","FQ2 2025","Currency=USD","Period=FQ","BEST_FPERIOD_OVERRIDE=FQ","FILING_STATUS=MR","SCALING_FORMAT=MLN","Sort=A","Dates=H","DateFormat=P","Fill=—","Direction=H","UseDPDF=Y")</f>
        <v>-173.3</v>
      </c>
      <c r="AE38" s="12" cm="1">
        <f t="array" ref="AE38">_xll.BDH("PCAR US Equity","CF_DVD_PAID","FQ3 2025","FQ3 2025","Currency=USD","Period=FQ","BEST_FPERIOD_OVERRIDE=FQ","FILING_STATUS=MR","SCALING_FORMAT=MLN","Sort=A","Dates=H","DateFormat=P","Fill=—","Direction=H","UseDPDF=Y")</f>
        <v>-173.4</v>
      </c>
      <c r="AF38" s="12" cm="1">
        <f t="array" ref="AF38">_xll.BDH("PCAR US Equity","CF_DVD_PAID","FQ4 2025","FQ4 2025","Currency=USD","Period=FQ","BEST_FPERIOD_OVERRIDE=FQ","FILING_STATUS=MR","SCALING_FORMAT=MLN","Sort=A","Dates=H","DateFormat=P","Fill=—","Direction=H","UseDPDF=Y")</f>
        <v>-173.4</v>
      </c>
    </row>
    <row r="39" spans="1:32" x14ac:dyDescent="0.25">
      <c r="A39" s="10" t="s">
        <v>121</v>
      </c>
      <c r="B39" s="10" t="s">
        <v>122</v>
      </c>
      <c r="C39" s="12" cm="1">
        <f t="array" ref="C39">_xll.BDH("PCAR US Equity","PROC_FR_REPAYMNTS_BOR_DETAILED","FQ3 2018","FQ3 2018","Currency=USD","Period=FQ","BEST_FPERIOD_OVERRIDE=FQ","FILING_STATUS=MR","SCALING_FORMAT=MLN","Sort=A","Dates=H","DateFormat=P","Fill=—","Direction=H","UseDPDF=Y")</f>
        <v>369.7</v>
      </c>
      <c r="D39" s="12" cm="1">
        <f t="array" ref="D39">_xll.BDH("PCAR US Equity","PROC_FR_REPAYMNTS_BOR_DETAILED","FQ4 2018","FQ4 2018","Currency=USD","Period=FQ","BEST_FPERIOD_OVERRIDE=FQ","FILING_STATUS=MR","SCALING_FORMAT=MLN","Sort=A","Dates=H","DateFormat=P","Fill=—","Direction=H","UseDPDF=Y")</f>
        <v>427.6</v>
      </c>
      <c r="E39" s="12" cm="1">
        <f t="array" ref="E39">_xll.BDH("PCAR US Equity","PROC_FR_REPAYMNTS_BOR_DETAILED","FQ1 2019","FQ1 2019","Currency=USD","Period=FQ","BEST_FPERIOD_OVERRIDE=FQ","FILING_STATUS=MR","SCALING_FORMAT=MLN","Sort=A","Dates=H","DateFormat=P","Fill=—","Direction=H","UseDPDF=Y")</f>
        <v>272.8</v>
      </c>
      <c r="F39" s="12" cm="1">
        <f t="array" ref="F39">_xll.BDH("PCAR US Equity","PROC_FR_REPAYMNTS_BOR_DETAILED","FQ2 2019","FQ2 2019","Currency=USD","Period=FQ","BEST_FPERIOD_OVERRIDE=FQ","FILING_STATUS=MR","SCALING_FORMAT=MLN","Sort=A","Dates=H","DateFormat=P","Fill=—","Direction=H","UseDPDF=Y")</f>
        <v>394.8</v>
      </c>
      <c r="G39" s="12" cm="1">
        <f t="array" ref="G39">_xll.BDH("PCAR US Equity","PROC_FR_REPAYMNTS_BOR_DETAILED","FQ3 2019","FQ3 2019","Currency=USD","Period=FQ","BEST_FPERIOD_OVERRIDE=FQ","FILING_STATUS=MR","SCALING_FORMAT=MLN","Sort=A","Dates=H","DateFormat=P","Fill=—","Direction=H","UseDPDF=Y")</f>
        <v>347.9</v>
      </c>
      <c r="H39" s="12" cm="1">
        <f t="array" ref="H39">_xll.BDH("PCAR US Equity","PROC_FR_REPAYMNTS_BOR_DETAILED","FQ4 2019","FQ4 2019","Currency=USD","Period=FQ","BEST_FPERIOD_OVERRIDE=FQ","FILING_STATUS=MR","SCALING_FORMAT=MLN","Sort=A","Dates=H","DateFormat=P","Fill=—","Direction=H","UseDPDF=Y")</f>
        <v>255.9</v>
      </c>
      <c r="I39" s="12" cm="1">
        <f t="array" ref="I39">_xll.BDH("PCAR US Equity","PROC_FR_REPAYMNTS_BOR_DETAILED","FQ1 2020","FQ1 2020","Currency=USD","Period=FQ","BEST_FPERIOD_OVERRIDE=FQ","FILING_STATUS=MR","SCALING_FORMAT=MLN","Sort=A","Dates=H","DateFormat=P","Fill=—","Direction=H","UseDPDF=Y")</f>
        <v>108.9</v>
      </c>
      <c r="J39" s="12" cm="1">
        <f t="array" ref="J39">_xll.BDH("PCAR US Equity","PROC_FR_REPAYMNTS_BOR_DETAILED","FQ2 2020","FQ2 2020","Currency=USD","Period=FQ","BEST_FPERIOD_OVERRIDE=FQ","FILING_STATUS=MR","SCALING_FORMAT=MLN","Sort=A","Dates=H","DateFormat=P","Fill=—","Direction=H","UseDPDF=Y")</f>
        <v>-839</v>
      </c>
      <c r="K39" s="12" cm="1">
        <f t="array" ref="K39">_xll.BDH("PCAR US Equity","PROC_FR_REPAYMNTS_BOR_DETAILED","FQ3 2020","FQ3 2020","Currency=USD","Period=FQ","BEST_FPERIOD_OVERRIDE=FQ","FILING_STATUS=MR","SCALING_FORMAT=MLN","Sort=A","Dates=H","DateFormat=P","Fill=—","Direction=H","UseDPDF=Y")</f>
        <v>-128.69999999999999</v>
      </c>
      <c r="L39" s="12" cm="1">
        <f t="array" ref="L39">_xll.BDH("PCAR US Equity","PROC_FR_REPAYMNTS_BOR_DETAILED","FQ4 2020","FQ4 2020","Currency=USD","Period=FQ","BEST_FPERIOD_OVERRIDE=FQ","FILING_STATUS=MR","SCALING_FORMAT=MLN","Sort=A","Dates=H","DateFormat=P","Fill=—","Direction=H","UseDPDF=Y")</f>
        <v>278.5</v>
      </c>
      <c r="M39" s="12" cm="1">
        <f t="array" ref="M39">_xll.BDH("PCAR US Equity","PROC_FR_REPAYMNTS_BOR_DETAILED","FQ1 2021","FQ1 2021","Currency=USD","Period=FQ","BEST_FPERIOD_OVERRIDE=FQ","FILING_STATUS=MR","SCALING_FORMAT=MLN","Sort=A","Dates=H","DateFormat=P","Fill=—","Direction=H","UseDPDF=Y")</f>
        <v>-182</v>
      </c>
      <c r="N39" s="12" cm="1">
        <f t="array" ref="N39">_xll.BDH("PCAR US Equity","PROC_FR_REPAYMNTS_BOR_DETAILED","FQ2 2021","FQ2 2021","Currency=USD","Period=FQ","BEST_FPERIOD_OVERRIDE=FQ","FILING_STATUS=MR","SCALING_FORMAT=MLN","Sort=A","Dates=H","DateFormat=P","Fill=—","Direction=H","UseDPDF=Y")</f>
        <v>-26.4</v>
      </c>
      <c r="O39" s="12" cm="1">
        <f t="array" ref="O39">_xll.BDH("PCAR US Equity","PROC_FR_REPAYMNTS_BOR_DETAILED","FQ3 2021","FQ3 2021","Currency=USD","Period=FQ","BEST_FPERIOD_OVERRIDE=FQ","FILING_STATUS=MR","SCALING_FORMAT=MLN","Sort=A","Dates=H","DateFormat=P","Fill=—","Direction=H","UseDPDF=Y")</f>
        <v>-620.20000000000005</v>
      </c>
      <c r="P39" s="12" cm="1">
        <f t="array" ref="P39">_xll.BDH("PCAR US Equity","PROC_FR_REPAYMNTS_BOR_DETAILED","FQ4 2021","FQ4 2021","Currency=USD","Period=FQ","BEST_FPERIOD_OVERRIDE=FQ","FILING_STATUS=MR","SCALING_FORMAT=MLN","Sort=A","Dates=H","DateFormat=P","Fill=—","Direction=H","UseDPDF=Y")</f>
        <v>617.70000000000005</v>
      </c>
      <c r="Q39" s="12" cm="1">
        <f t="array" ref="Q39">_xll.BDH("PCAR US Equity","PROC_FR_REPAYMNTS_BOR_DETAILED","FQ1 2022","FQ1 2022","Currency=USD","Period=FQ","BEST_FPERIOD_OVERRIDE=FQ","FILING_STATUS=MR","SCALING_FORMAT=MLN","Sort=A","Dates=H","DateFormat=P","Fill=—","Direction=H","UseDPDF=Y")</f>
        <v>468.2</v>
      </c>
      <c r="R39" s="12" cm="1">
        <f t="array" ref="R39">_xll.BDH("PCAR US Equity","PROC_FR_REPAYMNTS_BOR_DETAILED","FQ2 2022","FQ2 2022","Currency=USD","Period=FQ","BEST_FPERIOD_OVERRIDE=FQ","FILING_STATUS=MR","SCALING_FORMAT=MLN","Sort=A","Dates=H","DateFormat=P","Fill=—","Direction=H","UseDPDF=Y")</f>
        <v>-73.099999999999994</v>
      </c>
      <c r="S39" s="12" cm="1">
        <f t="array" ref="S39">_xll.BDH("PCAR US Equity","PROC_FR_REPAYMNTS_BOR_DETAILED","FQ3 2022","FQ3 2022","Currency=USD","Period=FQ","BEST_FPERIOD_OVERRIDE=FQ","FILING_STATUS=MR","SCALING_FORMAT=MLN","Sort=A","Dates=H","DateFormat=P","Fill=—","Direction=H","UseDPDF=Y")</f>
        <v>42.2</v>
      </c>
      <c r="T39" s="12" cm="1">
        <f t="array" ref="T39">_xll.BDH("PCAR US Equity","PROC_FR_REPAYMNTS_BOR_DETAILED","FQ4 2022","FQ4 2022","Currency=USD","Period=FQ","BEST_FPERIOD_OVERRIDE=FQ","FILING_STATUS=MR","SCALING_FORMAT=MLN","Sort=A","Dates=H","DateFormat=P","Fill=—","Direction=H","UseDPDF=Y")</f>
        <v>838.7</v>
      </c>
      <c r="U39" s="12" cm="1">
        <f t="array" ref="U39">_xll.BDH("PCAR US Equity","PROC_FR_REPAYMNTS_BOR_DETAILED","FQ1 2023","FQ1 2023","Currency=USD","Period=FQ","BEST_FPERIOD_OVERRIDE=FQ","FILING_STATUS=MR","SCALING_FORMAT=MLN","Sort=A","Dates=H","DateFormat=P","Fill=—","Direction=H","UseDPDF=Y")</f>
        <v>397</v>
      </c>
      <c r="V39" s="12" cm="1">
        <f t="array" ref="V39">_xll.BDH("PCAR US Equity","PROC_FR_REPAYMNTS_BOR_DETAILED","FQ2 2023","FQ2 2023","Currency=USD","Period=FQ","BEST_FPERIOD_OVERRIDE=FQ","FILING_STATUS=MR","SCALING_FORMAT=MLN","Sort=A","Dates=H","DateFormat=P","Fill=—","Direction=H","UseDPDF=Y")</f>
        <v>614.6</v>
      </c>
      <c r="W39" s="12" cm="1">
        <f t="array" ref="W39">_xll.BDH("PCAR US Equity","PROC_FR_REPAYMNTS_BOR_DETAILED","FQ3 2023","FQ3 2023","Currency=USD","Period=FQ","BEST_FPERIOD_OVERRIDE=FQ","FILING_STATUS=MR","SCALING_FORMAT=MLN","Sort=A","Dates=H","DateFormat=P","Fill=—","Direction=H","UseDPDF=Y")</f>
        <v>485.2</v>
      </c>
      <c r="X39" s="12" cm="1">
        <f t="array" ref="X39">_xll.BDH("PCAR US Equity","PROC_FR_REPAYMNTS_BOR_DETAILED","FQ4 2023","FQ4 2023","Currency=USD","Period=FQ","BEST_FPERIOD_OVERRIDE=FQ","FILING_STATUS=MR","SCALING_FORMAT=MLN","Sort=A","Dates=H","DateFormat=P","Fill=—","Direction=H","UseDPDF=Y")</f>
        <v>1076</v>
      </c>
      <c r="Y39" s="12" cm="1">
        <f t="array" ref="Y39">_xll.BDH("PCAR US Equity","PROC_FR_REPAYMNTS_BOR_DETAILED","FQ1 2024","FQ1 2024","Currency=USD","Period=FQ","BEST_FPERIOD_OVERRIDE=FQ","FILING_STATUS=MR","SCALING_FORMAT=MLN","Sort=A","Dates=H","DateFormat=P","Fill=—","Direction=H","UseDPDF=Y")</f>
        <v>-94.9</v>
      </c>
      <c r="Z39" s="12" cm="1">
        <f t="array" ref="Z39">_xll.BDH("PCAR US Equity","PROC_FR_REPAYMNTS_BOR_DETAILED","FQ2 2024","FQ2 2024","Currency=USD","Period=FQ","BEST_FPERIOD_OVERRIDE=FQ","FILING_STATUS=MR","SCALING_FORMAT=MLN","Sort=A","Dates=H","DateFormat=P","Fill=—","Direction=H","UseDPDF=Y")</f>
        <v>451.1</v>
      </c>
      <c r="AA39" s="12" cm="1">
        <f t="array" ref="AA39">_xll.BDH("PCAR US Equity","PROC_FR_REPAYMNTS_BOR_DETAILED","FQ3 2024","FQ3 2024","Currency=USD","Period=FQ","BEST_FPERIOD_OVERRIDE=FQ","FILING_STATUS=MR","SCALING_FORMAT=MLN","Sort=A","Dates=H","DateFormat=P","Fill=—","Direction=H","UseDPDF=Y")</f>
        <v>967.7</v>
      </c>
      <c r="AB39" s="12" cm="1">
        <f t="array" ref="AB39">_xll.BDH("PCAR US Equity","PROC_FR_REPAYMNTS_BOR_DETAILED","FQ4 2024","FQ4 2024","Currency=USD","Period=FQ","BEST_FPERIOD_OVERRIDE=FQ","FILING_STATUS=MR","SCALING_FORMAT=MLN","Sort=A","Dates=H","DateFormat=P","Fill=—","Direction=H","UseDPDF=Y")</f>
        <v>794.1</v>
      </c>
      <c r="AC39" s="12" cm="1">
        <f t="array" ref="AC39">_xll.BDH("PCAR US Equity","PROC_FR_REPAYMNTS_BOR_DETAILED","FQ1 2025","FQ1 2025","Currency=USD","Period=FQ","BEST_FPERIOD_OVERRIDE=FQ","FILING_STATUS=MR","SCALING_FORMAT=MLN","Sort=A","Dates=H","DateFormat=P","Fill=—","Direction=H","UseDPDF=Y")</f>
        <v>-405.9</v>
      </c>
      <c r="AD39" s="12" cm="1">
        <f t="array" ref="AD39">_xll.BDH("PCAR US Equity","PROC_FR_REPAYMNTS_BOR_DETAILED","FQ2 2025","FQ2 2025","Currency=USD","Period=FQ","BEST_FPERIOD_OVERRIDE=FQ","FILING_STATUS=MR","SCALING_FORMAT=MLN","Sort=A","Dates=H","DateFormat=P","Fill=—","Direction=H","UseDPDF=Y")</f>
        <v>-89.4</v>
      </c>
      <c r="AE39" s="12" cm="1">
        <f t="array" ref="AE39">_xll.BDH("PCAR US Equity","PROC_FR_REPAYMNTS_BOR_DETAILED","FQ3 2025","FQ3 2025","Currency=USD","Period=FQ","BEST_FPERIOD_OVERRIDE=FQ","FILING_STATUS=MR","SCALING_FORMAT=MLN","Sort=A","Dates=H","DateFormat=P","Fill=—","Direction=H","UseDPDF=Y")</f>
        <v>-94.7</v>
      </c>
      <c r="AF39" s="12" cm="1">
        <f t="array" ref="AF39">_xll.BDH("PCAR US Equity","PROC_FR_REPAYMNTS_BOR_DETAILED","FQ4 2025","FQ4 2025","Currency=USD","Period=FQ","BEST_FPERIOD_OVERRIDE=FQ","FILING_STATUS=MR","SCALING_FORMAT=MLN","Sort=A","Dates=H","DateFormat=P","Fill=—","Direction=H","UseDPDF=Y")</f>
        <v>-232.6</v>
      </c>
    </row>
    <row r="40" spans="1:32" x14ac:dyDescent="0.25">
      <c r="A40" s="10" t="s">
        <v>123</v>
      </c>
      <c r="B40" s="10" t="s">
        <v>124</v>
      </c>
      <c r="C40" s="12" cm="1">
        <f t="array" ref="C40">_xll.BDH("PCAR US Equity","CF_NET_CHG_ST_DEBT_CPTL_LEAS","FQ3 2018","FQ3 2018","Currency=USD","Period=FQ","BEST_FPERIOD_OVERRIDE=FQ","FILING_STATUS=MR","SCALING_FORMAT=MLN","Sort=A","Dates=H","DateFormat=P","Fill=—","Direction=H","UseDPDF=Y")</f>
        <v>-130.19999999999999</v>
      </c>
      <c r="D40" s="12" cm="1">
        <f t="array" ref="D40">_xll.BDH("PCAR US Equity","CF_NET_CHG_ST_DEBT_CPTL_LEAS","FQ4 2018","FQ4 2018","Currency=USD","Period=FQ","BEST_FPERIOD_OVERRIDE=FQ","FILING_STATUS=MR","SCALING_FORMAT=MLN","Sort=A","Dates=H","DateFormat=P","Fill=—","Direction=H","UseDPDF=Y")</f>
        <v>526</v>
      </c>
      <c r="E40" s="12" cm="1">
        <f t="array" ref="E40">_xll.BDH("PCAR US Equity","CF_NET_CHG_ST_DEBT_CPTL_LEAS","FQ1 2019","FQ1 2019","Currency=USD","Period=FQ","BEST_FPERIOD_OVERRIDE=FQ","FILING_STATUS=MR","SCALING_FORMAT=MLN","Sort=A","Dates=H","DateFormat=P","Fill=—","Direction=H","UseDPDF=Y")</f>
        <v>-113.9</v>
      </c>
      <c r="F40" s="12" cm="1">
        <f t="array" ref="F40">_xll.BDH("PCAR US Equity","CF_NET_CHG_ST_DEBT_CPTL_LEAS","FQ2 2019","FQ2 2019","Currency=USD","Period=FQ","BEST_FPERIOD_OVERRIDE=FQ","FILING_STATUS=MR","SCALING_FORMAT=MLN","Sort=A","Dates=H","DateFormat=P","Fill=—","Direction=H","UseDPDF=Y")</f>
        <v>444.5</v>
      </c>
      <c r="G40" s="12" cm="1">
        <f t="array" ref="G40">_xll.BDH("PCAR US Equity","CF_NET_CHG_ST_DEBT_CPTL_LEAS","FQ3 2019","FQ3 2019","Currency=USD","Period=FQ","BEST_FPERIOD_OVERRIDE=FQ","FILING_STATUS=MR","SCALING_FORMAT=MLN","Sort=A","Dates=H","DateFormat=P","Fill=—","Direction=H","UseDPDF=Y")</f>
        <v>305.89999999999998</v>
      </c>
      <c r="H40" s="12" cm="1">
        <f t="array" ref="H40">_xll.BDH("PCAR US Equity","CF_NET_CHG_ST_DEBT_CPTL_LEAS","FQ4 2019","FQ4 2019","Currency=USD","Period=FQ","BEST_FPERIOD_OVERRIDE=FQ","FILING_STATUS=MR","SCALING_FORMAT=MLN","Sort=A","Dates=H","DateFormat=P","Fill=—","Direction=H","UseDPDF=Y")</f>
        <v>-79.400000000000006</v>
      </c>
      <c r="I40" s="12" cm="1">
        <f t="array" ref="I40">_xll.BDH("PCAR US Equity","CF_NET_CHG_ST_DEBT_CPTL_LEAS","FQ1 2020","FQ1 2020","Currency=USD","Period=FQ","BEST_FPERIOD_OVERRIDE=FQ","FILING_STATUS=MR","SCALING_FORMAT=MLN","Sort=A","Dates=H","DateFormat=P","Fill=—","Direction=H","UseDPDF=Y")</f>
        <v>-133.5</v>
      </c>
      <c r="J40" s="12" cm="1">
        <f t="array" ref="J40">_xll.BDH("PCAR US Equity","CF_NET_CHG_ST_DEBT_CPTL_LEAS","FQ2 2020","FQ2 2020","Currency=USD","Period=FQ","BEST_FPERIOD_OVERRIDE=FQ","FILING_STATUS=MR","SCALING_FORMAT=MLN","Sort=A","Dates=H","DateFormat=P","Fill=—","Direction=H","UseDPDF=Y")</f>
        <v>-1059</v>
      </c>
      <c r="K40" s="12" cm="1">
        <f t="array" ref="K40">_xll.BDH("PCAR US Equity","CF_NET_CHG_ST_DEBT_CPTL_LEAS","FQ3 2020","FQ3 2020","Currency=USD","Period=FQ","BEST_FPERIOD_OVERRIDE=FQ","FILING_STATUS=MR","SCALING_FORMAT=MLN","Sort=A","Dates=H","DateFormat=P","Fill=—","Direction=H","UseDPDF=Y")</f>
        <v>-278.5</v>
      </c>
      <c r="L40" s="12" cm="1">
        <f t="array" ref="L40">_xll.BDH("PCAR US Equity","CF_NET_CHG_ST_DEBT_CPTL_LEAS","FQ4 2020","FQ4 2020","Currency=USD","Period=FQ","BEST_FPERIOD_OVERRIDE=FQ","FILING_STATUS=MR","SCALING_FORMAT=MLN","Sort=A","Dates=H","DateFormat=P","Fill=—","Direction=H","UseDPDF=Y")</f>
        <v>639.1</v>
      </c>
      <c r="M40" s="12" cm="1">
        <f t="array" ref="M40">_xll.BDH("PCAR US Equity","CF_NET_CHG_ST_DEBT_CPTL_LEAS","FQ1 2021","FQ1 2021","Currency=USD","Period=FQ","BEST_FPERIOD_OVERRIDE=FQ","FILING_STATUS=MR","SCALING_FORMAT=MLN","Sort=A","Dates=H","DateFormat=P","Fill=—","Direction=H","UseDPDF=Y")</f>
        <v>-383.5</v>
      </c>
      <c r="N40" s="12" cm="1">
        <f t="array" ref="N40">_xll.BDH("PCAR US Equity","CF_NET_CHG_ST_DEBT_CPTL_LEAS","FQ2 2021","FQ2 2021","Currency=USD","Period=FQ","BEST_FPERIOD_OVERRIDE=FQ","FILING_STATUS=MR","SCALING_FORMAT=MLN","Sort=A","Dates=H","DateFormat=P","Fill=—","Direction=H","UseDPDF=Y")</f>
        <v>410.9</v>
      </c>
      <c r="O40" s="12" cm="1">
        <f t="array" ref="O40">_xll.BDH("PCAR US Equity","CF_NET_CHG_ST_DEBT_CPTL_LEAS","FQ3 2021","FQ3 2021","Currency=USD","Period=FQ","BEST_FPERIOD_OVERRIDE=FQ","FILING_STATUS=MR","SCALING_FORMAT=MLN","Sort=A","Dates=H","DateFormat=P","Fill=—","Direction=H","UseDPDF=Y")</f>
        <v>-330.9</v>
      </c>
      <c r="P40" s="12" cm="1">
        <f t="array" ref="P40">_xll.BDH("PCAR US Equity","CF_NET_CHG_ST_DEBT_CPTL_LEAS","FQ4 2021","FQ4 2021","Currency=USD","Period=FQ","BEST_FPERIOD_OVERRIDE=FQ","FILING_STATUS=MR","SCALING_FORMAT=MLN","Sort=A","Dates=H","DateFormat=P","Fill=—","Direction=H","UseDPDF=Y")</f>
        <v>328.2</v>
      </c>
      <c r="Q40" s="12" cm="1">
        <f t="array" ref="Q40">_xll.BDH("PCAR US Equity","CF_NET_CHG_ST_DEBT_CPTL_LEAS","FQ1 2022","FQ1 2022","Currency=USD","Period=FQ","BEST_FPERIOD_OVERRIDE=FQ","FILING_STATUS=MR","SCALING_FORMAT=MLN","Sort=A","Dates=H","DateFormat=P","Fill=—","Direction=H","UseDPDF=Y")</f>
        <v>481.6</v>
      </c>
      <c r="R40" s="12" cm="1">
        <f t="array" ref="R40">_xll.BDH("PCAR US Equity","CF_NET_CHG_ST_DEBT_CPTL_LEAS","FQ2 2022","FQ2 2022","Currency=USD","Period=FQ","BEST_FPERIOD_OVERRIDE=FQ","FILING_STATUS=MR","SCALING_FORMAT=MLN","Sort=A","Dates=H","DateFormat=P","Fill=—","Direction=H","UseDPDF=Y")</f>
        <v>-365.1</v>
      </c>
      <c r="S40" s="12" cm="1">
        <f t="array" ref="S40">_xll.BDH("PCAR US Equity","CF_NET_CHG_ST_DEBT_CPTL_LEAS","FQ3 2022","FQ3 2022","Currency=USD","Period=FQ","BEST_FPERIOD_OVERRIDE=FQ","FILING_STATUS=MR","SCALING_FORMAT=MLN","Sort=A","Dates=H","DateFormat=P","Fill=—","Direction=H","UseDPDF=Y")</f>
        <v>110.8</v>
      </c>
      <c r="T40" s="12" cm="1">
        <f t="array" ref="T40">_xll.BDH("PCAR US Equity","CF_NET_CHG_ST_DEBT_CPTL_LEAS","FQ4 2022","FQ4 2022","Currency=USD","Period=FQ","BEST_FPERIOD_OVERRIDE=FQ","FILING_STATUS=MR","SCALING_FORMAT=MLN","Sort=A","Dates=H","DateFormat=P","Fill=—","Direction=H","UseDPDF=Y")</f>
        <v>142.80000000000001</v>
      </c>
      <c r="U40" s="12" cm="1">
        <f t="array" ref="U40">_xll.BDH("PCAR US Equity","CF_NET_CHG_ST_DEBT_CPTL_LEAS","FQ1 2023","FQ1 2023","Currency=USD","Period=FQ","BEST_FPERIOD_OVERRIDE=FQ","FILING_STATUS=MR","SCALING_FORMAT=MLN","Sort=A","Dates=H","DateFormat=P","Fill=—","Direction=H","UseDPDF=Y")</f>
        <v>209.6</v>
      </c>
      <c r="V40" s="12" cm="1">
        <f t="array" ref="V40">_xll.BDH("PCAR US Equity","CF_NET_CHG_ST_DEBT_CPTL_LEAS","FQ2 2023","FQ2 2023","Currency=USD","Period=FQ","BEST_FPERIOD_OVERRIDE=FQ","FILING_STATUS=MR","SCALING_FORMAT=MLN","Sort=A","Dates=H","DateFormat=P","Fill=—","Direction=H","UseDPDF=Y")</f>
        <v>681</v>
      </c>
      <c r="W40" s="12" cm="1">
        <f t="array" ref="W40">_xll.BDH("PCAR US Equity","CF_NET_CHG_ST_DEBT_CPTL_LEAS","FQ3 2023","FQ3 2023","Currency=USD","Period=FQ","BEST_FPERIOD_OVERRIDE=FQ","FILING_STATUS=MR","SCALING_FORMAT=MLN","Sort=A","Dates=H","DateFormat=P","Fill=—","Direction=H","UseDPDF=Y")</f>
        <v>426.3</v>
      </c>
      <c r="X40" s="12" cm="1">
        <f t="array" ref="X40">_xll.BDH("PCAR US Equity","CF_NET_CHG_ST_DEBT_CPTL_LEAS","FQ4 2023","FQ4 2023","Currency=USD","Period=FQ","BEST_FPERIOD_OVERRIDE=FQ","FILING_STATUS=MR","SCALING_FORMAT=MLN","Sort=A","Dates=H","DateFormat=P","Fill=—","Direction=H","UseDPDF=Y")</f>
        <v>404.1</v>
      </c>
      <c r="Y40" s="12" cm="1">
        <f t="array" ref="Y40">_xll.BDH("PCAR US Equity","CF_NET_CHG_ST_DEBT_CPTL_LEAS","FQ1 2024","FQ1 2024","Currency=USD","Period=FQ","BEST_FPERIOD_OVERRIDE=FQ","FILING_STATUS=MR","SCALING_FORMAT=MLN","Sort=A","Dates=H","DateFormat=P","Fill=—","Direction=H","UseDPDF=Y")</f>
        <v>-561.6</v>
      </c>
      <c r="Z40" s="12" cm="1">
        <f t="array" ref="Z40">_xll.BDH("PCAR US Equity","CF_NET_CHG_ST_DEBT_CPTL_LEAS","FQ2 2024","FQ2 2024","Currency=USD","Period=FQ","BEST_FPERIOD_OVERRIDE=FQ","FILING_STATUS=MR","SCALING_FORMAT=MLN","Sort=A","Dates=H","DateFormat=P","Fill=—","Direction=H","UseDPDF=Y")</f>
        <v>376.3</v>
      </c>
      <c r="AA40" s="12" cm="1">
        <f t="array" ref="AA40">_xll.BDH("PCAR US Equity","CF_NET_CHG_ST_DEBT_CPTL_LEAS","FQ3 2024","FQ3 2024","Currency=USD","Period=FQ","BEST_FPERIOD_OVERRIDE=FQ","FILING_STATUS=MR","SCALING_FORMAT=MLN","Sort=A","Dates=H","DateFormat=P","Fill=—","Direction=H","UseDPDF=Y")</f>
        <v>199.6</v>
      </c>
      <c r="AB40" s="12" cm="1">
        <f t="array" ref="AB40">_xll.BDH("PCAR US Equity","CF_NET_CHG_ST_DEBT_CPTL_LEAS","FQ4 2024","FQ4 2024","Currency=USD","Period=FQ","BEST_FPERIOD_OVERRIDE=FQ","FILING_STATUS=MR","SCALING_FORMAT=MLN","Sort=A","Dates=H","DateFormat=P","Fill=—","Direction=H","UseDPDF=Y")</f>
        <v>685.6</v>
      </c>
      <c r="AC40" s="12" cm="1">
        <f t="array" ref="AC40">_xll.BDH("PCAR US Equity","CF_NET_CHG_ST_DEBT_CPTL_LEAS","FQ1 2025","FQ1 2025","Currency=USD","Period=FQ","BEST_FPERIOD_OVERRIDE=FQ","FILING_STATUS=MR","SCALING_FORMAT=MLN","Sort=A","Dates=H","DateFormat=P","Fill=—","Direction=H","UseDPDF=Y")</f>
        <v>-347</v>
      </c>
      <c r="AD40" s="12" cm="1">
        <f t="array" ref="AD40">_xll.BDH("PCAR US Equity","CF_NET_CHG_ST_DEBT_CPTL_LEAS","FQ2 2025","FQ2 2025","Currency=USD","Period=FQ","BEST_FPERIOD_OVERRIDE=FQ","FILING_STATUS=MR","SCALING_FORMAT=MLN","Sort=A","Dates=H","DateFormat=P","Fill=—","Direction=H","UseDPDF=Y")</f>
        <v>-736.9</v>
      </c>
      <c r="AE40" s="12" cm="1">
        <f t="array" ref="AE40">_xll.BDH("PCAR US Equity","CF_NET_CHG_ST_DEBT_CPTL_LEAS","FQ3 2025","FQ3 2025","Currency=USD","Period=FQ","BEST_FPERIOD_OVERRIDE=FQ","FILING_STATUS=MR","SCALING_FORMAT=MLN","Sort=A","Dates=H","DateFormat=P","Fill=—","Direction=H","UseDPDF=Y")</f>
        <v>11.3</v>
      </c>
      <c r="AF40" s="12" t="str" cm="1">
        <f t="array" ref="AF40">_xll.BDH("PCAR US Equity","CF_NET_CHG_ST_DEBT_CPTL_LEAS","FQ4 2025","FQ4 2025","Currency=USD","Period=FQ","BEST_FPERIOD_OVERRIDE=FQ","FILING_STATUS=MR","SCALING_FORMAT=MLN","Sort=A","Dates=H","DateFormat=P","Fill=—","Direction=H","UseDPDF=Y")</f>
        <v>—</v>
      </c>
    </row>
    <row r="41" spans="1:32" x14ac:dyDescent="0.25">
      <c r="A41" s="10" t="s">
        <v>125</v>
      </c>
      <c r="B41" s="10" t="s">
        <v>126</v>
      </c>
      <c r="C41" s="12" cm="1">
        <f t="array" ref="C41">_xll.BDH("PCAR US Equity","CF_LT_DEBT_CAP_LEAS_PROCEEDS","FQ3 2018","FQ3 2018","Currency=USD","Period=FQ","BEST_FPERIOD_OVERRIDE=FQ","FILING_STATUS=MR","SCALING_FORMAT=MLN","Sort=A","Dates=H","DateFormat=P","Fill=—","Direction=H","UseDPDF=Y")</f>
        <v>757.6</v>
      </c>
      <c r="D41" s="12" cm="1">
        <f t="array" ref="D41">_xll.BDH("PCAR US Equity","CF_LT_DEBT_CAP_LEAS_PROCEEDS","FQ4 2018","FQ4 2018","Currency=USD","Period=FQ","BEST_FPERIOD_OVERRIDE=FQ","FILING_STATUS=MR","SCALING_FORMAT=MLN","Sort=A","Dates=H","DateFormat=P","Fill=—","Direction=H","UseDPDF=Y")</f>
        <v>254.6</v>
      </c>
      <c r="E41" s="12" cm="1">
        <f t="array" ref="E41">_xll.BDH("PCAR US Equity","CF_LT_DEBT_CAP_LEAS_PROCEEDS","FQ1 2019","FQ1 2019","Currency=USD","Period=FQ","BEST_FPERIOD_OVERRIDE=FQ","FILING_STATUS=MR","SCALING_FORMAT=MLN","Sort=A","Dates=H","DateFormat=P","Fill=—","Direction=H","UseDPDF=Y")</f>
        <v>636.70000000000005</v>
      </c>
      <c r="F41" s="12" cm="1">
        <f t="array" ref="F41">_xll.BDH("PCAR US Equity","CF_LT_DEBT_CAP_LEAS_PROCEEDS","FQ2 2019","FQ2 2019","Currency=USD","Period=FQ","BEST_FPERIOD_OVERRIDE=FQ","FILING_STATUS=MR","SCALING_FORMAT=MLN","Sort=A","Dates=H","DateFormat=P","Fill=—","Direction=H","UseDPDF=Y")</f>
        <v>817.2</v>
      </c>
      <c r="G41" s="12" cm="1">
        <f t="array" ref="G41">_xll.BDH("PCAR US Equity","CF_LT_DEBT_CAP_LEAS_PROCEEDS","FQ3 2019","FQ3 2019","Currency=USD","Period=FQ","BEST_FPERIOD_OVERRIDE=FQ","FILING_STATUS=MR","SCALING_FORMAT=MLN","Sort=A","Dates=H","DateFormat=P","Fill=—","Direction=H","UseDPDF=Y")</f>
        <v>602.29999999999995</v>
      </c>
      <c r="H41" s="12" cm="1">
        <f t="array" ref="H41">_xll.BDH("PCAR US Equity","CF_LT_DEBT_CAP_LEAS_PROCEEDS","FQ4 2019","FQ4 2019","Currency=USD","Period=FQ","BEST_FPERIOD_OVERRIDE=FQ","FILING_STATUS=MR","SCALING_FORMAT=MLN","Sort=A","Dates=H","DateFormat=P","Fill=—","Direction=H","UseDPDF=Y")</f>
        <v>448.1</v>
      </c>
      <c r="I41" s="12" cm="1">
        <f t="array" ref="I41">_xll.BDH("PCAR US Equity","CF_LT_DEBT_CAP_LEAS_PROCEEDS","FQ1 2020","FQ1 2020","Currency=USD","Period=FQ","BEST_FPERIOD_OVERRIDE=FQ","FILING_STATUS=MR","SCALING_FORMAT=MLN","Sort=A","Dates=H","DateFormat=P","Fill=—","Direction=H","UseDPDF=Y")</f>
        <v>710</v>
      </c>
      <c r="J41" s="12" cm="1">
        <f t="array" ref="J41">_xll.BDH("PCAR US Equity","CF_LT_DEBT_CAP_LEAS_PROCEEDS","FQ2 2020","FQ2 2020","Currency=USD","Period=FQ","BEST_FPERIOD_OVERRIDE=FQ","FILING_STATUS=MR","SCALING_FORMAT=MLN","Sort=A","Dates=H","DateFormat=P","Fill=—","Direction=H","UseDPDF=Y")</f>
        <v>764.8</v>
      </c>
      <c r="K41" s="12" cm="1">
        <f t="array" ref="K41">_xll.BDH("PCAR US Equity","CF_LT_DEBT_CAP_LEAS_PROCEEDS","FQ3 2020","FQ3 2020","Currency=USD","Period=FQ","BEST_FPERIOD_OVERRIDE=FQ","FILING_STATUS=MR","SCALING_FORMAT=MLN","Sort=A","Dates=H","DateFormat=P","Fill=—","Direction=H","UseDPDF=Y")</f>
        <v>556.5</v>
      </c>
      <c r="L41" s="12" cm="1">
        <f t="array" ref="L41">_xll.BDH("PCAR US Equity","CF_LT_DEBT_CAP_LEAS_PROCEEDS","FQ4 2020","FQ4 2020","Currency=USD","Period=FQ","BEST_FPERIOD_OVERRIDE=FQ","FILING_STATUS=MR","SCALING_FORMAT=MLN","Sort=A","Dates=H","DateFormat=P","Fill=—","Direction=H","UseDPDF=Y")</f>
        <v>118.8</v>
      </c>
      <c r="M41" s="12" cm="1">
        <f t="array" ref="M41">_xll.BDH("PCAR US Equity","CF_LT_DEBT_CAP_LEAS_PROCEEDS","FQ1 2021","FQ1 2021","Currency=USD","Period=FQ","BEST_FPERIOD_OVERRIDE=FQ","FILING_STATUS=MR","SCALING_FORMAT=MLN","Sort=A","Dates=H","DateFormat=P","Fill=—","Direction=H","UseDPDF=Y")</f>
        <v>892.5</v>
      </c>
      <c r="N41" s="12" cm="1">
        <f t="array" ref="N41">_xll.BDH("PCAR US Equity","CF_LT_DEBT_CAP_LEAS_PROCEEDS","FQ2 2021","FQ2 2021","Currency=USD","Period=FQ","BEST_FPERIOD_OVERRIDE=FQ","FILING_STATUS=MR","SCALING_FORMAT=MLN","Sort=A","Dates=H","DateFormat=P","Fill=—","Direction=H","UseDPDF=Y")</f>
        <v>537.20000000000005</v>
      </c>
      <c r="O41" s="12" cm="1">
        <f t="array" ref="O41">_xll.BDH("PCAR US Equity","CF_LT_DEBT_CAP_LEAS_PROCEEDS","FQ3 2021","FQ3 2021","Currency=USD","Period=FQ","BEST_FPERIOD_OVERRIDE=FQ","FILING_STATUS=MR","SCALING_FORMAT=MLN","Sort=A","Dates=H","DateFormat=P","Fill=—","Direction=H","UseDPDF=Y")</f>
        <v>372.4</v>
      </c>
      <c r="P41" s="12" cm="1">
        <f t="array" ref="P41">_xll.BDH("PCAR US Equity","CF_LT_DEBT_CAP_LEAS_PROCEEDS","FQ4 2021","FQ4 2021","Currency=USD","Period=FQ","BEST_FPERIOD_OVERRIDE=FQ","FILING_STATUS=MR","SCALING_FORMAT=MLN","Sort=A","Dates=H","DateFormat=P","Fill=—","Direction=H","UseDPDF=Y")</f>
        <v>299</v>
      </c>
      <c r="Q41" s="12" cm="1">
        <f t="array" ref="Q41">_xll.BDH("PCAR US Equity","CF_LT_DEBT_CAP_LEAS_PROCEEDS","FQ1 2022","FQ1 2022","Currency=USD","Period=FQ","BEST_FPERIOD_OVERRIDE=FQ","FILING_STATUS=MR","SCALING_FORMAT=MLN","Sort=A","Dates=H","DateFormat=P","Fill=—","Direction=H","UseDPDF=Y")</f>
        <v>631.70000000000005</v>
      </c>
      <c r="R41" s="12" cm="1">
        <f t="array" ref="R41">_xll.BDH("PCAR US Equity","CF_LT_DEBT_CAP_LEAS_PROCEEDS","FQ2 2022","FQ2 2022","Currency=USD","Period=FQ","BEST_FPERIOD_OVERRIDE=FQ","FILING_STATUS=MR","SCALING_FORMAT=MLN","Sort=A","Dates=H","DateFormat=P","Fill=—","Direction=H","UseDPDF=Y")</f>
        <v>1016.6</v>
      </c>
      <c r="S41" s="12" cm="1">
        <f t="array" ref="S41">_xll.BDH("PCAR US Equity","CF_LT_DEBT_CAP_LEAS_PROCEEDS","FQ3 2022","FQ3 2022","Currency=USD","Period=FQ","BEST_FPERIOD_OVERRIDE=FQ","FILING_STATUS=MR","SCALING_FORMAT=MLN","Sort=A","Dates=H","DateFormat=P","Fill=—","Direction=H","UseDPDF=Y")</f>
        <v>654.4</v>
      </c>
      <c r="T41" s="12" cm="1">
        <f t="array" ref="T41">_xll.BDH("PCAR US Equity","CF_LT_DEBT_CAP_LEAS_PROCEEDS","FQ4 2022","FQ4 2022","Currency=USD","Period=FQ","BEST_FPERIOD_OVERRIDE=FQ","FILING_STATUS=MR","SCALING_FORMAT=MLN","Sort=A","Dates=H","DateFormat=P","Fill=—","Direction=H","UseDPDF=Y")</f>
        <v>869</v>
      </c>
      <c r="U41" s="12" cm="1">
        <f t="array" ref="U41">_xll.BDH("PCAR US Equity","CF_LT_DEBT_CAP_LEAS_PROCEEDS","FQ1 2023","FQ1 2023","Currency=USD","Period=FQ","BEST_FPERIOD_OVERRIDE=FQ","FILING_STATUS=MR","SCALING_FORMAT=MLN","Sort=A","Dates=H","DateFormat=P","Fill=—","Direction=H","UseDPDF=Y")</f>
        <v>826.1</v>
      </c>
      <c r="V41" s="12" cm="1">
        <f t="array" ref="V41">_xll.BDH("PCAR US Equity","CF_LT_DEBT_CAP_LEAS_PROCEEDS","FQ2 2023","FQ2 2023","Currency=USD","Period=FQ","BEST_FPERIOD_OVERRIDE=FQ","FILING_STATUS=MR","SCALING_FORMAT=MLN","Sort=A","Dates=H","DateFormat=P","Fill=—","Direction=H","UseDPDF=Y")</f>
        <v>755.4</v>
      </c>
      <c r="W41" s="12" cm="1">
        <f t="array" ref="W41">_xll.BDH("PCAR US Equity","CF_LT_DEBT_CAP_LEAS_PROCEEDS","FQ3 2023","FQ3 2023","Currency=USD","Period=FQ","BEST_FPERIOD_OVERRIDE=FQ","FILING_STATUS=MR","SCALING_FORMAT=MLN","Sort=A","Dates=H","DateFormat=P","Fill=—","Direction=H","UseDPDF=Y")</f>
        <v>816.7</v>
      </c>
      <c r="X41" s="12" cm="1">
        <f t="array" ref="X41">_xll.BDH("PCAR US Equity","CF_LT_DEBT_CAP_LEAS_PROCEEDS","FQ4 2023","FQ4 2023","Currency=USD","Period=FQ","BEST_FPERIOD_OVERRIDE=FQ","FILING_STATUS=MR","SCALING_FORMAT=MLN","Sort=A","Dates=H","DateFormat=P","Fill=—","Direction=H","UseDPDF=Y")</f>
        <v>686.8</v>
      </c>
      <c r="Y41" s="12" cm="1">
        <f t="array" ref="Y41">_xll.BDH("PCAR US Equity","CF_LT_DEBT_CAP_LEAS_PROCEEDS","FQ1 2024","FQ1 2024","Currency=USD","Period=FQ","BEST_FPERIOD_OVERRIDE=FQ","FILING_STATUS=MR","SCALING_FORMAT=MLN","Sort=A","Dates=H","DateFormat=P","Fill=—","Direction=H","UseDPDF=Y")</f>
        <v>1015</v>
      </c>
      <c r="Z41" s="12" cm="1">
        <f t="array" ref="Z41">_xll.BDH("PCAR US Equity","CF_LT_DEBT_CAP_LEAS_PROCEEDS","FQ2 2024","FQ2 2024","Currency=USD","Period=FQ","BEST_FPERIOD_OVERRIDE=FQ","FILING_STATUS=MR","SCALING_FORMAT=MLN","Sort=A","Dates=H","DateFormat=P","Fill=—","Direction=H","UseDPDF=Y")</f>
        <v>817.7</v>
      </c>
      <c r="AA41" s="12" cm="1">
        <f t="array" ref="AA41">_xll.BDH("PCAR US Equity","CF_LT_DEBT_CAP_LEAS_PROCEEDS","FQ3 2024","FQ3 2024","Currency=USD","Period=FQ","BEST_FPERIOD_OVERRIDE=FQ","FILING_STATUS=MR","SCALING_FORMAT=MLN","Sort=A","Dates=H","DateFormat=P","Fill=—","Direction=H","UseDPDF=Y")</f>
        <v>1573.9</v>
      </c>
      <c r="AB41" s="12" cm="1">
        <f t="array" ref="AB41">_xll.BDH("PCAR US Equity","CF_LT_DEBT_CAP_LEAS_PROCEEDS","FQ4 2024","FQ4 2024","Currency=USD","Period=FQ","BEST_FPERIOD_OVERRIDE=FQ","FILING_STATUS=MR","SCALING_FORMAT=MLN","Sort=A","Dates=H","DateFormat=P","Fill=—","Direction=H","UseDPDF=Y")</f>
        <v>484.6</v>
      </c>
      <c r="AC41" s="12" cm="1">
        <f t="array" ref="AC41">_xll.BDH("PCAR US Equity","CF_LT_DEBT_CAP_LEAS_PROCEEDS","FQ1 2025","FQ1 2025","Currency=USD","Period=FQ","BEST_FPERIOD_OVERRIDE=FQ","FILING_STATUS=MR","SCALING_FORMAT=MLN","Sort=A","Dates=H","DateFormat=P","Fill=—","Direction=H","UseDPDF=Y")</f>
        <v>697.5</v>
      </c>
      <c r="AD41" s="12" cm="1">
        <f t="array" ref="AD41">_xll.BDH("PCAR US Equity","CF_LT_DEBT_CAP_LEAS_PROCEEDS","FQ2 2025","FQ2 2025","Currency=USD","Period=FQ","BEST_FPERIOD_OVERRIDE=FQ","FILING_STATUS=MR","SCALING_FORMAT=MLN","Sort=A","Dates=H","DateFormat=P","Fill=—","Direction=H","UseDPDF=Y")</f>
        <v>1161</v>
      </c>
      <c r="AE41" s="12" cm="1">
        <f t="array" ref="AE41">_xll.BDH("PCAR US Equity","CF_LT_DEBT_CAP_LEAS_PROCEEDS","FQ3 2025","FQ3 2025","Currency=USD","Period=FQ","BEST_FPERIOD_OVERRIDE=FQ","FILING_STATUS=MR","SCALING_FORMAT=MLN","Sort=A","Dates=H","DateFormat=P","Fill=—","Direction=H","UseDPDF=Y")</f>
        <v>518.79999999999995</v>
      </c>
      <c r="AF41" s="12" t="str" cm="1">
        <f t="array" ref="AF41">_xll.BDH("PCAR US Equity","CF_LT_DEBT_CAP_LEAS_PROCEEDS","FQ4 2025","FQ4 2025","Currency=USD","Period=FQ","BEST_FPERIOD_OVERRIDE=FQ","FILING_STATUS=MR","SCALING_FORMAT=MLN","Sort=A","Dates=H","DateFormat=P","Fill=—","Direction=H","UseDPDF=Y")</f>
        <v>—</v>
      </c>
    </row>
    <row r="42" spans="1:32" x14ac:dyDescent="0.25">
      <c r="A42" s="10" t="s">
        <v>127</v>
      </c>
      <c r="B42" s="10" t="s">
        <v>128</v>
      </c>
      <c r="C42" s="12" cm="1">
        <f t="array" ref="C42">_xll.BDH("PCAR US Equity","CF_LT_DEBT_CAP_LEAS_PAYMENT","FQ3 2018","FQ3 2018","Currency=USD","Period=FQ","BEST_FPERIOD_OVERRIDE=FQ","FILING_STATUS=MR","SCALING_FORMAT=MLN","Sort=A","Dates=H","DateFormat=P","Fill=—","Direction=H","UseDPDF=Y")</f>
        <v>-257.7</v>
      </c>
      <c r="D42" s="12" cm="1">
        <f t="array" ref="D42">_xll.BDH("PCAR US Equity","CF_LT_DEBT_CAP_LEAS_PAYMENT","FQ4 2018","FQ4 2018","Currency=USD","Period=FQ","BEST_FPERIOD_OVERRIDE=FQ","FILING_STATUS=MR","SCALING_FORMAT=MLN","Sort=A","Dates=H","DateFormat=P","Fill=—","Direction=H","UseDPDF=Y")</f>
        <v>-353</v>
      </c>
      <c r="E42" s="12" cm="1">
        <f t="array" ref="E42">_xll.BDH("PCAR US Equity","CF_LT_DEBT_CAP_LEAS_PAYMENT","FQ1 2019","FQ1 2019","Currency=USD","Period=FQ","BEST_FPERIOD_OVERRIDE=FQ","FILING_STATUS=MR","SCALING_FORMAT=MLN","Sort=A","Dates=H","DateFormat=P","Fill=—","Direction=H","UseDPDF=Y")</f>
        <v>-250</v>
      </c>
      <c r="F42" s="12" cm="1">
        <f t="array" ref="F42">_xll.BDH("PCAR US Equity","CF_LT_DEBT_CAP_LEAS_PAYMENT","FQ2 2019","FQ2 2019","Currency=USD","Period=FQ","BEST_FPERIOD_OVERRIDE=FQ","FILING_STATUS=MR","SCALING_FORMAT=MLN","Sort=A","Dates=H","DateFormat=P","Fill=—","Direction=H","UseDPDF=Y")</f>
        <v>-866.9</v>
      </c>
      <c r="G42" s="12" cm="1">
        <f t="array" ref="G42">_xll.BDH("PCAR US Equity","CF_LT_DEBT_CAP_LEAS_PAYMENT","FQ3 2019","FQ3 2019","Currency=USD","Period=FQ","BEST_FPERIOD_OVERRIDE=FQ","FILING_STATUS=MR","SCALING_FORMAT=MLN","Sort=A","Dates=H","DateFormat=P","Fill=—","Direction=H","UseDPDF=Y")</f>
        <v>-560.29999999999995</v>
      </c>
      <c r="H42" s="12" cm="1">
        <f t="array" ref="H42">_xll.BDH("PCAR US Equity","CF_LT_DEBT_CAP_LEAS_PAYMENT","FQ4 2019","FQ4 2019","Currency=USD","Period=FQ","BEST_FPERIOD_OVERRIDE=FQ","FILING_STATUS=MR","SCALING_FORMAT=MLN","Sort=A","Dates=H","DateFormat=P","Fill=—","Direction=H","UseDPDF=Y")</f>
        <v>-112.8</v>
      </c>
      <c r="I42" s="12" cm="1">
        <f t="array" ref="I42">_xll.BDH("PCAR US Equity","CF_LT_DEBT_CAP_LEAS_PAYMENT","FQ1 2020","FQ1 2020","Currency=USD","Period=FQ","BEST_FPERIOD_OVERRIDE=FQ","FILING_STATUS=MR","SCALING_FORMAT=MLN","Sort=A","Dates=H","DateFormat=P","Fill=—","Direction=H","UseDPDF=Y")</f>
        <v>-467.6</v>
      </c>
      <c r="J42" s="12" cm="1">
        <f t="array" ref="J42">_xll.BDH("PCAR US Equity","CF_LT_DEBT_CAP_LEAS_PAYMENT","FQ2 2020","FQ2 2020","Currency=USD","Period=FQ","BEST_FPERIOD_OVERRIDE=FQ","FILING_STATUS=MR","SCALING_FORMAT=MLN","Sort=A","Dates=H","DateFormat=P","Fill=—","Direction=H","UseDPDF=Y")</f>
        <v>-544.79999999999995</v>
      </c>
      <c r="K42" s="12" cm="1">
        <f t="array" ref="K42">_xll.BDH("PCAR US Equity","CF_LT_DEBT_CAP_LEAS_PAYMENT","FQ3 2020","FQ3 2020","Currency=USD","Period=FQ","BEST_FPERIOD_OVERRIDE=FQ","FILING_STATUS=MR","SCALING_FORMAT=MLN","Sort=A","Dates=H","DateFormat=P","Fill=—","Direction=H","UseDPDF=Y")</f>
        <v>-406.7</v>
      </c>
      <c r="L42" s="12" cm="1">
        <f t="array" ref="L42">_xll.BDH("PCAR US Equity","CF_LT_DEBT_CAP_LEAS_PAYMENT","FQ4 2020","FQ4 2020","Currency=USD","Period=FQ","BEST_FPERIOD_OVERRIDE=FQ","FILING_STATUS=MR","SCALING_FORMAT=MLN","Sort=A","Dates=H","DateFormat=P","Fill=—","Direction=H","UseDPDF=Y")</f>
        <v>-479.4</v>
      </c>
      <c r="M42" s="12" cm="1">
        <f t="array" ref="M42">_xll.BDH("PCAR US Equity","CF_LT_DEBT_CAP_LEAS_PAYMENT","FQ1 2021","FQ1 2021","Currency=USD","Period=FQ","BEST_FPERIOD_OVERRIDE=FQ","FILING_STATUS=MR","SCALING_FORMAT=MLN","Sort=A","Dates=H","DateFormat=P","Fill=—","Direction=H","UseDPDF=Y")</f>
        <v>-691</v>
      </c>
      <c r="N42" s="12" cm="1">
        <f t="array" ref="N42">_xll.BDH("PCAR US Equity","CF_LT_DEBT_CAP_LEAS_PAYMENT","FQ2 2021","FQ2 2021","Currency=USD","Period=FQ","BEST_FPERIOD_OVERRIDE=FQ","FILING_STATUS=MR","SCALING_FORMAT=MLN","Sort=A","Dates=H","DateFormat=P","Fill=—","Direction=H","UseDPDF=Y")</f>
        <v>-974.5</v>
      </c>
      <c r="O42" s="12" cm="1">
        <f t="array" ref="O42">_xll.BDH("PCAR US Equity","CF_LT_DEBT_CAP_LEAS_PAYMENT","FQ3 2021","FQ3 2021","Currency=USD","Period=FQ","BEST_FPERIOD_OVERRIDE=FQ","FILING_STATUS=MR","SCALING_FORMAT=MLN","Sort=A","Dates=H","DateFormat=P","Fill=—","Direction=H","UseDPDF=Y")</f>
        <v>-661.7</v>
      </c>
      <c r="P42" s="12" cm="1">
        <f t="array" ref="P42">_xll.BDH("PCAR US Equity","CF_LT_DEBT_CAP_LEAS_PAYMENT","FQ4 2021","FQ4 2021","Currency=USD","Period=FQ","BEST_FPERIOD_OVERRIDE=FQ","FILING_STATUS=MR","SCALING_FORMAT=MLN","Sort=A","Dates=H","DateFormat=P","Fill=—","Direction=H","UseDPDF=Y")</f>
        <v>-9.5</v>
      </c>
      <c r="Q42" s="12" cm="1">
        <f t="array" ref="Q42">_xll.BDH("PCAR US Equity","CF_LT_DEBT_CAP_LEAS_PAYMENT","FQ1 2022","FQ1 2022","Currency=USD","Period=FQ","BEST_FPERIOD_OVERRIDE=FQ","FILING_STATUS=MR","SCALING_FORMAT=MLN","Sort=A","Dates=H","DateFormat=P","Fill=—","Direction=H","UseDPDF=Y")</f>
        <v>-645.1</v>
      </c>
      <c r="R42" s="12" cm="1">
        <f t="array" ref="R42">_xll.BDH("PCAR US Equity","CF_LT_DEBT_CAP_LEAS_PAYMENT","FQ2 2022","FQ2 2022","Currency=USD","Period=FQ","BEST_FPERIOD_OVERRIDE=FQ","FILING_STATUS=MR","SCALING_FORMAT=MLN","Sort=A","Dates=H","DateFormat=P","Fill=—","Direction=H","UseDPDF=Y")</f>
        <v>-724.6</v>
      </c>
      <c r="S42" s="12" cm="1">
        <f t="array" ref="S42">_xll.BDH("PCAR US Equity","CF_LT_DEBT_CAP_LEAS_PAYMENT","FQ3 2022","FQ3 2022","Currency=USD","Period=FQ","BEST_FPERIOD_OVERRIDE=FQ","FILING_STATUS=MR","SCALING_FORMAT=MLN","Sort=A","Dates=H","DateFormat=P","Fill=—","Direction=H","UseDPDF=Y")</f>
        <v>-723</v>
      </c>
      <c r="T42" s="12" cm="1">
        <f t="array" ref="T42">_xll.BDH("PCAR US Equity","CF_LT_DEBT_CAP_LEAS_PAYMENT","FQ4 2022","FQ4 2022","Currency=USD","Period=FQ","BEST_FPERIOD_OVERRIDE=FQ","FILING_STATUS=MR","SCALING_FORMAT=MLN","Sort=A","Dates=H","DateFormat=P","Fill=—","Direction=H","UseDPDF=Y")</f>
        <v>-173.1</v>
      </c>
      <c r="U42" s="12" cm="1">
        <f t="array" ref="U42">_xll.BDH("PCAR US Equity","CF_LT_DEBT_CAP_LEAS_PAYMENT","FQ1 2023","FQ1 2023","Currency=USD","Period=FQ","BEST_FPERIOD_OVERRIDE=FQ","FILING_STATUS=MR","SCALING_FORMAT=MLN","Sort=A","Dates=H","DateFormat=P","Fill=—","Direction=H","UseDPDF=Y")</f>
        <v>-638.70000000000005</v>
      </c>
      <c r="V42" s="12" cm="1">
        <f t="array" ref="V42">_xll.BDH("PCAR US Equity","CF_LT_DEBT_CAP_LEAS_PAYMENT","FQ2 2023","FQ2 2023","Currency=USD","Period=FQ","BEST_FPERIOD_OVERRIDE=FQ","FILING_STATUS=MR","SCALING_FORMAT=MLN","Sort=A","Dates=H","DateFormat=P","Fill=—","Direction=H","UseDPDF=Y")</f>
        <v>-821.8</v>
      </c>
      <c r="W42" s="12" cm="1">
        <f t="array" ref="W42">_xll.BDH("PCAR US Equity","CF_LT_DEBT_CAP_LEAS_PAYMENT","FQ3 2023","FQ3 2023","Currency=USD","Period=FQ","BEST_FPERIOD_OVERRIDE=FQ","FILING_STATUS=MR","SCALING_FORMAT=MLN","Sort=A","Dates=H","DateFormat=P","Fill=—","Direction=H","UseDPDF=Y")</f>
        <v>-757.8</v>
      </c>
      <c r="X42" s="12" cm="1">
        <f t="array" ref="X42">_xll.BDH("PCAR US Equity","CF_LT_DEBT_CAP_LEAS_PAYMENT","FQ4 2023","FQ4 2023","Currency=USD","Period=FQ","BEST_FPERIOD_OVERRIDE=FQ","FILING_STATUS=MR","SCALING_FORMAT=MLN","Sort=A","Dates=H","DateFormat=P","Fill=—","Direction=H","UseDPDF=Y")</f>
        <v>-14.9</v>
      </c>
      <c r="Y42" s="12" cm="1">
        <f t="array" ref="Y42">_xll.BDH("PCAR US Equity","CF_LT_DEBT_CAP_LEAS_PAYMENT","FQ1 2024","FQ1 2024","Currency=USD","Period=FQ","BEST_FPERIOD_OVERRIDE=FQ","FILING_STATUS=MR","SCALING_FORMAT=MLN","Sort=A","Dates=H","DateFormat=P","Fill=—","Direction=H","UseDPDF=Y")</f>
        <v>-548.29999999999995</v>
      </c>
      <c r="Z42" s="12" cm="1">
        <f t="array" ref="Z42">_xll.BDH("PCAR US Equity","CF_LT_DEBT_CAP_LEAS_PAYMENT","FQ2 2024","FQ2 2024","Currency=USD","Period=FQ","BEST_FPERIOD_OVERRIDE=FQ","FILING_STATUS=MR","SCALING_FORMAT=MLN","Sort=A","Dates=H","DateFormat=P","Fill=—","Direction=H","UseDPDF=Y")</f>
        <v>-742.9</v>
      </c>
      <c r="AA42" s="12" cm="1">
        <f t="array" ref="AA42">_xll.BDH("PCAR US Equity","CF_LT_DEBT_CAP_LEAS_PAYMENT","FQ3 2024","FQ3 2024","Currency=USD","Period=FQ","BEST_FPERIOD_OVERRIDE=FQ","FILING_STATUS=MR","SCALING_FORMAT=MLN","Sort=A","Dates=H","DateFormat=P","Fill=—","Direction=H","UseDPDF=Y")</f>
        <v>-805.8</v>
      </c>
      <c r="AB42" s="12" cm="1">
        <f t="array" ref="AB42">_xll.BDH("PCAR US Equity","CF_LT_DEBT_CAP_LEAS_PAYMENT","FQ4 2024","FQ4 2024","Currency=USD","Period=FQ","BEST_FPERIOD_OVERRIDE=FQ","FILING_STATUS=MR","SCALING_FORMAT=MLN","Sort=A","Dates=H","DateFormat=P","Fill=—","Direction=H","UseDPDF=Y")</f>
        <v>-376.1</v>
      </c>
      <c r="AC42" s="12" cm="1">
        <f t="array" ref="AC42">_xll.BDH("PCAR US Equity","CF_LT_DEBT_CAP_LEAS_PAYMENT","FQ1 2025","FQ1 2025","Currency=USD","Period=FQ","BEST_FPERIOD_OVERRIDE=FQ","FILING_STATUS=MR","SCALING_FORMAT=MLN","Sort=A","Dates=H","DateFormat=P","Fill=—","Direction=H","UseDPDF=Y")</f>
        <v>-756.4</v>
      </c>
      <c r="AD42" s="12" cm="1">
        <f t="array" ref="AD42">_xll.BDH("PCAR US Equity","CF_LT_DEBT_CAP_LEAS_PAYMENT","FQ2 2025","FQ2 2025","Currency=USD","Period=FQ","BEST_FPERIOD_OVERRIDE=FQ","FILING_STATUS=MR","SCALING_FORMAT=MLN","Sort=A","Dates=H","DateFormat=P","Fill=—","Direction=H","UseDPDF=Y")</f>
        <v>-513.5</v>
      </c>
      <c r="AE42" s="12" cm="1">
        <f t="array" ref="AE42">_xll.BDH("PCAR US Equity","CF_LT_DEBT_CAP_LEAS_PAYMENT","FQ3 2025","FQ3 2025","Currency=USD","Period=FQ","BEST_FPERIOD_OVERRIDE=FQ","FILING_STATUS=MR","SCALING_FORMAT=MLN","Sort=A","Dates=H","DateFormat=P","Fill=—","Direction=H","UseDPDF=Y")</f>
        <v>-624.79999999999995</v>
      </c>
      <c r="AF42" s="12" t="str" cm="1">
        <f t="array" ref="AF42">_xll.BDH("PCAR US Equity","CF_LT_DEBT_CAP_LEAS_PAYMENT","FQ4 2025","FQ4 2025","Currency=USD","Period=FQ","BEST_FPERIOD_OVERRIDE=FQ","FILING_STATUS=MR","SCALING_FORMAT=MLN","Sort=A","Dates=H","DateFormat=P","Fill=—","Direction=H","UseDPDF=Y")</f>
        <v>—</v>
      </c>
    </row>
    <row r="43" spans="1:32" x14ac:dyDescent="0.25">
      <c r="A43" s="10" t="s">
        <v>129</v>
      </c>
      <c r="B43" s="10" t="s">
        <v>130</v>
      </c>
      <c r="C43" s="12" cm="1">
        <f t="array" ref="C43">_xll.BDH("PCAR US Equity","PROC_FR_REPURCH_EQTY_DETAILED","FQ3 2018","FQ3 2018","Currency=USD","Period=FQ","BEST_FPERIOD_OVERRIDE=FQ","FILING_STATUS=MR","SCALING_FORMAT=MLN","Sort=A","Dates=H","DateFormat=P","Fill=—","Direction=H","UseDPDF=Y")</f>
        <v>-56.7</v>
      </c>
      <c r="D43" s="12" cm="1">
        <f t="array" ref="D43">_xll.BDH("PCAR US Equity","PROC_FR_REPURCH_EQTY_DETAILED","FQ4 2018","FQ4 2018","Currency=USD","Period=FQ","BEST_FPERIOD_OVERRIDE=FQ","FILING_STATUS=MR","SCALING_FORMAT=MLN","Sort=A","Dates=H","DateFormat=P","Fill=—","Direction=H","UseDPDF=Y")</f>
        <v>-195.1</v>
      </c>
      <c r="E43" s="12" cm="1">
        <f t="array" ref="E43">_xll.BDH("PCAR US Equity","PROC_FR_REPURCH_EQTY_DETAILED","FQ1 2019","FQ1 2019","Currency=USD","Period=FQ","BEST_FPERIOD_OVERRIDE=FQ","FILING_STATUS=MR","SCALING_FORMAT=MLN","Sort=A","Dates=H","DateFormat=P","Fill=—","Direction=H","UseDPDF=Y")</f>
        <v>-17</v>
      </c>
      <c r="F43" s="12" cm="1">
        <f t="array" ref="F43">_xll.BDH("PCAR US Equity","PROC_FR_REPURCH_EQTY_DETAILED","FQ2 2019","FQ2 2019","Currency=USD","Period=FQ","BEST_FPERIOD_OVERRIDE=FQ","FILING_STATUS=MR","SCALING_FORMAT=MLN","Sort=A","Dates=H","DateFormat=P","Fill=—","Direction=H","UseDPDF=Y")</f>
        <v>-15.6</v>
      </c>
      <c r="G43" s="12" cm="1">
        <f t="array" ref="G43">_xll.BDH("PCAR US Equity","PROC_FR_REPURCH_EQTY_DETAILED","FQ3 2019","FQ3 2019","Currency=USD","Period=FQ","BEST_FPERIOD_OVERRIDE=FQ","FILING_STATUS=MR","SCALING_FORMAT=MLN","Sort=A","Dates=H","DateFormat=P","Fill=—","Direction=H","UseDPDF=Y")</f>
        <v>-43.8</v>
      </c>
      <c r="H43" s="12" cm="1">
        <f t="array" ref="H43">_xll.BDH("PCAR US Equity","PROC_FR_REPURCH_EQTY_DETAILED","FQ4 2019","FQ4 2019","Currency=USD","Period=FQ","BEST_FPERIOD_OVERRIDE=FQ","FILING_STATUS=MR","SCALING_FORMAT=MLN","Sort=A","Dates=H","DateFormat=P","Fill=—","Direction=H","UseDPDF=Y")</f>
        <v>27</v>
      </c>
      <c r="I43" s="12" cm="1">
        <f t="array" ref="I43">_xll.BDH("PCAR US Equity","PROC_FR_REPURCH_EQTY_DETAILED","FQ1 2020","FQ1 2020","Currency=USD","Period=FQ","BEST_FPERIOD_OVERRIDE=FQ","FILING_STATUS=MR","SCALING_FORMAT=MLN","Sort=A","Dates=H","DateFormat=P","Fill=—","Direction=H","UseDPDF=Y")</f>
        <v>-35.200000000000003</v>
      </c>
      <c r="J43" s="12" cm="1">
        <f t="array" ref="J43">_xll.BDH("PCAR US Equity","PROC_FR_REPURCH_EQTY_DETAILED","FQ2 2020","FQ2 2020","Currency=USD","Period=FQ","BEST_FPERIOD_OVERRIDE=FQ","FILING_STATUS=MR","SCALING_FORMAT=MLN","Sort=A","Dates=H","DateFormat=P","Fill=—","Direction=H","UseDPDF=Y")</f>
        <v>4.9000000000000004</v>
      </c>
      <c r="K43" s="12" cm="1">
        <f t="array" ref="K43">_xll.BDH("PCAR US Equity","PROC_FR_REPURCH_EQTY_DETAILED","FQ3 2020","FQ3 2020","Currency=USD","Period=FQ","BEST_FPERIOD_OVERRIDE=FQ","FILING_STATUS=MR","SCALING_FORMAT=MLN","Sort=A","Dates=H","DateFormat=P","Fill=—","Direction=H","UseDPDF=Y")</f>
        <v>30</v>
      </c>
      <c r="L43" s="12" cm="1">
        <f t="array" ref="L43">_xll.BDH("PCAR US Equity","PROC_FR_REPURCH_EQTY_DETAILED","FQ4 2020","FQ4 2020","Currency=USD","Period=FQ","BEST_FPERIOD_OVERRIDE=FQ","FILING_STATUS=MR","SCALING_FORMAT=MLN","Sort=A","Dates=H","DateFormat=P","Fill=—","Direction=H","UseDPDF=Y")</f>
        <v>11.9</v>
      </c>
      <c r="M43" s="12" cm="1">
        <f t="array" ref="M43">_xll.BDH("PCAR US Equity","PROC_FR_REPURCH_EQTY_DETAILED","FQ1 2021","FQ1 2021","Currency=USD","Period=FQ","BEST_FPERIOD_OVERRIDE=FQ","FILING_STATUS=MR","SCALING_FORMAT=MLN","Sort=A","Dates=H","DateFormat=P","Fill=—","Direction=H","UseDPDF=Y")</f>
        <v>27.4</v>
      </c>
      <c r="N43" s="12" cm="1">
        <f t="array" ref="N43">_xll.BDH("PCAR US Equity","PROC_FR_REPURCH_EQTY_DETAILED","FQ2 2021","FQ2 2021","Currency=USD","Period=FQ","BEST_FPERIOD_OVERRIDE=FQ","FILING_STATUS=MR","SCALING_FORMAT=MLN","Sort=A","Dates=H","DateFormat=P","Fill=—","Direction=H","UseDPDF=Y")</f>
        <v>1.3</v>
      </c>
      <c r="O43" s="12" cm="1">
        <f t="array" ref="O43">_xll.BDH("PCAR US Equity","PROC_FR_REPURCH_EQTY_DETAILED","FQ3 2021","FQ3 2021","Currency=USD","Period=FQ","BEST_FPERIOD_OVERRIDE=FQ","FILING_STATUS=MR","SCALING_FORMAT=MLN","Sort=A","Dates=H","DateFormat=P","Fill=—","Direction=H","UseDPDF=Y")</f>
        <v>-0.1</v>
      </c>
      <c r="P43" s="12" cm="1">
        <f t="array" ref="P43">_xll.BDH("PCAR US Equity","PROC_FR_REPURCH_EQTY_DETAILED","FQ4 2021","FQ4 2021","Currency=USD","Period=FQ","BEST_FPERIOD_OVERRIDE=FQ","FILING_STATUS=MR","SCALING_FORMAT=MLN","Sort=A","Dates=H","DateFormat=P","Fill=—","Direction=H","UseDPDF=Y")</f>
        <v>7.4</v>
      </c>
      <c r="Q43" s="12" cm="1">
        <f t="array" ref="Q43">_xll.BDH("PCAR US Equity","PROC_FR_REPURCH_EQTY_DETAILED","FQ1 2022","FQ1 2022","Currency=USD","Period=FQ","BEST_FPERIOD_OVERRIDE=FQ","FILING_STATUS=MR","SCALING_FORMAT=MLN","Sort=A","Dates=H","DateFormat=P","Fill=—","Direction=H","UseDPDF=Y")</f>
        <v>14.8</v>
      </c>
      <c r="R43" s="12" cm="1">
        <f t="array" ref="R43">_xll.BDH("PCAR US Equity","PROC_FR_REPURCH_EQTY_DETAILED","FQ2 2022","FQ2 2022","Currency=USD","Period=FQ","BEST_FPERIOD_OVERRIDE=FQ","FILING_STATUS=MR","SCALING_FORMAT=MLN","Sort=A","Dates=H","DateFormat=P","Fill=—","Direction=H","UseDPDF=Y")</f>
        <v>1.7</v>
      </c>
      <c r="S43" s="12" cm="1">
        <f t="array" ref="S43">_xll.BDH("PCAR US Equity","PROC_FR_REPURCH_EQTY_DETAILED","FQ3 2022","FQ3 2022","Currency=USD","Period=FQ","BEST_FPERIOD_OVERRIDE=FQ","FILING_STATUS=MR","SCALING_FORMAT=MLN","Sort=A","Dates=H","DateFormat=P","Fill=—","Direction=H","UseDPDF=Y")</f>
        <v>3.2</v>
      </c>
      <c r="T43" s="12" cm="1">
        <f t="array" ref="T43">_xll.BDH("PCAR US Equity","PROC_FR_REPURCH_EQTY_DETAILED","FQ4 2022","FQ4 2022","Currency=USD","Period=FQ","BEST_FPERIOD_OVERRIDE=FQ","FILING_STATUS=MR","SCALING_FORMAT=MLN","Sort=A","Dates=H","DateFormat=P","Fill=—","Direction=H","UseDPDF=Y")</f>
        <v>13.9</v>
      </c>
      <c r="U43" s="12" cm="1">
        <f t="array" ref="U43">_xll.BDH("PCAR US Equity","PROC_FR_REPURCH_EQTY_DETAILED","FQ1 2023","FQ1 2023","Currency=USD","Period=FQ","BEST_FPERIOD_OVERRIDE=FQ","FILING_STATUS=MR","SCALING_FORMAT=MLN","Sort=A","Dates=H","DateFormat=P","Fill=—","Direction=H","UseDPDF=Y")</f>
        <v>17.5</v>
      </c>
      <c r="V43" s="12" cm="1">
        <f t="array" ref="V43">_xll.BDH("PCAR US Equity","PROC_FR_REPURCH_EQTY_DETAILED","FQ2 2023","FQ2 2023","Currency=USD","Period=FQ","BEST_FPERIOD_OVERRIDE=FQ","FILING_STATUS=MR","SCALING_FORMAT=MLN","Sort=A","Dates=H","DateFormat=P","Fill=—","Direction=H","UseDPDF=Y")</f>
        <v>8.3000000000000007</v>
      </c>
      <c r="W43" s="12" cm="1">
        <f t="array" ref="W43">_xll.BDH("PCAR US Equity","PROC_FR_REPURCH_EQTY_DETAILED","FQ3 2023","FQ3 2023","Currency=USD","Period=FQ","BEST_FPERIOD_OVERRIDE=FQ","FILING_STATUS=MR","SCALING_FORMAT=MLN","Sort=A","Dates=H","DateFormat=P","Fill=—","Direction=H","UseDPDF=Y")</f>
        <v>14.2</v>
      </c>
      <c r="X43" s="12" cm="1">
        <f t="array" ref="X43">_xll.BDH("PCAR US Equity","PROC_FR_REPURCH_EQTY_DETAILED","FQ4 2023","FQ4 2023","Currency=USD","Period=FQ","BEST_FPERIOD_OVERRIDE=FQ","FILING_STATUS=MR","SCALING_FORMAT=MLN","Sort=A","Dates=H","DateFormat=P","Fill=—","Direction=H","UseDPDF=Y")</f>
        <v>8</v>
      </c>
      <c r="Y43" s="12" cm="1">
        <f t="array" ref="Y43">_xll.BDH("PCAR US Equity","PROC_FR_REPURCH_EQTY_DETAILED","FQ1 2024","FQ1 2024","Currency=USD","Period=FQ","BEST_FPERIOD_OVERRIDE=FQ","FILING_STATUS=MR","SCALING_FORMAT=MLN","Sort=A","Dates=H","DateFormat=P","Fill=—","Direction=H","UseDPDF=Y")</f>
        <v>31.4</v>
      </c>
      <c r="Z43" s="12" cm="1">
        <f t="array" ref="Z43">_xll.BDH("PCAR US Equity","PROC_FR_REPURCH_EQTY_DETAILED","FQ2 2024","FQ2 2024","Currency=USD","Period=FQ","BEST_FPERIOD_OVERRIDE=FQ","FILING_STATUS=MR","SCALING_FORMAT=MLN","Sort=A","Dates=H","DateFormat=P","Fill=—","Direction=H","UseDPDF=Y")</f>
        <v>6.9</v>
      </c>
      <c r="AA43" s="12" cm="1">
        <f t="array" ref="AA43">_xll.BDH("PCAR US Equity","PROC_FR_REPURCH_EQTY_DETAILED","FQ3 2024","FQ3 2024","Currency=USD","Period=FQ","BEST_FPERIOD_OVERRIDE=FQ","FILING_STATUS=MR","SCALING_FORMAT=MLN","Sort=A","Dates=H","DateFormat=P","Fill=—","Direction=H","UseDPDF=Y")</f>
        <v>2.5</v>
      </c>
      <c r="AB43" s="12" cm="1">
        <f t="array" ref="AB43">_xll.BDH("PCAR US Equity","PROC_FR_REPURCH_EQTY_DETAILED","FQ4 2024","FQ4 2024","Currency=USD","Period=FQ","BEST_FPERIOD_OVERRIDE=FQ","FILING_STATUS=MR","SCALING_FORMAT=MLN","Sort=A","Dates=H","DateFormat=P","Fill=—","Direction=H","UseDPDF=Y")</f>
        <v>6.6</v>
      </c>
      <c r="AC43" s="12" cm="1">
        <f t="array" ref="AC43">_xll.BDH("PCAR US Equity","PROC_FR_REPURCH_EQTY_DETAILED","FQ1 2025","FQ1 2025","Currency=USD","Period=FQ","BEST_FPERIOD_OVERRIDE=FQ","FILING_STATUS=MR","SCALING_FORMAT=MLN","Sort=A","Dates=H","DateFormat=P","Fill=—","Direction=H","UseDPDF=Y")</f>
        <v>18.2</v>
      </c>
      <c r="AD43" s="12" cm="1">
        <f t="array" ref="AD43">_xll.BDH("PCAR US Equity","PROC_FR_REPURCH_EQTY_DETAILED","FQ2 2025","FQ2 2025","Currency=USD","Period=FQ","BEST_FPERIOD_OVERRIDE=FQ","FILING_STATUS=MR","SCALING_FORMAT=MLN","Sort=A","Dates=H","DateFormat=P","Fill=—","Direction=H","UseDPDF=Y")</f>
        <v>-28.4</v>
      </c>
      <c r="AE43" s="12" cm="1">
        <f t="array" ref="AE43">_xll.BDH("PCAR US Equity","PROC_FR_REPURCH_EQTY_DETAILED","FQ3 2025","FQ3 2025","Currency=USD","Period=FQ","BEST_FPERIOD_OVERRIDE=FQ","FILING_STATUS=MR","SCALING_FORMAT=MLN","Sort=A","Dates=H","DateFormat=P","Fill=—","Direction=H","UseDPDF=Y")</f>
        <v>6.1</v>
      </c>
      <c r="AF43" s="12" cm="1">
        <f t="array" ref="AF43">_xll.BDH("PCAR US Equity","PROC_FR_REPURCH_EQTY_DETAILED","FQ4 2025","FQ4 2025","Currency=USD","Period=FQ","BEST_FPERIOD_OVERRIDE=FQ","FILING_STATUS=MR","SCALING_FORMAT=MLN","Sort=A","Dates=H","DateFormat=P","Fill=—","Direction=H","UseDPDF=Y")</f>
        <v>11.4</v>
      </c>
    </row>
    <row r="44" spans="1:32" x14ac:dyDescent="0.25">
      <c r="A44" s="10" t="s">
        <v>131</v>
      </c>
      <c r="B44" s="10" t="s">
        <v>132</v>
      </c>
      <c r="C44" s="12" cm="1">
        <f t="array" ref="C44">_xll.BDH("PCAR US Equity","CF_INCR_CAP_STOCK","FQ3 2018","FQ3 2018","Currency=USD","Period=FQ","BEST_FPERIOD_OVERRIDE=FQ","FILING_STATUS=MR","SCALING_FORMAT=MLN","Sort=A","Dates=H","DateFormat=P","Fill=—","Direction=H","UseDPDF=Y")</f>
        <v>2.2999999999999998</v>
      </c>
      <c r="D44" s="12" cm="1">
        <f t="array" ref="D44">_xll.BDH("PCAR US Equity","CF_INCR_CAP_STOCK","FQ4 2018","FQ4 2018","Currency=USD","Period=FQ","BEST_FPERIOD_OVERRIDE=FQ","FILING_STATUS=MR","SCALING_FORMAT=MLN","Sort=A","Dates=H","DateFormat=P","Fill=—","Direction=H","UseDPDF=Y")</f>
        <v>6.1</v>
      </c>
      <c r="E44" s="12" cm="1">
        <f t="array" ref="E44">_xll.BDH("PCAR US Equity","CF_INCR_CAP_STOCK","FQ1 2019","FQ1 2019","Currency=USD","Period=FQ","BEST_FPERIOD_OVERRIDE=FQ","FILING_STATUS=MR","SCALING_FORMAT=MLN","Sort=A","Dates=H","DateFormat=P","Fill=—","Direction=H","UseDPDF=Y")</f>
        <v>15.9</v>
      </c>
      <c r="F44" s="12" cm="1">
        <f t="array" ref="F44">_xll.BDH("PCAR US Equity","CF_INCR_CAP_STOCK","FQ2 2019","FQ2 2019","Currency=USD","Period=FQ","BEST_FPERIOD_OVERRIDE=FQ","FILING_STATUS=MR","SCALING_FORMAT=MLN","Sort=A","Dates=H","DateFormat=P","Fill=—","Direction=H","UseDPDF=Y")</f>
        <v>8</v>
      </c>
      <c r="G44" s="12" cm="1">
        <f t="array" ref="G44">_xll.BDH("PCAR US Equity","CF_INCR_CAP_STOCK","FQ3 2019","FQ3 2019","Currency=USD","Period=FQ","BEST_FPERIOD_OVERRIDE=FQ","FILING_STATUS=MR","SCALING_FORMAT=MLN","Sort=A","Dates=H","DateFormat=P","Fill=—","Direction=H","UseDPDF=Y")</f>
        <v>9.9</v>
      </c>
      <c r="H44" s="12" cm="1">
        <f t="array" ref="H44">_xll.BDH("PCAR US Equity","CF_INCR_CAP_STOCK","FQ4 2019","FQ4 2019","Currency=USD","Period=FQ","BEST_FPERIOD_OVERRIDE=FQ","FILING_STATUS=MR","SCALING_FORMAT=MLN","Sort=A","Dates=H","DateFormat=P","Fill=—","Direction=H","UseDPDF=Y")</f>
        <v>27</v>
      </c>
      <c r="I44" s="12" cm="1">
        <f t="array" ref="I44">_xll.BDH("PCAR US Equity","CF_INCR_CAP_STOCK","FQ1 2020","FQ1 2020","Currency=USD","Period=FQ","BEST_FPERIOD_OVERRIDE=FQ","FILING_STATUS=MR","SCALING_FORMAT=MLN","Sort=A","Dates=H","DateFormat=P","Fill=—","Direction=H","UseDPDF=Y")</f>
        <v>6.3</v>
      </c>
      <c r="J44" s="12" cm="1">
        <f t="array" ref="J44">_xll.BDH("PCAR US Equity","CF_INCR_CAP_STOCK","FQ2 2020","FQ2 2020","Currency=USD","Period=FQ","BEST_FPERIOD_OVERRIDE=FQ","FILING_STATUS=MR","SCALING_FORMAT=MLN","Sort=A","Dates=H","DateFormat=P","Fill=—","Direction=H","UseDPDF=Y")</f>
        <v>5</v>
      </c>
      <c r="K44" s="12" cm="1">
        <f t="array" ref="K44">_xll.BDH("PCAR US Equity","CF_INCR_CAP_STOCK","FQ3 2020","FQ3 2020","Currency=USD","Period=FQ","BEST_FPERIOD_OVERRIDE=FQ","FILING_STATUS=MR","SCALING_FORMAT=MLN","Sort=A","Dates=H","DateFormat=P","Fill=—","Direction=H","UseDPDF=Y")</f>
        <v>30</v>
      </c>
      <c r="L44" s="12" cm="1">
        <f t="array" ref="L44">_xll.BDH("PCAR US Equity","CF_INCR_CAP_STOCK","FQ4 2020","FQ4 2020","Currency=USD","Period=FQ","BEST_FPERIOD_OVERRIDE=FQ","FILING_STATUS=MR","SCALING_FORMAT=MLN","Sort=A","Dates=H","DateFormat=P","Fill=—","Direction=H","UseDPDF=Y")</f>
        <v>12.4</v>
      </c>
      <c r="M44" s="12" cm="1">
        <f t="array" ref="M44">_xll.BDH("PCAR US Equity","CF_INCR_CAP_STOCK","FQ1 2021","FQ1 2021","Currency=USD","Period=FQ","BEST_FPERIOD_OVERRIDE=FQ","FILING_STATUS=MR","SCALING_FORMAT=MLN","Sort=A","Dates=H","DateFormat=P","Fill=—","Direction=H","UseDPDF=Y")</f>
        <v>28.8</v>
      </c>
      <c r="N44" s="12" cm="1">
        <f t="array" ref="N44">_xll.BDH("PCAR US Equity","CF_INCR_CAP_STOCK","FQ2 2021","FQ2 2021","Currency=USD","Period=FQ","BEST_FPERIOD_OVERRIDE=FQ","FILING_STATUS=MR","SCALING_FORMAT=MLN","Sort=A","Dates=H","DateFormat=P","Fill=—","Direction=H","UseDPDF=Y")</f>
        <v>1.3</v>
      </c>
      <c r="O44" s="12" cm="1">
        <f t="array" ref="O44">_xll.BDH("PCAR US Equity","CF_INCR_CAP_STOCK","FQ3 2021","FQ3 2021","Currency=USD","Period=FQ","BEST_FPERIOD_OVERRIDE=FQ","FILING_STATUS=MR","SCALING_FORMAT=MLN","Sort=A","Dates=H","DateFormat=P","Fill=—","Direction=H","UseDPDF=Y")</f>
        <v>0</v>
      </c>
      <c r="P44" s="12" cm="1">
        <f t="array" ref="P44">_xll.BDH("PCAR US Equity","CF_INCR_CAP_STOCK","FQ4 2021","FQ4 2021","Currency=USD","Period=FQ","BEST_FPERIOD_OVERRIDE=FQ","FILING_STATUS=MR","SCALING_FORMAT=MLN","Sort=A","Dates=H","DateFormat=P","Fill=—","Direction=H","UseDPDF=Y")</f>
        <v>7.4</v>
      </c>
      <c r="Q44" s="12" cm="1">
        <f t="array" ref="Q44">_xll.BDH("PCAR US Equity","CF_INCR_CAP_STOCK","FQ1 2022","FQ1 2022","Currency=USD","Period=FQ","BEST_FPERIOD_OVERRIDE=FQ","FILING_STATUS=MR","SCALING_FORMAT=MLN","Sort=A","Dates=H","DateFormat=P","Fill=—","Direction=H","UseDPDF=Y")</f>
        <v>16.7</v>
      </c>
      <c r="R44" s="12" cm="1">
        <f t="array" ref="R44">_xll.BDH("PCAR US Equity","CF_INCR_CAP_STOCK","FQ2 2022","FQ2 2022","Currency=USD","Period=FQ","BEST_FPERIOD_OVERRIDE=FQ","FILING_STATUS=MR","SCALING_FORMAT=MLN","Sort=A","Dates=H","DateFormat=P","Fill=—","Direction=H","UseDPDF=Y")</f>
        <v>1.7</v>
      </c>
      <c r="S44" s="12" cm="1">
        <f t="array" ref="S44">_xll.BDH("PCAR US Equity","CF_INCR_CAP_STOCK","FQ3 2022","FQ3 2022","Currency=USD","Period=FQ","BEST_FPERIOD_OVERRIDE=FQ","FILING_STATUS=MR","SCALING_FORMAT=MLN","Sort=A","Dates=H","DateFormat=P","Fill=—","Direction=H","UseDPDF=Y")</f>
        <v>3.3</v>
      </c>
      <c r="T44" s="12" cm="1">
        <f t="array" ref="T44">_xll.BDH("PCAR US Equity","CF_INCR_CAP_STOCK","FQ4 2022","FQ4 2022","Currency=USD","Period=FQ","BEST_FPERIOD_OVERRIDE=FQ","FILING_STATUS=MR","SCALING_FORMAT=MLN","Sort=A","Dates=H","DateFormat=P","Fill=—","Direction=H","UseDPDF=Y")</f>
        <v>14</v>
      </c>
      <c r="U44" s="12" cm="1">
        <f t="array" ref="U44">_xll.BDH("PCAR US Equity","CF_INCR_CAP_STOCK","FQ1 2023","FQ1 2023","Currency=USD","Period=FQ","BEST_FPERIOD_OVERRIDE=FQ","FILING_STATUS=MR","SCALING_FORMAT=MLN","Sort=A","Dates=H","DateFormat=P","Fill=—","Direction=H","UseDPDF=Y")</f>
        <v>20.5</v>
      </c>
      <c r="V44" s="12" cm="1">
        <f t="array" ref="V44">_xll.BDH("PCAR US Equity","CF_INCR_CAP_STOCK","FQ2 2023","FQ2 2023","Currency=USD","Period=FQ","BEST_FPERIOD_OVERRIDE=FQ","FILING_STATUS=MR","SCALING_FORMAT=MLN","Sort=A","Dates=H","DateFormat=P","Fill=—","Direction=H","UseDPDF=Y")</f>
        <v>8.3000000000000007</v>
      </c>
      <c r="W44" s="12" cm="1">
        <f t="array" ref="W44">_xll.BDH("PCAR US Equity","CF_INCR_CAP_STOCK","FQ3 2023","FQ3 2023","Currency=USD","Period=FQ","BEST_FPERIOD_OVERRIDE=FQ","FILING_STATUS=MR","SCALING_FORMAT=MLN","Sort=A","Dates=H","DateFormat=P","Fill=—","Direction=H","UseDPDF=Y")</f>
        <v>14.3</v>
      </c>
      <c r="X44" s="12" cm="1">
        <f t="array" ref="X44">_xll.BDH("PCAR US Equity","CF_INCR_CAP_STOCK","FQ4 2023","FQ4 2023","Currency=USD","Period=FQ","BEST_FPERIOD_OVERRIDE=FQ","FILING_STATUS=MR","SCALING_FORMAT=MLN","Sort=A","Dates=H","DateFormat=P","Fill=—","Direction=H","UseDPDF=Y")</f>
        <v>8.4</v>
      </c>
      <c r="Y44" s="12" cm="1">
        <f t="array" ref="Y44">_xll.BDH("PCAR US Equity","CF_INCR_CAP_STOCK","FQ1 2024","FQ1 2024","Currency=USD","Period=FQ","BEST_FPERIOD_OVERRIDE=FQ","FILING_STATUS=MR","SCALING_FORMAT=MLN","Sort=A","Dates=H","DateFormat=P","Fill=—","Direction=H","UseDPDF=Y")</f>
        <v>35.4</v>
      </c>
      <c r="Z44" s="12" cm="1">
        <f t="array" ref="Z44">_xll.BDH("PCAR US Equity","CF_INCR_CAP_STOCK","FQ2 2024","FQ2 2024","Currency=USD","Period=FQ","BEST_FPERIOD_OVERRIDE=FQ","FILING_STATUS=MR","SCALING_FORMAT=MLN","Sort=A","Dates=H","DateFormat=P","Fill=—","Direction=H","UseDPDF=Y")</f>
        <v>6.9</v>
      </c>
      <c r="AA44" s="12" cm="1">
        <f t="array" ref="AA44">_xll.BDH("PCAR US Equity","CF_INCR_CAP_STOCK","FQ3 2024","FQ3 2024","Currency=USD","Period=FQ","BEST_FPERIOD_OVERRIDE=FQ","FILING_STATUS=MR","SCALING_FORMAT=MLN","Sort=A","Dates=H","DateFormat=P","Fill=—","Direction=H","UseDPDF=Y")</f>
        <v>3</v>
      </c>
      <c r="AB44" s="12" cm="1">
        <f t="array" ref="AB44">_xll.BDH("PCAR US Equity","CF_INCR_CAP_STOCK","FQ4 2024","FQ4 2024","Currency=USD","Period=FQ","BEST_FPERIOD_OVERRIDE=FQ","FILING_STATUS=MR","SCALING_FORMAT=MLN","Sort=A","Dates=H","DateFormat=P","Fill=—","Direction=H","UseDPDF=Y")</f>
        <v>6.6</v>
      </c>
      <c r="AC44" s="12" cm="1">
        <f t="array" ref="AC44">_xll.BDH("PCAR US Equity","CF_INCR_CAP_STOCK","FQ1 2025","FQ1 2025","Currency=USD","Period=FQ","BEST_FPERIOD_OVERRIDE=FQ","FILING_STATUS=MR","SCALING_FORMAT=MLN","Sort=A","Dates=H","DateFormat=P","Fill=—","Direction=H","UseDPDF=Y")</f>
        <v>22.5</v>
      </c>
      <c r="AD44" s="12" cm="1">
        <f t="array" ref="AD44">_xll.BDH("PCAR US Equity","CF_INCR_CAP_STOCK","FQ2 2025","FQ2 2025","Currency=USD","Period=FQ","BEST_FPERIOD_OVERRIDE=FQ","FILING_STATUS=MR","SCALING_FORMAT=MLN","Sort=A","Dates=H","DateFormat=P","Fill=—","Direction=H","UseDPDF=Y")</f>
        <v>2.2999999999999998</v>
      </c>
      <c r="AE44" s="12" cm="1">
        <f t="array" ref="AE44">_xll.BDH("PCAR US Equity","CF_INCR_CAP_STOCK","FQ3 2025","FQ3 2025","Currency=USD","Period=FQ","BEST_FPERIOD_OVERRIDE=FQ","FILING_STATUS=MR","SCALING_FORMAT=MLN","Sort=A","Dates=H","DateFormat=P","Fill=—","Direction=H","UseDPDF=Y")</f>
        <v>6.3</v>
      </c>
      <c r="AF44" s="12" cm="1">
        <f t="array" ref="AF44">_xll.BDH("PCAR US Equity","CF_INCR_CAP_STOCK","FQ4 2025","FQ4 2025","Currency=USD","Period=FQ","BEST_FPERIOD_OVERRIDE=FQ","FILING_STATUS=MR","SCALING_FORMAT=MLN","Sort=A","Dates=H","DateFormat=P","Fill=—","Direction=H","UseDPDF=Y")</f>
        <v>12.3</v>
      </c>
    </row>
    <row r="45" spans="1:32" x14ac:dyDescent="0.25">
      <c r="A45" s="10" t="s">
        <v>133</v>
      </c>
      <c r="B45" s="10" t="s">
        <v>134</v>
      </c>
      <c r="C45" s="12" cm="1">
        <f t="array" ref="C45">_xll.BDH("PCAR US Equity","CF_DECR_CAP_STOCK","FQ3 2018","FQ3 2018","Currency=USD","Period=FQ","BEST_FPERIOD_OVERRIDE=FQ","FILING_STATUS=MR","SCALING_FORMAT=MLN","Sort=A","Dates=H","DateFormat=P","Fill=—","Direction=H","UseDPDF=Y")</f>
        <v>-59</v>
      </c>
      <c r="D45" s="12" cm="1">
        <f t="array" ref="D45">_xll.BDH("PCAR US Equity","CF_DECR_CAP_STOCK","FQ4 2018","FQ4 2018","Currency=USD","Period=FQ","BEST_FPERIOD_OVERRIDE=FQ","FILING_STATUS=MR","SCALING_FORMAT=MLN","Sort=A","Dates=H","DateFormat=P","Fill=—","Direction=H","UseDPDF=Y")</f>
        <v>-201.2</v>
      </c>
      <c r="E45" s="12" cm="1">
        <f t="array" ref="E45">_xll.BDH("PCAR US Equity","CF_DECR_CAP_STOCK","FQ1 2019","FQ1 2019","Currency=USD","Period=FQ","BEST_FPERIOD_OVERRIDE=FQ","FILING_STATUS=MR","SCALING_FORMAT=MLN","Sort=A","Dates=H","DateFormat=P","Fill=—","Direction=H","UseDPDF=Y")</f>
        <v>-32.9</v>
      </c>
      <c r="F45" s="12" cm="1">
        <f t="array" ref="F45">_xll.BDH("PCAR US Equity","CF_DECR_CAP_STOCK","FQ2 2019","FQ2 2019","Currency=USD","Period=FQ","BEST_FPERIOD_OVERRIDE=FQ","FILING_STATUS=MR","SCALING_FORMAT=MLN","Sort=A","Dates=H","DateFormat=P","Fill=—","Direction=H","UseDPDF=Y")</f>
        <v>-23.6</v>
      </c>
      <c r="G45" s="12" cm="1">
        <f t="array" ref="G45">_xll.BDH("PCAR US Equity","CF_DECR_CAP_STOCK","FQ3 2019","FQ3 2019","Currency=USD","Period=FQ","BEST_FPERIOD_OVERRIDE=FQ","FILING_STATUS=MR","SCALING_FORMAT=MLN","Sort=A","Dates=H","DateFormat=P","Fill=—","Direction=H","UseDPDF=Y")</f>
        <v>-53.7</v>
      </c>
      <c r="H45" s="12" cm="1">
        <f t="array" ref="H45">_xll.BDH("PCAR US Equity","CF_DECR_CAP_STOCK","FQ4 2019","FQ4 2019","Currency=USD","Period=FQ","BEST_FPERIOD_OVERRIDE=FQ","FILING_STATUS=MR","SCALING_FORMAT=MLN","Sort=A","Dates=H","DateFormat=P","Fill=—","Direction=H","UseDPDF=Y")</f>
        <v>0</v>
      </c>
      <c r="I45" s="12" cm="1">
        <f t="array" ref="I45">_xll.BDH("PCAR US Equity","CF_DECR_CAP_STOCK","FQ1 2020","FQ1 2020","Currency=USD","Period=FQ","BEST_FPERIOD_OVERRIDE=FQ","FILING_STATUS=MR","SCALING_FORMAT=MLN","Sort=A","Dates=H","DateFormat=P","Fill=—","Direction=H","UseDPDF=Y")</f>
        <v>-41.5</v>
      </c>
      <c r="J45" s="12" cm="1">
        <f t="array" ref="J45">_xll.BDH("PCAR US Equity","CF_DECR_CAP_STOCK","FQ2 2020","FQ2 2020","Currency=USD","Period=FQ","BEST_FPERIOD_OVERRIDE=FQ","FILING_STATUS=MR","SCALING_FORMAT=MLN","Sort=A","Dates=H","DateFormat=P","Fill=—","Direction=H","UseDPDF=Y")</f>
        <v>-0.1</v>
      </c>
      <c r="K45" s="12" cm="1">
        <f t="array" ref="K45">_xll.BDH("PCAR US Equity","CF_DECR_CAP_STOCK","FQ3 2020","FQ3 2020","Currency=USD","Period=FQ","BEST_FPERIOD_OVERRIDE=FQ","FILING_STATUS=MR","SCALING_FORMAT=MLN","Sort=A","Dates=H","DateFormat=P","Fill=—","Direction=H","UseDPDF=Y")</f>
        <v>0</v>
      </c>
      <c r="L45" s="12" cm="1">
        <f t="array" ref="L45">_xll.BDH("PCAR US Equity","CF_DECR_CAP_STOCK","FQ4 2020","FQ4 2020","Currency=USD","Period=FQ","BEST_FPERIOD_OVERRIDE=FQ","FILING_STATUS=MR","SCALING_FORMAT=MLN","Sort=A","Dates=H","DateFormat=P","Fill=—","Direction=H","UseDPDF=Y")</f>
        <v>-0.5</v>
      </c>
      <c r="M45" s="12" cm="1">
        <f t="array" ref="M45">_xll.BDH("PCAR US Equity","CF_DECR_CAP_STOCK","FQ1 2021","FQ1 2021","Currency=USD","Period=FQ","BEST_FPERIOD_OVERRIDE=FQ","FILING_STATUS=MR","SCALING_FORMAT=MLN","Sort=A","Dates=H","DateFormat=P","Fill=—","Direction=H","UseDPDF=Y")</f>
        <v>-1.4</v>
      </c>
      <c r="N45" s="12" cm="1">
        <f t="array" ref="N45">_xll.BDH("PCAR US Equity","CF_DECR_CAP_STOCK","FQ2 2021","FQ2 2021","Currency=USD","Period=FQ","BEST_FPERIOD_OVERRIDE=FQ","FILING_STATUS=MR","SCALING_FORMAT=MLN","Sort=A","Dates=H","DateFormat=P","Fill=—","Direction=H","UseDPDF=Y")</f>
        <v>0</v>
      </c>
      <c r="O45" s="12" cm="1">
        <f t="array" ref="O45">_xll.BDH("PCAR US Equity","CF_DECR_CAP_STOCK","FQ3 2021","FQ3 2021","Currency=USD","Period=FQ","BEST_FPERIOD_OVERRIDE=FQ","FILING_STATUS=MR","SCALING_FORMAT=MLN","Sort=A","Dates=H","DateFormat=P","Fill=—","Direction=H","UseDPDF=Y")</f>
        <v>-0.1</v>
      </c>
      <c r="P45" s="12" cm="1">
        <f t="array" ref="P45">_xll.BDH("PCAR US Equity","CF_DECR_CAP_STOCK","FQ4 2021","FQ4 2021","Currency=USD","Period=FQ","BEST_FPERIOD_OVERRIDE=FQ","FILING_STATUS=MR","SCALING_FORMAT=MLN","Sort=A","Dates=H","DateFormat=P","Fill=—","Direction=H","UseDPDF=Y")</f>
        <v>0</v>
      </c>
      <c r="Q45" s="12" cm="1">
        <f t="array" ref="Q45">_xll.BDH("PCAR US Equity","CF_DECR_CAP_STOCK","FQ1 2022","FQ1 2022","Currency=USD","Period=FQ","BEST_FPERIOD_OVERRIDE=FQ","FILING_STATUS=MR","SCALING_FORMAT=MLN","Sort=A","Dates=H","DateFormat=P","Fill=—","Direction=H","UseDPDF=Y")</f>
        <v>-1.9</v>
      </c>
      <c r="R45" s="12" cm="1">
        <f t="array" ref="R45">_xll.BDH("PCAR US Equity","CF_DECR_CAP_STOCK","FQ2 2022","FQ2 2022","Currency=USD","Period=FQ","BEST_FPERIOD_OVERRIDE=FQ","FILING_STATUS=MR","SCALING_FORMAT=MLN","Sort=A","Dates=H","DateFormat=P","Fill=—","Direction=H","UseDPDF=Y")</f>
        <v>0</v>
      </c>
      <c r="S45" s="12" cm="1">
        <f t="array" ref="S45">_xll.BDH("PCAR US Equity","CF_DECR_CAP_STOCK","FQ3 2022","FQ3 2022","Currency=USD","Period=FQ","BEST_FPERIOD_OVERRIDE=FQ","FILING_STATUS=MR","SCALING_FORMAT=MLN","Sort=A","Dates=H","DateFormat=P","Fill=—","Direction=H","UseDPDF=Y")</f>
        <v>-0.1</v>
      </c>
      <c r="T45" s="12" cm="1">
        <f t="array" ref="T45">_xll.BDH("PCAR US Equity","CF_DECR_CAP_STOCK","FQ4 2022","FQ4 2022","Currency=USD","Period=FQ","BEST_FPERIOD_OVERRIDE=FQ","FILING_STATUS=MR","SCALING_FORMAT=MLN","Sort=A","Dates=H","DateFormat=P","Fill=—","Direction=H","UseDPDF=Y")</f>
        <v>-0.1</v>
      </c>
      <c r="U45" s="12" cm="1">
        <f t="array" ref="U45">_xll.BDH("PCAR US Equity","CF_DECR_CAP_STOCK","FQ1 2023","FQ1 2023","Currency=USD","Period=FQ","BEST_FPERIOD_OVERRIDE=FQ","FILING_STATUS=MR","SCALING_FORMAT=MLN","Sort=A","Dates=H","DateFormat=P","Fill=—","Direction=H","UseDPDF=Y")</f>
        <v>-3</v>
      </c>
      <c r="V45" s="12" cm="1">
        <f t="array" ref="V45">_xll.BDH("PCAR US Equity","CF_DECR_CAP_STOCK","FQ2 2023","FQ2 2023","Currency=USD","Period=FQ","BEST_FPERIOD_OVERRIDE=FQ","FILING_STATUS=MR","SCALING_FORMAT=MLN","Sort=A","Dates=H","DateFormat=P","Fill=—","Direction=H","UseDPDF=Y")</f>
        <v>0</v>
      </c>
      <c r="W45" s="12" cm="1">
        <f t="array" ref="W45">_xll.BDH("PCAR US Equity","CF_DECR_CAP_STOCK","FQ3 2023","FQ3 2023","Currency=USD","Period=FQ","BEST_FPERIOD_OVERRIDE=FQ","FILING_STATUS=MR","SCALING_FORMAT=MLN","Sort=A","Dates=H","DateFormat=P","Fill=—","Direction=H","UseDPDF=Y")</f>
        <v>-0.1</v>
      </c>
      <c r="X45" s="12" cm="1">
        <f t="array" ref="X45">_xll.BDH("PCAR US Equity","CF_DECR_CAP_STOCK","FQ4 2023","FQ4 2023","Currency=USD","Period=FQ","BEST_FPERIOD_OVERRIDE=FQ","FILING_STATUS=MR","SCALING_FORMAT=MLN","Sort=A","Dates=H","DateFormat=P","Fill=—","Direction=H","UseDPDF=Y")</f>
        <v>-0.4</v>
      </c>
      <c r="Y45" s="12" cm="1">
        <f t="array" ref="Y45">_xll.BDH("PCAR US Equity","CF_DECR_CAP_STOCK","FQ1 2024","FQ1 2024","Currency=USD","Period=FQ","BEST_FPERIOD_OVERRIDE=FQ","FILING_STATUS=MR","SCALING_FORMAT=MLN","Sort=A","Dates=H","DateFormat=P","Fill=—","Direction=H","UseDPDF=Y")</f>
        <v>-4</v>
      </c>
      <c r="Z45" s="12" cm="1">
        <f t="array" ref="Z45">_xll.BDH("PCAR US Equity","CF_DECR_CAP_STOCK","FQ2 2024","FQ2 2024","Currency=USD","Period=FQ","BEST_FPERIOD_OVERRIDE=FQ","FILING_STATUS=MR","SCALING_FORMAT=MLN","Sort=A","Dates=H","DateFormat=P","Fill=—","Direction=H","UseDPDF=Y")</f>
        <v>0</v>
      </c>
      <c r="AA45" s="12" cm="1">
        <f t="array" ref="AA45">_xll.BDH("PCAR US Equity","CF_DECR_CAP_STOCK","FQ3 2024","FQ3 2024","Currency=USD","Period=FQ","BEST_FPERIOD_OVERRIDE=FQ","FILING_STATUS=MR","SCALING_FORMAT=MLN","Sort=A","Dates=H","DateFormat=P","Fill=—","Direction=H","UseDPDF=Y")</f>
        <v>-0.5</v>
      </c>
      <c r="AB45" s="12" cm="1">
        <f t="array" ref="AB45">_xll.BDH("PCAR US Equity","CF_DECR_CAP_STOCK","FQ4 2024","FQ4 2024","Currency=USD","Period=FQ","BEST_FPERIOD_OVERRIDE=FQ","FILING_STATUS=MR","SCALING_FORMAT=MLN","Sort=A","Dates=H","DateFormat=P","Fill=—","Direction=H","UseDPDF=Y")</f>
        <v>0</v>
      </c>
      <c r="AC45" s="12" cm="1">
        <f t="array" ref="AC45">_xll.BDH("PCAR US Equity","CF_DECR_CAP_STOCK","FQ1 2025","FQ1 2025","Currency=USD","Period=FQ","BEST_FPERIOD_OVERRIDE=FQ","FILING_STATUS=MR","SCALING_FORMAT=MLN","Sort=A","Dates=H","DateFormat=P","Fill=—","Direction=H","UseDPDF=Y")</f>
        <v>-4.3</v>
      </c>
      <c r="AD45" s="12" cm="1">
        <f t="array" ref="AD45">_xll.BDH("PCAR US Equity","CF_DECR_CAP_STOCK","FQ2 2025","FQ2 2025","Currency=USD","Period=FQ","BEST_FPERIOD_OVERRIDE=FQ","FILING_STATUS=MR","SCALING_FORMAT=MLN","Sort=A","Dates=H","DateFormat=P","Fill=—","Direction=H","UseDPDF=Y")</f>
        <v>-30.7</v>
      </c>
      <c r="AE45" s="12" cm="1">
        <f t="array" ref="AE45">_xll.BDH("PCAR US Equity","CF_DECR_CAP_STOCK","FQ3 2025","FQ3 2025","Currency=USD","Period=FQ","BEST_FPERIOD_OVERRIDE=FQ","FILING_STATUS=MR","SCALING_FORMAT=MLN","Sort=A","Dates=H","DateFormat=P","Fill=—","Direction=H","UseDPDF=Y")</f>
        <v>-0.2</v>
      </c>
      <c r="AF45" s="12" cm="1">
        <f t="array" ref="AF45">_xll.BDH("PCAR US Equity","CF_DECR_CAP_STOCK","FQ4 2025","FQ4 2025","Currency=USD","Period=FQ","BEST_FPERIOD_OVERRIDE=FQ","FILING_STATUS=MR","SCALING_FORMAT=MLN","Sort=A","Dates=H","DateFormat=P","Fill=—","Direction=H","UseDPDF=Y")</f>
        <v>-0.9</v>
      </c>
    </row>
    <row r="46" spans="1:32" x14ac:dyDescent="0.25">
      <c r="A46" s="10" t="s">
        <v>135</v>
      </c>
      <c r="B46" s="10" t="s">
        <v>136</v>
      </c>
      <c r="C46" s="12" cm="1">
        <f t="array" ref="C46">_xll.BDH("PCAR US Equity","OTHER_FIN_AND_DEC_CAP","FQ3 2018","FQ3 2018","Currency=USD","Period=FQ","BEST_FPERIOD_OVERRIDE=FQ","FILING_STATUS=MR","SCALING_FORMAT=MLN","Sort=A","Dates=H","DateFormat=P","Fill=—","Direction=H","UseDPDF=Y")</f>
        <v>0</v>
      </c>
      <c r="D46" s="12" cm="1">
        <f t="array" ref="D46">_xll.BDH("PCAR US Equity","OTHER_FIN_AND_DEC_CAP","FQ4 2018","FQ4 2018","Currency=USD","Period=FQ","BEST_FPERIOD_OVERRIDE=FQ","FILING_STATUS=MR","SCALING_FORMAT=MLN","Sort=A","Dates=H","DateFormat=P","Fill=—","Direction=H","UseDPDF=Y")</f>
        <v>0</v>
      </c>
      <c r="E46" s="12" cm="1">
        <f t="array" ref="E46">_xll.BDH("PCAR US Equity","OTHER_FIN_AND_DEC_CAP","FQ1 2019","FQ1 2019","Currency=USD","Period=FQ","BEST_FPERIOD_OVERRIDE=FQ","FILING_STATUS=MR","SCALING_FORMAT=MLN","Sort=A","Dates=H","DateFormat=P","Fill=—","Direction=H","UseDPDF=Y")</f>
        <v>0</v>
      </c>
      <c r="F46" s="12" cm="1">
        <f t="array" ref="F46">_xll.BDH("PCAR US Equity","OTHER_FIN_AND_DEC_CAP","FQ2 2019","FQ2 2019","Currency=USD","Period=FQ","BEST_FPERIOD_OVERRIDE=FQ","FILING_STATUS=MR","SCALING_FORMAT=MLN","Sort=A","Dates=H","DateFormat=P","Fill=—","Direction=H","UseDPDF=Y")</f>
        <v>0</v>
      </c>
      <c r="G46" s="12" cm="1">
        <f t="array" ref="G46">_xll.BDH("PCAR US Equity","OTHER_FIN_AND_DEC_CAP","FQ3 2019","FQ3 2019","Currency=USD","Period=FQ","BEST_FPERIOD_OVERRIDE=FQ","FILING_STATUS=MR","SCALING_FORMAT=MLN","Sort=A","Dates=H","DateFormat=P","Fill=—","Direction=H","UseDPDF=Y")</f>
        <v>0</v>
      </c>
      <c r="H46" s="12" cm="1">
        <f t="array" ref="H46">_xll.BDH("PCAR US Equity","OTHER_FIN_AND_DEC_CAP","FQ4 2019","FQ4 2019","Currency=USD","Period=FQ","BEST_FPERIOD_OVERRIDE=FQ","FILING_STATUS=MR","SCALING_FORMAT=MLN","Sort=A","Dates=H","DateFormat=P","Fill=—","Direction=H","UseDPDF=Y")</f>
        <v>0</v>
      </c>
      <c r="I46" s="12" cm="1">
        <f t="array" ref="I46">_xll.BDH("PCAR US Equity","OTHER_FIN_AND_DEC_CAP","FQ1 2020","FQ1 2020","Currency=USD","Period=FQ","BEST_FPERIOD_OVERRIDE=FQ","FILING_STATUS=MR","SCALING_FORMAT=MLN","Sort=A","Dates=H","DateFormat=P","Fill=—","Direction=H","UseDPDF=Y")</f>
        <v>0</v>
      </c>
      <c r="J46" s="12" cm="1">
        <f t="array" ref="J46">_xll.BDH("PCAR US Equity","OTHER_FIN_AND_DEC_CAP","FQ2 2020","FQ2 2020","Currency=USD","Period=FQ","BEST_FPERIOD_OVERRIDE=FQ","FILING_STATUS=MR","SCALING_FORMAT=MLN","Sort=A","Dates=H","DateFormat=P","Fill=—","Direction=H","UseDPDF=Y")</f>
        <v>0</v>
      </c>
      <c r="K46" s="12" cm="1">
        <f t="array" ref="K46">_xll.BDH("PCAR US Equity","OTHER_FIN_AND_DEC_CAP","FQ3 2020","FQ3 2020","Currency=USD","Period=FQ","BEST_FPERIOD_OVERRIDE=FQ","FILING_STATUS=MR","SCALING_FORMAT=MLN","Sort=A","Dates=H","DateFormat=P","Fill=—","Direction=H","UseDPDF=Y")</f>
        <v>0</v>
      </c>
      <c r="L46" s="12" cm="1">
        <f t="array" ref="L46">_xll.BDH("PCAR US Equity","OTHER_FIN_AND_DEC_CAP","FQ4 2020","FQ4 2020","Currency=USD","Period=FQ","BEST_FPERIOD_OVERRIDE=FQ","FILING_STATUS=MR","SCALING_FORMAT=MLN","Sort=A","Dates=H","DateFormat=P","Fill=—","Direction=H","UseDPDF=Y")</f>
        <v>0</v>
      </c>
      <c r="M46" s="12" cm="1">
        <f t="array" ref="M46">_xll.BDH("PCAR US Equity","OTHER_FIN_AND_DEC_CAP","FQ1 2021","FQ1 2021","Currency=USD","Period=FQ","BEST_FPERIOD_OVERRIDE=FQ","FILING_STATUS=MR","SCALING_FORMAT=MLN","Sort=A","Dates=H","DateFormat=P","Fill=—","Direction=H","UseDPDF=Y")</f>
        <v>0</v>
      </c>
      <c r="N46" s="12" cm="1">
        <f t="array" ref="N46">_xll.BDH("PCAR US Equity","OTHER_FIN_AND_DEC_CAP","FQ2 2021","FQ2 2021","Currency=USD","Period=FQ","BEST_FPERIOD_OVERRIDE=FQ","FILING_STATUS=MR","SCALING_FORMAT=MLN","Sort=A","Dates=H","DateFormat=P","Fill=—","Direction=H","UseDPDF=Y")</f>
        <v>0</v>
      </c>
      <c r="O46" s="12" cm="1">
        <f t="array" ref="O46">_xll.BDH("PCAR US Equity","OTHER_FIN_AND_DEC_CAP","FQ3 2021","FQ3 2021","Currency=USD","Period=FQ","BEST_FPERIOD_OVERRIDE=FQ","FILING_STATUS=MR","SCALING_FORMAT=MLN","Sort=A","Dates=H","DateFormat=P","Fill=—","Direction=H","UseDPDF=Y")</f>
        <v>0</v>
      </c>
      <c r="P46" s="12" cm="1">
        <f t="array" ref="P46">_xll.BDH("PCAR US Equity","OTHER_FIN_AND_DEC_CAP","FQ4 2021","FQ4 2021","Currency=USD","Period=FQ","BEST_FPERIOD_OVERRIDE=FQ","FILING_STATUS=MR","SCALING_FORMAT=MLN","Sort=A","Dates=H","DateFormat=P","Fill=—","Direction=H","UseDPDF=Y")</f>
        <v>0</v>
      </c>
      <c r="Q46" s="12" cm="1">
        <f t="array" ref="Q46">_xll.BDH("PCAR US Equity","OTHER_FIN_AND_DEC_CAP","FQ1 2022","FQ1 2022","Currency=USD","Period=FQ","BEST_FPERIOD_OVERRIDE=FQ","FILING_STATUS=MR","SCALING_FORMAT=MLN","Sort=A","Dates=H","DateFormat=P","Fill=—","Direction=H","UseDPDF=Y")</f>
        <v>0</v>
      </c>
      <c r="R46" s="12" cm="1">
        <f t="array" ref="R46">_xll.BDH("PCAR US Equity","OTHER_FIN_AND_DEC_CAP","FQ2 2022","FQ2 2022","Currency=USD","Period=FQ","BEST_FPERIOD_OVERRIDE=FQ","FILING_STATUS=MR","SCALING_FORMAT=MLN","Sort=A","Dates=H","DateFormat=P","Fill=—","Direction=H","UseDPDF=Y")</f>
        <v>0</v>
      </c>
      <c r="S46" s="12" cm="1">
        <f t="array" ref="S46">_xll.BDH("PCAR US Equity","OTHER_FIN_AND_DEC_CAP","FQ3 2022","FQ3 2022","Currency=USD","Period=FQ","BEST_FPERIOD_OVERRIDE=FQ","FILING_STATUS=MR","SCALING_FORMAT=MLN","Sort=A","Dates=H","DateFormat=P","Fill=—","Direction=H","UseDPDF=Y")</f>
        <v>0</v>
      </c>
      <c r="T46" s="12" cm="1">
        <f t="array" ref="T46">_xll.BDH("PCAR US Equity","OTHER_FIN_AND_DEC_CAP","FQ4 2022","FQ4 2022","Currency=USD","Period=FQ","BEST_FPERIOD_OVERRIDE=FQ","FILING_STATUS=MR","SCALING_FORMAT=MLN","Sort=A","Dates=H","DateFormat=P","Fill=—","Direction=H","UseDPDF=Y")</f>
        <v>0</v>
      </c>
      <c r="U46" s="12" cm="1">
        <f t="array" ref="U46">_xll.BDH("PCAR US Equity","OTHER_FIN_AND_DEC_CAP","FQ1 2023","FQ1 2023","Currency=USD","Period=FQ","BEST_FPERIOD_OVERRIDE=FQ","FILING_STATUS=MR","SCALING_FORMAT=MLN","Sort=A","Dates=H","DateFormat=P","Fill=—","Direction=H","UseDPDF=Y")</f>
        <v>0</v>
      </c>
      <c r="V46" s="12" cm="1">
        <f t="array" ref="V46">_xll.BDH("PCAR US Equity","OTHER_FIN_AND_DEC_CAP","FQ2 2023","FQ2 2023","Currency=USD","Period=FQ","BEST_FPERIOD_OVERRIDE=FQ","FILING_STATUS=MR","SCALING_FORMAT=MLN","Sort=A","Dates=H","DateFormat=P","Fill=—","Direction=H","UseDPDF=Y")</f>
        <v>0</v>
      </c>
      <c r="W46" s="12" cm="1">
        <f t="array" ref="W46">_xll.BDH("PCAR US Equity","OTHER_FIN_AND_DEC_CAP","FQ3 2023","FQ3 2023","Currency=USD","Period=FQ","BEST_FPERIOD_OVERRIDE=FQ","FILING_STATUS=MR","SCALING_FORMAT=MLN","Sort=A","Dates=H","DateFormat=P","Fill=—","Direction=H","UseDPDF=Y")</f>
        <v>0</v>
      </c>
      <c r="X46" s="12" cm="1">
        <f t="array" ref="X46">_xll.BDH("PCAR US Equity","OTHER_FIN_AND_DEC_CAP","FQ4 2023","FQ4 2023","Currency=USD","Period=FQ","BEST_FPERIOD_OVERRIDE=FQ","FILING_STATUS=MR","SCALING_FORMAT=MLN","Sort=A","Dates=H","DateFormat=P","Fill=—","Direction=H","UseDPDF=Y")</f>
        <v>0</v>
      </c>
      <c r="Y46" s="12" cm="1">
        <f t="array" ref="Y46">_xll.BDH("PCAR US Equity","OTHER_FIN_AND_DEC_CAP","FQ1 2024","FQ1 2024","Currency=USD","Period=FQ","BEST_FPERIOD_OVERRIDE=FQ","FILING_STATUS=MR","SCALING_FORMAT=MLN","Sort=A","Dates=H","DateFormat=P","Fill=—","Direction=H","UseDPDF=Y")</f>
        <v>0</v>
      </c>
      <c r="Z46" s="12" cm="1">
        <f t="array" ref="Z46">_xll.BDH("PCAR US Equity","OTHER_FIN_AND_DEC_CAP","FQ2 2024","FQ2 2024","Currency=USD","Period=FQ","BEST_FPERIOD_OVERRIDE=FQ","FILING_STATUS=MR","SCALING_FORMAT=MLN","Sort=A","Dates=H","DateFormat=P","Fill=—","Direction=H","UseDPDF=Y")</f>
        <v>0</v>
      </c>
      <c r="AA46" s="12" cm="1">
        <f t="array" ref="AA46">_xll.BDH("PCAR US Equity","OTHER_FIN_AND_DEC_CAP","FQ3 2024","FQ3 2024","Currency=USD","Period=FQ","BEST_FPERIOD_OVERRIDE=FQ","FILING_STATUS=MR","SCALING_FORMAT=MLN","Sort=A","Dates=H","DateFormat=P","Fill=—","Direction=H","UseDPDF=Y")</f>
        <v>0</v>
      </c>
      <c r="AB46" s="12" cm="1">
        <f t="array" ref="AB46">_xll.BDH("PCAR US Equity","OTHER_FIN_AND_DEC_CAP","FQ4 2024","FQ4 2024","Currency=USD","Period=FQ","BEST_FPERIOD_OVERRIDE=FQ","FILING_STATUS=MR","SCALING_FORMAT=MLN","Sort=A","Dates=H","DateFormat=P","Fill=—","Direction=H","UseDPDF=Y")</f>
        <v>0</v>
      </c>
      <c r="AC46" s="12" cm="1">
        <f t="array" ref="AC46">_xll.BDH("PCAR US Equity","OTHER_FIN_AND_DEC_CAP","FQ1 2025","FQ1 2025","Currency=USD","Period=FQ","BEST_FPERIOD_OVERRIDE=FQ","FILING_STATUS=MR","SCALING_FORMAT=MLN","Sort=A","Dates=H","DateFormat=P","Fill=—","Direction=H","UseDPDF=Y")</f>
        <v>0</v>
      </c>
      <c r="AD46" s="12" cm="1">
        <f t="array" ref="AD46">_xll.BDH("PCAR US Equity","OTHER_FIN_AND_DEC_CAP","FQ2 2025","FQ2 2025","Currency=USD","Period=FQ","BEST_FPERIOD_OVERRIDE=FQ","FILING_STATUS=MR","SCALING_FORMAT=MLN","Sort=A","Dates=H","DateFormat=P","Fill=—","Direction=H","UseDPDF=Y")</f>
        <v>0</v>
      </c>
      <c r="AE46" s="12" cm="1">
        <f t="array" ref="AE46">_xll.BDH("PCAR US Equity","OTHER_FIN_AND_DEC_CAP","FQ3 2025","FQ3 2025","Currency=USD","Period=FQ","BEST_FPERIOD_OVERRIDE=FQ","FILING_STATUS=MR","SCALING_FORMAT=MLN","Sort=A","Dates=H","DateFormat=P","Fill=—","Direction=H","UseDPDF=Y")</f>
        <v>0</v>
      </c>
      <c r="AF46" s="12" cm="1">
        <f t="array" ref="AF46">_xll.BDH("PCAR US Equity","OTHER_FIN_AND_DEC_CAP","FQ4 2025","FQ4 2025","Currency=USD","Period=FQ","BEST_FPERIOD_OVERRIDE=FQ","FILING_STATUS=MR","SCALING_FORMAT=MLN","Sort=A","Dates=H","DateFormat=P","Fill=—","Direction=H","UseDPDF=Y")</f>
        <v>0</v>
      </c>
    </row>
    <row r="47" spans="1:32" x14ac:dyDescent="0.25">
      <c r="A47" s="10" t="s">
        <v>82</v>
      </c>
      <c r="B47" s="10" t="s">
        <v>137</v>
      </c>
      <c r="C47" s="12" cm="1">
        <f t="array" ref="C47">_xll.BDH("PCAR US Equity","CF_NET_CASH_DISCONTINUED_OPS_FIN","FQ3 2018","FQ3 2018","Currency=USD","Period=FQ","BEST_FPERIOD_OVERRIDE=FQ","FILING_STATUS=MR","SCALING_FORMAT=MLN","Sort=A","Dates=H","DateFormat=P","Fill=—","Direction=H","UseDPDF=Y")</f>
        <v>0</v>
      </c>
      <c r="D47" s="12" cm="1">
        <f t="array" ref="D47">_xll.BDH("PCAR US Equity","CF_NET_CASH_DISCONTINUED_OPS_FIN","FQ4 2018","FQ4 2018","Currency=USD","Period=FQ","BEST_FPERIOD_OVERRIDE=FQ","FILING_STATUS=MR","SCALING_FORMAT=MLN","Sort=A","Dates=H","DateFormat=P","Fill=—","Direction=H","UseDPDF=Y")</f>
        <v>0</v>
      </c>
      <c r="E47" s="12" cm="1">
        <f t="array" ref="E47">_xll.BDH("PCAR US Equity","CF_NET_CASH_DISCONTINUED_OPS_FIN","FQ1 2019","FQ1 2019","Currency=USD","Period=FQ","BEST_FPERIOD_OVERRIDE=FQ","FILING_STATUS=MR","SCALING_FORMAT=MLN","Sort=A","Dates=H","DateFormat=P","Fill=—","Direction=H","UseDPDF=Y")</f>
        <v>0</v>
      </c>
      <c r="F47" s="12" cm="1">
        <f t="array" ref="F47">_xll.BDH("PCAR US Equity","CF_NET_CASH_DISCONTINUED_OPS_FIN","FQ2 2019","FQ2 2019","Currency=USD","Period=FQ","BEST_FPERIOD_OVERRIDE=FQ","FILING_STATUS=MR","SCALING_FORMAT=MLN","Sort=A","Dates=H","DateFormat=P","Fill=—","Direction=H","UseDPDF=Y")</f>
        <v>0</v>
      </c>
      <c r="G47" s="12" cm="1">
        <f t="array" ref="G47">_xll.BDH("PCAR US Equity","CF_NET_CASH_DISCONTINUED_OPS_FIN","FQ3 2019","FQ3 2019","Currency=USD","Period=FQ","BEST_FPERIOD_OVERRIDE=FQ","FILING_STATUS=MR","SCALING_FORMAT=MLN","Sort=A","Dates=H","DateFormat=P","Fill=—","Direction=H","UseDPDF=Y")</f>
        <v>0</v>
      </c>
      <c r="H47" s="12" cm="1">
        <f t="array" ref="H47">_xll.BDH("PCAR US Equity","CF_NET_CASH_DISCONTINUED_OPS_FIN","FQ4 2019","FQ4 2019","Currency=USD","Period=FQ","BEST_FPERIOD_OVERRIDE=FQ","FILING_STATUS=MR","SCALING_FORMAT=MLN","Sort=A","Dates=H","DateFormat=P","Fill=—","Direction=H","UseDPDF=Y")</f>
        <v>0</v>
      </c>
      <c r="I47" s="12" cm="1">
        <f t="array" ref="I47">_xll.BDH("PCAR US Equity","CF_NET_CASH_DISCONTINUED_OPS_FIN","FQ1 2020","FQ1 2020","Currency=USD","Period=FQ","BEST_FPERIOD_OVERRIDE=FQ","FILING_STATUS=MR","SCALING_FORMAT=MLN","Sort=A","Dates=H","DateFormat=P","Fill=—","Direction=H","UseDPDF=Y")</f>
        <v>0</v>
      </c>
      <c r="J47" s="12" cm="1">
        <f t="array" ref="J47">_xll.BDH("PCAR US Equity","CF_NET_CASH_DISCONTINUED_OPS_FIN","FQ2 2020","FQ2 2020","Currency=USD","Period=FQ","BEST_FPERIOD_OVERRIDE=FQ","FILING_STATUS=MR","SCALING_FORMAT=MLN","Sort=A","Dates=H","DateFormat=P","Fill=—","Direction=H","UseDPDF=Y")</f>
        <v>0</v>
      </c>
      <c r="K47" s="12" cm="1">
        <f t="array" ref="K47">_xll.BDH("PCAR US Equity","CF_NET_CASH_DISCONTINUED_OPS_FIN","FQ3 2020","FQ3 2020","Currency=USD","Period=FQ","BEST_FPERIOD_OVERRIDE=FQ","FILING_STATUS=MR","SCALING_FORMAT=MLN","Sort=A","Dates=H","DateFormat=P","Fill=—","Direction=H","UseDPDF=Y")</f>
        <v>0</v>
      </c>
      <c r="L47" s="12" cm="1">
        <f t="array" ref="L47">_xll.BDH("PCAR US Equity","CF_NET_CASH_DISCONTINUED_OPS_FIN","FQ4 2020","FQ4 2020","Currency=USD","Period=FQ","BEST_FPERIOD_OVERRIDE=FQ","FILING_STATUS=MR","SCALING_FORMAT=MLN","Sort=A","Dates=H","DateFormat=P","Fill=—","Direction=H","UseDPDF=Y")</f>
        <v>0</v>
      </c>
      <c r="M47" s="12" cm="1">
        <f t="array" ref="M47">_xll.BDH("PCAR US Equity","CF_NET_CASH_DISCONTINUED_OPS_FIN","FQ1 2021","FQ1 2021","Currency=USD","Period=FQ","BEST_FPERIOD_OVERRIDE=FQ","FILING_STATUS=MR","SCALING_FORMAT=MLN","Sort=A","Dates=H","DateFormat=P","Fill=—","Direction=H","UseDPDF=Y")</f>
        <v>0</v>
      </c>
      <c r="N47" s="12" cm="1">
        <f t="array" ref="N47">_xll.BDH("PCAR US Equity","CF_NET_CASH_DISCONTINUED_OPS_FIN","FQ2 2021","FQ2 2021","Currency=USD","Period=FQ","BEST_FPERIOD_OVERRIDE=FQ","FILING_STATUS=MR","SCALING_FORMAT=MLN","Sort=A","Dates=H","DateFormat=P","Fill=—","Direction=H","UseDPDF=Y")</f>
        <v>0</v>
      </c>
      <c r="O47" s="12" cm="1">
        <f t="array" ref="O47">_xll.BDH("PCAR US Equity","CF_NET_CASH_DISCONTINUED_OPS_FIN","FQ3 2021","FQ3 2021","Currency=USD","Period=FQ","BEST_FPERIOD_OVERRIDE=FQ","FILING_STATUS=MR","SCALING_FORMAT=MLN","Sort=A","Dates=H","DateFormat=P","Fill=—","Direction=H","UseDPDF=Y")</f>
        <v>0</v>
      </c>
      <c r="P47" s="12" cm="1">
        <f t="array" ref="P47">_xll.BDH("PCAR US Equity","CF_NET_CASH_DISCONTINUED_OPS_FIN","FQ4 2021","FQ4 2021","Currency=USD","Period=FQ","BEST_FPERIOD_OVERRIDE=FQ","FILING_STATUS=MR","SCALING_FORMAT=MLN","Sort=A","Dates=H","DateFormat=P","Fill=—","Direction=H","UseDPDF=Y")</f>
        <v>0</v>
      </c>
      <c r="Q47" s="12" cm="1">
        <f t="array" ref="Q47">_xll.BDH("PCAR US Equity","CF_NET_CASH_DISCONTINUED_OPS_FIN","FQ1 2022","FQ1 2022","Currency=USD","Period=FQ","BEST_FPERIOD_OVERRIDE=FQ","FILING_STATUS=MR","SCALING_FORMAT=MLN","Sort=A","Dates=H","DateFormat=P","Fill=—","Direction=H","UseDPDF=Y")</f>
        <v>0</v>
      </c>
      <c r="R47" s="12" cm="1">
        <f t="array" ref="R47">_xll.BDH("PCAR US Equity","CF_NET_CASH_DISCONTINUED_OPS_FIN","FQ2 2022","FQ2 2022","Currency=USD","Period=FQ","BEST_FPERIOD_OVERRIDE=FQ","FILING_STATUS=MR","SCALING_FORMAT=MLN","Sort=A","Dates=H","DateFormat=P","Fill=—","Direction=H","UseDPDF=Y")</f>
        <v>0</v>
      </c>
      <c r="S47" s="12" cm="1">
        <f t="array" ref="S47">_xll.BDH("PCAR US Equity","CF_NET_CASH_DISCONTINUED_OPS_FIN","FQ3 2022","FQ3 2022","Currency=USD","Period=FQ","BEST_FPERIOD_OVERRIDE=FQ","FILING_STATUS=MR","SCALING_FORMAT=MLN","Sort=A","Dates=H","DateFormat=P","Fill=—","Direction=H","UseDPDF=Y")</f>
        <v>0</v>
      </c>
      <c r="T47" s="12" cm="1">
        <f t="array" ref="T47">_xll.BDH("PCAR US Equity","CF_NET_CASH_DISCONTINUED_OPS_FIN","FQ4 2022","FQ4 2022","Currency=USD","Period=FQ","BEST_FPERIOD_OVERRIDE=FQ","FILING_STATUS=MR","SCALING_FORMAT=MLN","Sort=A","Dates=H","DateFormat=P","Fill=—","Direction=H","UseDPDF=Y")</f>
        <v>0</v>
      </c>
      <c r="U47" s="12" cm="1">
        <f t="array" ref="U47">_xll.BDH("PCAR US Equity","CF_NET_CASH_DISCONTINUED_OPS_FIN","FQ1 2023","FQ1 2023","Currency=USD","Period=FQ","BEST_FPERIOD_OVERRIDE=FQ","FILING_STATUS=MR","SCALING_FORMAT=MLN","Sort=A","Dates=H","DateFormat=P","Fill=—","Direction=H","UseDPDF=Y")</f>
        <v>0</v>
      </c>
      <c r="V47" s="12" cm="1">
        <f t="array" ref="V47">_xll.BDH("PCAR US Equity","CF_NET_CASH_DISCONTINUED_OPS_FIN","FQ2 2023","FQ2 2023","Currency=USD","Period=FQ","BEST_FPERIOD_OVERRIDE=FQ","FILING_STATUS=MR","SCALING_FORMAT=MLN","Sort=A","Dates=H","DateFormat=P","Fill=—","Direction=H","UseDPDF=Y")</f>
        <v>0</v>
      </c>
      <c r="W47" s="12" cm="1">
        <f t="array" ref="W47">_xll.BDH("PCAR US Equity","CF_NET_CASH_DISCONTINUED_OPS_FIN","FQ3 2023","FQ3 2023","Currency=USD","Period=FQ","BEST_FPERIOD_OVERRIDE=FQ","FILING_STATUS=MR","SCALING_FORMAT=MLN","Sort=A","Dates=H","DateFormat=P","Fill=—","Direction=H","UseDPDF=Y")</f>
        <v>0</v>
      </c>
      <c r="X47" s="12" cm="1">
        <f t="array" ref="X47">_xll.BDH("PCAR US Equity","CF_NET_CASH_DISCONTINUED_OPS_FIN","FQ4 2023","FQ4 2023","Currency=USD","Period=FQ","BEST_FPERIOD_OVERRIDE=FQ","FILING_STATUS=MR","SCALING_FORMAT=MLN","Sort=A","Dates=H","DateFormat=P","Fill=—","Direction=H","UseDPDF=Y")</f>
        <v>0</v>
      </c>
      <c r="Y47" s="12" cm="1">
        <f t="array" ref="Y47">_xll.BDH("PCAR US Equity","CF_NET_CASH_DISCONTINUED_OPS_FIN","FQ1 2024","FQ1 2024","Currency=USD","Period=FQ","BEST_FPERIOD_OVERRIDE=FQ","FILING_STATUS=MR","SCALING_FORMAT=MLN","Sort=A","Dates=H","DateFormat=P","Fill=—","Direction=H","UseDPDF=Y")</f>
        <v>0</v>
      </c>
      <c r="Z47" s="12" cm="1">
        <f t="array" ref="Z47">_xll.BDH("PCAR US Equity","CF_NET_CASH_DISCONTINUED_OPS_FIN","FQ2 2024","FQ2 2024","Currency=USD","Period=FQ","BEST_FPERIOD_OVERRIDE=FQ","FILING_STATUS=MR","SCALING_FORMAT=MLN","Sort=A","Dates=H","DateFormat=P","Fill=—","Direction=H","UseDPDF=Y")</f>
        <v>0</v>
      </c>
      <c r="AA47" s="12" cm="1">
        <f t="array" ref="AA47">_xll.BDH("PCAR US Equity","CF_NET_CASH_DISCONTINUED_OPS_FIN","FQ3 2024","FQ3 2024","Currency=USD","Period=FQ","BEST_FPERIOD_OVERRIDE=FQ","FILING_STATUS=MR","SCALING_FORMAT=MLN","Sort=A","Dates=H","DateFormat=P","Fill=—","Direction=H","UseDPDF=Y")</f>
        <v>0</v>
      </c>
      <c r="AB47" s="12" cm="1">
        <f t="array" ref="AB47">_xll.BDH("PCAR US Equity","CF_NET_CASH_DISCONTINUED_OPS_FIN","FQ4 2024","FQ4 2024","Currency=USD","Period=FQ","BEST_FPERIOD_OVERRIDE=FQ","FILING_STATUS=MR","SCALING_FORMAT=MLN","Sort=A","Dates=H","DateFormat=P","Fill=—","Direction=H","UseDPDF=Y")</f>
        <v>0</v>
      </c>
      <c r="AC47" s="12" cm="1">
        <f t="array" ref="AC47">_xll.BDH("PCAR US Equity","CF_NET_CASH_DISCONTINUED_OPS_FIN","FQ1 2025","FQ1 2025","Currency=USD","Period=FQ","BEST_FPERIOD_OVERRIDE=FQ","FILING_STATUS=MR","SCALING_FORMAT=MLN","Sort=A","Dates=H","DateFormat=P","Fill=—","Direction=H","UseDPDF=Y")</f>
        <v>0</v>
      </c>
      <c r="AD47" s="12" cm="1">
        <f t="array" ref="AD47">_xll.BDH("PCAR US Equity","CF_NET_CASH_DISCONTINUED_OPS_FIN","FQ2 2025","FQ2 2025","Currency=USD","Period=FQ","BEST_FPERIOD_OVERRIDE=FQ","FILING_STATUS=MR","SCALING_FORMAT=MLN","Sort=A","Dates=H","DateFormat=P","Fill=—","Direction=H","UseDPDF=Y")</f>
        <v>0</v>
      </c>
      <c r="AE47" s="12" cm="1">
        <f t="array" ref="AE47">_xll.BDH("PCAR US Equity","CF_NET_CASH_DISCONTINUED_OPS_FIN","FQ3 2025","FQ3 2025","Currency=USD","Period=FQ","BEST_FPERIOD_OVERRIDE=FQ","FILING_STATUS=MR","SCALING_FORMAT=MLN","Sort=A","Dates=H","DateFormat=P","Fill=—","Direction=H","UseDPDF=Y")</f>
        <v>0</v>
      </c>
      <c r="AF47" s="12" cm="1">
        <f t="array" ref="AF47">_xll.BDH("PCAR US Equity","CF_NET_CASH_DISCONTINUED_OPS_FIN","FQ4 2025","FQ4 2025","Currency=USD","Period=FQ","BEST_FPERIOD_OVERRIDE=FQ","FILING_STATUS=MR","SCALING_FORMAT=MLN","Sort=A","Dates=H","DateFormat=P","Fill=—","Direction=H","UseDPDF=Y")</f>
        <v>0</v>
      </c>
    </row>
    <row r="48" spans="1:32" x14ac:dyDescent="0.25">
      <c r="A48" s="6" t="s">
        <v>118</v>
      </c>
      <c r="B48" s="6" t="s">
        <v>138</v>
      </c>
      <c r="C48" s="15" cm="1">
        <f t="array" ref="C48">_xll.BDH("PCAR US Equity","CFF_ACTIVITIES_DETAILED","FQ3 2018","FQ3 2018","Currency=USD","Period=FQ","BEST_FPERIOD_OVERRIDE=FQ","FILING_STATUS=MR","SCALING_FORMAT=MLN","Sort=A","Dates=H","DateFormat=P","Fill=—","Direction=H","UseDPDF=Y")</f>
        <v>214.9</v>
      </c>
      <c r="D48" s="15" cm="1">
        <f t="array" ref="D48">_xll.BDH("PCAR US Equity","CFF_ACTIVITIES_DETAILED","FQ4 2018","FQ4 2018","Currency=USD","Period=FQ","BEST_FPERIOD_OVERRIDE=FQ","FILING_STATUS=MR","SCALING_FORMAT=MLN","Sort=A","Dates=H","DateFormat=P","Fill=—","Direction=H","UseDPDF=Y")</f>
        <v>134.80000000000001</v>
      </c>
      <c r="E48" s="15" cm="1">
        <f t="array" ref="E48">_xll.BDH("PCAR US Equity","CFF_ACTIVITIES_DETAILED","FQ1 2019","FQ1 2019","Currency=USD","Period=FQ","BEST_FPERIOD_OVERRIDE=FQ","FILING_STATUS=MR","SCALING_FORMAT=MLN","Sort=A","Dates=H","DateFormat=P","Fill=—","Direction=H","UseDPDF=Y")</f>
        <v>-550.29999999999995</v>
      </c>
      <c r="F48" s="15" cm="1">
        <f t="array" ref="F48">_xll.BDH("PCAR US Equity","CFF_ACTIVITIES_DETAILED","FQ2 2019","FQ2 2019","Currency=USD","Period=FQ","BEST_FPERIOD_OVERRIDE=FQ","FILING_STATUS=MR","SCALING_FORMAT=MLN","Sort=A","Dates=H","DateFormat=P","Fill=—","Direction=H","UseDPDF=Y")</f>
        <v>268.3</v>
      </c>
      <c r="G48" s="15" cm="1">
        <f t="array" ref="G48">_xll.BDH("PCAR US Equity","CFF_ACTIVITIES_DETAILED","FQ3 2019","FQ3 2019","Currency=USD","Period=FQ","BEST_FPERIOD_OVERRIDE=FQ","FILING_STATUS=MR","SCALING_FORMAT=MLN","Sort=A","Dates=H","DateFormat=P","Fill=—","Direction=H","UseDPDF=Y")</f>
        <v>193.3</v>
      </c>
      <c r="H48" s="15" cm="1">
        <f t="array" ref="H48">_xll.BDH("PCAR US Equity","CFF_ACTIVITIES_DETAILED","FQ4 2019","FQ4 2019","Currency=USD","Period=FQ","BEST_FPERIOD_OVERRIDE=FQ","FILING_STATUS=MR","SCALING_FORMAT=MLN","Sort=A","Dates=H","DateFormat=P","Fill=—","Direction=H","UseDPDF=Y")</f>
        <v>172.1</v>
      </c>
      <c r="I48" s="15" cm="1">
        <f t="array" ref="I48">_xll.BDH("PCAR US Equity","CFF_ACTIVITIES_DETAILED","FQ1 2020","FQ1 2020","Currency=USD","Period=FQ","BEST_FPERIOD_OVERRIDE=FQ","FILING_STATUS=MR","SCALING_FORMAT=MLN","Sort=A","Dates=H","DateFormat=P","Fill=—","Direction=H","UseDPDF=Y")</f>
        <v>-833.7</v>
      </c>
      <c r="J48" s="15" cm="1">
        <f t="array" ref="J48">_xll.BDH("PCAR US Equity","CFF_ACTIVITIES_DETAILED","FQ2 2020","FQ2 2020","Currency=USD","Period=FQ","BEST_FPERIOD_OVERRIDE=FQ","FILING_STATUS=MR","SCALING_FORMAT=MLN","Sort=A","Dates=H","DateFormat=P","Fill=—","Direction=H","UseDPDF=Y")</f>
        <v>-944.7</v>
      </c>
      <c r="K48" s="15" cm="1">
        <f t="array" ref="K48">_xll.BDH("PCAR US Equity","CFF_ACTIVITIES_DETAILED","FQ3 2020","FQ3 2020","Currency=USD","Period=FQ","BEST_FPERIOD_OVERRIDE=FQ","FILING_STATUS=MR","SCALING_FORMAT=MLN","Sort=A","Dates=H","DateFormat=P","Fill=—","Direction=H","UseDPDF=Y")</f>
        <v>-209.6</v>
      </c>
      <c r="L48" s="15" cm="1">
        <f t="array" ref="L48">_xll.BDH("PCAR US Equity","CFF_ACTIVITIES_DETAILED","FQ4 2020","FQ4 2020","Currency=USD","Period=FQ","BEST_FPERIOD_OVERRIDE=FQ","FILING_STATUS=MR","SCALING_FORMAT=MLN","Sort=A","Dates=H","DateFormat=P","Fill=—","Direction=H","UseDPDF=Y")</f>
        <v>179.5</v>
      </c>
      <c r="M48" s="15" cm="1">
        <f t="array" ref="M48">_xll.BDH("PCAR US Equity","CFF_ACTIVITIES_DETAILED","FQ1 2021","FQ1 2021","Currency=USD","Period=FQ","BEST_FPERIOD_OVERRIDE=FQ","FILING_STATUS=MR","SCALING_FORMAT=MLN","Sort=A","Dates=H","DateFormat=P","Fill=—","Direction=H","UseDPDF=Y")</f>
        <v>-508.3</v>
      </c>
      <c r="N48" s="15" cm="1">
        <f t="array" ref="N48">_xll.BDH("PCAR US Equity","CFF_ACTIVITIES_DETAILED","FQ2 2021","FQ2 2021","Currency=USD","Period=FQ","BEST_FPERIOD_OVERRIDE=FQ","FILING_STATUS=MR","SCALING_FORMAT=MLN","Sort=A","Dates=H","DateFormat=P","Fill=—","Direction=H","UseDPDF=Y")</f>
        <v>-143.19999999999999</v>
      </c>
      <c r="O48" s="15" cm="1">
        <f t="array" ref="O48">_xll.BDH("PCAR US Equity","CFF_ACTIVITIES_DETAILED","FQ3 2021","FQ3 2021","Currency=USD","Period=FQ","BEST_FPERIOD_OVERRIDE=FQ","FILING_STATUS=MR","SCALING_FORMAT=MLN","Sort=A","Dates=H","DateFormat=P","Fill=—","Direction=H","UseDPDF=Y")</f>
        <v>-738.4</v>
      </c>
      <c r="P48" s="15" cm="1">
        <f t="array" ref="P48">_xll.BDH("PCAR US Equity","CFF_ACTIVITIES_DETAILED","FQ4 2021","FQ4 2021","Currency=USD","Period=FQ","BEST_FPERIOD_OVERRIDE=FQ","FILING_STATUS=MR","SCALING_FORMAT=MLN","Sort=A","Dates=H","DateFormat=P","Fill=—","Direction=H","UseDPDF=Y")</f>
        <v>507</v>
      </c>
      <c r="Q48" s="15" cm="1">
        <f t="array" ref="Q48">_xll.BDH("PCAR US Equity","CFF_ACTIVITIES_DETAILED","FQ1 2022","FQ1 2022","Currency=USD","Period=FQ","BEST_FPERIOD_OVERRIDE=FQ","FILING_STATUS=MR","SCALING_FORMAT=MLN","Sort=A","Dates=H","DateFormat=P","Fill=—","Direction=H","UseDPDF=Y")</f>
        <v>-156.4</v>
      </c>
      <c r="R48" s="15" cm="1">
        <f t="array" ref="R48">_xll.BDH("PCAR US Equity","CFF_ACTIVITIES_DETAILED","FQ2 2022","FQ2 2022","Currency=USD","Period=FQ","BEST_FPERIOD_OVERRIDE=FQ","FILING_STATUS=MR","SCALING_FORMAT=MLN","Sort=A","Dates=H","DateFormat=P","Fill=—","Direction=H","UseDPDF=Y")</f>
        <v>-189.6</v>
      </c>
      <c r="S48" s="15" cm="1">
        <f t="array" ref="S48">_xll.BDH("PCAR US Equity","CFF_ACTIVITIES_DETAILED","FQ3 2022","FQ3 2022","Currency=USD","Period=FQ","BEST_FPERIOD_OVERRIDE=FQ","FILING_STATUS=MR","SCALING_FORMAT=MLN","Sort=A","Dates=H","DateFormat=P","Fill=—","Direction=H","UseDPDF=Y")</f>
        <v>-72.900000000000006</v>
      </c>
      <c r="T48" s="15" cm="1">
        <f t="array" ref="T48">_xll.BDH("PCAR US Equity","CFF_ACTIVITIES_DETAILED","FQ4 2022","FQ4 2022","Currency=USD","Period=FQ","BEST_FPERIOD_OVERRIDE=FQ","FILING_STATUS=MR","SCALING_FORMAT=MLN","Sort=A","Dates=H","DateFormat=P","Fill=—","Direction=H","UseDPDF=Y")</f>
        <v>723.8</v>
      </c>
      <c r="U48" s="15" cm="1">
        <f t="array" ref="U48">_xll.BDH("PCAR US Equity","CFF_ACTIVITIES_DETAILED","FQ1 2023","FQ1 2023","Currency=USD","Period=FQ","BEST_FPERIOD_OVERRIDE=FQ","FILING_STATUS=MR","SCALING_FORMAT=MLN","Sort=A","Dates=H","DateFormat=P","Fill=—","Direction=H","UseDPDF=Y")</f>
        <v>-690.8</v>
      </c>
      <c r="V48" s="15" cm="1">
        <f t="array" ref="V48">_xll.BDH("PCAR US Equity","CFF_ACTIVITIES_DETAILED","FQ2 2023","FQ2 2023","Currency=USD","Period=FQ","BEST_FPERIOD_OVERRIDE=FQ","FILING_STATUS=MR","SCALING_FORMAT=MLN","Sort=A","Dates=H","DateFormat=P","Fill=—","Direction=H","UseDPDF=Y")</f>
        <v>492.2</v>
      </c>
      <c r="W48" s="15" cm="1">
        <f t="array" ref="W48">_xll.BDH("PCAR US Equity","CFF_ACTIVITIES_DETAILED","FQ3 2023","FQ3 2023","Currency=USD","Period=FQ","BEST_FPERIOD_OVERRIDE=FQ","FILING_STATUS=MR","SCALING_FORMAT=MLN","Sort=A","Dates=H","DateFormat=P","Fill=—","Direction=H","UseDPDF=Y")</f>
        <v>358.1</v>
      </c>
      <c r="X48" s="15" cm="1">
        <f t="array" ref="X48">_xll.BDH("PCAR US Equity","CFF_ACTIVITIES_DETAILED","FQ4 2023","FQ4 2023","Currency=USD","Period=FQ","BEST_FPERIOD_OVERRIDE=FQ","FILING_STATUS=MR","SCALING_FORMAT=MLN","Sort=A","Dates=H","DateFormat=P","Fill=—","Direction=H","UseDPDF=Y")</f>
        <v>942.7</v>
      </c>
      <c r="Y48" s="15" cm="1">
        <f t="array" ref="Y48">_xll.BDH("PCAR US Equity","CFF_ACTIVITIES_DETAILED","FQ1 2024","FQ1 2024","Currency=USD","Period=FQ","BEST_FPERIOD_OVERRIDE=FQ","FILING_STATUS=MR","SCALING_FORMAT=MLN","Sort=A","Dates=H","DateFormat=P","Fill=—","Direction=H","UseDPDF=Y")</f>
        <v>-1880</v>
      </c>
      <c r="Z48" s="15" cm="1">
        <f t="array" ref="Z48">_xll.BDH("PCAR US Equity","CFF_ACTIVITIES_DETAILED","FQ2 2024","FQ2 2024","Currency=USD","Period=FQ","BEST_FPERIOD_OVERRIDE=FQ","FILING_STATUS=MR","SCALING_FORMAT=MLN","Sort=A","Dates=H","DateFormat=P","Fill=—","Direction=H","UseDPDF=Y")</f>
        <v>300.7</v>
      </c>
      <c r="AA48" s="15" cm="1">
        <f t="array" ref="AA48">_xll.BDH("PCAR US Equity","CFF_ACTIVITIES_DETAILED","FQ3 2024","FQ3 2024","Currency=USD","Period=FQ","BEST_FPERIOD_OVERRIDE=FQ","FILING_STATUS=MR","SCALING_FORMAT=MLN","Sort=A","Dates=H","DateFormat=P","Fill=—","Direction=H","UseDPDF=Y")</f>
        <v>812.9</v>
      </c>
      <c r="AB48" s="15" cm="1">
        <f t="array" ref="AB48">_xll.BDH("PCAR US Equity","CFF_ACTIVITIES_DETAILED","FQ4 2024","FQ4 2024","Currency=USD","Period=FQ","BEST_FPERIOD_OVERRIDE=FQ","FILING_STATUS=MR","SCALING_FORMAT=MLN","Sort=A","Dates=H","DateFormat=P","Fill=—","Direction=H","UseDPDF=Y")</f>
        <v>643.29999999999995</v>
      </c>
      <c r="AC48" s="15" cm="1">
        <f t="array" ref="AC48">_xll.BDH("PCAR US Equity","CFF_ACTIVITIES_DETAILED","FQ1 2025","FQ1 2025","Currency=USD","Period=FQ","BEST_FPERIOD_OVERRIDE=FQ","FILING_STATUS=MR","SCALING_FORMAT=MLN","Sort=A","Dates=H","DateFormat=P","Fill=—","Direction=H","UseDPDF=Y")</f>
        <v>-2134.6999999999998</v>
      </c>
      <c r="AD48" s="15" cm="1">
        <f t="array" ref="AD48">_xll.BDH("PCAR US Equity","CFF_ACTIVITIES_DETAILED","FQ2 2025","FQ2 2025","Currency=USD","Period=FQ","BEST_FPERIOD_OVERRIDE=FQ","FILING_STATUS=MR","SCALING_FORMAT=MLN","Sort=A","Dates=H","DateFormat=P","Fill=—","Direction=H","UseDPDF=Y")</f>
        <v>-291.10000000000002</v>
      </c>
      <c r="AE48" s="15" cm="1">
        <f t="array" ref="AE48">_xll.BDH("PCAR US Equity","CFF_ACTIVITIES_DETAILED","FQ3 2025","FQ3 2025","Currency=USD","Period=FQ","BEST_FPERIOD_OVERRIDE=FQ","FILING_STATUS=MR","SCALING_FORMAT=MLN","Sort=A","Dates=H","DateFormat=P","Fill=—","Direction=H","UseDPDF=Y")</f>
        <v>-262</v>
      </c>
      <c r="AF48" s="15" cm="1">
        <f t="array" ref="AF48">_xll.BDH("PCAR US Equity","CFF_ACTIVITIES_DETAILED","FQ4 2025","FQ4 2025","Currency=USD","Period=FQ","BEST_FPERIOD_OVERRIDE=FQ","FILING_STATUS=MR","SCALING_FORMAT=MLN","Sort=A","Dates=H","DateFormat=P","Fill=—","Direction=H","UseDPDF=Y")</f>
        <v>-394.6</v>
      </c>
    </row>
    <row r="49" spans="1:32" x14ac:dyDescent="0.25">
      <c r="A49" s="6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</row>
    <row r="50" spans="1:32" x14ac:dyDescent="0.25">
      <c r="A50" s="10" t="s">
        <v>139</v>
      </c>
      <c r="B50" s="10" t="s">
        <v>140</v>
      </c>
      <c r="C50" s="12" cm="1">
        <f t="array" ref="C50">_xll.BDH("PCAR US Equity","CF_EFFECT_FOREIGN_EXCHANGES","FQ3 2018","FQ3 2018","Currency=USD","Period=FQ","BEST_FPERIOD_OVERRIDE=FQ","FILING_STATUS=MR","SCALING_FORMAT=MLN","Sort=A","Dates=H","DateFormat=P","Fill=—","Direction=H","UseDPDF=Y")</f>
        <v>-5.0999999999999996</v>
      </c>
      <c r="D50" s="12" cm="1">
        <f t="array" ref="D50">_xll.BDH("PCAR US Equity","CF_EFFECT_FOREIGN_EXCHANGES","FQ4 2018","FQ4 2018","Currency=USD","Period=FQ","BEST_FPERIOD_OVERRIDE=FQ","FILING_STATUS=MR","SCALING_FORMAT=MLN","Sort=A","Dates=H","DateFormat=P","Fill=—","Direction=H","UseDPDF=Y")</f>
        <v>-23.8</v>
      </c>
      <c r="E50" s="12" cm="1">
        <f t="array" ref="E50">_xll.BDH("PCAR US Equity","CF_EFFECT_FOREIGN_EXCHANGES","FQ1 2019","FQ1 2019","Currency=USD","Period=FQ","BEST_FPERIOD_OVERRIDE=FQ","FILING_STATUS=MR","SCALING_FORMAT=MLN","Sort=A","Dates=H","DateFormat=P","Fill=—","Direction=H","UseDPDF=Y")</f>
        <v>-5.3</v>
      </c>
      <c r="F50" s="12" cm="1">
        <f t="array" ref="F50">_xll.BDH("PCAR US Equity","CF_EFFECT_FOREIGN_EXCHANGES","FQ2 2019","FQ2 2019","Currency=USD","Period=FQ","BEST_FPERIOD_OVERRIDE=FQ","FILING_STATUS=MR","SCALING_FORMAT=MLN","Sort=A","Dates=H","DateFormat=P","Fill=—","Direction=H","UseDPDF=Y")</f>
        <v>6.7</v>
      </c>
      <c r="G50" s="12" cm="1">
        <f t="array" ref="G50">_xll.BDH("PCAR US Equity","CF_EFFECT_FOREIGN_EXCHANGES","FQ3 2019","FQ3 2019","Currency=USD","Period=FQ","BEST_FPERIOD_OVERRIDE=FQ","FILING_STATUS=MR","SCALING_FORMAT=MLN","Sort=A","Dates=H","DateFormat=P","Fill=—","Direction=H","UseDPDF=Y")</f>
        <v>-39.200000000000003</v>
      </c>
      <c r="H50" s="12" cm="1">
        <f t="array" ref="H50">_xll.BDH("PCAR US Equity","CF_EFFECT_FOREIGN_EXCHANGES","FQ4 2019","FQ4 2019","Currency=USD","Period=FQ","BEST_FPERIOD_OVERRIDE=FQ","FILING_STATUS=MR","SCALING_FORMAT=MLN","Sort=A","Dates=H","DateFormat=P","Fill=—","Direction=H","UseDPDF=Y")</f>
        <v>40.700000000000003</v>
      </c>
      <c r="I50" s="12" cm="1">
        <f t="array" ref="I50">_xll.BDH("PCAR US Equity","CF_EFFECT_FOREIGN_EXCHANGES","FQ1 2020","FQ1 2020","Currency=USD","Period=FQ","BEST_FPERIOD_OVERRIDE=FQ","FILING_STATUS=MR","SCALING_FORMAT=MLN","Sort=A","Dates=H","DateFormat=P","Fill=—","Direction=H","UseDPDF=Y")</f>
        <v>-64.400000000000006</v>
      </c>
      <c r="J50" s="12" cm="1">
        <f t="array" ref="J50">_xll.BDH("PCAR US Equity","CF_EFFECT_FOREIGN_EXCHANGES","FQ2 2020","FQ2 2020","Currency=USD","Period=FQ","BEST_FPERIOD_OVERRIDE=FQ","FILING_STATUS=MR","SCALING_FORMAT=MLN","Sort=A","Dates=H","DateFormat=P","Fill=—","Direction=H","UseDPDF=Y")</f>
        <v>29</v>
      </c>
      <c r="K50" s="12" cm="1">
        <f t="array" ref="K50">_xll.BDH("PCAR US Equity","CF_EFFECT_FOREIGN_EXCHANGES","FQ3 2020","FQ3 2020","Currency=USD","Period=FQ","BEST_FPERIOD_OVERRIDE=FQ","FILING_STATUS=MR","SCALING_FORMAT=MLN","Sort=A","Dates=H","DateFormat=P","Fill=—","Direction=H","UseDPDF=Y")</f>
        <v>34.4</v>
      </c>
      <c r="L50" s="12" cm="1">
        <f t="array" ref="L50">_xll.BDH("PCAR US Equity","CF_EFFECT_FOREIGN_EXCHANGES","FQ4 2020","FQ4 2020","Currency=USD","Period=FQ","BEST_FPERIOD_OVERRIDE=FQ","FILING_STATUS=MR","SCALING_FORMAT=MLN","Sort=A","Dates=H","DateFormat=P","Fill=—","Direction=H","UseDPDF=Y")</f>
        <v>62.6</v>
      </c>
      <c r="M50" s="12" cm="1">
        <f t="array" ref="M50">_xll.BDH("PCAR US Equity","CF_EFFECT_FOREIGN_EXCHANGES","FQ1 2021","FQ1 2021","Currency=USD","Period=FQ","BEST_FPERIOD_OVERRIDE=FQ","FILING_STATUS=MR","SCALING_FORMAT=MLN","Sort=A","Dates=H","DateFormat=P","Fill=—","Direction=H","UseDPDF=Y")</f>
        <v>-32.5</v>
      </c>
      <c r="N50" s="12" cm="1">
        <f t="array" ref="N50">_xll.BDH("PCAR US Equity","CF_EFFECT_FOREIGN_EXCHANGES","FQ2 2021","FQ2 2021","Currency=USD","Period=FQ","BEST_FPERIOD_OVERRIDE=FQ","FILING_STATUS=MR","SCALING_FORMAT=MLN","Sort=A","Dates=H","DateFormat=P","Fill=—","Direction=H","UseDPDF=Y")</f>
        <v>32.5</v>
      </c>
      <c r="O50" s="12" cm="1">
        <f t="array" ref="O50">_xll.BDH("PCAR US Equity","CF_EFFECT_FOREIGN_EXCHANGES","FQ3 2021","FQ3 2021","Currency=USD","Period=FQ","BEST_FPERIOD_OVERRIDE=FQ","FILING_STATUS=MR","SCALING_FORMAT=MLN","Sort=A","Dates=H","DateFormat=P","Fill=—","Direction=H","UseDPDF=Y")</f>
        <v>-46.7</v>
      </c>
      <c r="P50" s="12" cm="1">
        <f t="array" ref="P50">_xll.BDH("PCAR US Equity","CF_EFFECT_FOREIGN_EXCHANGES","FQ4 2021","FQ4 2021","Currency=USD","Period=FQ","BEST_FPERIOD_OVERRIDE=FQ","FILING_STATUS=MR","SCALING_FORMAT=MLN","Sort=A","Dates=H","DateFormat=P","Fill=—","Direction=H","UseDPDF=Y")</f>
        <v>-5.7</v>
      </c>
      <c r="Q50" s="12" cm="1">
        <f t="array" ref="Q50">_xll.BDH("PCAR US Equity","CF_EFFECT_FOREIGN_EXCHANGES","FQ1 2022","FQ1 2022","Currency=USD","Period=FQ","BEST_FPERIOD_OVERRIDE=FQ","FILING_STATUS=MR","SCALING_FORMAT=MLN","Sort=A","Dates=H","DateFormat=P","Fill=—","Direction=H","UseDPDF=Y")</f>
        <v>-10.199999999999999</v>
      </c>
      <c r="R50" s="12" cm="1">
        <f t="array" ref="R50">_xll.BDH("PCAR US Equity","CF_EFFECT_FOREIGN_EXCHANGES","FQ2 2022","FQ2 2022","Currency=USD","Period=FQ","BEST_FPERIOD_OVERRIDE=FQ","FILING_STATUS=MR","SCALING_FORMAT=MLN","Sort=A","Dates=H","DateFormat=P","Fill=—","Direction=H","UseDPDF=Y")</f>
        <v>-59.3</v>
      </c>
      <c r="S50" s="12" cm="1">
        <f t="array" ref="S50">_xll.BDH("PCAR US Equity","CF_EFFECT_FOREIGN_EXCHANGES","FQ3 2022","FQ3 2022","Currency=USD","Period=FQ","BEST_FPERIOD_OVERRIDE=FQ","FILING_STATUS=MR","SCALING_FORMAT=MLN","Sort=A","Dates=H","DateFormat=P","Fill=—","Direction=H","UseDPDF=Y")</f>
        <v>-76.099999999999994</v>
      </c>
      <c r="T50" s="12" cm="1">
        <f t="array" ref="T50">_xll.BDH("PCAR US Equity","CF_EFFECT_FOREIGN_EXCHANGES","FQ4 2022","FQ4 2022","Currency=USD","Period=FQ","BEST_FPERIOD_OVERRIDE=FQ","FILING_STATUS=MR","SCALING_FORMAT=MLN","Sort=A","Dates=H","DateFormat=P","Fill=—","Direction=H","UseDPDF=Y")</f>
        <v>109.3</v>
      </c>
      <c r="U50" s="12" cm="1">
        <f t="array" ref="U50">_xll.BDH("PCAR US Equity","CF_EFFECT_FOREIGN_EXCHANGES","FQ1 2023","FQ1 2023","Currency=USD","Period=FQ","BEST_FPERIOD_OVERRIDE=FQ","FILING_STATUS=MR","SCALING_FORMAT=MLN","Sort=A","Dates=H","DateFormat=P","Fill=—","Direction=H","UseDPDF=Y")</f>
        <v>17.899999999999999</v>
      </c>
      <c r="V50" s="12" cm="1">
        <f t="array" ref="V50">_xll.BDH("PCAR US Equity","CF_EFFECT_FOREIGN_EXCHANGES","FQ2 2023","FQ2 2023","Currency=USD","Period=FQ","BEST_FPERIOD_OVERRIDE=FQ","FILING_STATUS=MR","SCALING_FORMAT=MLN","Sort=A","Dates=H","DateFormat=P","Fill=—","Direction=H","UseDPDF=Y")</f>
        <v>20.100000000000001</v>
      </c>
      <c r="W50" s="12" cm="1">
        <f t="array" ref="W50">_xll.BDH("PCAR US Equity","CF_EFFECT_FOREIGN_EXCHANGES","FQ3 2023","FQ3 2023","Currency=USD","Period=FQ","BEST_FPERIOD_OVERRIDE=FQ","FILING_STATUS=MR","SCALING_FORMAT=MLN","Sort=A","Dates=H","DateFormat=P","Fill=—","Direction=H","UseDPDF=Y")</f>
        <v>-54.3</v>
      </c>
      <c r="X50" s="12" cm="1">
        <f t="array" ref="X50">_xll.BDH("PCAR US Equity","CF_EFFECT_FOREIGN_EXCHANGES","FQ4 2023","FQ4 2023","Currency=USD","Period=FQ","BEST_FPERIOD_OVERRIDE=FQ","FILING_STATUS=MR","SCALING_FORMAT=MLN","Sort=A","Dates=H","DateFormat=P","Fill=—","Direction=H","UseDPDF=Y")</f>
        <v>85.9</v>
      </c>
      <c r="Y50" s="12" cm="1">
        <f t="array" ref="Y50">_xll.BDH("PCAR US Equity","CF_EFFECT_FOREIGN_EXCHANGES","FQ1 2024","FQ1 2024","Currency=USD","Period=FQ","BEST_FPERIOD_OVERRIDE=FQ","FILING_STATUS=MR","SCALING_FORMAT=MLN","Sort=A","Dates=H","DateFormat=P","Fill=—","Direction=H","UseDPDF=Y")</f>
        <v>-50.1</v>
      </c>
      <c r="Z50" s="12" cm="1">
        <f t="array" ref="Z50">_xll.BDH("PCAR US Equity","CF_EFFECT_FOREIGN_EXCHANGES","FQ2 2024","FQ2 2024","Currency=USD","Period=FQ","BEST_FPERIOD_OVERRIDE=FQ","FILING_STATUS=MR","SCALING_FORMAT=MLN","Sort=A","Dates=H","DateFormat=P","Fill=—","Direction=H","UseDPDF=Y")</f>
        <v>-20</v>
      </c>
      <c r="AA50" s="12" cm="1">
        <f t="array" ref="AA50">_xll.BDH("PCAR US Equity","CF_EFFECT_FOREIGN_EXCHANGES","FQ3 2024","FQ3 2024","Currency=USD","Period=FQ","BEST_FPERIOD_OVERRIDE=FQ","FILING_STATUS=MR","SCALING_FORMAT=MLN","Sort=A","Dates=H","DateFormat=P","Fill=—","Direction=H","UseDPDF=Y")</f>
        <v>64.099999999999994</v>
      </c>
      <c r="AB50" s="12" cm="1">
        <f t="array" ref="AB50">_xll.BDH("PCAR US Equity","CF_EFFECT_FOREIGN_EXCHANGES","FQ4 2024","FQ4 2024","Currency=USD","Period=FQ","BEST_FPERIOD_OVERRIDE=FQ","FILING_STATUS=MR","SCALING_FORMAT=MLN","Sort=A","Dates=H","DateFormat=P","Fill=—","Direction=H","UseDPDF=Y")</f>
        <v>-145.4</v>
      </c>
      <c r="AC50" s="12" cm="1">
        <f t="array" ref="AC50">_xll.BDH("PCAR US Equity","CF_EFFECT_FOREIGN_EXCHANGES","FQ1 2025","FQ1 2025","Currency=USD","Period=FQ","BEST_FPERIOD_OVERRIDE=FQ","FILING_STATUS=MR","SCALING_FORMAT=MLN","Sort=A","Dates=H","DateFormat=P","Fill=—","Direction=H","UseDPDF=Y")</f>
        <v>73.900000000000006</v>
      </c>
      <c r="AD50" s="12" cm="1">
        <f t="array" ref="AD50">_xll.BDH("PCAR US Equity","CF_EFFECT_FOREIGN_EXCHANGES","FQ2 2025","FQ2 2025","Currency=USD","Period=FQ","BEST_FPERIOD_OVERRIDE=FQ","FILING_STATUS=MR","SCALING_FORMAT=MLN","Sort=A","Dates=H","DateFormat=P","Fill=—","Direction=H","UseDPDF=Y")</f>
        <v>107.4</v>
      </c>
      <c r="AE50" s="12" cm="1">
        <f t="array" ref="AE50">_xll.BDH("PCAR US Equity","CF_EFFECT_FOREIGN_EXCHANGES","FQ3 2025","FQ3 2025","Currency=USD","Period=FQ","BEST_FPERIOD_OVERRIDE=FQ","FILING_STATUS=MR","SCALING_FORMAT=MLN","Sort=A","Dates=H","DateFormat=P","Fill=—","Direction=H","UseDPDF=Y")</f>
        <v>-8.5</v>
      </c>
      <c r="AF50" s="12" cm="1">
        <f t="array" ref="AF50">_xll.BDH("PCAR US Equity","CF_EFFECT_FOREIGN_EXCHANGES","FQ4 2025","FQ4 2025","Currency=USD","Period=FQ","BEST_FPERIOD_OVERRIDE=FQ","FILING_STATUS=MR","SCALING_FORMAT=MLN","Sort=A","Dates=H","DateFormat=P","Fill=—","Direction=H","UseDPDF=Y")</f>
        <v>8.1</v>
      </c>
    </row>
    <row r="51" spans="1:32" x14ac:dyDescent="0.25">
      <c r="A51" s="6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</row>
    <row r="52" spans="1:32" x14ac:dyDescent="0.25">
      <c r="A52" s="6" t="s">
        <v>141</v>
      </c>
      <c r="B52" s="6" t="s">
        <v>142</v>
      </c>
      <c r="C52" s="15" cm="1">
        <f t="array" ref="C52">_xll.BDH("PCAR US Equity","CF_NET_CHNG_CASH","FQ3 2018","FQ3 2018","Currency=USD","Period=FQ","BEST_FPERIOD_OVERRIDE=FQ","FILING_STATUS=MR","SCALING_FORMAT=MLN","Sort=A","Dates=H","DateFormat=P","Fill=—","Direction=H","UseDPDF=Y")</f>
        <v>407.2</v>
      </c>
      <c r="D52" s="15" cm="1">
        <f t="array" ref="D52">_xll.BDH("PCAR US Equity","CF_NET_CHNG_CASH","FQ4 2018","FQ4 2018","Currency=USD","Period=FQ","BEST_FPERIOD_OVERRIDE=FQ","FILING_STATUS=MR","SCALING_FORMAT=MLN","Sort=A","Dates=H","DateFormat=P","Fill=—","Direction=H","UseDPDF=Y")</f>
        <v>521.9</v>
      </c>
      <c r="E52" s="15" cm="1">
        <f t="array" ref="E52">_xll.BDH("PCAR US Equity","CF_NET_CHNG_CASH","FQ1 2019","FQ1 2019","Currency=USD","Period=FQ","BEST_FPERIOD_OVERRIDE=FQ","FILING_STATUS=MR","SCALING_FORMAT=MLN","Sort=A","Dates=H","DateFormat=P","Fill=—","Direction=H","UseDPDF=Y")</f>
        <v>-593.29999999999995</v>
      </c>
      <c r="F52" s="15" cm="1">
        <f t="array" ref="F52">_xll.BDH("PCAR US Equity","CF_NET_CHNG_CASH","FQ2 2019","FQ2 2019","Currency=USD","Period=FQ","BEST_FPERIOD_OVERRIDE=FQ","FILING_STATUS=MR","SCALING_FORMAT=MLN","Sort=A","Dates=H","DateFormat=P","Fill=—","Direction=H","UseDPDF=Y")</f>
        <v>376.8</v>
      </c>
      <c r="G52" s="15" cm="1">
        <f t="array" ref="G52">_xll.BDH("PCAR US Equity","CF_NET_CHNG_CASH","FQ3 2019","FQ3 2019","Currency=USD","Period=FQ","BEST_FPERIOD_OVERRIDE=FQ","FILING_STATUS=MR","SCALING_FORMAT=MLN","Sort=A","Dates=H","DateFormat=P","Fill=—","Direction=H","UseDPDF=Y")</f>
        <v>450.1</v>
      </c>
      <c r="H52" s="15" cm="1">
        <f t="array" ref="H52">_xll.BDH("PCAR US Equity","CF_NET_CHNG_CASH","FQ4 2019","FQ4 2019","Currency=USD","Period=FQ","BEST_FPERIOD_OVERRIDE=FQ","FILING_STATUS=MR","SCALING_FORMAT=MLN","Sort=A","Dates=H","DateFormat=P","Fill=—","Direction=H","UseDPDF=Y")</f>
        <v>505.6</v>
      </c>
      <c r="I52" s="15" cm="1">
        <f t="array" ref="I52">_xll.BDH("PCAR US Equity","CF_NET_CHNG_CASH","FQ1 2020","FQ1 2020","Currency=USD","Period=FQ","BEST_FPERIOD_OVERRIDE=FQ","FILING_STATUS=MR","SCALING_FORMAT=MLN","Sort=A","Dates=H","DateFormat=P","Fill=—","Direction=H","UseDPDF=Y")</f>
        <v>-852</v>
      </c>
      <c r="J52" s="15" cm="1">
        <f t="array" ref="J52">_xll.BDH("PCAR US Equity","CF_NET_CHNG_CASH","FQ2 2020","FQ2 2020","Currency=USD","Period=FQ","BEST_FPERIOD_OVERRIDE=FQ","FILING_STATUS=MR","SCALING_FORMAT=MLN","Sort=A","Dates=H","DateFormat=P","Fill=—","Direction=H","UseDPDF=Y")</f>
        <v>-195.1</v>
      </c>
      <c r="K52" s="15" cm="1">
        <f t="array" ref="K52">_xll.BDH("PCAR US Equity","CF_NET_CHNG_CASH","FQ3 2020","FQ3 2020","Currency=USD","Period=FQ","BEST_FPERIOD_OVERRIDE=FQ","FILING_STATUS=MR","SCALING_FORMAT=MLN","Sort=A","Dates=H","DateFormat=P","Fill=—","Direction=H","UseDPDF=Y")</f>
        <v>216.3</v>
      </c>
      <c r="L52" s="15" cm="1">
        <f t="array" ref="L52">_xll.BDH("PCAR US Equity","CF_NET_CHNG_CASH","FQ4 2020","FQ4 2020","Currency=USD","Period=FQ","BEST_FPERIOD_OVERRIDE=FQ","FILING_STATUS=MR","SCALING_FORMAT=MLN","Sort=A","Dates=H","DateFormat=P","Fill=—","Direction=H","UseDPDF=Y")</f>
        <v>195.3</v>
      </c>
      <c r="M52" s="15" cm="1">
        <f t="array" ref="M52">_xll.BDH("PCAR US Equity","CF_NET_CHNG_CASH","FQ1 2021","FQ1 2021","Currency=USD","Period=FQ","BEST_FPERIOD_OVERRIDE=FQ","FILING_STATUS=MR","SCALING_FORMAT=MLN","Sort=A","Dates=H","DateFormat=P","Fill=—","Direction=H","UseDPDF=Y")</f>
        <v>-219.6</v>
      </c>
      <c r="N52" s="15" cm="1">
        <f t="array" ref="N52">_xll.BDH("PCAR US Equity","CF_NET_CHNG_CASH","FQ2 2021","FQ2 2021","Currency=USD","Period=FQ","BEST_FPERIOD_OVERRIDE=FQ","FILING_STATUS=MR","SCALING_FORMAT=MLN","Sort=A","Dates=H","DateFormat=P","Fill=—","Direction=H","UseDPDF=Y")</f>
        <v>-230.9</v>
      </c>
      <c r="O52" s="15" cm="1">
        <f t="array" ref="O52">_xll.BDH("PCAR US Equity","CF_NET_CHNG_CASH","FQ3 2021","FQ3 2021","Currency=USD","Period=FQ","BEST_FPERIOD_OVERRIDE=FQ","FILING_STATUS=MR","SCALING_FORMAT=MLN","Sort=A","Dates=H","DateFormat=P","Fill=—","Direction=H","UseDPDF=Y")</f>
        <v>-861.3</v>
      </c>
      <c r="P52" s="15" cm="1">
        <f t="array" ref="P52">_xll.BDH("PCAR US Equity","CF_NET_CHNG_CASH","FQ4 2021","FQ4 2021","Currency=USD","Period=FQ","BEST_FPERIOD_OVERRIDE=FQ","FILING_STATUS=MR","SCALING_FORMAT=MLN","Sort=A","Dates=H","DateFormat=P","Fill=—","Direction=H","UseDPDF=Y")</f>
        <v>1200.5</v>
      </c>
      <c r="Q52" s="15" cm="1">
        <f t="array" ref="Q52">_xll.BDH("PCAR US Equity","CF_NET_CHNG_CASH","FQ1 2022","FQ1 2022","Currency=USD","Period=FQ","BEST_FPERIOD_OVERRIDE=FQ","FILING_STATUS=MR","SCALING_FORMAT=MLN","Sort=A","Dates=H","DateFormat=P","Fill=—","Direction=H","UseDPDF=Y")</f>
        <v>-113.4</v>
      </c>
      <c r="R52" s="15" cm="1">
        <f t="array" ref="R52">_xll.BDH("PCAR US Equity","CF_NET_CHNG_CASH","FQ2 2022","FQ2 2022","Currency=USD","Period=FQ","BEST_FPERIOD_OVERRIDE=FQ","FILING_STATUS=MR","SCALING_FORMAT=MLN","Sort=A","Dates=H","DateFormat=P","Fill=—","Direction=H","UseDPDF=Y")</f>
        <v>-83.6</v>
      </c>
      <c r="S52" s="15" cm="1">
        <f t="array" ref="S52">_xll.BDH("PCAR US Equity","CF_NET_CHNG_CASH","FQ3 2022","FQ3 2022","Currency=USD","Period=FQ","BEST_FPERIOD_OVERRIDE=FQ","FILING_STATUS=MR","SCALING_FORMAT=MLN","Sort=A","Dates=H","DateFormat=P","Fill=—","Direction=H","UseDPDF=Y")</f>
        <v>92.2</v>
      </c>
      <c r="T52" s="15" cm="1">
        <f t="array" ref="T52">_xll.BDH("PCAR US Equity","CF_NET_CHNG_CASH","FQ4 2022","FQ4 2022","Currency=USD","Period=FQ","BEST_FPERIOD_OVERRIDE=FQ","FILING_STATUS=MR","SCALING_FORMAT=MLN","Sort=A","Dates=H","DateFormat=P","Fill=—","Direction=H","UseDPDF=Y")</f>
        <v>1367.4</v>
      </c>
      <c r="U52" s="15" cm="1">
        <f t="array" ref="U52">_xll.BDH("PCAR US Equity","CF_NET_CHNG_CASH","FQ1 2023","FQ1 2023","Currency=USD","Period=FQ","BEST_FPERIOD_OVERRIDE=FQ","FILING_STATUS=MR","SCALING_FORMAT=MLN","Sort=A","Dates=H","DateFormat=P","Fill=—","Direction=H","UseDPDF=Y")</f>
        <v>-280.8</v>
      </c>
      <c r="V52" s="15" cm="1">
        <f t="array" ref="V52">_xll.BDH("PCAR US Equity","CF_NET_CHNG_CASH","FQ2 2023","FQ2 2023","Currency=USD","Period=FQ","BEST_FPERIOD_OVERRIDE=FQ","FILING_STATUS=MR","SCALING_FORMAT=MLN","Sort=A","Dates=H","DateFormat=P","Fill=—","Direction=H","UseDPDF=Y")</f>
        <v>735.8</v>
      </c>
      <c r="W52" s="15" cm="1">
        <f t="array" ref="W52">_xll.BDH("PCAR US Equity","CF_NET_CHNG_CASH","FQ3 2023","FQ3 2023","Currency=USD","Period=FQ","BEST_FPERIOD_OVERRIDE=FQ","FILING_STATUS=MR","SCALING_FORMAT=MLN","Sort=A","Dates=H","DateFormat=P","Fill=—","Direction=H","UseDPDF=Y")</f>
        <v>760.4</v>
      </c>
      <c r="X52" s="15" cm="1">
        <f t="array" ref="X52">_xll.BDH("PCAR US Equity","CF_NET_CHNG_CASH","FQ4 2023","FQ4 2023","Currency=USD","Period=FQ","BEST_FPERIOD_OVERRIDE=FQ","FILING_STATUS=MR","SCALING_FORMAT=MLN","Sort=A","Dates=H","DateFormat=P","Fill=—","Direction=H","UseDPDF=Y")</f>
        <v>1275.4000000000001</v>
      </c>
      <c r="Y52" s="15" cm="1">
        <f t="array" ref="Y52">_xll.BDH("PCAR US Equity","CF_NET_CHNG_CASH","FQ1 2024","FQ1 2024","Currency=USD","Period=FQ","BEST_FPERIOD_OVERRIDE=FQ","FILING_STATUS=MR","SCALING_FORMAT=MLN","Sort=A","Dates=H","DateFormat=P","Fill=—","Direction=H","UseDPDF=Y")</f>
        <v>-987.2</v>
      </c>
      <c r="Z52" s="15" cm="1">
        <f t="array" ref="Z52">_xll.BDH("PCAR US Equity","CF_NET_CHNG_CASH","FQ2 2024","FQ2 2024","Currency=USD","Period=FQ","BEST_FPERIOD_OVERRIDE=FQ","FILING_STATUS=MR","SCALING_FORMAT=MLN","Sort=A","Dates=H","DateFormat=P","Fill=—","Direction=H","UseDPDF=Y")</f>
        <v>-323</v>
      </c>
      <c r="AA52" s="15" cm="1">
        <f t="array" ref="AA52">_xll.BDH("PCAR US Equity","CF_NET_CHNG_CASH","FQ3 2024","FQ3 2024","Currency=USD","Period=FQ","BEST_FPERIOD_OVERRIDE=FQ","FILING_STATUS=MR","SCALING_FORMAT=MLN","Sort=A","Dates=H","DateFormat=P","Fill=—","Direction=H","UseDPDF=Y")</f>
        <v>977.7</v>
      </c>
      <c r="AB52" s="15" cm="1">
        <f t="array" ref="AB52">_xll.BDH("PCAR US Equity","CF_NET_CHNG_CASH","FQ4 2024","FQ4 2024","Currency=USD","Period=FQ","BEST_FPERIOD_OVERRIDE=FQ","FILING_STATUS=MR","SCALING_FORMAT=MLN","Sort=A","Dates=H","DateFormat=P","Fill=—","Direction=H","UseDPDF=Y")</f>
        <v>211.6</v>
      </c>
      <c r="AC52" s="15" cm="1">
        <f t="array" ref="AC52">_xll.BDH("PCAR US Equity","CF_NET_CHNG_CASH","FQ1 2025","FQ1 2025","Currency=USD","Period=FQ","BEST_FPERIOD_OVERRIDE=FQ","FILING_STATUS=MR","SCALING_FORMAT=MLN","Sort=A","Dates=H","DateFormat=P","Fill=—","Direction=H","UseDPDF=Y")</f>
        <v>-1543.1</v>
      </c>
      <c r="AD52" s="15" cm="1">
        <f t="array" ref="AD52">_xll.BDH("PCAR US Equity","CF_NET_CHNG_CASH","FQ2 2025","FQ2 2025","Currency=USD","Period=FQ","BEST_FPERIOD_OVERRIDE=FQ","FILING_STATUS=MR","SCALING_FORMAT=MLN","Sort=A","Dates=H","DateFormat=P","Fill=—","Direction=H","UseDPDF=Y")</f>
        <v>32.200000000000003</v>
      </c>
      <c r="AE52" s="15" cm="1">
        <f t="array" ref="AE52">_xll.BDH("PCAR US Equity","CF_NET_CHNG_CASH","FQ3 2025","FQ3 2025","Currency=USD","Period=FQ","BEST_FPERIOD_OVERRIDE=FQ","FILING_STATUS=MR","SCALING_FORMAT=MLN","Sort=A","Dates=H","DateFormat=P","Fill=—","Direction=H","UseDPDF=Y")</f>
        <v>754</v>
      </c>
      <c r="AF52" s="15" cm="1">
        <f t="array" ref="AF52">_xll.BDH("PCAR US Equity","CF_NET_CHNG_CASH","FQ4 2025","FQ4 2025","Currency=USD","Period=FQ","BEST_FPERIOD_OVERRIDE=FQ","FILING_STATUS=MR","SCALING_FORMAT=MLN","Sort=A","Dates=H","DateFormat=P","Fill=—","Direction=H","UseDPDF=Y")</f>
        <v>4</v>
      </c>
    </row>
    <row r="53" spans="1:32" x14ac:dyDescent="0.25">
      <c r="A53" s="6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</row>
    <row r="54" spans="1:32" x14ac:dyDescent="0.25">
      <c r="A54" s="6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</row>
    <row r="55" spans="1:32" x14ac:dyDescent="0.25">
      <c r="A55" s="6" t="s">
        <v>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</row>
    <row r="56" spans="1:32" x14ac:dyDescent="0.25">
      <c r="A56" s="10" t="s">
        <v>143</v>
      </c>
      <c r="B56" s="10" t="s">
        <v>143</v>
      </c>
      <c r="C56" s="12" cm="1">
        <f t="array" ref="C56">_xll.BDH("PCAR US Equity","EBITDA","FQ3 2018","FQ3 2018","Currency=USD","Period=FQ","BEST_FPERIOD_OVERRIDE=FQ","FILING_STATUS=MR","SCALING_FORMAT=MLN","FA_ADJUSTED=GAAP","Sort=A","Dates=H","DateFormat=P","Fill=—","Direction=H","UseDPDF=Y")</f>
        <v>720.8</v>
      </c>
      <c r="D56" s="12" cm="1">
        <f t="array" ref="D56">_xll.BDH("PCAR US Equity","EBITDA","FQ4 2018","FQ4 2018","Currency=USD","Period=FQ","BEST_FPERIOD_OVERRIDE=FQ","FILING_STATUS=MR","SCALING_FORMAT=MLN","FA_ADJUSTED=GAAP","Sort=A","Dates=H","DateFormat=P","Fill=—","Direction=H","UseDPDF=Y")</f>
        <v>796.2</v>
      </c>
      <c r="E56" s="12" cm="1">
        <f t="array" ref="E56">_xll.BDH("PCAR US Equity","EBITDA","FQ1 2019","FQ1 2019","Currency=USD","Period=FQ","BEST_FPERIOD_OVERRIDE=FQ","FILING_STATUS=MR","SCALING_FORMAT=MLN","FA_ADJUSTED=GAAP","Sort=A","Dates=H","DateFormat=P","Fill=—","Direction=H","UseDPDF=Y")</f>
        <v>875.3</v>
      </c>
      <c r="F56" s="12" cm="1">
        <f t="array" ref="F56">_xll.BDH("PCAR US Equity","EBITDA","FQ2 2019","FQ2 2019","Currency=USD","Period=FQ","BEST_FPERIOD_OVERRIDE=FQ","FILING_STATUS=MR","SCALING_FORMAT=MLN","FA_ADJUSTED=GAAP","Sort=A","Dates=H","DateFormat=P","Fill=—","Direction=H","UseDPDF=Y")</f>
        <v>868.2</v>
      </c>
      <c r="G56" s="12" cm="1">
        <f t="array" ref="G56">_xll.BDH("PCAR US Equity","EBITDA","FQ3 2019","FQ3 2019","Currency=USD","Period=FQ","BEST_FPERIOD_OVERRIDE=FQ","FILING_STATUS=MR","SCALING_FORMAT=MLN","FA_ADJUSTED=GAAP","Sort=A","Dates=H","DateFormat=P","Fill=—","Direction=H","UseDPDF=Y")</f>
        <v>829.3</v>
      </c>
      <c r="H56" s="12" cm="1">
        <f t="array" ref="H56">_xll.BDH("PCAR US Equity","EBITDA","FQ4 2019","FQ4 2019","Currency=USD","Period=FQ","BEST_FPERIOD_OVERRIDE=FQ","FILING_STATUS=MR","SCALING_FORMAT=MLN","FA_ADJUSTED=GAAP","Sort=A","Dates=H","DateFormat=P","Fill=—","Direction=H","UseDPDF=Y")</f>
        <v>741.2</v>
      </c>
      <c r="I56" s="12" cm="1">
        <f t="array" ref="I56">_xll.BDH("PCAR US Equity","EBITDA","FQ1 2020","FQ1 2020","Currency=USD","Period=FQ","BEST_FPERIOD_OVERRIDE=FQ","FILING_STATUS=MR","SCALING_FORMAT=MLN","FA_ADJUSTED=GAAP","Sort=A","Dates=H","DateFormat=P","Fill=—","Direction=H","UseDPDF=Y")</f>
        <v>504.3</v>
      </c>
      <c r="J56" s="12" cm="1">
        <f t="array" ref="J56">_xll.BDH("PCAR US Equity","EBITDA","FQ2 2020","FQ2 2020","Currency=USD","Period=FQ","BEST_FPERIOD_OVERRIDE=FQ","FILING_STATUS=MR","SCALING_FORMAT=MLN","FA_ADJUSTED=GAAP","Sort=A","Dates=H","DateFormat=P","Fill=—","Direction=H","UseDPDF=Y")</f>
        <v>207.9</v>
      </c>
      <c r="K56" s="12" cm="1">
        <f t="array" ref="K56">_xll.BDH("PCAR US Equity","EBITDA","FQ3 2020","FQ3 2020","Currency=USD","Period=FQ","BEST_FPERIOD_OVERRIDE=FQ","FILING_STATUS=MR","SCALING_FORMAT=MLN","FA_ADJUSTED=GAAP","Sort=A","Dates=H","DateFormat=P","Fill=—","Direction=H","UseDPDF=Y")</f>
        <v>534.1</v>
      </c>
      <c r="L56" s="12" cm="1">
        <f t="array" ref="L56">_xll.BDH("PCAR US Equity","EBITDA","FQ4 2020","FQ4 2020","Currency=USD","Period=FQ","BEST_FPERIOD_OVERRIDE=FQ","FILING_STATUS=MR","SCALING_FORMAT=MLN","FA_ADJUSTED=GAAP","Sort=A","Dates=H","DateFormat=P","Fill=—","Direction=H","UseDPDF=Y")</f>
        <v>571.20000000000005</v>
      </c>
      <c r="M56" s="12" cm="1">
        <f t="array" ref="M56">_xll.BDH("PCAR US Equity","EBITDA","FQ1 2021","FQ1 2021","Currency=USD","Period=FQ","BEST_FPERIOD_OVERRIDE=FQ","FILING_STATUS=MR","SCALING_FORMAT=MLN","FA_ADJUSTED=GAAP","Sort=A","Dates=H","DateFormat=P","Fill=—","Direction=H","UseDPDF=Y")</f>
        <v>657.1</v>
      </c>
      <c r="N56" s="12" cm="1">
        <f t="array" ref="N56">_xll.BDH("PCAR US Equity","EBITDA","FQ2 2021","FQ2 2021","Currency=USD","Period=FQ","BEST_FPERIOD_OVERRIDE=FQ","FILING_STATUS=MR","SCALING_FORMAT=MLN","FA_ADJUSTED=GAAP","Sort=A","Dates=H","DateFormat=P","Fill=—","Direction=H","UseDPDF=Y")</f>
        <v>685</v>
      </c>
      <c r="O56" s="12" cm="1">
        <f t="array" ref="O56">_xll.BDH("PCAR US Equity","EBITDA","FQ3 2021","FQ3 2021","Currency=USD","Period=FQ","BEST_FPERIOD_OVERRIDE=FQ","FILING_STATUS=MR","SCALING_FORMAT=MLN","FA_ADJUSTED=GAAP","Sort=A","Dates=H","DateFormat=P","Fill=—","Direction=H","UseDPDF=Y")</f>
        <v>538.1</v>
      </c>
      <c r="P56" s="12" cm="1">
        <f t="array" ref="P56">_xll.BDH("PCAR US Equity","EBITDA","FQ4 2021","FQ4 2021","Currency=USD","Period=FQ","BEST_FPERIOD_OVERRIDE=FQ","FILING_STATUS=MR","SCALING_FORMAT=MLN","FA_ADJUSTED=GAAP","Sort=A","Dates=H","DateFormat=P","Fill=—","Direction=H","UseDPDF=Y")</f>
        <v>698</v>
      </c>
      <c r="Q56" s="12" cm="1">
        <f t="array" ref="Q56">_xll.BDH("PCAR US Equity","EBITDA","FQ1 2022","FQ1 2022","Currency=USD","Period=FQ","BEST_FPERIOD_OVERRIDE=FQ","FILING_STATUS=MR","SCALING_FORMAT=MLN","FA_ADJUSTED=GAAP","Sort=A","Dates=H","DateFormat=P","Fill=—","Direction=H","UseDPDF=Y")</f>
        <v>815.9</v>
      </c>
      <c r="R56" s="12" cm="1">
        <f t="array" ref="R56">_xll.BDH("PCAR US Equity","EBITDA","FQ2 2022","FQ2 2022","Currency=USD","Period=FQ","BEST_FPERIOD_OVERRIDE=FQ","FILING_STATUS=MR","SCALING_FORMAT=MLN","FA_ADJUSTED=GAAP","Sort=A","Dates=H","DateFormat=P","Fill=—","Direction=H","UseDPDF=Y")</f>
        <v>975.6</v>
      </c>
      <c r="S56" s="12" cm="1">
        <f t="array" ref="S56">_xll.BDH("PCAR US Equity","EBITDA","FQ3 2022","FQ3 2022","Currency=USD","Period=FQ","BEST_FPERIOD_OVERRIDE=FQ","FILING_STATUS=MR","SCALING_FORMAT=MLN","FA_ADJUSTED=GAAP","Sort=A","Dates=H","DateFormat=P","Fill=—","Direction=H","UseDPDF=Y")</f>
        <v>1007.7</v>
      </c>
      <c r="T56" s="12" cm="1">
        <f t="array" ref="T56">_xll.BDH("PCAR US Equity","EBITDA","FQ4 2022","FQ4 2022","Currency=USD","Period=FQ","BEST_FPERIOD_OVERRIDE=FQ","FILING_STATUS=MR","SCALING_FORMAT=MLN","FA_ADJUSTED=GAAP","Sort=A","Dates=H","DateFormat=P","Fill=—","Direction=H","UseDPDF=Y")</f>
        <v>1211.5999999999999</v>
      </c>
      <c r="U56" s="12" cm="1">
        <f t="array" ref="U56">_xll.BDH("PCAR US Equity","EBITDA","FQ1 2023","FQ1 2023","Currency=USD","Period=FQ","BEST_FPERIOD_OVERRIDE=FQ","FILING_STATUS=MR","SCALING_FORMAT=MLN","FA_ADJUSTED=GAAP","Sort=A","Dates=H","DateFormat=P","Fill=—","Direction=H","UseDPDF=Y")</f>
        <v>1551.8</v>
      </c>
      <c r="V56" s="12" cm="1">
        <f t="array" ref="V56">_xll.BDH("PCAR US Equity","EBITDA","FQ2 2023","FQ2 2023","Currency=USD","Period=FQ","BEST_FPERIOD_OVERRIDE=FQ","FILING_STATUS=MR","SCALING_FORMAT=MLN","FA_ADJUSTED=GAAP","Sort=A","Dates=H","DateFormat=P","Fill=—","Direction=H","UseDPDF=Y")</f>
        <v>1590.3</v>
      </c>
      <c r="W56" s="12" cm="1">
        <f t="array" ref="W56">_xll.BDH("PCAR US Equity","EBITDA","FQ3 2023","FQ3 2023","Currency=USD","Period=FQ","BEST_FPERIOD_OVERRIDE=FQ","FILING_STATUS=MR","SCALING_FORMAT=MLN","FA_ADJUSTED=GAAP","Sort=A","Dates=H","DateFormat=P","Fill=—","Direction=H","UseDPDF=Y")</f>
        <v>1595.3</v>
      </c>
      <c r="X56" s="12" cm="1">
        <f t="array" ref="X56">_xll.BDH("PCAR US Equity","EBITDA","FQ4 2023","FQ4 2023","Currency=USD","Period=FQ","BEST_FPERIOD_OVERRIDE=FQ","FILING_STATUS=MR","SCALING_FORMAT=MLN","FA_ADJUSTED=GAAP","Sort=A","Dates=H","DateFormat=P","Fill=—","Direction=H","UseDPDF=Y")</f>
        <v>1624</v>
      </c>
      <c r="Y56" s="12" cm="1">
        <f t="array" ref="Y56">_xll.BDH("PCAR US Equity","EBITDA","FQ1 2024","FQ1 2024","Currency=USD","Period=FQ","BEST_FPERIOD_OVERRIDE=FQ","FILING_STATUS=MR","SCALING_FORMAT=MLN","FA_ADJUSTED=GAAP","Sort=A","Dates=H","DateFormat=P","Fill=—","Direction=H","UseDPDF=Y")</f>
        <v>1526.2</v>
      </c>
      <c r="Z56" s="12" cm="1">
        <f t="array" ref="Z56">_xll.BDH("PCAR US Equity","EBITDA","FQ2 2024","FQ2 2024","Currency=USD","Period=FQ","BEST_FPERIOD_OVERRIDE=FQ","FILING_STATUS=MR","SCALING_FORMAT=MLN","FA_ADJUSTED=GAAP","Sort=A","Dates=H","DateFormat=P","Fill=—","Direction=H","UseDPDF=Y")</f>
        <v>1441.5</v>
      </c>
      <c r="AA56" s="12" cm="1">
        <f t="array" ref="AA56">_xll.BDH("PCAR US Equity","EBITDA","FQ3 2024","FQ3 2024","Currency=USD","Period=FQ","BEST_FPERIOD_OVERRIDE=FQ","FILING_STATUS=MR","SCALING_FORMAT=MLN","FA_ADJUSTED=GAAP","Sort=A","Dates=H","DateFormat=P","Fill=—","Direction=H","UseDPDF=Y")</f>
        <v>1219.2</v>
      </c>
      <c r="AB56" s="12" cm="1">
        <f t="array" ref="AB56">_xll.BDH("PCAR US Equity","EBITDA","FQ4 2024","FQ4 2024","Currency=USD","Period=FQ","BEST_FPERIOD_OVERRIDE=FQ","FILING_STATUS=MR","SCALING_FORMAT=MLN","FA_ADJUSTED=GAAP","Sort=A","Dates=H","DateFormat=P","Fill=—","Direction=H","UseDPDF=Y")</f>
        <v>1103.9000000000001</v>
      </c>
      <c r="AC56" s="12" cm="1">
        <f t="array" ref="AC56">_xll.BDH("PCAR US Equity","EBITDA","FQ1 2025","FQ1 2025","Currency=USD","Period=FQ","BEST_FPERIOD_OVERRIDE=FQ","FILING_STATUS=MR","SCALING_FORMAT=MLN","FA_ADJUSTED=GAAP","Sort=A","Dates=H","DateFormat=P","Fill=—","Direction=H","UseDPDF=Y")</f>
        <v>984.8</v>
      </c>
      <c r="AD56" s="12" cm="1">
        <f t="array" ref="AD56">_xll.BDH("PCAR US Equity","EBITDA","FQ2 2025","FQ2 2025","Currency=USD","Period=FQ","BEST_FPERIOD_OVERRIDE=FQ","FILING_STATUS=MR","SCALING_FORMAT=MLN","FA_ADJUSTED=GAAP","Sort=A","Dates=H","DateFormat=P","Fill=—","Direction=H","UseDPDF=Y")</f>
        <v>938.3</v>
      </c>
      <c r="AE56" s="12" cm="1">
        <f t="array" ref="AE56">_xll.BDH("PCAR US Equity","EBITDA","FQ3 2025","FQ3 2025","Currency=USD","Period=FQ","BEST_FPERIOD_OVERRIDE=FQ","FILING_STATUS=MR","SCALING_FORMAT=MLN","FA_ADJUSTED=GAAP","Sort=A","Dates=H","DateFormat=P","Fill=—","Direction=H","UseDPDF=Y")</f>
        <v>733.8</v>
      </c>
      <c r="AF56" s="12" cm="1">
        <f t="array" ref="AF56">_xll.BDH("PCAR US Equity","EBITDA","FQ4 2025","FQ4 2025","Currency=USD","Period=FQ","BEST_FPERIOD_OVERRIDE=FQ","FILING_STATUS=MR","SCALING_FORMAT=MLN","FA_ADJUSTED=GAAP","Sort=A","Dates=H","DateFormat=P","Fill=—","Direction=H","UseDPDF=Y")</f>
        <v>703</v>
      </c>
    </row>
    <row r="57" spans="1:32" x14ac:dyDescent="0.25">
      <c r="A57" s="10" t="s">
        <v>144</v>
      </c>
      <c r="B57" s="10" t="s">
        <v>145</v>
      </c>
      <c r="C57" s="13" cm="1">
        <f t="array" ref="C57">_xll.BDH("PCAR US Equity","EBITDA_MARGIN","FQ3 2018","FQ3 2018","Currency=USD","Period=FQ","BEST_FPERIOD_OVERRIDE=FQ","FILING_STATUS=MR","FA_ADJUSTED=GAAP","Sort=A","Dates=H","DateFormat=P","Fill=—","Direction=H","UseDPDF=Y")</f>
        <v>12.7919</v>
      </c>
      <c r="D57" s="13" cm="1">
        <f t="array" ref="D57">_xll.BDH("PCAR US Equity","EBITDA_MARGIN","FQ4 2018","FQ4 2018","Currency=USD","Period=FQ","BEST_FPERIOD_OVERRIDE=FQ","FILING_STATUS=MR","FA_ADJUSTED=GAAP","Sort=A","Dates=H","DateFormat=P","Fill=—","Direction=H","UseDPDF=Y")</f>
        <v>12.8794</v>
      </c>
      <c r="E57" s="13" cm="1">
        <f t="array" ref="E57">_xll.BDH("PCAR US Equity","EBITDA_MARGIN","FQ1 2019","FQ1 2019","Currency=USD","Period=FQ","BEST_FPERIOD_OVERRIDE=FQ","FILING_STATUS=MR","FA_ADJUSTED=GAAP","Sort=A","Dates=H","DateFormat=P","Fill=—","Direction=H","UseDPDF=Y")</f>
        <v>13.0176</v>
      </c>
      <c r="F57" s="13" cm="1">
        <f t="array" ref="F57">_xll.BDH("PCAR US Equity","EBITDA_MARGIN","FQ2 2019","FQ2 2019","Currency=USD","Period=FQ","BEST_FPERIOD_OVERRIDE=FQ","FILING_STATUS=MR","FA_ADJUSTED=GAAP","Sort=A","Dates=H","DateFormat=P","Fill=—","Direction=H","UseDPDF=Y")</f>
        <v>12.963200000000001</v>
      </c>
      <c r="G57" s="13" cm="1">
        <f t="array" ref="G57">_xll.BDH("PCAR US Equity","EBITDA_MARGIN","FQ3 2019","FQ3 2019","Currency=USD","Period=FQ","BEST_FPERIOD_OVERRIDE=FQ","FILING_STATUS=MR","FA_ADJUSTED=GAAP","Sort=A","Dates=H","DateFormat=P","Fill=—","Direction=H","UseDPDF=Y")</f>
        <v>13.077299999999999</v>
      </c>
      <c r="H57" s="13" cm="1">
        <f t="array" ref="H57">_xll.BDH("PCAR US Equity","EBITDA_MARGIN","FQ4 2019","FQ4 2019","Currency=USD","Period=FQ","BEST_FPERIOD_OVERRIDE=FQ","FILING_STATUS=MR","FA_ADJUSTED=GAAP","Sort=A","Dates=H","DateFormat=P","Fill=—","Direction=H","UseDPDF=Y")</f>
        <v>12.945499999999999</v>
      </c>
      <c r="I57" s="13" cm="1">
        <f t="array" ref="I57">_xll.BDH("PCAR US Equity","EBITDA_MARGIN","FQ1 2020","FQ1 2020","Currency=USD","Period=FQ","BEST_FPERIOD_OVERRIDE=FQ","FILING_STATUS=MR","FA_ADJUSTED=GAAP","Sort=A","Dates=H","DateFormat=P","Fill=—","Direction=H","UseDPDF=Y")</f>
        <v>12.1242</v>
      </c>
      <c r="J57" s="13" cm="1">
        <f t="array" ref="J57">_xll.BDH("PCAR US Equity","EBITDA_MARGIN","FQ2 2020","FQ2 2020","Currency=USD","Period=FQ","BEST_FPERIOD_OVERRIDE=FQ","FILING_STATUS=MR","FA_ADJUSTED=GAAP","Sort=A","Dates=H","DateFormat=P","Fill=—","Direction=H","UseDPDF=Y")</f>
        <v>11.023199999999999</v>
      </c>
      <c r="K57" s="13" cm="1">
        <f t="array" ref="K57">_xll.BDH("PCAR US Equity","EBITDA_MARGIN","FQ3 2020","FQ3 2020","Currency=USD","Period=FQ","BEST_FPERIOD_OVERRIDE=FQ","FILING_STATUS=MR","FA_ADJUSTED=GAAP","Sort=A","Dates=H","DateFormat=P","Fill=—","Direction=H","UseDPDF=Y")</f>
        <v>10.3102</v>
      </c>
      <c r="L57" s="13" cm="1">
        <f t="array" ref="L57">_xll.BDH("PCAR US Equity","EBITDA_MARGIN","FQ4 2020","FQ4 2020","Currency=USD","Period=FQ","BEST_FPERIOD_OVERRIDE=FQ","FILING_STATUS=MR","FA_ADJUSTED=GAAP","Sort=A","Dates=H","DateFormat=P","Fill=—","Direction=H","UseDPDF=Y")</f>
        <v>9.7044999999999995</v>
      </c>
      <c r="M57" s="13" cm="1">
        <f t="array" ref="M57">_xll.BDH("PCAR US Equity","EBITDA_MARGIN","FQ1 2021","FQ1 2021","Currency=USD","Period=FQ","BEST_FPERIOD_OVERRIDE=FQ","FILING_STATUS=MR","FA_ADJUSTED=GAAP","Sort=A","Dates=H","DateFormat=P","Fill=—","Direction=H","UseDPDF=Y")</f>
        <v>10.149800000000001</v>
      </c>
      <c r="N57" s="13" cm="1">
        <f t="array" ref="N57">_xll.BDH("PCAR US Equity","EBITDA_MARGIN","FQ2 2021","FQ2 2021","Currency=USD","Period=FQ","BEST_FPERIOD_OVERRIDE=FQ","FILING_STATUS=MR","FA_ADJUSTED=GAAP","Sort=A","Dates=H","DateFormat=P","Fill=—","Direction=H","UseDPDF=Y")</f>
        <v>11.0273</v>
      </c>
      <c r="O57" s="13" cm="1">
        <f t="array" ref="O57">_xll.BDH("PCAR US Equity","EBITDA_MARGIN","FQ3 2021","FQ3 2021","Currency=USD","Period=FQ","BEST_FPERIOD_OVERRIDE=FQ","FILING_STATUS=MR","FA_ADJUSTED=GAAP","Sort=A","Dates=H","DateFormat=P","Fill=—","Direction=H","UseDPDF=Y")</f>
        <v>10.9414</v>
      </c>
      <c r="P57" s="13" cm="1">
        <f t="array" ref="P57">_xll.BDH("PCAR US Equity","EBITDA_MARGIN","FQ4 2021","FQ4 2021","Currency=USD","Period=FQ","BEST_FPERIOD_OVERRIDE=FQ","FILING_STATUS=MR","FA_ADJUSTED=GAAP","Sort=A","Dates=H","DateFormat=P","Fill=—","Direction=H","UseDPDF=Y")</f>
        <v>10.960699999999999</v>
      </c>
      <c r="Q57" s="13" cm="1">
        <f t="array" ref="Q57">_xll.BDH("PCAR US Equity","EBITDA_MARGIN","FQ1 2022","FQ1 2022","Currency=USD","Period=FQ","BEST_FPERIOD_OVERRIDE=FQ","FILING_STATUS=MR","FA_ADJUSTED=GAAP","Sort=A","Dates=H","DateFormat=P","Fill=—","Direction=H","UseDPDF=Y")</f>
        <v>11.333600000000001</v>
      </c>
      <c r="R57" s="13" cm="1">
        <f t="array" ref="R57">_xll.BDH("PCAR US Equity","EBITDA_MARGIN","FQ2 2022","FQ2 2022","Currency=USD","Period=FQ","BEST_FPERIOD_OVERRIDE=FQ","FILING_STATUS=MR","FA_ADJUSTED=GAAP","Sort=A","Dates=H","DateFormat=P","Fill=—","Direction=H","UseDPDF=Y")</f>
        <v>11.8896</v>
      </c>
      <c r="S57" s="13" cm="1">
        <f t="array" ref="S57">_xll.BDH("PCAR US Equity","EBITDA_MARGIN","FQ3 2022","FQ3 2022","Currency=USD","Period=FQ","BEST_FPERIOD_OVERRIDE=FQ","FILING_STATUS=MR","FA_ADJUSTED=GAAP","Sort=A","Dates=H","DateFormat=P","Fill=—","Direction=H","UseDPDF=Y")</f>
        <v>12.7746</v>
      </c>
      <c r="T57" s="13" cm="1">
        <f t="array" ref="T57">_xll.BDH("PCAR US Equity","EBITDA_MARGIN","FQ4 2022","FQ4 2022","Currency=USD","Period=FQ","BEST_FPERIOD_OVERRIDE=FQ","FILING_STATUS=MR","FA_ADJUSTED=GAAP","Sort=A","Dates=H","DateFormat=P","Fill=—","Direction=H","UseDPDF=Y")</f>
        <v>13.9169</v>
      </c>
      <c r="U57" s="13" cm="1">
        <f t="array" ref="U57">_xll.BDH("PCAR US Equity","EBITDA_MARGIN","FQ1 2023","FQ1 2023","Currency=USD","Period=FQ","BEST_FPERIOD_OVERRIDE=FQ","FILING_STATUS=MR","FA_ADJUSTED=GAAP","Sort=A","Dates=H","DateFormat=P","Fill=—","Direction=H","UseDPDF=Y")</f>
        <v>15.401199999999999</v>
      </c>
      <c r="V57" s="13" cm="1">
        <f t="array" ref="V57">_xll.BDH("PCAR US Equity","EBITDA_MARGIN","FQ2 2023","FQ2 2023","Currency=USD","Period=FQ","BEST_FPERIOD_OVERRIDE=FQ","FILING_STATUS=MR","FA_ADJUSTED=GAAP","Sort=A","Dates=H","DateFormat=P","Fill=—","Direction=H","UseDPDF=Y")</f>
        <v>16.474900000000002</v>
      </c>
      <c r="W57" s="13" cm="1">
        <f t="array" ref="W57">_xll.BDH("PCAR US Equity","EBITDA_MARGIN","FQ3 2023","FQ3 2023","Currency=USD","Period=FQ","BEST_FPERIOD_OVERRIDE=FQ","FILING_STATUS=MR","FA_ADJUSTED=GAAP","Sort=A","Dates=H","DateFormat=P","Fill=—","Direction=H","UseDPDF=Y")</f>
        <v>17.404800000000002</v>
      </c>
      <c r="X57" s="13" cm="1">
        <f t="array" ref="X57">_xll.BDH("PCAR US Equity","EBITDA_MARGIN","FQ4 2023","FQ4 2023","Currency=USD","Period=FQ","BEST_FPERIOD_OVERRIDE=FQ","FILING_STATUS=MR","FA_ADJUSTED=GAAP","Sort=A","Dates=H","DateFormat=P","Fill=—","Direction=H","UseDPDF=Y")</f>
        <v>18.109500000000001</v>
      </c>
      <c r="Y57" s="13" cm="1">
        <f t="array" ref="Y57">_xll.BDH("PCAR US Equity","EBITDA_MARGIN","FQ1 2024","FQ1 2024","Currency=USD","Period=FQ","BEST_FPERIOD_OVERRIDE=FQ","FILING_STATUS=MR","FA_ADJUSTED=GAAP","Sort=A","Dates=H","DateFormat=P","Fill=—","Direction=H","UseDPDF=Y")</f>
        <v>17.898499999999999</v>
      </c>
      <c r="Z57" s="13" cm="1">
        <f t="array" ref="Z57">_xll.BDH("PCAR US Equity","EBITDA_MARGIN","FQ2 2024","FQ2 2024","Currency=USD","Period=FQ","BEST_FPERIOD_OVERRIDE=FQ","FILING_STATUS=MR","FA_ADJUSTED=GAAP","Sort=A","Dates=H","DateFormat=P","Fill=—","Direction=H","UseDPDF=Y")</f>
        <v>17.5322</v>
      </c>
      <c r="AA57" s="13" cm="1">
        <f t="array" ref="AA57">_xll.BDH("PCAR US Equity","EBITDA_MARGIN","FQ3 2024","FQ3 2024","Currency=USD","Period=FQ","BEST_FPERIOD_OVERRIDE=FQ","FILING_STATUS=MR","FA_ADJUSTED=GAAP","Sort=A","Dates=H","DateFormat=P","Fill=—","Direction=H","UseDPDF=Y")</f>
        <v>16.682200000000002</v>
      </c>
      <c r="AB57" s="13" cm="1">
        <f t="array" ref="AB57">_xll.BDH("PCAR US Equity","EBITDA_MARGIN","FQ4 2024","FQ4 2024","Currency=USD","Period=FQ","BEST_FPERIOD_OVERRIDE=FQ","FILING_STATUS=MR","FA_ADJUSTED=GAAP","Sort=A","Dates=H","DateFormat=P","Fill=—","Direction=H","UseDPDF=Y")</f>
        <v>15.7166</v>
      </c>
      <c r="AC57" s="13" cm="1">
        <f t="array" ref="AC57">_xll.BDH("PCAR US Equity","EBITDA_MARGIN","FQ1 2025","FQ1 2025","Currency=USD","Period=FQ","BEST_FPERIOD_OVERRIDE=FQ","FILING_STATUS=MR","FA_ADJUSTED=GAAP","Sort=A","Dates=H","DateFormat=P","Fill=—","Direction=H","UseDPDF=Y")</f>
        <v>14.6762</v>
      </c>
      <c r="AD57" s="13" cm="1">
        <f t="array" ref="AD57">_xll.BDH("PCAR US Equity","EBITDA_MARGIN","FQ2 2025","FQ2 2025","Currency=USD","Period=FQ","BEST_FPERIOD_OVERRIDE=FQ","FILING_STATUS=MR","FA_ADJUSTED=GAAP","Sort=A","Dates=H","DateFormat=P","Fill=—","Direction=H","UseDPDF=Y")</f>
        <v>13.653600000000001</v>
      </c>
      <c r="AE57" s="13" cm="1">
        <f t="array" ref="AE57">_xll.BDH("PCAR US Equity","EBITDA_MARGIN","FQ3 2025","FQ3 2025","Currency=USD","Period=FQ","BEST_FPERIOD_OVERRIDE=FQ","FILING_STATUS=MR","FA_ADJUSTED=GAAP","Sort=A","Dates=H","DateFormat=P","Fill=—","Direction=H","UseDPDF=Y")</f>
        <v>12.7349</v>
      </c>
      <c r="AF57" s="13" cm="1">
        <f t="array" ref="AF57">_xll.BDH("PCAR US Equity","EBITDA_MARGIN","FQ4 2025","FQ4 2025","Currency=USD","Period=FQ","BEST_FPERIOD_OVERRIDE=FQ","FILING_STATUS=MR","FA_ADJUSTED=GAAP","Sort=A","Dates=H","DateFormat=P","Fill=—","Direction=H","UseDPDF=Y")</f>
        <v>11.811999999999999</v>
      </c>
    </row>
    <row r="58" spans="1:32" x14ac:dyDescent="0.25">
      <c r="A58" s="10" t="s">
        <v>146</v>
      </c>
      <c r="B58" s="10" t="s">
        <v>147</v>
      </c>
      <c r="C58" s="12" cm="1">
        <f t="array" ref="C58">_xll.BDH("PCAR US Equity","CF_FREE_CASH_FLOW","FQ3 2018","FQ3 2018","Currency=USD","Period=FQ","BEST_FPERIOD_OVERRIDE=FQ","FILING_STATUS=MR","SCALING_FORMAT=MLN","Sort=A","Dates=H","DateFormat=P","Fill=—","Direction=H","UseDPDF=Y")</f>
        <v>234.4</v>
      </c>
      <c r="D58" s="12" cm="1">
        <f t="array" ref="D58">_xll.BDH("PCAR US Equity","CF_FREE_CASH_FLOW","FQ4 2018","FQ4 2018","Currency=USD","Period=FQ","BEST_FPERIOD_OVERRIDE=FQ","FILING_STATUS=MR","SCALING_FORMAT=MLN","Sort=A","Dates=H","DateFormat=P","Fill=—","Direction=H","UseDPDF=Y")</f>
        <v>525.70000000000005</v>
      </c>
      <c r="E58" s="12" cm="1">
        <f t="array" ref="E58">_xll.BDH("PCAR US Equity","CF_FREE_CASH_FLOW","FQ1 2019","FQ1 2019","Currency=USD","Period=FQ","BEST_FPERIOD_OVERRIDE=FQ","FILING_STATUS=MR","SCALING_FORMAT=MLN","Sort=A","Dates=H","DateFormat=P","Fill=—","Direction=H","UseDPDF=Y")</f>
        <v>-27.2</v>
      </c>
      <c r="F58" s="12" cm="1">
        <f t="array" ref="F58">_xll.BDH("PCAR US Equity","CF_FREE_CASH_FLOW","FQ2 2019","FQ2 2019","Currency=USD","Period=FQ","BEST_FPERIOD_OVERRIDE=FQ","FILING_STATUS=MR","SCALING_FORMAT=MLN","Sort=A","Dates=H","DateFormat=P","Fill=—","Direction=H","UseDPDF=Y")</f>
        <v>306.39999999999998</v>
      </c>
      <c r="G58" s="12" cm="1">
        <f t="array" ref="G58">_xll.BDH("PCAR US Equity","CF_FREE_CASH_FLOW","FQ3 2019","FQ3 2019","Currency=USD","Period=FQ","BEST_FPERIOD_OVERRIDE=FQ","FILING_STATUS=MR","SCALING_FORMAT=MLN","Sort=A","Dates=H","DateFormat=P","Fill=—","Direction=H","UseDPDF=Y")</f>
        <v>211.8</v>
      </c>
      <c r="H58" s="12" cm="1">
        <f t="array" ref="H58">_xll.BDH("PCAR US Equity","CF_FREE_CASH_FLOW","FQ4 2019","FQ4 2019","Currency=USD","Period=FQ","BEST_FPERIOD_OVERRIDE=FQ","FILING_STATUS=MR","SCALING_FORMAT=MLN","Sort=A","Dates=H","DateFormat=P","Fill=—","Direction=H","UseDPDF=Y")</f>
        <v>398.5</v>
      </c>
      <c r="I58" s="12" cm="1">
        <f t="array" ref="I58">_xll.BDH("PCAR US Equity","CF_FREE_CASH_FLOW","FQ1 2020","FQ1 2020","Currency=USD","Period=FQ","BEST_FPERIOD_OVERRIDE=FQ","FILING_STATUS=MR","SCALING_FORMAT=MLN","Sort=A","Dates=H","DateFormat=P","Fill=—","Direction=H","UseDPDF=Y")</f>
        <v>-30.6</v>
      </c>
      <c r="J58" s="12" cm="1">
        <f t="array" ref="J58">_xll.BDH("PCAR US Equity","CF_FREE_CASH_FLOW","FQ2 2020","FQ2 2020","Currency=USD","Period=FQ","BEST_FPERIOD_OVERRIDE=FQ","FILING_STATUS=MR","SCALING_FORMAT=MLN","Sort=A","Dates=H","DateFormat=P","Fill=—","Direction=H","UseDPDF=Y")</f>
        <v>639.6</v>
      </c>
      <c r="K58" s="12" cm="1">
        <f t="array" ref="K58">_xll.BDH("PCAR US Equity","CF_FREE_CASH_FLOW","FQ3 2020","FQ3 2020","Currency=USD","Period=FQ","BEST_FPERIOD_OVERRIDE=FQ","FILING_STATUS=MR","SCALING_FORMAT=MLN","Sort=A","Dates=H","DateFormat=P","Fill=—","Direction=H","UseDPDF=Y")</f>
        <v>450.6</v>
      </c>
      <c r="L58" s="12" cm="1">
        <f t="array" ref="L58">_xll.BDH("PCAR US Equity","CF_FREE_CASH_FLOW","FQ4 2020","FQ4 2020","Currency=USD","Period=FQ","BEST_FPERIOD_OVERRIDE=FQ","FILING_STATUS=MR","SCALING_FORMAT=MLN","Sort=A","Dates=H","DateFormat=P","Fill=—","Direction=H","UseDPDF=Y")</f>
        <v>289.2</v>
      </c>
      <c r="M58" s="12" cm="1">
        <f t="array" ref="M58">_xll.BDH("PCAR US Equity","CF_FREE_CASH_FLOW","FQ1 2021","FQ1 2021","Currency=USD","Period=FQ","BEST_FPERIOD_OVERRIDE=FQ","FILING_STATUS=MR","SCALING_FORMAT=MLN","Sort=A","Dates=H","DateFormat=P","Fill=—","Direction=H","UseDPDF=Y")</f>
        <v>179.2</v>
      </c>
      <c r="N58" s="12" cm="1">
        <f t="array" ref="N58">_xll.BDH("PCAR US Equity","CF_FREE_CASH_FLOW","FQ2 2021","FQ2 2021","Currency=USD","Period=FQ","BEST_FPERIOD_OVERRIDE=FQ","FILING_STATUS=MR","SCALING_FORMAT=MLN","Sort=A","Dates=H","DateFormat=P","Fill=—","Direction=H","UseDPDF=Y")</f>
        <v>-104.8</v>
      </c>
      <c r="O58" s="12" cm="1">
        <f t="array" ref="O58">_xll.BDH("PCAR US Equity","CF_FREE_CASH_FLOW","FQ3 2021","FQ3 2021","Currency=USD","Period=FQ","BEST_FPERIOD_OVERRIDE=FQ","FILING_STATUS=MR","SCALING_FORMAT=MLN","Sort=A","Dates=H","DateFormat=P","Fill=—","Direction=H","UseDPDF=Y")</f>
        <v>-96</v>
      </c>
      <c r="P58" s="12" cm="1">
        <f t="array" ref="P58">_xll.BDH("PCAR US Equity","CF_FREE_CASH_FLOW","FQ4 2021","FQ4 2021","Currency=USD","Period=FQ","BEST_FPERIOD_OVERRIDE=FQ","FILING_STATUS=MR","SCALING_FORMAT=MLN","Sort=A","Dates=H","DateFormat=P","Fill=—","Direction=H","UseDPDF=Y")</f>
        <v>575.5</v>
      </c>
      <c r="Q58" s="12" cm="1">
        <f t="array" ref="Q58">_xll.BDH("PCAR US Equity","CF_FREE_CASH_FLOW","FQ1 2022","FQ1 2022","Currency=USD","Period=FQ","BEST_FPERIOD_OVERRIDE=FQ","FILING_STATUS=MR","SCALING_FORMAT=MLN","Sort=A","Dates=H","DateFormat=P","Fill=—","Direction=H","UseDPDF=Y")</f>
        <v>90.7</v>
      </c>
      <c r="R58" s="12" cm="1">
        <f t="array" ref="R58">_xll.BDH("PCAR US Equity","CF_FREE_CASH_FLOW","FQ2 2022","FQ2 2022","Currency=USD","Period=FQ","BEST_FPERIOD_OVERRIDE=FQ","FILING_STATUS=MR","SCALING_FORMAT=MLN","Sort=A","Dates=H","DateFormat=P","Fill=—","Direction=H","UseDPDF=Y")</f>
        <v>267.5</v>
      </c>
      <c r="S58" s="12" cm="1">
        <f t="array" ref="S58">_xll.BDH("PCAR US Equity","CF_FREE_CASH_FLOW","FQ3 2022","FQ3 2022","Currency=USD","Period=FQ","BEST_FPERIOD_OVERRIDE=FQ","FILING_STATUS=MR","SCALING_FORMAT=MLN","Sort=A","Dates=H","DateFormat=P","Fill=—","Direction=H","UseDPDF=Y")</f>
        <v>338.2</v>
      </c>
      <c r="T58" s="12" cm="1">
        <f t="array" ref="T58">_xll.BDH("PCAR US Equity","CF_FREE_CASH_FLOW","FQ4 2022","FQ4 2022","Currency=USD","Period=FQ","BEST_FPERIOD_OVERRIDE=FQ","FILING_STATUS=MR","SCALING_FORMAT=MLN","Sort=A","Dates=H","DateFormat=P","Fill=—","Direction=H","UseDPDF=Y")</f>
        <v>940.1</v>
      </c>
      <c r="U58" s="12" cm="1">
        <f t="array" ref="U58">_xll.BDH("PCAR US Equity","CF_FREE_CASH_FLOW","FQ1 2023","FQ1 2023","Currency=USD","Period=FQ","BEST_FPERIOD_OVERRIDE=FQ","FILING_STATUS=MR","SCALING_FORMAT=MLN","Sort=A","Dates=H","DateFormat=P","Fill=—","Direction=H","UseDPDF=Y")</f>
        <v>393</v>
      </c>
      <c r="V58" s="12" cm="1">
        <f t="array" ref="V58">_xll.BDH("PCAR US Equity","CF_FREE_CASH_FLOW","FQ2 2023","FQ2 2023","Currency=USD","Period=FQ","BEST_FPERIOD_OVERRIDE=FQ","FILING_STATUS=MR","SCALING_FORMAT=MLN","Sort=A","Dates=H","DateFormat=P","Fill=—","Direction=H","UseDPDF=Y")</f>
        <v>703.9</v>
      </c>
      <c r="W58" s="12" cm="1">
        <f t="array" ref="W58">_xll.BDH("PCAR US Equity","CF_FREE_CASH_FLOW","FQ3 2023","FQ3 2023","Currency=USD","Period=FQ","BEST_FPERIOD_OVERRIDE=FQ","FILING_STATUS=MR","SCALING_FORMAT=MLN","Sort=A","Dates=H","DateFormat=P","Fill=—","Direction=H","UseDPDF=Y")</f>
        <v>1007.3</v>
      </c>
      <c r="X58" s="12" cm="1">
        <f t="array" ref="X58">_xll.BDH("PCAR US Equity","CF_FREE_CASH_FLOW","FQ4 2023","FQ4 2023","Currency=USD","Period=FQ","BEST_FPERIOD_OVERRIDE=FQ","FILING_STATUS=MR","SCALING_FORMAT=MLN","Sort=A","Dates=H","DateFormat=P","Fill=—","Direction=H","UseDPDF=Y")</f>
        <v>823.3</v>
      </c>
      <c r="Y58" s="12" cm="1">
        <f t="array" ref="Y58">_xll.BDH("PCAR US Equity","CF_FREE_CASH_FLOW","FQ1 2024","FQ1 2024","Currency=USD","Period=FQ","BEST_FPERIOD_OVERRIDE=FQ","FILING_STATUS=MR","SCALING_FORMAT=MLN","Sort=A","Dates=H","DateFormat=P","Fill=—","Direction=H","UseDPDF=Y")</f>
        <v>1117.2</v>
      </c>
      <c r="Z58" s="12" cm="1">
        <f t="array" ref="Z58">_xll.BDH("PCAR US Equity","CF_FREE_CASH_FLOW","FQ2 2024","FQ2 2024","Currency=USD","Period=FQ","BEST_FPERIOD_OVERRIDE=FQ","FILING_STATUS=MR","SCALING_FORMAT=MLN","Sort=A","Dates=H","DateFormat=P","Fill=—","Direction=H","UseDPDF=Y")</f>
        <v>-72.8</v>
      </c>
      <c r="AA58" s="12" cm="1">
        <f t="array" ref="AA58">_xll.BDH("PCAR US Equity","CF_FREE_CASH_FLOW","FQ3 2024","FQ3 2024","Currency=USD","Period=FQ","BEST_FPERIOD_OVERRIDE=FQ","FILING_STATUS=MR","SCALING_FORMAT=MLN","Sort=A","Dates=H","DateFormat=P","Fill=—","Direction=H","UseDPDF=Y")</f>
        <v>908.1</v>
      </c>
      <c r="AB58" s="12" cm="1">
        <f t="array" ref="AB58">_xll.BDH("PCAR US Equity","CF_FREE_CASH_FLOW","FQ4 2024","FQ4 2024","Currency=USD","Period=FQ","BEST_FPERIOD_OVERRIDE=FQ","FILING_STATUS=MR","SCALING_FORMAT=MLN","Sort=A","Dates=H","DateFormat=P","Fill=—","Direction=H","UseDPDF=Y")</f>
        <v>942.8</v>
      </c>
      <c r="AC58" s="12" cm="1">
        <f t="array" ref="AC58">_xll.BDH("PCAR US Equity","CF_FREE_CASH_FLOW","FQ1 2025","FQ1 2025","Currency=USD","Period=FQ","BEST_FPERIOD_OVERRIDE=FQ","FILING_STATUS=MR","SCALING_FORMAT=MLN","Sort=A","Dates=H","DateFormat=P","Fill=—","Direction=H","UseDPDF=Y")</f>
        <v>584.5</v>
      </c>
      <c r="AD58" s="12" cm="1">
        <f t="array" ref="AD58">_xll.BDH("PCAR US Equity","CF_FREE_CASH_FLOW","FQ2 2025","FQ2 2025","Currency=USD","Period=FQ","BEST_FPERIOD_OVERRIDE=FQ","FILING_STATUS=MR","SCALING_FORMAT=MLN","Sort=A","Dates=H","DateFormat=P","Fill=—","Direction=H","UseDPDF=Y")</f>
        <v>444.5</v>
      </c>
      <c r="AE58" s="12" cm="1">
        <f t="array" ref="AE58">_xll.BDH("PCAR US Equity","CF_FREE_CASH_FLOW","FQ3 2025","FQ3 2025","Currency=USD","Period=FQ","BEST_FPERIOD_OVERRIDE=FQ","FILING_STATUS=MR","SCALING_FORMAT=MLN","Sort=A","Dates=H","DateFormat=P","Fill=—","Direction=H","UseDPDF=Y")</f>
        <v>1222.2</v>
      </c>
      <c r="AF58" s="12" cm="1">
        <f t="array" ref="AF58">_xll.BDH("PCAR US Equity","CF_FREE_CASH_FLOW","FQ4 2025","FQ4 2025","Currency=USD","Period=FQ","BEST_FPERIOD_OVERRIDE=FQ","FILING_STATUS=MR","SCALING_FORMAT=MLN","Sort=A","Dates=H","DateFormat=P","Fill=—","Direction=H","UseDPDF=Y")</f>
        <v>753.3</v>
      </c>
    </row>
    <row r="59" spans="1:32" x14ac:dyDescent="0.25">
      <c r="A59" s="10" t="s">
        <v>148</v>
      </c>
      <c r="B59" s="10" t="s">
        <v>149</v>
      </c>
      <c r="C59" s="12" t="str" cm="1">
        <f t="array" ref="C59">_xll.BDH("PCAR US Equity","CF_FREE_CASH_FLOW_FIRM","FQ3 2018","FQ3 2018","Currency=USD","Period=FQ","BEST_FPERIOD_OVERRIDE=FQ","FILING_STATUS=MR","SCALING_FORMAT=MLN","FA_ADJUSTED=GAAP","Sort=A","Dates=H","DateFormat=P","Fill=—","Direction=H","UseDPDF=Y")</f>
        <v>—</v>
      </c>
      <c r="D59" s="12" t="str" cm="1">
        <f t="array" ref="D59">_xll.BDH("PCAR US Equity","CF_FREE_CASH_FLOW_FIRM","FQ4 2018","FQ4 2018","Currency=USD","Period=FQ","BEST_FPERIOD_OVERRIDE=FQ","FILING_STATUS=MR","SCALING_FORMAT=MLN","FA_ADJUSTED=GAAP","Sort=A","Dates=H","DateFormat=P","Fill=—","Direction=H","UseDPDF=Y")</f>
        <v>—</v>
      </c>
      <c r="E59" s="12" t="str" cm="1">
        <f t="array" ref="E59">_xll.BDH("PCAR US Equity","CF_FREE_CASH_FLOW_FIRM","FQ1 2019","FQ1 2019","Currency=USD","Period=FQ","BEST_FPERIOD_OVERRIDE=FQ","FILING_STATUS=MR","SCALING_FORMAT=MLN","FA_ADJUSTED=GAAP","Sort=A","Dates=H","DateFormat=P","Fill=—","Direction=H","UseDPDF=Y")</f>
        <v>—</v>
      </c>
      <c r="F59" s="12" t="str" cm="1">
        <f t="array" ref="F59">_xll.BDH("PCAR US Equity","CF_FREE_CASH_FLOW_FIRM","FQ2 2019","FQ2 2019","Currency=USD","Period=FQ","BEST_FPERIOD_OVERRIDE=FQ","FILING_STATUS=MR","SCALING_FORMAT=MLN","FA_ADJUSTED=GAAP","Sort=A","Dates=H","DateFormat=P","Fill=—","Direction=H","UseDPDF=Y")</f>
        <v>—</v>
      </c>
      <c r="G59" s="12" t="str" cm="1">
        <f t="array" ref="G59">_xll.BDH("PCAR US Equity","CF_FREE_CASH_FLOW_FIRM","FQ3 2019","FQ3 2019","Currency=USD","Period=FQ","BEST_FPERIOD_OVERRIDE=FQ","FILING_STATUS=MR","SCALING_FORMAT=MLN","FA_ADJUSTED=GAAP","Sort=A","Dates=H","DateFormat=P","Fill=—","Direction=H","UseDPDF=Y")</f>
        <v>—</v>
      </c>
      <c r="H59" s="12" t="str" cm="1">
        <f t="array" ref="H59">_xll.BDH("PCAR US Equity","CF_FREE_CASH_FLOW_FIRM","FQ4 2019","FQ4 2019","Currency=USD","Period=FQ","BEST_FPERIOD_OVERRIDE=FQ","FILING_STATUS=MR","SCALING_FORMAT=MLN","FA_ADJUSTED=GAAP","Sort=A","Dates=H","DateFormat=P","Fill=—","Direction=H","UseDPDF=Y")</f>
        <v>—</v>
      </c>
      <c r="I59" s="12" t="str" cm="1">
        <f t="array" ref="I59">_xll.BDH("PCAR US Equity","CF_FREE_CASH_FLOW_FIRM","FQ1 2020","FQ1 2020","Currency=USD","Period=FQ","BEST_FPERIOD_OVERRIDE=FQ","FILING_STATUS=MR","SCALING_FORMAT=MLN","FA_ADJUSTED=GAAP","Sort=A","Dates=H","DateFormat=P","Fill=—","Direction=H","UseDPDF=Y")</f>
        <v>—</v>
      </c>
      <c r="J59" s="12" t="str" cm="1">
        <f t="array" ref="J59">_xll.BDH("PCAR US Equity","CF_FREE_CASH_FLOW_FIRM","FQ2 2020","FQ2 2020","Currency=USD","Period=FQ","BEST_FPERIOD_OVERRIDE=FQ","FILING_STATUS=MR","SCALING_FORMAT=MLN","FA_ADJUSTED=GAAP","Sort=A","Dates=H","DateFormat=P","Fill=—","Direction=H","UseDPDF=Y")</f>
        <v>—</v>
      </c>
      <c r="K59" s="12" t="str" cm="1">
        <f t="array" ref="K59">_xll.BDH("PCAR US Equity","CF_FREE_CASH_FLOW_FIRM","FQ3 2020","FQ3 2020","Currency=USD","Period=FQ","BEST_FPERIOD_OVERRIDE=FQ","FILING_STATUS=MR","SCALING_FORMAT=MLN","FA_ADJUSTED=GAAP","Sort=A","Dates=H","DateFormat=P","Fill=—","Direction=H","UseDPDF=Y")</f>
        <v>—</v>
      </c>
      <c r="L59" s="12" t="str" cm="1">
        <f t="array" ref="L59">_xll.BDH("PCAR US Equity","CF_FREE_CASH_FLOW_FIRM","FQ4 2020","FQ4 2020","Currency=USD","Period=FQ","BEST_FPERIOD_OVERRIDE=FQ","FILING_STATUS=MR","SCALING_FORMAT=MLN","FA_ADJUSTED=GAAP","Sort=A","Dates=H","DateFormat=P","Fill=—","Direction=H","UseDPDF=Y")</f>
        <v>—</v>
      </c>
      <c r="M59" s="12" t="str" cm="1">
        <f t="array" ref="M59">_xll.BDH("PCAR US Equity","CF_FREE_CASH_FLOW_FIRM","FQ1 2021","FQ1 2021","Currency=USD","Period=FQ","BEST_FPERIOD_OVERRIDE=FQ","FILING_STATUS=MR","SCALING_FORMAT=MLN","FA_ADJUSTED=GAAP","Sort=A","Dates=H","DateFormat=P","Fill=—","Direction=H","UseDPDF=Y")</f>
        <v>—</v>
      </c>
      <c r="N59" s="12" t="str" cm="1">
        <f t="array" ref="N59">_xll.BDH("PCAR US Equity","CF_FREE_CASH_FLOW_FIRM","FQ2 2021","FQ2 2021","Currency=USD","Period=FQ","BEST_FPERIOD_OVERRIDE=FQ","FILING_STATUS=MR","SCALING_FORMAT=MLN","FA_ADJUSTED=GAAP","Sort=A","Dates=H","DateFormat=P","Fill=—","Direction=H","UseDPDF=Y")</f>
        <v>—</v>
      </c>
      <c r="O59" s="12" cm="1">
        <f t="array" ref="O59">_xll.BDH("PCAR US Equity","CF_FREE_CASH_FLOW_FIRM","FQ3 2021","FQ3 2021","Currency=USD","Period=FQ","BEST_FPERIOD_OVERRIDE=FQ","FILING_STATUS=MR","SCALING_FORMAT=MLN","FA_ADJUSTED=GAAP","Sort=A","Dates=H","DateFormat=P","Fill=—","Direction=H","UseDPDF=Y")</f>
        <v>-96</v>
      </c>
      <c r="P59" s="12" cm="1">
        <f t="array" ref="P59">_xll.BDH("PCAR US Equity","CF_FREE_CASH_FLOW_FIRM","FQ4 2021","FQ4 2021","Currency=USD","Period=FQ","BEST_FPERIOD_OVERRIDE=FQ","FILING_STATUS=MR","SCALING_FORMAT=MLN","FA_ADJUSTED=GAAP","Sort=A","Dates=H","DateFormat=P","Fill=—","Direction=H","UseDPDF=Y")</f>
        <v>575.5</v>
      </c>
      <c r="Q59" s="12" t="str" cm="1">
        <f t="array" ref="Q59">_xll.BDH("PCAR US Equity","CF_FREE_CASH_FLOW_FIRM","FQ1 2022","FQ1 2022","Currency=USD","Period=FQ","BEST_FPERIOD_OVERRIDE=FQ","FILING_STATUS=MR","SCALING_FORMAT=MLN","FA_ADJUSTED=GAAP","Sort=A","Dates=H","DateFormat=P","Fill=—","Direction=H","UseDPDF=Y")</f>
        <v>—</v>
      </c>
      <c r="R59" s="12" t="str" cm="1">
        <f t="array" ref="R59">_xll.BDH("PCAR US Equity","CF_FREE_CASH_FLOW_FIRM","FQ2 2022","FQ2 2022","Currency=USD","Period=FQ","BEST_FPERIOD_OVERRIDE=FQ","FILING_STATUS=MR","SCALING_FORMAT=MLN","FA_ADJUSTED=GAAP","Sort=A","Dates=H","DateFormat=P","Fill=—","Direction=H","UseDPDF=Y")</f>
        <v>—</v>
      </c>
      <c r="S59" s="12" cm="1">
        <f t="array" ref="S59">_xll.BDH("PCAR US Equity","CF_FREE_CASH_FLOW_FIRM","FQ3 2022","FQ3 2022","Currency=USD","Period=FQ","BEST_FPERIOD_OVERRIDE=FQ","FILING_STATUS=MR","SCALING_FORMAT=MLN","FA_ADJUSTED=GAAP","Sort=A","Dates=H","DateFormat=P","Fill=—","Direction=H","UseDPDF=Y")</f>
        <v>338.2</v>
      </c>
      <c r="T59" s="12" cm="1">
        <f t="array" ref="T59">_xll.BDH("PCAR US Equity","CF_FREE_CASH_FLOW_FIRM","FQ4 2022","FQ4 2022","Currency=USD","Period=FQ","BEST_FPERIOD_OVERRIDE=FQ","FILING_STATUS=MR","SCALING_FORMAT=MLN","FA_ADJUSTED=GAAP","Sort=A","Dates=H","DateFormat=P","Fill=—","Direction=H","UseDPDF=Y")</f>
        <v>940.1</v>
      </c>
      <c r="U59" s="12" cm="1">
        <f t="array" ref="U59">_xll.BDH("PCAR US Equity","CF_FREE_CASH_FLOW_FIRM","FQ1 2023","FQ1 2023","Currency=USD","Period=FQ","BEST_FPERIOD_OVERRIDE=FQ","FILING_STATUS=MR","SCALING_FORMAT=MLN","FA_ADJUSTED=GAAP","Sort=A","Dates=H","DateFormat=P","Fill=—","Direction=H","UseDPDF=Y")</f>
        <v>393</v>
      </c>
      <c r="V59" s="12" t="str" cm="1">
        <f t="array" ref="V59">_xll.BDH("PCAR US Equity","CF_FREE_CASH_FLOW_FIRM","FQ2 2023","FQ2 2023","Currency=USD","Period=FQ","BEST_FPERIOD_OVERRIDE=FQ","FILING_STATUS=MR","SCALING_FORMAT=MLN","FA_ADJUSTED=GAAP","Sort=A","Dates=H","DateFormat=P","Fill=—","Direction=H","UseDPDF=Y")</f>
        <v>—</v>
      </c>
      <c r="W59" s="12" cm="1">
        <f t="array" ref="W59">_xll.BDH("PCAR US Equity","CF_FREE_CASH_FLOW_FIRM","FQ3 2023","FQ3 2023","Currency=USD","Period=FQ","BEST_FPERIOD_OVERRIDE=FQ","FILING_STATUS=MR","SCALING_FORMAT=MLN","FA_ADJUSTED=GAAP","Sort=A","Dates=H","DateFormat=P","Fill=—","Direction=H","UseDPDF=Y")</f>
        <v>1007.3</v>
      </c>
      <c r="X59" s="12" t="str" cm="1">
        <f t="array" ref="X59">_xll.BDH("PCAR US Equity","CF_FREE_CASH_FLOW_FIRM","FQ4 2023","FQ4 2023","Currency=USD","Period=FQ","BEST_FPERIOD_OVERRIDE=FQ","FILING_STATUS=MR","SCALING_FORMAT=MLN","FA_ADJUSTED=GAAP","Sort=A","Dates=H","DateFormat=P","Fill=—","Direction=H","UseDPDF=Y")</f>
        <v>—</v>
      </c>
      <c r="Y59" s="12" cm="1">
        <f t="array" ref="Y59">_xll.BDH("PCAR US Equity","CF_FREE_CASH_FLOW_FIRM","FQ1 2024","FQ1 2024","Currency=USD","Period=FQ","BEST_FPERIOD_OVERRIDE=FQ","FILING_STATUS=MR","SCALING_FORMAT=MLN","FA_ADJUSTED=GAAP","Sort=A","Dates=H","DateFormat=P","Fill=—","Direction=H","UseDPDF=Y")</f>
        <v>1117.2</v>
      </c>
      <c r="Z59" s="12" cm="1">
        <f t="array" ref="Z59">_xll.BDH("PCAR US Equity","CF_FREE_CASH_FLOW_FIRM","FQ2 2024","FQ2 2024","Currency=USD","Period=FQ","BEST_FPERIOD_OVERRIDE=FQ","FILING_STATUS=MR","SCALING_FORMAT=MLN","FA_ADJUSTED=GAAP","Sort=A","Dates=H","DateFormat=P","Fill=—","Direction=H","UseDPDF=Y")</f>
        <v>-72.8</v>
      </c>
      <c r="AA59" s="12" t="str" cm="1">
        <f t="array" ref="AA59">_xll.BDH("PCAR US Equity","CF_FREE_CASH_FLOW_FIRM","FQ3 2024","FQ3 2024","Currency=USD","Period=FQ","BEST_FPERIOD_OVERRIDE=FQ","FILING_STATUS=MR","SCALING_FORMAT=MLN","FA_ADJUSTED=GAAP","Sort=A","Dates=H","DateFormat=P","Fill=—","Direction=H","UseDPDF=Y")</f>
        <v>—</v>
      </c>
      <c r="AB59" s="12" t="str" cm="1">
        <f t="array" ref="AB59">_xll.BDH("PCAR US Equity","CF_FREE_CASH_FLOW_FIRM","FQ4 2024","FQ4 2024","Currency=USD","Period=FQ","BEST_FPERIOD_OVERRIDE=FQ","FILING_STATUS=MR","SCALING_FORMAT=MLN","FA_ADJUSTED=GAAP","Sort=A","Dates=H","DateFormat=P","Fill=—","Direction=H","UseDPDF=Y")</f>
        <v>—</v>
      </c>
      <c r="AC59" s="12" cm="1">
        <f t="array" ref="AC59">_xll.BDH("PCAR US Equity","CF_FREE_CASH_FLOW_FIRM","FQ1 2025","FQ1 2025","Currency=USD","Period=FQ","BEST_FPERIOD_OVERRIDE=FQ","FILING_STATUS=MR","SCALING_FORMAT=MLN","FA_ADJUSTED=GAAP","Sort=A","Dates=H","DateFormat=P","Fill=—","Direction=H","UseDPDF=Y")</f>
        <v>584.5</v>
      </c>
      <c r="AD59" s="12" cm="1">
        <f t="array" ref="AD59">_xll.BDH("PCAR US Equity","CF_FREE_CASH_FLOW_FIRM","FQ2 2025","FQ2 2025","Currency=USD","Period=FQ","BEST_FPERIOD_OVERRIDE=FQ","FILING_STATUS=MR","SCALING_FORMAT=MLN","FA_ADJUSTED=GAAP","Sort=A","Dates=H","DateFormat=P","Fill=—","Direction=H","UseDPDF=Y")</f>
        <v>444.5</v>
      </c>
      <c r="AE59" s="12" t="str" cm="1">
        <f t="array" ref="AE59">_xll.BDH("PCAR US Equity","CF_FREE_CASH_FLOW_FIRM","FQ3 2025","FQ3 2025","Currency=USD","Period=FQ","BEST_FPERIOD_OVERRIDE=FQ","FILING_STATUS=MR","SCALING_FORMAT=MLN","FA_ADJUSTED=GAAP","Sort=A","Dates=H","DateFormat=P","Fill=—","Direction=H","UseDPDF=Y")</f>
        <v>—</v>
      </c>
      <c r="AF59" s="12" t="str" cm="1">
        <f t="array" ref="AF59">_xll.BDH("PCAR US Equity","CF_FREE_CASH_FLOW_FIRM","FQ4 2025","FQ4 2025","Currency=USD","Period=FQ","BEST_FPERIOD_OVERRIDE=FQ","FILING_STATUS=MR","SCALING_FORMAT=MLN","FA_ADJUSTED=GAAP","Sort=A","Dates=H","DateFormat=P","Fill=—","Direction=H","UseDPDF=Y")</f>
        <v>—</v>
      </c>
    </row>
    <row r="60" spans="1:32" x14ac:dyDescent="0.25">
      <c r="A60" s="10" t="s">
        <v>150</v>
      </c>
      <c r="B60" s="10" t="s">
        <v>151</v>
      </c>
      <c r="C60" s="12" cm="1">
        <f t="array" ref="C60">_xll.BDH("PCAR US Equity","FREE_CASH_FLOW_EQUITY","FQ3 2018","FQ3 2018","Currency=USD","Period=FQ","BEST_FPERIOD_OVERRIDE=FQ","FILING_STATUS=MR","SCALING_FORMAT=MLN","Sort=A","Dates=H","DateFormat=P","Fill=—","Direction=H","UseDPDF=Y")</f>
        <v>786.5</v>
      </c>
      <c r="D60" s="12" cm="1">
        <f t="array" ref="D60">_xll.BDH("PCAR US Equity","FREE_CASH_FLOW_EQUITY","FQ4 2018","FQ4 2018","Currency=USD","Period=FQ","BEST_FPERIOD_OVERRIDE=FQ","FILING_STATUS=MR","SCALING_FORMAT=MLN","Sort=A","Dates=H","DateFormat=P","Fill=—","Direction=H","UseDPDF=Y")</f>
        <v>1116.3</v>
      </c>
      <c r="E60" s="12" cm="1">
        <f t="array" ref="E60">_xll.BDH("PCAR US Equity","FREE_CASH_FLOW_EQUITY","FQ1 2019","FQ1 2019","Currency=USD","Period=FQ","BEST_FPERIOD_OVERRIDE=FQ","FILING_STATUS=MR","SCALING_FORMAT=MLN","Sort=A","Dates=H","DateFormat=P","Fill=—","Direction=H","UseDPDF=Y")</f>
        <v>410.1</v>
      </c>
      <c r="F60" s="12" cm="1">
        <f t="array" ref="F60">_xll.BDH("PCAR US Equity","FREE_CASH_FLOW_EQUITY","FQ2 2019","FQ2 2019","Currency=USD","Period=FQ","BEST_FPERIOD_OVERRIDE=FQ","FILING_STATUS=MR","SCALING_FORMAT=MLN","Sort=A","Dates=H","DateFormat=P","Fill=—","Direction=H","UseDPDF=Y")</f>
        <v>835.9</v>
      </c>
      <c r="G60" s="12" cm="1">
        <f t="array" ref="G60">_xll.BDH("PCAR US Equity","FREE_CASH_FLOW_EQUITY","FQ3 2019","FQ3 2019","Currency=USD","Period=FQ","BEST_FPERIOD_OVERRIDE=FQ","FILING_STATUS=MR","SCALING_FORMAT=MLN","Sort=A","Dates=H","DateFormat=P","Fill=—","Direction=H","UseDPDF=Y")</f>
        <v>738.1</v>
      </c>
      <c r="H60" s="12" cm="1">
        <f t="array" ref="H60">_xll.BDH("PCAR US Equity","FREE_CASH_FLOW_EQUITY","FQ4 2019","FQ4 2019","Currency=USD","Period=FQ","BEST_FPERIOD_OVERRIDE=FQ","FILING_STATUS=MR","SCALING_FORMAT=MLN","Sort=A","Dates=H","DateFormat=P","Fill=—","Direction=H","UseDPDF=Y")</f>
        <v>814.9</v>
      </c>
      <c r="I60" s="12" cm="1">
        <f t="array" ref="I60">_xll.BDH("PCAR US Equity","FREE_CASH_FLOW_EQUITY","FQ1 2020","FQ1 2020","Currency=USD","Period=FQ","BEST_FPERIOD_OVERRIDE=FQ","FILING_STATUS=MR","SCALING_FORMAT=MLN","Sort=A","Dates=H","DateFormat=P","Fill=—","Direction=H","UseDPDF=Y")</f>
        <v>191.4</v>
      </c>
      <c r="J60" s="12" cm="1">
        <f t="array" ref="J60">_xll.BDH("PCAR US Equity","FREE_CASH_FLOW_EQUITY","FQ2 2020","FQ2 2020","Currency=USD","Period=FQ","BEST_FPERIOD_OVERRIDE=FQ","FILING_STATUS=MR","SCALING_FORMAT=MLN","Sort=A","Dates=H","DateFormat=P","Fill=—","Direction=H","UseDPDF=Y")</f>
        <v>-69.900000000000006</v>
      </c>
      <c r="K60" s="12" cm="1">
        <f t="array" ref="K60">_xll.BDH("PCAR US Equity","FREE_CASH_FLOW_EQUITY","FQ3 2020","FQ3 2020","Currency=USD","Period=FQ","BEST_FPERIOD_OVERRIDE=FQ","FILING_STATUS=MR","SCALING_FORMAT=MLN","Sort=A","Dates=H","DateFormat=P","Fill=—","Direction=H","UseDPDF=Y")</f>
        <v>498.6</v>
      </c>
      <c r="L60" s="12" cm="1">
        <f t="array" ref="L60">_xll.BDH("PCAR US Equity","FREE_CASH_FLOW_EQUITY","FQ4 2020","FQ4 2020","Currency=USD","Period=FQ","BEST_FPERIOD_OVERRIDE=FQ","FILING_STATUS=MR","SCALING_FORMAT=MLN","Sort=A","Dates=H","DateFormat=P","Fill=—","Direction=H","UseDPDF=Y")</f>
        <v>750.3</v>
      </c>
      <c r="M60" s="12" cm="1">
        <f t="array" ref="M60">_xll.BDH("PCAR US Equity","FREE_CASH_FLOW_EQUITY","FQ1 2021","FQ1 2021","Currency=USD","Period=FQ","BEST_FPERIOD_OVERRIDE=FQ","FILING_STATUS=MR","SCALING_FORMAT=MLN","Sort=A","Dates=H","DateFormat=P","Fill=—","Direction=H","UseDPDF=Y")</f>
        <v>238.1</v>
      </c>
      <c r="N60" s="12" cm="1">
        <f t="array" ref="N60">_xll.BDH("PCAR US Equity","FREE_CASH_FLOW_EQUITY","FQ2 2021","FQ2 2021","Currency=USD","Period=FQ","BEST_FPERIOD_OVERRIDE=FQ","FILING_STATUS=MR","SCALING_FORMAT=MLN","Sort=A","Dates=H","DateFormat=P","Fill=—","Direction=H","UseDPDF=Y")</f>
        <v>101.3</v>
      </c>
      <c r="O60" s="12" cm="1">
        <f t="array" ref="O60">_xll.BDH("PCAR US Equity","FREE_CASH_FLOW_EQUITY","FQ3 2021","FQ3 2021","Currency=USD","Period=FQ","BEST_FPERIOD_OVERRIDE=FQ","FILING_STATUS=MR","SCALING_FORMAT=MLN","Sort=A","Dates=H","DateFormat=P","Fill=—","Direction=H","UseDPDF=Y")</f>
        <v>-503.5</v>
      </c>
      <c r="P60" s="12" cm="1">
        <f t="array" ref="P60">_xll.BDH("PCAR US Equity","FREE_CASH_FLOW_EQUITY","FQ4 2021","FQ4 2021","Currency=USD","Period=FQ","BEST_FPERIOD_OVERRIDE=FQ","FILING_STATUS=MR","SCALING_FORMAT=MLN","Sort=A","Dates=H","DateFormat=P","Fill=—","Direction=H","UseDPDF=Y")</f>
        <v>1411.2</v>
      </c>
      <c r="Q60" s="12" cm="1">
        <f t="array" ref="Q60">_xll.BDH("PCAR US Equity","FREE_CASH_FLOW_EQUITY","FQ1 2022","FQ1 2022","Currency=USD","Period=FQ","BEST_FPERIOD_OVERRIDE=FQ","FILING_STATUS=MR","SCALING_FORMAT=MLN","Sort=A","Dates=H","DateFormat=P","Fill=—","Direction=H","UseDPDF=Y")</f>
        <v>747</v>
      </c>
      <c r="R60" s="12" cm="1">
        <f t="array" ref="R60">_xll.BDH("PCAR US Equity","FREE_CASH_FLOW_EQUITY","FQ2 2022","FQ2 2022","Currency=USD","Period=FQ","BEST_FPERIOD_OVERRIDE=FQ","FILING_STATUS=MR","SCALING_FORMAT=MLN","Sort=A","Dates=H","DateFormat=P","Fill=—","Direction=H","UseDPDF=Y")</f>
        <v>354.6</v>
      </c>
      <c r="S60" s="12" cm="1">
        <f t="array" ref="S60">_xll.BDH("PCAR US Equity","FREE_CASH_FLOW_EQUITY","FQ3 2022","FQ3 2022","Currency=USD","Period=FQ","BEST_FPERIOD_OVERRIDE=FQ","FILING_STATUS=MR","SCALING_FORMAT=MLN","Sort=A","Dates=H","DateFormat=P","Fill=—","Direction=H","UseDPDF=Y")</f>
        <v>543.4</v>
      </c>
      <c r="T60" s="12" cm="1">
        <f t="array" ref="T60">_xll.BDH("PCAR US Equity","FREE_CASH_FLOW_EQUITY","FQ4 2022","FQ4 2022","Currency=USD","Period=FQ","BEST_FPERIOD_OVERRIDE=FQ","FILING_STATUS=MR","SCALING_FORMAT=MLN","Sort=A","Dates=H","DateFormat=P","Fill=—","Direction=H","UseDPDF=Y")</f>
        <v>1955.2</v>
      </c>
      <c r="U60" s="12" cm="1">
        <f t="array" ref="U60">_xll.BDH("PCAR US Equity","FREE_CASH_FLOW_EQUITY","FQ1 2023","FQ1 2023","Currency=USD","Period=FQ","BEST_FPERIOD_OVERRIDE=FQ","FILING_STATUS=MR","SCALING_FORMAT=MLN","Sort=A","Dates=H","DateFormat=P","Fill=—","Direction=H","UseDPDF=Y")</f>
        <v>961.4</v>
      </c>
      <c r="V60" s="12" cm="1">
        <f t="array" ref="V60">_xll.BDH("PCAR US Equity","FREE_CASH_FLOW_EQUITY","FQ2 2023","FQ2 2023","Currency=USD","Period=FQ","BEST_FPERIOD_OVERRIDE=FQ","FILING_STATUS=MR","SCALING_FORMAT=MLN","Sort=A","Dates=H","DateFormat=P","Fill=—","Direction=H","UseDPDF=Y")</f>
        <v>1464</v>
      </c>
      <c r="W60" s="12" cm="1">
        <f t="array" ref="W60">_xll.BDH("PCAR US Equity","FREE_CASH_FLOW_EQUITY","FQ3 2023","FQ3 2023","Currency=USD","Period=FQ","BEST_FPERIOD_OVERRIDE=FQ","FILING_STATUS=MR","SCALING_FORMAT=MLN","Sort=A","Dates=H","DateFormat=P","Fill=—","Direction=H","UseDPDF=Y")</f>
        <v>1624.6</v>
      </c>
      <c r="X60" s="12" cm="1">
        <f t="array" ref="X60">_xll.BDH("PCAR US Equity","FREE_CASH_FLOW_EQUITY","FQ4 2023","FQ4 2023","Currency=USD","Period=FQ","BEST_FPERIOD_OVERRIDE=FQ","FILING_STATUS=MR","SCALING_FORMAT=MLN","Sort=A","Dates=H","DateFormat=P","Fill=—","Direction=H","UseDPDF=Y")</f>
        <v>2064.8000000000002</v>
      </c>
      <c r="Y60" s="12" cm="1">
        <f t="array" ref="Y60">_xll.BDH("PCAR US Equity","FREE_CASH_FLOW_EQUITY","FQ1 2024","FQ1 2024","Currency=USD","Period=FQ","BEST_FPERIOD_OVERRIDE=FQ","FILING_STATUS=MR","SCALING_FORMAT=MLN","Sort=A","Dates=H","DateFormat=P","Fill=—","Direction=H","UseDPDF=Y")</f>
        <v>1191.4000000000001</v>
      </c>
      <c r="Z60" s="12" cm="1">
        <f t="array" ref="Z60">_xll.BDH("PCAR US Equity","FREE_CASH_FLOW_EQUITY","FQ2 2024","FQ2 2024","Currency=USD","Period=FQ","BEST_FPERIOD_OVERRIDE=FQ","FILING_STATUS=MR","SCALING_FORMAT=MLN","Sort=A","Dates=H","DateFormat=P","Fill=—","Direction=H","UseDPDF=Y")</f>
        <v>562.1</v>
      </c>
      <c r="AA60" s="12" cm="1">
        <f t="array" ref="AA60">_xll.BDH("PCAR US Equity","FREE_CASH_FLOW_EQUITY","FQ3 2024","FQ3 2024","Currency=USD","Period=FQ","BEST_FPERIOD_OVERRIDE=FQ","FILING_STATUS=MR","SCALING_FORMAT=MLN","Sort=A","Dates=H","DateFormat=P","Fill=—","Direction=H","UseDPDF=Y")</f>
        <v>2044.5</v>
      </c>
      <c r="AB60" s="12" cm="1">
        <f t="array" ref="AB60">_xll.BDH("PCAR US Equity","FREE_CASH_FLOW_EQUITY","FQ4 2024","FQ4 2024","Currency=USD","Period=FQ","BEST_FPERIOD_OVERRIDE=FQ","FILING_STATUS=MR","SCALING_FORMAT=MLN","Sort=A","Dates=H","DateFormat=P","Fill=—","Direction=H","UseDPDF=Y")</f>
        <v>1911.4</v>
      </c>
      <c r="AC60" s="12" cm="1">
        <f t="array" ref="AC60">_xll.BDH("PCAR US Equity","FREE_CASH_FLOW_EQUITY","FQ1 2025","FQ1 2025","Currency=USD","Period=FQ","BEST_FPERIOD_OVERRIDE=FQ","FILING_STATUS=MR","SCALING_FORMAT=MLN","Sort=A","Dates=H","DateFormat=P","Fill=—","Direction=H","UseDPDF=Y")</f>
        <v>378.8</v>
      </c>
      <c r="AD60" s="12" cm="1">
        <f t="array" ref="AD60">_xll.BDH("PCAR US Equity","FREE_CASH_FLOW_EQUITY","FQ2 2025","FQ2 2025","Currency=USD","Period=FQ","BEST_FPERIOD_OVERRIDE=FQ","FILING_STATUS=MR","SCALING_FORMAT=MLN","Sort=A","Dates=H","DateFormat=P","Fill=—","Direction=H","UseDPDF=Y")</f>
        <v>507.7</v>
      </c>
      <c r="AE60" s="12" cm="1">
        <f t="array" ref="AE60">_xll.BDH("PCAR US Equity","FREE_CASH_FLOW_EQUITY","FQ3 2025","FQ3 2025","Currency=USD","Period=FQ","BEST_FPERIOD_OVERRIDE=FQ","FILING_STATUS=MR","SCALING_FORMAT=MLN","Sort=A","Dates=H","DateFormat=P","Fill=—","Direction=H","UseDPDF=Y")</f>
        <v>1275</v>
      </c>
      <c r="AF60" s="12" cm="1">
        <f t="array" ref="AF60">_xll.BDH("PCAR US Equity","FREE_CASH_FLOW_EQUITY","FQ4 2025","FQ4 2025","Currency=USD","Period=FQ","BEST_FPERIOD_OVERRIDE=FQ","FILING_STATUS=MR","SCALING_FORMAT=MLN","Sort=A","Dates=H","DateFormat=P","Fill=—","Direction=H","UseDPDF=Y")</f>
        <v>520.70000000000005</v>
      </c>
    </row>
    <row r="61" spans="1:32" x14ac:dyDescent="0.25">
      <c r="A61" s="10" t="s">
        <v>152</v>
      </c>
      <c r="B61" s="10" t="s">
        <v>153</v>
      </c>
      <c r="C61" s="13" cm="1">
        <f t="array" ref="C61">_xll.BDH("PCAR US Equity","FREE_CASH_FLOW_PER_SH","FQ3 2018","FQ3 2018","Currency=USD","Period=FQ","BEST_FPERIOD_OVERRIDE=FQ","FILING_STATUS=MR","Sort=A","Dates=H","DateFormat=P","Fill=—","Direction=H","UseDPDF=Y")</f>
        <v>0.4456</v>
      </c>
      <c r="D61" s="13" cm="1">
        <f t="array" ref="D61">_xll.BDH("PCAR US Equity","FREE_CASH_FLOW_PER_SH","FQ4 2018","FQ4 2018","Currency=USD","Period=FQ","BEST_FPERIOD_OVERRIDE=FQ","FILING_STATUS=MR","Sort=A","Dates=H","DateFormat=P","Fill=—","Direction=H","UseDPDF=Y")</f>
        <v>1.0039</v>
      </c>
      <c r="E61" s="13" cm="1">
        <f t="array" ref="E61">_xll.BDH("PCAR US Equity","FREE_CASH_FLOW_PER_SH","FQ1 2019","FQ1 2019","Currency=USD","Period=FQ","BEST_FPERIOD_OVERRIDE=FQ","FILING_STATUS=MR","Sort=A","Dates=H","DateFormat=P","Fill=—","Direction=H","UseDPDF=Y")</f>
        <v>-5.2200000000000003E-2</v>
      </c>
      <c r="F61" s="13" cm="1">
        <f t="array" ref="F61">_xll.BDH("PCAR US Equity","FREE_CASH_FLOW_PER_SH","FQ2 2019","FQ2 2019","Currency=USD","Period=FQ","BEST_FPERIOD_OVERRIDE=FQ","FILING_STATUS=MR","Sort=A","Dates=H","DateFormat=P","Fill=—","Direction=H","UseDPDF=Y")</f>
        <v>0.5887</v>
      </c>
      <c r="G61" s="13" cm="1">
        <f t="array" ref="G61">_xll.BDH("PCAR US Equity","FREE_CASH_FLOW_PER_SH","FQ3 2019","FQ3 2019","Currency=USD","Period=FQ","BEST_FPERIOD_OVERRIDE=FQ","FILING_STATUS=MR","Sort=A","Dates=H","DateFormat=P","Fill=—","Direction=H","UseDPDF=Y")</f>
        <v>0.40739999999999998</v>
      </c>
      <c r="H61" s="13" cm="1">
        <f t="array" ref="H61">_xll.BDH("PCAR US Equity","FREE_CASH_FLOW_PER_SH","FQ4 2019","FQ4 2019","Currency=USD","Period=FQ","BEST_FPERIOD_OVERRIDE=FQ","FILING_STATUS=MR","Sort=A","Dates=H","DateFormat=P","Fill=—","Direction=H","UseDPDF=Y")</f>
        <v>0.76629999999999998</v>
      </c>
      <c r="I61" s="13" cm="1">
        <f t="array" ref="I61">_xll.BDH("PCAR US Equity","FREE_CASH_FLOW_PER_SH","FQ1 2020","FQ1 2020","Currency=USD","Period=FQ","BEST_FPERIOD_OVERRIDE=FQ","FILING_STATUS=MR","Sort=A","Dates=H","DateFormat=P","Fill=—","Direction=H","UseDPDF=Y")</f>
        <v>-5.8799999999999998E-2</v>
      </c>
      <c r="J61" s="13" cm="1">
        <f t="array" ref="J61">_xll.BDH("PCAR US Equity","FREE_CASH_FLOW_PER_SH","FQ2 2020","FQ2 2020","Currency=USD","Period=FQ","BEST_FPERIOD_OVERRIDE=FQ","FILING_STATUS=MR","Sort=A","Dates=H","DateFormat=P","Fill=—","Direction=H","UseDPDF=Y")</f>
        <v>1.2309000000000001</v>
      </c>
      <c r="K61" s="13" cm="1">
        <f t="array" ref="K61">_xll.BDH("PCAR US Equity","FREE_CASH_FLOW_PER_SH","FQ3 2020","FQ3 2020","Currency=USD","Period=FQ","BEST_FPERIOD_OVERRIDE=FQ","FILING_STATUS=MR","Sort=A","Dates=H","DateFormat=P","Fill=—","Direction=H","UseDPDF=Y")</f>
        <v>0.86619999999999997</v>
      </c>
      <c r="L61" s="13" cm="1">
        <f t="array" ref="L61">_xll.BDH("PCAR US Equity","FREE_CASH_FLOW_PER_SH","FQ4 2020","FQ4 2020","Currency=USD","Period=FQ","BEST_FPERIOD_OVERRIDE=FQ","FILING_STATUS=MR","Sort=A","Dates=H","DateFormat=P","Fill=—","Direction=H","UseDPDF=Y")</f>
        <v>0.55530000000000002</v>
      </c>
      <c r="M61" s="13" cm="1">
        <f t="array" ref="M61">_xll.BDH("PCAR US Equity","FREE_CASH_FLOW_PER_SH","FQ1 2021","FQ1 2021","Currency=USD","Period=FQ","BEST_FPERIOD_OVERRIDE=FQ","FILING_STATUS=MR","Sort=A","Dates=H","DateFormat=P","Fill=—","Direction=H","UseDPDF=Y")</f>
        <v>0.34370000000000001</v>
      </c>
      <c r="N61" s="13" cm="1">
        <f t="array" ref="N61">_xll.BDH("PCAR US Equity","FREE_CASH_FLOW_PER_SH","FQ2 2021","FQ2 2021","Currency=USD","Period=FQ","BEST_FPERIOD_OVERRIDE=FQ","FILING_STATUS=MR","Sort=A","Dates=H","DateFormat=P","Fill=—","Direction=H","UseDPDF=Y")</f>
        <v>-0.2009</v>
      </c>
      <c r="O61" s="13" cm="1">
        <f t="array" ref="O61">_xll.BDH("PCAR US Equity","FREE_CASH_FLOW_PER_SH","FQ3 2021","FQ3 2021","Currency=USD","Period=FQ","BEST_FPERIOD_OVERRIDE=FQ","FILING_STATUS=MR","Sort=A","Dates=H","DateFormat=P","Fill=—","Direction=H","UseDPDF=Y")</f>
        <v>-0.184</v>
      </c>
      <c r="P61" s="13" cm="1">
        <f t="array" ref="P61">_xll.BDH("PCAR US Equity","FREE_CASH_FLOW_PER_SH","FQ4 2021","FQ4 2021","Currency=USD","Period=FQ","BEST_FPERIOD_OVERRIDE=FQ","FILING_STATUS=MR","Sort=A","Dates=H","DateFormat=P","Fill=—","Direction=H","UseDPDF=Y")</f>
        <v>1.1028</v>
      </c>
      <c r="Q61" s="13" cm="1">
        <f t="array" ref="Q61">_xll.BDH("PCAR US Equity","FREE_CASH_FLOW_PER_SH","FQ1 2022","FQ1 2022","Currency=USD","Period=FQ","BEST_FPERIOD_OVERRIDE=FQ","FILING_STATUS=MR","Sort=A","Dates=H","DateFormat=P","Fill=—","Direction=H","UseDPDF=Y")</f>
        <v>0.1736</v>
      </c>
      <c r="R61" s="13" cm="1">
        <f t="array" ref="R61">_xll.BDH("PCAR US Equity","FREE_CASH_FLOW_PER_SH","FQ2 2022","FQ2 2022","Currency=USD","Period=FQ","BEST_FPERIOD_OVERRIDE=FQ","FILING_STATUS=MR","Sort=A","Dates=H","DateFormat=P","Fill=—","Direction=H","UseDPDF=Y")</f>
        <v>0.51190000000000002</v>
      </c>
      <c r="S61" s="13" cm="1">
        <f t="array" ref="S61">_xll.BDH("PCAR US Equity","FREE_CASH_FLOW_PER_SH","FQ3 2022","FQ3 2022","Currency=USD","Period=FQ","BEST_FPERIOD_OVERRIDE=FQ","FILING_STATUS=MR","Sort=A","Dates=H","DateFormat=P","Fill=—","Direction=H","UseDPDF=Y")</f>
        <v>0.64710000000000001</v>
      </c>
      <c r="T61" s="13" cm="1">
        <f t="array" ref="T61">_xll.BDH("PCAR US Equity","FREE_CASH_FLOW_PER_SH","FQ4 2022","FQ4 2022","Currency=USD","Period=FQ","BEST_FPERIOD_OVERRIDE=FQ","FILING_STATUS=MR","Sort=A","Dates=H","DateFormat=P","Fill=—","Direction=H","UseDPDF=Y")</f>
        <v>1.7979000000000001</v>
      </c>
      <c r="U61" s="13" cm="1">
        <f t="array" ref="U61">_xll.BDH("PCAR US Equity","FREE_CASH_FLOW_PER_SH","FQ1 2023","FQ1 2023","Currency=USD","Period=FQ","BEST_FPERIOD_OVERRIDE=FQ","FILING_STATUS=MR","Sort=A","Dates=H","DateFormat=P","Fill=—","Direction=H","UseDPDF=Y")</f>
        <v>0.75070000000000003</v>
      </c>
      <c r="V61" s="13" cm="1">
        <f t="array" ref="V61">_xll.BDH("PCAR US Equity","FREE_CASH_FLOW_PER_SH","FQ2 2023","FQ2 2023","Currency=USD","Period=FQ","BEST_FPERIOD_OVERRIDE=FQ","FILING_STATUS=MR","Sort=A","Dates=H","DateFormat=P","Fill=—","Direction=H","UseDPDF=Y")</f>
        <v>1.3438000000000001</v>
      </c>
      <c r="W61" s="13" cm="1">
        <f t="array" ref="W61">_xll.BDH("PCAR US Equity","FREE_CASH_FLOW_PER_SH","FQ3 2023","FQ3 2023","Currency=USD","Period=FQ","BEST_FPERIOD_OVERRIDE=FQ","FILING_STATUS=MR","Sort=A","Dates=H","DateFormat=P","Fill=—","Direction=H","UseDPDF=Y")</f>
        <v>1.9219999999999999</v>
      </c>
      <c r="X61" s="13" cm="1">
        <f t="array" ref="X61">_xll.BDH("PCAR US Equity","FREE_CASH_FLOW_PER_SH","FQ4 2023","FQ4 2023","Currency=USD","Period=FQ","BEST_FPERIOD_OVERRIDE=FQ","FILING_STATUS=MR","Sort=A","Dates=H","DateFormat=P","Fill=—","Direction=H","UseDPDF=Y")</f>
        <v>1.5703</v>
      </c>
      <c r="Y61" s="13" cm="1">
        <f t="array" ref="Y61">_xll.BDH("PCAR US Equity","FREE_CASH_FLOW_PER_SH","FQ1 2024","FQ1 2024","Currency=USD","Period=FQ","BEST_FPERIOD_OVERRIDE=FQ","FILING_STATUS=MR","Sort=A","Dates=H","DateFormat=P","Fill=—","Direction=H","UseDPDF=Y")</f>
        <v>2.1284000000000001</v>
      </c>
      <c r="Z61" s="13" cm="1">
        <f t="array" ref="Z61">_xll.BDH("PCAR US Equity","FREE_CASH_FLOW_PER_SH","FQ2 2024","FQ2 2024","Currency=USD","Period=FQ","BEST_FPERIOD_OVERRIDE=FQ","FILING_STATUS=MR","Sort=A","Dates=H","DateFormat=P","Fill=—","Direction=H","UseDPDF=Y")</f>
        <v>-0.1386</v>
      </c>
      <c r="AA61" s="13" cm="1">
        <f t="array" ref="AA61">_xll.BDH("PCAR US Equity","FREE_CASH_FLOW_PER_SH","FQ3 2024","FQ3 2024","Currency=USD","Period=FQ","BEST_FPERIOD_OVERRIDE=FQ","FILING_STATUS=MR","Sort=A","Dates=H","DateFormat=P","Fill=—","Direction=H","UseDPDF=Y")</f>
        <v>1.7283999999999999</v>
      </c>
      <c r="AB61" s="13" cm="1">
        <f t="array" ref="AB61">_xll.BDH("PCAR US Equity","FREE_CASH_FLOW_PER_SH","FQ4 2024","FQ4 2024","Currency=USD","Period=FQ","BEST_FPERIOD_OVERRIDE=FQ","FILING_STATUS=MR","Sort=A","Dates=H","DateFormat=P","Fill=—","Direction=H","UseDPDF=Y")</f>
        <v>1.7941</v>
      </c>
      <c r="AC61" s="13" cm="1">
        <f t="array" ref="AC61">_xll.BDH("PCAR US Equity","FREE_CASH_FLOW_PER_SH","FQ1 2025","FQ1 2025","Currency=USD","Period=FQ","BEST_FPERIOD_OVERRIDE=FQ","FILING_STATUS=MR","Sort=A","Dates=H","DateFormat=P","Fill=—","Direction=H","UseDPDF=Y")</f>
        <v>1.1113999999999999</v>
      </c>
      <c r="AD61" s="13" cm="1">
        <f t="array" ref="AD61">_xll.BDH("PCAR US Equity","FREE_CASH_FLOW_PER_SH","FQ2 2025","FQ2 2025","Currency=USD","Period=FQ","BEST_FPERIOD_OVERRIDE=FQ","FILING_STATUS=MR","Sort=A","Dates=H","DateFormat=P","Fill=—","Direction=H","UseDPDF=Y")</f>
        <v>0.84519999999999995</v>
      </c>
      <c r="AE61" s="13" cm="1">
        <f t="array" ref="AE61">_xll.BDH("PCAR US Equity","FREE_CASH_FLOW_PER_SH","FQ3 2025","FQ3 2025","Currency=USD","Period=FQ","BEST_FPERIOD_OVERRIDE=FQ","FILING_STATUS=MR","Sort=A","Dates=H","DateFormat=P","Fill=—","Direction=H","UseDPDF=Y")</f>
        <v>2.3239999999999998</v>
      </c>
      <c r="AF61" s="13" cm="1">
        <f t="array" ref="AF61">_xll.BDH("PCAR US Equity","FREE_CASH_FLOW_PER_SH","FQ4 2025","FQ4 2025","Currency=USD","Period=FQ","BEST_FPERIOD_OVERRIDE=FQ","FILING_STATUS=MR","Sort=A","Dates=H","DateFormat=P","Fill=—","Direction=H","UseDPDF=Y")</f>
        <v>1.4320999999999999</v>
      </c>
    </row>
    <row r="62" spans="1:32" x14ac:dyDescent="0.25">
      <c r="A62" s="10" t="s">
        <v>154</v>
      </c>
      <c r="B62" s="10" t="s">
        <v>155</v>
      </c>
      <c r="C62" s="13" cm="1">
        <f t="array" ref="C62">_xll.BDH("PCAR US Equity","PX_TO_FREE_CASH_FLOW","FQ3 2018","FQ3 2018","Currency=USD","Period=FQ","BEST_FPERIOD_OVERRIDE=FQ","FILING_STATUS=MR","Sort=A","Dates=H","DateFormat=P","Fill=—","Direction=H","UseDPDF=Y")</f>
        <v>26.5153</v>
      </c>
      <c r="D62" s="13" cm="1">
        <f t="array" ref="D62">_xll.BDH("PCAR US Equity","PX_TO_FREE_CASH_FLOW","FQ4 2018","FQ4 2018","Currency=USD","Period=FQ","BEST_FPERIOD_OVERRIDE=FQ","FILING_STATUS=MR","Sort=A","Dates=H","DateFormat=P","Fill=—","Direction=H","UseDPDF=Y")</f>
        <v>19.244700000000002</v>
      </c>
      <c r="E62" s="13" cm="1">
        <f t="array" ref="E62">_xll.BDH("PCAR US Equity","PX_TO_FREE_CASH_FLOW","FQ1 2019","FQ1 2019","Currency=USD","Period=FQ","BEST_FPERIOD_OVERRIDE=FQ","FILING_STATUS=MR","Sort=A","Dates=H","DateFormat=P","Fill=—","Direction=H","UseDPDF=Y")</f>
        <v>27.6465</v>
      </c>
      <c r="F62" s="13" cm="1">
        <f t="array" ref="F62">_xll.BDH("PCAR US Equity","PX_TO_FREE_CASH_FLOW","FQ2 2019","FQ2 2019","Currency=USD","Period=FQ","BEST_FPERIOD_OVERRIDE=FQ","FILING_STATUS=MR","Sort=A","Dates=H","DateFormat=P","Fill=—","Direction=H","UseDPDF=Y")</f>
        <v>24.055800000000001</v>
      </c>
      <c r="G62" s="13" cm="1">
        <f t="array" ref="G62">_xll.BDH("PCAR US Equity","PX_TO_FREE_CASH_FLOW","FQ3 2019","FQ3 2019","Currency=USD","Period=FQ","BEST_FPERIOD_OVERRIDE=FQ","FILING_STATUS=MR","Sort=A","Dates=H","DateFormat=P","Fill=—","Direction=H","UseDPDF=Y")</f>
        <v>23.962800000000001</v>
      </c>
      <c r="H62" s="13" cm="1">
        <f t="array" ref="H62">_xll.BDH("PCAR US Equity","PX_TO_FREE_CASH_FLOW","FQ4 2019","FQ4 2019","Currency=USD","Period=FQ","BEST_FPERIOD_OVERRIDE=FQ","FILING_STATUS=MR","Sort=A","Dates=H","DateFormat=P","Fill=—","Direction=H","UseDPDF=Y")</f>
        <v>30.836500000000001</v>
      </c>
      <c r="I62" s="13" cm="1">
        <f t="array" ref="I62">_xll.BDH("PCAR US Equity","PX_TO_FREE_CASH_FLOW","FQ1 2020","FQ1 2020","Currency=USD","Period=FQ","BEST_FPERIOD_OVERRIDE=FQ","FILING_STATUS=MR","Sort=A","Dates=H","DateFormat=P","Fill=—","Direction=H","UseDPDF=Y")</f>
        <v>23.923100000000002</v>
      </c>
      <c r="J62" s="13" cm="1">
        <f t="array" ref="J62">_xll.BDH("PCAR US Equity","PX_TO_FREE_CASH_FLOW","FQ2 2020","FQ2 2020","Currency=USD","Period=FQ","BEST_FPERIOD_OVERRIDE=FQ","FILING_STATUS=MR","Sort=A","Dates=H","DateFormat=P","Fill=—","Direction=H","UseDPDF=Y")</f>
        <v>21.272099999999998</v>
      </c>
      <c r="K62" s="13" cm="1">
        <f t="array" ref="K62">_xll.BDH("PCAR US Equity","PX_TO_FREE_CASH_FLOW","FQ3 2020","FQ3 2020","Currency=USD","Period=FQ","BEST_FPERIOD_OVERRIDE=FQ","FILING_STATUS=MR","Sort=A","Dates=H","DateFormat=P","Fill=—","Direction=H","UseDPDF=Y")</f>
        <v>20.2713</v>
      </c>
      <c r="L62" s="13" cm="1">
        <f t="array" ref="L62">_xll.BDH("PCAR US Equity","PX_TO_FREE_CASH_FLOW","FQ4 2020","FQ4 2020","Currency=USD","Period=FQ","BEST_FPERIOD_OVERRIDE=FQ","FILING_STATUS=MR","Sort=A","Dates=H","DateFormat=P","Fill=—","Direction=H","UseDPDF=Y")</f>
        <v>22.177299999999999</v>
      </c>
      <c r="M62" s="13" cm="1">
        <f t="array" ref="M62">_xll.BDH("PCAR US Equity","PX_TO_FREE_CASH_FLOW","FQ1 2021","FQ1 2021","Currency=USD","Period=FQ","BEST_FPERIOD_OVERRIDE=FQ","FILING_STATUS=MR","Sort=A","Dates=H","DateFormat=P","Fill=—","Direction=H","UseDPDF=Y")</f>
        <v>20.6755</v>
      </c>
      <c r="N62" s="13" cm="1">
        <f t="array" ref="N62">_xll.BDH("PCAR US Equity","PX_TO_FREE_CASH_FLOW","FQ2 2021","FQ2 2021","Currency=USD","Period=FQ","BEST_FPERIOD_OVERRIDE=FQ","FILING_STATUS=MR","Sort=A","Dates=H","DateFormat=P","Fill=—","Direction=H","UseDPDF=Y")</f>
        <v>38.035899999999998</v>
      </c>
      <c r="O62" s="13" cm="1">
        <f t="array" ref="O62">_xll.BDH("PCAR US Equity","PX_TO_FREE_CASH_FLOW","FQ3 2021","FQ3 2021","Currency=USD","Period=FQ","BEST_FPERIOD_OVERRIDE=FQ","FILING_STATUS=MR","Sort=A","Dates=H","DateFormat=P","Fill=—","Direction=H","UseDPDF=Y")</f>
        <v>102.34180000000001</v>
      </c>
      <c r="P62" s="13" cm="1">
        <f t="array" ref="P62">_xll.BDH("PCAR US Equity","PX_TO_FREE_CASH_FLOW","FQ4 2021","FQ4 2021","Currency=USD","Period=FQ","BEST_FPERIOD_OVERRIDE=FQ","FILING_STATUS=MR","Sort=A","Dates=H","DateFormat=P","Fill=—","Direction=H","UseDPDF=Y")</f>
        <v>55.425699999999999</v>
      </c>
      <c r="Q62" s="13" cm="1">
        <f t="array" ref="Q62">_xll.BDH("PCAR US Equity","PX_TO_FREE_CASH_FLOW","FQ1 2022","FQ1 2022","Currency=USD","Period=FQ","BEST_FPERIOD_OVERRIDE=FQ","FILING_STATUS=MR","Sort=A","Dates=H","DateFormat=P","Fill=—","Direction=H","UseDPDF=Y")</f>
        <v>65.857799999999997</v>
      </c>
      <c r="R62" s="13" cm="1">
        <f t="array" ref="R62">_xll.BDH("PCAR US Equity","PX_TO_FREE_CASH_FLOW","FQ2 2022","FQ2 2022","Currency=USD","Period=FQ","BEST_FPERIOD_OVERRIDE=FQ","FILING_STATUS=MR","Sort=A","Dates=H","DateFormat=P","Fill=—","Direction=H","UseDPDF=Y")</f>
        <v>34.217199999999998</v>
      </c>
      <c r="S62" s="13" cm="1">
        <f t="array" ref="S62">_xll.BDH("PCAR US Equity","PX_TO_FREE_CASH_FLOW","FQ3 2022","FQ3 2022","Currency=USD","Period=FQ","BEST_FPERIOD_OVERRIDE=FQ","FILING_STATUS=MR","Sort=A","Dates=H","DateFormat=P","Fill=—","Direction=H","UseDPDF=Y")</f>
        <v>22.909099999999999</v>
      </c>
      <c r="T62" s="13" cm="1">
        <f t="array" ref="T62">_xll.BDH("PCAR US Equity","PX_TO_FREE_CASH_FLOW","FQ4 2022","FQ4 2022","Currency=USD","Period=FQ","BEST_FPERIOD_OVERRIDE=FQ","FILING_STATUS=MR","Sort=A","Dates=H","DateFormat=P","Fill=—","Direction=H","UseDPDF=Y")</f>
        <v>21.076699999999999</v>
      </c>
      <c r="U62" s="13" cm="1">
        <f t="array" ref="U62">_xll.BDH("PCAR US Equity","PX_TO_FREE_CASH_FLOW","FQ1 2023","FQ1 2023","Currency=USD","Period=FQ","BEST_FPERIOD_OVERRIDE=FQ","FILING_STATUS=MR","Sort=A","Dates=H","DateFormat=P","Fill=—","Direction=H","UseDPDF=Y")</f>
        <v>19.743300000000001</v>
      </c>
      <c r="V62" s="13" cm="1">
        <f t="array" ref="V62">_xll.BDH("PCAR US Equity","PX_TO_FREE_CASH_FLOW","FQ2 2023","FQ2 2023","Currency=USD","Period=FQ","BEST_FPERIOD_OVERRIDE=FQ","FILING_STATUS=MR","Sort=A","Dates=H","DateFormat=P","Fill=—","Direction=H","UseDPDF=Y")</f>
        <v>18.4269</v>
      </c>
      <c r="W62" s="13" cm="1">
        <f t="array" ref="W62">_xll.BDH("PCAR US Equity","PX_TO_FREE_CASH_FLOW","FQ3 2023","FQ3 2023","Currency=USD","Period=FQ","BEST_FPERIOD_OVERRIDE=FQ","FILING_STATUS=MR","Sort=A","Dates=H","DateFormat=P","Fill=—","Direction=H","UseDPDF=Y")</f>
        <v>14.622400000000001</v>
      </c>
      <c r="X62" s="13" cm="1">
        <f t="array" ref="X62">_xll.BDH("PCAR US Equity","PX_TO_FREE_CASH_FLOW","FQ4 2023","FQ4 2023","Currency=USD","Period=FQ","BEST_FPERIOD_OVERRIDE=FQ","FILING_STATUS=MR","Sort=A","Dates=H","DateFormat=P","Fill=—","Direction=H","UseDPDF=Y")</f>
        <v>17.4787</v>
      </c>
      <c r="Y62" s="13" cm="1">
        <f t="array" ref="Y62">_xll.BDH("PCAR US Equity","PX_TO_FREE_CASH_FLOW","FQ1 2024","FQ1 2024","Currency=USD","Period=FQ","BEST_FPERIOD_OVERRIDE=FQ","FILING_STATUS=MR","Sort=A","Dates=H","DateFormat=P","Fill=—","Direction=H","UseDPDF=Y")</f>
        <v>17.788799999999998</v>
      </c>
      <c r="Z62" s="13" cm="1">
        <f t="array" ref="Z62">_xll.BDH("PCAR US Equity","PX_TO_FREE_CASH_FLOW","FQ2 2024","FQ2 2024","Currency=USD","Period=FQ","BEST_FPERIOD_OVERRIDE=FQ","FILING_STATUS=MR","Sort=A","Dates=H","DateFormat=P","Fill=—","Direction=H","UseDPDF=Y")</f>
        <v>18.7776</v>
      </c>
      <c r="AA62" s="13" cm="1">
        <f t="array" ref="AA62">_xll.BDH("PCAR US Equity","PX_TO_FREE_CASH_FLOW","FQ3 2024","FQ3 2024","Currency=USD","Period=FQ","BEST_FPERIOD_OVERRIDE=FQ","FILING_STATUS=MR","Sort=A","Dates=H","DateFormat=P","Fill=—","Direction=H","UseDPDF=Y")</f>
        <v>18.659400000000002</v>
      </c>
      <c r="AB62" s="13" cm="1">
        <f t="array" ref="AB62">_xll.BDH("PCAR US Equity","PX_TO_FREE_CASH_FLOW","FQ4 2024","FQ4 2024","Currency=USD","Period=FQ","BEST_FPERIOD_OVERRIDE=FQ","FILING_STATUS=MR","Sort=A","Dates=H","DateFormat=P","Fill=—","Direction=H","UseDPDF=Y")</f>
        <v>18.8705</v>
      </c>
      <c r="AC62" s="13" cm="1">
        <f t="array" ref="AC62">_xll.BDH("PCAR US Equity","PX_TO_FREE_CASH_FLOW","FQ1 2025","FQ1 2025","Currency=USD","Period=FQ","BEST_FPERIOD_OVERRIDE=FQ","FILING_STATUS=MR","Sort=A","Dates=H","DateFormat=P","Fill=—","Direction=H","UseDPDF=Y")</f>
        <v>21.6602</v>
      </c>
      <c r="AD62" s="13" cm="1">
        <f t="array" ref="AD62">_xll.BDH("PCAR US Equity","PX_TO_FREE_CASH_FLOW","FQ2 2025","FQ2 2025","Currency=USD","Period=FQ","BEST_FPERIOD_OVERRIDE=FQ","FILING_STATUS=MR","Sort=A","Dates=H","DateFormat=P","Fill=—","Direction=H","UseDPDF=Y")</f>
        <v>17.349399999999999</v>
      </c>
      <c r="AE62" s="13" cm="1">
        <f t="array" ref="AE62">_xll.BDH("PCAR US Equity","PX_TO_FREE_CASH_FLOW","FQ3 2025","FQ3 2025","Currency=USD","Period=FQ","BEST_FPERIOD_OVERRIDE=FQ","FILING_STATUS=MR","Sort=A","Dates=H","DateFormat=P","Fill=—","Direction=H","UseDPDF=Y")</f>
        <v>16.184999999999999</v>
      </c>
      <c r="AF62" s="13" cm="1">
        <f t="array" ref="AF62">_xll.BDH("PCAR US Equity","PX_TO_FREE_CASH_FLOW","FQ4 2025","FQ4 2025","Currency=USD","Period=FQ","BEST_FPERIOD_OVERRIDE=FQ","FILING_STATUS=MR","Sort=A","Dates=H","DateFormat=P","Fill=—","Direction=H","UseDPDF=Y")</f>
        <v>19.1693</v>
      </c>
    </row>
    <row r="63" spans="1:32" x14ac:dyDescent="0.25">
      <c r="A63" s="10" t="s">
        <v>156</v>
      </c>
      <c r="B63" s="10" t="s">
        <v>157</v>
      </c>
      <c r="C63" s="13" cm="1">
        <f t="array" ref="C63">_xll.BDH("PCAR US Equity","CASH_FLOW_TO_NET_INC","FQ3 2018","FQ3 2018","Currency=USD","Period=FQ","BEST_FPERIOD_OVERRIDE=FQ","FILING_STATUS=MR","FA_ADJUSTED=GAAP","Sort=A","Dates=H","DateFormat=P","Fill=—","Direction=H","UseDPDF=Y")</f>
        <v>1.3363</v>
      </c>
      <c r="D63" s="13" cm="1">
        <f t="array" ref="D63">_xll.BDH("PCAR US Equity","CASH_FLOW_TO_NET_INC","FQ4 2018","FQ4 2018","Currency=USD","Period=FQ","BEST_FPERIOD_OVERRIDE=FQ","FILING_STATUS=MR","FA_ADJUSTED=GAAP","Sort=A","Dates=H","DateFormat=P","Fill=—","Direction=H","UseDPDF=Y")</f>
        <v>1.8424</v>
      </c>
      <c r="E63" s="13" cm="1">
        <f t="array" ref="E63">_xll.BDH("PCAR US Equity","CASH_FLOW_TO_NET_INC","FQ1 2019","FQ1 2019","Currency=USD","Period=FQ","BEST_FPERIOD_OVERRIDE=FQ","FILING_STATUS=MR","FA_ADJUSTED=GAAP","Sort=A","Dates=H","DateFormat=P","Fill=—","Direction=H","UseDPDF=Y")</f>
        <v>0.57709999999999995</v>
      </c>
      <c r="F63" s="13" cm="1">
        <f t="array" ref="F63">_xll.BDH("PCAR US Equity","CASH_FLOW_TO_NET_INC","FQ2 2019","FQ2 2019","Currency=USD","Period=FQ","BEST_FPERIOD_OVERRIDE=FQ","FILING_STATUS=MR","FA_ADJUSTED=GAAP","Sort=A","Dates=H","DateFormat=P","Fill=—","Direction=H","UseDPDF=Y")</f>
        <v>1.3337000000000001</v>
      </c>
      <c r="G63" s="13" cm="1">
        <f t="array" ref="G63">_xll.BDH("PCAR US Equity","CASH_FLOW_TO_NET_INC","FQ3 2019","FQ3 2019","Currency=USD","Period=FQ","BEST_FPERIOD_OVERRIDE=FQ","FILING_STATUS=MR","FA_ADJUSTED=GAAP","Sort=A","Dates=H","DateFormat=P","Fill=—","Direction=H","UseDPDF=Y")</f>
        <v>1.1960999999999999</v>
      </c>
      <c r="H63" s="13" cm="1">
        <f t="array" ref="H63">_xll.BDH("PCAR US Equity","CASH_FLOW_TO_NET_INC","FQ4 2019","FQ4 2019","Currency=USD","Period=FQ","BEST_FPERIOD_OVERRIDE=FQ","FILING_STATUS=MR","FA_ADJUSTED=GAAP","Sort=A","Dates=H","DateFormat=P","Fill=—","Direction=H","UseDPDF=Y")</f>
        <v>1.7762</v>
      </c>
      <c r="I63" s="13" cm="1">
        <f t="array" ref="I63">_xll.BDH("PCAR US Equity","CASH_FLOW_TO_NET_INC","FQ1 2020","FQ1 2020","Currency=USD","Period=FQ","BEST_FPERIOD_OVERRIDE=FQ","FILING_STATUS=MR","FA_ADJUSTED=GAAP","Sort=A","Dates=H","DateFormat=P","Fill=—","Direction=H","UseDPDF=Y")</f>
        <v>1.1850000000000001</v>
      </c>
      <c r="J63" s="13" cm="1">
        <f t="array" ref="J63">_xll.BDH("PCAR US Equity","CASH_FLOW_TO_NET_INC","FQ2 2020","FQ2 2020","Currency=USD","Period=FQ","BEST_FPERIOD_OVERRIDE=FQ","FILING_STATUS=MR","FA_ADJUSTED=GAAP","Sort=A","Dates=H","DateFormat=P","Fill=—","Direction=H","UseDPDF=Y")</f>
        <v>6.3296999999999999</v>
      </c>
      <c r="K63" s="13" cm="1">
        <f t="array" ref="K63">_xll.BDH("PCAR US Equity","CASH_FLOW_TO_NET_INC","FQ3 2020","FQ3 2020","Currency=USD","Period=FQ","BEST_FPERIOD_OVERRIDE=FQ","FILING_STATUS=MR","FA_ADJUSTED=GAAP","Sort=A","Dates=H","DateFormat=P","Fill=—","Direction=H","UseDPDF=Y")</f>
        <v>2.1575000000000002</v>
      </c>
      <c r="L63" s="13" cm="1">
        <f t="array" ref="L63">_xll.BDH("PCAR US Equity","CASH_FLOW_TO_NET_INC","FQ4 2020","FQ4 2020","Currency=USD","Period=FQ","BEST_FPERIOD_OVERRIDE=FQ","FILING_STATUS=MR","FA_ADJUSTED=GAAP","Sort=A","Dates=H","DateFormat=P","Fill=—","Direction=H","UseDPDF=Y")</f>
        <v>1.9583999999999999</v>
      </c>
      <c r="M63" s="13" cm="1">
        <f t="array" ref="M63">_xll.BDH("PCAR US Equity","CASH_FLOW_TO_NET_INC","FQ1 2021","FQ1 2021","Currency=USD","Period=FQ","BEST_FPERIOD_OVERRIDE=FQ","FILING_STATUS=MR","FA_ADJUSTED=GAAP","Sort=A","Dates=H","DateFormat=P","Fill=—","Direction=H","UseDPDF=Y")</f>
        <v>1.1404000000000001</v>
      </c>
      <c r="N63" s="13" cm="1">
        <f t="array" ref="N63">_xll.BDH("PCAR US Equity","CASH_FLOW_TO_NET_INC","FQ2 2021","FQ2 2021","Currency=USD","Period=FQ","BEST_FPERIOD_OVERRIDE=FQ","FILING_STATUS=MR","FA_ADJUSTED=GAAP","Sort=A","Dates=H","DateFormat=P","Fill=—","Direction=H","UseDPDF=Y")</f>
        <v>0.66759999999999997</v>
      </c>
      <c r="O63" s="13" cm="1">
        <f t="array" ref="O63">_xll.BDH("PCAR US Equity","CASH_FLOW_TO_NET_INC","FQ3 2021","FQ3 2021","Currency=USD","Period=FQ","BEST_FPERIOD_OVERRIDE=FQ","FILING_STATUS=MR","FA_ADJUSTED=GAAP","Sort=A","Dates=H","DateFormat=P","Fill=—","Direction=H","UseDPDF=Y")</f>
        <v>0.74239999999999995</v>
      </c>
      <c r="P63" s="13" cm="1">
        <f t="array" ref="P63">_xll.BDH("PCAR US Equity","CASH_FLOW_TO_NET_INC","FQ4 2021","FQ4 2021","Currency=USD","Period=FQ","BEST_FPERIOD_OVERRIDE=FQ","FILING_STATUS=MR","FA_ADJUSTED=GAAP","Sort=A","Dates=H","DateFormat=P","Fill=—","Direction=H","UseDPDF=Y")</f>
        <v>1.9983</v>
      </c>
      <c r="Q63" s="13" cm="1">
        <f t="array" ref="Q63">_xll.BDH("PCAR US Equity","CASH_FLOW_TO_NET_INC","FQ1 2022","FQ1 2022","Currency=USD","Period=FQ","BEST_FPERIOD_OVERRIDE=FQ","FILING_STATUS=MR","FA_ADJUSTED=GAAP","Sort=A","Dates=H","DateFormat=P","Fill=—","Direction=H","UseDPDF=Y")</f>
        <v>0.76490000000000002</v>
      </c>
      <c r="R63" s="13" cm="1">
        <f t="array" ref="R63">_xll.BDH("PCAR US Equity","CASH_FLOW_TO_NET_INC","FQ2 2022","FQ2 2022","Currency=USD","Period=FQ","BEST_FPERIOD_OVERRIDE=FQ","FILING_STATUS=MR","FA_ADJUSTED=GAAP","Sort=A","Dates=H","DateFormat=P","Fill=—","Direction=H","UseDPDF=Y")</f>
        <v>0.88590000000000002</v>
      </c>
      <c r="S63" s="13" cm="1">
        <f t="array" ref="S63">_xll.BDH("PCAR US Equity","CASH_FLOW_TO_NET_INC","FQ3 2022","FQ3 2022","Currency=USD","Period=FQ","BEST_FPERIOD_OVERRIDE=FQ","FILING_STATUS=MR","FA_ADJUSTED=GAAP","Sort=A","Dates=H","DateFormat=P","Fill=—","Direction=H","UseDPDF=Y")</f>
        <v>0.88470000000000004</v>
      </c>
      <c r="T63" s="13" cm="1">
        <f t="array" ref="T63">_xll.BDH("PCAR US Equity","CASH_FLOW_TO_NET_INC","FQ4 2022","FQ4 2022","Currency=USD","Period=FQ","BEST_FPERIOD_OVERRIDE=FQ","FILING_STATUS=MR","FA_ADJUSTED=GAAP","Sort=A","Dates=H","DateFormat=P","Fill=—","Direction=H","UseDPDF=Y")</f>
        <v>1.3554999999999999</v>
      </c>
      <c r="U63" s="13" cm="1">
        <f t="array" ref="U63">_xll.BDH("PCAR US Equity","CASH_FLOW_TO_NET_INC","FQ1 2023","FQ1 2023","Currency=USD","Period=FQ","BEST_FPERIOD_OVERRIDE=FQ","FILING_STATUS=MR","FA_ADJUSTED=GAAP","Sort=A","Dates=H","DateFormat=P","Fill=—","Direction=H","UseDPDF=Y")</f>
        <v>0.93310000000000004</v>
      </c>
      <c r="V63" s="13" cm="1">
        <f t="array" ref="V63">_xll.BDH("PCAR US Equity","CASH_FLOW_TO_NET_INC","FQ2 2023","FQ2 2023","Currency=USD","Period=FQ","BEST_FPERIOD_OVERRIDE=FQ","FILING_STATUS=MR","FA_ADJUSTED=GAAP","Sort=A","Dates=H","DateFormat=P","Fill=—","Direction=H","UseDPDF=Y")</f>
        <v>0.79890000000000005</v>
      </c>
      <c r="W63" s="13" cm="1">
        <f t="array" ref="W63">_xll.BDH("PCAR US Equity","CASH_FLOW_TO_NET_INC","FQ3 2023","FQ3 2023","Currency=USD","Period=FQ","BEST_FPERIOD_OVERRIDE=FQ","FILING_STATUS=MR","FA_ADJUSTED=GAAP","Sort=A","Dates=H","DateFormat=P","Fill=—","Direction=H","UseDPDF=Y")</f>
        <v>1.0931999999999999</v>
      </c>
      <c r="X63" s="13" cm="1">
        <f t="array" ref="X63">_xll.BDH("PCAR US Equity","CASH_FLOW_TO_NET_INC","FQ4 2023","FQ4 2023","Currency=USD","Period=FQ","BEST_FPERIOD_OVERRIDE=FQ","FILING_STATUS=MR","FA_ADJUSTED=GAAP","Sort=A","Dates=H","DateFormat=P","Fill=—","Direction=H","UseDPDF=Y")</f>
        <v>0.83730000000000004</v>
      </c>
      <c r="Y63" s="13" cm="1">
        <f t="array" ref="Y63">_xll.BDH("PCAR US Equity","CASH_FLOW_TO_NET_INC","FQ1 2024","FQ1 2024","Currency=USD","Period=FQ","BEST_FPERIOD_OVERRIDE=FQ","FILING_STATUS=MR","FA_ADJUSTED=GAAP","Sort=A","Dates=H","DateFormat=P","Fill=—","Direction=H","UseDPDF=Y")</f>
        <v>1.2290000000000001</v>
      </c>
      <c r="Z63" s="13" cm="1">
        <f t="array" ref="Z63">_xll.BDH("PCAR US Equity","CASH_FLOW_TO_NET_INC","FQ2 2024","FQ2 2024","Currency=USD","Period=FQ","BEST_FPERIOD_OVERRIDE=FQ","FILING_STATUS=MR","FA_ADJUSTED=GAAP","Sort=A","Dates=H","DateFormat=P","Fill=—","Direction=H","UseDPDF=Y")</f>
        <v>0.39190000000000003</v>
      </c>
      <c r="AA63" s="13" cm="1">
        <f t="array" ref="AA63">_xll.BDH("PCAR US Equity","CASH_FLOW_TO_NET_INC","FQ3 2024","FQ3 2024","Currency=USD","Period=FQ","BEST_FPERIOD_OVERRIDE=FQ","FILING_STATUS=MR","FA_ADJUSTED=GAAP","Sort=A","Dates=H","DateFormat=P","Fill=—","Direction=H","UseDPDF=Y")</f>
        <v>1.3230999999999999</v>
      </c>
      <c r="AB63" s="13" cm="1">
        <f t="array" ref="AB63">_xll.BDH("PCAR US Equity","CASH_FLOW_TO_NET_INC","FQ4 2024","FQ4 2024","Currency=USD","Period=FQ","BEST_FPERIOD_OVERRIDE=FQ","FILING_STATUS=MR","FA_ADJUSTED=GAAP","Sort=A","Dates=H","DateFormat=P","Fill=—","Direction=H","UseDPDF=Y")</f>
        <v>1.6578999999999999</v>
      </c>
      <c r="AC63" s="13" cm="1">
        <f t="array" ref="AC63">_xll.BDH("PCAR US Equity","CASH_FLOW_TO_NET_INC","FQ1 2025","FQ1 2025","Currency=USD","Period=FQ","BEST_FPERIOD_OVERRIDE=FQ","FILING_STATUS=MR","FA_ADJUSTED=GAAP","Sort=A","Dates=H","DateFormat=P","Fill=—","Direction=H","UseDPDF=Y")</f>
        <v>1.8022</v>
      </c>
      <c r="AD63" s="13" cm="1">
        <f t="array" ref="AD63">_xll.BDH("PCAR US Equity","CASH_FLOW_TO_NET_INC","FQ2 2025","FQ2 2025","Currency=USD","Period=FQ","BEST_FPERIOD_OVERRIDE=FQ","FILING_STATUS=MR","FA_ADJUSTED=GAAP","Sort=A","Dates=H","DateFormat=P","Fill=—","Direction=H","UseDPDF=Y")</f>
        <v>1.1514</v>
      </c>
      <c r="AE63" s="13" cm="1">
        <f t="array" ref="AE63">_xll.BDH("PCAR US Equity","CASH_FLOW_TO_NET_INC","FQ3 2025","FQ3 2025","Currency=USD","Period=FQ","BEST_FPERIOD_OVERRIDE=FQ","FILING_STATUS=MR","FA_ADJUSTED=GAAP","Sort=A","Dates=H","DateFormat=P","Fill=—","Direction=H","UseDPDF=Y")</f>
        <v>2.5895000000000001</v>
      </c>
      <c r="AF63" s="13" cm="1">
        <f t="array" ref="AF63">_xll.BDH("PCAR US Equity","CASH_FLOW_TO_NET_INC","FQ4 2025","FQ4 2025","Currency=USD","Period=FQ","BEST_FPERIOD_OVERRIDE=FQ","FILING_STATUS=MR","FA_ADJUSTED=GAAP","Sort=A","Dates=H","DateFormat=P","Fill=—","Direction=H","UseDPDF=Y")</f>
        <v>2.0548000000000002</v>
      </c>
    </row>
    <row r="64" spans="1:32" x14ac:dyDescent="0.25">
      <c r="A64" s="7" t="s">
        <v>158</v>
      </c>
      <c r="B64" s="7"/>
      <c r="C64" s="7" t="s">
        <v>1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Flow - Standardized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Juan Francisco Rodríguez Rodríguez</cp:lastModifiedBy>
  <dcterms:created xsi:type="dcterms:W3CDTF">2013-04-03T15:49:21Z</dcterms:created>
  <dcterms:modified xsi:type="dcterms:W3CDTF">2026-02-19T02:00:14Z</dcterms:modified>
</cp:coreProperties>
</file>